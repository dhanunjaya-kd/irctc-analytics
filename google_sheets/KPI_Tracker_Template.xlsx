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Inputs_Monthly" sheetId="2" r:id="rId2"/>
    <sheet name="KPI_Tracker" sheetId="3" r:id="rId3"/>
    <sheet name="Targets" sheetId="4" r:id="rId4"/>
    <sheet name="Charts" sheetId="5" r:id="rId5"/>
    <sheet name="Settings" sheetId="6" r:id="rId6"/>
  </sheets>
  <calcPr calcId="124519" fullCalcOnLoad="1"/>
</workbook>
</file>

<file path=xl/sharedStrings.xml><?xml version="1.0" encoding="utf-8"?>
<sst xmlns="http://schemas.openxmlformats.org/spreadsheetml/2006/main" count="102" uniqueCount="85">
  <si>
    <t>KPI Tracker template (Google Sheets)</t>
  </si>
  <si>
    <t>SYNTHETIC SAMPLE DATA from a sampled simulation (768 simulated runs of 19,708 scheduled, 3.9%). Not IRCTC or Indian Railways metrics. Compare months with per-run and capacity-normalised measures, not raw monthly totals. Targets and thresholds are illustrative.</t>
  </si>
  <si>
    <t>1. Import: Google Sheets &gt; File &gt; Import &gt; Upload &gt; choose this .xlsx &gt; 'Replace spreadsheet' or 'Insert new sheet(s)'. Formulas, formatting and drop-downs import; re-check the charts (Insert &gt; Chart) if they look different.</t>
  </si>
  <si>
    <t>2. Inputs_Monthly (yellow): one row per journey month. Enter counts only; every KPI is calculated on KPI_Tracker. Fill months contiguously from the first row (the Targets sheet reads the last filled month).</t>
  </si>
  <si>
    <t>3. Denominators (docs/KPI_definitions.md): passenger cancellation rate = cancelled passengers / total passengers; booking cancellation rate = cancelled bookings / total bookings; clearance = cleared / initially waitlisted; occupancy = (confirmed + RAC weight x RAC) / seats; waitlist pressure = uncleared waitlist / seats; on-time = on-time runs / runs with a recorded delay.</t>
  </si>
  <si>
    <t>4. Fully confirmed bookings mean EVERY passenger is Confirmed. Mixed-status bookings are reported separately.</t>
  </si>
  <si>
    <t>5. Targets: edit the yellow targets and tolerances. Status shows On target, Watch or Off target for the last filled month. Targets are illustrative.</t>
  </si>
  <si>
    <t>6. Sample rows are synthetic and come from a sampled simulation (32 simulated runs per month). Because of that, compare months on per-run and normalised measures, not on raw totals.</t>
  </si>
  <si>
    <t>Settings</t>
  </si>
  <si>
    <t>RAC seat weight (configurable simulation assumption, not an official rule)</t>
  </si>
  <si>
    <t>On-time threshold in minutes (informational; on-time run counts are entered as inputs)</t>
  </si>
  <si>
    <t>Inputs: monthly counts (sample rows are synthetic)</t>
  </si>
  <si>
    <t>Journey month</t>
  </si>
  <si>
    <t>Simulated runs</t>
  </si>
  <si>
    <t>Total bookings</t>
  </si>
  <si>
    <t>Total passengers</t>
  </si>
  <si>
    <t>Fully confirmed bookings</t>
  </si>
  <si>
    <t>Mixed-status bookings</t>
  </si>
  <si>
    <t>Cancelled bookings (all passengers cancelled)</t>
  </si>
  <si>
    <t>Cancelled passengers</t>
  </si>
  <si>
    <t>Waiting-list demand (initial WL passengers)</t>
  </si>
  <si>
    <t>WL passengers later Confirmed or RAC</t>
  </si>
  <si>
    <t>Uncleared WL passengers</t>
  </si>
  <si>
    <t>Confirmed passengers</t>
  </si>
  <si>
    <t>RAC passengers</t>
  </si>
  <si>
    <t>Available seats</t>
  </si>
  <si>
    <t>Gross booking value (INR)</t>
  </si>
  <si>
    <t>Refund amount (INR)</t>
  </si>
  <si>
    <t>Runs with recorded delay</t>
  </si>
  <si>
    <t>On-time runs</t>
  </si>
  <si>
    <t>Sum of max(delay,0) minutes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</si>
  <si>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</si>
  <si>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</si>
  <si>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</si>
  <si>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</si>
  <si>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</si>
  <si>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</si>
  <si>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</si>
  <si>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</si>
  <si>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</si>
  <si>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</si>
  <si>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</si>
  <si>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</si>
  <si>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</si>
  <si>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</si>
  <si>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</si>
  <si>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</si>
  <si>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</si>
  <si>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</si>
  <si>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</si>
  <si>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</si>
  <si>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</si>
  <si>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</si>
  <si>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</si>
  <si>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</si>
  <si>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KPI Tracker (formulas; do not overwrite)</t>
  </si>
  <si>
    <t>Bookings per simulated run</t>
  </si>
  <si>
    <t>Passengers per simulated run</t>
  </si>
  <si>
    <t>Cancellation rate (passenger-based)</t>
  </si>
  <si>
    <t>Booking cancellation rate (companion)</t>
  </si>
  <si>
    <t>Fully confirmed share of bookings</t>
  </si>
  <si>
    <t>Mixed-status share of bookings</t>
  </si>
  <si>
    <t>Waiting-list demand share of passengers</t>
  </si>
  <si>
    <t>Waitlist clearance rate</t>
  </si>
  <si>
    <t>Waitlist pressure %</t>
  </si>
  <si>
    <t>Seat occupancy %</t>
  </si>
  <si>
    <t>Gross booking value</t>
  </si>
  <si>
    <t>Refund amount</t>
  </si>
  <si>
    <t>Net booking value</t>
  </si>
  <si>
    <t>Average fare per passenger</t>
  </si>
  <si>
    <t>On-time performance %</t>
  </si>
  <si>
    <t>Average delay (min)</t>
  </si>
  <si>
    <t>Bookings growth vs prior month</t>
  </si>
  <si>
    <t>Bookings-per-run growth vs prior month</t>
  </si>
  <si>
    <t/>
  </si>
  <si>
    <t>Targets and status for the last filled month (illustrative targets)</t>
  </si>
  <si>
    <t>KPI</t>
  </si>
  <si>
    <t>Direction</t>
  </si>
  <si>
    <t>Target (editable)</t>
  </si>
  <si>
    <t>Watch tolerance (editable)</t>
  </si>
  <si>
    <t>Latest value</t>
  </si>
  <si>
    <t>Status</t>
  </si>
  <si>
    <t>Lower is better</t>
  </si>
  <si>
    <t>Higher is better</t>
  </si>
  <si>
    <t>Charts (ranges cover the 24 sample months; extend the series when you add months)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</si>
</sst>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0.0%"/>
    <numFmt numFmtId="166" formatCode="#,##0"/>
    <numFmt numFmtId="167" formatCode="0.0"/>
  </numFmts>
  <fonts count="6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b/>
      <sz val="10"/>
      <color rgb="FF9C0006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5" borderId="0" xfId="0" applyFont="1" applyFill="1" applyAlignment="1">
      <alignment vertical="center"/>
    </xf>
    <xf numFmtId="164" fontId="3" fillId="5" borderId="0" xfId="0" applyNumberFormat="1" applyFont="1" applyFill="1" applyAlignment="1">
      <alignment vertical="center"/>
    </xf>
    <xf numFmtId="165" fontId="3" fillId="5" borderId="0" xfId="0" applyNumberFormat="1" applyFont="1" applyFill="1" applyAlignment="1">
      <alignment vertical="center"/>
    </xf>
    <xf numFmtId="166" fontId="3" fillId="5" borderId="0" xfId="0" applyNumberFormat="1" applyFont="1" applyFill="1" applyAlignment="1">
      <alignment vertical="center"/>
    </xf>
    <xf numFmtId="165" fontId="3" fillId="4" borderId="1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67" fontId="3" fillId="4" borderId="1" xfId="0" applyNumberFormat="1" applyFont="1" applyFill="1" applyBorder="1" applyAlignment="1">
      <alignment vertical="center"/>
    </xf>
    <xf numFmtId="167" fontId="3" fillId="5" borderId="0" xfId="0" applyNumberFormat="1" applyFont="1" applyFill="1" applyAlignment="1">
      <alignment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7F60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Bookings per simulated run (synthetic)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KPI_Tracker!$B$4</c:f>
              <c:strCache>
                <c:ptCount val="1"/>
                <c:pt idx="0">
                  <c:v>Bookings per simulated run</c:v>
                </c:pt>
              </c:strCache>
            </c:strRef>
          </c:tx>
          <c:spPr>
            <a:ln>
              <a:solidFill>
                <a:srgbClr val="2E75B6"/>
              </a:solidFill>
            </a:ln>
          </c:spPr>
          <c:marker>
            <c:symbol val="none"/>
          </c:marker>
          <c:cat>
            <c:strRef>
              <c:f>KPI_Tracker!$A$5:$A$28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KPI_Tracker!$B$5:$B$28</c:f>
              <c:numCache>
                <c:formatCode>General</c:formatCode>
                <c:ptCount val="24"/>
                <c:pt idx="0">
                  <c:v>185.75</c:v>
                </c:pt>
                <c:pt idx="1">
                  <c:v>241.46875</c:v>
                </c:pt>
                <c:pt idx="2">
                  <c:v>247.9375</c:v>
                </c:pt>
                <c:pt idx="3">
                  <c:v>233.03125</c:v>
                </c:pt>
                <c:pt idx="4">
                  <c:v>248.09375</c:v>
                </c:pt>
                <c:pt idx="5">
                  <c:v>223.90625</c:v>
                </c:pt>
                <c:pt idx="6">
                  <c:v>288.84375</c:v>
                </c:pt>
                <c:pt idx="7">
                  <c:v>285.9375</c:v>
                </c:pt>
                <c:pt idx="8">
                  <c:v>339.25</c:v>
                </c:pt>
                <c:pt idx="9">
                  <c:v>252.28125</c:v>
                </c:pt>
                <c:pt idx="10">
                  <c:v>230.6875</c:v>
                </c:pt>
                <c:pt idx="11">
                  <c:v>223.9375</c:v>
                </c:pt>
                <c:pt idx="12">
                  <c:v>234.6875</c:v>
                </c:pt>
                <c:pt idx="13">
                  <c:v>262.5</c:v>
                </c:pt>
                <c:pt idx="14">
                  <c:v>255.53125</c:v>
                </c:pt>
                <c:pt idx="15">
                  <c:v>269.875</c:v>
                </c:pt>
                <c:pt idx="16">
                  <c:v>254.65625</c:v>
                </c:pt>
                <c:pt idx="17">
                  <c:v>259</c:v>
                </c:pt>
                <c:pt idx="18">
                  <c:v>292.53125</c:v>
                </c:pt>
                <c:pt idx="19">
                  <c:v>312.0625</c:v>
                </c:pt>
                <c:pt idx="20">
                  <c:v>359.40625</c:v>
                </c:pt>
                <c:pt idx="21">
                  <c:v>280.09375</c:v>
                </c:pt>
                <c:pt idx="22">
                  <c:v>247.875</c:v>
                </c:pt>
                <c:pt idx="23">
                  <c:v>257.59375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Seat occupancy % and waitlist pressure % (synthetic)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KPI_Tracker!$K$4</c:f>
              <c:strCache>
                <c:ptCount val="1"/>
                <c:pt idx="0">
                  <c:v>Seat occupancy %</c:v>
                </c:pt>
              </c:strCache>
            </c:strRef>
          </c:tx>
          <c:spPr>
            <a:ln>
              <a:solidFill>
                <a:srgbClr val="548235"/>
              </a:solidFill>
            </a:ln>
          </c:spPr>
          <c:marker>
            <c:symbol val="none"/>
          </c:marker>
          <c:cat>
            <c:strRef>
              <c:f>KPI_Tracker!$A$5:$A$28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KPI_Tracker!$K$5:$K$28</c:f>
              <c:numCache>
                <c:formatCode>General</c:formatCode>
                <c:ptCount val="24"/>
                <c:pt idx="0">
                  <c:v>0.583876790497263</c:v>
                </c:pt>
                <c:pt idx="1">
                  <c:v>0.683507709251101</c:v>
                </c:pt>
                <c:pt idx="2">
                  <c:v>0.701657458563536</c:v>
                </c:pt>
                <c:pt idx="3">
                  <c:v>0.661930573806395</c:v>
                </c:pt>
                <c:pt idx="4">
                  <c:v>0.689070351758794</c:v>
                </c:pt>
                <c:pt idx="5">
                  <c:v>0.651091481939912</c:v>
                </c:pt>
                <c:pt idx="6">
                  <c:v>0.793550196298374</c:v>
                </c:pt>
                <c:pt idx="7">
                  <c:v>0.775663237682729</c:v>
                </c:pt>
                <c:pt idx="8">
                  <c:v>0.896414903196758</c:v>
                </c:pt>
                <c:pt idx="9">
                  <c:v>0.725412182276162</c:v>
                </c:pt>
                <c:pt idx="10">
                  <c:v>0.678687150837989</c:v>
                </c:pt>
                <c:pt idx="11">
                  <c:v>0.709508508865881</c:v>
                </c:pt>
                <c:pt idx="12">
                  <c:v>0.680821371610845</c:v>
                </c:pt>
                <c:pt idx="13">
                  <c:v>0.7336550262189</c:v>
                </c:pt>
                <c:pt idx="14">
                  <c:v>0.73728813559322</c:v>
                </c:pt>
                <c:pt idx="15">
                  <c:v>0.754582597173145</c:v>
                </c:pt>
                <c:pt idx="16">
                  <c:v>0.731101950766373</c:v>
                </c:pt>
                <c:pt idx="17">
                  <c:v>0.722696245733788</c:v>
                </c:pt>
                <c:pt idx="18">
                  <c:v>0.778025655326269</c:v>
                </c:pt>
                <c:pt idx="19">
                  <c:v>0.813770068485461</c:v>
                </c:pt>
                <c:pt idx="20">
                  <c:v>0.919724505151059</c:v>
                </c:pt>
                <c:pt idx="21">
                  <c:v>0.778595630330646</c:v>
                </c:pt>
                <c:pt idx="22">
                  <c:v>0.698612047651158</c:v>
                </c:pt>
                <c:pt idx="23">
                  <c:v>0.742162562699498</c:v>
                </c:pt>
              </c:numCache>
            </c:numRef>
          </c:val>
        </c:ser>
        <c:ser>
          <c:idx val="1"/>
          <c:order val="1"/>
          <c:tx>
            <c:strRef>
              <c:f>KPI_Tracker!$J$4</c:f>
              <c:strCache>
                <c:ptCount val="1"/>
                <c:pt idx="0">
                  <c:v>Waitlist pressure %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strRef>
              <c:f>KPI_Tracker!$A$5:$A$28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KPI_Tracker!$J$5:$J$28</c:f>
              <c:numCache>
                <c:formatCode>General</c:formatCode>
                <c:ptCount val="24"/>
                <c:pt idx="0">
                  <c:v>0.0202631885408175</c:v>
                </c:pt>
                <c:pt idx="1">
                  <c:v>0.0291850220264317</c:v>
                </c:pt>
                <c:pt idx="2">
                  <c:v>0.0535009583944075</c:v>
                </c:pt>
                <c:pt idx="3">
                  <c:v>0.0309899255365747</c:v>
                </c:pt>
                <c:pt idx="4">
                  <c:v>0.028894472361809</c:v>
                </c:pt>
                <c:pt idx="5">
                  <c:v>0.0316192190840554</c:v>
                </c:pt>
                <c:pt idx="6">
                  <c:v>0.0741446999439148</c:v>
                </c:pt>
                <c:pt idx="7">
                  <c:v>0.0600433134813211</c:v>
                </c:pt>
                <c:pt idx="8">
                  <c:v>0.106708689779379</c:v>
                </c:pt>
                <c:pt idx="9">
                  <c:v>0.0543279138997023</c:v>
                </c:pt>
                <c:pt idx="10">
                  <c:v>0.029608938547486</c:v>
                </c:pt>
                <c:pt idx="11">
                  <c:v>0.0271926692847792</c:v>
                </c:pt>
                <c:pt idx="12">
                  <c:v>0.0416951469583049</c:v>
                </c:pt>
                <c:pt idx="13">
                  <c:v>0.0534977128193685</c:v>
                </c:pt>
                <c:pt idx="14">
                  <c:v>0.0510765002290426</c:v>
                </c:pt>
                <c:pt idx="15">
                  <c:v>0.0466541519434629</c:v>
                </c:pt>
                <c:pt idx="16">
                  <c:v>0.0546911286576869</c:v>
                </c:pt>
                <c:pt idx="17">
                  <c:v>0.0483320488825278</c:v>
                </c:pt>
                <c:pt idx="18">
                  <c:v>0.0789180145008366</c:v>
                </c:pt>
                <c:pt idx="19">
                  <c:v>0.100819580105535</c:v>
                </c:pt>
                <c:pt idx="20">
                  <c:v>0.155110545201991</c:v>
                </c:pt>
                <c:pt idx="21">
                  <c:v>0.09037270709195</c:v>
                </c:pt>
                <c:pt idx="22">
                  <c:v>0.0511350865363003</c:v>
                </c:pt>
                <c:pt idx="23">
                  <c:v>0.0475376196990424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aseline="0"/>
            </a:pPr>
            <a:r>
              <a:rPr lang="en-US" sz="1000" baseline="0"/>
              <a:t>On-time performance % (synthetic)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KPI_Tracker!$P$4</c:f>
              <c:strCache>
                <c:ptCount val="1"/>
                <c:pt idx="0">
                  <c:v>On-time performance %</c:v>
                </c:pt>
              </c:strCache>
            </c:strRef>
          </c:tx>
          <c:spPr>
            <a:ln>
              <a:solidFill>
                <a:srgbClr val="7F6000"/>
              </a:solidFill>
            </a:ln>
          </c:spPr>
          <c:marker>
            <c:symbol val="none"/>
          </c:marker>
          <c:cat>
            <c:strRef>
              <c:f>KPI_Tracker!$A$5:$A$28</c:f>
              <c:strCache>
                <c:ptCount val="24"/>
                <c:pt idx="0">
                  <c:v>2024-09</c:v>
                </c:pt>
                <c:pt idx="1">
                  <c:v>2024-10</c:v>
                </c:pt>
                <c:pt idx="2">
                  <c:v>2024-11</c:v>
                </c:pt>
                <c:pt idx="3">
                  <c:v>2024-12</c:v>
                </c:pt>
                <c:pt idx="4">
                  <c:v>2025-01</c:v>
                </c:pt>
                <c:pt idx="5">
                  <c:v>2025-02</c:v>
                </c:pt>
                <c:pt idx="6">
                  <c:v>2025-03</c:v>
                </c:pt>
                <c:pt idx="7">
                  <c:v>2025-04</c:v>
                </c:pt>
                <c:pt idx="8">
                  <c:v>2025-05</c:v>
                </c:pt>
                <c:pt idx="9">
                  <c:v>2025-06</c:v>
                </c:pt>
                <c:pt idx="10">
                  <c:v>2025-07</c:v>
                </c:pt>
                <c:pt idx="11">
                  <c:v>2025-08</c:v>
                </c:pt>
                <c:pt idx="12">
                  <c:v>2025-09</c:v>
                </c:pt>
                <c:pt idx="13">
                  <c:v>2025-10</c:v>
                </c:pt>
                <c:pt idx="14">
                  <c:v>2025-11</c:v>
                </c:pt>
                <c:pt idx="15">
                  <c:v>2025-12</c:v>
                </c:pt>
                <c:pt idx="16">
                  <c:v>2026-01</c:v>
                </c:pt>
                <c:pt idx="17">
                  <c:v>2026-02</c:v>
                </c:pt>
                <c:pt idx="18">
                  <c:v>2026-03</c:v>
                </c:pt>
                <c:pt idx="19">
                  <c:v>2026-04</c:v>
                </c:pt>
                <c:pt idx="20">
                  <c:v>2026-05</c:v>
                </c:pt>
                <c:pt idx="21">
                  <c:v>2026-06</c:v>
                </c:pt>
                <c:pt idx="22">
                  <c:v>2026-07</c:v>
                </c:pt>
                <c:pt idx="23">
                  <c:v>2026-08</c:v>
                </c:pt>
              </c:strCache>
            </c:strRef>
          </c:cat>
          <c:val>
            <c:numRef>
              <c:f>KPI_Tracker!$P$5:$P$28</c:f>
              <c:numCache>
                <c:formatCode>General</c:formatCode>
                <c:ptCount val="24"/>
                <c:pt idx="0">
                  <c:v>0.806451612903226</c:v>
                </c:pt>
                <c:pt idx="1">
                  <c:v>0.806451612903226</c:v>
                </c:pt>
                <c:pt idx="2">
                  <c:v>0.709677419354839</c:v>
                </c:pt>
                <c:pt idx="3">
                  <c:v>0.8125</c:v>
                </c:pt>
                <c:pt idx="4">
                  <c:v>0.709677419354839</c:v>
                </c:pt>
                <c:pt idx="5">
                  <c:v>0.59375</c:v>
                </c:pt>
                <c:pt idx="6">
                  <c:v>0.774193548387097</c:v>
                </c:pt>
                <c:pt idx="7">
                  <c:v>0.806451612903226</c:v>
                </c:pt>
                <c:pt idx="8">
                  <c:v>0.6875</c:v>
                </c:pt>
                <c:pt idx="9">
                  <c:v>0.774193548387097</c:v>
                </c:pt>
                <c:pt idx="10">
                  <c:v>0.6875</c:v>
                </c:pt>
                <c:pt idx="11">
                  <c:v>0.709677419354839</c:v>
                </c:pt>
                <c:pt idx="12">
                  <c:v>0.625</c:v>
                </c:pt>
                <c:pt idx="13">
                  <c:v>0.78125</c:v>
                </c:pt>
                <c:pt idx="14">
                  <c:v>0.866666666666667</c:v>
                </c:pt>
                <c:pt idx="15">
                  <c:v>0.620689655172414</c:v>
                </c:pt>
                <c:pt idx="16">
                  <c:v>0.75</c:v>
                </c:pt>
                <c:pt idx="17">
                  <c:v>0.741935483870968</c:v>
                </c:pt>
                <c:pt idx="18">
                  <c:v>0.8</c:v>
                </c:pt>
                <c:pt idx="19">
                  <c:v>0.774193548387097</c:v>
                </c:pt>
                <c:pt idx="20">
                  <c:v>0.866666666666667</c:v>
                </c:pt>
                <c:pt idx="21">
                  <c:v>0.709677419354839</c:v>
                </c:pt>
                <c:pt idx="22">
                  <c:v>0.774193548387097</c:v>
                </c:pt>
                <c:pt idx="23">
                  <c:v>0.766666666666667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txPr>
          <a:bodyPr rot="-2700000" vert="horz"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419100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9</xdr:col>
      <xdr:colOff>419100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9</xdr:col>
      <xdr:colOff>419100</xdr:colOff>
      <xdr:row>51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8" width="18.7109375" customWidth="1"/>
  </cols>
  <sheetData>
    <row r="1" spans="1:8">
      <c r="A1" s="1" t="s">
        <v>0</v>
      </c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34" customHeight="1">
      <c r="A4" s="3" t="s">
        <v>2</v>
      </c>
      <c r="B4" s="3"/>
      <c r="C4" s="3"/>
      <c r="D4" s="3"/>
      <c r="E4" s="3"/>
      <c r="F4" s="3"/>
      <c r="G4" s="3"/>
      <c r="H4" s="3"/>
    </row>
    <row r="5" spans="1:8" ht="34" customHeight="1">
      <c r="A5" s="3" t="s">
        <v>3</v>
      </c>
      <c r="B5" s="3"/>
      <c r="C5" s="3"/>
      <c r="D5" s="3"/>
      <c r="E5" s="3"/>
      <c r="F5" s="3"/>
      <c r="G5" s="3"/>
      <c r="H5" s="3"/>
    </row>
    <row r="6" spans="1:8" ht="34" customHeight="1">
      <c r="A6" s="3" t="s">
        <v>4</v>
      </c>
      <c r="B6" s="3"/>
      <c r="C6" s="3"/>
      <c r="D6" s="3"/>
      <c r="E6" s="3"/>
      <c r="F6" s="3"/>
      <c r="G6" s="3"/>
      <c r="H6" s="3"/>
    </row>
    <row r="7" spans="1:8" ht="34" customHeight="1">
      <c r="A7" s="3" t="s">
        <v>5</v>
      </c>
      <c r="B7" s="3"/>
      <c r="C7" s="3"/>
      <c r="D7" s="3"/>
      <c r="E7" s="3"/>
      <c r="F7" s="3"/>
      <c r="G7" s="3"/>
      <c r="H7" s="3"/>
    </row>
    <row r="8" spans="1:8" ht="34" customHeight="1">
      <c r="A8" s="3" t="s">
        <v>6</v>
      </c>
      <c r="B8" s="3"/>
      <c r="C8" s="3"/>
      <c r="D8" s="3"/>
      <c r="E8" s="3"/>
      <c r="F8" s="3"/>
      <c r="G8" s="3"/>
      <c r="H8" s="3"/>
    </row>
    <row r="9" spans="1:8" ht="34" customHeight="1">
      <c r="A9" s="3" t="s">
        <v>7</v>
      </c>
      <c r="B9" s="3"/>
      <c r="C9" s="3"/>
      <c r="D9" s="3"/>
      <c r="E9" s="3"/>
      <c r="F9" s="3"/>
      <c r="G9" s="3"/>
      <c r="H9" s="3"/>
    </row>
  </sheetData>
  <mergeCells count="7">
    <mergeCell ref="A2:H2"/>
    <mergeCell ref="A4:H4"/>
    <mergeCell ref="A5:H5"/>
    <mergeCell ref="A6:H6"/>
    <mergeCell ref="A7:H7"/>
    <mergeCell ref="A8:H8"/>
    <mergeCell ref="A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20" width="15.7109375" customWidth="1"/>
  </cols>
  <sheetData>
    <row r="1" spans="1:19">
      <c r="A1" s="1" t="s">
        <v>11</v>
      </c>
    </row>
    <row r="2" spans="1:19" ht="4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44" customHeight="1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4" t="s">
        <v>17</v>
      </c>
      <c r="G4" s="4" t="s">
        <v>18</v>
      </c>
      <c r="H4" s="4" t="s">
        <v>19</v>
      </c>
      <c r="I4" s="4" t="s">
        <v>20</v>
      </c>
      <c r="J4" s="4" t="s">
        <v>21</v>
      </c>
      <c r="K4" s="4" t="s">
        <v>22</v>
      </c>
      <c r="L4" s="4" t="s">
        <v>23</v>
      </c>
      <c r="M4" s="4" t="s">
        <v>24</v>
      </c>
      <c r="N4" s="4" t="s">
        <v>25</v>
      </c>
      <c r="O4" s="4" t="s">
        <v>26</v>
      </c>
      <c r="P4" s="4" t="s">
        <v>27</v>
      </c>
      <c r="Q4" s="4" t="s">
        <v>28</v>
      </c>
      <c r="R4" s="4" t="s">
        <v>29</v>
      </c>
      <c r="S4" s="4" t="s">
        <v>30</v>
      </c>
    </row>
    <row r="5" spans="1:19">
      <c r="A5" s="5" t="s">
        <v>31</v>
      </c>
      <c r="B5" s="5">
        <v>32</v>
      </c>
      <c r="C5" s="5">
        <v>5944</v>
      </c>
      <c r="D5" s="5">
        <v>12159</v>
      </c>
      <c r="E5" s="5">
        <v>4724</v>
      </c>
      <c r="F5" s="5">
        <v>115</v>
      </c>
      <c r="G5" s="5">
        <v>759</v>
      </c>
      <c r="H5" s="5">
        <v>1609</v>
      </c>
      <c r="I5" s="5">
        <v>490</v>
      </c>
      <c r="J5" s="5">
        <v>66</v>
      </c>
      <c r="K5" s="5">
        <v>348</v>
      </c>
      <c r="L5" s="5">
        <v>9853</v>
      </c>
      <c r="M5" s="5">
        <v>349</v>
      </c>
      <c r="N5" s="5">
        <v>17174</v>
      </c>
      <c r="O5" s="5">
        <v>18403297</v>
      </c>
      <c r="P5" s="5">
        <v>2358383.75</v>
      </c>
      <c r="Q5" s="5">
        <v>31</v>
      </c>
      <c r="R5" s="5">
        <v>25</v>
      </c>
      <c r="S5" s="5">
        <v>346</v>
      </c>
    </row>
    <row r="6" spans="1:19">
      <c r="A6" s="5" t="s">
        <v>32</v>
      </c>
      <c r="B6" s="5">
        <v>32</v>
      </c>
      <c r="C6" s="5">
        <v>7727</v>
      </c>
      <c r="D6" s="5">
        <v>15448</v>
      </c>
      <c r="E6" s="5">
        <v>5863</v>
      </c>
      <c r="F6" s="5">
        <v>167</v>
      </c>
      <c r="G6" s="5">
        <v>1052</v>
      </c>
      <c r="H6" s="5">
        <v>2135</v>
      </c>
      <c r="I6" s="5">
        <v>770</v>
      </c>
      <c r="J6" s="5">
        <v>133</v>
      </c>
      <c r="K6" s="5">
        <v>530</v>
      </c>
      <c r="L6" s="5">
        <v>12042</v>
      </c>
      <c r="M6" s="5">
        <v>741</v>
      </c>
      <c r="N6" s="5">
        <v>18160</v>
      </c>
      <c r="O6" s="5">
        <v>24124782</v>
      </c>
      <c r="P6" s="5">
        <v>3594946.25</v>
      </c>
      <c r="Q6" s="5">
        <v>31</v>
      </c>
      <c r="R6" s="5">
        <v>25</v>
      </c>
      <c r="S6" s="5">
        <v>279</v>
      </c>
    </row>
    <row r="7" spans="1:19">
      <c r="A7" s="5" t="s">
        <v>33</v>
      </c>
      <c r="B7" s="5">
        <v>32</v>
      </c>
      <c r="C7" s="5">
        <v>7934</v>
      </c>
      <c r="D7" s="5">
        <v>16023</v>
      </c>
      <c r="E7" s="5">
        <v>5763</v>
      </c>
      <c r="F7" s="5">
        <v>202</v>
      </c>
      <c r="G7" s="5">
        <v>1042</v>
      </c>
      <c r="H7" s="5">
        <v>2168</v>
      </c>
      <c r="I7" s="5">
        <v>1503</v>
      </c>
      <c r="J7" s="5">
        <v>318</v>
      </c>
      <c r="K7" s="5">
        <v>949</v>
      </c>
      <c r="L7" s="5">
        <v>11986</v>
      </c>
      <c r="M7" s="5">
        <v>920</v>
      </c>
      <c r="N7" s="5">
        <v>17738</v>
      </c>
      <c r="O7" s="5">
        <v>23920040</v>
      </c>
      <c r="P7" s="5">
        <v>4190534.25</v>
      </c>
      <c r="Q7" s="5">
        <v>31</v>
      </c>
      <c r="R7" s="5">
        <v>22</v>
      </c>
      <c r="S7" s="5">
        <v>338</v>
      </c>
    </row>
    <row r="8" spans="1:19">
      <c r="A8" s="5" t="s">
        <v>34</v>
      </c>
      <c r="B8" s="5">
        <v>32</v>
      </c>
      <c r="C8" s="5">
        <v>7457</v>
      </c>
      <c r="D8" s="5">
        <v>14941</v>
      </c>
      <c r="E8" s="5">
        <v>5710</v>
      </c>
      <c r="F8" s="5">
        <v>151</v>
      </c>
      <c r="G8" s="5">
        <v>954</v>
      </c>
      <c r="H8" s="5">
        <v>1932</v>
      </c>
      <c r="I8" s="5">
        <v>795</v>
      </c>
      <c r="J8" s="5">
        <v>128</v>
      </c>
      <c r="K8" s="5">
        <v>566</v>
      </c>
      <c r="L8" s="5">
        <v>11736</v>
      </c>
      <c r="M8" s="5">
        <v>707</v>
      </c>
      <c r="N8" s="5">
        <v>18264</v>
      </c>
      <c r="O8" s="5">
        <v>23795348</v>
      </c>
      <c r="P8" s="5">
        <v>3449323</v>
      </c>
      <c r="Q8" s="5">
        <v>32</v>
      </c>
      <c r="R8" s="5">
        <v>26</v>
      </c>
      <c r="S8" s="5">
        <v>636</v>
      </c>
    </row>
    <row r="9" spans="1:19">
      <c r="A9" s="5" t="s">
        <v>35</v>
      </c>
      <c r="B9" s="5">
        <v>32</v>
      </c>
      <c r="C9" s="5">
        <v>7939</v>
      </c>
      <c r="D9" s="5">
        <v>16225</v>
      </c>
      <c r="E9" s="5">
        <v>6173</v>
      </c>
      <c r="F9" s="5">
        <v>165</v>
      </c>
      <c r="G9" s="5">
        <v>1055</v>
      </c>
      <c r="H9" s="5">
        <v>2231</v>
      </c>
      <c r="I9" s="5">
        <v>829</v>
      </c>
      <c r="J9" s="5">
        <v>130</v>
      </c>
      <c r="K9" s="5">
        <v>552</v>
      </c>
      <c r="L9" s="5">
        <v>12886</v>
      </c>
      <c r="M9" s="5">
        <v>556</v>
      </c>
      <c r="N9" s="5">
        <v>19104</v>
      </c>
      <c r="O9" s="5">
        <v>23019795</v>
      </c>
      <c r="P9" s="5">
        <v>3424008.75</v>
      </c>
      <c r="Q9" s="5">
        <v>31</v>
      </c>
      <c r="R9" s="5">
        <v>22</v>
      </c>
      <c r="S9" s="5">
        <v>704</v>
      </c>
    </row>
    <row r="10" spans="1:19">
      <c r="A10" s="5" t="s">
        <v>36</v>
      </c>
      <c r="B10" s="5">
        <v>32</v>
      </c>
      <c r="C10" s="5">
        <v>7165</v>
      </c>
      <c r="D10" s="5">
        <v>14255</v>
      </c>
      <c r="E10" s="5">
        <v>5588</v>
      </c>
      <c r="F10" s="5">
        <v>149</v>
      </c>
      <c r="G10" s="5">
        <v>906</v>
      </c>
      <c r="H10" s="5">
        <v>1878</v>
      </c>
      <c r="I10" s="5">
        <v>771</v>
      </c>
      <c r="J10" s="5">
        <v>98</v>
      </c>
      <c r="K10" s="5">
        <v>562</v>
      </c>
      <c r="L10" s="5">
        <v>11330</v>
      </c>
      <c r="M10" s="5">
        <v>485</v>
      </c>
      <c r="N10" s="5">
        <v>17774</v>
      </c>
      <c r="O10" s="5">
        <v>21171056</v>
      </c>
      <c r="P10" s="5">
        <v>3110455.5</v>
      </c>
      <c r="Q10" s="5">
        <v>32</v>
      </c>
      <c r="R10" s="5">
        <v>19</v>
      </c>
      <c r="S10" s="5">
        <v>816</v>
      </c>
    </row>
    <row r="11" spans="1:19">
      <c r="A11" s="5" t="s">
        <v>37</v>
      </c>
      <c r="B11" s="5">
        <v>32</v>
      </c>
      <c r="C11" s="5">
        <v>9243</v>
      </c>
      <c r="D11" s="5">
        <v>18628</v>
      </c>
      <c r="E11" s="5">
        <v>6545</v>
      </c>
      <c r="F11" s="5">
        <v>198</v>
      </c>
      <c r="G11" s="5">
        <v>1209</v>
      </c>
      <c r="H11" s="5">
        <v>2515</v>
      </c>
      <c r="I11" s="5">
        <v>1998</v>
      </c>
      <c r="J11" s="5">
        <v>376</v>
      </c>
      <c r="K11" s="5">
        <v>1322</v>
      </c>
      <c r="L11" s="5">
        <v>13507</v>
      </c>
      <c r="M11" s="5">
        <v>1284</v>
      </c>
      <c r="N11" s="5">
        <v>17830</v>
      </c>
      <c r="O11" s="5">
        <v>26983278</v>
      </c>
      <c r="P11" s="5">
        <v>4896893.5</v>
      </c>
      <c r="Q11" s="5">
        <v>31</v>
      </c>
      <c r="R11" s="5">
        <v>24</v>
      </c>
      <c r="S11" s="5">
        <v>624</v>
      </c>
    </row>
    <row r="12" spans="1:19">
      <c r="A12" s="5" t="s">
        <v>38</v>
      </c>
      <c r="B12" s="5">
        <v>32</v>
      </c>
      <c r="C12" s="5">
        <v>9150</v>
      </c>
      <c r="D12" s="5">
        <v>18515</v>
      </c>
      <c r="E12" s="5">
        <v>6699</v>
      </c>
      <c r="F12" s="5">
        <v>237</v>
      </c>
      <c r="G12" s="5">
        <v>1169</v>
      </c>
      <c r="H12" s="5">
        <v>2552</v>
      </c>
      <c r="I12" s="5">
        <v>1681</v>
      </c>
      <c r="J12" s="5">
        <v>326</v>
      </c>
      <c r="K12" s="5">
        <v>1109</v>
      </c>
      <c r="L12" s="5">
        <v>13799</v>
      </c>
      <c r="M12" s="5">
        <v>1055</v>
      </c>
      <c r="N12" s="5">
        <v>18470</v>
      </c>
      <c r="O12" s="5">
        <v>28114523</v>
      </c>
      <c r="P12" s="5">
        <v>5103113.5</v>
      </c>
      <c r="Q12" s="5">
        <v>31</v>
      </c>
      <c r="R12" s="5">
        <v>25</v>
      </c>
      <c r="S12" s="5">
        <v>268</v>
      </c>
    </row>
    <row r="13" spans="1:19">
      <c r="A13" s="5" t="s">
        <v>39</v>
      </c>
      <c r="B13" s="5">
        <v>32</v>
      </c>
      <c r="C13" s="5">
        <v>10856</v>
      </c>
      <c r="D13" s="5">
        <v>21782</v>
      </c>
      <c r="E13" s="5">
        <v>7259</v>
      </c>
      <c r="F13" s="5">
        <v>260</v>
      </c>
      <c r="G13" s="5">
        <v>1511</v>
      </c>
      <c r="H13" s="5">
        <v>3120</v>
      </c>
      <c r="I13" s="5">
        <v>2942</v>
      </c>
      <c r="J13" s="5">
        <v>605</v>
      </c>
      <c r="K13" s="5">
        <v>1896</v>
      </c>
      <c r="L13" s="5">
        <v>15089</v>
      </c>
      <c r="M13" s="5">
        <v>1677</v>
      </c>
      <c r="N13" s="5">
        <v>17768</v>
      </c>
      <c r="O13" s="5">
        <v>30910281</v>
      </c>
      <c r="P13" s="5">
        <v>6528283.25</v>
      </c>
      <c r="Q13" s="5">
        <v>32</v>
      </c>
      <c r="R13" s="5">
        <v>22</v>
      </c>
      <c r="S13" s="5">
        <v>480</v>
      </c>
    </row>
    <row r="14" spans="1:19">
      <c r="A14" s="5" t="s">
        <v>40</v>
      </c>
      <c r="B14" s="5">
        <v>32</v>
      </c>
      <c r="C14" s="5">
        <v>8073</v>
      </c>
      <c r="D14" s="5">
        <v>16270</v>
      </c>
      <c r="E14" s="5">
        <v>5910</v>
      </c>
      <c r="F14" s="5">
        <v>194</v>
      </c>
      <c r="G14" s="5">
        <v>1066</v>
      </c>
      <c r="H14" s="5">
        <v>2218</v>
      </c>
      <c r="I14" s="5">
        <v>1508</v>
      </c>
      <c r="J14" s="5">
        <v>290</v>
      </c>
      <c r="K14" s="5">
        <v>949</v>
      </c>
      <c r="L14" s="5">
        <v>12240</v>
      </c>
      <c r="M14" s="5">
        <v>863</v>
      </c>
      <c r="N14" s="5">
        <v>17468</v>
      </c>
      <c r="O14" s="5">
        <v>23448148</v>
      </c>
      <c r="P14" s="5">
        <v>3824061.5</v>
      </c>
      <c r="Q14" s="5">
        <v>31</v>
      </c>
      <c r="R14" s="5">
        <v>24</v>
      </c>
      <c r="S14" s="5">
        <v>888</v>
      </c>
    </row>
    <row r="15" spans="1:19">
      <c r="A15" s="5" t="s">
        <v>41</v>
      </c>
      <c r="B15" s="5">
        <v>32</v>
      </c>
      <c r="C15" s="5">
        <v>7382</v>
      </c>
      <c r="D15" s="5">
        <v>15103</v>
      </c>
      <c r="E15" s="5">
        <v>5653</v>
      </c>
      <c r="F15" s="5">
        <v>140</v>
      </c>
      <c r="G15" s="5">
        <v>950</v>
      </c>
      <c r="H15" s="5">
        <v>2043</v>
      </c>
      <c r="I15" s="5">
        <v>789</v>
      </c>
      <c r="J15" s="5">
        <v>148</v>
      </c>
      <c r="K15" s="5">
        <v>530</v>
      </c>
      <c r="L15" s="5">
        <v>11767</v>
      </c>
      <c r="M15" s="5">
        <v>763</v>
      </c>
      <c r="N15" s="5">
        <v>17900</v>
      </c>
      <c r="O15" s="5">
        <v>21550999</v>
      </c>
      <c r="P15" s="5">
        <v>3015415</v>
      </c>
      <c r="Q15" s="5">
        <v>32</v>
      </c>
      <c r="R15" s="5">
        <v>22</v>
      </c>
      <c r="S15" s="5">
        <v>791</v>
      </c>
    </row>
    <row r="16" spans="1:19">
      <c r="A16" s="5" t="s">
        <v>42</v>
      </c>
      <c r="B16" s="5">
        <v>32</v>
      </c>
      <c r="C16" s="5">
        <v>7166</v>
      </c>
      <c r="D16" s="5">
        <v>14583</v>
      </c>
      <c r="E16" s="5">
        <v>5521</v>
      </c>
      <c r="F16" s="5">
        <v>160</v>
      </c>
      <c r="G16" s="5">
        <v>847</v>
      </c>
      <c r="H16" s="5">
        <v>1804</v>
      </c>
      <c r="I16" s="5">
        <v>680</v>
      </c>
      <c r="J16" s="5">
        <v>133</v>
      </c>
      <c r="K16" s="5">
        <v>457</v>
      </c>
      <c r="L16" s="5">
        <v>11526</v>
      </c>
      <c r="M16" s="5">
        <v>796</v>
      </c>
      <c r="N16" s="5">
        <v>16806</v>
      </c>
      <c r="O16" s="5">
        <v>21977558</v>
      </c>
      <c r="P16" s="5">
        <v>3126508</v>
      </c>
      <c r="Q16" s="5">
        <v>31</v>
      </c>
      <c r="R16" s="5">
        <v>22</v>
      </c>
      <c r="S16" s="5">
        <v>509</v>
      </c>
    </row>
    <row r="17" spans="1:19">
      <c r="A17" s="5" t="s">
        <v>43</v>
      </c>
      <c r="B17" s="5">
        <v>32</v>
      </c>
      <c r="C17" s="5">
        <v>7510</v>
      </c>
      <c r="D17" s="5">
        <v>15173</v>
      </c>
      <c r="E17" s="5">
        <v>5594</v>
      </c>
      <c r="F17" s="5">
        <v>172</v>
      </c>
      <c r="G17" s="5">
        <v>1011</v>
      </c>
      <c r="H17" s="5">
        <v>2118</v>
      </c>
      <c r="I17" s="5">
        <v>1158</v>
      </c>
      <c r="J17" s="5">
        <v>206</v>
      </c>
      <c r="K17" s="5">
        <v>732</v>
      </c>
      <c r="L17" s="5">
        <v>11582</v>
      </c>
      <c r="M17" s="5">
        <v>741</v>
      </c>
      <c r="N17" s="5">
        <v>17556</v>
      </c>
      <c r="O17" s="5">
        <v>22210254</v>
      </c>
      <c r="P17" s="5">
        <v>3264074.75</v>
      </c>
      <c r="Q17" s="5">
        <v>32</v>
      </c>
      <c r="R17" s="5">
        <v>20</v>
      </c>
      <c r="S17" s="5">
        <v>560</v>
      </c>
    </row>
    <row r="18" spans="1:19">
      <c r="A18" s="5" t="s">
        <v>44</v>
      </c>
      <c r="B18" s="5">
        <v>32</v>
      </c>
      <c r="C18" s="5">
        <v>8400</v>
      </c>
      <c r="D18" s="5">
        <v>16925</v>
      </c>
      <c r="E18" s="5">
        <v>6169</v>
      </c>
      <c r="F18" s="5">
        <v>199</v>
      </c>
      <c r="G18" s="5">
        <v>1074</v>
      </c>
      <c r="H18" s="5">
        <v>2316</v>
      </c>
      <c r="I18" s="5">
        <v>1419</v>
      </c>
      <c r="J18" s="5">
        <v>262</v>
      </c>
      <c r="K18" s="5">
        <v>959</v>
      </c>
      <c r="L18" s="5">
        <v>12653</v>
      </c>
      <c r="M18" s="5">
        <v>997</v>
      </c>
      <c r="N18" s="5">
        <v>17926</v>
      </c>
      <c r="O18" s="5">
        <v>27539668</v>
      </c>
      <c r="P18" s="5">
        <v>4897437.5</v>
      </c>
      <c r="Q18" s="5">
        <v>32</v>
      </c>
      <c r="R18" s="5">
        <v>25</v>
      </c>
      <c r="S18" s="5">
        <v>408</v>
      </c>
    </row>
    <row r="19" spans="1:19">
      <c r="A19" s="5" t="s">
        <v>45</v>
      </c>
      <c r="B19" s="5">
        <v>32</v>
      </c>
      <c r="C19" s="5">
        <v>8177</v>
      </c>
      <c r="D19" s="5">
        <v>16554</v>
      </c>
      <c r="E19" s="5">
        <v>6030</v>
      </c>
      <c r="F19" s="5">
        <v>164</v>
      </c>
      <c r="G19" s="5">
        <v>1093</v>
      </c>
      <c r="H19" s="5">
        <v>2325</v>
      </c>
      <c r="I19" s="5">
        <v>1353</v>
      </c>
      <c r="J19" s="5">
        <v>301</v>
      </c>
      <c r="K19" s="5">
        <v>892</v>
      </c>
      <c r="L19" s="5">
        <v>12415</v>
      </c>
      <c r="M19" s="5">
        <v>922</v>
      </c>
      <c r="N19" s="5">
        <v>17464</v>
      </c>
      <c r="O19" s="5">
        <v>24554554</v>
      </c>
      <c r="P19" s="5">
        <v>3971634.25</v>
      </c>
      <c r="Q19" s="5">
        <v>30</v>
      </c>
      <c r="R19" s="5">
        <v>26</v>
      </c>
      <c r="S19" s="5">
        <v>442</v>
      </c>
    </row>
    <row r="20" spans="1:19">
      <c r="A20" s="5" t="s">
        <v>46</v>
      </c>
      <c r="B20" s="5">
        <v>32</v>
      </c>
      <c r="C20" s="5">
        <v>8636</v>
      </c>
      <c r="D20" s="5">
        <v>17321</v>
      </c>
      <c r="E20" s="5">
        <v>6410</v>
      </c>
      <c r="F20" s="5">
        <v>201</v>
      </c>
      <c r="G20" s="5">
        <v>1103</v>
      </c>
      <c r="H20" s="5">
        <v>2304</v>
      </c>
      <c r="I20" s="5">
        <v>1278</v>
      </c>
      <c r="J20" s="5">
        <v>266</v>
      </c>
      <c r="K20" s="5">
        <v>845</v>
      </c>
      <c r="L20" s="5">
        <v>13162</v>
      </c>
      <c r="M20" s="5">
        <v>1010</v>
      </c>
      <c r="N20" s="5">
        <v>18112</v>
      </c>
      <c r="O20" s="5">
        <v>27326615</v>
      </c>
      <c r="P20" s="5">
        <v>4589503.75</v>
      </c>
      <c r="Q20" s="5">
        <v>29</v>
      </c>
      <c r="R20" s="5">
        <v>18</v>
      </c>
      <c r="S20" s="5">
        <v>1549</v>
      </c>
    </row>
    <row r="21" spans="1:19">
      <c r="A21" s="5" t="s">
        <v>47</v>
      </c>
      <c r="B21" s="5">
        <v>32</v>
      </c>
      <c r="C21" s="5">
        <v>8149</v>
      </c>
      <c r="D21" s="5">
        <v>16292</v>
      </c>
      <c r="E21" s="5">
        <v>5964</v>
      </c>
      <c r="F21" s="5">
        <v>179</v>
      </c>
      <c r="G21" s="5">
        <v>1101</v>
      </c>
      <c r="H21" s="5">
        <v>2310</v>
      </c>
      <c r="I21" s="5">
        <v>1475</v>
      </c>
      <c r="J21" s="5">
        <v>288</v>
      </c>
      <c r="K21" s="5">
        <v>942</v>
      </c>
      <c r="L21" s="5">
        <v>12145</v>
      </c>
      <c r="M21" s="5">
        <v>895</v>
      </c>
      <c r="N21" s="5">
        <v>17224</v>
      </c>
      <c r="O21" s="5">
        <v>25044510</v>
      </c>
      <c r="P21" s="5">
        <v>4714106</v>
      </c>
      <c r="Q21" s="5">
        <v>32</v>
      </c>
      <c r="R21" s="5">
        <v>24</v>
      </c>
      <c r="S21" s="5">
        <v>402</v>
      </c>
    </row>
    <row r="22" spans="1:19">
      <c r="A22" s="5" t="s">
        <v>48</v>
      </c>
      <c r="B22" s="5">
        <v>32</v>
      </c>
      <c r="C22" s="5">
        <v>8288</v>
      </c>
      <c r="D22" s="5">
        <v>16768</v>
      </c>
      <c r="E22" s="5">
        <v>6125</v>
      </c>
      <c r="F22" s="5">
        <v>181</v>
      </c>
      <c r="G22" s="5">
        <v>1106</v>
      </c>
      <c r="H22" s="5">
        <v>2349</v>
      </c>
      <c r="I22" s="5">
        <v>1258</v>
      </c>
      <c r="J22" s="5">
        <v>214</v>
      </c>
      <c r="K22" s="5">
        <v>878</v>
      </c>
      <c r="L22" s="5">
        <v>12716</v>
      </c>
      <c r="M22" s="5">
        <v>825</v>
      </c>
      <c r="N22" s="5">
        <v>18166</v>
      </c>
      <c r="O22" s="5">
        <v>25479874</v>
      </c>
      <c r="P22" s="5">
        <v>4366306.5</v>
      </c>
      <c r="Q22" s="5">
        <v>31</v>
      </c>
      <c r="R22" s="5">
        <v>23</v>
      </c>
      <c r="S22" s="5">
        <v>493</v>
      </c>
    </row>
    <row r="23" spans="1:19">
      <c r="A23" s="5" t="s">
        <v>49</v>
      </c>
      <c r="B23" s="5">
        <v>32</v>
      </c>
      <c r="C23" s="5">
        <v>9361</v>
      </c>
      <c r="D23" s="5">
        <v>18669</v>
      </c>
      <c r="E23" s="5">
        <v>6488</v>
      </c>
      <c r="F23" s="5">
        <v>214</v>
      </c>
      <c r="G23" s="5">
        <v>1310</v>
      </c>
      <c r="H23" s="5">
        <v>2729</v>
      </c>
      <c r="I23" s="5">
        <v>2241</v>
      </c>
      <c r="J23" s="5">
        <v>470</v>
      </c>
      <c r="K23" s="5">
        <v>1415</v>
      </c>
      <c r="L23" s="5">
        <v>13375</v>
      </c>
      <c r="M23" s="5">
        <v>1150</v>
      </c>
      <c r="N23" s="5">
        <v>17930</v>
      </c>
      <c r="O23" s="5">
        <v>24742606</v>
      </c>
      <c r="P23" s="5">
        <v>4783304.75</v>
      </c>
      <c r="Q23" s="5">
        <v>30</v>
      </c>
      <c r="R23" s="5">
        <v>24</v>
      </c>
      <c r="S23" s="5">
        <v>466</v>
      </c>
    </row>
    <row r="24" spans="1:19">
      <c r="A24" s="5" t="s">
        <v>50</v>
      </c>
      <c r="B24" s="5">
        <v>32</v>
      </c>
      <c r="C24" s="5">
        <v>9986</v>
      </c>
      <c r="D24" s="5">
        <v>20130</v>
      </c>
      <c r="E24" s="5">
        <v>6586</v>
      </c>
      <c r="F24" s="5">
        <v>239</v>
      </c>
      <c r="G24" s="5">
        <v>1426</v>
      </c>
      <c r="H24" s="5">
        <v>3043</v>
      </c>
      <c r="I24" s="5">
        <v>2816</v>
      </c>
      <c r="J24" s="5">
        <v>609</v>
      </c>
      <c r="K24" s="5">
        <v>1796</v>
      </c>
      <c r="L24" s="5">
        <v>13702</v>
      </c>
      <c r="M24" s="5">
        <v>1589</v>
      </c>
      <c r="N24" s="5">
        <v>17814</v>
      </c>
      <c r="O24" s="5">
        <v>31004870</v>
      </c>
      <c r="P24" s="5">
        <v>6655124</v>
      </c>
      <c r="Q24" s="5">
        <v>31</v>
      </c>
      <c r="R24" s="5">
        <v>24</v>
      </c>
      <c r="S24" s="5">
        <v>377</v>
      </c>
    </row>
    <row r="25" spans="1:19">
      <c r="A25" s="5" t="s">
        <v>51</v>
      </c>
      <c r="B25" s="5">
        <v>32</v>
      </c>
      <c r="C25" s="5">
        <v>11501</v>
      </c>
      <c r="D25" s="5">
        <v>23001</v>
      </c>
      <c r="E25" s="5">
        <v>7131</v>
      </c>
      <c r="F25" s="5">
        <v>314</v>
      </c>
      <c r="G25" s="5">
        <v>1656</v>
      </c>
      <c r="H25" s="5">
        <v>3458</v>
      </c>
      <c r="I25" s="5">
        <v>4231</v>
      </c>
      <c r="J25" s="5">
        <v>799</v>
      </c>
      <c r="K25" s="5">
        <v>2680</v>
      </c>
      <c r="L25" s="5">
        <v>14919</v>
      </c>
      <c r="M25" s="5">
        <v>1944</v>
      </c>
      <c r="N25" s="5">
        <v>17278</v>
      </c>
      <c r="O25" s="5">
        <v>36219176</v>
      </c>
      <c r="P25" s="5">
        <v>8653240.5</v>
      </c>
      <c r="Q25" s="5">
        <v>30</v>
      </c>
      <c r="R25" s="5">
        <v>26</v>
      </c>
      <c r="S25" s="5">
        <v>269</v>
      </c>
    </row>
    <row r="26" spans="1:19">
      <c r="A26" s="5" t="s">
        <v>52</v>
      </c>
      <c r="B26" s="5">
        <v>32</v>
      </c>
      <c r="C26" s="5">
        <v>8963</v>
      </c>
      <c r="D26" s="5">
        <v>17914</v>
      </c>
      <c r="E26" s="5">
        <v>6146</v>
      </c>
      <c r="F26" s="5">
        <v>227</v>
      </c>
      <c r="G26" s="5">
        <v>1153</v>
      </c>
      <c r="H26" s="5">
        <v>2402</v>
      </c>
      <c r="I26" s="5">
        <v>2339</v>
      </c>
      <c r="J26" s="5">
        <v>476</v>
      </c>
      <c r="K26" s="5">
        <v>1547</v>
      </c>
      <c r="L26" s="5">
        <v>12691</v>
      </c>
      <c r="M26" s="5">
        <v>1274</v>
      </c>
      <c r="N26" s="5">
        <v>17118</v>
      </c>
      <c r="O26" s="5">
        <v>29318810</v>
      </c>
      <c r="P26" s="5">
        <v>5948604</v>
      </c>
      <c r="Q26" s="5">
        <v>31</v>
      </c>
      <c r="R26" s="5">
        <v>22</v>
      </c>
      <c r="S26" s="5">
        <v>1260</v>
      </c>
    </row>
    <row r="27" spans="1:19">
      <c r="A27" s="5" t="s">
        <v>53</v>
      </c>
      <c r="B27" s="5">
        <v>32</v>
      </c>
      <c r="C27" s="5">
        <v>7932</v>
      </c>
      <c r="D27" s="5">
        <v>15908</v>
      </c>
      <c r="E27" s="5">
        <v>5874</v>
      </c>
      <c r="F27" s="5">
        <v>193</v>
      </c>
      <c r="G27" s="5">
        <v>1025</v>
      </c>
      <c r="H27" s="5">
        <v>2183</v>
      </c>
      <c r="I27" s="5">
        <v>1371</v>
      </c>
      <c r="J27" s="5">
        <v>248</v>
      </c>
      <c r="K27" s="5">
        <v>910</v>
      </c>
      <c r="L27" s="5">
        <v>12050</v>
      </c>
      <c r="M27" s="5">
        <v>765</v>
      </c>
      <c r="N27" s="5">
        <v>17796</v>
      </c>
      <c r="O27" s="5">
        <v>25026611</v>
      </c>
      <c r="P27" s="5">
        <v>4315193.5</v>
      </c>
      <c r="Q27" s="5">
        <v>31</v>
      </c>
      <c r="R27" s="5">
        <v>24</v>
      </c>
      <c r="S27" s="5">
        <v>710</v>
      </c>
    </row>
    <row r="28" spans="1:19">
      <c r="A28" s="5" t="s">
        <v>54</v>
      </c>
      <c r="B28" s="5">
        <v>32</v>
      </c>
      <c r="C28" s="5">
        <v>8243</v>
      </c>
      <c r="D28" s="5">
        <v>16613</v>
      </c>
      <c r="E28" s="5">
        <v>6095</v>
      </c>
      <c r="F28" s="5">
        <v>204</v>
      </c>
      <c r="G28" s="5">
        <v>1041</v>
      </c>
      <c r="H28" s="5">
        <v>2238</v>
      </c>
      <c r="I28" s="5">
        <v>1181</v>
      </c>
      <c r="J28" s="5">
        <v>197</v>
      </c>
      <c r="K28" s="5">
        <v>834</v>
      </c>
      <c r="L28" s="5">
        <v>12500</v>
      </c>
      <c r="M28" s="5">
        <v>1041</v>
      </c>
      <c r="N28" s="5">
        <v>17544</v>
      </c>
      <c r="O28" s="5">
        <v>27080300</v>
      </c>
      <c r="P28" s="5">
        <v>4303071.25</v>
      </c>
      <c r="Q28" s="5">
        <v>30</v>
      </c>
      <c r="R28" s="5">
        <v>23</v>
      </c>
      <c r="S28" s="5">
        <v>555</v>
      </c>
    </row>
    <row r="29" spans="1:1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</sheetData>
  <mergeCells count="1">
    <mergeCell ref="A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4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9" width="15.7109375" customWidth="1"/>
  </cols>
  <sheetData>
    <row r="1" spans="1:19">
      <c r="A1" s="1" t="s">
        <v>55</v>
      </c>
    </row>
    <row r="2" spans="1:19" ht="4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58" customHeight="1">
      <c r="A4" s="4" t="s">
        <v>12</v>
      </c>
      <c r="B4" s="4" t="s">
        <v>56</v>
      </c>
      <c r="C4" s="4" t="s">
        <v>57</v>
      </c>
      <c r="D4" s="4" t="s">
        <v>58</v>
      </c>
      <c r="E4" s="4" t="s">
        <v>59</v>
      </c>
      <c r="F4" s="4" t="s">
        <v>60</v>
      </c>
      <c r="G4" s="4" t="s">
        <v>61</v>
      </c>
      <c r="H4" s="4" t="s">
        <v>62</v>
      </c>
      <c r="I4" s="4" t="s">
        <v>63</v>
      </c>
      <c r="J4" s="4" t="s">
        <v>64</v>
      </c>
      <c r="K4" s="4" t="s">
        <v>65</v>
      </c>
      <c r="L4" s="4" t="s">
        <v>66</v>
      </c>
      <c r="M4" s="4" t="s">
        <v>67</v>
      </c>
      <c r="N4" s="4" t="s">
        <v>68</v>
      </c>
      <c r="O4" s="4" t="s">
        <v>69</v>
      </c>
      <c r="P4" s="4" t="s">
        <v>70</v>
      </c>
      <c r="Q4" s="4" t="s">
        <v>71</v>
      </c>
      <c r="R4" s="4" t="s">
        <v>72</v>
      </c>
      <c r="S4" s="4" t="s">
        <v>73</v>
      </c>
    </row>
    <row r="5" spans="1:19">
      <c r="A5" s="6" t="str">
        <f>IF(Inputs_Monthly!$A5="","",Inputs_Monthly!$A5)</f>
        <v>2024-09</v>
      </c>
      <c r="B5" s="7">
        <f>IF(N(Inputs_Monthly!$B5)=0,"",Inputs_Monthly!$C5/Inputs_Monthly!$B5)</f>
        <v>185.75</v>
      </c>
      <c r="C5" s="7">
        <f>IF(N(Inputs_Monthly!$B5)=0,"",Inputs_Monthly!$D5/Inputs_Monthly!$B5)</f>
        <v>379.96875</v>
      </c>
      <c r="D5" s="8">
        <f>IF(N(Inputs_Monthly!$D5)=0,"",Inputs_Monthly!$H5/Inputs_Monthly!$D5)</f>
        <v>0.132329961345505</v>
      </c>
      <c r="E5" s="8">
        <f>IF(N(Inputs_Monthly!$C5)=0,"",Inputs_Monthly!$G5/Inputs_Monthly!$C5)</f>
        <v>0.127691790040377</v>
      </c>
      <c r="F5" s="8">
        <f>IF(N(Inputs_Monthly!$C5)=0,"",Inputs_Monthly!$E5/Inputs_Monthly!$C5)</f>
        <v>0.794751009421265</v>
      </c>
      <c r="G5" s="8">
        <f>IF(N(Inputs_Monthly!$C5)=0,"",Inputs_Monthly!$F5/Inputs_Monthly!$C5)</f>
        <v>0.0193472409152086</v>
      </c>
      <c r="H5" s="8">
        <f>IF(N(Inputs_Monthly!$D5)=0,"",Inputs_Monthly!$I5/Inputs_Monthly!$D5)</f>
        <v>0.0402993667242372</v>
      </c>
      <c r="I5" s="8">
        <f>IF(N(Inputs_Monthly!$I5)=0,"",Inputs_Monthly!$J5/Inputs_Monthly!$I5)</f>
        <v>0.13469387755102</v>
      </c>
      <c r="J5" s="8">
        <f>IF(N(Inputs_Monthly!$N5)=0,"",Inputs_Monthly!$K5/Inputs_Monthly!$N5)</f>
        <v>0.0202631885408175</v>
      </c>
      <c r="K5" s="8">
        <f>IF(N(Inputs_Monthly!$N5)=0,"",(Inputs_Monthly!$L5+Settings!$B$3*Inputs_Monthly!$M5)/Inputs_Monthly!$N5)</f>
        <v>0.583876790497263</v>
      </c>
      <c r="L5" s="9">
        <f>IF(N(Inputs_Monthly!$O5)=0,"",Inputs_Monthly!$O5)</f>
        <v>18403297</v>
      </c>
      <c r="M5" s="9">
        <f>IF(N(Inputs_Monthly!$O5)=0,"",Inputs_Monthly!$P5)</f>
        <v>2358383.75</v>
      </c>
      <c r="N5" s="9">
        <f>IF(N(Inputs_Monthly!$O5)=0,"",Inputs_Monthly!$O5-Inputs_Monthly!$P5)</f>
        <v>16044913.25</v>
      </c>
      <c r="O5" s="7">
        <f>IF(N(Inputs_Monthly!$D5)=0,"",Inputs_Monthly!$O5/Inputs_Monthly!$D5)</f>
        <v>1513.55349946542</v>
      </c>
      <c r="P5" s="8">
        <f>IF(N(Inputs_Monthly!$Q5)=0,"",Inputs_Monthly!$R5/Inputs_Monthly!$Q5)</f>
        <v>0.806451612903226</v>
      </c>
      <c r="Q5" s="7">
        <f>IF(N(Inputs_Monthly!$Q5)=0,"",Inputs_Monthly!$S5/Inputs_Monthly!$Q5)</f>
        <v>11.1612903225806</v>
      </c>
      <c r="R5" t="s">
        <v>74</v>
      </c>
      <c r="S5" t="s">
        <v>74</v>
      </c>
    </row>
    <row r="6" spans="1:19">
      <c r="A6" s="6" t="str">
        <f>IF(Inputs_Monthly!$A6="","",Inputs_Monthly!$A6)</f>
        <v>2024-10</v>
      </c>
      <c r="B6" s="7">
        <f>IF(N(Inputs_Monthly!$B6)=0,"",Inputs_Monthly!$C6/Inputs_Monthly!$B6)</f>
        <v>241.46875</v>
      </c>
      <c r="C6" s="7">
        <f>IF(N(Inputs_Monthly!$B6)=0,"",Inputs_Monthly!$D6/Inputs_Monthly!$B6)</f>
        <v>482.75</v>
      </c>
      <c r="D6" s="8">
        <f>IF(N(Inputs_Monthly!$D6)=0,"",Inputs_Monthly!$H6/Inputs_Monthly!$D6)</f>
        <v>0.138205592957017</v>
      </c>
      <c r="E6" s="8">
        <f>IF(N(Inputs_Monthly!$C6)=0,"",Inputs_Monthly!$G6/Inputs_Monthly!$C6)</f>
        <v>0.136145981622881</v>
      </c>
      <c r="F6" s="8">
        <f>IF(N(Inputs_Monthly!$C6)=0,"",Inputs_Monthly!$E6/Inputs_Monthly!$C6)</f>
        <v>0.758767956516112</v>
      </c>
      <c r="G6" s="8">
        <f>IF(N(Inputs_Monthly!$C6)=0,"",Inputs_Monthly!$F6/Inputs_Monthly!$C6)</f>
        <v>0.0216125275009706</v>
      </c>
      <c r="H6" s="8">
        <f>IF(N(Inputs_Monthly!$D6)=0,"",Inputs_Monthly!$I6/Inputs_Monthly!$D6)</f>
        <v>0.0498446400828586</v>
      </c>
      <c r="I6" s="8">
        <f>IF(N(Inputs_Monthly!$I6)=0,"",Inputs_Monthly!$J6/Inputs_Monthly!$I6)</f>
        <v>0.172727272727273</v>
      </c>
      <c r="J6" s="8">
        <f>IF(N(Inputs_Monthly!$N6)=0,"",Inputs_Monthly!$K6/Inputs_Monthly!$N6)</f>
        <v>0.0291850220264317</v>
      </c>
      <c r="K6" s="8">
        <f>IF(N(Inputs_Monthly!$N6)=0,"",(Inputs_Monthly!$L6+Settings!$B$3*Inputs_Monthly!$M6)/Inputs_Monthly!$N6)</f>
        <v>0.683507709251101</v>
      </c>
      <c r="L6" s="9">
        <f>IF(N(Inputs_Monthly!$O6)=0,"",Inputs_Monthly!$O6)</f>
        <v>24124782</v>
      </c>
      <c r="M6" s="9">
        <f>IF(N(Inputs_Monthly!$O6)=0,"",Inputs_Monthly!$P6)</f>
        <v>3594946.25</v>
      </c>
      <c r="N6" s="9">
        <f>IF(N(Inputs_Monthly!$O6)=0,"",Inputs_Monthly!$O6-Inputs_Monthly!$P6)</f>
        <v>20529835.75</v>
      </c>
      <c r="O6" s="7">
        <f>IF(N(Inputs_Monthly!$D6)=0,"",Inputs_Monthly!$O6/Inputs_Monthly!$D6)</f>
        <v>1561.67672190575</v>
      </c>
      <c r="P6" s="8">
        <f>IF(N(Inputs_Monthly!$Q6)=0,"",Inputs_Monthly!$R6/Inputs_Monthly!$Q6)</f>
        <v>0.806451612903226</v>
      </c>
      <c r="Q6" s="7">
        <f>IF(N(Inputs_Monthly!$Q6)=0,"",Inputs_Monthly!$S6/Inputs_Monthly!$Q6)</f>
        <v>9</v>
      </c>
      <c r="R6" s="8">
        <f>IF(OR(N(Inputs_Monthly!$C6)=0,N(Inputs_Monthly!$C5)=0),"",Inputs_Monthly!$C6/Inputs_Monthly!$C5-1)</f>
        <v>0.299966352624495</v>
      </c>
      <c r="S6" s="8">
        <f>IF(OR(B6="",B5=""),"",B6/B5-1)</f>
        <v>0.299966352624495</v>
      </c>
    </row>
    <row r="7" spans="1:19">
      <c r="A7" s="6" t="str">
        <f>IF(Inputs_Monthly!$A7="","",Inputs_Monthly!$A7)</f>
        <v>2024-11</v>
      </c>
      <c r="B7" s="7">
        <f>IF(N(Inputs_Monthly!$B7)=0,"",Inputs_Monthly!$C7/Inputs_Monthly!$B7)</f>
        <v>247.9375</v>
      </c>
      <c r="C7" s="7">
        <f>IF(N(Inputs_Monthly!$B7)=0,"",Inputs_Monthly!$D7/Inputs_Monthly!$B7)</f>
        <v>500.71875</v>
      </c>
      <c r="D7" s="8">
        <f>IF(N(Inputs_Monthly!$D7)=0,"",Inputs_Monthly!$H7/Inputs_Monthly!$D7)</f>
        <v>0.135305498346127</v>
      </c>
      <c r="E7" s="8">
        <f>IF(N(Inputs_Monthly!$C7)=0,"",Inputs_Monthly!$G7/Inputs_Monthly!$C7)</f>
        <v>0.131333501386438</v>
      </c>
      <c r="F7" s="8">
        <f>IF(N(Inputs_Monthly!$C7)=0,"",Inputs_Monthly!$E7/Inputs_Monthly!$C7)</f>
        <v>0.726367532140156</v>
      </c>
      <c r="G7" s="8">
        <f>IF(N(Inputs_Monthly!$C7)=0,"",Inputs_Monthly!$F7/Inputs_Monthly!$C7)</f>
        <v>0.0254600453743383</v>
      </c>
      <c r="H7" s="8">
        <f>IF(N(Inputs_Monthly!$D7)=0,"",Inputs_Monthly!$I7/Inputs_Monthly!$D7)</f>
        <v>0.0938026586781502</v>
      </c>
      <c r="I7" s="8">
        <f>IF(N(Inputs_Monthly!$I7)=0,"",Inputs_Monthly!$J7/Inputs_Monthly!$I7)</f>
        <v>0.211576846307385</v>
      </c>
      <c r="J7" s="8">
        <f>IF(N(Inputs_Monthly!$N7)=0,"",Inputs_Monthly!$K7/Inputs_Monthly!$N7)</f>
        <v>0.0535009583944075</v>
      </c>
      <c r="K7" s="8">
        <f>IF(N(Inputs_Monthly!$N7)=0,"",(Inputs_Monthly!$L7+Settings!$B$3*Inputs_Monthly!$M7)/Inputs_Monthly!$N7)</f>
        <v>0.701657458563536</v>
      </c>
      <c r="L7" s="9">
        <f>IF(N(Inputs_Monthly!$O7)=0,"",Inputs_Monthly!$O7)</f>
        <v>23920040</v>
      </c>
      <c r="M7" s="9">
        <f>IF(N(Inputs_Monthly!$O7)=0,"",Inputs_Monthly!$P7)</f>
        <v>4190534.25</v>
      </c>
      <c r="N7" s="9">
        <f>IF(N(Inputs_Monthly!$O7)=0,"",Inputs_Monthly!$O7-Inputs_Monthly!$P7)</f>
        <v>19729505.75</v>
      </c>
      <c r="O7" s="7">
        <f>IF(N(Inputs_Monthly!$D7)=0,"",Inputs_Monthly!$O7/Inputs_Monthly!$D7)</f>
        <v>1492.85651875429</v>
      </c>
      <c r="P7" s="8">
        <f>IF(N(Inputs_Monthly!$Q7)=0,"",Inputs_Monthly!$R7/Inputs_Monthly!$Q7)</f>
        <v>0.709677419354839</v>
      </c>
      <c r="Q7" s="7">
        <f>IF(N(Inputs_Monthly!$Q7)=0,"",Inputs_Monthly!$S7/Inputs_Monthly!$Q7)</f>
        <v>10.9032258064516</v>
      </c>
      <c r="R7" s="8">
        <f>IF(OR(N(Inputs_Monthly!$C7)=0,N(Inputs_Monthly!$C6)=0),"",Inputs_Monthly!$C7/Inputs_Monthly!$C6-1)</f>
        <v>0.0267891807946163</v>
      </c>
      <c r="S7" s="8">
        <f>IF(OR(B7="",B6=""),"",B7/B6-1)</f>
        <v>0.0267891807946163</v>
      </c>
    </row>
    <row r="8" spans="1:19">
      <c r="A8" s="6" t="str">
        <f>IF(Inputs_Monthly!$A8="","",Inputs_Monthly!$A8)</f>
        <v>2024-12</v>
      </c>
      <c r="B8" s="7">
        <f>IF(N(Inputs_Monthly!$B8)=0,"",Inputs_Monthly!$C8/Inputs_Monthly!$B8)</f>
        <v>233.03125</v>
      </c>
      <c r="C8" s="7">
        <f>IF(N(Inputs_Monthly!$B8)=0,"",Inputs_Monthly!$D8/Inputs_Monthly!$B8)</f>
        <v>466.90625</v>
      </c>
      <c r="D8" s="8">
        <f>IF(N(Inputs_Monthly!$D8)=0,"",Inputs_Monthly!$H8/Inputs_Monthly!$D8)</f>
        <v>0.129308613881266</v>
      </c>
      <c r="E8" s="8">
        <f>IF(N(Inputs_Monthly!$C8)=0,"",Inputs_Monthly!$G8/Inputs_Monthly!$C8)</f>
        <v>0.127933485315811</v>
      </c>
      <c r="F8" s="8">
        <f>IF(N(Inputs_Monthly!$C8)=0,"",Inputs_Monthly!$E8/Inputs_Monthly!$C8)</f>
        <v>0.765723481292745</v>
      </c>
      <c r="G8" s="8">
        <f>IF(N(Inputs_Monthly!$C8)=0,"",Inputs_Monthly!$F8/Inputs_Monthly!$C8)</f>
        <v>0.0202494300657101</v>
      </c>
      <c r="H8" s="8">
        <f>IF(N(Inputs_Monthly!$D8)=0,"",Inputs_Monthly!$I8/Inputs_Monthly!$D8)</f>
        <v>0.0532092898735024</v>
      </c>
      <c r="I8" s="8">
        <f>IF(N(Inputs_Monthly!$I8)=0,"",Inputs_Monthly!$J8/Inputs_Monthly!$I8)</f>
        <v>0.161006289308176</v>
      </c>
      <c r="J8" s="8">
        <f>IF(N(Inputs_Monthly!$N8)=0,"",Inputs_Monthly!$K8/Inputs_Monthly!$N8)</f>
        <v>0.0309899255365747</v>
      </c>
      <c r="K8" s="8">
        <f>IF(N(Inputs_Monthly!$N8)=0,"",(Inputs_Monthly!$L8+Settings!$B$3*Inputs_Monthly!$M8)/Inputs_Monthly!$N8)</f>
        <v>0.661930573806395</v>
      </c>
      <c r="L8" s="9">
        <f>IF(N(Inputs_Monthly!$O8)=0,"",Inputs_Monthly!$O8)</f>
        <v>23795348</v>
      </c>
      <c r="M8" s="9">
        <f>IF(N(Inputs_Monthly!$O8)=0,"",Inputs_Monthly!$P8)</f>
        <v>3449323</v>
      </c>
      <c r="N8" s="9">
        <f>IF(N(Inputs_Monthly!$O8)=0,"",Inputs_Monthly!$O8-Inputs_Monthly!$P8)</f>
        <v>20346025</v>
      </c>
      <c r="O8" s="7">
        <f>IF(N(Inputs_Monthly!$D8)=0,"",Inputs_Monthly!$O8/Inputs_Monthly!$D8)</f>
        <v>1592.62084197845</v>
      </c>
      <c r="P8" s="8">
        <f>IF(N(Inputs_Monthly!$Q8)=0,"",Inputs_Monthly!$R8/Inputs_Monthly!$Q8)</f>
        <v>0.8125</v>
      </c>
      <c r="Q8" s="7">
        <f>IF(N(Inputs_Monthly!$Q8)=0,"",Inputs_Monthly!$S8/Inputs_Monthly!$Q8)</f>
        <v>19.875</v>
      </c>
      <c r="R8" s="8">
        <f>IF(OR(N(Inputs_Monthly!$C8)=0,N(Inputs_Monthly!$C7)=0),"",Inputs_Monthly!$C8/Inputs_Monthly!$C7-1)</f>
        <v>-0.0601209982354424</v>
      </c>
      <c r="S8" s="8">
        <f>IF(OR(B8="",B7=""),"",B8/B7-1)</f>
        <v>-0.0601209982354424</v>
      </c>
    </row>
    <row r="9" spans="1:19">
      <c r="A9" s="6" t="str">
        <f>IF(Inputs_Monthly!$A9="","",Inputs_Monthly!$A9)</f>
        <v>2025-01</v>
      </c>
      <c r="B9" s="7">
        <f>IF(N(Inputs_Monthly!$B9)=0,"",Inputs_Monthly!$C9/Inputs_Monthly!$B9)</f>
        <v>248.09375</v>
      </c>
      <c r="C9" s="7">
        <f>IF(N(Inputs_Monthly!$B9)=0,"",Inputs_Monthly!$D9/Inputs_Monthly!$B9)</f>
        <v>507.03125</v>
      </c>
      <c r="D9" s="8">
        <f>IF(N(Inputs_Monthly!$D9)=0,"",Inputs_Monthly!$H9/Inputs_Monthly!$D9)</f>
        <v>0.137503852080123</v>
      </c>
      <c r="E9" s="8">
        <f>IF(N(Inputs_Monthly!$C9)=0,"",Inputs_Monthly!$G9/Inputs_Monthly!$C9)</f>
        <v>0.132888273082252</v>
      </c>
      <c r="F9" s="8">
        <f>IF(N(Inputs_Monthly!$C9)=0,"",Inputs_Monthly!$E9/Inputs_Monthly!$C9)</f>
        <v>0.777553848091699</v>
      </c>
      <c r="G9" s="8">
        <f>IF(N(Inputs_Monthly!$C9)=0,"",Inputs_Monthly!$F9/Inputs_Monthly!$C9)</f>
        <v>0.0207834739891674</v>
      </c>
      <c r="H9" s="8">
        <f>IF(N(Inputs_Monthly!$D9)=0,"",Inputs_Monthly!$I9/Inputs_Monthly!$D9)</f>
        <v>0.0510939907550077</v>
      </c>
      <c r="I9" s="8">
        <f>IF(N(Inputs_Monthly!$I9)=0,"",Inputs_Monthly!$J9/Inputs_Monthly!$I9)</f>
        <v>0.156815440289505</v>
      </c>
      <c r="J9" s="8">
        <f>IF(N(Inputs_Monthly!$N9)=0,"",Inputs_Monthly!$K9/Inputs_Monthly!$N9)</f>
        <v>0.028894472361809</v>
      </c>
      <c r="K9" s="8">
        <f>IF(N(Inputs_Monthly!$N9)=0,"",(Inputs_Monthly!$L9+Settings!$B$3*Inputs_Monthly!$M9)/Inputs_Monthly!$N9)</f>
        <v>0.689070351758794</v>
      </c>
      <c r="L9" s="9">
        <f>IF(N(Inputs_Monthly!$O9)=0,"",Inputs_Monthly!$O9)</f>
        <v>23019795</v>
      </c>
      <c r="M9" s="9">
        <f>IF(N(Inputs_Monthly!$O9)=0,"",Inputs_Monthly!$P9)</f>
        <v>3424008.75</v>
      </c>
      <c r="N9" s="9">
        <f>IF(N(Inputs_Monthly!$O9)=0,"",Inputs_Monthly!$O9-Inputs_Monthly!$P9)</f>
        <v>19595786.25</v>
      </c>
      <c r="O9" s="7">
        <f>IF(N(Inputs_Monthly!$D9)=0,"",Inputs_Monthly!$O9/Inputs_Monthly!$D9)</f>
        <v>1418.78551617874</v>
      </c>
      <c r="P9" s="8">
        <f>IF(N(Inputs_Monthly!$Q9)=0,"",Inputs_Monthly!$R9/Inputs_Monthly!$Q9)</f>
        <v>0.709677419354839</v>
      </c>
      <c r="Q9" s="7">
        <f>IF(N(Inputs_Monthly!$Q9)=0,"",Inputs_Monthly!$S9/Inputs_Monthly!$Q9)</f>
        <v>22.7096774193548</v>
      </c>
      <c r="R9" s="8">
        <f>IF(OR(N(Inputs_Monthly!$C9)=0,N(Inputs_Monthly!$C8)=0),"",Inputs_Monthly!$C9/Inputs_Monthly!$C8-1)</f>
        <v>0.0646372535872335</v>
      </c>
      <c r="S9" s="8">
        <f>IF(OR(B9="",B8=""),"",B9/B8-1)</f>
        <v>0.0646372535872335</v>
      </c>
    </row>
    <row r="10" spans="1:19">
      <c r="A10" s="6" t="str">
        <f>IF(Inputs_Monthly!$A10="","",Inputs_Monthly!$A10)</f>
        <v>2025-02</v>
      </c>
      <c r="B10" s="7">
        <f>IF(N(Inputs_Monthly!$B10)=0,"",Inputs_Monthly!$C10/Inputs_Monthly!$B10)</f>
        <v>223.90625</v>
      </c>
      <c r="C10" s="7">
        <f>IF(N(Inputs_Monthly!$B10)=0,"",Inputs_Monthly!$D10/Inputs_Monthly!$B10)</f>
        <v>445.46875</v>
      </c>
      <c r="D10" s="8">
        <f>IF(N(Inputs_Monthly!$D10)=0,"",Inputs_Monthly!$H10/Inputs_Monthly!$D10)</f>
        <v>0.131743247983164</v>
      </c>
      <c r="E10" s="8">
        <f>IF(N(Inputs_Monthly!$C10)=0,"",Inputs_Monthly!$G10/Inputs_Monthly!$C10)</f>
        <v>0.126448011165387</v>
      </c>
      <c r="F10" s="8">
        <f>IF(N(Inputs_Monthly!$C10)=0,"",Inputs_Monthly!$E10/Inputs_Monthly!$C10)</f>
        <v>0.779902302861131</v>
      </c>
      <c r="G10" s="8">
        <f>IF(N(Inputs_Monthly!$C10)=0,"",Inputs_Monthly!$F10/Inputs_Monthly!$C10)</f>
        <v>0.0207955338450803</v>
      </c>
      <c r="H10" s="8">
        <f>IF(N(Inputs_Monthly!$D10)=0,"",Inputs_Monthly!$I10/Inputs_Monthly!$D10)</f>
        <v>0.0540862855138548</v>
      </c>
      <c r="I10" s="8">
        <f>IF(N(Inputs_Monthly!$I10)=0,"",Inputs_Monthly!$J10/Inputs_Monthly!$I10)</f>
        <v>0.127107652399481</v>
      </c>
      <c r="J10" s="8">
        <f>IF(N(Inputs_Monthly!$N10)=0,"",Inputs_Monthly!$K10/Inputs_Monthly!$N10)</f>
        <v>0.0316192190840554</v>
      </c>
      <c r="K10" s="8">
        <f>IF(N(Inputs_Monthly!$N10)=0,"",(Inputs_Monthly!$L10+Settings!$B$3*Inputs_Monthly!$M10)/Inputs_Monthly!$N10)</f>
        <v>0.651091481939912</v>
      </c>
      <c r="L10" s="9">
        <f>IF(N(Inputs_Monthly!$O10)=0,"",Inputs_Monthly!$O10)</f>
        <v>21171056</v>
      </c>
      <c r="M10" s="9">
        <f>IF(N(Inputs_Monthly!$O10)=0,"",Inputs_Monthly!$P10)</f>
        <v>3110455.5</v>
      </c>
      <c r="N10" s="9">
        <f>IF(N(Inputs_Monthly!$O10)=0,"",Inputs_Monthly!$O10-Inputs_Monthly!$P10)</f>
        <v>18060600.5</v>
      </c>
      <c r="O10" s="7">
        <f>IF(N(Inputs_Monthly!$D10)=0,"",Inputs_Monthly!$O10/Inputs_Monthly!$D10)</f>
        <v>1485.16702911259</v>
      </c>
      <c r="P10" s="8">
        <f>IF(N(Inputs_Monthly!$Q10)=0,"",Inputs_Monthly!$R10/Inputs_Monthly!$Q10)</f>
        <v>0.59375</v>
      </c>
      <c r="Q10" s="7">
        <f>IF(N(Inputs_Monthly!$Q10)=0,"",Inputs_Monthly!$S10/Inputs_Monthly!$Q10)</f>
        <v>25.5</v>
      </c>
      <c r="R10" s="8">
        <f>IF(OR(N(Inputs_Monthly!$C10)=0,N(Inputs_Monthly!$C9)=0),"",Inputs_Monthly!$C10/Inputs_Monthly!$C9-1)</f>
        <v>-0.0974933870764579</v>
      </c>
      <c r="S10" s="8">
        <f>IF(OR(B10="",B9=""),"",B10/B9-1)</f>
        <v>-0.0974933870764579</v>
      </c>
    </row>
    <row r="11" spans="1:19">
      <c r="A11" s="6" t="str">
        <f>IF(Inputs_Monthly!$A11="","",Inputs_Monthly!$A11)</f>
        <v>2025-03</v>
      </c>
      <c r="B11" s="7">
        <f>IF(N(Inputs_Monthly!$B11)=0,"",Inputs_Monthly!$C11/Inputs_Monthly!$B11)</f>
        <v>288.84375</v>
      </c>
      <c r="C11" s="7">
        <f>IF(N(Inputs_Monthly!$B11)=0,"",Inputs_Monthly!$D11/Inputs_Monthly!$B11)</f>
        <v>582.125</v>
      </c>
      <c r="D11" s="8">
        <f>IF(N(Inputs_Monthly!$D11)=0,"",Inputs_Monthly!$H11/Inputs_Monthly!$D11)</f>
        <v>0.135011810178226</v>
      </c>
      <c r="E11" s="8">
        <f>IF(N(Inputs_Monthly!$C11)=0,"",Inputs_Monthly!$G11/Inputs_Monthly!$C11)</f>
        <v>0.130801687763713</v>
      </c>
      <c r="F11" s="8">
        <f>IF(N(Inputs_Monthly!$C11)=0,"",Inputs_Monthly!$E11/Inputs_Monthly!$C11)</f>
        <v>0.708103429622417</v>
      </c>
      <c r="G11" s="8">
        <f>IF(N(Inputs_Monthly!$C11)=0,"",Inputs_Monthly!$F11/Inputs_Monthly!$C11)</f>
        <v>0.0214216163583252</v>
      </c>
      <c r="H11" s="8">
        <f>IF(N(Inputs_Monthly!$D11)=0,"",Inputs_Monthly!$I11/Inputs_Monthly!$D11)</f>
        <v>0.10725789134636</v>
      </c>
      <c r="I11" s="8">
        <f>IF(N(Inputs_Monthly!$I11)=0,"",Inputs_Monthly!$J11/Inputs_Monthly!$I11)</f>
        <v>0.188188188188188</v>
      </c>
      <c r="J11" s="8">
        <f>IF(N(Inputs_Monthly!$N11)=0,"",Inputs_Monthly!$K11/Inputs_Monthly!$N11)</f>
        <v>0.0741446999439148</v>
      </c>
      <c r="K11" s="8">
        <f>IF(N(Inputs_Monthly!$N11)=0,"",(Inputs_Monthly!$L11+Settings!$B$3*Inputs_Monthly!$M11)/Inputs_Monthly!$N11)</f>
        <v>0.793550196298374</v>
      </c>
      <c r="L11" s="9">
        <f>IF(N(Inputs_Monthly!$O11)=0,"",Inputs_Monthly!$O11)</f>
        <v>26983278</v>
      </c>
      <c r="M11" s="9">
        <f>IF(N(Inputs_Monthly!$O11)=0,"",Inputs_Monthly!$P11)</f>
        <v>4896893.5</v>
      </c>
      <c r="N11" s="9">
        <f>IF(N(Inputs_Monthly!$O11)=0,"",Inputs_Monthly!$O11-Inputs_Monthly!$P11)</f>
        <v>22086384.5</v>
      </c>
      <c r="O11" s="7">
        <f>IF(N(Inputs_Monthly!$D11)=0,"",Inputs_Monthly!$O11/Inputs_Monthly!$D11)</f>
        <v>1448.53328322955</v>
      </c>
      <c r="P11" s="8">
        <f>IF(N(Inputs_Monthly!$Q11)=0,"",Inputs_Monthly!$R11/Inputs_Monthly!$Q11)</f>
        <v>0.774193548387097</v>
      </c>
      <c r="Q11" s="7">
        <f>IF(N(Inputs_Monthly!$Q11)=0,"",Inputs_Monthly!$S11/Inputs_Monthly!$Q11)</f>
        <v>20.1290322580645</v>
      </c>
      <c r="R11" s="8">
        <f>IF(OR(N(Inputs_Monthly!$C11)=0,N(Inputs_Monthly!$C10)=0),"",Inputs_Monthly!$C11/Inputs_Monthly!$C10-1)</f>
        <v>0.290020935101186</v>
      </c>
      <c r="S11" s="8">
        <f>IF(OR(B11="",B10=""),"",B11/B10-1)</f>
        <v>0.290020935101186</v>
      </c>
    </row>
    <row r="12" spans="1:19">
      <c r="A12" s="6" t="str">
        <f>IF(Inputs_Monthly!$A12="","",Inputs_Monthly!$A12)</f>
        <v>2025-04</v>
      </c>
      <c r="B12" s="7">
        <f>IF(N(Inputs_Monthly!$B12)=0,"",Inputs_Monthly!$C12/Inputs_Monthly!$B12)</f>
        <v>285.9375</v>
      </c>
      <c r="C12" s="7">
        <f>IF(N(Inputs_Monthly!$B12)=0,"",Inputs_Monthly!$D12/Inputs_Monthly!$B12)</f>
        <v>578.59375</v>
      </c>
      <c r="D12" s="8">
        <f>IF(N(Inputs_Monthly!$D12)=0,"",Inputs_Monthly!$H12/Inputs_Monthly!$D12)</f>
        <v>0.137834188495814</v>
      </c>
      <c r="E12" s="8">
        <f>IF(N(Inputs_Monthly!$C12)=0,"",Inputs_Monthly!$G12/Inputs_Monthly!$C12)</f>
        <v>0.12775956284153</v>
      </c>
      <c r="F12" s="8">
        <f>IF(N(Inputs_Monthly!$C12)=0,"",Inputs_Monthly!$E12/Inputs_Monthly!$C12)</f>
        <v>0.732131147540984</v>
      </c>
      <c r="G12" s="8">
        <f>IF(N(Inputs_Monthly!$C12)=0,"",Inputs_Monthly!$F12/Inputs_Monthly!$C12)</f>
        <v>0.0259016393442623</v>
      </c>
      <c r="H12" s="8">
        <f>IF(N(Inputs_Monthly!$D12)=0,"",Inputs_Monthly!$I12/Inputs_Monthly!$D12)</f>
        <v>0.0907912503375641</v>
      </c>
      <c r="I12" s="8">
        <f>IF(N(Inputs_Monthly!$I12)=0,"",Inputs_Monthly!$J12/Inputs_Monthly!$I12)</f>
        <v>0.193932183224271</v>
      </c>
      <c r="J12" s="8">
        <f>IF(N(Inputs_Monthly!$N12)=0,"",Inputs_Monthly!$K12/Inputs_Monthly!$N12)</f>
        <v>0.0600433134813211</v>
      </c>
      <c r="K12" s="8">
        <f>IF(N(Inputs_Monthly!$N12)=0,"",(Inputs_Monthly!$L12+Settings!$B$3*Inputs_Monthly!$M12)/Inputs_Monthly!$N12)</f>
        <v>0.775663237682729</v>
      </c>
      <c r="L12" s="9">
        <f>IF(N(Inputs_Monthly!$O12)=0,"",Inputs_Monthly!$O12)</f>
        <v>28114523</v>
      </c>
      <c r="M12" s="9">
        <f>IF(N(Inputs_Monthly!$O12)=0,"",Inputs_Monthly!$P12)</f>
        <v>5103113.5</v>
      </c>
      <c r="N12" s="9">
        <f>IF(N(Inputs_Monthly!$O12)=0,"",Inputs_Monthly!$O12-Inputs_Monthly!$P12)</f>
        <v>23011409.5</v>
      </c>
      <c r="O12" s="7">
        <f>IF(N(Inputs_Monthly!$D12)=0,"",Inputs_Monthly!$O12/Inputs_Monthly!$D12)</f>
        <v>1518.47275182285</v>
      </c>
      <c r="P12" s="8">
        <f>IF(N(Inputs_Monthly!$Q12)=0,"",Inputs_Monthly!$R12/Inputs_Monthly!$Q12)</f>
        <v>0.806451612903226</v>
      </c>
      <c r="Q12" s="7">
        <f>IF(N(Inputs_Monthly!$Q12)=0,"",Inputs_Monthly!$S12/Inputs_Monthly!$Q12)</f>
        <v>8.64516129032258</v>
      </c>
      <c r="R12" s="8">
        <f>IF(OR(N(Inputs_Monthly!$C12)=0,N(Inputs_Monthly!$C11)=0),"",Inputs_Monthly!$C12/Inputs_Monthly!$C11-1)</f>
        <v>-0.0100616682895164</v>
      </c>
      <c r="S12" s="8">
        <f>IF(OR(B12="",B11=""),"",B12/B11-1)</f>
        <v>-0.0100616682895164</v>
      </c>
    </row>
    <row r="13" spans="1:19">
      <c r="A13" s="6" t="str">
        <f>IF(Inputs_Monthly!$A13="","",Inputs_Monthly!$A13)</f>
        <v>2025-05</v>
      </c>
      <c r="B13" s="7">
        <f>IF(N(Inputs_Monthly!$B13)=0,"",Inputs_Monthly!$C13/Inputs_Monthly!$B13)</f>
        <v>339.25</v>
      </c>
      <c r="C13" s="7">
        <f>IF(N(Inputs_Monthly!$B13)=0,"",Inputs_Monthly!$D13/Inputs_Monthly!$B13)</f>
        <v>680.6875</v>
      </c>
      <c r="D13" s="8">
        <f>IF(N(Inputs_Monthly!$D13)=0,"",Inputs_Monthly!$H13/Inputs_Monthly!$D13)</f>
        <v>0.143237535579837</v>
      </c>
      <c r="E13" s="8">
        <f>IF(N(Inputs_Monthly!$C13)=0,"",Inputs_Monthly!$G13/Inputs_Monthly!$C13)</f>
        <v>0.13918570375829</v>
      </c>
      <c r="F13" s="8">
        <f>IF(N(Inputs_Monthly!$C13)=0,"",Inputs_Monthly!$E13/Inputs_Monthly!$C13)</f>
        <v>0.668662490788504</v>
      </c>
      <c r="G13" s="8">
        <f>IF(N(Inputs_Monthly!$C13)=0,"",Inputs_Monthly!$F13/Inputs_Monthly!$C13)</f>
        <v>0.0239498894620486</v>
      </c>
      <c r="H13" s="8">
        <f>IF(N(Inputs_Monthly!$D13)=0,"",Inputs_Monthly!$I13/Inputs_Monthly!$D13)</f>
        <v>0.135065650537141</v>
      </c>
      <c r="I13" s="8">
        <f>IF(N(Inputs_Monthly!$I13)=0,"",Inputs_Monthly!$J13/Inputs_Monthly!$I13)</f>
        <v>0.205642420122366</v>
      </c>
      <c r="J13" s="8">
        <f>IF(N(Inputs_Monthly!$N13)=0,"",Inputs_Monthly!$K13/Inputs_Monthly!$N13)</f>
        <v>0.106708689779379</v>
      </c>
      <c r="K13" s="8">
        <f>IF(N(Inputs_Monthly!$N13)=0,"",(Inputs_Monthly!$L13+Settings!$B$3*Inputs_Monthly!$M13)/Inputs_Monthly!$N13)</f>
        <v>0.896414903196758</v>
      </c>
      <c r="L13" s="9">
        <f>IF(N(Inputs_Monthly!$O13)=0,"",Inputs_Monthly!$O13)</f>
        <v>30910281</v>
      </c>
      <c r="M13" s="9">
        <f>IF(N(Inputs_Monthly!$O13)=0,"",Inputs_Monthly!$P13)</f>
        <v>6528283.25</v>
      </c>
      <c r="N13" s="9">
        <f>IF(N(Inputs_Monthly!$O13)=0,"",Inputs_Monthly!$O13-Inputs_Monthly!$P13)</f>
        <v>24381997.75</v>
      </c>
      <c r="O13" s="7">
        <f>IF(N(Inputs_Monthly!$D13)=0,"",Inputs_Monthly!$O13/Inputs_Monthly!$D13)</f>
        <v>1419.07451106418</v>
      </c>
      <c r="P13" s="8">
        <f>IF(N(Inputs_Monthly!$Q13)=0,"",Inputs_Monthly!$R13/Inputs_Monthly!$Q13)</f>
        <v>0.6875</v>
      </c>
      <c r="Q13" s="7">
        <f>IF(N(Inputs_Monthly!$Q13)=0,"",Inputs_Monthly!$S13/Inputs_Monthly!$Q13)</f>
        <v>15</v>
      </c>
      <c r="R13" s="8">
        <f>IF(OR(N(Inputs_Monthly!$C13)=0,N(Inputs_Monthly!$C12)=0),"",Inputs_Monthly!$C13/Inputs_Monthly!$C12-1)</f>
        <v>0.186448087431694</v>
      </c>
      <c r="S13" s="8">
        <f>IF(OR(B13="",B12=""),"",B13/B12-1)</f>
        <v>0.186448087431694</v>
      </c>
    </row>
    <row r="14" spans="1:19">
      <c r="A14" s="6" t="str">
        <f>IF(Inputs_Monthly!$A14="","",Inputs_Monthly!$A14)</f>
        <v>2025-06</v>
      </c>
      <c r="B14" s="7">
        <f>IF(N(Inputs_Monthly!$B14)=0,"",Inputs_Monthly!$C14/Inputs_Monthly!$B14)</f>
        <v>252.28125</v>
      </c>
      <c r="C14" s="7">
        <f>IF(N(Inputs_Monthly!$B14)=0,"",Inputs_Monthly!$D14/Inputs_Monthly!$B14)</f>
        <v>508.4375</v>
      </c>
      <c r="D14" s="8">
        <f>IF(N(Inputs_Monthly!$D14)=0,"",Inputs_Monthly!$H14/Inputs_Monthly!$D14)</f>
        <v>0.136324523663184</v>
      </c>
      <c r="E14" s="8">
        <f>IF(N(Inputs_Monthly!$C14)=0,"",Inputs_Monthly!$G14/Inputs_Monthly!$C14)</f>
        <v>0.132045088566828</v>
      </c>
      <c r="F14" s="8">
        <f>IF(N(Inputs_Monthly!$C14)=0,"",Inputs_Monthly!$E14/Inputs_Monthly!$C14)</f>
        <v>0.732069862504645</v>
      </c>
      <c r="G14" s="8">
        <f>IF(N(Inputs_Monthly!$C14)=0,"",Inputs_Monthly!$F14/Inputs_Monthly!$C14)</f>
        <v>0.0240307196828936</v>
      </c>
      <c r="H14" s="8">
        <f>IF(N(Inputs_Monthly!$D14)=0,"",Inputs_Monthly!$I14/Inputs_Monthly!$D14)</f>
        <v>0.0926859250153657</v>
      </c>
      <c r="I14" s="8">
        <f>IF(N(Inputs_Monthly!$I14)=0,"",Inputs_Monthly!$J14/Inputs_Monthly!$I14)</f>
        <v>0.192307692307692</v>
      </c>
      <c r="J14" s="8">
        <f>IF(N(Inputs_Monthly!$N14)=0,"",Inputs_Monthly!$K14/Inputs_Monthly!$N14)</f>
        <v>0.0543279138997023</v>
      </c>
      <c r="K14" s="8">
        <f>IF(N(Inputs_Monthly!$N14)=0,"",(Inputs_Monthly!$L14+Settings!$B$3*Inputs_Monthly!$M14)/Inputs_Monthly!$N14)</f>
        <v>0.725412182276162</v>
      </c>
      <c r="L14" s="9">
        <f>IF(N(Inputs_Monthly!$O14)=0,"",Inputs_Monthly!$O14)</f>
        <v>23448148</v>
      </c>
      <c r="M14" s="9">
        <f>IF(N(Inputs_Monthly!$O14)=0,"",Inputs_Monthly!$P14)</f>
        <v>3824061.5</v>
      </c>
      <c r="N14" s="9">
        <f>IF(N(Inputs_Monthly!$O14)=0,"",Inputs_Monthly!$O14-Inputs_Monthly!$P14)</f>
        <v>19624086.5</v>
      </c>
      <c r="O14" s="7">
        <f>IF(N(Inputs_Monthly!$D14)=0,"",Inputs_Monthly!$O14/Inputs_Monthly!$D14)</f>
        <v>1441.18918254456</v>
      </c>
      <c r="P14" s="8">
        <f>IF(N(Inputs_Monthly!$Q14)=0,"",Inputs_Monthly!$R14/Inputs_Monthly!$Q14)</f>
        <v>0.774193548387097</v>
      </c>
      <c r="Q14" s="7">
        <f>IF(N(Inputs_Monthly!$Q14)=0,"",Inputs_Monthly!$S14/Inputs_Monthly!$Q14)</f>
        <v>28.6451612903226</v>
      </c>
      <c r="R14" s="8">
        <f>IF(OR(N(Inputs_Monthly!$C14)=0,N(Inputs_Monthly!$C13)=0),"",Inputs_Monthly!$C14/Inputs_Monthly!$C13-1)</f>
        <v>-0.25635593220339</v>
      </c>
      <c r="S14" s="8">
        <f>IF(OR(B14="",B13=""),"",B14/B13-1)</f>
        <v>-0.25635593220339</v>
      </c>
    </row>
    <row r="15" spans="1:19">
      <c r="A15" s="6" t="str">
        <f>IF(Inputs_Monthly!$A15="","",Inputs_Monthly!$A15)</f>
        <v>2025-07</v>
      </c>
      <c r="B15" s="7">
        <f>IF(N(Inputs_Monthly!$B15)=0,"",Inputs_Monthly!$C15/Inputs_Monthly!$B15)</f>
        <v>230.6875</v>
      </c>
      <c r="C15" s="7">
        <f>IF(N(Inputs_Monthly!$B15)=0,"",Inputs_Monthly!$D15/Inputs_Monthly!$B15)</f>
        <v>471.96875</v>
      </c>
      <c r="D15" s="8">
        <f>IF(N(Inputs_Monthly!$D15)=0,"",Inputs_Monthly!$H15/Inputs_Monthly!$D15)</f>
        <v>0.135271138184467</v>
      </c>
      <c r="E15" s="8">
        <f>IF(N(Inputs_Monthly!$C15)=0,"",Inputs_Monthly!$G15/Inputs_Monthly!$C15)</f>
        <v>0.128691411541588</v>
      </c>
      <c r="F15" s="8">
        <f>IF(N(Inputs_Monthly!$C15)=0,"",Inputs_Monthly!$E15/Inputs_Monthly!$C15)</f>
        <v>0.765781630994311</v>
      </c>
      <c r="G15" s="8">
        <f>IF(N(Inputs_Monthly!$C15)=0,"",Inputs_Monthly!$F15/Inputs_Monthly!$C15)</f>
        <v>0.0189650501219182</v>
      </c>
      <c r="H15" s="8">
        <f>IF(N(Inputs_Monthly!$D15)=0,"",Inputs_Monthly!$I15/Inputs_Monthly!$D15)</f>
        <v>0.0522412765675694</v>
      </c>
      <c r="I15" s="8">
        <f>IF(N(Inputs_Monthly!$I15)=0,"",Inputs_Monthly!$J15/Inputs_Monthly!$I15)</f>
        <v>0.187579214195184</v>
      </c>
      <c r="J15" s="8">
        <f>IF(N(Inputs_Monthly!$N15)=0,"",Inputs_Monthly!$K15/Inputs_Monthly!$N15)</f>
        <v>0.029608938547486</v>
      </c>
      <c r="K15" s="8">
        <f>IF(N(Inputs_Monthly!$N15)=0,"",(Inputs_Monthly!$L15+Settings!$B$3*Inputs_Monthly!$M15)/Inputs_Monthly!$N15)</f>
        <v>0.678687150837989</v>
      </c>
      <c r="L15" s="9">
        <f>IF(N(Inputs_Monthly!$O15)=0,"",Inputs_Monthly!$O15)</f>
        <v>21550999</v>
      </c>
      <c r="M15" s="9">
        <f>IF(N(Inputs_Monthly!$O15)=0,"",Inputs_Monthly!$P15)</f>
        <v>3015415</v>
      </c>
      <c r="N15" s="9">
        <f>IF(N(Inputs_Monthly!$O15)=0,"",Inputs_Monthly!$O15-Inputs_Monthly!$P15)</f>
        <v>18535584</v>
      </c>
      <c r="O15" s="7">
        <f>IF(N(Inputs_Monthly!$D15)=0,"",Inputs_Monthly!$O15/Inputs_Monthly!$D15)</f>
        <v>1426.93497980534</v>
      </c>
      <c r="P15" s="8">
        <f>IF(N(Inputs_Monthly!$Q15)=0,"",Inputs_Monthly!$R15/Inputs_Monthly!$Q15)</f>
        <v>0.6875</v>
      </c>
      <c r="Q15" s="7">
        <f>IF(N(Inputs_Monthly!$Q15)=0,"",Inputs_Monthly!$S15/Inputs_Monthly!$Q15)</f>
        <v>24.71875</v>
      </c>
      <c r="R15" s="8">
        <f>IF(OR(N(Inputs_Monthly!$C15)=0,N(Inputs_Monthly!$C14)=0),"",Inputs_Monthly!$C15/Inputs_Monthly!$C14-1)</f>
        <v>-0.0855939551591726</v>
      </c>
      <c r="S15" s="8">
        <f>IF(OR(B15="",B14=""),"",B15/B14-1)</f>
        <v>-0.0855939551591726</v>
      </c>
    </row>
    <row r="16" spans="1:19">
      <c r="A16" s="6" t="str">
        <f>IF(Inputs_Monthly!$A16="","",Inputs_Monthly!$A16)</f>
        <v>2025-08</v>
      </c>
      <c r="B16" s="7">
        <f>IF(N(Inputs_Monthly!$B16)=0,"",Inputs_Monthly!$C16/Inputs_Monthly!$B16)</f>
        <v>223.9375</v>
      </c>
      <c r="C16" s="7">
        <f>IF(N(Inputs_Monthly!$B16)=0,"",Inputs_Monthly!$D16/Inputs_Monthly!$B16)</f>
        <v>455.71875</v>
      </c>
      <c r="D16" s="8">
        <f>IF(N(Inputs_Monthly!$D16)=0,"",Inputs_Monthly!$H16/Inputs_Monthly!$D16)</f>
        <v>0.123705684701365</v>
      </c>
      <c r="E16" s="8">
        <f>IF(N(Inputs_Monthly!$C16)=0,"",Inputs_Monthly!$G16/Inputs_Monthly!$C16)</f>
        <v>0.118197041585264</v>
      </c>
      <c r="F16" s="8">
        <f>IF(N(Inputs_Monthly!$C16)=0,"",Inputs_Monthly!$E16/Inputs_Monthly!$C16)</f>
        <v>0.770443762210438</v>
      </c>
      <c r="G16" s="8">
        <f>IF(N(Inputs_Monthly!$C16)=0,"",Inputs_Monthly!$F16/Inputs_Monthly!$C16)</f>
        <v>0.0223276583868267</v>
      </c>
      <c r="H16" s="8">
        <f>IF(N(Inputs_Monthly!$D16)=0,"",Inputs_Monthly!$I16/Inputs_Monthly!$D16)</f>
        <v>0.0466296372488514</v>
      </c>
      <c r="I16" s="8">
        <f>IF(N(Inputs_Monthly!$I16)=0,"",Inputs_Monthly!$J16/Inputs_Monthly!$I16)</f>
        <v>0.195588235294118</v>
      </c>
      <c r="J16" s="8">
        <f>IF(N(Inputs_Monthly!$N16)=0,"",Inputs_Monthly!$K16/Inputs_Monthly!$N16)</f>
        <v>0.0271926692847792</v>
      </c>
      <c r="K16" s="8">
        <f>IF(N(Inputs_Monthly!$N16)=0,"",(Inputs_Monthly!$L16+Settings!$B$3*Inputs_Monthly!$M16)/Inputs_Monthly!$N16)</f>
        <v>0.709508508865881</v>
      </c>
      <c r="L16" s="9">
        <f>IF(N(Inputs_Monthly!$O16)=0,"",Inputs_Monthly!$O16)</f>
        <v>21977558</v>
      </c>
      <c r="M16" s="9">
        <f>IF(N(Inputs_Monthly!$O16)=0,"",Inputs_Monthly!$P16)</f>
        <v>3126508</v>
      </c>
      <c r="N16" s="9">
        <f>IF(N(Inputs_Monthly!$O16)=0,"",Inputs_Monthly!$O16-Inputs_Monthly!$P16)</f>
        <v>18851050</v>
      </c>
      <c r="O16" s="7">
        <f>IF(N(Inputs_Monthly!$D16)=0,"",Inputs_Monthly!$O16/Inputs_Monthly!$D16)</f>
        <v>1507.06699581705</v>
      </c>
      <c r="P16" s="8">
        <f>IF(N(Inputs_Monthly!$Q16)=0,"",Inputs_Monthly!$R16/Inputs_Monthly!$Q16)</f>
        <v>0.709677419354839</v>
      </c>
      <c r="Q16" s="7">
        <f>IF(N(Inputs_Monthly!$Q16)=0,"",Inputs_Monthly!$S16/Inputs_Monthly!$Q16)</f>
        <v>16.4193548387097</v>
      </c>
      <c r="R16" s="8">
        <f>IF(OR(N(Inputs_Monthly!$C16)=0,N(Inputs_Monthly!$C15)=0),"",Inputs_Monthly!$C16/Inputs_Monthly!$C15-1)</f>
        <v>-0.0292603630452452</v>
      </c>
      <c r="S16" s="8">
        <f>IF(OR(B16="",B15=""),"",B16/B15-1)</f>
        <v>-0.0292603630452452</v>
      </c>
    </row>
    <row r="17" spans="1:19">
      <c r="A17" s="6" t="str">
        <f>IF(Inputs_Monthly!$A17="","",Inputs_Monthly!$A17)</f>
        <v>2025-09</v>
      </c>
      <c r="B17" s="7">
        <f>IF(N(Inputs_Monthly!$B17)=0,"",Inputs_Monthly!$C17/Inputs_Monthly!$B17)</f>
        <v>234.6875</v>
      </c>
      <c r="C17" s="7">
        <f>IF(N(Inputs_Monthly!$B17)=0,"",Inputs_Monthly!$D17/Inputs_Monthly!$B17)</f>
        <v>474.15625</v>
      </c>
      <c r="D17" s="8">
        <f>IF(N(Inputs_Monthly!$D17)=0,"",Inputs_Monthly!$H17/Inputs_Monthly!$D17)</f>
        <v>0.139590061293086</v>
      </c>
      <c r="E17" s="8">
        <f>IF(N(Inputs_Monthly!$C17)=0,"",Inputs_Monthly!$G17/Inputs_Monthly!$C17)</f>
        <v>0.134620505992011</v>
      </c>
      <c r="F17" s="8">
        <f>IF(N(Inputs_Monthly!$C17)=0,"",Inputs_Monthly!$E17/Inputs_Monthly!$C17)</f>
        <v>0.744873501997337</v>
      </c>
      <c r="G17" s="8">
        <f>IF(N(Inputs_Monthly!$C17)=0,"",Inputs_Monthly!$F17/Inputs_Monthly!$C17)</f>
        <v>0.0229027962716378</v>
      </c>
      <c r="H17" s="8">
        <f>IF(N(Inputs_Monthly!$D17)=0,"",Inputs_Monthly!$I17/Inputs_Monthly!$D17)</f>
        <v>0.0763197785540104</v>
      </c>
      <c r="I17" s="8">
        <f>IF(N(Inputs_Monthly!$I17)=0,"",Inputs_Monthly!$J17/Inputs_Monthly!$I17)</f>
        <v>0.177892918825561</v>
      </c>
      <c r="J17" s="8">
        <f>IF(N(Inputs_Monthly!$N17)=0,"",Inputs_Monthly!$K17/Inputs_Monthly!$N17)</f>
        <v>0.0416951469583049</v>
      </c>
      <c r="K17" s="8">
        <f>IF(N(Inputs_Monthly!$N17)=0,"",(Inputs_Monthly!$L17+Settings!$B$3*Inputs_Monthly!$M17)/Inputs_Monthly!$N17)</f>
        <v>0.680821371610845</v>
      </c>
      <c r="L17" s="9">
        <f>IF(N(Inputs_Monthly!$O17)=0,"",Inputs_Monthly!$O17)</f>
        <v>22210254</v>
      </c>
      <c r="M17" s="9">
        <f>IF(N(Inputs_Monthly!$O17)=0,"",Inputs_Monthly!$P17)</f>
        <v>3264074.75</v>
      </c>
      <c r="N17" s="9">
        <f>IF(N(Inputs_Monthly!$O17)=0,"",Inputs_Monthly!$O17-Inputs_Monthly!$P17)</f>
        <v>18946179.25</v>
      </c>
      <c r="O17" s="7">
        <f>IF(N(Inputs_Monthly!$D17)=0,"",Inputs_Monthly!$O17/Inputs_Monthly!$D17)</f>
        <v>1463.80109404864</v>
      </c>
      <c r="P17" s="8">
        <f>IF(N(Inputs_Monthly!$Q17)=0,"",Inputs_Monthly!$R17/Inputs_Monthly!$Q17)</f>
        <v>0.625</v>
      </c>
      <c r="Q17" s="7">
        <f>IF(N(Inputs_Monthly!$Q17)=0,"",Inputs_Monthly!$S17/Inputs_Monthly!$Q17)</f>
        <v>17.5</v>
      </c>
      <c r="R17" s="8">
        <f>IF(OR(N(Inputs_Monthly!$C17)=0,N(Inputs_Monthly!$C16)=0),"",Inputs_Monthly!$C17/Inputs_Monthly!$C16-1)</f>
        <v>0.0480044655316774</v>
      </c>
      <c r="S17" s="8">
        <f>IF(OR(B17="",B16=""),"",B17/B16-1)</f>
        <v>0.0480044655316774</v>
      </c>
    </row>
    <row r="18" spans="1:19">
      <c r="A18" s="6" t="str">
        <f>IF(Inputs_Monthly!$A18="","",Inputs_Monthly!$A18)</f>
        <v>2025-10</v>
      </c>
      <c r="B18" s="7">
        <f>IF(N(Inputs_Monthly!$B18)=0,"",Inputs_Monthly!$C18/Inputs_Monthly!$B18)</f>
        <v>262.5</v>
      </c>
      <c r="C18" s="7">
        <f>IF(N(Inputs_Monthly!$B18)=0,"",Inputs_Monthly!$D18/Inputs_Monthly!$B18)</f>
        <v>528.90625</v>
      </c>
      <c r="D18" s="8">
        <f>IF(N(Inputs_Monthly!$D18)=0,"",Inputs_Monthly!$H18/Inputs_Monthly!$D18)</f>
        <v>0.136838995568685</v>
      </c>
      <c r="E18" s="8">
        <f>IF(N(Inputs_Monthly!$C18)=0,"",Inputs_Monthly!$G18/Inputs_Monthly!$C18)</f>
        <v>0.127857142857143</v>
      </c>
      <c r="F18" s="8">
        <f>IF(N(Inputs_Monthly!$C18)=0,"",Inputs_Monthly!$E18/Inputs_Monthly!$C18)</f>
        <v>0.734404761904762</v>
      </c>
      <c r="G18" s="8">
        <f>IF(N(Inputs_Monthly!$C18)=0,"",Inputs_Monthly!$F18/Inputs_Monthly!$C18)</f>
        <v>0.0236904761904762</v>
      </c>
      <c r="H18" s="8">
        <f>IF(N(Inputs_Monthly!$D18)=0,"",Inputs_Monthly!$I18/Inputs_Monthly!$D18)</f>
        <v>0.0838404726735598</v>
      </c>
      <c r="I18" s="8">
        <f>IF(N(Inputs_Monthly!$I18)=0,"",Inputs_Monthly!$J18/Inputs_Monthly!$I18)</f>
        <v>0.184637068357999</v>
      </c>
      <c r="J18" s="8">
        <f>IF(N(Inputs_Monthly!$N18)=0,"",Inputs_Monthly!$K18/Inputs_Monthly!$N18)</f>
        <v>0.0534977128193685</v>
      </c>
      <c r="K18" s="8">
        <f>IF(N(Inputs_Monthly!$N18)=0,"",(Inputs_Monthly!$L18+Settings!$B$3*Inputs_Monthly!$M18)/Inputs_Monthly!$N18)</f>
        <v>0.7336550262189</v>
      </c>
      <c r="L18" s="9">
        <f>IF(N(Inputs_Monthly!$O18)=0,"",Inputs_Monthly!$O18)</f>
        <v>27539668</v>
      </c>
      <c r="M18" s="9">
        <f>IF(N(Inputs_Monthly!$O18)=0,"",Inputs_Monthly!$P18)</f>
        <v>4897437.5</v>
      </c>
      <c r="N18" s="9">
        <f>IF(N(Inputs_Monthly!$O18)=0,"",Inputs_Monthly!$O18-Inputs_Monthly!$P18)</f>
        <v>22642230.5</v>
      </c>
      <c r="O18" s="7">
        <f>IF(N(Inputs_Monthly!$D18)=0,"",Inputs_Monthly!$O18/Inputs_Monthly!$D18)</f>
        <v>1627.15911373708</v>
      </c>
      <c r="P18" s="8">
        <f>IF(N(Inputs_Monthly!$Q18)=0,"",Inputs_Monthly!$R18/Inputs_Monthly!$Q18)</f>
        <v>0.78125</v>
      </c>
      <c r="Q18" s="7">
        <f>IF(N(Inputs_Monthly!$Q18)=0,"",Inputs_Monthly!$S18/Inputs_Monthly!$Q18)</f>
        <v>12.75</v>
      </c>
      <c r="R18" s="8">
        <f>IF(OR(N(Inputs_Monthly!$C18)=0,N(Inputs_Monthly!$C17)=0),"",Inputs_Monthly!$C18/Inputs_Monthly!$C17-1)</f>
        <v>0.118508655126498</v>
      </c>
      <c r="S18" s="8">
        <f>IF(OR(B18="",B17=""),"",B18/B17-1)</f>
        <v>0.118508655126498</v>
      </c>
    </row>
    <row r="19" spans="1:19">
      <c r="A19" s="6" t="str">
        <f>IF(Inputs_Monthly!$A19="","",Inputs_Monthly!$A19)</f>
        <v>2025-11</v>
      </c>
      <c r="B19" s="7">
        <f>IF(N(Inputs_Monthly!$B19)=0,"",Inputs_Monthly!$C19/Inputs_Monthly!$B19)</f>
        <v>255.53125</v>
      </c>
      <c r="C19" s="7">
        <f>IF(N(Inputs_Monthly!$B19)=0,"",Inputs_Monthly!$D19/Inputs_Monthly!$B19)</f>
        <v>517.3125</v>
      </c>
      <c r="D19" s="8">
        <f>IF(N(Inputs_Monthly!$D19)=0,"",Inputs_Monthly!$H19/Inputs_Monthly!$D19)</f>
        <v>0.140449438202247</v>
      </c>
      <c r="E19" s="8">
        <f>IF(N(Inputs_Monthly!$C19)=0,"",Inputs_Monthly!$G19/Inputs_Monthly!$C19)</f>
        <v>0.13366760425584</v>
      </c>
      <c r="F19" s="8">
        <f>IF(N(Inputs_Monthly!$C19)=0,"",Inputs_Monthly!$E19/Inputs_Monthly!$C19)</f>
        <v>0.737434266846032</v>
      </c>
      <c r="G19" s="8">
        <f>IF(N(Inputs_Monthly!$C19)=0,"",Inputs_Monthly!$F19/Inputs_Monthly!$C19)</f>
        <v>0.020056255350373</v>
      </c>
      <c r="H19" s="8">
        <f>IF(N(Inputs_Monthly!$D19)=0,"",Inputs_Monthly!$I19/Inputs_Monthly!$D19)</f>
        <v>0.0817325117796303</v>
      </c>
      <c r="I19" s="8">
        <f>IF(N(Inputs_Monthly!$I19)=0,"",Inputs_Monthly!$J19/Inputs_Monthly!$I19)</f>
        <v>0.222468588322247</v>
      </c>
      <c r="J19" s="8">
        <f>IF(N(Inputs_Monthly!$N19)=0,"",Inputs_Monthly!$K19/Inputs_Monthly!$N19)</f>
        <v>0.0510765002290426</v>
      </c>
      <c r="K19" s="8">
        <f>IF(N(Inputs_Monthly!$N19)=0,"",(Inputs_Monthly!$L19+Settings!$B$3*Inputs_Monthly!$M19)/Inputs_Monthly!$N19)</f>
        <v>0.73728813559322</v>
      </c>
      <c r="L19" s="9">
        <f>IF(N(Inputs_Monthly!$O19)=0,"",Inputs_Monthly!$O19)</f>
        <v>24554554</v>
      </c>
      <c r="M19" s="9">
        <f>IF(N(Inputs_Monthly!$O19)=0,"",Inputs_Monthly!$P19)</f>
        <v>3971634.25</v>
      </c>
      <c r="N19" s="9">
        <f>IF(N(Inputs_Monthly!$O19)=0,"",Inputs_Monthly!$O19-Inputs_Monthly!$P19)</f>
        <v>20582919.75</v>
      </c>
      <c r="O19" s="7">
        <f>IF(N(Inputs_Monthly!$D19)=0,"",Inputs_Monthly!$O19/Inputs_Monthly!$D19)</f>
        <v>1483.30035036849</v>
      </c>
      <c r="P19" s="8">
        <f>IF(N(Inputs_Monthly!$Q19)=0,"",Inputs_Monthly!$R19/Inputs_Monthly!$Q19)</f>
        <v>0.866666666666667</v>
      </c>
      <c r="Q19" s="7">
        <f>IF(N(Inputs_Monthly!$Q19)=0,"",Inputs_Monthly!$S19/Inputs_Monthly!$Q19)</f>
        <v>14.7333333333333</v>
      </c>
      <c r="R19" s="8">
        <f>IF(OR(N(Inputs_Monthly!$C19)=0,N(Inputs_Monthly!$C18)=0),"",Inputs_Monthly!$C19/Inputs_Monthly!$C18-1)</f>
        <v>-0.026547619047619</v>
      </c>
      <c r="S19" s="8">
        <f>IF(OR(B19="",B18=""),"",B19/B18-1)</f>
        <v>-0.026547619047619</v>
      </c>
    </row>
    <row r="20" spans="1:19">
      <c r="A20" s="6" t="str">
        <f>IF(Inputs_Monthly!$A20="","",Inputs_Monthly!$A20)</f>
        <v>2025-12</v>
      </c>
      <c r="B20" s="7">
        <f>IF(N(Inputs_Monthly!$B20)=0,"",Inputs_Monthly!$C20/Inputs_Monthly!$B20)</f>
        <v>269.875</v>
      </c>
      <c r="C20" s="7">
        <f>IF(N(Inputs_Monthly!$B20)=0,"",Inputs_Monthly!$D20/Inputs_Monthly!$B20)</f>
        <v>541.28125</v>
      </c>
      <c r="D20" s="8">
        <f>IF(N(Inputs_Monthly!$D20)=0,"",Inputs_Monthly!$H20/Inputs_Monthly!$D20)</f>
        <v>0.133017724149876</v>
      </c>
      <c r="E20" s="8">
        <f>IF(N(Inputs_Monthly!$C20)=0,"",Inputs_Monthly!$G20/Inputs_Monthly!$C20)</f>
        <v>0.12772116720704</v>
      </c>
      <c r="F20" s="8">
        <f>IF(N(Inputs_Monthly!$C20)=0,"",Inputs_Monthly!$E20/Inputs_Monthly!$C20)</f>
        <v>0.742241778601204</v>
      </c>
      <c r="G20" s="8">
        <f>IF(N(Inputs_Monthly!$C20)=0,"",Inputs_Monthly!$F20/Inputs_Monthly!$C20)</f>
        <v>0.0232746641963872</v>
      </c>
      <c r="H20" s="8">
        <f>IF(N(Inputs_Monthly!$D20)=0,"",Inputs_Monthly!$I20/Inputs_Monthly!$D20)</f>
        <v>0.0737832688643843</v>
      </c>
      <c r="I20" s="8">
        <f>IF(N(Inputs_Monthly!$I20)=0,"",Inputs_Monthly!$J20/Inputs_Monthly!$I20)</f>
        <v>0.208137715179969</v>
      </c>
      <c r="J20" s="8">
        <f>IF(N(Inputs_Monthly!$N20)=0,"",Inputs_Monthly!$K20/Inputs_Monthly!$N20)</f>
        <v>0.0466541519434629</v>
      </c>
      <c r="K20" s="8">
        <f>IF(N(Inputs_Monthly!$N20)=0,"",(Inputs_Monthly!$L20+Settings!$B$3*Inputs_Monthly!$M20)/Inputs_Monthly!$N20)</f>
        <v>0.754582597173145</v>
      </c>
      <c r="L20" s="9">
        <f>IF(N(Inputs_Monthly!$O20)=0,"",Inputs_Monthly!$O20)</f>
        <v>27326615</v>
      </c>
      <c r="M20" s="9">
        <f>IF(N(Inputs_Monthly!$O20)=0,"",Inputs_Monthly!$P20)</f>
        <v>4589503.75</v>
      </c>
      <c r="N20" s="9">
        <f>IF(N(Inputs_Monthly!$O20)=0,"",Inputs_Monthly!$O20-Inputs_Monthly!$P20)</f>
        <v>22737111.25</v>
      </c>
      <c r="O20" s="7">
        <f>IF(N(Inputs_Monthly!$D20)=0,"",Inputs_Monthly!$O20/Inputs_Monthly!$D20)</f>
        <v>1577.65804514751</v>
      </c>
      <c r="P20" s="8">
        <f>IF(N(Inputs_Monthly!$Q20)=0,"",Inputs_Monthly!$R20/Inputs_Monthly!$Q20)</f>
        <v>0.620689655172414</v>
      </c>
      <c r="Q20" s="7">
        <f>IF(N(Inputs_Monthly!$Q20)=0,"",Inputs_Monthly!$S20/Inputs_Monthly!$Q20)</f>
        <v>53.4137931034483</v>
      </c>
      <c r="R20" s="8">
        <f>IF(OR(N(Inputs_Monthly!$C20)=0,N(Inputs_Monthly!$C19)=0),"",Inputs_Monthly!$C20/Inputs_Monthly!$C19-1)</f>
        <v>0.0561330561330562</v>
      </c>
      <c r="S20" s="8">
        <f>IF(OR(B20="",B19=""),"",B20/B19-1)</f>
        <v>0.0561330561330562</v>
      </c>
    </row>
    <row r="21" spans="1:19">
      <c r="A21" s="6" t="str">
        <f>IF(Inputs_Monthly!$A21="","",Inputs_Monthly!$A21)</f>
        <v>2026-01</v>
      </c>
      <c r="B21" s="7">
        <f>IF(N(Inputs_Monthly!$B21)=0,"",Inputs_Monthly!$C21/Inputs_Monthly!$B21)</f>
        <v>254.65625</v>
      </c>
      <c r="C21" s="7">
        <f>IF(N(Inputs_Monthly!$B21)=0,"",Inputs_Monthly!$D21/Inputs_Monthly!$B21)</f>
        <v>509.125</v>
      </c>
      <c r="D21" s="8">
        <f>IF(N(Inputs_Monthly!$D21)=0,"",Inputs_Monthly!$H21/Inputs_Monthly!$D21)</f>
        <v>0.141787380309354</v>
      </c>
      <c r="E21" s="8">
        <f>IF(N(Inputs_Monthly!$C21)=0,"",Inputs_Monthly!$G21/Inputs_Monthly!$C21)</f>
        <v>0.135108602282489</v>
      </c>
      <c r="F21" s="8">
        <f>IF(N(Inputs_Monthly!$C21)=0,"",Inputs_Monthly!$E21/Inputs_Monthly!$C21)</f>
        <v>0.731868940974353</v>
      </c>
      <c r="G21" s="8">
        <f>IF(N(Inputs_Monthly!$C21)=0,"",Inputs_Monthly!$F21/Inputs_Monthly!$C21)</f>
        <v>0.0219658853847098</v>
      </c>
      <c r="H21" s="8">
        <f>IF(N(Inputs_Monthly!$D21)=0,"",Inputs_Monthly!$I21/Inputs_Monthly!$D21)</f>
        <v>0.0905352320157132</v>
      </c>
      <c r="I21" s="8">
        <f>IF(N(Inputs_Monthly!$I21)=0,"",Inputs_Monthly!$J21/Inputs_Monthly!$I21)</f>
        <v>0.195254237288136</v>
      </c>
      <c r="J21" s="8">
        <f>IF(N(Inputs_Monthly!$N21)=0,"",Inputs_Monthly!$K21/Inputs_Monthly!$N21)</f>
        <v>0.0546911286576869</v>
      </c>
      <c r="K21" s="8">
        <f>IF(N(Inputs_Monthly!$N21)=0,"",(Inputs_Monthly!$L21+Settings!$B$3*Inputs_Monthly!$M21)/Inputs_Monthly!$N21)</f>
        <v>0.731101950766373</v>
      </c>
      <c r="L21" s="9">
        <f>IF(N(Inputs_Monthly!$O21)=0,"",Inputs_Monthly!$O21)</f>
        <v>25044510</v>
      </c>
      <c r="M21" s="9">
        <f>IF(N(Inputs_Monthly!$O21)=0,"",Inputs_Monthly!$P21)</f>
        <v>4714106</v>
      </c>
      <c r="N21" s="9">
        <f>IF(N(Inputs_Monthly!$O21)=0,"",Inputs_Monthly!$O21-Inputs_Monthly!$P21)</f>
        <v>20330404</v>
      </c>
      <c r="O21" s="7">
        <f>IF(N(Inputs_Monthly!$D21)=0,"",Inputs_Monthly!$O21/Inputs_Monthly!$D21)</f>
        <v>1537.22747360668</v>
      </c>
      <c r="P21" s="8">
        <f>IF(N(Inputs_Monthly!$Q21)=0,"",Inputs_Monthly!$R21/Inputs_Monthly!$Q21)</f>
        <v>0.75</v>
      </c>
      <c r="Q21" s="7">
        <f>IF(N(Inputs_Monthly!$Q21)=0,"",Inputs_Monthly!$S21/Inputs_Monthly!$Q21)</f>
        <v>12.5625</v>
      </c>
      <c r="R21" s="8">
        <f>IF(OR(N(Inputs_Monthly!$C21)=0,N(Inputs_Monthly!$C20)=0),"",Inputs_Monthly!$C21/Inputs_Monthly!$C20-1)</f>
        <v>-0.0563918480778138</v>
      </c>
      <c r="S21" s="8">
        <f>IF(OR(B21="",B20=""),"",B21/B20-1)</f>
        <v>-0.0563918480778138</v>
      </c>
    </row>
    <row r="22" spans="1:19">
      <c r="A22" s="6" t="str">
        <f>IF(Inputs_Monthly!$A22="","",Inputs_Monthly!$A22)</f>
        <v>2026-02</v>
      </c>
      <c r="B22" s="7">
        <f>IF(N(Inputs_Monthly!$B22)=0,"",Inputs_Monthly!$C22/Inputs_Monthly!$B22)</f>
        <v>259</v>
      </c>
      <c r="C22" s="7">
        <f>IF(N(Inputs_Monthly!$B22)=0,"",Inputs_Monthly!$D22/Inputs_Monthly!$B22)</f>
        <v>524</v>
      </c>
      <c r="D22" s="8">
        <f>IF(N(Inputs_Monthly!$D22)=0,"",Inputs_Monthly!$H22/Inputs_Monthly!$D22)</f>
        <v>0.140088263358779</v>
      </c>
      <c r="E22" s="8">
        <f>IF(N(Inputs_Monthly!$C22)=0,"",Inputs_Monthly!$G22/Inputs_Monthly!$C22)</f>
        <v>0.133445945945946</v>
      </c>
      <c r="F22" s="8">
        <f>IF(N(Inputs_Monthly!$C22)=0,"",Inputs_Monthly!$E22/Inputs_Monthly!$C22)</f>
        <v>0.73902027027027</v>
      </c>
      <c r="G22" s="8">
        <f>IF(N(Inputs_Monthly!$C22)=0,"",Inputs_Monthly!$F22/Inputs_Monthly!$C22)</f>
        <v>0.0218388030888031</v>
      </c>
      <c r="H22" s="8">
        <f>IF(N(Inputs_Monthly!$D22)=0,"",Inputs_Monthly!$I22/Inputs_Monthly!$D22)</f>
        <v>0.0750238549618321</v>
      </c>
      <c r="I22" s="8">
        <f>IF(N(Inputs_Monthly!$I22)=0,"",Inputs_Monthly!$J22/Inputs_Monthly!$I22)</f>
        <v>0.170111287758347</v>
      </c>
      <c r="J22" s="8">
        <f>IF(N(Inputs_Monthly!$N22)=0,"",Inputs_Monthly!$K22/Inputs_Monthly!$N22)</f>
        <v>0.0483320488825278</v>
      </c>
      <c r="K22" s="8">
        <f>IF(N(Inputs_Monthly!$N22)=0,"",(Inputs_Monthly!$L22+Settings!$B$3*Inputs_Monthly!$M22)/Inputs_Monthly!$N22)</f>
        <v>0.722696245733788</v>
      </c>
      <c r="L22" s="9">
        <f>IF(N(Inputs_Monthly!$O22)=0,"",Inputs_Monthly!$O22)</f>
        <v>25479874</v>
      </c>
      <c r="M22" s="9">
        <f>IF(N(Inputs_Monthly!$O22)=0,"",Inputs_Monthly!$P22)</f>
        <v>4366306.5</v>
      </c>
      <c r="N22" s="9">
        <f>IF(N(Inputs_Monthly!$O22)=0,"",Inputs_Monthly!$O22-Inputs_Monthly!$P22)</f>
        <v>21113567.5</v>
      </c>
      <c r="O22" s="7">
        <f>IF(N(Inputs_Monthly!$D22)=0,"",Inputs_Monthly!$O22/Inputs_Monthly!$D22)</f>
        <v>1519.55355438931</v>
      </c>
      <c r="P22" s="8">
        <f>IF(N(Inputs_Monthly!$Q22)=0,"",Inputs_Monthly!$R22/Inputs_Monthly!$Q22)</f>
        <v>0.741935483870968</v>
      </c>
      <c r="Q22" s="7">
        <f>IF(N(Inputs_Monthly!$Q22)=0,"",Inputs_Monthly!$S22/Inputs_Monthly!$Q22)</f>
        <v>15.9032258064516</v>
      </c>
      <c r="R22" s="8">
        <f>IF(OR(N(Inputs_Monthly!$C22)=0,N(Inputs_Monthly!$C21)=0),"",Inputs_Monthly!$C22/Inputs_Monthly!$C21-1)</f>
        <v>0.0170573076451099</v>
      </c>
      <c r="S22" s="8">
        <f>IF(OR(B22="",B21=""),"",B22/B21-1)</f>
        <v>0.0170573076451099</v>
      </c>
    </row>
    <row r="23" spans="1:19">
      <c r="A23" s="6" t="str">
        <f>IF(Inputs_Monthly!$A23="","",Inputs_Monthly!$A23)</f>
        <v>2026-03</v>
      </c>
      <c r="B23" s="7">
        <f>IF(N(Inputs_Monthly!$B23)=0,"",Inputs_Monthly!$C23/Inputs_Monthly!$B23)</f>
        <v>292.53125</v>
      </c>
      <c r="C23" s="7">
        <f>IF(N(Inputs_Monthly!$B23)=0,"",Inputs_Monthly!$D23/Inputs_Monthly!$B23)</f>
        <v>583.40625</v>
      </c>
      <c r="D23" s="8">
        <f>IF(N(Inputs_Monthly!$D23)=0,"",Inputs_Monthly!$H23/Inputs_Monthly!$D23)</f>
        <v>0.146178156301891</v>
      </c>
      <c r="E23" s="8">
        <f>IF(N(Inputs_Monthly!$C23)=0,"",Inputs_Monthly!$G23/Inputs_Monthly!$C23)</f>
        <v>0.139942313855357</v>
      </c>
      <c r="F23" s="8">
        <f>IF(N(Inputs_Monthly!$C23)=0,"",Inputs_Monthly!$E23/Inputs_Monthly!$C23)</f>
        <v>0.693088345262258</v>
      </c>
      <c r="G23" s="8">
        <f>IF(N(Inputs_Monthly!$C23)=0,"",Inputs_Monthly!$F23/Inputs_Monthly!$C23)</f>
        <v>0.0228608054695011</v>
      </c>
      <c r="H23" s="8">
        <f>IF(N(Inputs_Monthly!$D23)=0,"",Inputs_Monthly!$I23/Inputs_Monthly!$D23)</f>
        <v>0.120038566607745</v>
      </c>
      <c r="I23" s="8">
        <f>IF(N(Inputs_Monthly!$I23)=0,"",Inputs_Monthly!$J23/Inputs_Monthly!$I23)</f>
        <v>0.209727800089246</v>
      </c>
      <c r="J23" s="8">
        <f>IF(N(Inputs_Monthly!$N23)=0,"",Inputs_Monthly!$K23/Inputs_Monthly!$N23)</f>
        <v>0.0789180145008366</v>
      </c>
      <c r="K23" s="8">
        <f>IF(N(Inputs_Monthly!$N23)=0,"",(Inputs_Monthly!$L23+Settings!$B$3*Inputs_Monthly!$M23)/Inputs_Monthly!$N23)</f>
        <v>0.778025655326269</v>
      </c>
      <c r="L23" s="9">
        <f>IF(N(Inputs_Monthly!$O23)=0,"",Inputs_Monthly!$O23)</f>
        <v>24742606</v>
      </c>
      <c r="M23" s="9">
        <f>IF(N(Inputs_Monthly!$O23)=0,"",Inputs_Monthly!$P23)</f>
        <v>4783304.75</v>
      </c>
      <c r="N23" s="9">
        <f>IF(N(Inputs_Monthly!$O23)=0,"",Inputs_Monthly!$O23-Inputs_Monthly!$P23)</f>
        <v>19959301.25</v>
      </c>
      <c r="O23" s="7">
        <f>IF(N(Inputs_Monthly!$D23)=0,"",Inputs_Monthly!$O23/Inputs_Monthly!$D23)</f>
        <v>1325.33108361455</v>
      </c>
      <c r="P23" s="8">
        <f>IF(N(Inputs_Monthly!$Q23)=0,"",Inputs_Monthly!$R23/Inputs_Monthly!$Q23)</f>
        <v>0.8</v>
      </c>
      <c r="Q23" s="7">
        <f>IF(N(Inputs_Monthly!$Q23)=0,"",Inputs_Monthly!$S23/Inputs_Monthly!$Q23)</f>
        <v>15.5333333333333</v>
      </c>
      <c r="R23" s="8">
        <f>IF(OR(N(Inputs_Monthly!$C23)=0,N(Inputs_Monthly!$C22)=0),"",Inputs_Monthly!$C23/Inputs_Monthly!$C22-1)</f>
        <v>0.129464285714286</v>
      </c>
      <c r="S23" s="8">
        <f>IF(OR(B23="",B22=""),"",B23/B22-1)</f>
        <v>0.129464285714286</v>
      </c>
    </row>
    <row r="24" spans="1:19">
      <c r="A24" s="6" t="str">
        <f>IF(Inputs_Monthly!$A24="","",Inputs_Monthly!$A24)</f>
        <v>2026-04</v>
      </c>
      <c r="B24" s="7">
        <f>IF(N(Inputs_Monthly!$B24)=0,"",Inputs_Monthly!$C24/Inputs_Monthly!$B24)</f>
        <v>312.0625</v>
      </c>
      <c r="C24" s="7">
        <f>IF(N(Inputs_Monthly!$B24)=0,"",Inputs_Monthly!$D24/Inputs_Monthly!$B24)</f>
        <v>629.0625</v>
      </c>
      <c r="D24" s="8">
        <f>IF(N(Inputs_Monthly!$D24)=0,"",Inputs_Monthly!$H24/Inputs_Monthly!$D24)</f>
        <v>0.15116741182315</v>
      </c>
      <c r="E24" s="8">
        <f>IF(N(Inputs_Monthly!$C24)=0,"",Inputs_Monthly!$G24/Inputs_Monthly!$C24)</f>
        <v>0.142799919887843</v>
      </c>
      <c r="F24" s="8">
        <f>IF(N(Inputs_Monthly!$C24)=0,"",Inputs_Monthly!$E24/Inputs_Monthly!$C24)</f>
        <v>0.659523332665732</v>
      </c>
      <c r="G24" s="8">
        <f>IF(N(Inputs_Monthly!$C24)=0,"",Inputs_Monthly!$F24/Inputs_Monthly!$C24)</f>
        <v>0.0239335069096735</v>
      </c>
      <c r="H24" s="8">
        <f>IF(N(Inputs_Monthly!$D24)=0,"",Inputs_Monthly!$I24/Inputs_Monthly!$D24)</f>
        <v>0.139890710382514</v>
      </c>
      <c r="I24" s="8">
        <f>IF(N(Inputs_Monthly!$I24)=0,"",Inputs_Monthly!$J24/Inputs_Monthly!$I24)</f>
        <v>0.216264204545455</v>
      </c>
      <c r="J24" s="8">
        <f>IF(N(Inputs_Monthly!$N24)=0,"",Inputs_Monthly!$K24/Inputs_Monthly!$N24)</f>
        <v>0.100819580105535</v>
      </c>
      <c r="K24" s="8">
        <f>IF(N(Inputs_Monthly!$N24)=0,"",(Inputs_Monthly!$L24+Settings!$B$3*Inputs_Monthly!$M24)/Inputs_Monthly!$N24)</f>
        <v>0.813770068485461</v>
      </c>
      <c r="L24" s="9">
        <f>IF(N(Inputs_Monthly!$O24)=0,"",Inputs_Monthly!$O24)</f>
        <v>31004870</v>
      </c>
      <c r="M24" s="9">
        <f>IF(N(Inputs_Monthly!$O24)=0,"",Inputs_Monthly!$P24)</f>
        <v>6655124</v>
      </c>
      <c r="N24" s="9">
        <f>IF(N(Inputs_Monthly!$O24)=0,"",Inputs_Monthly!$O24-Inputs_Monthly!$P24)</f>
        <v>24349746</v>
      </c>
      <c r="O24" s="7">
        <f>IF(N(Inputs_Monthly!$D24)=0,"",Inputs_Monthly!$O24/Inputs_Monthly!$D24)</f>
        <v>1540.23199205166</v>
      </c>
      <c r="P24" s="8">
        <f>IF(N(Inputs_Monthly!$Q24)=0,"",Inputs_Monthly!$R24/Inputs_Monthly!$Q24)</f>
        <v>0.774193548387097</v>
      </c>
      <c r="Q24" s="7">
        <f>IF(N(Inputs_Monthly!$Q24)=0,"",Inputs_Monthly!$S24/Inputs_Monthly!$Q24)</f>
        <v>12.1612903225806</v>
      </c>
      <c r="R24" s="8">
        <f>IF(OR(N(Inputs_Monthly!$C24)=0,N(Inputs_Monthly!$C23)=0),"",Inputs_Monthly!$C24/Inputs_Monthly!$C23-1)</f>
        <v>0.0667663711141973</v>
      </c>
      <c r="S24" s="8">
        <f>IF(OR(B24="",B23=""),"",B24/B23-1)</f>
        <v>0.0667663711141973</v>
      </c>
    </row>
    <row r="25" spans="1:19">
      <c r="A25" s="6" t="str">
        <f>IF(Inputs_Monthly!$A25="","",Inputs_Monthly!$A25)</f>
        <v>2026-05</v>
      </c>
      <c r="B25" s="7">
        <f>IF(N(Inputs_Monthly!$B25)=0,"",Inputs_Monthly!$C25/Inputs_Monthly!$B25)</f>
        <v>359.40625</v>
      </c>
      <c r="C25" s="7">
        <f>IF(N(Inputs_Monthly!$B25)=0,"",Inputs_Monthly!$D25/Inputs_Monthly!$B25)</f>
        <v>718.78125</v>
      </c>
      <c r="D25" s="8">
        <f>IF(N(Inputs_Monthly!$D25)=0,"",Inputs_Monthly!$H25/Inputs_Monthly!$D25)</f>
        <v>0.150341289509152</v>
      </c>
      <c r="E25" s="8">
        <f>IF(N(Inputs_Monthly!$C25)=0,"",Inputs_Monthly!$G25/Inputs_Monthly!$C25)</f>
        <v>0.143987479349622</v>
      </c>
      <c r="F25" s="8">
        <f>IF(N(Inputs_Monthly!$C25)=0,"",Inputs_Monthly!$E25/Inputs_Monthly!$C25)</f>
        <v>0.620033040605165</v>
      </c>
      <c r="G25" s="8">
        <f>IF(N(Inputs_Monthly!$C25)=0,"",Inputs_Monthly!$F25/Inputs_Monthly!$C25)</f>
        <v>0.0273019737414138</v>
      </c>
      <c r="H25" s="8">
        <f>IF(N(Inputs_Monthly!$D25)=0,"",Inputs_Monthly!$I25/Inputs_Monthly!$D25)</f>
        <v>0.183948523977218</v>
      </c>
      <c r="I25" s="8">
        <f>IF(N(Inputs_Monthly!$I25)=0,"",Inputs_Monthly!$J25/Inputs_Monthly!$I25)</f>
        <v>0.188844244859371</v>
      </c>
      <c r="J25" s="8">
        <f>IF(N(Inputs_Monthly!$N25)=0,"",Inputs_Monthly!$K25/Inputs_Monthly!$N25)</f>
        <v>0.155110545201991</v>
      </c>
      <c r="K25" s="8">
        <f>IF(N(Inputs_Monthly!$N25)=0,"",(Inputs_Monthly!$L25+Settings!$B$3*Inputs_Monthly!$M25)/Inputs_Monthly!$N25)</f>
        <v>0.919724505151059</v>
      </c>
      <c r="L25" s="9">
        <f>IF(N(Inputs_Monthly!$O25)=0,"",Inputs_Monthly!$O25)</f>
        <v>36219176</v>
      </c>
      <c r="M25" s="9">
        <f>IF(N(Inputs_Monthly!$O25)=0,"",Inputs_Monthly!$P25)</f>
        <v>8653240.5</v>
      </c>
      <c r="N25" s="9">
        <f>IF(N(Inputs_Monthly!$O25)=0,"",Inputs_Monthly!$O25-Inputs_Monthly!$P25)</f>
        <v>27565935.5</v>
      </c>
      <c r="O25" s="7">
        <f>IF(N(Inputs_Monthly!$D25)=0,"",Inputs_Monthly!$O25/Inputs_Monthly!$D25)</f>
        <v>1574.67831833399</v>
      </c>
      <c r="P25" s="8">
        <f>IF(N(Inputs_Monthly!$Q25)=0,"",Inputs_Monthly!$R25/Inputs_Monthly!$Q25)</f>
        <v>0.866666666666667</v>
      </c>
      <c r="Q25" s="7">
        <f>IF(N(Inputs_Monthly!$Q25)=0,"",Inputs_Monthly!$S25/Inputs_Monthly!$Q25)</f>
        <v>8.96666666666667</v>
      </c>
      <c r="R25" s="8">
        <f>IF(OR(N(Inputs_Monthly!$C25)=0,N(Inputs_Monthly!$C24)=0),"",Inputs_Monthly!$C25/Inputs_Monthly!$C24-1)</f>
        <v>0.151712397356299</v>
      </c>
      <c r="S25" s="8">
        <f>IF(OR(B25="",B24=""),"",B25/B24-1)</f>
        <v>0.151712397356299</v>
      </c>
    </row>
    <row r="26" spans="1:19">
      <c r="A26" s="6" t="str">
        <f>IF(Inputs_Monthly!$A26="","",Inputs_Monthly!$A26)</f>
        <v>2026-06</v>
      </c>
      <c r="B26" s="7">
        <f>IF(N(Inputs_Monthly!$B26)=0,"",Inputs_Monthly!$C26/Inputs_Monthly!$B26)</f>
        <v>280.09375</v>
      </c>
      <c r="C26" s="7">
        <f>IF(N(Inputs_Monthly!$B26)=0,"",Inputs_Monthly!$D26/Inputs_Monthly!$B26)</f>
        <v>559.8125</v>
      </c>
      <c r="D26" s="8">
        <f>IF(N(Inputs_Monthly!$D26)=0,"",Inputs_Monthly!$H26/Inputs_Monthly!$D26)</f>
        <v>0.134085073127163</v>
      </c>
      <c r="E26" s="8">
        <f>IF(N(Inputs_Monthly!$C26)=0,"",Inputs_Monthly!$G26/Inputs_Monthly!$C26)</f>
        <v>0.128639964297668</v>
      </c>
      <c r="F26" s="8">
        <f>IF(N(Inputs_Monthly!$C26)=0,"",Inputs_Monthly!$E26/Inputs_Monthly!$C26)</f>
        <v>0.685707910297891</v>
      </c>
      <c r="G26" s="8">
        <f>IF(N(Inputs_Monthly!$C26)=0,"",Inputs_Monthly!$F26/Inputs_Monthly!$C26)</f>
        <v>0.0253263416266875</v>
      </c>
      <c r="H26" s="8">
        <f>IF(N(Inputs_Monthly!$D26)=0,"",Inputs_Monthly!$I26/Inputs_Monthly!$D26)</f>
        <v>0.130568270626326</v>
      </c>
      <c r="I26" s="8">
        <f>IF(N(Inputs_Monthly!$I26)=0,"",Inputs_Monthly!$J26/Inputs_Monthly!$I26)</f>
        <v>0.203505771697307</v>
      </c>
      <c r="J26" s="8">
        <f>IF(N(Inputs_Monthly!$N26)=0,"",Inputs_Monthly!$K26/Inputs_Monthly!$N26)</f>
        <v>0.09037270709195</v>
      </c>
      <c r="K26" s="8">
        <f>IF(N(Inputs_Monthly!$N26)=0,"",(Inputs_Monthly!$L26+Settings!$B$3*Inputs_Monthly!$M26)/Inputs_Monthly!$N26)</f>
        <v>0.778595630330646</v>
      </c>
      <c r="L26" s="9">
        <f>IF(N(Inputs_Monthly!$O26)=0,"",Inputs_Monthly!$O26)</f>
        <v>29318810</v>
      </c>
      <c r="M26" s="9">
        <f>IF(N(Inputs_Monthly!$O26)=0,"",Inputs_Monthly!$P26)</f>
        <v>5948604</v>
      </c>
      <c r="N26" s="9">
        <f>IF(N(Inputs_Monthly!$O26)=0,"",Inputs_Monthly!$O26-Inputs_Monthly!$P26)</f>
        <v>23370206</v>
      </c>
      <c r="O26" s="7">
        <f>IF(N(Inputs_Monthly!$D26)=0,"",Inputs_Monthly!$O26/Inputs_Monthly!$D26)</f>
        <v>1636.64229094563</v>
      </c>
      <c r="P26" s="8">
        <f>IF(N(Inputs_Monthly!$Q26)=0,"",Inputs_Monthly!$R26/Inputs_Monthly!$Q26)</f>
        <v>0.709677419354839</v>
      </c>
      <c r="Q26" s="7">
        <f>IF(N(Inputs_Monthly!$Q26)=0,"",Inputs_Monthly!$S26/Inputs_Monthly!$Q26)</f>
        <v>40.6451612903226</v>
      </c>
      <c r="R26" s="8">
        <f>IF(OR(N(Inputs_Monthly!$C26)=0,N(Inputs_Monthly!$C25)=0),"",Inputs_Monthly!$C26/Inputs_Monthly!$C25-1)</f>
        <v>-0.220676462916268</v>
      </c>
      <c r="S26" s="8">
        <f>IF(OR(B26="",B25=""),"",B26/B25-1)</f>
        <v>-0.220676462916268</v>
      </c>
    </row>
    <row r="27" spans="1:19">
      <c r="A27" s="6" t="str">
        <f>IF(Inputs_Monthly!$A27="","",Inputs_Monthly!$A27)</f>
        <v>2026-07</v>
      </c>
      <c r="B27" s="7">
        <f>IF(N(Inputs_Monthly!$B27)=0,"",Inputs_Monthly!$C27/Inputs_Monthly!$B27)</f>
        <v>247.875</v>
      </c>
      <c r="C27" s="7">
        <f>IF(N(Inputs_Monthly!$B27)=0,"",Inputs_Monthly!$D27/Inputs_Monthly!$B27)</f>
        <v>497.125</v>
      </c>
      <c r="D27" s="8">
        <f>IF(N(Inputs_Monthly!$D27)=0,"",Inputs_Monthly!$H27/Inputs_Monthly!$D27)</f>
        <v>0.137226552677898</v>
      </c>
      <c r="E27" s="8">
        <f>IF(N(Inputs_Monthly!$C27)=0,"",Inputs_Monthly!$G27/Inputs_Monthly!$C27)</f>
        <v>0.12922339889057</v>
      </c>
      <c r="F27" s="8">
        <f>IF(N(Inputs_Monthly!$C27)=0,"",Inputs_Monthly!$E27/Inputs_Monthly!$C27)</f>
        <v>0.740544629349471</v>
      </c>
      <c r="G27" s="8">
        <f>IF(N(Inputs_Monthly!$C27)=0,"",Inputs_Monthly!$F27/Inputs_Monthly!$C27)</f>
        <v>0.0243318204740292</v>
      </c>
      <c r="H27" s="8">
        <f>IF(N(Inputs_Monthly!$D27)=0,"",Inputs_Monthly!$I27/Inputs_Monthly!$D27)</f>
        <v>0.086183052552175</v>
      </c>
      <c r="I27" s="8">
        <f>IF(N(Inputs_Monthly!$I27)=0,"",Inputs_Monthly!$J27/Inputs_Monthly!$I27)</f>
        <v>0.180889861415026</v>
      </c>
      <c r="J27" s="8">
        <f>IF(N(Inputs_Monthly!$N27)=0,"",Inputs_Monthly!$K27/Inputs_Monthly!$N27)</f>
        <v>0.0511350865363003</v>
      </c>
      <c r="K27" s="8">
        <f>IF(N(Inputs_Monthly!$N27)=0,"",(Inputs_Monthly!$L27+Settings!$B$3*Inputs_Monthly!$M27)/Inputs_Monthly!$N27)</f>
        <v>0.698612047651158</v>
      </c>
      <c r="L27" s="9">
        <f>IF(N(Inputs_Monthly!$O27)=0,"",Inputs_Monthly!$O27)</f>
        <v>25026611</v>
      </c>
      <c r="M27" s="9">
        <f>IF(N(Inputs_Monthly!$O27)=0,"",Inputs_Monthly!$P27)</f>
        <v>4315193.5</v>
      </c>
      <c r="N27" s="9">
        <f>IF(N(Inputs_Monthly!$O27)=0,"",Inputs_Monthly!$O27-Inputs_Monthly!$P27)</f>
        <v>20711417.5</v>
      </c>
      <c r="O27" s="7">
        <f>IF(N(Inputs_Monthly!$D27)=0,"",Inputs_Monthly!$O27/Inputs_Monthly!$D27)</f>
        <v>1573.20914005532</v>
      </c>
      <c r="P27" s="8">
        <f>IF(N(Inputs_Monthly!$Q27)=0,"",Inputs_Monthly!$R27/Inputs_Monthly!$Q27)</f>
        <v>0.774193548387097</v>
      </c>
      <c r="Q27" s="7">
        <f>IF(N(Inputs_Monthly!$Q27)=0,"",Inputs_Monthly!$S27/Inputs_Monthly!$Q27)</f>
        <v>22.9032258064516</v>
      </c>
      <c r="R27" s="8">
        <f>IF(OR(N(Inputs_Monthly!$C27)=0,N(Inputs_Monthly!$C26)=0),"",Inputs_Monthly!$C27/Inputs_Monthly!$C26-1)</f>
        <v>-0.11502845029566</v>
      </c>
      <c r="S27" s="8">
        <f>IF(OR(B27="",B26=""),"",B27/B26-1)</f>
        <v>-0.11502845029566</v>
      </c>
    </row>
    <row r="28" spans="1:19">
      <c r="A28" s="6" t="str">
        <f>IF(Inputs_Monthly!$A28="","",Inputs_Monthly!$A28)</f>
        <v>2026-08</v>
      </c>
      <c r="B28" s="7">
        <f>IF(N(Inputs_Monthly!$B28)=0,"",Inputs_Monthly!$C28/Inputs_Monthly!$B28)</f>
        <v>257.59375</v>
      </c>
      <c r="C28" s="7">
        <f>IF(N(Inputs_Monthly!$B28)=0,"",Inputs_Monthly!$D28/Inputs_Monthly!$B28)</f>
        <v>519.15625</v>
      </c>
      <c r="D28" s="8">
        <f>IF(N(Inputs_Monthly!$D28)=0,"",Inputs_Monthly!$H28/Inputs_Monthly!$D28)</f>
        <v>0.13471377836634</v>
      </c>
      <c r="E28" s="8">
        <f>IF(N(Inputs_Monthly!$C28)=0,"",Inputs_Monthly!$G28/Inputs_Monthly!$C28)</f>
        <v>0.126288972461482</v>
      </c>
      <c r="F28" s="8">
        <f>IF(N(Inputs_Monthly!$C28)=0,"",Inputs_Monthly!$E28/Inputs_Monthly!$C28)</f>
        <v>0.739415261433944</v>
      </c>
      <c r="G28" s="8">
        <f>IF(N(Inputs_Monthly!$C28)=0,"",Inputs_Monthly!$F28/Inputs_Monthly!$C28)</f>
        <v>0.0247482712604634</v>
      </c>
      <c r="H28" s="8">
        <f>IF(N(Inputs_Monthly!$D28)=0,"",Inputs_Monthly!$I28/Inputs_Monthly!$D28)</f>
        <v>0.0710889062782159</v>
      </c>
      <c r="I28" s="8">
        <f>IF(N(Inputs_Monthly!$I28)=0,"",Inputs_Monthly!$J28/Inputs_Monthly!$I28)</f>
        <v>0.166807790008467</v>
      </c>
      <c r="J28" s="8">
        <f>IF(N(Inputs_Monthly!$N28)=0,"",Inputs_Monthly!$K28/Inputs_Monthly!$N28)</f>
        <v>0.0475376196990424</v>
      </c>
      <c r="K28" s="8">
        <f>IF(N(Inputs_Monthly!$N28)=0,"",(Inputs_Monthly!$L28+Settings!$B$3*Inputs_Monthly!$M28)/Inputs_Monthly!$N28)</f>
        <v>0.742162562699498</v>
      </c>
      <c r="L28" s="9">
        <f>IF(N(Inputs_Monthly!$O28)=0,"",Inputs_Monthly!$O28)</f>
        <v>27080300</v>
      </c>
      <c r="M28" s="9">
        <f>IF(N(Inputs_Monthly!$O28)=0,"",Inputs_Monthly!$P28)</f>
        <v>4303071.25</v>
      </c>
      <c r="N28" s="9">
        <f>IF(N(Inputs_Monthly!$O28)=0,"",Inputs_Monthly!$O28-Inputs_Monthly!$P28)</f>
        <v>22777228.75</v>
      </c>
      <c r="O28" s="7">
        <f>IF(N(Inputs_Monthly!$D28)=0,"",Inputs_Monthly!$O28/Inputs_Monthly!$D28)</f>
        <v>1630.06681514477</v>
      </c>
      <c r="P28" s="8">
        <f>IF(N(Inputs_Monthly!$Q28)=0,"",Inputs_Monthly!$R28/Inputs_Monthly!$Q28)</f>
        <v>0.766666666666667</v>
      </c>
      <c r="Q28" s="7">
        <f>IF(N(Inputs_Monthly!$Q28)=0,"",Inputs_Monthly!$S28/Inputs_Monthly!$Q28)</f>
        <v>18.5</v>
      </c>
      <c r="R28" s="8">
        <f>IF(OR(N(Inputs_Monthly!$C28)=0,N(Inputs_Monthly!$C27)=0),"",Inputs_Monthly!$C28/Inputs_Monthly!$C27-1)</f>
        <v>0.0392082702975289</v>
      </c>
      <c r="S28" s="8">
        <f>IF(OR(B28="",B27=""),"",B28/B27-1)</f>
        <v>0.0392082702975289</v>
      </c>
    </row>
    <row r="29" spans="1:19">
      <c r="A29" s="6">
        <f>IF(Inputs_Monthly!$A29="","",Inputs_Monthly!$A29)</f>
        <v/>
      </c>
      <c r="B29" s="7">
        <f>IF(N(Inputs_Monthly!$B29)=0,"",Inputs_Monthly!$C29/Inputs_Monthly!$B29)</f>
        <v/>
      </c>
      <c r="C29" s="7">
        <f>IF(N(Inputs_Monthly!$B29)=0,"",Inputs_Monthly!$D29/Inputs_Monthly!$B29)</f>
        <v/>
      </c>
      <c r="D29" s="8">
        <f>IF(N(Inputs_Monthly!$D29)=0,"",Inputs_Monthly!$H29/Inputs_Monthly!$D29)</f>
        <v/>
      </c>
      <c r="E29" s="8">
        <f>IF(N(Inputs_Monthly!$C29)=0,"",Inputs_Monthly!$G29/Inputs_Monthly!$C29)</f>
        <v/>
      </c>
      <c r="F29" s="8">
        <f>IF(N(Inputs_Monthly!$C29)=0,"",Inputs_Monthly!$E29/Inputs_Monthly!$C29)</f>
        <v/>
      </c>
      <c r="G29" s="8">
        <f>IF(N(Inputs_Monthly!$C29)=0,"",Inputs_Monthly!$F29/Inputs_Monthly!$C29)</f>
        <v/>
      </c>
      <c r="H29" s="8">
        <f>IF(N(Inputs_Monthly!$D29)=0,"",Inputs_Monthly!$I29/Inputs_Monthly!$D29)</f>
        <v/>
      </c>
      <c r="I29" s="8">
        <f>IF(N(Inputs_Monthly!$I29)=0,"",Inputs_Monthly!$J29/Inputs_Monthly!$I29)</f>
        <v/>
      </c>
      <c r="J29" s="8">
        <f>IF(N(Inputs_Monthly!$N29)=0,"",Inputs_Monthly!$K29/Inputs_Monthly!$N29)</f>
        <v/>
      </c>
      <c r="K29" s="8">
        <f>IF(N(Inputs_Monthly!$N29)=0,"",(Inputs_Monthly!$L29+Settings!$B$3*Inputs_Monthly!$M29)/Inputs_Monthly!$N29)</f>
        <v/>
      </c>
      <c r="L29" s="9">
        <f>IF(N(Inputs_Monthly!$O29)=0,"",Inputs_Monthly!$O29)</f>
        <v/>
      </c>
      <c r="M29" s="9">
        <f>IF(N(Inputs_Monthly!$O29)=0,"",Inputs_Monthly!$P29)</f>
        <v/>
      </c>
      <c r="N29" s="9">
        <f>IF(N(Inputs_Monthly!$O29)=0,"",Inputs_Monthly!$O29-Inputs_Monthly!$P29)</f>
        <v/>
      </c>
      <c r="O29" s="7">
        <f>IF(N(Inputs_Monthly!$D29)=0,"",Inputs_Monthly!$O29/Inputs_Monthly!$D29)</f>
        <v/>
      </c>
      <c r="P29" s="8">
        <f>IF(N(Inputs_Monthly!$Q29)=0,"",Inputs_Monthly!$R29/Inputs_Monthly!$Q29)</f>
        <v/>
      </c>
      <c r="Q29" s="7">
        <f>IF(N(Inputs_Monthly!$Q29)=0,"",Inputs_Monthly!$S29/Inputs_Monthly!$Q29)</f>
        <v/>
      </c>
      <c r="R29" s="8">
        <f>IF(OR(N(Inputs_Monthly!$C29)=0,N(Inputs_Monthly!$C28)=0),"",Inputs_Monthly!$C29/Inputs_Monthly!$C28-1)</f>
        <v/>
      </c>
      <c r="S29" s="8">
        <f>IF(OR(B29="",B28=""),"",B29/B28-1)</f>
        <v/>
      </c>
    </row>
    <row r="30" spans="1:19">
      <c r="A30" s="6">
        <f>IF(Inputs_Monthly!$A30="","",Inputs_Monthly!$A30)</f>
        <v/>
      </c>
      <c r="B30" s="7">
        <f>IF(N(Inputs_Monthly!$B30)=0,"",Inputs_Monthly!$C30/Inputs_Monthly!$B30)</f>
        <v/>
      </c>
      <c r="C30" s="7">
        <f>IF(N(Inputs_Monthly!$B30)=0,"",Inputs_Monthly!$D30/Inputs_Monthly!$B30)</f>
        <v/>
      </c>
      <c r="D30" s="8">
        <f>IF(N(Inputs_Monthly!$D30)=0,"",Inputs_Monthly!$H30/Inputs_Monthly!$D30)</f>
        <v/>
      </c>
      <c r="E30" s="8">
        <f>IF(N(Inputs_Monthly!$C30)=0,"",Inputs_Monthly!$G30/Inputs_Monthly!$C30)</f>
        <v/>
      </c>
      <c r="F30" s="8">
        <f>IF(N(Inputs_Monthly!$C30)=0,"",Inputs_Monthly!$E30/Inputs_Monthly!$C30)</f>
        <v/>
      </c>
      <c r="G30" s="8">
        <f>IF(N(Inputs_Monthly!$C30)=0,"",Inputs_Monthly!$F30/Inputs_Monthly!$C30)</f>
        <v/>
      </c>
      <c r="H30" s="8">
        <f>IF(N(Inputs_Monthly!$D30)=0,"",Inputs_Monthly!$I30/Inputs_Monthly!$D30)</f>
        <v/>
      </c>
      <c r="I30" s="8">
        <f>IF(N(Inputs_Monthly!$I30)=0,"",Inputs_Monthly!$J30/Inputs_Monthly!$I30)</f>
        <v/>
      </c>
      <c r="J30" s="8">
        <f>IF(N(Inputs_Monthly!$N30)=0,"",Inputs_Monthly!$K30/Inputs_Monthly!$N30)</f>
        <v/>
      </c>
      <c r="K30" s="8">
        <f>IF(N(Inputs_Monthly!$N30)=0,"",(Inputs_Monthly!$L30+Settings!$B$3*Inputs_Monthly!$M30)/Inputs_Monthly!$N30)</f>
        <v/>
      </c>
      <c r="L30" s="9">
        <f>IF(N(Inputs_Monthly!$O30)=0,"",Inputs_Monthly!$O30)</f>
        <v/>
      </c>
      <c r="M30" s="9">
        <f>IF(N(Inputs_Monthly!$O30)=0,"",Inputs_Monthly!$P30)</f>
        <v/>
      </c>
      <c r="N30" s="9">
        <f>IF(N(Inputs_Monthly!$O30)=0,"",Inputs_Monthly!$O30-Inputs_Monthly!$P30)</f>
        <v/>
      </c>
      <c r="O30" s="7">
        <f>IF(N(Inputs_Monthly!$D30)=0,"",Inputs_Monthly!$O30/Inputs_Monthly!$D30)</f>
        <v/>
      </c>
      <c r="P30" s="8">
        <f>IF(N(Inputs_Monthly!$Q30)=0,"",Inputs_Monthly!$R30/Inputs_Monthly!$Q30)</f>
        <v/>
      </c>
      <c r="Q30" s="7">
        <f>IF(N(Inputs_Monthly!$Q30)=0,"",Inputs_Monthly!$S30/Inputs_Monthly!$Q30)</f>
        <v/>
      </c>
      <c r="R30" s="8">
        <f>IF(OR(N(Inputs_Monthly!$C30)=0,N(Inputs_Monthly!$C29)=0),"",Inputs_Monthly!$C30/Inputs_Monthly!$C29-1)</f>
        <v/>
      </c>
      <c r="S30" s="8">
        <f>IF(OR(B30="",B29=""),"",B30/B29-1)</f>
        <v/>
      </c>
    </row>
    <row r="31" spans="1:19">
      <c r="A31" s="6">
        <f>IF(Inputs_Monthly!$A31="","",Inputs_Monthly!$A31)</f>
        <v/>
      </c>
      <c r="B31" s="7">
        <f>IF(N(Inputs_Monthly!$B31)=0,"",Inputs_Monthly!$C31/Inputs_Monthly!$B31)</f>
        <v/>
      </c>
      <c r="C31" s="7">
        <f>IF(N(Inputs_Monthly!$B31)=0,"",Inputs_Monthly!$D31/Inputs_Monthly!$B31)</f>
        <v/>
      </c>
      <c r="D31" s="8">
        <f>IF(N(Inputs_Monthly!$D31)=0,"",Inputs_Monthly!$H31/Inputs_Monthly!$D31)</f>
        <v/>
      </c>
      <c r="E31" s="8">
        <f>IF(N(Inputs_Monthly!$C31)=0,"",Inputs_Monthly!$G31/Inputs_Monthly!$C31)</f>
        <v/>
      </c>
      <c r="F31" s="8">
        <f>IF(N(Inputs_Monthly!$C31)=0,"",Inputs_Monthly!$E31/Inputs_Monthly!$C31)</f>
        <v/>
      </c>
      <c r="G31" s="8">
        <f>IF(N(Inputs_Monthly!$C31)=0,"",Inputs_Monthly!$F31/Inputs_Monthly!$C31)</f>
        <v/>
      </c>
      <c r="H31" s="8">
        <f>IF(N(Inputs_Monthly!$D31)=0,"",Inputs_Monthly!$I31/Inputs_Monthly!$D31)</f>
        <v/>
      </c>
      <c r="I31" s="8">
        <f>IF(N(Inputs_Monthly!$I31)=0,"",Inputs_Monthly!$J31/Inputs_Monthly!$I31)</f>
        <v/>
      </c>
      <c r="J31" s="8">
        <f>IF(N(Inputs_Monthly!$N31)=0,"",Inputs_Monthly!$K31/Inputs_Monthly!$N31)</f>
        <v/>
      </c>
      <c r="K31" s="8">
        <f>IF(N(Inputs_Monthly!$N31)=0,"",(Inputs_Monthly!$L31+Settings!$B$3*Inputs_Monthly!$M31)/Inputs_Monthly!$N31)</f>
        <v/>
      </c>
      <c r="L31" s="9">
        <f>IF(N(Inputs_Monthly!$O31)=0,"",Inputs_Monthly!$O31)</f>
        <v/>
      </c>
      <c r="M31" s="9">
        <f>IF(N(Inputs_Monthly!$O31)=0,"",Inputs_Monthly!$P31)</f>
        <v/>
      </c>
      <c r="N31" s="9">
        <f>IF(N(Inputs_Monthly!$O31)=0,"",Inputs_Monthly!$O31-Inputs_Monthly!$P31)</f>
        <v/>
      </c>
      <c r="O31" s="7">
        <f>IF(N(Inputs_Monthly!$D31)=0,"",Inputs_Monthly!$O31/Inputs_Monthly!$D31)</f>
        <v/>
      </c>
      <c r="P31" s="8">
        <f>IF(N(Inputs_Monthly!$Q31)=0,"",Inputs_Monthly!$R31/Inputs_Monthly!$Q31)</f>
        <v/>
      </c>
      <c r="Q31" s="7">
        <f>IF(N(Inputs_Monthly!$Q31)=0,"",Inputs_Monthly!$S31/Inputs_Monthly!$Q31)</f>
        <v/>
      </c>
      <c r="R31" s="8">
        <f>IF(OR(N(Inputs_Monthly!$C31)=0,N(Inputs_Monthly!$C30)=0),"",Inputs_Monthly!$C31/Inputs_Monthly!$C30-1)</f>
        <v/>
      </c>
      <c r="S31" s="8">
        <f>IF(OR(B31="",B30=""),"",B31/B30-1)</f>
        <v/>
      </c>
    </row>
    <row r="32" spans="1:19">
      <c r="A32" s="6">
        <f>IF(Inputs_Monthly!$A32="","",Inputs_Monthly!$A32)</f>
        <v/>
      </c>
      <c r="B32" s="7">
        <f>IF(N(Inputs_Monthly!$B32)=0,"",Inputs_Monthly!$C32/Inputs_Monthly!$B32)</f>
        <v/>
      </c>
      <c r="C32" s="7">
        <f>IF(N(Inputs_Monthly!$B32)=0,"",Inputs_Monthly!$D32/Inputs_Monthly!$B32)</f>
        <v/>
      </c>
      <c r="D32" s="8">
        <f>IF(N(Inputs_Monthly!$D32)=0,"",Inputs_Monthly!$H32/Inputs_Monthly!$D32)</f>
        <v/>
      </c>
      <c r="E32" s="8">
        <f>IF(N(Inputs_Monthly!$C32)=0,"",Inputs_Monthly!$G32/Inputs_Monthly!$C32)</f>
        <v/>
      </c>
      <c r="F32" s="8">
        <f>IF(N(Inputs_Monthly!$C32)=0,"",Inputs_Monthly!$E32/Inputs_Monthly!$C32)</f>
        <v/>
      </c>
      <c r="G32" s="8">
        <f>IF(N(Inputs_Monthly!$C32)=0,"",Inputs_Monthly!$F32/Inputs_Monthly!$C32)</f>
        <v/>
      </c>
      <c r="H32" s="8">
        <f>IF(N(Inputs_Monthly!$D32)=0,"",Inputs_Monthly!$I32/Inputs_Monthly!$D32)</f>
        <v/>
      </c>
      <c r="I32" s="8">
        <f>IF(N(Inputs_Monthly!$I32)=0,"",Inputs_Monthly!$J32/Inputs_Monthly!$I32)</f>
        <v/>
      </c>
      <c r="J32" s="8">
        <f>IF(N(Inputs_Monthly!$N32)=0,"",Inputs_Monthly!$K32/Inputs_Monthly!$N32)</f>
        <v/>
      </c>
      <c r="K32" s="8">
        <f>IF(N(Inputs_Monthly!$N32)=0,"",(Inputs_Monthly!$L32+Settings!$B$3*Inputs_Monthly!$M32)/Inputs_Monthly!$N32)</f>
        <v/>
      </c>
      <c r="L32" s="9">
        <f>IF(N(Inputs_Monthly!$O32)=0,"",Inputs_Monthly!$O32)</f>
        <v/>
      </c>
      <c r="M32" s="9">
        <f>IF(N(Inputs_Monthly!$O32)=0,"",Inputs_Monthly!$P32)</f>
        <v/>
      </c>
      <c r="N32" s="9">
        <f>IF(N(Inputs_Monthly!$O32)=0,"",Inputs_Monthly!$O32-Inputs_Monthly!$P32)</f>
        <v/>
      </c>
      <c r="O32" s="7">
        <f>IF(N(Inputs_Monthly!$D32)=0,"",Inputs_Monthly!$O32/Inputs_Monthly!$D32)</f>
        <v/>
      </c>
      <c r="P32" s="8">
        <f>IF(N(Inputs_Monthly!$Q32)=0,"",Inputs_Monthly!$R32/Inputs_Monthly!$Q32)</f>
        <v/>
      </c>
      <c r="Q32" s="7">
        <f>IF(N(Inputs_Monthly!$Q32)=0,"",Inputs_Monthly!$S32/Inputs_Monthly!$Q32)</f>
        <v/>
      </c>
      <c r="R32" s="8">
        <f>IF(OR(N(Inputs_Monthly!$C32)=0,N(Inputs_Monthly!$C31)=0),"",Inputs_Monthly!$C32/Inputs_Monthly!$C31-1)</f>
        <v/>
      </c>
      <c r="S32" s="8">
        <f>IF(OR(B32="",B31=""),"",B32/B31-1)</f>
        <v/>
      </c>
    </row>
    <row r="33" spans="1:19">
      <c r="A33" s="6">
        <f>IF(Inputs_Monthly!$A33="","",Inputs_Monthly!$A33)</f>
        <v/>
      </c>
      <c r="B33" s="7">
        <f>IF(N(Inputs_Monthly!$B33)=0,"",Inputs_Monthly!$C33/Inputs_Monthly!$B33)</f>
        <v/>
      </c>
      <c r="C33" s="7">
        <f>IF(N(Inputs_Monthly!$B33)=0,"",Inputs_Monthly!$D33/Inputs_Monthly!$B33)</f>
        <v/>
      </c>
      <c r="D33" s="8">
        <f>IF(N(Inputs_Monthly!$D33)=0,"",Inputs_Monthly!$H33/Inputs_Monthly!$D33)</f>
        <v/>
      </c>
      <c r="E33" s="8">
        <f>IF(N(Inputs_Monthly!$C33)=0,"",Inputs_Monthly!$G33/Inputs_Monthly!$C33)</f>
        <v/>
      </c>
      <c r="F33" s="8">
        <f>IF(N(Inputs_Monthly!$C33)=0,"",Inputs_Monthly!$E33/Inputs_Monthly!$C33)</f>
        <v/>
      </c>
      <c r="G33" s="8">
        <f>IF(N(Inputs_Monthly!$C33)=0,"",Inputs_Monthly!$F33/Inputs_Monthly!$C33)</f>
        <v/>
      </c>
      <c r="H33" s="8">
        <f>IF(N(Inputs_Monthly!$D33)=0,"",Inputs_Monthly!$I33/Inputs_Monthly!$D33)</f>
        <v/>
      </c>
      <c r="I33" s="8">
        <f>IF(N(Inputs_Monthly!$I33)=0,"",Inputs_Monthly!$J33/Inputs_Monthly!$I33)</f>
        <v/>
      </c>
      <c r="J33" s="8">
        <f>IF(N(Inputs_Monthly!$N33)=0,"",Inputs_Monthly!$K33/Inputs_Monthly!$N33)</f>
        <v/>
      </c>
      <c r="K33" s="8">
        <f>IF(N(Inputs_Monthly!$N33)=0,"",(Inputs_Monthly!$L33+Settings!$B$3*Inputs_Monthly!$M33)/Inputs_Monthly!$N33)</f>
        <v/>
      </c>
      <c r="L33" s="9">
        <f>IF(N(Inputs_Monthly!$O33)=0,"",Inputs_Monthly!$O33)</f>
        <v/>
      </c>
      <c r="M33" s="9">
        <f>IF(N(Inputs_Monthly!$O33)=0,"",Inputs_Monthly!$P33)</f>
        <v/>
      </c>
      <c r="N33" s="9">
        <f>IF(N(Inputs_Monthly!$O33)=0,"",Inputs_Monthly!$O33-Inputs_Monthly!$P33)</f>
        <v/>
      </c>
      <c r="O33" s="7">
        <f>IF(N(Inputs_Monthly!$D33)=0,"",Inputs_Monthly!$O33/Inputs_Monthly!$D33)</f>
        <v/>
      </c>
      <c r="P33" s="8">
        <f>IF(N(Inputs_Monthly!$Q33)=0,"",Inputs_Monthly!$R33/Inputs_Monthly!$Q33)</f>
        <v/>
      </c>
      <c r="Q33" s="7">
        <f>IF(N(Inputs_Monthly!$Q33)=0,"",Inputs_Monthly!$S33/Inputs_Monthly!$Q33)</f>
        <v/>
      </c>
      <c r="R33" s="8">
        <f>IF(OR(N(Inputs_Monthly!$C33)=0,N(Inputs_Monthly!$C32)=0),"",Inputs_Monthly!$C33/Inputs_Monthly!$C32-1)</f>
        <v/>
      </c>
      <c r="S33" s="8">
        <f>IF(OR(B33="",B32=""),"",B33/B32-1)</f>
        <v/>
      </c>
    </row>
    <row r="34" spans="1:19">
      <c r="A34" s="6">
        <f>IF(Inputs_Monthly!$A34="","",Inputs_Monthly!$A34)</f>
        <v/>
      </c>
      <c r="B34" s="7">
        <f>IF(N(Inputs_Monthly!$B34)=0,"",Inputs_Monthly!$C34/Inputs_Monthly!$B34)</f>
        <v/>
      </c>
      <c r="C34" s="7">
        <f>IF(N(Inputs_Monthly!$B34)=0,"",Inputs_Monthly!$D34/Inputs_Monthly!$B34)</f>
        <v/>
      </c>
      <c r="D34" s="8">
        <f>IF(N(Inputs_Monthly!$D34)=0,"",Inputs_Monthly!$H34/Inputs_Monthly!$D34)</f>
        <v/>
      </c>
      <c r="E34" s="8">
        <f>IF(N(Inputs_Monthly!$C34)=0,"",Inputs_Monthly!$G34/Inputs_Monthly!$C34)</f>
        <v/>
      </c>
      <c r="F34" s="8">
        <f>IF(N(Inputs_Monthly!$C34)=0,"",Inputs_Monthly!$E34/Inputs_Monthly!$C34)</f>
        <v/>
      </c>
      <c r="G34" s="8">
        <f>IF(N(Inputs_Monthly!$C34)=0,"",Inputs_Monthly!$F34/Inputs_Monthly!$C34)</f>
        <v/>
      </c>
      <c r="H34" s="8">
        <f>IF(N(Inputs_Monthly!$D34)=0,"",Inputs_Monthly!$I34/Inputs_Monthly!$D34)</f>
        <v/>
      </c>
      <c r="I34" s="8">
        <f>IF(N(Inputs_Monthly!$I34)=0,"",Inputs_Monthly!$J34/Inputs_Monthly!$I34)</f>
        <v/>
      </c>
      <c r="J34" s="8">
        <f>IF(N(Inputs_Monthly!$N34)=0,"",Inputs_Monthly!$K34/Inputs_Monthly!$N34)</f>
        <v/>
      </c>
      <c r="K34" s="8">
        <f>IF(N(Inputs_Monthly!$N34)=0,"",(Inputs_Monthly!$L34+Settings!$B$3*Inputs_Monthly!$M34)/Inputs_Monthly!$N34)</f>
        <v/>
      </c>
      <c r="L34" s="9">
        <f>IF(N(Inputs_Monthly!$O34)=0,"",Inputs_Monthly!$O34)</f>
        <v/>
      </c>
      <c r="M34" s="9">
        <f>IF(N(Inputs_Monthly!$O34)=0,"",Inputs_Monthly!$P34)</f>
        <v/>
      </c>
      <c r="N34" s="9">
        <f>IF(N(Inputs_Monthly!$O34)=0,"",Inputs_Monthly!$O34-Inputs_Monthly!$P34)</f>
        <v/>
      </c>
      <c r="O34" s="7">
        <f>IF(N(Inputs_Monthly!$D34)=0,"",Inputs_Monthly!$O34/Inputs_Monthly!$D34)</f>
        <v/>
      </c>
      <c r="P34" s="8">
        <f>IF(N(Inputs_Monthly!$Q34)=0,"",Inputs_Monthly!$R34/Inputs_Monthly!$Q34)</f>
        <v/>
      </c>
      <c r="Q34" s="7">
        <f>IF(N(Inputs_Monthly!$Q34)=0,"",Inputs_Monthly!$S34/Inputs_Monthly!$Q34)</f>
        <v/>
      </c>
      <c r="R34" s="8">
        <f>IF(OR(N(Inputs_Monthly!$C34)=0,N(Inputs_Monthly!$C33)=0),"",Inputs_Monthly!$C34/Inputs_Monthly!$C33-1)</f>
        <v/>
      </c>
      <c r="S34" s="8">
        <f>IF(OR(B34="",B33=""),"",B34/B33-1)</f>
        <v/>
      </c>
    </row>
    <row r="35" spans="1:19">
      <c r="A35" s="6">
        <f>IF(Inputs_Monthly!$A35="","",Inputs_Monthly!$A35)</f>
        <v/>
      </c>
      <c r="B35" s="7">
        <f>IF(N(Inputs_Monthly!$B35)=0,"",Inputs_Monthly!$C35/Inputs_Monthly!$B35)</f>
        <v/>
      </c>
      <c r="C35" s="7">
        <f>IF(N(Inputs_Monthly!$B35)=0,"",Inputs_Monthly!$D35/Inputs_Monthly!$B35)</f>
        <v/>
      </c>
      <c r="D35" s="8">
        <f>IF(N(Inputs_Monthly!$D35)=0,"",Inputs_Monthly!$H35/Inputs_Monthly!$D35)</f>
        <v/>
      </c>
      <c r="E35" s="8">
        <f>IF(N(Inputs_Monthly!$C35)=0,"",Inputs_Monthly!$G35/Inputs_Monthly!$C35)</f>
        <v/>
      </c>
      <c r="F35" s="8">
        <f>IF(N(Inputs_Monthly!$C35)=0,"",Inputs_Monthly!$E35/Inputs_Monthly!$C35)</f>
        <v/>
      </c>
      <c r="G35" s="8">
        <f>IF(N(Inputs_Monthly!$C35)=0,"",Inputs_Monthly!$F35/Inputs_Monthly!$C35)</f>
        <v/>
      </c>
      <c r="H35" s="8">
        <f>IF(N(Inputs_Monthly!$D35)=0,"",Inputs_Monthly!$I35/Inputs_Monthly!$D35)</f>
        <v/>
      </c>
      <c r="I35" s="8">
        <f>IF(N(Inputs_Monthly!$I35)=0,"",Inputs_Monthly!$J35/Inputs_Monthly!$I35)</f>
        <v/>
      </c>
      <c r="J35" s="8">
        <f>IF(N(Inputs_Monthly!$N35)=0,"",Inputs_Monthly!$K35/Inputs_Monthly!$N35)</f>
        <v/>
      </c>
      <c r="K35" s="8">
        <f>IF(N(Inputs_Monthly!$N35)=0,"",(Inputs_Monthly!$L35+Settings!$B$3*Inputs_Monthly!$M35)/Inputs_Monthly!$N35)</f>
        <v/>
      </c>
      <c r="L35" s="9">
        <f>IF(N(Inputs_Monthly!$O35)=0,"",Inputs_Monthly!$O35)</f>
        <v/>
      </c>
      <c r="M35" s="9">
        <f>IF(N(Inputs_Monthly!$O35)=0,"",Inputs_Monthly!$P35)</f>
        <v/>
      </c>
      <c r="N35" s="9">
        <f>IF(N(Inputs_Monthly!$O35)=0,"",Inputs_Monthly!$O35-Inputs_Monthly!$P35)</f>
        <v/>
      </c>
      <c r="O35" s="7">
        <f>IF(N(Inputs_Monthly!$D35)=0,"",Inputs_Monthly!$O35/Inputs_Monthly!$D35)</f>
        <v/>
      </c>
      <c r="P35" s="8">
        <f>IF(N(Inputs_Monthly!$Q35)=0,"",Inputs_Monthly!$R35/Inputs_Monthly!$Q35)</f>
        <v/>
      </c>
      <c r="Q35" s="7">
        <f>IF(N(Inputs_Monthly!$Q35)=0,"",Inputs_Monthly!$S35/Inputs_Monthly!$Q35)</f>
        <v/>
      </c>
      <c r="R35" s="8">
        <f>IF(OR(N(Inputs_Monthly!$C35)=0,N(Inputs_Monthly!$C34)=0),"",Inputs_Monthly!$C35/Inputs_Monthly!$C34-1)</f>
        <v/>
      </c>
      <c r="S35" s="8">
        <f>IF(OR(B35="",B34=""),"",B35/B34-1)</f>
        <v/>
      </c>
    </row>
    <row r="36" spans="1:19">
      <c r="A36" s="6">
        <f>IF(Inputs_Monthly!$A36="","",Inputs_Monthly!$A36)</f>
        <v/>
      </c>
      <c r="B36" s="7">
        <f>IF(N(Inputs_Monthly!$B36)=0,"",Inputs_Monthly!$C36/Inputs_Monthly!$B36)</f>
        <v/>
      </c>
      <c r="C36" s="7">
        <f>IF(N(Inputs_Monthly!$B36)=0,"",Inputs_Monthly!$D36/Inputs_Monthly!$B36)</f>
        <v/>
      </c>
      <c r="D36" s="8">
        <f>IF(N(Inputs_Monthly!$D36)=0,"",Inputs_Monthly!$H36/Inputs_Monthly!$D36)</f>
        <v/>
      </c>
      <c r="E36" s="8">
        <f>IF(N(Inputs_Monthly!$C36)=0,"",Inputs_Monthly!$G36/Inputs_Monthly!$C36)</f>
        <v/>
      </c>
      <c r="F36" s="8">
        <f>IF(N(Inputs_Monthly!$C36)=0,"",Inputs_Monthly!$E36/Inputs_Monthly!$C36)</f>
        <v/>
      </c>
      <c r="G36" s="8">
        <f>IF(N(Inputs_Monthly!$C36)=0,"",Inputs_Monthly!$F36/Inputs_Monthly!$C36)</f>
        <v/>
      </c>
      <c r="H36" s="8">
        <f>IF(N(Inputs_Monthly!$D36)=0,"",Inputs_Monthly!$I36/Inputs_Monthly!$D36)</f>
        <v/>
      </c>
      <c r="I36" s="8">
        <f>IF(N(Inputs_Monthly!$I36)=0,"",Inputs_Monthly!$J36/Inputs_Monthly!$I36)</f>
        <v/>
      </c>
      <c r="J36" s="8">
        <f>IF(N(Inputs_Monthly!$N36)=0,"",Inputs_Monthly!$K36/Inputs_Monthly!$N36)</f>
        <v/>
      </c>
      <c r="K36" s="8">
        <f>IF(N(Inputs_Monthly!$N36)=0,"",(Inputs_Monthly!$L36+Settings!$B$3*Inputs_Monthly!$M36)/Inputs_Monthly!$N36)</f>
        <v/>
      </c>
      <c r="L36" s="9">
        <f>IF(N(Inputs_Monthly!$O36)=0,"",Inputs_Monthly!$O36)</f>
        <v/>
      </c>
      <c r="M36" s="9">
        <f>IF(N(Inputs_Monthly!$O36)=0,"",Inputs_Monthly!$P36)</f>
        <v/>
      </c>
      <c r="N36" s="9">
        <f>IF(N(Inputs_Monthly!$O36)=0,"",Inputs_Monthly!$O36-Inputs_Monthly!$P36)</f>
        <v/>
      </c>
      <c r="O36" s="7">
        <f>IF(N(Inputs_Monthly!$D36)=0,"",Inputs_Monthly!$O36/Inputs_Monthly!$D36)</f>
        <v/>
      </c>
      <c r="P36" s="8">
        <f>IF(N(Inputs_Monthly!$Q36)=0,"",Inputs_Monthly!$R36/Inputs_Monthly!$Q36)</f>
        <v/>
      </c>
      <c r="Q36" s="7">
        <f>IF(N(Inputs_Monthly!$Q36)=0,"",Inputs_Monthly!$S36/Inputs_Monthly!$Q36)</f>
        <v/>
      </c>
      <c r="R36" s="8">
        <f>IF(OR(N(Inputs_Monthly!$C36)=0,N(Inputs_Monthly!$C35)=0),"",Inputs_Monthly!$C36/Inputs_Monthly!$C35-1)</f>
        <v/>
      </c>
      <c r="S36" s="8">
        <f>IF(OR(B36="",B35=""),"",B36/B35-1)</f>
        <v/>
      </c>
    </row>
    <row r="37" spans="1:19">
      <c r="A37" s="6">
        <f>IF(Inputs_Monthly!$A37="","",Inputs_Monthly!$A37)</f>
        <v/>
      </c>
      <c r="B37" s="7">
        <f>IF(N(Inputs_Monthly!$B37)=0,"",Inputs_Monthly!$C37/Inputs_Monthly!$B37)</f>
        <v/>
      </c>
      <c r="C37" s="7">
        <f>IF(N(Inputs_Monthly!$B37)=0,"",Inputs_Monthly!$D37/Inputs_Monthly!$B37)</f>
        <v/>
      </c>
      <c r="D37" s="8">
        <f>IF(N(Inputs_Monthly!$D37)=0,"",Inputs_Monthly!$H37/Inputs_Monthly!$D37)</f>
        <v/>
      </c>
      <c r="E37" s="8">
        <f>IF(N(Inputs_Monthly!$C37)=0,"",Inputs_Monthly!$G37/Inputs_Monthly!$C37)</f>
        <v/>
      </c>
      <c r="F37" s="8">
        <f>IF(N(Inputs_Monthly!$C37)=0,"",Inputs_Monthly!$E37/Inputs_Monthly!$C37)</f>
        <v/>
      </c>
      <c r="G37" s="8">
        <f>IF(N(Inputs_Monthly!$C37)=0,"",Inputs_Monthly!$F37/Inputs_Monthly!$C37)</f>
        <v/>
      </c>
      <c r="H37" s="8">
        <f>IF(N(Inputs_Monthly!$D37)=0,"",Inputs_Monthly!$I37/Inputs_Monthly!$D37)</f>
        <v/>
      </c>
      <c r="I37" s="8">
        <f>IF(N(Inputs_Monthly!$I37)=0,"",Inputs_Monthly!$J37/Inputs_Monthly!$I37)</f>
        <v/>
      </c>
      <c r="J37" s="8">
        <f>IF(N(Inputs_Monthly!$N37)=0,"",Inputs_Monthly!$K37/Inputs_Monthly!$N37)</f>
        <v/>
      </c>
      <c r="K37" s="8">
        <f>IF(N(Inputs_Monthly!$N37)=0,"",(Inputs_Monthly!$L37+Settings!$B$3*Inputs_Monthly!$M37)/Inputs_Monthly!$N37)</f>
        <v/>
      </c>
      <c r="L37" s="9">
        <f>IF(N(Inputs_Monthly!$O37)=0,"",Inputs_Monthly!$O37)</f>
        <v/>
      </c>
      <c r="M37" s="9">
        <f>IF(N(Inputs_Monthly!$O37)=0,"",Inputs_Monthly!$P37)</f>
        <v/>
      </c>
      <c r="N37" s="9">
        <f>IF(N(Inputs_Monthly!$O37)=0,"",Inputs_Monthly!$O37-Inputs_Monthly!$P37)</f>
        <v/>
      </c>
      <c r="O37" s="7">
        <f>IF(N(Inputs_Monthly!$D37)=0,"",Inputs_Monthly!$O37/Inputs_Monthly!$D37)</f>
        <v/>
      </c>
      <c r="P37" s="8">
        <f>IF(N(Inputs_Monthly!$Q37)=0,"",Inputs_Monthly!$R37/Inputs_Monthly!$Q37)</f>
        <v/>
      </c>
      <c r="Q37" s="7">
        <f>IF(N(Inputs_Monthly!$Q37)=0,"",Inputs_Monthly!$S37/Inputs_Monthly!$Q37)</f>
        <v/>
      </c>
      <c r="R37" s="8">
        <f>IF(OR(N(Inputs_Monthly!$C37)=0,N(Inputs_Monthly!$C36)=0),"",Inputs_Monthly!$C37/Inputs_Monthly!$C36-1)</f>
        <v/>
      </c>
      <c r="S37" s="8">
        <f>IF(OR(B37="",B36=""),"",B37/B36-1)</f>
        <v/>
      </c>
    </row>
    <row r="38" spans="1:19">
      <c r="A38" s="6">
        <f>IF(Inputs_Monthly!$A38="","",Inputs_Monthly!$A38)</f>
        <v/>
      </c>
      <c r="B38" s="7">
        <f>IF(N(Inputs_Monthly!$B38)=0,"",Inputs_Monthly!$C38/Inputs_Monthly!$B38)</f>
        <v/>
      </c>
      <c r="C38" s="7">
        <f>IF(N(Inputs_Monthly!$B38)=0,"",Inputs_Monthly!$D38/Inputs_Monthly!$B38)</f>
        <v/>
      </c>
      <c r="D38" s="8">
        <f>IF(N(Inputs_Monthly!$D38)=0,"",Inputs_Monthly!$H38/Inputs_Monthly!$D38)</f>
        <v/>
      </c>
      <c r="E38" s="8">
        <f>IF(N(Inputs_Monthly!$C38)=0,"",Inputs_Monthly!$G38/Inputs_Monthly!$C38)</f>
        <v/>
      </c>
      <c r="F38" s="8">
        <f>IF(N(Inputs_Monthly!$C38)=0,"",Inputs_Monthly!$E38/Inputs_Monthly!$C38)</f>
        <v/>
      </c>
      <c r="G38" s="8">
        <f>IF(N(Inputs_Monthly!$C38)=0,"",Inputs_Monthly!$F38/Inputs_Monthly!$C38)</f>
        <v/>
      </c>
      <c r="H38" s="8">
        <f>IF(N(Inputs_Monthly!$D38)=0,"",Inputs_Monthly!$I38/Inputs_Monthly!$D38)</f>
        <v/>
      </c>
      <c r="I38" s="8">
        <f>IF(N(Inputs_Monthly!$I38)=0,"",Inputs_Monthly!$J38/Inputs_Monthly!$I38)</f>
        <v/>
      </c>
      <c r="J38" s="8">
        <f>IF(N(Inputs_Monthly!$N38)=0,"",Inputs_Monthly!$K38/Inputs_Monthly!$N38)</f>
        <v/>
      </c>
      <c r="K38" s="8">
        <f>IF(N(Inputs_Monthly!$N38)=0,"",(Inputs_Monthly!$L38+Settings!$B$3*Inputs_Monthly!$M38)/Inputs_Monthly!$N38)</f>
        <v/>
      </c>
      <c r="L38" s="9">
        <f>IF(N(Inputs_Monthly!$O38)=0,"",Inputs_Monthly!$O38)</f>
        <v/>
      </c>
      <c r="M38" s="9">
        <f>IF(N(Inputs_Monthly!$O38)=0,"",Inputs_Monthly!$P38)</f>
        <v/>
      </c>
      <c r="N38" s="9">
        <f>IF(N(Inputs_Monthly!$O38)=0,"",Inputs_Monthly!$O38-Inputs_Monthly!$P38)</f>
        <v/>
      </c>
      <c r="O38" s="7">
        <f>IF(N(Inputs_Monthly!$D38)=0,"",Inputs_Monthly!$O38/Inputs_Monthly!$D38)</f>
        <v/>
      </c>
      <c r="P38" s="8">
        <f>IF(N(Inputs_Monthly!$Q38)=0,"",Inputs_Monthly!$R38/Inputs_Monthly!$Q38)</f>
        <v/>
      </c>
      <c r="Q38" s="7">
        <f>IF(N(Inputs_Monthly!$Q38)=0,"",Inputs_Monthly!$S38/Inputs_Monthly!$Q38)</f>
        <v/>
      </c>
      <c r="R38" s="8">
        <f>IF(OR(N(Inputs_Monthly!$C38)=0,N(Inputs_Monthly!$C37)=0),"",Inputs_Monthly!$C38/Inputs_Monthly!$C37-1)</f>
        <v/>
      </c>
      <c r="S38" s="8">
        <f>IF(OR(B38="",B37=""),"",B38/B37-1)</f>
        <v/>
      </c>
    </row>
    <row r="39" spans="1:19">
      <c r="A39" s="6">
        <f>IF(Inputs_Monthly!$A39="","",Inputs_Monthly!$A39)</f>
        <v/>
      </c>
      <c r="B39" s="7">
        <f>IF(N(Inputs_Monthly!$B39)=0,"",Inputs_Monthly!$C39/Inputs_Monthly!$B39)</f>
        <v/>
      </c>
      <c r="C39" s="7">
        <f>IF(N(Inputs_Monthly!$B39)=0,"",Inputs_Monthly!$D39/Inputs_Monthly!$B39)</f>
        <v/>
      </c>
      <c r="D39" s="8">
        <f>IF(N(Inputs_Monthly!$D39)=0,"",Inputs_Monthly!$H39/Inputs_Monthly!$D39)</f>
        <v/>
      </c>
      <c r="E39" s="8">
        <f>IF(N(Inputs_Monthly!$C39)=0,"",Inputs_Monthly!$G39/Inputs_Monthly!$C39)</f>
        <v/>
      </c>
      <c r="F39" s="8">
        <f>IF(N(Inputs_Monthly!$C39)=0,"",Inputs_Monthly!$E39/Inputs_Monthly!$C39)</f>
        <v/>
      </c>
      <c r="G39" s="8">
        <f>IF(N(Inputs_Monthly!$C39)=0,"",Inputs_Monthly!$F39/Inputs_Monthly!$C39)</f>
        <v/>
      </c>
      <c r="H39" s="8">
        <f>IF(N(Inputs_Monthly!$D39)=0,"",Inputs_Monthly!$I39/Inputs_Monthly!$D39)</f>
        <v/>
      </c>
      <c r="I39" s="8">
        <f>IF(N(Inputs_Monthly!$I39)=0,"",Inputs_Monthly!$J39/Inputs_Monthly!$I39)</f>
        <v/>
      </c>
      <c r="J39" s="8">
        <f>IF(N(Inputs_Monthly!$N39)=0,"",Inputs_Monthly!$K39/Inputs_Monthly!$N39)</f>
        <v/>
      </c>
      <c r="K39" s="8">
        <f>IF(N(Inputs_Monthly!$N39)=0,"",(Inputs_Monthly!$L39+Settings!$B$3*Inputs_Monthly!$M39)/Inputs_Monthly!$N39)</f>
        <v/>
      </c>
      <c r="L39" s="9">
        <f>IF(N(Inputs_Monthly!$O39)=0,"",Inputs_Monthly!$O39)</f>
        <v/>
      </c>
      <c r="M39" s="9">
        <f>IF(N(Inputs_Monthly!$O39)=0,"",Inputs_Monthly!$P39)</f>
        <v/>
      </c>
      <c r="N39" s="9">
        <f>IF(N(Inputs_Monthly!$O39)=0,"",Inputs_Monthly!$O39-Inputs_Monthly!$P39)</f>
        <v/>
      </c>
      <c r="O39" s="7">
        <f>IF(N(Inputs_Monthly!$D39)=0,"",Inputs_Monthly!$O39/Inputs_Monthly!$D39)</f>
        <v/>
      </c>
      <c r="P39" s="8">
        <f>IF(N(Inputs_Monthly!$Q39)=0,"",Inputs_Monthly!$R39/Inputs_Monthly!$Q39)</f>
        <v/>
      </c>
      <c r="Q39" s="7">
        <f>IF(N(Inputs_Monthly!$Q39)=0,"",Inputs_Monthly!$S39/Inputs_Monthly!$Q39)</f>
        <v/>
      </c>
      <c r="R39" s="8">
        <f>IF(OR(N(Inputs_Monthly!$C39)=0,N(Inputs_Monthly!$C38)=0),"",Inputs_Monthly!$C39/Inputs_Monthly!$C38-1)</f>
        <v/>
      </c>
      <c r="S39" s="8">
        <f>IF(OR(B39="",B38=""),"",B39/B38-1)</f>
        <v/>
      </c>
    </row>
    <row r="40" spans="1:19">
      <c r="A40" s="6">
        <f>IF(Inputs_Monthly!$A40="","",Inputs_Monthly!$A40)</f>
        <v/>
      </c>
      <c r="B40" s="7">
        <f>IF(N(Inputs_Monthly!$B40)=0,"",Inputs_Monthly!$C40/Inputs_Monthly!$B40)</f>
        <v/>
      </c>
      <c r="C40" s="7">
        <f>IF(N(Inputs_Monthly!$B40)=0,"",Inputs_Monthly!$D40/Inputs_Monthly!$B40)</f>
        <v/>
      </c>
      <c r="D40" s="8">
        <f>IF(N(Inputs_Monthly!$D40)=0,"",Inputs_Monthly!$H40/Inputs_Monthly!$D40)</f>
        <v/>
      </c>
      <c r="E40" s="8">
        <f>IF(N(Inputs_Monthly!$C40)=0,"",Inputs_Monthly!$G40/Inputs_Monthly!$C40)</f>
        <v/>
      </c>
      <c r="F40" s="8">
        <f>IF(N(Inputs_Monthly!$C40)=0,"",Inputs_Monthly!$E40/Inputs_Monthly!$C40)</f>
        <v/>
      </c>
      <c r="G40" s="8">
        <f>IF(N(Inputs_Monthly!$C40)=0,"",Inputs_Monthly!$F40/Inputs_Monthly!$C40)</f>
        <v/>
      </c>
      <c r="H40" s="8">
        <f>IF(N(Inputs_Monthly!$D40)=0,"",Inputs_Monthly!$I40/Inputs_Monthly!$D40)</f>
        <v/>
      </c>
      <c r="I40" s="8">
        <f>IF(N(Inputs_Monthly!$I40)=0,"",Inputs_Monthly!$J40/Inputs_Monthly!$I40)</f>
        <v/>
      </c>
      <c r="J40" s="8">
        <f>IF(N(Inputs_Monthly!$N40)=0,"",Inputs_Monthly!$K40/Inputs_Monthly!$N40)</f>
        <v/>
      </c>
      <c r="K40" s="8">
        <f>IF(N(Inputs_Monthly!$N40)=0,"",(Inputs_Monthly!$L40+Settings!$B$3*Inputs_Monthly!$M40)/Inputs_Monthly!$N40)</f>
        <v/>
      </c>
      <c r="L40" s="9">
        <f>IF(N(Inputs_Monthly!$O40)=0,"",Inputs_Monthly!$O40)</f>
        <v/>
      </c>
      <c r="M40" s="9">
        <f>IF(N(Inputs_Monthly!$O40)=0,"",Inputs_Monthly!$P40)</f>
        <v/>
      </c>
      <c r="N40" s="9">
        <f>IF(N(Inputs_Monthly!$O40)=0,"",Inputs_Monthly!$O40-Inputs_Monthly!$P40)</f>
        <v/>
      </c>
      <c r="O40" s="7">
        <f>IF(N(Inputs_Monthly!$D40)=0,"",Inputs_Monthly!$O40/Inputs_Monthly!$D40)</f>
        <v/>
      </c>
      <c r="P40" s="8">
        <f>IF(N(Inputs_Monthly!$Q40)=0,"",Inputs_Monthly!$R40/Inputs_Monthly!$Q40)</f>
        <v/>
      </c>
      <c r="Q40" s="7">
        <f>IF(N(Inputs_Monthly!$Q40)=0,"",Inputs_Monthly!$S40/Inputs_Monthly!$Q40)</f>
        <v/>
      </c>
      <c r="R40" s="8">
        <f>IF(OR(N(Inputs_Monthly!$C40)=0,N(Inputs_Monthly!$C39)=0),"",Inputs_Monthly!$C40/Inputs_Monthly!$C39-1)</f>
        <v/>
      </c>
      <c r="S40" s="8">
        <f>IF(OR(B40="",B39=""),"",B40/B39-1)</f>
        <v/>
      </c>
    </row>
  </sheetData>
  <mergeCells count="1">
    <mergeCell ref="A2: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cols>
    <col min="1" max="1" width="40.7109375" customWidth="1"/>
    <col min="2" max="6" width="22.7109375" customWidth="1"/>
  </cols>
  <sheetData>
    <row r="1" spans="1:8">
      <c r="A1" s="1" t="s">
        <v>75</v>
      </c>
    </row>
    <row r="2" spans="1:8" ht="44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4" t="s">
        <v>76</v>
      </c>
      <c r="B4" s="4" t="s">
        <v>77</v>
      </c>
      <c r="C4" s="4" t="s">
        <v>78</v>
      </c>
      <c r="D4" s="4" t="s">
        <v>79</v>
      </c>
      <c r="E4" s="4" t="s">
        <v>80</v>
      </c>
      <c r="F4" s="4" t="s">
        <v>81</v>
      </c>
    </row>
    <row r="5" spans="1:8">
      <c r="A5" t="s">
        <v>58</v>
      </c>
      <c r="B5" s="5" t="s">
        <v>82</v>
      </c>
      <c r="C5" s="10">
        <v>0.15</v>
      </c>
      <c r="D5" s="10">
        <v>0.03</v>
      </c>
      <c r="E5" s="8">
        <f>IF(COUNT(Inputs_Monthly!$B$5:$B$40)=0,"",INDEX(KPI_Tracker!$D$5:$D$40,COUNT(Inputs_Monthly!$B$5:$B$40)))</f>
        <v>0.13471377836634</v>
      </c>
      <c r="F5" s="11" t="str">
        <f>IF(E5="","",IF(B5="Higher is better",IF(E5&gt;=C5,"On target",IF(E5&gt;=C5-D5,"Watch","Off target")),IF(E5&lt;=C5,"On target",IF(E5&lt;=C5+D5,"Watch","Off target"))))</f>
        <v>On target</v>
      </c>
    </row>
    <row r="6" spans="1:8">
      <c r="A6" t="s">
        <v>63</v>
      </c>
      <c r="B6" s="5" t="s">
        <v>83</v>
      </c>
      <c r="C6" s="10">
        <v>0.2</v>
      </c>
      <c r="D6" s="10">
        <v>0.05</v>
      </c>
      <c r="E6" s="8">
        <f>IF(COUNT(Inputs_Monthly!$B$5:$B$40)=0,"",INDEX(KPI_Tracker!$I$5:$I$40,COUNT(Inputs_Monthly!$B$5:$B$40)))</f>
        <v>0.166807790008467</v>
      </c>
      <c r="F6" s="11" t="str">
        <f>IF(E6="","",IF(B6="Higher is better",IF(E6&gt;=C6,"On target",IF(E6&gt;=C6-D6,"Watch","Off target")),IF(E6&lt;=C6,"On target",IF(E6&lt;=C6+D6,"Watch","Off target"))))</f>
        <v>Watch</v>
      </c>
    </row>
    <row r="7" spans="1:8">
      <c r="A7" t="s">
        <v>64</v>
      </c>
      <c r="B7" s="5" t="s">
        <v>82</v>
      </c>
      <c r="C7" s="10">
        <v>0.05</v>
      </c>
      <c r="D7" s="10">
        <v>0.02</v>
      </c>
      <c r="E7" s="8">
        <f>IF(COUNT(Inputs_Monthly!$B$5:$B$40)=0,"",INDEX(KPI_Tracker!$J$5:$J$40,COUNT(Inputs_Monthly!$B$5:$B$40)))</f>
        <v>0.0475376196990424</v>
      </c>
      <c r="F7" s="11" t="str">
        <f>IF(E7="","",IF(B7="Higher is better",IF(E7&gt;=C7,"On target",IF(E7&gt;=C7-D7,"Watch","Off target")),IF(E7&lt;=C7,"On target",IF(E7&lt;=C7+D7,"Watch","Off target"))))</f>
        <v>On target</v>
      </c>
    </row>
    <row r="8" spans="1:8">
      <c r="A8" t="s">
        <v>65</v>
      </c>
      <c r="B8" s="5" t="s">
        <v>83</v>
      </c>
      <c r="C8" s="10">
        <v>0.75</v>
      </c>
      <c r="D8" s="10">
        <v>0.05</v>
      </c>
      <c r="E8" s="8">
        <f>IF(COUNT(Inputs_Monthly!$B$5:$B$40)=0,"",INDEX(KPI_Tracker!$K$5:$K$40,COUNT(Inputs_Monthly!$B$5:$B$40)))</f>
        <v>0.742162562699498</v>
      </c>
      <c r="F8" s="11" t="str">
        <f>IF(E8="","",IF(B8="Higher is better",IF(E8&gt;=C8,"On target",IF(E8&gt;=C8-D8,"Watch","Off target")),IF(E8&lt;=C8,"On target",IF(E8&lt;=C8+D8,"Watch","Off target"))))</f>
        <v>Watch</v>
      </c>
    </row>
    <row r="9" spans="1:8">
      <c r="A9" t="s">
        <v>70</v>
      </c>
      <c r="B9" s="5" t="s">
        <v>83</v>
      </c>
      <c r="C9" s="10">
        <v>0.8</v>
      </c>
      <c r="D9" s="10">
        <v>0.05</v>
      </c>
      <c r="E9" s="8">
        <f>IF(COUNT(Inputs_Monthly!$B$5:$B$40)=0,"",INDEX(KPI_Tracker!$P$5:$P$40,COUNT(Inputs_Monthly!$B$5:$B$40)))</f>
        <v>0.766666666666667</v>
      </c>
      <c r="F9" s="11" t="str">
        <f>IF(E9="","",IF(B9="Higher is better",IF(E9&gt;=C9,"On target",IF(E9&gt;=C9-D9,"Watch","Off target")),IF(E9&lt;=C9,"On target",IF(E9&lt;=C9+D9,"Watch","Off target"))))</f>
        <v>Watch</v>
      </c>
    </row>
    <row r="10" spans="1:8">
      <c r="A10" t="s">
        <v>71</v>
      </c>
      <c r="B10" s="5" t="s">
        <v>82</v>
      </c>
      <c r="C10" s="12">
        <v>20</v>
      </c>
      <c r="D10" s="12">
        <v>5</v>
      </c>
      <c r="E10" s="13">
        <f>IF(COUNT(Inputs_Monthly!$B$5:$B$40)=0,"",INDEX(KPI_Tracker!$Q$5:$Q$40,COUNT(Inputs_Monthly!$B$5:$B$40)))</f>
        <v>18.5</v>
      </c>
      <c r="F10" s="11" t="str">
        <f>IF(E10="","",IF(B10="Higher is better",IF(E10&gt;=C10,"On target",IF(E10&gt;=C10-D10,"Watch","Off target")),IF(E10&lt;=C10,"On target",IF(E10&lt;=C10+D10,"Watch","Off target"))))</f>
        <v>On target</v>
      </c>
    </row>
  </sheetData>
  <mergeCells count="1">
    <mergeCell ref="A2:H2"/>
  </mergeCells>
  <conditionalFormatting sqref="F5:F10">
    <cfRule type="cellIs" dxfId="0" priority="1" operator="equal">
      <formula>"On target"</formula>
    </cfRule>
    <cfRule type="cellIs" dxfId="1" priority="2" operator="equal">
      <formula>"Watch"</formula>
    </cfRule>
    <cfRule type="cellIs" dxfId="2" priority="3" operator="equal">
      <formula>"Off target"</formula>
    </cfRule>
  </conditionalFormatting>
  <dataValidations count="6">
    <dataValidation type="list" allowBlank="1" showInputMessage="1" showErrorMessage="1" sqref="B5">
      <formula1>"Higher is better,Lower is better"</formula1>
    </dataValidation>
    <dataValidation type="list" allowBlank="1" showInputMessage="1" showErrorMessage="1" sqref="B6">
      <formula1>"Higher is better,Lower is better"</formula1>
    </dataValidation>
    <dataValidation type="list" allowBlank="1" showInputMessage="1" showErrorMessage="1" sqref="B7">
      <formula1>"Higher is better,Lower is better"</formula1>
    </dataValidation>
    <dataValidation type="list" allowBlank="1" showInputMessage="1" showErrorMessage="1" sqref="B8">
      <formula1>"Higher is better,Lower is better"</formula1>
    </dataValidation>
    <dataValidation type="list" allowBlank="1" showInputMessage="1" showErrorMessage="1" sqref="B9">
      <formula1>"Higher is better,Lower is better"</formula1>
    </dataValidation>
    <dataValidation type="list" allowBlank="1" showInputMessage="1" showErrorMessage="1" sqref="B10">
      <formula1>"Higher is better,Lower is better"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84</v>
      </c>
    </row>
    <row r="2" spans="1:12" ht="44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</sheetData>
  <mergeCells count="1">
    <mergeCell ref="A2:L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1" width="80.7109375" customWidth="1"/>
  </cols>
  <sheetData>
    <row r="1" spans="1:4">
      <c r="A1" s="1" t="s">
        <v>8</v>
      </c>
    </row>
    <row r="2" spans="1:4" ht="44" customHeight="1">
      <c r="A2" s="2" t="s">
        <v>1</v>
      </c>
      <c r="B2" s="2"/>
      <c r="C2" s="2"/>
      <c r="D2" s="2"/>
    </row>
    <row r="3" spans="1:4">
      <c r="A3" t="s">
        <v>9</v>
      </c>
      <c r="B3" s="5">
        <v>0.5</v>
      </c>
    </row>
    <row r="4" spans="1:4">
      <c r="A4" t="s">
        <v>10</v>
      </c>
      <c r="B4">
        <v>15</v>
      </c>
    </row>
  </sheetData>
  <mergeCells count="1">
    <mergeCell ref="A2:D2"/>
  </mergeCells>
  <dataValidations count="1">
    <dataValidation type="decimal" allowBlank="1" showInputMessage="1" showErrorMessage="1" sqref="B3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Inputs_Monthly</vt:lpstr>
      <vt:lpstr>KPI_Tracker</vt:lpstr>
      <vt:lpstr>Targets</vt:lpstr>
      <vt:lpstr>Charts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2026-10-01T03:41:48Z</dcterms:created>
  <dcterms:modified xsi:type="dcterms:W3CDTF">2026-10-01T03:41:48Z</dcterms:modified>
</cp:coreProperties>
</file>