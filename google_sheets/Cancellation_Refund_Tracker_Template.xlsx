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Inputs_Monthly" sheetId="2" r:id="rId2"/>
    <sheet name="Analysis" sheetId="3" r:id="rId3"/>
    <sheet name="Lead_Time" sheetId="4" r:id="rId4"/>
    <sheet name="Thresholds" sheetId="5" r:id="rId5"/>
  </sheets>
  <calcPr calcId="124519" fullCalcOnLoad="1"/>
</workbook>
</file>

<file path=xl/sharedStrings.xml><?xml version="1.0" encoding="utf-8"?>
<sst xmlns="http://schemas.openxmlformats.org/spreadsheetml/2006/main" count="72" uniqueCount="65">
  <si>
    <t>Cancellation and Refund Tracker template (Google Sheets)</t>
  </si>
  <si>
    <t>SYNTHETIC SAMPLE DATA from a sampled simulation (768 simulated runs of 19,708 scheduled, 3.9%). Not IRCTC or Indian Railways metrics. Compare months with per-run and capacity-normalised measures, not raw monthly totals. Targets and thresholds are illustrative.</t>
  </si>
  <si>
    <t>1. Import the .xlsx (File &gt; Import). Enter monthly counts and amounts on Inputs_Monthly (yellow); Analysis and the alert flags are formulas.</t>
  </si>
  <si>
    <t>2. Cancellation Rate is passenger-based (denominator: total passengers). The booking-based rate (denominator: total bookings) is the companion. System auto-refunds of uncleared waitlisted passengers are NOT passenger cancellations and are tracked separately.</t>
  </si>
  <si>
    <t>3. Refund % of gross = (passenger-event refunds + system-event refunds) / gross booking value. Charges as % of (refunds + charges) shows how much of the refundable fare was retained.</t>
  </si>
  <si>
    <t>4. Thresholds (editable, illustrative) drive the ALERT / OK flags. Lead_Time takes passengers and cancelled passengers per booking lead-time bucket.</t>
  </si>
  <si>
    <t>5. Sample rows are synthetic and come from a sampled simulation; the cancellation-versus-lead-time pattern was built into the generator, so it shows how to analyse such a pattern, not a real-world finding.</t>
  </si>
  <si>
    <t>Alert thresholds (illustrative, editable)</t>
  </si>
  <si>
    <t>Passenger cancellation rate alert above</t>
  </si>
  <si>
    <t>Refund % of gross alert above</t>
  </si>
  <si>
    <t>System share of refunds alert above</t>
  </si>
  <si>
    <t>Inputs: monthly cancellation and refund data (sample rows are synthetic)</t>
  </si>
  <si>
    <t>Journey month</t>
  </si>
  <si>
    <t>Total bookings</t>
  </si>
  <si>
    <t>Total passengers</t>
  </si>
  <si>
    <t>Cancelled bookings (all passengers cancelled)</t>
  </si>
  <si>
    <t>Cancelled passengers</t>
  </si>
  <si>
    <t>Uncleared WL passengers (system refunded)</t>
  </si>
  <si>
    <t>Gross booking value (INR)</t>
  </si>
  <si>
    <t>Refunds: Passenger events (INR)</t>
  </si>
  <si>
    <t>Refunds: System events (INR)</t>
  </si>
  <si>
    <t>Cancellation charges retained (INR)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</si>
  <si>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</si>
  <si>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</si>
  <si>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</si>
  <si>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</si>
  <si>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</si>
  <si>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</si>
  <si>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</si>
  <si>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</si>
  <si>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</si>
  <si>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</si>
  <si>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</si>
  <si>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</si>
  <si>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</si>
  <si>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</si>
  <si>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</si>
  <si>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</si>
  <si>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</si>
  <si>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</si>
  <si>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</si>
  <si>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</si>
  <si>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</si>
  <si>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</si>
  <si>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</si>
  <si>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</si>
  <si>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Analysis (formulas; do not overwrite)</t>
  </si>
  <si>
    <t>Cancellation rate (passenger-based)</t>
  </si>
  <si>
    <t>Booking cancellation rate (companion)</t>
  </si>
  <si>
    <t>Refund amount (INR)</t>
  </si>
  <si>
    <t>Net booking value (INR)</t>
  </si>
  <si>
    <t>Refund % of gross</t>
  </si>
  <si>
    <t>System share of refunds</t>
  </si>
  <si>
    <t>Charges % of (refunds + charges)</t>
  </si>
  <si>
    <t>Uncleared WL as % of passengers</t>
  </si>
  <si>
    <t>Passenger-rate alert</t>
  </si>
  <si>
    <t>Refund-rate alert</t>
  </si>
  <si>
    <t>Cancellation by booking lead time (sample rows are synthetic)</t>
  </si>
  <si>
    <t>Lead bucket</t>
  </si>
  <si>
    <t>Passengers</t>
  </si>
  <si>
    <t>0-3 days</t>
  </si>
  <si>
    <t>4-14 days</t>
  </si>
  <si>
    <t>15-30 days</t>
  </si>
  <si>
    <t>31-60 days</t>
  </si>
  <si>
    <t>61-120 days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</si>
</sst>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#,##0"/>
  </numFmts>
  <fonts count="6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b/>
      <sz val="10"/>
      <color rgb="FF9C000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164" fontId="3" fillId="5" borderId="0" xfId="0" applyNumberFormat="1" applyFont="1" applyFill="1" applyAlignment="1">
      <alignment vertical="center"/>
    </xf>
    <xf numFmtId="165" fontId="3" fillId="5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164" fontId="3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Refunds by event type, INR (synthetic)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Passenger events</c:v>
          </c:tx>
          <c:spPr>
            <a:solidFill>
              <a:srgbClr val="2E75B6"/>
            </a:solidFill>
          </c:spPr>
          <c:cat>
            <c:strRef>
              <c:f>Inputs_Monthly!$A$5:$A$28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Inputs_Monthly!$H$5:$H$28</c:f>
              <c:numCache>
                <c:formatCode>General</c:formatCode>
                <c:ptCount val="24"/>
                <c:pt idx="0">
                  <c:v>2016835.75</c:v>
                </c:pt>
                <c:pt idx="1">
                  <c:v>2802046.25</c:v>
                </c:pt>
                <c:pt idx="2">
                  <c:v>2806943.25</c:v>
                </c:pt>
                <c:pt idx="3">
                  <c:v>2567619</c:v>
                </c:pt>
                <c:pt idx="4">
                  <c:v>2686487.75</c:v>
                </c:pt>
                <c:pt idx="5">
                  <c:v>2316745.5</c:v>
                </c:pt>
                <c:pt idx="6">
                  <c:v>3105831.5</c:v>
                </c:pt>
                <c:pt idx="7">
                  <c:v>3363087.5</c:v>
                </c:pt>
                <c:pt idx="8">
                  <c:v>3749077.25</c:v>
                </c:pt>
                <c:pt idx="9">
                  <c:v>2619496.5</c:v>
                </c:pt>
                <c:pt idx="10">
                  <c:v>2485404</c:v>
                </c:pt>
                <c:pt idx="11">
                  <c:v>2256505</c:v>
                </c:pt>
                <c:pt idx="12">
                  <c:v>2453896.75</c:v>
                </c:pt>
                <c:pt idx="13">
                  <c:v>3373712.5</c:v>
                </c:pt>
                <c:pt idx="14">
                  <c:v>2906674.25</c:v>
                </c:pt>
                <c:pt idx="15">
                  <c:v>3177937.75</c:v>
                </c:pt>
                <c:pt idx="16">
                  <c:v>3139554</c:v>
                </c:pt>
                <c:pt idx="17">
                  <c:v>3037435.5</c:v>
                </c:pt>
                <c:pt idx="18">
                  <c:v>3003364.75</c:v>
                </c:pt>
                <c:pt idx="19">
                  <c:v>4017043</c:v>
                </c:pt>
                <c:pt idx="20">
                  <c:v>4631718.5</c:v>
                </c:pt>
                <c:pt idx="21">
                  <c:v>3346363</c:v>
                </c:pt>
                <c:pt idx="22">
                  <c:v>2942996.5</c:v>
                </c:pt>
                <c:pt idx="23">
                  <c:v>3077661.25</c:v>
                </c:pt>
              </c:numCache>
            </c:numRef>
          </c:val>
        </c:ser>
        <c:ser>
          <c:idx val="1"/>
          <c:order val="1"/>
          <c:tx>
            <c:v>System auto-refunds</c:v>
          </c:tx>
          <c:spPr>
            <a:solidFill>
              <a:srgbClr val="ED7D31"/>
            </a:solidFill>
          </c:spPr>
          <c:cat>
            <c:strRef>
              <c:f>Inputs_Monthly!$A$5:$A$28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Inputs_Monthly!$I$5:$I$28</c:f>
              <c:numCache>
                <c:formatCode>General</c:formatCode>
                <c:ptCount val="24"/>
                <c:pt idx="0">
                  <c:v>341548</c:v>
                </c:pt>
                <c:pt idx="1">
                  <c:v>792900</c:v>
                </c:pt>
                <c:pt idx="2">
                  <c:v>1383591</c:v>
                </c:pt>
                <c:pt idx="3">
                  <c:v>881704</c:v>
                </c:pt>
                <c:pt idx="4">
                  <c:v>737521</c:v>
                </c:pt>
                <c:pt idx="5">
                  <c:v>793710</c:v>
                </c:pt>
                <c:pt idx="6">
                  <c:v>1791062</c:v>
                </c:pt>
                <c:pt idx="7">
                  <c:v>1740026</c:v>
                </c:pt>
                <c:pt idx="8">
                  <c:v>2779206</c:v>
                </c:pt>
                <c:pt idx="9">
                  <c:v>1204565</c:v>
                </c:pt>
                <c:pt idx="10">
                  <c:v>530011</c:v>
                </c:pt>
                <c:pt idx="11">
                  <c:v>870003</c:v>
                </c:pt>
                <c:pt idx="12">
                  <c:v>810178</c:v>
                </c:pt>
                <c:pt idx="13">
                  <c:v>1523725</c:v>
                </c:pt>
                <c:pt idx="14">
                  <c:v>1064960</c:v>
                </c:pt>
                <c:pt idx="15">
                  <c:v>1411566</c:v>
                </c:pt>
                <c:pt idx="16">
                  <c:v>1574552</c:v>
                </c:pt>
                <c:pt idx="17">
                  <c:v>1328871</c:v>
                </c:pt>
                <c:pt idx="18">
                  <c:v>1779940</c:v>
                </c:pt>
                <c:pt idx="19">
                  <c:v>2638081</c:v>
                </c:pt>
                <c:pt idx="20">
                  <c:v>4021522</c:v>
                </c:pt>
                <c:pt idx="21">
                  <c:v>2602241</c:v>
                </c:pt>
                <c:pt idx="22">
                  <c:v>1372197</c:v>
                </c:pt>
                <c:pt idx="23">
                  <c:v>1225410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Passenger cancellation rate by lead time (synthetic)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Cancellation rate</c:v>
          </c:tx>
          <c:spPr>
            <a:solidFill>
              <a:srgbClr val="C00000"/>
            </a:solidFill>
          </c:spPr>
          <c:dLbls>
            <c:numFmt formatCode="0.0%" sourceLinked="0"/>
            <c:showVal val="1"/>
          </c:dLbls>
          <c:cat>
            <c:strRef>
              <c:f>Lead_Time!$A$5:$A$9</c:f>
              <c:strCache>
                <c:ptCount val="5"/>
                <c:pt idx="0">
                  <c:v>0-3 days</c:v>
                </c:pt>
                <c:pt idx="1">
                  <c:v>4-14 days</c:v>
                </c:pt>
                <c:pt idx="2">
                  <c:v>15-30 days</c:v>
                </c:pt>
                <c:pt idx="3">
                  <c:v>31-60 days</c:v>
                </c:pt>
                <c:pt idx="4">
                  <c:v>61-120 days</c:v>
                </c:pt>
              </c:strCache>
            </c:strRef>
          </c:cat>
          <c:val>
            <c:numRef>
              <c:f>Lead_Time!$D$5:$D$9</c:f>
              <c:numCache>
                <c:formatCode>General</c:formatCode>
                <c:ptCount val="5"/>
                <c:pt idx="0">
                  <c:v>0.0949405319835864</c:v>
                </c:pt>
                <c:pt idx="1">
                  <c:v>0.107163816654862</c:v>
                </c:pt>
                <c:pt idx="2">
                  <c:v>0.124662372740494</c:v>
                </c:pt>
                <c:pt idx="3">
                  <c:v>0.157058980517748</c:v>
                </c:pt>
                <c:pt idx="4">
                  <c:v>0.224413808905522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41</xdr:row>
      <xdr:rowOff>0</xdr:rowOff>
    </xdr:from>
    <xdr:to>
      <xdr:col>5</xdr:col>
      <xdr:colOff>523875</xdr:colOff>
      <xdr:row>56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3</xdr:col>
      <xdr:colOff>9525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8" width="18.7109375" customWidth="1"/>
  </cols>
  <sheetData>
    <row r="1" spans="1:8">
      <c r="A1" s="1" t="s">
        <v>0</v>
      </c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34" customHeight="1">
      <c r="A4" s="3" t="s">
        <v>2</v>
      </c>
      <c r="B4" s="3"/>
      <c r="C4" s="3"/>
      <c r="D4" s="3"/>
      <c r="E4" s="3"/>
      <c r="F4" s="3"/>
      <c r="G4" s="3"/>
      <c r="H4" s="3"/>
    </row>
    <row r="5" spans="1:8" ht="34" customHeight="1">
      <c r="A5" s="3" t="s">
        <v>3</v>
      </c>
      <c r="B5" s="3"/>
      <c r="C5" s="3"/>
      <c r="D5" s="3"/>
      <c r="E5" s="3"/>
      <c r="F5" s="3"/>
      <c r="G5" s="3"/>
      <c r="H5" s="3"/>
    </row>
    <row r="6" spans="1:8" ht="34" customHeight="1">
      <c r="A6" s="3" t="s">
        <v>4</v>
      </c>
      <c r="B6" s="3"/>
      <c r="C6" s="3"/>
      <c r="D6" s="3"/>
      <c r="E6" s="3"/>
      <c r="F6" s="3"/>
      <c r="G6" s="3"/>
      <c r="H6" s="3"/>
    </row>
    <row r="7" spans="1:8" ht="34" customHeight="1">
      <c r="A7" s="3" t="s">
        <v>5</v>
      </c>
      <c r="B7" s="3"/>
      <c r="C7" s="3"/>
      <c r="D7" s="3"/>
      <c r="E7" s="3"/>
      <c r="F7" s="3"/>
      <c r="G7" s="3"/>
      <c r="H7" s="3"/>
    </row>
    <row r="8" spans="1:8" ht="34" customHeight="1">
      <c r="A8" s="3" t="s">
        <v>6</v>
      </c>
      <c r="B8" s="3"/>
      <c r="C8" s="3"/>
      <c r="D8" s="3"/>
      <c r="E8" s="3"/>
      <c r="F8" s="3"/>
      <c r="G8" s="3"/>
      <c r="H8" s="3"/>
    </row>
  </sheetData>
  <mergeCells count="6">
    <mergeCell ref="A2:H2"/>
    <mergeCell ref="A4:H4"/>
    <mergeCell ref="A5:H5"/>
    <mergeCell ref="A6:H6"/>
    <mergeCell ref="A7:H7"/>
    <mergeCell ref="A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1" width="15.7109375" customWidth="1"/>
  </cols>
  <sheetData>
    <row r="1" spans="1:10">
      <c r="A1" s="1" t="s">
        <v>11</v>
      </c>
    </row>
    <row r="2" spans="1:10" ht="4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ht="44" customHeight="1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</row>
    <row r="5" spans="1:10">
      <c r="A5" s="5" t="s">
        <v>22</v>
      </c>
      <c r="B5" s="5">
        <v>5944</v>
      </c>
      <c r="C5" s="5">
        <v>12159</v>
      </c>
      <c r="D5" s="5">
        <v>759</v>
      </c>
      <c r="E5" s="5">
        <v>1609</v>
      </c>
      <c r="F5" s="5">
        <v>348</v>
      </c>
      <c r="G5" s="5">
        <v>18403297</v>
      </c>
      <c r="H5" s="5">
        <v>2016835.75</v>
      </c>
      <c r="I5" s="5">
        <v>341548</v>
      </c>
      <c r="J5" s="5">
        <v>290475.25</v>
      </c>
    </row>
    <row r="6" spans="1:10">
      <c r="A6" s="5" t="s">
        <v>23</v>
      </c>
      <c r="B6" s="5">
        <v>7727</v>
      </c>
      <c r="C6" s="5">
        <v>15448</v>
      </c>
      <c r="D6" s="5">
        <v>1052</v>
      </c>
      <c r="E6" s="5">
        <v>2135</v>
      </c>
      <c r="F6" s="5">
        <v>530</v>
      </c>
      <c r="G6" s="5">
        <v>24124782</v>
      </c>
      <c r="H6" s="5">
        <v>2802046.25</v>
      </c>
      <c r="I6" s="5">
        <v>792900</v>
      </c>
      <c r="J6" s="5">
        <v>381198.75</v>
      </c>
    </row>
    <row r="7" spans="1:10">
      <c r="A7" s="5" t="s">
        <v>24</v>
      </c>
      <c r="B7" s="5">
        <v>7934</v>
      </c>
      <c r="C7" s="5">
        <v>16023</v>
      </c>
      <c r="D7" s="5">
        <v>1042</v>
      </c>
      <c r="E7" s="5">
        <v>2168</v>
      </c>
      <c r="F7" s="5">
        <v>949</v>
      </c>
      <c r="G7" s="5">
        <v>23920040</v>
      </c>
      <c r="H7" s="5">
        <v>2806943.25</v>
      </c>
      <c r="I7" s="5">
        <v>1383591</v>
      </c>
      <c r="J7" s="5">
        <v>384925.75</v>
      </c>
    </row>
    <row r="8" spans="1:10">
      <c r="A8" s="5" t="s">
        <v>25</v>
      </c>
      <c r="B8" s="5">
        <v>7457</v>
      </c>
      <c r="C8" s="5">
        <v>14941</v>
      </c>
      <c r="D8" s="5">
        <v>954</v>
      </c>
      <c r="E8" s="5">
        <v>1932</v>
      </c>
      <c r="F8" s="5">
        <v>566</v>
      </c>
      <c r="G8" s="5">
        <v>23795348</v>
      </c>
      <c r="H8" s="5">
        <v>2567619</v>
      </c>
      <c r="I8" s="5">
        <v>881704</v>
      </c>
      <c r="J8" s="5">
        <v>330869</v>
      </c>
    </row>
    <row r="9" spans="1:10">
      <c r="A9" s="5" t="s">
        <v>26</v>
      </c>
      <c r="B9" s="5">
        <v>7939</v>
      </c>
      <c r="C9" s="5">
        <v>16225</v>
      </c>
      <c r="D9" s="5">
        <v>1055</v>
      </c>
      <c r="E9" s="5">
        <v>2231</v>
      </c>
      <c r="F9" s="5">
        <v>552</v>
      </c>
      <c r="G9" s="5">
        <v>23019795</v>
      </c>
      <c r="H9" s="5">
        <v>2686487.75</v>
      </c>
      <c r="I9" s="5">
        <v>737521</v>
      </c>
      <c r="J9" s="5">
        <v>361351.25</v>
      </c>
    </row>
    <row r="10" spans="1:10">
      <c r="A10" s="5" t="s">
        <v>27</v>
      </c>
      <c r="B10" s="5">
        <v>7165</v>
      </c>
      <c r="C10" s="5">
        <v>14255</v>
      </c>
      <c r="D10" s="5">
        <v>906</v>
      </c>
      <c r="E10" s="5">
        <v>1878</v>
      </c>
      <c r="F10" s="5">
        <v>562</v>
      </c>
      <c r="G10" s="5">
        <v>21171056</v>
      </c>
      <c r="H10" s="5">
        <v>2316745.5</v>
      </c>
      <c r="I10" s="5">
        <v>793710</v>
      </c>
      <c r="J10" s="5">
        <v>329035.5</v>
      </c>
    </row>
    <row r="11" spans="1:10">
      <c r="A11" s="5" t="s">
        <v>28</v>
      </c>
      <c r="B11" s="5">
        <v>9243</v>
      </c>
      <c r="C11" s="5">
        <v>18628</v>
      </c>
      <c r="D11" s="5">
        <v>1209</v>
      </c>
      <c r="E11" s="5">
        <v>2515</v>
      </c>
      <c r="F11" s="5">
        <v>1322</v>
      </c>
      <c r="G11" s="5">
        <v>26983278</v>
      </c>
      <c r="H11" s="5">
        <v>3105831.5</v>
      </c>
      <c r="I11" s="5">
        <v>1791062</v>
      </c>
      <c r="J11" s="5">
        <v>392228.5</v>
      </c>
    </row>
    <row r="12" spans="1:10">
      <c r="A12" s="5" t="s">
        <v>29</v>
      </c>
      <c r="B12" s="5">
        <v>9150</v>
      </c>
      <c r="C12" s="5">
        <v>18515</v>
      </c>
      <c r="D12" s="5">
        <v>1169</v>
      </c>
      <c r="E12" s="5">
        <v>2552</v>
      </c>
      <c r="F12" s="5">
        <v>1109</v>
      </c>
      <c r="G12" s="5">
        <v>28114523</v>
      </c>
      <c r="H12" s="5">
        <v>3363087.5</v>
      </c>
      <c r="I12" s="5">
        <v>1740026</v>
      </c>
      <c r="J12" s="5">
        <v>431257.5</v>
      </c>
    </row>
    <row r="13" spans="1:10">
      <c r="A13" s="5" t="s">
        <v>30</v>
      </c>
      <c r="B13" s="5">
        <v>10856</v>
      </c>
      <c r="C13" s="5">
        <v>21782</v>
      </c>
      <c r="D13" s="5">
        <v>1511</v>
      </c>
      <c r="E13" s="5">
        <v>3120</v>
      </c>
      <c r="F13" s="5">
        <v>1896</v>
      </c>
      <c r="G13" s="5">
        <v>30910281</v>
      </c>
      <c r="H13" s="5">
        <v>3749077.25</v>
      </c>
      <c r="I13" s="5">
        <v>2779206</v>
      </c>
      <c r="J13" s="5">
        <v>525630.75</v>
      </c>
    </row>
    <row r="14" spans="1:10">
      <c r="A14" s="5" t="s">
        <v>31</v>
      </c>
      <c r="B14" s="5">
        <v>8073</v>
      </c>
      <c r="C14" s="5">
        <v>16270</v>
      </c>
      <c r="D14" s="5">
        <v>1066</v>
      </c>
      <c r="E14" s="5">
        <v>2218</v>
      </c>
      <c r="F14" s="5">
        <v>949</v>
      </c>
      <c r="G14" s="5">
        <v>23448148</v>
      </c>
      <c r="H14" s="5">
        <v>2619496.5</v>
      </c>
      <c r="I14" s="5">
        <v>1204565</v>
      </c>
      <c r="J14" s="5">
        <v>369654.5</v>
      </c>
    </row>
    <row r="15" spans="1:10">
      <c r="A15" s="5" t="s">
        <v>32</v>
      </c>
      <c r="B15" s="5">
        <v>7382</v>
      </c>
      <c r="C15" s="5">
        <v>15103</v>
      </c>
      <c r="D15" s="5">
        <v>950</v>
      </c>
      <c r="E15" s="5">
        <v>2043</v>
      </c>
      <c r="F15" s="5">
        <v>530</v>
      </c>
      <c r="G15" s="5">
        <v>21550999</v>
      </c>
      <c r="H15" s="5">
        <v>2485404</v>
      </c>
      <c r="I15" s="5">
        <v>530011</v>
      </c>
      <c r="J15" s="5">
        <v>376311</v>
      </c>
    </row>
    <row r="16" spans="1:10">
      <c r="A16" s="5" t="s">
        <v>33</v>
      </c>
      <c r="B16" s="5">
        <v>7166</v>
      </c>
      <c r="C16" s="5">
        <v>14583</v>
      </c>
      <c r="D16" s="5">
        <v>847</v>
      </c>
      <c r="E16" s="5">
        <v>1804</v>
      </c>
      <c r="F16" s="5">
        <v>457</v>
      </c>
      <c r="G16" s="5">
        <v>21977558</v>
      </c>
      <c r="H16" s="5">
        <v>2256505</v>
      </c>
      <c r="I16" s="5">
        <v>870003</v>
      </c>
      <c r="J16" s="5">
        <v>321344</v>
      </c>
    </row>
    <row r="17" spans="1:10">
      <c r="A17" s="5" t="s">
        <v>34</v>
      </c>
      <c r="B17" s="5">
        <v>7510</v>
      </c>
      <c r="C17" s="5">
        <v>15173</v>
      </c>
      <c r="D17" s="5">
        <v>1011</v>
      </c>
      <c r="E17" s="5">
        <v>2118</v>
      </c>
      <c r="F17" s="5">
        <v>732</v>
      </c>
      <c r="G17" s="5">
        <v>22210254</v>
      </c>
      <c r="H17" s="5">
        <v>2453896.75</v>
      </c>
      <c r="I17" s="5">
        <v>810178</v>
      </c>
      <c r="J17" s="5">
        <v>382251.25</v>
      </c>
    </row>
    <row r="18" spans="1:10">
      <c r="A18" s="5" t="s">
        <v>35</v>
      </c>
      <c r="B18" s="5">
        <v>8400</v>
      </c>
      <c r="C18" s="5">
        <v>16925</v>
      </c>
      <c r="D18" s="5">
        <v>1074</v>
      </c>
      <c r="E18" s="5">
        <v>2316</v>
      </c>
      <c r="F18" s="5">
        <v>959</v>
      </c>
      <c r="G18" s="5">
        <v>27539668</v>
      </c>
      <c r="H18" s="5">
        <v>3373712.5</v>
      </c>
      <c r="I18" s="5">
        <v>1523725</v>
      </c>
      <c r="J18" s="5">
        <v>416282.5</v>
      </c>
    </row>
    <row r="19" spans="1:10">
      <c r="A19" s="5" t="s">
        <v>36</v>
      </c>
      <c r="B19" s="5">
        <v>8177</v>
      </c>
      <c r="C19" s="5">
        <v>16554</v>
      </c>
      <c r="D19" s="5">
        <v>1093</v>
      </c>
      <c r="E19" s="5">
        <v>2325</v>
      </c>
      <c r="F19" s="5">
        <v>892</v>
      </c>
      <c r="G19" s="5">
        <v>24554554</v>
      </c>
      <c r="H19" s="5">
        <v>2906674.25</v>
      </c>
      <c r="I19" s="5">
        <v>1064960</v>
      </c>
      <c r="J19" s="5">
        <v>417498.75</v>
      </c>
    </row>
    <row r="20" spans="1:10">
      <c r="A20" s="5" t="s">
        <v>37</v>
      </c>
      <c r="B20" s="5">
        <v>8636</v>
      </c>
      <c r="C20" s="5">
        <v>17321</v>
      </c>
      <c r="D20" s="5">
        <v>1103</v>
      </c>
      <c r="E20" s="5">
        <v>2304</v>
      </c>
      <c r="F20" s="5">
        <v>845</v>
      </c>
      <c r="G20" s="5">
        <v>27326615</v>
      </c>
      <c r="H20" s="5">
        <v>3177937.75</v>
      </c>
      <c r="I20" s="5">
        <v>1411566</v>
      </c>
      <c r="J20" s="5">
        <v>409312.25</v>
      </c>
    </row>
    <row r="21" spans="1:10">
      <c r="A21" s="5" t="s">
        <v>38</v>
      </c>
      <c r="B21" s="5">
        <v>8149</v>
      </c>
      <c r="C21" s="5">
        <v>16292</v>
      </c>
      <c r="D21" s="5">
        <v>1101</v>
      </c>
      <c r="E21" s="5">
        <v>2310</v>
      </c>
      <c r="F21" s="5">
        <v>942</v>
      </c>
      <c r="G21" s="5">
        <v>25044510</v>
      </c>
      <c r="H21" s="5">
        <v>3139554</v>
      </c>
      <c r="I21" s="5">
        <v>1574552</v>
      </c>
      <c r="J21" s="5">
        <v>403903</v>
      </c>
    </row>
    <row r="22" spans="1:10">
      <c r="A22" s="5" t="s">
        <v>39</v>
      </c>
      <c r="B22" s="5">
        <v>8288</v>
      </c>
      <c r="C22" s="5">
        <v>16768</v>
      </c>
      <c r="D22" s="5">
        <v>1106</v>
      </c>
      <c r="E22" s="5">
        <v>2349</v>
      </c>
      <c r="F22" s="5">
        <v>878</v>
      </c>
      <c r="G22" s="5">
        <v>25479874</v>
      </c>
      <c r="H22" s="5">
        <v>3037435.5</v>
      </c>
      <c r="I22" s="5">
        <v>1328871</v>
      </c>
      <c r="J22" s="5">
        <v>414859.5</v>
      </c>
    </row>
    <row r="23" spans="1:10">
      <c r="A23" s="5" t="s">
        <v>40</v>
      </c>
      <c r="B23" s="5">
        <v>9361</v>
      </c>
      <c r="C23" s="5">
        <v>18669</v>
      </c>
      <c r="D23" s="5">
        <v>1310</v>
      </c>
      <c r="E23" s="5">
        <v>2729</v>
      </c>
      <c r="F23" s="5">
        <v>1415</v>
      </c>
      <c r="G23" s="5">
        <v>24742606</v>
      </c>
      <c r="H23" s="5">
        <v>3003364.75</v>
      </c>
      <c r="I23" s="5">
        <v>1779940</v>
      </c>
      <c r="J23" s="5">
        <v>421671.25</v>
      </c>
    </row>
    <row r="24" spans="1:10">
      <c r="A24" s="5" t="s">
        <v>41</v>
      </c>
      <c r="B24" s="5">
        <v>9986</v>
      </c>
      <c r="C24" s="5">
        <v>20130</v>
      </c>
      <c r="D24" s="5">
        <v>1426</v>
      </c>
      <c r="E24" s="5">
        <v>3043</v>
      </c>
      <c r="F24" s="5">
        <v>1796</v>
      </c>
      <c r="G24" s="5">
        <v>31004870</v>
      </c>
      <c r="H24" s="5">
        <v>4017043</v>
      </c>
      <c r="I24" s="5">
        <v>2638081</v>
      </c>
      <c r="J24" s="5">
        <v>527375</v>
      </c>
    </row>
    <row r="25" spans="1:10">
      <c r="A25" s="5" t="s">
        <v>42</v>
      </c>
      <c r="B25" s="5">
        <v>11501</v>
      </c>
      <c r="C25" s="5">
        <v>23001</v>
      </c>
      <c r="D25" s="5">
        <v>1656</v>
      </c>
      <c r="E25" s="5">
        <v>3458</v>
      </c>
      <c r="F25" s="5">
        <v>2680</v>
      </c>
      <c r="G25" s="5">
        <v>36219176</v>
      </c>
      <c r="H25" s="5">
        <v>4631718.5</v>
      </c>
      <c r="I25" s="5">
        <v>4021522</v>
      </c>
      <c r="J25" s="5">
        <v>557757.5</v>
      </c>
    </row>
    <row r="26" spans="1:10">
      <c r="A26" s="5" t="s">
        <v>43</v>
      </c>
      <c r="B26" s="5">
        <v>8963</v>
      </c>
      <c r="C26" s="5">
        <v>17914</v>
      </c>
      <c r="D26" s="5">
        <v>1153</v>
      </c>
      <c r="E26" s="5">
        <v>2402</v>
      </c>
      <c r="F26" s="5">
        <v>1547</v>
      </c>
      <c r="G26" s="5">
        <v>29318810</v>
      </c>
      <c r="H26" s="5">
        <v>3346363</v>
      </c>
      <c r="I26" s="5">
        <v>2602241</v>
      </c>
      <c r="J26" s="5">
        <v>422890</v>
      </c>
    </row>
    <row r="27" spans="1:10">
      <c r="A27" s="5" t="s">
        <v>44</v>
      </c>
      <c r="B27" s="5">
        <v>7932</v>
      </c>
      <c r="C27" s="5">
        <v>15908</v>
      </c>
      <c r="D27" s="5">
        <v>1025</v>
      </c>
      <c r="E27" s="5">
        <v>2183</v>
      </c>
      <c r="F27" s="5">
        <v>910</v>
      </c>
      <c r="G27" s="5">
        <v>25026611</v>
      </c>
      <c r="H27" s="5">
        <v>2942996.5</v>
      </c>
      <c r="I27" s="5">
        <v>1372197</v>
      </c>
      <c r="J27" s="5">
        <v>368873.5</v>
      </c>
    </row>
    <row r="28" spans="1:10">
      <c r="A28" s="5" t="s">
        <v>45</v>
      </c>
      <c r="B28" s="5">
        <v>8243</v>
      </c>
      <c r="C28" s="5">
        <v>16613</v>
      </c>
      <c r="D28" s="5">
        <v>1041</v>
      </c>
      <c r="E28" s="5">
        <v>2238</v>
      </c>
      <c r="F28" s="5">
        <v>834</v>
      </c>
      <c r="G28" s="5">
        <v>27080300</v>
      </c>
      <c r="H28" s="5">
        <v>3077661.25</v>
      </c>
      <c r="I28" s="5">
        <v>1225410</v>
      </c>
      <c r="J28" s="5">
        <v>419787.75</v>
      </c>
    </row>
    <row r="29" spans="1:10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>
      <c r="A40" s="5"/>
      <c r="B40" s="5"/>
      <c r="C40" s="5"/>
      <c r="D40" s="5"/>
      <c r="E40" s="5"/>
      <c r="F40" s="5"/>
      <c r="G40" s="5"/>
      <c r="H40" s="5"/>
      <c r="I40" s="5"/>
      <c r="J40" s="5"/>
    </row>
  </sheetData>
  <mergeCells count="1"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1" width="16.7109375" customWidth="1"/>
  </cols>
  <sheetData>
    <row r="1" spans="1:11">
      <c r="A1" s="1" t="s">
        <v>46</v>
      </c>
    </row>
    <row r="2" spans="1:11" ht="4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58" customHeight="1">
      <c r="A4" s="4" t="s">
        <v>12</v>
      </c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 t="s">
        <v>56</v>
      </c>
    </row>
    <row r="5" spans="1:11">
      <c r="A5" s="6" t="str">
        <f>IF(Inputs_Monthly!$A5="","",Inputs_Monthly!$A5)</f>
        <v>2024-09</v>
      </c>
      <c r="B5" s="7">
        <f>IF(N(Inputs_Monthly!$C5)=0,"",Inputs_Monthly!$E5/Inputs_Monthly!$C5)</f>
        <v>0.132329961345505</v>
      </c>
      <c r="C5" s="7">
        <f>IF(N(Inputs_Monthly!$B5)=0,"",Inputs_Monthly!$D5/Inputs_Monthly!$B5)</f>
        <v>0.127691790040377</v>
      </c>
      <c r="D5" s="8">
        <f>IF(N(Inputs_Monthly!$G5)=0,"",Inputs_Monthly!$H5+Inputs_Monthly!$I5)</f>
        <v>2358383.75</v>
      </c>
      <c r="E5" s="8">
        <f>IF(N(Inputs_Monthly!$G5)=0,"",Inputs_Monthly!$G5-D5)</f>
        <v>16044913.25</v>
      </c>
      <c r="F5" s="7">
        <f>IF(N(Inputs_Monthly!$G5)=0,"",D5/Inputs_Monthly!$G5)</f>
        <v>0.128150067349345</v>
      </c>
      <c r="G5" s="7">
        <f>IF(N(D5)=0,"",Inputs_Monthly!$I5/D5)</f>
        <v>0.144822911029641</v>
      </c>
      <c r="H5" s="7">
        <f>IF(D5="","",IF(D5+N(Inputs_Monthly!$J5)=0,"",Inputs_Monthly!$J5/(D5+Inputs_Monthly!$J5)))</f>
        <v>0.109660517981516</v>
      </c>
      <c r="I5" s="7">
        <f>IF(N(Inputs_Monthly!$C5)=0,"",Inputs_Monthly!$F5/Inputs_Monthly!$C5)</f>
        <v>0.0286207747347644</v>
      </c>
      <c r="J5" s="9" t="str">
        <f>IF(B5="","",IF(B5&gt;Thresholds!$B$4,"ALERT","OK"))</f>
        <v>OK</v>
      </c>
      <c r="K5" s="9" t="str">
        <f>IF(F5="","",IF(F5&gt;Thresholds!$B$5,"ALERT","OK"))</f>
        <v>OK</v>
      </c>
    </row>
    <row r="6" spans="1:11">
      <c r="A6" s="6" t="str">
        <f>IF(Inputs_Monthly!$A6="","",Inputs_Monthly!$A6)</f>
        <v>2024-10</v>
      </c>
      <c r="B6" s="7">
        <f>IF(N(Inputs_Monthly!$C6)=0,"",Inputs_Monthly!$E6/Inputs_Monthly!$C6)</f>
        <v>0.138205592957017</v>
      </c>
      <c r="C6" s="7">
        <f>IF(N(Inputs_Monthly!$B6)=0,"",Inputs_Monthly!$D6/Inputs_Monthly!$B6)</f>
        <v>0.136145981622881</v>
      </c>
      <c r="D6" s="8">
        <f>IF(N(Inputs_Monthly!$G6)=0,"",Inputs_Monthly!$H6+Inputs_Monthly!$I6)</f>
        <v>3594946.25</v>
      </c>
      <c r="E6" s="8">
        <f>IF(N(Inputs_Monthly!$G6)=0,"",Inputs_Monthly!$G6-D6)</f>
        <v>20529835.75</v>
      </c>
      <c r="F6" s="7">
        <f>IF(N(Inputs_Monthly!$G6)=0,"",D6/Inputs_Monthly!$G6)</f>
        <v>0.149014662598816</v>
      </c>
      <c r="G6" s="7">
        <f>IF(N(D6)=0,"",Inputs_Monthly!$I6/D6)</f>
        <v>0.220559625891486</v>
      </c>
      <c r="H6" s="7">
        <f>IF(D6="","",IF(D6+N(Inputs_Monthly!$J6)=0,"",Inputs_Monthly!$J6/(D6+Inputs_Monthly!$J6)))</f>
        <v>0.0958714408051014</v>
      </c>
      <c r="I6" s="7">
        <f>IF(N(Inputs_Monthly!$C6)=0,"",Inputs_Monthly!$F6/Inputs_Monthly!$C6)</f>
        <v>0.0343086483687209</v>
      </c>
      <c r="J6" s="9" t="str">
        <f>IF(B6="","",IF(B6&gt;Thresholds!$B$4,"ALERT","OK"))</f>
        <v>OK</v>
      </c>
      <c r="K6" s="9" t="str">
        <f>IF(F6="","",IF(F6&gt;Thresholds!$B$5,"ALERT","OK"))</f>
        <v>OK</v>
      </c>
    </row>
    <row r="7" spans="1:11">
      <c r="A7" s="6" t="str">
        <f>IF(Inputs_Monthly!$A7="","",Inputs_Monthly!$A7)</f>
        <v>2024-11</v>
      </c>
      <c r="B7" s="7">
        <f>IF(N(Inputs_Monthly!$C7)=0,"",Inputs_Monthly!$E7/Inputs_Monthly!$C7)</f>
        <v>0.135305498346127</v>
      </c>
      <c r="C7" s="7">
        <f>IF(N(Inputs_Monthly!$B7)=0,"",Inputs_Monthly!$D7/Inputs_Monthly!$B7)</f>
        <v>0.131333501386438</v>
      </c>
      <c r="D7" s="8">
        <f>IF(N(Inputs_Monthly!$G7)=0,"",Inputs_Monthly!$H7+Inputs_Monthly!$I7)</f>
        <v>4190534.25</v>
      </c>
      <c r="E7" s="8">
        <f>IF(N(Inputs_Monthly!$G7)=0,"",Inputs_Monthly!$G7-D7)</f>
        <v>19729505.75</v>
      </c>
      <c r="F7" s="7">
        <f>IF(N(Inputs_Monthly!$G7)=0,"",D7/Inputs_Monthly!$G7)</f>
        <v>0.17518926598785</v>
      </c>
      <c r="G7" s="7">
        <f>IF(N(D7)=0,"",Inputs_Monthly!$I7/D7)</f>
        <v>0.330170550449504</v>
      </c>
      <c r="H7" s="7">
        <f>IF(D7="","",IF(D7+N(Inputs_Monthly!$J7)=0,"",Inputs_Monthly!$J7/(D7+Inputs_Monthly!$J7)))</f>
        <v>0.0841283171528109</v>
      </c>
      <c r="I7" s="7">
        <f>IF(N(Inputs_Monthly!$C7)=0,"",Inputs_Monthly!$F7/Inputs_Monthly!$C7)</f>
        <v>0.0592273606690383</v>
      </c>
      <c r="J7" s="9" t="str">
        <f>IF(B7="","",IF(B7&gt;Thresholds!$B$4,"ALERT","OK"))</f>
        <v>OK</v>
      </c>
      <c r="K7" s="9" t="str">
        <f>IF(F7="","",IF(F7&gt;Thresholds!$B$5,"ALERT","OK"))</f>
        <v>OK</v>
      </c>
    </row>
    <row r="8" spans="1:11">
      <c r="A8" s="6" t="str">
        <f>IF(Inputs_Monthly!$A8="","",Inputs_Monthly!$A8)</f>
        <v>2024-12</v>
      </c>
      <c r="B8" s="7">
        <f>IF(N(Inputs_Monthly!$C8)=0,"",Inputs_Monthly!$E8/Inputs_Monthly!$C8)</f>
        <v>0.129308613881266</v>
      </c>
      <c r="C8" s="7">
        <f>IF(N(Inputs_Monthly!$B8)=0,"",Inputs_Monthly!$D8/Inputs_Monthly!$B8)</f>
        <v>0.127933485315811</v>
      </c>
      <c r="D8" s="8">
        <f>IF(N(Inputs_Monthly!$G8)=0,"",Inputs_Monthly!$H8+Inputs_Monthly!$I8)</f>
        <v>3449323</v>
      </c>
      <c r="E8" s="8">
        <f>IF(N(Inputs_Monthly!$G8)=0,"",Inputs_Monthly!$G8-D8)</f>
        <v>20346025</v>
      </c>
      <c r="F8" s="7">
        <f>IF(N(Inputs_Monthly!$G8)=0,"",D8/Inputs_Monthly!$G8)</f>
        <v>0.144957871597423</v>
      </c>
      <c r="G8" s="7">
        <f>IF(N(D8)=0,"",Inputs_Monthly!$I8/D8)</f>
        <v>0.255616536926232</v>
      </c>
      <c r="H8" s="7">
        <f>IF(D8="","",IF(D8+N(Inputs_Monthly!$J8)=0,"",Inputs_Monthly!$J8/(D8+Inputs_Monthly!$J8)))</f>
        <v>0.087527035663797</v>
      </c>
      <c r="I8" s="7">
        <f>IF(N(Inputs_Monthly!$C8)=0,"",Inputs_Monthly!$F8/Inputs_Monthly!$C8)</f>
        <v>0.037882337192959</v>
      </c>
      <c r="J8" s="9" t="str">
        <f>IF(B8="","",IF(B8&gt;Thresholds!$B$4,"ALERT","OK"))</f>
        <v>OK</v>
      </c>
      <c r="K8" s="9" t="str">
        <f>IF(F8="","",IF(F8&gt;Thresholds!$B$5,"ALERT","OK"))</f>
        <v>OK</v>
      </c>
    </row>
    <row r="9" spans="1:11">
      <c r="A9" s="6" t="str">
        <f>IF(Inputs_Monthly!$A9="","",Inputs_Monthly!$A9)</f>
        <v>2025-01</v>
      </c>
      <c r="B9" s="7">
        <f>IF(N(Inputs_Monthly!$C9)=0,"",Inputs_Monthly!$E9/Inputs_Monthly!$C9)</f>
        <v>0.137503852080123</v>
      </c>
      <c r="C9" s="7">
        <f>IF(N(Inputs_Monthly!$B9)=0,"",Inputs_Monthly!$D9/Inputs_Monthly!$B9)</f>
        <v>0.132888273082252</v>
      </c>
      <c r="D9" s="8">
        <f>IF(N(Inputs_Monthly!$G9)=0,"",Inputs_Monthly!$H9+Inputs_Monthly!$I9)</f>
        <v>3424008.75</v>
      </c>
      <c r="E9" s="8">
        <f>IF(N(Inputs_Monthly!$G9)=0,"",Inputs_Monthly!$G9-D9)</f>
        <v>19595786.25</v>
      </c>
      <c r="F9" s="7">
        <f>IF(N(Inputs_Monthly!$G9)=0,"",D9/Inputs_Monthly!$G9)</f>
        <v>0.148741930586263</v>
      </c>
      <c r="G9" s="7">
        <f>IF(N(D9)=0,"",Inputs_Monthly!$I9/D9)</f>
        <v>0.215396937872895</v>
      </c>
      <c r="H9" s="7">
        <f>IF(D9="","",IF(D9+N(Inputs_Monthly!$J9)=0,"",Inputs_Monthly!$J9/(D9+Inputs_Monthly!$J9)))</f>
        <v>0.0954602072193926</v>
      </c>
      <c r="I9" s="7">
        <f>IF(N(Inputs_Monthly!$C9)=0,"",Inputs_Monthly!$F9/Inputs_Monthly!$C9)</f>
        <v>0.0340215716486903</v>
      </c>
      <c r="J9" s="9" t="str">
        <f>IF(B9="","",IF(B9&gt;Thresholds!$B$4,"ALERT","OK"))</f>
        <v>OK</v>
      </c>
      <c r="K9" s="9" t="str">
        <f>IF(F9="","",IF(F9&gt;Thresholds!$B$5,"ALERT","OK"))</f>
        <v>OK</v>
      </c>
    </row>
    <row r="10" spans="1:11">
      <c r="A10" s="6" t="str">
        <f>IF(Inputs_Monthly!$A10="","",Inputs_Monthly!$A10)</f>
        <v>2025-02</v>
      </c>
      <c r="B10" s="7">
        <f>IF(N(Inputs_Monthly!$C10)=0,"",Inputs_Monthly!$E10/Inputs_Monthly!$C10)</f>
        <v>0.131743247983164</v>
      </c>
      <c r="C10" s="7">
        <f>IF(N(Inputs_Monthly!$B10)=0,"",Inputs_Monthly!$D10/Inputs_Monthly!$B10)</f>
        <v>0.126448011165387</v>
      </c>
      <c r="D10" s="8">
        <f>IF(N(Inputs_Monthly!$G10)=0,"",Inputs_Monthly!$H10+Inputs_Monthly!$I10)</f>
        <v>3110455.5</v>
      </c>
      <c r="E10" s="8">
        <f>IF(N(Inputs_Monthly!$G10)=0,"",Inputs_Monthly!$G10-D10)</f>
        <v>18060600.5</v>
      </c>
      <c r="F10" s="7">
        <f>IF(N(Inputs_Monthly!$G10)=0,"",D10/Inputs_Monthly!$G10)</f>
        <v>0.146920186692624</v>
      </c>
      <c r="G10" s="7">
        <f>IF(N(D10)=0,"",Inputs_Monthly!$I10/D10)</f>
        <v>0.255174844970455</v>
      </c>
      <c r="H10" s="7">
        <f>IF(D10="","",IF(D10+N(Inputs_Monthly!$J10)=0,"",Inputs_Monthly!$J10/(D10+Inputs_Monthly!$J10)))</f>
        <v>0.0956640095874651</v>
      </c>
      <c r="I10" s="7">
        <f>IF(N(Inputs_Monthly!$C10)=0,"",Inputs_Monthly!$F10/Inputs_Monthly!$C10)</f>
        <v>0.0394247632409681</v>
      </c>
      <c r="J10" s="9" t="str">
        <f>IF(B10="","",IF(B10&gt;Thresholds!$B$4,"ALERT","OK"))</f>
        <v>OK</v>
      </c>
      <c r="K10" s="9" t="str">
        <f>IF(F10="","",IF(F10&gt;Thresholds!$B$5,"ALERT","OK"))</f>
        <v>OK</v>
      </c>
    </row>
    <row r="11" spans="1:11">
      <c r="A11" s="6" t="str">
        <f>IF(Inputs_Monthly!$A11="","",Inputs_Monthly!$A11)</f>
        <v>2025-03</v>
      </c>
      <c r="B11" s="7">
        <f>IF(N(Inputs_Monthly!$C11)=0,"",Inputs_Monthly!$E11/Inputs_Monthly!$C11)</f>
        <v>0.135011810178226</v>
      </c>
      <c r="C11" s="7">
        <f>IF(N(Inputs_Monthly!$B11)=0,"",Inputs_Monthly!$D11/Inputs_Monthly!$B11)</f>
        <v>0.130801687763713</v>
      </c>
      <c r="D11" s="8">
        <f>IF(N(Inputs_Monthly!$G11)=0,"",Inputs_Monthly!$H11+Inputs_Monthly!$I11)</f>
        <v>4896893.5</v>
      </c>
      <c r="E11" s="8">
        <f>IF(N(Inputs_Monthly!$G11)=0,"",Inputs_Monthly!$G11-D11)</f>
        <v>22086384.5</v>
      </c>
      <c r="F11" s="7">
        <f>IF(N(Inputs_Monthly!$G11)=0,"",D11/Inputs_Monthly!$G11)</f>
        <v>0.181478821809567</v>
      </c>
      <c r="G11" s="7">
        <f>IF(N(D11)=0,"",Inputs_Monthly!$I11/D11)</f>
        <v>0.365754738182482</v>
      </c>
      <c r="H11" s="7">
        <f>IF(D11="","",IF(D11+N(Inputs_Monthly!$J11)=0,"",Inputs_Monthly!$J11/(D11+Inputs_Monthly!$J11)))</f>
        <v>0.0741575822981584</v>
      </c>
      <c r="I11" s="7">
        <f>IF(N(Inputs_Monthly!$C11)=0,"",Inputs_Monthly!$F11/Inputs_Monthly!$C11)</f>
        <v>0.0709684346145587</v>
      </c>
      <c r="J11" s="9" t="str">
        <f>IF(B11="","",IF(B11&gt;Thresholds!$B$4,"ALERT","OK"))</f>
        <v>OK</v>
      </c>
      <c r="K11" s="9" t="str">
        <f>IF(F11="","",IF(F11&gt;Thresholds!$B$5,"ALERT","OK"))</f>
        <v>OK</v>
      </c>
    </row>
    <row r="12" spans="1:11">
      <c r="A12" s="6" t="str">
        <f>IF(Inputs_Monthly!$A12="","",Inputs_Monthly!$A12)</f>
        <v>2025-04</v>
      </c>
      <c r="B12" s="7">
        <f>IF(N(Inputs_Monthly!$C12)=0,"",Inputs_Monthly!$E12/Inputs_Monthly!$C12)</f>
        <v>0.137834188495814</v>
      </c>
      <c r="C12" s="7">
        <f>IF(N(Inputs_Monthly!$B12)=0,"",Inputs_Monthly!$D12/Inputs_Monthly!$B12)</f>
        <v>0.12775956284153</v>
      </c>
      <c r="D12" s="8">
        <f>IF(N(Inputs_Monthly!$G12)=0,"",Inputs_Monthly!$H12+Inputs_Monthly!$I12)</f>
        <v>5103113.5</v>
      </c>
      <c r="E12" s="8">
        <f>IF(N(Inputs_Monthly!$G12)=0,"",Inputs_Monthly!$G12-D12)</f>
        <v>23011409.5</v>
      </c>
      <c r="F12" s="7">
        <f>IF(N(Inputs_Monthly!$G12)=0,"",D12/Inputs_Monthly!$G12)</f>
        <v>0.181511651469242</v>
      </c>
      <c r="G12" s="7">
        <f>IF(N(D12)=0,"",Inputs_Monthly!$I12/D12)</f>
        <v>0.340973407704924</v>
      </c>
      <c r="H12" s="7">
        <f>IF(D12="","",IF(D12+N(Inputs_Monthly!$J12)=0,"",Inputs_Monthly!$J12/(D12+Inputs_Monthly!$J12)))</f>
        <v>0.0779234894082815</v>
      </c>
      <c r="I12" s="7">
        <f>IF(N(Inputs_Monthly!$C12)=0,"",Inputs_Monthly!$F12/Inputs_Monthly!$C12)</f>
        <v>0.0598973805022954</v>
      </c>
      <c r="J12" s="9" t="str">
        <f>IF(B12="","",IF(B12&gt;Thresholds!$B$4,"ALERT","OK"))</f>
        <v>OK</v>
      </c>
      <c r="K12" s="9" t="str">
        <f>IF(F12="","",IF(F12&gt;Thresholds!$B$5,"ALERT","OK"))</f>
        <v>OK</v>
      </c>
    </row>
    <row r="13" spans="1:11">
      <c r="A13" s="6" t="str">
        <f>IF(Inputs_Monthly!$A13="","",Inputs_Monthly!$A13)</f>
        <v>2025-05</v>
      </c>
      <c r="B13" s="7">
        <f>IF(N(Inputs_Monthly!$C13)=0,"",Inputs_Monthly!$E13/Inputs_Monthly!$C13)</f>
        <v>0.143237535579837</v>
      </c>
      <c r="C13" s="7">
        <f>IF(N(Inputs_Monthly!$B13)=0,"",Inputs_Monthly!$D13/Inputs_Monthly!$B13)</f>
        <v>0.13918570375829</v>
      </c>
      <c r="D13" s="8">
        <f>IF(N(Inputs_Monthly!$G13)=0,"",Inputs_Monthly!$H13+Inputs_Monthly!$I13)</f>
        <v>6528283.25</v>
      </c>
      <c r="E13" s="8">
        <f>IF(N(Inputs_Monthly!$G13)=0,"",Inputs_Monthly!$G13-D13)</f>
        <v>24381997.75</v>
      </c>
      <c r="F13" s="7">
        <f>IF(N(Inputs_Monthly!$G13)=0,"",D13/Inputs_Monthly!$G13)</f>
        <v>0.211201032109673</v>
      </c>
      <c r="G13" s="7">
        <f>IF(N(D13)=0,"",Inputs_Monthly!$I13/D13)</f>
        <v>0.42571774133728</v>
      </c>
      <c r="H13" s="7">
        <f>IF(D13="","",IF(D13+N(Inputs_Monthly!$J13)=0,"",Inputs_Monthly!$J13/(D13+Inputs_Monthly!$J13)))</f>
        <v>0.0745161834975589</v>
      </c>
      <c r="I13" s="7">
        <f>IF(N(Inputs_Monthly!$C13)=0,"",Inputs_Monthly!$F13/Inputs_Monthly!$C13)</f>
        <v>0.0870443485446699</v>
      </c>
      <c r="J13" s="9" t="str">
        <f>IF(B13="","",IF(B13&gt;Thresholds!$B$4,"ALERT","OK"))</f>
        <v>OK</v>
      </c>
      <c r="K13" s="9" t="str">
        <f>IF(F13="","",IF(F13&gt;Thresholds!$B$5,"ALERT","OK"))</f>
        <v>ALERT</v>
      </c>
    </row>
    <row r="14" spans="1:11">
      <c r="A14" s="6" t="str">
        <f>IF(Inputs_Monthly!$A14="","",Inputs_Monthly!$A14)</f>
        <v>2025-06</v>
      </c>
      <c r="B14" s="7">
        <f>IF(N(Inputs_Monthly!$C14)=0,"",Inputs_Monthly!$E14/Inputs_Monthly!$C14)</f>
        <v>0.136324523663184</v>
      </c>
      <c r="C14" s="7">
        <f>IF(N(Inputs_Monthly!$B14)=0,"",Inputs_Monthly!$D14/Inputs_Monthly!$B14)</f>
        <v>0.132045088566828</v>
      </c>
      <c r="D14" s="8">
        <f>IF(N(Inputs_Monthly!$G14)=0,"",Inputs_Monthly!$H14+Inputs_Monthly!$I14)</f>
        <v>3824061.5</v>
      </c>
      <c r="E14" s="8">
        <f>IF(N(Inputs_Monthly!$G14)=0,"",Inputs_Monthly!$G14-D14)</f>
        <v>19624086.5</v>
      </c>
      <c r="F14" s="7">
        <f>IF(N(Inputs_Monthly!$G14)=0,"",D14/Inputs_Monthly!$G14)</f>
        <v>0.163085865032923</v>
      </c>
      <c r="G14" s="7">
        <f>IF(N(D14)=0,"",Inputs_Monthly!$I14/D14)</f>
        <v>0.314996241561492</v>
      </c>
      <c r="H14" s="7">
        <f>IF(D14="","",IF(D14+N(Inputs_Monthly!$J14)=0,"",Inputs_Monthly!$J14/(D14+Inputs_Monthly!$J14)))</f>
        <v>0.0881448576870728</v>
      </c>
      <c r="I14" s="7">
        <f>IF(N(Inputs_Monthly!$C14)=0,"",Inputs_Monthly!$F14/Inputs_Monthly!$C14)</f>
        <v>0.0583282114320836</v>
      </c>
      <c r="J14" s="9" t="str">
        <f>IF(B14="","",IF(B14&gt;Thresholds!$B$4,"ALERT","OK"))</f>
        <v>OK</v>
      </c>
      <c r="K14" s="9" t="str">
        <f>IF(F14="","",IF(F14&gt;Thresholds!$B$5,"ALERT","OK"))</f>
        <v>OK</v>
      </c>
    </row>
    <row r="15" spans="1:11">
      <c r="A15" s="6" t="str">
        <f>IF(Inputs_Monthly!$A15="","",Inputs_Monthly!$A15)</f>
        <v>2025-07</v>
      </c>
      <c r="B15" s="7">
        <f>IF(N(Inputs_Monthly!$C15)=0,"",Inputs_Monthly!$E15/Inputs_Monthly!$C15)</f>
        <v>0.135271138184467</v>
      </c>
      <c r="C15" s="7">
        <f>IF(N(Inputs_Monthly!$B15)=0,"",Inputs_Monthly!$D15/Inputs_Monthly!$B15)</f>
        <v>0.128691411541588</v>
      </c>
      <c r="D15" s="8">
        <f>IF(N(Inputs_Monthly!$G15)=0,"",Inputs_Monthly!$H15+Inputs_Monthly!$I15)</f>
        <v>3015415</v>
      </c>
      <c r="E15" s="8">
        <f>IF(N(Inputs_Monthly!$G15)=0,"",Inputs_Monthly!$G15-D15)</f>
        <v>18535584</v>
      </c>
      <c r="F15" s="7">
        <f>IF(N(Inputs_Monthly!$G15)=0,"",D15/Inputs_Monthly!$G15)</f>
        <v>0.13991996380307</v>
      </c>
      <c r="G15" s="7">
        <f>IF(N(D15)=0,"",Inputs_Monthly!$I15/D15)</f>
        <v>0.175767182958233</v>
      </c>
      <c r="H15" s="7">
        <f>IF(D15="","",IF(D15+N(Inputs_Monthly!$J15)=0,"",Inputs_Monthly!$J15/(D15+Inputs_Monthly!$J15)))</f>
        <v>0.110949705253314</v>
      </c>
      <c r="I15" s="7">
        <f>IF(N(Inputs_Monthly!$C15)=0,"",Inputs_Monthly!$F15/Inputs_Monthly!$C15)</f>
        <v>0.035092365755148</v>
      </c>
      <c r="J15" s="9" t="str">
        <f>IF(B15="","",IF(B15&gt;Thresholds!$B$4,"ALERT","OK"))</f>
        <v>OK</v>
      </c>
      <c r="K15" s="9" t="str">
        <f>IF(F15="","",IF(F15&gt;Thresholds!$B$5,"ALERT","OK"))</f>
        <v>OK</v>
      </c>
    </row>
    <row r="16" spans="1:11">
      <c r="A16" s="6" t="str">
        <f>IF(Inputs_Monthly!$A16="","",Inputs_Monthly!$A16)</f>
        <v>2025-08</v>
      </c>
      <c r="B16" s="7">
        <f>IF(N(Inputs_Monthly!$C16)=0,"",Inputs_Monthly!$E16/Inputs_Monthly!$C16)</f>
        <v>0.123705684701365</v>
      </c>
      <c r="C16" s="7">
        <f>IF(N(Inputs_Monthly!$B16)=0,"",Inputs_Monthly!$D16/Inputs_Monthly!$B16)</f>
        <v>0.118197041585264</v>
      </c>
      <c r="D16" s="8">
        <f>IF(N(Inputs_Monthly!$G16)=0,"",Inputs_Monthly!$H16+Inputs_Monthly!$I16)</f>
        <v>3126508</v>
      </c>
      <c r="E16" s="8">
        <f>IF(N(Inputs_Monthly!$G16)=0,"",Inputs_Monthly!$G16-D16)</f>
        <v>18851050</v>
      </c>
      <c r="F16" s="7">
        <f>IF(N(Inputs_Monthly!$G16)=0,"",D16/Inputs_Monthly!$G16)</f>
        <v>0.142259117232224</v>
      </c>
      <c r="G16" s="7">
        <f>IF(N(D16)=0,"",Inputs_Monthly!$I16/D16)</f>
        <v>0.278266679631077</v>
      </c>
      <c r="H16" s="7">
        <f>IF(D16="","",IF(D16+N(Inputs_Monthly!$J16)=0,"",Inputs_Monthly!$J16/(D16+Inputs_Monthly!$J16)))</f>
        <v>0.0932012162935068</v>
      </c>
      <c r="I16" s="7">
        <f>IF(N(Inputs_Monthly!$C16)=0,"",Inputs_Monthly!$F16/Inputs_Monthly!$C16)</f>
        <v>0.0313378591510663</v>
      </c>
      <c r="J16" s="9" t="str">
        <f>IF(B16="","",IF(B16&gt;Thresholds!$B$4,"ALERT","OK"))</f>
        <v>OK</v>
      </c>
      <c r="K16" s="9" t="str">
        <f>IF(F16="","",IF(F16&gt;Thresholds!$B$5,"ALERT","OK"))</f>
        <v>OK</v>
      </c>
    </row>
    <row r="17" spans="1:11">
      <c r="A17" s="6" t="str">
        <f>IF(Inputs_Monthly!$A17="","",Inputs_Monthly!$A17)</f>
        <v>2025-09</v>
      </c>
      <c r="B17" s="7">
        <f>IF(N(Inputs_Monthly!$C17)=0,"",Inputs_Monthly!$E17/Inputs_Monthly!$C17)</f>
        <v>0.139590061293086</v>
      </c>
      <c r="C17" s="7">
        <f>IF(N(Inputs_Monthly!$B17)=0,"",Inputs_Monthly!$D17/Inputs_Monthly!$B17)</f>
        <v>0.134620505992011</v>
      </c>
      <c r="D17" s="8">
        <f>IF(N(Inputs_Monthly!$G17)=0,"",Inputs_Monthly!$H17+Inputs_Monthly!$I17)</f>
        <v>3264074.75</v>
      </c>
      <c r="E17" s="8">
        <f>IF(N(Inputs_Monthly!$G17)=0,"",Inputs_Monthly!$G17-D17)</f>
        <v>18946179.25</v>
      </c>
      <c r="F17" s="7">
        <f>IF(N(Inputs_Monthly!$G17)=0,"",D17/Inputs_Monthly!$G17)</f>
        <v>0.146962513350815</v>
      </c>
      <c r="G17" s="7">
        <f>IF(N(D17)=0,"",Inputs_Monthly!$I17/D17)</f>
        <v>0.248210614661934</v>
      </c>
      <c r="H17" s="7">
        <f>IF(D17="","",IF(D17+N(Inputs_Monthly!$J17)=0,"",Inputs_Monthly!$J17/(D17+Inputs_Monthly!$J17)))</f>
        <v>0.104831891059658</v>
      </c>
      <c r="I17" s="7">
        <f>IF(N(Inputs_Monthly!$C17)=0,"",Inputs_Monthly!$F17/Inputs_Monthly!$C17)</f>
        <v>0.0482435905885454</v>
      </c>
      <c r="J17" s="9" t="str">
        <f>IF(B17="","",IF(B17&gt;Thresholds!$B$4,"ALERT","OK"))</f>
        <v>OK</v>
      </c>
      <c r="K17" s="9" t="str">
        <f>IF(F17="","",IF(F17&gt;Thresholds!$B$5,"ALERT","OK"))</f>
        <v>OK</v>
      </c>
    </row>
    <row r="18" spans="1:11">
      <c r="A18" s="6" t="str">
        <f>IF(Inputs_Monthly!$A18="","",Inputs_Monthly!$A18)</f>
        <v>2025-10</v>
      </c>
      <c r="B18" s="7">
        <f>IF(N(Inputs_Monthly!$C18)=0,"",Inputs_Monthly!$E18/Inputs_Monthly!$C18)</f>
        <v>0.136838995568685</v>
      </c>
      <c r="C18" s="7">
        <f>IF(N(Inputs_Monthly!$B18)=0,"",Inputs_Monthly!$D18/Inputs_Monthly!$B18)</f>
        <v>0.127857142857143</v>
      </c>
      <c r="D18" s="8">
        <f>IF(N(Inputs_Monthly!$G18)=0,"",Inputs_Monthly!$H18+Inputs_Monthly!$I18)</f>
        <v>4897437.5</v>
      </c>
      <c r="E18" s="8">
        <f>IF(N(Inputs_Monthly!$G18)=0,"",Inputs_Monthly!$G18-D18)</f>
        <v>22642230.5</v>
      </c>
      <c r="F18" s="7">
        <f>IF(N(Inputs_Monthly!$G18)=0,"",D18/Inputs_Monthly!$G18)</f>
        <v>0.177832118382836</v>
      </c>
      <c r="G18" s="7">
        <f>IF(N(D18)=0,"",Inputs_Monthly!$I18/D18)</f>
        <v>0.311126992432267</v>
      </c>
      <c r="H18" s="7">
        <f>IF(D18="","",IF(D18+N(Inputs_Monthly!$J18)=0,"",Inputs_Monthly!$J18/(D18+Inputs_Monthly!$J18)))</f>
        <v>0.0783410680276718</v>
      </c>
      <c r="I18" s="7">
        <f>IF(N(Inputs_Monthly!$C18)=0,"",Inputs_Monthly!$F18/Inputs_Monthly!$C18)</f>
        <v>0.0566617429837518</v>
      </c>
      <c r="J18" s="9" t="str">
        <f>IF(B18="","",IF(B18&gt;Thresholds!$B$4,"ALERT","OK"))</f>
        <v>OK</v>
      </c>
      <c r="K18" s="9" t="str">
        <f>IF(F18="","",IF(F18&gt;Thresholds!$B$5,"ALERT","OK"))</f>
        <v>OK</v>
      </c>
    </row>
    <row r="19" spans="1:11">
      <c r="A19" s="6" t="str">
        <f>IF(Inputs_Monthly!$A19="","",Inputs_Monthly!$A19)</f>
        <v>2025-11</v>
      </c>
      <c r="B19" s="7">
        <f>IF(N(Inputs_Monthly!$C19)=0,"",Inputs_Monthly!$E19/Inputs_Monthly!$C19)</f>
        <v>0.140449438202247</v>
      </c>
      <c r="C19" s="7">
        <f>IF(N(Inputs_Monthly!$B19)=0,"",Inputs_Monthly!$D19/Inputs_Monthly!$B19)</f>
        <v>0.13366760425584</v>
      </c>
      <c r="D19" s="8">
        <f>IF(N(Inputs_Monthly!$G19)=0,"",Inputs_Monthly!$H19+Inputs_Monthly!$I19)</f>
        <v>3971634.25</v>
      </c>
      <c r="E19" s="8">
        <f>IF(N(Inputs_Monthly!$G19)=0,"",Inputs_Monthly!$G19-D19)</f>
        <v>20582919.75</v>
      </c>
      <c r="F19" s="7">
        <f>IF(N(Inputs_Monthly!$G19)=0,"",D19/Inputs_Monthly!$G19)</f>
        <v>0.161747358555158</v>
      </c>
      <c r="G19" s="7">
        <f>IF(N(D19)=0,"",Inputs_Monthly!$I19/D19)</f>
        <v>0.26814150875046</v>
      </c>
      <c r="H19" s="7">
        <f>IF(D19="","",IF(D19+N(Inputs_Monthly!$J19)=0,"",Inputs_Monthly!$J19/(D19+Inputs_Monthly!$J19)))</f>
        <v>0.0951210068138742</v>
      </c>
      <c r="I19" s="7">
        <f>IF(N(Inputs_Monthly!$C19)=0,"",Inputs_Monthly!$F19/Inputs_Monthly!$C19)</f>
        <v>0.0538842575812493</v>
      </c>
      <c r="J19" s="9" t="str">
        <f>IF(B19="","",IF(B19&gt;Thresholds!$B$4,"ALERT","OK"))</f>
        <v>OK</v>
      </c>
      <c r="K19" s="9" t="str">
        <f>IF(F19="","",IF(F19&gt;Thresholds!$B$5,"ALERT","OK"))</f>
        <v>OK</v>
      </c>
    </row>
    <row r="20" spans="1:11">
      <c r="A20" s="6" t="str">
        <f>IF(Inputs_Monthly!$A20="","",Inputs_Monthly!$A20)</f>
        <v>2025-12</v>
      </c>
      <c r="B20" s="7">
        <f>IF(N(Inputs_Monthly!$C20)=0,"",Inputs_Monthly!$E20/Inputs_Monthly!$C20)</f>
        <v>0.133017724149876</v>
      </c>
      <c r="C20" s="7">
        <f>IF(N(Inputs_Monthly!$B20)=0,"",Inputs_Monthly!$D20/Inputs_Monthly!$B20)</f>
        <v>0.12772116720704</v>
      </c>
      <c r="D20" s="8">
        <f>IF(N(Inputs_Monthly!$G20)=0,"",Inputs_Monthly!$H20+Inputs_Monthly!$I20)</f>
        <v>4589503.75</v>
      </c>
      <c r="E20" s="8">
        <f>IF(N(Inputs_Monthly!$G20)=0,"",Inputs_Monthly!$G20-D20)</f>
        <v>22737111.25</v>
      </c>
      <c r="F20" s="7">
        <f>IF(N(Inputs_Monthly!$G20)=0,"",D20/Inputs_Monthly!$G20)</f>
        <v>0.167949954650439</v>
      </c>
      <c r="G20" s="7">
        <f>IF(N(D20)=0,"",Inputs_Monthly!$I20/D20)</f>
        <v>0.30756397137708</v>
      </c>
      <c r="H20" s="7">
        <f>IF(D20="","",IF(D20+N(Inputs_Monthly!$J20)=0,"",Inputs_Monthly!$J20/(D20+Inputs_Monthly!$J20)))</f>
        <v>0.0818818396196219</v>
      </c>
      <c r="I20" s="7">
        <f>IF(N(Inputs_Monthly!$C20)=0,"",Inputs_Monthly!$F20/Inputs_Monthly!$C20)</f>
        <v>0.0487847121990647</v>
      </c>
      <c r="J20" s="9" t="str">
        <f>IF(B20="","",IF(B20&gt;Thresholds!$B$4,"ALERT","OK"))</f>
        <v>OK</v>
      </c>
      <c r="K20" s="9" t="str">
        <f>IF(F20="","",IF(F20&gt;Thresholds!$B$5,"ALERT","OK"))</f>
        <v>OK</v>
      </c>
    </row>
    <row r="21" spans="1:11">
      <c r="A21" s="6" t="str">
        <f>IF(Inputs_Monthly!$A21="","",Inputs_Monthly!$A21)</f>
        <v>2026-01</v>
      </c>
      <c r="B21" s="7">
        <f>IF(N(Inputs_Monthly!$C21)=0,"",Inputs_Monthly!$E21/Inputs_Monthly!$C21)</f>
        <v>0.141787380309354</v>
      </c>
      <c r="C21" s="7">
        <f>IF(N(Inputs_Monthly!$B21)=0,"",Inputs_Monthly!$D21/Inputs_Monthly!$B21)</f>
        <v>0.135108602282489</v>
      </c>
      <c r="D21" s="8">
        <f>IF(N(Inputs_Monthly!$G21)=0,"",Inputs_Monthly!$H21+Inputs_Monthly!$I21)</f>
        <v>4714106</v>
      </c>
      <c r="E21" s="8">
        <f>IF(N(Inputs_Monthly!$G21)=0,"",Inputs_Monthly!$G21-D21)</f>
        <v>20330404</v>
      </c>
      <c r="F21" s="7">
        <f>IF(N(Inputs_Monthly!$G21)=0,"",D21/Inputs_Monthly!$G21)</f>
        <v>0.188229116880306</v>
      </c>
      <c r="G21" s="7">
        <f>IF(N(D21)=0,"",Inputs_Monthly!$I21/D21)</f>
        <v>0.334008611601012</v>
      </c>
      <c r="H21" s="7">
        <f>IF(D21="","",IF(D21+N(Inputs_Monthly!$J21)=0,"",Inputs_Monthly!$J21/(D21+Inputs_Monthly!$J21)))</f>
        <v>0.0789179933055999</v>
      </c>
      <c r="I21" s="7">
        <f>IF(N(Inputs_Monthly!$C21)=0,"",Inputs_Monthly!$F21/Inputs_Monthly!$C21)</f>
        <v>0.057819788853425</v>
      </c>
      <c r="J21" s="9" t="str">
        <f>IF(B21="","",IF(B21&gt;Thresholds!$B$4,"ALERT","OK"))</f>
        <v>OK</v>
      </c>
      <c r="K21" s="9" t="str">
        <f>IF(F21="","",IF(F21&gt;Thresholds!$B$5,"ALERT","OK"))</f>
        <v>OK</v>
      </c>
    </row>
    <row r="22" spans="1:11">
      <c r="A22" s="6" t="str">
        <f>IF(Inputs_Monthly!$A22="","",Inputs_Monthly!$A22)</f>
        <v>2026-02</v>
      </c>
      <c r="B22" s="7">
        <f>IF(N(Inputs_Monthly!$C22)=0,"",Inputs_Monthly!$E22/Inputs_Monthly!$C22)</f>
        <v>0.140088263358779</v>
      </c>
      <c r="C22" s="7">
        <f>IF(N(Inputs_Monthly!$B22)=0,"",Inputs_Monthly!$D22/Inputs_Monthly!$B22)</f>
        <v>0.133445945945946</v>
      </c>
      <c r="D22" s="8">
        <f>IF(N(Inputs_Monthly!$G22)=0,"",Inputs_Monthly!$H22+Inputs_Monthly!$I22)</f>
        <v>4366306.5</v>
      </c>
      <c r="E22" s="8">
        <f>IF(N(Inputs_Monthly!$G22)=0,"",Inputs_Monthly!$G22-D22)</f>
        <v>21113567.5</v>
      </c>
      <c r="F22" s="7">
        <f>IF(N(Inputs_Monthly!$G22)=0,"",D22/Inputs_Monthly!$G22)</f>
        <v>0.17136295493455</v>
      </c>
      <c r="G22" s="7">
        <f>IF(N(D22)=0,"",Inputs_Monthly!$I22/D22)</f>
        <v>0.304346705848524</v>
      </c>
      <c r="H22" s="7">
        <f>IF(D22="","",IF(D22+N(Inputs_Monthly!$J22)=0,"",Inputs_Monthly!$J22/(D22+Inputs_Monthly!$J22)))</f>
        <v>0.0867695244214487</v>
      </c>
      <c r="I22" s="7">
        <f>IF(N(Inputs_Monthly!$C22)=0,"",Inputs_Monthly!$F22/Inputs_Monthly!$C22)</f>
        <v>0.052361641221374</v>
      </c>
      <c r="J22" s="9" t="str">
        <f>IF(B22="","",IF(B22&gt;Thresholds!$B$4,"ALERT","OK"))</f>
        <v>OK</v>
      </c>
      <c r="K22" s="9" t="str">
        <f>IF(F22="","",IF(F22&gt;Thresholds!$B$5,"ALERT","OK"))</f>
        <v>OK</v>
      </c>
    </row>
    <row r="23" spans="1:11">
      <c r="A23" s="6" t="str">
        <f>IF(Inputs_Monthly!$A23="","",Inputs_Monthly!$A23)</f>
        <v>2026-03</v>
      </c>
      <c r="B23" s="7">
        <f>IF(N(Inputs_Monthly!$C23)=0,"",Inputs_Monthly!$E23/Inputs_Monthly!$C23)</f>
        <v>0.146178156301891</v>
      </c>
      <c r="C23" s="7">
        <f>IF(N(Inputs_Monthly!$B23)=0,"",Inputs_Monthly!$D23/Inputs_Monthly!$B23)</f>
        <v>0.139942313855357</v>
      </c>
      <c r="D23" s="8">
        <f>IF(N(Inputs_Monthly!$G23)=0,"",Inputs_Monthly!$H23+Inputs_Monthly!$I23)</f>
        <v>4783304.75</v>
      </c>
      <c r="E23" s="8">
        <f>IF(N(Inputs_Monthly!$G23)=0,"",Inputs_Monthly!$G23-D23)</f>
        <v>19959301.25</v>
      </c>
      <c r="F23" s="7">
        <f>IF(N(Inputs_Monthly!$G23)=0,"",D23/Inputs_Monthly!$G23)</f>
        <v>0.193322593020315</v>
      </c>
      <c r="G23" s="7">
        <f>IF(N(D23)=0,"",Inputs_Monthly!$I23/D23)</f>
        <v>0.372115115600778</v>
      </c>
      <c r="H23" s="7">
        <f>IF(D23="","",IF(D23+N(Inputs_Monthly!$J23)=0,"",Inputs_Monthly!$J23/(D23+Inputs_Monthly!$J23)))</f>
        <v>0.0810131016934564</v>
      </c>
      <c r="I23" s="7">
        <f>IF(N(Inputs_Monthly!$C23)=0,"",Inputs_Monthly!$F23/Inputs_Monthly!$C23)</f>
        <v>0.0757940971664256</v>
      </c>
      <c r="J23" s="9" t="str">
        <f>IF(B23="","",IF(B23&gt;Thresholds!$B$4,"ALERT","OK"))</f>
        <v>OK</v>
      </c>
      <c r="K23" s="9" t="str">
        <f>IF(F23="","",IF(F23&gt;Thresholds!$B$5,"ALERT","OK"))</f>
        <v>OK</v>
      </c>
    </row>
    <row r="24" spans="1:11">
      <c r="A24" s="6" t="str">
        <f>IF(Inputs_Monthly!$A24="","",Inputs_Monthly!$A24)</f>
        <v>2026-04</v>
      </c>
      <c r="B24" s="7">
        <f>IF(N(Inputs_Monthly!$C24)=0,"",Inputs_Monthly!$E24/Inputs_Monthly!$C24)</f>
        <v>0.15116741182315</v>
      </c>
      <c r="C24" s="7">
        <f>IF(N(Inputs_Monthly!$B24)=0,"",Inputs_Monthly!$D24/Inputs_Monthly!$B24)</f>
        <v>0.142799919887843</v>
      </c>
      <c r="D24" s="8">
        <f>IF(N(Inputs_Monthly!$G24)=0,"",Inputs_Monthly!$H24+Inputs_Monthly!$I24)</f>
        <v>6655124</v>
      </c>
      <c r="E24" s="8">
        <f>IF(N(Inputs_Monthly!$G24)=0,"",Inputs_Monthly!$G24-D24)</f>
        <v>24349746</v>
      </c>
      <c r="F24" s="7">
        <f>IF(N(Inputs_Monthly!$G24)=0,"",D24/Inputs_Monthly!$G24)</f>
        <v>0.214647698893754</v>
      </c>
      <c r="G24" s="7">
        <f>IF(N(D24)=0,"",Inputs_Monthly!$I24/D24)</f>
        <v>0.396398474318435</v>
      </c>
      <c r="H24" s="7">
        <f>IF(D24="","",IF(D24+N(Inputs_Monthly!$J24)=0,"",Inputs_Monthly!$J24/(D24+Inputs_Monthly!$J24)))</f>
        <v>0.0734250015210583</v>
      </c>
      <c r="I24" s="7">
        <f>IF(N(Inputs_Monthly!$C24)=0,"",Inputs_Monthly!$F24/Inputs_Monthly!$C24)</f>
        <v>0.0892200695479384</v>
      </c>
      <c r="J24" s="9" t="str">
        <f>IF(B24="","",IF(B24&gt;Thresholds!$B$4,"ALERT","OK"))</f>
        <v>ALERT</v>
      </c>
      <c r="K24" s="9" t="str">
        <f>IF(F24="","",IF(F24&gt;Thresholds!$B$5,"ALERT","OK"))</f>
        <v>ALERT</v>
      </c>
    </row>
    <row r="25" spans="1:11">
      <c r="A25" s="6" t="str">
        <f>IF(Inputs_Monthly!$A25="","",Inputs_Monthly!$A25)</f>
        <v>2026-05</v>
      </c>
      <c r="B25" s="7">
        <f>IF(N(Inputs_Monthly!$C25)=0,"",Inputs_Monthly!$E25/Inputs_Monthly!$C25)</f>
        <v>0.150341289509152</v>
      </c>
      <c r="C25" s="7">
        <f>IF(N(Inputs_Monthly!$B25)=0,"",Inputs_Monthly!$D25/Inputs_Monthly!$B25)</f>
        <v>0.143987479349622</v>
      </c>
      <c r="D25" s="8">
        <f>IF(N(Inputs_Monthly!$G25)=0,"",Inputs_Monthly!$H25+Inputs_Monthly!$I25)</f>
        <v>8653240.5</v>
      </c>
      <c r="E25" s="8">
        <f>IF(N(Inputs_Monthly!$G25)=0,"",Inputs_Monthly!$G25-D25)</f>
        <v>27565935.5</v>
      </c>
      <c r="F25" s="7">
        <f>IF(N(Inputs_Monthly!$G25)=0,"",D25/Inputs_Monthly!$G25)</f>
        <v>0.238913234801366</v>
      </c>
      <c r="G25" s="7">
        <f>IF(N(D25)=0,"",Inputs_Monthly!$I25/D25)</f>
        <v>0.464741734613755</v>
      </c>
      <c r="H25" s="7">
        <f>IF(D25="","",IF(D25+N(Inputs_Monthly!$J25)=0,"",Inputs_Monthly!$J25/(D25+Inputs_Monthly!$J25)))</f>
        <v>0.0605534275438992</v>
      </c>
      <c r="I25" s="7">
        <f>IF(N(Inputs_Monthly!$C25)=0,"",Inputs_Monthly!$F25/Inputs_Monthly!$C25)</f>
        <v>0.116516673188122</v>
      </c>
      <c r="J25" s="9" t="str">
        <f>IF(B25="","",IF(B25&gt;Thresholds!$B$4,"ALERT","OK"))</f>
        <v>ALERT</v>
      </c>
      <c r="K25" s="9" t="str">
        <f>IF(F25="","",IF(F25&gt;Thresholds!$B$5,"ALERT","OK"))</f>
        <v>ALERT</v>
      </c>
    </row>
    <row r="26" spans="1:11">
      <c r="A26" s="6" t="str">
        <f>IF(Inputs_Monthly!$A26="","",Inputs_Monthly!$A26)</f>
        <v>2026-06</v>
      </c>
      <c r="B26" s="7">
        <f>IF(N(Inputs_Monthly!$C26)=0,"",Inputs_Monthly!$E26/Inputs_Monthly!$C26)</f>
        <v>0.134085073127163</v>
      </c>
      <c r="C26" s="7">
        <f>IF(N(Inputs_Monthly!$B26)=0,"",Inputs_Monthly!$D26/Inputs_Monthly!$B26)</f>
        <v>0.128639964297668</v>
      </c>
      <c r="D26" s="8">
        <f>IF(N(Inputs_Monthly!$G26)=0,"",Inputs_Monthly!$H26+Inputs_Monthly!$I26)</f>
        <v>5948604</v>
      </c>
      <c r="E26" s="8">
        <f>IF(N(Inputs_Monthly!$G26)=0,"",Inputs_Monthly!$G26-D26)</f>
        <v>23370206</v>
      </c>
      <c r="F26" s="7">
        <f>IF(N(Inputs_Monthly!$G26)=0,"",D26/Inputs_Monthly!$G26)</f>
        <v>0.202893773655888</v>
      </c>
      <c r="G26" s="7">
        <f>IF(N(D26)=0,"",Inputs_Monthly!$I26/D26)</f>
        <v>0.437454064852863</v>
      </c>
      <c r="H26" s="7">
        <f>IF(D26="","",IF(D26+N(Inputs_Monthly!$J26)=0,"",Inputs_Monthly!$J26/(D26+Inputs_Monthly!$J26)))</f>
        <v>0.0663721883752853</v>
      </c>
      <c r="I26" s="7">
        <f>IF(N(Inputs_Monthly!$C26)=0,"",Inputs_Monthly!$F26/Inputs_Monthly!$C26)</f>
        <v>0.0863570391872279</v>
      </c>
      <c r="J26" s="9" t="str">
        <f>IF(B26="","",IF(B26&gt;Thresholds!$B$4,"ALERT","OK"))</f>
        <v>OK</v>
      </c>
      <c r="K26" s="9" t="str">
        <f>IF(F26="","",IF(F26&gt;Thresholds!$B$5,"ALERT","OK"))</f>
        <v>ALERT</v>
      </c>
    </row>
    <row r="27" spans="1:11">
      <c r="A27" s="6" t="str">
        <f>IF(Inputs_Monthly!$A27="","",Inputs_Monthly!$A27)</f>
        <v>2026-07</v>
      </c>
      <c r="B27" s="7">
        <f>IF(N(Inputs_Monthly!$C27)=0,"",Inputs_Monthly!$E27/Inputs_Monthly!$C27)</f>
        <v>0.137226552677898</v>
      </c>
      <c r="C27" s="7">
        <f>IF(N(Inputs_Monthly!$B27)=0,"",Inputs_Monthly!$D27/Inputs_Monthly!$B27)</f>
        <v>0.12922339889057</v>
      </c>
      <c r="D27" s="8">
        <f>IF(N(Inputs_Monthly!$G27)=0,"",Inputs_Monthly!$H27+Inputs_Monthly!$I27)</f>
        <v>4315193.5</v>
      </c>
      <c r="E27" s="8">
        <f>IF(N(Inputs_Monthly!$G27)=0,"",Inputs_Monthly!$G27-D27)</f>
        <v>20711417.5</v>
      </c>
      <c r="F27" s="7">
        <f>IF(N(Inputs_Monthly!$G27)=0,"",D27/Inputs_Monthly!$G27)</f>
        <v>0.172424204779465</v>
      </c>
      <c r="G27" s="7">
        <f>IF(N(D27)=0,"",Inputs_Monthly!$I27/D27)</f>
        <v>0.317991997346121</v>
      </c>
      <c r="H27" s="7">
        <f>IF(D27="","",IF(D27+N(Inputs_Monthly!$J27)=0,"",Inputs_Monthly!$J27/(D27+Inputs_Monthly!$J27)))</f>
        <v>0.07875068823738</v>
      </c>
      <c r="I27" s="7">
        <f>IF(N(Inputs_Monthly!$C27)=0,"",Inputs_Monthly!$F27/Inputs_Monthly!$C27)</f>
        <v>0.0572039225546895</v>
      </c>
      <c r="J27" s="9" t="str">
        <f>IF(B27="","",IF(B27&gt;Thresholds!$B$4,"ALERT","OK"))</f>
        <v>OK</v>
      </c>
      <c r="K27" s="9" t="str">
        <f>IF(F27="","",IF(F27&gt;Thresholds!$B$5,"ALERT","OK"))</f>
        <v>OK</v>
      </c>
    </row>
    <row r="28" spans="1:11">
      <c r="A28" s="6" t="str">
        <f>IF(Inputs_Monthly!$A28="","",Inputs_Monthly!$A28)</f>
        <v>2026-08</v>
      </c>
      <c r="B28" s="7">
        <f>IF(N(Inputs_Monthly!$C28)=0,"",Inputs_Monthly!$E28/Inputs_Monthly!$C28)</f>
        <v>0.13471377836634</v>
      </c>
      <c r="C28" s="7">
        <f>IF(N(Inputs_Monthly!$B28)=0,"",Inputs_Monthly!$D28/Inputs_Monthly!$B28)</f>
        <v>0.126288972461482</v>
      </c>
      <c r="D28" s="8">
        <f>IF(N(Inputs_Monthly!$G28)=0,"",Inputs_Monthly!$H28+Inputs_Monthly!$I28)</f>
        <v>4303071.25</v>
      </c>
      <c r="E28" s="8">
        <f>IF(N(Inputs_Monthly!$G28)=0,"",Inputs_Monthly!$G28-D28)</f>
        <v>22777228.75</v>
      </c>
      <c r="F28" s="7">
        <f>IF(N(Inputs_Monthly!$G28)=0,"",D28/Inputs_Monthly!$G28)</f>
        <v>0.158900427617124</v>
      </c>
      <c r="G28" s="7">
        <f>IF(N(D28)=0,"",Inputs_Monthly!$I28/D28)</f>
        <v>0.284775670400531</v>
      </c>
      <c r="H28" s="7">
        <f>IF(D28="","",IF(D28+N(Inputs_Monthly!$J28)=0,"",Inputs_Monthly!$J28/(D28+Inputs_Monthly!$J28)))</f>
        <v>0.0888842436329351</v>
      </c>
      <c r="I28" s="7">
        <f>IF(N(Inputs_Monthly!$C28)=0,"",Inputs_Monthly!$F28/Inputs_Monthly!$C28)</f>
        <v>0.0502016493107807</v>
      </c>
      <c r="J28" s="9" t="str">
        <f>IF(B28="","",IF(B28&gt;Thresholds!$B$4,"ALERT","OK"))</f>
        <v>OK</v>
      </c>
      <c r="K28" s="9" t="str">
        <f>IF(F28="","",IF(F28&gt;Thresholds!$B$5,"ALERT","OK"))</f>
        <v>OK</v>
      </c>
    </row>
    <row r="29" spans="1:11">
      <c r="A29" s="6">
        <f>IF(Inputs_Monthly!$A29="","",Inputs_Monthly!$A29)</f>
        <v/>
      </c>
      <c r="B29" s="7">
        <f>IF(N(Inputs_Monthly!$C29)=0,"",Inputs_Monthly!$E29/Inputs_Monthly!$C29)</f>
        <v/>
      </c>
      <c r="C29" s="7">
        <f>IF(N(Inputs_Monthly!$B29)=0,"",Inputs_Monthly!$D29/Inputs_Monthly!$B29)</f>
        <v/>
      </c>
      <c r="D29" s="8">
        <f>IF(N(Inputs_Monthly!$G29)=0,"",Inputs_Monthly!$H29+Inputs_Monthly!$I29)</f>
        <v/>
      </c>
      <c r="E29" s="8">
        <f>IF(N(Inputs_Monthly!$G29)=0,"",Inputs_Monthly!$G29-D29)</f>
        <v/>
      </c>
      <c r="F29" s="7">
        <f>IF(N(Inputs_Monthly!$G29)=0,"",D29/Inputs_Monthly!$G29)</f>
        <v/>
      </c>
      <c r="G29" s="7">
        <f>IF(N(D29)=0,"",Inputs_Monthly!$I29/D29)</f>
        <v/>
      </c>
      <c r="H29" s="7">
        <f>IF(D29="","",IF(D29+N(Inputs_Monthly!$J29)=0,"",Inputs_Monthly!$J29/(D29+Inputs_Monthly!$J29)))</f>
        <v/>
      </c>
      <c r="I29" s="7">
        <f>IF(N(Inputs_Monthly!$C29)=0,"",Inputs_Monthly!$F29/Inputs_Monthly!$C29)</f>
        <v/>
      </c>
      <c r="J29" s="9">
        <f>IF(B29="","",IF(B29&gt;Thresholds!$B$4,"ALERT","OK"))</f>
        <v/>
      </c>
      <c r="K29" s="9">
        <f>IF(F29="","",IF(F29&gt;Thresholds!$B$5,"ALERT","OK"))</f>
        <v/>
      </c>
    </row>
    <row r="30" spans="1:11">
      <c r="A30" s="6">
        <f>IF(Inputs_Monthly!$A30="","",Inputs_Monthly!$A30)</f>
        <v/>
      </c>
      <c r="B30" s="7">
        <f>IF(N(Inputs_Monthly!$C30)=0,"",Inputs_Monthly!$E30/Inputs_Monthly!$C30)</f>
        <v/>
      </c>
      <c r="C30" s="7">
        <f>IF(N(Inputs_Monthly!$B30)=0,"",Inputs_Monthly!$D30/Inputs_Monthly!$B30)</f>
        <v/>
      </c>
      <c r="D30" s="8">
        <f>IF(N(Inputs_Monthly!$G30)=0,"",Inputs_Monthly!$H30+Inputs_Monthly!$I30)</f>
        <v/>
      </c>
      <c r="E30" s="8">
        <f>IF(N(Inputs_Monthly!$G30)=0,"",Inputs_Monthly!$G30-D30)</f>
        <v/>
      </c>
      <c r="F30" s="7">
        <f>IF(N(Inputs_Monthly!$G30)=0,"",D30/Inputs_Monthly!$G30)</f>
        <v/>
      </c>
      <c r="G30" s="7">
        <f>IF(N(D30)=0,"",Inputs_Monthly!$I30/D30)</f>
        <v/>
      </c>
      <c r="H30" s="7">
        <f>IF(D30="","",IF(D30+N(Inputs_Monthly!$J30)=0,"",Inputs_Monthly!$J30/(D30+Inputs_Monthly!$J30)))</f>
        <v/>
      </c>
      <c r="I30" s="7">
        <f>IF(N(Inputs_Monthly!$C30)=0,"",Inputs_Monthly!$F30/Inputs_Monthly!$C30)</f>
        <v/>
      </c>
      <c r="J30" s="9">
        <f>IF(B30="","",IF(B30&gt;Thresholds!$B$4,"ALERT","OK"))</f>
        <v/>
      </c>
      <c r="K30" s="9">
        <f>IF(F30="","",IF(F30&gt;Thresholds!$B$5,"ALERT","OK"))</f>
        <v/>
      </c>
    </row>
    <row r="31" spans="1:11">
      <c r="A31" s="6">
        <f>IF(Inputs_Monthly!$A31="","",Inputs_Monthly!$A31)</f>
        <v/>
      </c>
      <c r="B31" s="7">
        <f>IF(N(Inputs_Monthly!$C31)=0,"",Inputs_Monthly!$E31/Inputs_Monthly!$C31)</f>
        <v/>
      </c>
      <c r="C31" s="7">
        <f>IF(N(Inputs_Monthly!$B31)=0,"",Inputs_Monthly!$D31/Inputs_Monthly!$B31)</f>
        <v/>
      </c>
      <c r="D31" s="8">
        <f>IF(N(Inputs_Monthly!$G31)=0,"",Inputs_Monthly!$H31+Inputs_Monthly!$I31)</f>
        <v/>
      </c>
      <c r="E31" s="8">
        <f>IF(N(Inputs_Monthly!$G31)=0,"",Inputs_Monthly!$G31-D31)</f>
        <v/>
      </c>
      <c r="F31" s="7">
        <f>IF(N(Inputs_Monthly!$G31)=0,"",D31/Inputs_Monthly!$G31)</f>
        <v/>
      </c>
      <c r="G31" s="7">
        <f>IF(N(D31)=0,"",Inputs_Monthly!$I31/D31)</f>
        <v/>
      </c>
      <c r="H31" s="7">
        <f>IF(D31="","",IF(D31+N(Inputs_Monthly!$J31)=0,"",Inputs_Monthly!$J31/(D31+Inputs_Monthly!$J31)))</f>
        <v/>
      </c>
      <c r="I31" s="7">
        <f>IF(N(Inputs_Monthly!$C31)=0,"",Inputs_Monthly!$F31/Inputs_Monthly!$C31)</f>
        <v/>
      </c>
      <c r="J31" s="9">
        <f>IF(B31="","",IF(B31&gt;Thresholds!$B$4,"ALERT","OK"))</f>
        <v/>
      </c>
      <c r="K31" s="9">
        <f>IF(F31="","",IF(F31&gt;Thresholds!$B$5,"ALERT","OK"))</f>
        <v/>
      </c>
    </row>
    <row r="32" spans="1:11">
      <c r="A32" s="6">
        <f>IF(Inputs_Monthly!$A32="","",Inputs_Monthly!$A32)</f>
        <v/>
      </c>
      <c r="B32" s="7">
        <f>IF(N(Inputs_Monthly!$C32)=0,"",Inputs_Monthly!$E32/Inputs_Monthly!$C32)</f>
        <v/>
      </c>
      <c r="C32" s="7">
        <f>IF(N(Inputs_Monthly!$B32)=0,"",Inputs_Monthly!$D32/Inputs_Monthly!$B32)</f>
        <v/>
      </c>
      <c r="D32" s="8">
        <f>IF(N(Inputs_Monthly!$G32)=0,"",Inputs_Monthly!$H32+Inputs_Monthly!$I32)</f>
        <v/>
      </c>
      <c r="E32" s="8">
        <f>IF(N(Inputs_Monthly!$G32)=0,"",Inputs_Monthly!$G32-D32)</f>
        <v/>
      </c>
      <c r="F32" s="7">
        <f>IF(N(Inputs_Monthly!$G32)=0,"",D32/Inputs_Monthly!$G32)</f>
        <v/>
      </c>
      <c r="G32" s="7">
        <f>IF(N(D32)=0,"",Inputs_Monthly!$I32/D32)</f>
        <v/>
      </c>
      <c r="H32" s="7">
        <f>IF(D32="","",IF(D32+N(Inputs_Monthly!$J32)=0,"",Inputs_Monthly!$J32/(D32+Inputs_Monthly!$J32)))</f>
        <v/>
      </c>
      <c r="I32" s="7">
        <f>IF(N(Inputs_Monthly!$C32)=0,"",Inputs_Monthly!$F32/Inputs_Monthly!$C32)</f>
        <v/>
      </c>
      <c r="J32" s="9">
        <f>IF(B32="","",IF(B32&gt;Thresholds!$B$4,"ALERT","OK"))</f>
        <v/>
      </c>
      <c r="K32" s="9">
        <f>IF(F32="","",IF(F32&gt;Thresholds!$B$5,"ALERT","OK"))</f>
        <v/>
      </c>
    </row>
    <row r="33" spans="1:11">
      <c r="A33" s="6">
        <f>IF(Inputs_Monthly!$A33="","",Inputs_Monthly!$A33)</f>
        <v/>
      </c>
      <c r="B33" s="7">
        <f>IF(N(Inputs_Monthly!$C33)=0,"",Inputs_Monthly!$E33/Inputs_Monthly!$C33)</f>
        <v/>
      </c>
      <c r="C33" s="7">
        <f>IF(N(Inputs_Monthly!$B33)=0,"",Inputs_Monthly!$D33/Inputs_Monthly!$B33)</f>
        <v/>
      </c>
      <c r="D33" s="8">
        <f>IF(N(Inputs_Monthly!$G33)=0,"",Inputs_Monthly!$H33+Inputs_Monthly!$I33)</f>
        <v/>
      </c>
      <c r="E33" s="8">
        <f>IF(N(Inputs_Monthly!$G33)=0,"",Inputs_Monthly!$G33-D33)</f>
        <v/>
      </c>
      <c r="F33" s="7">
        <f>IF(N(Inputs_Monthly!$G33)=0,"",D33/Inputs_Monthly!$G33)</f>
        <v/>
      </c>
      <c r="G33" s="7">
        <f>IF(N(D33)=0,"",Inputs_Monthly!$I33/D33)</f>
        <v/>
      </c>
      <c r="H33" s="7">
        <f>IF(D33="","",IF(D33+N(Inputs_Monthly!$J33)=0,"",Inputs_Monthly!$J33/(D33+Inputs_Monthly!$J33)))</f>
        <v/>
      </c>
      <c r="I33" s="7">
        <f>IF(N(Inputs_Monthly!$C33)=0,"",Inputs_Monthly!$F33/Inputs_Monthly!$C33)</f>
        <v/>
      </c>
      <c r="J33" s="9">
        <f>IF(B33="","",IF(B33&gt;Thresholds!$B$4,"ALERT","OK"))</f>
        <v/>
      </c>
      <c r="K33" s="9">
        <f>IF(F33="","",IF(F33&gt;Thresholds!$B$5,"ALERT","OK"))</f>
        <v/>
      </c>
    </row>
    <row r="34" spans="1:11">
      <c r="A34" s="6">
        <f>IF(Inputs_Monthly!$A34="","",Inputs_Monthly!$A34)</f>
        <v/>
      </c>
      <c r="B34" s="7">
        <f>IF(N(Inputs_Monthly!$C34)=0,"",Inputs_Monthly!$E34/Inputs_Monthly!$C34)</f>
        <v/>
      </c>
      <c r="C34" s="7">
        <f>IF(N(Inputs_Monthly!$B34)=0,"",Inputs_Monthly!$D34/Inputs_Monthly!$B34)</f>
        <v/>
      </c>
      <c r="D34" s="8">
        <f>IF(N(Inputs_Monthly!$G34)=0,"",Inputs_Monthly!$H34+Inputs_Monthly!$I34)</f>
        <v/>
      </c>
      <c r="E34" s="8">
        <f>IF(N(Inputs_Monthly!$G34)=0,"",Inputs_Monthly!$G34-D34)</f>
        <v/>
      </c>
      <c r="F34" s="7">
        <f>IF(N(Inputs_Monthly!$G34)=0,"",D34/Inputs_Monthly!$G34)</f>
        <v/>
      </c>
      <c r="G34" s="7">
        <f>IF(N(D34)=0,"",Inputs_Monthly!$I34/D34)</f>
        <v/>
      </c>
      <c r="H34" s="7">
        <f>IF(D34="","",IF(D34+N(Inputs_Monthly!$J34)=0,"",Inputs_Monthly!$J34/(D34+Inputs_Monthly!$J34)))</f>
        <v/>
      </c>
      <c r="I34" s="7">
        <f>IF(N(Inputs_Monthly!$C34)=0,"",Inputs_Monthly!$F34/Inputs_Monthly!$C34)</f>
        <v/>
      </c>
      <c r="J34" s="9">
        <f>IF(B34="","",IF(B34&gt;Thresholds!$B$4,"ALERT","OK"))</f>
        <v/>
      </c>
      <c r="K34" s="9">
        <f>IF(F34="","",IF(F34&gt;Thresholds!$B$5,"ALERT","OK"))</f>
        <v/>
      </c>
    </row>
    <row r="35" spans="1:11">
      <c r="A35" s="6">
        <f>IF(Inputs_Monthly!$A35="","",Inputs_Monthly!$A35)</f>
        <v/>
      </c>
      <c r="B35" s="7">
        <f>IF(N(Inputs_Monthly!$C35)=0,"",Inputs_Monthly!$E35/Inputs_Monthly!$C35)</f>
        <v/>
      </c>
      <c r="C35" s="7">
        <f>IF(N(Inputs_Monthly!$B35)=0,"",Inputs_Monthly!$D35/Inputs_Monthly!$B35)</f>
        <v/>
      </c>
      <c r="D35" s="8">
        <f>IF(N(Inputs_Monthly!$G35)=0,"",Inputs_Monthly!$H35+Inputs_Monthly!$I35)</f>
        <v/>
      </c>
      <c r="E35" s="8">
        <f>IF(N(Inputs_Monthly!$G35)=0,"",Inputs_Monthly!$G35-D35)</f>
        <v/>
      </c>
      <c r="F35" s="7">
        <f>IF(N(Inputs_Monthly!$G35)=0,"",D35/Inputs_Monthly!$G35)</f>
        <v/>
      </c>
      <c r="G35" s="7">
        <f>IF(N(D35)=0,"",Inputs_Monthly!$I35/D35)</f>
        <v/>
      </c>
      <c r="H35" s="7">
        <f>IF(D35="","",IF(D35+N(Inputs_Monthly!$J35)=0,"",Inputs_Monthly!$J35/(D35+Inputs_Monthly!$J35)))</f>
        <v/>
      </c>
      <c r="I35" s="7">
        <f>IF(N(Inputs_Monthly!$C35)=0,"",Inputs_Monthly!$F35/Inputs_Monthly!$C35)</f>
        <v/>
      </c>
      <c r="J35" s="9">
        <f>IF(B35="","",IF(B35&gt;Thresholds!$B$4,"ALERT","OK"))</f>
        <v/>
      </c>
      <c r="K35" s="9">
        <f>IF(F35="","",IF(F35&gt;Thresholds!$B$5,"ALERT","OK"))</f>
        <v/>
      </c>
    </row>
    <row r="36" spans="1:11">
      <c r="A36" s="6">
        <f>IF(Inputs_Monthly!$A36="","",Inputs_Monthly!$A36)</f>
        <v/>
      </c>
      <c r="B36" s="7">
        <f>IF(N(Inputs_Monthly!$C36)=0,"",Inputs_Monthly!$E36/Inputs_Monthly!$C36)</f>
        <v/>
      </c>
      <c r="C36" s="7">
        <f>IF(N(Inputs_Monthly!$B36)=0,"",Inputs_Monthly!$D36/Inputs_Monthly!$B36)</f>
        <v/>
      </c>
      <c r="D36" s="8">
        <f>IF(N(Inputs_Monthly!$G36)=0,"",Inputs_Monthly!$H36+Inputs_Monthly!$I36)</f>
        <v/>
      </c>
      <c r="E36" s="8">
        <f>IF(N(Inputs_Monthly!$G36)=0,"",Inputs_Monthly!$G36-D36)</f>
        <v/>
      </c>
      <c r="F36" s="7">
        <f>IF(N(Inputs_Monthly!$G36)=0,"",D36/Inputs_Monthly!$G36)</f>
        <v/>
      </c>
      <c r="G36" s="7">
        <f>IF(N(D36)=0,"",Inputs_Monthly!$I36/D36)</f>
        <v/>
      </c>
      <c r="H36" s="7">
        <f>IF(D36="","",IF(D36+N(Inputs_Monthly!$J36)=0,"",Inputs_Monthly!$J36/(D36+Inputs_Monthly!$J36)))</f>
        <v/>
      </c>
      <c r="I36" s="7">
        <f>IF(N(Inputs_Monthly!$C36)=0,"",Inputs_Monthly!$F36/Inputs_Monthly!$C36)</f>
        <v/>
      </c>
      <c r="J36" s="9">
        <f>IF(B36="","",IF(B36&gt;Thresholds!$B$4,"ALERT","OK"))</f>
        <v/>
      </c>
      <c r="K36" s="9">
        <f>IF(F36="","",IF(F36&gt;Thresholds!$B$5,"ALERT","OK"))</f>
        <v/>
      </c>
    </row>
    <row r="37" spans="1:11">
      <c r="A37" s="6">
        <f>IF(Inputs_Monthly!$A37="","",Inputs_Monthly!$A37)</f>
        <v/>
      </c>
      <c r="B37" s="7">
        <f>IF(N(Inputs_Monthly!$C37)=0,"",Inputs_Monthly!$E37/Inputs_Monthly!$C37)</f>
        <v/>
      </c>
      <c r="C37" s="7">
        <f>IF(N(Inputs_Monthly!$B37)=0,"",Inputs_Monthly!$D37/Inputs_Monthly!$B37)</f>
        <v/>
      </c>
      <c r="D37" s="8">
        <f>IF(N(Inputs_Monthly!$G37)=0,"",Inputs_Monthly!$H37+Inputs_Monthly!$I37)</f>
        <v/>
      </c>
      <c r="E37" s="8">
        <f>IF(N(Inputs_Monthly!$G37)=0,"",Inputs_Monthly!$G37-D37)</f>
        <v/>
      </c>
      <c r="F37" s="7">
        <f>IF(N(Inputs_Monthly!$G37)=0,"",D37/Inputs_Monthly!$G37)</f>
        <v/>
      </c>
      <c r="G37" s="7">
        <f>IF(N(D37)=0,"",Inputs_Monthly!$I37/D37)</f>
        <v/>
      </c>
      <c r="H37" s="7">
        <f>IF(D37="","",IF(D37+N(Inputs_Monthly!$J37)=0,"",Inputs_Monthly!$J37/(D37+Inputs_Monthly!$J37)))</f>
        <v/>
      </c>
      <c r="I37" s="7">
        <f>IF(N(Inputs_Monthly!$C37)=0,"",Inputs_Monthly!$F37/Inputs_Monthly!$C37)</f>
        <v/>
      </c>
      <c r="J37" s="9">
        <f>IF(B37="","",IF(B37&gt;Thresholds!$B$4,"ALERT","OK"))</f>
        <v/>
      </c>
      <c r="K37" s="9">
        <f>IF(F37="","",IF(F37&gt;Thresholds!$B$5,"ALERT","OK"))</f>
        <v/>
      </c>
    </row>
    <row r="38" spans="1:11">
      <c r="A38" s="6">
        <f>IF(Inputs_Monthly!$A38="","",Inputs_Monthly!$A38)</f>
        <v/>
      </c>
      <c r="B38" s="7">
        <f>IF(N(Inputs_Monthly!$C38)=0,"",Inputs_Monthly!$E38/Inputs_Monthly!$C38)</f>
        <v/>
      </c>
      <c r="C38" s="7">
        <f>IF(N(Inputs_Monthly!$B38)=0,"",Inputs_Monthly!$D38/Inputs_Monthly!$B38)</f>
        <v/>
      </c>
      <c r="D38" s="8">
        <f>IF(N(Inputs_Monthly!$G38)=0,"",Inputs_Monthly!$H38+Inputs_Monthly!$I38)</f>
        <v/>
      </c>
      <c r="E38" s="8">
        <f>IF(N(Inputs_Monthly!$G38)=0,"",Inputs_Monthly!$G38-D38)</f>
        <v/>
      </c>
      <c r="F38" s="7">
        <f>IF(N(Inputs_Monthly!$G38)=0,"",D38/Inputs_Monthly!$G38)</f>
        <v/>
      </c>
      <c r="G38" s="7">
        <f>IF(N(D38)=0,"",Inputs_Monthly!$I38/D38)</f>
        <v/>
      </c>
      <c r="H38" s="7">
        <f>IF(D38="","",IF(D38+N(Inputs_Monthly!$J38)=0,"",Inputs_Monthly!$J38/(D38+Inputs_Monthly!$J38)))</f>
        <v/>
      </c>
      <c r="I38" s="7">
        <f>IF(N(Inputs_Monthly!$C38)=0,"",Inputs_Monthly!$F38/Inputs_Monthly!$C38)</f>
        <v/>
      </c>
      <c r="J38" s="9">
        <f>IF(B38="","",IF(B38&gt;Thresholds!$B$4,"ALERT","OK"))</f>
        <v/>
      </c>
      <c r="K38" s="9">
        <f>IF(F38="","",IF(F38&gt;Thresholds!$B$5,"ALERT","OK"))</f>
        <v/>
      </c>
    </row>
    <row r="39" spans="1:11">
      <c r="A39" s="6">
        <f>IF(Inputs_Monthly!$A39="","",Inputs_Monthly!$A39)</f>
        <v/>
      </c>
      <c r="B39" s="7">
        <f>IF(N(Inputs_Monthly!$C39)=0,"",Inputs_Monthly!$E39/Inputs_Monthly!$C39)</f>
        <v/>
      </c>
      <c r="C39" s="7">
        <f>IF(N(Inputs_Monthly!$B39)=0,"",Inputs_Monthly!$D39/Inputs_Monthly!$B39)</f>
        <v/>
      </c>
      <c r="D39" s="8">
        <f>IF(N(Inputs_Monthly!$G39)=0,"",Inputs_Monthly!$H39+Inputs_Monthly!$I39)</f>
        <v/>
      </c>
      <c r="E39" s="8">
        <f>IF(N(Inputs_Monthly!$G39)=0,"",Inputs_Monthly!$G39-D39)</f>
        <v/>
      </c>
      <c r="F39" s="7">
        <f>IF(N(Inputs_Monthly!$G39)=0,"",D39/Inputs_Monthly!$G39)</f>
        <v/>
      </c>
      <c r="G39" s="7">
        <f>IF(N(D39)=0,"",Inputs_Monthly!$I39/D39)</f>
        <v/>
      </c>
      <c r="H39" s="7">
        <f>IF(D39="","",IF(D39+N(Inputs_Monthly!$J39)=0,"",Inputs_Monthly!$J39/(D39+Inputs_Monthly!$J39)))</f>
        <v/>
      </c>
      <c r="I39" s="7">
        <f>IF(N(Inputs_Monthly!$C39)=0,"",Inputs_Monthly!$F39/Inputs_Monthly!$C39)</f>
        <v/>
      </c>
      <c r="J39" s="9">
        <f>IF(B39="","",IF(B39&gt;Thresholds!$B$4,"ALERT","OK"))</f>
        <v/>
      </c>
      <c r="K39" s="9">
        <f>IF(F39="","",IF(F39&gt;Thresholds!$B$5,"ALERT","OK"))</f>
        <v/>
      </c>
    </row>
    <row r="40" spans="1:11">
      <c r="A40" s="6">
        <f>IF(Inputs_Monthly!$A40="","",Inputs_Monthly!$A40)</f>
        <v/>
      </c>
      <c r="B40" s="7">
        <f>IF(N(Inputs_Monthly!$C40)=0,"",Inputs_Monthly!$E40/Inputs_Monthly!$C40)</f>
        <v/>
      </c>
      <c r="C40" s="7">
        <f>IF(N(Inputs_Monthly!$B40)=0,"",Inputs_Monthly!$D40/Inputs_Monthly!$B40)</f>
        <v/>
      </c>
      <c r="D40" s="8">
        <f>IF(N(Inputs_Monthly!$G40)=0,"",Inputs_Monthly!$H40+Inputs_Monthly!$I40)</f>
        <v/>
      </c>
      <c r="E40" s="8">
        <f>IF(N(Inputs_Monthly!$G40)=0,"",Inputs_Monthly!$G40-D40)</f>
        <v/>
      </c>
      <c r="F40" s="7">
        <f>IF(N(Inputs_Monthly!$G40)=0,"",D40/Inputs_Monthly!$G40)</f>
        <v/>
      </c>
      <c r="G40" s="7">
        <f>IF(N(D40)=0,"",Inputs_Monthly!$I40/D40)</f>
        <v/>
      </c>
      <c r="H40" s="7">
        <f>IF(D40="","",IF(D40+N(Inputs_Monthly!$J40)=0,"",Inputs_Monthly!$J40/(D40+Inputs_Monthly!$J40)))</f>
        <v/>
      </c>
      <c r="I40" s="7">
        <f>IF(N(Inputs_Monthly!$C40)=0,"",Inputs_Monthly!$F40/Inputs_Monthly!$C40)</f>
        <v/>
      </c>
      <c r="J40" s="9">
        <f>IF(B40="","",IF(B40&gt;Thresholds!$B$4,"ALERT","OK"))</f>
        <v/>
      </c>
      <c r="K40" s="9">
        <f>IF(F40="","",IF(F40&gt;Thresholds!$B$5,"ALERT","OK"))</f>
        <v/>
      </c>
    </row>
  </sheetData>
  <mergeCells count="1">
    <mergeCell ref="A2:K2"/>
  </mergeCells>
  <conditionalFormatting sqref="J5:J40">
    <cfRule type="cellIs" dxfId="0" priority="1" operator="equal">
      <formula>"ALERT"</formula>
    </cfRule>
    <cfRule type="cellIs" dxfId="1" priority="2" operator="equal">
      <formula>"OK"</formula>
    </cfRule>
  </conditionalFormatting>
  <conditionalFormatting sqref="K5:K40">
    <cfRule type="cellIs" dxfId="0" priority="3" operator="equal">
      <formula>"ALERT"</formula>
    </cfRule>
    <cfRule type="cellIs" dxfId="1" priority="4" operator="equal">
      <formula>"OK"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4" width="24.7109375" customWidth="1"/>
  </cols>
  <sheetData>
    <row r="1" spans="1:5">
      <c r="A1" s="1" t="s">
        <v>57</v>
      </c>
    </row>
    <row r="2" spans="1:5" ht="44" customHeight="1">
      <c r="A2" s="2" t="s">
        <v>1</v>
      </c>
      <c r="B2" s="2"/>
      <c r="C2" s="2"/>
      <c r="D2" s="2"/>
      <c r="E2" s="2"/>
    </row>
    <row r="4" spans="1:5" ht="40" customHeight="1">
      <c r="A4" s="4" t="s">
        <v>58</v>
      </c>
      <c r="B4" s="4" t="s">
        <v>59</v>
      </c>
      <c r="C4" s="4" t="s">
        <v>16</v>
      </c>
      <c r="D4" s="4" t="s">
        <v>47</v>
      </c>
    </row>
    <row r="5" spans="1:5">
      <c r="A5" s="5" t="s">
        <v>60</v>
      </c>
      <c r="B5" s="5">
        <v>48009</v>
      </c>
      <c r="C5" s="5">
        <v>4558</v>
      </c>
      <c r="D5" s="7">
        <f>IF(N(B5)=0,"",C5/B5)</f>
        <v>0.0949405319835864</v>
      </c>
    </row>
    <row r="6" spans="1:5">
      <c r="A6" s="5" t="s">
        <v>61</v>
      </c>
      <c r="B6" s="5">
        <v>98830</v>
      </c>
      <c r="C6" s="5">
        <v>10591</v>
      </c>
      <c r="D6" s="7">
        <f>IF(N(B6)=0,"",C6/B6)</f>
        <v>0.107163816654862</v>
      </c>
    </row>
    <row r="7" spans="1:5">
      <c r="A7" s="5" t="s">
        <v>62</v>
      </c>
      <c r="B7" s="5">
        <v>101073</v>
      </c>
      <c r="C7" s="5">
        <v>12600</v>
      </c>
      <c r="D7" s="7">
        <f>IF(N(B7)=0,"",C7/B7)</f>
        <v>0.124662372740494</v>
      </c>
    </row>
    <row r="8" spans="1:5">
      <c r="A8" s="5" t="s">
        <v>63</v>
      </c>
      <c r="B8" s="5">
        <v>104916</v>
      </c>
      <c r="C8" s="5">
        <v>16478</v>
      </c>
      <c r="D8" s="7">
        <f>IF(N(B8)=0,"",C8/B8)</f>
        <v>0.157058980517748</v>
      </c>
    </row>
    <row r="9" spans="1:5">
      <c r="A9" s="5" t="s">
        <v>64</v>
      </c>
      <c r="B9" s="5">
        <v>52372</v>
      </c>
      <c r="C9" s="5">
        <v>11753</v>
      </c>
      <c r="D9" s="7">
        <f>IF(N(B9)=0,"",C9/B9)</f>
        <v>0.224413808905522</v>
      </c>
    </row>
  </sheetData>
  <mergeCells count="1">
    <mergeCell ref="A2:E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46.7109375" customWidth="1"/>
    <col min="2" max="2" width="14.7109375" customWidth="1"/>
  </cols>
  <sheetData>
    <row r="1" spans="1:4">
      <c r="A1" s="1" t="s">
        <v>7</v>
      </c>
    </row>
    <row r="2" spans="1:4" ht="44" customHeight="1">
      <c r="A2" s="2" t="s">
        <v>1</v>
      </c>
      <c r="B2" s="2"/>
      <c r="C2" s="2"/>
      <c r="D2" s="2"/>
    </row>
    <row r="4" spans="1:4">
      <c r="A4" t="s">
        <v>8</v>
      </c>
      <c r="B4" s="10">
        <v>0.15</v>
      </c>
    </row>
    <row r="5" spans="1:4">
      <c r="A5" t="s">
        <v>9</v>
      </c>
      <c r="B5" s="10">
        <v>0.2</v>
      </c>
    </row>
    <row r="6" spans="1:4">
      <c r="A6" t="s">
        <v>10</v>
      </c>
      <c r="B6" s="10">
        <v>0.6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Inputs_Monthly</vt:lpstr>
      <vt:lpstr>Analysis</vt:lpstr>
      <vt:lpstr>Lead_Time</vt:lpstr>
      <vt:lpstr>Thresholds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2026-10-01T03:41:51Z</dcterms:created>
  <dcterms:modified xsi:type="dcterms:W3CDTF">2026-10-01T03:41:51Z</dcterms:modified>
</cp:coreProperties>
</file>