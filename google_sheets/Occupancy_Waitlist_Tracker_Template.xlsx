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Settings" sheetId="2" r:id="rId2"/>
    <sheet name="Inputs_Class_Month" sheetId="3" r:id="rId3"/>
    <sheet name="Analysis" sheetId="4" r:id="rId4"/>
    <sheet name="By_Class" sheetId="5" r:id="rId5"/>
    <sheet name="Month_x_Class" sheetId="6" r:id="rId6"/>
  </sheets>
  <calcPr calcId="124519" fullCalcOnLoad="1"/>
</workbook>
</file>

<file path=xl/sharedStrings.xml><?xml version="1.0" encoding="utf-8"?>
<sst xmlns="http://schemas.openxmlformats.org/spreadsheetml/2006/main" count="361" uniqueCount="62">
  <si>
    <t>Occupancy and Waitlist Tracker template (Google Sheets)</t>
  </si>
  <si>
    <t>SYNTHETIC SAMPLE DATA from a sampled simulation (768 simulated runs of 19,708 scheduled, 3.9%). Not IRCTC or Indian Railways metrics. Compare months with per-run and capacity-normalised measures, not raw monthly totals. Targets and thresholds are illustrative.</t>
  </si>
  <si>
    <t>1. Import the .xlsx (File &gt; Import). Enter one row per journey month and travel class on Inputs_Class_Month (yellow). Everything else is formulas.</t>
  </si>
  <si>
    <t>2. Seat occupancy % = (confirmed passengers + RAC weight x RAC passengers) / available seats, on final statuses, matched per train-class run. The RAC weight (0.5) is a configurable simulation assumption on Settings, not an official rule.</t>
  </si>
  <si>
    <t>3. Waitlisted passengers hold no seat: they are reported as waitlist pressure % (uncleared waitlist passengers / available seats) and are never part of occupancy. Confirmed, RAC and waitlisted passengers stay in separate columns.</t>
  </si>
  <si>
    <t>4. By_Class and Month_x_Class summarise with SUMIFS as ratio of sums (never an average of percentages). The heat map on Month_x_Class shades occupancy.</t>
  </si>
  <si>
    <t>5. Sample rows are synthetic, from a sampled simulation with simulated capacity. Occupancy here is whole-journey per train-class run; intermediate-segment occupancy is out of scope.</t>
  </si>
  <si>
    <t>Settings</t>
  </si>
  <si>
    <t>RAC seat weight (configurable simulation assumption)</t>
  </si>
  <si>
    <t>Inputs: month x class (sample rows are synthetic)</t>
  </si>
  <si>
    <t>Journey month</t>
  </si>
  <si>
    <t>Travel class</t>
  </si>
  <si>
    <t>Class-runs</t>
  </si>
  <si>
    <t>Available seats</t>
  </si>
  <si>
    <t>Confirmed passengers</t>
  </si>
  <si>
    <t>RAC passengers</t>
  </si>
  <si>
    <t>Uncleared WL passengers</t>
  </si>
  <si>
    <t>Initially waitlisted passengers</t>
  </si>
  <si>
    <t>Total passengers</t>
  </si>
  <si>
    <t>2024-09</t>
  </si>
  <si>
    <t>2A</t>
  </si>
  <si>
    <t>2S</t>
  </si>
  <si>
    <t>3A</t>
  </si>
  <si>
    <t>CC</t>
  </si>
  <si>
    <t>SL</t>
  </si>
  <si>
    <t>2024-10</t>
  </si>
  <si>
    <t>1A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</si>
  <si>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</si>
  <si>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</si>
  <si>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</si>
  <si>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</si>
  <si>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</si>
  <si>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</si>
  <si>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</si>
  <si>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</si>
  <si>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</si>
  <si>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</si>
  <si>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</si>
  <si>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</si>
  <si>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</si>
  <si>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</si>
  <si>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</si>
  <si>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</si>
  <si>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</si>
  <si>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</si>
  <si>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</si>
  <si>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</si>
  <si>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</si>
  <si>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</si>
  <si>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Row-level analysis (formulas; do not overwrite)</t>
  </si>
  <si>
    <t>Booked seats (seat-equivalents)</t>
  </si>
  <si>
    <t>Seat occupancy %</t>
  </si>
  <si>
    <t>Confirmed occupancy %</t>
  </si>
  <si>
    <t>RAC occupancy %</t>
  </si>
  <si>
    <t>Waitlist pressure %</t>
  </si>
  <si>
    <t>Passengers per class-run</t>
  </si>
  <si>
    <t>Initial WL per class-run</t>
  </si>
  <si>
    <t>Summary by travel class (ratio of sums)</t>
  </si>
  <si>
    <t>Class</t>
  </si>
  <si>
    <t>Booked seats</t>
  </si>
  <si>
    <t>All classes</t>
  </si>
  <si>
    <t>Seat occupancy % heat map: month x class (ratio of sums)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</si>
</sst>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#,##0"/>
  </numFmts>
  <fonts count="7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0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164" fontId="3" fillId="5" borderId="0" xfId="0" applyNumberFormat="1" applyFont="1" applyFill="1" applyAlignment="1">
      <alignment vertical="center"/>
    </xf>
    <xf numFmtId="165" fontId="3" fillId="5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66" fontId="3" fillId="5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Occupancy and waitlist pressure by class (synthetic, simulated capacity)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Seat occupancy %</c:v>
          </c:tx>
          <c:spPr>
            <a:solidFill>
              <a:srgbClr val="548235"/>
            </a:solidFill>
          </c:spPr>
          <c:dLbls>
            <c:numFmt formatCode="0%" sourceLinked="0"/>
            <c:showVal val="1"/>
          </c:dLbls>
          <c:cat>
            <c:strRef>
              <c:f>By_Class!$A$5:$A$10</c:f>
              <c:strCache>
                <c:ptCount val="6"/>
                <c:pt idx="0">
                  <c:v>SL</c:v>
                </c:pt>
                <c:pt idx="1">
                  <c:v>3A</c:v>
                </c:pt>
                <c:pt idx="2">
                  <c:v>2A</c:v>
                </c:pt>
                <c:pt idx="3">
                  <c:v>1A</c:v>
                </c:pt>
                <c:pt idx="4">
                  <c:v>CC</c:v>
                </c:pt>
                <c:pt idx="5">
                  <c:v>2S</c:v>
                </c:pt>
              </c:strCache>
            </c:strRef>
          </c:cat>
          <c:val>
            <c:numRef>
              <c:f>By_Class!$E$5:$E$10</c:f>
              <c:numCache>
                <c:formatCode>General</c:formatCode>
                <c:ptCount val="6"/>
                <c:pt idx="0">
                  <c:v>0.752429259950249</c:v>
                </c:pt>
                <c:pt idx="1">
                  <c:v>0.768109309623431</c:v>
                </c:pt>
                <c:pt idx="2">
                  <c:v>0.726882763975155</c:v>
                </c:pt>
                <c:pt idx="3">
                  <c:v>0.733072916666667</c:v>
                </c:pt>
                <c:pt idx="4">
                  <c:v>0.525356125356125</c:v>
                </c:pt>
                <c:pt idx="5">
                  <c:v>0.691016365202412</c:v>
                </c:pt>
              </c:numCache>
            </c:numRef>
          </c:val>
        </c:ser>
        <c:ser>
          <c:idx val="1"/>
          <c:order val="1"/>
          <c:tx>
            <c:v>Waitlist pressure %</c:v>
          </c:tx>
          <c:spPr>
            <a:solidFill>
              <a:srgbClr val="C00000"/>
            </a:solidFill>
          </c:spPr>
          <c:cat>
            <c:strRef>
              <c:f>By_Class!$A$5:$A$10</c:f>
              <c:strCache>
                <c:ptCount val="6"/>
                <c:pt idx="0">
                  <c:v>SL</c:v>
                </c:pt>
                <c:pt idx="1">
                  <c:v>3A</c:v>
                </c:pt>
                <c:pt idx="2">
                  <c:v>2A</c:v>
                </c:pt>
                <c:pt idx="3">
                  <c:v>1A</c:v>
                </c:pt>
                <c:pt idx="4">
                  <c:v>CC</c:v>
                </c:pt>
                <c:pt idx="5">
                  <c:v>2S</c:v>
                </c:pt>
              </c:strCache>
            </c:strRef>
          </c:cat>
          <c:val>
            <c:numRef>
              <c:f>By_Class!$H$5:$H$10</c:f>
              <c:numCache>
                <c:formatCode>General</c:formatCode>
                <c:ptCount val="6"/>
                <c:pt idx="0">
                  <c:v>0.0610683561359867</c:v>
                </c:pt>
                <c:pt idx="1">
                  <c:v>0.0653438807531381</c:v>
                </c:pt>
                <c:pt idx="2">
                  <c:v>0.0447981366459627</c:v>
                </c:pt>
                <c:pt idx="3">
                  <c:v>0.0338541666666667</c:v>
                </c:pt>
                <c:pt idx="4">
                  <c:v>0.00327635327635328</c:v>
                </c:pt>
                <c:pt idx="5">
                  <c:v>0.0480103359173127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342900</xdr:colOff>
      <xdr:row>26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2</v>
      </c>
      <c r="B4" s="3"/>
      <c r="C4" s="3"/>
      <c r="D4" s="3"/>
      <c r="E4" s="3"/>
      <c r="F4" s="3"/>
      <c r="G4" s="3"/>
      <c r="H4" s="3"/>
    </row>
    <row r="5" spans="1:8" ht="34" customHeight="1">
      <c r="A5" s="3" t="s">
        <v>3</v>
      </c>
      <c r="B5" s="3"/>
      <c r="C5" s="3"/>
      <c r="D5" s="3"/>
      <c r="E5" s="3"/>
      <c r="F5" s="3"/>
      <c r="G5" s="3"/>
      <c r="H5" s="3"/>
    </row>
    <row r="6" spans="1:8" ht="34" customHeight="1">
      <c r="A6" s="3" t="s">
        <v>4</v>
      </c>
      <c r="B6" s="3"/>
      <c r="C6" s="3"/>
      <c r="D6" s="3"/>
      <c r="E6" s="3"/>
      <c r="F6" s="3"/>
      <c r="G6" s="3"/>
      <c r="H6" s="3"/>
    </row>
    <row r="7" spans="1:8" ht="34" customHeight="1">
      <c r="A7" s="3" t="s">
        <v>5</v>
      </c>
      <c r="B7" s="3"/>
      <c r="C7" s="3"/>
      <c r="D7" s="3"/>
      <c r="E7" s="3"/>
      <c r="F7" s="3"/>
      <c r="G7" s="3"/>
      <c r="H7" s="3"/>
    </row>
    <row r="8" spans="1:8" ht="34" customHeight="1">
      <c r="A8" s="3" t="s">
        <v>6</v>
      </c>
      <c r="B8" s="3"/>
      <c r="C8" s="3"/>
      <c r="D8" s="3"/>
      <c r="E8" s="3"/>
      <c r="F8" s="3"/>
      <c r="G8" s="3"/>
      <c r="H8" s="3"/>
    </row>
  </sheetData>
  <mergeCells count="6">
    <mergeCell ref="A2:H2"/>
    <mergeCell ref="A4:H4"/>
    <mergeCell ref="A5:H5"/>
    <mergeCell ref="A6:H6"/>
    <mergeCell ref="A7:H7"/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60.7109375" customWidth="1"/>
  </cols>
  <sheetData>
    <row r="1" spans="1:3">
      <c r="A1" s="1" t="s">
        <v>7</v>
      </c>
    </row>
    <row r="2" spans="1:3" ht="44" customHeight="1">
      <c r="A2" s="2" t="s">
        <v>1</v>
      </c>
      <c r="B2" s="2"/>
      <c r="C2" s="2"/>
    </row>
    <row r="3" spans="1:3">
      <c r="A3" t="s">
        <v>8</v>
      </c>
      <c r="B3" s="4">
        <v>0.5</v>
      </c>
    </row>
  </sheetData>
  <mergeCells count="1">
    <mergeCell ref="A2:C2"/>
  </mergeCells>
  <dataValidations count="1">
    <dataValidation type="decimal" allowBlank="1" showInputMessage="1" showErrorMessage="1" sqref="B3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9" width="16.7109375" customWidth="1"/>
  </cols>
  <sheetData>
    <row r="1" spans="1:9">
      <c r="A1" s="1" t="s">
        <v>9</v>
      </c>
    </row>
    <row r="2" spans="1:9" ht="44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ht="44" customHeight="1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spans="1:9">
      <c r="A5" s="4" t="s">
        <v>19</v>
      </c>
      <c r="B5" s="4" t="s">
        <v>20</v>
      </c>
      <c r="C5" s="4">
        <v>15</v>
      </c>
      <c r="D5" s="4">
        <v>1058</v>
      </c>
      <c r="E5" s="4">
        <v>630</v>
      </c>
      <c r="F5" s="4">
        <v>31</v>
      </c>
      <c r="G5" s="4">
        <v>10</v>
      </c>
      <c r="H5" s="4">
        <v>12</v>
      </c>
      <c r="I5" s="4">
        <v>760</v>
      </c>
    </row>
    <row r="6" spans="1:9">
      <c r="A6" s="4" t="s">
        <v>19</v>
      </c>
      <c r="B6" s="4" t="s">
        <v>21</v>
      </c>
      <c r="C6" s="4">
        <v>17</v>
      </c>
      <c r="D6" s="4">
        <v>4644</v>
      </c>
      <c r="E6" s="4">
        <v>2748</v>
      </c>
      <c r="F6" s="4">
        <v>0</v>
      </c>
      <c r="G6" s="4">
        <v>225</v>
      </c>
      <c r="H6" s="4">
        <v>315</v>
      </c>
      <c r="I6" s="4">
        <v>3440</v>
      </c>
    </row>
    <row r="7" spans="1:9">
      <c r="A7" s="4" t="s">
        <v>19</v>
      </c>
      <c r="B7" s="4" t="s">
        <v>22</v>
      </c>
      <c r="C7" s="4">
        <v>31</v>
      </c>
      <c r="D7" s="4">
        <v>5184</v>
      </c>
      <c r="E7" s="4">
        <v>3159</v>
      </c>
      <c r="F7" s="4">
        <v>171</v>
      </c>
      <c r="G7" s="4">
        <v>57</v>
      </c>
      <c r="H7" s="4">
        <v>81</v>
      </c>
      <c r="I7" s="4">
        <v>3826</v>
      </c>
    </row>
    <row r="8" spans="1:9">
      <c r="A8" s="4" t="s">
        <v>19</v>
      </c>
      <c r="B8" s="4" t="s">
        <v>23</v>
      </c>
      <c r="C8" s="4">
        <v>1</v>
      </c>
      <c r="D8" s="4">
        <v>312</v>
      </c>
      <c r="E8" s="4">
        <v>105</v>
      </c>
      <c r="F8" s="4">
        <v>0</v>
      </c>
      <c r="G8" s="4">
        <v>0</v>
      </c>
      <c r="H8" s="4">
        <v>0</v>
      </c>
      <c r="I8" s="4">
        <v>111</v>
      </c>
    </row>
    <row r="9" spans="1:9">
      <c r="A9" s="4" t="s">
        <v>19</v>
      </c>
      <c r="B9" s="4" t="s">
        <v>24</v>
      </c>
      <c r="C9" s="4">
        <v>31</v>
      </c>
      <c r="D9" s="4">
        <v>5976</v>
      </c>
      <c r="E9" s="4">
        <v>3211</v>
      </c>
      <c r="F9" s="4">
        <v>147</v>
      </c>
      <c r="G9" s="4">
        <v>56</v>
      </c>
      <c r="H9" s="4">
        <v>82</v>
      </c>
      <c r="I9" s="4">
        <v>4022</v>
      </c>
    </row>
    <row r="10" spans="1:9">
      <c r="A10" s="4" t="s">
        <v>25</v>
      </c>
      <c r="B10" s="4" t="s">
        <v>26</v>
      </c>
      <c r="C10" s="4">
        <v>1</v>
      </c>
      <c r="D10" s="4">
        <v>24</v>
      </c>
      <c r="E10" s="4">
        <v>20</v>
      </c>
      <c r="F10" s="4">
        <v>0</v>
      </c>
      <c r="G10" s="4">
        <v>0</v>
      </c>
      <c r="H10" s="4">
        <v>0</v>
      </c>
      <c r="I10" s="4">
        <v>21</v>
      </c>
    </row>
    <row r="11" spans="1:9">
      <c r="A11" s="4" t="s">
        <v>25</v>
      </c>
      <c r="B11" s="4" t="s">
        <v>20</v>
      </c>
      <c r="C11" s="4">
        <v>16</v>
      </c>
      <c r="D11" s="4">
        <v>1242</v>
      </c>
      <c r="E11" s="4">
        <v>785</v>
      </c>
      <c r="F11" s="4">
        <v>18</v>
      </c>
      <c r="G11" s="4">
        <v>23</v>
      </c>
      <c r="H11" s="4">
        <v>37</v>
      </c>
      <c r="I11" s="4">
        <v>943</v>
      </c>
    </row>
    <row r="12" spans="1:9">
      <c r="A12" s="4" t="s">
        <v>25</v>
      </c>
      <c r="B12" s="4" t="s">
        <v>21</v>
      </c>
      <c r="C12" s="4">
        <v>16</v>
      </c>
      <c r="D12" s="4">
        <v>4752</v>
      </c>
      <c r="E12" s="4">
        <v>2953</v>
      </c>
      <c r="F12" s="4">
        <v>0</v>
      </c>
      <c r="G12" s="4">
        <v>276</v>
      </c>
      <c r="H12" s="4">
        <v>383</v>
      </c>
      <c r="I12" s="4">
        <v>3800</v>
      </c>
    </row>
    <row r="13" spans="1:9">
      <c r="A13" s="4" t="s">
        <v>25</v>
      </c>
      <c r="B13" s="4" t="s">
        <v>22</v>
      </c>
      <c r="C13" s="4">
        <v>30</v>
      </c>
      <c r="D13" s="4">
        <v>5056</v>
      </c>
      <c r="E13" s="4">
        <v>3600</v>
      </c>
      <c r="F13" s="4">
        <v>337</v>
      </c>
      <c r="G13" s="4">
        <v>161</v>
      </c>
      <c r="H13" s="4">
        <v>237</v>
      </c>
      <c r="I13" s="4">
        <v>4692</v>
      </c>
    </row>
    <row r="14" spans="1:9">
      <c r="A14" s="4" t="s">
        <v>25</v>
      </c>
      <c r="B14" s="4" t="s">
        <v>23</v>
      </c>
      <c r="C14" s="4">
        <v>2</v>
      </c>
      <c r="D14" s="4">
        <v>390</v>
      </c>
      <c r="E14" s="4">
        <v>131</v>
      </c>
      <c r="F14" s="4">
        <v>0</v>
      </c>
      <c r="G14" s="4">
        <v>0</v>
      </c>
      <c r="H14" s="4">
        <v>0</v>
      </c>
      <c r="I14" s="4">
        <v>154</v>
      </c>
    </row>
    <row r="15" spans="1:9">
      <c r="A15" s="4" t="s">
        <v>25</v>
      </c>
      <c r="B15" s="4" t="s">
        <v>24</v>
      </c>
      <c r="C15" s="4">
        <v>30</v>
      </c>
      <c r="D15" s="4">
        <v>6696</v>
      </c>
      <c r="E15" s="4">
        <v>4553</v>
      </c>
      <c r="F15" s="4">
        <v>386</v>
      </c>
      <c r="G15" s="4">
        <v>70</v>
      </c>
      <c r="H15" s="4">
        <v>113</v>
      </c>
      <c r="I15" s="4">
        <v>5838</v>
      </c>
    </row>
    <row r="16" spans="1:9">
      <c r="A16" s="4" t="s">
        <v>27</v>
      </c>
      <c r="B16" s="4" t="s">
        <v>26</v>
      </c>
      <c r="C16" s="4">
        <v>1</v>
      </c>
      <c r="D16" s="4">
        <v>24</v>
      </c>
      <c r="E16" s="4">
        <v>24</v>
      </c>
      <c r="F16" s="4">
        <v>0</v>
      </c>
      <c r="G16" s="4">
        <v>7</v>
      </c>
      <c r="H16" s="4">
        <v>7</v>
      </c>
      <c r="I16" s="4">
        <v>31</v>
      </c>
    </row>
    <row r="17" spans="1:9">
      <c r="A17" s="4" t="s">
        <v>27</v>
      </c>
      <c r="B17" s="4" t="s">
        <v>20</v>
      </c>
      <c r="C17" s="4">
        <v>13</v>
      </c>
      <c r="D17" s="4">
        <v>966</v>
      </c>
      <c r="E17" s="4">
        <v>694</v>
      </c>
      <c r="F17" s="4">
        <v>17</v>
      </c>
      <c r="G17" s="4">
        <v>0</v>
      </c>
      <c r="H17" s="4">
        <v>0</v>
      </c>
      <c r="I17" s="4">
        <v>784</v>
      </c>
    </row>
    <row r="18" spans="1:9">
      <c r="A18" s="4" t="s">
        <v>27</v>
      </c>
      <c r="B18" s="4" t="s">
        <v>21</v>
      </c>
      <c r="C18" s="4">
        <v>19</v>
      </c>
      <c r="D18" s="4">
        <v>5292</v>
      </c>
      <c r="E18" s="4">
        <v>3340</v>
      </c>
      <c r="F18" s="4">
        <v>0</v>
      </c>
      <c r="G18" s="4">
        <v>121</v>
      </c>
      <c r="H18" s="4">
        <v>197</v>
      </c>
      <c r="I18" s="4">
        <v>3989</v>
      </c>
    </row>
    <row r="19" spans="1:9">
      <c r="A19" s="4" t="s">
        <v>27</v>
      </c>
      <c r="B19" s="4" t="s">
        <v>22</v>
      </c>
      <c r="C19" s="4">
        <v>32</v>
      </c>
      <c r="D19" s="4">
        <v>5120</v>
      </c>
      <c r="E19" s="4">
        <v>3653</v>
      </c>
      <c r="F19" s="4">
        <v>427</v>
      </c>
      <c r="G19" s="4">
        <v>399</v>
      </c>
      <c r="H19" s="4">
        <v>642</v>
      </c>
      <c r="I19" s="4">
        <v>5201</v>
      </c>
    </row>
    <row r="20" spans="1:9">
      <c r="A20" s="4" t="s">
        <v>27</v>
      </c>
      <c r="B20" s="4" t="s">
        <v>24</v>
      </c>
      <c r="C20" s="4">
        <v>31</v>
      </c>
      <c r="D20" s="4">
        <v>6336</v>
      </c>
      <c r="E20" s="4">
        <v>4275</v>
      </c>
      <c r="F20" s="4">
        <v>476</v>
      </c>
      <c r="G20" s="4">
        <v>422</v>
      </c>
      <c r="H20" s="4">
        <v>657</v>
      </c>
      <c r="I20" s="4">
        <v>6018</v>
      </c>
    </row>
    <row r="21" spans="1:9">
      <c r="A21" s="4" t="s">
        <v>28</v>
      </c>
      <c r="B21" s="4" t="s">
        <v>20</v>
      </c>
      <c r="C21" s="4">
        <v>14</v>
      </c>
      <c r="D21" s="4">
        <v>920</v>
      </c>
      <c r="E21" s="4">
        <v>653</v>
      </c>
      <c r="F21" s="4">
        <v>33</v>
      </c>
      <c r="G21" s="4">
        <v>23</v>
      </c>
      <c r="H21" s="4">
        <v>30</v>
      </c>
      <c r="I21" s="4">
        <v>798</v>
      </c>
    </row>
    <row r="22" spans="1:9">
      <c r="A22" s="4" t="s">
        <v>28</v>
      </c>
      <c r="B22" s="4" t="s">
        <v>21</v>
      </c>
      <c r="C22" s="4">
        <v>18</v>
      </c>
      <c r="D22" s="4">
        <v>4752</v>
      </c>
      <c r="E22" s="4">
        <v>2925</v>
      </c>
      <c r="F22" s="4">
        <v>0</v>
      </c>
      <c r="G22" s="4">
        <v>71</v>
      </c>
      <c r="H22" s="4">
        <v>107</v>
      </c>
      <c r="I22" s="4">
        <v>3512</v>
      </c>
    </row>
    <row r="23" spans="1:9">
      <c r="A23" s="4" t="s">
        <v>28</v>
      </c>
      <c r="B23" s="4" t="s">
        <v>22</v>
      </c>
      <c r="C23" s="4">
        <v>30</v>
      </c>
      <c r="D23" s="4">
        <v>5440</v>
      </c>
      <c r="E23" s="4">
        <v>3611</v>
      </c>
      <c r="F23" s="4">
        <v>230</v>
      </c>
      <c r="G23" s="4">
        <v>188</v>
      </c>
      <c r="H23" s="4">
        <v>257</v>
      </c>
      <c r="I23" s="4">
        <v>4539</v>
      </c>
    </row>
    <row r="24" spans="1:9">
      <c r="A24" s="4" t="s">
        <v>28</v>
      </c>
      <c r="B24" s="4" t="s">
        <v>23</v>
      </c>
      <c r="C24" s="4">
        <v>2</v>
      </c>
      <c r="D24" s="4">
        <v>312</v>
      </c>
      <c r="E24" s="4">
        <v>117</v>
      </c>
      <c r="F24" s="4">
        <v>0</v>
      </c>
      <c r="G24" s="4">
        <v>0</v>
      </c>
      <c r="H24" s="4">
        <v>0</v>
      </c>
      <c r="I24" s="4">
        <v>125</v>
      </c>
    </row>
    <row r="25" spans="1:9">
      <c r="A25" s="4" t="s">
        <v>28</v>
      </c>
      <c r="B25" s="4" t="s">
        <v>24</v>
      </c>
      <c r="C25" s="4">
        <v>31</v>
      </c>
      <c r="D25" s="4">
        <v>6840</v>
      </c>
      <c r="E25" s="4">
        <v>4430</v>
      </c>
      <c r="F25" s="4">
        <v>444</v>
      </c>
      <c r="G25" s="4">
        <v>284</v>
      </c>
      <c r="H25" s="4">
        <v>401</v>
      </c>
      <c r="I25" s="4">
        <v>5967</v>
      </c>
    </row>
    <row r="26" spans="1:9">
      <c r="A26" s="4" t="s">
        <v>29</v>
      </c>
      <c r="B26" s="4" t="s">
        <v>20</v>
      </c>
      <c r="C26" s="4">
        <v>11</v>
      </c>
      <c r="D26" s="4">
        <v>920</v>
      </c>
      <c r="E26" s="4">
        <v>499</v>
      </c>
      <c r="F26" s="4">
        <v>20</v>
      </c>
      <c r="G26" s="4">
        <v>1</v>
      </c>
      <c r="H26" s="4">
        <v>2</v>
      </c>
      <c r="I26" s="4">
        <v>584</v>
      </c>
    </row>
    <row r="27" spans="1:9">
      <c r="A27" s="4" t="s">
        <v>29</v>
      </c>
      <c r="B27" s="4" t="s">
        <v>21</v>
      </c>
      <c r="C27" s="4">
        <v>21</v>
      </c>
      <c r="D27" s="4">
        <v>6048</v>
      </c>
      <c r="E27" s="4">
        <v>4201</v>
      </c>
      <c r="F27" s="4">
        <v>0</v>
      </c>
      <c r="G27" s="4">
        <v>159</v>
      </c>
      <c r="H27" s="4">
        <v>255</v>
      </c>
      <c r="I27" s="4">
        <v>5096</v>
      </c>
    </row>
    <row r="28" spans="1:9">
      <c r="A28" s="4" t="s">
        <v>29</v>
      </c>
      <c r="B28" s="4" t="s">
        <v>22</v>
      </c>
      <c r="C28" s="4">
        <v>31</v>
      </c>
      <c r="D28" s="4">
        <v>5056</v>
      </c>
      <c r="E28" s="4">
        <v>3422</v>
      </c>
      <c r="F28" s="4">
        <v>228</v>
      </c>
      <c r="G28" s="4">
        <v>122</v>
      </c>
      <c r="H28" s="4">
        <v>164</v>
      </c>
      <c r="I28" s="4">
        <v>4302</v>
      </c>
    </row>
    <row r="29" spans="1:9">
      <c r="A29" s="4" t="s">
        <v>29</v>
      </c>
      <c r="B29" s="4" t="s">
        <v>23</v>
      </c>
      <c r="C29" s="4">
        <v>1</v>
      </c>
      <c r="D29" s="4">
        <v>312</v>
      </c>
      <c r="E29" s="4">
        <v>98</v>
      </c>
      <c r="F29" s="4">
        <v>0</v>
      </c>
      <c r="G29" s="4">
        <v>0</v>
      </c>
      <c r="H29" s="4">
        <v>0</v>
      </c>
      <c r="I29" s="4">
        <v>114</v>
      </c>
    </row>
    <row r="30" spans="1:9">
      <c r="A30" s="4" t="s">
        <v>29</v>
      </c>
      <c r="B30" s="4" t="s">
        <v>24</v>
      </c>
      <c r="C30" s="4">
        <v>31</v>
      </c>
      <c r="D30" s="4">
        <v>6768</v>
      </c>
      <c r="E30" s="4">
        <v>4666</v>
      </c>
      <c r="F30" s="4">
        <v>308</v>
      </c>
      <c r="G30" s="4">
        <v>270</v>
      </c>
      <c r="H30" s="4">
        <v>408</v>
      </c>
      <c r="I30" s="4">
        <v>6129</v>
      </c>
    </row>
    <row r="31" spans="1:9">
      <c r="A31" s="4" t="s">
        <v>30</v>
      </c>
      <c r="B31" s="4" t="s">
        <v>26</v>
      </c>
      <c r="C31" s="4">
        <v>1</v>
      </c>
      <c r="D31" s="4">
        <v>24</v>
      </c>
      <c r="E31" s="4">
        <v>13</v>
      </c>
      <c r="F31" s="4">
        <v>0</v>
      </c>
      <c r="G31" s="4">
        <v>0</v>
      </c>
      <c r="H31" s="4">
        <v>0</v>
      </c>
      <c r="I31" s="4">
        <v>13</v>
      </c>
    </row>
    <row r="32" spans="1:9">
      <c r="A32" s="4" t="s">
        <v>30</v>
      </c>
      <c r="B32" s="4" t="s">
        <v>20</v>
      </c>
      <c r="C32" s="4">
        <v>13</v>
      </c>
      <c r="D32" s="4">
        <v>1012</v>
      </c>
      <c r="E32" s="4">
        <v>672</v>
      </c>
      <c r="F32" s="4">
        <v>22</v>
      </c>
      <c r="G32" s="4">
        <v>0</v>
      </c>
      <c r="H32" s="4">
        <v>0</v>
      </c>
      <c r="I32" s="4">
        <v>799</v>
      </c>
    </row>
    <row r="33" spans="1:9">
      <c r="A33" s="4" t="s">
        <v>30</v>
      </c>
      <c r="B33" s="4" t="s">
        <v>21</v>
      </c>
      <c r="C33" s="4">
        <v>19</v>
      </c>
      <c r="D33" s="4">
        <v>5292</v>
      </c>
      <c r="E33" s="4">
        <v>3327</v>
      </c>
      <c r="F33" s="4">
        <v>0</v>
      </c>
      <c r="G33" s="4">
        <v>112</v>
      </c>
      <c r="H33" s="4">
        <v>169</v>
      </c>
      <c r="I33" s="4">
        <v>3994</v>
      </c>
    </row>
    <row r="34" spans="1:9">
      <c r="A34" s="4" t="s">
        <v>30</v>
      </c>
      <c r="B34" s="4" t="s">
        <v>22</v>
      </c>
      <c r="C34" s="4">
        <v>30</v>
      </c>
      <c r="D34" s="4">
        <v>4864</v>
      </c>
      <c r="E34" s="4">
        <v>3271</v>
      </c>
      <c r="F34" s="4">
        <v>280</v>
      </c>
      <c r="G34" s="4">
        <v>294</v>
      </c>
      <c r="H34" s="4">
        <v>392</v>
      </c>
      <c r="I34" s="4">
        <v>4343</v>
      </c>
    </row>
    <row r="35" spans="1:9">
      <c r="A35" s="4" t="s">
        <v>30</v>
      </c>
      <c r="B35" s="4" t="s">
        <v>23</v>
      </c>
      <c r="C35" s="4">
        <v>2</v>
      </c>
      <c r="D35" s="4">
        <v>390</v>
      </c>
      <c r="E35" s="4">
        <v>177</v>
      </c>
      <c r="F35" s="4">
        <v>0</v>
      </c>
      <c r="G35" s="4">
        <v>0</v>
      </c>
      <c r="H35" s="4">
        <v>0</v>
      </c>
      <c r="I35" s="4">
        <v>202</v>
      </c>
    </row>
    <row r="36" spans="1:9">
      <c r="A36" s="4" t="s">
        <v>30</v>
      </c>
      <c r="B36" s="4" t="s">
        <v>24</v>
      </c>
      <c r="C36" s="4">
        <v>30</v>
      </c>
      <c r="D36" s="4">
        <v>6192</v>
      </c>
      <c r="E36" s="4">
        <v>3870</v>
      </c>
      <c r="F36" s="4">
        <v>183</v>
      </c>
      <c r="G36" s="4">
        <v>156</v>
      </c>
      <c r="H36" s="4">
        <v>210</v>
      </c>
      <c r="I36" s="4">
        <v>4904</v>
      </c>
    </row>
    <row r="37" spans="1:9">
      <c r="A37" s="4" t="s">
        <v>31</v>
      </c>
      <c r="B37" s="4" t="s">
        <v>26</v>
      </c>
      <c r="C37" s="4">
        <v>2</v>
      </c>
      <c r="D37" s="4">
        <v>48</v>
      </c>
      <c r="E37" s="4">
        <v>31</v>
      </c>
      <c r="F37" s="4">
        <v>0</v>
      </c>
      <c r="G37" s="4">
        <v>0</v>
      </c>
      <c r="H37" s="4">
        <v>0</v>
      </c>
      <c r="I37" s="4">
        <v>33</v>
      </c>
    </row>
    <row r="38" spans="1:9">
      <c r="A38" s="4" t="s">
        <v>31</v>
      </c>
      <c r="B38" s="4" t="s">
        <v>20</v>
      </c>
      <c r="C38" s="4">
        <v>15</v>
      </c>
      <c r="D38" s="4">
        <v>1104</v>
      </c>
      <c r="E38" s="4">
        <v>826</v>
      </c>
      <c r="F38" s="4">
        <v>97</v>
      </c>
      <c r="G38" s="4">
        <v>58</v>
      </c>
      <c r="H38" s="4">
        <v>76</v>
      </c>
      <c r="I38" s="4">
        <v>1096</v>
      </c>
    </row>
    <row r="39" spans="1:9">
      <c r="A39" s="4" t="s">
        <v>31</v>
      </c>
      <c r="B39" s="4" t="s">
        <v>21</v>
      </c>
      <c r="C39" s="4">
        <v>17</v>
      </c>
      <c r="D39" s="4">
        <v>4860</v>
      </c>
      <c r="E39" s="4">
        <v>3549</v>
      </c>
      <c r="F39" s="4">
        <v>0</v>
      </c>
      <c r="G39" s="4">
        <v>167</v>
      </c>
      <c r="H39" s="4">
        <v>269</v>
      </c>
      <c r="I39" s="4">
        <v>4314</v>
      </c>
    </row>
    <row r="40" spans="1:9">
      <c r="A40" s="4" t="s">
        <v>31</v>
      </c>
      <c r="B40" s="4" t="s">
        <v>22</v>
      </c>
      <c r="C40" s="4">
        <v>31</v>
      </c>
      <c r="D40" s="4">
        <v>5248</v>
      </c>
      <c r="E40" s="4">
        <v>4103</v>
      </c>
      <c r="F40" s="4">
        <v>453</v>
      </c>
      <c r="G40" s="4">
        <v>360</v>
      </c>
      <c r="H40" s="4">
        <v>544</v>
      </c>
      <c r="I40" s="4">
        <v>5599</v>
      </c>
    </row>
    <row r="41" spans="1:9">
      <c r="A41" s="4" t="s">
        <v>31</v>
      </c>
      <c r="B41" s="4" t="s">
        <v>23</v>
      </c>
      <c r="C41" s="4">
        <v>1</v>
      </c>
      <c r="D41" s="4">
        <v>234</v>
      </c>
      <c r="E41" s="4">
        <v>87</v>
      </c>
      <c r="F41" s="4">
        <v>0</v>
      </c>
      <c r="G41" s="4">
        <v>0</v>
      </c>
      <c r="H41" s="4">
        <v>0</v>
      </c>
      <c r="I41" s="4">
        <v>96</v>
      </c>
    </row>
    <row r="42" spans="1:9">
      <c r="A42" s="4" t="s">
        <v>31</v>
      </c>
      <c r="B42" s="4" t="s">
        <v>24</v>
      </c>
      <c r="C42" s="4">
        <v>29</v>
      </c>
      <c r="D42" s="4">
        <v>6336</v>
      </c>
      <c r="E42" s="4">
        <v>4911</v>
      </c>
      <c r="F42" s="4">
        <v>734</v>
      </c>
      <c r="G42" s="4">
        <v>737</v>
      </c>
      <c r="H42" s="4">
        <v>1109</v>
      </c>
      <c r="I42" s="4">
        <v>7490</v>
      </c>
    </row>
    <row r="43" spans="1:9">
      <c r="A43" s="4" t="s">
        <v>32</v>
      </c>
      <c r="B43" s="4" t="s">
        <v>26</v>
      </c>
      <c r="C43" s="4">
        <v>1</v>
      </c>
      <c r="D43" s="4">
        <v>24</v>
      </c>
      <c r="E43" s="4">
        <v>24</v>
      </c>
      <c r="F43" s="4">
        <v>0</v>
      </c>
      <c r="G43" s="4">
        <v>2</v>
      </c>
      <c r="H43" s="4">
        <v>7</v>
      </c>
      <c r="I43" s="4">
        <v>33</v>
      </c>
    </row>
    <row r="44" spans="1:9">
      <c r="A44" s="4" t="s">
        <v>32</v>
      </c>
      <c r="B44" s="4" t="s">
        <v>20</v>
      </c>
      <c r="C44" s="4">
        <v>13</v>
      </c>
      <c r="D44" s="4">
        <v>920</v>
      </c>
      <c r="E44" s="4">
        <v>637</v>
      </c>
      <c r="F44" s="4">
        <v>60</v>
      </c>
      <c r="G44" s="4">
        <v>63</v>
      </c>
      <c r="H44" s="4">
        <v>97</v>
      </c>
      <c r="I44" s="4">
        <v>862</v>
      </c>
    </row>
    <row r="45" spans="1:9">
      <c r="A45" s="4" t="s">
        <v>32</v>
      </c>
      <c r="B45" s="4" t="s">
        <v>21</v>
      </c>
      <c r="C45" s="4">
        <v>19</v>
      </c>
      <c r="D45" s="4">
        <v>5616</v>
      </c>
      <c r="E45" s="4">
        <v>4097</v>
      </c>
      <c r="F45" s="4">
        <v>0</v>
      </c>
      <c r="G45" s="4">
        <v>301</v>
      </c>
      <c r="H45" s="4">
        <v>422</v>
      </c>
      <c r="I45" s="4">
        <v>5127</v>
      </c>
    </row>
    <row r="46" spans="1:9">
      <c r="A46" s="4" t="s">
        <v>32</v>
      </c>
      <c r="B46" s="4" t="s">
        <v>22</v>
      </c>
      <c r="C46" s="4">
        <v>30</v>
      </c>
      <c r="D46" s="4">
        <v>5184</v>
      </c>
      <c r="E46" s="4">
        <v>4034</v>
      </c>
      <c r="F46" s="4">
        <v>485</v>
      </c>
      <c r="G46" s="4">
        <v>474</v>
      </c>
      <c r="H46" s="4">
        <v>725</v>
      </c>
      <c r="I46" s="4">
        <v>5775</v>
      </c>
    </row>
    <row r="47" spans="1:9">
      <c r="A47" s="4" t="s">
        <v>32</v>
      </c>
      <c r="B47" s="4" t="s">
        <v>23</v>
      </c>
      <c r="C47" s="4">
        <v>2</v>
      </c>
      <c r="D47" s="4">
        <v>390</v>
      </c>
      <c r="E47" s="4">
        <v>246</v>
      </c>
      <c r="F47" s="4">
        <v>0</v>
      </c>
      <c r="G47" s="4">
        <v>0</v>
      </c>
      <c r="H47" s="4">
        <v>0</v>
      </c>
      <c r="I47" s="4">
        <v>281</v>
      </c>
    </row>
    <row r="48" spans="1:9">
      <c r="A48" s="4" t="s">
        <v>32</v>
      </c>
      <c r="B48" s="4" t="s">
        <v>24</v>
      </c>
      <c r="C48" s="4">
        <v>30</v>
      </c>
      <c r="D48" s="4">
        <v>6336</v>
      </c>
      <c r="E48" s="4">
        <v>4761</v>
      </c>
      <c r="F48" s="4">
        <v>510</v>
      </c>
      <c r="G48" s="4">
        <v>269</v>
      </c>
      <c r="H48" s="4">
        <v>430</v>
      </c>
      <c r="I48" s="4">
        <v>6437</v>
      </c>
    </row>
    <row r="49" spans="1:9">
      <c r="A49" s="4" t="s">
        <v>33</v>
      </c>
      <c r="B49" s="4" t="s">
        <v>26</v>
      </c>
      <c r="C49" s="4">
        <v>1</v>
      </c>
      <c r="D49" s="4">
        <v>24</v>
      </c>
      <c r="E49" s="4">
        <v>20</v>
      </c>
      <c r="F49" s="4">
        <v>0</v>
      </c>
      <c r="G49" s="4">
        <v>0</v>
      </c>
      <c r="H49" s="4">
        <v>0</v>
      </c>
      <c r="I49" s="4">
        <v>20</v>
      </c>
    </row>
    <row r="50" spans="1:9">
      <c r="A50" s="4" t="s">
        <v>33</v>
      </c>
      <c r="B50" s="4" t="s">
        <v>20</v>
      </c>
      <c r="C50" s="4">
        <v>14</v>
      </c>
      <c r="D50" s="4">
        <v>1058</v>
      </c>
      <c r="E50" s="4">
        <v>855</v>
      </c>
      <c r="F50" s="4">
        <v>129</v>
      </c>
      <c r="G50" s="4">
        <v>102</v>
      </c>
      <c r="H50" s="4">
        <v>129</v>
      </c>
      <c r="I50" s="4">
        <v>1203</v>
      </c>
    </row>
    <row r="51" spans="1:9">
      <c r="A51" s="4" t="s">
        <v>33</v>
      </c>
      <c r="B51" s="4" t="s">
        <v>21</v>
      </c>
      <c r="C51" s="4">
        <v>18</v>
      </c>
      <c r="D51" s="4">
        <v>4752</v>
      </c>
      <c r="E51" s="4">
        <v>4281</v>
      </c>
      <c r="F51" s="4">
        <v>0</v>
      </c>
      <c r="G51" s="4">
        <v>442</v>
      </c>
      <c r="H51" s="4">
        <v>661</v>
      </c>
      <c r="I51" s="4">
        <v>5532</v>
      </c>
    </row>
    <row r="52" spans="1:9">
      <c r="A52" s="4" t="s">
        <v>33</v>
      </c>
      <c r="B52" s="4" t="s">
        <v>22</v>
      </c>
      <c r="C52" s="4">
        <v>30</v>
      </c>
      <c r="D52" s="4">
        <v>4992</v>
      </c>
      <c r="E52" s="4">
        <v>4250</v>
      </c>
      <c r="F52" s="4">
        <v>713</v>
      </c>
      <c r="G52" s="4">
        <v>658</v>
      </c>
      <c r="H52" s="4">
        <v>1025</v>
      </c>
      <c r="I52" s="4">
        <v>6509</v>
      </c>
    </row>
    <row r="53" spans="1:9">
      <c r="A53" s="4" t="s">
        <v>33</v>
      </c>
      <c r="B53" s="4" t="s">
        <v>23</v>
      </c>
      <c r="C53" s="4">
        <v>2</v>
      </c>
      <c r="D53" s="4">
        <v>390</v>
      </c>
      <c r="E53" s="4">
        <v>300</v>
      </c>
      <c r="F53" s="4">
        <v>0</v>
      </c>
      <c r="G53" s="4">
        <v>0</v>
      </c>
      <c r="H53" s="4">
        <v>0</v>
      </c>
      <c r="I53" s="4">
        <v>347</v>
      </c>
    </row>
    <row r="54" spans="1:9">
      <c r="A54" s="4" t="s">
        <v>33</v>
      </c>
      <c r="B54" s="4" t="s">
        <v>24</v>
      </c>
      <c r="C54" s="4">
        <v>30</v>
      </c>
      <c r="D54" s="4">
        <v>6552</v>
      </c>
      <c r="E54" s="4">
        <v>5383</v>
      </c>
      <c r="F54" s="4">
        <v>835</v>
      </c>
      <c r="G54" s="4">
        <v>694</v>
      </c>
      <c r="H54" s="4">
        <v>1127</v>
      </c>
      <c r="I54" s="4">
        <v>8171</v>
      </c>
    </row>
    <row r="55" spans="1:9">
      <c r="A55" s="4" t="s">
        <v>34</v>
      </c>
      <c r="B55" s="4" t="s">
        <v>26</v>
      </c>
      <c r="C55" s="4">
        <v>1</v>
      </c>
      <c r="D55" s="4">
        <v>24</v>
      </c>
      <c r="E55" s="4">
        <v>23</v>
      </c>
      <c r="F55" s="4">
        <v>0</v>
      </c>
      <c r="G55" s="4">
        <v>0</v>
      </c>
      <c r="H55" s="4">
        <v>0</v>
      </c>
      <c r="I55" s="4">
        <v>25</v>
      </c>
    </row>
    <row r="56" spans="1:9">
      <c r="A56" s="4" t="s">
        <v>34</v>
      </c>
      <c r="B56" s="4" t="s">
        <v>20</v>
      </c>
      <c r="C56" s="4">
        <v>15</v>
      </c>
      <c r="D56" s="4">
        <v>1012</v>
      </c>
      <c r="E56" s="4">
        <v>737</v>
      </c>
      <c r="F56" s="4">
        <v>32</v>
      </c>
      <c r="G56" s="4">
        <v>0</v>
      </c>
      <c r="H56" s="4">
        <v>0</v>
      </c>
      <c r="I56" s="4">
        <v>843</v>
      </c>
    </row>
    <row r="57" spans="1:9">
      <c r="A57" s="4" t="s">
        <v>34</v>
      </c>
      <c r="B57" s="4" t="s">
        <v>21</v>
      </c>
      <c r="C57" s="4">
        <v>17</v>
      </c>
      <c r="D57" s="4">
        <v>4644</v>
      </c>
      <c r="E57" s="4">
        <v>3193</v>
      </c>
      <c r="F57" s="4">
        <v>0</v>
      </c>
      <c r="G57" s="4">
        <v>296</v>
      </c>
      <c r="H57" s="4">
        <v>453</v>
      </c>
      <c r="I57" s="4">
        <v>4052</v>
      </c>
    </row>
    <row r="58" spans="1:9">
      <c r="A58" s="4" t="s">
        <v>34</v>
      </c>
      <c r="B58" s="4" t="s">
        <v>22</v>
      </c>
      <c r="C58" s="4">
        <v>31</v>
      </c>
      <c r="D58" s="4">
        <v>4864</v>
      </c>
      <c r="E58" s="4">
        <v>3379</v>
      </c>
      <c r="F58" s="4">
        <v>389</v>
      </c>
      <c r="G58" s="4">
        <v>303</v>
      </c>
      <c r="H58" s="4">
        <v>459</v>
      </c>
      <c r="I58" s="4">
        <v>4660</v>
      </c>
    </row>
    <row r="59" spans="1:9">
      <c r="A59" s="4" t="s">
        <v>34</v>
      </c>
      <c r="B59" s="4" t="s">
        <v>23</v>
      </c>
      <c r="C59" s="4">
        <v>1</v>
      </c>
      <c r="D59" s="4">
        <v>156</v>
      </c>
      <c r="E59" s="4">
        <v>76</v>
      </c>
      <c r="F59" s="4">
        <v>0</v>
      </c>
      <c r="G59" s="4">
        <v>0</v>
      </c>
      <c r="H59" s="4">
        <v>0</v>
      </c>
      <c r="I59" s="4">
        <v>83</v>
      </c>
    </row>
    <row r="60" spans="1:9">
      <c r="A60" s="4" t="s">
        <v>34</v>
      </c>
      <c r="B60" s="4" t="s">
        <v>24</v>
      </c>
      <c r="C60" s="4">
        <v>31</v>
      </c>
      <c r="D60" s="4">
        <v>6768</v>
      </c>
      <c r="E60" s="4">
        <v>4832</v>
      </c>
      <c r="F60" s="4">
        <v>442</v>
      </c>
      <c r="G60" s="4">
        <v>350</v>
      </c>
      <c r="H60" s="4">
        <v>596</v>
      </c>
      <c r="I60" s="4">
        <v>6607</v>
      </c>
    </row>
    <row r="61" spans="1:9">
      <c r="A61" s="4" t="s">
        <v>35</v>
      </c>
      <c r="B61" s="4" t="s">
        <v>26</v>
      </c>
      <c r="C61" s="4">
        <v>1</v>
      </c>
      <c r="D61" s="4">
        <v>24</v>
      </c>
      <c r="E61" s="4">
        <v>11</v>
      </c>
      <c r="F61" s="4">
        <v>0</v>
      </c>
      <c r="G61" s="4">
        <v>0</v>
      </c>
      <c r="H61" s="4">
        <v>0</v>
      </c>
      <c r="I61" s="4">
        <v>11</v>
      </c>
    </row>
    <row r="62" spans="1:9">
      <c r="A62" s="4" t="s">
        <v>35</v>
      </c>
      <c r="B62" s="4" t="s">
        <v>20</v>
      </c>
      <c r="C62" s="4">
        <v>15</v>
      </c>
      <c r="D62" s="4">
        <v>1012</v>
      </c>
      <c r="E62" s="4">
        <v>604</v>
      </c>
      <c r="F62" s="4">
        <v>16</v>
      </c>
      <c r="G62" s="4">
        <v>0</v>
      </c>
      <c r="H62" s="4">
        <v>0</v>
      </c>
      <c r="I62" s="4">
        <v>717</v>
      </c>
    </row>
    <row r="63" spans="1:9">
      <c r="A63" s="4" t="s">
        <v>35</v>
      </c>
      <c r="B63" s="4" t="s">
        <v>21</v>
      </c>
      <c r="C63" s="4">
        <v>17</v>
      </c>
      <c r="D63" s="4">
        <v>4644</v>
      </c>
      <c r="E63" s="4">
        <v>2766</v>
      </c>
      <c r="F63" s="4">
        <v>0</v>
      </c>
      <c r="G63" s="4">
        <v>83</v>
      </c>
      <c r="H63" s="4">
        <v>124</v>
      </c>
      <c r="I63" s="4">
        <v>3320</v>
      </c>
    </row>
    <row r="64" spans="1:9">
      <c r="A64" s="4" t="s">
        <v>35</v>
      </c>
      <c r="B64" s="4" t="s">
        <v>22</v>
      </c>
      <c r="C64" s="4">
        <v>30</v>
      </c>
      <c r="D64" s="4">
        <v>5056</v>
      </c>
      <c r="E64" s="4">
        <v>3321</v>
      </c>
      <c r="F64" s="4">
        <v>181</v>
      </c>
      <c r="G64" s="4">
        <v>97</v>
      </c>
      <c r="H64" s="4">
        <v>132</v>
      </c>
      <c r="I64" s="4">
        <v>4123</v>
      </c>
    </row>
    <row r="65" spans="1:9">
      <c r="A65" s="4" t="s">
        <v>35</v>
      </c>
      <c r="B65" s="4" t="s">
        <v>23</v>
      </c>
      <c r="C65" s="4">
        <v>2</v>
      </c>
      <c r="D65" s="4">
        <v>468</v>
      </c>
      <c r="E65" s="4">
        <v>192</v>
      </c>
      <c r="F65" s="4">
        <v>0</v>
      </c>
      <c r="G65" s="4">
        <v>0</v>
      </c>
      <c r="H65" s="4">
        <v>0</v>
      </c>
      <c r="I65" s="4">
        <v>223</v>
      </c>
    </row>
    <row r="66" spans="1:9">
      <c r="A66" s="4" t="s">
        <v>35</v>
      </c>
      <c r="B66" s="4" t="s">
        <v>24</v>
      </c>
      <c r="C66" s="4">
        <v>30</v>
      </c>
      <c r="D66" s="4">
        <v>6696</v>
      </c>
      <c r="E66" s="4">
        <v>4873</v>
      </c>
      <c r="F66" s="4">
        <v>566</v>
      </c>
      <c r="G66" s="4">
        <v>350</v>
      </c>
      <c r="H66" s="4">
        <v>533</v>
      </c>
      <c r="I66" s="4">
        <v>6709</v>
      </c>
    </row>
    <row r="67" spans="1:9">
      <c r="A67" s="4" t="s">
        <v>36</v>
      </c>
      <c r="B67" s="4" t="s">
        <v>26</v>
      </c>
      <c r="C67" s="4">
        <v>1</v>
      </c>
      <c r="D67" s="4">
        <v>24</v>
      </c>
      <c r="E67" s="4">
        <v>13</v>
      </c>
      <c r="F67" s="4">
        <v>0</v>
      </c>
      <c r="G67" s="4">
        <v>0</v>
      </c>
      <c r="H67" s="4">
        <v>0</v>
      </c>
      <c r="I67" s="4">
        <v>13</v>
      </c>
    </row>
    <row r="68" spans="1:9">
      <c r="A68" s="4" t="s">
        <v>36</v>
      </c>
      <c r="B68" s="4" t="s">
        <v>20</v>
      </c>
      <c r="C68" s="4">
        <v>18</v>
      </c>
      <c r="D68" s="4">
        <v>1104</v>
      </c>
      <c r="E68" s="4">
        <v>703</v>
      </c>
      <c r="F68" s="4">
        <v>56</v>
      </c>
      <c r="G68" s="4">
        <v>32</v>
      </c>
      <c r="H68" s="4">
        <v>45</v>
      </c>
      <c r="I68" s="4">
        <v>881</v>
      </c>
    </row>
    <row r="69" spans="1:9">
      <c r="A69" s="4" t="s">
        <v>36</v>
      </c>
      <c r="B69" s="4" t="s">
        <v>21</v>
      </c>
      <c r="C69" s="4">
        <v>14</v>
      </c>
      <c r="D69" s="4">
        <v>3996</v>
      </c>
      <c r="E69" s="4">
        <v>2680</v>
      </c>
      <c r="F69" s="4">
        <v>0</v>
      </c>
      <c r="G69" s="4">
        <v>71</v>
      </c>
      <c r="H69" s="4">
        <v>98</v>
      </c>
      <c r="I69" s="4">
        <v>3205</v>
      </c>
    </row>
    <row r="70" spans="1:9">
      <c r="A70" s="4" t="s">
        <v>36</v>
      </c>
      <c r="B70" s="4" t="s">
        <v>22</v>
      </c>
      <c r="C70" s="4">
        <v>31</v>
      </c>
      <c r="D70" s="4">
        <v>5184</v>
      </c>
      <c r="E70" s="4">
        <v>3631</v>
      </c>
      <c r="F70" s="4">
        <v>374</v>
      </c>
      <c r="G70" s="4">
        <v>292</v>
      </c>
      <c r="H70" s="4">
        <v>424</v>
      </c>
      <c r="I70" s="4">
        <v>4847</v>
      </c>
    </row>
    <row r="71" spans="1:9">
      <c r="A71" s="4" t="s">
        <v>36</v>
      </c>
      <c r="B71" s="4" t="s">
        <v>23</v>
      </c>
      <c r="C71" s="4">
        <v>1</v>
      </c>
      <c r="D71" s="4">
        <v>234</v>
      </c>
      <c r="E71" s="4">
        <v>126</v>
      </c>
      <c r="F71" s="4">
        <v>0</v>
      </c>
      <c r="G71" s="4">
        <v>0</v>
      </c>
      <c r="H71" s="4">
        <v>0</v>
      </c>
      <c r="I71" s="4">
        <v>152</v>
      </c>
    </row>
    <row r="72" spans="1:9">
      <c r="A72" s="4" t="s">
        <v>36</v>
      </c>
      <c r="B72" s="4" t="s">
        <v>24</v>
      </c>
      <c r="C72" s="4">
        <v>30</v>
      </c>
      <c r="D72" s="4">
        <v>6264</v>
      </c>
      <c r="E72" s="4">
        <v>4373</v>
      </c>
      <c r="F72" s="4">
        <v>366</v>
      </c>
      <c r="G72" s="4">
        <v>62</v>
      </c>
      <c r="H72" s="4">
        <v>113</v>
      </c>
      <c r="I72" s="4">
        <v>5485</v>
      </c>
    </row>
    <row r="73" spans="1:9">
      <c r="A73" s="4" t="s">
        <v>37</v>
      </c>
      <c r="B73" s="4" t="s">
        <v>26</v>
      </c>
      <c r="C73" s="4">
        <v>1</v>
      </c>
      <c r="D73" s="4">
        <v>24</v>
      </c>
      <c r="E73" s="4">
        <v>13</v>
      </c>
      <c r="F73" s="4">
        <v>0</v>
      </c>
      <c r="G73" s="4">
        <v>0</v>
      </c>
      <c r="H73" s="4">
        <v>0</v>
      </c>
      <c r="I73" s="4">
        <v>13</v>
      </c>
    </row>
    <row r="74" spans="1:9">
      <c r="A74" s="4" t="s">
        <v>37</v>
      </c>
      <c r="B74" s="4" t="s">
        <v>20</v>
      </c>
      <c r="C74" s="4">
        <v>15</v>
      </c>
      <c r="D74" s="4">
        <v>1104</v>
      </c>
      <c r="E74" s="4">
        <v>680</v>
      </c>
      <c r="F74" s="4">
        <v>2</v>
      </c>
      <c r="G74" s="4">
        <v>0</v>
      </c>
      <c r="H74" s="4">
        <v>0</v>
      </c>
      <c r="I74" s="4">
        <v>740</v>
      </c>
    </row>
    <row r="75" spans="1:9">
      <c r="A75" s="4" t="s">
        <v>37</v>
      </c>
      <c r="B75" s="4" t="s">
        <v>21</v>
      </c>
      <c r="C75" s="4">
        <v>17</v>
      </c>
      <c r="D75" s="4">
        <v>4536</v>
      </c>
      <c r="E75" s="4">
        <v>2808</v>
      </c>
      <c r="F75" s="4">
        <v>0</v>
      </c>
      <c r="G75" s="4">
        <v>246</v>
      </c>
      <c r="H75" s="4">
        <v>351</v>
      </c>
      <c r="I75" s="4">
        <v>3541</v>
      </c>
    </row>
    <row r="76" spans="1:9">
      <c r="A76" s="4" t="s">
        <v>37</v>
      </c>
      <c r="B76" s="4" t="s">
        <v>22</v>
      </c>
      <c r="C76" s="4">
        <v>31</v>
      </c>
      <c r="D76" s="4">
        <v>5184</v>
      </c>
      <c r="E76" s="4">
        <v>3596</v>
      </c>
      <c r="F76" s="4">
        <v>316</v>
      </c>
      <c r="G76" s="4">
        <v>164</v>
      </c>
      <c r="H76" s="4">
        <v>268</v>
      </c>
      <c r="I76" s="4">
        <v>4660</v>
      </c>
    </row>
    <row r="77" spans="1:9">
      <c r="A77" s="4" t="s">
        <v>37</v>
      </c>
      <c r="B77" s="4" t="s">
        <v>23</v>
      </c>
      <c r="C77" s="4">
        <v>1</v>
      </c>
      <c r="D77" s="4">
        <v>156</v>
      </c>
      <c r="E77" s="4">
        <v>77</v>
      </c>
      <c r="F77" s="4">
        <v>0</v>
      </c>
      <c r="G77" s="4">
        <v>0</v>
      </c>
      <c r="H77" s="4">
        <v>0</v>
      </c>
      <c r="I77" s="4">
        <v>88</v>
      </c>
    </row>
    <row r="78" spans="1:9">
      <c r="A78" s="4" t="s">
        <v>37</v>
      </c>
      <c r="B78" s="4" t="s">
        <v>24</v>
      </c>
      <c r="C78" s="4">
        <v>31</v>
      </c>
      <c r="D78" s="4">
        <v>6552</v>
      </c>
      <c r="E78" s="4">
        <v>4408</v>
      </c>
      <c r="F78" s="4">
        <v>423</v>
      </c>
      <c r="G78" s="4">
        <v>322</v>
      </c>
      <c r="H78" s="4">
        <v>539</v>
      </c>
      <c r="I78" s="4">
        <v>6131</v>
      </c>
    </row>
    <row r="79" spans="1:9">
      <c r="A79" s="4" t="s">
        <v>38</v>
      </c>
      <c r="B79" s="4" t="s">
        <v>26</v>
      </c>
      <c r="C79" s="4">
        <v>1</v>
      </c>
      <c r="D79" s="4">
        <v>24</v>
      </c>
      <c r="E79" s="4">
        <v>20</v>
      </c>
      <c r="F79" s="4">
        <v>0</v>
      </c>
      <c r="G79" s="4">
        <v>0</v>
      </c>
      <c r="H79" s="4">
        <v>0</v>
      </c>
      <c r="I79" s="4">
        <v>24</v>
      </c>
    </row>
    <row r="80" spans="1:9">
      <c r="A80" s="4" t="s">
        <v>38</v>
      </c>
      <c r="B80" s="4" t="s">
        <v>20</v>
      </c>
      <c r="C80" s="4">
        <v>13</v>
      </c>
      <c r="D80" s="4">
        <v>1104</v>
      </c>
      <c r="E80" s="4">
        <v>777</v>
      </c>
      <c r="F80" s="4">
        <v>87</v>
      </c>
      <c r="G80" s="4">
        <v>37</v>
      </c>
      <c r="H80" s="4">
        <v>55</v>
      </c>
      <c r="I80" s="4">
        <v>1025</v>
      </c>
    </row>
    <row r="81" spans="1:9">
      <c r="A81" s="4" t="s">
        <v>38</v>
      </c>
      <c r="B81" s="4" t="s">
        <v>21</v>
      </c>
      <c r="C81" s="4">
        <v>19</v>
      </c>
      <c r="D81" s="4">
        <v>5292</v>
      </c>
      <c r="E81" s="4">
        <v>3720</v>
      </c>
      <c r="F81" s="4">
        <v>0</v>
      </c>
      <c r="G81" s="4">
        <v>194</v>
      </c>
      <c r="H81" s="4">
        <v>281</v>
      </c>
      <c r="I81" s="4">
        <v>4529</v>
      </c>
    </row>
    <row r="82" spans="1:9">
      <c r="A82" s="4" t="s">
        <v>38</v>
      </c>
      <c r="B82" s="4" t="s">
        <v>22</v>
      </c>
      <c r="C82" s="4">
        <v>31</v>
      </c>
      <c r="D82" s="4">
        <v>4864</v>
      </c>
      <c r="E82" s="4">
        <v>3867</v>
      </c>
      <c r="F82" s="4">
        <v>538</v>
      </c>
      <c r="G82" s="4">
        <v>434</v>
      </c>
      <c r="H82" s="4">
        <v>602</v>
      </c>
      <c r="I82" s="4">
        <v>5565</v>
      </c>
    </row>
    <row r="83" spans="1:9">
      <c r="A83" s="4" t="s">
        <v>38</v>
      </c>
      <c r="B83" s="4" t="s">
        <v>23</v>
      </c>
      <c r="C83" s="4">
        <v>1</v>
      </c>
      <c r="D83" s="4">
        <v>234</v>
      </c>
      <c r="E83" s="4">
        <v>130</v>
      </c>
      <c r="F83" s="4">
        <v>0</v>
      </c>
      <c r="G83" s="4">
        <v>0</v>
      </c>
      <c r="H83" s="4">
        <v>0</v>
      </c>
      <c r="I83" s="4">
        <v>153</v>
      </c>
    </row>
    <row r="84" spans="1:9">
      <c r="A84" s="4" t="s">
        <v>38</v>
      </c>
      <c r="B84" s="4" t="s">
        <v>24</v>
      </c>
      <c r="C84" s="4">
        <v>30</v>
      </c>
      <c r="D84" s="4">
        <v>6408</v>
      </c>
      <c r="E84" s="4">
        <v>4139</v>
      </c>
      <c r="F84" s="4">
        <v>372</v>
      </c>
      <c r="G84" s="4">
        <v>294</v>
      </c>
      <c r="H84" s="4">
        <v>481</v>
      </c>
      <c r="I84" s="4">
        <v>5629</v>
      </c>
    </row>
    <row r="85" spans="1:9">
      <c r="A85" s="4" t="s">
        <v>39</v>
      </c>
      <c r="B85" s="4" t="s">
        <v>26</v>
      </c>
      <c r="C85" s="4">
        <v>2</v>
      </c>
      <c r="D85" s="4">
        <v>48</v>
      </c>
      <c r="E85" s="4">
        <v>37</v>
      </c>
      <c r="F85" s="4">
        <v>0</v>
      </c>
      <c r="G85" s="4">
        <v>0</v>
      </c>
      <c r="H85" s="4">
        <v>0</v>
      </c>
      <c r="I85" s="4">
        <v>38</v>
      </c>
    </row>
    <row r="86" spans="1:9">
      <c r="A86" s="4" t="s">
        <v>39</v>
      </c>
      <c r="B86" s="4" t="s">
        <v>20</v>
      </c>
      <c r="C86" s="4">
        <v>16</v>
      </c>
      <c r="D86" s="4">
        <v>1196</v>
      </c>
      <c r="E86" s="4">
        <v>701</v>
      </c>
      <c r="F86" s="4">
        <v>51</v>
      </c>
      <c r="G86" s="4">
        <v>37</v>
      </c>
      <c r="H86" s="4">
        <v>49</v>
      </c>
      <c r="I86" s="4">
        <v>891</v>
      </c>
    </row>
    <row r="87" spans="1:9">
      <c r="A87" s="4" t="s">
        <v>39</v>
      </c>
      <c r="B87" s="4" t="s">
        <v>21</v>
      </c>
      <c r="C87" s="4">
        <v>16</v>
      </c>
      <c r="D87" s="4">
        <v>4428</v>
      </c>
      <c r="E87" s="4">
        <v>3038</v>
      </c>
      <c r="F87" s="4">
        <v>0</v>
      </c>
      <c r="G87" s="4">
        <v>159</v>
      </c>
      <c r="H87" s="4">
        <v>218</v>
      </c>
      <c r="I87" s="4">
        <v>3765</v>
      </c>
    </row>
    <row r="88" spans="1:9">
      <c r="A88" s="4" t="s">
        <v>39</v>
      </c>
      <c r="B88" s="4" t="s">
        <v>22</v>
      </c>
      <c r="C88" s="4">
        <v>32</v>
      </c>
      <c r="D88" s="4">
        <v>5312</v>
      </c>
      <c r="E88" s="4">
        <v>3959</v>
      </c>
      <c r="F88" s="4">
        <v>380</v>
      </c>
      <c r="G88" s="4">
        <v>170</v>
      </c>
      <c r="H88" s="4">
        <v>260</v>
      </c>
      <c r="I88" s="4">
        <v>5152</v>
      </c>
    </row>
    <row r="89" spans="1:9">
      <c r="A89" s="4" t="s">
        <v>39</v>
      </c>
      <c r="B89" s="4" t="s">
        <v>24</v>
      </c>
      <c r="C89" s="4">
        <v>30</v>
      </c>
      <c r="D89" s="4">
        <v>6480</v>
      </c>
      <c r="E89" s="4">
        <v>4680</v>
      </c>
      <c r="F89" s="4">
        <v>491</v>
      </c>
      <c r="G89" s="4">
        <v>526</v>
      </c>
      <c r="H89" s="4">
        <v>826</v>
      </c>
      <c r="I89" s="4">
        <v>6708</v>
      </c>
    </row>
    <row r="90" spans="1:9">
      <c r="A90" s="4" t="s">
        <v>40</v>
      </c>
      <c r="B90" s="4" t="s">
        <v>26</v>
      </c>
      <c r="C90" s="4">
        <v>1</v>
      </c>
      <c r="D90" s="4">
        <v>24</v>
      </c>
      <c r="E90" s="4">
        <v>10</v>
      </c>
      <c r="F90" s="4">
        <v>0</v>
      </c>
      <c r="G90" s="4">
        <v>0</v>
      </c>
      <c r="H90" s="4">
        <v>0</v>
      </c>
      <c r="I90" s="4">
        <v>15</v>
      </c>
    </row>
    <row r="91" spans="1:9">
      <c r="A91" s="4" t="s">
        <v>40</v>
      </c>
      <c r="B91" s="4" t="s">
        <v>20</v>
      </c>
      <c r="C91" s="4">
        <v>14</v>
      </c>
      <c r="D91" s="4">
        <v>1012</v>
      </c>
      <c r="E91" s="4">
        <v>723</v>
      </c>
      <c r="F91" s="4">
        <v>60</v>
      </c>
      <c r="G91" s="4">
        <v>18</v>
      </c>
      <c r="H91" s="4">
        <v>26</v>
      </c>
      <c r="I91" s="4">
        <v>913</v>
      </c>
    </row>
    <row r="92" spans="1:9">
      <c r="A92" s="4" t="s">
        <v>40</v>
      </c>
      <c r="B92" s="4" t="s">
        <v>21</v>
      </c>
      <c r="C92" s="4">
        <v>18</v>
      </c>
      <c r="D92" s="4">
        <v>4752</v>
      </c>
      <c r="E92" s="4">
        <v>3182</v>
      </c>
      <c r="F92" s="4">
        <v>0</v>
      </c>
      <c r="G92" s="4">
        <v>125</v>
      </c>
      <c r="H92" s="4">
        <v>188</v>
      </c>
      <c r="I92" s="4">
        <v>3845</v>
      </c>
    </row>
    <row r="93" spans="1:9">
      <c r="A93" s="4" t="s">
        <v>40</v>
      </c>
      <c r="B93" s="4" t="s">
        <v>22</v>
      </c>
      <c r="C93" s="4">
        <v>31</v>
      </c>
      <c r="D93" s="4">
        <v>5184</v>
      </c>
      <c r="E93" s="4">
        <v>3653</v>
      </c>
      <c r="F93" s="4">
        <v>319</v>
      </c>
      <c r="G93" s="4">
        <v>273</v>
      </c>
      <c r="H93" s="4">
        <v>393</v>
      </c>
      <c r="I93" s="4">
        <v>4807</v>
      </c>
    </row>
    <row r="94" spans="1:9">
      <c r="A94" s="4" t="s">
        <v>40</v>
      </c>
      <c r="B94" s="4" t="s">
        <v>23</v>
      </c>
      <c r="C94" s="4">
        <v>1</v>
      </c>
      <c r="D94" s="4">
        <v>156</v>
      </c>
      <c r="E94" s="4">
        <v>66</v>
      </c>
      <c r="F94" s="4">
        <v>0</v>
      </c>
      <c r="G94" s="4">
        <v>0</v>
      </c>
      <c r="H94" s="4">
        <v>0</v>
      </c>
      <c r="I94" s="4">
        <v>82</v>
      </c>
    </row>
    <row r="95" spans="1:9">
      <c r="A95" s="4" t="s">
        <v>40</v>
      </c>
      <c r="B95" s="4" t="s">
        <v>24</v>
      </c>
      <c r="C95" s="4">
        <v>31</v>
      </c>
      <c r="D95" s="4">
        <v>6984</v>
      </c>
      <c r="E95" s="4">
        <v>5528</v>
      </c>
      <c r="F95" s="4">
        <v>631</v>
      </c>
      <c r="G95" s="4">
        <v>429</v>
      </c>
      <c r="H95" s="4">
        <v>671</v>
      </c>
      <c r="I95" s="4">
        <v>7659</v>
      </c>
    </row>
    <row r="96" spans="1:9">
      <c r="A96" s="4" t="s">
        <v>41</v>
      </c>
      <c r="B96" s="4" t="s">
        <v>26</v>
      </c>
      <c r="C96" s="4">
        <v>2</v>
      </c>
      <c r="D96" s="4">
        <v>48</v>
      </c>
      <c r="E96" s="4">
        <v>31</v>
      </c>
      <c r="F96" s="4">
        <v>0</v>
      </c>
      <c r="G96" s="4">
        <v>0</v>
      </c>
      <c r="H96" s="4">
        <v>0</v>
      </c>
      <c r="I96" s="4">
        <v>41</v>
      </c>
    </row>
    <row r="97" spans="1:9">
      <c r="A97" s="4" t="s">
        <v>41</v>
      </c>
      <c r="B97" s="4" t="s">
        <v>20</v>
      </c>
      <c r="C97" s="4">
        <v>16</v>
      </c>
      <c r="D97" s="4">
        <v>1150</v>
      </c>
      <c r="E97" s="4">
        <v>815</v>
      </c>
      <c r="F97" s="4">
        <v>84</v>
      </c>
      <c r="G97" s="4">
        <v>83</v>
      </c>
      <c r="H97" s="4">
        <v>126</v>
      </c>
      <c r="I97" s="4">
        <v>1116</v>
      </c>
    </row>
    <row r="98" spans="1:9">
      <c r="A98" s="4" t="s">
        <v>41</v>
      </c>
      <c r="B98" s="4" t="s">
        <v>21</v>
      </c>
      <c r="C98" s="4">
        <v>16</v>
      </c>
      <c r="D98" s="4">
        <v>4644</v>
      </c>
      <c r="E98" s="4">
        <v>3077</v>
      </c>
      <c r="F98" s="4">
        <v>0</v>
      </c>
      <c r="G98" s="4">
        <v>160</v>
      </c>
      <c r="H98" s="4">
        <v>249</v>
      </c>
      <c r="I98" s="4">
        <v>3833</v>
      </c>
    </row>
    <row r="99" spans="1:9">
      <c r="A99" s="4" t="s">
        <v>41</v>
      </c>
      <c r="B99" s="4" t="s">
        <v>22</v>
      </c>
      <c r="C99" s="4">
        <v>30</v>
      </c>
      <c r="D99" s="4">
        <v>4800</v>
      </c>
      <c r="E99" s="4">
        <v>3611</v>
      </c>
      <c r="F99" s="4">
        <v>422</v>
      </c>
      <c r="G99" s="4">
        <v>362</v>
      </c>
      <c r="H99" s="4">
        <v>548</v>
      </c>
      <c r="I99" s="4">
        <v>5078</v>
      </c>
    </row>
    <row r="100" spans="1:9">
      <c r="A100" s="4" t="s">
        <v>41</v>
      </c>
      <c r="B100" s="4" t="s">
        <v>23</v>
      </c>
      <c r="C100" s="4">
        <v>2</v>
      </c>
      <c r="D100" s="4">
        <v>390</v>
      </c>
      <c r="E100" s="4">
        <v>252</v>
      </c>
      <c r="F100" s="4">
        <v>0</v>
      </c>
      <c r="G100" s="4">
        <v>0</v>
      </c>
      <c r="H100" s="4">
        <v>0</v>
      </c>
      <c r="I100" s="4">
        <v>278</v>
      </c>
    </row>
    <row r="101" spans="1:9">
      <c r="A101" s="4" t="s">
        <v>41</v>
      </c>
      <c r="B101" s="4" t="s">
        <v>24</v>
      </c>
      <c r="C101" s="4">
        <v>29</v>
      </c>
      <c r="D101" s="4">
        <v>6192</v>
      </c>
      <c r="E101" s="4">
        <v>4359</v>
      </c>
      <c r="F101" s="4">
        <v>389</v>
      </c>
      <c r="G101" s="4">
        <v>337</v>
      </c>
      <c r="H101" s="4">
        <v>552</v>
      </c>
      <c r="I101" s="4">
        <v>5946</v>
      </c>
    </row>
    <row r="102" spans="1:9">
      <c r="A102" s="4" t="s">
        <v>42</v>
      </c>
      <c r="B102" s="4" t="s">
        <v>26</v>
      </c>
      <c r="C102" s="4">
        <v>2</v>
      </c>
      <c r="D102" s="4">
        <v>48</v>
      </c>
      <c r="E102" s="4">
        <v>32</v>
      </c>
      <c r="F102" s="4">
        <v>0</v>
      </c>
      <c r="G102" s="4">
        <v>0</v>
      </c>
      <c r="H102" s="4">
        <v>0</v>
      </c>
      <c r="I102" s="4">
        <v>33</v>
      </c>
    </row>
    <row r="103" spans="1:9">
      <c r="A103" s="4" t="s">
        <v>42</v>
      </c>
      <c r="B103" s="4" t="s">
        <v>20</v>
      </c>
      <c r="C103" s="4">
        <v>12</v>
      </c>
      <c r="D103" s="4">
        <v>828</v>
      </c>
      <c r="E103" s="4">
        <v>634</v>
      </c>
      <c r="F103" s="4">
        <v>65</v>
      </c>
      <c r="G103" s="4">
        <v>54</v>
      </c>
      <c r="H103" s="4">
        <v>64</v>
      </c>
      <c r="I103" s="4">
        <v>807</v>
      </c>
    </row>
    <row r="104" spans="1:9">
      <c r="A104" s="4" t="s">
        <v>42</v>
      </c>
      <c r="B104" s="4" t="s">
        <v>21</v>
      </c>
      <c r="C104" s="4">
        <v>20</v>
      </c>
      <c r="D104" s="4">
        <v>5508</v>
      </c>
      <c r="E104" s="4">
        <v>3727</v>
      </c>
      <c r="F104" s="4">
        <v>0</v>
      </c>
      <c r="G104" s="4">
        <v>260</v>
      </c>
      <c r="H104" s="4">
        <v>349</v>
      </c>
      <c r="I104" s="4">
        <v>4692</v>
      </c>
    </row>
    <row r="105" spans="1:9">
      <c r="A105" s="4" t="s">
        <v>42</v>
      </c>
      <c r="B105" s="4" t="s">
        <v>22</v>
      </c>
      <c r="C105" s="4">
        <v>30</v>
      </c>
      <c r="D105" s="4">
        <v>5056</v>
      </c>
      <c r="E105" s="4">
        <v>3495</v>
      </c>
      <c r="F105" s="4">
        <v>290</v>
      </c>
      <c r="G105" s="4">
        <v>305</v>
      </c>
      <c r="H105" s="4">
        <v>446</v>
      </c>
      <c r="I105" s="4">
        <v>4767</v>
      </c>
    </row>
    <row r="106" spans="1:9">
      <c r="A106" s="4" t="s">
        <v>42</v>
      </c>
      <c r="B106" s="4" t="s">
        <v>23</v>
      </c>
      <c r="C106" s="4">
        <v>2</v>
      </c>
      <c r="D106" s="4">
        <v>390</v>
      </c>
      <c r="E106" s="4">
        <v>231</v>
      </c>
      <c r="F106" s="4">
        <v>0</v>
      </c>
      <c r="G106" s="4">
        <v>0</v>
      </c>
      <c r="H106" s="4">
        <v>0</v>
      </c>
      <c r="I106" s="4">
        <v>254</v>
      </c>
    </row>
    <row r="107" spans="1:9">
      <c r="A107" s="4" t="s">
        <v>42</v>
      </c>
      <c r="B107" s="4" t="s">
        <v>24</v>
      </c>
      <c r="C107" s="4">
        <v>29</v>
      </c>
      <c r="D107" s="4">
        <v>6336</v>
      </c>
      <c r="E107" s="4">
        <v>4597</v>
      </c>
      <c r="F107" s="4">
        <v>470</v>
      </c>
      <c r="G107" s="4">
        <v>259</v>
      </c>
      <c r="H107" s="4">
        <v>399</v>
      </c>
      <c r="I107" s="4">
        <v>6215</v>
      </c>
    </row>
    <row r="108" spans="1:9">
      <c r="A108" s="4" t="s">
        <v>43</v>
      </c>
      <c r="B108" s="4" t="s">
        <v>26</v>
      </c>
      <c r="C108" s="4">
        <v>1</v>
      </c>
      <c r="D108" s="4">
        <v>24</v>
      </c>
      <c r="E108" s="4">
        <v>20</v>
      </c>
      <c r="F108" s="4">
        <v>0</v>
      </c>
      <c r="G108" s="4">
        <v>0</v>
      </c>
      <c r="H108" s="4">
        <v>0</v>
      </c>
      <c r="I108" s="4">
        <v>20</v>
      </c>
    </row>
    <row r="109" spans="1:9">
      <c r="A109" s="4" t="s">
        <v>43</v>
      </c>
      <c r="B109" s="4" t="s">
        <v>20</v>
      </c>
      <c r="C109" s="4">
        <v>14</v>
      </c>
      <c r="D109" s="4">
        <v>1104</v>
      </c>
      <c r="E109" s="4">
        <v>776</v>
      </c>
      <c r="F109" s="4">
        <v>77</v>
      </c>
      <c r="G109" s="4">
        <v>52</v>
      </c>
      <c r="H109" s="4">
        <v>66</v>
      </c>
      <c r="I109" s="4">
        <v>997</v>
      </c>
    </row>
    <row r="110" spans="1:9">
      <c r="A110" s="4" t="s">
        <v>43</v>
      </c>
      <c r="B110" s="4" t="s">
        <v>21</v>
      </c>
      <c r="C110" s="4">
        <v>18</v>
      </c>
      <c r="D110" s="4">
        <v>5292</v>
      </c>
      <c r="E110" s="4">
        <v>3877</v>
      </c>
      <c r="F110" s="4">
        <v>0</v>
      </c>
      <c r="G110" s="4">
        <v>405</v>
      </c>
      <c r="H110" s="4">
        <v>663</v>
      </c>
      <c r="I110" s="4">
        <v>5065</v>
      </c>
    </row>
    <row r="111" spans="1:9">
      <c r="A111" s="4" t="s">
        <v>43</v>
      </c>
      <c r="B111" s="4" t="s">
        <v>22</v>
      </c>
      <c r="C111" s="4">
        <v>30</v>
      </c>
      <c r="D111" s="4">
        <v>4928</v>
      </c>
      <c r="E111" s="4">
        <v>3626</v>
      </c>
      <c r="F111" s="4">
        <v>413</v>
      </c>
      <c r="G111" s="4">
        <v>414</v>
      </c>
      <c r="H111" s="4">
        <v>613</v>
      </c>
      <c r="I111" s="4">
        <v>5167</v>
      </c>
    </row>
    <row r="112" spans="1:9">
      <c r="A112" s="4" t="s">
        <v>43</v>
      </c>
      <c r="B112" s="4" t="s">
        <v>23</v>
      </c>
      <c r="C112" s="4">
        <v>2</v>
      </c>
      <c r="D112" s="4">
        <v>390</v>
      </c>
      <c r="E112" s="4">
        <v>219</v>
      </c>
      <c r="F112" s="4">
        <v>0</v>
      </c>
      <c r="G112" s="4">
        <v>0</v>
      </c>
      <c r="H112" s="4">
        <v>0</v>
      </c>
      <c r="I112" s="4">
        <v>259</v>
      </c>
    </row>
    <row r="113" spans="1:9">
      <c r="A113" s="4" t="s">
        <v>43</v>
      </c>
      <c r="B113" s="4" t="s">
        <v>24</v>
      </c>
      <c r="C113" s="4">
        <v>30</v>
      </c>
      <c r="D113" s="4">
        <v>6192</v>
      </c>
      <c r="E113" s="4">
        <v>4857</v>
      </c>
      <c r="F113" s="4">
        <v>660</v>
      </c>
      <c r="G113" s="4">
        <v>544</v>
      </c>
      <c r="H113" s="4">
        <v>899</v>
      </c>
      <c r="I113" s="4">
        <v>7161</v>
      </c>
    </row>
    <row r="114" spans="1:9">
      <c r="A114" s="4" t="s">
        <v>44</v>
      </c>
      <c r="B114" s="4" t="s">
        <v>26</v>
      </c>
      <c r="C114" s="4">
        <v>2</v>
      </c>
      <c r="D114" s="4">
        <v>72</v>
      </c>
      <c r="E114" s="4">
        <v>61</v>
      </c>
      <c r="F114" s="4">
        <v>0</v>
      </c>
      <c r="G114" s="4">
        <v>7</v>
      </c>
      <c r="H114" s="4">
        <v>8</v>
      </c>
      <c r="I114" s="4">
        <v>71</v>
      </c>
    </row>
    <row r="115" spans="1:9">
      <c r="A115" s="4" t="s">
        <v>44</v>
      </c>
      <c r="B115" s="4" t="s">
        <v>20</v>
      </c>
      <c r="C115" s="4">
        <v>15</v>
      </c>
      <c r="D115" s="4">
        <v>1150</v>
      </c>
      <c r="E115" s="4">
        <v>892</v>
      </c>
      <c r="F115" s="4">
        <v>129</v>
      </c>
      <c r="G115" s="4">
        <v>117</v>
      </c>
      <c r="H115" s="4">
        <v>162</v>
      </c>
      <c r="I115" s="4">
        <v>1299</v>
      </c>
    </row>
    <row r="116" spans="1:9">
      <c r="A116" s="4" t="s">
        <v>44</v>
      </c>
      <c r="B116" s="4" t="s">
        <v>21</v>
      </c>
      <c r="C116" s="4">
        <v>17</v>
      </c>
      <c r="D116" s="4">
        <v>4860</v>
      </c>
      <c r="E116" s="4">
        <v>3637</v>
      </c>
      <c r="F116" s="4">
        <v>0</v>
      </c>
      <c r="G116" s="4">
        <v>335</v>
      </c>
      <c r="H116" s="4">
        <v>586</v>
      </c>
      <c r="I116" s="4">
        <v>4664</v>
      </c>
    </row>
    <row r="117" spans="1:9">
      <c r="A117" s="4" t="s">
        <v>44</v>
      </c>
      <c r="B117" s="4" t="s">
        <v>22</v>
      </c>
      <c r="C117" s="4">
        <v>30</v>
      </c>
      <c r="D117" s="4">
        <v>4928</v>
      </c>
      <c r="E117" s="4">
        <v>3949</v>
      </c>
      <c r="F117" s="4">
        <v>639</v>
      </c>
      <c r="G117" s="4">
        <v>533</v>
      </c>
      <c r="H117" s="4">
        <v>789</v>
      </c>
      <c r="I117" s="4">
        <v>5973</v>
      </c>
    </row>
    <row r="118" spans="1:9">
      <c r="A118" s="4" t="s">
        <v>44</v>
      </c>
      <c r="B118" s="4" t="s">
        <v>23</v>
      </c>
      <c r="C118" s="4">
        <v>2</v>
      </c>
      <c r="D118" s="4">
        <v>468</v>
      </c>
      <c r="E118" s="4">
        <v>178</v>
      </c>
      <c r="F118" s="4">
        <v>0</v>
      </c>
      <c r="G118" s="4">
        <v>0</v>
      </c>
      <c r="H118" s="4">
        <v>0</v>
      </c>
      <c r="I118" s="4">
        <v>207</v>
      </c>
    </row>
    <row r="119" spans="1:9">
      <c r="A119" s="4" t="s">
        <v>44</v>
      </c>
      <c r="B119" s="4" t="s">
        <v>24</v>
      </c>
      <c r="C119" s="4">
        <v>29</v>
      </c>
      <c r="D119" s="4">
        <v>6336</v>
      </c>
      <c r="E119" s="4">
        <v>4985</v>
      </c>
      <c r="F119" s="4">
        <v>821</v>
      </c>
      <c r="G119" s="4">
        <v>804</v>
      </c>
      <c r="H119" s="4">
        <v>1271</v>
      </c>
      <c r="I119" s="4">
        <v>7916</v>
      </c>
    </row>
    <row r="120" spans="1:9">
      <c r="A120" s="4" t="s">
        <v>45</v>
      </c>
      <c r="B120" s="4" t="s">
        <v>26</v>
      </c>
      <c r="C120" s="4">
        <v>2</v>
      </c>
      <c r="D120" s="4">
        <v>72</v>
      </c>
      <c r="E120" s="4">
        <v>60</v>
      </c>
      <c r="F120" s="4">
        <v>0</v>
      </c>
      <c r="G120" s="4">
        <v>6</v>
      </c>
      <c r="H120" s="4">
        <v>6</v>
      </c>
      <c r="I120" s="4">
        <v>66</v>
      </c>
    </row>
    <row r="121" spans="1:9">
      <c r="A121" s="4" t="s">
        <v>45</v>
      </c>
      <c r="B121" s="4" t="s">
        <v>20</v>
      </c>
      <c r="C121" s="4">
        <v>16</v>
      </c>
      <c r="D121" s="4">
        <v>1196</v>
      </c>
      <c r="E121" s="4">
        <v>991</v>
      </c>
      <c r="F121" s="4">
        <v>182</v>
      </c>
      <c r="G121" s="4">
        <v>192</v>
      </c>
      <c r="H121" s="4">
        <v>244</v>
      </c>
      <c r="I121" s="4">
        <v>1536</v>
      </c>
    </row>
    <row r="122" spans="1:9">
      <c r="A122" s="4" t="s">
        <v>45</v>
      </c>
      <c r="B122" s="4" t="s">
        <v>21</v>
      </c>
      <c r="C122" s="4">
        <v>16</v>
      </c>
      <c r="D122" s="4">
        <v>4536</v>
      </c>
      <c r="E122" s="4">
        <v>4174</v>
      </c>
      <c r="F122" s="4">
        <v>0</v>
      </c>
      <c r="G122" s="4">
        <v>677</v>
      </c>
      <c r="H122" s="4">
        <v>1090</v>
      </c>
      <c r="I122" s="4">
        <v>5767</v>
      </c>
    </row>
    <row r="123" spans="1:9">
      <c r="A123" s="4" t="s">
        <v>45</v>
      </c>
      <c r="B123" s="4" t="s">
        <v>22</v>
      </c>
      <c r="C123" s="4">
        <v>31</v>
      </c>
      <c r="D123" s="4">
        <v>5120</v>
      </c>
      <c r="E123" s="4">
        <v>4381</v>
      </c>
      <c r="F123" s="4">
        <v>773</v>
      </c>
      <c r="G123" s="4">
        <v>781</v>
      </c>
      <c r="H123" s="4">
        <v>1217</v>
      </c>
      <c r="I123" s="4">
        <v>6944</v>
      </c>
    </row>
    <row r="124" spans="1:9">
      <c r="A124" s="4" t="s">
        <v>45</v>
      </c>
      <c r="B124" s="4" t="s">
        <v>23</v>
      </c>
      <c r="C124" s="4">
        <v>1</v>
      </c>
      <c r="D124" s="4">
        <v>234</v>
      </c>
      <c r="E124" s="4">
        <v>234</v>
      </c>
      <c r="F124" s="4">
        <v>0</v>
      </c>
      <c r="G124" s="4">
        <v>23</v>
      </c>
      <c r="H124" s="4">
        <v>43</v>
      </c>
      <c r="I124" s="4">
        <v>305</v>
      </c>
    </row>
    <row r="125" spans="1:9">
      <c r="A125" s="4" t="s">
        <v>45</v>
      </c>
      <c r="B125" s="4" t="s">
        <v>24</v>
      </c>
      <c r="C125" s="4">
        <v>29</v>
      </c>
      <c r="D125" s="4">
        <v>6120</v>
      </c>
      <c r="E125" s="4">
        <v>5079</v>
      </c>
      <c r="F125" s="4">
        <v>989</v>
      </c>
      <c r="G125" s="4">
        <v>1001</v>
      </c>
      <c r="H125" s="4">
        <v>1631</v>
      </c>
      <c r="I125" s="4">
        <v>8383</v>
      </c>
    </row>
    <row r="126" spans="1:9">
      <c r="A126" s="4" t="s">
        <v>46</v>
      </c>
      <c r="B126" s="4" t="s">
        <v>26</v>
      </c>
      <c r="C126" s="4">
        <v>2</v>
      </c>
      <c r="D126" s="4">
        <v>72</v>
      </c>
      <c r="E126" s="4">
        <v>66</v>
      </c>
      <c r="F126" s="4">
        <v>0</v>
      </c>
      <c r="G126" s="4">
        <v>4</v>
      </c>
      <c r="H126" s="4">
        <v>5</v>
      </c>
      <c r="I126" s="4">
        <v>75</v>
      </c>
    </row>
    <row r="127" spans="1:9">
      <c r="A127" s="4" t="s">
        <v>46</v>
      </c>
      <c r="B127" s="4" t="s">
        <v>20</v>
      </c>
      <c r="C127" s="4">
        <v>16</v>
      </c>
      <c r="D127" s="4">
        <v>1196</v>
      </c>
      <c r="E127" s="4">
        <v>896</v>
      </c>
      <c r="F127" s="4">
        <v>143</v>
      </c>
      <c r="G127" s="4">
        <v>158</v>
      </c>
      <c r="H127" s="4">
        <v>207</v>
      </c>
      <c r="I127" s="4">
        <v>1317</v>
      </c>
    </row>
    <row r="128" spans="1:9">
      <c r="A128" s="4" t="s">
        <v>46</v>
      </c>
      <c r="B128" s="4" t="s">
        <v>21</v>
      </c>
      <c r="C128" s="4">
        <v>16</v>
      </c>
      <c r="D128" s="4">
        <v>4212</v>
      </c>
      <c r="E128" s="4">
        <v>3075</v>
      </c>
      <c r="F128" s="4">
        <v>0</v>
      </c>
      <c r="G128" s="4">
        <v>246</v>
      </c>
      <c r="H128" s="4">
        <v>409</v>
      </c>
      <c r="I128" s="4">
        <v>3869</v>
      </c>
    </row>
    <row r="129" spans="1:9">
      <c r="A129" s="4" t="s">
        <v>46</v>
      </c>
      <c r="B129" s="4" t="s">
        <v>22</v>
      </c>
      <c r="C129" s="4">
        <v>30</v>
      </c>
      <c r="D129" s="4">
        <v>5056</v>
      </c>
      <c r="E129" s="4">
        <v>3923</v>
      </c>
      <c r="F129" s="4">
        <v>626</v>
      </c>
      <c r="G129" s="4">
        <v>617</v>
      </c>
      <c r="H129" s="4">
        <v>932</v>
      </c>
      <c r="I129" s="4">
        <v>5940</v>
      </c>
    </row>
    <row r="130" spans="1:9">
      <c r="A130" s="4" t="s">
        <v>46</v>
      </c>
      <c r="B130" s="4" t="s">
        <v>23</v>
      </c>
      <c r="C130" s="4">
        <v>2</v>
      </c>
      <c r="D130" s="4">
        <v>390</v>
      </c>
      <c r="E130" s="4">
        <v>287</v>
      </c>
      <c r="F130" s="4">
        <v>0</v>
      </c>
      <c r="G130" s="4">
        <v>0</v>
      </c>
      <c r="H130" s="4">
        <v>0</v>
      </c>
      <c r="I130" s="4">
        <v>313</v>
      </c>
    </row>
    <row r="131" spans="1:9">
      <c r="A131" s="4" t="s">
        <v>46</v>
      </c>
      <c r="B131" s="4" t="s">
        <v>24</v>
      </c>
      <c r="C131" s="4">
        <v>29</v>
      </c>
      <c r="D131" s="4">
        <v>6192</v>
      </c>
      <c r="E131" s="4">
        <v>4444</v>
      </c>
      <c r="F131" s="4">
        <v>505</v>
      </c>
      <c r="G131" s="4">
        <v>522</v>
      </c>
      <c r="H131" s="4">
        <v>786</v>
      </c>
      <c r="I131" s="4">
        <v>6400</v>
      </c>
    </row>
    <row r="132" spans="1:9">
      <c r="A132" s="4" t="s">
        <v>47</v>
      </c>
      <c r="B132" s="4" t="s">
        <v>26</v>
      </c>
      <c r="C132" s="4">
        <v>1</v>
      </c>
      <c r="D132" s="4">
        <v>24</v>
      </c>
      <c r="E132" s="4">
        <v>11</v>
      </c>
      <c r="F132" s="4">
        <v>0</v>
      </c>
      <c r="G132" s="4">
        <v>0</v>
      </c>
      <c r="H132" s="4">
        <v>0</v>
      </c>
      <c r="I132" s="4">
        <v>18</v>
      </c>
    </row>
    <row r="133" spans="1:9">
      <c r="A133" s="4" t="s">
        <v>47</v>
      </c>
      <c r="B133" s="4" t="s">
        <v>20</v>
      </c>
      <c r="C133" s="4">
        <v>14</v>
      </c>
      <c r="D133" s="4">
        <v>1058</v>
      </c>
      <c r="E133" s="4">
        <v>763</v>
      </c>
      <c r="F133" s="4">
        <v>64</v>
      </c>
      <c r="G133" s="4">
        <v>38</v>
      </c>
      <c r="H133" s="4">
        <v>41</v>
      </c>
      <c r="I133" s="4">
        <v>956</v>
      </c>
    </row>
    <row r="134" spans="1:9">
      <c r="A134" s="4" t="s">
        <v>47</v>
      </c>
      <c r="B134" s="4" t="s">
        <v>21</v>
      </c>
      <c r="C134" s="4">
        <v>18</v>
      </c>
      <c r="D134" s="4">
        <v>4752</v>
      </c>
      <c r="E134" s="4">
        <v>3238</v>
      </c>
      <c r="F134" s="4">
        <v>0</v>
      </c>
      <c r="G134" s="4">
        <v>249</v>
      </c>
      <c r="H134" s="4">
        <v>347</v>
      </c>
      <c r="I134" s="4">
        <v>4102</v>
      </c>
    </row>
    <row r="135" spans="1:9">
      <c r="A135" s="4" t="s">
        <v>47</v>
      </c>
      <c r="B135" s="4" t="s">
        <v>22</v>
      </c>
      <c r="C135" s="4">
        <v>31</v>
      </c>
      <c r="D135" s="4">
        <v>5248</v>
      </c>
      <c r="E135" s="4">
        <v>3637</v>
      </c>
      <c r="F135" s="4">
        <v>364</v>
      </c>
      <c r="G135" s="4">
        <v>365</v>
      </c>
      <c r="H135" s="4">
        <v>562</v>
      </c>
      <c r="I135" s="4">
        <v>5011</v>
      </c>
    </row>
    <row r="136" spans="1:9">
      <c r="A136" s="4" t="s">
        <v>47</v>
      </c>
      <c r="B136" s="4" t="s">
        <v>23</v>
      </c>
      <c r="C136" s="4">
        <v>1</v>
      </c>
      <c r="D136" s="4">
        <v>234</v>
      </c>
      <c r="E136" s="4">
        <v>168</v>
      </c>
      <c r="F136" s="4">
        <v>0</v>
      </c>
      <c r="G136" s="4">
        <v>0</v>
      </c>
      <c r="H136" s="4">
        <v>0</v>
      </c>
      <c r="I136" s="4">
        <v>199</v>
      </c>
    </row>
    <row r="137" spans="1:9">
      <c r="A137" s="4" t="s">
        <v>47</v>
      </c>
      <c r="B137" s="4" t="s">
        <v>24</v>
      </c>
      <c r="C137" s="4">
        <v>30</v>
      </c>
      <c r="D137" s="4">
        <v>6480</v>
      </c>
      <c r="E137" s="4">
        <v>4233</v>
      </c>
      <c r="F137" s="4">
        <v>337</v>
      </c>
      <c r="G137" s="4">
        <v>258</v>
      </c>
      <c r="H137" s="4">
        <v>421</v>
      </c>
      <c r="I137" s="4">
        <v>5622</v>
      </c>
    </row>
    <row r="138" spans="1:9">
      <c r="A138" s="4" t="s">
        <v>48</v>
      </c>
      <c r="B138" s="4" t="s">
        <v>26</v>
      </c>
      <c r="C138" s="4">
        <v>2</v>
      </c>
      <c r="D138" s="4">
        <v>48</v>
      </c>
      <c r="E138" s="4">
        <v>23</v>
      </c>
      <c r="F138" s="4">
        <v>0</v>
      </c>
      <c r="G138" s="4">
        <v>0</v>
      </c>
      <c r="H138" s="4">
        <v>0</v>
      </c>
      <c r="I138" s="4">
        <v>27</v>
      </c>
    </row>
    <row r="139" spans="1:9">
      <c r="A139" s="4" t="s">
        <v>48</v>
      </c>
      <c r="B139" s="4" t="s">
        <v>20</v>
      </c>
      <c r="C139" s="4">
        <v>18</v>
      </c>
      <c r="D139" s="4">
        <v>1334</v>
      </c>
      <c r="E139" s="4">
        <v>999</v>
      </c>
      <c r="F139" s="4">
        <v>90</v>
      </c>
      <c r="G139" s="4">
        <v>56</v>
      </c>
      <c r="H139" s="4">
        <v>74</v>
      </c>
      <c r="I139" s="4">
        <v>1270</v>
      </c>
    </row>
    <row r="140" spans="1:9">
      <c r="A140" s="4" t="s">
        <v>48</v>
      </c>
      <c r="B140" s="4" t="s">
        <v>21</v>
      </c>
      <c r="C140" s="4">
        <v>14</v>
      </c>
      <c r="D140" s="4">
        <v>3996</v>
      </c>
      <c r="E140" s="4">
        <v>2614</v>
      </c>
      <c r="F140" s="4">
        <v>0</v>
      </c>
      <c r="G140" s="4">
        <v>194</v>
      </c>
      <c r="H140" s="4">
        <v>285</v>
      </c>
      <c r="I140" s="4">
        <v>3286</v>
      </c>
    </row>
    <row r="141" spans="1:9">
      <c r="A141" s="4" t="s">
        <v>48</v>
      </c>
      <c r="B141" s="4" t="s">
        <v>22</v>
      </c>
      <c r="C141" s="4">
        <v>30</v>
      </c>
      <c r="D141" s="4">
        <v>5440</v>
      </c>
      <c r="E141" s="4">
        <v>3970</v>
      </c>
      <c r="F141" s="4">
        <v>434</v>
      </c>
      <c r="G141" s="4">
        <v>173</v>
      </c>
      <c r="H141" s="4">
        <v>218</v>
      </c>
      <c r="I141" s="4">
        <v>5268</v>
      </c>
    </row>
    <row r="142" spans="1:9">
      <c r="A142" s="4" t="s">
        <v>48</v>
      </c>
      <c r="B142" s="4" t="s">
        <v>23</v>
      </c>
      <c r="C142" s="4">
        <v>2</v>
      </c>
      <c r="D142" s="4">
        <v>390</v>
      </c>
      <c r="E142" s="4">
        <v>191</v>
      </c>
      <c r="F142" s="4">
        <v>0</v>
      </c>
      <c r="G142" s="4">
        <v>0</v>
      </c>
      <c r="H142" s="4">
        <v>0</v>
      </c>
      <c r="I142" s="4">
        <v>213</v>
      </c>
    </row>
    <row r="143" spans="1:9">
      <c r="A143" s="4" t="s">
        <v>48</v>
      </c>
      <c r="B143" s="4" t="s">
        <v>24</v>
      </c>
      <c r="C143" s="4">
        <v>29</v>
      </c>
      <c r="D143" s="4">
        <v>6336</v>
      </c>
      <c r="E143" s="4">
        <v>4703</v>
      </c>
      <c r="F143" s="4">
        <v>517</v>
      </c>
      <c r="G143" s="4">
        <v>411</v>
      </c>
      <c r="H143" s="4">
        <v>604</v>
      </c>
      <c r="I143" s="4">
        <v>6549</v>
      </c>
    </row>
    <row r="144" spans="1:9">
      <c r="A144" s="4"/>
      <c r="B144" s="4"/>
      <c r="C144" s="4"/>
      <c r="D144" s="4"/>
      <c r="E144" s="4"/>
      <c r="F144" s="4"/>
      <c r="G144" s="4"/>
      <c r="H144" s="4"/>
      <c r="I144" s="4"/>
    </row>
    <row r="145" spans="1:9">
      <c r="A145" s="4"/>
      <c r="B145" s="4"/>
      <c r="C145" s="4"/>
      <c r="D145" s="4"/>
      <c r="E145" s="4"/>
      <c r="F145" s="4"/>
      <c r="G145" s="4"/>
      <c r="H145" s="4"/>
      <c r="I145" s="4"/>
    </row>
    <row r="146" spans="1:9">
      <c r="A146" s="4"/>
      <c r="B146" s="4"/>
      <c r="C146" s="4"/>
      <c r="D146" s="4"/>
      <c r="E146" s="4"/>
      <c r="F146" s="4"/>
      <c r="G146" s="4"/>
      <c r="H146" s="4"/>
      <c r="I146" s="4"/>
    </row>
    <row r="147" spans="1:9">
      <c r="A147" s="4"/>
      <c r="B147" s="4"/>
      <c r="C147" s="4"/>
      <c r="D147" s="4"/>
      <c r="E147" s="4"/>
      <c r="F147" s="4"/>
      <c r="G147" s="4"/>
      <c r="H147" s="4"/>
      <c r="I147" s="4"/>
    </row>
    <row r="148" spans="1:9">
      <c r="A148" s="4"/>
      <c r="B148" s="4"/>
      <c r="C148" s="4"/>
      <c r="D148" s="4"/>
      <c r="E148" s="4"/>
      <c r="F148" s="4"/>
      <c r="G148" s="4"/>
      <c r="H148" s="4"/>
      <c r="I148" s="4"/>
    </row>
    <row r="149" spans="1:9">
      <c r="A149" s="4"/>
      <c r="B149" s="4"/>
      <c r="C149" s="4"/>
      <c r="D149" s="4"/>
      <c r="E149" s="4"/>
      <c r="F149" s="4"/>
      <c r="G149" s="4"/>
      <c r="H149" s="4"/>
      <c r="I149" s="4"/>
    </row>
    <row r="150" spans="1:9">
      <c r="A150" s="4"/>
      <c r="B150" s="4"/>
      <c r="C150" s="4"/>
      <c r="D150" s="4"/>
      <c r="E150" s="4"/>
      <c r="F150" s="4"/>
      <c r="G150" s="4"/>
      <c r="H150" s="4"/>
      <c r="I150" s="4"/>
    </row>
    <row r="151" spans="1:9">
      <c r="A151" s="4"/>
      <c r="B151" s="4"/>
      <c r="C151" s="4"/>
      <c r="D151" s="4"/>
      <c r="E151" s="4"/>
      <c r="F151" s="4"/>
      <c r="G151" s="4"/>
      <c r="H151" s="4"/>
      <c r="I151" s="4"/>
    </row>
    <row r="152" spans="1:9">
      <c r="A152" s="4"/>
      <c r="B152" s="4"/>
      <c r="C152" s="4"/>
      <c r="D152" s="4"/>
      <c r="E152" s="4"/>
      <c r="F152" s="4"/>
      <c r="G152" s="4"/>
      <c r="H152" s="4"/>
      <c r="I152" s="4"/>
    </row>
    <row r="153" spans="1:9">
      <c r="A153" s="4"/>
      <c r="B153" s="4"/>
      <c r="C153" s="4"/>
      <c r="D153" s="4"/>
      <c r="E153" s="4"/>
      <c r="F153" s="4"/>
      <c r="G153" s="4"/>
      <c r="H153" s="4"/>
      <c r="I153" s="4"/>
    </row>
    <row r="154" spans="1:9">
      <c r="A154" s="4"/>
      <c r="B154" s="4"/>
      <c r="C154" s="4"/>
      <c r="D154" s="4"/>
      <c r="E154" s="4"/>
      <c r="F154" s="4"/>
      <c r="G154" s="4"/>
      <c r="H154" s="4"/>
      <c r="I154" s="4"/>
    </row>
    <row r="155" spans="1:9">
      <c r="A155" s="4"/>
      <c r="B155" s="4"/>
      <c r="C155" s="4"/>
      <c r="D155" s="4"/>
      <c r="E155" s="4"/>
      <c r="F155" s="4"/>
      <c r="G155" s="4"/>
      <c r="H155" s="4"/>
      <c r="I155" s="4"/>
    </row>
    <row r="156" spans="1:9">
      <c r="A156" s="4"/>
      <c r="B156" s="4"/>
      <c r="C156" s="4"/>
      <c r="D156" s="4"/>
      <c r="E156" s="4"/>
      <c r="F156" s="4"/>
      <c r="G156" s="4"/>
      <c r="H156" s="4"/>
      <c r="I156" s="4"/>
    </row>
    <row r="157" spans="1:9">
      <c r="A157" s="4"/>
      <c r="B157" s="4"/>
      <c r="C157" s="4"/>
      <c r="D157" s="4"/>
      <c r="E157" s="4"/>
      <c r="F157" s="4"/>
      <c r="G157" s="4"/>
      <c r="H157" s="4"/>
      <c r="I157" s="4"/>
    </row>
    <row r="158" spans="1:9">
      <c r="A158" s="4"/>
      <c r="B158" s="4"/>
      <c r="C158" s="4"/>
      <c r="D158" s="4"/>
      <c r="E158" s="4"/>
      <c r="F158" s="4"/>
      <c r="G158" s="4"/>
      <c r="H158" s="4"/>
      <c r="I158" s="4"/>
    </row>
    <row r="159" spans="1:9">
      <c r="A159" s="4"/>
      <c r="B159" s="4"/>
      <c r="C159" s="4"/>
      <c r="D159" s="4"/>
      <c r="E159" s="4"/>
      <c r="F159" s="4"/>
      <c r="G159" s="4"/>
      <c r="H159" s="4"/>
      <c r="I159" s="4"/>
    </row>
    <row r="160" spans="1:9">
      <c r="A160" s="4"/>
      <c r="B160" s="4"/>
      <c r="C160" s="4"/>
      <c r="D160" s="4"/>
      <c r="E160" s="4"/>
      <c r="F160" s="4"/>
      <c r="G160" s="4"/>
      <c r="H160" s="4"/>
      <c r="I160" s="4"/>
    </row>
    <row r="161" spans="1:9">
      <c r="A161" s="4"/>
      <c r="B161" s="4"/>
      <c r="C161" s="4"/>
      <c r="D161" s="4"/>
      <c r="E161" s="4"/>
      <c r="F161" s="4"/>
      <c r="G161" s="4"/>
      <c r="H161" s="4"/>
      <c r="I161" s="4"/>
    </row>
    <row r="162" spans="1:9">
      <c r="A162" s="4"/>
      <c r="B162" s="4"/>
      <c r="C162" s="4"/>
      <c r="D162" s="4"/>
      <c r="E162" s="4"/>
      <c r="F162" s="4"/>
      <c r="G162" s="4"/>
      <c r="H162" s="4"/>
      <c r="I162" s="4"/>
    </row>
    <row r="163" spans="1:9">
      <c r="A163" s="4"/>
      <c r="B163" s="4"/>
      <c r="C163" s="4"/>
      <c r="D163" s="4"/>
      <c r="E163" s="4"/>
      <c r="F163" s="4"/>
      <c r="G163" s="4"/>
      <c r="H163" s="4"/>
      <c r="I163" s="4"/>
    </row>
    <row r="164" spans="1:9">
      <c r="A164" s="4"/>
      <c r="B164" s="4"/>
      <c r="C164" s="4"/>
      <c r="D164" s="4"/>
      <c r="E164" s="4"/>
      <c r="F164" s="4"/>
      <c r="G164" s="4"/>
      <c r="H164" s="4"/>
      <c r="I164" s="4"/>
    </row>
    <row r="165" spans="1:9">
      <c r="A165" s="4"/>
      <c r="B165" s="4"/>
      <c r="C165" s="4"/>
      <c r="D165" s="4"/>
      <c r="E165" s="4"/>
      <c r="F165" s="4"/>
      <c r="G165" s="4"/>
      <c r="H165" s="4"/>
      <c r="I165" s="4"/>
    </row>
    <row r="166" spans="1:9">
      <c r="A166" s="4"/>
      <c r="B166" s="4"/>
      <c r="C166" s="4"/>
      <c r="D166" s="4"/>
      <c r="E166" s="4"/>
      <c r="F166" s="4"/>
      <c r="G166" s="4"/>
      <c r="H166" s="4"/>
      <c r="I166" s="4"/>
    </row>
    <row r="167" spans="1:9">
      <c r="A167" s="4"/>
      <c r="B167" s="4"/>
      <c r="C167" s="4"/>
      <c r="D167" s="4"/>
      <c r="E167" s="4"/>
      <c r="F167" s="4"/>
      <c r="G167" s="4"/>
      <c r="H167" s="4"/>
      <c r="I167" s="4"/>
    </row>
    <row r="168" spans="1:9">
      <c r="A168" s="4"/>
      <c r="B168" s="4"/>
      <c r="C168" s="4"/>
      <c r="D168" s="4"/>
      <c r="E168" s="4"/>
      <c r="F168" s="4"/>
      <c r="G168" s="4"/>
      <c r="H168" s="4"/>
      <c r="I168" s="4"/>
    </row>
    <row r="169" spans="1:9">
      <c r="A169" s="4"/>
      <c r="B169" s="4"/>
      <c r="C169" s="4"/>
      <c r="D169" s="4"/>
      <c r="E169" s="4"/>
      <c r="F169" s="4"/>
      <c r="G169" s="4"/>
      <c r="H169" s="4"/>
      <c r="I169" s="4"/>
    </row>
    <row r="170" spans="1:9">
      <c r="A170" s="4"/>
      <c r="B170" s="4"/>
      <c r="C170" s="4"/>
      <c r="D170" s="4"/>
      <c r="E170" s="4"/>
      <c r="F170" s="4"/>
      <c r="G170" s="4"/>
      <c r="H170" s="4"/>
      <c r="I170" s="4"/>
    </row>
    <row r="171" spans="1:9">
      <c r="A171" s="4"/>
      <c r="B171" s="4"/>
      <c r="C171" s="4"/>
      <c r="D171" s="4"/>
      <c r="E171" s="4"/>
      <c r="F171" s="4"/>
      <c r="G171" s="4"/>
      <c r="H171" s="4"/>
      <c r="I171" s="4"/>
    </row>
    <row r="172" spans="1:9">
      <c r="A172" s="4"/>
      <c r="B172" s="4"/>
      <c r="C172" s="4"/>
      <c r="D172" s="4"/>
      <c r="E172" s="4"/>
      <c r="F172" s="4"/>
      <c r="G172" s="4"/>
      <c r="H172" s="4"/>
      <c r="I172" s="4"/>
    </row>
    <row r="173" spans="1:9">
      <c r="A173" s="4"/>
      <c r="B173" s="4"/>
      <c r="C173" s="4"/>
      <c r="D173" s="4"/>
      <c r="E173" s="4"/>
      <c r="F173" s="4"/>
      <c r="G173" s="4"/>
      <c r="H173" s="4"/>
      <c r="I173" s="4"/>
    </row>
    <row r="174" spans="1:9">
      <c r="A174" s="4"/>
      <c r="B174" s="4"/>
      <c r="C174" s="4"/>
      <c r="D174" s="4"/>
      <c r="E174" s="4"/>
      <c r="F174" s="4"/>
      <c r="G174" s="4"/>
      <c r="H174" s="4"/>
      <c r="I174" s="4"/>
    </row>
    <row r="175" spans="1:9">
      <c r="A175" s="4"/>
      <c r="B175" s="4"/>
      <c r="C175" s="4"/>
      <c r="D175" s="4"/>
      <c r="E175" s="4"/>
      <c r="F175" s="4"/>
      <c r="G175" s="4"/>
      <c r="H175" s="4"/>
      <c r="I175" s="4"/>
    </row>
    <row r="176" spans="1:9">
      <c r="A176" s="4"/>
      <c r="B176" s="4"/>
      <c r="C176" s="4"/>
      <c r="D176" s="4"/>
      <c r="E176" s="4"/>
      <c r="F176" s="4"/>
      <c r="G176" s="4"/>
      <c r="H176" s="4"/>
      <c r="I176" s="4"/>
    </row>
    <row r="177" spans="1:9">
      <c r="A177" s="4"/>
      <c r="B177" s="4"/>
      <c r="C177" s="4"/>
      <c r="D177" s="4"/>
      <c r="E177" s="4"/>
      <c r="F177" s="4"/>
      <c r="G177" s="4"/>
      <c r="H177" s="4"/>
      <c r="I177" s="4"/>
    </row>
    <row r="178" spans="1:9">
      <c r="A178" s="4"/>
      <c r="B178" s="4"/>
      <c r="C178" s="4"/>
      <c r="D178" s="4"/>
      <c r="E178" s="4"/>
      <c r="F178" s="4"/>
      <c r="G178" s="4"/>
      <c r="H178" s="4"/>
      <c r="I178" s="4"/>
    </row>
    <row r="179" spans="1:9">
      <c r="A179" s="4"/>
      <c r="B179" s="4"/>
      <c r="C179" s="4"/>
      <c r="D179" s="4"/>
      <c r="E179" s="4"/>
      <c r="F179" s="4"/>
      <c r="G179" s="4"/>
      <c r="H179" s="4"/>
      <c r="I179" s="4"/>
    </row>
    <row r="180" spans="1:9">
      <c r="A180" s="4"/>
      <c r="B180" s="4"/>
      <c r="C180" s="4"/>
      <c r="D180" s="4"/>
      <c r="E180" s="4"/>
      <c r="F180" s="4"/>
      <c r="G180" s="4"/>
      <c r="H180" s="4"/>
      <c r="I180" s="4"/>
    </row>
    <row r="181" spans="1:9">
      <c r="A181" s="4"/>
      <c r="B181" s="4"/>
      <c r="C181" s="4"/>
      <c r="D181" s="4"/>
      <c r="E181" s="4"/>
      <c r="F181" s="4"/>
      <c r="G181" s="4"/>
      <c r="H181" s="4"/>
      <c r="I181" s="4"/>
    </row>
    <row r="182" spans="1:9">
      <c r="A182" s="4"/>
      <c r="B182" s="4"/>
      <c r="C182" s="4"/>
      <c r="D182" s="4"/>
      <c r="E182" s="4"/>
      <c r="F182" s="4"/>
      <c r="G182" s="4"/>
      <c r="H182" s="4"/>
      <c r="I182" s="4"/>
    </row>
    <row r="183" spans="1:9">
      <c r="A183" s="4"/>
      <c r="B183" s="4"/>
      <c r="C183" s="4"/>
      <c r="D183" s="4"/>
      <c r="E183" s="4"/>
      <c r="F183" s="4"/>
      <c r="G183" s="4"/>
      <c r="H183" s="4"/>
      <c r="I183" s="4"/>
    </row>
    <row r="184" spans="1:9">
      <c r="A184" s="4"/>
      <c r="B184" s="4"/>
      <c r="C184" s="4"/>
      <c r="D184" s="4"/>
      <c r="E184" s="4"/>
      <c r="F184" s="4"/>
      <c r="G184" s="4"/>
      <c r="H184" s="4"/>
      <c r="I184" s="4"/>
    </row>
    <row r="185" spans="1:9">
      <c r="A185" s="4"/>
      <c r="B185" s="4"/>
      <c r="C185" s="4"/>
      <c r="D185" s="4"/>
      <c r="E185" s="4"/>
      <c r="F185" s="4"/>
      <c r="G185" s="4"/>
      <c r="H185" s="4"/>
      <c r="I185" s="4"/>
    </row>
    <row r="186" spans="1:9">
      <c r="A186" s="4"/>
      <c r="B186" s="4"/>
      <c r="C186" s="4"/>
      <c r="D186" s="4"/>
      <c r="E186" s="4"/>
      <c r="F186" s="4"/>
      <c r="G186" s="4"/>
      <c r="H186" s="4"/>
      <c r="I186" s="4"/>
    </row>
    <row r="187" spans="1:9">
      <c r="A187" s="4"/>
      <c r="B187" s="4"/>
      <c r="C187" s="4"/>
      <c r="D187" s="4"/>
      <c r="E187" s="4"/>
      <c r="F187" s="4"/>
      <c r="G187" s="4"/>
      <c r="H187" s="4"/>
      <c r="I187" s="4"/>
    </row>
    <row r="188" spans="1:9">
      <c r="A188" s="4"/>
      <c r="B188" s="4"/>
      <c r="C188" s="4"/>
      <c r="D188" s="4"/>
      <c r="E188" s="4"/>
      <c r="F188" s="4"/>
      <c r="G188" s="4"/>
      <c r="H188" s="4"/>
      <c r="I188" s="4"/>
    </row>
    <row r="189" spans="1:9">
      <c r="A189" s="4"/>
      <c r="B189" s="4"/>
      <c r="C189" s="4"/>
      <c r="D189" s="4"/>
      <c r="E189" s="4"/>
      <c r="F189" s="4"/>
      <c r="G189" s="4"/>
      <c r="H189" s="4"/>
      <c r="I189" s="4"/>
    </row>
    <row r="190" spans="1:9">
      <c r="A190" s="4"/>
      <c r="B190" s="4"/>
      <c r="C190" s="4"/>
      <c r="D190" s="4"/>
      <c r="E190" s="4"/>
      <c r="F190" s="4"/>
      <c r="G190" s="4"/>
      <c r="H190" s="4"/>
      <c r="I190" s="4"/>
    </row>
    <row r="191" spans="1:9">
      <c r="A191" s="4"/>
      <c r="B191" s="4"/>
      <c r="C191" s="4"/>
      <c r="D191" s="4"/>
      <c r="E191" s="4"/>
      <c r="F191" s="4"/>
      <c r="G191" s="4"/>
      <c r="H191" s="4"/>
      <c r="I191" s="4"/>
    </row>
    <row r="192" spans="1:9">
      <c r="A192" s="4"/>
      <c r="B192" s="4"/>
      <c r="C192" s="4"/>
      <c r="D192" s="4"/>
      <c r="E192" s="4"/>
      <c r="F192" s="4"/>
      <c r="G192" s="4"/>
      <c r="H192" s="4"/>
      <c r="I192" s="4"/>
    </row>
    <row r="193" spans="1:9">
      <c r="A193" s="4"/>
      <c r="B193" s="4"/>
      <c r="C193" s="4"/>
      <c r="D193" s="4"/>
      <c r="E193" s="4"/>
      <c r="F193" s="4"/>
      <c r="G193" s="4"/>
      <c r="H193" s="4"/>
      <c r="I193" s="4"/>
    </row>
    <row r="194" spans="1:9">
      <c r="A194" s="4"/>
      <c r="B194" s="4"/>
      <c r="C194" s="4"/>
      <c r="D194" s="4"/>
      <c r="E194" s="4"/>
      <c r="F194" s="4"/>
      <c r="G194" s="4"/>
      <c r="H194" s="4"/>
      <c r="I194" s="4"/>
    </row>
    <row r="195" spans="1:9">
      <c r="A195" s="4"/>
      <c r="B195" s="4"/>
      <c r="C195" s="4"/>
      <c r="D195" s="4"/>
      <c r="E195" s="4"/>
      <c r="F195" s="4"/>
      <c r="G195" s="4"/>
      <c r="H195" s="4"/>
      <c r="I195" s="4"/>
    </row>
    <row r="196" spans="1:9">
      <c r="A196" s="4"/>
      <c r="B196" s="4"/>
      <c r="C196" s="4"/>
      <c r="D196" s="4"/>
      <c r="E196" s="4"/>
      <c r="F196" s="4"/>
      <c r="G196" s="4"/>
      <c r="H196" s="4"/>
      <c r="I196" s="4"/>
    </row>
    <row r="197" spans="1:9">
      <c r="A197" s="4"/>
      <c r="B197" s="4"/>
      <c r="C197" s="4"/>
      <c r="D197" s="4"/>
      <c r="E197" s="4"/>
      <c r="F197" s="4"/>
      <c r="G197" s="4"/>
      <c r="H197" s="4"/>
      <c r="I197" s="4"/>
    </row>
    <row r="198" spans="1:9">
      <c r="A198" s="4"/>
      <c r="B198" s="4"/>
      <c r="C198" s="4"/>
      <c r="D198" s="4"/>
      <c r="E198" s="4"/>
      <c r="F198" s="4"/>
      <c r="G198" s="4"/>
      <c r="H198" s="4"/>
      <c r="I198" s="4"/>
    </row>
    <row r="199" spans="1:9">
      <c r="A199" s="4"/>
      <c r="B199" s="4"/>
      <c r="C199" s="4"/>
      <c r="D199" s="4"/>
      <c r="E199" s="4"/>
      <c r="F199" s="4"/>
      <c r="G199" s="4"/>
      <c r="H199" s="4"/>
      <c r="I199" s="4"/>
    </row>
    <row r="200" spans="1:9">
      <c r="A200" s="4"/>
      <c r="B200" s="4"/>
      <c r="C200" s="4"/>
      <c r="D200" s="4"/>
      <c r="E200" s="4"/>
      <c r="F200" s="4"/>
      <c r="G200" s="4"/>
      <c r="H200" s="4"/>
      <c r="I200" s="4"/>
    </row>
    <row r="201" spans="1:9">
      <c r="A201" s="4"/>
      <c r="B201" s="4"/>
      <c r="C201" s="4"/>
      <c r="D201" s="4"/>
      <c r="E201" s="4"/>
      <c r="F201" s="4"/>
      <c r="G201" s="4"/>
      <c r="H201" s="4"/>
      <c r="I201" s="4"/>
    </row>
    <row r="202" spans="1:9">
      <c r="A202" s="4"/>
      <c r="B202" s="4"/>
      <c r="C202" s="4"/>
      <c r="D202" s="4"/>
      <c r="E202" s="4"/>
      <c r="F202" s="4"/>
      <c r="G202" s="4"/>
      <c r="H202" s="4"/>
      <c r="I202" s="4"/>
    </row>
    <row r="203" spans="1:9">
      <c r="A203" s="4"/>
      <c r="B203" s="4"/>
      <c r="C203" s="4"/>
      <c r="D203" s="4"/>
      <c r="E203" s="4"/>
      <c r="F203" s="4"/>
      <c r="G203" s="4"/>
      <c r="H203" s="4"/>
      <c r="I203" s="4"/>
    </row>
  </sheetData>
  <mergeCells count="1">
    <mergeCell ref="A2:I2"/>
  </mergeCells>
  <dataValidations count="1">
    <dataValidation type="list" allowBlank="1" showInputMessage="1" showErrorMessage="1" sqref="B5:B203">
      <formula1>"SL,3A,2A,1A,CC,2S"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9" width="17.7109375" customWidth="1"/>
  </cols>
  <sheetData>
    <row r="1" spans="1:9">
      <c r="A1" s="1" t="s">
        <v>49</v>
      </c>
    </row>
    <row r="2" spans="1:9" ht="44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ht="44" customHeight="1">
      <c r="A4" s="5" t="s">
        <v>10</v>
      </c>
      <c r="B4" s="5" t="s">
        <v>11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  <c r="I4" s="5" t="s">
        <v>56</v>
      </c>
    </row>
    <row r="5" spans="1:9">
      <c r="A5" s="6" t="str">
        <f>IF(Inputs_Class_Month!$A5="","",Inputs_Class_Month!$A5)</f>
        <v>2024-09</v>
      </c>
      <c r="B5" s="6" t="str">
        <f>IF(Inputs_Class_Month!$B5="","",Inputs_Class_Month!$B5)</f>
        <v>2A</v>
      </c>
      <c r="C5" s="7">
        <f>IF(N(Inputs_Class_Month!$D5)=0,"",Inputs_Class_Month!$E5+Settings!$B$3*Inputs_Class_Month!$F5)</f>
        <v>645.5</v>
      </c>
      <c r="D5" s="8">
        <f>IF(N(Inputs_Class_Month!$D5)=0,"",C5/Inputs_Class_Month!$D5)</f>
        <v>0.610113421550095</v>
      </c>
      <c r="E5" s="8">
        <f>IF(N(Inputs_Class_Month!$D5)=0,"",Inputs_Class_Month!$E5/Inputs_Class_Month!$D5)</f>
        <v>0.595463137996219</v>
      </c>
      <c r="F5" s="8">
        <f>IF(N(Inputs_Class_Month!$D5)=0,"",Settings!$B$3*Inputs_Class_Month!$F5/Inputs_Class_Month!$D5)</f>
        <v>0.0146502835538752</v>
      </c>
      <c r="G5" s="8">
        <f>IF(N(Inputs_Class_Month!$D5)=0,"",Inputs_Class_Month!$G5/Inputs_Class_Month!$D5)</f>
        <v>0.00945179584120983</v>
      </c>
      <c r="H5" s="7">
        <f>IF(N(Inputs_Class_Month!$C5)=0,"",Inputs_Class_Month!$I5/Inputs_Class_Month!$C5)</f>
        <v>50.6666666666667</v>
      </c>
      <c r="I5" s="7">
        <f>IF(N(Inputs_Class_Month!$C5)=0,"",Inputs_Class_Month!$H5/Inputs_Class_Month!$C5)</f>
        <v>0.8</v>
      </c>
    </row>
    <row r="6" spans="1:9">
      <c r="A6" s="6" t="str">
        <f>IF(Inputs_Class_Month!$A6="","",Inputs_Class_Month!$A6)</f>
        <v>2024-09</v>
      </c>
      <c r="B6" s="6" t="str">
        <f>IF(Inputs_Class_Month!$B6="","",Inputs_Class_Month!$B6)</f>
        <v>2S</v>
      </c>
      <c r="C6" s="7">
        <f>IF(N(Inputs_Class_Month!$D6)=0,"",Inputs_Class_Month!$E6+Settings!$B$3*Inputs_Class_Month!$F6)</f>
        <v>2748</v>
      </c>
      <c r="D6" s="8">
        <f>IF(N(Inputs_Class_Month!$D6)=0,"",C6/Inputs_Class_Month!$D6)</f>
        <v>0.591731266149871</v>
      </c>
      <c r="E6" s="8">
        <f>IF(N(Inputs_Class_Month!$D6)=0,"",Inputs_Class_Month!$E6/Inputs_Class_Month!$D6)</f>
        <v>0.591731266149871</v>
      </c>
      <c r="F6" s="8">
        <f>IF(N(Inputs_Class_Month!$D6)=0,"",Settings!$B$3*Inputs_Class_Month!$F6/Inputs_Class_Month!$D6)</f>
        <v>0</v>
      </c>
      <c r="G6" s="8">
        <f>IF(N(Inputs_Class_Month!$D6)=0,"",Inputs_Class_Month!$G6/Inputs_Class_Month!$D6)</f>
        <v>0.0484496124031008</v>
      </c>
      <c r="H6" s="7">
        <f>IF(N(Inputs_Class_Month!$C6)=0,"",Inputs_Class_Month!$I6/Inputs_Class_Month!$C6)</f>
        <v>202.352941176471</v>
      </c>
      <c r="I6" s="7">
        <f>IF(N(Inputs_Class_Month!$C6)=0,"",Inputs_Class_Month!$H6/Inputs_Class_Month!$C6)</f>
        <v>18.5294117647059</v>
      </c>
    </row>
    <row r="7" spans="1:9">
      <c r="A7" s="6" t="str">
        <f>IF(Inputs_Class_Month!$A7="","",Inputs_Class_Month!$A7)</f>
        <v>2024-09</v>
      </c>
      <c r="B7" s="6" t="str">
        <f>IF(Inputs_Class_Month!$B7="","",Inputs_Class_Month!$B7)</f>
        <v>3A</v>
      </c>
      <c r="C7" s="7">
        <f>IF(N(Inputs_Class_Month!$D7)=0,"",Inputs_Class_Month!$E7+Settings!$B$3*Inputs_Class_Month!$F7)</f>
        <v>3244.5</v>
      </c>
      <c r="D7" s="8">
        <f>IF(N(Inputs_Class_Month!$D7)=0,"",C7/Inputs_Class_Month!$D7)</f>
        <v>0.625868055555556</v>
      </c>
      <c r="E7" s="8">
        <f>IF(N(Inputs_Class_Month!$D7)=0,"",Inputs_Class_Month!$E7/Inputs_Class_Month!$D7)</f>
        <v>0.609375</v>
      </c>
      <c r="F7" s="8">
        <f>IF(N(Inputs_Class_Month!$D7)=0,"",Settings!$B$3*Inputs_Class_Month!$F7/Inputs_Class_Month!$D7)</f>
        <v>0.0164930555555556</v>
      </c>
      <c r="G7" s="8">
        <f>IF(N(Inputs_Class_Month!$D7)=0,"",Inputs_Class_Month!$G7/Inputs_Class_Month!$D7)</f>
        <v>0.0109953703703704</v>
      </c>
      <c r="H7" s="7">
        <f>IF(N(Inputs_Class_Month!$C7)=0,"",Inputs_Class_Month!$I7/Inputs_Class_Month!$C7)</f>
        <v>123.41935483871</v>
      </c>
      <c r="I7" s="7">
        <f>IF(N(Inputs_Class_Month!$C7)=0,"",Inputs_Class_Month!$H7/Inputs_Class_Month!$C7)</f>
        <v>2.61290322580645</v>
      </c>
    </row>
    <row r="8" spans="1:9">
      <c r="A8" s="6" t="str">
        <f>IF(Inputs_Class_Month!$A8="","",Inputs_Class_Month!$A8)</f>
        <v>2024-09</v>
      </c>
      <c r="B8" s="6" t="str">
        <f>IF(Inputs_Class_Month!$B8="","",Inputs_Class_Month!$B8)</f>
        <v>CC</v>
      </c>
      <c r="C8" s="7">
        <f>IF(N(Inputs_Class_Month!$D8)=0,"",Inputs_Class_Month!$E8+Settings!$B$3*Inputs_Class_Month!$F8)</f>
        <v>105</v>
      </c>
      <c r="D8" s="8">
        <f>IF(N(Inputs_Class_Month!$D8)=0,"",C8/Inputs_Class_Month!$D8)</f>
        <v>0.336538461538462</v>
      </c>
      <c r="E8" s="8">
        <f>IF(N(Inputs_Class_Month!$D8)=0,"",Inputs_Class_Month!$E8/Inputs_Class_Month!$D8)</f>
        <v>0.336538461538462</v>
      </c>
      <c r="F8" s="8">
        <f>IF(N(Inputs_Class_Month!$D8)=0,"",Settings!$B$3*Inputs_Class_Month!$F8/Inputs_Class_Month!$D8)</f>
        <v>0</v>
      </c>
      <c r="G8" s="8">
        <f>IF(N(Inputs_Class_Month!$D8)=0,"",Inputs_Class_Month!$G8/Inputs_Class_Month!$D8)</f>
        <v>0</v>
      </c>
      <c r="H8" s="7">
        <f>IF(N(Inputs_Class_Month!$C8)=0,"",Inputs_Class_Month!$I8/Inputs_Class_Month!$C8)</f>
        <v>111</v>
      </c>
      <c r="I8" s="7">
        <f>IF(N(Inputs_Class_Month!$C8)=0,"",Inputs_Class_Month!$H8/Inputs_Class_Month!$C8)</f>
        <v>0</v>
      </c>
    </row>
    <row r="9" spans="1:9">
      <c r="A9" s="6" t="str">
        <f>IF(Inputs_Class_Month!$A9="","",Inputs_Class_Month!$A9)</f>
        <v>2024-09</v>
      </c>
      <c r="B9" s="6" t="str">
        <f>IF(Inputs_Class_Month!$B9="","",Inputs_Class_Month!$B9)</f>
        <v>SL</v>
      </c>
      <c r="C9" s="7">
        <f>IF(N(Inputs_Class_Month!$D9)=0,"",Inputs_Class_Month!$E9+Settings!$B$3*Inputs_Class_Month!$F9)</f>
        <v>3284.5</v>
      </c>
      <c r="D9" s="8">
        <f>IF(N(Inputs_Class_Month!$D9)=0,"",C9/Inputs_Class_Month!$D9)</f>
        <v>0.549615127175368</v>
      </c>
      <c r="E9" s="8">
        <f>IF(N(Inputs_Class_Month!$D9)=0,"",Inputs_Class_Month!$E9/Inputs_Class_Month!$D9)</f>
        <v>0.53731593038822</v>
      </c>
      <c r="F9" s="8">
        <f>IF(N(Inputs_Class_Month!$D9)=0,"",Settings!$B$3*Inputs_Class_Month!$F9/Inputs_Class_Month!$D9)</f>
        <v>0.0122991967871486</v>
      </c>
      <c r="G9" s="8">
        <f>IF(N(Inputs_Class_Month!$D9)=0,"",Inputs_Class_Month!$G9/Inputs_Class_Month!$D9)</f>
        <v>0.00937081659973226</v>
      </c>
      <c r="H9" s="7">
        <f>IF(N(Inputs_Class_Month!$C9)=0,"",Inputs_Class_Month!$I9/Inputs_Class_Month!$C9)</f>
        <v>129.741935483871</v>
      </c>
      <c r="I9" s="7">
        <f>IF(N(Inputs_Class_Month!$C9)=0,"",Inputs_Class_Month!$H9/Inputs_Class_Month!$C9)</f>
        <v>2.64516129032258</v>
      </c>
    </row>
    <row r="10" spans="1:9">
      <c r="A10" s="6" t="str">
        <f>IF(Inputs_Class_Month!$A10="","",Inputs_Class_Month!$A10)</f>
        <v>2024-10</v>
      </c>
      <c r="B10" s="6" t="str">
        <f>IF(Inputs_Class_Month!$B10="","",Inputs_Class_Month!$B10)</f>
        <v>1A</v>
      </c>
      <c r="C10" s="7">
        <f>IF(N(Inputs_Class_Month!$D10)=0,"",Inputs_Class_Month!$E10+Settings!$B$3*Inputs_Class_Month!$F10)</f>
        <v>20</v>
      </c>
      <c r="D10" s="8">
        <f>IF(N(Inputs_Class_Month!$D10)=0,"",C10/Inputs_Class_Month!$D10)</f>
        <v>0.833333333333333</v>
      </c>
      <c r="E10" s="8">
        <f>IF(N(Inputs_Class_Month!$D10)=0,"",Inputs_Class_Month!$E10/Inputs_Class_Month!$D10)</f>
        <v>0.833333333333333</v>
      </c>
      <c r="F10" s="8">
        <f>IF(N(Inputs_Class_Month!$D10)=0,"",Settings!$B$3*Inputs_Class_Month!$F10/Inputs_Class_Month!$D10)</f>
        <v>0</v>
      </c>
      <c r="G10" s="8">
        <f>IF(N(Inputs_Class_Month!$D10)=0,"",Inputs_Class_Month!$G10/Inputs_Class_Month!$D10)</f>
        <v>0</v>
      </c>
      <c r="H10" s="7">
        <f>IF(N(Inputs_Class_Month!$C10)=0,"",Inputs_Class_Month!$I10/Inputs_Class_Month!$C10)</f>
        <v>21</v>
      </c>
      <c r="I10" s="7">
        <f>IF(N(Inputs_Class_Month!$C10)=0,"",Inputs_Class_Month!$H10/Inputs_Class_Month!$C10)</f>
        <v>0</v>
      </c>
    </row>
    <row r="11" spans="1:9">
      <c r="A11" s="6" t="str">
        <f>IF(Inputs_Class_Month!$A11="","",Inputs_Class_Month!$A11)</f>
        <v>2024-10</v>
      </c>
      <c r="B11" s="6" t="str">
        <f>IF(Inputs_Class_Month!$B11="","",Inputs_Class_Month!$B11)</f>
        <v>2A</v>
      </c>
      <c r="C11" s="7">
        <f>IF(N(Inputs_Class_Month!$D11)=0,"",Inputs_Class_Month!$E11+Settings!$B$3*Inputs_Class_Month!$F11)</f>
        <v>794</v>
      </c>
      <c r="D11" s="8">
        <f>IF(N(Inputs_Class_Month!$D11)=0,"",C11/Inputs_Class_Month!$D11)</f>
        <v>0.639291465378422</v>
      </c>
      <c r="E11" s="8">
        <f>IF(N(Inputs_Class_Month!$D11)=0,"",Inputs_Class_Month!$E11/Inputs_Class_Month!$D11)</f>
        <v>0.632045088566828</v>
      </c>
      <c r="F11" s="8">
        <f>IF(N(Inputs_Class_Month!$D11)=0,"",Settings!$B$3*Inputs_Class_Month!$F11/Inputs_Class_Month!$D11)</f>
        <v>0.0072463768115942</v>
      </c>
      <c r="G11" s="8">
        <f>IF(N(Inputs_Class_Month!$D11)=0,"",Inputs_Class_Month!$G11/Inputs_Class_Month!$D11)</f>
        <v>0.0185185185185185</v>
      </c>
      <c r="H11" s="7">
        <f>IF(N(Inputs_Class_Month!$C11)=0,"",Inputs_Class_Month!$I11/Inputs_Class_Month!$C11)</f>
        <v>58.9375</v>
      </c>
      <c r="I11" s="7">
        <f>IF(N(Inputs_Class_Month!$C11)=0,"",Inputs_Class_Month!$H11/Inputs_Class_Month!$C11)</f>
        <v>2.3125</v>
      </c>
    </row>
    <row r="12" spans="1:9">
      <c r="A12" s="6" t="str">
        <f>IF(Inputs_Class_Month!$A12="","",Inputs_Class_Month!$A12)</f>
        <v>2024-10</v>
      </c>
      <c r="B12" s="6" t="str">
        <f>IF(Inputs_Class_Month!$B12="","",Inputs_Class_Month!$B12)</f>
        <v>2S</v>
      </c>
      <c r="C12" s="7">
        <f>IF(N(Inputs_Class_Month!$D12)=0,"",Inputs_Class_Month!$E12+Settings!$B$3*Inputs_Class_Month!$F12)</f>
        <v>2953</v>
      </c>
      <c r="D12" s="8">
        <f>IF(N(Inputs_Class_Month!$D12)=0,"",C12/Inputs_Class_Month!$D12)</f>
        <v>0.621422558922559</v>
      </c>
      <c r="E12" s="8">
        <f>IF(N(Inputs_Class_Month!$D12)=0,"",Inputs_Class_Month!$E12/Inputs_Class_Month!$D12)</f>
        <v>0.621422558922559</v>
      </c>
      <c r="F12" s="8">
        <f>IF(N(Inputs_Class_Month!$D12)=0,"",Settings!$B$3*Inputs_Class_Month!$F12/Inputs_Class_Month!$D12)</f>
        <v>0</v>
      </c>
      <c r="G12" s="8">
        <f>IF(N(Inputs_Class_Month!$D12)=0,"",Inputs_Class_Month!$G12/Inputs_Class_Month!$D12)</f>
        <v>0.0580808080808081</v>
      </c>
      <c r="H12" s="7">
        <f>IF(N(Inputs_Class_Month!$C12)=0,"",Inputs_Class_Month!$I12/Inputs_Class_Month!$C12)</f>
        <v>237.5</v>
      </c>
      <c r="I12" s="7">
        <f>IF(N(Inputs_Class_Month!$C12)=0,"",Inputs_Class_Month!$H12/Inputs_Class_Month!$C12)</f>
        <v>23.9375</v>
      </c>
    </row>
    <row r="13" spans="1:9">
      <c r="A13" s="6" t="str">
        <f>IF(Inputs_Class_Month!$A13="","",Inputs_Class_Month!$A13)</f>
        <v>2024-10</v>
      </c>
      <c r="B13" s="6" t="str">
        <f>IF(Inputs_Class_Month!$B13="","",Inputs_Class_Month!$B13)</f>
        <v>3A</v>
      </c>
      <c r="C13" s="7">
        <f>IF(N(Inputs_Class_Month!$D13)=0,"",Inputs_Class_Month!$E13+Settings!$B$3*Inputs_Class_Month!$F13)</f>
        <v>3768.5</v>
      </c>
      <c r="D13" s="8">
        <f>IF(N(Inputs_Class_Month!$D13)=0,"",C13/Inputs_Class_Month!$D13)</f>
        <v>0.745352056962025</v>
      </c>
      <c r="E13" s="8">
        <f>IF(N(Inputs_Class_Month!$D13)=0,"",Inputs_Class_Month!$E13/Inputs_Class_Month!$D13)</f>
        <v>0.712025316455696</v>
      </c>
      <c r="F13" s="8">
        <f>IF(N(Inputs_Class_Month!$D13)=0,"",Settings!$B$3*Inputs_Class_Month!$F13/Inputs_Class_Month!$D13)</f>
        <v>0.0333267405063291</v>
      </c>
      <c r="G13" s="8">
        <f>IF(N(Inputs_Class_Month!$D13)=0,"",Inputs_Class_Month!$G13/Inputs_Class_Month!$D13)</f>
        <v>0.0318433544303798</v>
      </c>
      <c r="H13" s="7">
        <f>IF(N(Inputs_Class_Month!$C13)=0,"",Inputs_Class_Month!$I13/Inputs_Class_Month!$C13)</f>
        <v>156.4</v>
      </c>
      <c r="I13" s="7">
        <f>IF(N(Inputs_Class_Month!$C13)=0,"",Inputs_Class_Month!$H13/Inputs_Class_Month!$C13)</f>
        <v>7.9</v>
      </c>
    </row>
    <row r="14" spans="1:9">
      <c r="A14" s="6" t="str">
        <f>IF(Inputs_Class_Month!$A14="","",Inputs_Class_Month!$A14)</f>
        <v>2024-10</v>
      </c>
      <c r="B14" s="6" t="str">
        <f>IF(Inputs_Class_Month!$B14="","",Inputs_Class_Month!$B14)</f>
        <v>CC</v>
      </c>
      <c r="C14" s="7">
        <f>IF(N(Inputs_Class_Month!$D14)=0,"",Inputs_Class_Month!$E14+Settings!$B$3*Inputs_Class_Month!$F14)</f>
        <v>131</v>
      </c>
      <c r="D14" s="8">
        <f>IF(N(Inputs_Class_Month!$D14)=0,"",C14/Inputs_Class_Month!$D14)</f>
        <v>0.335897435897436</v>
      </c>
      <c r="E14" s="8">
        <f>IF(N(Inputs_Class_Month!$D14)=0,"",Inputs_Class_Month!$E14/Inputs_Class_Month!$D14)</f>
        <v>0.335897435897436</v>
      </c>
      <c r="F14" s="8">
        <f>IF(N(Inputs_Class_Month!$D14)=0,"",Settings!$B$3*Inputs_Class_Month!$F14/Inputs_Class_Month!$D14)</f>
        <v>0</v>
      </c>
      <c r="G14" s="8">
        <f>IF(N(Inputs_Class_Month!$D14)=0,"",Inputs_Class_Month!$G14/Inputs_Class_Month!$D14)</f>
        <v>0</v>
      </c>
      <c r="H14" s="7">
        <f>IF(N(Inputs_Class_Month!$C14)=0,"",Inputs_Class_Month!$I14/Inputs_Class_Month!$C14)</f>
        <v>77</v>
      </c>
      <c r="I14" s="7">
        <f>IF(N(Inputs_Class_Month!$C14)=0,"",Inputs_Class_Month!$H14/Inputs_Class_Month!$C14)</f>
        <v>0</v>
      </c>
    </row>
    <row r="15" spans="1:9">
      <c r="A15" s="6" t="str">
        <f>IF(Inputs_Class_Month!$A15="","",Inputs_Class_Month!$A15)</f>
        <v>2024-10</v>
      </c>
      <c r="B15" s="6" t="str">
        <f>IF(Inputs_Class_Month!$B15="","",Inputs_Class_Month!$B15)</f>
        <v>SL</v>
      </c>
      <c r="C15" s="7">
        <f>IF(N(Inputs_Class_Month!$D15)=0,"",Inputs_Class_Month!$E15+Settings!$B$3*Inputs_Class_Month!$F15)</f>
        <v>4746</v>
      </c>
      <c r="D15" s="8">
        <f>IF(N(Inputs_Class_Month!$D15)=0,"",C15/Inputs_Class_Month!$D15)</f>
        <v>0.708781362007169</v>
      </c>
      <c r="E15" s="8">
        <f>IF(N(Inputs_Class_Month!$D15)=0,"",Inputs_Class_Month!$E15/Inputs_Class_Month!$D15)</f>
        <v>0.679958183990442</v>
      </c>
      <c r="F15" s="8">
        <f>IF(N(Inputs_Class_Month!$D15)=0,"",Settings!$B$3*Inputs_Class_Month!$F15/Inputs_Class_Month!$D15)</f>
        <v>0.0288231780167264</v>
      </c>
      <c r="G15" s="8">
        <f>IF(N(Inputs_Class_Month!$D15)=0,"",Inputs_Class_Month!$G15/Inputs_Class_Month!$D15)</f>
        <v>0.0104540023894863</v>
      </c>
      <c r="H15" s="7">
        <f>IF(N(Inputs_Class_Month!$C15)=0,"",Inputs_Class_Month!$I15/Inputs_Class_Month!$C15)</f>
        <v>194.6</v>
      </c>
      <c r="I15" s="7">
        <f>IF(N(Inputs_Class_Month!$C15)=0,"",Inputs_Class_Month!$H15/Inputs_Class_Month!$C15)</f>
        <v>3.76666666666667</v>
      </c>
    </row>
    <row r="16" spans="1:9">
      <c r="A16" s="6" t="str">
        <f>IF(Inputs_Class_Month!$A16="","",Inputs_Class_Month!$A16)</f>
        <v>2024-11</v>
      </c>
      <c r="B16" s="6" t="str">
        <f>IF(Inputs_Class_Month!$B16="","",Inputs_Class_Month!$B16)</f>
        <v>1A</v>
      </c>
      <c r="C16" s="7">
        <f>IF(N(Inputs_Class_Month!$D16)=0,"",Inputs_Class_Month!$E16+Settings!$B$3*Inputs_Class_Month!$F16)</f>
        <v>24</v>
      </c>
      <c r="D16" s="8">
        <f>IF(N(Inputs_Class_Month!$D16)=0,"",C16/Inputs_Class_Month!$D16)</f>
        <v>1</v>
      </c>
      <c r="E16" s="8">
        <f>IF(N(Inputs_Class_Month!$D16)=0,"",Inputs_Class_Month!$E16/Inputs_Class_Month!$D16)</f>
        <v>1</v>
      </c>
      <c r="F16" s="8">
        <f>IF(N(Inputs_Class_Month!$D16)=0,"",Settings!$B$3*Inputs_Class_Month!$F16/Inputs_Class_Month!$D16)</f>
        <v>0</v>
      </c>
      <c r="G16" s="8">
        <f>IF(N(Inputs_Class_Month!$D16)=0,"",Inputs_Class_Month!$G16/Inputs_Class_Month!$D16)</f>
        <v>0.291666666666667</v>
      </c>
      <c r="H16" s="7">
        <f>IF(N(Inputs_Class_Month!$C16)=0,"",Inputs_Class_Month!$I16/Inputs_Class_Month!$C16)</f>
        <v>31</v>
      </c>
      <c r="I16" s="7">
        <f>IF(N(Inputs_Class_Month!$C16)=0,"",Inputs_Class_Month!$H16/Inputs_Class_Month!$C16)</f>
        <v>7</v>
      </c>
    </row>
    <row r="17" spans="1:9">
      <c r="A17" s="6" t="str">
        <f>IF(Inputs_Class_Month!$A17="","",Inputs_Class_Month!$A17)</f>
        <v>2024-11</v>
      </c>
      <c r="B17" s="6" t="str">
        <f>IF(Inputs_Class_Month!$B17="","",Inputs_Class_Month!$B17)</f>
        <v>2A</v>
      </c>
      <c r="C17" s="7">
        <f>IF(N(Inputs_Class_Month!$D17)=0,"",Inputs_Class_Month!$E17+Settings!$B$3*Inputs_Class_Month!$F17)</f>
        <v>702.5</v>
      </c>
      <c r="D17" s="8">
        <f>IF(N(Inputs_Class_Month!$D17)=0,"",C17/Inputs_Class_Month!$D17)</f>
        <v>0.727225672877847</v>
      </c>
      <c r="E17" s="8">
        <f>IF(N(Inputs_Class_Month!$D17)=0,"",Inputs_Class_Month!$E17/Inputs_Class_Month!$D17)</f>
        <v>0.718426501035197</v>
      </c>
      <c r="F17" s="8">
        <f>IF(N(Inputs_Class_Month!$D17)=0,"",Settings!$B$3*Inputs_Class_Month!$F17/Inputs_Class_Month!$D17)</f>
        <v>0.0087991718426501</v>
      </c>
      <c r="G17" s="8">
        <f>IF(N(Inputs_Class_Month!$D17)=0,"",Inputs_Class_Month!$G17/Inputs_Class_Month!$D17)</f>
        <v>0</v>
      </c>
      <c r="H17" s="7">
        <f>IF(N(Inputs_Class_Month!$C17)=0,"",Inputs_Class_Month!$I17/Inputs_Class_Month!$C17)</f>
        <v>60.3076923076923</v>
      </c>
      <c r="I17" s="7">
        <f>IF(N(Inputs_Class_Month!$C17)=0,"",Inputs_Class_Month!$H17/Inputs_Class_Month!$C17)</f>
        <v>0</v>
      </c>
    </row>
    <row r="18" spans="1:9">
      <c r="A18" s="6" t="str">
        <f>IF(Inputs_Class_Month!$A18="","",Inputs_Class_Month!$A18)</f>
        <v>2024-11</v>
      </c>
      <c r="B18" s="6" t="str">
        <f>IF(Inputs_Class_Month!$B18="","",Inputs_Class_Month!$B18)</f>
        <v>2S</v>
      </c>
      <c r="C18" s="7">
        <f>IF(N(Inputs_Class_Month!$D18)=0,"",Inputs_Class_Month!$E18+Settings!$B$3*Inputs_Class_Month!$F18)</f>
        <v>3340</v>
      </c>
      <c r="D18" s="8">
        <f>IF(N(Inputs_Class_Month!$D18)=0,"",C18/Inputs_Class_Month!$D18)</f>
        <v>0.63114134542706</v>
      </c>
      <c r="E18" s="8">
        <f>IF(N(Inputs_Class_Month!$D18)=0,"",Inputs_Class_Month!$E18/Inputs_Class_Month!$D18)</f>
        <v>0.63114134542706</v>
      </c>
      <c r="F18" s="8">
        <f>IF(N(Inputs_Class_Month!$D18)=0,"",Settings!$B$3*Inputs_Class_Month!$F18/Inputs_Class_Month!$D18)</f>
        <v>0</v>
      </c>
      <c r="G18" s="8">
        <f>IF(N(Inputs_Class_Month!$D18)=0,"",Inputs_Class_Month!$G18/Inputs_Class_Month!$D18)</f>
        <v>0.02286470143613</v>
      </c>
      <c r="H18" s="7">
        <f>IF(N(Inputs_Class_Month!$C18)=0,"",Inputs_Class_Month!$I18/Inputs_Class_Month!$C18)</f>
        <v>209.947368421053</v>
      </c>
      <c r="I18" s="7">
        <f>IF(N(Inputs_Class_Month!$C18)=0,"",Inputs_Class_Month!$H18/Inputs_Class_Month!$C18)</f>
        <v>10.3684210526316</v>
      </c>
    </row>
    <row r="19" spans="1:9">
      <c r="A19" s="6" t="str">
        <f>IF(Inputs_Class_Month!$A19="","",Inputs_Class_Month!$A19)</f>
        <v>2024-11</v>
      </c>
      <c r="B19" s="6" t="str">
        <f>IF(Inputs_Class_Month!$B19="","",Inputs_Class_Month!$B19)</f>
        <v>3A</v>
      </c>
      <c r="C19" s="7">
        <f>IF(N(Inputs_Class_Month!$D19)=0,"",Inputs_Class_Month!$E19+Settings!$B$3*Inputs_Class_Month!$F19)</f>
        <v>3866.5</v>
      </c>
      <c r="D19" s="8">
        <f>IF(N(Inputs_Class_Month!$D19)=0,"",C19/Inputs_Class_Month!$D19)</f>
        <v>0.75517578125</v>
      </c>
      <c r="E19" s="8">
        <f>IF(N(Inputs_Class_Month!$D19)=0,"",Inputs_Class_Month!$E19/Inputs_Class_Month!$D19)</f>
        <v>0.7134765625</v>
      </c>
      <c r="F19" s="8">
        <f>IF(N(Inputs_Class_Month!$D19)=0,"",Settings!$B$3*Inputs_Class_Month!$F19/Inputs_Class_Month!$D19)</f>
        <v>0.04169921875</v>
      </c>
      <c r="G19" s="8">
        <f>IF(N(Inputs_Class_Month!$D19)=0,"",Inputs_Class_Month!$G19/Inputs_Class_Month!$D19)</f>
        <v>0.0779296875</v>
      </c>
      <c r="H19" s="7">
        <f>IF(N(Inputs_Class_Month!$C19)=0,"",Inputs_Class_Month!$I19/Inputs_Class_Month!$C19)</f>
        <v>162.53125</v>
      </c>
      <c r="I19" s="7">
        <f>IF(N(Inputs_Class_Month!$C19)=0,"",Inputs_Class_Month!$H19/Inputs_Class_Month!$C19)</f>
        <v>20.0625</v>
      </c>
    </row>
    <row r="20" spans="1:9">
      <c r="A20" s="6" t="str">
        <f>IF(Inputs_Class_Month!$A20="","",Inputs_Class_Month!$A20)</f>
        <v>2024-11</v>
      </c>
      <c r="B20" s="6" t="str">
        <f>IF(Inputs_Class_Month!$B20="","",Inputs_Class_Month!$B20)</f>
        <v>SL</v>
      </c>
      <c r="C20" s="7">
        <f>IF(N(Inputs_Class_Month!$D20)=0,"",Inputs_Class_Month!$E20+Settings!$B$3*Inputs_Class_Month!$F20)</f>
        <v>4513</v>
      </c>
      <c r="D20" s="8">
        <f>IF(N(Inputs_Class_Month!$D20)=0,"",C20/Inputs_Class_Month!$D20)</f>
        <v>0.71227904040404</v>
      </c>
      <c r="E20" s="8">
        <f>IF(N(Inputs_Class_Month!$D20)=0,"",Inputs_Class_Month!$E20/Inputs_Class_Month!$D20)</f>
        <v>0.674715909090909</v>
      </c>
      <c r="F20" s="8">
        <f>IF(N(Inputs_Class_Month!$D20)=0,"",Settings!$B$3*Inputs_Class_Month!$F20/Inputs_Class_Month!$D20)</f>
        <v>0.0375631313131313</v>
      </c>
      <c r="G20" s="8">
        <f>IF(N(Inputs_Class_Month!$D20)=0,"",Inputs_Class_Month!$G20/Inputs_Class_Month!$D20)</f>
        <v>0.0666035353535354</v>
      </c>
      <c r="H20" s="7">
        <f>IF(N(Inputs_Class_Month!$C20)=0,"",Inputs_Class_Month!$I20/Inputs_Class_Month!$C20)</f>
        <v>194.129032258065</v>
      </c>
      <c r="I20" s="7">
        <f>IF(N(Inputs_Class_Month!$C20)=0,"",Inputs_Class_Month!$H20/Inputs_Class_Month!$C20)</f>
        <v>21.1935483870968</v>
      </c>
    </row>
    <row r="21" spans="1:9">
      <c r="A21" s="6" t="str">
        <f>IF(Inputs_Class_Month!$A21="","",Inputs_Class_Month!$A21)</f>
        <v>2024-12</v>
      </c>
      <c r="B21" s="6" t="str">
        <f>IF(Inputs_Class_Month!$B21="","",Inputs_Class_Month!$B21)</f>
        <v>2A</v>
      </c>
      <c r="C21" s="7">
        <f>IF(N(Inputs_Class_Month!$D21)=0,"",Inputs_Class_Month!$E21+Settings!$B$3*Inputs_Class_Month!$F21)</f>
        <v>669.5</v>
      </c>
      <c r="D21" s="8">
        <f>IF(N(Inputs_Class_Month!$D21)=0,"",C21/Inputs_Class_Month!$D21)</f>
        <v>0.727717391304348</v>
      </c>
      <c r="E21" s="8">
        <f>IF(N(Inputs_Class_Month!$D21)=0,"",Inputs_Class_Month!$E21/Inputs_Class_Month!$D21)</f>
        <v>0.709782608695652</v>
      </c>
      <c r="F21" s="8">
        <f>IF(N(Inputs_Class_Month!$D21)=0,"",Settings!$B$3*Inputs_Class_Month!$F21/Inputs_Class_Month!$D21)</f>
        <v>0.0179347826086957</v>
      </c>
      <c r="G21" s="8">
        <f>IF(N(Inputs_Class_Month!$D21)=0,"",Inputs_Class_Month!$G21/Inputs_Class_Month!$D21)</f>
        <v>0.025</v>
      </c>
      <c r="H21" s="7">
        <f>IF(N(Inputs_Class_Month!$C21)=0,"",Inputs_Class_Month!$I21/Inputs_Class_Month!$C21)</f>
        <v>57</v>
      </c>
      <c r="I21" s="7">
        <f>IF(N(Inputs_Class_Month!$C21)=0,"",Inputs_Class_Month!$H21/Inputs_Class_Month!$C21)</f>
        <v>2.14285714285714</v>
      </c>
    </row>
    <row r="22" spans="1:9">
      <c r="A22" s="6" t="str">
        <f>IF(Inputs_Class_Month!$A22="","",Inputs_Class_Month!$A22)</f>
        <v>2024-12</v>
      </c>
      <c r="B22" s="6" t="str">
        <f>IF(Inputs_Class_Month!$B22="","",Inputs_Class_Month!$B22)</f>
        <v>2S</v>
      </c>
      <c r="C22" s="7">
        <f>IF(N(Inputs_Class_Month!$D22)=0,"",Inputs_Class_Month!$E22+Settings!$B$3*Inputs_Class_Month!$F22)</f>
        <v>2925</v>
      </c>
      <c r="D22" s="8">
        <f>IF(N(Inputs_Class_Month!$D22)=0,"",C22/Inputs_Class_Month!$D22)</f>
        <v>0.615530303030303</v>
      </c>
      <c r="E22" s="8">
        <f>IF(N(Inputs_Class_Month!$D22)=0,"",Inputs_Class_Month!$E22/Inputs_Class_Month!$D22)</f>
        <v>0.615530303030303</v>
      </c>
      <c r="F22" s="8">
        <f>IF(N(Inputs_Class_Month!$D22)=0,"",Settings!$B$3*Inputs_Class_Month!$F22/Inputs_Class_Month!$D22)</f>
        <v>0</v>
      </c>
      <c r="G22" s="8">
        <f>IF(N(Inputs_Class_Month!$D22)=0,"",Inputs_Class_Month!$G22/Inputs_Class_Month!$D22)</f>
        <v>0.0149410774410774</v>
      </c>
      <c r="H22" s="7">
        <f>IF(N(Inputs_Class_Month!$C22)=0,"",Inputs_Class_Month!$I22/Inputs_Class_Month!$C22)</f>
        <v>195.111111111111</v>
      </c>
      <c r="I22" s="7">
        <f>IF(N(Inputs_Class_Month!$C22)=0,"",Inputs_Class_Month!$H22/Inputs_Class_Month!$C22)</f>
        <v>5.94444444444445</v>
      </c>
    </row>
    <row r="23" spans="1:9">
      <c r="A23" s="6" t="str">
        <f>IF(Inputs_Class_Month!$A23="","",Inputs_Class_Month!$A23)</f>
        <v>2024-12</v>
      </c>
      <c r="B23" s="6" t="str">
        <f>IF(Inputs_Class_Month!$B23="","",Inputs_Class_Month!$B23)</f>
        <v>3A</v>
      </c>
      <c r="C23" s="7">
        <f>IF(N(Inputs_Class_Month!$D23)=0,"",Inputs_Class_Month!$E23+Settings!$B$3*Inputs_Class_Month!$F23)</f>
        <v>3726</v>
      </c>
      <c r="D23" s="8">
        <f>IF(N(Inputs_Class_Month!$D23)=0,"",C23/Inputs_Class_Month!$D23)</f>
        <v>0.684926470588235</v>
      </c>
      <c r="E23" s="8">
        <f>IF(N(Inputs_Class_Month!$D23)=0,"",Inputs_Class_Month!$E23/Inputs_Class_Month!$D23)</f>
        <v>0.663786764705882</v>
      </c>
      <c r="F23" s="8">
        <f>IF(N(Inputs_Class_Month!$D23)=0,"",Settings!$B$3*Inputs_Class_Month!$F23/Inputs_Class_Month!$D23)</f>
        <v>0.0211397058823529</v>
      </c>
      <c r="G23" s="8">
        <f>IF(N(Inputs_Class_Month!$D23)=0,"",Inputs_Class_Month!$G23/Inputs_Class_Month!$D23)</f>
        <v>0.0345588235294118</v>
      </c>
      <c r="H23" s="7">
        <f>IF(N(Inputs_Class_Month!$C23)=0,"",Inputs_Class_Month!$I23/Inputs_Class_Month!$C23)</f>
        <v>151.3</v>
      </c>
      <c r="I23" s="7">
        <f>IF(N(Inputs_Class_Month!$C23)=0,"",Inputs_Class_Month!$H23/Inputs_Class_Month!$C23)</f>
        <v>8.56666666666667</v>
      </c>
    </row>
    <row r="24" spans="1:9">
      <c r="A24" s="6" t="str">
        <f>IF(Inputs_Class_Month!$A24="","",Inputs_Class_Month!$A24)</f>
        <v>2024-12</v>
      </c>
      <c r="B24" s="6" t="str">
        <f>IF(Inputs_Class_Month!$B24="","",Inputs_Class_Month!$B24)</f>
        <v>CC</v>
      </c>
      <c r="C24" s="7">
        <f>IF(N(Inputs_Class_Month!$D24)=0,"",Inputs_Class_Month!$E24+Settings!$B$3*Inputs_Class_Month!$F24)</f>
        <v>117</v>
      </c>
      <c r="D24" s="8">
        <f>IF(N(Inputs_Class_Month!$D24)=0,"",C24/Inputs_Class_Month!$D24)</f>
        <v>0.375</v>
      </c>
      <c r="E24" s="8">
        <f>IF(N(Inputs_Class_Month!$D24)=0,"",Inputs_Class_Month!$E24/Inputs_Class_Month!$D24)</f>
        <v>0.375</v>
      </c>
      <c r="F24" s="8">
        <f>IF(N(Inputs_Class_Month!$D24)=0,"",Settings!$B$3*Inputs_Class_Month!$F24/Inputs_Class_Month!$D24)</f>
        <v>0</v>
      </c>
      <c r="G24" s="8">
        <f>IF(N(Inputs_Class_Month!$D24)=0,"",Inputs_Class_Month!$G24/Inputs_Class_Month!$D24)</f>
        <v>0</v>
      </c>
      <c r="H24" s="7">
        <f>IF(N(Inputs_Class_Month!$C24)=0,"",Inputs_Class_Month!$I24/Inputs_Class_Month!$C24)</f>
        <v>62.5</v>
      </c>
      <c r="I24" s="7">
        <f>IF(N(Inputs_Class_Month!$C24)=0,"",Inputs_Class_Month!$H24/Inputs_Class_Month!$C24)</f>
        <v>0</v>
      </c>
    </row>
    <row r="25" spans="1:9">
      <c r="A25" s="6" t="str">
        <f>IF(Inputs_Class_Month!$A25="","",Inputs_Class_Month!$A25)</f>
        <v>2024-12</v>
      </c>
      <c r="B25" s="6" t="str">
        <f>IF(Inputs_Class_Month!$B25="","",Inputs_Class_Month!$B25)</f>
        <v>SL</v>
      </c>
      <c r="C25" s="7">
        <f>IF(N(Inputs_Class_Month!$D25)=0,"",Inputs_Class_Month!$E25+Settings!$B$3*Inputs_Class_Month!$F25)</f>
        <v>4652</v>
      </c>
      <c r="D25" s="8">
        <f>IF(N(Inputs_Class_Month!$D25)=0,"",C25/Inputs_Class_Month!$D25)</f>
        <v>0.680116959064328</v>
      </c>
      <c r="E25" s="8">
        <f>IF(N(Inputs_Class_Month!$D25)=0,"",Inputs_Class_Month!$E25/Inputs_Class_Month!$D25)</f>
        <v>0.64766081871345</v>
      </c>
      <c r="F25" s="8">
        <f>IF(N(Inputs_Class_Month!$D25)=0,"",Settings!$B$3*Inputs_Class_Month!$F25/Inputs_Class_Month!$D25)</f>
        <v>0.0324561403508772</v>
      </c>
      <c r="G25" s="8">
        <f>IF(N(Inputs_Class_Month!$D25)=0,"",Inputs_Class_Month!$G25/Inputs_Class_Month!$D25)</f>
        <v>0.0415204678362573</v>
      </c>
      <c r="H25" s="7">
        <f>IF(N(Inputs_Class_Month!$C25)=0,"",Inputs_Class_Month!$I25/Inputs_Class_Month!$C25)</f>
        <v>192.483870967742</v>
      </c>
      <c r="I25" s="7">
        <f>IF(N(Inputs_Class_Month!$C25)=0,"",Inputs_Class_Month!$H25/Inputs_Class_Month!$C25)</f>
        <v>12.9354838709677</v>
      </c>
    </row>
    <row r="26" spans="1:9">
      <c r="A26" s="6" t="str">
        <f>IF(Inputs_Class_Month!$A26="","",Inputs_Class_Month!$A26)</f>
        <v>2025-01</v>
      </c>
      <c r="B26" s="6" t="str">
        <f>IF(Inputs_Class_Month!$B26="","",Inputs_Class_Month!$B26)</f>
        <v>2A</v>
      </c>
      <c r="C26" s="7">
        <f>IF(N(Inputs_Class_Month!$D26)=0,"",Inputs_Class_Month!$E26+Settings!$B$3*Inputs_Class_Month!$F26)</f>
        <v>509</v>
      </c>
      <c r="D26" s="8">
        <f>IF(N(Inputs_Class_Month!$D26)=0,"",C26/Inputs_Class_Month!$D26)</f>
        <v>0.553260869565217</v>
      </c>
      <c r="E26" s="8">
        <f>IF(N(Inputs_Class_Month!$D26)=0,"",Inputs_Class_Month!$E26/Inputs_Class_Month!$D26)</f>
        <v>0.542391304347826</v>
      </c>
      <c r="F26" s="8">
        <f>IF(N(Inputs_Class_Month!$D26)=0,"",Settings!$B$3*Inputs_Class_Month!$F26/Inputs_Class_Month!$D26)</f>
        <v>0.0108695652173913</v>
      </c>
      <c r="G26" s="8">
        <f>IF(N(Inputs_Class_Month!$D26)=0,"",Inputs_Class_Month!$G26/Inputs_Class_Month!$D26)</f>
        <v>0.00108695652173913</v>
      </c>
      <c r="H26" s="7">
        <f>IF(N(Inputs_Class_Month!$C26)=0,"",Inputs_Class_Month!$I26/Inputs_Class_Month!$C26)</f>
        <v>53.0909090909091</v>
      </c>
      <c r="I26" s="7">
        <f>IF(N(Inputs_Class_Month!$C26)=0,"",Inputs_Class_Month!$H26/Inputs_Class_Month!$C26)</f>
        <v>0.181818181818182</v>
      </c>
    </row>
    <row r="27" spans="1:9">
      <c r="A27" s="6" t="str">
        <f>IF(Inputs_Class_Month!$A27="","",Inputs_Class_Month!$A27)</f>
        <v>2025-01</v>
      </c>
      <c r="B27" s="6" t="str">
        <f>IF(Inputs_Class_Month!$B27="","",Inputs_Class_Month!$B27)</f>
        <v>2S</v>
      </c>
      <c r="C27" s="7">
        <f>IF(N(Inputs_Class_Month!$D27)=0,"",Inputs_Class_Month!$E27+Settings!$B$3*Inputs_Class_Month!$F27)</f>
        <v>4201</v>
      </c>
      <c r="D27" s="8">
        <f>IF(N(Inputs_Class_Month!$D27)=0,"",C27/Inputs_Class_Month!$D27)</f>
        <v>0.694609788359788</v>
      </c>
      <c r="E27" s="8">
        <f>IF(N(Inputs_Class_Month!$D27)=0,"",Inputs_Class_Month!$E27/Inputs_Class_Month!$D27)</f>
        <v>0.694609788359788</v>
      </c>
      <c r="F27" s="8">
        <f>IF(N(Inputs_Class_Month!$D27)=0,"",Settings!$B$3*Inputs_Class_Month!$F27/Inputs_Class_Month!$D27)</f>
        <v>0</v>
      </c>
      <c r="G27" s="8">
        <f>IF(N(Inputs_Class_Month!$D27)=0,"",Inputs_Class_Month!$G27/Inputs_Class_Month!$D27)</f>
        <v>0.0262896825396825</v>
      </c>
      <c r="H27" s="7">
        <f>IF(N(Inputs_Class_Month!$C27)=0,"",Inputs_Class_Month!$I27/Inputs_Class_Month!$C27)</f>
        <v>242.666666666667</v>
      </c>
      <c r="I27" s="7">
        <f>IF(N(Inputs_Class_Month!$C27)=0,"",Inputs_Class_Month!$H27/Inputs_Class_Month!$C27)</f>
        <v>12.1428571428571</v>
      </c>
    </row>
    <row r="28" spans="1:9">
      <c r="A28" s="6" t="str">
        <f>IF(Inputs_Class_Month!$A28="","",Inputs_Class_Month!$A28)</f>
        <v>2025-01</v>
      </c>
      <c r="B28" s="6" t="str">
        <f>IF(Inputs_Class_Month!$B28="","",Inputs_Class_Month!$B28)</f>
        <v>3A</v>
      </c>
      <c r="C28" s="7">
        <f>IF(N(Inputs_Class_Month!$D28)=0,"",Inputs_Class_Month!$E28+Settings!$B$3*Inputs_Class_Month!$F28)</f>
        <v>3536</v>
      </c>
      <c r="D28" s="8">
        <f>IF(N(Inputs_Class_Month!$D28)=0,"",C28/Inputs_Class_Month!$D28)</f>
        <v>0.699367088607595</v>
      </c>
      <c r="E28" s="8">
        <f>IF(N(Inputs_Class_Month!$D28)=0,"",Inputs_Class_Month!$E28/Inputs_Class_Month!$D28)</f>
        <v>0.676819620253165</v>
      </c>
      <c r="F28" s="8">
        <f>IF(N(Inputs_Class_Month!$D28)=0,"",Settings!$B$3*Inputs_Class_Month!$F28/Inputs_Class_Month!$D28)</f>
        <v>0.0225474683544304</v>
      </c>
      <c r="G28" s="8">
        <f>IF(N(Inputs_Class_Month!$D28)=0,"",Inputs_Class_Month!$G28/Inputs_Class_Month!$D28)</f>
        <v>0.024129746835443</v>
      </c>
      <c r="H28" s="7">
        <f>IF(N(Inputs_Class_Month!$C28)=0,"",Inputs_Class_Month!$I28/Inputs_Class_Month!$C28)</f>
        <v>138.774193548387</v>
      </c>
      <c r="I28" s="7">
        <f>IF(N(Inputs_Class_Month!$C28)=0,"",Inputs_Class_Month!$H28/Inputs_Class_Month!$C28)</f>
        <v>5.29032258064516</v>
      </c>
    </row>
    <row r="29" spans="1:9">
      <c r="A29" s="6" t="str">
        <f>IF(Inputs_Class_Month!$A29="","",Inputs_Class_Month!$A29)</f>
        <v>2025-01</v>
      </c>
      <c r="B29" s="6" t="str">
        <f>IF(Inputs_Class_Month!$B29="","",Inputs_Class_Month!$B29)</f>
        <v>CC</v>
      </c>
      <c r="C29" s="7">
        <f>IF(N(Inputs_Class_Month!$D29)=0,"",Inputs_Class_Month!$E29+Settings!$B$3*Inputs_Class_Month!$F29)</f>
        <v>98</v>
      </c>
      <c r="D29" s="8">
        <f>IF(N(Inputs_Class_Month!$D29)=0,"",C29/Inputs_Class_Month!$D29)</f>
        <v>0.314102564102564</v>
      </c>
      <c r="E29" s="8">
        <f>IF(N(Inputs_Class_Month!$D29)=0,"",Inputs_Class_Month!$E29/Inputs_Class_Month!$D29)</f>
        <v>0.314102564102564</v>
      </c>
      <c r="F29" s="8">
        <f>IF(N(Inputs_Class_Month!$D29)=0,"",Settings!$B$3*Inputs_Class_Month!$F29/Inputs_Class_Month!$D29)</f>
        <v>0</v>
      </c>
      <c r="G29" s="8">
        <f>IF(N(Inputs_Class_Month!$D29)=0,"",Inputs_Class_Month!$G29/Inputs_Class_Month!$D29)</f>
        <v>0</v>
      </c>
      <c r="H29" s="7">
        <f>IF(N(Inputs_Class_Month!$C29)=0,"",Inputs_Class_Month!$I29/Inputs_Class_Month!$C29)</f>
        <v>114</v>
      </c>
      <c r="I29" s="7">
        <f>IF(N(Inputs_Class_Month!$C29)=0,"",Inputs_Class_Month!$H29/Inputs_Class_Month!$C29)</f>
        <v>0</v>
      </c>
    </row>
    <row r="30" spans="1:9">
      <c r="A30" s="6" t="str">
        <f>IF(Inputs_Class_Month!$A30="","",Inputs_Class_Month!$A30)</f>
        <v>2025-01</v>
      </c>
      <c r="B30" s="6" t="str">
        <f>IF(Inputs_Class_Month!$B30="","",Inputs_Class_Month!$B30)</f>
        <v>SL</v>
      </c>
      <c r="C30" s="7">
        <f>IF(N(Inputs_Class_Month!$D30)=0,"",Inputs_Class_Month!$E30+Settings!$B$3*Inputs_Class_Month!$F30)</f>
        <v>4820</v>
      </c>
      <c r="D30" s="8">
        <f>IF(N(Inputs_Class_Month!$D30)=0,"",C30/Inputs_Class_Month!$D30)</f>
        <v>0.712174940898345</v>
      </c>
      <c r="E30" s="8">
        <f>IF(N(Inputs_Class_Month!$D30)=0,"",Inputs_Class_Month!$E30/Inputs_Class_Month!$D30)</f>
        <v>0.689420803782506</v>
      </c>
      <c r="F30" s="8">
        <f>IF(N(Inputs_Class_Month!$D30)=0,"",Settings!$B$3*Inputs_Class_Month!$F30/Inputs_Class_Month!$D30)</f>
        <v>0.0227541371158392</v>
      </c>
      <c r="G30" s="8">
        <f>IF(N(Inputs_Class_Month!$D30)=0,"",Inputs_Class_Month!$G30/Inputs_Class_Month!$D30)</f>
        <v>0.0398936170212766</v>
      </c>
      <c r="H30" s="7">
        <f>IF(N(Inputs_Class_Month!$C30)=0,"",Inputs_Class_Month!$I30/Inputs_Class_Month!$C30)</f>
        <v>197.709677419355</v>
      </c>
      <c r="I30" s="7">
        <f>IF(N(Inputs_Class_Month!$C30)=0,"",Inputs_Class_Month!$H30/Inputs_Class_Month!$C30)</f>
        <v>13.1612903225806</v>
      </c>
    </row>
    <row r="31" spans="1:9">
      <c r="A31" s="6" t="str">
        <f>IF(Inputs_Class_Month!$A31="","",Inputs_Class_Month!$A31)</f>
        <v>2025-02</v>
      </c>
      <c r="B31" s="6" t="str">
        <f>IF(Inputs_Class_Month!$B31="","",Inputs_Class_Month!$B31)</f>
        <v>1A</v>
      </c>
      <c r="C31" s="7">
        <f>IF(N(Inputs_Class_Month!$D31)=0,"",Inputs_Class_Month!$E31+Settings!$B$3*Inputs_Class_Month!$F31)</f>
        <v>13</v>
      </c>
      <c r="D31" s="8">
        <f>IF(N(Inputs_Class_Month!$D31)=0,"",C31/Inputs_Class_Month!$D31)</f>
        <v>0.541666666666667</v>
      </c>
      <c r="E31" s="8">
        <f>IF(N(Inputs_Class_Month!$D31)=0,"",Inputs_Class_Month!$E31/Inputs_Class_Month!$D31)</f>
        <v>0.541666666666667</v>
      </c>
      <c r="F31" s="8">
        <f>IF(N(Inputs_Class_Month!$D31)=0,"",Settings!$B$3*Inputs_Class_Month!$F31/Inputs_Class_Month!$D31)</f>
        <v>0</v>
      </c>
      <c r="G31" s="8">
        <f>IF(N(Inputs_Class_Month!$D31)=0,"",Inputs_Class_Month!$G31/Inputs_Class_Month!$D31)</f>
        <v>0</v>
      </c>
      <c r="H31" s="7">
        <f>IF(N(Inputs_Class_Month!$C31)=0,"",Inputs_Class_Month!$I31/Inputs_Class_Month!$C31)</f>
        <v>13</v>
      </c>
      <c r="I31" s="7">
        <f>IF(N(Inputs_Class_Month!$C31)=0,"",Inputs_Class_Month!$H31/Inputs_Class_Month!$C31)</f>
        <v>0</v>
      </c>
    </row>
    <row r="32" spans="1:9">
      <c r="A32" s="6" t="str">
        <f>IF(Inputs_Class_Month!$A32="","",Inputs_Class_Month!$A32)</f>
        <v>2025-02</v>
      </c>
      <c r="B32" s="6" t="str">
        <f>IF(Inputs_Class_Month!$B32="","",Inputs_Class_Month!$B32)</f>
        <v>2A</v>
      </c>
      <c r="C32" s="7">
        <f>IF(N(Inputs_Class_Month!$D32)=0,"",Inputs_Class_Month!$E32+Settings!$B$3*Inputs_Class_Month!$F32)</f>
        <v>683</v>
      </c>
      <c r="D32" s="8">
        <f>IF(N(Inputs_Class_Month!$D32)=0,"",C32/Inputs_Class_Month!$D32)</f>
        <v>0.674901185770751</v>
      </c>
      <c r="E32" s="8">
        <f>IF(N(Inputs_Class_Month!$D32)=0,"",Inputs_Class_Month!$E32/Inputs_Class_Month!$D32)</f>
        <v>0.66403162055336</v>
      </c>
      <c r="F32" s="8">
        <f>IF(N(Inputs_Class_Month!$D32)=0,"",Settings!$B$3*Inputs_Class_Month!$F32/Inputs_Class_Month!$D32)</f>
        <v>0.0108695652173913</v>
      </c>
      <c r="G32" s="8">
        <f>IF(N(Inputs_Class_Month!$D32)=0,"",Inputs_Class_Month!$G32/Inputs_Class_Month!$D32)</f>
        <v>0</v>
      </c>
      <c r="H32" s="7">
        <f>IF(N(Inputs_Class_Month!$C32)=0,"",Inputs_Class_Month!$I32/Inputs_Class_Month!$C32)</f>
        <v>61.4615384615385</v>
      </c>
      <c r="I32" s="7">
        <f>IF(N(Inputs_Class_Month!$C32)=0,"",Inputs_Class_Month!$H32/Inputs_Class_Month!$C32)</f>
        <v>0</v>
      </c>
    </row>
    <row r="33" spans="1:9">
      <c r="A33" s="6" t="str">
        <f>IF(Inputs_Class_Month!$A33="","",Inputs_Class_Month!$A33)</f>
        <v>2025-02</v>
      </c>
      <c r="B33" s="6" t="str">
        <f>IF(Inputs_Class_Month!$B33="","",Inputs_Class_Month!$B33)</f>
        <v>2S</v>
      </c>
      <c r="C33" s="7">
        <f>IF(N(Inputs_Class_Month!$D33)=0,"",Inputs_Class_Month!$E33+Settings!$B$3*Inputs_Class_Month!$F33)</f>
        <v>3327</v>
      </c>
      <c r="D33" s="8">
        <f>IF(N(Inputs_Class_Month!$D33)=0,"",C33/Inputs_Class_Month!$D33)</f>
        <v>0.628684807256236</v>
      </c>
      <c r="E33" s="8">
        <f>IF(N(Inputs_Class_Month!$D33)=0,"",Inputs_Class_Month!$E33/Inputs_Class_Month!$D33)</f>
        <v>0.628684807256236</v>
      </c>
      <c r="F33" s="8">
        <f>IF(N(Inputs_Class_Month!$D33)=0,"",Settings!$B$3*Inputs_Class_Month!$F33/Inputs_Class_Month!$D33)</f>
        <v>0</v>
      </c>
      <c r="G33" s="8">
        <f>IF(N(Inputs_Class_Month!$D33)=0,"",Inputs_Class_Month!$G33/Inputs_Class_Month!$D33)</f>
        <v>0.0211640211640212</v>
      </c>
      <c r="H33" s="7">
        <f>IF(N(Inputs_Class_Month!$C33)=0,"",Inputs_Class_Month!$I33/Inputs_Class_Month!$C33)</f>
        <v>210.210526315789</v>
      </c>
      <c r="I33" s="7">
        <f>IF(N(Inputs_Class_Month!$C33)=0,"",Inputs_Class_Month!$H33/Inputs_Class_Month!$C33)</f>
        <v>8.89473684210526</v>
      </c>
    </row>
    <row r="34" spans="1:9">
      <c r="A34" s="6" t="str">
        <f>IF(Inputs_Class_Month!$A34="","",Inputs_Class_Month!$A34)</f>
        <v>2025-02</v>
      </c>
      <c r="B34" s="6" t="str">
        <f>IF(Inputs_Class_Month!$B34="","",Inputs_Class_Month!$B34)</f>
        <v>3A</v>
      </c>
      <c r="C34" s="7">
        <f>IF(N(Inputs_Class_Month!$D34)=0,"",Inputs_Class_Month!$E34+Settings!$B$3*Inputs_Class_Month!$F34)</f>
        <v>3411</v>
      </c>
      <c r="D34" s="8">
        <f>IF(N(Inputs_Class_Month!$D34)=0,"",C34/Inputs_Class_Month!$D34)</f>
        <v>0.701274671052632</v>
      </c>
      <c r="E34" s="8">
        <f>IF(N(Inputs_Class_Month!$D34)=0,"",Inputs_Class_Month!$E34/Inputs_Class_Month!$D34)</f>
        <v>0.67249177631579</v>
      </c>
      <c r="F34" s="8">
        <f>IF(N(Inputs_Class_Month!$D34)=0,"",Settings!$B$3*Inputs_Class_Month!$F34/Inputs_Class_Month!$D34)</f>
        <v>0.0287828947368421</v>
      </c>
      <c r="G34" s="8">
        <f>IF(N(Inputs_Class_Month!$D34)=0,"",Inputs_Class_Month!$G34/Inputs_Class_Month!$D34)</f>
        <v>0.0604440789473684</v>
      </c>
      <c r="H34" s="7">
        <f>IF(N(Inputs_Class_Month!$C34)=0,"",Inputs_Class_Month!$I34/Inputs_Class_Month!$C34)</f>
        <v>144.766666666667</v>
      </c>
      <c r="I34" s="7">
        <f>IF(N(Inputs_Class_Month!$C34)=0,"",Inputs_Class_Month!$H34/Inputs_Class_Month!$C34)</f>
        <v>13.0666666666667</v>
      </c>
    </row>
    <row r="35" spans="1:9">
      <c r="A35" s="6" t="str">
        <f>IF(Inputs_Class_Month!$A35="","",Inputs_Class_Month!$A35)</f>
        <v>2025-02</v>
      </c>
      <c r="B35" s="6" t="str">
        <f>IF(Inputs_Class_Month!$B35="","",Inputs_Class_Month!$B35)</f>
        <v>CC</v>
      </c>
      <c r="C35" s="7">
        <f>IF(N(Inputs_Class_Month!$D35)=0,"",Inputs_Class_Month!$E35+Settings!$B$3*Inputs_Class_Month!$F35)</f>
        <v>177</v>
      </c>
      <c r="D35" s="8">
        <f>IF(N(Inputs_Class_Month!$D35)=0,"",C35/Inputs_Class_Month!$D35)</f>
        <v>0.453846153846154</v>
      </c>
      <c r="E35" s="8">
        <f>IF(N(Inputs_Class_Month!$D35)=0,"",Inputs_Class_Month!$E35/Inputs_Class_Month!$D35)</f>
        <v>0.453846153846154</v>
      </c>
      <c r="F35" s="8">
        <f>IF(N(Inputs_Class_Month!$D35)=0,"",Settings!$B$3*Inputs_Class_Month!$F35/Inputs_Class_Month!$D35)</f>
        <v>0</v>
      </c>
      <c r="G35" s="8">
        <f>IF(N(Inputs_Class_Month!$D35)=0,"",Inputs_Class_Month!$G35/Inputs_Class_Month!$D35)</f>
        <v>0</v>
      </c>
      <c r="H35" s="7">
        <f>IF(N(Inputs_Class_Month!$C35)=0,"",Inputs_Class_Month!$I35/Inputs_Class_Month!$C35)</f>
        <v>101</v>
      </c>
      <c r="I35" s="7">
        <f>IF(N(Inputs_Class_Month!$C35)=0,"",Inputs_Class_Month!$H35/Inputs_Class_Month!$C35)</f>
        <v>0</v>
      </c>
    </row>
    <row r="36" spans="1:9">
      <c r="A36" s="6" t="str">
        <f>IF(Inputs_Class_Month!$A36="","",Inputs_Class_Month!$A36)</f>
        <v>2025-02</v>
      </c>
      <c r="B36" s="6" t="str">
        <f>IF(Inputs_Class_Month!$B36="","",Inputs_Class_Month!$B36)</f>
        <v>SL</v>
      </c>
      <c r="C36" s="7">
        <f>IF(N(Inputs_Class_Month!$D36)=0,"",Inputs_Class_Month!$E36+Settings!$B$3*Inputs_Class_Month!$F36)</f>
        <v>3961.5</v>
      </c>
      <c r="D36" s="8">
        <f>IF(N(Inputs_Class_Month!$D36)=0,"",C36/Inputs_Class_Month!$D36)</f>
        <v>0.639777131782946</v>
      </c>
      <c r="E36" s="8">
        <f>IF(N(Inputs_Class_Month!$D36)=0,"",Inputs_Class_Month!$E36/Inputs_Class_Month!$D36)</f>
        <v>0.625</v>
      </c>
      <c r="F36" s="8">
        <f>IF(N(Inputs_Class_Month!$D36)=0,"",Settings!$B$3*Inputs_Class_Month!$F36/Inputs_Class_Month!$D36)</f>
        <v>0.0147771317829457</v>
      </c>
      <c r="G36" s="8">
        <f>IF(N(Inputs_Class_Month!$D36)=0,"",Inputs_Class_Month!$G36/Inputs_Class_Month!$D36)</f>
        <v>0.0251937984496124</v>
      </c>
      <c r="H36" s="7">
        <f>IF(N(Inputs_Class_Month!$C36)=0,"",Inputs_Class_Month!$I36/Inputs_Class_Month!$C36)</f>
        <v>163.466666666667</v>
      </c>
      <c r="I36" s="7">
        <f>IF(N(Inputs_Class_Month!$C36)=0,"",Inputs_Class_Month!$H36/Inputs_Class_Month!$C36)</f>
        <v>7</v>
      </c>
    </row>
    <row r="37" spans="1:9">
      <c r="A37" s="6" t="str">
        <f>IF(Inputs_Class_Month!$A37="","",Inputs_Class_Month!$A37)</f>
        <v>2025-03</v>
      </c>
      <c r="B37" s="6" t="str">
        <f>IF(Inputs_Class_Month!$B37="","",Inputs_Class_Month!$B37)</f>
        <v>1A</v>
      </c>
      <c r="C37" s="7">
        <f>IF(N(Inputs_Class_Month!$D37)=0,"",Inputs_Class_Month!$E37+Settings!$B$3*Inputs_Class_Month!$F37)</f>
        <v>31</v>
      </c>
      <c r="D37" s="8">
        <f>IF(N(Inputs_Class_Month!$D37)=0,"",C37/Inputs_Class_Month!$D37)</f>
        <v>0.645833333333333</v>
      </c>
      <c r="E37" s="8">
        <f>IF(N(Inputs_Class_Month!$D37)=0,"",Inputs_Class_Month!$E37/Inputs_Class_Month!$D37)</f>
        <v>0.645833333333333</v>
      </c>
      <c r="F37" s="8">
        <f>IF(N(Inputs_Class_Month!$D37)=0,"",Settings!$B$3*Inputs_Class_Month!$F37/Inputs_Class_Month!$D37)</f>
        <v>0</v>
      </c>
      <c r="G37" s="8">
        <f>IF(N(Inputs_Class_Month!$D37)=0,"",Inputs_Class_Month!$G37/Inputs_Class_Month!$D37)</f>
        <v>0</v>
      </c>
      <c r="H37" s="7">
        <f>IF(N(Inputs_Class_Month!$C37)=0,"",Inputs_Class_Month!$I37/Inputs_Class_Month!$C37)</f>
        <v>16.5</v>
      </c>
      <c r="I37" s="7">
        <f>IF(N(Inputs_Class_Month!$C37)=0,"",Inputs_Class_Month!$H37/Inputs_Class_Month!$C37)</f>
        <v>0</v>
      </c>
    </row>
    <row r="38" spans="1:9">
      <c r="A38" s="6" t="str">
        <f>IF(Inputs_Class_Month!$A38="","",Inputs_Class_Month!$A38)</f>
        <v>2025-03</v>
      </c>
      <c r="B38" s="6" t="str">
        <f>IF(Inputs_Class_Month!$B38="","",Inputs_Class_Month!$B38)</f>
        <v>2A</v>
      </c>
      <c r="C38" s="7">
        <f>IF(N(Inputs_Class_Month!$D38)=0,"",Inputs_Class_Month!$E38+Settings!$B$3*Inputs_Class_Month!$F38)</f>
        <v>874.5</v>
      </c>
      <c r="D38" s="8">
        <f>IF(N(Inputs_Class_Month!$D38)=0,"",C38/Inputs_Class_Month!$D38)</f>
        <v>0.792119565217391</v>
      </c>
      <c r="E38" s="8">
        <f>IF(N(Inputs_Class_Month!$D38)=0,"",Inputs_Class_Month!$E38/Inputs_Class_Month!$D38)</f>
        <v>0.748188405797101</v>
      </c>
      <c r="F38" s="8">
        <f>IF(N(Inputs_Class_Month!$D38)=0,"",Settings!$B$3*Inputs_Class_Month!$F38/Inputs_Class_Month!$D38)</f>
        <v>0.0439311594202899</v>
      </c>
      <c r="G38" s="8">
        <f>IF(N(Inputs_Class_Month!$D38)=0,"",Inputs_Class_Month!$G38/Inputs_Class_Month!$D38)</f>
        <v>0.052536231884058</v>
      </c>
      <c r="H38" s="7">
        <f>IF(N(Inputs_Class_Month!$C38)=0,"",Inputs_Class_Month!$I38/Inputs_Class_Month!$C38)</f>
        <v>73.0666666666667</v>
      </c>
      <c r="I38" s="7">
        <f>IF(N(Inputs_Class_Month!$C38)=0,"",Inputs_Class_Month!$H38/Inputs_Class_Month!$C38)</f>
        <v>5.06666666666667</v>
      </c>
    </row>
    <row r="39" spans="1:9">
      <c r="A39" s="6" t="str">
        <f>IF(Inputs_Class_Month!$A39="","",Inputs_Class_Month!$A39)</f>
        <v>2025-03</v>
      </c>
      <c r="B39" s="6" t="str">
        <f>IF(Inputs_Class_Month!$B39="","",Inputs_Class_Month!$B39)</f>
        <v>2S</v>
      </c>
      <c r="C39" s="7">
        <f>IF(N(Inputs_Class_Month!$D39)=0,"",Inputs_Class_Month!$E39+Settings!$B$3*Inputs_Class_Month!$F39)</f>
        <v>3549</v>
      </c>
      <c r="D39" s="8">
        <f>IF(N(Inputs_Class_Month!$D39)=0,"",C39/Inputs_Class_Month!$D39)</f>
        <v>0.730246913580247</v>
      </c>
      <c r="E39" s="8">
        <f>IF(N(Inputs_Class_Month!$D39)=0,"",Inputs_Class_Month!$E39/Inputs_Class_Month!$D39)</f>
        <v>0.730246913580247</v>
      </c>
      <c r="F39" s="8">
        <f>IF(N(Inputs_Class_Month!$D39)=0,"",Settings!$B$3*Inputs_Class_Month!$F39/Inputs_Class_Month!$D39)</f>
        <v>0</v>
      </c>
      <c r="G39" s="8">
        <f>IF(N(Inputs_Class_Month!$D39)=0,"",Inputs_Class_Month!$G39/Inputs_Class_Month!$D39)</f>
        <v>0.0343621399176955</v>
      </c>
      <c r="H39" s="7">
        <f>IF(N(Inputs_Class_Month!$C39)=0,"",Inputs_Class_Month!$I39/Inputs_Class_Month!$C39)</f>
        <v>253.764705882353</v>
      </c>
      <c r="I39" s="7">
        <f>IF(N(Inputs_Class_Month!$C39)=0,"",Inputs_Class_Month!$H39/Inputs_Class_Month!$C39)</f>
        <v>15.8235294117647</v>
      </c>
    </row>
    <row r="40" spans="1:9">
      <c r="A40" s="6" t="str">
        <f>IF(Inputs_Class_Month!$A40="","",Inputs_Class_Month!$A40)</f>
        <v>2025-03</v>
      </c>
      <c r="B40" s="6" t="str">
        <f>IF(Inputs_Class_Month!$B40="","",Inputs_Class_Month!$B40)</f>
        <v>3A</v>
      </c>
      <c r="C40" s="7">
        <f>IF(N(Inputs_Class_Month!$D40)=0,"",Inputs_Class_Month!$E40+Settings!$B$3*Inputs_Class_Month!$F40)</f>
        <v>4329.5</v>
      </c>
      <c r="D40" s="8">
        <f>IF(N(Inputs_Class_Month!$D40)=0,"",C40/Inputs_Class_Month!$D40)</f>
        <v>0.824980945121951</v>
      </c>
      <c r="E40" s="8">
        <f>IF(N(Inputs_Class_Month!$D40)=0,"",Inputs_Class_Month!$E40/Inputs_Class_Month!$D40)</f>
        <v>0.781821646341463</v>
      </c>
      <c r="F40" s="8">
        <f>IF(N(Inputs_Class_Month!$D40)=0,"",Settings!$B$3*Inputs_Class_Month!$F40/Inputs_Class_Month!$D40)</f>
        <v>0.0431592987804878</v>
      </c>
      <c r="G40" s="8">
        <f>IF(N(Inputs_Class_Month!$D40)=0,"",Inputs_Class_Month!$G40/Inputs_Class_Month!$D40)</f>
        <v>0.0685975609756098</v>
      </c>
      <c r="H40" s="7">
        <f>IF(N(Inputs_Class_Month!$C40)=0,"",Inputs_Class_Month!$I40/Inputs_Class_Month!$C40)</f>
        <v>180.612903225806</v>
      </c>
      <c r="I40" s="7">
        <f>IF(N(Inputs_Class_Month!$C40)=0,"",Inputs_Class_Month!$H40/Inputs_Class_Month!$C40)</f>
        <v>17.5483870967742</v>
      </c>
    </row>
    <row r="41" spans="1:9">
      <c r="A41" s="6" t="str">
        <f>IF(Inputs_Class_Month!$A41="","",Inputs_Class_Month!$A41)</f>
        <v>2025-03</v>
      </c>
      <c r="B41" s="6" t="str">
        <f>IF(Inputs_Class_Month!$B41="","",Inputs_Class_Month!$B41)</f>
        <v>CC</v>
      </c>
      <c r="C41" s="7">
        <f>IF(N(Inputs_Class_Month!$D41)=0,"",Inputs_Class_Month!$E41+Settings!$B$3*Inputs_Class_Month!$F41)</f>
        <v>87</v>
      </c>
      <c r="D41" s="8">
        <f>IF(N(Inputs_Class_Month!$D41)=0,"",C41/Inputs_Class_Month!$D41)</f>
        <v>0.371794871794872</v>
      </c>
      <c r="E41" s="8">
        <f>IF(N(Inputs_Class_Month!$D41)=0,"",Inputs_Class_Month!$E41/Inputs_Class_Month!$D41)</f>
        <v>0.371794871794872</v>
      </c>
      <c r="F41" s="8">
        <f>IF(N(Inputs_Class_Month!$D41)=0,"",Settings!$B$3*Inputs_Class_Month!$F41/Inputs_Class_Month!$D41)</f>
        <v>0</v>
      </c>
      <c r="G41" s="8">
        <f>IF(N(Inputs_Class_Month!$D41)=0,"",Inputs_Class_Month!$G41/Inputs_Class_Month!$D41)</f>
        <v>0</v>
      </c>
      <c r="H41" s="7">
        <f>IF(N(Inputs_Class_Month!$C41)=0,"",Inputs_Class_Month!$I41/Inputs_Class_Month!$C41)</f>
        <v>96</v>
      </c>
      <c r="I41" s="7">
        <f>IF(N(Inputs_Class_Month!$C41)=0,"",Inputs_Class_Month!$H41/Inputs_Class_Month!$C41)</f>
        <v>0</v>
      </c>
    </row>
    <row r="42" spans="1:9">
      <c r="A42" s="6" t="str">
        <f>IF(Inputs_Class_Month!$A42="","",Inputs_Class_Month!$A42)</f>
        <v>2025-03</v>
      </c>
      <c r="B42" s="6" t="str">
        <f>IF(Inputs_Class_Month!$B42="","",Inputs_Class_Month!$B42)</f>
        <v>SL</v>
      </c>
      <c r="C42" s="7">
        <f>IF(N(Inputs_Class_Month!$D42)=0,"",Inputs_Class_Month!$E42+Settings!$B$3*Inputs_Class_Month!$F42)</f>
        <v>5278</v>
      </c>
      <c r="D42" s="8">
        <f>IF(N(Inputs_Class_Month!$D42)=0,"",C42/Inputs_Class_Month!$D42)</f>
        <v>0.833017676767677</v>
      </c>
      <c r="E42" s="8">
        <f>IF(N(Inputs_Class_Month!$D42)=0,"",Inputs_Class_Month!$E42/Inputs_Class_Month!$D42)</f>
        <v>0.775094696969697</v>
      </c>
      <c r="F42" s="8">
        <f>IF(N(Inputs_Class_Month!$D42)=0,"",Settings!$B$3*Inputs_Class_Month!$F42/Inputs_Class_Month!$D42)</f>
        <v>0.0579229797979798</v>
      </c>
      <c r="G42" s="8">
        <f>IF(N(Inputs_Class_Month!$D42)=0,"",Inputs_Class_Month!$G42/Inputs_Class_Month!$D42)</f>
        <v>0.116319444444444</v>
      </c>
      <c r="H42" s="7">
        <f>IF(N(Inputs_Class_Month!$C42)=0,"",Inputs_Class_Month!$I42/Inputs_Class_Month!$C42)</f>
        <v>258.275862068966</v>
      </c>
      <c r="I42" s="7">
        <f>IF(N(Inputs_Class_Month!$C42)=0,"",Inputs_Class_Month!$H42/Inputs_Class_Month!$C42)</f>
        <v>38.2413793103448</v>
      </c>
    </row>
    <row r="43" spans="1:9">
      <c r="A43" s="6" t="str">
        <f>IF(Inputs_Class_Month!$A43="","",Inputs_Class_Month!$A43)</f>
        <v>2025-04</v>
      </c>
      <c r="B43" s="6" t="str">
        <f>IF(Inputs_Class_Month!$B43="","",Inputs_Class_Month!$B43)</f>
        <v>1A</v>
      </c>
      <c r="C43" s="7">
        <f>IF(N(Inputs_Class_Month!$D43)=0,"",Inputs_Class_Month!$E43+Settings!$B$3*Inputs_Class_Month!$F43)</f>
        <v>24</v>
      </c>
      <c r="D43" s="8">
        <f>IF(N(Inputs_Class_Month!$D43)=0,"",C43/Inputs_Class_Month!$D43)</f>
        <v>1</v>
      </c>
      <c r="E43" s="8">
        <f>IF(N(Inputs_Class_Month!$D43)=0,"",Inputs_Class_Month!$E43/Inputs_Class_Month!$D43)</f>
        <v>1</v>
      </c>
      <c r="F43" s="8">
        <f>IF(N(Inputs_Class_Month!$D43)=0,"",Settings!$B$3*Inputs_Class_Month!$F43/Inputs_Class_Month!$D43)</f>
        <v>0</v>
      </c>
      <c r="G43" s="8">
        <f>IF(N(Inputs_Class_Month!$D43)=0,"",Inputs_Class_Month!$G43/Inputs_Class_Month!$D43)</f>
        <v>0.0833333333333333</v>
      </c>
      <c r="H43" s="7">
        <f>IF(N(Inputs_Class_Month!$C43)=0,"",Inputs_Class_Month!$I43/Inputs_Class_Month!$C43)</f>
        <v>33</v>
      </c>
      <c r="I43" s="7">
        <f>IF(N(Inputs_Class_Month!$C43)=0,"",Inputs_Class_Month!$H43/Inputs_Class_Month!$C43)</f>
        <v>7</v>
      </c>
    </row>
    <row r="44" spans="1:9">
      <c r="A44" s="6" t="str">
        <f>IF(Inputs_Class_Month!$A44="","",Inputs_Class_Month!$A44)</f>
        <v>2025-04</v>
      </c>
      <c r="B44" s="6" t="str">
        <f>IF(Inputs_Class_Month!$B44="","",Inputs_Class_Month!$B44)</f>
        <v>2A</v>
      </c>
      <c r="C44" s="7">
        <f>IF(N(Inputs_Class_Month!$D44)=0,"",Inputs_Class_Month!$E44+Settings!$B$3*Inputs_Class_Month!$F44)</f>
        <v>667</v>
      </c>
      <c r="D44" s="8">
        <f>IF(N(Inputs_Class_Month!$D44)=0,"",C44/Inputs_Class_Month!$D44)</f>
        <v>0.725</v>
      </c>
      <c r="E44" s="8">
        <f>IF(N(Inputs_Class_Month!$D44)=0,"",Inputs_Class_Month!$E44/Inputs_Class_Month!$D44)</f>
        <v>0.692391304347826</v>
      </c>
      <c r="F44" s="8">
        <f>IF(N(Inputs_Class_Month!$D44)=0,"",Settings!$B$3*Inputs_Class_Month!$F44/Inputs_Class_Month!$D44)</f>
        <v>0.0326086956521739</v>
      </c>
      <c r="G44" s="8">
        <f>IF(N(Inputs_Class_Month!$D44)=0,"",Inputs_Class_Month!$G44/Inputs_Class_Month!$D44)</f>
        <v>0.0684782608695652</v>
      </c>
      <c r="H44" s="7">
        <f>IF(N(Inputs_Class_Month!$C44)=0,"",Inputs_Class_Month!$I44/Inputs_Class_Month!$C44)</f>
        <v>66.3076923076923</v>
      </c>
      <c r="I44" s="7">
        <f>IF(N(Inputs_Class_Month!$C44)=0,"",Inputs_Class_Month!$H44/Inputs_Class_Month!$C44)</f>
        <v>7.46153846153846</v>
      </c>
    </row>
    <row r="45" spans="1:9">
      <c r="A45" s="6" t="str">
        <f>IF(Inputs_Class_Month!$A45="","",Inputs_Class_Month!$A45)</f>
        <v>2025-04</v>
      </c>
      <c r="B45" s="6" t="str">
        <f>IF(Inputs_Class_Month!$B45="","",Inputs_Class_Month!$B45)</f>
        <v>2S</v>
      </c>
      <c r="C45" s="7">
        <f>IF(N(Inputs_Class_Month!$D45)=0,"",Inputs_Class_Month!$E45+Settings!$B$3*Inputs_Class_Month!$F45)</f>
        <v>4097</v>
      </c>
      <c r="D45" s="8">
        <f>IF(N(Inputs_Class_Month!$D45)=0,"",C45/Inputs_Class_Month!$D45)</f>
        <v>0.729522792022792</v>
      </c>
      <c r="E45" s="8">
        <f>IF(N(Inputs_Class_Month!$D45)=0,"",Inputs_Class_Month!$E45/Inputs_Class_Month!$D45)</f>
        <v>0.729522792022792</v>
      </c>
      <c r="F45" s="8">
        <f>IF(N(Inputs_Class_Month!$D45)=0,"",Settings!$B$3*Inputs_Class_Month!$F45/Inputs_Class_Month!$D45)</f>
        <v>0</v>
      </c>
      <c r="G45" s="8">
        <f>IF(N(Inputs_Class_Month!$D45)=0,"",Inputs_Class_Month!$G45/Inputs_Class_Month!$D45)</f>
        <v>0.0535968660968661</v>
      </c>
      <c r="H45" s="7">
        <f>IF(N(Inputs_Class_Month!$C45)=0,"",Inputs_Class_Month!$I45/Inputs_Class_Month!$C45)</f>
        <v>269.842105263158</v>
      </c>
      <c r="I45" s="7">
        <f>IF(N(Inputs_Class_Month!$C45)=0,"",Inputs_Class_Month!$H45/Inputs_Class_Month!$C45)</f>
        <v>22.2105263157895</v>
      </c>
    </row>
    <row r="46" spans="1:9">
      <c r="A46" s="6" t="str">
        <f>IF(Inputs_Class_Month!$A46="","",Inputs_Class_Month!$A46)</f>
        <v>2025-04</v>
      </c>
      <c r="B46" s="6" t="str">
        <f>IF(Inputs_Class_Month!$B46="","",Inputs_Class_Month!$B46)</f>
        <v>3A</v>
      </c>
      <c r="C46" s="7">
        <f>IF(N(Inputs_Class_Month!$D46)=0,"",Inputs_Class_Month!$E46+Settings!$B$3*Inputs_Class_Month!$F46)</f>
        <v>4276.5</v>
      </c>
      <c r="D46" s="8">
        <f>IF(N(Inputs_Class_Month!$D46)=0,"",C46/Inputs_Class_Month!$D46)</f>
        <v>0.82494212962963</v>
      </c>
      <c r="E46" s="8">
        <f>IF(N(Inputs_Class_Month!$D46)=0,"",Inputs_Class_Month!$E46/Inputs_Class_Month!$D46)</f>
        <v>0.778163580246914</v>
      </c>
      <c r="F46" s="8">
        <f>IF(N(Inputs_Class_Month!$D46)=0,"",Settings!$B$3*Inputs_Class_Month!$F46/Inputs_Class_Month!$D46)</f>
        <v>0.0467785493827161</v>
      </c>
      <c r="G46" s="8">
        <f>IF(N(Inputs_Class_Month!$D46)=0,"",Inputs_Class_Month!$G46/Inputs_Class_Month!$D46)</f>
        <v>0.0914351851851852</v>
      </c>
      <c r="H46" s="7">
        <f>IF(N(Inputs_Class_Month!$C46)=0,"",Inputs_Class_Month!$I46/Inputs_Class_Month!$C46)</f>
        <v>192.5</v>
      </c>
      <c r="I46" s="7">
        <f>IF(N(Inputs_Class_Month!$C46)=0,"",Inputs_Class_Month!$H46/Inputs_Class_Month!$C46)</f>
        <v>24.1666666666667</v>
      </c>
    </row>
    <row r="47" spans="1:9">
      <c r="A47" s="6" t="str">
        <f>IF(Inputs_Class_Month!$A47="","",Inputs_Class_Month!$A47)</f>
        <v>2025-04</v>
      </c>
      <c r="B47" s="6" t="str">
        <f>IF(Inputs_Class_Month!$B47="","",Inputs_Class_Month!$B47)</f>
        <v>CC</v>
      </c>
      <c r="C47" s="7">
        <f>IF(N(Inputs_Class_Month!$D47)=0,"",Inputs_Class_Month!$E47+Settings!$B$3*Inputs_Class_Month!$F47)</f>
        <v>246</v>
      </c>
      <c r="D47" s="8">
        <f>IF(N(Inputs_Class_Month!$D47)=0,"",C47/Inputs_Class_Month!$D47)</f>
        <v>0.630769230769231</v>
      </c>
      <c r="E47" s="8">
        <f>IF(N(Inputs_Class_Month!$D47)=0,"",Inputs_Class_Month!$E47/Inputs_Class_Month!$D47)</f>
        <v>0.630769230769231</v>
      </c>
      <c r="F47" s="8">
        <f>IF(N(Inputs_Class_Month!$D47)=0,"",Settings!$B$3*Inputs_Class_Month!$F47/Inputs_Class_Month!$D47)</f>
        <v>0</v>
      </c>
      <c r="G47" s="8">
        <f>IF(N(Inputs_Class_Month!$D47)=0,"",Inputs_Class_Month!$G47/Inputs_Class_Month!$D47)</f>
        <v>0</v>
      </c>
      <c r="H47" s="7">
        <f>IF(N(Inputs_Class_Month!$C47)=0,"",Inputs_Class_Month!$I47/Inputs_Class_Month!$C47)</f>
        <v>140.5</v>
      </c>
      <c r="I47" s="7">
        <f>IF(N(Inputs_Class_Month!$C47)=0,"",Inputs_Class_Month!$H47/Inputs_Class_Month!$C47)</f>
        <v>0</v>
      </c>
    </row>
    <row r="48" spans="1:9">
      <c r="A48" s="6" t="str">
        <f>IF(Inputs_Class_Month!$A48="","",Inputs_Class_Month!$A48)</f>
        <v>2025-04</v>
      </c>
      <c r="B48" s="6" t="str">
        <f>IF(Inputs_Class_Month!$B48="","",Inputs_Class_Month!$B48)</f>
        <v>SL</v>
      </c>
      <c r="C48" s="7">
        <f>IF(N(Inputs_Class_Month!$D48)=0,"",Inputs_Class_Month!$E48+Settings!$B$3*Inputs_Class_Month!$F48)</f>
        <v>5016</v>
      </c>
      <c r="D48" s="8">
        <f>IF(N(Inputs_Class_Month!$D48)=0,"",C48/Inputs_Class_Month!$D48)</f>
        <v>0.791666666666667</v>
      </c>
      <c r="E48" s="8">
        <f>IF(N(Inputs_Class_Month!$D48)=0,"",Inputs_Class_Month!$E48/Inputs_Class_Month!$D48)</f>
        <v>0.751420454545455</v>
      </c>
      <c r="F48" s="8">
        <f>IF(N(Inputs_Class_Month!$D48)=0,"",Settings!$B$3*Inputs_Class_Month!$F48/Inputs_Class_Month!$D48)</f>
        <v>0.0402462121212121</v>
      </c>
      <c r="G48" s="8">
        <f>IF(N(Inputs_Class_Month!$D48)=0,"",Inputs_Class_Month!$G48/Inputs_Class_Month!$D48)</f>
        <v>0.0424558080808081</v>
      </c>
      <c r="H48" s="7">
        <f>IF(N(Inputs_Class_Month!$C48)=0,"",Inputs_Class_Month!$I48/Inputs_Class_Month!$C48)</f>
        <v>214.566666666667</v>
      </c>
      <c r="I48" s="7">
        <f>IF(N(Inputs_Class_Month!$C48)=0,"",Inputs_Class_Month!$H48/Inputs_Class_Month!$C48)</f>
        <v>14.3333333333333</v>
      </c>
    </row>
    <row r="49" spans="1:9">
      <c r="A49" s="6" t="str">
        <f>IF(Inputs_Class_Month!$A49="","",Inputs_Class_Month!$A49)</f>
        <v>2025-05</v>
      </c>
      <c r="B49" s="6" t="str">
        <f>IF(Inputs_Class_Month!$B49="","",Inputs_Class_Month!$B49)</f>
        <v>1A</v>
      </c>
      <c r="C49" s="7">
        <f>IF(N(Inputs_Class_Month!$D49)=0,"",Inputs_Class_Month!$E49+Settings!$B$3*Inputs_Class_Month!$F49)</f>
        <v>20</v>
      </c>
      <c r="D49" s="8">
        <f>IF(N(Inputs_Class_Month!$D49)=0,"",C49/Inputs_Class_Month!$D49)</f>
        <v>0.833333333333333</v>
      </c>
      <c r="E49" s="8">
        <f>IF(N(Inputs_Class_Month!$D49)=0,"",Inputs_Class_Month!$E49/Inputs_Class_Month!$D49)</f>
        <v>0.833333333333333</v>
      </c>
      <c r="F49" s="8">
        <f>IF(N(Inputs_Class_Month!$D49)=0,"",Settings!$B$3*Inputs_Class_Month!$F49/Inputs_Class_Month!$D49)</f>
        <v>0</v>
      </c>
      <c r="G49" s="8">
        <f>IF(N(Inputs_Class_Month!$D49)=0,"",Inputs_Class_Month!$G49/Inputs_Class_Month!$D49)</f>
        <v>0</v>
      </c>
      <c r="H49" s="7">
        <f>IF(N(Inputs_Class_Month!$C49)=0,"",Inputs_Class_Month!$I49/Inputs_Class_Month!$C49)</f>
        <v>20</v>
      </c>
      <c r="I49" s="7">
        <f>IF(N(Inputs_Class_Month!$C49)=0,"",Inputs_Class_Month!$H49/Inputs_Class_Month!$C49)</f>
        <v>0</v>
      </c>
    </row>
    <row r="50" spans="1:9">
      <c r="A50" s="6" t="str">
        <f>IF(Inputs_Class_Month!$A50="","",Inputs_Class_Month!$A50)</f>
        <v>2025-05</v>
      </c>
      <c r="B50" s="6" t="str">
        <f>IF(Inputs_Class_Month!$B50="","",Inputs_Class_Month!$B50)</f>
        <v>2A</v>
      </c>
      <c r="C50" s="7">
        <f>IF(N(Inputs_Class_Month!$D50)=0,"",Inputs_Class_Month!$E50+Settings!$B$3*Inputs_Class_Month!$F50)</f>
        <v>919.5</v>
      </c>
      <c r="D50" s="8">
        <f>IF(N(Inputs_Class_Month!$D50)=0,"",C50/Inputs_Class_Month!$D50)</f>
        <v>0.869092627599244</v>
      </c>
      <c r="E50" s="8">
        <f>IF(N(Inputs_Class_Month!$D50)=0,"",Inputs_Class_Month!$E50/Inputs_Class_Month!$D50)</f>
        <v>0.808128544423441</v>
      </c>
      <c r="F50" s="8">
        <f>IF(N(Inputs_Class_Month!$D50)=0,"",Settings!$B$3*Inputs_Class_Month!$F50/Inputs_Class_Month!$D50)</f>
        <v>0.0609640831758034</v>
      </c>
      <c r="G50" s="8">
        <f>IF(N(Inputs_Class_Month!$D50)=0,"",Inputs_Class_Month!$G50/Inputs_Class_Month!$D50)</f>
        <v>0.0964083175803403</v>
      </c>
      <c r="H50" s="7">
        <f>IF(N(Inputs_Class_Month!$C50)=0,"",Inputs_Class_Month!$I50/Inputs_Class_Month!$C50)</f>
        <v>85.9285714285714</v>
      </c>
      <c r="I50" s="7">
        <f>IF(N(Inputs_Class_Month!$C50)=0,"",Inputs_Class_Month!$H50/Inputs_Class_Month!$C50)</f>
        <v>9.21428571428571</v>
      </c>
    </row>
    <row r="51" spans="1:9">
      <c r="A51" s="6" t="str">
        <f>IF(Inputs_Class_Month!$A51="","",Inputs_Class_Month!$A51)</f>
        <v>2025-05</v>
      </c>
      <c r="B51" s="6" t="str">
        <f>IF(Inputs_Class_Month!$B51="","",Inputs_Class_Month!$B51)</f>
        <v>2S</v>
      </c>
      <c r="C51" s="7">
        <f>IF(N(Inputs_Class_Month!$D51)=0,"",Inputs_Class_Month!$E51+Settings!$B$3*Inputs_Class_Month!$F51)</f>
        <v>4281</v>
      </c>
      <c r="D51" s="8">
        <f>IF(N(Inputs_Class_Month!$D51)=0,"",C51/Inputs_Class_Month!$D51)</f>
        <v>0.900883838383838</v>
      </c>
      <c r="E51" s="8">
        <f>IF(N(Inputs_Class_Month!$D51)=0,"",Inputs_Class_Month!$E51/Inputs_Class_Month!$D51)</f>
        <v>0.900883838383838</v>
      </c>
      <c r="F51" s="8">
        <f>IF(N(Inputs_Class_Month!$D51)=0,"",Settings!$B$3*Inputs_Class_Month!$F51/Inputs_Class_Month!$D51)</f>
        <v>0</v>
      </c>
      <c r="G51" s="8">
        <f>IF(N(Inputs_Class_Month!$D51)=0,"",Inputs_Class_Month!$G51/Inputs_Class_Month!$D51)</f>
        <v>0.093013468013468</v>
      </c>
      <c r="H51" s="7">
        <f>IF(N(Inputs_Class_Month!$C51)=0,"",Inputs_Class_Month!$I51/Inputs_Class_Month!$C51)</f>
        <v>307.333333333333</v>
      </c>
      <c r="I51" s="7">
        <f>IF(N(Inputs_Class_Month!$C51)=0,"",Inputs_Class_Month!$H51/Inputs_Class_Month!$C51)</f>
        <v>36.7222222222222</v>
      </c>
    </row>
    <row r="52" spans="1:9">
      <c r="A52" s="6" t="str">
        <f>IF(Inputs_Class_Month!$A52="","",Inputs_Class_Month!$A52)</f>
        <v>2025-05</v>
      </c>
      <c r="B52" s="6" t="str">
        <f>IF(Inputs_Class_Month!$B52="","",Inputs_Class_Month!$B52)</f>
        <v>3A</v>
      </c>
      <c r="C52" s="7">
        <f>IF(N(Inputs_Class_Month!$D52)=0,"",Inputs_Class_Month!$E52+Settings!$B$3*Inputs_Class_Month!$F52)</f>
        <v>4606.5</v>
      </c>
      <c r="D52" s="8">
        <f>IF(N(Inputs_Class_Month!$D52)=0,"",C52/Inputs_Class_Month!$D52)</f>
        <v>0.922776442307692</v>
      </c>
      <c r="E52" s="8">
        <f>IF(N(Inputs_Class_Month!$D52)=0,"",Inputs_Class_Month!$E52/Inputs_Class_Month!$D52)</f>
        <v>0.85136217948718</v>
      </c>
      <c r="F52" s="8">
        <f>IF(N(Inputs_Class_Month!$D52)=0,"",Settings!$B$3*Inputs_Class_Month!$F52/Inputs_Class_Month!$D52)</f>
        <v>0.0714142628205128</v>
      </c>
      <c r="G52" s="8">
        <f>IF(N(Inputs_Class_Month!$D52)=0,"",Inputs_Class_Month!$G52/Inputs_Class_Month!$D52)</f>
        <v>0.131810897435897</v>
      </c>
      <c r="H52" s="7">
        <f>IF(N(Inputs_Class_Month!$C52)=0,"",Inputs_Class_Month!$I52/Inputs_Class_Month!$C52)</f>
        <v>216.966666666667</v>
      </c>
      <c r="I52" s="7">
        <f>IF(N(Inputs_Class_Month!$C52)=0,"",Inputs_Class_Month!$H52/Inputs_Class_Month!$C52)</f>
        <v>34.1666666666667</v>
      </c>
    </row>
    <row r="53" spans="1:9">
      <c r="A53" s="6" t="str">
        <f>IF(Inputs_Class_Month!$A53="","",Inputs_Class_Month!$A53)</f>
        <v>2025-05</v>
      </c>
      <c r="B53" s="6" t="str">
        <f>IF(Inputs_Class_Month!$B53="","",Inputs_Class_Month!$B53)</f>
        <v>CC</v>
      </c>
      <c r="C53" s="7">
        <f>IF(N(Inputs_Class_Month!$D53)=0,"",Inputs_Class_Month!$E53+Settings!$B$3*Inputs_Class_Month!$F53)</f>
        <v>300</v>
      </c>
      <c r="D53" s="8">
        <f>IF(N(Inputs_Class_Month!$D53)=0,"",C53/Inputs_Class_Month!$D53)</f>
        <v>0.769230769230769</v>
      </c>
      <c r="E53" s="8">
        <f>IF(N(Inputs_Class_Month!$D53)=0,"",Inputs_Class_Month!$E53/Inputs_Class_Month!$D53)</f>
        <v>0.769230769230769</v>
      </c>
      <c r="F53" s="8">
        <f>IF(N(Inputs_Class_Month!$D53)=0,"",Settings!$B$3*Inputs_Class_Month!$F53/Inputs_Class_Month!$D53)</f>
        <v>0</v>
      </c>
      <c r="G53" s="8">
        <f>IF(N(Inputs_Class_Month!$D53)=0,"",Inputs_Class_Month!$G53/Inputs_Class_Month!$D53)</f>
        <v>0</v>
      </c>
      <c r="H53" s="7">
        <f>IF(N(Inputs_Class_Month!$C53)=0,"",Inputs_Class_Month!$I53/Inputs_Class_Month!$C53)</f>
        <v>173.5</v>
      </c>
      <c r="I53" s="7">
        <f>IF(N(Inputs_Class_Month!$C53)=0,"",Inputs_Class_Month!$H53/Inputs_Class_Month!$C53)</f>
        <v>0</v>
      </c>
    </row>
    <row r="54" spans="1:9">
      <c r="A54" s="6" t="str">
        <f>IF(Inputs_Class_Month!$A54="","",Inputs_Class_Month!$A54)</f>
        <v>2025-05</v>
      </c>
      <c r="B54" s="6" t="str">
        <f>IF(Inputs_Class_Month!$B54="","",Inputs_Class_Month!$B54)</f>
        <v>SL</v>
      </c>
      <c r="C54" s="7">
        <f>IF(N(Inputs_Class_Month!$D54)=0,"",Inputs_Class_Month!$E54+Settings!$B$3*Inputs_Class_Month!$F54)</f>
        <v>5800.5</v>
      </c>
      <c r="D54" s="8">
        <f>IF(N(Inputs_Class_Month!$D54)=0,"",C54/Inputs_Class_Month!$D54)</f>
        <v>0.885302197802198</v>
      </c>
      <c r="E54" s="8">
        <f>IF(N(Inputs_Class_Month!$D54)=0,"",Inputs_Class_Month!$E54/Inputs_Class_Month!$D54)</f>
        <v>0.821581196581197</v>
      </c>
      <c r="F54" s="8">
        <f>IF(N(Inputs_Class_Month!$D54)=0,"",Settings!$B$3*Inputs_Class_Month!$F54/Inputs_Class_Month!$D54)</f>
        <v>0.0637210012210012</v>
      </c>
      <c r="G54" s="8">
        <f>IF(N(Inputs_Class_Month!$D54)=0,"",Inputs_Class_Month!$G54/Inputs_Class_Month!$D54)</f>
        <v>0.105921855921856</v>
      </c>
      <c r="H54" s="7">
        <f>IF(N(Inputs_Class_Month!$C54)=0,"",Inputs_Class_Month!$I54/Inputs_Class_Month!$C54)</f>
        <v>272.366666666667</v>
      </c>
      <c r="I54" s="7">
        <f>IF(N(Inputs_Class_Month!$C54)=0,"",Inputs_Class_Month!$H54/Inputs_Class_Month!$C54)</f>
        <v>37.5666666666667</v>
      </c>
    </row>
    <row r="55" spans="1:9">
      <c r="A55" s="6" t="str">
        <f>IF(Inputs_Class_Month!$A55="","",Inputs_Class_Month!$A55)</f>
        <v>2025-06</v>
      </c>
      <c r="B55" s="6" t="str">
        <f>IF(Inputs_Class_Month!$B55="","",Inputs_Class_Month!$B55)</f>
        <v>1A</v>
      </c>
      <c r="C55" s="7">
        <f>IF(N(Inputs_Class_Month!$D55)=0,"",Inputs_Class_Month!$E55+Settings!$B$3*Inputs_Class_Month!$F55)</f>
        <v>23</v>
      </c>
      <c r="D55" s="8">
        <f>IF(N(Inputs_Class_Month!$D55)=0,"",C55/Inputs_Class_Month!$D55)</f>
        <v>0.958333333333333</v>
      </c>
      <c r="E55" s="8">
        <f>IF(N(Inputs_Class_Month!$D55)=0,"",Inputs_Class_Month!$E55/Inputs_Class_Month!$D55)</f>
        <v>0.958333333333333</v>
      </c>
      <c r="F55" s="8">
        <f>IF(N(Inputs_Class_Month!$D55)=0,"",Settings!$B$3*Inputs_Class_Month!$F55/Inputs_Class_Month!$D55)</f>
        <v>0</v>
      </c>
      <c r="G55" s="8">
        <f>IF(N(Inputs_Class_Month!$D55)=0,"",Inputs_Class_Month!$G55/Inputs_Class_Month!$D55)</f>
        <v>0</v>
      </c>
      <c r="H55" s="7">
        <f>IF(N(Inputs_Class_Month!$C55)=0,"",Inputs_Class_Month!$I55/Inputs_Class_Month!$C55)</f>
        <v>25</v>
      </c>
      <c r="I55" s="7">
        <f>IF(N(Inputs_Class_Month!$C55)=0,"",Inputs_Class_Month!$H55/Inputs_Class_Month!$C55)</f>
        <v>0</v>
      </c>
    </row>
    <row r="56" spans="1:9">
      <c r="A56" s="6" t="str">
        <f>IF(Inputs_Class_Month!$A56="","",Inputs_Class_Month!$A56)</f>
        <v>2025-06</v>
      </c>
      <c r="B56" s="6" t="str">
        <f>IF(Inputs_Class_Month!$B56="","",Inputs_Class_Month!$B56)</f>
        <v>2A</v>
      </c>
      <c r="C56" s="7">
        <f>IF(N(Inputs_Class_Month!$D56)=0,"",Inputs_Class_Month!$E56+Settings!$B$3*Inputs_Class_Month!$F56)</f>
        <v>753</v>
      </c>
      <c r="D56" s="8">
        <f>IF(N(Inputs_Class_Month!$D56)=0,"",C56/Inputs_Class_Month!$D56)</f>
        <v>0.744071146245059</v>
      </c>
      <c r="E56" s="8">
        <f>IF(N(Inputs_Class_Month!$D56)=0,"",Inputs_Class_Month!$E56/Inputs_Class_Month!$D56)</f>
        <v>0.728260869565217</v>
      </c>
      <c r="F56" s="8">
        <f>IF(N(Inputs_Class_Month!$D56)=0,"",Settings!$B$3*Inputs_Class_Month!$F56/Inputs_Class_Month!$D56)</f>
        <v>0.0158102766798419</v>
      </c>
      <c r="G56" s="8">
        <f>IF(N(Inputs_Class_Month!$D56)=0,"",Inputs_Class_Month!$G56/Inputs_Class_Month!$D56)</f>
        <v>0</v>
      </c>
      <c r="H56" s="7">
        <f>IF(N(Inputs_Class_Month!$C56)=0,"",Inputs_Class_Month!$I56/Inputs_Class_Month!$C56)</f>
        <v>56.2</v>
      </c>
      <c r="I56" s="7">
        <f>IF(N(Inputs_Class_Month!$C56)=0,"",Inputs_Class_Month!$H56/Inputs_Class_Month!$C56)</f>
        <v>0</v>
      </c>
    </row>
    <row r="57" spans="1:9">
      <c r="A57" s="6" t="str">
        <f>IF(Inputs_Class_Month!$A57="","",Inputs_Class_Month!$A57)</f>
        <v>2025-06</v>
      </c>
      <c r="B57" s="6" t="str">
        <f>IF(Inputs_Class_Month!$B57="","",Inputs_Class_Month!$B57)</f>
        <v>2S</v>
      </c>
      <c r="C57" s="7">
        <f>IF(N(Inputs_Class_Month!$D57)=0,"",Inputs_Class_Month!$E57+Settings!$B$3*Inputs_Class_Month!$F57)</f>
        <v>3193</v>
      </c>
      <c r="D57" s="8">
        <f>IF(N(Inputs_Class_Month!$D57)=0,"",C57/Inputs_Class_Month!$D57)</f>
        <v>0.68755383290267</v>
      </c>
      <c r="E57" s="8">
        <f>IF(N(Inputs_Class_Month!$D57)=0,"",Inputs_Class_Month!$E57/Inputs_Class_Month!$D57)</f>
        <v>0.68755383290267</v>
      </c>
      <c r="F57" s="8">
        <f>IF(N(Inputs_Class_Month!$D57)=0,"",Settings!$B$3*Inputs_Class_Month!$F57/Inputs_Class_Month!$D57)</f>
        <v>0</v>
      </c>
      <c r="G57" s="8">
        <f>IF(N(Inputs_Class_Month!$D57)=0,"",Inputs_Class_Month!$G57/Inputs_Class_Month!$D57)</f>
        <v>0.0637381567614126</v>
      </c>
      <c r="H57" s="7">
        <f>IF(N(Inputs_Class_Month!$C57)=0,"",Inputs_Class_Month!$I57/Inputs_Class_Month!$C57)</f>
        <v>238.352941176471</v>
      </c>
      <c r="I57" s="7">
        <f>IF(N(Inputs_Class_Month!$C57)=0,"",Inputs_Class_Month!$H57/Inputs_Class_Month!$C57)</f>
        <v>26.6470588235294</v>
      </c>
    </row>
    <row r="58" spans="1:9">
      <c r="A58" s="6" t="str">
        <f>IF(Inputs_Class_Month!$A58="","",Inputs_Class_Month!$A58)</f>
        <v>2025-06</v>
      </c>
      <c r="B58" s="6" t="str">
        <f>IF(Inputs_Class_Month!$B58="","",Inputs_Class_Month!$B58)</f>
        <v>3A</v>
      </c>
      <c r="C58" s="7">
        <f>IF(N(Inputs_Class_Month!$D58)=0,"",Inputs_Class_Month!$E58+Settings!$B$3*Inputs_Class_Month!$F58)</f>
        <v>3573.5</v>
      </c>
      <c r="D58" s="8">
        <f>IF(N(Inputs_Class_Month!$D58)=0,"",C58/Inputs_Class_Month!$D58)</f>
        <v>0.734683388157895</v>
      </c>
      <c r="E58" s="8">
        <f>IF(N(Inputs_Class_Month!$D58)=0,"",Inputs_Class_Month!$E58/Inputs_Class_Month!$D58)</f>
        <v>0.694695723684211</v>
      </c>
      <c r="F58" s="8">
        <f>IF(N(Inputs_Class_Month!$D58)=0,"",Settings!$B$3*Inputs_Class_Month!$F58/Inputs_Class_Month!$D58)</f>
        <v>0.0399876644736842</v>
      </c>
      <c r="G58" s="8">
        <f>IF(N(Inputs_Class_Month!$D58)=0,"",Inputs_Class_Month!$G58/Inputs_Class_Month!$D58)</f>
        <v>0.0622944078947368</v>
      </c>
      <c r="H58" s="7">
        <f>IF(N(Inputs_Class_Month!$C58)=0,"",Inputs_Class_Month!$I58/Inputs_Class_Month!$C58)</f>
        <v>150.322580645161</v>
      </c>
      <c r="I58" s="7">
        <f>IF(N(Inputs_Class_Month!$C58)=0,"",Inputs_Class_Month!$H58/Inputs_Class_Month!$C58)</f>
        <v>14.8064516129032</v>
      </c>
    </row>
    <row r="59" spans="1:9">
      <c r="A59" s="6" t="str">
        <f>IF(Inputs_Class_Month!$A59="","",Inputs_Class_Month!$A59)</f>
        <v>2025-06</v>
      </c>
      <c r="B59" s="6" t="str">
        <f>IF(Inputs_Class_Month!$B59="","",Inputs_Class_Month!$B59)</f>
        <v>CC</v>
      </c>
      <c r="C59" s="7">
        <f>IF(N(Inputs_Class_Month!$D59)=0,"",Inputs_Class_Month!$E59+Settings!$B$3*Inputs_Class_Month!$F59)</f>
        <v>76</v>
      </c>
      <c r="D59" s="8">
        <f>IF(N(Inputs_Class_Month!$D59)=0,"",C59/Inputs_Class_Month!$D59)</f>
        <v>0.487179487179487</v>
      </c>
      <c r="E59" s="8">
        <f>IF(N(Inputs_Class_Month!$D59)=0,"",Inputs_Class_Month!$E59/Inputs_Class_Month!$D59)</f>
        <v>0.487179487179487</v>
      </c>
      <c r="F59" s="8">
        <f>IF(N(Inputs_Class_Month!$D59)=0,"",Settings!$B$3*Inputs_Class_Month!$F59/Inputs_Class_Month!$D59)</f>
        <v>0</v>
      </c>
      <c r="G59" s="8">
        <f>IF(N(Inputs_Class_Month!$D59)=0,"",Inputs_Class_Month!$G59/Inputs_Class_Month!$D59)</f>
        <v>0</v>
      </c>
      <c r="H59" s="7">
        <f>IF(N(Inputs_Class_Month!$C59)=0,"",Inputs_Class_Month!$I59/Inputs_Class_Month!$C59)</f>
        <v>83</v>
      </c>
      <c r="I59" s="7">
        <f>IF(N(Inputs_Class_Month!$C59)=0,"",Inputs_Class_Month!$H59/Inputs_Class_Month!$C59)</f>
        <v>0</v>
      </c>
    </row>
    <row r="60" spans="1:9">
      <c r="A60" s="6" t="str">
        <f>IF(Inputs_Class_Month!$A60="","",Inputs_Class_Month!$A60)</f>
        <v>2025-06</v>
      </c>
      <c r="B60" s="6" t="str">
        <f>IF(Inputs_Class_Month!$B60="","",Inputs_Class_Month!$B60)</f>
        <v>SL</v>
      </c>
      <c r="C60" s="7">
        <f>IF(N(Inputs_Class_Month!$D60)=0,"",Inputs_Class_Month!$E60+Settings!$B$3*Inputs_Class_Month!$F60)</f>
        <v>5053</v>
      </c>
      <c r="D60" s="8">
        <f>IF(N(Inputs_Class_Month!$D60)=0,"",C60/Inputs_Class_Month!$D60)</f>
        <v>0.746601654846336</v>
      </c>
      <c r="E60" s="8">
        <f>IF(N(Inputs_Class_Month!$D60)=0,"",Inputs_Class_Month!$E60/Inputs_Class_Month!$D60)</f>
        <v>0.713947990543735</v>
      </c>
      <c r="F60" s="8">
        <f>IF(N(Inputs_Class_Month!$D60)=0,"",Settings!$B$3*Inputs_Class_Month!$F60/Inputs_Class_Month!$D60)</f>
        <v>0.0326536643026005</v>
      </c>
      <c r="G60" s="8">
        <f>IF(N(Inputs_Class_Month!$D60)=0,"",Inputs_Class_Month!$G60/Inputs_Class_Month!$D60)</f>
        <v>0.0517139479905437</v>
      </c>
      <c r="H60" s="7">
        <f>IF(N(Inputs_Class_Month!$C60)=0,"",Inputs_Class_Month!$I60/Inputs_Class_Month!$C60)</f>
        <v>213.129032258065</v>
      </c>
      <c r="I60" s="7">
        <f>IF(N(Inputs_Class_Month!$C60)=0,"",Inputs_Class_Month!$H60/Inputs_Class_Month!$C60)</f>
        <v>19.2258064516129</v>
      </c>
    </row>
    <row r="61" spans="1:9">
      <c r="A61" s="6" t="str">
        <f>IF(Inputs_Class_Month!$A61="","",Inputs_Class_Month!$A61)</f>
        <v>2025-07</v>
      </c>
      <c r="B61" s="6" t="str">
        <f>IF(Inputs_Class_Month!$B61="","",Inputs_Class_Month!$B61)</f>
        <v>1A</v>
      </c>
      <c r="C61" s="7">
        <f>IF(N(Inputs_Class_Month!$D61)=0,"",Inputs_Class_Month!$E61+Settings!$B$3*Inputs_Class_Month!$F61)</f>
        <v>11</v>
      </c>
      <c r="D61" s="8">
        <f>IF(N(Inputs_Class_Month!$D61)=0,"",C61/Inputs_Class_Month!$D61)</f>
        <v>0.458333333333333</v>
      </c>
      <c r="E61" s="8">
        <f>IF(N(Inputs_Class_Month!$D61)=0,"",Inputs_Class_Month!$E61/Inputs_Class_Month!$D61)</f>
        <v>0.458333333333333</v>
      </c>
      <c r="F61" s="8">
        <f>IF(N(Inputs_Class_Month!$D61)=0,"",Settings!$B$3*Inputs_Class_Month!$F61/Inputs_Class_Month!$D61)</f>
        <v>0</v>
      </c>
      <c r="G61" s="8">
        <f>IF(N(Inputs_Class_Month!$D61)=0,"",Inputs_Class_Month!$G61/Inputs_Class_Month!$D61)</f>
        <v>0</v>
      </c>
      <c r="H61" s="7">
        <f>IF(N(Inputs_Class_Month!$C61)=0,"",Inputs_Class_Month!$I61/Inputs_Class_Month!$C61)</f>
        <v>11</v>
      </c>
      <c r="I61" s="7">
        <f>IF(N(Inputs_Class_Month!$C61)=0,"",Inputs_Class_Month!$H61/Inputs_Class_Month!$C61)</f>
        <v>0</v>
      </c>
    </row>
    <row r="62" spans="1:9">
      <c r="A62" s="6" t="str">
        <f>IF(Inputs_Class_Month!$A62="","",Inputs_Class_Month!$A62)</f>
        <v>2025-07</v>
      </c>
      <c r="B62" s="6" t="str">
        <f>IF(Inputs_Class_Month!$B62="","",Inputs_Class_Month!$B62)</f>
        <v>2A</v>
      </c>
      <c r="C62" s="7">
        <f>IF(N(Inputs_Class_Month!$D62)=0,"",Inputs_Class_Month!$E62+Settings!$B$3*Inputs_Class_Month!$F62)</f>
        <v>612</v>
      </c>
      <c r="D62" s="8">
        <f>IF(N(Inputs_Class_Month!$D62)=0,"",C62/Inputs_Class_Month!$D62)</f>
        <v>0.604743083003953</v>
      </c>
      <c r="E62" s="8">
        <f>IF(N(Inputs_Class_Month!$D62)=0,"",Inputs_Class_Month!$E62/Inputs_Class_Month!$D62)</f>
        <v>0.596837944664032</v>
      </c>
      <c r="F62" s="8">
        <f>IF(N(Inputs_Class_Month!$D62)=0,"",Settings!$B$3*Inputs_Class_Month!$F62/Inputs_Class_Month!$D62)</f>
        <v>0.00790513833992095</v>
      </c>
      <c r="G62" s="8">
        <f>IF(N(Inputs_Class_Month!$D62)=0,"",Inputs_Class_Month!$G62/Inputs_Class_Month!$D62)</f>
        <v>0</v>
      </c>
      <c r="H62" s="7">
        <f>IF(N(Inputs_Class_Month!$C62)=0,"",Inputs_Class_Month!$I62/Inputs_Class_Month!$C62)</f>
        <v>47.8</v>
      </c>
      <c r="I62" s="7">
        <f>IF(N(Inputs_Class_Month!$C62)=0,"",Inputs_Class_Month!$H62/Inputs_Class_Month!$C62)</f>
        <v>0</v>
      </c>
    </row>
    <row r="63" spans="1:9">
      <c r="A63" s="6" t="str">
        <f>IF(Inputs_Class_Month!$A63="","",Inputs_Class_Month!$A63)</f>
        <v>2025-07</v>
      </c>
      <c r="B63" s="6" t="str">
        <f>IF(Inputs_Class_Month!$B63="","",Inputs_Class_Month!$B63)</f>
        <v>2S</v>
      </c>
      <c r="C63" s="7">
        <f>IF(N(Inputs_Class_Month!$D63)=0,"",Inputs_Class_Month!$E63+Settings!$B$3*Inputs_Class_Month!$F63)</f>
        <v>2766</v>
      </c>
      <c r="D63" s="8">
        <f>IF(N(Inputs_Class_Month!$D63)=0,"",C63/Inputs_Class_Month!$D63)</f>
        <v>0.595607235142119</v>
      </c>
      <c r="E63" s="8">
        <f>IF(N(Inputs_Class_Month!$D63)=0,"",Inputs_Class_Month!$E63/Inputs_Class_Month!$D63)</f>
        <v>0.595607235142119</v>
      </c>
      <c r="F63" s="8">
        <f>IF(N(Inputs_Class_Month!$D63)=0,"",Settings!$B$3*Inputs_Class_Month!$F63/Inputs_Class_Month!$D63)</f>
        <v>0</v>
      </c>
      <c r="G63" s="8">
        <f>IF(N(Inputs_Class_Month!$D63)=0,"",Inputs_Class_Month!$G63/Inputs_Class_Month!$D63)</f>
        <v>0.0178725236864772</v>
      </c>
      <c r="H63" s="7">
        <f>IF(N(Inputs_Class_Month!$C63)=0,"",Inputs_Class_Month!$I63/Inputs_Class_Month!$C63)</f>
        <v>195.294117647059</v>
      </c>
      <c r="I63" s="7">
        <f>IF(N(Inputs_Class_Month!$C63)=0,"",Inputs_Class_Month!$H63/Inputs_Class_Month!$C63)</f>
        <v>7.29411764705882</v>
      </c>
    </row>
    <row r="64" spans="1:9">
      <c r="A64" s="6" t="str">
        <f>IF(Inputs_Class_Month!$A64="","",Inputs_Class_Month!$A64)</f>
        <v>2025-07</v>
      </c>
      <c r="B64" s="6" t="str">
        <f>IF(Inputs_Class_Month!$B64="","",Inputs_Class_Month!$B64)</f>
        <v>3A</v>
      </c>
      <c r="C64" s="7">
        <f>IF(N(Inputs_Class_Month!$D64)=0,"",Inputs_Class_Month!$E64+Settings!$B$3*Inputs_Class_Month!$F64)</f>
        <v>3411.5</v>
      </c>
      <c r="D64" s="8">
        <f>IF(N(Inputs_Class_Month!$D64)=0,"",C64/Inputs_Class_Month!$D64)</f>
        <v>0.674742879746835</v>
      </c>
      <c r="E64" s="8">
        <f>IF(N(Inputs_Class_Month!$D64)=0,"",Inputs_Class_Month!$E64/Inputs_Class_Month!$D64)</f>
        <v>0.65684335443038</v>
      </c>
      <c r="F64" s="8">
        <f>IF(N(Inputs_Class_Month!$D64)=0,"",Settings!$B$3*Inputs_Class_Month!$F64/Inputs_Class_Month!$D64)</f>
        <v>0.0178995253164557</v>
      </c>
      <c r="G64" s="8">
        <f>IF(N(Inputs_Class_Month!$D64)=0,"",Inputs_Class_Month!$G64/Inputs_Class_Month!$D64)</f>
        <v>0.0191851265822785</v>
      </c>
      <c r="H64" s="7">
        <f>IF(N(Inputs_Class_Month!$C64)=0,"",Inputs_Class_Month!$I64/Inputs_Class_Month!$C64)</f>
        <v>137.433333333333</v>
      </c>
      <c r="I64" s="7">
        <f>IF(N(Inputs_Class_Month!$C64)=0,"",Inputs_Class_Month!$H64/Inputs_Class_Month!$C64)</f>
        <v>4.4</v>
      </c>
    </row>
    <row r="65" spans="1:9">
      <c r="A65" s="6" t="str">
        <f>IF(Inputs_Class_Month!$A65="","",Inputs_Class_Month!$A65)</f>
        <v>2025-07</v>
      </c>
      <c r="B65" s="6" t="str">
        <f>IF(Inputs_Class_Month!$B65="","",Inputs_Class_Month!$B65)</f>
        <v>CC</v>
      </c>
      <c r="C65" s="7">
        <f>IF(N(Inputs_Class_Month!$D65)=0,"",Inputs_Class_Month!$E65+Settings!$B$3*Inputs_Class_Month!$F65)</f>
        <v>192</v>
      </c>
      <c r="D65" s="8">
        <f>IF(N(Inputs_Class_Month!$D65)=0,"",C65/Inputs_Class_Month!$D65)</f>
        <v>0.41025641025641</v>
      </c>
      <c r="E65" s="8">
        <f>IF(N(Inputs_Class_Month!$D65)=0,"",Inputs_Class_Month!$E65/Inputs_Class_Month!$D65)</f>
        <v>0.41025641025641</v>
      </c>
      <c r="F65" s="8">
        <f>IF(N(Inputs_Class_Month!$D65)=0,"",Settings!$B$3*Inputs_Class_Month!$F65/Inputs_Class_Month!$D65)</f>
        <v>0</v>
      </c>
      <c r="G65" s="8">
        <f>IF(N(Inputs_Class_Month!$D65)=0,"",Inputs_Class_Month!$G65/Inputs_Class_Month!$D65)</f>
        <v>0</v>
      </c>
      <c r="H65" s="7">
        <f>IF(N(Inputs_Class_Month!$C65)=0,"",Inputs_Class_Month!$I65/Inputs_Class_Month!$C65)</f>
        <v>111.5</v>
      </c>
      <c r="I65" s="7">
        <f>IF(N(Inputs_Class_Month!$C65)=0,"",Inputs_Class_Month!$H65/Inputs_Class_Month!$C65)</f>
        <v>0</v>
      </c>
    </row>
    <row r="66" spans="1:9">
      <c r="A66" s="6" t="str">
        <f>IF(Inputs_Class_Month!$A66="","",Inputs_Class_Month!$A66)</f>
        <v>2025-07</v>
      </c>
      <c r="B66" s="6" t="str">
        <f>IF(Inputs_Class_Month!$B66="","",Inputs_Class_Month!$B66)</f>
        <v>SL</v>
      </c>
      <c r="C66" s="7">
        <f>IF(N(Inputs_Class_Month!$D66)=0,"",Inputs_Class_Month!$E66+Settings!$B$3*Inputs_Class_Month!$F66)</f>
        <v>5156</v>
      </c>
      <c r="D66" s="8">
        <f>IF(N(Inputs_Class_Month!$D66)=0,"",C66/Inputs_Class_Month!$D66)</f>
        <v>0.770011947431302</v>
      </c>
      <c r="E66" s="8">
        <f>IF(N(Inputs_Class_Month!$D66)=0,"",Inputs_Class_Month!$E66/Inputs_Class_Month!$D66)</f>
        <v>0.727747909199522</v>
      </c>
      <c r="F66" s="8">
        <f>IF(N(Inputs_Class_Month!$D66)=0,"",Settings!$B$3*Inputs_Class_Month!$F66/Inputs_Class_Month!$D66)</f>
        <v>0.0422640382317802</v>
      </c>
      <c r="G66" s="8">
        <f>IF(N(Inputs_Class_Month!$D66)=0,"",Inputs_Class_Month!$G66/Inputs_Class_Month!$D66)</f>
        <v>0.0522700119474313</v>
      </c>
      <c r="H66" s="7">
        <f>IF(N(Inputs_Class_Month!$C66)=0,"",Inputs_Class_Month!$I66/Inputs_Class_Month!$C66)</f>
        <v>223.633333333333</v>
      </c>
      <c r="I66" s="7">
        <f>IF(N(Inputs_Class_Month!$C66)=0,"",Inputs_Class_Month!$H66/Inputs_Class_Month!$C66)</f>
        <v>17.7666666666667</v>
      </c>
    </row>
    <row r="67" spans="1:9">
      <c r="A67" s="6" t="str">
        <f>IF(Inputs_Class_Month!$A67="","",Inputs_Class_Month!$A67)</f>
        <v>2025-08</v>
      </c>
      <c r="B67" s="6" t="str">
        <f>IF(Inputs_Class_Month!$B67="","",Inputs_Class_Month!$B67)</f>
        <v>1A</v>
      </c>
      <c r="C67" s="7">
        <f>IF(N(Inputs_Class_Month!$D67)=0,"",Inputs_Class_Month!$E67+Settings!$B$3*Inputs_Class_Month!$F67)</f>
        <v>13</v>
      </c>
      <c r="D67" s="8">
        <f>IF(N(Inputs_Class_Month!$D67)=0,"",C67/Inputs_Class_Month!$D67)</f>
        <v>0.541666666666667</v>
      </c>
      <c r="E67" s="8">
        <f>IF(N(Inputs_Class_Month!$D67)=0,"",Inputs_Class_Month!$E67/Inputs_Class_Month!$D67)</f>
        <v>0.541666666666667</v>
      </c>
      <c r="F67" s="8">
        <f>IF(N(Inputs_Class_Month!$D67)=0,"",Settings!$B$3*Inputs_Class_Month!$F67/Inputs_Class_Month!$D67)</f>
        <v>0</v>
      </c>
      <c r="G67" s="8">
        <f>IF(N(Inputs_Class_Month!$D67)=0,"",Inputs_Class_Month!$G67/Inputs_Class_Month!$D67)</f>
        <v>0</v>
      </c>
      <c r="H67" s="7">
        <f>IF(N(Inputs_Class_Month!$C67)=0,"",Inputs_Class_Month!$I67/Inputs_Class_Month!$C67)</f>
        <v>13</v>
      </c>
      <c r="I67" s="7">
        <f>IF(N(Inputs_Class_Month!$C67)=0,"",Inputs_Class_Month!$H67/Inputs_Class_Month!$C67)</f>
        <v>0</v>
      </c>
    </row>
    <row r="68" spans="1:9">
      <c r="A68" s="6" t="str">
        <f>IF(Inputs_Class_Month!$A68="","",Inputs_Class_Month!$A68)</f>
        <v>2025-08</v>
      </c>
      <c r="B68" s="6" t="str">
        <f>IF(Inputs_Class_Month!$B68="","",Inputs_Class_Month!$B68)</f>
        <v>2A</v>
      </c>
      <c r="C68" s="7">
        <f>IF(N(Inputs_Class_Month!$D68)=0,"",Inputs_Class_Month!$E68+Settings!$B$3*Inputs_Class_Month!$F68)</f>
        <v>731</v>
      </c>
      <c r="D68" s="8">
        <f>IF(N(Inputs_Class_Month!$D68)=0,"",C68/Inputs_Class_Month!$D68)</f>
        <v>0.66213768115942</v>
      </c>
      <c r="E68" s="8">
        <f>IF(N(Inputs_Class_Month!$D68)=0,"",Inputs_Class_Month!$E68/Inputs_Class_Month!$D68)</f>
        <v>0.636775362318841</v>
      </c>
      <c r="F68" s="8">
        <f>IF(N(Inputs_Class_Month!$D68)=0,"",Settings!$B$3*Inputs_Class_Month!$F68/Inputs_Class_Month!$D68)</f>
        <v>0.0253623188405797</v>
      </c>
      <c r="G68" s="8">
        <f>IF(N(Inputs_Class_Month!$D68)=0,"",Inputs_Class_Month!$G68/Inputs_Class_Month!$D68)</f>
        <v>0.0289855072463768</v>
      </c>
      <c r="H68" s="7">
        <f>IF(N(Inputs_Class_Month!$C68)=0,"",Inputs_Class_Month!$I68/Inputs_Class_Month!$C68)</f>
        <v>48.9444444444444</v>
      </c>
      <c r="I68" s="7">
        <f>IF(N(Inputs_Class_Month!$C68)=0,"",Inputs_Class_Month!$H68/Inputs_Class_Month!$C68)</f>
        <v>2.5</v>
      </c>
    </row>
    <row r="69" spans="1:9">
      <c r="A69" s="6" t="str">
        <f>IF(Inputs_Class_Month!$A69="","",Inputs_Class_Month!$A69)</f>
        <v>2025-08</v>
      </c>
      <c r="B69" s="6" t="str">
        <f>IF(Inputs_Class_Month!$B69="","",Inputs_Class_Month!$B69)</f>
        <v>2S</v>
      </c>
      <c r="C69" s="7">
        <f>IF(N(Inputs_Class_Month!$D69)=0,"",Inputs_Class_Month!$E69+Settings!$B$3*Inputs_Class_Month!$F69)</f>
        <v>2680</v>
      </c>
      <c r="D69" s="8">
        <f>IF(N(Inputs_Class_Month!$D69)=0,"",C69/Inputs_Class_Month!$D69)</f>
        <v>0.670670670670671</v>
      </c>
      <c r="E69" s="8">
        <f>IF(N(Inputs_Class_Month!$D69)=0,"",Inputs_Class_Month!$E69/Inputs_Class_Month!$D69)</f>
        <v>0.670670670670671</v>
      </c>
      <c r="F69" s="8">
        <f>IF(N(Inputs_Class_Month!$D69)=0,"",Settings!$B$3*Inputs_Class_Month!$F69/Inputs_Class_Month!$D69)</f>
        <v>0</v>
      </c>
      <c r="G69" s="8">
        <f>IF(N(Inputs_Class_Month!$D69)=0,"",Inputs_Class_Month!$G69/Inputs_Class_Month!$D69)</f>
        <v>0.0177677677677678</v>
      </c>
      <c r="H69" s="7">
        <f>IF(N(Inputs_Class_Month!$C69)=0,"",Inputs_Class_Month!$I69/Inputs_Class_Month!$C69)</f>
        <v>228.928571428571</v>
      </c>
      <c r="I69" s="7">
        <f>IF(N(Inputs_Class_Month!$C69)=0,"",Inputs_Class_Month!$H69/Inputs_Class_Month!$C69)</f>
        <v>7</v>
      </c>
    </row>
    <row r="70" spans="1:9">
      <c r="A70" s="6" t="str">
        <f>IF(Inputs_Class_Month!$A70="","",Inputs_Class_Month!$A70)</f>
        <v>2025-08</v>
      </c>
      <c r="B70" s="6" t="str">
        <f>IF(Inputs_Class_Month!$B70="","",Inputs_Class_Month!$B70)</f>
        <v>3A</v>
      </c>
      <c r="C70" s="7">
        <f>IF(N(Inputs_Class_Month!$D70)=0,"",Inputs_Class_Month!$E70+Settings!$B$3*Inputs_Class_Month!$F70)</f>
        <v>3818</v>
      </c>
      <c r="D70" s="8">
        <f>IF(N(Inputs_Class_Month!$D70)=0,"",C70/Inputs_Class_Month!$D70)</f>
        <v>0.736496913580247</v>
      </c>
      <c r="E70" s="8">
        <f>IF(N(Inputs_Class_Month!$D70)=0,"",Inputs_Class_Month!$E70/Inputs_Class_Month!$D70)</f>
        <v>0.700424382716049</v>
      </c>
      <c r="F70" s="8">
        <f>IF(N(Inputs_Class_Month!$D70)=0,"",Settings!$B$3*Inputs_Class_Month!$F70/Inputs_Class_Month!$D70)</f>
        <v>0.0360725308641975</v>
      </c>
      <c r="G70" s="8">
        <f>IF(N(Inputs_Class_Month!$D70)=0,"",Inputs_Class_Month!$G70/Inputs_Class_Month!$D70)</f>
        <v>0.0563271604938272</v>
      </c>
      <c r="H70" s="7">
        <f>IF(N(Inputs_Class_Month!$C70)=0,"",Inputs_Class_Month!$I70/Inputs_Class_Month!$C70)</f>
        <v>156.354838709677</v>
      </c>
      <c r="I70" s="7">
        <f>IF(N(Inputs_Class_Month!$C70)=0,"",Inputs_Class_Month!$H70/Inputs_Class_Month!$C70)</f>
        <v>13.6774193548387</v>
      </c>
    </row>
    <row r="71" spans="1:9">
      <c r="A71" s="6" t="str">
        <f>IF(Inputs_Class_Month!$A71="","",Inputs_Class_Month!$A71)</f>
        <v>2025-08</v>
      </c>
      <c r="B71" s="6" t="str">
        <f>IF(Inputs_Class_Month!$B71="","",Inputs_Class_Month!$B71)</f>
        <v>CC</v>
      </c>
      <c r="C71" s="7">
        <f>IF(N(Inputs_Class_Month!$D71)=0,"",Inputs_Class_Month!$E71+Settings!$B$3*Inputs_Class_Month!$F71)</f>
        <v>126</v>
      </c>
      <c r="D71" s="8">
        <f>IF(N(Inputs_Class_Month!$D71)=0,"",C71/Inputs_Class_Month!$D71)</f>
        <v>0.538461538461538</v>
      </c>
      <c r="E71" s="8">
        <f>IF(N(Inputs_Class_Month!$D71)=0,"",Inputs_Class_Month!$E71/Inputs_Class_Month!$D71)</f>
        <v>0.538461538461538</v>
      </c>
      <c r="F71" s="8">
        <f>IF(N(Inputs_Class_Month!$D71)=0,"",Settings!$B$3*Inputs_Class_Month!$F71/Inputs_Class_Month!$D71)</f>
        <v>0</v>
      </c>
      <c r="G71" s="8">
        <f>IF(N(Inputs_Class_Month!$D71)=0,"",Inputs_Class_Month!$G71/Inputs_Class_Month!$D71)</f>
        <v>0</v>
      </c>
      <c r="H71" s="7">
        <f>IF(N(Inputs_Class_Month!$C71)=0,"",Inputs_Class_Month!$I71/Inputs_Class_Month!$C71)</f>
        <v>152</v>
      </c>
      <c r="I71" s="7">
        <f>IF(N(Inputs_Class_Month!$C71)=0,"",Inputs_Class_Month!$H71/Inputs_Class_Month!$C71)</f>
        <v>0</v>
      </c>
    </row>
    <row r="72" spans="1:9">
      <c r="A72" s="6" t="str">
        <f>IF(Inputs_Class_Month!$A72="","",Inputs_Class_Month!$A72)</f>
        <v>2025-08</v>
      </c>
      <c r="B72" s="6" t="str">
        <f>IF(Inputs_Class_Month!$B72="","",Inputs_Class_Month!$B72)</f>
        <v>SL</v>
      </c>
      <c r="C72" s="7">
        <f>IF(N(Inputs_Class_Month!$D72)=0,"",Inputs_Class_Month!$E72+Settings!$B$3*Inputs_Class_Month!$F72)</f>
        <v>4556</v>
      </c>
      <c r="D72" s="8">
        <f>IF(N(Inputs_Class_Month!$D72)=0,"",C72/Inputs_Class_Month!$D72)</f>
        <v>0.727330779054917</v>
      </c>
      <c r="E72" s="8">
        <f>IF(N(Inputs_Class_Month!$D72)=0,"",Inputs_Class_Month!$E72/Inputs_Class_Month!$D72)</f>
        <v>0.698116219667944</v>
      </c>
      <c r="F72" s="8">
        <f>IF(N(Inputs_Class_Month!$D72)=0,"",Settings!$B$3*Inputs_Class_Month!$F72/Inputs_Class_Month!$D72)</f>
        <v>0.0292145593869732</v>
      </c>
      <c r="G72" s="8">
        <f>IF(N(Inputs_Class_Month!$D72)=0,"",Inputs_Class_Month!$G72/Inputs_Class_Month!$D72)</f>
        <v>0.00989782886334611</v>
      </c>
      <c r="H72" s="7">
        <f>IF(N(Inputs_Class_Month!$C72)=0,"",Inputs_Class_Month!$I72/Inputs_Class_Month!$C72)</f>
        <v>182.833333333333</v>
      </c>
      <c r="I72" s="7">
        <f>IF(N(Inputs_Class_Month!$C72)=0,"",Inputs_Class_Month!$H72/Inputs_Class_Month!$C72)</f>
        <v>3.76666666666667</v>
      </c>
    </row>
    <row r="73" spans="1:9">
      <c r="A73" s="6" t="str">
        <f>IF(Inputs_Class_Month!$A73="","",Inputs_Class_Month!$A73)</f>
        <v>2025-09</v>
      </c>
      <c r="B73" s="6" t="str">
        <f>IF(Inputs_Class_Month!$B73="","",Inputs_Class_Month!$B73)</f>
        <v>1A</v>
      </c>
      <c r="C73" s="7">
        <f>IF(N(Inputs_Class_Month!$D73)=0,"",Inputs_Class_Month!$E73+Settings!$B$3*Inputs_Class_Month!$F73)</f>
        <v>13</v>
      </c>
      <c r="D73" s="8">
        <f>IF(N(Inputs_Class_Month!$D73)=0,"",C73/Inputs_Class_Month!$D73)</f>
        <v>0.541666666666667</v>
      </c>
      <c r="E73" s="8">
        <f>IF(N(Inputs_Class_Month!$D73)=0,"",Inputs_Class_Month!$E73/Inputs_Class_Month!$D73)</f>
        <v>0.541666666666667</v>
      </c>
      <c r="F73" s="8">
        <f>IF(N(Inputs_Class_Month!$D73)=0,"",Settings!$B$3*Inputs_Class_Month!$F73/Inputs_Class_Month!$D73)</f>
        <v>0</v>
      </c>
      <c r="G73" s="8">
        <f>IF(N(Inputs_Class_Month!$D73)=0,"",Inputs_Class_Month!$G73/Inputs_Class_Month!$D73)</f>
        <v>0</v>
      </c>
      <c r="H73" s="7">
        <f>IF(N(Inputs_Class_Month!$C73)=0,"",Inputs_Class_Month!$I73/Inputs_Class_Month!$C73)</f>
        <v>13</v>
      </c>
      <c r="I73" s="7">
        <f>IF(N(Inputs_Class_Month!$C73)=0,"",Inputs_Class_Month!$H73/Inputs_Class_Month!$C73)</f>
        <v>0</v>
      </c>
    </row>
    <row r="74" spans="1:9">
      <c r="A74" s="6" t="str">
        <f>IF(Inputs_Class_Month!$A74="","",Inputs_Class_Month!$A74)</f>
        <v>2025-09</v>
      </c>
      <c r="B74" s="6" t="str">
        <f>IF(Inputs_Class_Month!$B74="","",Inputs_Class_Month!$B74)</f>
        <v>2A</v>
      </c>
      <c r="C74" s="7">
        <f>IF(N(Inputs_Class_Month!$D74)=0,"",Inputs_Class_Month!$E74+Settings!$B$3*Inputs_Class_Month!$F74)</f>
        <v>681</v>
      </c>
      <c r="D74" s="8">
        <f>IF(N(Inputs_Class_Month!$D74)=0,"",C74/Inputs_Class_Month!$D74)</f>
        <v>0.616847826086957</v>
      </c>
      <c r="E74" s="8">
        <f>IF(N(Inputs_Class_Month!$D74)=0,"",Inputs_Class_Month!$E74/Inputs_Class_Month!$D74)</f>
        <v>0.615942028985507</v>
      </c>
      <c r="F74" s="8">
        <f>IF(N(Inputs_Class_Month!$D74)=0,"",Settings!$B$3*Inputs_Class_Month!$F74/Inputs_Class_Month!$D74)</f>
        <v>0.000905797101449275</v>
      </c>
      <c r="G74" s="8">
        <f>IF(N(Inputs_Class_Month!$D74)=0,"",Inputs_Class_Month!$G74/Inputs_Class_Month!$D74)</f>
        <v>0</v>
      </c>
      <c r="H74" s="7">
        <f>IF(N(Inputs_Class_Month!$C74)=0,"",Inputs_Class_Month!$I74/Inputs_Class_Month!$C74)</f>
        <v>49.3333333333333</v>
      </c>
      <c r="I74" s="7">
        <f>IF(N(Inputs_Class_Month!$C74)=0,"",Inputs_Class_Month!$H74/Inputs_Class_Month!$C74)</f>
        <v>0</v>
      </c>
    </row>
    <row r="75" spans="1:9">
      <c r="A75" s="6" t="str">
        <f>IF(Inputs_Class_Month!$A75="","",Inputs_Class_Month!$A75)</f>
        <v>2025-09</v>
      </c>
      <c r="B75" s="6" t="str">
        <f>IF(Inputs_Class_Month!$B75="","",Inputs_Class_Month!$B75)</f>
        <v>2S</v>
      </c>
      <c r="C75" s="7">
        <f>IF(N(Inputs_Class_Month!$D75)=0,"",Inputs_Class_Month!$E75+Settings!$B$3*Inputs_Class_Month!$F75)</f>
        <v>2808</v>
      </c>
      <c r="D75" s="8">
        <f>IF(N(Inputs_Class_Month!$D75)=0,"",C75/Inputs_Class_Month!$D75)</f>
        <v>0.619047619047619</v>
      </c>
      <c r="E75" s="8">
        <f>IF(N(Inputs_Class_Month!$D75)=0,"",Inputs_Class_Month!$E75/Inputs_Class_Month!$D75)</f>
        <v>0.619047619047619</v>
      </c>
      <c r="F75" s="8">
        <f>IF(N(Inputs_Class_Month!$D75)=0,"",Settings!$B$3*Inputs_Class_Month!$F75/Inputs_Class_Month!$D75)</f>
        <v>0</v>
      </c>
      <c r="G75" s="8">
        <f>IF(N(Inputs_Class_Month!$D75)=0,"",Inputs_Class_Month!$G75/Inputs_Class_Month!$D75)</f>
        <v>0.0542328042328042</v>
      </c>
      <c r="H75" s="7">
        <f>IF(N(Inputs_Class_Month!$C75)=0,"",Inputs_Class_Month!$I75/Inputs_Class_Month!$C75)</f>
        <v>208.294117647059</v>
      </c>
      <c r="I75" s="7">
        <f>IF(N(Inputs_Class_Month!$C75)=0,"",Inputs_Class_Month!$H75/Inputs_Class_Month!$C75)</f>
        <v>20.6470588235294</v>
      </c>
    </row>
    <row r="76" spans="1:9">
      <c r="A76" s="6" t="str">
        <f>IF(Inputs_Class_Month!$A76="","",Inputs_Class_Month!$A76)</f>
        <v>2025-09</v>
      </c>
      <c r="B76" s="6" t="str">
        <f>IF(Inputs_Class_Month!$B76="","",Inputs_Class_Month!$B76)</f>
        <v>3A</v>
      </c>
      <c r="C76" s="7">
        <f>IF(N(Inputs_Class_Month!$D76)=0,"",Inputs_Class_Month!$E76+Settings!$B$3*Inputs_Class_Month!$F76)</f>
        <v>3754</v>
      </c>
      <c r="D76" s="8">
        <f>IF(N(Inputs_Class_Month!$D76)=0,"",C76/Inputs_Class_Month!$D76)</f>
        <v>0.724151234567901</v>
      </c>
      <c r="E76" s="8">
        <f>IF(N(Inputs_Class_Month!$D76)=0,"",Inputs_Class_Month!$E76/Inputs_Class_Month!$D76)</f>
        <v>0.693672839506173</v>
      </c>
      <c r="F76" s="8">
        <f>IF(N(Inputs_Class_Month!$D76)=0,"",Settings!$B$3*Inputs_Class_Month!$F76/Inputs_Class_Month!$D76)</f>
        <v>0.0304783950617284</v>
      </c>
      <c r="G76" s="8">
        <f>IF(N(Inputs_Class_Month!$D76)=0,"",Inputs_Class_Month!$G76/Inputs_Class_Month!$D76)</f>
        <v>0.0316358024691358</v>
      </c>
      <c r="H76" s="7">
        <f>IF(N(Inputs_Class_Month!$C76)=0,"",Inputs_Class_Month!$I76/Inputs_Class_Month!$C76)</f>
        <v>150.322580645161</v>
      </c>
      <c r="I76" s="7">
        <f>IF(N(Inputs_Class_Month!$C76)=0,"",Inputs_Class_Month!$H76/Inputs_Class_Month!$C76)</f>
        <v>8.64516129032258</v>
      </c>
    </row>
    <row r="77" spans="1:9">
      <c r="A77" s="6" t="str">
        <f>IF(Inputs_Class_Month!$A77="","",Inputs_Class_Month!$A77)</f>
        <v>2025-09</v>
      </c>
      <c r="B77" s="6" t="str">
        <f>IF(Inputs_Class_Month!$B77="","",Inputs_Class_Month!$B77)</f>
        <v>CC</v>
      </c>
      <c r="C77" s="7">
        <f>IF(N(Inputs_Class_Month!$D77)=0,"",Inputs_Class_Month!$E77+Settings!$B$3*Inputs_Class_Month!$F77)</f>
        <v>77</v>
      </c>
      <c r="D77" s="8">
        <f>IF(N(Inputs_Class_Month!$D77)=0,"",C77/Inputs_Class_Month!$D77)</f>
        <v>0.493589743589744</v>
      </c>
      <c r="E77" s="8">
        <f>IF(N(Inputs_Class_Month!$D77)=0,"",Inputs_Class_Month!$E77/Inputs_Class_Month!$D77)</f>
        <v>0.493589743589744</v>
      </c>
      <c r="F77" s="8">
        <f>IF(N(Inputs_Class_Month!$D77)=0,"",Settings!$B$3*Inputs_Class_Month!$F77/Inputs_Class_Month!$D77)</f>
        <v>0</v>
      </c>
      <c r="G77" s="8">
        <f>IF(N(Inputs_Class_Month!$D77)=0,"",Inputs_Class_Month!$G77/Inputs_Class_Month!$D77)</f>
        <v>0</v>
      </c>
      <c r="H77" s="7">
        <f>IF(N(Inputs_Class_Month!$C77)=0,"",Inputs_Class_Month!$I77/Inputs_Class_Month!$C77)</f>
        <v>88</v>
      </c>
      <c r="I77" s="7">
        <f>IF(N(Inputs_Class_Month!$C77)=0,"",Inputs_Class_Month!$H77/Inputs_Class_Month!$C77)</f>
        <v>0</v>
      </c>
    </row>
    <row r="78" spans="1:9">
      <c r="A78" s="6" t="str">
        <f>IF(Inputs_Class_Month!$A78="","",Inputs_Class_Month!$A78)</f>
        <v>2025-09</v>
      </c>
      <c r="B78" s="6" t="str">
        <f>IF(Inputs_Class_Month!$B78="","",Inputs_Class_Month!$B78)</f>
        <v>SL</v>
      </c>
      <c r="C78" s="7">
        <f>IF(N(Inputs_Class_Month!$D78)=0,"",Inputs_Class_Month!$E78+Settings!$B$3*Inputs_Class_Month!$F78)</f>
        <v>4619.5</v>
      </c>
      <c r="D78" s="8">
        <f>IF(N(Inputs_Class_Month!$D78)=0,"",C78/Inputs_Class_Month!$D78)</f>
        <v>0.705051892551893</v>
      </c>
      <c r="E78" s="8">
        <f>IF(N(Inputs_Class_Month!$D78)=0,"",Inputs_Class_Month!$E78/Inputs_Class_Month!$D78)</f>
        <v>0.672771672771673</v>
      </c>
      <c r="F78" s="8">
        <f>IF(N(Inputs_Class_Month!$D78)=0,"",Settings!$B$3*Inputs_Class_Month!$F78/Inputs_Class_Month!$D78)</f>
        <v>0.0322802197802198</v>
      </c>
      <c r="G78" s="8">
        <f>IF(N(Inputs_Class_Month!$D78)=0,"",Inputs_Class_Month!$G78/Inputs_Class_Month!$D78)</f>
        <v>0.0491452991452991</v>
      </c>
      <c r="H78" s="7">
        <f>IF(N(Inputs_Class_Month!$C78)=0,"",Inputs_Class_Month!$I78/Inputs_Class_Month!$C78)</f>
        <v>197.774193548387</v>
      </c>
      <c r="I78" s="7">
        <f>IF(N(Inputs_Class_Month!$C78)=0,"",Inputs_Class_Month!$H78/Inputs_Class_Month!$C78)</f>
        <v>17.3870967741935</v>
      </c>
    </row>
    <row r="79" spans="1:9">
      <c r="A79" s="6" t="str">
        <f>IF(Inputs_Class_Month!$A79="","",Inputs_Class_Month!$A79)</f>
        <v>2025-10</v>
      </c>
      <c r="B79" s="6" t="str">
        <f>IF(Inputs_Class_Month!$B79="","",Inputs_Class_Month!$B79)</f>
        <v>1A</v>
      </c>
      <c r="C79" s="7">
        <f>IF(N(Inputs_Class_Month!$D79)=0,"",Inputs_Class_Month!$E79+Settings!$B$3*Inputs_Class_Month!$F79)</f>
        <v>20</v>
      </c>
      <c r="D79" s="8">
        <f>IF(N(Inputs_Class_Month!$D79)=0,"",C79/Inputs_Class_Month!$D79)</f>
        <v>0.833333333333333</v>
      </c>
      <c r="E79" s="8">
        <f>IF(N(Inputs_Class_Month!$D79)=0,"",Inputs_Class_Month!$E79/Inputs_Class_Month!$D79)</f>
        <v>0.833333333333333</v>
      </c>
      <c r="F79" s="8">
        <f>IF(N(Inputs_Class_Month!$D79)=0,"",Settings!$B$3*Inputs_Class_Month!$F79/Inputs_Class_Month!$D79)</f>
        <v>0</v>
      </c>
      <c r="G79" s="8">
        <f>IF(N(Inputs_Class_Month!$D79)=0,"",Inputs_Class_Month!$G79/Inputs_Class_Month!$D79)</f>
        <v>0</v>
      </c>
      <c r="H79" s="7">
        <f>IF(N(Inputs_Class_Month!$C79)=0,"",Inputs_Class_Month!$I79/Inputs_Class_Month!$C79)</f>
        <v>24</v>
      </c>
      <c r="I79" s="7">
        <f>IF(N(Inputs_Class_Month!$C79)=0,"",Inputs_Class_Month!$H79/Inputs_Class_Month!$C79)</f>
        <v>0</v>
      </c>
    </row>
    <row r="80" spans="1:9">
      <c r="A80" s="6" t="str">
        <f>IF(Inputs_Class_Month!$A80="","",Inputs_Class_Month!$A80)</f>
        <v>2025-10</v>
      </c>
      <c r="B80" s="6" t="str">
        <f>IF(Inputs_Class_Month!$B80="","",Inputs_Class_Month!$B80)</f>
        <v>2A</v>
      </c>
      <c r="C80" s="7">
        <f>IF(N(Inputs_Class_Month!$D80)=0,"",Inputs_Class_Month!$E80+Settings!$B$3*Inputs_Class_Month!$F80)</f>
        <v>820.5</v>
      </c>
      <c r="D80" s="8">
        <f>IF(N(Inputs_Class_Month!$D80)=0,"",C80/Inputs_Class_Month!$D80)</f>
        <v>0.743206521739131</v>
      </c>
      <c r="E80" s="8">
        <f>IF(N(Inputs_Class_Month!$D80)=0,"",Inputs_Class_Month!$E80/Inputs_Class_Month!$D80)</f>
        <v>0.703804347826087</v>
      </c>
      <c r="F80" s="8">
        <f>IF(N(Inputs_Class_Month!$D80)=0,"",Settings!$B$3*Inputs_Class_Month!$F80/Inputs_Class_Month!$D80)</f>
        <v>0.0394021739130435</v>
      </c>
      <c r="G80" s="8">
        <f>IF(N(Inputs_Class_Month!$D80)=0,"",Inputs_Class_Month!$G80/Inputs_Class_Month!$D80)</f>
        <v>0.0335144927536232</v>
      </c>
      <c r="H80" s="7">
        <f>IF(N(Inputs_Class_Month!$C80)=0,"",Inputs_Class_Month!$I80/Inputs_Class_Month!$C80)</f>
        <v>78.8461538461538</v>
      </c>
      <c r="I80" s="7">
        <f>IF(N(Inputs_Class_Month!$C80)=0,"",Inputs_Class_Month!$H80/Inputs_Class_Month!$C80)</f>
        <v>4.23076923076923</v>
      </c>
    </row>
    <row r="81" spans="1:9">
      <c r="A81" s="6" t="str">
        <f>IF(Inputs_Class_Month!$A81="","",Inputs_Class_Month!$A81)</f>
        <v>2025-10</v>
      </c>
      <c r="B81" s="6" t="str">
        <f>IF(Inputs_Class_Month!$B81="","",Inputs_Class_Month!$B81)</f>
        <v>2S</v>
      </c>
      <c r="C81" s="7">
        <f>IF(N(Inputs_Class_Month!$D81)=0,"",Inputs_Class_Month!$E81+Settings!$B$3*Inputs_Class_Month!$F81)</f>
        <v>3720</v>
      </c>
      <c r="D81" s="8">
        <f>IF(N(Inputs_Class_Month!$D81)=0,"",C81/Inputs_Class_Month!$D81)</f>
        <v>0.702947845804989</v>
      </c>
      <c r="E81" s="8">
        <f>IF(N(Inputs_Class_Month!$D81)=0,"",Inputs_Class_Month!$E81/Inputs_Class_Month!$D81)</f>
        <v>0.702947845804989</v>
      </c>
      <c r="F81" s="8">
        <f>IF(N(Inputs_Class_Month!$D81)=0,"",Settings!$B$3*Inputs_Class_Month!$F81/Inputs_Class_Month!$D81)</f>
        <v>0</v>
      </c>
      <c r="G81" s="8">
        <f>IF(N(Inputs_Class_Month!$D81)=0,"",Inputs_Class_Month!$G81/Inputs_Class_Month!$D81)</f>
        <v>0.0366591080876795</v>
      </c>
      <c r="H81" s="7">
        <f>IF(N(Inputs_Class_Month!$C81)=0,"",Inputs_Class_Month!$I81/Inputs_Class_Month!$C81)</f>
        <v>238.368421052632</v>
      </c>
      <c r="I81" s="7">
        <f>IF(N(Inputs_Class_Month!$C81)=0,"",Inputs_Class_Month!$H81/Inputs_Class_Month!$C81)</f>
        <v>14.7894736842105</v>
      </c>
    </row>
    <row r="82" spans="1:9">
      <c r="A82" s="6" t="str">
        <f>IF(Inputs_Class_Month!$A82="","",Inputs_Class_Month!$A82)</f>
        <v>2025-10</v>
      </c>
      <c r="B82" s="6" t="str">
        <f>IF(Inputs_Class_Month!$B82="","",Inputs_Class_Month!$B82)</f>
        <v>3A</v>
      </c>
      <c r="C82" s="7">
        <f>IF(N(Inputs_Class_Month!$D82)=0,"",Inputs_Class_Month!$E82+Settings!$B$3*Inputs_Class_Month!$F82)</f>
        <v>4136</v>
      </c>
      <c r="D82" s="8">
        <f>IF(N(Inputs_Class_Month!$D82)=0,"",C82/Inputs_Class_Month!$D82)</f>
        <v>0.850328947368421</v>
      </c>
      <c r="E82" s="8">
        <f>IF(N(Inputs_Class_Month!$D82)=0,"",Inputs_Class_Month!$E82/Inputs_Class_Month!$D82)</f>
        <v>0.795024671052632</v>
      </c>
      <c r="F82" s="8">
        <f>IF(N(Inputs_Class_Month!$D82)=0,"",Settings!$B$3*Inputs_Class_Month!$F82/Inputs_Class_Month!$D82)</f>
        <v>0.0553042763157895</v>
      </c>
      <c r="G82" s="8">
        <f>IF(N(Inputs_Class_Month!$D82)=0,"",Inputs_Class_Month!$G82/Inputs_Class_Month!$D82)</f>
        <v>0.0892269736842105</v>
      </c>
      <c r="H82" s="7">
        <f>IF(N(Inputs_Class_Month!$C82)=0,"",Inputs_Class_Month!$I82/Inputs_Class_Month!$C82)</f>
        <v>179.516129032258</v>
      </c>
      <c r="I82" s="7">
        <f>IF(N(Inputs_Class_Month!$C82)=0,"",Inputs_Class_Month!$H82/Inputs_Class_Month!$C82)</f>
        <v>19.4193548387097</v>
      </c>
    </row>
    <row r="83" spans="1:9">
      <c r="A83" s="6" t="str">
        <f>IF(Inputs_Class_Month!$A83="","",Inputs_Class_Month!$A83)</f>
        <v>2025-10</v>
      </c>
      <c r="B83" s="6" t="str">
        <f>IF(Inputs_Class_Month!$B83="","",Inputs_Class_Month!$B83)</f>
        <v>CC</v>
      </c>
      <c r="C83" s="7">
        <f>IF(N(Inputs_Class_Month!$D83)=0,"",Inputs_Class_Month!$E83+Settings!$B$3*Inputs_Class_Month!$F83)</f>
        <v>130</v>
      </c>
      <c r="D83" s="8">
        <f>IF(N(Inputs_Class_Month!$D83)=0,"",C83/Inputs_Class_Month!$D83)</f>
        <v>0.555555555555556</v>
      </c>
      <c r="E83" s="8">
        <f>IF(N(Inputs_Class_Month!$D83)=0,"",Inputs_Class_Month!$E83/Inputs_Class_Month!$D83)</f>
        <v>0.555555555555556</v>
      </c>
      <c r="F83" s="8">
        <f>IF(N(Inputs_Class_Month!$D83)=0,"",Settings!$B$3*Inputs_Class_Month!$F83/Inputs_Class_Month!$D83)</f>
        <v>0</v>
      </c>
      <c r="G83" s="8">
        <f>IF(N(Inputs_Class_Month!$D83)=0,"",Inputs_Class_Month!$G83/Inputs_Class_Month!$D83)</f>
        <v>0</v>
      </c>
      <c r="H83" s="7">
        <f>IF(N(Inputs_Class_Month!$C83)=0,"",Inputs_Class_Month!$I83/Inputs_Class_Month!$C83)</f>
        <v>153</v>
      </c>
      <c r="I83" s="7">
        <f>IF(N(Inputs_Class_Month!$C83)=0,"",Inputs_Class_Month!$H83/Inputs_Class_Month!$C83)</f>
        <v>0</v>
      </c>
    </row>
    <row r="84" spans="1:9">
      <c r="A84" s="6" t="str">
        <f>IF(Inputs_Class_Month!$A84="","",Inputs_Class_Month!$A84)</f>
        <v>2025-10</v>
      </c>
      <c r="B84" s="6" t="str">
        <f>IF(Inputs_Class_Month!$B84="","",Inputs_Class_Month!$B84)</f>
        <v>SL</v>
      </c>
      <c r="C84" s="7">
        <f>IF(N(Inputs_Class_Month!$D84)=0,"",Inputs_Class_Month!$E84+Settings!$B$3*Inputs_Class_Month!$F84)</f>
        <v>4325</v>
      </c>
      <c r="D84" s="8">
        <f>IF(N(Inputs_Class_Month!$D84)=0,"",C84/Inputs_Class_Month!$D84)</f>
        <v>0.674937578027466</v>
      </c>
      <c r="E84" s="8">
        <f>IF(N(Inputs_Class_Month!$D84)=0,"",Inputs_Class_Month!$E84/Inputs_Class_Month!$D84)</f>
        <v>0.645911360799001</v>
      </c>
      <c r="F84" s="8">
        <f>IF(N(Inputs_Class_Month!$D84)=0,"",Settings!$B$3*Inputs_Class_Month!$F84/Inputs_Class_Month!$D84)</f>
        <v>0.0290262172284644</v>
      </c>
      <c r="G84" s="8">
        <f>IF(N(Inputs_Class_Month!$D84)=0,"",Inputs_Class_Month!$G84/Inputs_Class_Month!$D84)</f>
        <v>0.0458801498127341</v>
      </c>
      <c r="H84" s="7">
        <f>IF(N(Inputs_Class_Month!$C84)=0,"",Inputs_Class_Month!$I84/Inputs_Class_Month!$C84)</f>
        <v>187.633333333333</v>
      </c>
      <c r="I84" s="7">
        <f>IF(N(Inputs_Class_Month!$C84)=0,"",Inputs_Class_Month!$H84/Inputs_Class_Month!$C84)</f>
        <v>16.0333333333333</v>
      </c>
    </row>
    <row r="85" spans="1:9">
      <c r="A85" s="6" t="str">
        <f>IF(Inputs_Class_Month!$A85="","",Inputs_Class_Month!$A85)</f>
        <v>2025-11</v>
      </c>
      <c r="B85" s="6" t="str">
        <f>IF(Inputs_Class_Month!$B85="","",Inputs_Class_Month!$B85)</f>
        <v>1A</v>
      </c>
      <c r="C85" s="7">
        <f>IF(N(Inputs_Class_Month!$D85)=0,"",Inputs_Class_Month!$E85+Settings!$B$3*Inputs_Class_Month!$F85)</f>
        <v>37</v>
      </c>
      <c r="D85" s="8">
        <f>IF(N(Inputs_Class_Month!$D85)=0,"",C85/Inputs_Class_Month!$D85)</f>
        <v>0.770833333333333</v>
      </c>
      <c r="E85" s="8">
        <f>IF(N(Inputs_Class_Month!$D85)=0,"",Inputs_Class_Month!$E85/Inputs_Class_Month!$D85)</f>
        <v>0.770833333333333</v>
      </c>
      <c r="F85" s="8">
        <f>IF(N(Inputs_Class_Month!$D85)=0,"",Settings!$B$3*Inputs_Class_Month!$F85/Inputs_Class_Month!$D85)</f>
        <v>0</v>
      </c>
      <c r="G85" s="8">
        <f>IF(N(Inputs_Class_Month!$D85)=0,"",Inputs_Class_Month!$G85/Inputs_Class_Month!$D85)</f>
        <v>0</v>
      </c>
      <c r="H85" s="7">
        <f>IF(N(Inputs_Class_Month!$C85)=0,"",Inputs_Class_Month!$I85/Inputs_Class_Month!$C85)</f>
        <v>19</v>
      </c>
      <c r="I85" s="7">
        <f>IF(N(Inputs_Class_Month!$C85)=0,"",Inputs_Class_Month!$H85/Inputs_Class_Month!$C85)</f>
        <v>0</v>
      </c>
    </row>
    <row r="86" spans="1:9">
      <c r="A86" s="6" t="str">
        <f>IF(Inputs_Class_Month!$A86="","",Inputs_Class_Month!$A86)</f>
        <v>2025-11</v>
      </c>
      <c r="B86" s="6" t="str">
        <f>IF(Inputs_Class_Month!$B86="","",Inputs_Class_Month!$B86)</f>
        <v>2A</v>
      </c>
      <c r="C86" s="7">
        <f>IF(N(Inputs_Class_Month!$D86)=0,"",Inputs_Class_Month!$E86+Settings!$B$3*Inputs_Class_Month!$F86)</f>
        <v>726.5</v>
      </c>
      <c r="D86" s="8">
        <f>IF(N(Inputs_Class_Month!$D86)=0,"",C86/Inputs_Class_Month!$D86)</f>
        <v>0.607441471571906</v>
      </c>
      <c r="E86" s="8">
        <f>IF(N(Inputs_Class_Month!$D86)=0,"",Inputs_Class_Month!$E86/Inputs_Class_Month!$D86)</f>
        <v>0.586120401337793</v>
      </c>
      <c r="F86" s="8">
        <f>IF(N(Inputs_Class_Month!$D86)=0,"",Settings!$B$3*Inputs_Class_Month!$F86/Inputs_Class_Month!$D86)</f>
        <v>0.0213210702341137</v>
      </c>
      <c r="G86" s="8">
        <f>IF(N(Inputs_Class_Month!$D86)=0,"",Inputs_Class_Month!$G86/Inputs_Class_Month!$D86)</f>
        <v>0.0309364548494983</v>
      </c>
      <c r="H86" s="7">
        <f>IF(N(Inputs_Class_Month!$C86)=0,"",Inputs_Class_Month!$I86/Inputs_Class_Month!$C86)</f>
        <v>55.6875</v>
      </c>
      <c r="I86" s="7">
        <f>IF(N(Inputs_Class_Month!$C86)=0,"",Inputs_Class_Month!$H86/Inputs_Class_Month!$C86)</f>
        <v>3.0625</v>
      </c>
    </row>
    <row r="87" spans="1:9">
      <c r="A87" s="6" t="str">
        <f>IF(Inputs_Class_Month!$A87="","",Inputs_Class_Month!$A87)</f>
        <v>2025-11</v>
      </c>
      <c r="B87" s="6" t="str">
        <f>IF(Inputs_Class_Month!$B87="","",Inputs_Class_Month!$B87)</f>
        <v>2S</v>
      </c>
      <c r="C87" s="7">
        <f>IF(N(Inputs_Class_Month!$D87)=0,"",Inputs_Class_Month!$E87+Settings!$B$3*Inputs_Class_Month!$F87)</f>
        <v>3038</v>
      </c>
      <c r="D87" s="8">
        <f>IF(N(Inputs_Class_Month!$D87)=0,"",C87/Inputs_Class_Month!$D87)</f>
        <v>0.686088527551942</v>
      </c>
      <c r="E87" s="8">
        <f>IF(N(Inputs_Class_Month!$D87)=0,"",Inputs_Class_Month!$E87/Inputs_Class_Month!$D87)</f>
        <v>0.686088527551942</v>
      </c>
      <c r="F87" s="8">
        <f>IF(N(Inputs_Class_Month!$D87)=0,"",Settings!$B$3*Inputs_Class_Month!$F87/Inputs_Class_Month!$D87)</f>
        <v>0</v>
      </c>
      <c r="G87" s="8">
        <f>IF(N(Inputs_Class_Month!$D87)=0,"",Inputs_Class_Month!$G87/Inputs_Class_Month!$D87)</f>
        <v>0.0359078590785908</v>
      </c>
      <c r="H87" s="7">
        <f>IF(N(Inputs_Class_Month!$C87)=0,"",Inputs_Class_Month!$I87/Inputs_Class_Month!$C87)</f>
        <v>235.3125</v>
      </c>
      <c r="I87" s="7">
        <f>IF(N(Inputs_Class_Month!$C87)=0,"",Inputs_Class_Month!$H87/Inputs_Class_Month!$C87)</f>
        <v>13.625</v>
      </c>
    </row>
    <row r="88" spans="1:9">
      <c r="A88" s="6" t="str">
        <f>IF(Inputs_Class_Month!$A88="","",Inputs_Class_Month!$A88)</f>
        <v>2025-11</v>
      </c>
      <c r="B88" s="6" t="str">
        <f>IF(Inputs_Class_Month!$B88="","",Inputs_Class_Month!$B88)</f>
        <v>3A</v>
      </c>
      <c r="C88" s="7">
        <f>IF(N(Inputs_Class_Month!$D88)=0,"",Inputs_Class_Month!$E88+Settings!$B$3*Inputs_Class_Month!$F88)</f>
        <v>4149</v>
      </c>
      <c r="D88" s="8">
        <f>IF(N(Inputs_Class_Month!$D88)=0,"",C88/Inputs_Class_Month!$D88)</f>
        <v>0.781061746987952</v>
      </c>
      <c r="E88" s="8">
        <f>IF(N(Inputs_Class_Month!$D88)=0,"",Inputs_Class_Month!$E88/Inputs_Class_Month!$D88)</f>
        <v>0.745293674698795</v>
      </c>
      <c r="F88" s="8">
        <f>IF(N(Inputs_Class_Month!$D88)=0,"",Settings!$B$3*Inputs_Class_Month!$F88/Inputs_Class_Month!$D88)</f>
        <v>0.0357680722891566</v>
      </c>
      <c r="G88" s="8">
        <f>IF(N(Inputs_Class_Month!$D88)=0,"",Inputs_Class_Month!$G88/Inputs_Class_Month!$D88)</f>
        <v>0.0320030120481928</v>
      </c>
      <c r="H88" s="7">
        <f>IF(N(Inputs_Class_Month!$C88)=0,"",Inputs_Class_Month!$I88/Inputs_Class_Month!$C88)</f>
        <v>161</v>
      </c>
      <c r="I88" s="7">
        <f>IF(N(Inputs_Class_Month!$C88)=0,"",Inputs_Class_Month!$H88/Inputs_Class_Month!$C88)</f>
        <v>8.125</v>
      </c>
    </row>
    <row r="89" spans="1:9">
      <c r="A89" s="6" t="str">
        <f>IF(Inputs_Class_Month!$A89="","",Inputs_Class_Month!$A89)</f>
        <v>2025-11</v>
      </c>
      <c r="B89" s="6" t="str">
        <f>IF(Inputs_Class_Month!$B89="","",Inputs_Class_Month!$B89)</f>
        <v>SL</v>
      </c>
      <c r="C89" s="7">
        <f>IF(N(Inputs_Class_Month!$D89)=0,"",Inputs_Class_Month!$E89+Settings!$B$3*Inputs_Class_Month!$F89)</f>
        <v>4925.5</v>
      </c>
      <c r="D89" s="8">
        <f>IF(N(Inputs_Class_Month!$D89)=0,"",C89/Inputs_Class_Month!$D89)</f>
        <v>0.760108024691358</v>
      </c>
      <c r="E89" s="8">
        <f>IF(N(Inputs_Class_Month!$D89)=0,"",Inputs_Class_Month!$E89/Inputs_Class_Month!$D89)</f>
        <v>0.722222222222222</v>
      </c>
      <c r="F89" s="8">
        <f>IF(N(Inputs_Class_Month!$D89)=0,"",Settings!$B$3*Inputs_Class_Month!$F89/Inputs_Class_Month!$D89)</f>
        <v>0.0378858024691358</v>
      </c>
      <c r="G89" s="8">
        <f>IF(N(Inputs_Class_Month!$D89)=0,"",Inputs_Class_Month!$G89/Inputs_Class_Month!$D89)</f>
        <v>0.0811728395061728</v>
      </c>
      <c r="H89" s="7">
        <f>IF(N(Inputs_Class_Month!$C89)=0,"",Inputs_Class_Month!$I89/Inputs_Class_Month!$C89)</f>
        <v>223.6</v>
      </c>
      <c r="I89" s="7">
        <f>IF(N(Inputs_Class_Month!$C89)=0,"",Inputs_Class_Month!$H89/Inputs_Class_Month!$C89)</f>
        <v>27.5333333333333</v>
      </c>
    </row>
    <row r="90" spans="1:9">
      <c r="A90" s="6" t="str">
        <f>IF(Inputs_Class_Month!$A90="","",Inputs_Class_Month!$A90)</f>
        <v>2025-12</v>
      </c>
      <c r="B90" s="6" t="str">
        <f>IF(Inputs_Class_Month!$B90="","",Inputs_Class_Month!$B90)</f>
        <v>1A</v>
      </c>
      <c r="C90" s="7">
        <f>IF(N(Inputs_Class_Month!$D90)=0,"",Inputs_Class_Month!$E90+Settings!$B$3*Inputs_Class_Month!$F90)</f>
        <v>10</v>
      </c>
      <c r="D90" s="8">
        <f>IF(N(Inputs_Class_Month!$D90)=0,"",C90/Inputs_Class_Month!$D90)</f>
        <v>0.416666666666667</v>
      </c>
      <c r="E90" s="8">
        <f>IF(N(Inputs_Class_Month!$D90)=0,"",Inputs_Class_Month!$E90/Inputs_Class_Month!$D90)</f>
        <v>0.416666666666667</v>
      </c>
      <c r="F90" s="8">
        <f>IF(N(Inputs_Class_Month!$D90)=0,"",Settings!$B$3*Inputs_Class_Month!$F90/Inputs_Class_Month!$D90)</f>
        <v>0</v>
      </c>
      <c r="G90" s="8">
        <f>IF(N(Inputs_Class_Month!$D90)=0,"",Inputs_Class_Month!$G90/Inputs_Class_Month!$D90)</f>
        <v>0</v>
      </c>
      <c r="H90" s="7">
        <f>IF(N(Inputs_Class_Month!$C90)=0,"",Inputs_Class_Month!$I90/Inputs_Class_Month!$C90)</f>
        <v>15</v>
      </c>
      <c r="I90" s="7">
        <f>IF(N(Inputs_Class_Month!$C90)=0,"",Inputs_Class_Month!$H90/Inputs_Class_Month!$C90)</f>
        <v>0</v>
      </c>
    </row>
    <row r="91" spans="1:9">
      <c r="A91" s="6" t="str">
        <f>IF(Inputs_Class_Month!$A91="","",Inputs_Class_Month!$A91)</f>
        <v>2025-12</v>
      </c>
      <c r="B91" s="6" t="str">
        <f>IF(Inputs_Class_Month!$B91="","",Inputs_Class_Month!$B91)</f>
        <v>2A</v>
      </c>
      <c r="C91" s="7">
        <f>IF(N(Inputs_Class_Month!$D91)=0,"",Inputs_Class_Month!$E91+Settings!$B$3*Inputs_Class_Month!$F91)</f>
        <v>753</v>
      </c>
      <c r="D91" s="8">
        <f>IF(N(Inputs_Class_Month!$D91)=0,"",C91/Inputs_Class_Month!$D91)</f>
        <v>0.744071146245059</v>
      </c>
      <c r="E91" s="8">
        <f>IF(N(Inputs_Class_Month!$D91)=0,"",Inputs_Class_Month!$E91/Inputs_Class_Month!$D91)</f>
        <v>0.714426877470356</v>
      </c>
      <c r="F91" s="8">
        <f>IF(N(Inputs_Class_Month!$D91)=0,"",Settings!$B$3*Inputs_Class_Month!$F91/Inputs_Class_Month!$D91)</f>
        <v>0.0296442687747036</v>
      </c>
      <c r="G91" s="8">
        <f>IF(N(Inputs_Class_Month!$D91)=0,"",Inputs_Class_Month!$G91/Inputs_Class_Month!$D91)</f>
        <v>0.0177865612648221</v>
      </c>
      <c r="H91" s="7">
        <f>IF(N(Inputs_Class_Month!$C91)=0,"",Inputs_Class_Month!$I91/Inputs_Class_Month!$C91)</f>
        <v>65.2142857142857</v>
      </c>
      <c r="I91" s="7">
        <f>IF(N(Inputs_Class_Month!$C91)=0,"",Inputs_Class_Month!$H91/Inputs_Class_Month!$C91)</f>
        <v>1.85714285714286</v>
      </c>
    </row>
    <row r="92" spans="1:9">
      <c r="A92" s="6" t="str">
        <f>IF(Inputs_Class_Month!$A92="","",Inputs_Class_Month!$A92)</f>
        <v>2025-12</v>
      </c>
      <c r="B92" s="6" t="str">
        <f>IF(Inputs_Class_Month!$B92="","",Inputs_Class_Month!$B92)</f>
        <v>2S</v>
      </c>
      <c r="C92" s="7">
        <f>IF(N(Inputs_Class_Month!$D92)=0,"",Inputs_Class_Month!$E92+Settings!$B$3*Inputs_Class_Month!$F92)</f>
        <v>3182</v>
      </c>
      <c r="D92" s="8">
        <f>IF(N(Inputs_Class_Month!$D92)=0,"",C92/Inputs_Class_Month!$D92)</f>
        <v>0.669612794612795</v>
      </c>
      <c r="E92" s="8">
        <f>IF(N(Inputs_Class_Month!$D92)=0,"",Inputs_Class_Month!$E92/Inputs_Class_Month!$D92)</f>
        <v>0.669612794612795</v>
      </c>
      <c r="F92" s="8">
        <f>IF(N(Inputs_Class_Month!$D92)=0,"",Settings!$B$3*Inputs_Class_Month!$F92/Inputs_Class_Month!$D92)</f>
        <v>0</v>
      </c>
      <c r="G92" s="8">
        <f>IF(N(Inputs_Class_Month!$D92)=0,"",Inputs_Class_Month!$G92/Inputs_Class_Month!$D92)</f>
        <v>0.0263047138047138</v>
      </c>
      <c r="H92" s="7">
        <f>IF(N(Inputs_Class_Month!$C92)=0,"",Inputs_Class_Month!$I92/Inputs_Class_Month!$C92)</f>
        <v>213.611111111111</v>
      </c>
      <c r="I92" s="7">
        <f>IF(N(Inputs_Class_Month!$C92)=0,"",Inputs_Class_Month!$H92/Inputs_Class_Month!$C92)</f>
        <v>10.4444444444444</v>
      </c>
    </row>
    <row r="93" spans="1:9">
      <c r="A93" s="6" t="str">
        <f>IF(Inputs_Class_Month!$A93="","",Inputs_Class_Month!$A93)</f>
        <v>2025-12</v>
      </c>
      <c r="B93" s="6" t="str">
        <f>IF(Inputs_Class_Month!$B93="","",Inputs_Class_Month!$B93)</f>
        <v>3A</v>
      </c>
      <c r="C93" s="7">
        <f>IF(N(Inputs_Class_Month!$D93)=0,"",Inputs_Class_Month!$E93+Settings!$B$3*Inputs_Class_Month!$F93)</f>
        <v>3812.5</v>
      </c>
      <c r="D93" s="8">
        <f>IF(N(Inputs_Class_Month!$D93)=0,"",C93/Inputs_Class_Month!$D93)</f>
        <v>0.735435956790123</v>
      </c>
      <c r="E93" s="8">
        <f>IF(N(Inputs_Class_Month!$D93)=0,"",Inputs_Class_Month!$E93/Inputs_Class_Month!$D93)</f>
        <v>0.704668209876543</v>
      </c>
      <c r="F93" s="8">
        <f>IF(N(Inputs_Class_Month!$D93)=0,"",Settings!$B$3*Inputs_Class_Month!$F93/Inputs_Class_Month!$D93)</f>
        <v>0.0307677469135802</v>
      </c>
      <c r="G93" s="8">
        <f>IF(N(Inputs_Class_Month!$D93)=0,"",Inputs_Class_Month!$G93/Inputs_Class_Month!$D93)</f>
        <v>0.052662037037037</v>
      </c>
      <c r="H93" s="7">
        <f>IF(N(Inputs_Class_Month!$C93)=0,"",Inputs_Class_Month!$I93/Inputs_Class_Month!$C93)</f>
        <v>155.064516129032</v>
      </c>
      <c r="I93" s="7">
        <f>IF(N(Inputs_Class_Month!$C93)=0,"",Inputs_Class_Month!$H93/Inputs_Class_Month!$C93)</f>
        <v>12.6774193548387</v>
      </c>
    </row>
    <row r="94" spans="1:9">
      <c r="A94" s="6" t="str">
        <f>IF(Inputs_Class_Month!$A94="","",Inputs_Class_Month!$A94)</f>
        <v>2025-12</v>
      </c>
      <c r="B94" s="6" t="str">
        <f>IF(Inputs_Class_Month!$B94="","",Inputs_Class_Month!$B94)</f>
        <v>CC</v>
      </c>
      <c r="C94" s="7">
        <f>IF(N(Inputs_Class_Month!$D94)=0,"",Inputs_Class_Month!$E94+Settings!$B$3*Inputs_Class_Month!$F94)</f>
        <v>66</v>
      </c>
      <c r="D94" s="8">
        <f>IF(N(Inputs_Class_Month!$D94)=0,"",C94/Inputs_Class_Month!$D94)</f>
        <v>0.423076923076923</v>
      </c>
      <c r="E94" s="8">
        <f>IF(N(Inputs_Class_Month!$D94)=0,"",Inputs_Class_Month!$E94/Inputs_Class_Month!$D94)</f>
        <v>0.423076923076923</v>
      </c>
      <c r="F94" s="8">
        <f>IF(N(Inputs_Class_Month!$D94)=0,"",Settings!$B$3*Inputs_Class_Month!$F94/Inputs_Class_Month!$D94)</f>
        <v>0</v>
      </c>
      <c r="G94" s="8">
        <f>IF(N(Inputs_Class_Month!$D94)=0,"",Inputs_Class_Month!$G94/Inputs_Class_Month!$D94)</f>
        <v>0</v>
      </c>
      <c r="H94" s="7">
        <f>IF(N(Inputs_Class_Month!$C94)=0,"",Inputs_Class_Month!$I94/Inputs_Class_Month!$C94)</f>
        <v>82</v>
      </c>
      <c r="I94" s="7">
        <f>IF(N(Inputs_Class_Month!$C94)=0,"",Inputs_Class_Month!$H94/Inputs_Class_Month!$C94)</f>
        <v>0</v>
      </c>
    </row>
    <row r="95" spans="1:9">
      <c r="A95" s="6" t="str">
        <f>IF(Inputs_Class_Month!$A95="","",Inputs_Class_Month!$A95)</f>
        <v>2025-12</v>
      </c>
      <c r="B95" s="6" t="str">
        <f>IF(Inputs_Class_Month!$B95="","",Inputs_Class_Month!$B95)</f>
        <v>SL</v>
      </c>
      <c r="C95" s="7">
        <f>IF(N(Inputs_Class_Month!$D95)=0,"",Inputs_Class_Month!$E95+Settings!$B$3*Inputs_Class_Month!$F95)</f>
        <v>5843.5</v>
      </c>
      <c r="D95" s="8">
        <f>IF(N(Inputs_Class_Month!$D95)=0,"",C95/Inputs_Class_Month!$D95)</f>
        <v>0.836698167239404</v>
      </c>
      <c r="E95" s="8">
        <f>IF(N(Inputs_Class_Month!$D95)=0,"",Inputs_Class_Month!$E95/Inputs_Class_Month!$D95)</f>
        <v>0.791523482245132</v>
      </c>
      <c r="F95" s="8">
        <f>IF(N(Inputs_Class_Month!$D95)=0,"",Settings!$B$3*Inputs_Class_Month!$F95/Inputs_Class_Month!$D95)</f>
        <v>0.0451746849942726</v>
      </c>
      <c r="G95" s="8">
        <f>IF(N(Inputs_Class_Month!$D95)=0,"",Inputs_Class_Month!$G95/Inputs_Class_Month!$D95)</f>
        <v>0.061426116838488</v>
      </c>
      <c r="H95" s="7">
        <f>IF(N(Inputs_Class_Month!$C95)=0,"",Inputs_Class_Month!$I95/Inputs_Class_Month!$C95)</f>
        <v>247.064516129032</v>
      </c>
      <c r="I95" s="7">
        <f>IF(N(Inputs_Class_Month!$C95)=0,"",Inputs_Class_Month!$H95/Inputs_Class_Month!$C95)</f>
        <v>21.6451612903226</v>
      </c>
    </row>
    <row r="96" spans="1:9">
      <c r="A96" s="6" t="str">
        <f>IF(Inputs_Class_Month!$A96="","",Inputs_Class_Month!$A96)</f>
        <v>2026-01</v>
      </c>
      <c r="B96" s="6" t="str">
        <f>IF(Inputs_Class_Month!$B96="","",Inputs_Class_Month!$B96)</f>
        <v>1A</v>
      </c>
      <c r="C96" s="7">
        <f>IF(N(Inputs_Class_Month!$D96)=0,"",Inputs_Class_Month!$E96+Settings!$B$3*Inputs_Class_Month!$F96)</f>
        <v>31</v>
      </c>
      <c r="D96" s="8">
        <f>IF(N(Inputs_Class_Month!$D96)=0,"",C96/Inputs_Class_Month!$D96)</f>
        <v>0.645833333333333</v>
      </c>
      <c r="E96" s="8">
        <f>IF(N(Inputs_Class_Month!$D96)=0,"",Inputs_Class_Month!$E96/Inputs_Class_Month!$D96)</f>
        <v>0.645833333333333</v>
      </c>
      <c r="F96" s="8">
        <f>IF(N(Inputs_Class_Month!$D96)=0,"",Settings!$B$3*Inputs_Class_Month!$F96/Inputs_Class_Month!$D96)</f>
        <v>0</v>
      </c>
      <c r="G96" s="8">
        <f>IF(N(Inputs_Class_Month!$D96)=0,"",Inputs_Class_Month!$G96/Inputs_Class_Month!$D96)</f>
        <v>0</v>
      </c>
      <c r="H96" s="7">
        <f>IF(N(Inputs_Class_Month!$C96)=0,"",Inputs_Class_Month!$I96/Inputs_Class_Month!$C96)</f>
        <v>20.5</v>
      </c>
      <c r="I96" s="7">
        <f>IF(N(Inputs_Class_Month!$C96)=0,"",Inputs_Class_Month!$H96/Inputs_Class_Month!$C96)</f>
        <v>0</v>
      </c>
    </row>
    <row r="97" spans="1:9">
      <c r="A97" s="6" t="str">
        <f>IF(Inputs_Class_Month!$A97="","",Inputs_Class_Month!$A97)</f>
        <v>2026-01</v>
      </c>
      <c r="B97" s="6" t="str">
        <f>IF(Inputs_Class_Month!$B97="","",Inputs_Class_Month!$B97)</f>
        <v>2A</v>
      </c>
      <c r="C97" s="7">
        <f>IF(N(Inputs_Class_Month!$D97)=0,"",Inputs_Class_Month!$E97+Settings!$B$3*Inputs_Class_Month!$F97)</f>
        <v>857</v>
      </c>
      <c r="D97" s="8">
        <f>IF(N(Inputs_Class_Month!$D97)=0,"",C97/Inputs_Class_Month!$D97)</f>
        <v>0.745217391304348</v>
      </c>
      <c r="E97" s="8">
        <f>IF(N(Inputs_Class_Month!$D97)=0,"",Inputs_Class_Month!$E97/Inputs_Class_Month!$D97)</f>
        <v>0.708695652173913</v>
      </c>
      <c r="F97" s="8">
        <f>IF(N(Inputs_Class_Month!$D97)=0,"",Settings!$B$3*Inputs_Class_Month!$F97/Inputs_Class_Month!$D97)</f>
        <v>0.0365217391304348</v>
      </c>
      <c r="G97" s="8">
        <f>IF(N(Inputs_Class_Month!$D97)=0,"",Inputs_Class_Month!$G97/Inputs_Class_Month!$D97)</f>
        <v>0.0721739130434783</v>
      </c>
      <c r="H97" s="7">
        <f>IF(N(Inputs_Class_Month!$C97)=0,"",Inputs_Class_Month!$I97/Inputs_Class_Month!$C97)</f>
        <v>69.75</v>
      </c>
      <c r="I97" s="7">
        <f>IF(N(Inputs_Class_Month!$C97)=0,"",Inputs_Class_Month!$H97/Inputs_Class_Month!$C97)</f>
        <v>7.875</v>
      </c>
    </row>
    <row r="98" spans="1:9">
      <c r="A98" s="6" t="str">
        <f>IF(Inputs_Class_Month!$A98="","",Inputs_Class_Month!$A98)</f>
        <v>2026-01</v>
      </c>
      <c r="B98" s="6" t="str">
        <f>IF(Inputs_Class_Month!$B98="","",Inputs_Class_Month!$B98)</f>
        <v>2S</v>
      </c>
      <c r="C98" s="7">
        <f>IF(N(Inputs_Class_Month!$D98)=0,"",Inputs_Class_Month!$E98+Settings!$B$3*Inputs_Class_Month!$F98)</f>
        <v>3077</v>
      </c>
      <c r="D98" s="8">
        <f>IF(N(Inputs_Class_Month!$D98)=0,"",C98/Inputs_Class_Month!$D98)</f>
        <v>0.662575366063738</v>
      </c>
      <c r="E98" s="8">
        <f>IF(N(Inputs_Class_Month!$D98)=0,"",Inputs_Class_Month!$E98/Inputs_Class_Month!$D98)</f>
        <v>0.662575366063738</v>
      </c>
      <c r="F98" s="8">
        <f>IF(N(Inputs_Class_Month!$D98)=0,"",Settings!$B$3*Inputs_Class_Month!$F98/Inputs_Class_Month!$D98)</f>
        <v>0</v>
      </c>
      <c r="G98" s="8">
        <f>IF(N(Inputs_Class_Month!$D98)=0,"",Inputs_Class_Month!$G98/Inputs_Class_Month!$D98)</f>
        <v>0.0344530577088717</v>
      </c>
      <c r="H98" s="7">
        <f>IF(N(Inputs_Class_Month!$C98)=0,"",Inputs_Class_Month!$I98/Inputs_Class_Month!$C98)</f>
        <v>239.5625</v>
      </c>
      <c r="I98" s="7">
        <f>IF(N(Inputs_Class_Month!$C98)=0,"",Inputs_Class_Month!$H98/Inputs_Class_Month!$C98)</f>
        <v>15.5625</v>
      </c>
    </row>
    <row r="99" spans="1:9">
      <c r="A99" s="6" t="str">
        <f>IF(Inputs_Class_Month!$A99="","",Inputs_Class_Month!$A99)</f>
        <v>2026-01</v>
      </c>
      <c r="B99" s="6" t="str">
        <f>IF(Inputs_Class_Month!$B99="","",Inputs_Class_Month!$B99)</f>
        <v>3A</v>
      </c>
      <c r="C99" s="7">
        <f>IF(N(Inputs_Class_Month!$D99)=0,"",Inputs_Class_Month!$E99+Settings!$B$3*Inputs_Class_Month!$F99)</f>
        <v>3822</v>
      </c>
      <c r="D99" s="8">
        <f>IF(N(Inputs_Class_Month!$D99)=0,"",C99/Inputs_Class_Month!$D99)</f>
        <v>0.79625</v>
      </c>
      <c r="E99" s="8">
        <f>IF(N(Inputs_Class_Month!$D99)=0,"",Inputs_Class_Month!$E99/Inputs_Class_Month!$D99)</f>
        <v>0.752291666666667</v>
      </c>
      <c r="F99" s="8">
        <f>IF(N(Inputs_Class_Month!$D99)=0,"",Settings!$B$3*Inputs_Class_Month!$F99/Inputs_Class_Month!$D99)</f>
        <v>0.0439583333333333</v>
      </c>
      <c r="G99" s="8">
        <f>IF(N(Inputs_Class_Month!$D99)=0,"",Inputs_Class_Month!$G99/Inputs_Class_Month!$D99)</f>
        <v>0.0754166666666667</v>
      </c>
      <c r="H99" s="7">
        <f>IF(N(Inputs_Class_Month!$C99)=0,"",Inputs_Class_Month!$I99/Inputs_Class_Month!$C99)</f>
        <v>169.266666666667</v>
      </c>
      <c r="I99" s="7">
        <f>IF(N(Inputs_Class_Month!$C99)=0,"",Inputs_Class_Month!$H99/Inputs_Class_Month!$C99)</f>
        <v>18.2666666666667</v>
      </c>
    </row>
    <row r="100" spans="1:9">
      <c r="A100" s="6" t="str">
        <f>IF(Inputs_Class_Month!$A100="","",Inputs_Class_Month!$A100)</f>
        <v>2026-01</v>
      </c>
      <c r="B100" s="6" t="str">
        <f>IF(Inputs_Class_Month!$B100="","",Inputs_Class_Month!$B100)</f>
        <v>CC</v>
      </c>
      <c r="C100" s="7">
        <f>IF(N(Inputs_Class_Month!$D100)=0,"",Inputs_Class_Month!$E100+Settings!$B$3*Inputs_Class_Month!$F100)</f>
        <v>252</v>
      </c>
      <c r="D100" s="8">
        <f>IF(N(Inputs_Class_Month!$D100)=0,"",C100/Inputs_Class_Month!$D100)</f>
        <v>0.646153846153846</v>
      </c>
      <c r="E100" s="8">
        <f>IF(N(Inputs_Class_Month!$D100)=0,"",Inputs_Class_Month!$E100/Inputs_Class_Month!$D100)</f>
        <v>0.646153846153846</v>
      </c>
      <c r="F100" s="8">
        <f>IF(N(Inputs_Class_Month!$D100)=0,"",Settings!$B$3*Inputs_Class_Month!$F100/Inputs_Class_Month!$D100)</f>
        <v>0</v>
      </c>
      <c r="G100" s="8">
        <f>IF(N(Inputs_Class_Month!$D100)=0,"",Inputs_Class_Month!$G100/Inputs_Class_Month!$D100)</f>
        <v>0</v>
      </c>
      <c r="H100" s="7">
        <f>IF(N(Inputs_Class_Month!$C100)=0,"",Inputs_Class_Month!$I100/Inputs_Class_Month!$C100)</f>
        <v>139</v>
      </c>
      <c r="I100" s="7">
        <f>IF(N(Inputs_Class_Month!$C100)=0,"",Inputs_Class_Month!$H100/Inputs_Class_Month!$C100)</f>
        <v>0</v>
      </c>
    </row>
    <row r="101" spans="1:9">
      <c r="A101" s="6" t="str">
        <f>IF(Inputs_Class_Month!$A101="","",Inputs_Class_Month!$A101)</f>
        <v>2026-01</v>
      </c>
      <c r="B101" s="6" t="str">
        <f>IF(Inputs_Class_Month!$B101="","",Inputs_Class_Month!$B101)</f>
        <v>SL</v>
      </c>
      <c r="C101" s="7">
        <f>IF(N(Inputs_Class_Month!$D101)=0,"",Inputs_Class_Month!$E101+Settings!$B$3*Inputs_Class_Month!$F101)</f>
        <v>4553.5</v>
      </c>
      <c r="D101" s="8">
        <f>IF(N(Inputs_Class_Month!$D101)=0,"",C101/Inputs_Class_Month!$D101)</f>
        <v>0.735384366925065</v>
      </c>
      <c r="E101" s="8">
        <f>IF(N(Inputs_Class_Month!$D101)=0,"",Inputs_Class_Month!$E101/Inputs_Class_Month!$D101)</f>
        <v>0.703972868217054</v>
      </c>
      <c r="F101" s="8">
        <f>IF(N(Inputs_Class_Month!$D101)=0,"",Settings!$B$3*Inputs_Class_Month!$F101/Inputs_Class_Month!$D101)</f>
        <v>0.0314114987080103</v>
      </c>
      <c r="G101" s="8">
        <f>IF(N(Inputs_Class_Month!$D101)=0,"",Inputs_Class_Month!$G101/Inputs_Class_Month!$D101)</f>
        <v>0.0544250645994832</v>
      </c>
      <c r="H101" s="7">
        <f>IF(N(Inputs_Class_Month!$C101)=0,"",Inputs_Class_Month!$I101/Inputs_Class_Month!$C101)</f>
        <v>205.034482758621</v>
      </c>
      <c r="I101" s="7">
        <f>IF(N(Inputs_Class_Month!$C101)=0,"",Inputs_Class_Month!$H101/Inputs_Class_Month!$C101)</f>
        <v>19.0344827586207</v>
      </c>
    </row>
    <row r="102" spans="1:9">
      <c r="A102" s="6" t="str">
        <f>IF(Inputs_Class_Month!$A102="","",Inputs_Class_Month!$A102)</f>
        <v>2026-02</v>
      </c>
      <c r="B102" s="6" t="str">
        <f>IF(Inputs_Class_Month!$B102="","",Inputs_Class_Month!$B102)</f>
        <v>1A</v>
      </c>
      <c r="C102" s="7">
        <f>IF(N(Inputs_Class_Month!$D102)=0,"",Inputs_Class_Month!$E102+Settings!$B$3*Inputs_Class_Month!$F102)</f>
        <v>32</v>
      </c>
      <c r="D102" s="8">
        <f>IF(N(Inputs_Class_Month!$D102)=0,"",C102/Inputs_Class_Month!$D102)</f>
        <v>0.666666666666667</v>
      </c>
      <c r="E102" s="8">
        <f>IF(N(Inputs_Class_Month!$D102)=0,"",Inputs_Class_Month!$E102/Inputs_Class_Month!$D102)</f>
        <v>0.666666666666667</v>
      </c>
      <c r="F102" s="8">
        <f>IF(N(Inputs_Class_Month!$D102)=0,"",Settings!$B$3*Inputs_Class_Month!$F102/Inputs_Class_Month!$D102)</f>
        <v>0</v>
      </c>
      <c r="G102" s="8">
        <f>IF(N(Inputs_Class_Month!$D102)=0,"",Inputs_Class_Month!$G102/Inputs_Class_Month!$D102)</f>
        <v>0</v>
      </c>
      <c r="H102" s="7">
        <f>IF(N(Inputs_Class_Month!$C102)=0,"",Inputs_Class_Month!$I102/Inputs_Class_Month!$C102)</f>
        <v>16.5</v>
      </c>
      <c r="I102" s="7">
        <f>IF(N(Inputs_Class_Month!$C102)=0,"",Inputs_Class_Month!$H102/Inputs_Class_Month!$C102)</f>
        <v>0</v>
      </c>
    </row>
    <row r="103" spans="1:9">
      <c r="A103" s="6" t="str">
        <f>IF(Inputs_Class_Month!$A103="","",Inputs_Class_Month!$A103)</f>
        <v>2026-02</v>
      </c>
      <c r="B103" s="6" t="str">
        <f>IF(Inputs_Class_Month!$B103="","",Inputs_Class_Month!$B103)</f>
        <v>2A</v>
      </c>
      <c r="C103" s="7">
        <f>IF(N(Inputs_Class_Month!$D103)=0,"",Inputs_Class_Month!$E103+Settings!$B$3*Inputs_Class_Month!$F103)</f>
        <v>666.5</v>
      </c>
      <c r="D103" s="8">
        <f>IF(N(Inputs_Class_Month!$D103)=0,"",C103/Inputs_Class_Month!$D103)</f>
        <v>0.804951690821256</v>
      </c>
      <c r="E103" s="8">
        <f>IF(N(Inputs_Class_Month!$D103)=0,"",Inputs_Class_Month!$E103/Inputs_Class_Month!$D103)</f>
        <v>0.765700483091787</v>
      </c>
      <c r="F103" s="8">
        <f>IF(N(Inputs_Class_Month!$D103)=0,"",Settings!$B$3*Inputs_Class_Month!$F103/Inputs_Class_Month!$D103)</f>
        <v>0.0392512077294686</v>
      </c>
      <c r="G103" s="8">
        <f>IF(N(Inputs_Class_Month!$D103)=0,"",Inputs_Class_Month!$G103/Inputs_Class_Month!$D103)</f>
        <v>0.0652173913043478</v>
      </c>
      <c r="H103" s="7">
        <f>IF(N(Inputs_Class_Month!$C103)=0,"",Inputs_Class_Month!$I103/Inputs_Class_Month!$C103)</f>
        <v>67.25</v>
      </c>
      <c r="I103" s="7">
        <f>IF(N(Inputs_Class_Month!$C103)=0,"",Inputs_Class_Month!$H103/Inputs_Class_Month!$C103)</f>
        <v>5.33333333333333</v>
      </c>
    </row>
    <row r="104" spans="1:9">
      <c r="A104" s="6" t="str">
        <f>IF(Inputs_Class_Month!$A104="","",Inputs_Class_Month!$A104)</f>
        <v>2026-02</v>
      </c>
      <c r="B104" s="6" t="str">
        <f>IF(Inputs_Class_Month!$B104="","",Inputs_Class_Month!$B104)</f>
        <v>2S</v>
      </c>
      <c r="C104" s="7">
        <f>IF(N(Inputs_Class_Month!$D104)=0,"",Inputs_Class_Month!$E104+Settings!$B$3*Inputs_Class_Month!$F104)</f>
        <v>3727</v>
      </c>
      <c r="D104" s="8">
        <f>IF(N(Inputs_Class_Month!$D104)=0,"",C104/Inputs_Class_Month!$D104)</f>
        <v>0.676652142338417</v>
      </c>
      <c r="E104" s="8">
        <f>IF(N(Inputs_Class_Month!$D104)=0,"",Inputs_Class_Month!$E104/Inputs_Class_Month!$D104)</f>
        <v>0.676652142338417</v>
      </c>
      <c r="F104" s="8">
        <f>IF(N(Inputs_Class_Month!$D104)=0,"",Settings!$B$3*Inputs_Class_Month!$F104/Inputs_Class_Month!$D104)</f>
        <v>0</v>
      </c>
      <c r="G104" s="8">
        <f>IF(N(Inputs_Class_Month!$D104)=0,"",Inputs_Class_Month!$G104/Inputs_Class_Month!$D104)</f>
        <v>0.04720406681191</v>
      </c>
      <c r="H104" s="7">
        <f>IF(N(Inputs_Class_Month!$C104)=0,"",Inputs_Class_Month!$I104/Inputs_Class_Month!$C104)</f>
        <v>234.6</v>
      </c>
      <c r="I104" s="7">
        <f>IF(N(Inputs_Class_Month!$C104)=0,"",Inputs_Class_Month!$H104/Inputs_Class_Month!$C104)</f>
        <v>17.45</v>
      </c>
    </row>
    <row r="105" spans="1:9">
      <c r="A105" s="6" t="str">
        <f>IF(Inputs_Class_Month!$A105="","",Inputs_Class_Month!$A105)</f>
        <v>2026-02</v>
      </c>
      <c r="B105" s="6" t="str">
        <f>IF(Inputs_Class_Month!$B105="","",Inputs_Class_Month!$B105)</f>
        <v>3A</v>
      </c>
      <c r="C105" s="7">
        <f>IF(N(Inputs_Class_Month!$D105)=0,"",Inputs_Class_Month!$E105+Settings!$B$3*Inputs_Class_Month!$F105)</f>
        <v>3640</v>
      </c>
      <c r="D105" s="8">
        <f>IF(N(Inputs_Class_Month!$D105)=0,"",C105/Inputs_Class_Month!$D105)</f>
        <v>0.719936708860759</v>
      </c>
      <c r="E105" s="8">
        <f>IF(N(Inputs_Class_Month!$D105)=0,"",Inputs_Class_Month!$E105/Inputs_Class_Month!$D105)</f>
        <v>0.691257911392405</v>
      </c>
      <c r="F105" s="8">
        <f>IF(N(Inputs_Class_Month!$D105)=0,"",Settings!$B$3*Inputs_Class_Month!$F105/Inputs_Class_Month!$D105)</f>
        <v>0.0286787974683544</v>
      </c>
      <c r="G105" s="8">
        <f>IF(N(Inputs_Class_Month!$D105)=0,"",Inputs_Class_Month!$G105/Inputs_Class_Month!$D105)</f>
        <v>0.0603243670886076</v>
      </c>
      <c r="H105" s="7">
        <f>IF(N(Inputs_Class_Month!$C105)=0,"",Inputs_Class_Month!$I105/Inputs_Class_Month!$C105)</f>
        <v>158.9</v>
      </c>
      <c r="I105" s="7">
        <f>IF(N(Inputs_Class_Month!$C105)=0,"",Inputs_Class_Month!$H105/Inputs_Class_Month!$C105)</f>
        <v>14.8666666666667</v>
      </c>
    </row>
    <row r="106" spans="1:9">
      <c r="A106" s="6" t="str">
        <f>IF(Inputs_Class_Month!$A106="","",Inputs_Class_Month!$A106)</f>
        <v>2026-02</v>
      </c>
      <c r="B106" s="6" t="str">
        <f>IF(Inputs_Class_Month!$B106="","",Inputs_Class_Month!$B106)</f>
        <v>CC</v>
      </c>
      <c r="C106" s="7">
        <f>IF(N(Inputs_Class_Month!$D106)=0,"",Inputs_Class_Month!$E106+Settings!$B$3*Inputs_Class_Month!$F106)</f>
        <v>231</v>
      </c>
      <c r="D106" s="8">
        <f>IF(N(Inputs_Class_Month!$D106)=0,"",C106/Inputs_Class_Month!$D106)</f>
        <v>0.592307692307692</v>
      </c>
      <c r="E106" s="8">
        <f>IF(N(Inputs_Class_Month!$D106)=0,"",Inputs_Class_Month!$E106/Inputs_Class_Month!$D106)</f>
        <v>0.592307692307692</v>
      </c>
      <c r="F106" s="8">
        <f>IF(N(Inputs_Class_Month!$D106)=0,"",Settings!$B$3*Inputs_Class_Month!$F106/Inputs_Class_Month!$D106)</f>
        <v>0</v>
      </c>
      <c r="G106" s="8">
        <f>IF(N(Inputs_Class_Month!$D106)=0,"",Inputs_Class_Month!$G106/Inputs_Class_Month!$D106)</f>
        <v>0</v>
      </c>
      <c r="H106" s="7">
        <f>IF(N(Inputs_Class_Month!$C106)=0,"",Inputs_Class_Month!$I106/Inputs_Class_Month!$C106)</f>
        <v>127</v>
      </c>
      <c r="I106" s="7">
        <f>IF(N(Inputs_Class_Month!$C106)=0,"",Inputs_Class_Month!$H106/Inputs_Class_Month!$C106)</f>
        <v>0</v>
      </c>
    </row>
    <row r="107" spans="1:9">
      <c r="A107" s="6" t="str">
        <f>IF(Inputs_Class_Month!$A107="","",Inputs_Class_Month!$A107)</f>
        <v>2026-02</v>
      </c>
      <c r="B107" s="6" t="str">
        <f>IF(Inputs_Class_Month!$B107="","",Inputs_Class_Month!$B107)</f>
        <v>SL</v>
      </c>
      <c r="C107" s="7">
        <f>IF(N(Inputs_Class_Month!$D107)=0,"",Inputs_Class_Month!$E107+Settings!$B$3*Inputs_Class_Month!$F107)</f>
        <v>4832</v>
      </c>
      <c r="D107" s="8">
        <f>IF(N(Inputs_Class_Month!$D107)=0,"",C107/Inputs_Class_Month!$D107)</f>
        <v>0.762626262626263</v>
      </c>
      <c r="E107" s="8">
        <f>IF(N(Inputs_Class_Month!$D107)=0,"",Inputs_Class_Month!$E107/Inputs_Class_Month!$D107)</f>
        <v>0.725536616161616</v>
      </c>
      <c r="F107" s="8">
        <f>IF(N(Inputs_Class_Month!$D107)=0,"",Settings!$B$3*Inputs_Class_Month!$F107/Inputs_Class_Month!$D107)</f>
        <v>0.0370896464646465</v>
      </c>
      <c r="G107" s="8">
        <f>IF(N(Inputs_Class_Month!$D107)=0,"",Inputs_Class_Month!$G107/Inputs_Class_Month!$D107)</f>
        <v>0.0408775252525253</v>
      </c>
      <c r="H107" s="7">
        <f>IF(N(Inputs_Class_Month!$C107)=0,"",Inputs_Class_Month!$I107/Inputs_Class_Month!$C107)</f>
        <v>214.310344827586</v>
      </c>
      <c r="I107" s="7">
        <f>IF(N(Inputs_Class_Month!$C107)=0,"",Inputs_Class_Month!$H107/Inputs_Class_Month!$C107)</f>
        <v>13.7586206896552</v>
      </c>
    </row>
    <row r="108" spans="1:9">
      <c r="A108" s="6" t="str">
        <f>IF(Inputs_Class_Month!$A108="","",Inputs_Class_Month!$A108)</f>
        <v>2026-03</v>
      </c>
      <c r="B108" s="6" t="str">
        <f>IF(Inputs_Class_Month!$B108="","",Inputs_Class_Month!$B108)</f>
        <v>1A</v>
      </c>
      <c r="C108" s="7">
        <f>IF(N(Inputs_Class_Month!$D108)=0,"",Inputs_Class_Month!$E108+Settings!$B$3*Inputs_Class_Month!$F108)</f>
        <v>20</v>
      </c>
      <c r="D108" s="8">
        <f>IF(N(Inputs_Class_Month!$D108)=0,"",C108/Inputs_Class_Month!$D108)</f>
        <v>0.833333333333333</v>
      </c>
      <c r="E108" s="8">
        <f>IF(N(Inputs_Class_Month!$D108)=0,"",Inputs_Class_Month!$E108/Inputs_Class_Month!$D108)</f>
        <v>0.833333333333333</v>
      </c>
      <c r="F108" s="8">
        <f>IF(N(Inputs_Class_Month!$D108)=0,"",Settings!$B$3*Inputs_Class_Month!$F108/Inputs_Class_Month!$D108)</f>
        <v>0</v>
      </c>
      <c r="G108" s="8">
        <f>IF(N(Inputs_Class_Month!$D108)=0,"",Inputs_Class_Month!$G108/Inputs_Class_Month!$D108)</f>
        <v>0</v>
      </c>
      <c r="H108" s="7">
        <f>IF(N(Inputs_Class_Month!$C108)=0,"",Inputs_Class_Month!$I108/Inputs_Class_Month!$C108)</f>
        <v>20</v>
      </c>
      <c r="I108" s="7">
        <f>IF(N(Inputs_Class_Month!$C108)=0,"",Inputs_Class_Month!$H108/Inputs_Class_Month!$C108)</f>
        <v>0</v>
      </c>
    </row>
    <row r="109" spans="1:9">
      <c r="A109" s="6" t="str">
        <f>IF(Inputs_Class_Month!$A109="","",Inputs_Class_Month!$A109)</f>
        <v>2026-03</v>
      </c>
      <c r="B109" s="6" t="str">
        <f>IF(Inputs_Class_Month!$B109="","",Inputs_Class_Month!$B109)</f>
        <v>2A</v>
      </c>
      <c r="C109" s="7">
        <f>IF(N(Inputs_Class_Month!$D109)=0,"",Inputs_Class_Month!$E109+Settings!$B$3*Inputs_Class_Month!$F109)</f>
        <v>814.5</v>
      </c>
      <c r="D109" s="8">
        <f>IF(N(Inputs_Class_Month!$D109)=0,"",C109/Inputs_Class_Month!$D109)</f>
        <v>0.737771739130435</v>
      </c>
      <c r="E109" s="8">
        <f>IF(N(Inputs_Class_Month!$D109)=0,"",Inputs_Class_Month!$E109/Inputs_Class_Month!$D109)</f>
        <v>0.702898550724638</v>
      </c>
      <c r="F109" s="8">
        <f>IF(N(Inputs_Class_Month!$D109)=0,"",Settings!$B$3*Inputs_Class_Month!$F109/Inputs_Class_Month!$D109)</f>
        <v>0.0348731884057971</v>
      </c>
      <c r="G109" s="8">
        <f>IF(N(Inputs_Class_Month!$D109)=0,"",Inputs_Class_Month!$G109/Inputs_Class_Month!$D109)</f>
        <v>0.0471014492753623</v>
      </c>
      <c r="H109" s="7">
        <f>IF(N(Inputs_Class_Month!$C109)=0,"",Inputs_Class_Month!$I109/Inputs_Class_Month!$C109)</f>
        <v>71.2142857142857</v>
      </c>
      <c r="I109" s="7">
        <f>IF(N(Inputs_Class_Month!$C109)=0,"",Inputs_Class_Month!$H109/Inputs_Class_Month!$C109)</f>
        <v>4.71428571428571</v>
      </c>
    </row>
    <row r="110" spans="1:9">
      <c r="A110" s="6" t="str">
        <f>IF(Inputs_Class_Month!$A110="","",Inputs_Class_Month!$A110)</f>
        <v>2026-03</v>
      </c>
      <c r="B110" s="6" t="str">
        <f>IF(Inputs_Class_Month!$B110="","",Inputs_Class_Month!$B110)</f>
        <v>2S</v>
      </c>
      <c r="C110" s="7">
        <f>IF(N(Inputs_Class_Month!$D110)=0,"",Inputs_Class_Month!$E110+Settings!$B$3*Inputs_Class_Month!$F110)</f>
        <v>3877</v>
      </c>
      <c r="D110" s="8">
        <f>IF(N(Inputs_Class_Month!$D110)=0,"",C110/Inputs_Class_Month!$D110)</f>
        <v>0.732615268329554</v>
      </c>
      <c r="E110" s="8">
        <f>IF(N(Inputs_Class_Month!$D110)=0,"",Inputs_Class_Month!$E110/Inputs_Class_Month!$D110)</f>
        <v>0.732615268329554</v>
      </c>
      <c r="F110" s="8">
        <f>IF(N(Inputs_Class_Month!$D110)=0,"",Settings!$B$3*Inputs_Class_Month!$F110/Inputs_Class_Month!$D110)</f>
        <v>0</v>
      </c>
      <c r="G110" s="8">
        <f>IF(N(Inputs_Class_Month!$D110)=0,"",Inputs_Class_Month!$G110/Inputs_Class_Month!$D110)</f>
        <v>0.076530612244898</v>
      </c>
      <c r="H110" s="7">
        <f>IF(N(Inputs_Class_Month!$C110)=0,"",Inputs_Class_Month!$I110/Inputs_Class_Month!$C110)</f>
        <v>281.388888888889</v>
      </c>
      <c r="I110" s="7">
        <f>IF(N(Inputs_Class_Month!$C110)=0,"",Inputs_Class_Month!$H110/Inputs_Class_Month!$C110)</f>
        <v>36.8333333333333</v>
      </c>
    </row>
    <row r="111" spans="1:9">
      <c r="A111" s="6" t="str">
        <f>IF(Inputs_Class_Month!$A111="","",Inputs_Class_Month!$A111)</f>
        <v>2026-03</v>
      </c>
      <c r="B111" s="6" t="str">
        <f>IF(Inputs_Class_Month!$B111="","",Inputs_Class_Month!$B111)</f>
        <v>3A</v>
      </c>
      <c r="C111" s="7">
        <f>IF(N(Inputs_Class_Month!$D111)=0,"",Inputs_Class_Month!$E111+Settings!$B$3*Inputs_Class_Month!$F111)</f>
        <v>3832.5</v>
      </c>
      <c r="D111" s="8">
        <f>IF(N(Inputs_Class_Month!$D111)=0,"",C111/Inputs_Class_Month!$D111)</f>
        <v>0.777698863636364</v>
      </c>
      <c r="E111" s="8">
        <f>IF(N(Inputs_Class_Month!$D111)=0,"",Inputs_Class_Month!$E111/Inputs_Class_Month!$D111)</f>
        <v>0.735795454545455</v>
      </c>
      <c r="F111" s="8">
        <f>IF(N(Inputs_Class_Month!$D111)=0,"",Settings!$B$3*Inputs_Class_Month!$F111/Inputs_Class_Month!$D111)</f>
        <v>0.0419034090909091</v>
      </c>
      <c r="G111" s="8">
        <f>IF(N(Inputs_Class_Month!$D111)=0,"",Inputs_Class_Month!$G111/Inputs_Class_Month!$D111)</f>
        <v>0.0840097402597403</v>
      </c>
      <c r="H111" s="7">
        <f>IF(N(Inputs_Class_Month!$C111)=0,"",Inputs_Class_Month!$I111/Inputs_Class_Month!$C111)</f>
        <v>172.233333333333</v>
      </c>
      <c r="I111" s="7">
        <f>IF(N(Inputs_Class_Month!$C111)=0,"",Inputs_Class_Month!$H111/Inputs_Class_Month!$C111)</f>
        <v>20.4333333333333</v>
      </c>
    </row>
    <row r="112" spans="1:9">
      <c r="A112" s="6" t="str">
        <f>IF(Inputs_Class_Month!$A112="","",Inputs_Class_Month!$A112)</f>
        <v>2026-03</v>
      </c>
      <c r="B112" s="6" t="str">
        <f>IF(Inputs_Class_Month!$B112="","",Inputs_Class_Month!$B112)</f>
        <v>CC</v>
      </c>
      <c r="C112" s="7">
        <f>IF(N(Inputs_Class_Month!$D112)=0,"",Inputs_Class_Month!$E112+Settings!$B$3*Inputs_Class_Month!$F112)</f>
        <v>219</v>
      </c>
      <c r="D112" s="8">
        <f>IF(N(Inputs_Class_Month!$D112)=0,"",C112/Inputs_Class_Month!$D112)</f>
        <v>0.561538461538462</v>
      </c>
      <c r="E112" s="8">
        <f>IF(N(Inputs_Class_Month!$D112)=0,"",Inputs_Class_Month!$E112/Inputs_Class_Month!$D112)</f>
        <v>0.561538461538462</v>
      </c>
      <c r="F112" s="8">
        <f>IF(N(Inputs_Class_Month!$D112)=0,"",Settings!$B$3*Inputs_Class_Month!$F112/Inputs_Class_Month!$D112)</f>
        <v>0</v>
      </c>
      <c r="G112" s="8">
        <f>IF(N(Inputs_Class_Month!$D112)=0,"",Inputs_Class_Month!$G112/Inputs_Class_Month!$D112)</f>
        <v>0</v>
      </c>
      <c r="H112" s="7">
        <f>IF(N(Inputs_Class_Month!$C112)=0,"",Inputs_Class_Month!$I112/Inputs_Class_Month!$C112)</f>
        <v>129.5</v>
      </c>
      <c r="I112" s="7">
        <f>IF(N(Inputs_Class_Month!$C112)=0,"",Inputs_Class_Month!$H112/Inputs_Class_Month!$C112)</f>
        <v>0</v>
      </c>
    </row>
    <row r="113" spans="1:9">
      <c r="A113" s="6" t="str">
        <f>IF(Inputs_Class_Month!$A113="","",Inputs_Class_Month!$A113)</f>
        <v>2026-03</v>
      </c>
      <c r="B113" s="6" t="str">
        <f>IF(Inputs_Class_Month!$B113="","",Inputs_Class_Month!$B113)</f>
        <v>SL</v>
      </c>
      <c r="C113" s="7">
        <f>IF(N(Inputs_Class_Month!$D113)=0,"",Inputs_Class_Month!$E113+Settings!$B$3*Inputs_Class_Month!$F113)</f>
        <v>5187</v>
      </c>
      <c r="D113" s="8">
        <f>IF(N(Inputs_Class_Month!$D113)=0,"",C113/Inputs_Class_Month!$D113)</f>
        <v>0.837693798449612</v>
      </c>
      <c r="E113" s="8">
        <f>IF(N(Inputs_Class_Month!$D113)=0,"",Inputs_Class_Month!$E113/Inputs_Class_Month!$D113)</f>
        <v>0.784399224806202</v>
      </c>
      <c r="F113" s="8">
        <f>IF(N(Inputs_Class_Month!$D113)=0,"",Settings!$B$3*Inputs_Class_Month!$F113/Inputs_Class_Month!$D113)</f>
        <v>0.0532945736434109</v>
      </c>
      <c r="G113" s="8">
        <f>IF(N(Inputs_Class_Month!$D113)=0,"",Inputs_Class_Month!$G113/Inputs_Class_Month!$D113)</f>
        <v>0.0878552971576227</v>
      </c>
      <c r="H113" s="7">
        <f>IF(N(Inputs_Class_Month!$C113)=0,"",Inputs_Class_Month!$I113/Inputs_Class_Month!$C113)</f>
        <v>238.7</v>
      </c>
      <c r="I113" s="7">
        <f>IF(N(Inputs_Class_Month!$C113)=0,"",Inputs_Class_Month!$H113/Inputs_Class_Month!$C113)</f>
        <v>29.9666666666667</v>
      </c>
    </row>
    <row r="114" spans="1:9">
      <c r="A114" s="6" t="str">
        <f>IF(Inputs_Class_Month!$A114="","",Inputs_Class_Month!$A114)</f>
        <v>2026-04</v>
      </c>
      <c r="B114" s="6" t="str">
        <f>IF(Inputs_Class_Month!$B114="","",Inputs_Class_Month!$B114)</f>
        <v>1A</v>
      </c>
      <c r="C114" s="7">
        <f>IF(N(Inputs_Class_Month!$D114)=0,"",Inputs_Class_Month!$E114+Settings!$B$3*Inputs_Class_Month!$F114)</f>
        <v>61</v>
      </c>
      <c r="D114" s="8">
        <f>IF(N(Inputs_Class_Month!$D114)=0,"",C114/Inputs_Class_Month!$D114)</f>
        <v>0.847222222222222</v>
      </c>
      <c r="E114" s="8">
        <f>IF(N(Inputs_Class_Month!$D114)=0,"",Inputs_Class_Month!$E114/Inputs_Class_Month!$D114)</f>
        <v>0.847222222222222</v>
      </c>
      <c r="F114" s="8">
        <f>IF(N(Inputs_Class_Month!$D114)=0,"",Settings!$B$3*Inputs_Class_Month!$F114/Inputs_Class_Month!$D114)</f>
        <v>0</v>
      </c>
      <c r="G114" s="8">
        <f>IF(N(Inputs_Class_Month!$D114)=0,"",Inputs_Class_Month!$G114/Inputs_Class_Month!$D114)</f>
        <v>0.0972222222222222</v>
      </c>
      <c r="H114" s="7">
        <f>IF(N(Inputs_Class_Month!$C114)=0,"",Inputs_Class_Month!$I114/Inputs_Class_Month!$C114)</f>
        <v>35.5</v>
      </c>
      <c r="I114" s="7">
        <f>IF(N(Inputs_Class_Month!$C114)=0,"",Inputs_Class_Month!$H114/Inputs_Class_Month!$C114)</f>
        <v>4</v>
      </c>
    </row>
    <row r="115" spans="1:9">
      <c r="A115" s="6" t="str">
        <f>IF(Inputs_Class_Month!$A115="","",Inputs_Class_Month!$A115)</f>
        <v>2026-04</v>
      </c>
      <c r="B115" s="6" t="str">
        <f>IF(Inputs_Class_Month!$B115="","",Inputs_Class_Month!$B115)</f>
        <v>2A</v>
      </c>
      <c r="C115" s="7">
        <f>IF(N(Inputs_Class_Month!$D115)=0,"",Inputs_Class_Month!$E115+Settings!$B$3*Inputs_Class_Month!$F115)</f>
        <v>956.5</v>
      </c>
      <c r="D115" s="8">
        <f>IF(N(Inputs_Class_Month!$D115)=0,"",C115/Inputs_Class_Month!$D115)</f>
        <v>0.831739130434783</v>
      </c>
      <c r="E115" s="8">
        <f>IF(N(Inputs_Class_Month!$D115)=0,"",Inputs_Class_Month!$E115/Inputs_Class_Month!$D115)</f>
        <v>0.775652173913044</v>
      </c>
      <c r="F115" s="8">
        <f>IF(N(Inputs_Class_Month!$D115)=0,"",Settings!$B$3*Inputs_Class_Month!$F115/Inputs_Class_Month!$D115)</f>
        <v>0.0560869565217391</v>
      </c>
      <c r="G115" s="8">
        <f>IF(N(Inputs_Class_Month!$D115)=0,"",Inputs_Class_Month!$G115/Inputs_Class_Month!$D115)</f>
        <v>0.101739130434783</v>
      </c>
      <c r="H115" s="7">
        <f>IF(N(Inputs_Class_Month!$C115)=0,"",Inputs_Class_Month!$I115/Inputs_Class_Month!$C115)</f>
        <v>86.6</v>
      </c>
      <c r="I115" s="7">
        <f>IF(N(Inputs_Class_Month!$C115)=0,"",Inputs_Class_Month!$H115/Inputs_Class_Month!$C115)</f>
        <v>10.8</v>
      </c>
    </row>
    <row r="116" spans="1:9">
      <c r="A116" s="6" t="str">
        <f>IF(Inputs_Class_Month!$A116="","",Inputs_Class_Month!$A116)</f>
        <v>2026-04</v>
      </c>
      <c r="B116" s="6" t="str">
        <f>IF(Inputs_Class_Month!$B116="","",Inputs_Class_Month!$B116)</f>
        <v>2S</v>
      </c>
      <c r="C116" s="7">
        <f>IF(N(Inputs_Class_Month!$D116)=0,"",Inputs_Class_Month!$E116+Settings!$B$3*Inputs_Class_Month!$F116)</f>
        <v>3637</v>
      </c>
      <c r="D116" s="8">
        <f>IF(N(Inputs_Class_Month!$D116)=0,"",C116/Inputs_Class_Month!$D116)</f>
        <v>0.748353909465021</v>
      </c>
      <c r="E116" s="8">
        <f>IF(N(Inputs_Class_Month!$D116)=0,"",Inputs_Class_Month!$E116/Inputs_Class_Month!$D116)</f>
        <v>0.748353909465021</v>
      </c>
      <c r="F116" s="8">
        <f>IF(N(Inputs_Class_Month!$D116)=0,"",Settings!$B$3*Inputs_Class_Month!$F116/Inputs_Class_Month!$D116)</f>
        <v>0</v>
      </c>
      <c r="G116" s="8">
        <f>IF(N(Inputs_Class_Month!$D116)=0,"",Inputs_Class_Month!$G116/Inputs_Class_Month!$D116)</f>
        <v>0.0689300411522634</v>
      </c>
      <c r="H116" s="7">
        <f>IF(N(Inputs_Class_Month!$C116)=0,"",Inputs_Class_Month!$I116/Inputs_Class_Month!$C116)</f>
        <v>274.352941176471</v>
      </c>
      <c r="I116" s="7">
        <f>IF(N(Inputs_Class_Month!$C116)=0,"",Inputs_Class_Month!$H116/Inputs_Class_Month!$C116)</f>
        <v>34.4705882352941</v>
      </c>
    </row>
    <row r="117" spans="1:9">
      <c r="A117" s="6" t="str">
        <f>IF(Inputs_Class_Month!$A117="","",Inputs_Class_Month!$A117)</f>
        <v>2026-04</v>
      </c>
      <c r="B117" s="6" t="str">
        <f>IF(Inputs_Class_Month!$B117="","",Inputs_Class_Month!$B117)</f>
        <v>3A</v>
      </c>
      <c r="C117" s="7">
        <f>IF(N(Inputs_Class_Month!$D117)=0,"",Inputs_Class_Month!$E117+Settings!$B$3*Inputs_Class_Month!$F117)</f>
        <v>4268.5</v>
      </c>
      <c r="D117" s="8">
        <f>IF(N(Inputs_Class_Month!$D117)=0,"",C117/Inputs_Class_Month!$D117)</f>
        <v>0.86617288961039</v>
      </c>
      <c r="E117" s="8">
        <f>IF(N(Inputs_Class_Month!$D117)=0,"",Inputs_Class_Month!$E117/Inputs_Class_Month!$D117)</f>
        <v>0.801339285714286</v>
      </c>
      <c r="F117" s="8">
        <f>IF(N(Inputs_Class_Month!$D117)=0,"",Settings!$B$3*Inputs_Class_Month!$F117/Inputs_Class_Month!$D117)</f>
        <v>0.0648336038961039</v>
      </c>
      <c r="G117" s="8">
        <f>IF(N(Inputs_Class_Month!$D117)=0,"",Inputs_Class_Month!$G117/Inputs_Class_Month!$D117)</f>
        <v>0.108157467532468</v>
      </c>
      <c r="H117" s="7">
        <f>IF(N(Inputs_Class_Month!$C117)=0,"",Inputs_Class_Month!$I117/Inputs_Class_Month!$C117)</f>
        <v>199.1</v>
      </c>
      <c r="I117" s="7">
        <f>IF(N(Inputs_Class_Month!$C117)=0,"",Inputs_Class_Month!$H117/Inputs_Class_Month!$C117)</f>
        <v>26.3</v>
      </c>
    </row>
    <row r="118" spans="1:9">
      <c r="A118" s="6" t="str">
        <f>IF(Inputs_Class_Month!$A118="","",Inputs_Class_Month!$A118)</f>
        <v>2026-04</v>
      </c>
      <c r="B118" s="6" t="str">
        <f>IF(Inputs_Class_Month!$B118="","",Inputs_Class_Month!$B118)</f>
        <v>CC</v>
      </c>
      <c r="C118" s="7">
        <f>IF(N(Inputs_Class_Month!$D118)=0,"",Inputs_Class_Month!$E118+Settings!$B$3*Inputs_Class_Month!$F118)</f>
        <v>178</v>
      </c>
      <c r="D118" s="8">
        <f>IF(N(Inputs_Class_Month!$D118)=0,"",C118/Inputs_Class_Month!$D118)</f>
        <v>0.38034188034188</v>
      </c>
      <c r="E118" s="8">
        <f>IF(N(Inputs_Class_Month!$D118)=0,"",Inputs_Class_Month!$E118/Inputs_Class_Month!$D118)</f>
        <v>0.38034188034188</v>
      </c>
      <c r="F118" s="8">
        <f>IF(N(Inputs_Class_Month!$D118)=0,"",Settings!$B$3*Inputs_Class_Month!$F118/Inputs_Class_Month!$D118)</f>
        <v>0</v>
      </c>
      <c r="G118" s="8">
        <f>IF(N(Inputs_Class_Month!$D118)=0,"",Inputs_Class_Month!$G118/Inputs_Class_Month!$D118)</f>
        <v>0</v>
      </c>
      <c r="H118" s="7">
        <f>IF(N(Inputs_Class_Month!$C118)=0,"",Inputs_Class_Month!$I118/Inputs_Class_Month!$C118)</f>
        <v>103.5</v>
      </c>
      <c r="I118" s="7">
        <f>IF(N(Inputs_Class_Month!$C118)=0,"",Inputs_Class_Month!$H118/Inputs_Class_Month!$C118)</f>
        <v>0</v>
      </c>
    </row>
    <row r="119" spans="1:9">
      <c r="A119" s="6" t="str">
        <f>IF(Inputs_Class_Month!$A119="","",Inputs_Class_Month!$A119)</f>
        <v>2026-04</v>
      </c>
      <c r="B119" s="6" t="str">
        <f>IF(Inputs_Class_Month!$B119="","",Inputs_Class_Month!$B119)</f>
        <v>SL</v>
      </c>
      <c r="C119" s="7">
        <f>IF(N(Inputs_Class_Month!$D119)=0,"",Inputs_Class_Month!$E119+Settings!$B$3*Inputs_Class_Month!$F119)</f>
        <v>5395.5</v>
      </c>
      <c r="D119" s="8">
        <f>IF(N(Inputs_Class_Month!$D119)=0,"",C119/Inputs_Class_Month!$D119)</f>
        <v>0.8515625</v>
      </c>
      <c r="E119" s="8">
        <f>IF(N(Inputs_Class_Month!$D119)=0,"",Inputs_Class_Month!$E119/Inputs_Class_Month!$D119)</f>
        <v>0.78677398989899</v>
      </c>
      <c r="F119" s="8">
        <f>IF(N(Inputs_Class_Month!$D119)=0,"",Settings!$B$3*Inputs_Class_Month!$F119/Inputs_Class_Month!$D119)</f>
        <v>0.0647885101010101</v>
      </c>
      <c r="G119" s="8">
        <f>IF(N(Inputs_Class_Month!$D119)=0,"",Inputs_Class_Month!$G119/Inputs_Class_Month!$D119)</f>
        <v>0.126893939393939</v>
      </c>
      <c r="H119" s="7">
        <f>IF(N(Inputs_Class_Month!$C119)=0,"",Inputs_Class_Month!$I119/Inputs_Class_Month!$C119)</f>
        <v>272.965517241379</v>
      </c>
      <c r="I119" s="7">
        <f>IF(N(Inputs_Class_Month!$C119)=0,"",Inputs_Class_Month!$H119/Inputs_Class_Month!$C119)</f>
        <v>43.8275862068966</v>
      </c>
    </row>
    <row r="120" spans="1:9">
      <c r="A120" s="6" t="str">
        <f>IF(Inputs_Class_Month!$A120="","",Inputs_Class_Month!$A120)</f>
        <v>2026-05</v>
      </c>
      <c r="B120" s="6" t="str">
        <f>IF(Inputs_Class_Month!$B120="","",Inputs_Class_Month!$B120)</f>
        <v>1A</v>
      </c>
      <c r="C120" s="7">
        <f>IF(N(Inputs_Class_Month!$D120)=0,"",Inputs_Class_Month!$E120+Settings!$B$3*Inputs_Class_Month!$F120)</f>
        <v>60</v>
      </c>
      <c r="D120" s="8">
        <f>IF(N(Inputs_Class_Month!$D120)=0,"",C120/Inputs_Class_Month!$D120)</f>
        <v>0.833333333333333</v>
      </c>
      <c r="E120" s="8">
        <f>IF(N(Inputs_Class_Month!$D120)=0,"",Inputs_Class_Month!$E120/Inputs_Class_Month!$D120)</f>
        <v>0.833333333333333</v>
      </c>
      <c r="F120" s="8">
        <f>IF(N(Inputs_Class_Month!$D120)=0,"",Settings!$B$3*Inputs_Class_Month!$F120/Inputs_Class_Month!$D120)</f>
        <v>0</v>
      </c>
      <c r="G120" s="8">
        <f>IF(N(Inputs_Class_Month!$D120)=0,"",Inputs_Class_Month!$G120/Inputs_Class_Month!$D120)</f>
        <v>0.0833333333333333</v>
      </c>
      <c r="H120" s="7">
        <f>IF(N(Inputs_Class_Month!$C120)=0,"",Inputs_Class_Month!$I120/Inputs_Class_Month!$C120)</f>
        <v>33</v>
      </c>
      <c r="I120" s="7">
        <f>IF(N(Inputs_Class_Month!$C120)=0,"",Inputs_Class_Month!$H120/Inputs_Class_Month!$C120)</f>
        <v>3</v>
      </c>
    </row>
    <row r="121" spans="1:9">
      <c r="A121" s="6" t="str">
        <f>IF(Inputs_Class_Month!$A121="","",Inputs_Class_Month!$A121)</f>
        <v>2026-05</v>
      </c>
      <c r="B121" s="6" t="str">
        <f>IF(Inputs_Class_Month!$B121="","",Inputs_Class_Month!$B121)</f>
        <v>2A</v>
      </c>
      <c r="C121" s="7">
        <f>IF(N(Inputs_Class_Month!$D121)=0,"",Inputs_Class_Month!$E121+Settings!$B$3*Inputs_Class_Month!$F121)</f>
        <v>1082</v>
      </c>
      <c r="D121" s="8">
        <f>IF(N(Inputs_Class_Month!$D121)=0,"",C121/Inputs_Class_Month!$D121)</f>
        <v>0.904682274247492</v>
      </c>
      <c r="E121" s="8">
        <f>IF(N(Inputs_Class_Month!$D121)=0,"",Inputs_Class_Month!$E121/Inputs_Class_Month!$D121)</f>
        <v>0.828595317725753</v>
      </c>
      <c r="F121" s="8">
        <f>IF(N(Inputs_Class_Month!$D121)=0,"",Settings!$B$3*Inputs_Class_Month!$F121/Inputs_Class_Month!$D121)</f>
        <v>0.0760869565217391</v>
      </c>
      <c r="G121" s="8">
        <f>IF(N(Inputs_Class_Month!$D121)=0,"",Inputs_Class_Month!$G121/Inputs_Class_Month!$D121)</f>
        <v>0.160535117056856</v>
      </c>
      <c r="H121" s="7">
        <f>IF(N(Inputs_Class_Month!$C121)=0,"",Inputs_Class_Month!$I121/Inputs_Class_Month!$C121)</f>
        <v>96</v>
      </c>
      <c r="I121" s="7">
        <f>IF(N(Inputs_Class_Month!$C121)=0,"",Inputs_Class_Month!$H121/Inputs_Class_Month!$C121)</f>
        <v>15.25</v>
      </c>
    </row>
    <row r="122" spans="1:9">
      <c r="A122" s="6" t="str">
        <f>IF(Inputs_Class_Month!$A122="","",Inputs_Class_Month!$A122)</f>
        <v>2026-05</v>
      </c>
      <c r="B122" s="6" t="str">
        <f>IF(Inputs_Class_Month!$B122="","",Inputs_Class_Month!$B122)</f>
        <v>2S</v>
      </c>
      <c r="C122" s="7">
        <f>IF(N(Inputs_Class_Month!$D122)=0,"",Inputs_Class_Month!$E122+Settings!$B$3*Inputs_Class_Month!$F122)</f>
        <v>4174</v>
      </c>
      <c r="D122" s="8">
        <f>IF(N(Inputs_Class_Month!$D122)=0,"",C122/Inputs_Class_Month!$D122)</f>
        <v>0.920194003527337</v>
      </c>
      <c r="E122" s="8">
        <f>IF(N(Inputs_Class_Month!$D122)=0,"",Inputs_Class_Month!$E122/Inputs_Class_Month!$D122)</f>
        <v>0.920194003527337</v>
      </c>
      <c r="F122" s="8">
        <f>IF(N(Inputs_Class_Month!$D122)=0,"",Settings!$B$3*Inputs_Class_Month!$F122/Inputs_Class_Month!$D122)</f>
        <v>0</v>
      </c>
      <c r="G122" s="8">
        <f>IF(N(Inputs_Class_Month!$D122)=0,"",Inputs_Class_Month!$G122/Inputs_Class_Month!$D122)</f>
        <v>0.149250440917108</v>
      </c>
      <c r="H122" s="7">
        <f>IF(N(Inputs_Class_Month!$C122)=0,"",Inputs_Class_Month!$I122/Inputs_Class_Month!$C122)</f>
        <v>360.4375</v>
      </c>
      <c r="I122" s="7">
        <f>IF(N(Inputs_Class_Month!$C122)=0,"",Inputs_Class_Month!$H122/Inputs_Class_Month!$C122)</f>
        <v>68.125</v>
      </c>
    </row>
    <row r="123" spans="1:9">
      <c r="A123" s="6" t="str">
        <f>IF(Inputs_Class_Month!$A123="","",Inputs_Class_Month!$A123)</f>
        <v>2026-05</v>
      </c>
      <c r="B123" s="6" t="str">
        <f>IF(Inputs_Class_Month!$B123="","",Inputs_Class_Month!$B123)</f>
        <v>3A</v>
      </c>
      <c r="C123" s="7">
        <f>IF(N(Inputs_Class_Month!$D123)=0,"",Inputs_Class_Month!$E123+Settings!$B$3*Inputs_Class_Month!$F123)</f>
        <v>4767.5</v>
      </c>
      <c r="D123" s="8">
        <f>IF(N(Inputs_Class_Month!$D123)=0,"",C123/Inputs_Class_Month!$D123)</f>
        <v>0.93115234375</v>
      </c>
      <c r="E123" s="8">
        <f>IF(N(Inputs_Class_Month!$D123)=0,"",Inputs_Class_Month!$E123/Inputs_Class_Month!$D123)</f>
        <v>0.8556640625</v>
      </c>
      <c r="F123" s="8">
        <f>IF(N(Inputs_Class_Month!$D123)=0,"",Settings!$B$3*Inputs_Class_Month!$F123/Inputs_Class_Month!$D123)</f>
        <v>0.07548828125</v>
      </c>
      <c r="G123" s="8">
        <f>IF(N(Inputs_Class_Month!$D123)=0,"",Inputs_Class_Month!$G123/Inputs_Class_Month!$D123)</f>
        <v>0.1525390625</v>
      </c>
      <c r="H123" s="7">
        <f>IF(N(Inputs_Class_Month!$C123)=0,"",Inputs_Class_Month!$I123/Inputs_Class_Month!$C123)</f>
        <v>224</v>
      </c>
      <c r="I123" s="7">
        <f>IF(N(Inputs_Class_Month!$C123)=0,"",Inputs_Class_Month!$H123/Inputs_Class_Month!$C123)</f>
        <v>39.258064516129</v>
      </c>
    </row>
    <row r="124" spans="1:9">
      <c r="A124" s="6" t="str">
        <f>IF(Inputs_Class_Month!$A124="","",Inputs_Class_Month!$A124)</f>
        <v>2026-05</v>
      </c>
      <c r="B124" s="6" t="str">
        <f>IF(Inputs_Class_Month!$B124="","",Inputs_Class_Month!$B124)</f>
        <v>CC</v>
      </c>
      <c r="C124" s="7">
        <f>IF(N(Inputs_Class_Month!$D124)=0,"",Inputs_Class_Month!$E124+Settings!$B$3*Inputs_Class_Month!$F124)</f>
        <v>234</v>
      </c>
      <c r="D124" s="8">
        <f>IF(N(Inputs_Class_Month!$D124)=0,"",C124/Inputs_Class_Month!$D124)</f>
        <v>1</v>
      </c>
      <c r="E124" s="8">
        <f>IF(N(Inputs_Class_Month!$D124)=0,"",Inputs_Class_Month!$E124/Inputs_Class_Month!$D124)</f>
        <v>1</v>
      </c>
      <c r="F124" s="8">
        <f>IF(N(Inputs_Class_Month!$D124)=0,"",Settings!$B$3*Inputs_Class_Month!$F124/Inputs_Class_Month!$D124)</f>
        <v>0</v>
      </c>
      <c r="G124" s="8">
        <f>IF(N(Inputs_Class_Month!$D124)=0,"",Inputs_Class_Month!$G124/Inputs_Class_Month!$D124)</f>
        <v>0.0982905982905983</v>
      </c>
      <c r="H124" s="7">
        <f>IF(N(Inputs_Class_Month!$C124)=0,"",Inputs_Class_Month!$I124/Inputs_Class_Month!$C124)</f>
        <v>305</v>
      </c>
      <c r="I124" s="7">
        <f>IF(N(Inputs_Class_Month!$C124)=0,"",Inputs_Class_Month!$H124/Inputs_Class_Month!$C124)</f>
        <v>43</v>
      </c>
    </row>
    <row r="125" spans="1:9">
      <c r="A125" s="6" t="str">
        <f>IF(Inputs_Class_Month!$A125="","",Inputs_Class_Month!$A125)</f>
        <v>2026-05</v>
      </c>
      <c r="B125" s="6" t="str">
        <f>IF(Inputs_Class_Month!$B125="","",Inputs_Class_Month!$B125)</f>
        <v>SL</v>
      </c>
      <c r="C125" s="7">
        <f>IF(N(Inputs_Class_Month!$D125)=0,"",Inputs_Class_Month!$E125+Settings!$B$3*Inputs_Class_Month!$F125)</f>
        <v>5573.5</v>
      </c>
      <c r="D125" s="8">
        <f>IF(N(Inputs_Class_Month!$D125)=0,"",C125/Inputs_Class_Month!$D125)</f>
        <v>0.910702614379085</v>
      </c>
      <c r="E125" s="8">
        <f>IF(N(Inputs_Class_Month!$D125)=0,"",Inputs_Class_Month!$E125/Inputs_Class_Month!$D125)</f>
        <v>0.829901960784314</v>
      </c>
      <c r="F125" s="8">
        <f>IF(N(Inputs_Class_Month!$D125)=0,"",Settings!$B$3*Inputs_Class_Month!$F125/Inputs_Class_Month!$D125)</f>
        <v>0.0808006535947713</v>
      </c>
      <c r="G125" s="8">
        <f>IF(N(Inputs_Class_Month!$D125)=0,"",Inputs_Class_Month!$G125/Inputs_Class_Month!$D125)</f>
        <v>0.163562091503268</v>
      </c>
      <c r="H125" s="7">
        <f>IF(N(Inputs_Class_Month!$C125)=0,"",Inputs_Class_Month!$I125/Inputs_Class_Month!$C125)</f>
        <v>289.068965517241</v>
      </c>
      <c r="I125" s="7">
        <f>IF(N(Inputs_Class_Month!$C125)=0,"",Inputs_Class_Month!$H125/Inputs_Class_Month!$C125)</f>
        <v>56.2413793103448</v>
      </c>
    </row>
    <row r="126" spans="1:9">
      <c r="A126" s="6" t="str">
        <f>IF(Inputs_Class_Month!$A126="","",Inputs_Class_Month!$A126)</f>
        <v>2026-06</v>
      </c>
      <c r="B126" s="6" t="str">
        <f>IF(Inputs_Class_Month!$B126="","",Inputs_Class_Month!$B126)</f>
        <v>1A</v>
      </c>
      <c r="C126" s="7">
        <f>IF(N(Inputs_Class_Month!$D126)=0,"",Inputs_Class_Month!$E126+Settings!$B$3*Inputs_Class_Month!$F126)</f>
        <v>66</v>
      </c>
      <c r="D126" s="8">
        <f>IF(N(Inputs_Class_Month!$D126)=0,"",C126/Inputs_Class_Month!$D126)</f>
        <v>0.916666666666667</v>
      </c>
      <c r="E126" s="8">
        <f>IF(N(Inputs_Class_Month!$D126)=0,"",Inputs_Class_Month!$E126/Inputs_Class_Month!$D126)</f>
        <v>0.916666666666667</v>
      </c>
      <c r="F126" s="8">
        <f>IF(N(Inputs_Class_Month!$D126)=0,"",Settings!$B$3*Inputs_Class_Month!$F126/Inputs_Class_Month!$D126)</f>
        <v>0</v>
      </c>
      <c r="G126" s="8">
        <f>IF(N(Inputs_Class_Month!$D126)=0,"",Inputs_Class_Month!$G126/Inputs_Class_Month!$D126)</f>
        <v>0.0555555555555556</v>
      </c>
      <c r="H126" s="7">
        <f>IF(N(Inputs_Class_Month!$C126)=0,"",Inputs_Class_Month!$I126/Inputs_Class_Month!$C126)</f>
        <v>37.5</v>
      </c>
      <c r="I126" s="7">
        <f>IF(N(Inputs_Class_Month!$C126)=0,"",Inputs_Class_Month!$H126/Inputs_Class_Month!$C126)</f>
        <v>2.5</v>
      </c>
    </row>
    <row r="127" spans="1:9">
      <c r="A127" s="6" t="str">
        <f>IF(Inputs_Class_Month!$A127="","",Inputs_Class_Month!$A127)</f>
        <v>2026-06</v>
      </c>
      <c r="B127" s="6" t="str">
        <f>IF(Inputs_Class_Month!$B127="","",Inputs_Class_Month!$B127)</f>
        <v>2A</v>
      </c>
      <c r="C127" s="7">
        <f>IF(N(Inputs_Class_Month!$D127)=0,"",Inputs_Class_Month!$E127+Settings!$B$3*Inputs_Class_Month!$F127)</f>
        <v>967.5</v>
      </c>
      <c r="D127" s="8">
        <f>IF(N(Inputs_Class_Month!$D127)=0,"",C127/Inputs_Class_Month!$D127)</f>
        <v>0.808946488294314</v>
      </c>
      <c r="E127" s="8">
        <f>IF(N(Inputs_Class_Month!$D127)=0,"",Inputs_Class_Month!$E127/Inputs_Class_Month!$D127)</f>
        <v>0.749163879598662</v>
      </c>
      <c r="F127" s="8">
        <f>IF(N(Inputs_Class_Month!$D127)=0,"",Settings!$B$3*Inputs_Class_Month!$F127/Inputs_Class_Month!$D127)</f>
        <v>0.0597826086956522</v>
      </c>
      <c r="G127" s="8">
        <f>IF(N(Inputs_Class_Month!$D127)=0,"",Inputs_Class_Month!$G127/Inputs_Class_Month!$D127)</f>
        <v>0.132107023411371</v>
      </c>
      <c r="H127" s="7">
        <f>IF(N(Inputs_Class_Month!$C127)=0,"",Inputs_Class_Month!$I127/Inputs_Class_Month!$C127)</f>
        <v>82.3125</v>
      </c>
      <c r="I127" s="7">
        <f>IF(N(Inputs_Class_Month!$C127)=0,"",Inputs_Class_Month!$H127/Inputs_Class_Month!$C127)</f>
        <v>12.9375</v>
      </c>
    </row>
    <row r="128" spans="1:9">
      <c r="A128" s="6" t="str">
        <f>IF(Inputs_Class_Month!$A128="","",Inputs_Class_Month!$A128)</f>
        <v>2026-06</v>
      </c>
      <c r="B128" s="6" t="str">
        <f>IF(Inputs_Class_Month!$B128="","",Inputs_Class_Month!$B128)</f>
        <v>2S</v>
      </c>
      <c r="C128" s="7">
        <f>IF(N(Inputs_Class_Month!$D128)=0,"",Inputs_Class_Month!$E128+Settings!$B$3*Inputs_Class_Month!$F128)</f>
        <v>3075</v>
      </c>
      <c r="D128" s="8">
        <f>IF(N(Inputs_Class_Month!$D128)=0,"",C128/Inputs_Class_Month!$D128)</f>
        <v>0.73005698005698</v>
      </c>
      <c r="E128" s="8">
        <f>IF(N(Inputs_Class_Month!$D128)=0,"",Inputs_Class_Month!$E128/Inputs_Class_Month!$D128)</f>
        <v>0.73005698005698</v>
      </c>
      <c r="F128" s="8">
        <f>IF(N(Inputs_Class_Month!$D128)=0,"",Settings!$B$3*Inputs_Class_Month!$F128/Inputs_Class_Month!$D128)</f>
        <v>0</v>
      </c>
      <c r="G128" s="8">
        <f>IF(N(Inputs_Class_Month!$D128)=0,"",Inputs_Class_Month!$G128/Inputs_Class_Month!$D128)</f>
        <v>0.0584045584045584</v>
      </c>
      <c r="H128" s="7">
        <f>IF(N(Inputs_Class_Month!$C128)=0,"",Inputs_Class_Month!$I128/Inputs_Class_Month!$C128)</f>
        <v>241.8125</v>
      </c>
      <c r="I128" s="7">
        <f>IF(N(Inputs_Class_Month!$C128)=0,"",Inputs_Class_Month!$H128/Inputs_Class_Month!$C128)</f>
        <v>25.5625</v>
      </c>
    </row>
    <row r="129" spans="1:9">
      <c r="A129" s="6" t="str">
        <f>IF(Inputs_Class_Month!$A129="","",Inputs_Class_Month!$A129)</f>
        <v>2026-06</v>
      </c>
      <c r="B129" s="6" t="str">
        <f>IF(Inputs_Class_Month!$B129="","",Inputs_Class_Month!$B129)</f>
        <v>3A</v>
      </c>
      <c r="C129" s="7">
        <f>IF(N(Inputs_Class_Month!$D129)=0,"",Inputs_Class_Month!$E129+Settings!$B$3*Inputs_Class_Month!$F129)</f>
        <v>4236</v>
      </c>
      <c r="D129" s="8">
        <f>IF(N(Inputs_Class_Month!$D129)=0,"",C129/Inputs_Class_Month!$D129)</f>
        <v>0.837816455696203</v>
      </c>
      <c r="E129" s="8">
        <f>IF(N(Inputs_Class_Month!$D129)=0,"",Inputs_Class_Month!$E129/Inputs_Class_Month!$D129)</f>
        <v>0.775909810126582</v>
      </c>
      <c r="F129" s="8">
        <f>IF(N(Inputs_Class_Month!$D129)=0,"",Settings!$B$3*Inputs_Class_Month!$F129/Inputs_Class_Month!$D129)</f>
        <v>0.0619066455696203</v>
      </c>
      <c r="G129" s="8">
        <f>IF(N(Inputs_Class_Month!$D129)=0,"",Inputs_Class_Month!$G129/Inputs_Class_Month!$D129)</f>
        <v>0.122033227848101</v>
      </c>
      <c r="H129" s="7">
        <f>IF(N(Inputs_Class_Month!$C129)=0,"",Inputs_Class_Month!$I129/Inputs_Class_Month!$C129)</f>
        <v>198</v>
      </c>
      <c r="I129" s="7">
        <f>IF(N(Inputs_Class_Month!$C129)=0,"",Inputs_Class_Month!$H129/Inputs_Class_Month!$C129)</f>
        <v>31.0666666666667</v>
      </c>
    </row>
    <row r="130" spans="1:9">
      <c r="A130" s="6" t="str">
        <f>IF(Inputs_Class_Month!$A130="","",Inputs_Class_Month!$A130)</f>
        <v>2026-06</v>
      </c>
      <c r="B130" s="6" t="str">
        <f>IF(Inputs_Class_Month!$B130="","",Inputs_Class_Month!$B130)</f>
        <v>CC</v>
      </c>
      <c r="C130" s="7">
        <f>IF(N(Inputs_Class_Month!$D130)=0,"",Inputs_Class_Month!$E130+Settings!$B$3*Inputs_Class_Month!$F130)</f>
        <v>287</v>
      </c>
      <c r="D130" s="8">
        <f>IF(N(Inputs_Class_Month!$D130)=0,"",C130/Inputs_Class_Month!$D130)</f>
        <v>0.735897435897436</v>
      </c>
      <c r="E130" s="8">
        <f>IF(N(Inputs_Class_Month!$D130)=0,"",Inputs_Class_Month!$E130/Inputs_Class_Month!$D130)</f>
        <v>0.735897435897436</v>
      </c>
      <c r="F130" s="8">
        <f>IF(N(Inputs_Class_Month!$D130)=0,"",Settings!$B$3*Inputs_Class_Month!$F130/Inputs_Class_Month!$D130)</f>
        <v>0</v>
      </c>
      <c r="G130" s="8">
        <f>IF(N(Inputs_Class_Month!$D130)=0,"",Inputs_Class_Month!$G130/Inputs_Class_Month!$D130)</f>
        <v>0</v>
      </c>
      <c r="H130" s="7">
        <f>IF(N(Inputs_Class_Month!$C130)=0,"",Inputs_Class_Month!$I130/Inputs_Class_Month!$C130)</f>
        <v>156.5</v>
      </c>
      <c r="I130" s="7">
        <f>IF(N(Inputs_Class_Month!$C130)=0,"",Inputs_Class_Month!$H130/Inputs_Class_Month!$C130)</f>
        <v>0</v>
      </c>
    </row>
    <row r="131" spans="1:9">
      <c r="A131" s="6" t="str">
        <f>IF(Inputs_Class_Month!$A131="","",Inputs_Class_Month!$A131)</f>
        <v>2026-06</v>
      </c>
      <c r="B131" s="6" t="str">
        <f>IF(Inputs_Class_Month!$B131="","",Inputs_Class_Month!$B131)</f>
        <v>SL</v>
      </c>
      <c r="C131" s="7">
        <f>IF(N(Inputs_Class_Month!$D131)=0,"",Inputs_Class_Month!$E131+Settings!$B$3*Inputs_Class_Month!$F131)</f>
        <v>4696.5</v>
      </c>
      <c r="D131" s="8">
        <f>IF(N(Inputs_Class_Month!$D131)=0,"",C131/Inputs_Class_Month!$D131)</f>
        <v>0.758478682170543</v>
      </c>
      <c r="E131" s="8">
        <f>IF(N(Inputs_Class_Month!$D131)=0,"",Inputs_Class_Month!$E131/Inputs_Class_Month!$D131)</f>
        <v>0.717700258397933</v>
      </c>
      <c r="F131" s="8">
        <f>IF(N(Inputs_Class_Month!$D131)=0,"",Settings!$B$3*Inputs_Class_Month!$F131/Inputs_Class_Month!$D131)</f>
        <v>0.0407784237726098</v>
      </c>
      <c r="G131" s="8">
        <f>IF(N(Inputs_Class_Month!$D131)=0,"",Inputs_Class_Month!$G131/Inputs_Class_Month!$D131)</f>
        <v>0.0843023255813954</v>
      </c>
      <c r="H131" s="7">
        <f>IF(N(Inputs_Class_Month!$C131)=0,"",Inputs_Class_Month!$I131/Inputs_Class_Month!$C131)</f>
        <v>220.689655172414</v>
      </c>
      <c r="I131" s="7">
        <f>IF(N(Inputs_Class_Month!$C131)=0,"",Inputs_Class_Month!$H131/Inputs_Class_Month!$C131)</f>
        <v>27.1034482758621</v>
      </c>
    </row>
    <row r="132" spans="1:9">
      <c r="A132" s="6" t="str">
        <f>IF(Inputs_Class_Month!$A132="","",Inputs_Class_Month!$A132)</f>
        <v>2026-07</v>
      </c>
      <c r="B132" s="6" t="str">
        <f>IF(Inputs_Class_Month!$B132="","",Inputs_Class_Month!$B132)</f>
        <v>1A</v>
      </c>
      <c r="C132" s="7">
        <f>IF(N(Inputs_Class_Month!$D132)=0,"",Inputs_Class_Month!$E132+Settings!$B$3*Inputs_Class_Month!$F132)</f>
        <v>11</v>
      </c>
      <c r="D132" s="8">
        <f>IF(N(Inputs_Class_Month!$D132)=0,"",C132/Inputs_Class_Month!$D132)</f>
        <v>0.458333333333333</v>
      </c>
      <c r="E132" s="8">
        <f>IF(N(Inputs_Class_Month!$D132)=0,"",Inputs_Class_Month!$E132/Inputs_Class_Month!$D132)</f>
        <v>0.458333333333333</v>
      </c>
      <c r="F132" s="8">
        <f>IF(N(Inputs_Class_Month!$D132)=0,"",Settings!$B$3*Inputs_Class_Month!$F132/Inputs_Class_Month!$D132)</f>
        <v>0</v>
      </c>
      <c r="G132" s="8">
        <f>IF(N(Inputs_Class_Month!$D132)=0,"",Inputs_Class_Month!$G132/Inputs_Class_Month!$D132)</f>
        <v>0</v>
      </c>
      <c r="H132" s="7">
        <f>IF(N(Inputs_Class_Month!$C132)=0,"",Inputs_Class_Month!$I132/Inputs_Class_Month!$C132)</f>
        <v>18</v>
      </c>
      <c r="I132" s="7">
        <f>IF(N(Inputs_Class_Month!$C132)=0,"",Inputs_Class_Month!$H132/Inputs_Class_Month!$C132)</f>
        <v>0</v>
      </c>
    </row>
    <row r="133" spans="1:9">
      <c r="A133" s="6" t="str">
        <f>IF(Inputs_Class_Month!$A133="","",Inputs_Class_Month!$A133)</f>
        <v>2026-07</v>
      </c>
      <c r="B133" s="6" t="str">
        <f>IF(Inputs_Class_Month!$B133="","",Inputs_Class_Month!$B133)</f>
        <v>2A</v>
      </c>
      <c r="C133" s="7">
        <f>IF(N(Inputs_Class_Month!$D133)=0,"",Inputs_Class_Month!$E133+Settings!$B$3*Inputs_Class_Month!$F133)</f>
        <v>795</v>
      </c>
      <c r="D133" s="8">
        <f>IF(N(Inputs_Class_Month!$D133)=0,"",C133/Inputs_Class_Month!$D133)</f>
        <v>0.751417769376181</v>
      </c>
      <c r="E133" s="8">
        <f>IF(N(Inputs_Class_Month!$D133)=0,"",Inputs_Class_Month!$E133/Inputs_Class_Month!$D133)</f>
        <v>0.72117202268431</v>
      </c>
      <c r="F133" s="8">
        <f>IF(N(Inputs_Class_Month!$D133)=0,"",Settings!$B$3*Inputs_Class_Month!$F133/Inputs_Class_Month!$D133)</f>
        <v>0.0302457466918715</v>
      </c>
      <c r="G133" s="8">
        <f>IF(N(Inputs_Class_Month!$D133)=0,"",Inputs_Class_Month!$G133/Inputs_Class_Month!$D133)</f>
        <v>0.0359168241965974</v>
      </c>
      <c r="H133" s="7">
        <f>IF(N(Inputs_Class_Month!$C133)=0,"",Inputs_Class_Month!$I133/Inputs_Class_Month!$C133)</f>
        <v>68.2857142857143</v>
      </c>
      <c r="I133" s="7">
        <f>IF(N(Inputs_Class_Month!$C133)=0,"",Inputs_Class_Month!$H133/Inputs_Class_Month!$C133)</f>
        <v>2.92857142857143</v>
      </c>
    </row>
    <row r="134" spans="1:9">
      <c r="A134" s="6" t="str">
        <f>IF(Inputs_Class_Month!$A134="","",Inputs_Class_Month!$A134)</f>
        <v>2026-07</v>
      </c>
      <c r="B134" s="6" t="str">
        <f>IF(Inputs_Class_Month!$B134="","",Inputs_Class_Month!$B134)</f>
        <v>2S</v>
      </c>
      <c r="C134" s="7">
        <f>IF(N(Inputs_Class_Month!$D134)=0,"",Inputs_Class_Month!$E134+Settings!$B$3*Inputs_Class_Month!$F134)</f>
        <v>3238</v>
      </c>
      <c r="D134" s="8">
        <f>IF(N(Inputs_Class_Month!$D134)=0,"",C134/Inputs_Class_Month!$D134)</f>
        <v>0.681397306397306</v>
      </c>
      <c r="E134" s="8">
        <f>IF(N(Inputs_Class_Month!$D134)=0,"",Inputs_Class_Month!$E134/Inputs_Class_Month!$D134)</f>
        <v>0.681397306397306</v>
      </c>
      <c r="F134" s="8">
        <f>IF(N(Inputs_Class_Month!$D134)=0,"",Settings!$B$3*Inputs_Class_Month!$F134/Inputs_Class_Month!$D134)</f>
        <v>0</v>
      </c>
      <c r="G134" s="8">
        <f>IF(N(Inputs_Class_Month!$D134)=0,"",Inputs_Class_Month!$G134/Inputs_Class_Month!$D134)</f>
        <v>0.0523989898989899</v>
      </c>
      <c r="H134" s="7">
        <f>IF(N(Inputs_Class_Month!$C134)=0,"",Inputs_Class_Month!$I134/Inputs_Class_Month!$C134)</f>
        <v>227.888888888889</v>
      </c>
      <c r="I134" s="7">
        <f>IF(N(Inputs_Class_Month!$C134)=0,"",Inputs_Class_Month!$H134/Inputs_Class_Month!$C134)</f>
        <v>19.2777777777778</v>
      </c>
    </row>
    <row r="135" spans="1:9">
      <c r="A135" s="6" t="str">
        <f>IF(Inputs_Class_Month!$A135="","",Inputs_Class_Month!$A135)</f>
        <v>2026-07</v>
      </c>
      <c r="B135" s="6" t="str">
        <f>IF(Inputs_Class_Month!$B135="","",Inputs_Class_Month!$B135)</f>
        <v>3A</v>
      </c>
      <c r="C135" s="7">
        <f>IF(N(Inputs_Class_Month!$D135)=0,"",Inputs_Class_Month!$E135+Settings!$B$3*Inputs_Class_Month!$F135)</f>
        <v>3819</v>
      </c>
      <c r="D135" s="8">
        <f>IF(N(Inputs_Class_Month!$D135)=0,"",C135/Inputs_Class_Month!$D135)</f>
        <v>0.727705792682927</v>
      </c>
      <c r="E135" s="8">
        <f>IF(N(Inputs_Class_Month!$D135)=0,"",Inputs_Class_Month!$E135/Inputs_Class_Month!$D135)</f>
        <v>0.693025914634146</v>
      </c>
      <c r="F135" s="8">
        <f>IF(N(Inputs_Class_Month!$D135)=0,"",Settings!$B$3*Inputs_Class_Month!$F135/Inputs_Class_Month!$D135)</f>
        <v>0.0346798780487805</v>
      </c>
      <c r="G135" s="8">
        <f>IF(N(Inputs_Class_Month!$D135)=0,"",Inputs_Class_Month!$G135/Inputs_Class_Month!$D135)</f>
        <v>0.0695503048780488</v>
      </c>
      <c r="H135" s="7">
        <f>IF(N(Inputs_Class_Month!$C135)=0,"",Inputs_Class_Month!$I135/Inputs_Class_Month!$C135)</f>
        <v>161.645161290323</v>
      </c>
      <c r="I135" s="7">
        <f>IF(N(Inputs_Class_Month!$C135)=0,"",Inputs_Class_Month!$H135/Inputs_Class_Month!$C135)</f>
        <v>18.1290322580645</v>
      </c>
    </row>
    <row r="136" spans="1:9">
      <c r="A136" s="6" t="str">
        <f>IF(Inputs_Class_Month!$A136="","",Inputs_Class_Month!$A136)</f>
        <v>2026-07</v>
      </c>
      <c r="B136" s="6" t="str">
        <f>IF(Inputs_Class_Month!$B136="","",Inputs_Class_Month!$B136)</f>
        <v>CC</v>
      </c>
      <c r="C136" s="7">
        <f>IF(N(Inputs_Class_Month!$D136)=0,"",Inputs_Class_Month!$E136+Settings!$B$3*Inputs_Class_Month!$F136)</f>
        <v>168</v>
      </c>
      <c r="D136" s="8">
        <f>IF(N(Inputs_Class_Month!$D136)=0,"",C136/Inputs_Class_Month!$D136)</f>
        <v>0.717948717948718</v>
      </c>
      <c r="E136" s="8">
        <f>IF(N(Inputs_Class_Month!$D136)=0,"",Inputs_Class_Month!$E136/Inputs_Class_Month!$D136)</f>
        <v>0.717948717948718</v>
      </c>
      <c r="F136" s="8">
        <f>IF(N(Inputs_Class_Month!$D136)=0,"",Settings!$B$3*Inputs_Class_Month!$F136/Inputs_Class_Month!$D136)</f>
        <v>0</v>
      </c>
      <c r="G136" s="8">
        <f>IF(N(Inputs_Class_Month!$D136)=0,"",Inputs_Class_Month!$G136/Inputs_Class_Month!$D136)</f>
        <v>0</v>
      </c>
      <c r="H136" s="7">
        <f>IF(N(Inputs_Class_Month!$C136)=0,"",Inputs_Class_Month!$I136/Inputs_Class_Month!$C136)</f>
        <v>199</v>
      </c>
      <c r="I136" s="7">
        <f>IF(N(Inputs_Class_Month!$C136)=0,"",Inputs_Class_Month!$H136/Inputs_Class_Month!$C136)</f>
        <v>0</v>
      </c>
    </row>
    <row r="137" spans="1:9">
      <c r="A137" s="6" t="str">
        <f>IF(Inputs_Class_Month!$A137="","",Inputs_Class_Month!$A137)</f>
        <v>2026-07</v>
      </c>
      <c r="B137" s="6" t="str">
        <f>IF(Inputs_Class_Month!$B137="","",Inputs_Class_Month!$B137)</f>
        <v>SL</v>
      </c>
      <c r="C137" s="7">
        <f>IF(N(Inputs_Class_Month!$D137)=0,"",Inputs_Class_Month!$E137+Settings!$B$3*Inputs_Class_Month!$F137)</f>
        <v>4401.5</v>
      </c>
      <c r="D137" s="8">
        <f>IF(N(Inputs_Class_Month!$D137)=0,"",C137/Inputs_Class_Month!$D137)</f>
        <v>0.679243827160494</v>
      </c>
      <c r="E137" s="8">
        <f>IF(N(Inputs_Class_Month!$D137)=0,"",Inputs_Class_Month!$E137/Inputs_Class_Month!$D137)</f>
        <v>0.653240740740741</v>
      </c>
      <c r="F137" s="8">
        <f>IF(N(Inputs_Class_Month!$D137)=0,"",Settings!$B$3*Inputs_Class_Month!$F137/Inputs_Class_Month!$D137)</f>
        <v>0.0260030864197531</v>
      </c>
      <c r="G137" s="8">
        <f>IF(N(Inputs_Class_Month!$D137)=0,"",Inputs_Class_Month!$G137/Inputs_Class_Month!$D137)</f>
        <v>0.0398148148148148</v>
      </c>
      <c r="H137" s="7">
        <f>IF(N(Inputs_Class_Month!$C137)=0,"",Inputs_Class_Month!$I137/Inputs_Class_Month!$C137)</f>
        <v>187.4</v>
      </c>
      <c r="I137" s="7">
        <f>IF(N(Inputs_Class_Month!$C137)=0,"",Inputs_Class_Month!$H137/Inputs_Class_Month!$C137)</f>
        <v>14.0333333333333</v>
      </c>
    </row>
    <row r="138" spans="1:9">
      <c r="A138" s="6" t="str">
        <f>IF(Inputs_Class_Month!$A138="","",Inputs_Class_Month!$A138)</f>
        <v>2026-08</v>
      </c>
      <c r="B138" s="6" t="str">
        <f>IF(Inputs_Class_Month!$B138="","",Inputs_Class_Month!$B138)</f>
        <v>1A</v>
      </c>
      <c r="C138" s="7">
        <f>IF(N(Inputs_Class_Month!$D138)=0,"",Inputs_Class_Month!$E138+Settings!$B$3*Inputs_Class_Month!$F138)</f>
        <v>23</v>
      </c>
      <c r="D138" s="8">
        <f>IF(N(Inputs_Class_Month!$D138)=0,"",C138/Inputs_Class_Month!$D138)</f>
        <v>0.479166666666667</v>
      </c>
      <c r="E138" s="8">
        <f>IF(N(Inputs_Class_Month!$D138)=0,"",Inputs_Class_Month!$E138/Inputs_Class_Month!$D138)</f>
        <v>0.479166666666667</v>
      </c>
      <c r="F138" s="8">
        <f>IF(N(Inputs_Class_Month!$D138)=0,"",Settings!$B$3*Inputs_Class_Month!$F138/Inputs_Class_Month!$D138)</f>
        <v>0</v>
      </c>
      <c r="G138" s="8">
        <f>IF(N(Inputs_Class_Month!$D138)=0,"",Inputs_Class_Month!$G138/Inputs_Class_Month!$D138)</f>
        <v>0</v>
      </c>
      <c r="H138" s="7">
        <f>IF(N(Inputs_Class_Month!$C138)=0,"",Inputs_Class_Month!$I138/Inputs_Class_Month!$C138)</f>
        <v>13.5</v>
      </c>
      <c r="I138" s="7">
        <f>IF(N(Inputs_Class_Month!$C138)=0,"",Inputs_Class_Month!$H138/Inputs_Class_Month!$C138)</f>
        <v>0</v>
      </c>
    </row>
    <row r="139" spans="1:9">
      <c r="A139" s="6" t="str">
        <f>IF(Inputs_Class_Month!$A139="","",Inputs_Class_Month!$A139)</f>
        <v>2026-08</v>
      </c>
      <c r="B139" s="6" t="str">
        <f>IF(Inputs_Class_Month!$B139="","",Inputs_Class_Month!$B139)</f>
        <v>2A</v>
      </c>
      <c r="C139" s="7">
        <f>IF(N(Inputs_Class_Month!$D139)=0,"",Inputs_Class_Month!$E139+Settings!$B$3*Inputs_Class_Month!$F139)</f>
        <v>1044</v>
      </c>
      <c r="D139" s="8">
        <f>IF(N(Inputs_Class_Month!$D139)=0,"",C139/Inputs_Class_Month!$D139)</f>
        <v>0.782608695652174</v>
      </c>
      <c r="E139" s="8">
        <f>IF(N(Inputs_Class_Month!$D139)=0,"",Inputs_Class_Month!$E139/Inputs_Class_Month!$D139)</f>
        <v>0.748875562218891</v>
      </c>
      <c r="F139" s="8">
        <f>IF(N(Inputs_Class_Month!$D139)=0,"",Settings!$B$3*Inputs_Class_Month!$F139/Inputs_Class_Month!$D139)</f>
        <v>0.0337331334332834</v>
      </c>
      <c r="G139" s="8">
        <f>IF(N(Inputs_Class_Month!$D139)=0,"",Inputs_Class_Month!$G139/Inputs_Class_Month!$D139)</f>
        <v>0.0419790104947526</v>
      </c>
      <c r="H139" s="7">
        <f>IF(N(Inputs_Class_Month!$C139)=0,"",Inputs_Class_Month!$I139/Inputs_Class_Month!$C139)</f>
        <v>70.5555555555556</v>
      </c>
      <c r="I139" s="7">
        <f>IF(N(Inputs_Class_Month!$C139)=0,"",Inputs_Class_Month!$H139/Inputs_Class_Month!$C139)</f>
        <v>4.11111111111111</v>
      </c>
    </row>
    <row r="140" spans="1:9">
      <c r="A140" s="6" t="str">
        <f>IF(Inputs_Class_Month!$A140="","",Inputs_Class_Month!$A140)</f>
        <v>2026-08</v>
      </c>
      <c r="B140" s="6" t="str">
        <f>IF(Inputs_Class_Month!$B140="","",Inputs_Class_Month!$B140)</f>
        <v>2S</v>
      </c>
      <c r="C140" s="7">
        <f>IF(N(Inputs_Class_Month!$D140)=0,"",Inputs_Class_Month!$E140+Settings!$B$3*Inputs_Class_Month!$F140)</f>
        <v>2614</v>
      </c>
      <c r="D140" s="8">
        <f>IF(N(Inputs_Class_Month!$D140)=0,"",C140/Inputs_Class_Month!$D140)</f>
        <v>0.654154154154154</v>
      </c>
      <c r="E140" s="8">
        <f>IF(N(Inputs_Class_Month!$D140)=0,"",Inputs_Class_Month!$E140/Inputs_Class_Month!$D140)</f>
        <v>0.654154154154154</v>
      </c>
      <c r="F140" s="8">
        <f>IF(N(Inputs_Class_Month!$D140)=0,"",Settings!$B$3*Inputs_Class_Month!$F140/Inputs_Class_Month!$D140)</f>
        <v>0</v>
      </c>
      <c r="G140" s="8">
        <f>IF(N(Inputs_Class_Month!$D140)=0,"",Inputs_Class_Month!$G140/Inputs_Class_Month!$D140)</f>
        <v>0.0485485485485486</v>
      </c>
      <c r="H140" s="7">
        <f>IF(N(Inputs_Class_Month!$C140)=0,"",Inputs_Class_Month!$I140/Inputs_Class_Month!$C140)</f>
        <v>234.714285714286</v>
      </c>
      <c r="I140" s="7">
        <f>IF(N(Inputs_Class_Month!$C140)=0,"",Inputs_Class_Month!$H140/Inputs_Class_Month!$C140)</f>
        <v>20.3571428571429</v>
      </c>
    </row>
    <row r="141" spans="1:9">
      <c r="A141" s="6" t="str">
        <f>IF(Inputs_Class_Month!$A141="","",Inputs_Class_Month!$A141)</f>
        <v>2026-08</v>
      </c>
      <c r="B141" s="6" t="str">
        <f>IF(Inputs_Class_Month!$B141="","",Inputs_Class_Month!$B141)</f>
        <v>3A</v>
      </c>
      <c r="C141" s="7">
        <f>IF(N(Inputs_Class_Month!$D141)=0,"",Inputs_Class_Month!$E141+Settings!$B$3*Inputs_Class_Month!$F141)</f>
        <v>4187</v>
      </c>
      <c r="D141" s="8">
        <f>IF(N(Inputs_Class_Month!$D141)=0,"",C141/Inputs_Class_Month!$D141)</f>
        <v>0.769669117647059</v>
      </c>
      <c r="E141" s="8">
        <f>IF(N(Inputs_Class_Month!$D141)=0,"",Inputs_Class_Month!$E141/Inputs_Class_Month!$D141)</f>
        <v>0.729779411764706</v>
      </c>
      <c r="F141" s="8">
        <f>IF(N(Inputs_Class_Month!$D141)=0,"",Settings!$B$3*Inputs_Class_Month!$F141/Inputs_Class_Month!$D141)</f>
        <v>0.0398897058823529</v>
      </c>
      <c r="G141" s="8">
        <f>IF(N(Inputs_Class_Month!$D141)=0,"",Inputs_Class_Month!$G141/Inputs_Class_Month!$D141)</f>
        <v>0.0318014705882353</v>
      </c>
      <c r="H141" s="7">
        <f>IF(N(Inputs_Class_Month!$C141)=0,"",Inputs_Class_Month!$I141/Inputs_Class_Month!$C141)</f>
        <v>175.6</v>
      </c>
      <c r="I141" s="7">
        <f>IF(N(Inputs_Class_Month!$C141)=0,"",Inputs_Class_Month!$H141/Inputs_Class_Month!$C141)</f>
        <v>7.26666666666667</v>
      </c>
    </row>
    <row r="142" spans="1:9">
      <c r="A142" s="6" t="str">
        <f>IF(Inputs_Class_Month!$A142="","",Inputs_Class_Month!$A142)</f>
        <v>2026-08</v>
      </c>
      <c r="B142" s="6" t="str">
        <f>IF(Inputs_Class_Month!$B142="","",Inputs_Class_Month!$B142)</f>
        <v>CC</v>
      </c>
      <c r="C142" s="7">
        <f>IF(N(Inputs_Class_Month!$D142)=0,"",Inputs_Class_Month!$E142+Settings!$B$3*Inputs_Class_Month!$F142)</f>
        <v>191</v>
      </c>
      <c r="D142" s="8">
        <f>IF(N(Inputs_Class_Month!$D142)=0,"",C142/Inputs_Class_Month!$D142)</f>
        <v>0.48974358974359</v>
      </c>
      <c r="E142" s="8">
        <f>IF(N(Inputs_Class_Month!$D142)=0,"",Inputs_Class_Month!$E142/Inputs_Class_Month!$D142)</f>
        <v>0.48974358974359</v>
      </c>
      <c r="F142" s="8">
        <f>IF(N(Inputs_Class_Month!$D142)=0,"",Settings!$B$3*Inputs_Class_Month!$F142/Inputs_Class_Month!$D142)</f>
        <v>0</v>
      </c>
      <c r="G142" s="8">
        <f>IF(N(Inputs_Class_Month!$D142)=0,"",Inputs_Class_Month!$G142/Inputs_Class_Month!$D142)</f>
        <v>0</v>
      </c>
      <c r="H142" s="7">
        <f>IF(N(Inputs_Class_Month!$C142)=0,"",Inputs_Class_Month!$I142/Inputs_Class_Month!$C142)</f>
        <v>106.5</v>
      </c>
      <c r="I142" s="7">
        <f>IF(N(Inputs_Class_Month!$C142)=0,"",Inputs_Class_Month!$H142/Inputs_Class_Month!$C142)</f>
        <v>0</v>
      </c>
    </row>
    <row r="143" spans="1:9">
      <c r="A143" s="6" t="str">
        <f>IF(Inputs_Class_Month!$A143="","",Inputs_Class_Month!$A143)</f>
        <v>2026-08</v>
      </c>
      <c r="B143" s="6" t="str">
        <f>IF(Inputs_Class_Month!$B143="","",Inputs_Class_Month!$B143)</f>
        <v>SL</v>
      </c>
      <c r="C143" s="7">
        <f>IF(N(Inputs_Class_Month!$D143)=0,"",Inputs_Class_Month!$E143+Settings!$B$3*Inputs_Class_Month!$F143)</f>
        <v>4961.5</v>
      </c>
      <c r="D143" s="8">
        <f>IF(N(Inputs_Class_Month!$D143)=0,"",C143/Inputs_Class_Month!$D143)</f>
        <v>0.783065025252525</v>
      </c>
      <c r="E143" s="8">
        <f>IF(N(Inputs_Class_Month!$D143)=0,"",Inputs_Class_Month!$E143/Inputs_Class_Month!$D143)</f>
        <v>0.742266414141414</v>
      </c>
      <c r="F143" s="8">
        <f>IF(N(Inputs_Class_Month!$D143)=0,"",Settings!$B$3*Inputs_Class_Month!$F143/Inputs_Class_Month!$D143)</f>
        <v>0.0407986111111111</v>
      </c>
      <c r="G143" s="8">
        <f>IF(N(Inputs_Class_Month!$D143)=0,"",Inputs_Class_Month!$G143/Inputs_Class_Month!$D143)</f>
        <v>0.0648674242424242</v>
      </c>
      <c r="H143" s="7">
        <f>IF(N(Inputs_Class_Month!$C143)=0,"",Inputs_Class_Month!$I143/Inputs_Class_Month!$C143)</f>
        <v>225.827586206897</v>
      </c>
      <c r="I143" s="7">
        <f>IF(N(Inputs_Class_Month!$C143)=0,"",Inputs_Class_Month!$H143/Inputs_Class_Month!$C143)</f>
        <v>20.8275862068966</v>
      </c>
    </row>
    <row r="144" spans="1:9">
      <c r="A144" s="6">
        <f>IF(Inputs_Class_Month!$A144="","",Inputs_Class_Month!$A144)</f>
        <v/>
      </c>
      <c r="B144" s="6">
        <f>IF(Inputs_Class_Month!$B144="","",Inputs_Class_Month!$B144)</f>
        <v/>
      </c>
      <c r="C144" s="7">
        <f>IF(N(Inputs_Class_Month!$D144)=0,"",Inputs_Class_Month!$E144+Settings!$B$3*Inputs_Class_Month!$F144)</f>
        <v/>
      </c>
      <c r="D144" s="8">
        <f>IF(N(Inputs_Class_Month!$D144)=0,"",C144/Inputs_Class_Month!$D144)</f>
        <v/>
      </c>
      <c r="E144" s="8">
        <f>IF(N(Inputs_Class_Month!$D144)=0,"",Inputs_Class_Month!$E144/Inputs_Class_Month!$D144)</f>
        <v/>
      </c>
      <c r="F144" s="8">
        <f>IF(N(Inputs_Class_Month!$D144)=0,"",Settings!$B$3*Inputs_Class_Month!$F144/Inputs_Class_Month!$D144)</f>
        <v/>
      </c>
      <c r="G144" s="8">
        <f>IF(N(Inputs_Class_Month!$D144)=0,"",Inputs_Class_Month!$G144/Inputs_Class_Month!$D144)</f>
        <v/>
      </c>
      <c r="H144" s="7">
        <f>IF(N(Inputs_Class_Month!$C144)=0,"",Inputs_Class_Month!$I144/Inputs_Class_Month!$C144)</f>
        <v/>
      </c>
      <c r="I144" s="7">
        <f>IF(N(Inputs_Class_Month!$C144)=0,"",Inputs_Class_Month!$H144/Inputs_Class_Month!$C144)</f>
        <v/>
      </c>
    </row>
    <row r="145" spans="1:9">
      <c r="A145" s="6">
        <f>IF(Inputs_Class_Month!$A145="","",Inputs_Class_Month!$A145)</f>
        <v/>
      </c>
      <c r="B145" s="6">
        <f>IF(Inputs_Class_Month!$B145="","",Inputs_Class_Month!$B145)</f>
        <v/>
      </c>
      <c r="C145" s="7">
        <f>IF(N(Inputs_Class_Month!$D145)=0,"",Inputs_Class_Month!$E145+Settings!$B$3*Inputs_Class_Month!$F145)</f>
        <v/>
      </c>
      <c r="D145" s="8">
        <f>IF(N(Inputs_Class_Month!$D145)=0,"",C145/Inputs_Class_Month!$D145)</f>
        <v/>
      </c>
      <c r="E145" s="8">
        <f>IF(N(Inputs_Class_Month!$D145)=0,"",Inputs_Class_Month!$E145/Inputs_Class_Month!$D145)</f>
        <v/>
      </c>
      <c r="F145" s="8">
        <f>IF(N(Inputs_Class_Month!$D145)=0,"",Settings!$B$3*Inputs_Class_Month!$F145/Inputs_Class_Month!$D145)</f>
        <v/>
      </c>
      <c r="G145" s="8">
        <f>IF(N(Inputs_Class_Month!$D145)=0,"",Inputs_Class_Month!$G145/Inputs_Class_Month!$D145)</f>
        <v/>
      </c>
      <c r="H145" s="7">
        <f>IF(N(Inputs_Class_Month!$C145)=0,"",Inputs_Class_Month!$I145/Inputs_Class_Month!$C145)</f>
        <v/>
      </c>
      <c r="I145" s="7">
        <f>IF(N(Inputs_Class_Month!$C145)=0,"",Inputs_Class_Month!$H145/Inputs_Class_Month!$C145)</f>
        <v/>
      </c>
    </row>
    <row r="146" spans="1:9">
      <c r="A146" s="6">
        <f>IF(Inputs_Class_Month!$A146="","",Inputs_Class_Month!$A146)</f>
        <v/>
      </c>
      <c r="B146" s="6">
        <f>IF(Inputs_Class_Month!$B146="","",Inputs_Class_Month!$B146)</f>
        <v/>
      </c>
      <c r="C146" s="7">
        <f>IF(N(Inputs_Class_Month!$D146)=0,"",Inputs_Class_Month!$E146+Settings!$B$3*Inputs_Class_Month!$F146)</f>
        <v/>
      </c>
      <c r="D146" s="8">
        <f>IF(N(Inputs_Class_Month!$D146)=0,"",C146/Inputs_Class_Month!$D146)</f>
        <v/>
      </c>
      <c r="E146" s="8">
        <f>IF(N(Inputs_Class_Month!$D146)=0,"",Inputs_Class_Month!$E146/Inputs_Class_Month!$D146)</f>
        <v/>
      </c>
      <c r="F146" s="8">
        <f>IF(N(Inputs_Class_Month!$D146)=0,"",Settings!$B$3*Inputs_Class_Month!$F146/Inputs_Class_Month!$D146)</f>
        <v/>
      </c>
      <c r="G146" s="8">
        <f>IF(N(Inputs_Class_Month!$D146)=0,"",Inputs_Class_Month!$G146/Inputs_Class_Month!$D146)</f>
        <v/>
      </c>
      <c r="H146" s="7">
        <f>IF(N(Inputs_Class_Month!$C146)=0,"",Inputs_Class_Month!$I146/Inputs_Class_Month!$C146)</f>
        <v/>
      </c>
      <c r="I146" s="7">
        <f>IF(N(Inputs_Class_Month!$C146)=0,"",Inputs_Class_Month!$H146/Inputs_Class_Month!$C146)</f>
        <v/>
      </c>
    </row>
    <row r="147" spans="1:9">
      <c r="A147" s="6">
        <f>IF(Inputs_Class_Month!$A147="","",Inputs_Class_Month!$A147)</f>
        <v/>
      </c>
      <c r="B147" s="6">
        <f>IF(Inputs_Class_Month!$B147="","",Inputs_Class_Month!$B147)</f>
        <v/>
      </c>
      <c r="C147" s="7">
        <f>IF(N(Inputs_Class_Month!$D147)=0,"",Inputs_Class_Month!$E147+Settings!$B$3*Inputs_Class_Month!$F147)</f>
        <v/>
      </c>
      <c r="D147" s="8">
        <f>IF(N(Inputs_Class_Month!$D147)=0,"",C147/Inputs_Class_Month!$D147)</f>
        <v/>
      </c>
      <c r="E147" s="8">
        <f>IF(N(Inputs_Class_Month!$D147)=0,"",Inputs_Class_Month!$E147/Inputs_Class_Month!$D147)</f>
        <v/>
      </c>
      <c r="F147" s="8">
        <f>IF(N(Inputs_Class_Month!$D147)=0,"",Settings!$B$3*Inputs_Class_Month!$F147/Inputs_Class_Month!$D147)</f>
        <v/>
      </c>
      <c r="G147" s="8">
        <f>IF(N(Inputs_Class_Month!$D147)=0,"",Inputs_Class_Month!$G147/Inputs_Class_Month!$D147)</f>
        <v/>
      </c>
      <c r="H147" s="7">
        <f>IF(N(Inputs_Class_Month!$C147)=0,"",Inputs_Class_Month!$I147/Inputs_Class_Month!$C147)</f>
        <v/>
      </c>
      <c r="I147" s="7">
        <f>IF(N(Inputs_Class_Month!$C147)=0,"",Inputs_Class_Month!$H147/Inputs_Class_Month!$C147)</f>
        <v/>
      </c>
    </row>
    <row r="148" spans="1:9">
      <c r="A148" s="6">
        <f>IF(Inputs_Class_Month!$A148="","",Inputs_Class_Month!$A148)</f>
        <v/>
      </c>
      <c r="B148" s="6">
        <f>IF(Inputs_Class_Month!$B148="","",Inputs_Class_Month!$B148)</f>
        <v/>
      </c>
      <c r="C148" s="7">
        <f>IF(N(Inputs_Class_Month!$D148)=0,"",Inputs_Class_Month!$E148+Settings!$B$3*Inputs_Class_Month!$F148)</f>
        <v/>
      </c>
      <c r="D148" s="8">
        <f>IF(N(Inputs_Class_Month!$D148)=0,"",C148/Inputs_Class_Month!$D148)</f>
        <v/>
      </c>
      <c r="E148" s="8">
        <f>IF(N(Inputs_Class_Month!$D148)=0,"",Inputs_Class_Month!$E148/Inputs_Class_Month!$D148)</f>
        <v/>
      </c>
      <c r="F148" s="8">
        <f>IF(N(Inputs_Class_Month!$D148)=0,"",Settings!$B$3*Inputs_Class_Month!$F148/Inputs_Class_Month!$D148)</f>
        <v/>
      </c>
      <c r="G148" s="8">
        <f>IF(N(Inputs_Class_Month!$D148)=0,"",Inputs_Class_Month!$G148/Inputs_Class_Month!$D148)</f>
        <v/>
      </c>
      <c r="H148" s="7">
        <f>IF(N(Inputs_Class_Month!$C148)=0,"",Inputs_Class_Month!$I148/Inputs_Class_Month!$C148)</f>
        <v/>
      </c>
      <c r="I148" s="7">
        <f>IF(N(Inputs_Class_Month!$C148)=0,"",Inputs_Class_Month!$H148/Inputs_Class_Month!$C148)</f>
        <v/>
      </c>
    </row>
    <row r="149" spans="1:9">
      <c r="A149" s="6">
        <f>IF(Inputs_Class_Month!$A149="","",Inputs_Class_Month!$A149)</f>
        <v/>
      </c>
      <c r="B149" s="6">
        <f>IF(Inputs_Class_Month!$B149="","",Inputs_Class_Month!$B149)</f>
        <v/>
      </c>
      <c r="C149" s="7">
        <f>IF(N(Inputs_Class_Month!$D149)=0,"",Inputs_Class_Month!$E149+Settings!$B$3*Inputs_Class_Month!$F149)</f>
        <v/>
      </c>
      <c r="D149" s="8">
        <f>IF(N(Inputs_Class_Month!$D149)=0,"",C149/Inputs_Class_Month!$D149)</f>
        <v/>
      </c>
      <c r="E149" s="8">
        <f>IF(N(Inputs_Class_Month!$D149)=0,"",Inputs_Class_Month!$E149/Inputs_Class_Month!$D149)</f>
        <v/>
      </c>
      <c r="F149" s="8">
        <f>IF(N(Inputs_Class_Month!$D149)=0,"",Settings!$B$3*Inputs_Class_Month!$F149/Inputs_Class_Month!$D149)</f>
        <v/>
      </c>
      <c r="G149" s="8">
        <f>IF(N(Inputs_Class_Month!$D149)=0,"",Inputs_Class_Month!$G149/Inputs_Class_Month!$D149)</f>
        <v/>
      </c>
      <c r="H149" s="7">
        <f>IF(N(Inputs_Class_Month!$C149)=0,"",Inputs_Class_Month!$I149/Inputs_Class_Month!$C149)</f>
        <v/>
      </c>
      <c r="I149" s="7">
        <f>IF(N(Inputs_Class_Month!$C149)=0,"",Inputs_Class_Month!$H149/Inputs_Class_Month!$C149)</f>
        <v/>
      </c>
    </row>
    <row r="150" spans="1:9">
      <c r="A150" s="6">
        <f>IF(Inputs_Class_Month!$A150="","",Inputs_Class_Month!$A150)</f>
        <v/>
      </c>
      <c r="B150" s="6">
        <f>IF(Inputs_Class_Month!$B150="","",Inputs_Class_Month!$B150)</f>
        <v/>
      </c>
      <c r="C150" s="7">
        <f>IF(N(Inputs_Class_Month!$D150)=0,"",Inputs_Class_Month!$E150+Settings!$B$3*Inputs_Class_Month!$F150)</f>
        <v/>
      </c>
      <c r="D150" s="8">
        <f>IF(N(Inputs_Class_Month!$D150)=0,"",C150/Inputs_Class_Month!$D150)</f>
        <v/>
      </c>
      <c r="E150" s="8">
        <f>IF(N(Inputs_Class_Month!$D150)=0,"",Inputs_Class_Month!$E150/Inputs_Class_Month!$D150)</f>
        <v/>
      </c>
      <c r="F150" s="8">
        <f>IF(N(Inputs_Class_Month!$D150)=0,"",Settings!$B$3*Inputs_Class_Month!$F150/Inputs_Class_Month!$D150)</f>
        <v/>
      </c>
      <c r="G150" s="8">
        <f>IF(N(Inputs_Class_Month!$D150)=0,"",Inputs_Class_Month!$G150/Inputs_Class_Month!$D150)</f>
        <v/>
      </c>
      <c r="H150" s="7">
        <f>IF(N(Inputs_Class_Month!$C150)=0,"",Inputs_Class_Month!$I150/Inputs_Class_Month!$C150)</f>
        <v/>
      </c>
      <c r="I150" s="7">
        <f>IF(N(Inputs_Class_Month!$C150)=0,"",Inputs_Class_Month!$H150/Inputs_Class_Month!$C150)</f>
        <v/>
      </c>
    </row>
    <row r="151" spans="1:9">
      <c r="A151" s="6">
        <f>IF(Inputs_Class_Month!$A151="","",Inputs_Class_Month!$A151)</f>
        <v/>
      </c>
      <c r="B151" s="6">
        <f>IF(Inputs_Class_Month!$B151="","",Inputs_Class_Month!$B151)</f>
        <v/>
      </c>
      <c r="C151" s="7">
        <f>IF(N(Inputs_Class_Month!$D151)=0,"",Inputs_Class_Month!$E151+Settings!$B$3*Inputs_Class_Month!$F151)</f>
        <v/>
      </c>
      <c r="D151" s="8">
        <f>IF(N(Inputs_Class_Month!$D151)=0,"",C151/Inputs_Class_Month!$D151)</f>
        <v/>
      </c>
      <c r="E151" s="8">
        <f>IF(N(Inputs_Class_Month!$D151)=0,"",Inputs_Class_Month!$E151/Inputs_Class_Month!$D151)</f>
        <v/>
      </c>
      <c r="F151" s="8">
        <f>IF(N(Inputs_Class_Month!$D151)=0,"",Settings!$B$3*Inputs_Class_Month!$F151/Inputs_Class_Month!$D151)</f>
        <v/>
      </c>
      <c r="G151" s="8">
        <f>IF(N(Inputs_Class_Month!$D151)=0,"",Inputs_Class_Month!$G151/Inputs_Class_Month!$D151)</f>
        <v/>
      </c>
      <c r="H151" s="7">
        <f>IF(N(Inputs_Class_Month!$C151)=0,"",Inputs_Class_Month!$I151/Inputs_Class_Month!$C151)</f>
        <v/>
      </c>
      <c r="I151" s="7">
        <f>IF(N(Inputs_Class_Month!$C151)=0,"",Inputs_Class_Month!$H151/Inputs_Class_Month!$C151)</f>
        <v/>
      </c>
    </row>
    <row r="152" spans="1:9">
      <c r="A152" s="6">
        <f>IF(Inputs_Class_Month!$A152="","",Inputs_Class_Month!$A152)</f>
        <v/>
      </c>
      <c r="B152" s="6">
        <f>IF(Inputs_Class_Month!$B152="","",Inputs_Class_Month!$B152)</f>
        <v/>
      </c>
      <c r="C152" s="7">
        <f>IF(N(Inputs_Class_Month!$D152)=0,"",Inputs_Class_Month!$E152+Settings!$B$3*Inputs_Class_Month!$F152)</f>
        <v/>
      </c>
      <c r="D152" s="8">
        <f>IF(N(Inputs_Class_Month!$D152)=0,"",C152/Inputs_Class_Month!$D152)</f>
        <v/>
      </c>
      <c r="E152" s="8">
        <f>IF(N(Inputs_Class_Month!$D152)=0,"",Inputs_Class_Month!$E152/Inputs_Class_Month!$D152)</f>
        <v/>
      </c>
      <c r="F152" s="8">
        <f>IF(N(Inputs_Class_Month!$D152)=0,"",Settings!$B$3*Inputs_Class_Month!$F152/Inputs_Class_Month!$D152)</f>
        <v/>
      </c>
      <c r="G152" s="8">
        <f>IF(N(Inputs_Class_Month!$D152)=0,"",Inputs_Class_Month!$G152/Inputs_Class_Month!$D152)</f>
        <v/>
      </c>
      <c r="H152" s="7">
        <f>IF(N(Inputs_Class_Month!$C152)=0,"",Inputs_Class_Month!$I152/Inputs_Class_Month!$C152)</f>
        <v/>
      </c>
      <c r="I152" s="7">
        <f>IF(N(Inputs_Class_Month!$C152)=0,"",Inputs_Class_Month!$H152/Inputs_Class_Month!$C152)</f>
        <v/>
      </c>
    </row>
    <row r="153" spans="1:9">
      <c r="A153" s="6">
        <f>IF(Inputs_Class_Month!$A153="","",Inputs_Class_Month!$A153)</f>
        <v/>
      </c>
      <c r="B153" s="6">
        <f>IF(Inputs_Class_Month!$B153="","",Inputs_Class_Month!$B153)</f>
        <v/>
      </c>
      <c r="C153" s="7">
        <f>IF(N(Inputs_Class_Month!$D153)=0,"",Inputs_Class_Month!$E153+Settings!$B$3*Inputs_Class_Month!$F153)</f>
        <v/>
      </c>
      <c r="D153" s="8">
        <f>IF(N(Inputs_Class_Month!$D153)=0,"",C153/Inputs_Class_Month!$D153)</f>
        <v/>
      </c>
      <c r="E153" s="8">
        <f>IF(N(Inputs_Class_Month!$D153)=0,"",Inputs_Class_Month!$E153/Inputs_Class_Month!$D153)</f>
        <v/>
      </c>
      <c r="F153" s="8">
        <f>IF(N(Inputs_Class_Month!$D153)=0,"",Settings!$B$3*Inputs_Class_Month!$F153/Inputs_Class_Month!$D153)</f>
        <v/>
      </c>
      <c r="G153" s="8">
        <f>IF(N(Inputs_Class_Month!$D153)=0,"",Inputs_Class_Month!$G153/Inputs_Class_Month!$D153)</f>
        <v/>
      </c>
      <c r="H153" s="7">
        <f>IF(N(Inputs_Class_Month!$C153)=0,"",Inputs_Class_Month!$I153/Inputs_Class_Month!$C153)</f>
        <v/>
      </c>
      <c r="I153" s="7">
        <f>IF(N(Inputs_Class_Month!$C153)=0,"",Inputs_Class_Month!$H153/Inputs_Class_Month!$C153)</f>
        <v/>
      </c>
    </row>
    <row r="154" spans="1:9">
      <c r="A154" s="6">
        <f>IF(Inputs_Class_Month!$A154="","",Inputs_Class_Month!$A154)</f>
        <v/>
      </c>
      <c r="B154" s="6">
        <f>IF(Inputs_Class_Month!$B154="","",Inputs_Class_Month!$B154)</f>
        <v/>
      </c>
      <c r="C154" s="7">
        <f>IF(N(Inputs_Class_Month!$D154)=0,"",Inputs_Class_Month!$E154+Settings!$B$3*Inputs_Class_Month!$F154)</f>
        <v/>
      </c>
      <c r="D154" s="8">
        <f>IF(N(Inputs_Class_Month!$D154)=0,"",C154/Inputs_Class_Month!$D154)</f>
        <v/>
      </c>
      <c r="E154" s="8">
        <f>IF(N(Inputs_Class_Month!$D154)=0,"",Inputs_Class_Month!$E154/Inputs_Class_Month!$D154)</f>
        <v/>
      </c>
      <c r="F154" s="8">
        <f>IF(N(Inputs_Class_Month!$D154)=0,"",Settings!$B$3*Inputs_Class_Month!$F154/Inputs_Class_Month!$D154)</f>
        <v/>
      </c>
      <c r="G154" s="8">
        <f>IF(N(Inputs_Class_Month!$D154)=0,"",Inputs_Class_Month!$G154/Inputs_Class_Month!$D154)</f>
        <v/>
      </c>
      <c r="H154" s="7">
        <f>IF(N(Inputs_Class_Month!$C154)=0,"",Inputs_Class_Month!$I154/Inputs_Class_Month!$C154)</f>
        <v/>
      </c>
      <c r="I154" s="7">
        <f>IF(N(Inputs_Class_Month!$C154)=0,"",Inputs_Class_Month!$H154/Inputs_Class_Month!$C154)</f>
        <v/>
      </c>
    </row>
    <row r="155" spans="1:9">
      <c r="A155" s="6">
        <f>IF(Inputs_Class_Month!$A155="","",Inputs_Class_Month!$A155)</f>
        <v/>
      </c>
      <c r="B155" s="6">
        <f>IF(Inputs_Class_Month!$B155="","",Inputs_Class_Month!$B155)</f>
        <v/>
      </c>
      <c r="C155" s="7">
        <f>IF(N(Inputs_Class_Month!$D155)=0,"",Inputs_Class_Month!$E155+Settings!$B$3*Inputs_Class_Month!$F155)</f>
        <v/>
      </c>
      <c r="D155" s="8">
        <f>IF(N(Inputs_Class_Month!$D155)=0,"",C155/Inputs_Class_Month!$D155)</f>
        <v/>
      </c>
      <c r="E155" s="8">
        <f>IF(N(Inputs_Class_Month!$D155)=0,"",Inputs_Class_Month!$E155/Inputs_Class_Month!$D155)</f>
        <v/>
      </c>
      <c r="F155" s="8">
        <f>IF(N(Inputs_Class_Month!$D155)=0,"",Settings!$B$3*Inputs_Class_Month!$F155/Inputs_Class_Month!$D155)</f>
        <v/>
      </c>
      <c r="G155" s="8">
        <f>IF(N(Inputs_Class_Month!$D155)=0,"",Inputs_Class_Month!$G155/Inputs_Class_Month!$D155)</f>
        <v/>
      </c>
      <c r="H155" s="7">
        <f>IF(N(Inputs_Class_Month!$C155)=0,"",Inputs_Class_Month!$I155/Inputs_Class_Month!$C155)</f>
        <v/>
      </c>
      <c r="I155" s="7">
        <f>IF(N(Inputs_Class_Month!$C155)=0,"",Inputs_Class_Month!$H155/Inputs_Class_Month!$C155)</f>
        <v/>
      </c>
    </row>
    <row r="156" spans="1:9">
      <c r="A156" s="6">
        <f>IF(Inputs_Class_Month!$A156="","",Inputs_Class_Month!$A156)</f>
        <v/>
      </c>
      <c r="B156" s="6">
        <f>IF(Inputs_Class_Month!$B156="","",Inputs_Class_Month!$B156)</f>
        <v/>
      </c>
      <c r="C156" s="7">
        <f>IF(N(Inputs_Class_Month!$D156)=0,"",Inputs_Class_Month!$E156+Settings!$B$3*Inputs_Class_Month!$F156)</f>
        <v/>
      </c>
      <c r="D156" s="8">
        <f>IF(N(Inputs_Class_Month!$D156)=0,"",C156/Inputs_Class_Month!$D156)</f>
        <v/>
      </c>
      <c r="E156" s="8">
        <f>IF(N(Inputs_Class_Month!$D156)=0,"",Inputs_Class_Month!$E156/Inputs_Class_Month!$D156)</f>
        <v/>
      </c>
      <c r="F156" s="8">
        <f>IF(N(Inputs_Class_Month!$D156)=0,"",Settings!$B$3*Inputs_Class_Month!$F156/Inputs_Class_Month!$D156)</f>
        <v/>
      </c>
      <c r="G156" s="8">
        <f>IF(N(Inputs_Class_Month!$D156)=0,"",Inputs_Class_Month!$G156/Inputs_Class_Month!$D156)</f>
        <v/>
      </c>
      <c r="H156" s="7">
        <f>IF(N(Inputs_Class_Month!$C156)=0,"",Inputs_Class_Month!$I156/Inputs_Class_Month!$C156)</f>
        <v/>
      </c>
      <c r="I156" s="7">
        <f>IF(N(Inputs_Class_Month!$C156)=0,"",Inputs_Class_Month!$H156/Inputs_Class_Month!$C156)</f>
        <v/>
      </c>
    </row>
    <row r="157" spans="1:9">
      <c r="A157" s="6">
        <f>IF(Inputs_Class_Month!$A157="","",Inputs_Class_Month!$A157)</f>
        <v/>
      </c>
      <c r="B157" s="6">
        <f>IF(Inputs_Class_Month!$B157="","",Inputs_Class_Month!$B157)</f>
        <v/>
      </c>
      <c r="C157" s="7">
        <f>IF(N(Inputs_Class_Month!$D157)=0,"",Inputs_Class_Month!$E157+Settings!$B$3*Inputs_Class_Month!$F157)</f>
        <v/>
      </c>
      <c r="D157" s="8">
        <f>IF(N(Inputs_Class_Month!$D157)=0,"",C157/Inputs_Class_Month!$D157)</f>
        <v/>
      </c>
      <c r="E157" s="8">
        <f>IF(N(Inputs_Class_Month!$D157)=0,"",Inputs_Class_Month!$E157/Inputs_Class_Month!$D157)</f>
        <v/>
      </c>
      <c r="F157" s="8">
        <f>IF(N(Inputs_Class_Month!$D157)=0,"",Settings!$B$3*Inputs_Class_Month!$F157/Inputs_Class_Month!$D157)</f>
        <v/>
      </c>
      <c r="G157" s="8">
        <f>IF(N(Inputs_Class_Month!$D157)=0,"",Inputs_Class_Month!$G157/Inputs_Class_Month!$D157)</f>
        <v/>
      </c>
      <c r="H157" s="7">
        <f>IF(N(Inputs_Class_Month!$C157)=0,"",Inputs_Class_Month!$I157/Inputs_Class_Month!$C157)</f>
        <v/>
      </c>
      <c r="I157" s="7">
        <f>IF(N(Inputs_Class_Month!$C157)=0,"",Inputs_Class_Month!$H157/Inputs_Class_Month!$C157)</f>
        <v/>
      </c>
    </row>
    <row r="158" spans="1:9">
      <c r="A158" s="6">
        <f>IF(Inputs_Class_Month!$A158="","",Inputs_Class_Month!$A158)</f>
        <v/>
      </c>
      <c r="B158" s="6">
        <f>IF(Inputs_Class_Month!$B158="","",Inputs_Class_Month!$B158)</f>
        <v/>
      </c>
      <c r="C158" s="7">
        <f>IF(N(Inputs_Class_Month!$D158)=0,"",Inputs_Class_Month!$E158+Settings!$B$3*Inputs_Class_Month!$F158)</f>
        <v/>
      </c>
      <c r="D158" s="8">
        <f>IF(N(Inputs_Class_Month!$D158)=0,"",C158/Inputs_Class_Month!$D158)</f>
        <v/>
      </c>
      <c r="E158" s="8">
        <f>IF(N(Inputs_Class_Month!$D158)=0,"",Inputs_Class_Month!$E158/Inputs_Class_Month!$D158)</f>
        <v/>
      </c>
      <c r="F158" s="8">
        <f>IF(N(Inputs_Class_Month!$D158)=0,"",Settings!$B$3*Inputs_Class_Month!$F158/Inputs_Class_Month!$D158)</f>
        <v/>
      </c>
      <c r="G158" s="8">
        <f>IF(N(Inputs_Class_Month!$D158)=0,"",Inputs_Class_Month!$G158/Inputs_Class_Month!$D158)</f>
        <v/>
      </c>
      <c r="H158" s="7">
        <f>IF(N(Inputs_Class_Month!$C158)=0,"",Inputs_Class_Month!$I158/Inputs_Class_Month!$C158)</f>
        <v/>
      </c>
      <c r="I158" s="7">
        <f>IF(N(Inputs_Class_Month!$C158)=0,"",Inputs_Class_Month!$H158/Inputs_Class_Month!$C158)</f>
        <v/>
      </c>
    </row>
    <row r="159" spans="1:9">
      <c r="A159" s="6">
        <f>IF(Inputs_Class_Month!$A159="","",Inputs_Class_Month!$A159)</f>
        <v/>
      </c>
      <c r="B159" s="6">
        <f>IF(Inputs_Class_Month!$B159="","",Inputs_Class_Month!$B159)</f>
        <v/>
      </c>
      <c r="C159" s="7">
        <f>IF(N(Inputs_Class_Month!$D159)=0,"",Inputs_Class_Month!$E159+Settings!$B$3*Inputs_Class_Month!$F159)</f>
        <v/>
      </c>
      <c r="D159" s="8">
        <f>IF(N(Inputs_Class_Month!$D159)=0,"",C159/Inputs_Class_Month!$D159)</f>
        <v/>
      </c>
      <c r="E159" s="8">
        <f>IF(N(Inputs_Class_Month!$D159)=0,"",Inputs_Class_Month!$E159/Inputs_Class_Month!$D159)</f>
        <v/>
      </c>
      <c r="F159" s="8">
        <f>IF(N(Inputs_Class_Month!$D159)=0,"",Settings!$B$3*Inputs_Class_Month!$F159/Inputs_Class_Month!$D159)</f>
        <v/>
      </c>
      <c r="G159" s="8">
        <f>IF(N(Inputs_Class_Month!$D159)=0,"",Inputs_Class_Month!$G159/Inputs_Class_Month!$D159)</f>
        <v/>
      </c>
      <c r="H159" s="7">
        <f>IF(N(Inputs_Class_Month!$C159)=0,"",Inputs_Class_Month!$I159/Inputs_Class_Month!$C159)</f>
        <v/>
      </c>
      <c r="I159" s="7">
        <f>IF(N(Inputs_Class_Month!$C159)=0,"",Inputs_Class_Month!$H159/Inputs_Class_Month!$C159)</f>
        <v/>
      </c>
    </row>
    <row r="160" spans="1:9">
      <c r="A160" s="6">
        <f>IF(Inputs_Class_Month!$A160="","",Inputs_Class_Month!$A160)</f>
        <v/>
      </c>
      <c r="B160" s="6">
        <f>IF(Inputs_Class_Month!$B160="","",Inputs_Class_Month!$B160)</f>
        <v/>
      </c>
      <c r="C160" s="7">
        <f>IF(N(Inputs_Class_Month!$D160)=0,"",Inputs_Class_Month!$E160+Settings!$B$3*Inputs_Class_Month!$F160)</f>
        <v/>
      </c>
      <c r="D160" s="8">
        <f>IF(N(Inputs_Class_Month!$D160)=0,"",C160/Inputs_Class_Month!$D160)</f>
        <v/>
      </c>
      <c r="E160" s="8">
        <f>IF(N(Inputs_Class_Month!$D160)=0,"",Inputs_Class_Month!$E160/Inputs_Class_Month!$D160)</f>
        <v/>
      </c>
      <c r="F160" s="8">
        <f>IF(N(Inputs_Class_Month!$D160)=0,"",Settings!$B$3*Inputs_Class_Month!$F160/Inputs_Class_Month!$D160)</f>
        <v/>
      </c>
      <c r="G160" s="8">
        <f>IF(N(Inputs_Class_Month!$D160)=0,"",Inputs_Class_Month!$G160/Inputs_Class_Month!$D160)</f>
        <v/>
      </c>
      <c r="H160" s="7">
        <f>IF(N(Inputs_Class_Month!$C160)=0,"",Inputs_Class_Month!$I160/Inputs_Class_Month!$C160)</f>
        <v/>
      </c>
      <c r="I160" s="7">
        <f>IF(N(Inputs_Class_Month!$C160)=0,"",Inputs_Class_Month!$H160/Inputs_Class_Month!$C160)</f>
        <v/>
      </c>
    </row>
    <row r="161" spans="1:9">
      <c r="A161" s="6">
        <f>IF(Inputs_Class_Month!$A161="","",Inputs_Class_Month!$A161)</f>
        <v/>
      </c>
      <c r="B161" s="6">
        <f>IF(Inputs_Class_Month!$B161="","",Inputs_Class_Month!$B161)</f>
        <v/>
      </c>
      <c r="C161" s="7">
        <f>IF(N(Inputs_Class_Month!$D161)=0,"",Inputs_Class_Month!$E161+Settings!$B$3*Inputs_Class_Month!$F161)</f>
        <v/>
      </c>
      <c r="D161" s="8">
        <f>IF(N(Inputs_Class_Month!$D161)=0,"",C161/Inputs_Class_Month!$D161)</f>
        <v/>
      </c>
      <c r="E161" s="8">
        <f>IF(N(Inputs_Class_Month!$D161)=0,"",Inputs_Class_Month!$E161/Inputs_Class_Month!$D161)</f>
        <v/>
      </c>
      <c r="F161" s="8">
        <f>IF(N(Inputs_Class_Month!$D161)=0,"",Settings!$B$3*Inputs_Class_Month!$F161/Inputs_Class_Month!$D161)</f>
        <v/>
      </c>
      <c r="G161" s="8">
        <f>IF(N(Inputs_Class_Month!$D161)=0,"",Inputs_Class_Month!$G161/Inputs_Class_Month!$D161)</f>
        <v/>
      </c>
      <c r="H161" s="7">
        <f>IF(N(Inputs_Class_Month!$C161)=0,"",Inputs_Class_Month!$I161/Inputs_Class_Month!$C161)</f>
        <v/>
      </c>
      <c r="I161" s="7">
        <f>IF(N(Inputs_Class_Month!$C161)=0,"",Inputs_Class_Month!$H161/Inputs_Class_Month!$C161)</f>
        <v/>
      </c>
    </row>
    <row r="162" spans="1:9">
      <c r="A162" s="6">
        <f>IF(Inputs_Class_Month!$A162="","",Inputs_Class_Month!$A162)</f>
        <v/>
      </c>
      <c r="B162" s="6">
        <f>IF(Inputs_Class_Month!$B162="","",Inputs_Class_Month!$B162)</f>
        <v/>
      </c>
      <c r="C162" s="7">
        <f>IF(N(Inputs_Class_Month!$D162)=0,"",Inputs_Class_Month!$E162+Settings!$B$3*Inputs_Class_Month!$F162)</f>
        <v/>
      </c>
      <c r="D162" s="8">
        <f>IF(N(Inputs_Class_Month!$D162)=0,"",C162/Inputs_Class_Month!$D162)</f>
        <v/>
      </c>
      <c r="E162" s="8">
        <f>IF(N(Inputs_Class_Month!$D162)=0,"",Inputs_Class_Month!$E162/Inputs_Class_Month!$D162)</f>
        <v/>
      </c>
      <c r="F162" s="8">
        <f>IF(N(Inputs_Class_Month!$D162)=0,"",Settings!$B$3*Inputs_Class_Month!$F162/Inputs_Class_Month!$D162)</f>
        <v/>
      </c>
      <c r="G162" s="8">
        <f>IF(N(Inputs_Class_Month!$D162)=0,"",Inputs_Class_Month!$G162/Inputs_Class_Month!$D162)</f>
        <v/>
      </c>
      <c r="H162" s="7">
        <f>IF(N(Inputs_Class_Month!$C162)=0,"",Inputs_Class_Month!$I162/Inputs_Class_Month!$C162)</f>
        <v/>
      </c>
      <c r="I162" s="7">
        <f>IF(N(Inputs_Class_Month!$C162)=0,"",Inputs_Class_Month!$H162/Inputs_Class_Month!$C162)</f>
        <v/>
      </c>
    </row>
    <row r="163" spans="1:9">
      <c r="A163" s="6">
        <f>IF(Inputs_Class_Month!$A163="","",Inputs_Class_Month!$A163)</f>
        <v/>
      </c>
      <c r="B163" s="6">
        <f>IF(Inputs_Class_Month!$B163="","",Inputs_Class_Month!$B163)</f>
        <v/>
      </c>
      <c r="C163" s="7">
        <f>IF(N(Inputs_Class_Month!$D163)=0,"",Inputs_Class_Month!$E163+Settings!$B$3*Inputs_Class_Month!$F163)</f>
        <v/>
      </c>
      <c r="D163" s="8">
        <f>IF(N(Inputs_Class_Month!$D163)=0,"",C163/Inputs_Class_Month!$D163)</f>
        <v/>
      </c>
      <c r="E163" s="8">
        <f>IF(N(Inputs_Class_Month!$D163)=0,"",Inputs_Class_Month!$E163/Inputs_Class_Month!$D163)</f>
        <v/>
      </c>
      <c r="F163" s="8">
        <f>IF(N(Inputs_Class_Month!$D163)=0,"",Settings!$B$3*Inputs_Class_Month!$F163/Inputs_Class_Month!$D163)</f>
        <v/>
      </c>
      <c r="G163" s="8">
        <f>IF(N(Inputs_Class_Month!$D163)=0,"",Inputs_Class_Month!$G163/Inputs_Class_Month!$D163)</f>
        <v/>
      </c>
      <c r="H163" s="7">
        <f>IF(N(Inputs_Class_Month!$C163)=0,"",Inputs_Class_Month!$I163/Inputs_Class_Month!$C163)</f>
        <v/>
      </c>
      <c r="I163" s="7">
        <f>IF(N(Inputs_Class_Month!$C163)=0,"",Inputs_Class_Month!$H163/Inputs_Class_Month!$C163)</f>
        <v/>
      </c>
    </row>
    <row r="164" spans="1:9">
      <c r="A164" s="6">
        <f>IF(Inputs_Class_Month!$A164="","",Inputs_Class_Month!$A164)</f>
        <v/>
      </c>
      <c r="B164" s="6">
        <f>IF(Inputs_Class_Month!$B164="","",Inputs_Class_Month!$B164)</f>
        <v/>
      </c>
      <c r="C164" s="7">
        <f>IF(N(Inputs_Class_Month!$D164)=0,"",Inputs_Class_Month!$E164+Settings!$B$3*Inputs_Class_Month!$F164)</f>
        <v/>
      </c>
      <c r="D164" s="8">
        <f>IF(N(Inputs_Class_Month!$D164)=0,"",C164/Inputs_Class_Month!$D164)</f>
        <v/>
      </c>
      <c r="E164" s="8">
        <f>IF(N(Inputs_Class_Month!$D164)=0,"",Inputs_Class_Month!$E164/Inputs_Class_Month!$D164)</f>
        <v/>
      </c>
      <c r="F164" s="8">
        <f>IF(N(Inputs_Class_Month!$D164)=0,"",Settings!$B$3*Inputs_Class_Month!$F164/Inputs_Class_Month!$D164)</f>
        <v/>
      </c>
      <c r="G164" s="8">
        <f>IF(N(Inputs_Class_Month!$D164)=0,"",Inputs_Class_Month!$G164/Inputs_Class_Month!$D164)</f>
        <v/>
      </c>
      <c r="H164" s="7">
        <f>IF(N(Inputs_Class_Month!$C164)=0,"",Inputs_Class_Month!$I164/Inputs_Class_Month!$C164)</f>
        <v/>
      </c>
      <c r="I164" s="7">
        <f>IF(N(Inputs_Class_Month!$C164)=0,"",Inputs_Class_Month!$H164/Inputs_Class_Month!$C164)</f>
        <v/>
      </c>
    </row>
    <row r="165" spans="1:9">
      <c r="A165" s="6">
        <f>IF(Inputs_Class_Month!$A165="","",Inputs_Class_Month!$A165)</f>
        <v/>
      </c>
      <c r="B165" s="6">
        <f>IF(Inputs_Class_Month!$B165="","",Inputs_Class_Month!$B165)</f>
        <v/>
      </c>
      <c r="C165" s="7">
        <f>IF(N(Inputs_Class_Month!$D165)=0,"",Inputs_Class_Month!$E165+Settings!$B$3*Inputs_Class_Month!$F165)</f>
        <v/>
      </c>
      <c r="D165" s="8">
        <f>IF(N(Inputs_Class_Month!$D165)=0,"",C165/Inputs_Class_Month!$D165)</f>
        <v/>
      </c>
      <c r="E165" s="8">
        <f>IF(N(Inputs_Class_Month!$D165)=0,"",Inputs_Class_Month!$E165/Inputs_Class_Month!$D165)</f>
        <v/>
      </c>
      <c r="F165" s="8">
        <f>IF(N(Inputs_Class_Month!$D165)=0,"",Settings!$B$3*Inputs_Class_Month!$F165/Inputs_Class_Month!$D165)</f>
        <v/>
      </c>
      <c r="G165" s="8">
        <f>IF(N(Inputs_Class_Month!$D165)=0,"",Inputs_Class_Month!$G165/Inputs_Class_Month!$D165)</f>
        <v/>
      </c>
      <c r="H165" s="7">
        <f>IF(N(Inputs_Class_Month!$C165)=0,"",Inputs_Class_Month!$I165/Inputs_Class_Month!$C165)</f>
        <v/>
      </c>
      <c r="I165" s="7">
        <f>IF(N(Inputs_Class_Month!$C165)=0,"",Inputs_Class_Month!$H165/Inputs_Class_Month!$C165)</f>
        <v/>
      </c>
    </row>
    <row r="166" spans="1:9">
      <c r="A166" s="6">
        <f>IF(Inputs_Class_Month!$A166="","",Inputs_Class_Month!$A166)</f>
        <v/>
      </c>
      <c r="B166" s="6">
        <f>IF(Inputs_Class_Month!$B166="","",Inputs_Class_Month!$B166)</f>
        <v/>
      </c>
      <c r="C166" s="7">
        <f>IF(N(Inputs_Class_Month!$D166)=0,"",Inputs_Class_Month!$E166+Settings!$B$3*Inputs_Class_Month!$F166)</f>
        <v/>
      </c>
      <c r="D166" s="8">
        <f>IF(N(Inputs_Class_Month!$D166)=0,"",C166/Inputs_Class_Month!$D166)</f>
        <v/>
      </c>
      <c r="E166" s="8">
        <f>IF(N(Inputs_Class_Month!$D166)=0,"",Inputs_Class_Month!$E166/Inputs_Class_Month!$D166)</f>
        <v/>
      </c>
      <c r="F166" s="8">
        <f>IF(N(Inputs_Class_Month!$D166)=0,"",Settings!$B$3*Inputs_Class_Month!$F166/Inputs_Class_Month!$D166)</f>
        <v/>
      </c>
      <c r="G166" s="8">
        <f>IF(N(Inputs_Class_Month!$D166)=0,"",Inputs_Class_Month!$G166/Inputs_Class_Month!$D166)</f>
        <v/>
      </c>
      <c r="H166" s="7">
        <f>IF(N(Inputs_Class_Month!$C166)=0,"",Inputs_Class_Month!$I166/Inputs_Class_Month!$C166)</f>
        <v/>
      </c>
      <c r="I166" s="7">
        <f>IF(N(Inputs_Class_Month!$C166)=0,"",Inputs_Class_Month!$H166/Inputs_Class_Month!$C166)</f>
        <v/>
      </c>
    </row>
    <row r="167" spans="1:9">
      <c r="A167" s="6">
        <f>IF(Inputs_Class_Month!$A167="","",Inputs_Class_Month!$A167)</f>
        <v/>
      </c>
      <c r="B167" s="6">
        <f>IF(Inputs_Class_Month!$B167="","",Inputs_Class_Month!$B167)</f>
        <v/>
      </c>
      <c r="C167" s="7">
        <f>IF(N(Inputs_Class_Month!$D167)=0,"",Inputs_Class_Month!$E167+Settings!$B$3*Inputs_Class_Month!$F167)</f>
        <v/>
      </c>
      <c r="D167" s="8">
        <f>IF(N(Inputs_Class_Month!$D167)=0,"",C167/Inputs_Class_Month!$D167)</f>
        <v/>
      </c>
      <c r="E167" s="8">
        <f>IF(N(Inputs_Class_Month!$D167)=0,"",Inputs_Class_Month!$E167/Inputs_Class_Month!$D167)</f>
        <v/>
      </c>
      <c r="F167" s="8">
        <f>IF(N(Inputs_Class_Month!$D167)=0,"",Settings!$B$3*Inputs_Class_Month!$F167/Inputs_Class_Month!$D167)</f>
        <v/>
      </c>
      <c r="G167" s="8">
        <f>IF(N(Inputs_Class_Month!$D167)=0,"",Inputs_Class_Month!$G167/Inputs_Class_Month!$D167)</f>
        <v/>
      </c>
      <c r="H167" s="7">
        <f>IF(N(Inputs_Class_Month!$C167)=0,"",Inputs_Class_Month!$I167/Inputs_Class_Month!$C167)</f>
        <v/>
      </c>
      <c r="I167" s="7">
        <f>IF(N(Inputs_Class_Month!$C167)=0,"",Inputs_Class_Month!$H167/Inputs_Class_Month!$C167)</f>
        <v/>
      </c>
    </row>
    <row r="168" spans="1:9">
      <c r="A168" s="6">
        <f>IF(Inputs_Class_Month!$A168="","",Inputs_Class_Month!$A168)</f>
        <v/>
      </c>
      <c r="B168" s="6">
        <f>IF(Inputs_Class_Month!$B168="","",Inputs_Class_Month!$B168)</f>
        <v/>
      </c>
      <c r="C168" s="7">
        <f>IF(N(Inputs_Class_Month!$D168)=0,"",Inputs_Class_Month!$E168+Settings!$B$3*Inputs_Class_Month!$F168)</f>
        <v/>
      </c>
      <c r="D168" s="8">
        <f>IF(N(Inputs_Class_Month!$D168)=0,"",C168/Inputs_Class_Month!$D168)</f>
        <v/>
      </c>
      <c r="E168" s="8">
        <f>IF(N(Inputs_Class_Month!$D168)=0,"",Inputs_Class_Month!$E168/Inputs_Class_Month!$D168)</f>
        <v/>
      </c>
      <c r="F168" s="8">
        <f>IF(N(Inputs_Class_Month!$D168)=0,"",Settings!$B$3*Inputs_Class_Month!$F168/Inputs_Class_Month!$D168)</f>
        <v/>
      </c>
      <c r="G168" s="8">
        <f>IF(N(Inputs_Class_Month!$D168)=0,"",Inputs_Class_Month!$G168/Inputs_Class_Month!$D168)</f>
        <v/>
      </c>
      <c r="H168" s="7">
        <f>IF(N(Inputs_Class_Month!$C168)=0,"",Inputs_Class_Month!$I168/Inputs_Class_Month!$C168)</f>
        <v/>
      </c>
      <c r="I168" s="7">
        <f>IF(N(Inputs_Class_Month!$C168)=0,"",Inputs_Class_Month!$H168/Inputs_Class_Month!$C168)</f>
        <v/>
      </c>
    </row>
    <row r="169" spans="1:9">
      <c r="A169" s="6">
        <f>IF(Inputs_Class_Month!$A169="","",Inputs_Class_Month!$A169)</f>
        <v/>
      </c>
      <c r="B169" s="6">
        <f>IF(Inputs_Class_Month!$B169="","",Inputs_Class_Month!$B169)</f>
        <v/>
      </c>
      <c r="C169" s="7">
        <f>IF(N(Inputs_Class_Month!$D169)=0,"",Inputs_Class_Month!$E169+Settings!$B$3*Inputs_Class_Month!$F169)</f>
        <v/>
      </c>
      <c r="D169" s="8">
        <f>IF(N(Inputs_Class_Month!$D169)=0,"",C169/Inputs_Class_Month!$D169)</f>
        <v/>
      </c>
      <c r="E169" s="8">
        <f>IF(N(Inputs_Class_Month!$D169)=0,"",Inputs_Class_Month!$E169/Inputs_Class_Month!$D169)</f>
        <v/>
      </c>
      <c r="F169" s="8">
        <f>IF(N(Inputs_Class_Month!$D169)=0,"",Settings!$B$3*Inputs_Class_Month!$F169/Inputs_Class_Month!$D169)</f>
        <v/>
      </c>
      <c r="G169" s="8">
        <f>IF(N(Inputs_Class_Month!$D169)=0,"",Inputs_Class_Month!$G169/Inputs_Class_Month!$D169)</f>
        <v/>
      </c>
      <c r="H169" s="7">
        <f>IF(N(Inputs_Class_Month!$C169)=0,"",Inputs_Class_Month!$I169/Inputs_Class_Month!$C169)</f>
        <v/>
      </c>
      <c r="I169" s="7">
        <f>IF(N(Inputs_Class_Month!$C169)=0,"",Inputs_Class_Month!$H169/Inputs_Class_Month!$C169)</f>
        <v/>
      </c>
    </row>
    <row r="170" spans="1:9">
      <c r="A170" s="6">
        <f>IF(Inputs_Class_Month!$A170="","",Inputs_Class_Month!$A170)</f>
        <v/>
      </c>
      <c r="B170" s="6">
        <f>IF(Inputs_Class_Month!$B170="","",Inputs_Class_Month!$B170)</f>
        <v/>
      </c>
      <c r="C170" s="7">
        <f>IF(N(Inputs_Class_Month!$D170)=0,"",Inputs_Class_Month!$E170+Settings!$B$3*Inputs_Class_Month!$F170)</f>
        <v/>
      </c>
      <c r="D170" s="8">
        <f>IF(N(Inputs_Class_Month!$D170)=0,"",C170/Inputs_Class_Month!$D170)</f>
        <v/>
      </c>
      <c r="E170" s="8">
        <f>IF(N(Inputs_Class_Month!$D170)=0,"",Inputs_Class_Month!$E170/Inputs_Class_Month!$D170)</f>
        <v/>
      </c>
      <c r="F170" s="8">
        <f>IF(N(Inputs_Class_Month!$D170)=0,"",Settings!$B$3*Inputs_Class_Month!$F170/Inputs_Class_Month!$D170)</f>
        <v/>
      </c>
      <c r="G170" s="8">
        <f>IF(N(Inputs_Class_Month!$D170)=0,"",Inputs_Class_Month!$G170/Inputs_Class_Month!$D170)</f>
        <v/>
      </c>
      <c r="H170" s="7">
        <f>IF(N(Inputs_Class_Month!$C170)=0,"",Inputs_Class_Month!$I170/Inputs_Class_Month!$C170)</f>
        <v/>
      </c>
      <c r="I170" s="7">
        <f>IF(N(Inputs_Class_Month!$C170)=0,"",Inputs_Class_Month!$H170/Inputs_Class_Month!$C170)</f>
        <v/>
      </c>
    </row>
    <row r="171" spans="1:9">
      <c r="A171" s="6">
        <f>IF(Inputs_Class_Month!$A171="","",Inputs_Class_Month!$A171)</f>
        <v/>
      </c>
      <c r="B171" s="6">
        <f>IF(Inputs_Class_Month!$B171="","",Inputs_Class_Month!$B171)</f>
        <v/>
      </c>
      <c r="C171" s="7">
        <f>IF(N(Inputs_Class_Month!$D171)=0,"",Inputs_Class_Month!$E171+Settings!$B$3*Inputs_Class_Month!$F171)</f>
        <v/>
      </c>
      <c r="D171" s="8">
        <f>IF(N(Inputs_Class_Month!$D171)=0,"",C171/Inputs_Class_Month!$D171)</f>
        <v/>
      </c>
      <c r="E171" s="8">
        <f>IF(N(Inputs_Class_Month!$D171)=0,"",Inputs_Class_Month!$E171/Inputs_Class_Month!$D171)</f>
        <v/>
      </c>
      <c r="F171" s="8">
        <f>IF(N(Inputs_Class_Month!$D171)=0,"",Settings!$B$3*Inputs_Class_Month!$F171/Inputs_Class_Month!$D171)</f>
        <v/>
      </c>
      <c r="G171" s="8">
        <f>IF(N(Inputs_Class_Month!$D171)=0,"",Inputs_Class_Month!$G171/Inputs_Class_Month!$D171)</f>
        <v/>
      </c>
      <c r="H171" s="7">
        <f>IF(N(Inputs_Class_Month!$C171)=0,"",Inputs_Class_Month!$I171/Inputs_Class_Month!$C171)</f>
        <v/>
      </c>
      <c r="I171" s="7">
        <f>IF(N(Inputs_Class_Month!$C171)=0,"",Inputs_Class_Month!$H171/Inputs_Class_Month!$C171)</f>
        <v/>
      </c>
    </row>
    <row r="172" spans="1:9">
      <c r="A172" s="6">
        <f>IF(Inputs_Class_Month!$A172="","",Inputs_Class_Month!$A172)</f>
        <v/>
      </c>
      <c r="B172" s="6">
        <f>IF(Inputs_Class_Month!$B172="","",Inputs_Class_Month!$B172)</f>
        <v/>
      </c>
      <c r="C172" s="7">
        <f>IF(N(Inputs_Class_Month!$D172)=0,"",Inputs_Class_Month!$E172+Settings!$B$3*Inputs_Class_Month!$F172)</f>
        <v/>
      </c>
      <c r="D172" s="8">
        <f>IF(N(Inputs_Class_Month!$D172)=0,"",C172/Inputs_Class_Month!$D172)</f>
        <v/>
      </c>
      <c r="E172" s="8">
        <f>IF(N(Inputs_Class_Month!$D172)=0,"",Inputs_Class_Month!$E172/Inputs_Class_Month!$D172)</f>
        <v/>
      </c>
      <c r="F172" s="8">
        <f>IF(N(Inputs_Class_Month!$D172)=0,"",Settings!$B$3*Inputs_Class_Month!$F172/Inputs_Class_Month!$D172)</f>
        <v/>
      </c>
      <c r="G172" s="8">
        <f>IF(N(Inputs_Class_Month!$D172)=0,"",Inputs_Class_Month!$G172/Inputs_Class_Month!$D172)</f>
        <v/>
      </c>
      <c r="H172" s="7">
        <f>IF(N(Inputs_Class_Month!$C172)=0,"",Inputs_Class_Month!$I172/Inputs_Class_Month!$C172)</f>
        <v/>
      </c>
      <c r="I172" s="7">
        <f>IF(N(Inputs_Class_Month!$C172)=0,"",Inputs_Class_Month!$H172/Inputs_Class_Month!$C172)</f>
        <v/>
      </c>
    </row>
    <row r="173" spans="1:9">
      <c r="A173" s="6">
        <f>IF(Inputs_Class_Month!$A173="","",Inputs_Class_Month!$A173)</f>
        <v/>
      </c>
      <c r="B173" s="6">
        <f>IF(Inputs_Class_Month!$B173="","",Inputs_Class_Month!$B173)</f>
        <v/>
      </c>
      <c r="C173" s="7">
        <f>IF(N(Inputs_Class_Month!$D173)=0,"",Inputs_Class_Month!$E173+Settings!$B$3*Inputs_Class_Month!$F173)</f>
        <v/>
      </c>
      <c r="D173" s="8">
        <f>IF(N(Inputs_Class_Month!$D173)=0,"",C173/Inputs_Class_Month!$D173)</f>
        <v/>
      </c>
      <c r="E173" s="8">
        <f>IF(N(Inputs_Class_Month!$D173)=0,"",Inputs_Class_Month!$E173/Inputs_Class_Month!$D173)</f>
        <v/>
      </c>
      <c r="F173" s="8">
        <f>IF(N(Inputs_Class_Month!$D173)=0,"",Settings!$B$3*Inputs_Class_Month!$F173/Inputs_Class_Month!$D173)</f>
        <v/>
      </c>
      <c r="G173" s="8">
        <f>IF(N(Inputs_Class_Month!$D173)=0,"",Inputs_Class_Month!$G173/Inputs_Class_Month!$D173)</f>
        <v/>
      </c>
      <c r="H173" s="7">
        <f>IF(N(Inputs_Class_Month!$C173)=0,"",Inputs_Class_Month!$I173/Inputs_Class_Month!$C173)</f>
        <v/>
      </c>
      <c r="I173" s="7">
        <f>IF(N(Inputs_Class_Month!$C173)=0,"",Inputs_Class_Month!$H173/Inputs_Class_Month!$C173)</f>
        <v/>
      </c>
    </row>
    <row r="174" spans="1:9">
      <c r="A174" s="6">
        <f>IF(Inputs_Class_Month!$A174="","",Inputs_Class_Month!$A174)</f>
        <v/>
      </c>
      <c r="B174" s="6">
        <f>IF(Inputs_Class_Month!$B174="","",Inputs_Class_Month!$B174)</f>
        <v/>
      </c>
      <c r="C174" s="7">
        <f>IF(N(Inputs_Class_Month!$D174)=0,"",Inputs_Class_Month!$E174+Settings!$B$3*Inputs_Class_Month!$F174)</f>
        <v/>
      </c>
      <c r="D174" s="8">
        <f>IF(N(Inputs_Class_Month!$D174)=0,"",C174/Inputs_Class_Month!$D174)</f>
        <v/>
      </c>
      <c r="E174" s="8">
        <f>IF(N(Inputs_Class_Month!$D174)=0,"",Inputs_Class_Month!$E174/Inputs_Class_Month!$D174)</f>
        <v/>
      </c>
      <c r="F174" s="8">
        <f>IF(N(Inputs_Class_Month!$D174)=0,"",Settings!$B$3*Inputs_Class_Month!$F174/Inputs_Class_Month!$D174)</f>
        <v/>
      </c>
      <c r="G174" s="8">
        <f>IF(N(Inputs_Class_Month!$D174)=0,"",Inputs_Class_Month!$G174/Inputs_Class_Month!$D174)</f>
        <v/>
      </c>
      <c r="H174" s="7">
        <f>IF(N(Inputs_Class_Month!$C174)=0,"",Inputs_Class_Month!$I174/Inputs_Class_Month!$C174)</f>
        <v/>
      </c>
      <c r="I174" s="7">
        <f>IF(N(Inputs_Class_Month!$C174)=0,"",Inputs_Class_Month!$H174/Inputs_Class_Month!$C174)</f>
        <v/>
      </c>
    </row>
    <row r="175" spans="1:9">
      <c r="A175" s="6">
        <f>IF(Inputs_Class_Month!$A175="","",Inputs_Class_Month!$A175)</f>
        <v/>
      </c>
      <c r="B175" s="6">
        <f>IF(Inputs_Class_Month!$B175="","",Inputs_Class_Month!$B175)</f>
        <v/>
      </c>
      <c r="C175" s="7">
        <f>IF(N(Inputs_Class_Month!$D175)=0,"",Inputs_Class_Month!$E175+Settings!$B$3*Inputs_Class_Month!$F175)</f>
        <v/>
      </c>
      <c r="D175" s="8">
        <f>IF(N(Inputs_Class_Month!$D175)=0,"",C175/Inputs_Class_Month!$D175)</f>
        <v/>
      </c>
      <c r="E175" s="8">
        <f>IF(N(Inputs_Class_Month!$D175)=0,"",Inputs_Class_Month!$E175/Inputs_Class_Month!$D175)</f>
        <v/>
      </c>
      <c r="F175" s="8">
        <f>IF(N(Inputs_Class_Month!$D175)=0,"",Settings!$B$3*Inputs_Class_Month!$F175/Inputs_Class_Month!$D175)</f>
        <v/>
      </c>
      <c r="G175" s="8">
        <f>IF(N(Inputs_Class_Month!$D175)=0,"",Inputs_Class_Month!$G175/Inputs_Class_Month!$D175)</f>
        <v/>
      </c>
      <c r="H175" s="7">
        <f>IF(N(Inputs_Class_Month!$C175)=0,"",Inputs_Class_Month!$I175/Inputs_Class_Month!$C175)</f>
        <v/>
      </c>
      <c r="I175" s="7">
        <f>IF(N(Inputs_Class_Month!$C175)=0,"",Inputs_Class_Month!$H175/Inputs_Class_Month!$C175)</f>
        <v/>
      </c>
    </row>
    <row r="176" spans="1:9">
      <c r="A176" s="6">
        <f>IF(Inputs_Class_Month!$A176="","",Inputs_Class_Month!$A176)</f>
        <v/>
      </c>
      <c r="B176" s="6">
        <f>IF(Inputs_Class_Month!$B176="","",Inputs_Class_Month!$B176)</f>
        <v/>
      </c>
      <c r="C176" s="7">
        <f>IF(N(Inputs_Class_Month!$D176)=0,"",Inputs_Class_Month!$E176+Settings!$B$3*Inputs_Class_Month!$F176)</f>
        <v/>
      </c>
      <c r="D176" s="8">
        <f>IF(N(Inputs_Class_Month!$D176)=0,"",C176/Inputs_Class_Month!$D176)</f>
        <v/>
      </c>
      <c r="E176" s="8">
        <f>IF(N(Inputs_Class_Month!$D176)=0,"",Inputs_Class_Month!$E176/Inputs_Class_Month!$D176)</f>
        <v/>
      </c>
      <c r="F176" s="8">
        <f>IF(N(Inputs_Class_Month!$D176)=0,"",Settings!$B$3*Inputs_Class_Month!$F176/Inputs_Class_Month!$D176)</f>
        <v/>
      </c>
      <c r="G176" s="8">
        <f>IF(N(Inputs_Class_Month!$D176)=0,"",Inputs_Class_Month!$G176/Inputs_Class_Month!$D176)</f>
        <v/>
      </c>
      <c r="H176" s="7">
        <f>IF(N(Inputs_Class_Month!$C176)=0,"",Inputs_Class_Month!$I176/Inputs_Class_Month!$C176)</f>
        <v/>
      </c>
      <c r="I176" s="7">
        <f>IF(N(Inputs_Class_Month!$C176)=0,"",Inputs_Class_Month!$H176/Inputs_Class_Month!$C176)</f>
        <v/>
      </c>
    </row>
    <row r="177" spans="1:9">
      <c r="A177" s="6">
        <f>IF(Inputs_Class_Month!$A177="","",Inputs_Class_Month!$A177)</f>
        <v/>
      </c>
      <c r="B177" s="6">
        <f>IF(Inputs_Class_Month!$B177="","",Inputs_Class_Month!$B177)</f>
        <v/>
      </c>
      <c r="C177" s="7">
        <f>IF(N(Inputs_Class_Month!$D177)=0,"",Inputs_Class_Month!$E177+Settings!$B$3*Inputs_Class_Month!$F177)</f>
        <v/>
      </c>
      <c r="D177" s="8">
        <f>IF(N(Inputs_Class_Month!$D177)=0,"",C177/Inputs_Class_Month!$D177)</f>
        <v/>
      </c>
      <c r="E177" s="8">
        <f>IF(N(Inputs_Class_Month!$D177)=0,"",Inputs_Class_Month!$E177/Inputs_Class_Month!$D177)</f>
        <v/>
      </c>
      <c r="F177" s="8">
        <f>IF(N(Inputs_Class_Month!$D177)=0,"",Settings!$B$3*Inputs_Class_Month!$F177/Inputs_Class_Month!$D177)</f>
        <v/>
      </c>
      <c r="G177" s="8">
        <f>IF(N(Inputs_Class_Month!$D177)=0,"",Inputs_Class_Month!$G177/Inputs_Class_Month!$D177)</f>
        <v/>
      </c>
      <c r="H177" s="7">
        <f>IF(N(Inputs_Class_Month!$C177)=0,"",Inputs_Class_Month!$I177/Inputs_Class_Month!$C177)</f>
        <v/>
      </c>
      <c r="I177" s="7">
        <f>IF(N(Inputs_Class_Month!$C177)=0,"",Inputs_Class_Month!$H177/Inputs_Class_Month!$C177)</f>
        <v/>
      </c>
    </row>
    <row r="178" spans="1:9">
      <c r="A178" s="6">
        <f>IF(Inputs_Class_Month!$A178="","",Inputs_Class_Month!$A178)</f>
        <v/>
      </c>
      <c r="B178" s="6">
        <f>IF(Inputs_Class_Month!$B178="","",Inputs_Class_Month!$B178)</f>
        <v/>
      </c>
      <c r="C178" s="7">
        <f>IF(N(Inputs_Class_Month!$D178)=0,"",Inputs_Class_Month!$E178+Settings!$B$3*Inputs_Class_Month!$F178)</f>
        <v/>
      </c>
      <c r="D178" s="8">
        <f>IF(N(Inputs_Class_Month!$D178)=0,"",C178/Inputs_Class_Month!$D178)</f>
        <v/>
      </c>
      <c r="E178" s="8">
        <f>IF(N(Inputs_Class_Month!$D178)=0,"",Inputs_Class_Month!$E178/Inputs_Class_Month!$D178)</f>
        <v/>
      </c>
      <c r="F178" s="8">
        <f>IF(N(Inputs_Class_Month!$D178)=0,"",Settings!$B$3*Inputs_Class_Month!$F178/Inputs_Class_Month!$D178)</f>
        <v/>
      </c>
      <c r="G178" s="8">
        <f>IF(N(Inputs_Class_Month!$D178)=0,"",Inputs_Class_Month!$G178/Inputs_Class_Month!$D178)</f>
        <v/>
      </c>
      <c r="H178" s="7">
        <f>IF(N(Inputs_Class_Month!$C178)=0,"",Inputs_Class_Month!$I178/Inputs_Class_Month!$C178)</f>
        <v/>
      </c>
      <c r="I178" s="7">
        <f>IF(N(Inputs_Class_Month!$C178)=0,"",Inputs_Class_Month!$H178/Inputs_Class_Month!$C178)</f>
        <v/>
      </c>
    </row>
    <row r="179" spans="1:9">
      <c r="A179" s="6">
        <f>IF(Inputs_Class_Month!$A179="","",Inputs_Class_Month!$A179)</f>
        <v/>
      </c>
      <c r="B179" s="6">
        <f>IF(Inputs_Class_Month!$B179="","",Inputs_Class_Month!$B179)</f>
        <v/>
      </c>
      <c r="C179" s="7">
        <f>IF(N(Inputs_Class_Month!$D179)=0,"",Inputs_Class_Month!$E179+Settings!$B$3*Inputs_Class_Month!$F179)</f>
        <v/>
      </c>
      <c r="D179" s="8">
        <f>IF(N(Inputs_Class_Month!$D179)=0,"",C179/Inputs_Class_Month!$D179)</f>
        <v/>
      </c>
      <c r="E179" s="8">
        <f>IF(N(Inputs_Class_Month!$D179)=0,"",Inputs_Class_Month!$E179/Inputs_Class_Month!$D179)</f>
        <v/>
      </c>
      <c r="F179" s="8">
        <f>IF(N(Inputs_Class_Month!$D179)=0,"",Settings!$B$3*Inputs_Class_Month!$F179/Inputs_Class_Month!$D179)</f>
        <v/>
      </c>
      <c r="G179" s="8">
        <f>IF(N(Inputs_Class_Month!$D179)=0,"",Inputs_Class_Month!$G179/Inputs_Class_Month!$D179)</f>
        <v/>
      </c>
      <c r="H179" s="7">
        <f>IF(N(Inputs_Class_Month!$C179)=0,"",Inputs_Class_Month!$I179/Inputs_Class_Month!$C179)</f>
        <v/>
      </c>
      <c r="I179" s="7">
        <f>IF(N(Inputs_Class_Month!$C179)=0,"",Inputs_Class_Month!$H179/Inputs_Class_Month!$C179)</f>
        <v/>
      </c>
    </row>
    <row r="180" spans="1:9">
      <c r="A180" s="6">
        <f>IF(Inputs_Class_Month!$A180="","",Inputs_Class_Month!$A180)</f>
        <v/>
      </c>
      <c r="B180" s="6">
        <f>IF(Inputs_Class_Month!$B180="","",Inputs_Class_Month!$B180)</f>
        <v/>
      </c>
      <c r="C180" s="7">
        <f>IF(N(Inputs_Class_Month!$D180)=0,"",Inputs_Class_Month!$E180+Settings!$B$3*Inputs_Class_Month!$F180)</f>
        <v/>
      </c>
      <c r="D180" s="8">
        <f>IF(N(Inputs_Class_Month!$D180)=0,"",C180/Inputs_Class_Month!$D180)</f>
        <v/>
      </c>
      <c r="E180" s="8">
        <f>IF(N(Inputs_Class_Month!$D180)=0,"",Inputs_Class_Month!$E180/Inputs_Class_Month!$D180)</f>
        <v/>
      </c>
      <c r="F180" s="8">
        <f>IF(N(Inputs_Class_Month!$D180)=0,"",Settings!$B$3*Inputs_Class_Month!$F180/Inputs_Class_Month!$D180)</f>
        <v/>
      </c>
      <c r="G180" s="8">
        <f>IF(N(Inputs_Class_Month!$D180)=0,"",Inputs_Class_Month!$G180/Inputs_Class_Month!$D180)</f>
        <v/>
      </c>
      <c r="H180" s="7">
        <f>IF(N(Inputs_Class_Month!$C180)=0,"",Inputs_Class_Month!$I180/Inputs_Class_Month!$C180)</f>
        <v/>
      </c>
      <c r="I180" s="7">
        <f>IF(N(Inputs_Class_Month!$C180)=0,"",Inputs_Class_Month!$H180/Inputs_Class_Month!$C180)</f>
        <v/>
      </c>
    </row>
    <row r="181" spans="1:9">
      <c r="A181" s="6">
        <f>IF(Inputs_Class_Month!$A181="","",Inputs_Class_Month!$A181)</f>
        <v/>
      </c>
      <c r="B181" s="6">
        <f>IF(Inputs_Class_Month!$B181="","",Inputs_Class_Month!$B181)</f>
        <v/>
      </c>
      <c r="C181" s="7">
        <f>IF(N(Inputs_Class_Month!$D181)=0,"",Inputs_Class_Month!$E181+Settings!$B$3*Inputs_Class_Month!$F181)</f>
        <v/>
      </c>
      <c r="D181" s="8">
        <f>IF(N(Inputs_Class_Month!$D181)=0,"",C181/Inputs_Class_Month!$D181)</f>
        <v/>
      </c>
      <c r="E181" s="8">
        <f>IF(N(Inputs_Class_Month!$D181)=0,"",Inputs_Class_Month!$E181/Inputs_Class_Month!$D181)</f>
        <v/>
      </c>
      <c r="F181" s="8">
        <f>IF(N(Inputs_Class_Month!$D181)=0,"",Settings!$B$3*Inputs_Class_Month!$F181/Inputs_Class_Month!$D181)</f>
        <v/>
      </c>
      <c r="G181" s="8">
        <f>IF(N(Inputs_Class_Month!$D181)=0,"",Inputs_Class_Month!$G181/Inputs_Class_Month!$D181)</f>
        <v/>
      </c>
      <c r="H181" s="7">
        <f>IF(N(Inputs_Class_Month!$C181)=0,"",Inputs_Class_Month!$I181/Inputs_Class_Month!$C181)</f>
        <v/>
      </c>
      <c r="I181" s="7">
        <f>IF(N(Inputs_Class_Month!$C181)=0,"",Inputs_Class_Month!$H181/Inputs_Class_Month!$C181)</f>
        <v/>
      </c>
    </row>
    <row r="182" spans="1:9">
      <c r="A182" s="6">
        <f>IF(Inputs_Class_Month!$A182="","",Inputs_Class_Month!$A182)</f>
        <v/>
      </c>
      <c r="B182" s="6">
        <f>IF(Inputs_Class_Month!$B182="","",Inputs_Class_Month!$B182)</f>
        <v/>
      </c>
      <c r="C182" s="7">
        <f>IF(N(Inputs_Class_Month!$D182)=0,"",Inputs_Class_Month!$E182+Settings!$B$3*Inputs_Class_Month!$F182)</f>
        <v/>
      </c>
      <c r="D182" s="8">
        <f>IF(N(Inputs_Class_Month!$D182)=0,"",C182/Inputs_Class_Month!$D182)</f>
        <v/>
      </c>
      <c r="E182" s="8">
        <f>IF(N(Inputs_Class_Month!$D182)=0,"",Inputs_Class_Month!$E182/Inputs_Class_Month!$D182)</f>
        <v/>
      </c>
      <c r="F182" s="8">
        <f>IF(N(Inputs_Class_Month!$D182)=0,"",Settings!$B$3*Inputs_Class_Month!$F182/Inputs_Class_Month!$D182)</f>
        <v/>
      </c>
      <c r="G182" s="8">
        <f>IF(N(Inputs_Class_Month!$D182)=0,"",Inputs_Class_Month!$G182/Inputs_Class_Month!$D182)</f>
        <v/>
      </c>
      <c r="H182" s="7">
        <f>IF(N(Inputs_Class_Month!$C182)=0,"",Inputs_Class_Month!$I182/Inputs_Class_Month!$C182)</f>
        <v/>
      </c>
      <c r="I182" s="7">
        <f>IF(N(Inputs_Class_Month!$C182)=0,"",Inputs_Class_Month!$H182/Inputs_Class_Month!$C182)</f>
        <v/>
      </c>
    </row>
    <row r="183" spans="1:9">
      <c r="A183" s="6">
        <f>IF(Inputs_Class_Month!$A183="","",Inputs_Class_Month!$A183)</f>
        <v/>
      </c>
      <c r="B183" s="6">
        <f>IF(Inputs_Class_Month!$B183="","",Inputs_Class_Month!$B183)</f>
        <v/>
      </c>
      <c r="C183" s="7">
        <f>IF(N(Inputs_Class_Month!$D183)=0,"",Inputs_Class_Month!$E183+Settings!$B$3*Inputs_Class_Month!$F183)</f>
        <v/>
      </c>
      <c r="D183" s="8">
        <f>IF(N(Inputs_Class_Month!$D183)=0,"",C183/Inputs_Class_Month!$D183)</f>
        <v/>
      </c>
      <c r="E183" s="8">
        <f>IF(N(Inputs_Class_Month!$D183)=0,"",Inputs_Class_Month!$E183/Inputs_Class_Month!$D183)</f>
        <v/>
      </c>
      <c r="F183" s="8">
        <f>IF(N(Inputs_Class_Month!$D183)=0,"",Settings!$B$3*Inputs_Class_Month!$F183/Inputs_Class_Month!$D183)</f>
        <v/>
      </c>
      <c r="G183" s="8">
        <f>IF(N(Inputs_Class_Month!$D183)=0,"",Inputs_Class_Month!$G183/Inputs_Class_Month!$D183)</f>
        <v/>
      </c>
      <c r="H183" s="7">
        <f>IF(N(Inputs_Class_Month!$C183)=0,"",Inputs_Class_Month!$I183/Inputs_Class_Month!$C183)</f>
        <v/>
      </c>
      <c r="I183" s="7">
        <f>IF(N(Inputs_Class_Month!$C183)=0,"",Inputs_Class_Month!$H183/Inputs_Class_Month!$C183)</f>
        <v/>
      </c>
    </row>
    <row r="184" spans="1:9">
      <c r="A184" s="6">
        <f>IF(Inputs_Class_Month!$A184="","",Inputs_Class_Month!$A184)</f>
        <v/>
      </c>
      <c r="B184" s="6">
        <f>IF(Inputs_Class_Month!$B184="","",Inputs_Class_Month!$B184)</f>
        <v/>
      </c>
      <c r="C184" s="7">
        <f>IF(N(Inputs_Class_Month!$D184)=0,"",Inputs_Class_Month!$E184+Settings!$B$3*Inputs_Class_Month!$F184)</f>
        <v/>
      </c>
      <c r="D184" s="8">
        <f>IF(N(Inputs_Class_Month!$D184)=0,"",C184/Inputs_Class_Month!$D184)</f>
        <v/>
      </c>
      <c r="E184" s="8">
        <f>IF(N(Inputs_Class_Month!$D184)=0,"",Inputs_Class_Month!$E184/Inputs_Class_Month!$D184)</f>
        <v/>
      </c>
      <c r="F184" s="8">
        <f>IF(N(Inputs_Class_Month!$D184)=0,"",Settings!$B$3*Inputs_Class_Month!$F184/Inputs_Class_Month!$D184)</f>
        <v/>
      </c>
      <c r="G184" s="8">
        <f>IF(N(Inputs_Class_Month!$D184)=0,"",Inputs_Class_Month!$G184/Inputs_Class_Month!$D184)</f>
        <v/>
      </c>
      <c r="H184" s="7">
        <f>IF(N(Inputs_Class_Month!$C184)=0,"",Inputs_Class_Month!$I184/Inputs_Class_Month!$C184)</f>
        <v/>
      </c>
      <c r="I184" s="7">
        <f>IF(N(Inputs_Class_Month!$C184)=0,"",Inputs_Class_Month!$H184/Inputs_Class_Month!$C184)</f>
        <v/>
      </c>
    </row>
    <row r="185" spans="1:9">
      <c r="A185" s="6">
        <f>IF(Inputs_Class_Month!$A185="","",Inputs_Class_Month!$A185)</f>
        <v/>
      </c>
      <c r="B185" s="6">
        <f>IF(Inputs_Class_Month!$B185="","",Inputs_Class_Month!$B185)</f>
        <v/>
      </c>
      <c r="C185" s="7">
        <f>IF(N(Inputs_Class_Month!$D185)=0,"",Inputs_Class_Month!$E185+Settings!$B$3*Inputs_Class_Month!$F185)</f>
        <v/>
      </c>
      <c r="D185" s="8">
        <f>IF(N(Inputs_Class_Month!$D185)=0,"",C185/Inputs_Class_Month!$D185)</f>
        <v/>
      </c>
      <c r="E185" s="8">
        <f>IF(N(Inputs_Class_Month!$D185)=0,"",Inputs_Class_Month!$E185/Inputs_Class_Month!$D185)</f>
        <v/>
      </c>
      <c r="F185" s="8">
        <f>IF(N(Inputs_Class_Month!$D185)=0,"",Settings!$B$3*Inputs_Class_Month!$F185/Inputs_Class_Month!$D185)</f>
        <v/>
      </c>
      <c r="G185" s="8">
        <f>IF(N(Inputs_Class_Month!$D185)=0,"",Inputs_Class_Month!$G185/Inputs_Class_Month!$D185)</f>
        <v/>
      </c>
      <c r="H185" s="7">
        <f>IF(N(Inputs_Class_Month!$C185)=0,"",Inputs_Class_Month!$I185/Inputs_Class_Month!$C185)</f>
        <v/>
      </c>
      <c r="I185" s="7">
        <f>IF(N(Inputs_Class_Month!$C185)=0,"",Inputs_Class_Month!$H185/Inputs_Class_Month!$C185)</f>
        <v/>
      </c>
    </row>
    <row r="186" spans="1:9">
      <c r="A186" s="6">
        <f>IF(Inputs_Class_Month!$A186="","",Inputs_Class_Month!$A186)</f>
        <v/>
      </c>
      <c r="B186" s="6">
        <f>IF(Inputs_Class_Month!$B186="","",Inputs_Class_Month!$B186)</f>
        <v/>
      </c>
      <c r="C186" s="7">
        <f>IF(N(Inputs_Class_Month!$D186)=0,"",Inputs_Class_Month!$E186+Settings!$B$3*Inputs_Class_Month!$F186)</f>
        <v/>
      </c>
      <c r="D186" s="8">
        <f>IF(N(Inputs_Class_Month!$D186)=0,"",C186/Inputs_Class_Month!$D186)</f>
        <v/>
      </c>
      <c r="E186" s="8">
        <f>IF(N(Inputs_Class_Month!$D186)=0,"",Inputs_Class_Month!$E186/Inputs_Class_Month!$D186)</f>
        <v/>
      </c>
      <c r="F186" s="8">
        <f>IF(N(Inputs_Class_Month!$D186)=0,"",Settings!$B$3*Inputs_Class_Month!$F186/Inputs_Class_Month!$D186)</f>
        <v/>
      </c>
      <c r="G186" s="8">
        <f>IF(N(Inputs_Class_Month!$D186)=0,"",Inputs_Class_Month!$G186/Inputs_Class_Month!$D186)</f>
        <v/>
      </c>
      <c r="H186" s="7">
        <f>IF(N(Inputs_Class_Month!$C186)=0,"",Inputs_Class_Month!$I186/Inputs_Class_Month!$C186)</f>
        <v/>
      </c>
      <c r="I186" s="7">
        <f>IF(N(Inputs_Class_Month!$C186)=0,"",Inputs_Class_Month!$H186/Inputs_Class_Month!$C186)</f>
        <v/>
      </c>
    </row>
    <row r="187" spans="1:9">
      <c r="A187" s="6">
        <f>IF(Inputs_Class_Month!$A187="","",Inputs_Class_Month!$A187)</f>
        <v/>
      </c>
      <c r="B187" s="6">
        <f>IF(Inputs_Class_Month!$B187="","",Inputs_Class_Month!$B187)</f>
        <v/>
      </c>
      <c r="C187" s="7">
        <f>IF(N(Inputs_Class_Month!$D187)=0,"",Inputs_Class_Month!$E187+Settings!$B$3*Inputs_Class_Month!$F187)</f>
        <v/>
      </c>
      <c r="D187" s="8">
        <f>IF(N(Inputs_Class_Month!$D187)=0,"",C187/Inputs_Class_Month!$D187)</f>
        <v/>
      </c>
      <c r="E187" s="8">
        <f>IF(N(Inputs_Class_Month!$D187)=0,"",Inputs_Class_Month!$E187/Inputs_Class_Month!$D187)</f>
        <v/>
      </c>
      <c r="F187" s="8">
        <f>IF(N(Inputs_Class_Month!$D187)=0,"",Settings!$B$3*Inputs_Class_Month!$F187/Inputs_Class_Month!$D187)</f>
        <v/>
      </c>
      <c r="G187" s="8">
        <f>IF(N(Inputs_Class_Month!$D187)=0,"",Inputs_Class_Month!$G187/Inputs_Class_Month!$D187)</f>
        <v/>
      </c>
      <c r="H187" s="7">
        <f>IF(N(Inputs_Class_Month!$C187)=0,"",Inputs_Class_Month!$I187/Inputs_Class_Month!$C187)</f>
        <v/>
      </c>
      <c r="I187" s="7">
        <f>IF(N(Inputs_Class_Month!$C187)=0,"",Inputs_Class_Month!$H187/Inputs_Class_Month!$C187)</f>
        <v/>
      </c>
    </row>
    <row r="188" spans="1:9">
      <c r="A188" s="6">
        <f>IF(Inputs_Class_Month!$A188="","",Inputs_Class_Month!$A188)</f>
        <v/>
      </c>
      <c r="B188" s="6">
        <f>IF(Inputs_Class_Month!$B188="","",Inputs_Class_Month!$B188)</f>
        <v/>
      </c>
      <c r="C188" s="7">
        <f>IF(N(Inputs_Class_Month!$D188)=0,"",Inputs_Class_Month!$E188+Settings!$B$3*Inputs_Class_Month!$F188)</f>
        <v/>
      </c>
      <c r="D188" s="8">
        <f>IF(N(Inputs_Class_Month!$D188)=0,"",C188/Inputs_Class_Month!$D188)</f>
        <v/>
      </c>
      <c r="E188" s="8">
        <f>IF(N(Inputs_Class_Month!$D188)=0,"",Inputs_Class_Month!$E188/Inputs_Class_Month!$D188)</f>
        <v/>
      </c>
      <c r="F188" s="8">
        <f>IF(N(Inputs_Class_Month!$D188)=0,"",Settings!$B$3*Inputs_Class_Month!$F188/Inputs_Class_Month!$D188)</f>
        <v/>
      </c>
      <c r="G188" s="8">
        <f>IF(N(Inputs_Class_Month!$D188)=0,"",Inputs_Class_Month!$G188/Inputs_Class_Month!$D188)</f>
        <v/>
      </c>
      <c r="H188" s="7">
        <f>IF(N(Inputs_Class_Month!$C188)=0,"",Inputs_Class_Month!$I188/Inputs_Class_Month!$C188)</f>
        <v/>
      </c>
      <c r="I188" s="7">
        <f>IF(N(Inputs_Class_Month!$C188)=0,"",Inputs_Class_Month!$H188/Inputs_Class_Month!$C188)</f>
        <v/>
      </c>
    </row>
    <row r="189" spans="1:9">
      <c r="A189" s="6">
        <f>IF(Inputs_Class_Month!$A189="","",Inputs_Class_Month!$A189)</f>
        <v/>
      </c>
      <c r="B189" s="6">
        <f>IF(Inputs_Class_Month!$B189="","",Inputs_Class_Month!$B189)</f>
        <v/>
      </c>
      <c r="C189" s="7">
        <f>IF(N(Inputs_Class_Month!$D189)=0,"",Inputs_Class_Month!$E189+Settings!$B$3*Inputs_Class_Month!$F189)</f>
        <v/>
      </c>
      <c r="D189" s="8">
        <f>IF(N(Inputs_Class_Month!$D189)=0,"",C189/Inputs_Class_Month!$D189)</f>
        <v/>
      </c>
      <c r="E189" s="8">
        <f>IF(N(Inputs_Class_Month!$D189)=0,"",Inputs_Class_Month!$E189/Inputs_Class_Month!$D189)</f>
        <v/>
      </c>
      <c r="F189" s="8">
        <f>IF(N(Inputs_Class_Month!$D189)=0,"",Settings!$B$3*Inputs_Class_Month!$F189/Inputs_Class_Month!$D189)</f>
        <v/>
      </c>
      <c r="G189" s="8">
        <f>IF(N(Inputs_Class_Month!$D189)=0,"",Inputs_Class_Month!$G189/Inputs_Class_Month!$D189)</f>
        <v/>
      </c>
      <c r="H189" s="7">
        <f>IF(N(Inputs_Class_Month!$C189)=0,"",Inputs_Class_Month!$I189/Inputs_Class_Month!$C189)</f>
        <v/>
      </c>
      <c r="I189" s="7">
        <f>IF(N(Inputs_Class_Month!$C189)=0,"",Inputs_Class_Month!$H189/Inputs_Class_Month!$C189)</f>
        <v/>
      </c>
    </row>
    <row r="190" spans="1:9">
      <c r="A190" s="6">
        <f>IF(Inputs_Class_Month!$A190="","",Inputs_Class_Month!$A190)</f>
        <v/>
      </c>
      <c r="B190" s="6">
        <f>IF(Inputs_Class_Month!$B190="","",Inputs_Class_Month!$B190)</f>
        <v/>
      </c>
      <c r="C190" s="7">
        <f>IF(N(Inputs_Class_Month!$D190)=0,"",Inputs_Class_Month!$E190+Settings!$B$3*Inputs_Class_Month!$F190)</f>
        <v/>
      </c>
      <c r="D190" s="8">
        <f>IF(N(Inputs_Class_Month!$D190)=0,"",C190/Inputs_Class_Month!$D190)</f>
        <v/>
      </c>
      <c r="E190" s="8">
        <f>IF(N(Inputs_Class_Month!$D190)=0,"",Inputs_Class_Month!$E190/Inputs_Class_Month!$D190)</f>
        <v/>
      </c>
      <c r="F190" s="8">
        <f>IF(N(Inputs_Class_Month!$D190)=0,"",Settings!$B$3*Inputs_Class_Month!$F190/Inputs_Class_Month!$D190)</f>
        <v/>
      </c>
      <c r="G190" s="8">
        <f>IF(N(Inputs_Class_Month!$D190)=0,"",Inputs_Class_Month!$G190/Inputs_Class_Month!$D190)</f>
        <v/>
      </c>
      <c r="H190" s="7">
        <f>IF(N(Inputs_Class_Month!$C190)=0,"",Inputs_Class_Month!$I190/Inputs_Class_Month!$C190)</f>
        <v/>
      </c>
      <c r="I190" s="7">
        <f>IF(N(Inputs_Class_Month!$C190)=0,"",Inputs_Class_Month!$H190/Inputs_Class_Month!$C190)</f>
        <v/>
      </c>
    </row>
    <row r="191" spans="1:9">
      <c r="A191" s="6">
        <f>IF(Inputs_Class_Month!$A191="","",Inputs_Class_Month!$A191)</f>
        <v/>
      </c>
      <c r="B191" s="6">
        <f>IF(Inputs_Class_Month!$B191="","",Inputs_Class_Month!$B191)</f>
        <v/>
      </c>
      <c r="C191" s="7">
        <f>IF(N(Inputs_Class_Month!$D191)=0,"",Inputs_Class_Month!$E191+Settings!$B$3*Inputs_Class_Month!$F191)</f>
        <v/>
      </c>
      <c r="D191" s="8">
        <f>IF(N(Inputs_Class_Month!$D191)=0,"",C191/Inputs_Class_Month!$D191)</f>
        <v/>
      </c>
      <c r="E191" s="8">
        <f>IF(N(Inputs_Class_Month!$D191)=0,"",Inputs_Class_Month!$E191/Inputs_Class_Month!$D191)</f>
        <v/>
      </c>
      <c r="F191" s="8">
        <f>IF(N(Inputs_Class_Month!$D191)=0,"",Settings!$B$3*Inputs_Class_Month!$F191/Inputs_Class_Month!$D191)</f>
        <v/>
      </c>
      <c r="G191" s="8">
        <f>IF(N(Inputs_Class_Month!$D191)=0,"",Inputs_Class_Month!$G191/Inputs_Class_Month!$D191)</f>
        <v/>
      </c>
      <c r="H191" s="7">
        <f>IF(N(Inputs_Class_Month!$C191)=0,"",Inputs_Class_Month!$I191/Inputs_Class_Month!$C191)</f>
        <v/>
      </c>
      <c r="I191" s="7">
        <f>IF(N(Inputs_Class_Month!$C191)=0,"",Inputs_Class_Month!$H191/Inputs_Class_Month!$C191)</f>
        <v/>
      </c>
    </row>
    <row r="192" spans="1:9">
      <c r="A192" s="6">
        <f>IF(Inputs_Class_Month!$A192="","",Inputs_Class_Month!$A192)</f>
        <v/>
      </c>
      <c r="B192" s="6">
        <f>IF(Inputs_Class_Month!$B192="","",Inputs_Class_Month!$B192)</f>
        <v/>
      </c>
      <c r="C192" s="7">
        <f>IF(N(Inputs_Class_Month!$D192)=0,"",Inputs_Class_Month!$E192+Settings!$B$3*Inputs_Class_Month!$F192)</f>
        <v/>
      </c>
      <c r="D192" s="8">
        <f>IF(N(Inputs_Class_Month!$D192)=0,"",C192/Inputs_Class_Month!$D192)</f>
        <v/>
      </c>
      <c r="E192" s="8">
        <f>IF(N(Inputs_Class_Month!$D192)=0,"",Inputs_Class_Month!$E192/Inputs_Class_Month!$D192)</f>
        <v/>
      </c>
      <c r="F192" s="8">
        <f>IF(N(Inputs_Class_Month!$D192)=0,"",Settings!$B$3*Inputs_Class_Month!$F192/Inputs_Class_Month!$D192)</f>
        <v/>
      </c>
      <c r="G192" s="8">
        <f>IF(N(Inputs_Class_Month!$D192)=0,"",Inputs_Class_Month!$G192/Inputs_Class_Month!$D192)</f>
        <v/>
      </c>
      <c r="H192" s="7">
        <f>IF(N(Inputs_Class_Month!$C192)=0,"",Inputs_Class_Month!$I192/Inputs_Class_Month!$C192)</f>
        <v/>
      </c>
      <c r="I192" s="7">
        <f>IF(N(Inputs_Class_Month!$C192)=0,"",Inputs_Class_Month!$H192/Inputs_Class_Month!$C192)</f>
        <v/>
      </c>
    </row>
    <row r="193" spans="1:9">
      <c r="A193" s="6">
        <f>IF(Inputs_Class_Month!$A193="","",Inputs_Class_Month!$A193)</f>
        <v/>
      </c>
      <c r="B193" s="6">
        <f>IF(Inputs_Class_Month!$B193="","",Inputs_Class_Month!$B193)</f>
        <v/>
      </c>
      <c r="C193" s="7">
        <f>IF(N(Inputs_Class_Month!$D193)=0,"",Inputs_Class_Month!$E193+Settings!$B$3*Inputs_Class_Month!$F193)</f>
        <v/>
      </c>
      <c r="D193" s="8">
        <f>IF(N(Inputs_Class_Month!$D193)=0,"",C193/Inputs_Class_Month!$D193)</f>
        <v/>
      </c>
      <c r="E193" s="8">
        <f>IF(N(Inputs_Class_Month!$D193)=0,"",Inputs_Class_Month!$E193/Inputs_Class_Month!$D193)</f>
        <v/>
      </c>
      <c r="F193" s="8">
        <f>IF(N(Inputs_Class_Month!$D193)=0,"",Settings!$B$3*Inputs_Class_Month!$F193/Inputs_Class_Month!$D193)</f>
        <v/>
      </c>
      <c r="G193" s="8">
        <f>IF(N(Inputs_Class_Month!$D193)=0,"",Inputs_Class_Month!$G193/Inputs_Class_Month!$D193)</f>
        <v/>
      </c>
      <c r="H193" s="7">
        <f>IF(N(Inputs_Class_Month!$C193)=0,"",Inputs_Class_Month!$I193/Inputs_Class_Month!$C193)</f>
        <v/>
      </c>
      <c r="I193" s="7">
        <f>IF(N(Inputs_Class_Month!$C193)=0,"",Inputs_Class_Month!$H193/Inputs_Class_Month!$C193)</f>
        <v/>
      </c>
    </row>
    <row r="194" spans="1:9">
      <c r="A194" s="6">
        <f>IF(Inputs_Class_Month!$A194="","",Inputs_Class_Month!$A194)</f>
        <v/>
      </c>
      <c r="B194" s="6">
        <f>IF(Inputs_Class_Month!$B194="","",Inputs_Class_Month!$B194)</f>
        <v/>
      </c>
      <c r="C194" s="7">
        <f>IF(N(Inputs_Class_Month!$D194)=0,"",Inputs_Class_Month!$E194+Settings!$B$3*Inputs_Class_Month!$F194)</f>
        <v/>
      </c>
      <c r="D194" s="8">
        <f>IF(N(Inputs_Class_Month!$D194)=0,"",C194/Inputs_Class_Month!$D194)</f>
        <v/>
      </c>
      <c r="E194" s="8">
        <f>IF(N(Inputs_Class_Month!$D194)=0,"",Inputs_Class_Month!$E194/Inputs_Class_Month!$D194)</f>
        <v/>
      </c>
      <c r="F194" s="8">
        <f>IF(N(Inputs_Class_Month!$D194)=0,"",Settings!$B$3*Inputs_Class_Month!$F194/Inputs_Class_Month!$D194)</f>
        <v/>
      </c>
      <c r="G194" s="8">
        <f>IF(N(Inputs_Class_Month!$D194)=0,"",Inputs_Class_Month!$G194/Inputs_Class_Month!$D194)</f>
        <v/>
      </c>
      <c r="H194" s="7">
        <f>IF(N(Inputs_Class_Month!$C194)=0,"",Inputs_Class_Month!$I194/Inputs_Class_Month!$C194)</f>
        <v/>
      </c>
      <c r="I194" s="7">
        <f>IF(N(Inputs_Class_Month!$C194)=0,"",Inputs_Class_Month!$H194/Inputs_Class_Month!$C194)</f>
        <v/>
      </c>
    </row>
    <row r="195" spans="1:9">
      <c r="A195" s="6">
        <f>IF(Inputs_Class_Month!$A195="","",Inputs_Class_Month!$A195)</f>
        <v/>
      </c>
      <c r="B195" s="6">
        <f>IF(Inputs_Class_Month!$B195="","",Inputs_Class_Month!$B195)</f>
        <v/>
      </c>
      <c r="C195" s="7">
        <f>IF(N(Inputs_Class_Month!$D195)=0,"",Inputs_Class_Month!$E195+Settings!$B$3*Inputs_Class_Month!$F195)</f>
        <v/>
      </c>
      <c r="D195" s="8">
        <f>IF(N(Inputs_Class_Month!$D195)=0,"",C195/Inputs_Class_Month!$D195)</f>
        <v/>
      </c>
      <c r="E195" s="8">
        <f>IF(N(Inputs_Class_Month!$D195)=0,"",Inputs_Class_Month!$E195/Inputs_Class_Month!$D195)</f>
        <v/>
      </c>
      <c r="F195" s="8">
        <f>IF(N(Inputs_Class_Month!$D195)=0,"",Settings!$B$3*Inputs_Class_Month!$F195/Inputs_Class_Month!$D195)</f>
        <v/>
      </c>
      <c r="G195" s="8">
        <f>IF(N(Inputs_Class_Month!$D195)=0,"",Inputs_Class_Month!$G195/Inputs_Class_Month!$D195)</f>
        <v/>
      </c>
      <c r="H195" s="7">
        <f>IF(N(Inputs_Class_Month!$C195)=0,"",Inputs_Class_Month!$I195/Inputs_Class_Month!$C195)</f>
        <v/>
      </c>
      <c r="I195" s="7">
        <f>IF(N(Inputs_Class_Month!$C195)=0,"",Inputs_Class_Month!$H195/Inputs_Class_Month!$C195)</f>
        <v/>
      </c>
    </row>
    <row r="196" spans="1:9">
      <c r="A196" s="6">
        <f>IF(Inputs_Class_Month!$A196="","",Inputs_Class_Month!$A196)</f>
        <v/>
      </c>
      <c r="B196" s="6">
        <f>IF(Inputs_Class_Month!$B196="","",Inputs_Class_Month!$B196)</f>
        <v/>
      </c>
      <c r="C196" s="7">
        <f>IF(N(Inputs_Class_Month!$D196)=0,"",Inputs_Class_Month!$E196+Settings!$B$3*Inputs_Class_Month!$F196)</f>
        <v/>
      </c>
      <c r="D196" s="8">
        <f>IF(N(Inputs_Class_Month!$D196)=0,"",C196/Inputs_Class_Month!$D196)</f>
        <v/>
      </c>
      <c r="E196" s="8">
        <f>IF(N(Inputs_Class_Month!$D196)=0,"",Inputs_Class_Month!$E196/Inputs_Class_Month!$D196)</f>
        <v/>
      </c>
      <c r="F196" s="8">
        <f>IF(N(Inputs_Class_Month!$D196)=0,"",Settings!$B$3*Inputs_Class_Month!$F196/Inputs_Class_Month!$D196)</f>
        <v/>
      </c>
      <c r="G196" s="8">
        <f>IF(N(Inputs_Class_Month!$D196)=0,"",Inputs_Class_Month!$G196/Inputs_Class_Month!$D196)</f>
        <v/>
      </c>
      <c r="H196" s="7">
        <f>IF(N(Inputs_Class_Month!$C196)=0,"",Inputs_Class_Month!$I196/Inputs_Class_Month!$C196)</f>
        <v/>
      </c>
      <c r="I196" s="7">
        <f>IF(N(Inputs_Class_Month!$C196)=0,"",Inputs_Class_Month!$H196/Inputs_Class_Month!$C196)</f>
        <v/>
      </c>
    </row>
    <row r="197" spans="1:9">
      <c r="A197" s="6">
        <f>IF(Inputs_Class_Month!$A197="","",Inputs_Class_Month!$A197)</f>
        <v/>
      </c>
      <c r="B197" s="6">
        <f>IF(Inputs_Class_Month!$B197="","",Inputs_Class_Month!$B197)</f>
        <v/>
      </c>
      <c r="C197" s="7">
        <f>IF(N(Inputs_Class_Month!$D197)=0,"",Inputs_Class_Month!$E197+Settings!$B$3*Inputs_Class_Month!$F197)</f>
        <v/>
      </c>
      <c r="D197" s="8">
        <f>IF(N(Inputs_Class_Month!$D197)=0,"",C197/Inputs_Class_Month!$D197)</f>
        <v/>
      </c>
      <c r="E197" s="8">
        <f>IF(N(Inputs_Class_Month!$D197)=0,"",Inputs_Class_Month!$E197/Inputs_Class_Month!$D197)</f>
        <v/>
      </c>
      <c r="F197" s="8">
        <f>IF(N(Inputs_Class_Month!$D197)=0,"",Settings!$B$3*Inputs_Class_Month!$F197/Inputs_Class_Month!$D197)</f>
        <v/>
      </c>
      <c r="G197" s="8">
        <f>IF(N(Inputs_Class_Month!$D197)=0,"",Inputs_Class_Month!$G197/Inputs_Class_Month!$D197)</f>
        <v/>
      </c>
      <c r="H197" s="7">
        <f>IF(N(Inputs_Class_Month!$C197)=0,"",Inputs_Class_Month!$I197/Inputs_Class_Month!$C197)</f>
        <v/>
      </c>
      <c r="I197" s="7">
        <f>IF(N(Inputs_Class_Month!$C197)=0,"",Inputs_Class_Month!$H197/Inputs_Class_Month!$C197)</f>
        <v/>
      </c>
    </row>
    <row r="198" spans="1:9">
      <c r="A198" s="6">
        <f>IF(Inputs_Class_Month!$A198="","",Inputs_Class_Month!$A198)</f>
        <v/>
      </c>
      <c r="B198" s="6">
        <f>IF(Inputs_Class_Month!$B198="","",Inputs_Class_Month!$B198)</f>
        <v/>
      </c>
      <c r="C198" s="7">
        <f>IF(N(Inputs_Class_Month!$D198)=0,"",Inputs_Class_Month!$E198+Settings!$B$3*Inputs_Class_Month!$F198)</f>
        <v/>
      </c>
      <c r="D198" s="8">
        <f>IF(N(Inputs_Class_Month!$D198)=0,"",C198/Inputs_Class_Month!$D198)</f>
        <v/>
      </c>
      <c r="E198" s="8">
        <f>IF(N(Inputs_Class_Month!$D198)=0,"",Inputs_Class_Month!$E198/Inputs_Class_Month!$D198)</f>
        <v/>
      </c>
      <c r="F198" s="8">
        <f>IF(N(Inputs_Class_Month!$D198)=0,"",Settings!$B$3*Inputs_Class_Month!$F198/Inputs_Class_Month!$D198)</f>
        <v/>
      </c>
      <c r="G198" s="8">
        <f>IF(N(Inputs_Class_Month!$D198)=0,"",Inputs_Class_Month!$G198/Inputs_Class_Month!$D198)</f>
        <v/>
      </c>
      <c r="H198" s="7">
        <f>IF(N(Inputs_Class_Month!$C198)=0,"",Inputs_Class_Month!$I198/Inputs_Class_Month!$C198)</f>
        <v/>
      </c>
      <c r="I198" s="7">
        <f>IF(N(Inputs_Class_Month!$C198)=0,"",Inputs_Class_Month!$H198/Inputs_Class_Month!$C198)</f>
        <v/>
      </c>
    </row>
    <row r="199" spans="1:9">
      <c r="A199" s="6">
        <f>IF(Inputs_Class_Month!$A199="","",Inputs_Class_Month!$A199)</f>
        <v/>
      </c>
      <c r="B199" s="6">
        <f>IF(Inputs_Class_Month!$B199="","",Inputs_Class_Month!$B199)</f>
        <v/>
      </c>
      <c r="C199" s="7">
        <f>IF(N(Inputs_Class_Month!$D199)=0,"",Inputs_Class_Month!$E199+Settings!$B$3*Inputs_Class_Month!$F199)</f>
        <v/>
      </c>
      <c r="D199" s="8">
        <f>IF(N(Inputs_Class_Month!$D199)=0,"",C199/Inputs_Class_Month!$D199)</f>
        <v/>
      </c>
      <c r="E199" s="8">
        <f>IF(N(Inputs_Class_Month!$D199)=0,"",Inputs_Class_Month!$E199/Inputs_Class_Month!$D199)</f>
        <v/>
      </c>
      <c r="F199" s="8">
        <f>IF(N(Inputs_Class_Month!$D199)=0,"",Settings!$B$3*Inputs_Class_Month!$F199/Inputs_Class_Month!$D199)</f>
        <v/>
      </c>
      <c r="G199" s="8">
        <f>IF(N(Inputs_Class_Month!$D199)=0,"",Inputs_Class_Month!$G199/Inputs_Class_Month!$D199)</f>
        <v/>
      </c>
      <c r="H199" s="7">
        <f>IF(N(Inputs_Class_Month!$C199)=0,"",Inputs_Class_Month!$I199/Inputs_Class_Month!$C199)</f>
        <v/>
      </c>
      <c r="I199" s="7">
        <f>IF(N(Inputs_Class_Month!$C199)=0,"",Inputs_Class_Month!$H199/Inputs_Class_Month!$C199)</f>
        <v/>
      </c>
    </row>
    <row r="200" spans="1:9">
      <c r="A200" s="6">
        <f>IF(Inputs_Class_Month!$A200="","",Inputs_Class_Month!$A200)</f>
        <v/>
      </c>
      <c r="B200" s="6">
        <f>IF(Inputs_Class_Month!$B200="","",Inputs_Class_Month!$B200)</f>
        <v/>
      </c>
      <c r="C200" s="7">
        <f>IF(N(Inputs_Class_Month!$D200)=0,"",Inputs_Class_Month!$E200+Settings!$B$3*Inputs_Class_Month!$F200)</f>
        <v/>
      </c>
      <c r="D200" s="8">
        <f>IF(N(Inputs_Class_Month!$D200)=0,"",C200/Inputs_Class_Month!$D200)</f>
        <v/>
      </c>
      <c r="E200" s="8">
        <f>IF(N(Inputs_Class_Month!$D200)=0,"",Inputs_Class_Month!$E200/Inputs_Class_Month!$D200)</f>
        <v/>
      </c>
      <c r="F200" s="8">
        <f>IF(N(Inputs_Class_Month!$D200)=0,"",Settings!$B$3*Inputs_Class_Month!$F200/Inputs_Class_Month!$D200)</f>
        <v/>
      </c>
      <c r="G200" s="8">
        <f>IF(N(Inputs_Class_Month!$D200)=0,"",Inputs_Class_Month!$G200/Inputs_Class_Month!$D200)</f>
        <v/>
      </c>
      <c r="H200" s="7">
        <f>IF(N(Inputs_Class_Month!$C200)=0,"",Inputs_Class_Month!$I200/Inputs_Class_Month!$C200)</f>
        <v/>
      </c>
      <c r="I200" s="7">
        <f>IF(N(Inputs_Class_Month!$C200)=0,"",Inputs_Class_Month!$H200/Inputs_Class_Month!$C200)</f>
        <v/>
      </c>
    </row>
    <row r="201" spans="1:9">
      <c r="A201" s="6">
        <f>IF(Inputs_Class_Month!$A201="","",Inputs_Class_Month!$A201)</f>
        <v/>
      </c>
      <c r="B201" s="6">
        <f>IF(Inputs_Class_Month!$B201="","",Inputs_Class_Month!$B201)</f>
        <v/>
      </c>
      <c r="C201" s="7">
        <f>IF(N(Inputs_Class_Month!$D201)=0,"",Inputs_Class_Month!$E201+Settings!$B$3*Inputs_Class_Month!$F201)</f>
        <v/>
      </c>
      <c r="D201" s="8">
        <f>IF(N(Inputs_Class_Month!$D201)=0,"",C201/Inputs_Class_Month!$D201)</f>
        <v/>
      </c>
      <c r="E201" s="8">
        <f>IF(N(Inputs_Class_Month!$D201)=0,"",Inputs_Class_Month!$E201/Inputs_Class_Month!$D201)</f>
        <v/>
      </c>
      <c r="F201" s="8">
        <f>IF(N(Inputs_Class_Month!$D201)=0,"",Settings!$B$3*Inputs_Class_Month!$F201/Inputs_Class_Month!$D201)</f>
        <v/>
      </c>
      <c r="G201" s="8">
        <f>IF(N(Inputs_Class_Month!$D201)=0,"",Inputs_Class_Month!$G201/Inputs_Class_Month!$D201)</f>
        <v/>
      </c>
      <c r="H201" s="7">
        <f>IF(N(Inputs_Class_Month!$C201)=0,"",Inputs_Class_Month!$I201/Inputs_Class_Month!$C201)</f>
        <v/>
      </c>
      <c r="I201" s="7">
        <f>IF(N(Inputs_Class_Month!$C201)=0,"",Inputs_Class_Month!$H201/Inputs_Class_Month!$C201)</f>
        <v/>
      </c>
    </row>
    <row r="202" spans="1:9">
      <c r="A202" s="6">
        <f>IF(Inputs_Class_Month!$A202="","",Inputs_Class_Month!$A202)</f>
        <v/>
      </c>
      <c r="B202" s="6">
        <f>IF(Inputs_Class_Month!$B202="","",Inputs_Class_Month!$B202)</f>
        <v/>
      </c>
      <c r="C202" s="7">
        <f>IF(N(Inputs_Class_Month!$D202)=0,"",Inputs_Class_Month!$E202+Settings!$B$3*Inputs_Class_Month!$F202)</f>
        <v/>
      </c>
      <c r="D202" s="8">
        <f>IF(N(Inputs_Class_Month!$D202)=0,"",C202/Inputs_Class_Month!$D202)</f>
        <v/>
      </c>
      <c r="E202" s="8">
        <f>IF(N(Inputs_Class_Month!$D202)=0,"",Inputs_Class_Month!$E202/Inputs_Class_Month!$D202)</f>
        <v/>
      </c>
      <c r="F202" s="8">
        <f>IF(N(Inputs_Class_Month!$D202)=0,"",Settings!$B$3*Inputs_Class_Month!$F202/Inputs_Class_Month!$D202)</f>
        <v/>
      </c>
      <c r="G202" s="8">
        <f>IF(N(Inputs_Class_Month!$D202)=0,"",Inputs_Class_Month!$G202/Inputs_Class_Month!$D202)</f>
        <v/>
      </c>
      <c r="H202" s="7">
        <f>IF(N(Inputs_Class_Month!$C202)=0,"",Inputs_Class_Month!$I202/Inputs_Class_Month!$C202)</f>
        <v/>
      </c>
      <c r="I202" s="7">
        <f>IF(N(Inputs_Class_Month!$C202)=0,"",Inputs_Class_Month!$H202/Inputs_Class_Month!$C202)</f>
        <v/>
      </c>
    </row>
    <row r="203" spans="1:9">
      <c r="A203" s="6">
        <f>IF(Inputs_Class_Month!$A203="","",Inputs_Class_Month!$A203)</f>
        <v/>
      </c>
      <c r="B203" s="6">
        <f>IF(Inputs_Class_Month!$B203="","",Inputs_Class_Month!$B203)</f>
        <v/>
      </c>
      <c r="C203" s="7">
        <f>IF(N(Inputs_Class_Month!$D203)=0,"",Inputs_Class_Month!$E203+Settings!$B$3*Inputs_Class_Month!$F203)</f>
        <v/>
      </c>
      <c r="D203" s="8">
        <f>IF(N(Inputs_Class_Month!$D203)=0,"",C203/Inputs_Class_Month!$D203)</f>
        <v/>
      </c>
      <c r="E203" s="8">
        <f>IF(N(Inputs_Class_Month!$D203)=0,"",Inputs_Class_Month!$E203/Inputs_Class_Month!$D203)</f>
        <v/>
      </c>
      <c r="F203" s="8">
        <f>IF(N(Inputs_Class_Month!$D203)=0,"",Settings!$B$3*Inputs_Class_Month!$F203/Inputs_Class_Month!$D203)</f>
        <v/>
      </c>
      <c r="G203" s="8">
        <f>IF(N(Inputs_Class_Month!$D203)=0,"",Inputs_Class_Month!$G203/Inputs_Class_Month!$D203)</f>
        <v/>
      </c>
      <c r="H203" s="7">
        <f>IF(N(Inputs_Class_Month!$C203)=0,"",Inputs_Class_Month!$I203/Inputs_Class_Month!$C203)</f>
        <v/>
      </c>
      <c r="I203" s="7">
        <f>IF(N(Inputs_Class_Month!$C203)=0,"",Inputs_Class_Month!$H203/Inputs_Class_Month!$C203)</f>
        <v/>
      </c>
    </row>
  </sheetData>
  <mergeCells count="1"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8" width="18.7109375" customWidth="1"/>
  </cols>
  <sheetData>
    <row r="1" spans="1:8">
      <c r="A1" s="1" t="s">
        <v>57</v>
      </c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40" customHeight="1">
      <c r="A4" s="5" t="s">
        <v>58</v>
      </c>
      <c r="B4" s="5" t="s">
        <v>12</v>
      </c>
      <c r="C4" s="5" t="s">
        <v>13</v>
      </c>
      <c r="D4" s="5" t="s">
        <v>59</v>
      </c>
      <c r="E4" s="5" t="s">
        <v>51</v>
      </c>
      <c r="F4" s="5" t="s">
        <v>52</v>
      </c>
      <c r="G4" s="5" t="s">
        <v>53</v>
      </c>
      <c r="H4" s="5" t="s">
        <v>54</v>
      </c>
    </row>
    <row r="5" spans="1:8">
      <c r="A5" s="9" t="s">
        <v>24</v>
      </c>
      <c r="B5" s="10">
        <f>SUMIFS(Inputs_Class_Month!$C$5:$C$203,Inputs_Class_Month!$B$5:$B$203,A5)</f>
        <v>720</v>
      </c>
      <c r="C5" s="10">
        <f>SUMIFS(Inputs_Class_Month!$D$5:$D$203,Inputs_Class_Month!$B$5:$B$203,A5)</f>
        <v>154368</v>
      </c>
      <c r="D5" s="7">
        <f>SUMIFS(Inputs_Class_Month!$E$5:$E$203,Inputs_Class_Month!$B$5:$B$203,A5)+Settings!$B$3*SUMIFS(Inputs_Class_Month!$F$5:$F$203,Inputs_Class_Month!$B$5:$B$203,A5)</f>
        <v>116151</v>
      </c>
      <c r="E5" s="8">
        <f>IF(C5=0,"",D5/C5)</f>
        <v>0.752429259950249</v>
      </c>
      <c r="F5" s="8">
        <f>IF(C5=0,"",SUMIFS(Inputs_Class_Month!$E$5:$E$203,Inputs_Class_Month!$B$5:$B$203,A5)/C5)</f>
        <v>0.713554622719735</v>
      </c>
      <c r="G5" s="8">
        <f>IF(C5=0,"",Settings!$B$3*SUMIFS(Inputs_Class_Month!$F$5:$F$203,Inputs_Class_Month!$B$5:$B$203,A5)/C5)</f>
        <v>0.0388746372305141</v>
      </c>
      <c r="H5" s="8">
        <f>IF(C5=0,"",SUMIFS(Inputs_Class_Month!$G$5:$G$203,Inputs_Class_Month!$B$5:$B$203,A5)/C5)</f>
        <v>0.0610683561359867</v>
      </c>
    </row>
    <row r="6" spans="1:8">
      <c r="A6" s="9" t="s">
        <v>22</v>
      </c>
      <c r="B6" s="10">
        <f>SUMIFS(Inputs_Class_Month!$C$5:$C$203,Inputs_Class_Month!$B$5:$B$203,A6)</f>
        <v>734</v>
      </c>
      <c r="C6" s="10">
        <f>SUMIFS(Inputs_Class_Month!$D$5:$D$203,Inputs_Class_Month!$B$5:$B$203,A6)</f>
        <v>122368</v>
      </c>
      <c r="D6" s="7">
        <f>SUMIFS(Inputs_Class_Month!$E$5:$E$203,Inputs_Class_Month!$B$5:$B$203,A6)+Settings!$B$3*SUMIFS(Inputs_Class_Month!$F$5:$F$203,Inputs_Class_Month!$B$5:$B$203,A6)</f>
        <v>93992</v>
      </c>
      <c r="E6" s="8">
        <f>IF(C6=0,"",D6/C6)</f>
        <v>0.768109309623431</v>
      </c>
      <c r="F6" s="8">
        <f>IF(C6=0,"",SUMIFS(Inputs_Class_Month!$E$5:$E$203,Inputs_Class_Month!$B$5:$B$203,A6)/C6)</f>
        <v>0.728139709728033</v>
      </c>
      <c r="G6" s="8">
        <f>IF(C6=0,"",Settings!$B$3*SUMIFS(Inputs_Class_Month!$F$5:$F$203,Inputs_Class_Month!$B$5:$B$203,A6)/C6)</f>
        <v>0.0399695998953975</v>
      </c>
      <c r="H6" s="8">
        <f>IF(C6=0,"",SUMIFS(Inputs_Class_Month!$G$5:$G$203,Inputs_Class_Month!$B$5:$B$203,A6)/C6)</f>
        <v>0.0653438807531381</v>
      </c>
    </row>
    <row r="7" spans="1:8">
      <c r="A7" s="9" t="s">
        <v>20</v>
      </c>
      <c r="B7" s="10">
        <f>SUMIFS(Inputs_Class_Month!$C$5:$C$203,Inputs_Class_Month!$B$5:$B$203,A7)</f>
        <v>351</v>
      </c>
      <c r="C7" s="10">
        <f>SUMIFS(Inputs_Class_Month!$D$5:$D$203,Inputs_Class_Month!$B$5:$B$203,A7)</f>
        <v>25760</v>
      </c>
      <c r="D7" s="7">
        <f>SUMIFS(Inputs_Class_Month!$E$5:$E$203,Inputs_Class_Month!$B$5:$B$203,A7)+Settings!$B$3*SUMIFS(Inputs_Class_Month!$F$5:$F$203,Inputs_Class_Month!$B$5:$B$203,A7)</f>
        <v>18724.5</v>
      </c>
      <c r="E7" s="8">
        <f>IF(C7=0,"",D7/C7)</f>
        <v>0.726882763975155</v>
      </c>
      <c r="F7" s="8">
        <f>IF(C7=0,"",SUMIFS(Inputs_Class_Month!$E$5:$E$203,Inputs_Class_Month!$B$5:$B$203,A7)/C7)</f>
        <v>0.696506211180124</v>
      </c>
      <c r="G7" s="8">
        <f>IF(C7=0,"",Settings!$B$3*SUMIFS(Inputs_Class_Month!$F$5:$F$203,Inputs_Class_Month!$B$5:$B$203,A7)/C7)</f>
        <v>0.0303765527950311</v>
      </c>
      <c r="H7" s="8">
        <f>IF(C7=0,"",SUMIFS(Inputs_Class_Month!$G$5:$G$203,Inputs_Class_Month!$B$5:$B$203,A7)/C7)</f>
        <v>0.0447981366459627</v>
      </c>
    </row>
    <row r="8" spans="1:8">
      <c r="A8" s="9" t="s">
        <v>26</v>
      </c>
      <c r="B8" s="10">
        <f>SUMIFS(Inputs_Class_Month!$C$5:$C$203,Inputs_Class_Month!$B$5:$B$203,A8)</f>
        <v>29</v>
      </c>
      <c r="C8" s="10">
        <f>SUMIFS(Inputs_Class_Month!$D$5:$D$203,Inputs_Class_Month!$B$5:$B$203,A8)</f>
        <v>768</v>
      </c>
      <c r="D8" s="7">
        <f>SUMIFS(Inputs_Class_Month!$E$5:$E$203,Inputs_Class_Month!$B$5:$B$203,A8)+Settings!$B$3*SUMIFS(Inputs_Class_Month!$F$5:$F$203,Inputs_Class_Month!$B$5:$B$203,A8)</f>
        <v>563</v>
      </c>
      <c r="E8" s="8">
        <f>IF(C8=0,"",D8/C8)</f>
        <v>0.733072916666667</v>
      </c>
      <c r="F8" s="8">
        <f>IF(C8=0,"",SUMIFS(Inputs_Class_Month!$E$5:$E$203,Inputs_Class_Month!$B$5:$B$203,A8)/C8)</f>
        <v>0.733072916666667</v>
      </c>
      <c r="G8" s="8">
        <f>IF(C8=0,"",Settings!$B$3*SUMIFS(Inputs_Class_Month!$F$5:$F$203,Inputs_Class_Month!$B$5:$B$203,A8)/C8)</f>
        <v>0</v>
      </c>
      <c r="H8" s="8">
        <f>IF(C8=0,"",SUMIFS(Inputs_Class_Month!$G$5:$G$203,Inputs_Class_Month!$B$5:$B$203,A8)/C8)</f>
        <v>0.0338541666666667</v>
      </c>
    </row>
    <row r="9" spans="1:8">
      <c r="A9" s="9" t="s">
        <v>23</v>
      </c>
      <c r="B9" s="10">
        <f>SUMIFS(Inputs_Class_Month!$C$5:$C$203,Inputs_Class_Month!$B$5:$B$203,A9)</f>
        <v>34</v>
      </c>
      <c r="C9" s="10">
        <f>SUMIFS(Inputs_Class_Month!$D$5:$D$203,Inputs_Class_Month!$B$5:$B$203,A9)</f>
        <v>7020</v>
      </c>
      <c r="D9" s="7">
        <f>SUMIFS(Inputs_Class_Month!$E$5:$E$203,Inputs_Class_Month!$B$5:$B$203,A9)+Settings!$B$3*SUMIFS(Inputs_Class_Month!$F$5:$F$203,Inputs_Class_Month!$B$5:$B$203,A9)</f>
        <v>3688</v>
      </c>
      <c r="E9" s="8">
        <f>IF(C9=0,"",D9/C9)</f>
        <v>0.525356125356125</v>
      </c>
      <c r="F9" s="8">
        <f>IF(C9=0,"",SUMIFS(Inputs_Class_Month!$E$5:$E$203,Inputs_Class_Month!$B$5:$B$203,A9)/C9)</f>
        <v>0.525356125356125</v>
      </c>
      <c r="G9" s="8">
        <f>IF(C9=0,"",Settings!$B$3*SUMIFS(Inputs_Class_Month!$F$5:$F$203,Inputs_Class_Month!$B$5:$B$203,A9)/C9)</f>
        <v>0</v>
      </c>
      <c r="H9" s="8">
        <f>IF(C9=0,"",SUMIFS(Inputs_Class_Month!$G$5:$G$203,Inputs_Class_Month!$B$5:$B$203,A9)/C9)</f>
        <v>0.00327635327635328</v>
      </c>
    </row>
    <row r="10" spans="1:8">
      <c r="A10" s="9" t="s">
        <v>21</v>
      </c>
      <c r="B10" s="10">
        <f>SUMIFS(Inputs_Class_Month!$C$5:$C$203,Inputs_Class_Month!$B$5:$B$203,A10)</f>
        <v>417</v>
      </c>
      <c r="C10" s="10">
        <f>SUMIFS(Inputs_Class_Month!$D$5:$D$203,Inputs_Class_Month!$B$5:$B$203,A10)</f>
        <v>116100</v>
      </c>
      <c r="D10" s="7">
        <f>SUMIFS(Inputs_Class_Month!$E$5:$E$203,Inputs_Class_Month!$B$5:$B$203,A10)+Settings!$B$3*SUMIFS(Inputs_Class_Month!$F$5:$F$203,Inputs_Class_Month!$B$5:$B$203,A10)</f>
        <v>80227</v>
      </c>
      <c r="E10" s="8">
        <f>IF(C10=0,"",D10/C10)</f>
        <v>0.691016365202412</v>
      </c>
      <c r="F10" s="8">
        <f>IF(C10=0,"",SUMIFS(Inputs_Class_Month!$E$5:$E$203,Inputs_Class_Month!$B$5:$B$203,A10)/C10)</f>
        <v>0.691016365202412</v>
      </c>
      <c r="G10" s="8">
        <f>IF(C10=0,"",Settings!$B$3*SUMIFS(Inputs_Class_Month!$F$5:$F$203,Inputs_Class_Month!$B$5:$B$203,A10)/C10)</f>
        <v>0</v>
      </c>
      <c r="H10" s="8">
        <f>IF(C10=0,"",SUMIFS(Inputs_Class_Month!$G$5:$G$203,Inputs_Class_Month!$B$5:$B$203,A10)/C10)</f>
        <v>0.0480103359173127</v>
      </c>
    </row>
    <row r="11" spans="1:8">
      <c r="A11" s="11" t="s">
        <v>60</v>
      </c>
      <c r="B11" s="10">
        <f>SUM(Inputs_Class_Month!$C$5:$C$203)</f>
        <v>2285</v>
      </c>
      <c r="C11" s="10">
        <f>SUM(Inputs_Class_Month!$D$5:$D$203)</f>
        <v>426384</v>
      </c>
      <c r="D11" s="7">
        <f>SUM(Inputs_Class_Month!$E$5:$E$203)+Settings!$B$3*SUM(Inputs_Class_Month!$F$5:$F$203)</f>
        <v>313345.5</v>
      </c>
      <c r="E11" s="8">
        <f>IF(C11=0,"",D11/C11)</f>
        <v>0.734890380502083</v>
      </c>
      <c r="F11" s="8">
        <f>IF(C11=0,"",SUM(Inputs_Class_Month!$E$5:$E$203)/C11)</f>
        <v>0.707510131712259</v>
      </c>
      <c r="G11" s="8">
        <f>IF(C11=0,"",Settings!$B$3*SUM(Inputs_Class_Month!$F$5:$F$203)/C11)</f>
        <v>0.0273802487898233</v>
      </c>
      <c r="H11" s="8">
        <f>IF(C11=0,"",SUM(Inputs_Class_Month!$G$5:$G$203)/C11)</f>
        <v>0.0567563510825922</v>
      </c>
    </row>
  </sheetData>
  <mergeCells count="1">
    <mergeCell ref="A2:H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cols>
    <col min="1" max="8" width="14.7109375" customWidth="1"/>
  </cols>
  <sheetData>
    <row r="1" spans="1:8">
      <c r="A1" s="1" t="s">
        <v>61</v>
      </c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5" t="s">
        <v>10</v>
      </c>
      <c r="B4" s="5" t="s">
        <v>24</v>
      </c>
      <c r="C4" s="5" t="s">
        <v>22</v>
      </c>
      <c r="D4" s="5" t="s">
        <v>20</v>
      </c>
      <c r="E4" s="5" t="s">
        <v>26</v>
      </c>
      <c r="F4" s="5" t="s">
        <v>23</v>
      </c>
      <c r="G4" s="5" t="s">
        <v>21</v>
      </c>
      <c r="H4" s="5" t="s">
        <v>60</v>
      </c>
    </row>
    <row r="5" spans="1:8">
      <c r="A5" t="s">
        <v>19</v>
      </c>
      <c r="B5" s="8">
        <f>IF(SUMIFS(Inputs_Class_Month!$D$5:$D$203,Inputs_Class_Month!$A$5:$A$203,$A5,Inputs_Class_Month!$B$5:$B$203,B$4)=0,"",(SUMIFS(Inputs_Class_Month!$E$5:$E$203,Inputs_Class_Month!$A$5:$A$203,$A5,Inputs_Class_Month!$B$5:$B$203,B$4)+Settings!$B$3*SUMIFS(Inputs_Class_Month!$F$5:$F$203,Inputs_Class_Month!$A$5:$A$203,$A5,Inputs_Class_Month!$B$5:$B$203,B$4))/SUMIFS(Inputs_Class_Month!$D$5:$D$203,Inputs_Class_Month!$A$5:$A$203,$A5,Inputs_Class_Month!$B$5:$B$203,B$4))</f>
        <v>0.549615127175368</v>
      </c>
      <c r="C5" s="8">
        <f>IF(SUMIFS(Inputs_Class_Month!$D$5:$D$203,Inputs_Class_Month!$A$5:$A$203,$A5,Inputs_Class_Month!$B$5:$B$203,C$4)=0,"",(SUMIFS(Inputs_Class_Month!$E$5:$E$203,Inputs_Class_Month!$A$5:$A$203,$A5,Inputs_Class_Month!$B$5:$B$203,C$4)+Settings!$B$3*SUMIFS(Inputs_Class_Month!$F$5:$F$203,Inputs_Class_Month!$A$5:$A$203,$A5,Inputs_Class_Month!$B$5:$B$203,C$4))/SUMIFS(Inputs_Class_Month!$D$5:$D$203,Inputs_Class_Month!$A$5:$A$203,$A5,Inputs_Class_Month!$B$5:$B$203,C$4))</f>
        <v>0.625868055555556</v>
      </c>
      <c r="D5" s="8">
        <f>IF(SUMIFS(Inputs_Class_Month!$D$5:$D$203,Inputs_Class_Month!$A$5:$A$203,$A5,Inputs_Class_Month!$B$5:$B$203,D$4)=0,"",(SUMIFS(Inputs_Class_Month!$E$5:$E$203,Inputs_Class_Month!$A$5:$A$203,$A5,Inputs_Class_Month!$B$5:$B$203,D$4)+Settings!$B$3*SUMIFS(Inputs_Class_Month!$F$5:$F$203,Inputs_Class_Month!$A$5:$A$203,$A5,Inputs_Class_Month!$B$5:$B$203,D$4))/SUMIFS(Inputs_Class_Month!$D$5:$D$203,Inputs_Class_Month!$A$5:$A$203,$A5,Inputs_Class_Month!$B$5:$B$203,D$4))</f>
        <v>0.610113421550095</v>
      </c>
      <c r="E5" s="8">
        <f>IF(SUMIFS(Inputs_Class_Month!$D$5:$D$203,Inputs_Class_Month!$A$5:$A$203,$A5,Inputs_Class_Month!$B$5:$B$203,E$4)=0,"",(SUMIFS(Inputs_Class_Month!$E$5:$E$203,Inputs_Class_Month!$A$5:$A$203,$A5,Inputs_Class_Month!$B$5:$B$203,E$4)+Settings!$B$3*SUMIFS(Inputs_Class_Month!$F$5:$F$203,Inputs_Class_Month!$A$5:$A$203,$A5,Inputs_Class_Month!$B$5:$B$203,E$4))/SUMIFS(Inputs_Class_Month!$D$5:$D$203,Inputs_Class_Month!$A$5:$A$203,$A5,Inputs_Class_Month!$B$5:$B$203,E$4))</f>
        <v/>
      </c>
      <c r="F5" s="8">
        <f>IF(SUMIFS(Inputs_Class_Month!$D$5:$D$203,Inputs_Class_Month!$A$5:$A$203,$A5,Inputs_Class_Month!$B$5:$B$203,F$4)=0,"",(SUMIFS(Inputs_Class_Month!$E$5:$E$203,Inputs_Class_Month!$A$5:$A$203,$A5,Inputs_Class_Month!$B$5:$B$203,F$4)+Settings!$B$3*SUMIFS(Inputs_Class_Month!$F$5:$F$203,Inputs_Class_Month!$A$5:$A$203,$A5,Inputs_Class_Month!$B$5:$B$203,F$4))/SUMIFS(Inputs_Class_Month!$D$5:$D$203,Inputs_Class_Month!$A$5:$A$203,$A5,Inputs_Class_Month!$B$5:$B$203,F$4))</f>
        <v>0.336538461538462</v>
      </c>
      <c r="G5" s="8">
        <f>IF(SUMIFS(Inputs_Class_Month!$D$5:$D$203,Inputs_Class_Month!$A$5:$A$203,$A5,Inputs_Class_Month!$B$5:$B$203,G$4)=0,"",(SUMIFS(Inputs_Class_Month!$E$5:$E$203,Inputs_Class_Month!$A$5:$A$203,$A5,Inputs_Class_Month!$B$5:$B$203,G$4)+Settings!$B$3*SUMIFS(Inputs_Class_Month!$F$5:$F$203,Inputs_Class_Month!$A$5:$A$203,$A5,Inputs_Class_Month!$B$5:$B$203,G$4))/SUMIFS(Inputs_Class_Month!$D$5:$D$203,Inputs_Class_Month!$A$5:$A$203,$A5,Inputs_Class_Month!$B$5:$B$203,G$4))</f>
        <v>0.591731266149871</v>
      </c>
      <c r="H5" s="8">
        <f>IF(SUMIFS(Inputs_Class_Month!$D$5:$D$203,Inputs_Class_Month!$A$5:$A$203,$A5)=0,"",(SUMIFS(Inputs_Class_Month!$E$5:$E$203,Inputs_Class_Month!$A$5:$A$203,$A5)+Settings!$B$3*SUMIFS(Inputs_Class_Month!$F$5:$F$203,Inputs_Class_Month!$A$5:$A$203,$A5))/SUMIFS(Inputs_Class_Month!$D$5:$D$203,Inputs_Class_Month!$A$5:$A$203,$A5))</f>
        <v>0.583876790497263</v>
      </c>
    </row>
    <row r="6" spans="1:8">
      <c r="A6" t="s">
        <v>25</v>
      </c>
      <c r="B6" s="8">
        <f>IF(SUMIFS(Inputs_Class_Month!$D$5:$D$203,Inputs_Class_Month!$A$5:$A$203,$A6,Inputs_Class_Month!$B$5:$B$203,B$4)=0,"",(SUMIFS(Inputs_Class_Month!$E$5:$E$203,Inputs_Class_Month!$A$5:$A$203,$A6,Inputs_Class_Month!$B$5:$B$203,B$4)+Settings!$B$3*SUMIFS(Inputs_Class_Month!$F$5:$F$203,Inputs_Class_Month!$A$5:$A$203,$A6,Inputs_Class_Month!$B$5:$B$203,B$4))/SUMIFS(Inputs_Class_Month!$D$5:$D$203,Inputs_Class_Month!$A$5:$A$203,$A6,Inputs_Class_Month!$B$5:$B$203,B$4))</f>
        <v>0.708781362007169</v>
      </c>
      <c r="C6" s="8">
        <f>IF(SUMIFS(Inputs_Class_Month!$D$5:$D$203,Inputs_Class_Month!$A$5:$A$203,$A6,Inputs_Class_Month!$B$5:$B$203,C$4)=0,"",(SUMIFS(Inputs_Class_Month!$E$5:$E$203,Inputs_Class_Month!$A$5:$A$203,$A6,Inputs_Class_Month!$B$5:$B$203,C$4)+Settings!$B$3*SUMIFS(Inputs_Class_Month!$F$5:$F$203,Inputs_Class_Month!$A$5:$A$203,$A6,Inputs_Class_Month!$B$5:$B$203,C$4))/SUMIFS(Inputs_Class_Month!$D$5:$D$203,Inputs_Class_Month!$A$5:$A$203,$A6,Inputs_Class_Month!$B$5:$B$203,C$4))</f>
        <v>0.745352056962025</v>
      </c>
      <c r="D6" s="8">
        <f>IF(SUMIFS(Inputs_Class_Month!$D$5:$D$203,Inputs_Class_Month!$A$5:$A$203,$A6,Inputs_Class_Month!$B$5:$B$203,D$4)=0,"",(SUMIFS(Inputs_Class_Month!$E$5:$E$203,Inputs_Class_Month!$A$5:$A$203,$A6,Inputs_Class_Month!$B$5:$B$203,D$4)+Settings!$B$3*SUMIFS(Inputs_Class_Month!$F$5:$F$203,Inputs_Class_Month!$A$5:$A$203,$A6,Inputs_Class_Month!$B$5:$B$203,D$4))/SUMIFS(Inputs_Class_Month!$D$5:$D$203,Inputs_Class_Month!$A$5:$A$203,$A6,Inputs_Class_Month!$B$5:$B$203,D$4))</f>
        <v>0.639291465378422</v>
      </c>
      <c r="E6" s="8">
        <f>IF(SUMIFS(Inputs_Class_Month!$D$5:$D$203,Inputs_Class_Month!$A$5:$A$203,$A6,Inputs_Class_Month!$B$5:$B$203,E$4)=0,"",(SUMIFS(Inputs_Class_Month!$E$5:$E$203,Inputs_Class_Month!$A$5:$A$203,$A6,Inputs_Class_Month!$B$5:$B$203,E$4)+Settings!$B$3*SUMIFS(Inputs_Class_Month!$F$5:$F$203,Inputs_Class_Month!$A$5:$A$203,$A6,Inputs_Class_Month!$B$5:$B$203,E$4))/SUMIFS(Inputs_Class_Month!$D$5:$D$203,Inputs_Class_Month!$A$5:$A$203,$A6,Inputs_Class_Month!$B$5:$B$203,E$4))</f>
        <v>0.833333333333333</v>
      </c>
      <c r="F6" s="8">
        <f>IF(SUMIFS(Inputs_Class_Month!$D$5:$D$203,Inputs_Class_Month!$A$5:$A$203,$A6,Inputs_Class_Month!$B$5:$B$203,F$4)=0,"",(SUMIFS(Inputs_Class_Month!$E$5:$E$203,Inputs_Class_Month!$A$5:$A$203,$A6,Inputs_Class_Month!$B$5:$B$203,F$4)+Settings!$B$3*SUMIFS(Inputs_Class_Month!$F$5:$F$203,Inputs_Class_Month!$A$5:$A$203,$A6,Inputs_Class_Month!$B$5:$B$203,F$4))/SUMIFS(Inputs_Class_Month!$D$5:$D$203,Inputs_Class_Month!$A$5:$A$203,$A6,Inputs_Class_Month!$B$5:$B$203,F$4))</f>
        <v>0.335897435897436</v>
      </c>
      <c r="G6" s="8">
        <f>IF(SUMIFS(Inputs_Class_Month!$D$5:$D$203,Inputs_Class_Month!$A$5:$A$203,$A6,Inputs_Class_Month!$B$5:$B$203,G$4)=0,"",(SUMIFS(Inputs_Class_Month!$E$5:$E$203,Inputs_Class_Month!$A$5:$A$203,$A6,Inputs_Class_Month!$B$5:$B$203,G$4)+Settings!$B$3*SUMIFS(Inputs_Class_Month!$F$5:$F$203,Inputs_Class_Month!$A$5:$A$203,$A6,Inputs_Class_Month!$B$5:$B$203,G$4))/SUMIFS(Inputs_Class_Month!$D$5:$D$203,Inputs_Class_Month!$A$5:$A$203,$A6,Inputs_Class_Month!$B$5:$B$203,G$4))</f>
        <v>0.621422558922559</v>
      </c>
      <c r="H6" s="8">
        <f>IF(SUMIFS(Inputs_Class_Month!$D$5:$D$203,Inputs_Class_Month!$A$5:$A$203,$A6)=0,"",(SUMIFS(Inputs_Class_Month!$E$5:$E$203,Inputs_Class_Month!$A$5:$A$203,$A6)+Settings!$B$3*SUMIFS(Inputs_Class_Month!$F$5:$F$203,Inputs_Class_Month!$A$5:$A$203,$A6))/SUMIFS(Inputs_Class_Month!$D$5:$D$203,Inputs_Class_Month!$A$5:$A$203,$A6))</f>
        <v>0.683507709251101</v>
      </c>
    </row>
    <row r="7" spans="1:8">
      <c r="A7" t="s">
        <v>27</v>
      </c>
      <c r="B7" s="8">
        <f>IF(SUMIFS(Inputs_Class_Month!$D$5:$D$203,Inputs_Class_Month!$A$5:$A$203,$A7,Inputs_Class_Month!$B$5:$B$203,B$4)=0,"",(SUMIFS(Inputs_Class_Month!$E$5:$E$203,Inputs_Class_Month!$A$5:$A$203,$A7,Inputs_Class_Month!$B$5:$B$203,B$4)+Settings!$B$3*SUMIFS(Inputs_Class_Month!$F$5:$F$203,Inputs_Class_Month!$A$5:$A$203,$A7,Inputs_Class_Month!$B$5:$B$203,B$4))/SUMIFS(Inputs_Class_Month!$D$5:$D$203,Inputs_Class_Month!$A$5:$A$203,$A7,Inputs_Class_Month!$B$5:$B$203,B$4))</f>
        <v>0.71227904040404</v>
      </c>
      <c r="C7" s="8">
        <f>IF(SUMIFS(Inputs_Class_Month!$D$5:$D$203,Inputs_Class_Month!$A$5:$A$203,$A7,Inputs_Class_Month!$B$5:$B$203,C$4)=0,"",(SUMIFS(Inputs_Class_Month!$E$5:$E$203,Inputs_Class_Month!$A$5:$A$203,$A7,Inputs_Class_Month!$B$5:$B$203,C$4)+Settings!$B$3*SUMIFS(Inputs_Class_Month!$F$5:$F$203,Inputs_Class_Month!$A$5:$A$203,$A7,Inputs_Class_Month!$B$5:$B$203,C$4))/SUMIFS(Inputs_Class_Month!$D$5:$D$203,Inputs_Class_Month!$A$5:$A$203,$A7,Inputs_Class_Month!$B$5:$B$203,C$4))</f>
        <v>0.75517578125</v>
      </c>
      <c r="D7" s="8">
        <f>IF(SUMIFS(Inputs_Class_Month!$D$5:$D$203,Inputs_Class_Month!$A$5:$A$203,$A7,Inputs_Class_Month!$B$5:$B$203,D$4)=0,"",(SUMIFS(Inputs_Class_Month!$E$5:$E$203,Inputs_Class_Month!$A$5:$A$203,$A7,Inputs_Class_Month!$B$5:$B$203,D$4)+Settings!$B$3*SUMIFS(Inputs_Class_Month!$F$5:$F$203,Inputs_Class_Month!$A$5:$A$203,$A7,Inputs_Class_Month!$B$5:$B$203,D$4))/SUMIFS(Inputs_Class_Month!$D$5:$D$203,Inputs_Class_Month!$A$5:$A$203,$A7,Inputs_Class_Month!$B$5:$B$203,D$4))</f>
        <v>0.727225672877847</v>
      </c>
      <c r="E7" s="8">
        <f>IF(SUMIFS(Inputs_Class_Month!$D$5:$D$203,Inputs_Class_Month!$A$5:$A$203,$A7,Inputs_Class_Month!$B$5:$B$203,E$4)=0,"",(SUMIFS(Inputs_Class_Month!$E$5:$E$203,Inputs_Class_Month!$A$5:$A$203,$A7,Inputs_Class_Month!$B$5:$B$203,E$4)+Settings!$B$3*SUMIFS(Inputs_Class_Month!$F$5:$F$203,Inputs_Class_Month!$A$5:$A$203,$A7,Inputs_Class_Month!$B$5:$B$203,E$4))/SUMIFS(Inputs_Class_Month!$D$5:$D$203,Inputs_Class_Month!$A$5:$A$203,$A7,Inputs_Class_Month!$B$5:$B$203,E$4))</f>
        <v>1</v>
      </c>
      <c r="F7" s="8">
        <f>IF(SUMIFS(Inputs_Class_Month!$D$5:$D$203,Inputs_Class_Month!$A$5:$A$203,$A7,Inputs_Class_Month!$B$5:$B$203,F$4)=0,"",(SUMIFS(Inputs_Class_Month!$E$5:$E$203,Inputs_Class_Month!$A$5:$A$203,$A7,Inputs_Class_Month!$B$5:$B$203,F$4)+Settings!$B$3*SUMIFS(Inputs_Class_Month!$F$5:$F$203,Inputs_Class_Month!$A$5:$A$203,$A7,Inputs_Class_Month!$B$5:$B$203,F$4))/SUMIFS(Inputs_Class_Month!$D$5:$D$203,Inputs_Class_Month!$A$5:$A$203,$A7,Inputs_Class_Month!$B$5:$B$203,F$4))</f>
        <v/>
      </c>
      <c r="G7" s="8">
        <f>IF(SUMIFS(Inputs_Class_Month!$D$5:$D$203,Inputs_Class_Month!$A$5:$A$203,$A7,Inputs_Class_Month!$B$5:$B$203,G$4)=0,"",(SUMIFS(Inputs_Class_Month!$E$5:$E$203,Inputs_Class_Month!$A$5:$A$203,$A7,Inputs_Class_Month!$B$5:$B$203,G$4)+Settings!$B$3*SUMIFS(Inputs_Class_Month!$F$5:$F$203,Inputs_Class_Month!$A$5:$A$203,$A7,Inputs_Class_Month!$B$5:$B$203,G$4))/SUMIFS(Inputs_Class_Month!$D$5:$D$203,Inputs_Class_Month!$A$5:$A$203,$A7,Inputs_Class_Month!$B$5:$B$203,G$4))</f>
        <v>0.63114134542706</v>
      </c>
      <c r="H7" s="8">
        <f>IF(SUMIFS(Inputs_Class_Month!$D$5:$D$203,Inputs_Class_Month!$A$5:$A$203,$A7)=0,"",(SUMIFS(Inputs_Class_Month!$E$5:$E$203,Inputs_Class_Month!$A$5:$A$203,$A7)+Settings!$B$3*SUMIFS(Inputs_Class_Month!$F$5:$F$203,Inputs_Class_Month!$A$5:$A$203,$A7))/SUMIFS(Inputs_Class_Month!$D$5:$D$203,Inputs_Class_Month!$A$5:$A$203,$A7))</f>
        <v>0.701657458563536</v>
      </c>
    </row>
    <row r="8" spans="1:8">
      <c r="A8" t="s">
        <v>28</v>
      </c>
      <c r="B8" s="8">
        <f>IF(SUMIFS(Inputs_Class_Month!$D$5:$D$203,Inputs_Class_Month!$A$5:$A$203,$A8,Inputs_Class_Month!$B$5:$B$203,B$4)=0,"",(SUMIFS(Inputs_Class_Month!$E$5:$E$203,Inputs_Class_Month!$A$5:$A$203,$A8,Inputs_Class_Month!$B$5:$B$203,B$4)+Settings!$B$3*SUMIFS(Inputs_Class_Month!$F$5:$F$203,Inputs_Class_Month!$A$5:$A$203,$A8,Inputs_Class_Month!$B$5:$B$203,B$4))/SUMIFS(Inputs_Class_Month!$D$5:$D$203,Inputs_Class_Month!$A$5:$A$203,$A8,Inputs_Class_Month!$B$5:$B$203,B$4))</f>
        <v>0.680116959064328</v>
      </c>
      <c r="C8" s="8">
        <f>IF(SUMIFS(Inputs_Class_Month!$D$5:$D$203,Inputs_Class_Month!$A$5:$A$203,$A8,Inputs_Class_Month!$B$5:$B$203,C$4)=0,"",(SUMIFS(Inputs_Class_Month!$E$5:$E$203,Inputs_Class_Month!$A$5:$A$203,$A8,Inputs_Class_Month!$B$5:$B$203,C$4)+Settings!$B$3*SUMIFS(Inputs_Class_Month!$F$5:$F$203,Inputs_Class_Month!$A$5:$A$203,$A8,Inputs_Class_Month!$B$5:$B$203,C$4))/SUMIFS(Inputs_Class_Month!$D$5:$D$203,Inputs_Class_Month!$A$5:$A$203,$A8,Inputs_Class_Month!$B$5:$B$203,C$4))</f>
        <v>0.684926470588235</v>
      </c>
      <c r="D8" s="8">
        <f>IF(SUMIFS(Inputs_Class_Month!$D$5:$D$203,Inputs_Class_Month!$A$5:$A$203,$A8,Inputs_Class_Month!$B$5:$B$203,D$4)=0,"",(SUMIFS(Inputs_Class_Month!$E$5:$E$203,Inputs_Class_Month!$A$5:$A$203,$A8,Inputs_Class_Month!$B$5:$B$203,D$4)+Settings!$B$3*SUMIFS(Inputs_Class_Month!$F$5:$F$203,Inputs_Class_Month!$A$5:$A$203,$A8,Inputs_Class_Month!$B$5:$B$203,D$4))/SUMIFS(Inputs_Class_Month!$D$5:$D$203,Inputs_Class_Month!$A$5:$A$203,$A8,Inputs_Class_Month!$B$5:$B$203,D$4))</f>
        <v>0.727717391304348</v>
      </c>
      <c r="E8" s="8">
        <f>IF(SUMIFS(Inputs_Class_Month!$D$5:$D$203,Inputs_Class_Month!$A$5:$A$203,$A8,Inputs_Class_Month!$B$5:$B$203,E$4)=0,"",(SUMIFS(Inputs_Class_Month!$E$5:$E$203,Inputs_Class_Month!$A$5:$A$203,$A8,Inputs_Class_Month!$B$5:$B$203,E$4)+Settings!$B$3*SUMIFS(Inputs_Class_Month!$F$5:$F$203,Inputs_Class_Month!$A$5:$A$203,$A8,Inputs_Class_Month!$B$5:$B$203,E$4))/SUMIFS(Inputs_Class_Month!$D$5:$D$203,Inputs_Class_Month!$A$5:$A$203,$A8,Inputs_Class_Month!$B$5:$B$203,E$4))</f>
        <v/>
      </c>
      <c r="F8" s="8">
        <f>IF(SUMIFS(Inputs_Class_Month!$D$5:$D$203,Inputs_Class_Month!$A$5:$A$203,$A8,Inputs_Class_Month!$B$5:$B$203,F$4)=0,"",(SUMIFS(Inputs_Class_Month!$E$5:$E$203,Inputs_Class_Month!$A$5:$A$203,$A8,Inputs_Class_Month!$B$5:$B$203,F$4)+Settings!$B$3*SUMIFS(Inputs_Class_Month!$F$5:$F$203,Inputs_Class_Month!$A$5:$A$203,$A8,Inputs_Class_Month!$B$5:$B$203,F$4))/SUMIFS(Inputs_Class_Month!$D$5:$D$203,Inputs_Class_Month!$A$5:$A$203,$A8,Inputs_Class_Month!$B$5:$B$203,F$4))</f>
        <v>0.375</v>
      </c>
      <c r="G8" s="8">
        <f>IF(SUMIFS(Inputs_Class_Month!$D$5:$D$203,Inputs_Class_Month!$A$5:$A$203,$A8,Inputs_Class_Month!$B$5:$B$203,G$4)=0,"",(SUMIFS(Inputs_Class_Month!$E$5:$E$203,Inputs_Class_Month!$A$5:$A$203,$A8,Inputs_Class_Month!$B$5:$B$203,G$4)+Settings!$B$3*SUMIFS(Inputs_Class_Month!$F$5:$F$203,Inputs_Class_Month!$A$5:$A$203,$A8,Inputs_Class_Month!$B$5:$B$203,G$4))/SUMIFS(Inputs_Class_Month!$D$5:$D$203,Inputs_Class_Month!$A$5:$A$203,$A8,Inputs_Class_Month!$B$5:$B$203,G$4))</f>
        <v>0.615530303030303</v>
      </c>
      <c r="H8" s="8">
        <f>IF(SUMIFS(Inputs_Class_Month!$D$5:$D$203,Inputs_Class_Month!$A$5:$A$203,$A8)=0,"",(SUMIFS(Inputs_Class_Month!$E$5:$E$203,Inputs_Class_Month!$A$5:$A$203,$A8)+Settings!$B$3*SUMIFS(Inputs_Class_Month!$F$5:$F$203,Inputs_Class_Month!$A$5:$A$203,$A8))/SUMIFS(Inputs_Class_Month!$D$5:$D$203,Inputs_Class_Month!$A$5:$A$203,$A8))</f>
        <v>0.661930573806395</v>
      </c>
    </row>
    <row r="9" spans="1:8">
      <c r="A9" t="s">
        <v>29</v>
      </c>
      <c r="B9" s="8">
        <f>IF(SUMIFS(Inputs_Class_Month!$D$5:$D$203,Inputs_Class_Month!$A$5:$A$203,$A9,Inputs_Class_Month!$B$5:$B$203,B$4)=0,"",(SUMIFS(Inputs_Class_Month!$E$5:$E$203,Inputs_Class_Month!$A$5:$A$203,$A9,Inputs_Class_Month!$B$5:$B$203,B$4)+Settings!$B$3*SUMIFS(Inputs_Class_Month!$F$5:$F$203,Inputs_Class_Month!$A$5:$A$203,$A9,Inputs_Class_Month!$B$5:$B$203,B$4))/SUMIFS(Inputs_Class_Month!$D$5:$D$203,Inputs_Class_Month!$A$5:$A$203,$A9,Inputs_Class_Month!$B$5:$B$203,B$4))</f>
        <v>0.712174940898345</v>
      </c>
      <c r="C9" s="8">
        <f>IF(SUMIFS(Inputs_Class_Month!$D$5:$D$203,Inputs_Class_Month!$A$5:$A$203,$A9,Inputs_Class_Month!$B$5:$B$203,C$4)=0,"",(SUMIFS(Inputs_Class_Month!$E$5:$E$203,Inputs_Class_Month!$A$5:$A$203,$A9,Inputs_Class_Month!$B$5:$B$203,C$4)+Settings!$B$3*SUMIFS(Inputs_Class_Month!$F$5:$F$203,Inputs_Class_Month!$A$5:$A$203,$A9,Inputs_Class_Month!$B$5:$B$203,C$4))/SUMIFS(Inputs_Class_Month!$D$5:$D$203,Inputs_Class_Month!$A$5:$A$203,$A9,Inputs_Class_Month!$B$5:$B$203,C$4))</f>
        <v>0.699367088607595</v>
      </c>
      <c r="D9" s="8">
        <f>IF(SUMIFS(Inputs_Class_Month!$D$5:$D$203,Inputs_Class_Month!$A$5:$A$203,$A9,Inputs_Class_Month!$B$5:$B$203,D$4)=0,"",(SUMIFS(Inputs_Class_Month!$E$5:$E$203,Inputs_Class_Month!$A$5:$A$203,$A9,Inputs_Class_Month!$B$5:$B$203,D$4)+Settings!$B$3*SUMIFS(Inputs_Class_Month!$F$5:$F$203,Inputs_Class_Month!$A$5:$A$203,$A9,Inputs_Class_Month!$B$5:$B$203,D$4))/SUMIFS(Inputs_Class_Month!$D$5:$D$203,Inputs_Class_Month!$A$5:$A$203,$A9,Inputs_Class_Month!$B$5:$B$203,D$4))</f>
        <v>0.553260869565217</v>
      </c>
      <c r="E9" s="8">
        <f>IF(SUMIFS(Inputs_Class_Month!$D$5:$D$203,Inputs_Class_Month!$A$5:$A$203,$A9,Inputs_Class_Month!$B$5:$B$203,E$4)=0,"",(SUMIFS(Inputs_Class_Month!$E$5:$E$203,Inputs_Class_Month!$A$5:$A$203,$A9,Inputs_Class_Month!$B$5:$B$203,E$4)+Settings!$B$3*SUMIFS(Inputs_Class_Month!$F$5:$F$203,Inputs_Class_Month!$A$5:$A$203,$A9,Inputs_Class_Month!$B$5:$B$203,E$4))/SUMIFS(Inputs_Class_Month!$D$5:$D$203,Inputs_Class_Month!$A$5:$A$203,$A9,Inputs_Class_Month!$B$5:$B$203,E$4))</f>
        <v/>
      </c>
      <c r="F9" s="8">
        <f>IF(SUMIFS(Inputs_Class_Month!$D$5:$D$203,Inputs_Class_Month!$A$5:$A$203,$A9,Inputs_Class_Month!$B$5:$B$203,F$4)=0,"",(SUMIFS(Inputs_Class_Month!$E$5:$E$203,Inputs_Class_Month!$A$5:$A$203,$A9,Inputs_Class_Month!$B$5:$B$203,F$4)+Settings!$B$3*SUMIFS(Inputs_Class_Month!$F$5:$F$203,Inputs_Class_Month!$A$5:$A$203,$A9,Inputs_Class_Month!$B$5:$B$203,F$4))/SUMIFS(Inputs_Class_Month!$D$5:$D$203,Inputs_Class_Month!$A$5:$A$203,$A9,Inputs_Class_Month!$B$5:$B$203,F$4))</f>
        <v>0.314102564102564</v>
      </c>
      <c r="G9" s="8">
        <f>IF(SUMIFS(Inputs_Class_Month!$D$5:$D$203,Inputs_Class_Month!$A$5:$A$203,$A9,Inputs_Class_Month!$B$5:$B$203,G$4)=0,"",(SUMIFS(Inputs_Class_Month!$E$5:$E$203,Inputs_Class_Month!$A$5:$A$203,$A9,Inputs_Class_Month!$B$5:$B$203,G$4)+Settings!$B$3*SUMIFS(Inputs_Class_Month!$F$5:$F$203,Inputs_Class_Month!$A$5:$A$203,$A9,Inputs_Class_Month!$B$5:$B$203,G$4))/SUMIFS(Inputs_Class_Month!$D$5:$D$203,Inputs_Class_Month!$A$5:$A$203,$A9,Inputs_Class_Month!$B$5:$B$203,G$4))</f>
        <v>0.694609788359788</v>
      </c>
      <c r="H9" s="8">
        <f>IF(SUMIFS(Inputs_Class_Month!$D$5:$D$203,Inputs_Class_Month!$A$5:$A$203,$A9)=0,"",(SUMIFS(Inputs_Class_Month!$E$5:$E$203,Inputs_Class_Month!$A$5:$A$203,$A9)+Settings!$B$3*SUMIFS(Inputs_Class_Month!$F$5:$F$203,Inputs_Class_Month!$A$5:$A$203,$A9))/SUMIFS(Inputs_Class_Month!$D$5:$D$203,Inputs_Class_Month!$A$5:$A$203,$A9))</f>
        <v>0.689070351758794</v>
      </c>
    </row>
    <row r="10" spans="1:8">
      <c r="A10" t="s">
        <v>30</v>
      </c>
      <c r="B10" s="8">
        <f>IF(SUMIFS(Inputs_Class_Month!$D$5:$D$203,Inputs_Class_Month!$A$5:$A$203,$A10,Inputs_Class_Month!$B$5:$B$203,B$4)=0,"",(SUMIFS(Inputs_Class_Month!$E$5:$E$203,Inputs_Class_Month!$A$5:$A$203,$A10,Inputs_Class_Month!$B$5:$B$203,B$4)+Settings!$B$3*SUMIFS(Inputs_Class_Month!$F$5:$F$203,Inputs_Class_Month!$A$5:$A$203,$A10,Inputs_Class_Month!$B$5:$B$203,B$4))/SUMIFS(Inputs_Class_Month!$D$5:$D$203,Inputs_Class_Month!$A$5:$A$203,$A10,Inputs_Class_Month!$B$5:$B$203,B$4))</f>
        <v>0.639777131782946</v>
      </c>
      <c r="C10" s="8">
        <f>IF(SUMIFS(Inputs_Class_Month!$D$5:$D$203,Inputs_Class_Month!$A$5:$A$203,$A10,Inputs_Class_Month!$B$5:$B$203,C$4)=0,"",(SUMIFS(Inputs_Class_Month!$E$5:$E$203,Inputs_Class_Month!$A$5:$A$203,$A10,Inputs_Class_Month!$B$5:$B$203,C$4)+Settings!$B$3*SUMIFS(Inputs_Class_Month!$F$5:$F$203,Inputs_Class_Month!$A$5:$A$203,$A10,Inputs_Class_Month!$B$5:$B$203,C$4))/SUMIFS(Inputs_Class_Month!$D$5:$D$203,Inputs_Class_Month!$A$5:$A$203,$A10,Inputs_Class_Month!$B$5:$B$203,C$4))</f>
        <v>0.701274671052632</v>
      </c>
      <c r="D10" s="8">
        <f>IF(SUMIFS(Inputs_Class_Month!$D$5:$D$203,Inputs_Class_Month!$A$5:$A$203,$A10,Inputs_Class_Month!$B$5:$B$203,D$4)=0,"",(SUMIFS(Inputs_Class_Month!$E$5:$E$203,Inputs_Class_Month!$A$5:$A$203,$A10,Inputs_Class_Month!$B$5:$B$203,D$4)+Settings!$B$3*SUMIFS(Inputs_Class_Month!$F$5:$F$203,Inputs_Class_Month!$A$5:$A$203,$A10,Inputs_Class_Month!$B$5:$B$203,D$4))/SUMIFS(Inputs_Class_Month!$D$5:$D$203,Inputs_Class_Month!$A$5:$A$203,$A10,Inputs_Class_Month!$B$5:$B$203,D$4))</f>
        <v>0.674901185770751</v>
      </c>
      <c r="E10" s="8">
        <f>IF(SUMIFS(Inputs_Class_Month!$D$5:$D$203,Inputs_Class_Month!$A$5:$A$203,$A10,Inputs_Class_Month!$B$5:$B$203,E$4)=0,"",(SUMIFS(Inputs_Class_Month!$E$5:$E$203,Inputs_Class_Month!$A$5:$A$203,$A10,Inputs_Class_Month!$B$5:$B$203,E$4)+Settings!$B$3*SUMIFS(Inputs_Class_Month!$F$5:$F$203,Inputs_Class_Month!$A$5:$A$203,$A10,Inputs_Class_Month!$B$5:$B$203,E$4))/SUMIFS(Inputs_Class_Month!$D$5:$D$203,Inputs_Class_Month!$A$5:$A$203,$A10,Inputs_Class_Month!$B$5:$B$203,E$4))</f>
        <v>0.541666666666667</v>
      </c>
      <c r="F10" s="8">
        <f>IF(SUMIFS(Inputs_Class_Month!$D$5:$D$203,Inputs_Class_Month!$A$5:$A$203,$A10,Inputs_Class_Month!$B$5:$B$203,F$4)=0,"",(SUMIFS(Inputs_Class_Month!$E$5:$E$203,Inputs_Class_Month!$A$5:$A$203,$A10,Inputs_Class_Month!$B$5:$B$203,F$4)+Settings!$B$3*SUMIFS(Inputs_Class_Month!$F$5:$F$203,Inputs_Class_Month!$A$5:$A$203,$A10,Inputs_Class_Month!$B$5:$B$203,F$4))/SUMIFS(Inputs_Class_Month!$D$5:$D$203,Inputs_Class_Month!$A$5:$A$203,$A10,Inputs_Class_Month!$B$5:$B$203,F$4))</f>
        <v>0.453846153846154</v>
      </c>
      <c r="G10" s="8">
        <f>IF(SUMIFS(Inputs_Class_Month!$D$5:$D$203,Inputs_Class_Month!$A$5:$A$203,$A10,Inputs_Class_Month!$B$5:$B$203,G$4)=0,"",(SUMIFS(Inputs_Class_Month!$E$5:$E$203,Inputs_Class_Month!$A$5:$A$203,$A10,Inputs_Class_Month!$B$5:$B$203,G$4)+Settings!$B$3*SUMIFS(Inputs_Class_Month!$F$5:$F$203,Inputs_Class_Month!$A$5:$A$203,$A10,Inputs_Class_Month!$B$5:$B$203,G$4))/SUMIFS(Inputs_Class_Month!$D$5:$D$203,Inputs_Class_Month!$A$5:$A$203,$A10,Inputs_Class_Month!$B$5:$B$203,G$4))</f>
        <v>0.628684807256236</v>
      </c>
      <c r="H10" s="8">
        <f>IF(SUMIFS(Inputs_Class_Month!$D$5:$D$203,Inputs_Class_Month!$A$5:$A$203,$A10)=0,"",(SUMIFS(Inputs_Class_Month!$E$5:$E$203,Inputs_Class_Month!$A$5:$A$203,$A10)+Settings!$B$3*SUMIFS(Inputs_Class_Month!$F$5:$F$203,Inputs_Class_Month!$A$5:$A$203,$A10))/SUMIFS(Inputs_Class_Month!$D$5:$D$203,Inputs_Class_Month!$A$5:$A$203,$A10))</f>
        <v>0.651091481939912</v>
      </c>
    </row>
    <row r="11" spans="1:8">
      <c r="A11" t="s">
        <v>31</v>
      </c>
      <c r="B11" s="8">
        <f>IF(SUMIFS(Inputs_Class_Month!$D$5:$D$203,Inputs_Class_Month!$A$5:$A$203,$A11,Inputs_Class_Month!$B$5:$B$203,B$4)=0,"",(SUMIFS(Inputs_Class_Month!$E$5:$E$203,Inputs_Class_Month!$A$5:$A$203,$A11,Inputs_Class_Month!$B$5:$B$203,B$4)+Settings!$B$3*SUMIFS(Inputs_Class_Month!$F$5:$F$203,Inputs_Class_Month!$A$5:$A$203,$A11,Inputs_Class_Month!$B$5:$B$203,B$4))/SUMIFS(Inputs_Class_Month!$D$5:$D$203,Inputs_Class_Month!$A$5:$A$203,$A11,Inputs_Class_Month!$B$5:$B$203,B$4))</f>
        <v>0.833017676767677</v>
      </c>
      <c r="C11" s="8">
        <f>IF(SUMIFS(Inputs_Class_Month!$D$5:$D$203,Inputs_Class_Month!$A$5:$A$203,$A11,Inputs_Class_Month!$B$5:$B$203,C$4)=0,"",(SUMIFS(Inputs_Class_Month!$E$5:$E$203,Inputs_Class_Month!$A$5:$A$203,$A11,Inputs_Class_Month!$B$5:$B$203,C$4)+Settings!$B$3*SUMIFS(Inputs_Class_Month!$F$5:$F$203,Inputs_Class_Month!$A$5:$A$203,$A11,Inputs_Class_Month!$B$5:$B$203,C$4))/SUMIFS(Inputs_Class_Month!$D$5:$D$203,Inputs_Class_Month!$A$5:$A$203,$A11,Inputs_Class_Month!$B$5:$B$203,C$4))</f>
        <v>0.824980945121951</v>
      </c>
      <c r="D11" s="8">
        <f>IF(SUMIFS(Inputs_Class_Month!$D$5:$D$203,Inputs_Class_Month!$A$5:$A$203,$A11,Inputs_Class_Month!$B$5:$B$203,D$4)=0,"",(SUMIFS(Inputs_Class_Month!$E$5:$E$203,Inputs_Class_Month!$A$5:$A$203,$A11,Inputs_Class_Month!$B$5:$B$203,D$4)+Settings!$B$3*SUMIFS(Inputs_Class_Month!$F$5:$F$203,Inputs_Class_Month!$A$5:$A$203,$A11,Inputs_Class_Month!$B$5:$B$203,D$4))/SUMIFS(Inputs_Class_Month!$D$5:$D$203,Inputs_Class_Month!$A$5:$A$203,$A11,Inputs_Class_Month!$B$5:$B$203,D$4))</f>
        <v>0.792119565217391</v>
      </c>
      <c r="E11" s="8">
        <f>IF(SUMIFS(Inputs_Class_Month!$D$5:$D$203,Inputs_Class_Month!$A$5:$A$203,$A11,Inputs_Class_Month!$B$5:$B$203,E$4)=0,"",(SUMIFS(Inputs_Class_Month!$E$5:$E$203,Inputs_Class_Month!$A$5:$A$203,$A11,Inputs_Class_Month!$B$5:$B$203,E$4)+Settings!$B$3*SUMIFS(Inputs_Class_Month!$F$5:$F$203,Inputs_Class_Month!$A$5:$A$203,$A11,Inputs_Class_Month!$B$5:$B$203,E$4))/SUMIFS(Inputs_Class_Month!$D$5:$D$203,Inputs_Class_Month!$A$5:$A$203,$A11,Inputs_Class_Month!$B$5:$B$203,E$4))</f>
        <v>0.645833333333333</v>
      </c>
      <c r="F11" s="8">
        <f>IF(SUMIFS(Inputs_Class_Month!$D$5:$D$203,Inputs_Class_Month!$A$5:$A$203,$A11,Inputs_Class_Month!$B$5:$B$203,F$4)=0,"",(SUMIFS(Inputs_Class_Month!$E$5:$E$203,Inputs_Class_Month!$A$5:$A$203,$A11,Inputs_Class_Month!$B$5:$B$203,F$4)+Settings!$B$3*SUMIFS(Inputs_Class_Month!$F$5:$F$203,Inputs_Class_Month!$A$5:$A$203,$A11,Inputs_Class_Month!$B$5:$B$203,F$4))/SUMIFS(Inputs_Class_Month!$D$5:$D$203,Inputs_Class_Month!$A$5:$A$203,$A11,Inputs_Class_Month!$B$5:$B$203,F$4))</f>
        <v>0.371794871794872</v>
      </c>
      <c r="G11" s="8">
        <f>IF(SUMIFS(Inputs_Class_Month!$D$5:$D$203,Inputs_Class_Month!$A$5:$A$203,$A11,Inputs_Class_Month!$B$5:$B$203,G$4)=0,"",(SUMIFS(Inputs_Class_Month!$E$5:$E$203,Inputs_Class_Month!$A$5:$A$203,$A11,Inputs_Class_Month!$B$5:$B$203,G$4)+Settings!$B$3*SUMIFS(Inputs_Class_Month!$F$5:$F$203,Inputs_Class_Month!$A$5:$A$203,$A11,Inputs_Class_Month!$B$5:$B$203,G$4))/SUMIFS(Inputs_Class_Month!$D$5:$D$203,Inputs_Class_Month!$A$5:$A$203,$A11,Inputs_Class_Month!$B$5:$B$203,G$4))</f>
        <v>0.730246913580247</v>
      </c>
      <c r="H11" s="8">
        <f>IF(SUMIFS(Inputs_Class_Month!$D$5:$D$203,Inputs_Class_Month!$A$5:$A$203,$A11)=0,"",(SUMIFS(Inputs_Class_Month!$E$5:$E$203,Inputs_Class_Month!$A$5:$A$203,$A11)+Settings!$B$3*SUMIFS(Inputs_Class_Month!$F$5:$F$203,Inputs_Class_Month!$A$5:$A$203,$A11))/SUMIFS(Inputs_Class_Month!$D$5:$D$203,Inputs_Class_Month!$A$5:$A$203,$A11))</f>
        <v>0.793550196298374</v>
      </c>
    </row>
    <row r="12" spans="1:8">
      <c r="A12" t="s">
        <v>32</v>
      </c>
      <c r="B12" s="8">
        <f>IF(SUMIFS(Inputs_Class_Month!$D$5:$D$203,Inputs_Class_Month!$A$5:$A$203,$A12,Inputs_Class_Month!$B$5:$B$203,B$4)=0,"",(SUMIFS(Inputs_Class_Month!$E$5:$E$203,Inputs_Class_Month!$A$5:$A$203,$A12,Inputs_Class_Month!$B$5:$B$203,B$4)+Settings!$B$3*SUMIFS(Inputs_Class_Month!$F$5:$F$203,Inputs_Class_Month!$A$5:$A$203,$A12,Inputs_Class_Month!$B$5:$B$203,B$4))/SUMIFS(Inputs_Class_Month!$D$5:$D$203,Inputs_Class_Month!$A$5:$A$203,$A12,Inputs_Class_Month!$B$5:$B$203,B$4))</f>
        <v>0.791666666666667</v>
      </c>
      <c r="C12" s="8">
        <f>IF(SUMIFS(Inputs_Class_Month!$D$5:$D$203,Inputs_Class_Month!$A$5:$A$203,$A12,Inputs_Class_Month!$B$5:$B$203,C$4)=0,"",(SUMIFS(Inputs_Class_Month!$E$5:$E$203,Inputs_Class_Month!$A$5:$A$203,$A12,Inputs_Class_Month!$B$5:$B$203,C$4)+Settings!$B$3*SUMIFS(Inputs_Class_Month!$F$5:$F$203,Inputs_Class_Month!$A$5:$A$203,$A12,Inputs_Class_Month!$B$5:$B$203,C$4))/SUMIFS(Inputs_Class_Month!$D$5:$D$203,Inputs_Class_Month!$A$5:$A$203,$A12,Inputs_Class_Month!$B$5:$B$203,C$4))</f>
        <v>0.82494212962963</v>
      </c>
      <c r="D12" s="8">
        <f>IF(SUMIFS(Inputs_Class_Month!$D$5:$D$203,Inputs_Class_Month!$A$5:$A$203,$A12,Inputs_Class_Month!$B$5:$B$203,D$4)=0,"",(SUMIFS(Inputs_Class_Month!$E$5:$E$203,Inputs_Class_Month!$A$5:$A$203,$A12,Inputs_Class_Month!$B$5:$B$203,D$4)+Settings!$B$3*SUMIFS(Inputs_Class_Month!$F$5:$F$203,Inputs_Class_Month!$A$5:$A$203,$A12,Inputs_Class_Month!$B$5:$B$203,D$4))/SUMIFS(Inputs_Class_Month!$D$5:$D$203,Inputs_Class_Month!$A$5:$A$203,$A12,Inputs_Class_Month!$B$5:$B$203,D$4))</f>
        <v>0.725</v>
      </c>
      <c r="E12" s="8">
        <f>IF(SUMIFS(Inputs_Class_Month!$D$5:$D$203,Inputs_Class_Month!$A$5:$A$203,$A12,Inputs_Class_Month!$B$5:$B$203,E$4)=0,"",(SUMIFS(Inputs_Class_Month!$E$5:$E$203,Inputs_Class_Month!$A$5:$A$203,$A12,Inputs_Class_Month!$B$5:$B$203,E$4)+Settings!$B$3*SUMIFS(Inputs_Class_Month!$F$5:$F$203,Inputs_Class_Month!$A$5:$A$203,$A12,Inputs_Class_Month!$B$5:$B$203,E$4))/SUMIFS(Inputs_Class_Month!$D$5:$D$203,Inputs_Class_Month!$A$5:$A$203,$A12,Inputs_Class_Month!$B$5:$B$203,E$4))</f>
        <v>1</v>
      </c>
      <c r="F12" s="8">
        <f>IF(SUMIFS(Inputs_Class_Month!$D$5:$D$203,Inputs_Class_Month!$A$5:$A$203,$A12,Inputs_Class_Month!$B$5:$B$203,F$4)=0,"",(SUMIFS(Inputs_Class_Month!$E$5:$E$203,Inputs_Class_Month!$A$5:$A$203,$A12,Inputs_Class_Month!$B$5:$B$203,F$4)+Settings!$B$3*SUMIFS(Inputs_Class_Month!$F$5:$F$203,Inputs_Class_Month!$A$5:$A$203,$A12,Inputs_Class_Month!$B$5:$B$203,F$4))/SUMIFS(Inputs_Class_Month!$D$5:$D$203,Inputs_Class_Month!$A$5:$A$203,$A12,Inputs_Class_Month!$B$5:$B$203,F$4))</f>
        <v>0.630769230769231</v>
      </c>
      <c r="G12" s="8">
        <f>IF(SUMIFS(Inputs_Class_Month!$D$5:$D$203,Inputs_Class_Month!$A$5:$A$203,$A12,Inputs_Class_Month!$B$5:$B$203,G$4)=0,"",(SUMIFS(Inputs_Class_Month!$E$5:$E$203,Inputs_Class_Month!$A$5:$A$203,$A12,Inputs_Class_Month!$B$5:$B$203,G$4)+Settings!$B$3*SUMIFS(Inputs_Class_Month!$F$5:$F$203,Inputs_Class_Month!$A$5:$A$203,$A12,Inputs_Class_Month!$B$5:$B$203,G$4))/SUMIFS(Inputs_Class_Month!$D$5:$D$203,Inputs_Class_Month!$A$5:$A$203,$A12,Inputs_Class_Month!$B$5:$B$203,G$4))</f>
        <v>0.729522792022792</v>
      </c>
      <c r="H12" s="8">
        <f>IF(SUMIFS(Inputs_Class_Month!$D$5:$D$203,Inputs_Class_Month!$A$5:$A$203,$A12)=0,"",(SUMIFS(Inputs_Class_Month!$E$5:$E$203,Inputs_Class_Month!$A$5:$A$203,$A12)+Settings!$B$3*SUMIFS(Inputs_Class_Month!$F$5:$F$203,Inputs_Class_Month!$A$5:$A$203,$A12))/SUMIFS(Inputs_Class_Month!$D$5:$D$203,Inputs_Class_Month!$A$5:$A$203,$A12))</f>
        <v>0.775663237682729</v>
      </c>
    </row>
    <row r="13" spans="1:8">
      <c r="A13" t="s">
        <v>33</v>
      </c>
      <c r="B13" s="8">
        <f>IF(SUMIFS(Inputs_Class_Month!$D$5:$D$203,Inputs_Class_Month!$A$5:$A$203,$A13,Inputs_Class_Month!$B$5:$B$203,B$4)=0,"",(SUMIFS(Inputs_Class_Month!$E$5:$E$203,Inputs_Class_Month!$A$5:$A$203,$A13,Inputs_Class_Month!$B$5:$B$203,B$4)+Settings!$B$3*SUMIFS(Inputs_Class_Month!$F$5:$F$203,Inputs_Class_Month!$A$5:$A$203,$A13,Inputs_Class_Month!$B$5:$B$203,B$4))/SUMIFS(Inputs_Class_Month!$D$5:$D$203,Inputs_Class_Month!$A$5:$A$203,$A13,Inputs_Class_Month!$B$5:$B$203,B$4))</f>
        <v>0.885302197802198</v>
      </c>
      <c r="C13" s="8">
        <f>IF(SUMIFS(Inputs_Class_Month!$D$5:$D$203,Inputs_Class_Month!$A$5:$A$203,$A13,Inputs_Class_Month!$B$5:$B$203,C$4)=0,"",(SUMIFS(Inputs_Class_Month!$E$5:$E$203,Inputs_Class_Month!$A$5:$A$203,$A13,Inputs_Class_Month!$B$5:$B$203,C$4)+Settings!$B$3*SUMIFS(Inputs_Class_Month!$F$5:$F$203,Inputs_Class_Month!$A$5:$A$203,$A13,Inputs_Class_Month!$B$5:$B$203,C$4))/SUMIFS(Inputs_Class_Month!$D$5:$D$203,Inputs_Class_Month!$A$5:$A$203,$A13,Inputs_Class_Month!$B$5:$B$203,C$4))</f>
        <v>0.922776442307692</v>
      </c>
      <c r="D13" s="8">
        <f>IF(SUMIFS(Inputs_Class_Month!$D$5:$D$203,Inputs_Class_Month!$A$5:$A$203,$A13,Inputs_Class_Month!$B$5:$B$203,D$4)=0,"",(SUMIFS(Inputs_Class_Month!$E$5:$E$203,Inputs_Class_Month!$A$5:$A$203,$A13,Inputs_Class_Month!$B$5:$B$203,D$4)+Settings!$B$3*SUMIFS(Inputs_Class_Month!$F$5:$F$203,Inputs_Class_Month!$A$5:$A$203,$A13,Inputs_Class_Month!$B$5:$B$203,D$4))/SUMIFS(Inputs_Class_Month!$D$5:$D$203,Inputs_Class_Month!$A$5:$A$203,$A13,Inputs_Class_Month!$B$5:$B$203,D$4))</f>
        <v>0.869092627599244</v>
      </c>
      <c r="E13" s="8">
        <f>IF(SUMIFS(Inputs_Class_Month!$D$5:$D$203,Inputs_Class_Month!$A$5:$A$203,$A13,Inputs_Class_Month!$B$5:$B$203,E$4)=0,"",(SUMIFS(Inputs_Class_Month!$E$5:$E$203,Inputs_Class_Month!$A$5:$A$203,$A13,Inputs_Class_Month!$B$5:$B$203,E$4)+Settings!$B$3*SUMIFS(Inputs_Class_Month!$F$5:$F$203,Inputs_Class_Month!$A$5:$A$203,$A13,Inputs_Class_Month!$B$5:$B$203,E$4))/SUMIFS(Inputs_Class_Month!$D$5:$D$203,Inputs_Class_Month!$A$5:$A$203,$A13,Inputs_Class_Month!$B$5:$B$203,E$4))</f>
        <v>0.833333333333333</v>
      </c>
      <c r="F13" s="8">
        <f>IF(SUMIFS(Inputs_Class_Month!$D$5:$D$203,Inputs_Class_Month!$A$5:$A$203,$A13,Inputs_Class_Month!$B$5:$B$203,F$4)=0,"",(SUMIFS(Inputs_Class_Month!$E$5:$E$203,Inputs_Class_Month!$A$5:$A$203,$A13,Inputs_Class_Month!$B$5:$B$203,F$4)+Settings!$B$3*SUMIFS(Inputs_Class_Month!$F$5:$F$203,Inputs_Class_Month!$A$5:$A$203,$A13,Inputs_Class_Month!$B$5:$B$203,F$4))/SUMIFS(Inputs_Class_Month!$D$5:$D$203,Inputs_Class_Month!$A$5:$A$203,$A13,Inputs_Class_Month!$B$5:$B$203,F$4))</f>
        <v>0.769230769230769</v>
      </c>
      <c r="G13" s="8">
        <f>IF(SUMIFS(Inputs_Class_Month!$D$5:$D$203,Inputs_Class_Month!$A$5:$A$203,$A13,Inputs_Class_Month!$B$5:$B$203,G$4)=0,"",(SUMIFS(Inputs_Class_Month!$E$5:$E$203,Inputs_Class_Month!$A$5:$A$203,$A13,Inputs_Class_Month!$B$5:$B$203,G$4)+Settings!$B$3*SUMIFS(Inputs_Class_Month!$F$5:$F$203,Inputs_Class_Month!$A$5:$A$203,$A13,Inputs_Class_Month!$B$5:$B$203,G$4))/SUMIFS(Inputs_Class_Month!$D$5:$D$203,Inputs_Class_Month!$A$5:$A$203,$A13,Inputs_Class_Month!$B$5:$B$203,G$4))</f>
        <v>0.900883838383838</v>
      </c>
      <c r="H13" s="8">
        <f>IF(SUMIFS(Inputs_Class_Month!$D$5:$D$203,Inputs_Class_Month!$A$5:$A$203,$A13)=0,"",(SUMIFS(Inputs_Class_Month!$E$5:$E$203,Inputs_Class_Month!$A$5:$A$203,$A13)+Settings!$B$3*SUMIFS(Inputs_Class_Month!$F$5:$F$203,Inputs_Class_Month!$A$5:$A$203,$A13))/SUMIFS(Inputs_Class_Month!$D$5:$D$203,Inputs_Class_Month!$A$5:$A$203,$A13))</f>
        <v>0.896414903196758</v>
      </c>
    </row>
    <row r="14" spans="1:8">
      <c r="A14" t="s">
        <v>34</v>
      </c>
      <c r="B14" s="8">
        <f>IF(SUMIFS(Inputs_Class_Month!$D$5:$D$203,Inputs_Class_Month!$A$5:$A$203,$A14,Inputs_Class_Month!$B$5:$B$203,B$4)=0,"",(SUMIFS(Inputs_Class_Month!$E$5:$E$203,Inputs_Class_Month!$A$5:$A$203,$A14,Inputs_Class_Month!$B$5:$B$203,B$4)+Settings!$B$3*SUMIFS(Inputs_Class_Month!$F$5:$F$203,Inputs_Class_Month!$A$5:$A$203,$A14,Inputs_Class_Month!$B$5:$B$203,B$4))/SUMIFS(Inputs_Class_Month!$D$5:$D$203,Inputs_Class_Month!$A$5:$A$203,$A14,Inputs_Class_Month!$B$5:$B$203,B$4))</f>
        <v>0.746601654846336</v>
      </c>
      <c r="C14" s="8">
        <f>IF(SUMIFS(Inputs_Class_Month!$D$5:$D$203,Inputs_Class_Month!$A$5:$A$203,$A14,Inputs_Class_Month!$B$5:$B$203,C$4)=0,"",(SUMIFS(Inputs_Class_Month!$E$5:$E$203,Inputs_Class_Month!$A$5:$A$203,$A14,Inputs_Class_Month!$B$5:$B$203,C$4)+Settings!$B$3*SUMIFS(Inputs_Class_Month!$F$5:$F$203,Inputs_Class_Month!$A$5:$A$203,$A14,Inputs_Class_Month!$B$5:$B$203,C$4))/SUMIFS(Inputs_Class_Month!$D$5:$D$203,Inputs_Class_Month!$A$5:$A$203,$A14,Inputs_Class_Month!$B$5:$B$203,C$4))</f>
        <v>0.734683388157895</v>
      </c>
      <c r="D14" s="8">
        <f>IF(SUMIFS(Inputs_Class_Month!$D$5:$D$203,Inputs_Class_Month!$A$5:$A$203,$A14,Inputs_Class_Month!$B$5:$B$203,D$4)=0,"",(SUMIFS(Inputs_Class_Month!$E$5:$E$203,Inputs_Class_Month!$A$5:$A$203,$A14,Inputs_Class_Month!$B$5:$B$203,D$4)+Settings!$B$3*SUMIFS(Inputs_Class_Month!$F$5:$F$203,Inputs_Class_Month!$A$5:$A$203,$A14,Inputs_Class_Month!$B$5:$B$203,D$4))/SUMIFS(Inputs_Class_Month!$D$5:$D$203,Inputs_Class_Month!$A$5:$A$203,$A14,Inputs_Class_Month!$B$5:$B$203,D$4))</f>
        <v>0.744071146245059</v>
      </c>
      <c r="E14" s="8">
        <f>IF(SUMIFS(Inputs_Class_Month!$D$5:$D$203,Inputs_Class_Month!$A$5:$A$203,$A14,Inputs_Class_Month!$B$5:$B$203,E$4)=0,"",(SUMIFS(Inputs_Class_Month!$E$5:$E$203,Inputs_Class_Month!$A$5:$A$203,$A14,Inputs_Class_Month!$B$5:$B$203,E$4)+Settings!$B$3*SUMIFS(Inputs_Class_Month!$F$5:$F$203,Inputs_Class_Month!$A$5:$A$203,$A14,Inputs_Class_Month!$B$5:$B$203,E$4))/SUMIFS(Inputs_Class_Month!$D$5:$D$203,Inputs_Class_Month!$A$5:$A$203,$A14,Inputs_Class_Month!$B$5:$B$203,E$4))</f>
        <v>0.958333333333333</v>
      </c>
      <c r="F14" s="8">
        <f>IF(SUMIFS(Inputs_Class_Month!$D$5:$D$203,Inputs_Class_Month!$A$5:$A$203,$A14,Inputs_Class_Month!$B$5:$B$203,F$4)=0,"",(SUMIFS(Inputs_Class_Month!$E$5:$E$203,Inputs_Class_Month!$A$5:$A$203,$A14,Inputs_Class_Month!$B$5:$B$203,F$4)+Settings!$B$3*SUMIFS(Inputs_Class_Month!$F$5:$F$203,Inputs_Class_Month!$A$5:$A$203,$A14,Inputs_Class_Month!$B$5:$B$203,F$4))/SUMIFS(Inputs_Class_Month!$D$5:$D$203,Inputs_Class_Month!$A$5:$A$203,$A14,Inputs_Class_Month!$B$5:$B$203,F$4))</f>
        <v>0.487179487179487</v>
      </c>
      <c r="G14" s="8">
        <f>IF(SUMIFS(Inputs_Class_Month!$D$5:$D$203,Inputs_Class_Month!$A$5:$A$203,$A14,Inputs_Class_Month!$B$5:$B$203,G$4)=0,"",(SUMIFS(Inputs_Class_Month!$E$5:$E$203,Inputs_Class_Month!$A$5:$A$203,$A14,Inputs_Class_Month!$B$5:$B$203,G$4)+Settings!$B$3*SUMIFS(Inputs_Class_Month!$F$5:$F$203,Inputs_Class_Month!$A$5:$A$203,$A14,Inputs_Class_Month!$B$5:$B$203,G$4))/SUMIFS(Inputs_Class_Month!$D$5:$D$203,Inputs_Class_Month!$A$5:$A$203,$A14,Inputs_Class_Month!$B$5:$B$203,G$4))</f>
        <v>0.68755383290267</v>
      </c>
      <c r="H14" s="8">
        <f>IF(SUMIFS(Inputs_Class_Month!$D$5:$D$203,Inputs_Class_Month!$A$5:$A$203,$A14)=0,"",(SUMIFS(Inputs_Class_Month!$E$5:$E$203,Inputs_Class_Month!$A$5:$A$203,$A14)+Settings!$B$3*SUMIFS(Inputs_Class_Month!$F$5:$F$203,Inputs_Class_Month!$A$5:$A$203,$A14))/SUMIFS(Inputs_Class_Month!$D$5:$D$203,Inputs_Class_Month!$A$5:$A$203,$A14))</f>
        <v>0.725412182276162</v>
      </c>
    </row>
    <row r="15" spans="1:8">
      <c r="A15" t="s">
        <v>35</v>
      </c>
      <c r="B15" s="8">
        <f>IF(SUMIFS(Inputs_Class_Month!$D$5:$D$203,Inputs_Class_Month!$A$5:$A$203,$A15,Inputs_Class_Month!$B$5:$B$203,B$4)=0,"",(SUMIFS(Inputs_Class_Month!$E$5:$E$203,Inputs_Class_Month!$A$5:$A$203,$A15,Inputs_Class_Month!$B$5:$B$203,B$4)+Settings!$B$3*SUMIFS(Inputs_Class_Month!$F$5:$F$203,Inputs_Class_Month!$A$5:$A$203,$A15,Inputs_Class_Month!$B$5:$B$203,B$4))/SUMIFS(Inputs_Class_Month!$D$5:$D$203,Inputs_Class_Month!$A$5:$A$203,$A15,Inputs_Class_Month!$B$5:$B$203,B$4))</f>
        <v>0.770011947431302</v>
      </c>
      <c r="C15" s="8">
        <f>IF(SUMIFS(Inputs_Class_Month!$D$5:$D$203,Inputs_Class_Month!$A$5:$A$203,$A15,Inputs_Class_Month!$B$5:$B$203,C$4)=0,"",(SUMIFS(Inputs_Class_Month!$E$5:$E$203,Inputs_Class_Month!$A$5:$A$203,$A15,Inputs_Class_Month!$B$5:$B$203,C$4)+Settings!$B$3*SUMIFS(Inputs_Class_Month!$F$5:$F$203,Inputs_Class_Month!$A$5:$A$203,$A15,Inputs_Class_Month!$B$5:$B$203,C$4))/SUMIFS(Inputs_Class_Month!$D$5:$D$203,Inputs_Class_Month!$A$5:$A$203,$A15,Inputs_Class_Month!$B$5:$B$203,C$4))</f>
        <v>0.674742879746835</v>
      </c>
      <c r="D15" s="8">
        <f>IF(SUMIFS(Inputs_Class_Month!$D$5:$D$203,Inputs_Class_Month!$A$5:$A$203,$A15,Inputs_Class_Month!$B$5:$B$203,D$4)=0,"",(SUMIFS(Inputs_Class_Month!$E$5:$E$203,Inputs_Class_Month!$A$5:$A$203,$A15,Inputs_Class_Month!$B$5:$B$203,D$4)+Settings!$B$3*SUMIFS(Inputs_Class_Month!$F$5:$F$203,Inputs_Class_Month!$A$5:$A$203,$A15,Inputs_Class_Month!$B$5:$B$203,D$4))/SUMIFS(Inputs_Class_Month!$D$5:$D$203,Inputs_Class_Month!$A$5:$A$203,$A15,Inputs_Class_Month!$B$5:$B$203,D$4))</f>
        <v>0.604743083003953</v>
      </c>
      <c r="E15" s="8">
        <f>IF(SUMIFS(Inputs_Class_Month!$D$5:$D$203,Inputs_Class_Month!$A$5:$A$203,$A15,Inputs_Class_Month!$B$5:$B$203,E$4)=0,"",(SUMIFS(Inputs_Class_Month!$E$5:$E$203,Inputs_Class_Month!$A$5:$A$203,$A15,Inputs_Class_Month!$B$5:$B$203,E$4)+Settings!$B$3*SUMIFS(Inputs_Class_Month!$F$5:$F$203,Inputs_Class_Month!$A$5:$A$203,$A15,Inputs_Class_Month!$B$5:$B$203,E$4))/SUMIFS(Inputs_Class_Month!$D$5:$D$203,Inputs_Class_Month!$A$5:$A$203,$A15,Inputs_Class_Month!$B$5:$B$203,E$4))</f>
        <v>0.458333333333333</v>
      </c>
      <c r="F15" s="8">
        <f>IF(SUMIFS(Inputs_Class_Month!$D$5:$D$203,Inputs_Class_Month!$A$5:$A$203,$A15,Inputs_Class_Month!$B$5:$B$203,F$4)=0,"",(SUMIFS(Inputs_Class_Month!$E$5:$E$203,Inputs_Class_Month!$A$5:$A$203,$A15,Inputs_Class_Month!$B$5:$B$203,F$4)+Settings!$B$3*SUMIFS(Inputs_Class_Month!$F$5:$F$203,Inputs_Class_Month!$A$5:$A$203,$A15,Inputs_Class_Month!$B$5:$B$203,F$4))/SUMIFS(Inputs_Class_Month!$D$5:$D$203,Inputs_Class_Month!$A$5:$A$203,$A15,Inputs_Class_Month!$B$5:$B$203,F$4))</f>
        <v>0.41025641025641</v>
      </c>
      <c r="G15" s="8">
        <f>IF(SUMIFS(Inputs_Class_Month!$D$5:$D$203,Inputs_Class_Month!$A$5:$A$203,$A15,Inputs_Class_Month!$B$5:$B$203,G$4)=0,"",(SUMIFS(Inputs_Class_Month!$E$5:$E$203,Inputs_Class_Month!$A$5:$A$203,$A15,Inputs_Class_Month!$B$5:$B$203,G$4)+Settings!$B$3*SUMIFS(Inputs_Class_Month!$F$5:$F$203,Inputs_Class_Month!$A$5:$A$203,$A15,Inputs_Class_Month!$B$5:$B$203,G$4))/SUMIFS(Inputs_Class_Month!$D$5:$D$203,Inputs_Class_Month!$A$5:$A$203,$A15,Inputs_Class_Month!$B$5:$B$203,G$4))</f>
        <v>0.595607235142119</v>
      </c>
      <c r="H15" s="8">
        <f>IF(SUMIFS(Inputs_Class_Month!$D$5:$D$203,Inputs_Class_Month!$A$5:$A$203,$A15)=0,"",(SUMIFS(Inputs_Class_Month!$E$5:$E$203,Inputs_Class_Month!$A$5:$A$203,$A15)+Settings!$B$3*SUMIFS(Inputs_Class_Month!$F$5:$F$203,Inputs_Class_Month!$A$5:$A$203,$A15))/SUMIFS(Inputs_Class_Month!$D$5:$D$203,Inputs_Class_Month!$A$5:$A$203,$A15))</f>
        <v>0.678687150837989</v>
      </c>
    </row>
    <row r="16" spans="1:8">
      <c r="A16" t="s">
        <v>36</v>
      </c>
      <c r="B16" s="8">
        <f>IF(SUMIFS(Inputs_Class_Month!$D$5:$D$203,Inputs_Class_Month!$A$5:$A$203,$A16,Inputs_Class_Month!$B$5:$B$203,B$4)=0,"",(SUMIFS(Inputs_Class_Month!$E$5:$E$203,Inputs_Class_Month!$A$5:$A$203,$A16,Inputs_Class_Month!$B$5:$B$203,B$4)+Settings!$B$3*SUMIFS(Inputs_Class_Month!$F$5:$F$203,Inputs_Class_Month!$A$5:$A$203,$A16,Inputs_Class_Month!$B$5:$B$203,B$4))/SUMIFS(Inputs_Class_Month!$D$5:$D$203,Inputs_Class_Month!$A$5:$A$203,$A16,Inputs_Class_Month!$B$5:$B$203,B$4))</f>
        <v>0.727330779054917</v>
      </c>
      <c r="C16" s="8">
        <f>IF(SUMIFS(Inputs_Class_Month!$D$5:$D$203,Inputs_Class_Month!$A$5:$A$203,$A16,Inputs_Class_Month!$B$5:$B$203,C$4)=0,"",(SUMIFS(Inputs_Class_Month!$E$5:$E$203,Inputs_Class_Month!$A$5:$A$203,$A16,Inputs_Class_Month!$B$5:$B$203,C$4)+Settings!$B$3*SUMIFS(Inputs_Class_Month!$F$5:$F$203,Inputs_Class_Month!$A$5:$A$203,$A16,Inputs_Class_Month!$B$5:$B$203,C$4))/SUMIFS(Inputs_Class_Month!$D$5:$D$203,Inputs_Class_Month!$A$5:$A$203,$A16,Inputs_Class_Month!$B$5:$B$203,C$4))</f>
        <v>0.736496913580247</v>
      </c>
      <c r="D16" s="8">
        <f>IF(SUMIFS(Inputs_Class_Month!$D$5:$D$203,Inputs_Class_Month!$A$5:$A$203,$A16,Inputs_Class_Month!$B$5:$B$203,D$4)=0,"",(SUMIFS(Inputs_Class_Month!$E$5:$E$203,Inputs_Class_Month!$A$5:$A$203,$A16,Inputs_Class_Month!$B$5:$B$203,D$4)+Settings!$B$3*SUMIFS(Inputs_Class_Month!$F$5:$F$203,Inputs_Class_Month!$A$5:$A$203,$A16,Inputs_Class_Month!$B$5:$B$203,D$4))/SUMIFS(Inputs_Class_Month!$D$5:$D$203,Inputs_Class_Month!$A$5:$A$203,$A16,Inputs_Class_Month!$B$5:$B$203,D$4))</f>
        <v>0.66213768115942</v>
      </c>
      <c r="E16" s="8">
        <f>IF(SUMIFS(Inputs_Class_Month!$D$5:$D$203,Inputs_Class_Month!$A$5:$A$203,$A16,Inputs_Class_Month!$B$5:$B$203,E$4)=0,"",(SUMIFS(Inputs_Class_Month!$E$5:$E$203,Inputs_Class_Month!$A$5:$A$203,$A16,Inputs_Class_Month!$B$5:$B$203,E$4)+Settings!$B$3*SUMIFS(Inputs_Class_Month!$F$5:$F$203,Inputs_Class_Month!$A$5:$A$203,$A16,Inputs_Class_Month!$B$5:$B$203,E$4))/SUMIFS(Inputs_Class_Month!$D$5:$D$203,Inputs_Class_Month!$A$5:$A$203,$A16,Inputs_Class_Month!$B$5:$B$203,E$4))</f>
        <v>0.541666666666667</v>
      </c>
      <c r="F16" s="8">
        <f>IF(SUMIFS(Inputs_Class_Month!$D$5:$D$203,Inputs_Class_Month!$A$5:$A$203,$A16,Inputs_Class_Month!$B$5:$B$203,F$4)=0,"",(SUMIFS(Inputs_Class_Month!$E$5:$E$203,Inputs_Class_Month!$A$5:$A$203,$A16,Inputs_Class_Month!$B$5:$B$203,F$4)+Settings!$B$3*SUMIFS(Inputs_Class_Month!$F$5:$F$203,Inputs_Class_Month!$A$5:$A$203,$A16,Inputs_Class_Month!$B$5:$B$203,F$4))/SUMIFS(Inputs_Class_Month!$D$5:$D$203,Inputs_Class_Month!$A$5:$A$203,$A16,Inputs_Class_Month!$B$5:$B$203,F$4))</f>
        <v>0.538461538461538</v>
      </c>
      <c r="G16" s="8">
        <f>IF(SUMIFS(Inputs_Class_Month!$D$5:$D$203,Inputs_Class_Month!$A$5:$A$203,$A16,Inputs_Class_Month!$B$5:$B$203,G$4)=0,"",(SUMIFS(Inputs_Class_Month!$E$5:$E$203,Inputs_Class_Month!$A$5:$A$203,$A16,Inputs_Class_Month!$B$5:$B$203,G$4)+Settings!$B$3*SUMIFS(Inputs_Class_Month!$F$5:$F$203,Inputs_Class_Month!$A$5:$A$203,$A16,Inputs_Class_Month!$B$5:$B$203,G$4))/SUMIFS(Inputs_Class_Month!$D$5:$D$203,Inputs_Class_Month!$A$5:$A$203,$A16,Inputs_Class_Month!$B$5:$B$203,G$4))</f>
        <v>0.670670670670671</v>
      </c>
      <c r="H16" s="8">
        <f>IF(SUMIFS(Inputs_Class_Month!$D$5:$D$203,Inputs_Class_Month!$A$5:$A$203,$A16)=0,"",(SUMIFS(Inputs_Class_Month!$E$5:$E$203,Inputs_Class_Month!$A$5:$A$203,$A16)+Settings!$B$3*SUMIFS(Inputs_Class_Month!$F$5:$F$203,Inputs_Class_Month!$A$5:$A$203,$A16))/SUMIFS(Inputs_Class_Month!$D$5:$D$203,Inputs_Class_Month!$A$5:$A$203,$A16))</f>
        <v>0.709508508865881</v>
      </c>
    </row>
    <row r="17" spans="1:8">
      <c r="A17" t="s">
        <v>37</v>
      </c>
      <c r="B17" s="8">
        <f>IF(SUMIFS(Inputs_Class_Month!$D$5:$D$203,Inputs_Class_Month!$A$5:$A$203,$A17,Inputs_Class_Month!$B$5:$B$203,B$4)=0,"",(SUMIFS(Inputs_Class_Month!$E$5:$E$203,Inputs_Class_Month!$A$5:$A$203,$A17,Inputs_Class_Month!$B$5:$B$203,B$4)+Settings!$B$3*SUMIFS(Inputs_Class_Month!$F$5:$F$203,Inputs_Class_Month!$A$5:$A$203,$A17,Inputs_Class_Month!$B$5:$B$203,B$4))/SUMIFS(Inputs_Class_Month!$D$5:$D$203,Inputs_Class_Month!$A$5:$A$203,$A17,Inputs_Class_Month!$B$5:$B$203,B$4))</f>
        <v>0.705051892551893</v>
      </c>
      <c r="C17" s="8">
        <f>IF(SUMIFS(Inputs_Class_Month!$D$5:$D$203,Inputs_Class_Month!$A$5:$A$203,$A17,Inputs_Class_Month!$B$5:$B$203,C$4)=0,"",(SUMIFS(Inputs_Class_Month!$E$5:$E$203,Inputs_Class_Month!$A$5:$A$203,$A17,Inputs_Class_Month!$B$5:$B$203,C$4)+Settings!$B$3*SUMIFS(Inputs_Class_Month!$F$5:$F$203,Inputs_Class_Month!$A$5:$A$203,$A17,Inputs_Class_Month!$B$5:$B$203,C$4))/SUMIFS(Inputs_Class_Month!$D$5:$D$203,Inputs_Class_Month!$A$5:$A$203,$A17,Inputs_Class_Month!$B$5:$B$203,C$4))</f>
        <v>0.724151234567901</v>
      </c>
      <c r="D17" s="8">
        <f>IF(SUMIFS(Inputs_Class_Month!$D$5:$D$203,Inputs_Class_Month!$A$5:$A$203,$A17,Inputs_Class_Month!$B$5:$B$203,D$4)=0,"",(SUMIFS(Inputs_Class_Month!$E$5:$E$203,Inputs_Class_Month!$A$5:$A$203,$A17,Inputs_Class_Month!$B$5:$B$203,D$4)+Settings!$B$3*SUMIFS(Inputs_Class_Month!$F$5:$F$203,Inputs_Class_Month!$A$5:$A$203,$A17,Inputs_Class_Month!$B$5:$B$203,D$4))/SUMIFS(Inputs_Class_Month!$D$5:$D$203,Inputs_Class_Month!$A$5:$A$203,$A17,Inputs_Class_Month!$B$5:$B$203,D$4))</f>
        <v>0.616847826086957</v>
      </c>
      <c r="E17" s="8">
        <f>IF(SUMIFS(Inputs_Class_Month!$D$5:$D$203,Inputs_Class_Month!$A$5:$A$203,$A17,Inputs_Class_Month!$B$5:$B$203,E$4)=0,"",(SUMIFS(Inputs_Class_Month!$E$5:$E$203,Inputs_Class_Month!$A$5:$A$203,$A17,Inputs_Class_Month!$B$5:$B$203,E$4)+Settings!$B$3*SUMIFS(Inputs_Class_Month!$F$5:$F$203,Inputs_Class_Month!$A$5:$A$203,$A17,Inputs_Class_Month!$B$5:$B$203,E$4))/SUMIFS(Inputs_Class_Month!$D$5:$D$203,Inputs_Class_Month!$A$5:$A$203,$A17,Inputs_Class_Month!$B$5:$B$203,E$4))</f>
        <v>0.541666666666667</v>
      </c>
      <c r="F17" s="8">
        <f>IF(SUMIFS(Inputs_Class_Month!$D$5:$D$203,Inputs_Class_Month!$A$5:$A$203,$A17,Inputs_Class_Month!$B$5:$B$203,F$4)=0,"",(SUMIFS(Inputs_Class_Month!$E$5:$E$203,Inputs_Class_Month!$A$5:$A$203,$A17,Inputs_Class_Month!$B$5:$B$203,F$4)+Settings!$B$3*SUMIFS(Inputs_Class_Month!$F$5:$F$203,Inputs_Class_Month!$A$5:$A$203,$A17,Inputs_Class_Month!$B$5:$B$203,F$4))/SUMIFS(Inputs_Class_Month!$D$5:$D$203,Inputs_Class_Month!$A$5:$A$203,$A17,Inputs_Class_Month!$B$5:$B$203,F$4))</f>
        <v>0.493589743589744</v>
      </c>
      <c r="G17" s="8">
        <f>IF(SUMIFS(Inputs_Class_Month!$D$5:$D$203,Inputs_Class_Month!$A$5:$A$203,$A17,Inputs_Class_Month!$B$5:$B$203,G$4)=0,"",(SUMIFS(Inputs_Class_Month!$E$5:$E$203,Inputs_Class_Month!$A$5:$A$203,$A17,Inputs_Class_Month!$B$5:$B$203,G$4)+Settings!$B$3*SUMIFS(Inputs_Class_Month!$F$5:$F$203,Inputs_Class_Month!$A$5:$A$203,$A17,Inputs_Class_Month!$B$5:$B$203,G$4))/SUMIFS(Inputs_Class_Month!$D$5:$D$203,Inputs_Class_Month!$A$5:$A$203,$A17,Inputs_Class_Month!$B$5:$B$203,G$4))</f>
        <v>0.619047619047619</v>
      </c>
      <c r="H17" s="8">
        <f>IF(SUMIFS(Inputs_Class_Month!$D$5:$D$203,Inputs_Class_Month!$A$5:$A$203,$A17)=0,"",(SUMIFS(Inputs_Class_Month!$E$5:$E$203,Inputs_Class_Month!$A$5:$A$203,$A17)+Settings!$B$3*SUMIFS(Inputs_Class_Month!$F$5:$F$203,Inputs_Class_Month!$A$5:$A$203,$A17))/SUMIFS(Inputs_Class_Month!$D$5:$D$203,Inputs_Class_Month!$A$5:$A$203,$A17))</f>
        <v>0.680821371610845</v>
      </c>
    </row>
    <row r="18" spans="1:8">
      <c r="A18" t="s">
        <v>38</v>
      </c>
      <c r="B18" s="8">
        <f>IF(SUMIFS(Inputs_Class_Month!$D$5:$D$203,Inputs_Class_Month!$A$5:$A$203,$A18,Inputs_Class_Month!$B$5:$B$203,B$4)=0,"",(SUMIFS(Inputs_Class_Month!$E$5:$E$203,Inputs_Class_Month!$A$5:$A$203,$A18,Inputs_Class_Month!$B$5:$B$203,B$4)+Settings!$B$3*SUMIFS(Inputs_Class_Month!$F$5:$F$203,Inputs_Class_Month!$A$5:$A$203,$A18,Inputs_Class_Month!$B$5:$B$203,B$4))/SUMIFS(Inputs_Class_Month!$D$5:$D$203,Inputs_Class_Month!$A$5:$A$203,$A18,Inputs_Class_Month!$B$5:$B$203,B$4))</f>
        <v>0.674937578027466</v>
      </c>
      <c r="C18" s="8">
        <f>IF(SUMIFS(Inputs_Class_Month!$D$5:$D$203,Inputs_Class_Month!$A$5:$A$203,$A18,Inputs_Class_Month!$B$5:$B$203,C$4)=0,"",(SUMIFS(Inputs_Class_Month!$E$5:$E$203,Inputs_Class_Month!$A$5:$A$203,$A18,Inputs_Class_Month!$B$5:$B$203,C$4)+Settings!$B$3*SUMIFS(Inputs_Class_Month!$F$5:$F$203,Inputs_Class_Month!$A$5:$A$203,$A18,Inputs_Class_Month!$B$5:$B$203,C$4))/SUMIFS(Inputs_Class_Month!$D$5:$D$203,Inputs_Class_Month!$A$5:$A$203,$A18,Inputs_Class_Month!$B$5:$B$203,C$4))</f>
        <v>0.850328947368421</v>
      </c>
      <c r="D18" s="8">
        <f>IF(SUMIFS(Inputs_Class_Month!$D$5:$D$203,Inputs_Class_Month!$A$5:$A$203,$A18,Inputs_Class_Month!$B$5:$B$203,D$4)=0,"",(SUMIFS(Inputs_Class_Month!$E$5:$E$203,Inputs_Class_Month!$A$5:$A$203,$A18,Inputs_Class_Month!$B$5:$B$203,D$4)+Settings!$B$3*SUMIFS(Inputs_Class_Month!$F$5:$F$203,Inputs_Class_Month!$A$5:$A$203,$A18,Inputs_Class_Month!$B$5:$B$203,D$4))/SUMIFS(Inputs_Class_Month!$D$5:$D$203,Inputs_Class_Month!$A$5:$A$203,$A18,Inputs_Class_Month!$B$5:$B$203,D$4))</f>
        <v>0.743206521739131</v>
      </c>
      <c r="E18" s="8">
        <f>IF(SUMIFS(Inputs_Class_Month!$D$5:$D$203,Inputs_Class_Month!$A$5:$A$203,$A18,Inputs_Class_Month!$B$5:$B$203,E$4)=0,"",(SUMIFS(Inputs_Class_Month!$E$5:$E$203,Inputs_Class_Month!$A$5:$A$203,$A18,Inputs_Class_Month!$B$5:$B$203,E$4)+Settings!$B$3*SUMIFS(Inputs_Class_Month!$F$5:$F$203,Inputs_Class_Month!$A$5:$A$203,$A18,Inputs_Class_Month!$B$5:$B$203,E$4))/SUMIFS(Inputs_Class_Month!$D$5:$D$203,Inputs_Class_Month!$A$5:$A$203,$A18,Inputs_Class_Month!$B$5:$B$203,E$4))</f>
        <v>0.833333333333333</v>
      </c>
      <c r="F18" s="8">
        <f>IF(SUMIFS(Inputs_Class_Month!$D$5:$D$203,Inputs_Class_Month!$A$5:$A$203,$A18,Inputs_Class_Month!$B$5:$B$203,F$4)=0,"",(SUMIFS(Inputs_Class_Month!$E$5:$E$203,Inputs_Class_Month!$A$5:$A$203,$A18,Inputs_Class_Month!$B$5:$B$203,F$4)+Settings!$B$3*SUMIFS(Inputs_Class_Month!$F$5:$F$203,Inputs_Class_Month!$A$5:$A$203,$A18,Inputs_Class_Month!$B$5:$B$203,F$4))/SUMIFS(Inputs_Class_Month!$D$5:$D$203,Inputs_Class_Month!$A$5:$A$203,$A18,Inputs_Class_Month!$B$5:$B$203,F$4))</f>
        <v>0.555555555555556</v>
      </c>
      <c r="G18" s="8">
        <f>IF(SUMIFS(Inputs_Class_Month!$D$5:$D$203,Inputs_Class_Month!$A$5:$A$203,$A18,Inputs_Class_Month!$B$5:$B$203,G$4)=0,"",(SUMIFS(Inputs_Class_Month!$E$5:$E$203,Inputs_Class_Month!$A$5:$A$203,$A18,Inputs_Class_Month!$B$5:$B$203,G$4)+Settings!$B$3*SUMIFS(Inputs_Class_Month!$F$5:$F$203,Inputs_Class_Month!$A$5:$A$203,$A18,Inputs_Class_Month!$B$5:$B$203,G$4))/SUMIFS(Inputs_Class_Month!$D$5:$D$203,Inputs_Class_Month!$A$5:$A$203,$A18,Inputs_Class_Month!$B$5:$B$203,G$4))</f>
        <v>0.702947845804989</v>
      </c>
      <c r="H18" s="8">
        <f>IF(SUMIFS(Inputs_Class_Month!$D$5:$D$203,Inputs_Class_Month!$A$5:$A$203,$A18)=0,"",(SUMIFS(Inputs_Class_Month!$E$5:$E$203,Inputs_Class_Month!$A$5:$A$203,$A18)+Settings!$B$3*SUMIFS(Inputs_Class_Month!$F$5:$F$203,Inputs_Class_Month!$A$5:$A$203,$A18))/SUMIFS(Inputs_Class_Month!$D$5:$D$203,Inputs_Class_Month!$A$5:$A$203,$A18))</f>
        <v>0.7336550262189</v>
      </c>
    </row>
    <row r="19" spans="1:8">
      <c r="A19" t="s">
        <v>39</v>
      </c>
      <c r="B19" s="8">
        <f>IF(SUMIFS(Inputs_Class_Month!$D$5:$D$203,Inputs_Class_Month!$A$5:$A$203,$A19,Inputs_Class_Month!$B$5:$B$203,B$4)=0,"",(SUMIFS(Inputs_Class_Month!$E$5:$E$203,Inputs_Class_Month!$A$5:$A$203,$A19,Inputs_Class_Month!$B$5:$B$203,B$4)+Settings!$B$3*SUMIFS(Inputs_Class_Month!$F$5:$F$203,Inputs_Class_Month!$A$5:$A$203,$A19,Inputs_Class_Month!$B$5:$B$203,B$4))/SUMIFS(Inputs_Class_Month!$D$5:$D$203,Inputs_Class_Month!$A$5:$A$203,$A19,Inputs_Class_Month!$B$5:$B$203,B$4))</f>
        <v>0.760108024691358</v>
      </c>
      <c r="C19" s="8">
        <f>IF(SUMIFS(Inputs_Class_Month!$D$5:$D$203,Inputs_Class_Month!$A$5:$A$203,$A19,Inputs_Class_Month!$B$5:$B$203,C$4)=0,"",(SUMIFS(Inputs_Class_Month!$E$5:$E$203,Inputs_Class_Month!$A$5:$A$203,$A19,Inputs_Class_Month!$B$5:$B$203,C$4)+Settings!$B$3*SUMIFS(Inputs_Class_Month!$F$5:$F$203,Inputs_Class_Month!$A$5:$A$203,$A19,Inputs_Class_Month!$B$5:$B$203,C$4))/SUMIFS(Inputs_Class_Month!$D$5:$D$203,Inputs_Class_Month!$A$5:$A$203,$A19,Inputs_Class_Month!$B$5:$B$203,C$4))</f>
        <v>0.781061746987952</v>
      </c>
      <c r="D19" s="8">
        <f>IF(SUMIFS(Inputs_Class_Month!$D$5:$D$203,Inputs_Class_Month!$A$5:$A$203,$A19,Inputs_Class_Month!$B$5:$B$203,D$4)=0,"",(SUMIFS(Inputs_Class_Month!$E$5:$E$203,Inputs_Class_Month!$A$5:$A$203,$A19,Inputs_Class_Month!$B$5:$B$203,D$4)+Settings!$B$3*SUMIFS(Inputs_Class_Month!$F$5:$F$203,Inputs_Class_Month!$A$5:$A$203,$A19,Inputs_Class_Month!$B$5:$B$203,D$4))/SUMIFS(Inputs_Class_Month!$D$5:$D$203,Inputs_Class_Month!$A$5:$A$203,$A19,Inputs_Class_Month!$B$5:$B$203,D$4))</f>
        <v>0.607441471571906</v>
      </c>
      <c r="E19" s="8">
        <f>IF(SUMIFS(Inputs_Class_Month!$D$5:$D$203,Inputs_Class_Month!$A$5:$A$203,$A19,Inputs_Class_Month!$B$5:$B$203,E$4)=0,"",(SUMIFS(Inputs_Class_Month!$E$5:$E$203,Inputs_Class_Month!$A$5:$A$203,$A19,Inputs_Class_Month!$B$5:$B$203,E$4)+Settings!$B$3*SUMIFS(Inputs_Class_Month!$F$5:$F$203,Inputs_Class_Month!$A$5:$A$203,$A19,Inputs_Class_Month!$B$5:$B$203,E$4))/SUMIFS(Inputs_Class_Month!$D$5:$D$203,Inputs_Class_Month!$A$5:$A$203,$A19,Inputs_Class_Month!$B$5:$B$203,E$4))</f>
        <v>0.770833333333333</v>
      </c>
      <c r="F19" s="8">
        <f>IF(SUMIFS(Inputs_Class_Month!$D$5:$D$203,Inputs_Class_Month!$A$5:$A$203,$A19,Inputs_Class_Month!$B$5:$B$203,F$4)=0,"",(SUMIFS(Inputs_Class_Month!$E$5:$E$203,Inputs_Class_Month!$A$5:$A$203,$A19,Inputs_Class_Month!$B$5:$B$203,F$4)+Settings!$B$3*SUMIFS(Inputs_Class_Month!$F$5:$F$203,Inputs_Class_Month!$A$5:$A$203,$A19,Inputs_Class_Month!$B$5:$B$203,F$4))/SUMIFS(Inputs_Class_Month!$D$5:$D$203,Inputs_Class_Month!$A$5:$A$203,$A19,Inputs_Class_Month!$B$5:$B$203,F$4))</f>
        <v/>
      </c>
      <c r="G19" s="8">
        <f>IF(SUMIFS(Inputs_Class_Month!$D$5:$D$203,Inputs_Class_Month!$A$5:$A$203,$A19,Inputs_Class_Month!$B$5:$B$203,G$4)=0,"",(SUMIFS(Inputs_Class_Month!$E$5:$E$203,Inputs_Class_Month!$A$5:$A$203,$A19,Inputs_Class_Month!$B$5:$B$203,G$4)+Settings!$B$3*SUMIFS(Inputs_Class_Month!$F$5:$F$203,Inputs_Class_Month!$A$5:$A$203,$A19,Inputs_Class_Month!$B$5:$B$203,G$4))/SUMIFS(Inputs_Class_Month!$D$5:$D$203,Inputs_Class_Month!$A$5:$A$203,$A19,Inputs_Class_Month!$B$5:$B$203,G$4))</f>
        <v>0.686088527551942</v>
      </c>
      <c r="H19" s="8">
        <f>IF(SUMIFS(Inputs_Class_Month!$D$5:$D$203,Inputs_Class_Month!$A$5:$A$203,$A19)=0,"",(SUMIFS(Inputs_Class_Month!$E$5:$E$203,Inputs_Class_Month!$A$5:$A$203,$A19)+Settings!$B$3*SUMIFS(Inputs_Class_Month!$F$5:$F$203,Inputs_Class_Month!$A$5:$A$203,$A19))/SUMIFS(Inputs_Class_Month!$D$5:$D$203,Inputs_Class_Month!$A$5:$A$203,$A19))</f>
        <v>0.73728813559322</v>
      </c>
    </row>
    <row r="20" spans="1:8">
      <c r="A20" t="s">
        <v>40</v>
      </c>
      <c r="B20" s="8">
        <f>IF(SUMIFS(Inputs_Class_Month!$D$5:$D$203,Inputs_Class_Month!$A$5:$A$203,$A20,Inputs_Class_Month!$B$5:$B$203,B$4)=0,"",(SUMIFS(Inputs_Class_Month!$E$5:$E$203,Inputs_Class_Month!$A$5:$A$203,$A20,Inputs_Class_Month!$B$5:$B$203,B$4)+Settings!$B$3*SUMIFS(Inputs_Class_Month!$F$5:$F$203,Inputs_Class_Month!$A$5:$A$203,$A20,Inputs_Class_Month!$B$5:$B$203,B$4))/SUMIFS(Inputs_Class_Month!$D$5:$D$203,Inputs_Class_Month!$A$5:$A$203,$A20,Inputs_Class_Month!$B$5:$B$203,B$4))</f>
        <v>0.836698167239404</v>
      </c>
      <c r="C20" s="8">
        <f>IF(SUMIFS(Inputs_Class_Month!$D$5:$D$203,Inputs_Class_Month!$A$5:$A$203,$A20,Inputs_Class_Month!$B$5:$B$203,C$4)=0,"",(SUMIFS(Inputs_Class_Month!$E$5:$E$203,Inputs_Class_Month!$A$5:$A$203,$A20,Inputs_Class_Month!$B$5:$B$203,C$4)+Settings!$B$3*SUMIFS(Inputs_Class_Month!$F$5:$F$203,Inputs_Class_Month!$A$5:$A$203,$A20,Inputs_Class_Month!$B$5:$B$203,C$4))/SUMIFS(Inputs_Class_Month!$D$5:$D$203,Inputs_Class_Month!$A$5:$A$203,$A20,Inputs_Class_Month!$B$5:$B$203,C$4))</f>
        <v>0.735435956790123</v>
      </c>
      <c r="D20" s="8">
        <f>IF(SUMIFS(Inputs_Class_Month!$D$5:$D$203,Inputs_Class_Month!$A$5:$A$203,$A20,Inputs_Class_Month!$B$5:$B$203,D$4)=0,"",(SUMIFS(Inputs_Class_Month!$E$5:$E$203,Inputs_Class_Month!$A$5:$A$203,$A20,Inputs_Class_Month!$B$5:$B$203,D$4)+Settings!$B$3*SUMIFS(Inputs_Class_Month!$F$5:$F$203,Inputs_Class_Month!$A$5:$A$203,$A20,Inputs_Class_Month!$B$5:$B$203,D$4))/SUMIFS(Inputs_Class_Month!$D$5:$D$203,Inputs_Class_Month!$A$5:$A$203,$A20,Inputs_Class_Month!$B$5:$B$203,D$4))</f>
        <v>0.744071146245059</v>
      </c>
      <c r="E20" s="8">
        <f>IF(SUMIFS(Inputs_Class_Month!$D$5:$D$203,Inputs_Class_Month!$A$5:$A$203,$A20,Inputs_Class_Month!$B$5:$B$203,E$4)=0,"",(SUMIFS(Inputs_Class_Month!$E$5:$E$203,Inputs_Class_Month!$A$5:$A$203,$A20,Inputs_Class_Month!$B$5:$B$203,E$4)+Settings!$B$3*SUMIFS(Inputs_Class_Month!$F$5:$F$203,Inputs_Class_Month!$A$5:$A$203,$A20,Inputs_Class_Month!$B$5:$B$203,E$4))/SUMIFS(Inputs_Class_Month!$D$5:$D$203,Inputs_Class_Month!$A$5:$A$203,$A20,Inputs_Class_Month!$B$5:$B$203,E$4))</f>
        <v>0.416666666666667</v>
      </c>
      <c r="F20" s="8">
        <f>IF(SUMIFS(Inputs_Class_Month!$D$5:$D$203,Inputs_Class_Month!$A$5:$A$203,$A20,Inputs_Class_Month!$B$5:$B$203,F$4)=0,"",(SUMIFS(Inputs_Class_Month!$E$5:$E$203,Inputs_Class_Month!$A$5:$A$203,$A20,Inputs_Class_Month!$B$5:$B$203,F$4)+Settings!$B$3*SUMIFS(Inputs_Class_Month!$F$5:$F$203,Inputs_Class_Month!$A$5:$A$203,$A20,Inputs_Class_Month!$B$5:$B$203,F$4))/SUMIFS(Inputs_Class_Month!$D$5:$D$203,Inputs_Class_Month!$A$5:$A$203,$A20,Inputs_Class_Month!$B$5:$B$203,F$4))</f>
        <v>0.423076923076923</v>
      </c>
      <c r="G20" s="8">
        <f>IF(SUMIFS(Inputs_Class_Month!$D$5:$D$203,Inputs_Class_Month!$A$5:$A$203,$A20,Inputs_Class_Month!$B$5:$B$203,G$4)=0,"",(SUMIFS(Inputs_Class_Month!$E$5:$E$203,Inputs_Class_Month!$A$5:$A$203,$A20,Inputs_Class_Month!$B$5:$B$203,G$4)+Settings!$B$3*SUMIFS(Inputs_Class_Month!$F$5:$F$203,Inputs_Class_Month!$A$5:$A$203,$A20,Inputs_Class_Month!$B$5:$B$203,G$4))/SUMIFS(Inputs_Class_Month!$D$5:$D$203,Inputs_Class_Month!$A$5:$A$203,$A20,Inputs_Class_Month!$B$5:$B$203,G$4))</f>
        <v>0.669612794612795</v>
      </c>
      <c r="H20" s="8">
        <f>IF(SUMIFS(Inputs_Class_Month!$D$5:$D$203,Inputs_Class_Month!$A$5:$A$203,$A20)=0,"",(SUMIFS(Inputs_Class_Month!$E$5:$E$203,Inputs_Class_Month!$A$5:$A$203,$A20)+Settings!$B$3*SUMIFS(Inputs_Class_Month!$F$5:$F$203,Inputs_Class_Month!$A$5:$A$203,$A20))/SUMIFS(Inputs_Class_Month!$D$5:$D$203,Inputs_Class_Month!$A$5:$A$203,$A20))</f>
        <v>0.754582597173145</v>
      </c>
    </row>
    <row r="21" spans="1:8">
      <c r="A21" t="s">
        <v>41</v>
      </c>
      <c r="B21" s="8">
        <f>IF(SUMIFS(Inputs_Class_Month!$D$5:$D$203,Inputs_Class_Month!$A$5:$A$203,$A21,Inputs_Class_Month!$B$5:$B$203,B$4)=0,"",(SUMIFS(Inputs_Class_Month!$E$5:$E$203,Inputs_Class_Month!$A$5:$A$203,$A21,Inputs_Class_Month!$B$5:$B$203,B$4)+Settings!$B$3*SUMIFS(Inputs_Class_Month!$F$5:$F$203,Inputs_Class_Month!$A$5:$A$203,$A21,Inputs_Class_Month!$B$5:$B$203,B$4))/SUMIFS(Inputs_Class_Month!$D$5:$D$203,Inputs_Class_Month!$A$5:$A$203,$A21,Inputs_Class_Month!$B$5:$B$203,B$4))</f>
        <v>0.735384366925065</v>
      </c>
      <c r="C21" s="8">
        <f>IF(SUMIFS(Inputs_Class_Month!$D$5:$D$203,Inputs_Class_Month!$A$5:$A$203,$A21,Inputs_Class_Month!$B$5:$B$203,C$4)=0,"",(SUMIFS(Inputs_Class_Month!$E$5:$E$203,Inputs_Class_Month!$A$5:$A$203,$A21,Inputs_Class_Month!$B$5:$B$203,C$4)+Settings!$B$3*SUMIFS(Inputs_Class_Month!$F$5:$F$203,Inputs_Class_Month!$A$5:$A$203,$A21,Inputs_Class_Month!$B$5:$B$203,C$4))/SUMIFS(Inputs_Class_Month!$D$5:$D$203,Inputs_Class_Month!$A$5:$A$203,$A21,Inputs_Class_Month!$B$5:$B$203,C$4))</f>
        <v>0.79625</v>
      </c>
      <c r="D21" s="8">
        <f>IF(SUMIFS(Inputs_Class_Month!$D$5:$D$203,Inputs_Class_Month!$A$5:$A$203,$A21,Inputs_Class_Month!$B$5:$B$203,D$4)=0,"",(SUMIFS(Inputs_Class_Month!$E$5:$E$203,Inputs_Class_Month!$A$5:$A$203,$A21,Inputs_Class_Month!$B$5:$B$203,D$4)+Settings!$B$3*SUMIFS(Inputs_Class_Month!$F$5:$F$203,Inputs_Class_Month!$A$5:$A$203,$A21,Inputs_Class_Month!$B$5:$B$203,D$4))/SUMIFS(Inputs_Class_Month!$D$5:$D$203,Inputs_Class_Month!$A$5:$A$203,$A21,Inputs_Class_Month!$B$5:$B$203,D$4))</f>
        <v>0.745217391304348</v>
      </c>
      <c r="E21" s="8">
        <f>IF(SUMIFS(Inputs_Class_Month!$D$5:$D$203,Inputs_Class_Month!$A$5:$A$203,$A21,Inputs_Class_Month!$B$5:$B$203,E$4)=0,"",(SUMIFS(Inputs_Class_Month!$E$5:$E$203,Inputs_Class_Month!$A$5:$A$203,$A21,Inputs_Class_Month!$B$5:$B$203,E$4)+Settings!$B$3*SUMIFS(Inputs_Class_Month!$F$5:$F$203,Inputs_Class_Month!$A$5:$A$203,$A21,Inputs_Class_Month!$B$5:$B$203,E$4))/SUMIFS(Inputs_Class_Month!$D$5:$D$203,Inputs_Class_Month!$A$5:$A$203,$A21,Inputs_Class_Month!$B$5:$B$203,E$4))</f>
        <v>0.645833333333333</v>
      </c>
      <c r="F21" s="8">
        <f>IF(SUMIFS(Inputs_Class_Month!$D$5:$D$203,Inputs_Class_Month!$A$5:$A$203,$A21,Inputs_Class_Month!$B$5:$B$203,F$4)=0,"",(SUMIFS(Inputs_Class_Month!$E$5:$E$203,Inputs_Class_Month!$A$5:$A$203,$A21,Inputs_Class_Month!$B$5:$B$203,F$4)+Settings!$B$3*SUMIFS(Inputs_Class_Month!$F$5:$F$203,Inputs_Class_Month!$A$5:$A$203,$A21,Inputs_Class_Month!$B$5:$B$203,F$4))/SUMIFS(Inputs_Class_Month!$D$5:$D$203,Inputs_Class_Month!$A$5:$A$203,$A21,Inputs_Class_Month!$B$5:$B$203,F$4))</f>
        <v>0.646153846153846</v>
      </c>
      <c r="G21" s="8">
        <f>IF(SUMIFS(Inputs_Class_Month!$D$5:$D$203,Inputs_Class_Month!$A$5:$A$203,$A21,Inputs_Class_Month!$B$5:$B$203,G$4)=0,"",(SUMIFS(Inputs_Class_Month!$E$5:$E$203,Inputs_Class_Month!$A$5:$A$203,$A21,Inputs_Class_Month!$B$5:$B$203,G$4)+Settings!$B$3*SUMIFS(Inputs_Class_Month!$F$5:$F$203,Inputs_Class_Month!$A$5:$A$203,$A21,Inputs_Class_Month!$B$5:$B$203,G$4))/SUMIFS(Inputs_Class_Month!$D$5:$D$203,Inputs_Class_Month!$A$5:$A$203,$A21,Inputs_Class_Month!$B$5:$B$203,G$4))</f>
        <v>0.662575366063738</v>
      </c>
      <c r="H21" s="8">
        <f>IF(SUMIFS(Inputs_Class_Month!$D$5:$D$203,Inputs_Class_Month!$A$5:$A$203,$A21)=0,"",(SUMIFS(Inputs_Class_Month!$E$5:$E$203,Inputs_Class_Month!$A$5:$A$203,$A21)+Settings!$B$3*SUMIFS(Inputs_Class_Month!$F$5:$F$203,Inputs_Class_Month!$A$5:$A$203,$A21))/SUMIFS(Inputs_Class_Month!$D$5:$D$203,Inputs_Class_Month!$A$5:$A$203,$A21))</f>
        <v>0.731101950766373</v>
      </c>
    </row>
    <row r="22" spans="1:8">
      <c r="A22" t="s">
        <v>42</v>
      </c>
      <c r="B22" s="8">
        <f>IF(SUMIFS(Inputs_Class_Month!$D$5:$D$203,Inputs_Class_Month!$A$5:$A$203,$A22,Inputs_Class_Month!$B$5:$B$203,B$4)=0,"",(SUMIFS(Inputs_Class_Month!$E$5:$E$203,Inputs_Class_Month!$A$5:$A$203,$A22,Inputs_Class_Month!$B$5:$B$203,B$4)+Settings!$B$3*SUMIFS(Inputs_Class_Month!$F$5:$F$203,Inputs_Class_Month!$A$5:$A$203,$A22,Inputs_Class_Month!$B$5:$B$203,B$4))/SUMIFS(Inputs_Class_Month!$D$5:$D$203,Inputs_Class_Month!$A$5:$A$203,$A22,Inputs_Class_Month!$B$5:$B$203,B$4))</f>
        <v>0.762626262626263</v>
      </c>
      <c r="C22" s="8">
        <f>IF(SUMIFS(Inputs_Class_Month!$D$5:$D$203,Inputs_Class_Month!$A$5:$A$203,$A22,Inputs_Class_Month!$B$5:$B$203,C$4)=0,"",(SUMIFS(Inputs_Class_Month!$E$5:$E$203,Inputs_Class_Month!$A$5:$A$203,$A22,Inputs_Class_Month!$B$5:$B$203,C$4)+Settings!$B$3*SUMIFS(Inputs_Class_Month!$F$5:$F$203,Inputs_Class_Month!$A$5:$A$203,$A22,Inputs_Class_Month!$B$5:$B$203,C$4))/SUMIFS(Inputs_Class_Month!$D$5:$D$203,Inputs_Class_Month!$A$5:$A$203,$A22,Inputs_Class_Month!$B$5:$B$203,C$4))</f>
        <v>0.719936708860759</v>
      </c>
      <c r="D22" s="8">
        <f>IF(SUMIFS(Inputs_Class_Month!$D$5:$D$203,Inputs_Class_Month!$A$5:$A$203,$A22,Inputs_Class_Month!$B$5:$B$203,D$4)=0,"",(SUMIFS(Inputs_Class_Month!$E$5:$E$203,Inputs_Class_Month!$A$5:$A$203,$A22,Inputs_Class_Month!$B$5:$B$203,D$4)+Settings!$B$3*SUMIFS(Inputs_Class_Month!$F$5:$F$203,Inputs_Class_Month!$A$5:$A$203,$A22,Inputs_Class_Month!$B$5:$B$203,D$4))/SUMIFS(Inputs_Class_Month!$D$5:$D$203,Inputs_Class_Month!$A$5:$A$203,$A22,Inputs_Class_Month!$B$5:$B$203,D$4))</f>
        <v>0.804951690821256</v>
      </c>
      <c r="E22" s="8">
        <f>IF(SUMIFS(Inputs_Class_Month!$D$5:$D$203,Inputs_Class_Month!$A$5:$A$203,$A22,Inputs_Class_Month!$B$5:$B$203,E$4)=0,"",(SUMIFS(Inputs_Class_Month!$E$5:$E$203,Inputs_Class_Month!$A$5:$A$203,$A22,Inputs_Class_Month!$B$5:$B$203,E$4)+Settings!$B$3*SUMIFS(Inputs_Class_Month!$F$5:$F$203,Inputs_Class_Month!$A$5:$A$203,$A22,Inputs_Class_Month!$B$5:$B$203,E$4))/SUMIFS(Inputs_Class_Month!$D$5:$D$203,Inputs_Class_Month!$A$5:$A$203,$A22,Inputs_Class_Month!$B$5:$B$203,E$4))</f>
        <v>0.666666666666667</v>
      </c>
      <c r="F22" s="8">
        <f>IF(SUMIFS(Inputs_Class_Month!$D$5:$D$203,Inputs_Class_Month!$A$5:$A$203,$A22,Inputs_Class_Month!$B$5:$B$203,F$4)=0,"",(SUMIFS(Inputs_Class_Month!$E$5:$E$203,Inputs_Class_Month!$A$5:$A$203,$A22,Inputs_Class_Month!$B$5:$B$203,F$4)+Settings!$B$3*SUMIFS(Inputs_Class_Month!$F$5:$F$203,Inputs_Class_Month!$A$5:$A$203,$A22,Inputs_Class_Month!$B$5:$B$203,F$4))/SUMIFS(Inputs_Class_Month!$D$5:$D$203,Inputs_Class_Month!$A$5:$A$203,$A22,Inputs_Class_Month!$B$5:$B$203,F$4))</f>
        <v>0.592307692307692</v>
      </c>
      <c r="G22" s="8">
        <f>IF(SUMIFS(Inputs_Class_Month!$D$5:$D$203,Inputs_Class_Month!$A$5:$A$203,$A22,Inputs_Class_Month!$B$5:$B$203,G$4)=0,"",(SUMIFS(Inputs_Class_Month!$E$5:$E$203,Inputs_Class_Month!$A$5:$A$203,$A22,Inputs_Class_Month!$B$5:$B$203,G$4)+Settings!$B$3*SUMIFS(Inputs_Class_Month!$F$5:$F$203,Inputs_Class_Month!$A$5:$A$203,$A22,Inputs_Class_Month!$B$5:$B$203,G$4))/SUMIFS(Inputs_Class_Month!$D$5:$D$203,Inputs_Class_Month!$A$5:$A$203,$A22,Inputs_Class_Month!$B$5:$B$203,G$4))</f>
        <v>0.676652142338417</v>
      </c>
      <c r="H22" s="8">
        <f>IF(SUMIFS(Inputs_Class_Month!$D$5:$D$203,Inputs_Class_Month!$A$5:$A$203,$A22)=0,"",(SUMIFS(Inputs_Class_Month!$E$5:$E$203,Inputs_Class_Month!$A$5:$A$203,$A22)+Settings!$B$3*SUMIFS(Inputs_Class_Month!$F$5:$F$203,Inputs_Class_Month!$A$5:$A$203,$A22))/SUMIFS(Inputs_Class_Month!$D$5:$D$203,Inputs_Class_Month!$A$5:$A$203,$A22))</f>
        <v>0.722696245733788</v>
      </c>
    </row>
    <row r="23" spans="1:8">
      <c r="A23" t="s">
        <v>43</v>
      </c>
      <c r="B23" s="8">
        <f>IF(SUMIFS(Inputs_Class_Month!$D$5:$D$203,Inputs_Class_Month!$A$5:$A$203,$A23,Inputs_Class_Month!$B$5:$B$203,B$4)=0,"",(SUMIFS(Inputs_Class_Month!$E$5:$E$203,Inputs_Class_Month!$A$5:$A$203,$A23,Inputs_Class_Month!$B$5:$B$203,B$4)+Settings!$B$3*SUMIFS(Inputs_Class_Month!$F$5:$F$203,Inputs_Class_Month!$A$5:$A$203,$A23,Inputs_Class_Month!$B$5:$B$203,B$4))/SUMIFS(Inputs_Class_Month!$D$5:$D$203,Inputs_Class_Month!$A$5:$A$203,$A23,Inputs_Class_Month!$B$5:$B$203,B$4))</f>
        <v>0.837693798449612</v>
      </c>
      <c r="C23" s="8">
        <f>IF(SUMIFS(Inputs_Class_Month!$D$5:$D$203,Inputs_Class_Month!$A$5:$A$203,$A23,Inputs_Class_Month!$B$5:$B$203,C$4)=0,"",(SUMIFS(Inputs_Class_Month!$E$5:$E$203,Inputs_Class_Month!$A$5:$A$203,$A23,Inputs_Class_Month!$B$5:$B$203,C$4)+Settings!$B$3*SUMIFS(Inputs_Class_Month!$F$5:$F$203,Inputs_Class_Month!$A$5:$A$203,$A23,Inputs_Class_Month!$B$5:$B$203,C$4))/SUMIFS(Inputs_Class_Month!$D$5:$D$203,Inputs_Class_Month!$A$5:$A$203,$A23,Inputs_Class_Month!$B$5:$B$203,C$4))</f>
        <v>0.777698863636364</v>
      </c>
      <c r="D23" s="8">
        <f>IF(SUMIFS(Inputs_Class_Month!$D$5:$D$203,Inputs_Class_Month!$A$5:$A$203,$A23,Inputs_Class_Month!$B$5:$B$203,D$4)=0,"",(SUMIFS(Inputs_Class_Month!$E$5:$E$203,Inputs_Class_Month!$A$5:$A$203,$A23,Inputs_Class_Month!$B$5:$B$203,D$4)+Settings!$B$3*SUMIFS(Inputs_Class_Month!$F$5:$F$203,Inputs_Class_Month!$A$5:$A$203,$A23,Inputs_Class_Month!$B$5:$B$203,D$4))/SUMIFS(Inputs_Class_Month!$D$5:$D$203,Inputs_Class_Month!$A$5:$A$203,$A23,Inputs_Class_Month!$B$5:$B$203,D$4))</f>
        <v>0.737771739130435</v>
      </c>
      <c r="E23" s="8">
        <f>IF(SUMIFS(Inputs_Class_Month!$D$5:$D$203,Inputs_Class_Month!$A$5:$A$203,$A23,Inputs_Class_Month!$B$5:$B$203,E$4)=0,"",(SUMIFS(Inputs_Class_Month!$E$5:$E$203,Inputs_Class_Month!$A$5:$A$203,$A23,Inputs_Class_Month!$B$5:$B$203,E$4)+Settings!$B$3*SUMIFS(Inputs_Class_Month!$F$5:$F$203,Inputs_Class_Month!$A$5:$A$203,$A23,Inputs_Class_Month!$B$5:$B$203,E$4))/SUMIFS(Inputs_Class_Month!$D$5:$D$203,Inputs_Class_Month!$A$5:$A$203,$A23,Inputs_Class_Month!$B$5:$B$203,E$4))</f>
        <v>0.833333333333333</v>
      </c>
      <c r="F23" s="8">
        <f>IF(SUMIFS(Inputs_Class_Month!$D$5:$D$203,Inputs_Class_Month!$A$5:$A$203,$A23,Inputs_Class_Month!$B$5:$B$203,F$4)=0,"",(SUMIFS(Inputs_Class_Month!$E$5:$E$203,Inputs_Class_Month!$A$5:$A$203,$A23,Inputs_Class_Month!$B$5:$B$203,F$4)+Settings!$B$3*SUMIFS(Inputs_Class_Month!$F$5:$F$203,Inputs_Class_Month!$A$5:$A$203,$A23,Inputs_Class_Month!$B$5:$B$203,F$4))/SUMIFS(Inputs_Class_Month!$D$5:$D$203,Inputs_Class_Month!$A$5:$A$203,$A23,Inputs_Class_Month!$B$5:$B$203,F$4))</f>
        <v>0.561538461538462</v>
      </c>
      <c r="G23" s="8">
        <f>IF(SUMIFS(Inputs_Class_Month!$D$5:$D$203,Inputs_Class_Month!$A$5:$A$203,$A23,Inputs_Class_Month!$B$5:$B$203,G$4)=0,"",(SUMIFS(Inputs_Class_Month!$E$5:$E$203,Inputs_Class_Month!$A$5:$A$203,$A23,Inputs_Class_Month!$B$5:$B$203,G$4)+Settings!$B$3*SUMIFS(Inputs_Class_Month!$F$5:$F$203,Inputs_Class_Month!$A$5:$A$203,$A23,Inputs_Class_Month!$B$5:$B$203,G$4))/SUMIFS(Inputs_Class_Month!$D$5:$D$203,Inputs_Class_Month!$A$5:$A$203,$A23,Inputs_Class_Month!$B$5:$B$203,G$4))</f>
        <v>0.732615268329554</v>
      </c>
      <c r="H23" s="8">
        <f>IF(SUMIFS(Inputs_Class_Month!$D$5:$D$203,Inputs_Class_Month!$A$5:$A$203,$A23)=0,"",(SUMIFS(Inputs_Class_Month!$E$5:$E$203,Inputs_Class_Month!$A$5:$A$203,$A23)+Settings!$B$3*SUMIFS(Inputs_Class_Month!$F$5:$F$203,Inputs_Class_Month!$A$5:$A$203,$A23))/SUMIFS(Inputs_Class_Month!$D$5:$D$203,Inputs_Class_Month!$A$5:$A$203,$A23))</f>
        <v>0.778025655326269</v>
      </c>
    </row>
    <row r="24" spans="1:8">
      <c r="A24" t="s">
        <v>44</v>
      </c>
      <c r="B24" s="8">
        <f>IF(SUMIFS(Inputs_Class_Month!$D$5:$D$203,Inputs_Class_Month!$A$5:$A$203,$A24,Inputs_Class_Month!$B$5:$B$203,B$4)=0,"",(SUMIFS(Inputs_Class_Month!$E$5:$E$203,Inputs_Class_Month!$A$5:$A$203,$A24,Inputs_Class_Month!$B$5:$B$203,B$4)+Settings!$B$3*SUMIFS(Inputs_Class_Month!$F$5:$F$203,Inputs_Class_Month!$A$5:$A$203,$A24,Inputs_Class_Month!$B$5:$B$203,B$4))/SUMIFS(Inputs_Class_Month!$D$5:$D$203,Inputs_Class_Month!$A$5:$A$203,$A24,Inputs_Class_Month!$B$5:$B$203,B$4))</f>
        <v>0.8515625</v>
      </c>
      <c r="C24" s="8">
        <f>IF(SUMIFS(Inputs_Class_Month!$D$5:$D$203,Inputs_Class_Month!$A$5:$A$203,$A24,Inputs_Class_Month!$B$5:$B$203,C$4)=0,"",(SUMIFS(Inputs_Class_Month!$E$5:$E$203,Inputs_Class_Month!$A$5:$A$203,$A24,Inputs_Class_Month!$B$5:$B$203,C$4)+Settings!$B$3*SUMIFS(Inputs_Class_Month!$F$5:$F$203,Inputs_Class_Month!$A$5:$A$203,$A24,Inputs_Class_Month!$B$5:$B$203,C$4))/SUMIFS(Inputs_Class_Month!$D$5:$D$203,Inputs_Class_Month!$A$5:$A$203,$A24,Inputs_Class_Month!$B$5:$B$203,C$4))</f>
        <v>0.86617288961039</v>
      </c>
      <c r="D24" s="8">
        <f>IF(SUMIFS(Inputs_Class_Month!$D$5:$D$203,Inputs_Class_Month!$A$5:$A$203,$A24,Inputs_Class_Month!$B$5:$B$203,D$4)=0,"",(SUMIFS(Inputs_Class_Month!$E$5:$E$203,Inputs_Class_Month!$A$5:$A$203,$A24,Inputs_Class_Month!$B$5:$B$203,D$4)+Settings!$B$3*SUMIFS(Inputs_Class_Month!$F$5:$F$203,Inputs_Class_Month!$A$5:$A$203,$A24,Inputs_Class_Month!$B$5:$B$203,D$4))/SUMIFS(Inputs_Class_Month!$D$5:$D$203,Inputs_Class_Month!$A$5:$A$203,$A24,Inputs_Class_Month!$B$5:$B$203,D$4))</f>
        <v>0.831739130434783</v>
      </c>
      <c r="E24" s="8">
        <f>IF(SUMIFS(Inputs_Class_Month!$D$5:$D$203,Inputs_Class_Month!$A$5:$A$203,$A24,Inputs_Class_Month!$B$5:$B$203,E$4)=0,"",(SUMIFS(Inputs_Class_Month!$E$5:$E$203,Inputs_Class_Month!$A$5:$A$203,$A24,Inputs_Class_Month!$B$5:$B$203,E$4)+Settings!$B$3*SUMIFS(Inputs_Class_Month!$F$5:$F$203,Inputs_Class_Month!$A$5:$A$203,$A24,Inputs_Class_Month!$B$5:$B$203,E$4))/SUMIFS(Inputs_Class_Month!$D$5:$D$203,Inputs_Class_Month!$A$5:$A$203,$A24,Inputs_Class_Month!$B$5:$B$203,E$4))</f>
        <v>0.847222222222222</v>
      </c>
      <c r="F24" s="8">
        <f>IF(SUMIFS(Inputs_Class_Month!$D$5:$D$203,Inputs_Class_Month!$A$5:$A$203,$A24,Inputs_Class_Month!$B$5:$B$203,F$4)=0,"",(SUMIFS(Inputs_Class_Month!$E$5:$E$203,Inputs_Class_Month!$A$5:$A$203,$A24,Inputs_Class_Month!$B$5:$B$203,F$4)+Settings!$B$3*SUMIFS(Inputs_Class_Month!$F$5:$F$203,Inputs_Class_Month!$A$5:$A$203,$A24,Inputs_Class_Month!$B$5:$B$203,F$4))/SUMIFS(Inputs_Class_Month!$D$5:$D$203,Inputs_Class_Month!$A$5:$A$203,$A24,Inputs_Class_Month!$B$5:$B$203,F$4))</f>
        <v>0.38034188034188</v>
      </c>
      <c r="G24" s="8">
        <f>IF(SUMIFS(Inputs_Class_Month!$D$5:$D$203,Inputs_Class_Month!$A$5:$A$203,$A24,Inputs_Class_Month!$B$5:$B$203,G$4)=0,"",(SUMIFS(Inputs_Class_Month!$E$5:$E$203,Inputs_Class_Month!$A$5:$A$203,$A24,Inputs_Class_Month!$B$5:$B$203,G$4)+Settings!$B$3*SUMIFS(Inputs_Class_Month!$F$5:$F$203,Inputs_Class_Month!$A$5:$A$203,$A24,Inputs_Class_Month!$B$5:$B$203,G$4))/SUMIFS(Inputs_Class_Month!$D$5:$D$203,Inputs_Class_Month!$A$5:$A$203,$A24,Inputs_Class_Month!$B$5:$B$203,G$4))</f>
        <v>0.748353909465021</v>
      </c>
      <c r="H24" s="8">
        <f>IF(SUMIFS(Inputs_Class_Month!$D$5:$D$203,Inputs_Class_Month!$A$5:$A$203,$A24)=0,"",(SUMIFS(Inputs_Class_Month!$E$5:$E$203,Inputs_Class_Month!$A$5:$A$203,$A24)+Settings!$B$3*SUMIFS(Inputs_Class_Month!$F$5:$F$203,Inputs_Class_Month!$A$5:$A$203,$A24))/SUMIFS(Inputs_Class_Month!$D$5:$D$203,Inputs_Class_Month!$A$5:$A$203,$A24))</f>
        <v>0.813770068485461</v>
      </c>
    </row>
    <row r="25" spans="1:8">
      <c r="A25" t="s">
        <v>45</v>
      </c>
      <c r="B25" s="8">
        <f>IF(SUMIFS(Inputs_Class_Month!$D$5:$D$203,Inputs_Class_Month!$A$5:$A$203,$A25,Inputs_Class_Month!$B$5:$B$203,B$4)=0,"",(SUMIFS(Inputs_Class_Month!$E$5:$E$203,Inputs_Class_Month!$A$5:$A$203,$A25,Inputs_Class_Month!$B$5:$B$203,B$4)+Settings!$B$3*SUMIFS(Inputs_Class_Month!$F$5:$F$203,Inputs_Class_Month!$A$5:$A$203,$A25,Inputs_Class_Month!$B$5:$B$203,B$4))/SUMIFS(Inputs_Class_Month!$D$5:$D$203,Inputs_Class_Month!$A$5:$A$203,$A25,Inputs_Class_Month!$B$5:$B$203,B$4))</f>
        <v>0.910702614379085</v>
      </c>
      <c r="C25" s="8">
        <f>IF(SUMIFS(Inputs_Class_Month!$D$5:$D$203,Inputs_Class_Month!$A$5:$A$203,$A25,Inputs_Class_Month!$B$5:$B$203,C$4)=0,"",(SUMIFS(Inputs_Class_Month!$E$5:$E$203,Inputs_Class_Month!$A$5:$A$203,$A25,Inputs_Class_Month!$B$5:$B$203,C$4)+Settings!$B$3*SUMIFS(Inputs_Class_Month!$F$5:$F$203,Inputs_Class_Month!$A$5:$A$203,$A25,Inputs_Class_Month!$B$5:$B$203,C$4))/SUMIFS(Inputs_Class_Month!$D$5:$D$203,Inputs_Class_Month!$A$5:$A$203,$A25,Inputs_Class_Month!$B$5:$B$203,C$4))</f>
        <v>0.93115234375</v>
      </c>
      <c r="D25" s="8">
        <f>IF(SUMIFS(Inputs_Class_Month!$D$5:$D$203,Inputs_Class_Month!$A$5:$A$203,$A25,Inputs_Class_Month!$B$5:$B$203,D$4)=0,"",(SUMIFS(Inputs_Class_Month!$E$5:$E$203,Inputs_Class_Month!$A$5:$A$203,$A25,Inputs_Class_Month!$B$5:$B$203,D$4)+Settings!$B$3*SUMIFS(Inputs_Class_Month!$F$5:$F$203,Inputs_Class_Month!$A$5:$A$203,$A25,Inputs_Class_Month!$B$5:$B$203,D$4))/SUMIFS(Inputs_Class_Month!$D$5:$D$203,Inputs_Class_Month!$A$5:$A$203,$A25,Inputs_Class_Month!$B$5:$B$203,D$4))</f>
        <v>0.904682274247492</v>
      </c>
      <c r="E25" s="8">
        <f>IF(SUMIFS(Inputs_Class_Month!$D$5:$D$203,Inputs_Class_Month!$A$5:$A$203,$A25,Inputs_Class_Month!$B$5:$B$203,E$4)=0,"",(SUMIFS(Inputs_Class_Month!$E$5:$E$203,Inputs_Class_Month!$A$5:$A$203,$A25,Inputs_Class_Month!$B$5:$B$203,E$4)+Settings!$B$3*SUMIFS(Inputs_Class_Month!$F$5:$F$203,Inputs_Class_Month!$A$5:$A$203,$A25,Inputs_Class_Month!$B$5:$B$203,E$4))/SUMIFS(Inputs_Class_Month!$D$5:$D$203,Inputs_Class_Month!$A$5:$A$203,$A25,Inputs_Class_Month!$B$5:$B$203,E$4))</f>
        <v>0.833333333333333</v>
      </c>
      <c r="F25" s="8">
        <f>IF(SUMIFS(Inputs_Class_Month!$D$5:$D$203,Inputs_Class_Month!$A$5:$A$203,$A25,Inputs_Class_Month!$B$5:$B$203,F$4)=0,"",(SUMIFS(Inputs_Class_Month!$E$5:$E$203,Inputs_Class_Month!$A$5:$A$203,$A25,Inputs_Class_Month!$B$5:$B$203,F$4)+Settings!$B$3*SUMIFS(Inputs_Class_Month!$F$5:$F$203,Inputs_Class_Month!$A$5:$A$203,$A25,Inputs_Class_Month!$B$5:$B$203,F$4))/SUMIFS(Inputs_Class_Month!$D$5:$D$203,Inputs_Class_Month!$A$5:$A$203,$A25,Inputs_Class_Month!$B$5:$B$203,F$4))</f>
        <v>1</v>
      </c>
      <c r="G25" s="8">
        <f>IF(SUMIFS(Inputs_Class_Month!$D$5:$D$203,Inputs_Class_Month!$A$5:$A$203,$A25,Inputs_Class_Month!$B$5:$B$203,G$4)=0,"",(SUMIFS(Inputs_Class_Month!$E$5:$E$203,Inputs_Class_Month!$A$5:$A$203,$A25,Inputs_Class_Month!$B$5:$B$203,G$4)+Settings!$B$3*SUMIFS(Inputs_Class_Month!$F$5:$F$203,Inputs_Class_Month!$A$5:$A$203,$A25,Inputs_Class_Month!$B$5:$B$203,G$4))/SUMIFS(Inputs_Class_Month!$D$5:$D$203,Inputs_Class_Month!$A$5:$A$203,$A25,Inputs_Class_Month!$B$5:$B$203,G$4))</f>
        <v>0.920194003527337</v>
      </c>
      <c r="H25" s="8">
        <f>IF(SUMIFS(Inputs_Class_Month!$D$5:$D$203,Inputs_Class_Month!$A$5:$A$203,$A25)=0,"",(SUMIFS(Inputs_Class_Month!$E$5:$E$203,Inputs_Class_Month!$A$5:$A$203,$A25)+Settings!$B$3*SUMIFS(Inputs_Class_Month!$F$5:$F$203,Inputs_Class_Month!$A$5:$A$203,$A25))/SUMIFS(Inputs_Class_Month!$D$5:$D$203,Inputs_Class_Month!$A$5:$A$203,$A25))</f>
        <v>0.919724505151059</v>
      </c>
    </row>
    <row r="26" spans="1:8">
      <c r="A26" t="s">
        <v>46</v>
      </c>
      <c r="B26" s="8">
        <f>IF(SUMIFS(Inputs_Class_Month!$D$5:$D$203,Inputs_Class_Month!$A$5:$A$203,$A26,Inputs_Class_Month!$B$5:$B$203,B$4)=0,"",(SUMIFS(Inputs_Class_Month!$E$5:$E$203,Inputs_Class_Month!$A$5:$A$203,$A26,Inputs_Class_Month!$B$5:$B$203,B$4)+Settings!$B$3*SUMIFS(Inputs_Class_Month!$F$5:$F$203,Inputs_Class_Month!$A$5:$A$203,$A26,Inputs_Class_Month!$B$5:$B$203,B$4))/SUMIFS(Inputs_Class_Month!$D$5:$D$203,Inputs_Class_Month!$A$5:$A$203,$A26,Inputs_Class_Month!$B$5:$B$203,B$4))</f>
        <v>0.758478682170543</v>
      </c>
      <c r="C26" s="8">
        <f>IF(SUMIFS(Inputs_Class_Month!$D$5:$D$203,Inputs_Class_Month!$A$5:$A$203,$A26,Inputs_Class_Month!$B$5:$B$203,C$4)=0,"",(SUMIFS(Inputs_Class_Month!$E$5:$E$203,Inputs_Class_Month!$A$5:$A$203,$A26,Inputs_Class_Month!$B$5:$B$203,C$4)+Settings!$B$3*SUMIFS(Inputs_Class_Month!$F$5:$F$203,Inputs_Class_Month!$A$5:$A$203,$A26,Inputs_Class_Month!$B$5:$B$203,C$4))/SUMIFS(Inputs_Class_Month!$D$5:$D$203,Inputs_Class_Month!$A$5:$A$203,$A26,Inputs_Class_Month!$B$5:$B$203,C$4))</f>
        <v>0.837816455696203</v>
      </c>
      <c r="D26" s="8">
        <f>IF(SUMIFS(Inputs_Class_Month!$D$5:$D$203,Inputs_Class_Month!$A$5:$A$203,$A26,Inputs_Class_Month!$B$5:$B$203,D$4)=0,"",(SUMIFS(Inputs_Class_Month!$E$5:$E$203,Inputs_Class_Month!$A$5:$A$203,$A26,Inputs_Class_Month!$B$5:$B$203,D$4)+Settings!$B$3*SUMIFS(Inputs_Class_Month!$F$5:$F$203,Inputs_Class_Month!$A$5:$A$203,$A26,Inputs_Class_Month!$B$5:$B$203,D$4))/SUMIFS(Inputs_Class_Month!$D$5:$D$203,Inputs_Class_Month!$A$5:$A$203,$A26,Inputs_Class_Month!$B$5:$B$203,D$4))</f>
        <v>0.808946488294314</v>
      </c>
      <c r="E26" s="8">
        <f>IF(SUMIFS(Inputs_Class_Month!$D$5:$D$203,Inputs_Class_Month!$A$5:$A$203,$A26,Inputs_Class_Month!$B$5:$B$203,E$4)=0,"",(SUMIFS(Inputs_Class_Month!$E$5:$E$203,Inputs_Class_Month!$A$5:$A$203,$A26,Inputs_Class_Month!$B$5:$B$203,E$4)+Settings!$B$3*SUMIFS(Inputs_Class_Month!$F$5:$F$203,Inputs_Class_Month!$A$5:$A$203,$A26,Inputs_Class_Month!$B$5:$B$203,E$4))/SUMIFS(Inputs_Class_Month!$D$5:$D$203,Inputs_Class_Month!$A$5:$A$203,$A26,Inputs_Class_Month!$B$5:$B$203,E$4))</f>
        <v>0.916666666666667</v>
      </c>
      <c r="F26" s="8">
        <f>IF(SUMIFS(Inputs_Class_Month!$D$5:$D$203,Inputs_Class_Month!$A$5:$A$203,$A26,Inputs_Class_Month!$B$5:$B$203,F$4)=0,"",(SUMIFS(Inputs_Class_Month!$E$5:$E$203,Inputs_Class_Month!$A$5:$A$203,$A26,Inputs_Class_Month!$B$5:$B$203,F$4)+Settings!$B$3*SUMIFS(Inputs_Class_Month!$F$5:$F$203,Inputs_Class_Month!$A$5:$A$203,$A26,Inputs_Class_Month!$B$5:$B$203,F$4))/SUMIFS(Inputs_Class_Month!$D$5:$D$203,Inputs_Class_Month!$A$5:$A$203,$A26,Inputs_Class_Month!$B$5:$B$203,F$4))</f>
        <v>0.735897435897436</v>
      </c>
      <c r="G26" s="8">
        <f>IF(SUMIFS(Inputs_Class_Month!$D$5:$D$203,Inputs_Class_Month!$A$5:$A$203,$A26,Inputs_Class_Month!$B$5:$B$203,G$4)=0,"",(SUMIFS(Inputs_Class_Month!$E$5:$E$203,Inputs_Class_Month!$A$5:$A$203,$A26,Inputs_Class_Month!$B$5:$B$203,G$4)+Settings!$B$3*SUMIFS(Inputs_Class_Month!$F$5:$F$203,Inputs_Class_Month!$A$5:$A$203,$A26,Inputs_Class_Month!$B$5:$B$203,G$4))/SUMIFS(Inputs_Class_Month!$D$5:$D$203,Inputs_Class_Month!$A$5:$A$203,$A26,Inputs_Class_Month!$B$5:$B$203,G$4))</f>
        <v>0.73005698005698</v>
      </c>
      <c r="H26" s="8">
        <f>IF(SUMIFS(Inputs_Class_Month!$D$5:$D$203,Inputs_Class_Month!$A$5:$A$203,$A26)=0,"",(SUMIFS(Inputs_Class_Month!$E$5:$E$203,Inputs_Class_Month!$A$5:$A$203,$A26)+Settings!$B$3*SUMIFS(Inputs_Class_Month!$F$5:$F$203,Inputs_Class_Month!$A$5:$A$203,$A26))/SUMIFS(Inputs_Class_Month!$D$5:$D$203,Inputs_Class_Month!$A$5:$A$203,$A26))</f>
        <v>0.778595630330646</v>
      </c>
    </row>
    <row r="27" spans="1:8">
      <c r="A27" t="s">
        <v>47</v>
      </c>
      <c r="B27" s="8">
        <f>IF(SUMIFS(Inputs_Class_Month!$D$5:$D$203,Inputs_Class_Month!$A$5:$A$203,$A27,Inputs_Class_Month!$B$5:$B$203,B$4)=0,"",(SUMIFS(Inputs_Class_Month!$E$5:$E$203,Inputs_Class_Month!$A$5:$A$203,$A27,Inputs_Class_Month!$B$5:$B$203,B$4)+Settings!$B$3*SUMIFS(Inputs_Class_Month!$F$5:$F$203,Inputs_Class_Month!$A$5:$A$203,$A27,Inputs_Class_Month!$B$5:$B$203,B$4))/SUMIFS(Inputs_Class_Month!$D$5:$D$203,Inputs_Class_Month!$A$5:$A$203,$A27,Inputs_Class_Month!$B$5:$B$203,B$4))</f>
        <v>0.679243827160494</v>
      </c>
      <c r="C27" s="8">
        <f>IF(SUMIFS(Inputs_Class_Month!$D$5:$D$203,Inputs_Class_Month!$A$5:$A$203,$A27,Inputs_Class_Month!$B$5:$B$203,C$4)=0,"",(SUMIFS(Inputs_Class_Month!$E$5:$E$203,Inputs_Class_Month!$A$5:$A$203,$A27,Inputs_Class_Month!$B$5:$B$203,C$4)+Settings!$B$3*SUMIFS(Inputs_Class_Month!$F$5:$F$203,Inputs_Class_Month!$A$5:$A$203,$A27,Inputs_Class_Month!$B$5:$B$203,C$4))/SUMIFS(Inputs_Class_Month!$D$5:$D$203,Inputs_Class_Month!$A$5:$A$203,$A27,Inputs_Class_Month!$B$5:$B$203,C$4))</f>
        <v>0.727705792682927</v>
      </c>
      <c r="D27" s="8">
        <f>IF(SUMIFS(Inputs_Class_Month!$D$5:$D$203,Inputs_Class_Month!$A$5:$A$203,$A27,Inputs_Class_Month!$B$5:$B$203,D$4)=0,"",(SUMIFS(Inputs_Class_Month!$E$5:$E$203,Inputs_Class_Month!$A$5:$A$203,$A27,Inputs_Class_Month!$B$5:$B$203,D$4)+Settings!$B$3*SUMIFS(Inputs_Class_Month!$F$5:$F$203,Inputs_Class_Month!$A$5:$A$203,$A27,Inputs_Class_Month!$B$5:$B$203,D$4))/SUMIFS(Inputs_Class_Month!$D$5:$D$203,Inputs_Class_Month!$A$5:$A$203,$A27,Inputs_Class_Month!$B$5:$B$203,D$4))</f>
        <v>0.751417769376181</v>
      </c>
      <c r="E27" s="8">
        <f>IF(SUMIFS(Inputs_Class_Month!$D$5:$D$203,Inputs_Class_Month!$A$5:$A$203,$A27,Inputs_Class_Month!$B$5:$B$203,E$4)=0,"",(SUMIFS(Inputs_Class_Month!$E$5:$E$203,Inputs_Class_Month!$A$5:$A$203,$A27,Inputs_Class_Month!$B$5:$B$203,E$4)+Settings!$B$3*SUMIFS(Inputs_Class_Month!$F$5:$F$203,Inputs_Class_Month!$A$5:$A$203,$A27,Inputs_Class_Month!$B$5:$B$203,E$4))/SUMIFS(Inputs_Class_Month!$D$5:$D$203,Inputs_Class_Month!$A$5:$A$203,$A27,Inputs_Class_Month!$B$5:$B$203,E$4))</f>
        <v>0.458333333333333</v>
      </c>
      <c r="F27" s="8">
        <f>IF(SUMIFS(Inputs_Class_Month!$D$5:$D$203,Inputs_Class_Month!$A$5:$A$203,$A27,Inputs_Class_Month!$B$5:$B$203,F$4)=0,"",(SUMIFS(Inputs_Class_Month!$E$5:$E$203,Inputs_Class_Month!$A$5:$A$203,$A27,Inputs_Class_Month!$B$5:$B$203,F$4)+Settings!$B$3*SUMIFS(Inputs_Class_Month!$F$5:$F$203,Inputs_Class_Month!$A$5:$A$203,$A27,Inputs_Class_Month!$B$5:$B$203,F$4))/SUMIFS(Inputs_Class_Month!$D$5:$D$203,Inputs_Class_Month!$A$5:$A$203,$A27,Inputs_Class_Month!$B$5:$B$203,F$4))</f>
        <v>0.717948717948718</v>
      </c>
      <c r="G27" s="8">
        <f>IF(SUMIFS(Inputs_Class_Month!$D$5:$D$203,Inputs_Class_Month!$A$5:$A$203,$A27,Inputs_Class_Month!$B$5:$B$203,G$4)=0,"",(SUMIFS(Inputs_Class_Month!$E$5:$E$203,Inputs_Class_Month!$A$5:$A$203,$A27,Inputs_Class_Month!$B$5:$B$203,G$4)+Settings!$B$3*SUMIFS(Inputs_Class_Month!$F$5:$F$203,Inputs_Class_Month!$A$5:$A$203,$A27,Inputs_Class_Month!$B$5:$B$203,G$4))/SUMIFS(Inputs_Class_Month!$D$5:$D$203,Inputs_Class_Month!$A$5:$A$203,$A27,Inputs_Class_Month!$B$5:$B$203,G$4))</f>
        <v>0.681397306397306</v>
      </c>
      <c r="H27" s="8">
        <f>IF(SUMIFS(Inputs_Class_Month!$D$5:$D$203,Inputs_Class_Month!$A$5:$A$203,$A27)=0,"",(SUMIFS(Inputs_Class_Month!$E$5:$E$203,Inputs_Class_Month!$A$5:$A$203,$A27)+Settings!$B$3*SUMIFS(Inputs_Class_Month!$F$5:$F$203,Inputs_Class_Month!$A$5:$A$203,$A27))/SUMIFS(Inputs_Class_Month!$D$5:$D$203,Inputs_Class_Month!$A$5:$A$203,$A27))</f>
        <v>0.698612047651158</v>
      </c>
    </row>
    <row r="28" spans="1:8">
      <c r="A28" t="s">
        <v>48</v>
      </c>
      <c r="B28" s="8">
        <f>IF(SUMIFS(Inputs_Class_Month!$D$5:$D$203,Inputs_Class_Month!$A$5:$A$203,$A28,Inputs_Class_Month!$B$5:$B$203,B$4)=0,"",(SUMIFS(Inputs_Class_Month!$E$5:$E$203,Inputs_Class_Month!$A$5:$A$203,$A28,Inputs_Class_Month!$B$5:$B$203,B$4)+Settings!$B$3*SUMIFS(Inputs_Class_Month!$F$5:$F$203,Inputs_Class_Month!$A$5:$A$203,$A28,Inputs_Class_Month!$B$5:$B$203,B$4))/SUMIFS(Inputs_Class_Month!$D$5:$D$203,Inputs_Class_Month!$A$5:$A$203,$A28,Inputs_Class_Month!$B$5:$B$203,B$4))</f>
        <v>0.783065025252525</v>
      </c>
      <c r="C28" s="8">
        <f>IF(SUMIFS(Inputs_Class_Month!$D$5:$D$203,Inputs_Class_Month!$A$5:$A$203,$A28,Inputs_Class_Month!$B$5:$B$203,C$4)=0,"",(SUMIFS(Inputs_Class_Month!$E$5:$E$203,Inputs_Class_Month!$A$5:$A$203,$A28,Inputs_Class_Month!$B$5:$B$203,C$4)+Settings!$B$3*SUMIFS(Inputs_Class_Month!$F$5:$F$203,Inputs_Class_Month!$A$5:$A$203,$A28,Inputs_Class_Month!$B$5:$B$203,C$4))/SUMIFS(Inputs_Class_Month!$D$5:$D$203,Inputs_Class_Month!$A$5:$A$203,$A28,Inputs_Class_Month!$B$5:$B$203,C$4))</f>
        <v>0.769669117647059</v>
      </c>
      <c r="D28" s="8">
        <f>IF(SUMIFS(Inputs_Class_Month!$D$5:$D$203,Inputs_Class_Month!$A$5:$A$203,$A28,Inputs_Class_Month!$B$5:$B$203,D$4)=0,"",(SUMIFS(Inputs_Class_Month!$E$5:$E$203,Inputs_Class_Month!$A$5:$A$203,$A28,Inputs_Class_Month!$B$5:$B$203,D$4)+Settings!$B$3*SUMIFS(Inputs_Class_Month!$F$5:$F$203,Inputs_Class_Month!$A$5:$A$203,$A28,Inputs_Class_Month!$B$5:$B$203,D$4))/SUMIFS(Inputs_Class_Month!$D$5:$D$203,Inputs_Class_Month!$A$5:$A$203,$A28,Inputs_Class_Month!$B$5:$B$203,D$4))</f>
        <v>0.782608695652174</v>
      </c>
      <c r="E28" s="8">
        <f>IF(SUMIFS(Inputs_Class_Month!$D$5:$D$203,Inputs_Class_Month!$A$5:$A$203,$A28,Inputs_Class_Month!$B$5:$B$203,E$4)=0,"",(SUMIFS(Inputs_Class_Month!$E$5:$E$203,Inputs_Class_Month!$A$5:$A$203,$A28,Inputs_Class_Month!$B$5:$B$203,E$4)+Settings!$B$3*SUMIFS(Inputs_Class_Month!$F$5:$F$203,Inputs_Class_Month!$A$5:$A$203,$A28,Inputs_Class_Month!$B$5:$B$203,E$4))/SUMIFS(Inputs_Class_Month!$D$5:$D$203,Inputs_Class_Month!$A$5:$A$203,$A28,Inputs_Class_Month!$B$5:$B$203,E$4))</f>
        <v>0.479166666666667</v>
      </c>
      <c r="F28" s="8">
        <f>IF(SUMIFS(Inputs_Class_Month!$D$5:$D$203,Inputs_Class_Month!$A$5:$A$203,$A28,Inputs_Class_Month!$B$5:$B$203,F$4)=0,"",(SUMIFS(Inputs_Class_Month!$E$5:$E$203,Inputs_Class_Month!$A$5:$A$203,$A28,Inputs_Class_Month!$B$5:$B$203,F$4)+Settings!$B$3*SUMIFS(Inputs_Class_Month!$F$5:$F$203,Inputs_Class_Month!$A$5:$A$203,$A28,Inputs_Class_Month!$B$5:$B$203,F$4))/SUMIFS(Inputs_Class_Month!$D$5:$D$203,Inputs_Class_Month!$A$5:$A$203,$A28,Inputs_Class_Month!$B$5:$B$203,F$4))</f>
        <v>0.48974358974359</v>
      </c>
      <c r="G28" s="8">
        <f>IF(SUMIFS(Inputs_Class_Month!$D$5:$D$203,Inputs_Class_Month!$A$5:$A$203,$A28,Inputs_Class_Month!$B$5:$B$203,G$4)=0,"",(SUMIFS(Inputs_Class_Month!$E$5:$E$203,Inputs_Class_Month!$A$5:$A$203,$A28,Inputs_Class_Month!$B$5:$B$203,G$4)+Settings!$B$3*SUMIFS(Inputs_Class_Month!$F$5:$F$203,Inputs_Class_Month!$A$5:$A$203,$A28,Inputs_Class_Month!$B$5:$B$203,G$4))/SUMIFS(Inputs_Class_Month!$D$5:$D$203,Inputs_Class_Month!$A$5:$A$203,$A28,Inputs_Class_Month!$B$5:$B$203,G$4))</f>
        <v>0.654154154154154</v>
      </c>
      <c r="H28" s="8">
        <f>IF(SUMIFS(Inputs_Class_Month!$D$5:$D$203,Inputs_Class_Month!$A$5:$A$203,$A28)=0,"",(SUMIFS(Inputs_Class_Month!$E$5:$E$203,Inputs_Class_Month!$A$5:$A$203,$A28)+Settings!$B$3*SUMIFS(Inputs_Class_Month!$F$5:$F$203,Inputs_Class_Month!$A$5:$A$203,$A28))/SUMIFS(Inputs_Class_Month!$D$5:$D$203,Inputs_Class_Month!$A$5:$A$203,$A28))</f>
        <v>0.742162562699498</v>
      </c>
    </row>
  </sheetData>
  <mergeCells count="1">
    <mergeCell ref="A2:H2"/>
  </mergeCells>
  <conditionalFormatting sqref="B5:H2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Settings</vt:lpstr>
      <vt:lpstr>Inputs_Class_Month</vt:lpstr>
      <vt:lpstr>Analysis</vt:lpstr>
      <vt:lpstr>By_Class</vt:lpstr>
      <vt:lpstr>Month_x_Class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2026-10-01T03:41:53Z</dcterms:created>
  <dcterms:modified xsi:type="dcterms:W3CDTF">2026-10-01T03:41:53Z</dcterms:modified>
</cp:coreProperties>
</file>