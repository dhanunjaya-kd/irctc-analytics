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Exercises" sheetId="2" r:id="rId2"/>
    <sheet name="Answer_Key" sheetId="3" r:id="rId3"/>
    <sheet name="Validation_Checks" sheetId="4" r:id="rId4"/>
    <sheet name="Lookup_Stations" sheetId="5" r:id="rId5"/>
    <sheet name="Lookup_Status" sheetId="6" r:id="rId6"/>
    <sheet name="Lookup_Class" sheetId="7" r:id="rId7"/>
    <sheet name="Raw_Bookings" sheetId="8" r:id="rId8"/>
    <sheet name="Raw_Passengers" sheetId="9" r:id="rId9"/>
    <sheet name="Raw_Cancellations" sheetId="10" r:id="rId10"/>
    <sheet name="Raw_Capacity" sheetId="11" r:id="rId11"/>
    <sheet name="Raw_Operations" sheetId="12" r:id="rId12"/>
    <sheet name="Work_Bookings" sheetId="13" r:id="rId13"/>
    <sheet name="Work_Passengers" sheetId="14" r:id="rId14"/>
    <sheet name="Work_Cancellations" sheetId="15" r:id="rId15"/>
    <sheet name="Work_Capacity" sheetId="16" r:id="rId16"/>
    <sheet name="Work_Operations" sheetId="17" r:id="rId17"/>
    <sheet name="Clean_Bookings_Solution" sheetId="18" r:id="rId18"/>
    <sheet name="Clean_Passengers_Solution" sheetId="19" r:id="rId19"/>
  </sheets>
  <definedNames>
    <definedName name="_xlnm._FilterDatabase" localSheetId="1" hidden="1">Exercises!$A$3:$H$33</definedName>
    <definedName name="_xlnm._FilterDatabase" localSheetId="7" hidden="1">Raw_Bookings!$A$1:$M$648</definedName>
    <definedName name="_xlnm._FilterDatabase" localSheetId="9" hidden="1">Raw_Cancellations!$A$1:$J$179</definedName>
    <definedName name="_xlnm._FilterDatabase" localSheetId="10" hidden="1">Raw_Capacity!$A$1:$J$92</definedName>
    <definedName name="_xlnm._FilterDatabase" localSheetId="11" hidden="1">Raw_Operations!$A$1:$F$56</definedName>
    <definedName name="_xlnm._FilterDatabase" localSheetId="8" hidden="1">Raw_Passengers!$A$1:$I$1336</definedName>
  </definedNames>
  <calcPr calcId="124519" fullCalcOnLoad="1"/>
</workbook>
</file>

<file path=xl/sharedStrings.xml><?xml version="1.0" encoding="utf-8"?>
<sst xmlns="http://schemas.openxmlformats.org/spreadsheetml/2006/main" count="17792" uniqueCount="2191">
  <si>
    <t>station_code</t>
  </si>
  <si>
    <t>station_id</t>
  </si>
  <si>
    <t>DEL</t>
  </si>
  <si>
    <t>JAI</t>
  </si>
  <si>
    <t>LUC</t>
  </si>
  <si>
    <t>CHA</t>
  </si>
  <si>
    <t>AMR</t>
  </si>
  <si>
    <t>DEH</t>
  </si>
  <si>
    <t>VAR</t>
  </si>
  <si>
    <t>JOD</t>
  </si>
  <si>
    <t>MUM</t>
  </si>
  <si>
    <t>PUN</t>
  </si>
  <si>
    <t>AHM</t>
  </si>
  <si>
    <t>SUR</t>
  </si>
  <si>
    <t>MAD</t>
  </si>
  <si>
    <t>NAG</t>
  </si>
  <si>
    <t>BHO</t>
  </si>
  <si>
    <t>IND</t>
  </si>
  <si>
    <t>RAI</t>
  </si>
  <si>
    <t>CHE</t>
  </si>
  <si>
    <t>BEN</t>
  </si>
  <si>
    <t>HYD</t>
  </si>
  <si>
    <t>KOC</t>
  </si>
  <si>
    <t>THI</t>
  </si>
  <si>
    <t>COI</t>
  </si>
  <si>
    <t>VIS</t>
  </si>
  <si>
    <t>VIJ</t>
  </si>
  <si>
    <t>MAU</t>
  </si>
  <si>
    <t>KOL</t>
  </si>
  <si>
    <t>BHU</t>
  </si>
  <si>
    <t>PAT</t>
  </si>
  <si>
    <t>RAN</t>
  </si>
  <si>
    <t>GUW</t>
  </si>
  <si>
    <t>DIB</t>
  </si>
  <si>
    <t>variant (trimmed, lower case)</t>
  </si>
  <si>
    <t>canonical status</t>
  </si>
  <si>
    <t>can</t>
  </si>
  <si>
    <t>Cancelled</t>
  </si>
  <si>
    <t>canceled</t>
  </si>
  <si>
    <t>cancelled</t>
  </si>
  <si>
    <t>cnf</t>
  </si>
  <si>
    <t>Confirmed</t>
  </si>
  <si>
    <t>conf</t>
  </si>
  <si>
    <t>confirmed</t>
  </si>
  <si>
    <t>mixed</t>
  </si>
  <si>
    <t>Mixed</t>
  </si>
  <si>
    <t>rac</t>
  </si>
  <si>
    <t>RAC</t>
  </si>
  <si>
    <t>wait-listed</t>
  </si>
  <si>
    <t>Waitlisted</t>
  </si>
  <si>
    <t>waitlist</t>
  </si>
  <si>
    <t>waitlisted</t>
  </si>
  <si>
    <t>wl</t>
  </si>
  <si>
    <t>travel_class</t>
  </si>
  <si>
    <t>standard seats per coach</t>
  </si>
  <si>
    <t>1A</t>
  </si>
  <si>
    <t>2A</t>
  </si>
  <si>
    <t>3A</t>
  </si>
  <si>
    <t>SL</t>
  </si>
  <si>
    <t>CC</t>
  </si>
  <si>
    <t>2S</t>
  </si>
  <si>
    <t>SYNTHETIC reference data.</t>
  </si>
  <si>
    <t>booking_id</t>
  </si>
  <si>
    <t>booking_reference</t>
  </si>
  <si>
    <t>train_id</t>
  </si>
  <si>
    <t>journey_date</t>
  </si>
  <si>
    <t>route_id</t>
  </si>
  <si>
    <t>boarding_station_code</t>
  </si>
  <si>
    <t>destination_station_code</t>
  </si>
  <si>
    <t>booking_ts</t>
  </si>
  <si>
    <t>num_passengers</t>
  </si>
  <si>
    <t>booking_status</t>
  </si>
  <si>
    <t>total_fare</t>
  </si>
  <si>
    <t>data_origin</t>
  </si>
  <si>
    <t>SB621249971</t>
  </si>
  <si>
    <t>2024-09-04</t>
  </si>
  <si>
    <t>2024-06-27 20:12:29</t>
  </si>
  <si>
    <t>SYNTHETIC</t>
  </si>
  <si>
    <t>SB571202856</t>
  </si>
  <si>
    <t>2024-09-16</t>
  </si>
  <si>
    <t>2024-07-26 15:47:31</t>
  </si>
  <si>
    <t>SB522443849</t>
  </si>
  <si>
    <t>2024-10-15</t>
  </si>
  <si>
    <t>2024-07-28 09:25:14</t>
  </si>
  <si>
    <t>SB208033029</t>
  </si>
  <si>
    <t>2024-11-12</t>
  </si>
  <si>
    <t>2024-08-02 08:15:53</t>
  </si>
  <si>
    <t>SB556860764</t>
  </si>
  <si>
    <t>2024-09-28</t>
  </si>
  <si>
    <t>2024-08-03 12:31:15</t>
  </si>
  <si>
    <t>SB367857881</t>
  </si>
  <si>
    <t>2024-10-13</t>
  </si>
  <si>
    <t>2024-08-07 18:54:54</t>
  </si>
  <si>
    <t>SB523925390</t>
  </si>
  <si>
    <t>2024-10-06</t>
  </si>
  <si>
    <t>2024-08-08 12:25:53</t>
  </si>
  <si>
    <t>SB988864421</t>
  </si>
  <si>
    <t>2024-12-04</t>
  </si>
  <si>
    <t>2024-08-09 07:47:10</t>
  </si>
  <si>
    <t>SB056216710</t>
  </si>
  <si>
    <t>2024-08-09 15:00:16</t>
  </si>
  <si>
    <t>SB855147537</t>
  </si>
  <si>
    <t>2024-09-20</t>
  </si>
  <si>
    <t>2024-08-14 02:24:03</t>
  </si>
  <si>
    <t>SB809652026</t>
  </si>
  <si>
    <t>2024-10-07</t>
  </si>
  <si>
    <t>2024-08-16 08:23:13</t>
  </si>
  <si>
    <t>SB749320576</t>
  </si>
  <si>
    <t>2024-09-17</t>
  </si>
  <si>
    <t>2024-08-20 14:22:11</t>
  </si>
  <si>
    <t>SB615109845</t>
  </si>
  <si>
    <t>2024-11-19</t>
  </si>
  <si>
    <t>2024-08-22 09:48:47</t>
  </si>
  <si>
    <t>SB869189215</t>
  </si>
  <si>
    <t>2024-08-23 08:38:50</t>
  </si>
  <si>
    <t>SB811133567</t>
  </si>
  <si>
    <t>2024-11-06</t>
  </si>
  <si>
    <t>2024-08-23 11:40:24</t>
  </si>
  <si>
    <t>SB958398282</t>
  </si>
  <si>
    <t>2024-08-25 09:14:57</t>
  </si>
  <si>
    <t>SB732702682</t>
  </si>
  <si>
    <t>2024-09-24</t>
  </si>
  <si>
    <t>2024-08-27 13:45:08</t>
  </si>
  <si>
    <t>SB475853663</t>
  </si>
  <si>
    <t>2024-12-14</t>
  </si>
  <si>
    <t>2024-08-27 15:52:36</t>
  </si>
  <si>
    <t>Conf</t>
  </si>
  <si>
    <t>SB589689157</t>
  </si>
  <si>
    <t>2024-10-17</t>
  </si>
  <si>
    <t>2024-08-30 05:23:38</t>
  </si>
  <si>
    <t>SB318004199</t>
  </si>
  <si>
    <t>2024-09-08</t>
  </si>
  <si>
    <t>2024-08-31 14:41:11</t>
  </si>
  <si>
    <t>TBD</t>
  </si>
  <si>
    <t>SB232552475</t>
  </si>
  <si>
    <t>2024-10-01</t>
  </si>
  <si>
    <t>2024-09-01 03:40:05</t>
  </si>
  <si>
    <t>SB083011958</t>
  </si>
  <si>
    <t>2024-10-21</t>
  </si>
  <si>
    <t>2024-09-01 21:53:30</t>
  </si>
  <si>
    <t>SB700755002</t>
  </si>
  <si>
    <t>2024-09-14</t>
  </si>
  <si>
    <t>2024-09-01 22:43:13</t>
  </si>
  <si>
    <t>SB407213266</t>
  </si>
  <si>
    <t>2024-09-02 07:02:00</t>
  </si>
  <si>
    <t>SB205650246</t>
  </si>
  <si>
    <t>2024-11-04</t>
  </si>
  <si>
    <t>2024-09-02 20:17:02</t>
  </si>
  <si>
    <t>SB579598255</t>
  </si>
  <si>
    <t>2024-11-02</t>
  </si>
  <si>
    <t>2024-09-05 13:06:00</t>
  </si>
  <si>
    <t>SB414727952</t>
  </si>
  <si>
    <t>2024-09-06 09:51:20</t>
  </si>
  <si>
    <t>SB628851109</t>
  </si>
  <si>
    <t>2024-09-30</t>
  </si>
  <si>
    <t>2024-09-06 13:38:59</t>
  </si>
  <si>
    <t>SB296340854</t>
  </si>
  <si>
    <t>2024-09-08 21:42:33</t>
  </si>
  <si>
    <t>SB590870284</t>
  </si>
  <si>
    <t>2024-09-11 20:56:27</t>
  </si>
  <si>
    <t>SB334021265</t>
  </si>
  <si>
    <t>2024-10-27</t>
  </si>
  <si>
    <t>2024-09-12 02:42:17</t>
  </si>
  <si>
    <t>CNF</t>
  </si>
  <si>
    <t>SB508682056</t>
  </si>
  <si>
    <t>2024-09-13 02:30:31</t>
  </si>
  <si>
    <t>SB964024032</t>
  </si>
  <si>
    <t>2024-09-20 17:58:19</t>
  </si>
  <si>
    <t>SB047199954</t>
  </si>
  <si>
    <t>2025-01-07</t>
  </si>
  <si>
    <t>2024-09-22 09:20:44</t>
  </si>
  <si>
    <t>SB173101738</t>
  </si>
  <si>
    <t>2024-10-31</t>
  </si>
  <si>
    <t>2024-09-23 16:52:35</t>
  </si>
  <si>
    <t>SB032857862</t>
  </si>
  <si>
    <t>2024-09-25</t>
  </si>
  <si>
    <t>2024-09-24 20:51:16</t>
  </si>
  <si>
    <t>N/A</t>
  </si>
  <si>
    <t>SB476433962</t>
  </si>
  <si>
    <t>2024-12-07</t>
  </si>
  <si>
    <t>2024-09-25 11:15:27</t>
  </si>
  <si>
    <t>SB749106614</t>
  </si>
  <si>
    <t>2024-10-29</t>
  </si>
  <si>
    <t>2024-09-26 18:45:24</t>
  </si>
  <si>
    <t>SB648325104</t>
  </si>
  <si>
    <t>2024-09-27 06:39:12</t>
  </si>
  <si>
    <t>SB645555455</t>
  </si>
  <si>
    <t>2024-09-27 20:59:36</t>
  </si>
  <si>
    <t>SB612126234</t>
  </si>
  <si>
    <t>2024-09-28 13:55:29</t>
  </si>
  <si>
    <t>SB909425313</t>
  </si>
  <si>
    <t>2024-09-30 10:03:22</t>
  </si>
  <si>
    <t>SB123548470</t>
  </si>
  <si>
    <t>2024-10-23</t>
  </si>
  <si>
    <t>2024-09-30 13:08:00</t>
  </si>
  <si>
    <t>SB717158934</t>
  </si>
  <si>
    <t>2024-11-10</t>
  </si>
  <si>
    <t>2024-10-01 10:34:18</t>
  </si>
  <si>
    <t>SB680466217</t>
  </si>
  <si>
    <t>2024-10-01 10:46:55</t>
  </si>
  <si>
    <t>SB818434291</t>
  </si>
  <si>
    <t>2024-10-02 11:33:19</t>
  </si>
  <si>
    <t>SB904379862</t>
  </si>
  <si>
    <t>2024-10-03 09:29:38</t>
  </si>
  <si>
    <t>SB693520201</t>
  </si>
  <si>
    <t>2024-10-10</t>
  </si>
  <si>
    <t>2024-10-03 16:51:21</t>
  </si>
  <si>
    <t>SB799046748</t>
  </si>
  <si>
    <t>2024-12-21</t>
  </si>
  <si>
    <t>2024-10-07 17:21:56</t>
  </si>
  <si>
    <t>SB985773829</t>
  </si>
  <si>
    <t>2024-10-25</t>
  </si>
  <si>
    <t>2024-10-08 07:15:28</t>
  </si>
  <si>
    <t>SB267249275</t>
  </si>
  <si>
    <t>2024-12-18</t>
  </si>
  <si>
    <t>2024-10-08 12:06:25</t>
  </si>
  <si>
    <t>SB830200167</t>
  </si>
  <si>
    <t>2024-10-09 05:53:24</t>
  </si>
  <si>
    <t>SB867386731</t>
  </si>
  <si>
    <t>2025-01-29</t>
  </si>
  <si>
    <t>2024-10-10 09:13:17</t>
  </si>
  <si>
    <t>SB647230429</t>
  </si>
  <si>
    <t>2024-10-10 10:13:21</t>
  </si>
  <si>
    <t>SB515789347</t>
  </si>
  <si>
    <t>2024-10-10 13:28:51</t>
  </si>
  <si>
    <t>SB507974247</t>
  </si>
  <si>
    <t>2024-10-13 14:06:22</t>
  </si>
  <si>
    <t>SB333807303</t>
  </si>
  <si>
    <t>2024-11-05</t>
  </si>
  <si>
    <t>2024-10-13 19:57:26</t>
  </si>
  <si>
    <t>SB554457452</t>
  </si>
  <si>
    <t>2024-11-25</t>
  </si>
  <si>
    <t>2024-10-14 22:38:58</t>
  </si>
  <si>
    <t>SB462972583</t>
  </si>
  <si>
    <t>2024-10-15 17:00:31</t>
  </si>
  <si>
    <t>SB554951299</t>
  </si>
  <si>
    <t>2024-10-16 09:34:12</t>
  </si>
  <si>
    <t>SB087242619</t>
  </si>
  <si>
    <t>2024-10-16 18:43:26</t>
  </si>
  <si>
    <t>SB558214795</t>
  </si>
  <si>
    <t>rai</t>
  </si>
  <si>
    <t>jai</t>
  </si>
  <si>
    <t>2024-10-16 19:57:51</t>
  </si>
  <si>
    <t>SB489080551</t>
  </si>
  <si>
    <t>2024-11-15</t>
  </si>
  <si>
    <t>2024-10-19 20:39:27</t>
  </si>
  <si>
    <t>SB273175439</t>
  </si>
  <si>
    <t>2024-11-03</t>
  </si>
  <si>
    <t>2024-10-22 13:51:19</t>
  </si>
  <si>
    <t>SB041940541</t>
  </si>
  <si>
    <t>2024-10-24 23:15:15</t>
  </si>
  <si>
    <t>SB458614412</t>
  </si>
  <si>
    <t>2024-10-30</t>
  </si>
  <si>
    <t>2024-10-26 20:14:16</t>
  </si>
  <si>
    <t>SB676494912</t>
  </si>
  <si>
    <t>2024-10-28 15:01:22</t>
  </si>
  <si>
    <t>SB456338610</t>
  </si>
  <si>
    <t>2024-11-24</t>
  </si>
  <si>
    <t>2024-10-28 16:10:55</t>
  </si>
  <si>
    <t>SB031355792</t>
  </si>
  <si>
    <t>2024-10-28 19:00:42</t>
  </si>
  <si>
    <t>SB518151601</t>
  </si>
  <si>
    <t>2024-11-18</t>
  </si>
  <si>
    <t>2024-10-30 03:10:00</t>
  </si>
  <si>
    <t>SB800120894</t>
  </si>
  <si>
    <t>2024-10-31 13:19:27</t>
  </si>
  <si>
    <t>SB008210906</t>
  </si>
  <si>
    <t>2024-10-31 20:30:13</t>
  </si>
  <si>
    <t>SB690536590</t>
  </si>
  <si>
    <t>2024-11-01 18:50:33</t>
  </si>
  <si>
    <t>SB703096727</t>
  </si>
  <si>
    <t>12-11-2024</t>
  </si>
  <si>
    <t>2024-11-02 16:43:29</t>
  </si>
  <si>
    <t>SB908417090</t>
  </si>
  <si>
    <t>2024-11-13</t>
  </si>
  <si>
    <t>2024-11-03 18:11:15</t>
  </si>
  <si>
    <t>SB459301692</t>
  </si>
  <si>
    <t>2024-11-04 19:29:20</t>
  </si>
  <si>
    <t>?</t>
  </si>
  <si>
    <t>SB254475176</t>
  </si>
  <si>
    <t>2024-12-29</t>
  </si>
  <si>
    <t>2024-11-04 22:01:37</t>
  </si>
  <si>
    <t>SB684203031</t>
  </si>
  <si>
    <t>2024-11-09 11:05:10</t>
  </si>
  <si>
    <t>SB173768489</t>
  </si>
  <si>
    <t>2024-12-15</t>
  </si>
  <si>
    <t>2024-11-10 06:12:59</t>
  </si>
  <si>
    <t>SB583915368</t>
  </si>
  <si>
    <t>2024-11-17</t>
  </si>
  <si>
    <t>2024-11-10 23:30:26</t>
  </si>
  <si>
    <t>SB465528270</t>
  </si>
  <si>
    <t>2024-12-24</t>
  </si>
  <si>
    <t>2024-11-13 10:57:53</t>
  </si>
  <si>
    <t>SB622089626</t>
  </si>
  <si>
    <t>2024-11-14 23:17:09</t>
  </si>
  <si>
    <t>SB228260227</t>
  </si>
  <si>
    <t>2024-12-05</t>
  </si>
  <si>
    <t>2024-11-16 18:24:39</t>
  </si>
  <si>
    <t>SB561758176</t>
  </si>
  <si>
    <t>2024-11-17 07:53:56</t>
  </si>
  <si>
    <t>SB271973783</t>
  </si>
  <si>
    <t>2024-12-26</t>
  </si>
  <si>
    <t>2024-11-19 08:55:24</t>
  </si>
  <si>
    <t>SB043014687</t>
  </si>
  <si>
    <t>2024-11-20 11:56:07</t>
  </si>
  <si>
    <t>SB513986863</t>
  </si>
  <si>
    <t>SB783396019</t>
  </si>
  <si>
    <t>2024-11-21 12:23:07</t>
  </si>
  <si>
    <t>SB303621049</t>
  </si>
  <si>
    <t>2024-11-22 12:39:37</t>
  </si>
  <si>
    <t>SB794174201</t>
  </si>
  <si>
    <t>2025-01-08</t>
  </si>
  <si>
    <t>2024-11-25 18:54:45</t>
  </si>
  <si>
    <t>SB106803066</t>
  </si>
  <si>
    <t>2024-12-28</t>
  </si>
  <si>
    <t>2024-11-27 19:44:40</t>
  </si>
  <si>
    <t>SB789128750</t>
  </si>
  <si>
    <t>2024-12-10</t>
  </si>
  <si>
    <t>2024-11-28 20:31:03</t>
  </si>
  <si>
    <t>SB835611955</t>
  </si>
  <si>
    <t>2024-11-30 16:47:03</t>
  </si>
  <si>
    <t>SB850941741</t>
  </si>
  <si>
    <t>2025-01-26</t>
  </si>
  <si>
    <t>2024-11-30 18:53:02</t>
  </si>
  <si>
    <t>SB413892633</t>
  </si>
  <si>
    <t>2024-12-01 13:18:27</t>
  </si>
  <si>
    <t>SB028866028</t>
  </si>
  <si>
    <t>2024-12-02 06:42:29</t>
  </si>
  <si>
    <t>SB515167990</t>
  </si>
  <si>
    <t>2025-02-02</t>
  </si>
  <si>
    <t>2024-12-02 09:33:36</t>
  </si>
  <si>
    <t>SB252779673</t>
  </si>
  <si>
    <t>2025-02-19</t>
  </si>
  <si>
    <t>2024-12-03 19:02:09</t>
  </si>
  <si>
    <t>SB100469507</t>
  </si>
  <si>
    <t>2024-12-20</t>
  </si>
  <si>
    <t>2024-12-05 08:07:45</t>
  </si>
  <si>
    <t>SB083357766</t>
  </si>
  <si>
    <t>2024-12-17</t>
  </si>
  <si>
    <t>2024-12-08 16:56:45</t>
  </si>
  <si>
    <t>SB185126970</t>
  </si>
  <si>
    <t>2024-12-10 20:27:45</t>
  </si>
  <si>
    <t>SB631966566</t>
  </si>
  <si>
    <t>2024-12-11 22:47:35</t>
  </si>
  <si>
    <t>SB515855270</t>
  </si>
  <si>
    <t>22-12-2024</t>
  </si>
  <si>
    <t>2024-12-12 09:31:34</t>
  </si>
  <si>
    <t>SB531185056</t>
  </si>
  <si>
    <t>2024-12-12 11:09:15</t>
  </si>
  <si>
    <t>SB234873671</t>
  </si>
  <si>
    <t>2025-01-24</t>
  </si>
  <si>
    <t>2024-12-13 08:58:10</t>
  </si>
  <si>
    <t>SB684976763</t>
  </si>
  <si>
    <t>2025-01-01</t>
  </si>
  <si>
    <t>2024-12-14 14:59:45</t>
  </si>
  <si>
    <t>SB186608511</t>
  </si>
  <si>
    <t>2025-01-03</t>
  </si>
  <si>
    <t>2024-12-14 18:52:39</t>
  </si>
  <si>
    <t>SB183838862</t>
  </si>
  <si>
    <t>2025-03-04</t>
  </si>
  <si>
    <t>2024-12-15 13:56:03</t>
  </si>
  <si>
    <t>SB395192370</t>
  </si>
  <si>
    <t>2025-02-10</t>
  </si>
  <si>
    <t>2024-12-16 12:16:25</t>
  </si>
  <si>
    <t>SB083551199</t>
  </si>
  <si>
    <t>2025-03-08</t>
  </si>
  <si>
    <t>2024-12-17 06:31:22</t>
  </si>
  <si>
    <t>SB927977537</t>
  </si>
  <si>
    <t>2024-12-18 06:44:37</t>
  </si>
  <si>
    <t>SB377586782</t>
  </si>
  <si>
    <t>2025-04-04</t>
  </si>
  <si>
    <t>2024-12-18 10:08:15</t>
  </si>
  <si>
    <t>SB720381372</t>
  </si>
  <si>
    <t>2024-12-18 21:26:02</t>
  </si>
  <si>
    <t>SB274035623</t>
  </si>
  <si>
    <t>2024-12-19 10:38:11</t>
  </si>
  <si>
    <t>SB163957472</t>
  </si>
  <si>
    <t>2025-01-28</t>
  </si>
  <si>
    <t>2024-12-19 11:15:37</t>
  </si>
  <si>
    <t>SB807314637</t>
  </si>
  <si>
    <t>2024-12-22 11:47:38</t>
  </si>
  <si>
    <t>SB496167313</t>
  </si>
  <si>
    <t>2025-01-20</t>
  </si>
  <si>
    <t>2024-12-24 08:25:28</t>
  </si>
  <si>
    <t>SB371253223</t>
  </si>
  <si>
    <t>2024-12-25 11:46:01</t>
  </si>
  <si>
    <t>SB463725786</t>
  </si>
  <si>
    <t>2024-12-27 09:51:05</t>
  </si>
  <si>
    <t>SB590121417</t>
  </si>
  <si>
    <t>2025-04-13</t>
  </si>
  <si>
    <t>2024-12-29 19:58:50</t>
  </si>
  <si>
    <t>SB706726560</t>
  </si>
  <si>
    <t>2025-04-22</t>
  </si>
  <si>
    <t>2024-12-30 19:34:23</t>
  </si>
  <si>
    <t>SB287776887</t>
  </si>
  <si>
    <t>2024-12-30 19:58:30</t>
  </si>
  <si>
    <t>SB636604622</t>
  </si>
  <si>
    <t>2025-01-18</t>
  </si>
  <si>
    <t>2024-12-31 10:49:53</t>
  </si>
  <si>
    <t>SB998486341</t>
  </si>
  <si>
    <t>2025-02-15</t>
  </si>
  <si>
    <t>2025-02-19 09:00:00</t>
  </si>
  <si>
    <t>SB613459736</t>
  </si>
  <si>
    <t>2025-01-03 17:17:24</t>
  </si>
  <si>
    <t>SB311115206</t>
  </si>
  <si>
    <t>2025-01-19</t>
  </si>
  <si>
    <t>2025-01-04 20:08:11</t>
  </si>
  <si>
    <t>two</t>
  </si>
  <si>
    <t>SB451852929</t>
  </si>
  <si>
    <t>2025-01-15</t>
  </si>
  <si>
    <t>2025-01-05 01:48:50</t>
  </si>
  <si>
    <t>SB556391782</t>
  </si>
  <si>
    <t>2025-01-06 13:36:02</t>
  </si>
  <si>
    <t>SB660436788</t>
  </si>
  <si>
    <t>2025-02-23</t>
  </si>
  <si>
    <t>2025-01-06 16:51:39</t>
  </si>
  <si>
    <t>SB376191693</t>
  </si>
  <si>
    <t xml:space="preserve"> MUM </t>
  </si>
  <si>
    <t xml:space="preserve"> BEN </t>
  </si>
  <si>
    <t>2025-01-06 22:22:46</t>
  </si>
  <si>
    <t>SB443737415</t>
  </si>
  <si>
    <t>2025-04-24</t>
  </si>
  <si>
    <t>2025-01-16 09:06:54</t>
  </si>
  <si>
    <t>SB853884294</t>
  </si>
  <si>
    <t>2025-01-17 07:20:52</t>
  </si>
  <si>
    <t>SB428901476</t>
  </si>
  <si>
    <t>2025-01-17 10:38:47</t>
  </si>
  <si>
    <t>SB662111762</t>
  </si>
  <si>
    <t>2025-02-05</t>
  </si>
  <si>
    <t>2025-01-19 08:27:10</t>
  </si>
  <si>
    <t>SB464306085</t>
  </si>
  <si>
    <t>2025-03-11</t>
  </si>
  <si>
    <t>2025-01-21 14:09:00</t>
  </si>
  <si>
    <t>SB938541757</t>
  </si>
  <si>
    <t>2025-01-22 05:27:51</t>
  </si>
  <si>
    <t>SB382611704</t>
  </si>
  <si>
    <t>2025-01-27</t>
  </si>
  <si>
    <t>2025-01-23 17:27:50</t>
  </si>
  <si>
    <t>SB616315837</t>
  </si>
  <si>
    <t>2025-01-26 13:13:04</t>
  </si>
  <si>
    <t>SB127244226</t>
  </si>
  <si>
    <t>2025-04-06</t>
  </si>
  <si>
    <t>2025-01-26 20:55:14</t>
  </si>
  <si>
    <t>SB005593632</t>
  </si>
  <si>
    <t>2025-05-16</t>
  </si>
  <si>
    <t>2025-01-28 17:03:33</t>
  </si>
  <si>
    <t>SB004799371</t>
  </si>
  <si>
    <t>2025-02-24</t>
  </si>
  <si>
    <t>2025-02-03 10:20:18</t>
  </si>
  <si>
    <t>SB784643069</t>
  </si>
  <si>
    <t>2025-03-05</t>
  </si>
  <si>
    <t>2025-02-03 11:45:20</t>
  </si>
  <si>
    <t>SB552420477</t>
  </si>
  <si>
    <t>2025-02-03 19:49:42</t>
  </si>
  <si>
    <t>SB384286678</t>
  </si>
  <si>
    <t>2025-02-03 21:47:24</t>
  </si>
  <si>
    <t>SB289538313</t>
  </si>
  <si>
    <t>2025-02-18</t>
  </si>
  <si>
    <t xml:space="preserve"> VAR </t>
  </si>
  <si>
    <t xml:space="preserve"> AHM </t>
  </si>
  <si>
    <t>2025-02-04 04:06:20</t>
  </si>
  <si>
    <t>SB583573896</t>
  </si>
  <si>
    <t>2025-02-05 06:31:55</t>
  </si>
  <si>
    <t>SB854464593</t>
  </si>
  <si>
    <t>2025-03-24</t>
  </si>
  <si>
    <t>2025-02-09 08:09:05</t>
  </si>
  <si>
    <t>SB308818875</t>
  </si>
  <si>
    <t>2025-02-12 21:58:53</t>
  </si>
  <si>
    <t>SB186674434</t>
  </si>
  <si>
    <t>2025-04-18</t>
  </si>
  <si>
    <t>2025-02-13 10:47:01</t>
  </si>
  <si>
    <t>SB129112633</t>
  </si>
  <si>
    <t>2025-02-14 12:57:03</t>
  </si>
  <si>
    <t>SB818459156</t>
  </si>
  <si>
    <t>2025-02-16 20:45:28</t>
  </si>
  <si>
    <t>SB017746374</t>
  </si>
  <si>
    <t>2025-03-30</t>
  </si>
  <si>
    <t>2025-02-17 21:22:53</t>
  </si>
  <si>
    <t>SB849612575</t>
  </si>
  <si>
    <t>2025-02-18 06:21:39</t>
  </si>
  <si>
    <t>SB299221820</t>
  </si>
  <si>
    <t>2025-02-21</t>
  </si>
  <si>
    <t>2025-02-18 09:12:30</t>
  </si>
  <si>
    <t>SB565367480</t>
  </si>
  <si>
    <t>2025-03-15</t>
  </si>
  <si>
    <t>2025-02-18 13:08:41</t>
  </si>
  <si>
    <t>SB639246761</t>
  </si>
  <si>
    <t>2025-04-16</t>
  </si>
  <si>
    <t>ben</t>
  </si>
  <si>
    <t>mum</t>
  </si>
  <si>
    <t>2025-02-19 12:14:55</t>
  </si>
  <si>
    <t>SB911919413</t>
  </si>
  <si>
    <t>2025-02-20 14:56:13</t>
  </si>
  <si>
    <t>SB924479550</t>
  </si>
  <si>
    <t>2025-02-21 10:49:29</t>
  </si>
  <si>
    <t>SB863654253</t>
  </si>
  <si>
    <t>2025-03-12</t>
  </si>
  <si>
    <t>2025-02-22 01:40:23</t>
  </si>
  <si>
    <t>SB606805234</t>
  </si>
  <si>
    <t>2025-02-22 07:36:42</t>
  </si>
  <si>
    <t>₹2,470.00</t>
  </si>
  <si>
    <t>SB913400954</t>
  </si>
  <si>
    <t>2025-03-09</t>
  </si>
  <si>
    <t>2025-02-23 18:28:39</t>
  </si>
  <si>
    <t>SB745761002</t>
  </si>
  <si>
    <t>2025-03-14</t>
  </si>
  <si>
    <t>2025-02-24 20:30:22</t>
  </si>
  <si>
    <t>SB392381663</t>
  </si>
  <si>
    <t>2025-02-28 02:04:41</t>
  </si>
  <si>
    <t>SB701747032</t>
  </si>
  <si>
    <t>2025-03-19</t>
  </si>
  <si>
    <t>2025-03-01 06:25:00</t>
  </si>
  <si>
    <t>SB286554702</t>
  </si>
  <si>
    <t>2025-03-31</t>
  </si>
  <si>
    <t>2025-03-02 14:49:29</t>
  </si>
  <si>
    <t>SB593150422</t>
  </si>
  <si>
    <t>2025-03-04 07:28:34</t>
  </si>
  <si>
    <t>SB952756339</t>
  </si>
  <si>
    <t>2025-06-27</t>
  </si>
  <si>
    <t>2025-03-07 20:24:25</t>
  </si>
  <si>
    <t>SB849205180</t>
  </si>
  <si>
    <t>2025-03-08 18:12:02</t>
  </si>
  <si>
    <t>SB348067279</t>
  </si>
  <si>
    <t>2025-03-09 13:37:20</t>
  </si>
  <si>
    <t>SB342527981</t>
  </si>
  <si>
    <t>2025-04-20</t>
  </si>
  <si>
    <t>2025-03-10 19:50:20</t>
  </si>
  <si>
    <t>SB214350395</t>
  </si>
  <si>
    <t>2025-03-11 13:24:38</t>
  </si>
  <si>
    <t>SB985391299</t>
  </si>
  <si>
    <t>2025-05-02</t>
  </si>
  <si>
    <t>2025-03-12 11:18:29</t>
  </si>
  <si>
    <t>SB383471888</t>
  </si>
  <si>
    <t>2025-06-21</t>
  </si>
  <si>
    <t>2025-03-13 17:14:07</t>
  </si>
  <si>
    <t>SB704903547</t>
  </si>
  <si>
    <t>2025-03-14 14:41:09</t>
  </si>
  <si>
    <t>SB748123256</t>
  </si>
  <si>
    <t>2025-05-05</t>
  </si>
  <si>
    <t>2025-03-15 13:40:06</t>
  </si>
  <si>
    <t>SB990630183</t>
  </si>
  <si>
    <t>2025-03-17 15:19:17</t>
  </si>
  <si>
    <t>SB593537288</t>
  </si>
  <si>
    <t>2025-03-18 13:37:22</t>
  </si>
  <si>
    <t>SB957694809</t>
  </si>
  <si>
    <t>2025-06-13</t>
  </si>
  <si>
    <t>2025-06-18 08:00:00</t>
  </si>
  <si>
    <t>SB600558127</t>
  </si>
  <si>
    <t>2025-04-17</t>
  </si>
  <si>
    <t>2025-03-20 13:49:29</t>
  </si>
  <si>
    <t>SB992605571</t>
  </si>
  <si>
    <t>2025-03-21 20:04:54</t>
  </si>
  <si>
    <t>SB304740589</t>
  </si>
  <si>
    <t>2025-03-22 08:37:36</t>
  </si>
  <si>
    <t>SB296431642</t>
  </si>
  <si>
    <t>2025-06-29</t>
  </si>
  <si>
    <t>2025-03-23 23:37:06</t>
  </si>
  <si>
    <t>SB902602243</t>
  </si>
  <si>
    <t>2025-03-25 12:25:57</t>
  </si>
  <si>
    <t>SB772148855</t>
  </si>
  <si>
    <t>2025-05-14</t>
  </si>
  <si>
    <t>2025-03-27 19:12:41</t>
  </si>
  <si>
    <t>SB551992553</t>
  </si>
  <si>
    <t>2025-03-27 19:42:34</t>
  </si>
  <si>
    <t>SB068954087</t>
  </si>
  <si>
    <t>2025-06-23</t>
  </si>
  <si>
    <t>2025-03-28 07:23:10</t>
  </si>
  <si>
    <t>SB576618980</t>
  </si>
  <si>
    <t>2025-03-28 08:11:49</t>
  </si>
  <si>
    <t>SB460507684</t>
  </si>
  <si>
    <t>2025-03-28 11:40:52</t>
  </si>
  <si>
    <t>SB056887797</t>
  </si>
  <si>
    <t>2025-13-05</t>
  </si>
  <si>
    <t>2025-03-28 13:21:00</t>
  </si>
  <si>
    <t>SB543189759</t>
  </si>
  <si>
    <t>2025-07-02</t>
  </si>
  <si>
    <t>2025-03-28 16:05:49</t>
  </si>
  <si>
    <t>SB855818624</t>
  </si>
  <si>
    <t>2025-03-30 05:27:06</t>
  </si>
  <si>
    <t>SB180019932</t>
  </si>
  <si>
    <t>2025-03-30 07:41:31</t>
  </si>
  <si>
    <t>SB455956080</t>
  </si>
  <si>
    <t>2025-04-26</t>
  </si>
  <si>
    <t>2025-03-31 16:43:34</t>
  </si>
  <si>
    <t>SB737925373</t>
  </si>
  <si>
    <t>2025-04-02</t>
  </si>
  <si>
    <t>2025-04-01 19:50:46</t>
  </si>
  <si>
    <t>SB717550136</t>
  </si>
  <si>
    <t>2025-05-24</t>
  </si>
  <si>
    <t>2025-04-04 08:49:53</t>
  </si>
  <si>
    <t>SB002782925</t>
  </si>
  <si>
    <t>2025-06-09</t>
  </si>
  <si>
    <t>2025-04-06 08:04:46</t>
  </si>
  <si>
    <t>SB416193300</t>
  </si>
  <si>
    <t>2025-06-04</t>
  </si>
  <si>
    <t>2025-04-07 11:01:20</t>
  </si>
  <si>
    <t>SB569491160</t>
  </si>
  <si>
    <t>2025-04-11</t>
  </si>
  <si>
    <t>2025-04-08 08:54:47</t>
  </si>
  <si>
    <t>SB457137207</t>
  </si>
  <si>
    <t>2025-04-09 20:59:54</t>
  </si>
  <si>
    <t>SB628534502</t>
  </si>
  <si>
    <t>25-05-2025</t>
  </si>
  <si>
    <t>2025-04-10 08:50:34</t>
  </si>
  <si>
    <t>SB246277546</t>
  </si>
  <si>
    <t>2025-04-14</t>
  </si>
  <si>
    <t>2025-04-10 09:10:52</t>
  </si>
  <si>
    <t>SB472960840</t>
  </si>
  <si>
    <t>2025-05-28</t>
  </si>
  <si>
    <t>2025-04-11 06:03:49</t>
  </si>
  <si>
    <t>SB742369996</t>
  </si>
  <si>
    <t>2025-04-25</t>
  </si>
  <si>
    <t>2025-04-11 18:52:00</t>
  </si>
  <si>
    <t>SB891116252</t>
  </si>
  <si>
    <t>2025-04-27</t>
  </si>
  <si>
    <t>2025-04-15 18:49:12</t>
  </si>
  <si>
    <t>SB919006175</t>
  </si>
  <si>
    <t>2025-04-16 12:43:31</t>
  </si>
  <si>
    <t>SB524682929</t>
  </si>
  <si>
    <t>2025-04-16 18:18:28</t>
  </si>
  <si>
    <t>SB947389945</t>
  </si>
  <si>
    <t>2025-04-17 23:48:54</t>
  </si>
  <si>
    <t>SB063995088</t>
  </si>
  <si>
    <t>2025-04-18 20:02:07</t>
  </si>
  <si>
    <t>SB302744672</t>
  </si>
  <si>
    <t>2025-04-19 09:12:17</t>
  </si>
  <si>
    <t>SB202950856</t>
  </si>
  <si>
    <t>2025-04-21 15:03:50</t>
  </si>
  <si>
    <t>SB511822378</t>
  </si>
  <si>
    <t>2025-06-02</t>
  </si>
  <si>
    <t>2025-04-21 15:07:04</t>
  </si>
  <si>
    <t>SB059443484</t>
  </si>
  <si>
    <t>2025-04-22 00:29:08</t>
  </si>
  <si>
    <t>SB677186528</t>
  </si>
  <si>
    <t>2025-04-22 02:03:18</t>
  </si>
  <si>
    <t>SB327070685</t>
  </si>
  <si>
    <t>2025-04-25 10:30:52</t>
  </si>
  <si>
    <t>SB049352582</t>
  </si>
  <si>
    <t>2025-04-26 15:57:26</t>
  </si>
  <si>
    <t>SB747008052</t>
  </si>
  <si>
    <t>2025-05-06</t>
  </si>
  <si>
    <t>2025-04-27 12:55:19</t>
  </si>
  <si>
    <t>SB487389384</t>
  </si>
  <si>
    <t>2025-04-28 08:34:18</t>
  </si>
  <si>
    <t>SB643456893</t>
  </si>
  <si>
    <t>2025-04-28 11:53:48</t>
  </si>
  <si>
    <t>SB756798540</t>
  </si>
  <si>
    <t>2025-04-29</t>
  </si>
  <si>
    <t>2025-04-28 20:01:19</t>
  </si>
  <si>
    <t>SB060624611</t>
  </si>
  <si>
    <t>2025-07-07</t>
  </si>
  <si>
    <t xml:space="preserve"> HYD </t>
  </si>
  <si>
    <t xml:space="preserve"> KOL </t>
  </si>
  <si>
    <t>2025-05-01 09:52:01</t>
  </si>
  <si>
    <t>SB696960937</t>
  </si>
  <si>
    <t>2025-05-27</t>
  </si>
  <si>
    <t>2025-05-01 19:07:24</t>
  </si>
  <si>
    <t>SB070415099</t>
  </si>
  <si>
    <t>2025-05-02 15:35:22</t>
  </si>
  <si>
    <t>SB413209689</t>
  </si>
  <si>
    <t>2025-05-03 08:03:32</t>
  </si>
  <si>
    <t>SB422506330</t>
  </si>
  <si>
    <t>2025-05-03 12:17:03</t>
  </si>
  <si>
    <t>SB738398691</t>
  </si>
  <si>
    <t>2025-05-12</t>
  </si>
  <si>
    <t>2025-05-05 10:56:54</t>
  </si>
  <si>
    <t>SB876366765</t>
  </si>
  <si>
    <t>2025-05-06 07:08:24</t>
  </si>
  <si>
    <t>SB191765279</t>
  </si>
  <si>
    <t>2025-07-16</t>
  </si>
  <si>
    <t>2025-05-07 06:11:33</t>
  </si>
  <si>
    <t>SB060324197</t>
  </si>
  <si>
    <t>2025-05-07 09:38:16</t>
  </si>
  <si>
    <t>SB956773038</t>
  </si>
  <si>
    <t>2025-07-04</t>
  </si>
  <si>
    <t>2025-05-08 09:29:56</t>
  </si>
  <si>
    <t>SB137466974</t>
  </si>
  <si>
    <t>2025-05-08 20:13:42</t>
  </si>
  <si>
    <t>SB609426844</t>
  </si>
  <si>
    <t>2025-05-11 07:09:03</t>
  </si>
  <si>
    <t>SB661943194</t>
  </si>
  <si>
    <t>2025-05-13</t>
  </si>
  <si>
    <t>2025-05-12 08:17:22</t>
  </si>
  <si>
    <t>SB677766827</t>
  </si>
  <si>
    <t>2025-05-13 09:19:58</t>
  </si>
  <si>
    <t>SB078617065</t>
  </si>
  <si>
    <t>2025-05-13 18:07:32</t>
  </si>
  <si>
    <t>SB464137517</t>
  </si>
  <si>
    <t>2025-05-26</t>
  </si>
  <si>
    <t>2025-05-14 07:17:53</t>
  </si>
  <si>
    <t>SB069814271</t>
  </si>
  <si>
    <t>2025-07-06</t>
  </si>
  <si>
    <t>2025-05-14 14:50:38</t>
  </si>
  <si>
    <t>SB107988529</t>
  </si>
  <si>
    <t>2025-05-18 07:22:11</t>
  </si>
  <si>
    <t>SB389463975</t>
  </si>
  <si>
    <t>2025-05-18 14:19:18</t>
  </si>
  <si>
    <t>SB750358000</t>
  </si>
  <si>
    <t>2025-05-18 15:33:59</t>
  </si>
  <si>
    <t>SB655609635</t>
  </si>
  <si>
    <t>2025-09-15</t>
  </si>
  <si>
    <t>2025-05-18 17:48:07</t>
  </si>
  <si>
    <t>SB108482376</t>
  </si>
  <si>
    <t>2025-05-19</t>
  </si>
  <si>
    <t>2025-05-19 10:28:49</t>
  </si>
  <si>
    <t>SB029557644</t>
  </si>
  <si>
    <t>2025-05-20 19:50:14</t>
  </si>
  <si>
    <t>SB846587906</t>
  </si>
  <si>
    <t>2025-07-25</t>
  </si>
  <si>
    <t>2025-05-22 02:27:40</t>
  </si>
  <si>
    <t>SB474121438</t>
  </si>
  <si>
    <t>2025-05-23 15:00:39</t>
  </si>
  <si>
    <t>SB881498668</t>
  </si>
  <si>
    <t>2025-05-24 21:21:43</t>
  </si>
  <si>
    <t>SB169007259</t>
  </si>
  <si>
    <t>2025-05-25 05:31:16</t>
  </si>
  <si>
    <t>SB056159459</t>
  </si>
  <si>
    <t>2025-05-25 17:58:41</t>
  </si>
  <si>
    <t>SB833727355</t>
  </si>
  <si>
    <t>2025-07-21</t>
  </si>
  <si>
    <t>2025-05-27 14:26:38</t>
  </si>
  <si>
    <t>SB812364424</t>
  </si>
  <si>
    <t>2025-06-18</t>
  </si>
  <si>
    <t>2025-05-27 17:01:44</t>
  </si>
  <si>
    <t>SB680923342</t>
  </si>
  <si>
    <t>2025-05-27 19:09:04</t>
  </si>
  <si>
    <t>SB821661065</t>
  </si>
  <si>
    <t>2025-06-10</t>
  </si>
  <si>
    <t>2025-05-27 21:33:41</t>
  </si>
  <si>
    <t>SB197884876</t>
  </si>
  <si>
    <t>2025-07-19</t>
  </si>
  <si>
    <t>2025-05-28 07:24:53</t>
  </si>
  <si>
    <t>SB510019894</t>
  </si>
  <si>
    <t>2025-05-28 17:16:10</t>
  </si>
  <si>
    <t>SB745999829</t>
  </si>
  <si>
    <t>2025-05-29 20:36:03</t>
  </si>
  <si>
    <t>SB251388920</t>
  </si>
  <si>
    <t>2025-00-10</t>
  </si>
  <si>
    <t>2025-06-01 06:45:26</t>
  </si>
  <si>
    <t>SB343367636</t>
  </si>
  <si>
    <t>2025-06-01 17:16:08</t>
  </si>
  <si>
    <t>SB335058689</t>
  </si>
  <si>
    <t>2025-06-03 20:49:44</t>
  </si>
  <si>
    <t>SB288275070</t>
  </si>
  <si>
    <t>2025-06-08 20:44:57</t>
  </si>
  <si>
    <t>SB592101141</t>
  </si>
  <si>
    <t>2025-07-09</t>
  </si>
  <si>
    <t>2025-06-11 14:34:27</t>
  </si>
  <si>
    <t>SB518715707</t>
  </si>
  <si>
    <t>2025-06-11 15:05:08</t>
  </si>
  <si>
    <t>SB873576587</t>
  </si>
  <si>
    <t>2025-06-11 20:21:16</t>
  </si>
  <si>
    <t>SB026874447</t>
  </si>
  <si>
    <t>2025-06-12 18:25:26</t>
  </si>
  <si>
    <t>SB895927212</t>
  </si>
  <si>
    <t>2025-06-16</t>
  </si>
  <si>
    <t>2025-06-14 01:14:04</t>
  </si>
  <si>
    <t>SB354833098</t>
  </si>
  <si>
    <t>2025-04-31</t>
  </si>
  <si>
    <t>2025-06-14 17:01:33</t>
  </si>
  <si>
    <t>SB037158782</t>
  </si>
  <si>
    <t>2025-06-15 17:02:42</t>
  </si>
  <si>
    <t>SB403291691</t>
  </si>
  <si>
    <t>2025-06-21 07:45:15</t>
  </si>
  <si>
    <t>SB415851828</t>
  </si>
  <si>
    <t>2025-08-17</t>
  </si>
  <si>
    <t>2025-06-22 02:16:44</t>
  </si>
  <si>
    <t>SB756370616</t>
  </si>
  <si>
    <t>2025-06-25 04:21:55</t>
  </si>
  <si>
    <t>SB508517824</t>
  </si>
  <si>
    <t>2025-07-03 08:17:17</t>
  </si>
  <si>
    <t>SB573100464</t>
  </si>
  <si>
    <t>2025-07-04 08:46:23</t>
  </si>
  <si>
    <t>SB497439228</t>
  </si>
  <si>
    <t>2025-07-06 08:42:02</t>
  </si>
  <si>
    <t>SB489130281</t>
  </si>
  <si>
    <t>2025-07-12</t>
  </si>
  <si>
    <t>2025-07-08 17:06:39</t>
  </si>
  <si>
    <t>SB058608165</t>
  </si>
  <si>
    <t>2025-08-18</t>
  </si>
  <si>
    <t>2025-07-10 19:57:03</t>
  </si>
  <si>
    <t>SB676351209</t>
  </si>
  <si>
    <t>2025-07-10 20:07:57</t>
  </si>
  <si>
    <t>SB019145799</t>
  </si>
  <si>
    <t>2025-07-11 18:58:24</t>
  </si>
  <si>
    <t>SB875638427</t>
  </si>
  <si>
    <t>2025-07-12 12:00:04</t>
  </si>
  <si>
    <t>SB270455520</t>
  </si>
  <si>
    <t>2025-08-24</t>
  </si>
  <si>
    <t>2025-07-13 09:58:11</t>
  </si>
  <si>
    <t>SB014594195</t>
  </si>
  <si>
    <t>2025-09-14</t>
  </si>
  <si>
    <t>2025-07-16 11:24:49</t>
  </si>
  <si>
    <t>SB972362180</t>
  </si>
  <si>
    <t>2025-07-18 06:56:12</t>
  </si>
  <si>
    <t>SB851205433</t>
  </si>
  <si>
    <t>2025-07-23</t>
  </si>
  <si>
    <t>2025-07-21 12:39:50</t>
  </si>
  <si>
    <t>SB045941047</t>
  </si>
  <si>
    <t>2025-08-30</t>
  </si>
  <si>
    <t>2025-07-27 17:02:50</t>
  </si>
  <si>
    <t>SB383196339</t>
  </si>
  <si>
    <t>2025-08-12</t>
  </si>
  <si>
    <t>2025-07-30 14:18:42</t>
  </si>
  <si>
    <t>₹1,308.00</t>
  </si>
  <si>
    <t>SB646572350</t>
  </si>
  <si>
    <t>2025-11-10</t>
  </si>
  <si>
    <t>2025-07-31 17:05:38</t>
  </si>
  <si>
    <t>SB668429128</t>
  </si>
  <si>
    <t>2025-10-30</t>
  </si>
  <si>
    <t>2025-08-01 19:54:53</t>
  </si>
  <si>
    <t>SB725196668</t>
  </si>
  <si>
    <t>2025-08-16</t>
  </si>
  <si>
    <t>2025-08-07 11:05:19</t>
  </si>
  <si>
    <t>SB853868101</t>
  </si>
  <si>
    <t>2025-08-15</t>
  </si>
  <si>
    <t>2025-08-08 07:17:42</t>
  </si>
  <si>
    <t>SB184596401</t>
  </si>
  <si>
    <t>2025-11-18</t>
  </si>
  <si>
    <t>2025-08-09 10:28:39</t>
  </si>
  <si>
    <t>SB817669231</t>
  </si>
  <si>
    <t>2025-09-06</t>
  </si>
  <si>
    <t>2025-08-09 13:15:58</t>
  </si>
  <si>
    <t>SB858119291</t>
  </si>
  <si>
    <t>2025-08-11 11:58:34</t>
  </si>
  <si>
    <t>SB454499404</t>
  </si>
  <si>
    <t>2025-08-11 14:24:52</t>
  </si>
  <si>
    <t>SB509785403</t>
  </si>
  <si>
    <t>2025-08-12 08:30:24</t>
  </si>
  <si>
    <t>SB388134809</t>
  </si>
  <si>
    <t>2025-08-14 07:33:22</t>
  </si>
  <si>
    <t>SB847040695</t>
  </si>
  <si>
    <t>2025-10-13</t>
  </si>
  <si>
    <t>2025-08-14 17:03:05</t>
  </si>
  <si>
    <t>SB526596730</t>
  </si>
  <si>
    <t>29-08-2025</t>
  </si>
  <si>
    <t>2025-08-16 12:38:11</t>
  </si>
  <si>
    <t>SB709266054</t>
  </si>
  <si>
    <t>2025-10-14</t>
  </si>
  <si>
    <t>2025-08-22 19:18:26</t>
  </si>
  <si>
    <t>SB594142452</t>
  </si>
  <si>
    <t>2025-09-08</t>
  </si>
  <si>
    <t>2025-08-25 13:57:03</t>
  </si>
  <si>
    <t>SB520757018</t>
  </si>
  <si>
    <t>2025-09-22</t>
  </si>
  <si>
    <t>2025-08-25 14:31:49</t>
  </si>
  <si>
    <t>SB613229581</t>
  </si>
  <si>
    <t>2025-10-17</t>
  </si>
  <si>
    <t>UNK</t>
  </si>
  <si>
    <t>2025-08-27 08:43:53</t>
  </si>
  <si>
    <t>SB125145664</t>
  </si>
  <si>
    <t>18-09-2025</t>
  </si>
  <si>
    <t>2025-08-30 06:23:35</t>
  </si>
  <si>
    <t>SB874823637</t>
  </si>
  <si>
    <t>2025-09-10</t>
  </si>
  <si>
    <t>guw</t>
  </si>
  <si>
    <t>bho</t>
  </si>
  <si>
    <t>2025-08-31 09:31:36</t>
  </si>
  <si>
    <t>SB966802353</t>
  </si>
  <si>
    <t>2025-08-31 21:35:54</t>
  </si>
  <si>
    <t>SB012791711</t>
  </si>
  <si>
    <t>2025-09-01 09:34:53</t>
  </si>
  <si>
    <t>SB075098549</t>
  </si>
  <si>
    <t>2025-09-04 07:26:27</t>
  </si>
  <si>
    <t>SB980350184</t>
  </si>
  <si>
    <t>2025-09-28</t>
  </si>
  <si>
    <t>2025-09-04 09:36:01</t>
  </si>
  <si>
    <t>SB369134132</t>
  </si>
  <si>
    <t>2025-09-17</t>
  </si>
  <si>
    <t>2025-09-05 08:33:59</t>
  </si>
  <si>
    <t>SB268846469</t>
  </si>
  <si>
    <t>2025-09-09</t>
  </si>
  <si>
    <t>2025-09-06 17:22:43</t>
  </si>
  <si>
    <t>SB807170934</t>
  </si>
  <si>
    <t>2025-09-06 20:56:52</t>
  </si>
  <si>
    <t>SB131866089</t>
  </si>
  <si>
    <t>2025-09-18</t>
  </si>
  <si>
    <t>2025-09-08 02:32:14</t>
  </si>
  <si>
    <t>SB169052653</t>
  </si>
  <si>
    <t>2025-09-09 08:55:27</t>
  </si>
  <si>
    <t>SB383175810</t>
  </si>
  <si>
    <t>2025-09-09 10:42:20</t>
  </si>
  <si>
    <t>SB218305507</t>
  </si>
  <si>
    <t>2025-09-09 21:46:46</t>
  </si>
  <si>
    <t>SB849102535</t>
  </si>
  <si>
    <t>2025-09-12 07:43:59</t>
  </si>
  <si>
    <t>SB518868082</t>
  </si>
  <si>
    <t>2025-09-12 09:15:57</t>
  </si>
  <si>
    <t>SB427383213</t>
  </si>
  <si>
    <t>2025-12-29</t>
  </si>
  <si>
    <t>2025-09-12 19:07:21</t>
  </si>
  <si>
    <t>SB259743261</t>
  </si>
  <si>
    <t>2025-09-14 08:12:25</t>
  </si>
  <si>
    <t>SB804594718</t>
  </si>
  <si>
    <t>2025-10-15</t>
  </si>
  <si>
    <t>2025-09-15 12:17:29</t>
  </si>
  <si>
    <t>SB395435533</t>
  </si>
  <si>
    <t>2025-11-03</t>
  </si>
  <si>
    <t>2025-09-16 20:17:14</t>
  </si>
  <si>
    <t>SB141850010</t>
  </si>
  <si>
    <t>2025-10-24</t>
  </si>
  <si>
    <t>2025-09-17 10:38:04</t>
  </si>
  <si>
    <t>SB778186336</t>
  </si>
  <si>
    <t>2025-09-17 22:24:32</t>
  </si>
  <si>
    <t>SB191596711</t>
  </si>
  <si>
    <t>2025-11-02</t>
  </si>
  <si>
    <t>2025-09-19 15:05:16</t>
  </si>
  <si>
    <t>SB164694482</t>
  </si>
  <si>
    <t>2025-09-21 06:08:25</t>
  </si>
  <si>
    <t>SB914372455</t>
  </si>
  <si>
    <t>2025-09-21 22:15:06</t>
  </si>
  <si>
    <t>SB782931373</t>
  </si>
  <si>
    <t>2025-09-22 06:32:29</t>
  </si>
  <si>
    <t>Rs. 582</t>
  </si>
  <si>
    <t>SB682149863</t>
  </si>
  <si>
    <t>2025-09-22 13:08:27</t>
  </si>
  <si>
    <t>SB660786932</t>
  </si>
  <si>
    <t>2025-09-22 15:48:42</t>
  </si>
  <si>
    <t>SB355178906</t>
  </si>
  <si>
    <t>2025-09-23 04:43:42</t>
  </si>
  <si>
    <t>SB768095434</t>
  </si>
  <si>
    <t>2025-09-29</t>
  </si>
  <si>
    <t>2025-09-23 09:10:44</t>
  </si>
  <si>
    <t>SB829908425</t>
  </si>
  <si>
    <t>2025-10-22</t>
  </si>
  <si>
    <t>2025-09-24 19:30:04</t>
  </si>
  <si>
    <t>SB769083128</t>
  </si>
  <si>
    <t>2025-09-25 18:11:19</t>
  </si>
  <si>
    <t>SB011096208</t>
  </si>
  <si>
    <t>2025-11-01</t>
  </si>
  <si>
    <t>2025-09-26 19:34:02</t>
  </si>
  <si>
    <t>SB876885477</t>
  </si>
  <si>
    <t>2025-09-27 17:39:34</t>
  </si>
  <si>
    <t>SB939192315</t>
  </si>
  <si>
    <t>2025-09-30 16:42:58</t>
  </si>
  <si>
    <t>SB462680841</t>
  </si>
  <si>
    <t>2025-10-01 22:29:08</t>
  </si>
  <si>
    <t>SB560692702</t>
  </si>
  <si>
    <t>2026-01-29</t>
  </si>
  <si>
    <t>2025-10-02 10:48:05</t>
  </si>
  <si>
    <t>SB102280663</t>
  </si>
  <si>
    <t>2025-10-31</t>
  </si>
  <si>
    <t>2025-10-03 06:07:49</t>
  </si>
  <si>
    <t>SB784606347</t>
  </si>
  <si>
    <t>2025-11-06</t>
  </si>
  <si>
    <t>2025-10-03 21:41:32</t>
  </si>
  <si>
    <t>SB558910747</t>
  </si>
  <si>
    <t>2025-12-15</t>
  </si>
  <si>
    <t>2025-10-05 10:23:12</t>
  </si>
  <si>
    <t>SB131652127</t>
  </si>
  <si>
    <t>2025-10-07 12:39:11</t>
  </si>
  <si>
    <t>SB954715534</t>
  </si>
  <si>
    <t>2025-11-04</t>
  </si>
  <si>
    <t>2025-10-08 13:45:33</t>
  </si>
  <si>
    <t>SB927319458</t>
  </si>
  <si>
    <t>2025-10-08 18:27:55</t>
  </si>
  <si>
    <t>SB915253168</t>
  </si>
  <si>
    <t>2025-12-05</t>
  </si>
  <si>
    <t>2025-10-09 07:28:36</t>
  </si>
  <si>
    <t>SB169826385</t>
  </si>
  <si>
    <t>2025-10-10 20:05:36</t>
  </si>
  <si>
    <t>SB451795678</t>
  </si>
  <si>
    <t>2025-10-12 10:40:27</t>
  </si>
  <si>
    <t>SB051439287</t>
  </si>
  <si>
    <t>2026-02-01</t>
  </si>
  <si>
    <t>2025-10-12 20:19:20</t>
  </si>
  <si>
    <t>SB465837356</t>
  </si>
  <si>
    <t>2025-10-16 14:27:37</t>
  </si>
  <si>
    <t>SB328363129</t>
  </si>
  <si>
    <t>2025-10-16 20:26:26</t>
  </si>
  <si>
    <t>SB255965389</t>
  </si>
  <si>
    <t>2025-11-19 07:00:00</t>
  </si>
  <si>
    <t>SB818916281</t>
  </si>
  <si>
    <t>2025-10-19 17:42:01</t>
  </si>
  <si>
    <t>SB691726389</t>
  </si>
  <si>
    <t>2025-12-19</t>
  </si>
  <si>
    <t>2025-10-22 13:38:15</t>
  </si>
  <si>
    <t>SB496196514</t>
  </si>
  <si>
    <t>2026-01-06</t>
  </si>
  <si>
    <t>2025-10-22 21:46:51</t>
  </si>
  <si>
    <t>SB231038548</t>
  </si>
  <si>
    <t>2025-12-18</t>
  </si>
  <si>
    <t>2025-10-25 06:15:25</t>
  </si>
  <si>
    <t>SB959847437</t>
  </si>
  <si>
    <t>2026-02-16</t>
  </si>
  <si>
    <t>2025-10-27 11:50:47</t>
  </si>
  <si>
    <t>SB379290957</t>
  </si>
  <si>
    <t>2025-10-29</t>
  </si>
  <si>
    <t>2025-10-28 14:45:32</t>
  </si>
  <si>
    <t>SB459203383</t>
  </si>
  <si>
    <t>2025-10-29 13:36:28</t>
  </si>
  <si>
    <t>SB878646903</t>
  </si>
  <si>
    <t>2025-10-30 15:07:58</t>
  </si>
  <si>
    <t>SB912569971</t>
  </si>
  <si>
    <t>2025-11-17</t>
  </si>
  <si>
    <t>2025-10-31 09:47:52</t>
  </si>
  <si>
    <t>SB781128889</t>
  </si>
  <si>
    <t>2025-10-31 12:14:46</t>
  </si>
  <si>
    <t>SB683610875</t>
  </si>
  <si>
    <t>2025-11-01 09:24:02</t>
  </si>
  <si>
    <t>SB648399699</t>
  </si>
  <si>
    <t>2025-11-04 21:07:57</t>
  </si>
  <si>
    <t>SB850456566</t>
  </si>
  <si>
    <t>2025-11-05 14:01:59</t>
  </si>
  <si>
    <t>SB431506893</t>
  </si>
  <si>
    <t>2025-11-05 14:23:37</t>
  </si>
  <si>
    <t>SB927105496</t>
  </si>
  <si>
    <t>2025-11-19</t>
  </si>
  <si>
    <t>2025-11-05 21:30:55</t>
  </si>
  <si>
    <t>SB544848540</t>
  </si>
  <si>
    <t>2025-11-21 14:00:00</t>
  </si>
  <si>
    <t>SB817027345</t>
  </si>
  <si>
    <t>2025-11-05 21:59:27</t>
  </si>
  <si>
    <t>SB177921370</t>
  </si>
  <si>
    <t>2025-11-14</t>
  </si>
  <si>
    <t>2025-11-06 04:11:16</t>
  </si>
  <si>
    <t>SB407374313</t>
  </si>
  <si>
    <t>2025-11-06 09:50:47</t>
  </si>
  <si>
    <t>SB392538374</t>
  </si>
  <si>
    <t>2025-11-07 12:37:12</t>
  </si>
  <si>
    <t>SB976852197</t>
  </si>
  <si>
    <t>2025-12-23</t>
  </si>
  <si>
    <t>2025-11-07 21:59:51</t>
  </si>
  <si>
    <t>SB837596015</t>
  </si>
  <si>
    <t>2025-11-11 07:33:35</t>
  </si>
  <si>
    <t>SB149731033</t>
  </si>
  <si>
    <t>2025-12-03</t>
  </si>
  <si>
    <t>2025-11-11 16:11:31</t>
  </si>
  <si>
    <t>SB949155707</t>
  </si>
  <si>
    <t>2025-11-14 15:28:36</t>
  </si>
  <si>
    <t>SB573425743</t>
  </si>
  <si>
    <t>2025-11-25</t>
  </si>
  <si>
    <t>2025-11-15 15:39:26</t>
  </si>
  <si>
    <t>SB099683918</t>
  </si>
  <si>
    <t>2026-01-07</t>
  </si>
  <si>
    <t>2025-11-16 08:10:31</t>
  </si>
  <si>
    <t>SB986836118</t>
  </si>
  <si>
    <t>2025-12-08</t>
  </si>
  <si>
    <t>2025-11-16 19:20:01</t>
  </si>
  <si>
    <t>SB470368431</t>
  </si>
  <si>
    <t>2025-12-13</t>
  </si>
  <si>
    <t>2025-11-17 15:13:30</t>
  </si>
  <si>
    <t>SB433675714</t>
  </si>
  <si>
    <t>2025-11-17 15:20:27</t>
  </si>
  <si>
    <t>SB009680590</t>
  </si>
  <si>
    <t>2025-11-20 12:02:29</t>
  </si>
  <si>
    <t>SB107692451</t>
  </si>
  <si>
    <t>2026-03-11</t>
  </si>
  <si>
    <t>2025-11-20 20:25:06</t>
  </si>
  <si>
    <t>SB441190400</t>
  </si>
  <si>
    <t>2025-11-21 10:52:05</t>
  </si>
  <si>
    <t>SB713369205</t>
  </si>
  <si>
    <t>2025-12-12</t>
  </si>
  <si>
    <t>2025-11-21 11:15:28</t>
  </si>
  <si>
    <t>SB784972684</t>
  </si>
  <si>
    <t>2025-11-24 16:19:02</t>
  </si>
  <si>
    <t>SB981490253</t>
  </si>
  <si>
    <t>2025-12-30</t>
  </si>
  <si>
    <t>2025-11-26 13:16:32</t>
  </si>
  <si>
    <t>SB563528274</t>
  </si>
  <si>
    <t>2025-11-29 03:04:08</t>
  </si>
  <si>
    <t>SB217964035</t>
  </si>
  <si>
    <t>2025-11-29 03:22:26</t>
  </si>
  <si>
    <t>SB490636687</t>
  </si>
  <si>
    <t>2025-12-27</t>
  </si>
  <si>
    <t>2025-11-30 10:06:57</t>
  </si>
  <si>
    <t>SB732649767</t>
  </si>
  <si>
    <t>2026-01-23</t>
  </si>
  <si>
    <t>2025-12-01 09:42:59</t>
  </si>
  <si>
    <t>SB075444357</t>
  </si>
  <si>
    <t>2026-03-16</t>
  </si>
  <si>
    <t>2025-12-02 00:18:23</t>
  </si>
  <si>
    <t>SB989992633</t>
  </si>
  <si>
    <t>2026-03-03</t>
  </si>
  <si>
    <t>2025-12-02 12:34:39</t>
  </si>
  <si>
    <t>SB183740553</t>
  </si>
  <si>
    <t>luc</t>
  </si>
  <si>
    <t>2025-12-04 20:07:54</t>
  </si>
  <si>
    <t>SB010067456</t>
  </si>
  <si>
    <t>2025-12-06 09:28:15</t>
  </si>
  <si>
    <t>SB242783895</t>
  </si>
  <si>
    <t>2025-12-06 20:54:10</t>
  </si>
  <si>
    <t>SB561445905</t>
  </si>
  <si>
    <t>2026-03-31</t>
  </si>
  <si>
    <t>2025-12-08 09:20:02</t>
  </si>
  <si>
    <t>SB686853842</t>
  </si>
  <si>
    <t>2025-12-08 10:08:48</t>
  </si>
  <si>
    <t>SB937669716</t>
  </si>
  <si>
    <t>2025-12-08 12:26:59</t>
  </si>
  <si>
    <t>SB192736780</t>
  </si>
  <si>
    <t>2025-12-11 14:32:54</t>
  </si>
  <si>
    <t>SB435737554</t>
  </si>
  <si>
    <t>2025-12-14 18:05:35</t>
  </si>
  <si>
    <t>SB794355777</t>
  </si>
  <si>
    <t>2025-12-22</t>
  </si>
  <si>
    <t>2025-12-16 19:13:15</t>
  </si>
  <si>
    <t>SB226359434</t>
  </si>
  <si>
    <t>2025-12-18 18:32:27</t>
  </si>
  <si>
    <t>SB214293144</t>
  </si>
  <si>
    <t>2026-02-05</t>
  </si>
  <si>
    <t>2025-12-19 05:59:02</t>
  </si>
  <si>
    <t>SB474405659</t>
  </si>
  <si>
    <t>2026-01-17</t>
  </si>
  <si>
    <t>2025-12-19 13:29:35</t>
  </si>
  <si>
    <t>SB064752627</t>
  </si>
  <si>
    <t>2025-12-19 18:56:13</t>
  </si>
  <si>
    <t>SB924702184</t>
  </si>
  <si>
    <t>2025-12-28 19:26:49</t>
  </si>
  <si>
    <t>SB955361756</t>
  </si>
  <si>
    <t>2026-04-18</t>
  </si>
  <si>
    <t>2025-12-28 22:47:45</t>
  </si>
  <si>
    <t>SB234561400</t>
  </si>
  <si>
    <t>2026-01-31</t>
  </si>
  <si>
    <t>2025-12-31 07:03:54</t>
  </si>
  <si>
    <t>SB664289255</t>
  </si>
  <si>
    <t>2026-01-03 19:29:49</t>
  </si>
  <si>
    <t>SB967127632</t>
  </si>
  <si>
    <t>2026-01-15</t>
  </si>
  <si>
    <t>2026-01-03 22:18:40</t>
  </si>
  <si>
    <t>SB628090385</t>
  </si>
  <si>
    <t>2026-02-22</t>
  </si>
  <si>
    <t>2026-01-04 20:27:42</t>
  </si>
  <si>
    <t>SB008071539</t>
  </si>
  <si>
    <t>2026-04-07</t>
  </si>
  <si>
    <t>2026-01-06 14:36:25</t>
  </si>
  <si>
    <t>SB072654179</t>
  </si>
  <si>
    <t>2026-01-07 11:02:24</t>
  </si>
  <si>
    <t>SB623538781</t>
  </si>
  <si>
    <t>2026-02-07</t>
  </si>
  <si>
    <t>2026-01-08 12:39:24</t>
  </si>
  <si>
    <t>SB131697521</t>
  </si>
  <si>
    <t>2026-01-09 17:11:27</t>
  </si>
  <si>
    <t>SB110334590</t>
  </si>
  <si>
    <t>2026-05-04</t>
  </si>
  <si>
    <t>2026-01-09 19:03:08</t>
  </si>
  <si>
    <t>SB609196689</t>
  </si>
  <si>
    <t>2026-01-27</t>
  </si>
  <si>
    <t>2026-01-10 17:25:30</t>
  </si>
  <si>
    <t>SB508415179</t>
  </si>
  <si>
    <t>2026-01-16</t>
  </si>
  <si>
    <t>2026-01-10 21:39:52</t>
  </si>
  <si>
    <t>SB432753943</t>
  </si>
  <si>
    <t>2026-01-12 14:02:38</t>
  </si>
  <si>
    <t>SB013804270</t>
  </si>
  <si>
    <t>2026-01-13</t>
  </si>
  <si>
    <t>2026-01-12 14:22:20</t>
  </si>
  <si>
    <t>Wait-listed</t>
  </si>
  <si>
    <t>SB175904924</t>
  </si>
  <si>
    <t>2026-03-04</t>
  </si>
  <si>
    <t>2026-01-12 15:19:22</t>
  </si>
  <si>
    <t>SB472710156</t>
  </si>
  <si>
    <t>2026-02-03</t>
  </si>
  <si>
    <t>2026-01-12 20:35:28</t>
  </si>
  <si>
    <t>SB008264972</t>
  </si>
  <si>
    <t>2026-01-13 16:29:01</t>
  </si>
  <si>
    <t>SB289740418</t>
  </si>
  <si>
    <t>2026-03-14</t>
  </si>
  <si>
    <t>2026-01-13 20:09:16</t>
  </si>
  <si>
    <t>SB996198682</t>
  </si>
  <si>
    <t>2026-05-09</t>
  </si>
  <si>
    <t>2026-01-13 21:01:19</t>
  </si>
  <si>
    <t>SB306551745</t>
  </si>
  <si>
    <t>2026-01-28</t>
  </si>
  <si>
    <t>2026-01-17 11:15:40</t>
  </si>
  <si>
    <t>SB618686763</t>
  </si>
  <si>
    <t>2026-02-10</t>
  </si>
  <si>
    <t>2026-01-17 19:46:44</t>
  </si>
  <si>
    <t>SB695335693</t>
  </si>
  <si>
    <t xml:space="preserve">del </t>
  </si>
  <si>
    <t xml:space="preserve">dib </t>
  </si>
  <si>
    <t>2026-01-18 09:22:21</t>
  </si>
  <si>
    <t>SB017261199</t>
  </si>
  <si>
    <t>2026-01-20 07:27:17</t>
  </si>
  <si>
    <t>SB452034505</t>
  </si>
  <si>
    <t>2026-03-09</t>
  </si>
  <si>
    <t>2026-01-21 10:00:08</t>
  </si>
  <si>
    <t>SB916973536</t>
  </si>
  <si>
    <t>2026-02-20</t>
  </si>
  <si>
    <t>2026-01-21 14:26:25</t>
  </si>
  <si>
    <t xml:space="preserve">CONFIRMED </t>
  </si>
  <si>
    <t>SB329890064</t>
  </si>
  <si>
    <t>2026-04-22</t>
  </si>
  <si>
    <t>2026-01-21 17:51:05</t>
  </si>
  <si>
    <t>SB890071307</t>
  </si>
  <si>
    <t>2026-01-22 18:57:42</t>
  </si>
  <si>
    <t>SB214272615</t>
  </si>
  <si>
    <t>2026-04-19</t>
  </si>
  <si>
    <t>2026-01-22 19:48:57</t>
  </si>
  <si>
    <t>SB792553293</t>
  </si>
  <si>
    <t>2026-01-23 12:53:02</t>
  </si>
  <si>
    <t>SB597023418</t>
  </si>
  <si>
    <t>2026-02-08</t>
  </si>
  <si>
    <t>2026-01-23 20:14:47</t>
  </si>
  <si>
    <t>SB248689530</t>
  </si>
  <si>
    <t>2026-01-24 14:17:00</t>
  </si>
  <si>
    <t>SB537679662</t>
  </si>
  <si>
    <t>2026-01-27 13:22:27</t>
  </si>
  <si>
    <t>SB388139145</t>
  </si>
  <si>
    <t>2026-02-11</t>
  </si>
  <si>
    <t>2026-01-28 05:36:28</t>
  </si>
  <si>
    <t>SB932496755</t>
  </si>
  <si>
    <t>2026-01-28 07:03:51</t>
  </si>
  <si>
    <t>SB923693961</t>
  </si>
  <si>
    <t>2026-02-18</t>
  </si>
  <si>
    <t>2026-01-28 19:59:00</t>
  </si>
  <si>
    <t>SB664569140</t>
  </si>
  <si>
    <t>2026-01-30 16:32:46</t>
  </si>
  <si>
    <t>SB753284360</t>
  </si>
  <si>
    <t>2026-04-05</t>
  </si>
  <si>
    <t>2026-01-30 17:51:55</t>
  </si>
  <si>
    <t>SB432346548</t>
  </si>
  <si>
    <t>2026-04-25</t>
  </si>
  <si>
    <t>2026-01-31 01:40:14</t>
  </si>
  <si>
    <t>SB756547856</t>
  </si>
  <si>
    <t>2026-04-24</t>
  </si>
  <si>
    <t>2026-01-31 06:59:35</t>
  </si>
  <si>
    <t>SB236816673</t>
  </si>
  <si>
    <t>2026-03-18</t>
  </si>
  <si>
    <t>2026-01-31 11:47:42</t>
  </si>
  <si>
    <t>SB717579337</t>
  </si>
  <si>
    <t>2026-02-01 18:46:00</t>
  </si>
  <si>
    <t>SB888976632</t>
  </si>
  <si>
    <t>2026-02-02 06:38:32</t>
  </si>
  <si>
    <t>SB944756478</t>
  </si>
  <si>
    <t>SB073427911</t>
  </si>
  <si>
    <t>2026-02-03 21:35:24</t>
  </si>
  <si>
    <t>SB909051455</t>
  </si>
  <si>
    <t>2026-02-23</t>
  </si>
  <si>
    <t>2026-02-05 12:09:38</t>
  </si>
  <si>
    <t>SB798973304</t>
  </si>
  <si>
    <t>2026-02-15</t>
  </si>
  <si>
    <t>2026-02-05 12:44:05</t>
  </si>
  <si>
    <t>SB554684422</t>
  </si>
  <si>
    <t>2026-02-06 07:57:01</t>
  </si>
  <si>
    <t>SB490595629</t>
  </si>
  <si>
    <t>2026-02-06 12:23:17</t>
  </si>
  <si>
    <t>SB760498632</t>
  </si>
  <si>
    <t>2026-02-07 20:04:04</t>
  </si>
  <si>
    <t>SB292789952</t>
  </si>
  <si>
    <t>2026-02-12</t>
  </si>
  <si>
    <t>2026-02-08 07:42:07</t>
  </si>
  <si>
    <t>SB126137694</t>
  </si>
  <si>
    <t>2026-03-06</t>
  </si>
  <si>
    <t>2026-02-10 22:51:27</t>
  </si>
  <si>
    <t>SB704418372</t>
  </si>
  <si>
    <t>2026-02-11 17:04:06</t>
  </si>
  <si>
    <t>SB518678985</t>
  </si>
  <si>
    <t>2026-02-13 07:34:11</t>
  </si>
  <si>
    <t>SB555865549</t>
  </si>
  <si>
    <t>2026-03-02</t>
  </si>
  <si>
    <t>2026-02-14 08:01:28</t>
  </si>
  <si>
    <t>SB063530442</t>
  </si>
  <si>
    <t>08-04-2026</t>
  </si>
  <si>
    <t>2026-02-14 08:36:17</t>
  </si>
  <si>
    <t>SB868000567</t>
  </si>
  <si>
    <t>2026-02-14 15:36:20</t>
  </si>
  <si>
    <t>SB131376578</t>
  </si>
  <si>
    <t>2026-02-17</t>
  </si>
  <si>
    <t>2026-02-15 10:48:05</t>
  </si>
  <si>
    <t>SB755646614</t>
  </si>
  <si>
    <t>2026-02-16 07:00:15</t>
  </si>
  <si>
    <t>SB205255859</t>
  </si>
  <si>
    <t>2026-05-21</t>
  </si>
  <si>
    <t>2026-02-16 08:28:22</t>
  </si>
  <si>
    <t>SB947118732</t>
  </si>
  <si>
    <t>2026-04-03</t>
  </si>
  <si>
    <t>2026-02-19 19:10:11</t>
  </si>
  <si>
    <t>SB862160855</t>
  </si>
  <si>
    <t>2026-06-21</t>
  </si>
  <si>
    <t>2026-02-21 07:20:46</t>
  </si>
  <si>
    <t>SB960172716</t>
  </si>
  <si>
    <t xml:space="preserve"> LUC </t>
  </si>
  <si>
    <t>2026-02-21 12:45:22</t>
  </si>
  <si>
    <t>SB649025392</t>
  </si>
  <si>
    <t>2026-04-23</t>
  </si>
  <si>
    <t>2026-02-23 07:51:36</t>
  </si>
  <si>
    <t>SB945830624</t>
  </si>
  <si>
    <t>2026-05-14</t>
  </si>
  <si>
    <t>2026-02-23 14:47:21</t>
  </si>
  <si>
    <t>SB762367039</t>
  </si>
  <si>
    <t>2026-02-23 15:36:52</t>
  </si>
  <si>
    <t>SB897071617</t>
  </si>
  <si>
    <t>2026-03-01</t>
  </si>
  <si>
    <t>2026-02-23 21:06:42</t>
  </si>
  <si>
    <t>SB612826522</t>
  </si>
  <si>
    <t>2026-04-20</t>
  </si>
  <si>
    <t>2026-02-24 09:52:31</t>
  </si>
  <si>
    <t>SB934752028</t>
  </si>
  <si>
    <t>2026-06-25</t>
  </si>
  <si>
    <t>2026-02-25 21:36:31</t>
  </si>
  <si>
    <t>SB861860441</t>
  </si>
  <si>
    <t>2026-04-28</t>
  </si>
  <si>
    <t>2026-02-27 01:22:31</t>
  </si>
  <si>
    <t>SB253414038</t>
  </si>
  <si>
    <t>2026-02-27 09:21:27</t>
  </si>
  <si>
    <t>SB242335442</t>
  </si>
  <si>
    <t>2026-03-01 15:57:04</t>
  </si>
  <si>
    <t>SB965605033</t>
  </si>
  <si>
    <t>2026-03-04 19:44:22</t>
  </si>
  <si>
    <t>SB400378339</t>
  </si>
  <si>
    <t>2026-03-30</t>
  </si>
  <si>
    <t>2026-03-06 07:31:25</t>
  </si>
  <si>
    <t>SB407399178</t>
  </si>
  <si>
    <t>2026-04-04 18:00:00</t>
  </si>
  <si>
    <t>SB976383215</t>
  </si>
  <si>
    <t>2026-04-10</t>
  </si>
  <si>
    <t>2026-03-08 14:12:11</t>
  </si>
  <si>
    <t>SB508674535</t>
  </si>
  <si>
    <t>2026-05-06</t>
  </si>
  <si>
    <t>2026-03-08 20:10:22</t>
  </si>
  <si>
    <t>SB649412258</t>
  </si>
  <si>
    <t>2026-03-08 22:04:05</t>
  </si>
  <si>
    <t>SB136701914</t>
  </si>
  <si>
    <t>2026-03-20</t>
  </si>
  <si>
    <t>2026-03-11 05:16:41</t>
  </si>
  <si>
    <t>SB706179798</t>
  </si>
  <si>
    <t>2026-03-12 18:48:57</t>
  </si>
  <si>
    <t>SB323922842</t>
  </si>
  <si>
    <t>2026-04-09</t>
  </si>
  <si>
    <t>2026-03-12 19:02:22</t>
  </si>
  <si>
    <t>SB339252628</t>
  </si>
  <si>
    <t>2026-03-12 19:59:09</t>
  </si>
  <si>
    <t>SB734563568</t>
  </si>
  <si>
    <t>2026-03-14 18:55:36</t>
  </si>
  <si>
    <t>₹833.00</t>
  </si>
  <si>
    <t>SB209293087</t>
  </si>
  <si>
    <t>2026-03-24</t>
  </si>
  <si>
    <t>2026-03-16 13:00:54</t>
  </si>
  <si>
    <t>SB233919514</t>
  </si>
  <si>
    <t>2026-03-16 20:04:31</t>
  </si>
  <si>
    <t>SB644066393</t>
  </si>
  <si>
    <t>2026-03-17 16:54:17</t>
  </si>
  <si>
    <t>SB583734943</t>
  </si>
  <si>
    <t>2026-03-19 18:03:07</t>
  </si>
  <si>
    <t>SB963716097</t>
  </si>
  <si>
    <t>2026-07-10</t>
  </si>
  <si>
    <t>2026-03-21 13:39:51</t>
  </si>
  <si>
    <t>SB774219367</t>
  </si>
  <si>
    <t>2026-03-21 17:45:58</t>
  </si>
  <si>
    <t>SB211762322</t>
  </si>
  <si>
    <t>2026-06-05</t>
  </si>
  <si>
    <t>2026-03-22 08:08:31</t>
  </si>
  <si>
    <t>SB016232447</t>
  </si>
  <si>
    <t>2026-03-22 16:06:43</t>
  </si>
  <si>
    <t>SB242915741</t>
  </si>
  <si>
    <t>2026-03-23 12:45:47</t>
  </si>
  <si>
    <t>SB558808102</t>
  </si>
  <si>
    <t>2026-03-25 09:44:00</t>
  </si>
  <si>
    <t>SB301959083</t>
  </si>
  <si>
    <t>2026-03-25 11:06:42</t>
  </si>
  <si>
    <t>SB837513899</t>
  </si>
  <si>
    <t>2026-07-24</t>
  </si>
  <si>
    <t>2026-03-26 08:54:04</t>
  </si>
  <si>
    <t>SB914162829</t>
  </si>
  <si>
    <t>2026-03-26 16:45:37</t>
  </si>
  <si>
    <t>SB909117378</t>
  </si>
  <si>
    <t>2026-04-08</t>
  </si>
  <si>
    <t>2026-03-28 18:23:57</t>
  </si>
  <si>
    <t>SB903084233</t>
  </si>
  <si>
    <t>2026-06-29</t>
  </si>
  <si>
    <t>2026-03-28 20:44:18</t>
  </si>
  <si>
    <t>SB921677515</t>
  </si>
  <si>
    <t>2026-03-29 11:16:14</t>
  </si>
  <si>
    <t>SB738213930</t>
  </si>
  <si>
    <t>2026-03-29 12:28:50</t>
  </si>
  <si>
    <t>SB968160720</t>
  </si>
  <si>
    <t>2026-03-30 14:37:49</t>
  </si>
  <si>
    <t>SB950061285</t>
  </si>
  <si>
    <t>2026-05-18</t>
  </si>
  <si>
    <t>2026-03-30 22:24:42</t>
  </si>
  <si>
    <t>SB626353824</t>
  </si>
  <si>
    <t>2026-03-31 21:41:57</t>
  </si>
  <si>
    <t>SB950555132</t>
  </si>
  <si>
    <t>2026-07-27</t>
  </si>
  <si>
    <t>2026-04-01 01:32:51</t>
  </si>
  <si>
    <t>SB180008075</t>
  </si>
  <si>
    <t>2026-05-15</t>
  </si>
  <si>
    <t>2026-04-01 08:45:11</t>
  </si>
  <si>
    <t>SB724365685</t>
  </si>
  <si>
    <t>2026-04-01 09:19:02</t>
  </si>
  <si>
    <t>SB308679508</t>
  </si>
  <si>
    <t>2026-04-01 18:15:43</t>
  </si>
  <si>
    <t>SB183765418</t>
  </si>
  <si>
    <t>2026-04-02 17:57:25</t>
  </si>
  <si>
    <t>SB918113605</t>
  </si>
  <si>
    <t>2026-05-25</t>
  </si>
  <si>
    <t>2026-04-03 14:37:02</t>
  </si>
  <si>
    <t>SB224709325</t>
  </si>
  <si>
    <t>2026-04-04 23:19:28</t>
  </si>
  <si>
    <t>SB029673297</t>
  </si>
  <si>
    <t>2026-04-24 14:00:00</t>
  </si>
  <si>
    <t>SB360895444</t>
  </si>
  <si>
    <t>2026-04-08 11:33:46</t>
  </si>
  <si>
    <t>SB425478084</t>
  </si>
  <si>
    <t>2026-04-09 02:04:16</t>
  </si>
  <si>
    <t>SB037187983</t>
  </si>
  <si>
    <t>2026-04-09 09:11:01</t>
  </si>
  <si>
    <t>SB780832811</t>
  </si>
  <si>
    <t>2026-04-10 09:30:05</t>
  </si>
  <si>
    <t>SB649391729</t>
  </si>
  <si>
    <t>2026-04-10 11:15:50</t>
  </si>
  <si>
    <t>##</t>
  </si>
  <si>
    <t>SB013549250</t>
  </si>
  <si>
    <t>2026-04-10 21:18:58</t>
  </si>
  <si>
    <t>SB481751777</t>
  </si>
  <si>
    <t>2026-06-11</t>
  </si>
  <si>
    <t>2026-04-11 13:43:25</t>
  </si>
  <si>
    <t>SB604390065</t>
  </si>
  <si>
    <t>2026-04-12 08:39:53</t>
  </si>
  <si>
    <t>SB711698567</t>
  </si>
  <si>
    <t>2026-04-12 19:35:42</t>
  </si>
  <si>
    <t>SB684302491</t>
  </si>
  <si>
    <t>2026-05-31</t>
  </si>
  <si>
    <t>2026-04-13 06:51:09</t>
  </si>
  <si>
    <t>SB036887569</t>
  </si>
  <si>
    <t>2026-04-15</t>
  </si>
  <si>
    <t>2026-04-14 21:52:52</t>
  </si>
  <si>
    <t>SB617937896</t>
  </si>
  <si>
    <t>2026-04-14 22:24:20</t>
  </si>
  <si>
    <t>SB376418663</t>
  </si>
  <si>
    <t>2026-04-15 07:06:58</t>
  </si>
  <si>
    <t>SB954699341</t>
  </si>
  <si>
    <t>2026-06-07</t>
  </si>
  <si>
    <t>2026-04-15 17:40:44</t>
  </si>
  <si>
    <t>SB428935013</t>
  </si>
  <si>
    <t>2026-04-16 08:21:31</t>
  </si>
  <si>
    <t>SB233898985</t>
  </si>
  <si>
    <t>2026-06-06</t>
  </si>
  <si>
    <t>2026-04-17 10:16:39</t>
  </si>
  <si>
    <t>SB834036441</t>
  </si>
  <si>
    <t>2026-04-18 14:45:38</t>
  </si>
  <si>
    <t>SB659869497</t>
  </si>
  <si>
    <t>2026-04-18 19:01:19</t>
  </si>
  <si>
    <t>SB125796222</t>
  </si>
  <si>
    <t>2026-06-03</t>
  </si>
  <si>
    <t>2026-04-20 18:14:55</t>
  </si>
  <si>
    <t>SB646515099</t>
  </si>
  <si>
    <t>2026-04-22 10:38:27</t>
  </si>
  <si>
    <t>SB298675058</t>
  </si>
  <si>
    <t>2026-05-27</t>
  </si>
  <si>
    <t>2026-04-23 20:58:53</t>
  </si>
  <si>
    <t>SB027483947</t>
  </si>
  <si>
    <t>2026-05-19</t>
  </si>
  <si>
    <t>2026-04-25 21:23:29</t>
  </si>
  <si>
    <t>SB622082105</t>
  </si>
  <si>
    <t>2026-04-28 17:48:09</t>
  </si>
  <si>
    <t>₹2,268.00</t>
  </si>
  <si>
    <t>SB784676606</t>
  </si>
  <si>
    <t>2026-04-29 20:00:11</t>
  </si>
  <si>
    <t>SB665795661</t>
  </si>
  <si>
    <t>2026-04-30 18:05:43</t>
  </si>
  <si>
    <t>SB754510881</t>
  </si>
  <si>
    <t>2026-04-30 19:01:15</t>
  </si>
  <si>
    <t>SB512991648</t>
  </si>
  <si>
    <t>2026-04-30 20:54:59</t>
  </si>
  <si>
    <t>SB971897534</t>
  </si>
  <si>
    <t>2026-05-01 11:26:23</t>
  </si>
  <si>
    <t>SB202338171</t>
  </si>
  <si>
    <t>2026-05-03 17:28:45</t>
  </si>
  <si>
    <t>SB181469087</t>
  </si>
  <si>
    <t>2026-05-04 18:29:54</t>
  </si>
  <si>
    <t>SB985939212</t>
  </si>
  <si>
    <t>2026-06-15</t>
  </si>
  <si>
    <t>2026-05-05 05:38:20</t>
  </si>
  <si>
    <t>SB790409337</t>
  </si>
  <si>
    <t>2026-06-04 20:00:00</t>
  </si>
  <si>
    <t>SB894454343</t>
  </si>
  <si>
    <t>2026-05-05 17:00:43</t>
  </si>
  <si>
    <t>SB674298041</t>
  </si>
  <si>
    <t>2026-05-05 17:35:38</t>
  </si>
  <si>
    <t>Rs. 3026</t>
  </si>
  <si>
    <t>SB475998517</t>
  </si>
  <si>
    <t>2026-05-06 15:29:26</t>
  </si>
  <si>
    <t>SB913541472</t>
  </si>
  <si>
    <t>2026-05-06 23:12:45</t>
  </si>
  <si>
    <t>SB757967810</t>
  </si>
  <si>
    <t>2026-06-16</t>
  </si>
  <si>
    <t>2026-05-07 19:10:37</t>
  </si>
  <si>
    <t>SB776561092</t>
  </si>
  <si>
    <t>2026-05-29</t>
  </si>
  <si>
    <t>2026-05-08 08:24:13</t>
  </si>
  <si>
    <t>SB553635141</t>
  </si>
  <si>
    <t>2026-05-08 18:45:08</t>
  </si>
  <si>
    <t>SB312609755</t>
  </si>
  <si>
    <t>2026-00-10</t>
  </si>
  <si>
    <t>2026-05-09 19:38:51</t>
  </si>
  <si>
    <t>SB386489036</t>
  </si>
  <si>
    <t>2026-05-10 18:03:34</t>
  </si>
  <si>
    <t>SB065551224</t>
  </si>
  <si>
    <t>2026-05-10 22:52:59</t>
  </si>
  <si>
    <t>SB200255802</t>
  </si>
  <si>
    <t>2026-05-11 10:02:51</t>
  </si>
  <si>
    <t>SB016792217</t>
  </si>
  <si>
    <t>2026-06-02</t>
  </si>
  <si>
    <t>2026-05-11 11:14:30</t>
  </si>
  <si>
    <t>SB328927235</t>
  </si>
  <si>
    <t>2026-05-11 17:51:18</t>
  </si>
  <si>
    <t>SB264838442</t>
  </si>
  <si>
    <t>2026-05-28</t>
  </si>
  <si>
    <t>2026-05-11 21:02:22</t>
  </si>
  <si>
    <t>SB063769269</t>
  </si>
  <si>
    <t>2026-07-31</t>
  </si>
  <si>
    <t>2026-05-13 09:58:49</t>
  </si>
  <si>
    <t>SB467883003</t>
  </si>
  <si>
    <t>2026-05-14 07:19:34</t>
  </si>
  <si>
    <t>SB244957052</t>
  </si>
  <si>
    <t>2026-05-22</t>
  </si>
  <si>
    <t>2026-05-14 18:14:36</t>
  </si>
  <si>
    <t>SB370364989</t>
  </si>
  <si>
    <t>2026-05-14 18:53:30</t>
  </si>
  <si>
    <t>SB840049057</t>
  </si>
  <si>
    <t>2026-05-18 06:26:01</t>
  </si>
  <si>
    <t>SB843312553</t>
  </si>
  <si>
    <t>2026-05-18 13:20:50</t>
  </si>
  <si>
    <t>SB764881668</t>
  </si>
  <si>
    <t>2026-05-20 18:12:12</t>
  </si>
  <si>
    <t>SB263743767</t>
  </si>
  <si>
    <t>2026-05-21 16:20:23</t>
  </si>
  <si>
    <t>SB940036306</t>
  </si>
  <si>
    <t>2026-05-22 18:05:18</t>
  </si>
  <si>
    <t>SB597735563</t>
  </si>
  <si>
    <t>2026-05-23 07:30:58</t>
  </si>
  <si>
    <t>SB246138179</t>
  </si>
  <si>
    <t>2026-08-28</t>
  </si>
  <si>
    <t>SB793759285</t>
  </si>
  <si>
    <t>2026-05-23 20:26:55</t>
  </si>
  <si>
    <t>SB215972454</t>
  </si>
  <si>
    <t>2026-05-24 09:01:25</t>
  </si>
  <si>
    <t>SB748263774</t>
  </si>
  <si>
    <t>2026-05-24 15:35:35</t>
  </si>
  <si>
    <t>SB030233067</t>
  </si>
  <si>
    <t>2026-05-25 21:58:10</t>
  </si>
  <si>
    <t>SB960111129</t>
  </si>
  <si>
    <t>2026-05-26 13:55:36</t>
  </si>
  <si>
    <t>SB532358662</t>
  </si>
  <si>
    <t>2026-06-09</t>
  </si>
  <si>
    <t>2026-05-27 11:41:06</t>
  </si>
  <si>
    <t>SB761811605</t>
  </si>
  <si>
    <t>2026-05-27 15:51:33</t>
  </si>
  <si>
    <t>SB969901617</t>
  </si>
  <si>
    <t>2026-05-27 22:29:41</t>
  </si>
  <si>
    <t>SB355422069</t>
  </si>
  <si>
    <t>2026-06-19</t>
  </si>
  <si>
    <t>2026-05-28 12:57:56</t>
  </si>
  <si>
    <t>SB997791540</t>
  </si>
  <si>
    <t>2026-04-31</t>
  </si>
  <si>
    <t>2026-05-28 19:52:06</t>
  </si>
  <si>
    <t>SB031714608</t>
  </si>
  <si>
    <t>2026-06-08</t>
  </si>
  <si>
    <t>2026-05-29 16:55:16</t>
  </si>
  <si>
    <t>SB650445346</t>
  </si>
  <si>
    <t>2026-06-01 10:25:56</t>
  </si>
  <si>
    <t>SB549663836</t>
  </si>
  <si>
    <t>2026-06-01 17:48:59</t>
  </si>
  <si>
    <t>SB069888866</t>
  </si>
  <si>
    <t>2026-06-02 16:53:51</t>
  </si>
  <si>
    <t>SB761511191</t>
  </si>
  <si>
    <t>2026-08-31</t>
  </si>
  <si>
    <t>2026-06-03 20:32:04</t>
  </si>
  <si>
    <t>SB697422398</t>
  </si>
  <si>
    <t>2026-07-21</t>
  </si>
  <si>
    <t>2026-06-04 08:35:48</t>
  </si>
  <si>
    <t>SB272439580</t>
  </si>
  <si>
    <t>2026-06-04 13:25:38</t>
  </si>
  <si>
    <t>SB847456762</t>
  </si>
  <si>
    <t>2026-07-20</t>
  </si>
  <si>
    <t>2026-06-04 18:00:09</t>
  </si>
  <si>
    <t>SB493089729</t>
  </si>
  <si>
    <t>2026-06-05 17:37:05</t>
  </si>
  <si>
    <t>SB783861816</t>
  </si>
  <si>
    <t>2026-08-09</t>
  </si>
  <si>
    <t>2026-06-06 10:52:58</t>
  </si>
  <si>
    <t>SB093227185</t>
  </si>
  <si>
    <t>2026-07-16</t>
  </si>
  <si>
    <t>2026-06-07 21:36:24</t>
  </si>
  <si>
    <t>SB278666158</t>
  </si>
  <si>
    <t>2026-06-13 18:34:03</t>
  </si>
  <si>
    <t>SB909463186</t>
  </si>
  <si>
    <t>2026-08-13</t>
  </si>
  <si>
    <t>2026-06-16 09:44:42</t>
  </si>
  <si>
    <t>SB392995499</t>
  </si>
  <si>
    <t>2026-08-03</t>
  </si>
  <si>
    <t>2026-06-17 12:12:02</t>
  </si>
  <si>
    <t>SB304774126</t>
  </si>
  <si>
    <t>2026-06-18 19:51:07</t>
  </si>
  <si>
    <t>SB231388692</t>
  </si>
  <si>
    <t>2026-06-18 20:22:08</t>
  </si>
  <si>
    <t>SB953176742</t>
  </si>
  <si>
    <t>2026-06-19 06:13:11</t>
  </si>
  <si>
    <t>SB249981974</t>
  </si>
  <si>
    <t>SB818966011</t>
  </si>
  <si>
    <t>2026-06-20 09:40:07</t>
  </si>
  <si>
    <t>Rs. 326</t>
  </si>
  <si>
    <t>SB484179954</t>
  </si>
  <si>
    <t>2026-08-15</t>
  </si>
  <si>
    <t>2026-06-25 17:33:09</t>
  </si>
  <si>
    <t>SB881766696</t>
  </si>
  <si>
    <t>2026-06-25 19:17:40</t>
  </si>
  <si>
    <t>SB533432808</t>
  </si>
  <si>
    <t>2026-06-26 17:48:02</t>
  </si>
  <si>
    <t>SB059690983</t>
  </si>
  <si>
    <t>2026-06-27 14:46:18</t>
  </si>
  <si>
    <t>SB210713041</t>
  </si>
  <si>
    <t>2026-07-06</t>
  </si>
  <si>
    <t>2026-07-01 05:28:16</t>
  </si>
  <si>
    <t>SB599496989</t>
  </si>
  <si>
    <t>2026-08-19</t>
  </si>
  <si>
    <t>2026-07-02 09:48:43</t>
  </si>
  <si>
    <t>SB908368511</t>
  </si>
  <si>
    <t>2026-07-05</t>
  </si>
  <si>
    <t>2026-07-02 10:06:53</t>
  </si>
  <si>
    <t>SB284592322</t>
  </si>
  <si>
    <t>2026-07-15</t>
  </si>
  <si>
    <t>2026-07-02 15:10:02</t>
  </si>
  <si>
    <t>SB333845176</t>
  </si>
  <si>
    <t>2026-07-03 14:26:12</t>
  </si>
  <si>
    <t>SB199634445</t>
  </si>
  <si>
    <t>2026-07-04 12:16:19</t>
  </si>
  <si>
    <t>SB646474041</t>
  </si>
  <si>
    <t>2026-08-29</t>
  </si>
  <si>
    <t>2026-07-05 11:24:01</t>
  </si>
  <si>
    <t>SB027442889</t>
  </si>
  <si>
    <t>2026-08-11</t>
  </si>
  <si>
    <t>2026-07-10 21:21:10</t>
  </si>
  <si>
    <t>SB293588549</t>
  </si>
  <si>
    <t>2026-07-11 08:10:50</t>
  </si>
  <si>
    <t>SB704229275</t>
  </si>
  <si>
    <t>20-07-2026</t>
  </si>
  <si>
    <t>2026-07-13 22:17:31</t>
  </si>
  <si>
    <t>SB184991939</t>
  </si>
  <si>
    <t>2026-07-16 04:00:35</t>
  </si>
  <si>
    <t>SB833394555</t>
  </si>
  <si>
    <t>2026-07-16 10:48:58</t>
  </si>
  <si>
    <t>SB708974312</t>
  </si>
  <si>
    <t>2026-07-19 16:40:00</t>
  </si>
  <si>
    <t>SB186967327</t>
  </si>
  <si>
    <t>2026-08-04</t>
  </si>
  <si>
    <t>2026-07-22 17:21:23</t>
  </si>
  <si>
    <t>SB190724670</t>
  </si>
  <si>
    <t>2026-07-25 08:37:29</t>
  </si>
  <si>
    <t>SB197251662</t>
  </si>
  <si>
    <t>2026-07-26 18:07:30</t>
  </si>
  <si>
    <t>SB980358856</t>
  </si>
  <si>
    <t>2026-07-27 11:34:13</t>
  </si>
  <si>
    <t>SB460627673</t>
  </si>
  <si>
    <t>2026-07-28</t>
  </si>
  <si>
    <t>2026-07-27 21:38:58</t>
  </si>
  <si>
    <t>SB919533559</t>
  </si>
  <si>
    <t>2026-07-28 19:03:23</t>
  </si>
  <si>
    <t>SB641321609</t>
  </si>
  <si>
    <t>2026-07-29 05:51:15</t>
  </si>
  <si>
    <t>SB987873542</t>
  </si>
  <si>
    <t>2026-08-01 22:36:44</t>
  </si>
  <si>
    <t>SB355294559</t>
  </si>
  <si>
    <t>2026-08-03 17:36:37</t>
  </si>
  <si>
    <t>SB373887841</t>
  </si>
  <si>
    <t>2026-08-04 16:59:27</t>
  </si>
  <si>
    <t>SB762671789</t>
  </si>
  <si>
    <t>2026-08-17</t>
  </si>
  <si>
    <t>2026-08-06 16:32:41</t>
  </si>
  <si>
    <t>SB270336682</t>
  </si>
  <si>
    <t>2026-08-26</t>
  </si>
  <si>
    <t>2026-08-06 18:53:59</t>
  </si>
  <si>
    <t>SB738539209</t>
  </si>
  <si>
    <t>13-08-2026</t>
  </si>
  <si>
    <t>2026-08-08 06:45:03</t>
  </si>
  <si>
    <t>SB179345660</t>
  </si>
  <si>
    <t>2026-08-10 10:52:37</t>
  </si>
  <si>
    <t>SB622921760</t>
  </si>
  <si>
    <t>2026-08-11 03:12:01</t>
  </si>
  <si>
    <t>SB760889834</t>
  </si>
  <si>
    <t>2026-08-14</t>
  </si>
  <si>
    <t>2026-08-12 20:00:38</t>
  </si>
  <si>
    <t>SB283884513</t>
  </si>
  <si>
    <t>2026-08-13 06:24:42</t>
  </si>
  <si>
    <t>SB259751933</t>
  </si>
  <si>
    <t>2026-08-21</t>
  </si>
  <si>
    <t>SB428873426</t>
  </si>
  <si>
    <t>2026-08-23</t>
  </si>
  <si>
    <t>2026-08-21 00:29:50</t>
  </si>
  <si>
    <t>SB688985941</t>
  </si>
  <si>
    <t>2026-08-27</t>
  </si>
  <si>
    <t>2026-08-22 00:00:30</t>
  </si>
  <si>
    <t>SB918438884</t>
  </si>
  <si>
    <t>2026-08-22 19:49:18</t>
  </si>
  <si>
    <t>SB258463825</t>
  </si>
  <si>
    <t>2026-08-28 09:34:46</t>
  </si>
  <si>
    <t>SB157682315</t>
  </si>
  <si>
    <t>passenger_id</t>
  </si>
  <si>
    <t>passenger_seq</t>
  </si>
  <si>
    <t>age_band</t>
  </si>
  <si>
    <t>fare_amount</t>
  </si>
  <si>
    <t>initial_status</t>
  </si>
  <si>
    <t>final_status</t>
  </si>
  <si>
    <t>cancellation_id</t>
  </si>
  <si>
    <t>Adult</t>
  </si>
  <si>
    <t>Senior</t>
  </si>
  <si>
    <t>Child</t>
  </si>
  <si>
    <t>UNKNOWN</t>
  </si>
  <si>
    <t>#N/A</t>
  </si>
  <si>
    <t>??</t>
  </si>
  <si>
    <t>Rac</t>
  </si>
  <si>
    <t>cancellation_ts</t>
  </si>
  <si>
    <t>cancellation_type</t>
  </si>
  <si>
    <t>status_at_cancellation</t>
  </si>
  <si>
    <t>cancelled_passengers</t>
  </si>
  <si>
    <t>original_fare_amount</t>
  </si>
  <si>
    <t>cancellation_charge</t>
  </si>
  <si>
    <t>refund_amount</t>
  </si>
  <si>
    <t>2024-09-03 23:49:58</t>
  </si>
  <si>
    <t>Passenger</t>
  </si>
  <si>
    <t>2024-09-09 06:08:16</t>
  </si>
  <si>
    <t>2024-09-19 21:36:13</t>
  </si>
  <si>
    <t>2024-09-28 15:15:00</t>
  </si>
  <si>
    <t>System</t>
  </si>
  <si>
    <t>2024-10-02 15:45:19</t>
  </si>
  <si>
    <t>2024-10-04 03:51:20</t>
  </si>
  <si>
    <t>2024-10-02 11:51:21</t>
  </si>
  <si>
    <t>2024-10-09 19:38:25</t>
  </si>
  <si>
    <t>2024-10-11 19:12:36</t>
  </si>
  <si>
    <t>2024-10-12 14:59:02</t>
  </si>
  <si>
    <t>2024-10-22 01:32:31</t>
  </si>
  <si>
    <t>2024-10-25 04:32:00</t>
  </si>
  <si>
    <t>2024-11-03 18:30:00</t>
  </si>
  <si>
    <t>2024-11-04 17:45:00</t>
  </si>
  <si>
    <t>2024-11-04 19:53:21</t>
  </si>
  <si>
    <t>2024-11-06 01:15:00</t>
  </si>
  <si>
    <t>2024-11-12 06:15:58</t>
  </si>
  <si>
    <t>2024-11-18 04:00:00</t>
  </si>
  <si>
    <t>2024-11-21 10:28:40</t>
  </si>
  <si>
    <t>2024-12-05 16:41:32</t>
  </si>
  <si>
    <t>2024-12-09 04:24:17</t>
  </si>
  <si>
    <t>2024-12-17 06:55:01</t>
  </si>
  <si>
    <t>2024-12-23 11:59:33</t>
  </si>
  <si>
    <t>2024-12-24 09:23:58</t>
  </si>
  <si>
    <t>2025-01-01 18:30:00</t>
  </si>
  <si>
    <t>2025-01-02 16:36:20</t>
  </si>
  <si>
    <t>2025-01-07 03:17:58</t>
  </si>
  <si>
    <t>2025-01-11 03:12:29</t>
  </si>
  <si>
    <t>2025-01-14 08:08:55</t>
  </si>
  <si>
    <t>2025-01-19 15:06:18</t>
  </si>
  <si>
    <t>2025-01-25 22:50:43</t>
  </si>
  <si>
    <t>2025-01-28 11:05:28</t>
  </si>
  <si>
    <t>2025-02-01 21:12:45</t>
  </si>
  <si>
    <t>2025-02-17 17:18:52</t>
  </si>
  <si>
    <t>2025-02-19 10:22:18</t>
  </si>
  <si>
    <t>2025-02-19 16:00:00</t>
  </si>
  <si>
    <t>2025-02-21 02:15:00</t>
  </si>
  <si>
    <t>2025-03-04 02:06:26</t>
  </si>
  <si>
    <t>2025-03-13 08:45:43</t>
  </si>
  <si>
    <t>2025-03-13 10:26:51</t>
  </si>
  <si>
    <t>2025-03-14 16:00:00</t>
  </si>
  <si>
    <t>2025-03-17 06:50:51</t>
  </si>
  <si>
    <t>2025-02-11 12:47:01</t>
  </si>
  <si>
    <t>2025-03-29 12:02:01</t>
  </si>
  <si>
    <t>2025-04-13 01:51:47</t>
  </si>
  <si>
    <t>2025-04-20 18:15:00</t>
  </si>
  <si>
    <t>2025-04-22 03:45:00</t>
  </si>
  <si>
    <t>2025-04-25 11:31:57</t>
  </si>
  <si>
    <t>2025-04-25 18:30:00</t>
  </si>
  <si>
    <t>2025-05-03 14:39:01</t>
  </si>
  <si>
    <t>2025-05-04 16:37:47</t>
  </si>
  <si>
    <t>2025-05-05 16:15:00</t>
  </si>
  <si>
    <t>2025-05-13 01:15:00</t>
  </si>
  <si>
    <t>2025-05-16 01:30:00</t>
  </si>
  <si>
    <t>2025-05-23 03:32:40</t>
  </si>
  <si>
    <t>2025-05-26 06:15:00</t>
  </si>
  <si>
    <t>2025-05-26 07:00:00</t>
  </si>
  <si>
    <t>2025-05-26 15:17:26</t>
  </si>
  <si>
    <t>2025-06-16 21:39:05</t>
  </si>
  <si>
    <t>2025-06-27 17:45:00</t>
  </si>
  <si>
    <t>2025-07-07 10:45:00</t>
  </si>
  <si>
    <t>2025-07-12 13:45:00</t>
  </si>
  <si>
    <t>2025-08-09 01:45:35</t>
  </si>
  <si>
    <t>2025-08-15 05:54:34</t>
  </si>
  <si>
    <t>2025-08-18 04:00:00</t>
  </si>
  <si>
    <t>2025-08-18 17:13:35</t>
  </si>
  <si>
    <t>2025-09-07 02:35:16</t>
  </si>
  <si>
    <t>2025-09-12 19:42:09</t>
  </si>
  <si>
    <t>2025-09-15 17:45:00</t>
  </si>
  <si>
    <t>2025-09-11 15:43:59</t>
  </si>
  <si>
    <t>2025-09-17 17:30:00</t>
  </si>
  <si>
    <t>2025-09-22 01:37:54</t>
  </si>
  <si>
    <t>2025-09-22 23:25:20</t>
  </si>
  <si>
    <t>2025-10-03 07:29:38</t>
  </si>
  <si>
    <t>2025-10-22 16:19:03</t>
  </si>
  <si>
    <t>2025-10-24 02:55:03</t>
  </si>
  <si>
    <t>2025-10-26 07:47:21</t>
  </si>
  <si>
    <t>2025-10-30 10:17:48</t>
  </si>
  <si>
    <t>2025-11-06 06:40:07</t>
  </si>
  <si>
    <t>2025-11-02 22:23:37</t>
  </si>
  <si>
    <t>2025-11-17 04:00:00</t>
  </si>
  <si>
    <t>2025-11-17 04:52:43</t>
  </si>
  <si>
    <t>2025-11-17 07:11:38</t>
  </si>
  <si>
    <t>2025-11-18 03:45:00</t>
  </si>
  <si>
    <t>2025-11-19 20:19:10</t>
  </si>
  <si>
    <t>2025-11-28 19:28:03</t>
  </si>
  <si>
    <t>2025-11-30 16:52:34</t>
  </si>
  <si>
    <t>2025-12-02 04:02:23</t>
  </si>
  <si>
    <t>2025-12-10 11:46:25</t>
  </si>
  <si>
    <t>2025-12-12 05:15:00</t>
  </si>
  <si>
    <t>2025-12-14 09:36:22</t>
  </si>
  <si>
    <t>2025-12-17 16:52:38</t>
  </si>
  <si>
    <t>2025-12-18 03:52:04</t>
  </si>
  <si>
    <t>2026-01-07 16:15:00</t>
  </si>
  <si>
    <t>2026-01-13 03:45:00</t>
  </si>
  <si>
    <t>2026-01-21 17:56:48</t>
  </si>
  <si>
    <t>2026-01-24 20:41:04</t>
  </si>
  <si>
    <t>2026-01-27 23:21:06</t>
  </si>
  <si>
    <t>2026-02-07 10:28:09</t>
  </si>
  <si>
    <t>2026-02-12 16:15:00</t>
  </si>
  <si>
    <t>2026-02-14 03:14:14</t>
  </si>
  <si>
    <t>2026-02-16 22:59:45</t>
  </si>
  <si>
    <t>2026-02-17 00:58:00</t>
  </si>
  <si>
    <t>2026-02-17 15:15:00</t>
  </si>
  <si>
    <t>2026-02-18 23:23:08</t>
  </si>
  <si>
    <t>2026-02-21 12:34:46</t>
  </si>
  <si>
    <t>2026-02-24 15:44:29</t>
  </si>
  <si>
    <t>2026-03-02 00:23:43</t>
  </si>
  <si>
    <t>2026-03-02 17:45:00</t>
  </si>
  <si>
    <t>2026-03-03 22:00:48</t>
  </si>
  <si>
    <t>2026-03-04 02:11:35</t>
  </si>
  <si>
    <t>2026-03-11 16:00:00</t>
  </si>
  <si>
    <t>2026-03-12 12:09:55</t>
  </si>
  <si>
    <t>2026-03-14 17:36:14</t>
  </si>
  <si>
    <t>2026-03-19 22:33:14</t>
  </si>
  <si>
    <t>2026-03-23 06:19:52</t>
  </si>
  <si>
    <t>2026-03-23 10:57:06</t>
  </si>
  <si>
    <t>2026-03-26 17:55:17</t>
  </si>
  <si>
    <t>2026-03-29 14:01:23</t>
  </si>
  <si>
    <t>2026-03-30 16:04:09</t>
  </si>
  <si>
    <t>2026-04-01 13:00:34</t>
  </si>
  <si>
    <t>2026-04-04 15:58:41</t>
  </si>
  <si>
    <t>2026-04-05 08:28:18</t>
  </si>
  <si>
    <t>2026-04-06 01:40:51</t>
  </si>
  <si>
    <t>2026-03-25 20:23:57</t>
  </si>
  <si>
    <t>2026-04-08 17:30:00</t>
  </si>
  <si>
    <t>2026-04-15 06:16:46</t>
  </si>
  <si>
    <t>2026-04-16 14:58:27</t>
  </si>
  <si>
    <t>2026-04-19 02:15:00</t>
  </si>
  <si>
    <t>2026-04-20 10:45:00</t>
  </si>
  <si>
    <t>2026-04-24 01:15:00</t>
  </si>
  <si>
    <t>2026-05-06 15:15:00</t>
  </si>
  <si>
    <t>2026-05-08 06:27:07</t>
  </si>
  <si>
    <t>2026-05-08 20:00:16</t>
  </si>
  <si>
    <t>2026-05-09 05:15:00</t>
  </si>
  <si>
    <t>2026-05-09 10:38:55</t>
  </si>
  <si>
    <t>2026-05-14 14:17:45</t>
  </si>
  <si>
    <t>2026-05-14 16:15:00</t>
  </si>
  <si>
    <t>2026-05-14 18:54:16</t>
  </si>
  <si>
    <t>2026-05-15 16:15:00</t>
  </si>
  <si>
    <t>2026-05-21 16:00:00</t>
  </si>
  <si>
    <t>2026-05-22 19:30:19</t>
  </si>
  <si>
    <t>2026-05-25 06:28:05</t>
  </si>
  <si>
    <t>2026-05-27 17:30:00</t>
  </si>
  <si>
    <t>2026-05-31 15:15:00</t>
  </si>
  <si>
    <t>2026-06-03 16:15:00</t>
  </si>
  <si>
    <t>2026-06-03 18:15:00</t>
  </si>
  <si>
    <t>2026-06-04 03:47:46</t>
  </si>
  <si>
    <t>2026-06-07 10:30:52</t>
  </si>
  <si>
    <t>2026-06-15 17:45:00</t>
  </si>
  <si>
    <t>2026-07-03 09:57:40</t>
  </si>
  <si>
    <t>2026-06-30 21:28:16</t>
  </si>
  <si>
    <t>2026-07-14 21:21:53</t>
  </si>
  <si>
    <t>2026-07-16 01:22:24</t>
  </si>
  <si>
    <t>2026-07-16 21:46:26</t>
  </si>
  <si>
    <t>2026-07-20 03:31:30</t>
  </si>
  <si>
    <t>2026-07-27 14:45:00</t>
  </si>
  <si>
    <t>2026-08-03 16:15:00</t>
  </si>
  <si>
    <t>2026-08-09 14:45:00</t>
  </si>
  <si>
    <t>2026-08-14 09:50:56</t>
  </si>
  <si>
    <t>2026-08-17 06:33:14</t>
  </si>
  <si>
    <t>2026-08-19 17:45:00</t>
  </si>
  <si>
    <t>2026-08-31 12:39:44</t>
  </si>
  <si>
    <t>2025-12-24 07:53:50</t>
  </si>
  <si>
    <t>2026-06-20 18:08:26</t>
  </si>
  <si>
    <t>2024-12-16 15:25:53</t>
  </si>
  <si>
    <t>2024-09-23 17:45:00</t>
  </si>
  <si>
    <t>2025-12-14 08:57:58</t>
  </si>
  <si>
    <t>capacity_id</t>
  </si>
  <si>
    <t>coaches_attached</t>
  </si>
  <si>
    <t>seats_per_coach</t>
  </si>
  <si>
    <t>total_seats</t>
  </si>
  <si>
    <t>rac_berths</t>
  </si>
  <si>
    <t>wl_limit</t>
  </si>
  <si>
    <t>2024-10-12</t>
  </si>
  <si>
    <t>2024-10-24</t>
  </si>
  <si>
    <t>2024-11-30</t>
  </si>
  <si>
    <t>2024-11-22</t>
  </si>
  <si>
    <t>2024-12-11</t>
  </si>
  <si>
    <t>2025-01-05</t>
  </si>
  <si>
    <t>2025-01-11</t>
  </si>
  <si>
    <t>2025-03-29</t>
  </si>
  <si>
    <t>2025-04-23</t>
  </si>
  <si>
    <t>2025-05-25</t>
  </si>
  <si>
    <t>2025-07-30</t>
  </si>
  <si>
    <t>2025-07-28</t>
  </si>
  <si>
    <t>2025-08-22</t>
  </si>
  <si>
    <t>2025-10-09</t>
  </si>
  <si>
    <t>2025-12-06</t>
  </si>
  <si>
    <t>2025-12-20</t>
  </si>
  <si>
    <t>2025-12-09</t>
  </si>
  <si>
    <t>2026-01-26</t>
  </si>
  <si>
    <t>2026-02-26</t>
  </si>
  <si>
    <t>2026-03-27</t>
  </si>
  <si>
    <t>2026-03-28</t>
  </si>
  <si>
    <t>2026-04-17</t>
  </si>
  <si>
    <t>2026-05-20</t>
  </si>
  <si>
    <t>2026-07-13</t>
  </si>
  <si>
    <t>operation_id</t>
  </si>
  <si>
    <t>run_date</t>
  </si>
  <si>
    <t>departure_delay_min</t>
  </si>
  <si>
    <t>arrival_delay_min</t>
  </si>
  <si>
    <t>2024-09-27</t>
  </si>
  <si>
    <t>2024-09-07</t>
  </si>
  <si>
    <t>2024-11-27</t>
  </si>
  <si>
    <t>2024-12-02</t>
  </si>
  <si>
    <t>2025-02-17</t>
  </si>
  <si>
    <t>2025-03-23</t>
  </si>
  <si>
    <t>2025-06-25</t>
  </si>
  <si>
    <t>2025-07-13</t>
  </si>
  <si>
    <t>2025-07-15</t>
  </si>
  <si>
    <t>2025-08-02</t>
  </si>
  <si>
    <t>2025-09-13</t>
  </si>
  <si>
    <t>2025-11-11</t>
  </si>
  <si>
    <t>2025-12-02</t>
  </si>
  <si>
    <t>2026-06-18</t>
  </si>
  <si>
    <t>id</t>
  </si>
  <si>
    <t>dup</t>
  </si>
  <si>
    <t>jd_text</t>
  </si>
  <si>
    <t>pat</t>
  </si>
  <si>
    <t>y</t>
  </si>
  <si>
    <t>m</t>
  </si>
  <si>
    <t>d</t>
  </si>
  <si>
    <t>valid</t>
  </si>
  <si>
    <t>jd_clean</t>
  </si>
  <si>
    <t>f_date_format (flag)</t>
  </si>
  <si>
    <t>f_date_impossible (flag)</t>
  </si>
  <si>
    <t>ts_missing</t>
  </si>
  <si>
    <t>ts_value</t>
  </si>
  <si>
    <t>f_after (flag)</t>
  </si>
  <si>
    <t>board_norm</t>
  </si>
  <si>
    <t>dest_norm</t>
  </si>
  <si>
    <t>board_known</t>
  </si>
  <si>
    <t>dest_known</t>
  </si>
  <si>
    <t>f_station_format (flag)</t>
  </si>
  <si>
    <t>f_station_unknown (flag)</t>
  </si>
  <si>
    <t>f_route_missing (flag)</t>
  </si>
  <si>
    <t>status_norm</t>
  </si>
  <si>
    <t>f_status_alias (flag)</t>
  </si>
  <si>
    <t>f_status_invalid (flag)</t>
  </si>
  <si>
    <t>f_total_missing (flag)</t>
  </si>
  <si>
    <t>total_is_text</t>
  </si>
  <si>
    <t>total_parsed</t>
  </si>
  <si>
    <t>f_total_currency (flag)</t>
  </si>
  <si>
    <t>f_numpax_invalid (flag)</t>
  </si>
  <si>
    <t>SYNTHETIC DATA (defect-enriched sample of the raw extract). Not real data.</t>
  </si>
  <si>
    <t>bid</t>
  </si>
  <si>
    <t>orphan</t>
  </si>
  <si>
    <t>f_neg_fare (flag)</t>
  </si>
  <si>
    <t>f_age_missing (flag)</t>
  </si>
  <si>
    <t>init_norm</t>
  </si>
  <si>
    <t>final_norm</t>
  </si>
  <si>
    <t>init_bad</t>
  </si>
  <si>
    <t>final_bad</t>
  </si>
  <si>
    <t>f_init_invalid (flag)</t>
  </si>
  <si>
    <t>f_final_invalid (flag)</t>
  </si>
  <si>
    <t>f_refund_exceeds (flag)</t>
  </si>
  <si>
    <t>bmatch</t>
  </si>
  <si>
    <t>booking_rejected</t>
  </si>
  <si>
    <t>f_before (flag)</t>
  </si>
  <si>
    <t>key</t>
  </si>
  <si>
    <t>std</t>
  </si>
  <si>
    <t>consistent</t>
  </si>
  <si>
    <t>f_conflict (flag)</t>
  </si>
  <si>
    <t>f_total_mismatch (flag)</t>
  </si>
  <si>
    <t>f_spc_invalid (flag)</t>
  </si>
  <si>
    <t>f_missing (flag)</t>
  </si>
  <si>
    <t>f_range (flag)</t>
  </si>
  <si>
    <t>Answer key: expected issue counts in THIS sample versus your Excel formulas</t>
  </si>
  <si>
    <t>Expected = the cleaner's independent detection (python/src/clean_data.py) on exactly these rows. Injected = rows recorded in the injection log for this sample. Excel = the worked-solution formula count. SYNTHETIC DATA. The sample is deliberately enriched with defects and is not a guide to real defect rates.</t>
  </si>
  <si>
    <t>Issue code</t>
  </si>
  <si>
    <t>Table</t>
  </si>
  <si>
    <t>Issue type</t>
  </si>
  <si>
    <t>Expected (independent detection)</t>
  </si>
  <si>
    <t>Injected in sample (log)</t>
  </si>
  <si>
    <t>Excel formula count</t>
  </si>
  <si>
    <t>Result</t>
  </si>
  <si>
    <t>Outcome</t>
  </si>
  <si>
    <t>Cleaning rule</t>
  </si>
  <si>
    <t>dup_booking_rows</t>
  </si>
  <si>
    <t>bookings</t>
  </si>
  <si>
    <t>Duplicate booking rows</t>
  </si>
  <si>
    <t>rejected</t>
  </si>
  <si>
    <t>Keep the first occurrence per booking_id; remove the extra copies</t>
  </si>
  <si>
    <t>dup_passenger_rows</t>
  </si>
  <si>
    <t>booking_passengers</t>
  </si>
  <si>
    <t>Duplicate passenger rows</t>
  </si>
  <si>
    <t>Keep the first occurrence per passenger_id; remove the extra copies</t>
  </si>
  <si>
    <t>dup_cancellation_rows</t>
  </si>
  <si>
    <t>cancellations</t>
  </si>
  <si>
    <t>Duplicate cancellation rows</t>
  </si>
  <si>
    <t>Keep the first occurrence per cancellation_id; remove the extra copies</t>
  </si>
  <si>
    <t>missing_total_fare</t>
  </si>
  <si>
    <t>Missing booking total fare</t>
  </si>
  <si>
    <t>corrected</t>
  </si>
  <si>
    <t>Recompute as SUM(passenger fare_amount) for the booking (BR-03)</t>
  </si>
  <si>
    <t>total_fare_currency_format</t>
  </si>
  <si>
    <t>Fare stored with currency symbol</t>
  </si>
  <si>
    <t>Strip symbols and separators, parse, and verify it equals the passenger fare sum</t>
  </si>
  <si>
    <t>total_fare_invalid</t>
  </si>
  <si>
    <t>Invalid booking total fare</t>
  </si>
  <si>
    <t>manual exercise</t>
  </si>
  <si>
    <t>MANUAL</t>
  </si>
  <si>
    <t>Replace with SUM(passenger fare_amount) when all passenger fares are valid</t>
  </si>
  <si>
    <t>negative_passenger_fare</t>
  </si>
  <si>
    <t>Invalid passenger fare</t>
  </si>
  <si>
    <t>Reconstruct as booking total_fare minus the other passengers' fares; accept only if positive</t>
  </si>
  <si>
    <t>missing_route_id</t>
  </si>
  <si>
    <t>Missing route reference</t>
  </si>
  <si>
    <t>Derive from trains.route_id for the booking's train</t>
  </si>
  <si>
    <t>num_passengers_invalid</t>
  </si>
  <si>
    <t>Invalid passenger count</t>
  </si>
  <si>
    <t>Set to the number of passenger rows for the booking (BR-03)</t>
  </si>
  <si>
    <t>missing_age_band</t>
  </si>
  <si>
    <t>Missing age band</t>
  </si>
  <si>
    <t>retained</t>
  </si>
  <si>
    <t>Set to 'Unknown'; no age is imputed. Age band is not used by any KPI</t>
  </si>
  <si>
    <t>station_code_format</t>
  </si>
  <si>
    <t>Inconsistent station code format</t>
  </si>
  <si>
    <t>Trim, upper-case, and map to station_id</t>
  </si>
  <si>
    <t>station_code_unknown</t>
  </si>
  <si>
    <t>Unknown station code</t>
  </si>
  <si>
    <t>Derive boarding/destination station from the booking's route (BR-06)</t>
  </si>
  <si>
    <t>missing_booking_ts</t>
  </si>
  <si>
    <t>Missing booking timestamp</t>
  </si>
  <si>
    <t>Cannot be recovered without inventing a value; reject the booking family</t>
  </si>
  <si>
    <t>journey_date_format</t>
  </si>
  <si>
    <t>Journey date in DD-MM-YYYY format</t>
  </si>
  <si>
    <t>Parse the unambiguous DD-MM-YYYY pattern and store as ISO date</t>
  </si>
  <si>
    <t>journey_date_impossible</t>
  </si>
  <si>
    <t>Impossible journey date</t>
  </si>
  <si>
    <t>Cannot be recovered; reject the booking family</t>
  </si>
  <si>
    <t>booking_after_journey</t>
  </si>
  <si>
    <t>Booking after journey date</t>
  </si>
  <si>
    <t>Booking must precede travel (BR-04); the true value is unknown, so reject the booking family</t>
  </si>
  <si>
    <t>cancellation_before_booking</t>
  </si>
  <si>
    <t>Cancellation before booking</t>
  </si>
  <si>
    <t>Violates BR-12; the true value is unknown, so reject the booking family</t>
  </si>
  <si>
    <t>booking_status_alias</t>
  </si>
  <si>
    <t>Booking status alias</t>
  </si>
  <si>
    <t>Map the alias to the canonical status; verified against the passenger roll-up (BR-02)</t>
  </si>
  <si>
    <t>booking_status_invalid</t>
  </si>
  <si>
    <t>Invalid booking status</t>
  </si>
  <si>
    <t>Recompute from the passengers' final_status roll-up (BR-02)</t>
  </si>
  <si>
    <t>passenger_status_alias</t>
  </si>
  <si>
    <t>Passenger status alias</t>
  </si>
  <si>
    <t>Map the alias to the canonical status</t>
  </si>
  <si>
    <t>passenger_final_status_invalid</t>
  </si>
  <si>
    <t>Invalid passenger final status</t>
  </si>
  <si>
    <t>Derive from the linked cancellation event: Passenger event -&gt; Cancelled, System event -&gt; Waitlisted (BR-10)</t>
  </si>
  <si>
    <t>passenger_initial_status_invalid</t>
  </si>
  <si>
    <t>Invalid passenger initial status</t>
  </si>
  <si>
    <t>The status at booking time cannot be derived; reject the booking family</t>
  </si>
  <si>
    <t>orphan_cancellation_rows</t>
  </si>
  <si>
    <t>Cancellation without a valid booking</t>
  </si>
  <si>
    <t>Reject the cancellation row (no valid booking reference)</t>
  </si>
  <si>
    <t>orphan_passenger_rows</t>
  </si>
  <si>
    <t>Passenger without a valid booking</t>
  </si>
  <si>
    <t>Reject the passenger row</t>
  </si>
  <si>
    <t>refund_exceeds_fare</t>
  </si>
  <si>
    <t>Refund exceeds original fare</t>
  </si>
  <si>
    <t>Recompute refund_amount = original_fare_amount - cancellation_charge (BR-11)</t>
  </si>
  <si>
    <t>capacity_total_mismatch</t>
  </si>
  <si>
    <t>seat_capacity</t>
  </si>
  <si>
    <t>Capacity total inconsistent</t>
  </si>
  <si>
    <t>Set total_seats = coaches_attached x seats_per_coach (BR-09)</t>
  </si>
  <si>
    <t>capacity_seats_per_coach_invalid</t>
  </si>
  <si>
    <t>Seats per coach off class standard</t>
  </si>
  <si>
    <t>Restore the class-standard seats_per_coach (total_seats already equals coaches x standard)</t>
  </si>
  <si>
    <t>capacity_conflicting_duplicate</t>
  </si>
  <si>
    <t>Conflicting duplicate capacity record</t>
  </si>
  <si>
    <t>Keep the internally consistent row; reject the inconsistent one</t>
  </si>
  <si>
    <t>missing_arrival_delay</t>
  </si>
  <si>
    <t>train_operations</t>
  </si>
  <si>
    <t>Missing arrival delay</t>
  </si>
  <si>
    <t>Retain the run with NULL delay; excluded from delay KPIs, never imputed</t>
  </si>
  <si>
    <t>delay_out_of_range</t>
  </si>
  <si>
    <t>Arrival delay out of range</t>
  </si>
  <si>
    <t>Set to NULL and retain the run; excluded from delay KPIs</t>
  </si>
  <si>
    <t>Summary</t>
  </si>
  <si>
    <t>boarding_station_id</t>
  </si>
  <si>
    <t>destination_station_id</t>
  </si>
  <si>
    <t>SYNTHETIC DATA (cleaned solution for the defect-enriched sample). Not real data.</t>
  </si>
  <si>
    <t>Unknown</t>
  </si>
  <si>
    <t>Validation checks on the cleaned tables</t>
  </si>
  <si>
    <t>SYNTHETIC DATA. These formulas read Clean_Bookings_Solution and Clean_Passengers_Solution. Paste your own cleaned tables over those sheets (same columns) and every check should read PASS.</t>
  </si>
  <si>
    <t>#</t>
  </si>
  <si>
    <t>Check</t>
  </si>
  <si>
    <t>No duplicate booking_id in the cleaned bookings</t>
  </si>
  <si>
    <t>No duplicate passenger_id in the cleaned passengers</t>
  </si>
  <si>
    <t>Every booking_status is Confirmed, RAC, Waitlisted, Cancelled or Mixed</t>
  </si>
  <si>
    <t>BR-03: num_passengers equals the passenger rows of each booking</t>
  </si>
  <si>
    <t>BR-03: total_fare equals the sum of the passengers' fares</t>
  </si>
  <si>
    <t>No passenger without a booking</t>
  </si>
  <si>
    <t>All fares are positive</t>
  </si>
  <si>
    <t>Journey dates are inside 2024-09-01 to 2026-08-31</t>
  </si>
  <si>
    <t>BR-04: every booking timestamp is on or before its journey date</t>
  </si>
  <si>
    <t>BR-06: boarding and destination stations differ</t>
  </si>
  <si>
    <t>BR-01: passenger statuses are in the allowed domains</t>
  </si>
  <si>
    <t>OVERALL</t>
  </si>
  <si>
    <t>Data cleaning exercises</t>
  </si>
  <si>
    <t>SYNTHETIC DATA. Sampled simulation: 768 simulated train runs, compared with 19,708 scheduled runs in the modelled schedule (3.9%). Not a representative full railway schedule and not IRCTC or Indian Railways network-wide metrics.</t>
  </si>
  <si>
    <t>Level</t>
  </si>
  <si>
    <t>Sheet</t>
  </si>
  <si>
    <t>Problem to find</t>
  </si>
  <si>
    <t>Cleaning rule to apply</t>
  </si>
  <si>
    <t>Suggested functions</t>
  </si>
  <si>
    <t>Expected count in this sample</t>
  </si>
  <si>
    <t>Beginner</t>
  </si>
  <si>
    <t>Raw_Bookings</t>
  </si>
  <si>
    <t>Exact re-ingested copies of a booking row (same booking_id)</t>
  </si>
  <si>
    <t>COUNTIF (expanding range), Remove Duplicates</t>
  </si>
  <si>
    <t>Raw_Passengers</t>
  </si>
  <si>
    <t>Exact re-ingested copies of a passenger row (same passenger_id)</t>
  </si>
  <si>
    <t>COUNTIF, Remove Duplicates</t>
  </si>
  <si>
    <t>Raw_Cancellations</t>
  </si>
  <si>
    <t>Exact re-ingested copies of a cancellation event (same cancellation_id)</t>
  </si>
  <si>
    <t>total_fare is blank</t>
  </si>
  <si>
    <t>TRIM, IF, ISBLANK / LEN</t>
  </si>
  <si>
    <t>Intermediate</t>
  </si>
  <si>
    <t>total_fare stored as text such as '₹1,250.00' or 'Rs. 1250'</t>
  </si>
  <si>
    <t>ISTEXT, SUBSTITUTE, VALUE, IFERROR</t>
  </si>
  <si>
    <t>Advanced (manual)</t>
  </si>
  <si>
    <t>Raw_Bookings + Raw_Passengers</t>
  </si>
  <si>
    <t>total_fare is negative, zero, non-numeric or does not equal the passenger fare sum</t>
  </si>
  <si>
    <t>SUMIFS over passengers, ISNUMBER, comparison; watch negative passenger fares and duplicate passenger rows</t>
  </si>
  <si>
    <t>A passenger fare_amount is negative or non-numeric</t>
  </si>
  <si>
    <t>ISNUMBER, IF</t>
  </si>
  <si>
    <t>route_id is blank</t>
  </si>
  <si>
    <t>TRIM, IF</t>
  </si>
  <si>
    <t>num_passengers blank, non-numeric, or different from the number of passenger rows</t>
  </si>
  <si>
    <t>COUNTIFS on non-duplicate passenger rows, ISNUMBER</t>
  </si>
  <si>
    <t>age_band is blank</t>
  </si>
  <si>
    <t>boarding/destination station code in lower case or padded with spaces</t>
  </si>
  <si>
    <t>TRIM, UPPER, EXACT, COUNTIF against Lookup_Stations</t>
  </si>
  <si>
    <t>station code not present in the station master (e.g. 'XXX', '000', 'N/A')</t>
  </si>
  <si>
    <t>COUNTIF against Lookup_Stations</t>
  </si>
  <si>
    <t>booking_ts is blank</t>
  </si>
  <si>
    <t>journey_date written as DD-MM-YYYY instead of ISO YYYY-MM-DD</t>
  </si>
  <si>
    <t>MID, LEFT, RIGHT, VALUE, DATE</t>
  </si>
  <si>
    <t>journey_date is not a real calendar date (e.g. 30 February, month 13)</t>
  </si>
  <si>
    <t>DATE round-trip: MONTH(DATE(y,m,d)) = m and DAY(DATE(y,m,d)) = d</t>
  </si>
  <si>
    <t>booking_ts is later than the journey date</t>
  </si>
  <si>
    <t>DATEVALUE, TIMEVALUE, INT</t>
  </si>
  <si>
    <t>Advanced</t>
  </si>
  <si>
    <t>cancellation_ts is earlier than the booking timestamp</t>
  </si>
  <si>
    <t>INDEX/MATCH to the booking timestamp, DATEVALUE, exclusion of already-rejected bookings</t>
  </si>
  <si>
    <t>booking_status written as an alias (CNF, WL, CAN, 'confirmed ' ...)</t>
  </si>
  <si>
    <t>Lookup_Status via INDEX/SUMPRODUCT, EXACT</t>
  </si>
  <si>
    <t>booking_status blank or unrecognised (UNKNOWN, ?, TBD ...)</t>
  </si>
  <si>
    <t>Lookup_Status lookup returning blank</t>
  </si>
  <si>
    <t>initial_status or final_status written as an alias</t>
  </si>
  <si>
    <t>Lookup_Status lookup on initial and final status, EXACT</t>
  </si>
  <si>
    <t>final_status unrecognised</t>
  </si>
  <si>
    <t>initial_status unrecognised</t>
  </si>
  <si>
    <t>Lookup_Status lookup; Cancelled is not a valid initial status</t>
  </si>
  <si>
    <t>cancellation row whose booking_id does not exist in bookings</t>
  </si>
  <si>
    <t>COUNTIF against Raw_Bookings</t>
  </si>
  <si>
    <t>passenger row whose booking_id does not exist in bookings</t>
  </si>
  <si>
    <t>refund_amount is greater than original_fare_amount</t>
  </si>
  <si>
    <t>IF, comparison</t>
  </si>
  <si>
    <t>Raw_Capacity</t>
  </si>
  <si>
    <t>total_seats does not equal coaches_attached x seats_per_coach</t>
  </si>
  <si>
    <t>INDEX/MATCH class standard, IF/AND</t>
  </si>
  <si>
    <t>seats_per_coach differs from the standard for the travel class</t>
  </si>
  <si>
    <t>second capacity row for the same train, date and class with different, inconsistent values</t>
  </si>
  <si>
    <t>Composite key with &amp;, COUNTIF, consistency test</t>
  </si>
  <si>
    <t>Raw_Operations</t>
  </si>
  <si>
    <t>arrival_delay_min is blank</t>
  </si>
  <si>
    <t>arrival_delay_min outside the sanity range -60..1440 minutes</t>
  </si>
  <si>
    <t>ISNUMBER, OR</t>
  </si>
  <si>
    <t>Data cleaning and validation exercises (Phase 3)</t>
  </si>
  <si>
    <t>Independent portfolio project. Not an official IRCTC or Indian Railways system. All data is synthetic.</t>
  </si>
  <si>
    <t>Sample: 647 raw booking rows, 1,335 passenger rows, 178 cancellation rows, 91 capacity rows, 55 operations rows, taken from data/raw/synthetic (never edited). It is enriched so that every one of the 30 issue types appears; real defect rates in the full raw extract are about 1% or less.</t>
  </si>
  <si>
    <t>Raw_* sheets hold the extract as delivered. Plain numbers are stored as numbers (as an Excel CSV import would); currency text such as '₹1,250.00', DD-MM-YYYY dates and alias statuses stay text.</t>
  </si>
  <si>
    <t>Exercises: work through the list (Beginner to Advanced). Try each on the Raw_* sheets first, then compare with the Work_* sheets, which hold one flag column per issue.</t>
  </si>
  <si>
    <t>Answer_Key: expected counts (independent detection by the Python cleaner) beside the Excel formula counts. All formula counts should match; total_fare_invalid is a manual exercise.</t>
  </si>
  <si>
    <t>Clean_*_Solution: the cleaned result for these rows. Validation_Checks: formula checks (duplicates, statuses, BR-03 sums, BR-04 dates, orphans). Paste your own cleaned tables there to test them.</t>
  </si>
  <si>
    <t>Cleaning rules never invent data: unrecoverable records are rejected with their whole booking family; missing age band becomes 'Unknown' and missing delays stay blank. See docs/data_quality_report.md.</t>
  </si>
  <si>
    <t>XLOOKUP is not used: it could not be verified in the build environment. The worked solution uses INDEX/MATCH and SUMPRODUCT lookups that work in every Excel version and in Google Sheets. In Excel 365 you may practise the same lookups with XLOOKUP.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</si>
</sst>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"/>
  </numFmts>
  <fonts count="8">
    <font>
      <sz val="11"/>
      <color theme="1"/>
      <name val="Calibri"/>
      <family val="2"/>
      <scheme val="minor"/>
    </font>
    <font>
      <b/>
      <sz val="16"/>
      <color rgb="FF1F386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9C0006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FFFFF"/>
      <name val="Calibri"/>
      <family val="2"/>
      <scheme val="minor"/>
    </font>
    <font>
      <i/>
      <sz val="10"/>
      <color rgb="FF595959"/>
      <name val="Calibri"/>
      <family val="2"/>
      <scheme val="minor"/>
    </font>
    <font>
      <b/>
      <sz val="10"/>
      <color rgb="FF7F6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EAF1F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2" borderId="1" xfId="0" applyFont="1" applyFill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4" fillId="4" borderId="0" xfId="0" applyFont="1" applyFill="1" applyAlignment="1">
      <alignment vertical="center"/>
    </xf>
    <xf numFmtId="0" fontId="7" fillId="0" borderId="0" xfId="0" applyFont="1" applyAlignment="1">
      <alignment vertical="center"/>
    </xf>
    <xf numFmtId="0" fontId="3" fillId="2" borderId="0" xfId="0" applyFont="1" applyFill="1" applyAlignment="1">
      <alignment vertical="center"/>
    </xf>
    <xf numFmtId="164" fontId="4" fillId="0" borderId="0" xfId="0" applyNumberFormat="1" applyFont="1" applyAlignment="1">
      <alignment vertical="center"/>
    </xf>
    <xf numFmtId="165" fontId="4" fillId="0" borderId="0" xfId="0" applyNumberFormat="1" applyFont="1" applyAlignment="1">
      <alignment vertical="center"/>
    </xf>
  </cellXfs>
  <cellStyles count="1"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theme" Target="theme/theme1.xml"/><Relationship Id="rId21" Type="http://schemas.openxmlformats.org/officeDocument/2006/relationships/styles" Target="styles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1F3864"/>
  </sheetPr>
  <dimension ref="A1:G11"/>
  <sheetViews>
    <sheetView tabSelected="1" workbookViewId="0"/>
  </sheetViews>
  <sheetFormatPr defaultRowHeight="15"/>
  <cols>
    <col min="1" max="7" width="20.7109375" customWidth="1"/>
  </cols>
  <sheetData>
    <row r="1" spans="1:7">
      <c r="A1" s="1" t="s">
        <v>2182</v>
      </c>
    </row>
    <row r="2" spans="1:7">
      <c r="A2" s="2" t="s">
        <v>2183</v>
      </c>
      <c r="B2" s="2"/>
      <c r="C2" s="2"/>
      <c r="D2" s="2"/>
      <c r="E2" s="2"/>
      <c r="F2" s="2"/>
      <c r="G2" s="2"/>
    </row>
    <row r="3" spans="1:7" ht="44" customHeight="1">
      <c r="A3" s="3" t="s">
        <v>2112</v>
      </c>
      <c r="B3" s="3"/>
      <c r="C3" s="3"/>
      <c r="D3" s="3"/>
      <c r="E3" s="3"/>
      <c r="F3" s="3"/>
      <c r="G3" s="3"/>
    </row>
    <row r="5" spans="1:7" ht="46" customHeight="1">
      <c r="A5" s="4" t="s">
        <v>2184</v>
      </c>
      <c r="B5" s="4"/>
      <c r="C5" s="4"/>
      <c r="D5" s="4"/>
      <c r="E5" s="4"/>
      <c r="F5" s="4"/>
      <c r="G5" s="4"/>
    </row>
    <row r="6" spans="1:7" ht="46" customHeight="1">
      <c r="A6" s="4" t="s">
        <v>2185</v>
      </c>
      <c r="B6" s="4"/>
      <c r="C6" s="4"/>
      <c r="D6" s="4"/>
      <c r="E6" s="4"/>
      <c r="F6" s="4"/>
      <c r="G6" s="4"/>
    </row>
    <row r="7" spans="1:7" ht="46" customHeight="1">
      <c r="A7" s="4" t="s">
        <v>2186</v>
      </c>
      <c r="B7" s="4"/>
      <c r="C7" s="4"/>
      <c r="D7" s="4"/>
      <c r="E7" s="4"/>
      <c r="F7" s="4"/>
      <c r="G7" s="4"/>
    </row>
    <row r="8" spans="1:7" ht="46" customHeight="1">
      <c r="A8" s="4" t="s">
        <v>2187</v>
      </c>
      <c r="B8" s="4"/>
      <c r="C8" s="4"/>
      <c r="D8" s="4"/>
      <c r="E8" s="4"/>
      <c r="F8" s="4"/>
      <c r="G8" s="4"/>
    </row>
    <row r="9" spans="1:7" ht="46" customHeight="1">
      <c r="A9" s="4" t="s">
        <v>2188</v>
      </c>
      <c r="B9" s="4"/>
      <c r="C9" s="4"/>
      <c r="D9" s="4"/>
      <c r="E9" s="4"/>
      <c r="F9" s="4"/>
      <c r="G9" s="4"/>
    </row>
    <row r="10" spans="1:7" ht="46" customHeight="1">
      <c r="A10" s="4" t="s">
        <v>2189</v>
      </c>
      <c r="B10" s="4"/>
      <c r="C10" s="4"/>
      <c r="D10" s="4"/>
      <c r="E10" s="4"/>
      <c r="F10" s="4"/>
      <c r="G10" s="4"/>
    </row>
    <row r="11" spans="1:7" ht="46" customHeight="1">
      <c r="A11" s="4" t="s">
        <v>2190</v>
      </c>
      <c r="B11" s="4"/>
      <c r="C11" s="4"/>
      <c r="D11" s="4"/>
      <c r="E11" s="4"/>
      <c r="F11" s="4"/>
      <c r="G11" s="4"/>
    </row>
  </sheetData>
  <mergeCells count="9">
    <mergeCell ref="A2:G2"/>
    <mergeCell ref="A3:G3"/>
    <mergeCell ref="A5:G5"/>
    <mergeCell ref="A6:G6"/>
    <mergeCell ref="A7:G7"/>
    <mergeCell ref="A8:G8"/>
    <mergeCell ref="A9:G9"/>
    <mergeCell ref="A10:G10"/>
    <mergeCell ref="A11:G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1F3864"/>
  </sheetPr>
  <dimension ref="A1:H33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/>
  <cols>
    <col min="1" max="1" width="4.7109375" customWidth="1"/>
    <col min="2" max="2" width="16.7109375" customWidth="1"/>
    <col min="3" max="3" width="32.7109375" customWidth="1"/>
    <col min="4" max="4" width="24.7109375" customWidth="1"/>
    <col min="5" max="7" width="48.7109375" customWidth="1"/>
    <col min="8" max="8" width="14.7109375" customWidth="1"/>
  </cols>
  <sheetData>
    <row r="1" spans="1:8">
      <c r="A1" s="1" t="s">
        <v>2111</v>
      </c>
    </row>
    <row r="2" spans="1:8" ht="44" customHeight="1">
      <c r="A2" s="3" t="s">
        <v>2112</v>
      </c>
      <c r="B2" s="3"/>
      <c r="C2" s="3"/>
      <c r="D2" s="3"/>
      <c r="E2" s="3"/>
      <c r="F2" s="3"/>
      <c r="G2" s="3"/>
      <c r="H2" s="3"/>
    </row>
    <row r="3" spans="1:8">
      <c r="A3" s="5" t="s">
        <v>2097</v>
      </c>
      <c r="B3" s="5" t="s">
        <v>2113</v>
      </c>
      <c r="C3" s="5" t="s">
        <v>1981</v>
      </c>
      <c r="D3" s="5" t="s">
        <v>2114</v>
      </c>
      <c r="E3" s="5" t="s">
        <v>2115</v>
      </c>
      <c r="F3" s="5" t="s">
        <v>2116</v>
      </c>
      <c r="G3" s="5" t="s">
        <v>2117</v>
      </c>
      <c r="H3" s="5" t="s">
        <v>2118</v>
      </c>
    </row>
    <row r="4" spans="1:8" ht="44" customHeight="1">
      <c r="A4">
        <v>1</v>
      </c>
      <c r="B4" t="s">
        <v>2119</v>
      </c>
      <c r="C4" t="s">
        <v>1990</v>
      </c>
      <c r="D4" t="s">
        <v>2120</v>
      </c>
      <c r="E4" s="4" t="s">
        <v>2121</v>
      </c>
      <c r="F4" s="4" t="s">
        <v>1994</v>
      </c>
      <c r="G4" s="4" t="s">
        <v>2122</v>
      </c>
      <c r="H4">
        <v>9</v>
      </c>
    </row>
    <row r="5" spans="1:8" ht="44" customHeight="1">
      <c r="A5">
        <v>2</v>
      </c>
      <c r="B5" t="s">
        <v>2119</v>
      </c>
      <c r="C5" t="s">
        <v>1995</v>
      </c>
      <c r="D5" t="s">
        <v>2123</v>
      </c>
      <c r="E5" s="4" t="s">
        <v>2124</v>
      </c>
      <c r="F5" s="4" t="s">
        <v>1998</v>
      </c>
      <c r="G5" s="4" t="s">
        <v>2125</v>
      </c>
      <c r="H5">
        <v>8</v>
      </c>
    </row>
    <row r="6" spans="1:8" ht="44" customHeight="1">
      <c r="A6">
        <v>3</v>
      </c>
      <c r="B6" t="s">
        <v>2119</v>
      </c>
      <c r="C6" t="s">
        <v>1999</v>
      </c>
      <c r="D6" t="s">
        <v>2126</v>
      </c>
      <c r="E6" s="4" t="s">
        <v>2127</v>
      </c>
      <c r="F6" s="4" t="s">
        <v>2002</v>
      </c>
      <c r="G6" s="4" t="s">
        <v>2125</v>
      </c>
      <c r="H6">
        <v>6</v>
      </c>
    </row>
    <row r="7" spans="1:8" ht="44" customHeight="1">
      <c r="A7">
        <v>4</v>
      </c>
      <c r="B7" t="s">
        <v>2119</v>
      </c>
      <c r="C7" t="s">
        <v>2003</v>
      </c>
      <c r="D7" t="s">
        <v>2120</v>
      </c>
      <c r="E7" s="4" t="s">
        <v>2128</v>
      </c>
      <c r="F7" s="4" t="s">
        <v>2006</v>
      </c>
      <c r="G7" s="4" t="s">
        <v>2129</v>
      </c>
      <c r="H7">
        <v>8</v>
      </c>
    </row>
    <row r="8" spans="1:8" ht="44" customHeight="1">
      <c r="A8">
        <v>5</v>
      </c>
      <c r="B8" t="s">
        <v>2130</v>
      </c>
      <c r="C8" t="s">
        <v>2007</v>
      </c>
      <c r="D8" t="s">
        <v>2120</v>
      </c>
      <c r="E8" s="4" t="s">
        <v>2131</v>
      </c>
      <c r="F8" s="4" t="s">
        <v>2009</v>
      </c>
      <c r="G8" s="4" t="s">
        <v>2132</v>
      </c>
      <c r="H8">
        <v>7</v>
      </c>
    </row>
    <row r="9" spans="1:8" ht="44" customHeight="1">
      <c r="A9">
        <v>6</v>
      </c>
      <c r="B9" t="s">
        <v>2133</v>
      </c>
      <c r="C9" t="s">
        <v>2010</v>
      </c>
      <c r="D9" t="s">
        <v>2134</v>
      </c>
      <c r="E9" s="4" t="s">
        <v>2135</v>
      </c>
      <c r="F9" s="4" t="s">
        <v>2014</v>
      </c>
      <c r="G9" s="4" t="s">
        <v>2136</v>
      </c>
      <c r="H9">
        <v>8</v>
      </c>
    </row>
    <row r="10" spans="1:8" ht="44" customHeight="1">
      <c r="A10">
        <v>7</v>
      </c>
      <c r="B10" t="s">
        <v>2119</v>
      </c>
      <c r="C10" t="s">
        <v>2015</v>
      </c>
      <c r="D10" t="s">
        <v>2123</v>
      </c>
      <c r="E10" s="4" t="s">
        <v>2137</v>
      </c>
      <c r="F10" s="4" t="s">
        <v>2017</v>
      </c>
      <c r="G10" s="4" t="s">
        <v>2138</v>
      </c>
      <c r="H10">
        <v>8</v>
      </c>
    </row>
    <row r="11" spans="1:8" ht="44" customHeight="1">
      <c r="A11">
        <v>8</v>
      </c>
      <c r="B11" t="s">
        <v>2119</v>
      </c>
      <c r="C11" t="s">
        <v>2018</v>
      </c>
      <c r="D11" t="s">
        <v>2120</v>
      </c>
      <c r="E11" s="4" t="s">
        <v>2139</v>
      </c>
      <c r="F11" s="4" t="s">
        <v>2020</v>
      </c>
      <c r="G11" s="4" t="s">
        <v>2140</v>
      </c>
      <c r="H11">
        <v>9</v>
      </c>
    </row>
    <row r="12" spans="1:8" ht="44" customHeight="1">
      <c r="A12">
        <v>9</v>
      </c>
      <c r="B12" t="s">
        <v>2130</v>
      </c>
      <c r="C12" t="s">
        <v>2021</v>
      </c>
      <c r="D12" t="s">
        <v>2120</v>
      </c>
      <c r="E12" s="4" t="s">
        <v>2141</v>
      </c>
      <c r="F12" s="4" t="s">
        <v>2023</v>
      </c>
      <c r="G12" s="4" t="s">
        <v>2142</v>
      </c>
      <c r="H12">
        <v>6</v>
      </c>
    </row>
    <row r="13" spans="1:8" ht="44" customHeight="1">
      <c r="A13">
        <v>10</v>
      </c>
      <c r="B13" t="s">
        <v>2119</v>
      </c>
      <c r="C13" t="s">
        <v>2024</v>
      </c>
      <c r="D13" t="s">
        <v>2123</v>
      </c>
      <c r="E13" s="4" t="s">
        <v>2143</v>
      </c>
      <c r="F13" s="4" t="s">
        <v>2027</v>
      </c>
      <c r="G13" s="4" t="s">
        <v>2140</v>
      </c>
      <c r="H13">
        <v>8</v>
      </c>
    </row>
    <row r="14" spans="1:8" ht="44" customHeight="1">
      <c r="A14">
        <v>11</v>
      </c>
      <c r="B14" t="s">
        <v>2119</v>
      </c>
      <c r="C14" t="s">
        <v>2028</v>
      </c>
      <c r="D14" t="s">
        <v>2120</v>
      </c>
      <c r="E14" s="4" t="s">
        <v>2144</v>
      </c>
      <c r="F14" s="4" t="s">
        <v>2030</v>
      </c>
      <c r="G14" s="4" t="s">
        <v>2145</v>
      </c>
      <c r="H14">
        <v>9</v>
      </c>
    </row>
    <row r="15" spans="1:8" ht="44" customHeight="1">
      <c r="A15">
        <v>12</v>
      </c>
      <c r="B15" t="s">
        <v>2119</v>
      </c>
      <c r="C15" t="s">
        <v>2031</v>
      </c>
      <c r="D15" t="s">
        <v>2120</v>
      </c>
      <c r="E15" s="4" t="s">
        <v>2146</v>
      </c>
      <c r="F15" s="4" t="s">
        <v>2033</v>
      </c>
      <c r="G15" s="4" t="s">
        <v>2147</v>
      </c>
      <c r="H15">
        <v>6</v>
      </c>
    </row>
    <row r="16" spans="1:8" ht="44" customHeight="1">
      <c r="A16">
        <v>13</v>
      </c>
      <c r="B16" t="s">
        <v>2119</v>
      </c>
      <c r="C16" t="s">
        <v>2034</v>
      </c>
      <c r="D16" t="s">
        <v>2120</v>
      </c>
      <c r="E16" s="4" t="s">
        <v>2148</v>
      </c>
      <c r="F16" s="4" t="s">
        <v>2036</v>
      </c>
      <c r="G16" s="4" t="s">
        <v>2140</v>
      </c>
      <c r="H16">
        <v>6</v>
      </c>
    </row>
    <row r="17" spans="1:8" ht="44" customHeight="1">
      <c r="A17">
        <v>14</v>
      </c>
      <c r="B17" t="s">
        <v>2130</v>
      </c>
      <c r="C17" t="s">
        <v>2037</v>
      </c>
      <c r="D17" t="s">
        <v>2120</v>
      </c>
      <c r="E17" s="4" t="s">
        <v>2149</v>
      </c>
      <c r="F17" s="4" t="s">
        <v>2039</v>
      </c>
      <c r="G17" s="4" t="s">
        <v>2150</v>
      </c>
      <c r="H17">
        <v>8</v>
      </c>
    </row>
    <row r="18" spans="1:8" ht="44" customHeight="1">
      <c r="A18">
        <v>15</v>
      </c>
      <c r="B18" t="s">
        <v>2130</v>
      </c>
      <c r="C18" t="s">
        <v>2040</v>
      </c>
      <c r="D18" t="s">
        <v>2120</v>
      </c>
      <c r="E18" s="4" t="s">
        <v>2151</v>
      </c>
      <c r="F18" s="4" t="s">
        <v>2042</v>
      </c>
      <c r="G18" s="4" t="s">
        <v>2152</v>
      </c>
      <c r="H18">
        <v>6</v>
      </c>
    </row>
    <row r="19" spans="1:8" ht="44" customHeight="1">
      <c r="A19">
        <v>16</v>
      </c>
      <c r="B19" t="s">
        <v>2130</v>
      </c>
      <c r="C19" t="s">
        <v>2043</v>
      </c>
      <c r="D19" t="s">
        <v>2120</v>
      </c>
      <c r="E19" s="4" t="s">
        <v>2153</v>
      </c>
      <c r="F19" s="4" t="s">
        <v>2045</v>
      </c>
      <c r="G19" s="4" t="s">
        <v>2154</v>
      </c>
      <c r="H19">
        <v>7</v>
      </c>
    </row>
    <row r="20" spans="1:8" ht="44" customHeight="1">
      <c r="A20">
        <v>17</v>
      </c>
      <c r="B20" t="s">
        <v>2155</v>
      </c>
      <c r="C20" t="s">
        <v>2046</v>
      </c>
      <c r="D20" t="s">
        <v>2126</v>
      </c>
      <c r="E20" s="4" t="s">
        <v>2156</v>
      </c>
      <c r="F20" s="4" t="s">
        <v>2048</v>
      </c>
      <c r="G20" s="4" t="s">
        <v>2157</v>
      </c>
      <c r="H20">
        <v>6</v>
      </c>
    </row>
    <row r="21" spans="1:8" ht="44" customHeight="1">
      <c r="A21">
        <v>18</v>
      </c>
      <c r="B21" t="s">
        <v>2130</v>
      </c>
      <c r="C21" t="s">
        <v>2049</v>
      </c>
      <c r="D21" t="s">
        <v>2120</v>
      </c>
      <c r="E21" s="4" t="s">
        <v>2158</v>
      </c>
      <c r="F21" s="4" t="s">
        <v>2051</v>
      </c>
      <c r="G21" s="4" t="s">
        <v>2159</v>
      </c>
      <c r="H21">
        <v>11</v>
      </c>
    </row>
    <row r="22" spans="1:8" ht="44" customHeight="1">
      <c r="A22">
        <v>19</v>
      </c>
      <c r="B22" t="s">
        <v>2130</v>
      </c>
      <c r="C22" t="s">
        <v>2052</v>
      </c>
      <c r="D22" t="s">
        <v>2120</v>
      </c>
      <c r="E22" s="4" t="s">
        <v>2160</v>
      </c>
      <c r="F22" s="4" t="s">
        <v>2054</v>
      </c>
      <c r="G22" s="4" t="s">
        <v>2161</v>
      </c>
      <c r="H22">
        <v>8</v>
      </c>
    </row>
    <row r="23" spans="1:8" ht="44" customHeight="1">
      <c r="A23">
        <v>20</v>
      </c>
      <c r="B23" t="s">
        <v>2130</v>
      </c>
      <c r="C23" t="s">
        <v>2055</v>
      </c>
      <c r="D23" t="s">
        <v>2123</v>
      </c>
      <c r="E23" s="4" t="s">
        <v>2162</v>
      </c>
      <c r="F23" s="4" t="s">
        <v>2057</v>
      </c>
      <c r="G23" s="4" t="s">
        <v>2163</v>
      </c>
      <c r="H23">
        <v>9</v>
      </c>
    </row>
    <row r="24" spans="1:8" ht="44" customHeight="1">
      <c r="A24">
        <v>21</v>
      </c>
      <c r="B24" t="s">
        <v>2130</v>
      </c>
      <c r="C24" t="s">
        <v>2058</v>
      </c>
      <c r="D24" t="s">
        <v>2123</v>
      </c>
      <c r="E24" s="4" t="s">
        <v>2164</v>
      </c>
      <c r="F24" s="4" t="s">
        <v>2060</v>
      </c>
      <c r="G24" s="4" t="s">
        <v>2161</v>
      </c>
      <c r="H24">
        <v>6</v>
      </c>
    </row>
    <row r="25" spans="1:8" ht="44" customHeight="1">
      <c r="A25">
        <v>22</v>
      </c>
      <c r="B25" t="s">
        <v>2130</v>
      </c>
      <c r="C25" t="s">
        <v>2061</v>
      </c>
      <c r="D25" t="s">
        <v>2123</v>
      </c>
      <c r="E25" s="4" t="s">
        <v>2165</v>
      </c>
      <c r="F25" s="4" t="s">
        <v>2063</v>
      </c>
      <c r="G25" s="4" t="s">
        <v>2166</v>
      </c>
      <c r="H25">
        <v>6</v>
      </c>
    </row>
    <row r="26" spans="1:8" ht="44" customHeight="1">
      <c r="A26">
        <v>23</v>
      </c>
      <c r="B26" t="s">
        <v>2119</v>
      </c>
      <c r="C26" t="s">
        <v>2064</v>
      </c>
      <c r="D26" t="s">
        <v>2126</v>
      </c>
      <c r="E26" s="4" t="s">
        <v>2167</v>
      </c>
      <c r="F26" s="4" t="s">
        <v>2066</v>
      </c>
      <c r="G26" s="4" t="s">
        <v>2168</v>
      </c>
      <c r="H26">
        <v>6</v>
      </c>
    </row>
    <row r="27" spans="1:8" ht="44" customHeight="1">
      <c r="A27">
        <v>24</v>
      </c>
      <c r="B27" t="s">
        <v>2119</v>
      </c>
      <c r="C27" t="s">
        <v>2067</v>
      </c>
      <c r="D27" t="s">
        <v>2123</v>
      </c>
      <c r="E27" s="4" t="s">
        <v>2169</v>
      </c>
      <c r="F27" s="4" t="s">
        <v>2069</v>
      </c>
      <c r="G27" s="4" t="s">
        <v>2168</v>
      </c>
      <c r="H27">
        <v>6</v>
      </c>
    </row>
    <row r="28" spans="1:8" ht="44" customHeight="1">
      <c r="A28">
        <v>25</v>
      </c>
      <c r="B28" t="s">
        <v>2119</v>
      </c>
      <c r="C28" t="s">
        <v>2070</v>
      </c>
      <c r="D28" t="s">
        <v>2126</v>
      </c>
      <c r="E28" s="4" t="s">
        <v>2170</v>
      </c>
      <c r="F28" s="4" t="s">
        <v>2072</v>
      </c>
      <c r="G28" s="4" t="s">
        <v>2171</v>
      </c>
      <c r="H28">
        <v>6</v>
      </c>
    </row>
    <row r="29" spans="1:8" ht="44" customHeight="1">
      <c r="A29">
        <v>26</v>
      </c>
      <c r="B29" t="s">
        <v>2130</v>
      </c>
      <c r="C29" t="s">
        <v>2073</v>
      </c>
      <c r="D29" t="s">
        <v>2172</v>
      </c>
      <c r="E29" s="4" t="s">
        <v>2173</v>
      </c>
      <c r="F29" s="4" t="s">
        <v>2076</v>
      </c>
      <c r="G29" s="4" t="s">
        <v>2174</v>
      </c>
      <c r="H29">
        <v>11</v>
      </c>
    </row>
    <row r="30" spans="1:8" ht="44" customHeight="1">
      <c r="A30">
        <v>27</v>
      </c>
      <c r="B30" t="s">
        <v>2130</v>
      </c>
      <c r="C30" t="s">
        <v>2077</v>
      </c>
      <c r="D30" t="s">
        <v>2172</v>
      </c>
      <c r="E30" s="4" t="s">
        <v>2175</v>
      </c>
      <c r="F30" s="4" t="s">
        <v>2079</v>
      </c>
      <c r="G30" s="4" t="s">
        <v>2174</v>
      </c>
      <c r="H30">
        <v>8</v>
      </c>
    </row>
    <row r="31" spans="1:8" ht="44" customHeight="1">
      <c r="A31">
        <v>28</v>
      </c>
      <c r="B31" t="s">
        <v>2155</v>
      </c>
      <c r="C31" t="s">
        <v>2080</v>
      </c>
      <c r="D31" t="s">
        <v>2172</v>
      </c>
      <c r="E31" s="4" t="s">
        <v>2176</v>
      </c>
      <c r="F31" s="4" t="s">
        <v>2082</v>
      </c>
      <c r="G31" s="4" t="s">
        <v>2177</v>
      </c>
      <c r="H31">
        <v>8</v>
      </c>
    </row>
    <row r="32" spans="1:8" ht="44" customHeight="1">
      <c r="A32">
        <v>29</v>
      </c>
      <c r="B32" t="s">
        <v>2119</v>
      </c>
      <c r="C32" t="s">
        <v>2083</v>
      </c>
      <c r="D32" t="s">
        <v>2178</v>
      </c>
      <c r="E32" s="4" t="s">
        <v>2179</v>
      </c>
      <c r="F32" s="4" t="s">
        <v>2086</v>
      </c>
      <c r="G32" s="4" t="s">
        <v>2140</v>
      </c>
      <c r="H32">
        <v>8</v>
      </c>
    </row>
    <row r="33" spans="1:8" ht="44" customHeight="1">
      <c r="A33">
        <v>30</v>
      </c>
      <c r="B33" t="s">
        <v>2119</v>
      </c>
      <c r="C33" t="s">
        <v>2087</v>
      </c>
      <c r="D33" t="s">
        <v>2178</v>
      </c>
      <c r="E33" s="4" t="s">
        <v>2180</v>
      </c>
      <c r="F33" s="4" t="s">
        <v>2089</v>
      </c>
      <c r="G33" s="4" t="s">
        <v>2181</v>
      </c>
      <c r="H33">
        <v>8</v>
      </c>
    </row>
  </sheetData>
  <autoFilter ref="A3:H33"/>
  <mergeCells count="1">
    <mergeCell ref="A2:H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1F3864"/>
  </sheetPr>
  <dimension ref="A1:I36"/>
  <sheetViews>
    <sheetView workbookViewId="0"/>
  </sheetViews>
  <sheetFormatPr defaultRowHeight="15"/>
  <cols>
    <col min="1" max="1" width="34.7109375" customWidth="1"/>
    <col min="2" max="2" width="20.7109375" customWidth="1"/>
    <col min="3" max="3" width="36.7109375" customWidth="1"/>
    <col min="4" max="7" width="16.7109375" customWidth="1"/>
    <col min="8" max="8" width="11.7109375" customWidth="1"/>
    <col min="9" max="9" width="90.7109375" customWidth="1"/>
  </cols>
  <sheetData>
    <row r="1" spans="1:9">
      <c r="A1" s="1" t="s">
        <v>1979</v>
      </c>
    </row>
    <row r="2" spans="1:9" ht="44" customHeight="1">
      <c r="A2" s="6" t="s">
        <v>1980</v>
      </c>
      <c r="B2" s="6"/>
      <c r="C2" s="6"/>
      <c r="D2" s="6"/>
      <c r="E2" s="6"/>
      <c r="F2" s="6"/>
      <c r="G2" s="6"/>
      <c r="H2" s="6"/>
      <c r="I2" s="6"/>
    </row>
    <row r="4" spans="1:9" ht="42" customHeight="1">
      <c r="A4" s="5" t="s">
        <v>1981</v>
      </c>
      <c r="B4" s="5" t="s">
        <v>1982</v>
      </c>
      <c r="C4" s="5" t="s">
        <v>1983</v>
      </c>
      <c r="D4" s="5" t="s">
        <v>1984</v>
      </c>
      <c r="E4" s="5" t="s">
        <v>1985</v>
      </c>
      <c r="F4" s="5" t="s">
        <v>1986</v>
      </c>
      <c r="G4" s="5" t="s">
        <v>1987</v>
      </c>
      <c r="H4" s="5" t="s">
        <v>1988</v>
      </c>
      <c r="I4" s="5" t="s">
        <v>1989</v>
      </c>
    </row>
    <row r="5" spans="1:9">
      <c r="A5" t="s">
        <v>1990</v>
      </c>
      <c r="B5" t="s">
        <v>1991</v>
      </c>
      <c r="C5" t="s">
        <v>1992</v>
      </c>
      <c r="D5">
        <v>9</v>
      </c>
      <c r="E5">
        <v>9</v>
      </c>
      <c r="F5" s="7">
        <f>SUM(Work_Bookings!$B$2:$B$648)</f>
        <v>9</v>
      </c>
      <c r="G5" s="2" t="str">
        <f>IF(F5=D5,"PASS","FAIL")</f>
        <v>PASS</v>
      </c>
      <c r="H5" t="s">
        <v>1993</v>
      </c>
      <c r="I5" t="s">
        <v>1994</v>
      </c>
    </row>
    <row r="6" spans="1:9">
      <c r="A6" t="s">
        <v>1995</v>
      </c>
      <c r="B6" t="s">
        <v>1996</v>
      </c>
      <c r="C6" t="s">
        <v>1997</v>
      </c>
      <c r="D6">
        <v>8</v>
      </c>
      <c r="E6">
        <v>8</v>
      </c>
      <c r="F6" s="7">
        <f>SUM(Work_Passengers!$C$2:$C$1336)</f>
        <v>8</v>
      </c>
      <c r="G6" s="2" t="str">
        <f>IF(F6=D6,"PASS","FAIL")</f>
        <v>PASS</v>
      </c>
      <c r="H6" t="s">
        <v>1993</v>
      </c>
      <c r="I6" t="s">
        <v>1998</v>
      </c>
    </row>
    <row r="7" spans="1:9">
      <c r="A7" t="s">
        <v>1999</v>
      </c>
      <c r="B7" t="s">
        <v>2000</v>
      </c>
      <c r="C7" t="s">
        <v>2001</v>
      </c>
      <c r="D7">
        <v>6</v>
      </c>
      <c r="E7">
        <v>6</v>
      </c>
      <c r="F7" s="7">
        <f>SUM(Work_Cancellations!$B$2:$B$179)</f>
        <v>6</v>
      </c>
      <c r="G7" s="2" t="str">
        <f>IF(F7=D7,"PASS","FAIL")</f>
        <v>PASS</v>
      </c>
      <c r="H7" t="s">
        <v>1993</v>
      </c>
      <c r="I7" t="s">
        <v>2002</v>
      </c>
    </row>
    <row r="8" spans="1:9">
      <c r="A8" t="s">
        <v>2003</v>
      </c>
      <c r="B8" t="s">
        <v>1991</v>
      </c>
      <c r="C8" t="s">
        <v>2004</v>
      </c>
      <c r="D8">
        <v>8</v>
      </c>
      <c r="E8">
        <v>8</v>
      </c>
      <c r="F8" s="7">
        <f>SUM(Work_Bookings!$Y$2:$Y$648)</f>
        <v>8</v>
      </c>
      <c r="G8" s="2" t="str">
        <f>IF(F8=D8,"PASS","FAIL")</f>
        <v>PASS</v>
      </c>
      <c r="H8" t="s">
        <v>2005</v>
      </c>
      <c r="I8" t="s">
        <v>2006</v>
      </c>
    </row>
    <row r="9" spans="1:9">
      <c r="A9" t="s">
        <v>2007</v>
      </c>
      <c r="B9" t="s">
        <v>1991</v>
      </c>
      <c r="C9" t="s">
        <v>2008</v>
      </c>
      <c r="D9">
        <v>7</v>
      </c>
      <c r="E9">
        <v>7</v>
      </c>
      <c r="F9" s="7">
        <f>SUM(Work_Bookings!$AB$2:$AB$648)</f>
        <v>7</v>
      </c>
      <c r="G9" s="2" t="str">
        <f>IF(F9=D9,"PASS","FAIL")</f>
        <v>PASS</v>
      </c>
      <c r="H9" t="s">
        <v>2005</v>
      </c>
      <c r="I9" t="s">
        <v>2009</v>
      </c>
    </row>
    <row r="10" spans="1:9">
      <c r="A10" t="s">
        <v>2010</v>
      </c>
      <c r="B10" t="s">
        <v>1991</v>
      </c>
      <c r="C10" t="s">
        <v>2011</v>
      </c>
      <c r="D10">
        <v>8</v>
      </c>
      <c r="E10">
        <v>8</v>
      </c>
      <c r="F10" t="s">
        <v>2012</v>
      </c>
      <c r="G10" s="8" t="s">
        <v>2013</v>
      </c>
      <c r="H10" t="s">
        <v>2005</v>
      </c>
      <c r="I10" t="s">
        <v>2014</v>
      </c>
    </row>
    <row r="11" spans="1:9">
      <c r="A11" t="s">
        <v>2015</v>
      </c>
      <c r="B11" t="s">
        <v>1996</v>
      </c>
      <c r="C11" t="s">
        <v>2016</v>
      </c>
      <c r="D11">
        <v>8</v>
      </c>
      <c r="E11">
        <v>8</v>
      </c>
      <c r="F11" s="7">
        <f>SUM(Work_Passengers!$E$2:$E$1336)</f>
        <v>8</v>
      </c>
      <c r="G11" s="2" t="str">
        <f>IF(F11=D11,"PASS","FAIL")</f>
        <v>PASS</v>
      </c>
      <c r="H11" t="s">
        <v>2005</v>
      </c>
      <c r="I11" t="s">
        <v>2017</v>
      </c>
    </row>
    <row r="12" spans="1:9">
      <c r="A12" t="s">
        <v>2018</v>
      </c>
      <c r="B12" t="s">
        <v>1991</v>
      </c>
      <c r="C12" t="s">
        <v>2019</v>
      </c>
      <c r="D12">
        <v>9</v>
      </c>
      <c r="E12">
        <v>9</v>
      </c>
      <c r="F12" s="7">
        <f>SUM(Work_Bookings!$U$2:$U$648)</f>
        <v>9</v>
      </c>
      <c r="G12" s="2" t="str">
        <f>IF(F12=D12,"PASS","FAIL")</f>
        <v>PASS</v>
      </c>
      <c r="H12" t="s">
        <v>2005</v>
      </c>
      <c r="I12" t="s">
        <v>2020</v>
      </c>
    </row>
    <row r="13" spans="1:9">
      <c r="A13" t="s">
        <v>2021</v>
      </c>
      <c r="B13" t="s">
        <v>1991</v>
      </c>
      <c r="C13" t="s">
        <v>2022</v>
      </c>
      <c r="D13">
        <v>6</v>
      </c>
      <c r="E13">
        <v>6</v>
      </c>
      <c r="F13" s="7">
        <f>SUM(Work_Bookings!$AC$2:$AC$648)</f>
        <v>6</v>
      </c>
      <c r="G13" s="2" t="str">
        <f>IF(F13=D13,"PASS","FAIL")</f>
        <v>PASS</v>
      </c>
      <c r="H13" t="s">
        <v>2005</v>
      </c>
      <c r="I13" t="s">
        <v>2023</v>
      </c>
    </row>
    <row r="14" spans="1:9">
      <c r="A14" t="s">
        <v>2024</v>
      </c>
      <c r="B14" t="s">
        <v>1996</v>
      </c>
      <c r="C14" t="s">
        <v>2025</v>
      </c>
      <c r="D14">
        <v>8</v>
      </c>
      <c r="E14">
        <v>8</v>
      </c>
      <c r="F14" s="7">
        <f>SUM(Work_Passengers!$F$2:$F$1336)</f>
        <v>8</v>
      </c>
      <c r="G14" s="2" t="str">
        <f>IF(F14=D14,"PASS","FAIL")</f>
        <v>PASS</v>
      </c>
      <c r="H14" t="s">
        <v>2026</v>
      </c>
      <c r="I14" t="s">
        <v>2027</v>
      </c>
    </row>
    <row r="15" spans="1:9">
      <c r="A15" t="s">
        <v>2028</v>
      </c>
      <c r="B15" t="s">
        <v>1991</v>
      </c>
      <c r="C15" t="s">
        <v>2029</v>
      </c>
      <c r="D15">
        <v>9</v>
      </c>
      <c r="E15">
        <v>9</v>
      </c>
      <c r="F15" s="7">
        <f>SUM(Work_Bookings!$S$2:$S$648)</f>
        <v>9</v>
      </c>
      <c r="G15" s="2" t="str">
        <f>IF(F15=D15,"PASS","FAIL")</f>
        <v>PASS</v>
      </c>
      <c r="H15" t="s">
        <v>2005</v>
      </c>
      <c r="I15" t="s">
        <v>2030</v>
      </c>
    </row>
    <row r="16" spans="1:9">
      <c r="A16" t="s">
        <v>2031</v>
      </c>
      <c r="B16" t="s">
        <v>1991</v>
      </c>
      <c r="C16" t="s">
        <v>2032</v>
      </c>
      <c r="D16">
        <v>6</v>
      </c>
      <c r="E16">
        <v>6</v>
      </c>
      <c r="F16" s="7">
        <f>SUM(Work_Bookings!$T$2:$T$648)</f>
        <v>6</v>
      </c>
      <c r="G16" s="2" t="str">
        <f>IF(F16=D16,"PASS","FAIL")</f>
        <v>PASS</v>
      </c>
      <c r="H16" t="s">
        <v>2005</v>
      </c>
      <c r="I16" t="s">
        <v>2033</v>
      </c>
    </row>
    <row r="17" spans="1:9">
      <c r="A17" t="s">
        <v>2034</v>
      </c>
      <c r="B17" t="s">
        <v>1991</v>
      </c>
      <c r="C17" t="s">
        <v>2035</v>
      </c>
      <c r="D17">
        <v>6</v>
      </c>
      <c r="E17">
        <v>6</v>
      </c>
      <c r="F17" s="7">
        <f>SUM(Work_Bookings!$L$2:$L$648)</f>
        <v>6</v>
      </c>
      <c r="G17" s="2" t="str">
        <f>IF(F17=D17,"PASS","FAIL")</f>
        <v>PASS</v>
      </c>
      <c r="H17" t="s">
        <v>1993</v>
      </c>
      <c r="I17" t="s">
        <v>2036</v>
      </c>
    </row>
    <row r="18" spans="1:9">
      <c r="A18" t="s">
        <v>2037</v>
      </c>
      <c r="B18" t="s">
        <v>1991</v>
      </c>
      <c r="C18" t="s">
        <v>2038</v>
      </c>
      <c r="D18">
        <v>8</v>
      </c>
      <c r="E18">
        <v>8</v>
      </c>
      <c r="F18" s="7">
        <f>SUM(Work_Bookings!$J$2:$J$648)</f>
        <v>8</v>
      </c>
      <c r="G18" s="2" t="str">
        <f>IF(F18=D18,"PASS","FAIL")</f>
        <v>PASS</v>
      </c>
      <c r="H18" t="s">
        <v>2005</v>
      </c>
      <c r="I18" t="s">
        <v>2039</v>
      </c>
    </row>
    <row r="19" spans="1:9">
      <c r="A19" t="s">
        <v>2040</v>
      </c>
      <c r="B19" t="s">
        <v>1991</v>
      </c>
      <c r="C19" t="s">
        <v>2041</v>
      </c>
      <c r="D19">
        <v>6</v>
      </c>
      <c r="E19">
        <v>6</v>
      </c>
      <c r="F19" s="7">
        <f>SUM(Work_Bookings!$K$2:$K$648)</f>
        <v>6</v>
      </c>
      <c r="G19" s="2" t="str">
        <f>IF(F19=D19,"PASS","FAIL")</f>
        <v>PASS</v>
      </c>
      <c r="H19" t="s">
        <v>1993</v>
      </c>
      <c r="I19" t="s">
        <v>2042</v>
      </c>
    </row>
    <row r="20" spans="1:9">
      <c r="A20" t="s">
        <v>2043</v>
      </c>
      <c r="B20" t="s">
        <v>1991</v>
      </c>
      <c r="C20" t="s">
        <v>2044</v>
      </c>
      <c r="D20">
        <v>7</v>
      </c>
      <c r="E20">
        <v>7</v>
      </c>
      <c r="F20" s="7">
        <f>SUM(Work_Bookings!$N$2:$N$648)</f>
        <v>7</v>
      </c>
      <c r="G20" s="2" t="str">
        <f>IF(F20=D20,"PASS","FAIL")</f>
        <v>PASS</v>
      </c>
      <c r="H20" t="s">
        <v>1993</v>
      </c>
      <c r="I20" t="s">
        <v>2045</v>
      </c>
    </row>
    <row r="21" spans="1:9">
      <c r="A21" t="s">
        <v>2046</v>
      </c>
      <c r="B21" t="s">
        <v>2000</v>
      </c>
      <c r="C21" t="s">
        <v>2047</v>
      </c>
      <c r="D21">
        <v>6</v>
      </c>
      <c r="E21">
        <v>6</v>
      </c>
      <c r="F21" s="7">
        <f>SUM(Work_Cancellations!$I$2:$I$179)</f>
        <v>6</v>
      </c>
      <c r="G21" s="2" t="str">
        <f>IF(F21=D21,"PASS","FAIL")</f>
        <v>PASS</v>
      </c>
      <c r="H21" t="s">
        <v>1993</v>
      </c>
      <c r="I21" t="s">
        <v>2048</v>
      </c>
    </row>
    <row r="22" spans="1:9">
      <c r="A22" t="s">
        <v>2049</v>
      </c>
      <c r="B22" t="s">
        <v>1991</v>
      </c>
      <c r="C22" t="s">
        <v>2050</v>
      </c>
      <c r="D22">
        <v>11</v>
      </c>
      <c r="E22">
        <v>11</v>
      </c>
      <c r="F22" s="7">
        <f>SUM(Work_Bookings!$W$2:$W$648)</f>
        <v>11</v>
      </c>
      <c r="G22" s="2" t="str">
        <f>IF(F22=D22,"PASS","FAIL")</f>
        <v>PASS</v>
      </c>
      <c r="H22" t="s">
        <v>2005</v>
      </c>
      <c r="I22" t="s">
        <v>2051</v>
      </c>
    </row>
    <row r="23" spans="1:9">
      <c r="A23" t="s">
        <v>2052</v>
      </c>
      <c r="B23" t="s">
        <v>1991</v>
      </c>
      <c r="C23" t="s">
        <v>2053</v>
      </c>
      <c r="D23">
        <v>8</v>
      </c>
      <c r="E23">
        <v>8</v>
      </c>
      <c r="F23" s="7">
        <f>SUM(Work_Bookings!$X$2:$X$648)</f>
        <v>8</v>
      </c>
      <c r="G23" s="2" t="str">
        <f>IF(F23=D23,"PASS","FAIL")</f>
        <v>PASS</v>
      </c>
      <c r="H23" t="s">
        <v>2005</v>
      </c>
      <c r="I23" t="s">
        <v>2054</v>
      </c>
    </row>
    <row r="24" spans="1:9">
      <c r="A24" t="s">
        <v>2055</v>
      </c>
      <c r="B24" t="s">
        <v>1996</v>
      </c>
      <c r="C24" t="s">
        <v>2056</v>
      </c>
      <c r="D24">
        <v>9</v>
      </c>
      <c r="E24">
        <v>9</v>
      </c>
      <c r="F24" s="7">
        <f>SUM(Work_Passengers!$K$2:$K$1336)</f>
        <v>9</v>
      </c>
      <c r="G24" s="2" t="str">
        <f>IF(F24=D24,"PASS","FAIL")</f>
        <v>PASS</v>
      </c>
      <c r="H24" t="s">
        <v>2005</v>
      </c>
      <c r="I24" t="s">
        <v>2057</v>
      </c>
    </row>
    <row r="25" spans="1:9">
      <c r="A25" t="s">
        <v>2058</v>
      </c>
      <c r="B25" t="s">
        <v>1996</v>
      </c>
      <c r="C25" t="s">
        <v>2059</v>
      </c>
      <c r="D25">
        <v>6</v>
      </c>
      <c r="E25">
        <v>6</v>
      </c>
      <c r="F25" s="7">
        <f>SUM(Work_Passengers!$M$2:$M$1336)</f>
        <v>6</v>
      </c>
      <c r="G25" s="2" t="str">
        <f>IF(F25=D25,"PASS","FAIL")</f>
        <v>PASS</v>
      </c>
      <c r="H25" t="s">
        <v>2005</v>
      </c>
      <c r="I25" t="s">
        <v>2060</v>
      </c>
    </row>
    <row r="26" spans="1:9">
      <c r="A26" t="s">
        <v>2061</v>
      </c>
      <c r="B26" t="s">
        <v>1996</v>
      </c>
      <c r="C26" t="s">
        <v>2062</v>
      </c>
      <c r="D26">
        <v>6</v>
      </c>
      <c r="E26">
        <v>6</v>
      </c>
      <c r="F26" s="7">
        <f>SUM(Work_Passengers!$L$2:$L$1336)</f>
        <v>6</v>
      </c>
      <c r="G26" s="2" t="str">
        <f>IF(F26=D26,"PASS","FAIL")</f>
        <v>PASS</v>
      </c>
      <c r="H26" t="s">
        <v>1993</v>
      </c>
      <c r="I26" t="s">
        <v>2063</v>
      </c>
    </row>
    <row r="27" spans="1:9">
      <c r="A27" t="s">
        <v>2064</v>
      </c>
      <c r="B27" t="s">
        <v>2000</v>
      </c>
      <c r="C27" t="s">
        <v>2065</v>
      </c>
      <c r="D27">
        <v>6</v>
      </c>
      <c r="E27">
        <v>6</v>
      </c>
      <c r="F27" s="7">
        <f>SUM(Work_Cancellations!$C$2:$C$179)</f>
        <v>6</v>
      </c>
      <c r="G27" s="2" t="str">
        <f>IF(F27=D27,"PASS","FAIL")</f>
        <v>PASS</v>
      </c>
      <c r="H27" t="s">
        <v>1993</v>
      </c>
      <c r="I27" t="s">
        <v>2066</v>
      </c>
    </row>
    <row r="28" spans="1:9">
      <c r="A28" t="s">
        <v>2067</v>
      </c>
      <c r="B28" t="s">
        <v>1996</v>
      </c>
      <c r="C28" t="s">
        <v>2068</v>
      </c>
      <c r="D28">
        <v>6</v>
      </c>
      <c r="E28">
        <v>6</v>
      </c>
      <c r="F28" s="7">
        <f>SUM(Work_Passengers!$D$2:$D$1336)</f>
        <v>6</v>
      </c>
      <c r="G28" s="2" t="str">
        <f>IF(F28=D28,"PASS","FAIL")</f>
        <v>PASS</v>
      </c>
      <c r="H28" t="s">
        <v>1993</v>
      </c>
      <c r="I28" t="s">
        <v>2069</v>
      </c>
    </row>
    <row r="29" spans="1:9">
      <c r="A29" t="s">
        <v>2070</v>
      </c>
      <c r="B29" t="s">
        <v>2000</v>
      </c>
      <c r="C29" t="s">
        <v>2071</v>
      </c>
      <c r="D29">
        <v>6</v>
      </c>
      <c r="E29">
        <v>6</v>
      </c>
      <c r="F29" s="7">
        <f>SUM(Work_Cancellations!$D$2:$D$179)</f>
        <v>6</v>
      </c>
      <c r="G29" s="2" t="str">
        <f>IF(F29=D29,"PASS","FAIL")</f>
        <v>PASS</v>
      </c>
      <c r="H29" t="s">
        <v>2005</v>
      </c>
      <c r="I29" t="s">
        <v>2072</v>
      </c>
    </row>
    <row r="30" spans="1:9">
      <c r="A30" t="s">
        <v>2073</v>
      </c>
      <c r="B30" t="s">
        <v>2074</v>
      </c>
      <c r="C30" t="s">
        <v>2075</v>
      </c>
      <c r="D30">
        <v>11</v>
      </c>
      <c r="E30">
        <v>11</v>
      </c>
      <c r="F30" s="7">
        <f>SUM(Work_Capacity!$F$2:$F$92)</f>
        <v>11</v>
      </c>
      <c r="G30" s="2" t="str">
        <f>IF(F30=D30,"PASS","FAIL")</f>
        <v>PASS</v>
      </c>
      <c r="H30" t="s">
        <v>2005</v>
      </c>
      <c r="I30" t="s">
        <v>2076</v>
      </c>
    </row>
    <row r="31" spans="1:9">
      <c r="A31" t="s">
        <v>2077</v>
      </c>
      <c r="B31" t="s">
        <v>2074</v>
      </c>
      <c r="C31" t="s">
        <v>2078</v>
      </c>
      <c r="D31">
        <v>8</v>
      </c>
      <c r="E31">
        <v>8</v>
      </c>
      <c r="F31" s="7">
        <f>SUM(Work_Capacity!$G$2:$G$92)</f>
        <v>8</v>
      </c>
      <c r="G31" s="2" t="str">
        <f>IF(F31=D31,"PASS","FAIL")</f>
        <v>PASS</v>
      </c>
      <c r="H31" t="s">
        <v>2005</v>
      </c>
      <c r="I31" t="s">
        <v>2079</v>
      </c>
    </row>
    <row r="32" spans="1:9">
      <c r="A32" t="s">
        <v>2080</v>
      </c>
      <c r="B32" t="s">
        <v>2074</v>
      </c>
      <c r="C32" t="s">
        <v>2081</v>
      </c>
      <c r="D32">
        <v>8</v>
      </c>
      <c r="E32">
        <v>8</v>
      </c>
      <c r="F32" s="7">
        <f>SUM(Work_Capacity!$E$2:$E$92)</f>
        <v>8</v>
      </c>
      <c r="G32" s="2" t="str">
        <f>IF(F32=D32,"PASS","FAIL")</f>
        <v>PASS</v>
      </c>
      <c r="H32" t="s">
        <v>1993</v>
      </c>
      <c r="I32" t="s">
        <v>2082</v>
      </c>
    </row>
    <row r="33" spans="1:9">
      <c r="A33" t="s">
        <v>2083</v>
      </c>
      <c r="B33" t="s">
        <v>2084</v>
      </c>
      <c r="C33" t="s">
        <v>2085</v>
      </c>
      <c r="D33">
        <v>8</v>
      </c>
      <c r="E33">
        <v>8</v>
      </c>
      <c r="F33" s="7">
        <f>SUM(Work_Operations!$B$2:$B$56)</f>
        <v>8</v>
      </c>
      <c r="G33" s="2" t="str">
        <f>IF(F33=D33,"PASS","FAIL")</f>
        <v>PASS</v>
      </c>
      <c r="H33" t="s">
        <v>2026</v>
      </c>
      <c r="I33" t="s">
        <v>2086</v>
      </c>
    </row>
    <row r="34" spans="1:9">
      <c r="A34" t="s">
        <v>2087</v>
      </c>
      <c r="B34" t="s">
        <v>2084</v>
      </c>
      <c r="C34" t="s">
        <v>2088</v>
      </c>
      <c r="D34">
        <v>8</v>
      </c>
      <c r="E34">
        <v>8</v>
      </c>
      <c r="F34" s="7">
        <f>SUM(Work_Operations!$C$2:$C$56)</f>
        <v>8</v>
      </c>
      <c r="G34" s="2" t="str">
        <f>IF(F34=D34,"PASS","FAIL")</f>
        <v>PASS</v>
      </c>
      <c r="H34" t="s">
        <v>2026</v>
      </c>
      <c r="I34" t="s">
        <v>2089</v>
      </c>
    </row>
    <row r="36" spans="1:9">
      <c r="C36" s="2" t="s">
        <v>2090</v>
      </c>
      <c r="D36" s="2" t="str">
        <f>IF(COUNTIF(G5:G34,"FAIL")=0,"ALL FORMULA COUNTS MATCH ("&amp;COUNTIF(G5:G34,"PASS")&amp;" of 29; 1 manual)","FAILURES: "&amp;COUNTIF(G5:G34,"FAIL"))</f>
        <v>ALL FORMULA COUNTS MATCH (29 of 29; 1 manual)</v>
      </c>
    </row>
  </sheetData>
  <mergeCells count="1">
    <mergeCell ref="A2:I2"/>
  </mergeCells>
  <conditionalFormatting sqref="G5:G34">
    <cfRule type="cellIs" dxfId="0" priority="1" operator="equal">
      <formula>"PASS"</formula>
    </cfRule>
    <cfRule type="cellIs" dxfId="1" priority="2" operator="equal">
      <formula>"FAIL"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1F3864"/>
  </sheetPr>
  <dimension ref="A1:D17"/>
  <sheetViews>
    <sheetView workbookViewId="0"/>
  </sheetViews>
  <sheetFormatPr defaultRowHeight="15"/>
  <cols>
    <col min="1" max="1" width="5.7109375" customWidth="1"/>
    <col min="2" max="2" width="86.7109375" customWidth="1"/>
    <col min="3" max="3" width="26.7109375" customWidth="1"/>
  </cols>
  <sheetData>
    <row r="1" spans="1:4">
      <c r="A1" s="1" t="s">
        <v>2095</v>
      </c>
    </row>
    <row r="2" spans="1:4" ht="32" customHeight="1">
      <c r="A2" s="6" t="s">
        <v>2096</v>
      </c>
      <c r="B2" s="6"/>
      <c r="C2" s="6"/>
      <c r="D2" s="6"/>
    </row>
    <row r="4" spans="1:4">
      <c r="A4" s="5" t="s">
        <v>2097</v>
      </c>
      <c r="B4" s="5" t="s">
        <v>2098</v>
      </c>
      <c r="C4" s="5" t="s">
        <v>1987</v>
      </c>
    </row>
    <row r="5" spans="1:4">
      <c r="A5">
        <v>1</v>
      </c>
      <c r="B5" t="s">
        <v>2099</v>
      </c>
      <c r="C5" s="2" t="str">
        <f>IF(SUMPRODUCT(--(COUNTIF(Clean_Bookings_Solution!$A$2:$A$608,Clean_Bookings_Solution!$A$2:$A$608)&gt;1))=0,"PASS","FAIL")</f>
        <v>PASS</v>
      </c>
    </row>
    <row r="6" spans="1:4">
      <c r="A6">
        <v>2</v>
      </c>
      <c r="B6" t="s">
        <v>2100</v>
      </c>
      <c r="C6" s="2" t="str">
        <f>IF(SUMPRODUCT(--(COUNTIF(Clean_Passengers_Solution!$A$2:$A$1259,Clean_Passengers_Solution!$A$2:$A$1259)&gt;1))=0,"PASS","FAIL")</f>
        <v>PASS</v>
      </c>
    </row>
    <row r="7" spans="1:4">
      <c r="A7">
        <v>3</v>
      </c>
      <c r="B7" t="s">
        <v>2101</v>
      </c>
      <c r="C7" s="2" t="str">
        <f>IF(SUMPRODUCT(--((Clean_Bookings_Solution!$K$2:$K$608&lt;&gt;"Confirmed")*(Clean_Bookings_Solution!$K$2:$K$608&lt;&gt;"RAC")*(Clean_Bookings_Solution!$K$2:$K$608&lt;&gt;"Waitlisted")*(Clean_Bookings_Solution!$K$2:$K$608&lt;&gt;"Cancelled")*(Clean_Bookings_Solution!$K$2:$K$608&lt;&gt;"Mixed")))=0,"PASS","FAIL")</f>
        <v>PASS</v>
      </c>
    </row>
    <row r="8" spans="1:4">
      <c r="A8">
        <v>4</v>
      </c>
      <c r="B8" t="s">
        <v>2102</v>
      </c>
      <c r="C8" s="2" t="str">
        <f>IF(SUMPRODUCT(--(Clean_Bookings_Solution!$J$2:$J$608&lt;&gt;COUNTIF(Clean_Passengers_Solution!$B$2:$B$1259,Clean_Bookings_Solution!$A$2:$A$608)))=0,"PASS","FAIL")</f>
        <v>PASS</v>
      </c>
    </row>
    <row r="9" spans="1:4">
      <c r="A9">
        <v>5</v>
      </c>
      <c r="B9" t="s">
        <v>2103</v>
      </c>
      <c r="C9" s="2" t="str">
        <f>IF(SUMPRODUCT(--(ABS(Clean_Bookings_Solution!$L$2:$L$608-SUMIF(Clean_Passengers_Solution!$B$2:$B$1259,Clean_Bookings_Solution!$A$2:$A$608,Clean_Passengers_Solution!$E$2:$E$1259))&gt;0.005))=0,"PASS","FAIL")</f>
        <v>PASS</v>
      </c>
    </row>
    <row r="10" spans="1:4">
      <c r="A10">
        <v>6</v>
      </c>
      <c r="B10" t="s">
        <v>2104</v>
      </c>
      <c r="C10" s="2" t="str">
        <f>IF(SUMPRODUCT(--(COUNTIF(Clean_Bookings_Solution!$A$2:$A$608,Clean_Passengers_Solution!$B$2:$B$1259)=0))=0,"PASS","FAIL")</f>
        <v>PASS</v>
      </c>
    </row>
    <row r="11" spans="1:4">
      <c r="A11">
        <v>7</v>
      </c>
      <c r="B11" t="s">
        <v>2105</v>
      </c>
      <c r="C11" s="2" t="str">
        <f>IF(AND(MIN(Clean_Bookings_Solution!$L$2:$L$608)&gt;0,MIN(Clean_Passengers_Solution!$E$2:$E$1259)&gt;0),"PASS","FAIL")</f>
        <v>PASS</v>
      </c>
    </row>
    <row r="12" spans="1:4">
      <c r="A12">
        <v>8</v>
      </c>
      <c r="B12" t="s">
        <v>2106</v>
      </c>
      <c r="C12" s="2" t="str">
        <f>IF(AND(MIN(Clean_Bookings_Solution!$D$2:$D$608)&gt;=DATE(2024,9,1),MAX(Clean_Bookings_Solution!$D$2:$D$608)&lt;=DATE(2026,8,31)),"PASS","FAIL")</f>
        <v>PASS</v>
      </c>
    </row>
    <row r="13" spans="1:4">
      <c r="A13">
        <v>9</v>
      </c>
      <c r="B13" t="s">
        <v>2107</v>
      </c>
      <c r="C13" s="2" t="str">
        <f>IF(SUMPRODUCT(--(INT(Clean_Bookings_Solution!$I$2:$I$608)&gt;Clean_Bookings_Solution!$D$2:$D$608))=0,"PASS","FAIL")</f>
        <v>PASS</v>
      </c>
    </row>
    <row r="14" spans="1:4">
      <c r="A14">
        <v>10</v>
      </c>
      <c r="B14" t="s">
        <v>2108</v>
      </c>
      <c r="C14" s="2" t="str">
        <f>IF(SUMPRODUCT(--(Clean_Bookings_Solution!$F$2:$F$608=Clean_Bookings_Solution!$G$2:$G$608))=0,"PASS","FAIL")</f>
        <v>PASS</v>
      </c>
    </row>
    <row r="15" spans="1:4">
      <c r="A15">
        <v>11</v>
      </c>
      <c r="B15" t="s">
        <v>2109</v>
      </c>
      <c r="C15" s="2" t="str">
        <f>IF(SUMPRODUCT(--((Clean_Passengers_Solution!$G$2:$G$1259&lt;&gt;"Confirmed")*(Clean_Passengers_Solution!$G$2:$G$1259&lt;&gt;"RAC")*(Clean_Passengers_Solution!$G$2:$G$1259&lt;&gt;"Waitlisted")*(Clean_Passengers_Solution!$G$2:$G$1259&lt;&gt;"Cancelled")))=0,"PASS","FAIL")</f>
        <v>PASS</v>
      </c>
    </row>
    <row r="17" spans="2:3">
      <c r="B17" s="2" t="s">
        <v>2110</v>
      </c>
      <c r="C17" s="2" t="str">
        <f>IF(COUNTIF(C5:C15,"FAIL")=0,"ALL 11 CHECKS PASS","FAILURES: "&amp;COUNTIF(C5:C15,"FAIL"))</f>
        <v>ALL 11 CHECKS PASS</v>
      </c>
    </row>
  </sheetData>
  <mergeCells count="1">
    <mergeCell ref="A2:D2"/>
  </mergeCells>
  <conditionalFormatting sqref="C5:C17">
    <cfRule type="containsText" dxfId="1" priority="1" operator="containsText" text="FAIL">
      <formula>NOT(ISERROR(SEARCH("FAIL",C5)))</formula>
    </cfRule>
    <cfRule type="containsText" dxfId="0" priority="2" operator="containsText" text="PASS">
      <formula>NOT(ISERROR(SEARCH("PASS",C5)))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BF8F00"/>
  </sheetPr>
  <dimension ref="A1:D33"/>
  <sheetViews>
    <sheetView workbookViewId="0"/>
  </sheetViews>
  <sheetFormatPr defaultRowHeight="15"/>
  <sheetData>
    <row r="1" spans="1:4">
      <c r="A1" s="5" t="s">
        <v>0</v>
      </c>
      <c r="B1" s="5" t="s">
        <v>1</v>
      </c>
      <c r="D1" s="9" t="s">
        <v>61</v>
      </c>
    </row>
    <row r="2" spans="1:4">
      <c r="A2" t="s">
        <v>2</v>
      </c>
      <c r="B2">
        <v>1</v>
      </c>
    </row>
    <row r="3" spans="1:4">
      <c r="A3" t="s">
        <v>3</v>
      </c>
      <c r="B3">
        <v>2</v>
      </c>
    </row>
    <row r="4" spans="1:4">
      <c r="A4" t="s">
        <v>4</v>
      </c>
      <c r="B4">
        <v>3</v>
      </c>
    </row>
    <row r="5" spans="1:4">
      <c r="A5" t="s">
        <v>5</v>
      </c>
      <c r="B5">
        <v>4</v>
      </c>
    </row>
    <row r="6" spans="1:4">
      <c r="A6" t="s">
        <v>6</v>
      </c>
      <c r="B6">
        <v>5</v>
      </c>
    </row>
    <row r="7" spans="1:4">
      <c r="A7" t="s">
        <v>7</v>
      </c>
      <c r="B7">
        <v>6</v>
      </c>
    </row>
    <row r="8" spans="1:4">
      <c r="A8" t="s">
        <v>8</v>
      </c>
      <c r="B8">
        <v>7</v>
      </c>
    </row>
    <row r="9" spans="1:4">
      <c r="A9" t="s">
        <v>9</v>
      </c>
      <c r="B9">
        <v>8</v>
      </c>
    </row>
    <row r="10" spans="1:4">
      <c r="A10" t="s">
        <v>10</v>
      </c>
      <c r="B10">
        <v>9</v>
      </c>
    </row>
    <row r="11" spans="1:4">
      <c r="A11" t="s">
        <v>11</v>
      </c>
      <c r="B11">
        <v>10</v>
      </c>
    </row>
    <row r="12" spans="1:4">
      <c r="A12" t="s">
        <v>12</v>
      </c>
      <c r="B12">
        <v>11</v>
      </c>
    </row>
    <row r="13" spans="1:4">
      <c r="A13" t="s">
        <v>13</v>
      </c>
      <c r="B13">
        <v>12</v>
      </c>
    </row>
    <row r="14" spans="1:4">
      <c r="A14" t="s">
        <v>14</v>
      </c>
      <c r="B14">
        <v>13</v>
      </c>
    </row>
    <row r="15" spans="1:4">
      <c r="A15" t="s">
        <v>15</v>
      </c>
      <c r="B15">
        <v>14</v>
      </c>
    </row>
    <row r="16" spans="1:4">
      <c r="A16" t="s">
        <v>16</v>
      </c>
      <c r="B16">
        <v>15</v>
      </c>
    </row>
    <row r="17" spans="1:2">
      <c r="A17" t="s">
        <v>17</v>
      </c>
      <c r="B17">
        <v>16</v>
      </c>
    </row>
    <row r="18" spans="1:2">
      <c r="A18" t="s">
        <v>18</v>
      </c>
      <c r="B18">
        <v>17</v>
      </c>
    </row>
    <row r="19" spans="1:2">
      <c r="A19" t="s">
        <v>19</v>
      </c>
      <c r="B19">
        <v>18</v>
      </c>
    </row>
    <row r="20" spans="1:2">
      <c r="A20" t="s">
        <v>20</v>
      </c>
      <c r="B20">
        <v>19</v>
      </c>
    </row>
    <row r="21" spans="1:2">
      <c r="A21" t="s">
        <v>21</v>
      </c>
      <c r="B21">
        <v>20</v>
      </c>
    </row>
    <row r="22" spans="1:2">
      <c r="A22" t="s">
        <v>22</v>
      </c>
      <c r="B22">
        <v>21</v>
      </c>
    </row>
    <row r="23" spans="1:2">
      <c r="A23" t="s">
        <v>23</v>
      </c>
      <c r="B23">
        <v>22</v>
      </c>
    </row>
    <row r="24" spans="1:2">
      <c r="A24" t="s">
        <v>24</v>
      </c>
      <c r="B24">
        <v>23</v>
      </c>
    </row>
    <row r="25" spans="1:2">
      <c r="A25" t="s">
        <v>25</v>
      </c>
      <c r="B25">
        <v>24</v>
      </c>
    </row>
    <row r="26" spans="1:2">
      <c r="A26" t="s">
        <v>26</v>
      </c>
      <c r="B26">
        <v>25</v>
      </c>
    </row>
    <row r="27" spans="1:2">
      <c r="A27" t="s">
        <v>27</v>
      </c>
      <c r="B27">
        <v>26</v>
      </c>
    </row>
    <row r="28" spans="1:2">
      <c r="A28" t="s">
        <v>28</v>
      </c>
      <c r="B28">
        <v>27</v>
      </c>
    </row>
    <row r="29" spans="1:2">
      <c r="A29" t="s">
        <v>29</v>
      </c>
      <c r="B29">
        <v>28</v>
      </c>
    </row>
    <row r="30" spans="1:2">
      <c r="A30" t="s">
        <v>30</v>
      </c>
      <c r="B30">
        <v>29</v>
      </c>
    </row>
    <row r="31" spans="1:2">
      <c r="A31" t="s">
        <v>31</v>
      </c>
      <c r="B31">
        <v>30</v>
      </c>
    </row>
    <row r="32" spans="1:2">
      <c r="A32" t="s">
        <v>32</v>
      </c>
      <c r="B32">
        <v>31</v>
      </c>
    </row>
    <row r="33" spans="1:2">
      <c r="A33" t="s">
        <v>33</v>
      </c>
      <c r="B33">
        <v>32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BF8F00"/>
  </sheetPr>
  <dimension ref="A1:D13"/>
  <sheetViews>
    <sheetView workbookViewId="0"/>
  </sheetViews>
  <sheetFormatPr defaultRowHeight="15"/>
  <cols>
    <col min="1" max="2" width="30.7109375" customWidth="1"/>
  </cols>
  <sheetData>
    <row r="1" spans="1:4">
      <c r="A1" s="5" t="s">
        <v>34</v>
      </c>
      <c r="B1" s="5" t="s">
        <v>35</v>
      </c>
      <c r="D1" s="9" t="s">
        <v>61</v>
      </c>
    </row>
    <row r="2" spans="1:4">
      <c r="A2" t="s">
        <v>36</v>
      </c>
      <c r="B2" t="s">
        <v>37</v>
      </c>
    </row>
    <row r="3" spans="1:4">
      <c r="A3" t="s">
        <v>38</v>
      </c>
      <c r="B3" t="s">
        <v>37</v>
      </c>
    </row>
    <row r="4" spans="1:4">
      <c r="A4" t="s">
        <v>39</v>
      </c>
      <c r="B4" t="s">
        <v>37</v>
      </c>
    </row>
    <row r="5" spans="1:4">
      <c r="A5" t="s">
        <v>40</v>
      </c>
      <c r="B5" t="s">
        <v>41</v>
      </c>
    </row>
    <row r="6" spans="1:4">
      <c r="A6" t="s">
        <v>42</v>
      </c>
      <c r="B6" t="s">
        <v>41</v>
      </c>
    </row>
    <row r="7" spans="1:4">
      <c r="A7" t="s">
        <v>43</v>
      </c>
      <c r="B7" t="s">
        <v>41</v>
      </c>
    </row>
    <row r="8" spans="1:4">
      <c r="A8" t="s">
        <v>44</v>
      </c>
      <c r="B8" t="s">
        <v>45</v>
      </c>
    </row>
    <row r="9" spans="1:4">
      <c r="A9" t="s">
        <v>46</v>
      </c>
      <c r="B9" t="s">
        <v>47</v>
      </c>
    </row>
    <row r="10" spans="1:4">
      <c r="A10" t="s">
        <v>48</v>
      </c>
      <c r="B10" t="s">
        <v>49</v>
      </c>
    </row>
    <row r="11" spans="1:4">
      <c r="A11" t="s">
        <v>50</v>
      </c>
      <c r="B11" t="s">
        <v>49</v>
      </c>
    </row>
    <row r="12" spans="1:4">
      <c r="A12" t="s">
        <v>51</v>
      </c>
      <c r="B12" t="s">
        <v>49</v>
      </c>
    </row>
    <row r="13" spans="1:4">
      <c r="A13" t="s">
        <v>52</v>
      </c>
      <c r="B13" t="s">
        <v>49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BF8F00"/>
  </sheetPr>
  <dimension ref="A1:D7"/>
  <sheetViews>
    <sheetView workbookViewId="0"/>
  </sheetViews>
  <sheetFormatPr defaultRowHeight="15"/>
  <cols>
    <col min="1" max="2" width="26.7109375" customWidth="1"/>
  </cols>
  <sheetData>
    <row r="1" spans="1:4">
      <c r="A1" s="5" t="s">
        <v>53</v>
      </c>
      <c r="B1" s="5" t="s">
        <v>54</v>
      </c>
      <c r="D1" s="9" t="s">
        <v>61</v>
      </c>
    </row>
    <row r="2" spans="1:4">
      <c r="A2" t="s">
        <v>55</v>
      </c>
      <c r="B2">
        <v>24</v>
      </c>
    </row>
    <row r="3" spans="1:4">
      <c r="A3" t="s">
        <v>56</v>
      </c>
      <c r="B3">
        <v>46</v>
      </c>
    </row>
    <row r="4" spans="1:4">
      <c r="A4" t="s">
        <v>57</v>
      </c>
      <c r="B4">
        <v>64</v>
      </c>
    </row>
    <row r="5" spans="1:4">
      <c r="A5" t="s">
        <v>58</v>
      </c>
      <c r="B5">
        <v>72</v>
      </c>
    </row>
    <row r="6" spans="1:4">
      <c r="A6" t="s">
        <v>59</v>
      </c>
      <c r="B6">
        <v>78</v>
      </c>
    </row>
    <row r="7" spans="1:4">
      <c r="A7" t="s">
        <v>60</v>
      </c>
      <c r="B7">
        <v>108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7F7F7F"/>
  </sheetPr>
  <dimension ref="A1:M64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4" width="17.7109375" customWidth="1"/>
  </cols>
  <sheetData>
    <row r="1" spans="1:13">
      <c r="A1" s="5" t="s">
        <v>62</v>
      </c>
      <c r="B1" s="5" t="s">
        <v>63</v>
      </c>
      <c r="C1" s="5" t="s">
        <v>64</v>
      </c>
      <c r="D1" s="5" t="s">
        <v>65</v>
      </c>
      <c r="E1" s="5" t="s">
        <v>66</v>
      </c>
      <c r="F1" s="5" t="s">
        <v>67</v>
      </c>
      <c r="G1" s="5" t="s">
        <v>68</v>
      </c>
      <c r="H1" s="5" t="s">
        <v>53</v>
      </c>
      <c r="I1" s="5" t="s">
        <v>69</v>
      </c>
      <c r="J1" s="5" t="s">
        <v>70</v>
      </c>
      <c r="K1" s="5" t="s">
        <v>71</v>
      </c>
      <c r="L1" s="5" t="s">
        <v>72</v>
      </c>
      <c r="M1" s="5" t="s">
        <v>73</v>
      </c>
    </row>
    <row r="2" spans="1:13">
      <c r="A2">
        <v>1000611</v>
      </c>
      <c r="B2" t="s">
        <v>74</v>
      </c>
      <c r="C2">
        <v>4</v>
      </c>
      <c r="D2" t="s">
        <v>75</v>
      </c>
      <c r="E2">
        <v>2</v>
      </c>
      <c r="F2" t="s">
        <v>27</v>
      </c>
      <c r="G2" t="s">
        <v>2</v>
      </c>
      <c r="H2" t="s">
        <v>60</v>
      </c>
      <c r="I2" t="s">
        <v>76</v>
      </c>
      <c r="J2">
        <v>4</v>
      </c>
      <c r="K2" t="s">
        <v>41</v>
      </c>
      <c r="L2">
        <v>4731</v>
      </c>
      <c r="M2" t="s">
        <v>77</v>
      </c>
    </row>
    <row r="3" spans="1:13">
      <c r="A3">
        <v>1001896</v>
      </c>
      <c r="B3" t="s">
        <v>78</v>
      </c>
      <c r="C3">
        <v>21</v>
      </c>
      <c r="D3" t="s">
        <v>79</v>
      </c>
      <c r="E3">
        <v>15</v>
      </c>
      <c r="F3" t="s">
        <v>7</v>
      </c>
      <c r="G3" t="s">
        <v>11</v>
      </c>
      <c r="H3" t="s">
        <v>58</v>
      </c>
      <c r="I3" t="s">
        <v>80</v>
      </c>
      <c r="J3">
        <v>3</v>
      </c>
      <c r="K3" t="s">
        <v>41</v>
      </c>
      <c r="L3">
        <v>3159</v>
      </c>
      <c r="M3" t="s">
        <v>77</v>
      </c>
    </row>
    <row r="4" spans="1:13">
      <c r="A4">
        <v>1002009</v>
      </c>
      <c r="B4" t="s">
        <v>81</v>
      </c>
      <c r="C4">
        <v>31</v>
      </c>
      <c r="D4" t="s">
        <v>82</v>
      </c>
      <c r="F4" t="s">
        <v>10</v>
      </c>
      <c r="G4" t="s">
        <v>20</v>
      </c>
      <c r="H4" t="s">
        <v>60</v>
      </c>
      <c r="I4" t="s">
        <v>83</v>
      </c>
      <c r="J4">
        <v>2</v>
      </c>
      <c r="K4" t="s">
        <v>41</v>
      </c>
      <c r="L4">
        <v>816</v>
      </c>
      <c r="M4" t="s">
        <v>77</v>
      </c>
    </row>
    <row r="5" spans="1:13">
      <c r="A5">
        <v>1002389</v>
      </c>
      <c r="B5" t="s">
        <v>84</v>
      </c>
      <c r="C5">
        <v>33</v>
      </c>
      <c r="D5" t="s">
        <v>85</v>
      </c>
      <c r="E5">
        <v>25</v>
      </c>
      <c r="F5" t="s">
        <v>12</v>
      </c>
      <c r="G5" t="s">
        <v>19</v>
      </c>
      <c r="H5" t="s">
        <v>60</v>
      </c>
      <c r="I5" t="s">
        <v>86</v>
      </c>
      <c r="J5">
        <v>2</v>
      </c>
      <c r="K5" t="s">
        <v>41</v>
      </c>
      <c r="L5">
        <v>1308</v>
      </c>
      <c r="M5" t="s">
        <v>77</v>
      </c>
    </row>
    <row r="6" spans="1:13">
      <c r="A6">
        <v>1002524</v>
      </c>
      <c r="B6" t="s">
        <v>87</v>
      </c>
      <c r="C6">
        <v>44</v>
      </c>
      <c r="D6" t="s">
        <v>88</v>
      </c>
      <c r="E6">
        <v>34</v>
      </c>
      <c r="F6" t="s">
        <v>28</v>
      </c>
      <c r="G6" t="s">
        <v>21</v>
      </c>
      <c r="H6" t="s">
        <v>57</v>
      </c>
      <c r="I6" t="s">
        <v>89</v>
      </c>
      <c r="J6">
        <v>2</v>
      </c>
      <c r="K6" t="s">
        <v>41</v>
      </c>
      <c r="L6">
        <v>4804</v>
      </c>
      <c r="M6" t="s">
        <v>77</v>
      </c>
    </row>
    <row r="7" spans="1:13">
      <c r="A7">
        <v>1002921</v>
      </c>
      <c r="B7" t="s">
        <v>90</v>
      </c>
      <c r="C7">
        <v>12</v>
      </c>
      <c r="D7" t="s">
        <v>91</v>
      </c>
      <c r="E7">
        <v>8</v>
      </c>
      <c r="F7" t="s">
        <v>18</v>
      </c>
      <c r="G7" t="s">
        <v>3</v>
      </c>
      <c r="H7" t="s">
        <v>57</v>
      </c>
      <c r="I7" t="s">
        <v>92</v>
      </c>
      <c r="J7">
        <v>2</v>
      </c>
      <c r="K7" t="s">
        <v>41</v>
      </c>
      <c r="L7">
        <v>37080</v>
      </c>
      <c r="M7" t="s">
        <v>77</v>
      </c>
    </row>
    <row r="8" spans="1:13">
      <c r="A8">
        <v>1002990</v>
      </c>
      <c r="B8" t="s">
        <v>93</v>
      </c>
      <c r="C8">
        <v>36</v>
      </c>
      <c r="D8" t="s">
        <v>94</v>
      </c>
      <c r="E8">
        <v>26</v>
      </c>
      <c r="F8" t="s">
        <v>19</v>
      </c>
      <c r="G8" t="s">
        <v>12</v>
      </c>
      <c r="H8" t="s">
        <v>58</v>
      </c>
      <c r="I8" t="s">
        <v>95</v>
      </c>
      <c r="J8">
        <v>1</v>
      </c>
      <c r="K8" t="s">
        <v>41</v>
      </c>
      <c r="L8">
        <v>1049</v>
      </c>
      <c r="M8" t="s">
        <v>77</v>
      </c>
    </row>
    <row r="9" spans="1:13">
      <c r="A9">
        <v>1003061</v>
      </c>
      <c r="B9" t="s">
        <v>96</v>
      </c>
      <c r="C9">
        <v>30</v>
      </c>
      <c r="D9" t="s">
        <v>97</v>
      </c>
      <c r="E9">
        <v>24</v>
      </c>
      <c r="F9" t="s">
        <v>20</v>
      </c>
      <c r="G9" t="s">
        <v>10</v>
      </c>
      <c r="H9" t="s">
        <v>60</v>
      </c>
      <c r="I9" t="s">
        <v>98</v>
      </c>
      <c r="J9">
        <v>2</v>
      </c>
      <c r="K9" t="s">
        <v>41</v>
      </c>
      <c r="L9">
        <v>1088</v>
      </c>
      <c r="M9" t="s">
        <v>77</v>
      </c>
    </row>
    <row r="10" spans="1:13">
      <c r="A10">
        <v>1003110</v>
      </c>
      <c r="B10" t="s">
        <v>99</v>
      </c>
      <c r="C10">
        <v>4</v>
      </c>
      <c r="D10" t="s">
        <v>75</v>
      </c>
      <c r="E10">
        <v>2</v>
      </c>
      <c r="F10" t="s">
        <v>27</v>
      </c>
      <c r="G10" t="s">
        <v>2</v>
      </c>
      <c r="H10" t="s">
        <v>60</v>
      </c>
      <c r="I10" t="s">
        <v>100</v>
      </c>
      <c r="J10">
        <v>4</v>
      </c>
      <c r="K10" t="s">
        <v>41</v>
      </c>
      <c r="L10">
        <v>5256</v>
      </c>
      <c r="M10" t="s">
        <v>77</v>
      </c>
    </row>
    <row r="11" spans="1:13">
      <c r="A11">
        <v>1003617</v>
      </c>
      <c r="B11" t="s">
        <v>101</v>
      </c>
      <c r="C11">
        <v>46</v>
      </c>
      <c r="D11" t="s">
        <v>102</v>
      </c>
      <c r="E11">
        <v>34</v>
      </c>
      <c r="F11" t="s">
        <v>28</v>
      </c>
      <c r="G11" t="s">
        <v>21</v>
      </c>
      <c r="H11" t="s">
        <v>57</v>
      </c>
      <c r="I11" t="s">
        <v>103</v>
      </c>
      <c r="J11">
        <v>3</v>
      </c>
      <c r="K11" t="s">
        <v>41</v>
      </c>
      <c r="L11">
        <v>7560</v>
      </c>
      <c r="M11" t="s">
        <v>77</v>
      </c>
    </row>
    <row r="12" spans="1:13">
      <c r="A12">
        <v>1003866</v>
      </c>
      <c r="B12" t="s">
        <v>104</v>
      </c>
      <c r="C12">
        <v>5</v>
      </c>
      <c r="D12" t="s">
        <v>105</v>
      </c>
      <c r="E12">
        <v>3</v>
      </c>
      <c r="F12" t="s">
        <v>2</v>
      </c>
      <c r="G12" t="s">
        <v>33</v>
      </c>
      <c r="H12" t="s">
        <v>57</v>
      </c>
      <c r="I12" t="s">
        <v>106</v>
      </c>
      <c r="J12">
        <v>1</v>
      </c>
      <c r="K12" t="s">
        <v>41</v>
      </c>
      <c r="L12">
        <v>3694</v>
      </c>
      <c r="M12" t="s">
        <v>77</v>
      </c>
    </row>
    <row r="13" spans="1:13">
      <c r="A13">
        <v>1004416</v>
      </c>
      <c r="B13" t="s">
        <v>107</v>
      </c>
      <c r="C13">
        <v>20</v>
      </c>
      <c r="D13" t="s">
        <v>108</v>
      </c>
      <c r="E13">
        <v>14</v>
      </c>
      <c r="F13" t="s">
        <v>17</v>
      </c>
      <c r="G13" t="s">
        <v>6</v>
      </c>
      <c r="H13" t="s">
        <v>58</v>
      </c>
      <c r="I13" t="s">
        <v>109</v>
      </c>
      <c r="J13">
        <v>1</v>
      </c>
      <c r="K13" t="s">
        <v>41</v>
      </c>
      <c r="L13">
        <v>482</v>
      </c>
      <c r="M13" t="s">
        <v>77</v>
      </c>
    </row>
    <row r="14" spans="1:13">
      <c r="A14">
        <v>1004645</v>
      </c>
      <c r="B14" t="s">
        <v>110</v>
      </c>
      <c r="C14">
        <v>3</v>
      </c>
      <c r="D14" t="s">
        <v>111</v>
      </c>
      <c r="E14">
        <v>1</v>
      </c>
      <c r="F14" t="s">
        <v>2</v>
      </c>
      <c r="G14" t="s">
        <v>27</v>
      </c>
      <c r="H14" t="s">
        <v>60</v>
      </c>
      <c r="I14" t="s">
        <v>112</v>
      </c>
      <c r="J14">
        <v>1</v>
      </c>
      <c r="K14" t="s">
        <v>41</v>
      </c>
      <c r="L14">
        <v>1314</v>
      </c>
      <c r="M14" t="s">
        <v>77</v>
      </c>
    </row>
    <row r="15" spans="1:13">
      <c r="A15">
        <v>1004815</v>
      </c>
      <c r="B15" t="s">
        <v>113</v>
      </c>
      <c r="C15">
        <v>20</v>
      </c>
      <c r="D15" t="s">
        <v>108</v>
      </c>
      <c r="E15">
        <v>14</v>
      </c>
      <c r="F15" t="s">
        <v>17</v>
      </c>
      <c r="G15" t="s">
        <v>6</v>
      </c>
      <c r="H15" t="s">
        <v>58</v>
      </c>
      <c r="I15" t="s">
        <v>114</v>
      </c>
      <c r="J15">
        <v>1</v>
      </c>
      <c r="K15" t="s">
        <v>37</v>
      </c>
      <c r="L15">
        <v>804</v>
      </c>
      <c r="M15" t="s">
        <v>77</v>
      </c>
    </row>
    <row r="16" spans="1:13">
      <c r="A16">
        <v>1004847</v>
      </c>
      <c r="B16" t="s">
        <v>115</v>
      </c>
      <c r="C16">
        <v>17</v>
      </c>
      <c r="D16" t="s">
        <v>116</v>
      </c>
      <c r="E16">
        <v>11</v>
      </c>
      <c r="F16" t="s">
        <v>5</v>
      </c>
      <c r="G16" t="s">
        <v>25</v>
      </c>
      <c r="H16" t="s">
        <v>57</v>
      </c>
      <c r="I16" t="s">
        <v>117</v>
      </c>
      <c r="J16">
        <v>1</v>
      </c>
      <c r="K16" t="s">
        <v>37</v>
      </c>
      <c r="L16">
        <v>3219</v>
      </c>
      <c r="M16" t="s">
        <v>77</v>
      </c>
    </row>
    <row r="17" spans="1:13">
      <c r="A17">
        <v>1005162</v>
      </c>
      <c r="B17" t="s">
        <v>118</v>
      </c>
      <c r="C17">
        <v>12</v>
      </c>
      <c r="D17" t="s">
        <v>97</v>
      </c>
      <c r="E17">
        <v>8</v>
      </c>
      <c r="F17" t="s">
        <v>18</v>
      </c>
      <c r="G17" t="s">
        <v>3</v>
      </c>
      <c r="H17" t="s">
        <v>57</v>
      </c>
      <c r="I17" t="s">
        <v>119</v>
      </c>
      <c r="J17">
        <v>1</v>
      </c>
      <c r="K17" t="s">
        <v>41</v>
      </c>
      <c r="L17">
        <v>1854</v>
      </c>
      <c r="M17" t="s">
        <v>77</v>
      </c>
    </row>
    <row r="18" spans="1:13">
      <c r="A18">
        <v>1005562</v>
      </c>
      <c r="B18" t="s">
        <v>120</v>
      </c>
      <c r="C18">
        <v>25</v>
      </c>
      <c r="D18" t="s">
        <v>121</v>
      </c>
      <c r="E18">
        <v>19</v>
      </c>
      <c r="F18" t="s">
        <v>8</v>
      </c>
      <c r="G18" t="s">
        <v>13</v>
      </c>
      <c r="H18" t="s">
        <v>58</v>
      </c>
      <c r="I18" t="s">
        <v>122</v>
      </c>
      <c r="J18">
        <v>2</v>
      </c>
      <c r="K18" t="s">
        <v>41</v>
      </c>
      <c r="L18">
        <v>1392</v>
      </c>
      <c r="M18" t="s">
        <v>77</v>
      </c>
    </row>
    <row r="19" spans="1:13">
      <c r="A19">
        <v>1005583</v>
      </c>
      <c r="B19" t="s">
        <v>123</v>
      </c>
      <c r="C19">
        <v>6</v>
      </c>
      <c r="D19" t="s">
        <v>124</v>
      </c>
      <c r="E19">
        <v>4</v>
      </c>
      <c r="F19" t="s">
        <v>33</v>
      </c>
      <c r="G19" t="s">
        <v>2</v>
      </c>
      <c r="H19" t="s">
        <v>58</v>
      </c>
      <c r="I19" t="s">
        <v>125</v>
      </c>
      <c r="J19">
        <v>1</v>
      </c>
      <c r="K19" t="s">
        <v>126</v>
      </c>
      <c r="L19">
        <v>1390</v>
      </c>
      <c r="M19" t="s">
        <v>77</v>
      </c>
    </row>
    <row r="20" spans="1:13">
      <c r="A20">
        <v>1006037</v>
      </c>
      <c r="B20" t="s">
        <v>127</v>
      </c>
      <c r="C20">
        <v>23</v>
      </c>
      <c r="D20" t="s">
        <v>128</v>
      </c>
      <c r="E20">
        <v>17</v>
      </c>
      <c r="F20" t="s">
        <v>8</v>
      </c>
      <c r="G20" t="s">
        <v>12</v>
      </c>
      <c r="H20" t="s">
        <v>57</v>
      </c>
      <c r="I20" t="s">
        <v>129</v>
      </c>
      <c r="J20">
        <v>3</v>
      </c>
      <c r="K20" t="s">
        <v>41</v>
      </c>
      <c r="L20">
        <v>6633</v>
      </c>
      <c r="M20" t="s">
        <v>77</v>
      </c>
    </row>
    <row r="21" spans="1:13">
      <c r="A21">
        <v>1006359</v>
      </c>
      <c r="B21" t="s">
        <v>130</v>
      </c>
      <c r="C21">
        <v>29</v>
      </c>
      <c r="D21" t="s">
        <v>131</v>
      </c>
      <c r="E21">
        <v>23</v>
      </c>
      <c r="F21" t="s">
        <v>10</v>
      </c>
      <c r="G21" t="s">
        <v>20</v>
      </c>
      <c r="H21" t="s">
        <v>58</v>
      </c>
      <c r="I21" t="s">
        <v>132</v>
      </c>
      <c r="J21">
        <v>1</v>
      </c>
      <c r="K21" t="s">
        <v>133</v>
      </c>
      <c r="L21">
        <v>393</v>
      </c>
      <c r="M21" t="s">
        <v>77</v>
      </c>
    </row>
    <row r="22" spans="1:13">
      <c r="A22">
        <v>1006475</v>
      </c>
      <c r="B22" t="s">
        <v>134</v>
      </c>
      <c r="C22">
        <v>10</v>
      </c>
      <c r="D22" t="s">
        <v>135</v>
      </c>
      <c r="E22">
        <v>6</v>
      </c>
      <c r="F22" t="s">
        <v>16</v>
      </c>
      <c r="G22" t="s">
        <v>3</v>
      </c>
      <c r="H22" t="s">
        <v>59</v>
      </c>
      <c r="I22" t="s">
        <v>136</v>
      </c>
      <c r="J22">
        <v>2</v>
      </c>
      <c r="K22" t="s">
        <v>41</v>
      </c>
      <c r="L22">
        <v>1666</v>
      </c>
      <c r="M22" t="s">
        <v>77</v>
      </c>
    </row>
    <row r="23" spans="1:13">
      <c r="A23">
        <v>1006678</v>
      </c>
      <c r="B23" t="s">
        <v>137</v>
      </c>
      <c r="C23">
        <v>48</v>
      </c>
      <c r="D23" t="s">
        <v>138</v>
      </c>
      <c r="E23">
        <v>36</v>
      </c>
      <c r="F23" t="s">
        <v>29</v>
      </c>
      <c r="G23" t="s">
        <v>22</v>
      </c>
      <c r="H23" t="s">
        <v>58</v>
      </c>
      <c r="I23" t="s">
        <v>139</v>
      </c>
      <c r="J23">
        <v>6</v>
      </c>
      <c r="K23" t="s">
        <v>41</v>
      </c>
      <c r="L23">
        <v>5880</v>
      </c>
      <c r="M23" t="s">
        <v>77</v>
      </c>
    </row>
    <row r="24" spans="1:13">
      <c r="A24">
        <v>1006682</v>
      </c>
      <c r="B24" t="s">
        <v>140</v>
      </c>
      <c r="C24">
        <v>6</v>
      </c>
      <c r="D24" t="s">
        <v>141</v>
      </c>
      <c r="E24">
        <v>4</v>
      </c>
      <c r="F24" t="s">
        <v>33</v>
      </c>
      <c r="G24" t="s">
        <v>2</v>
      </c>
      <c r="H24" t="s">
        <v>58</v>
      </c>
      <c r="I24" t="s">
        <v>142</v>
      </c>
      <c r="J24">
        <v>4</v>
      </c>
      <c r="K24" t="s">
        <v>41</v>
      </c>
      <c r="L24">
        <v>4170</v>
      </c>
      <c r="M24" t="s">
        <v>77</v>
      </c>
    </row>
    <row r="25" spans="1:13">
      <c r="A25">
        <v>1006706</v>
      </c>
      <c r="B25" t="s">
        <v>143</v>
      </c>
      <c r="C25">
        <v>44</v>
      </c>
      <c r="D25" t="s">
        <v>88</v>
      </c>
      <c r="E25">
        <v>34</v>
      </c>
      <c r="F25" t="s">
        <v>28</v>
      </c>
      <c r="G25" t="s">
        <v>21</v>
      </c>
      <c r="H25" t="s">
        <v>60</v>
      </c>
      <c r="I25" t="s">
        <v>144</v>
      </c>
      <c r="J25">
        <v>1</v>
      </c>
      <c r="K25" t="s">
        <v>37</v>
      </c>
      <c r="L25">
        <v>753</v>
      </c>
      <c r="M25" t="s">
        <v>77</v>
      </c>
    </row>
    <row r="26" spans="1:13">
      <c r="A26">
        <v>1006886</v>
      </c>
      <c r="B26" t="s">
        <v>145</v>
      </c>
      <c r="C26">
        <v>15</v>
      </c>
      <c r="D26" t="s">
        <v>146</v>
      </c>
      <c r="E26">
        <v>9</v>
      </c>
      <c r="F26" t="s">
        <v>4</v>
      </c>
      <c r="G26" t="s">
        <v>10</v>
      </c>
      <c r="H26" t="s">
        <v>57</v>
      </c>
      <c r="I26" t="s">
        <v>147</v>
      </c>
      <c r="J26">
        <v>1</v>
      </c>
      <c r="K26" t="s">
        <v>41</v>
      </c>
      <c r="L26">
        <v>2429</v>
      </c>
      <c r="M26" t="s">
        <v>77</v>
      </c>
    </row>
    <row r="27" spans="1:13">
      <c r="A27">
        <v>1007455</v>
      </c>
      <c r="B27" t="s">
        <v>148</v>
      </c>
      <c r="C27">
        <v>52</v>
      </c>
      <c r="D27" t="s">
        <v>149</v>
      </c>
      <c r="E27">
        <v>40</v>
      </c>
      <c r="F27" t="s">
        <v>30</v>
      </c>
      <c r="G27" t="s">
        <v>26</v>
      </c>
      <c r="H27" t="s">
        <v>58</v>
      </c>
      <c r="I27" t="s">
        <v>150</v>
      </c>
      <c r="J27">
        <v>1</v>
      </c>
      <c r="K27" t="s">
        <v>41</v>
      </c>
      <c r="L27">
        <v>854</v>
      </c>
      <c r="M27" t="s">
        <v>77</v>
      </c>
    </row>
    <row r="28" spans="1:13">
      <c r="A28">
        <v>1007632</v>
      </c>
      <c r="B28" t="s">
        <v>151</v>
      </c>
      <c r="C28">
        <v>6</v>
      </c>
      <c r="D28" t="s">
        <v>141</v>
      </c>
      <c r="E28">
        <v>4</v>
      </c>
      <c r="F28" t="s">
        <v>33</v>
      </c>
      <c r="G28" t="s">
        <v>2</v>
      </c>
      <c r="H28" t="s">
        <v>57</v>
      </c>
      <c r="I28" t="s">
        <v>152</v>
      </c>
      <c r="J28">
        <v>2</v>
      </c>
      <c r="K28" t="s">
        <v>41</v>
      </c>
      <c r="L28">
        <v>7388</v>
      </c>
      <c r="M28" t="s">
        <v>77</v>
      </c>
    </row>
    <row r="29" spans="1:13">
      <c r="A29">
        <v>1007669</v>
      </c>
      <c r="B29" t="s">
        <v>153</v>
      </c>
      <c r="C29">
        <v>22</v>
      </c>
      <c r="D29" t="s">
        <v>154</v>
      </c>
      <c r="E29">
        <v>16</v>
      </c>
      <c r="F29" t="s">
        <v>11</v>
      </c>
      <c r="G29" t="s">
        <v>7</v>
      </c>
      <c r="H29" t="s">
        <v>57</v>
      </c>
      <c r="I29" t="s">
        <v>155</v>
      </c>
      <c r="J29">
        <v>2</v>
      </c>
      <c r="K29" t="s">
        <v>41</v>
      </c>
      <c r="L29">
        <v>5590</v>
      </c>
      <c r="M29" t="s">
        <v>77</v>
      </c>
    </row>
    <row r="30" spans="1:13">
      <c r="A30">
        <v>1008214</v>
      </c>
      <c r="B30" t="s">
        <v>156</v>
      </c>
      <c r="C30">
        <v>24</v>
      </c>
      <c r="D30" t="s">
        <v>91</v>
      </c>
      <c r="E30">
        <v>18</v>
      </c>
      <c r="F30" t="s">
        <v>12</v>
      </c>
      <c r="G30" t="s">
        <v>8</v>
      </c>
      <c r="H30" t="s">
        <v>58</v>
      </c>
      <c r="I30" t="s">
        <v>157</v>
      </c>
      <c r="J30">
        <v>3</v>
      </c>
      <c r="K30" t="s">
        <v>41</v>
      </c>
      <c r="L30">
        <v>2169</v>
      </c>
      <c r="M30" t="s">
        <v>77</v>
      </c>
    </row>
    <row r="31" spans="1:13">
      <c r="A31">
        <v>1008844</v>
      </c>
      <c r="B31" t="s">
        <v>158</v>
      </c>
      <c r="C31">
        <v>24</v>
      </c>
      <c r="D31" t="s">
        <v>91</v>
      </c>
      <c r="E31">
        <v>18</v>
      </c>
      <c r="F31" t="s">
        <v>12</v>
      </c>
      <c r="G31" t="s">
        <v>8</v>
      </c>
      <c r="H31" t="s">
        <v>58</v>
      </c>
      <c r="I31" t="s">
        <v>159</v>
      </c>
      <c r="J31">
        <v>3</v>
      </c>
      <c r="K31" t="s">
        <v>45</v>
      </c>
      <c r="L31">
        <v>2502</v>
      </c>
      <c r="M31" t="s">
        <v>77</v>
      </c>
    </row>
    <row r="32" spans="1:13">
      <c r="A32">
        <v>1008865</v>
      </c>
      <c r="B32" t="s">
        <v>160</v>
      </c>
      <c r="C32">
        <v>13</v>
      </c>
      <c r="D32" t="s">
        <v>161</v>
      </c>
      <c r="E32">
        <v>9</v>
      </c>
      <c r="F32" t="s">
        <v>4</v>
      </c>
      <c r="G32" t="s">
        <v>10</v>
      </c>
      <c r="H32" t="s">
        <v>57</v>
      </c>
      <c r="I32" t="s">
        <v>162</v>
      </c>
      <c r="J32">
        <v>1</v>
      </c>
      <c r="K32" t="s">
        <v>163</v>
      </c>
      <c r="L32">
        <v>3026</v>
      </c>
      <c r="M32" t="s">
        <v>77</v>
      </c>
    </row>
    <row r="33" spans="1:13">
      <c r="A33">
        <v>1009096</v>
      </c>
      <c r="B33" t="s">
        <v>164</v>
      </c>
      <c r="C33">
        <v>22</v>
      </c>
      <c r="D33" t="s">
        <v>135</v>
      </c>
      <c r="E33">
        <v>16</v>
      </c>
      <c r="F33" t="s">
        <v>11</v>
      </c>
      <c r="G33" t="s">
        <v>7</v>
      </c>
      <c r="H33" t="s">
        <v>56</v>
      </c>
      <c r="I33" t="s">
        <v>165</v>
      </c>
      <c r="J33">
        <v>2</v>
      </c>
      <c r="K33" t="s">
        <v>41</v>
      </c>
      <c r="L33">
        <v>8022</v>
      </c>
      <c r="M33" t="s">
        <v>77</v>
      </c>
    </row>
    <row r="34" spans="1:13">
      <c r="A34">
        <v>1010912</v>
      </c>
      <c r="B34" t="s">
        <v>166</v>
      </c>
      <c r="C34">
        <v>44</v>
      </c>
      <c r="D34" t="s">
        <v>88</v>
      </c>
      <c r="F34" t="s">
        <v>28</v>
      </c>
      <c r="G34" t="s">
        <v>21</v>
      </c>
      <c r="H34" t="s">
        <v>60</v>
      </c>
      <c r="I34" t="s">
        <v>167</v>
      </c>
      <c r="J34">
        <v>1</v>
      </c>
      <c r="K34" t="s">
        <v>49</v>
      </c>
      <c r="L34">
        <v>452</v>
      </c>
      <c r="M34" t="s">
        <v>77</v>
      </c>
    </row>
    <row r="35" spans="1:13">
      <c r="A35">
        <v>1011314</v>
      </c>
      <c r="B35" t="s">
        <v>168</v>
      </c>
      <c r="C35">
        <v>31</v>
      </c>
      <c r="D35" t="s">
        <v>169</v>
      </c>
      <c r="E35">
        <v>23</v>
      </c>
      <c r="F35" t="s">
        <v>10</v>
      </c>
      <c r="G35" t="s">
        <v>20</v>
      </c>
      <c r="H35" t="s">
        <v>57</v>
      </c>
      <c r="I35" t="s">
        <v>170</v>
      </c>
      <c r="J35">
        <v>1</v>
      </c>
      <c r="K35" t="s">
        <v>37</v>
      </c>
      <c r="L35">
        <v>1731</v>
      </c>
      <c r="M35" t="s">
        <v>77</v>
      </c>
    </row>
    <row r="36" spans="1:13">
      <c r="A36">
        <v>1011658</v>
      </c>
      <c r="B36" t="s">
        <v>171</v>
      </c>
      <c r="C36">
        <v>1</v>
      </c>
      <c r="D36" t="s">
        <v>172</v>
      </c>
      <c r="E36">
        <v>1</v>
      </c>
      <c r="F36" t="s">
        <v>2</v>
      </c>
      <c r="G36" t="s">
        <v>27</v>
      </c>
      <c r="H36" t="s">
        <v>60</v>
      </c>
      <c r="I36" t="s">
        <v>173</v>
      </c>
      <c r="J36">
        <v>4</v>
      </c>
      <c r="K36" t="s">
        <v>41</v>
      </c>
      <c r="M36" t="s">
        <v>77</v>
      </c>
    </row>
    <row r="37" spans="1:13">
      <c r="A37">
        <v>1011942</v>
      </c>
      <c r="B37" t="s">
        <v>174</v>
      </c>
      <c r="C37">
        <v>17</v>
      </c>
      <c r="D37" t="s">
        <v>175</v>
      </c>
      <c r="E37">
        <v>11</v>
      </c>
      <c r="F37" t="s">
        <v>5</v>
      </c>
      <c r="G37" t="s">
        <v>25</v>
      </c>
      <c r="H37" t="s">
        <v>60</v>
      </c>
      <c r="I37" t="s">
        <v>176</v>
      </c>
      <c r="J37">
        <v>1</v>
      </c>
      <c r="K37" t="s">
        <v>177</v>
      </c>
      <c r="L37">
        <v>1008</v>
      </c>
      <c r="M37" t="s">
        <v>77</v>
      </c>
    </row>
    <row r="38" spans="1:13">
      <c r="A38">
        <v>1012042</v>
      </c>
      <c r="B38" t="s">
        <v>178</v>
      </c>
      <c r="C38">
        <v>5</v>
      </c>
      <c r="D38" t="s">
        <v>179</v>
      </c>
      <c r="F38" t="s">
        <v>2</v>
      </c>
      <c r="G38" t="s">
        <v>33</v>
      </c>
      <c r="H38" t="s">
        <v>58</v>
      </c>
      <c r="I38" t="s">
        <v>180</v>
      </c>
      <c r="J38">
        <v>1</v>
      </c>
      <c r="K38" t="s">
        <v>41</v>
      </c>
      <c r="L38">
        <v>1390</v>
      </c>
      <c r="M38" t="s">
        <v>77</v>
      </c>
    </row>
    <row r="39" spans="1:13">
      <c r="A39">
        <v>1012374</v>
      </c>
      <c r="B39" t="s">
        <v>181</v>
      </c>
      <c r="C39">
        <v>20</v>
      </c>
      <c r="D39" t="s">
        <v>182</v>
      </c>
      <c r="E39">
        <v>14</v>
      </c>
      <c r="F39" t="s">
        <v>17</v>
      </c>
      <c r="G39" t="s">
        <v>6</v>
      </c>
      <c r="H39" t="s">
        <v>57</v>
      </c>
      <c r="I39" t="s">
        <v>183</v>
      </c>
      <c r="J39">
        <v>1</v>
      </c>
      <c r="K39" t="s">
        <v>37</v>
      </c>
      <c r="L39">
        <v>2130</v>
      </c>
      <c r="M39" t="s">
        <v>77</v>
      </c>
    </row>
    <row r="40" spans="1:13">
      <c r="A40">
        <v>1012464</v>
      </c>
      <c r="B40" t="s">
        <v>184</v>
      </c>
      <c r="C40">
        <v>44</v>
      </c>
      <c r="D40" t="s">
        <v>88</v>
      </c>
      <c r="E40">
        <v>34</v>
      </c>
      <c r="F40" t="s">
        <v>28</v>
      </c>
      <c r="G40" t="s">
        <v>21</v>
      </c>
      <c r="H40" t="s">
        <v>57</v>
      </c>
      <c r="I40" t="s">
        <v>185</v>
      </c>
      <c r="J40">
        <v>1</v>
      </c>
      <c r="K40" t="s">
        <v>47</v>
      </c>
      <c r="L40">
        <v>2402</v>
      </c>
      <c r="M40" t="s">
        <v>77</v>
      </c>
    </row>
    <row r="41" spans="1:13">
      <c r="A41">
        <v>1012655</v>
      </c>
      <c r="B41" t="s">
        <v>186</v>
      </c>
      <c r="C41">
        <v>36</v>
      </c>
      <c r="D41" t="s">
        <v>94</v>
      </c>
      <c r="E41">
        <v>26</v>
      </c>
      <c r="F41" t="s">
        <v>19</v>
      </c>
      <c r="G41" t="s">
        <v>12</v>
      </c>
      <c r="H41" t="s">
        <v>58</v>
      </c>
      <c r="I41" t="s">
        <v>187</v>
      </c>
      <c r="J41">
        <v>4</v>
      </c>
      <c r="K41" t="s">
        <v>41</v>
      </c>
      <c r="L41">
        <v>3776</v>
      </c>
      <c r="M41" t="s">
        <v>77</v>
      </c>
    </row>
    <row r="42" spans="1:13">
      <c r="A42">
        <v>1012794</v>
      </c>
      <c r="B42" t="s">
        <v>188</v>
      </c>
      <c r="C42">
        <v>12</v>
      </c>
      <c r="D42" t="s">
        <v>91</v>
      </c>
      <c r="E42">
        <v>8</v>
      </c>
      <c r="F42" t="s">
        <v>18</v>
      </c>
      <c r="G42" t="s">
        <v>3</v>
      </c>
      <c r="H42" t="s">
        <v>60</v>
      </c>
      <c r="I42" t="s">
        <v>189</v>
      </c>
      <c r="J42">
        <v>2</v>
      </c>
      <c r="K42" t="s">
        <v>41</v>
      </c>
      <c r="L42">
        <v>931</v>
      </c>
      <c r="M42" t="s">
        <v>77</v>
      </c>
    </row>
    <row r="43" spans="1:13">
      <c r="A43">
        <v>1013233</v>
      </c>
      <c r="B43" t="s">
        <v>190</v>
      </c>
      <c r="C43">
        <v>31</v>
      </c>
      <c r="D43" t="s">
        <v>82</v>
      </c>
      <c r="F43" t="s">
        <v>10</v>
      </c>
      <c r="G43" t="s">
        <v>20</v>
      </c>
      <c r="H43" t="s">
        <v>58</v>
      </c>
      <c r="I43" t="s">
        <v>191</v>
      </c>
      <c r="J43">
        <v>1</v>
      </c>
      <c r="K43" t="s">
        <v>37</v>
      </c>
      <c r="L43">
        <v>654</v>
      </c>
      <c r="M43" t="s">
        <v>77</v>
      </c>
    </row>
    <row r="44" spans="1:13">
      <c r="A44">
        <v>1013270</v>
      </c>
      <c r="B44" t="s">
        <v>192</v>
      </c>
      <c r="C44">
        <v>46</v>
      </c>
      <c r="D44" t="s">
        <v>193</v>
      </c>
      <c r="E44">
        <v>34</v>
      </c>
      <c r="F44" t="s">
        <v>28</v>
      </c>
      <c r="G44" t="s">
        <v>21</v>
      </c>
      <c r="H44" t="s">
        <v>58</v>
      </c>
      <c r="I44" t="s">
        <v>194</v>
      </c>
      <c r="J44">
        <v>1</v>
      </c>
      <c r="K44" t="s">
        <v>37</v>
      </c>
      <c r="L44">
        <v>950</v>
      </c>
      <c r="M44" t="s">
        <v>77</v>
      </c>
    </row>
    <row r="45" spans="1:13">
      <c r="A45">
        <v>1013494</v>
      </c>
      <c r="B45" t="s">
        <v>195</v>
      </c>
      <c r="C45">
        <v>19</v>
      </c>
      <c r="D45" t="s">
        <v>196</v>
      </c>
      <c r="E45">
        <v>13</v>
      </c>
      <c r="F45" t="s">
        <v>6</v>
      </c>
      <c r="G45" t="s">
        <v>17</v>
      </c>
      <c r="H45" t="s">
        <v>58</v>
      </c>
      <c r="I45" t="s">
        <v>197</v>
      </c>
      <c r="J45">
        <v>3</v>
      </c>
      <c r="K45" t="s">
        <v>41</v>
      </c>
      <c r="L45">
        <v>2090</v>
      </c>
      <c r="M45" t="s">
        <v>77</v>
      </c>
    </row>
    <row r="46" spans="1:13">
      <c r="A46">
        <v>1013497</v>
      </c>
      <c r="B46" t="s">
        <v>198</v>
      </c>
      <c r="C46">
        <v>33</v>
      </c>
      <c r="D46" t="s">
        <v>85</v>
      </c>
      <c r="E46">
        <v>25</v>
      </c>
      <c r="F46" t="s">
        <v>12</v>
      </c>
      <c r="G46" t="s">
        <v>19</v>
      </c>
      <c r="H46" t="s">
        <v>57</v>
      </c>
      <c r="I46" t="s">
        <v>199</v>
      </c>
      <c r="J46">
        <v>2</v>
      </c>
      <c r="K46" t="s">
        <v>45</v>
      </c>
      <c r="L46">
        <v>5568</v>
      </c>
      <c r="M46" t="s">
        <v>77</v>
      </c>
    </row>
    <row r="47" spans="1:13">
      <c r="A47">
        <v>1013731</v>
      </c>
      <c r="B47" t="s">
        <v>200</v>
      </c>
      <c r="C47">
        <v>6</v>
      </c>
      <c r="D47" t="s">
        <v>149</v>
      </c>
      <c r="E47">
        <v>4</v>
      </c>
      <c r="F47" t="s">
        <v>33</v>
      </c>
      <c r="G47" t="s">
        <v>2</v>
      </c>
      <c r="H47" t="s">
        <v>58</v>
      </c>
      <c r="I47" t="s">
        <v>201</v>
      </c>
      <c r="J47">
        <v>3</v>
      </c>
      <c r="K47" t="s">
        <v>41</v>
      </c>
      <c r="L47">
        <v>3614</v>
      </c>
      <c r="M47" t="s">
        <v>77</v>
      </c>
    </row>
    <row r="48" spans="1:13">
      <c r="A48">
        <v>1013942</v>
      </c>
      <c r="B48" t="s">
        <v>202</v>
      </c>
      <c r="C48">
        <v>52</v>
      </c>
      <c r="D48" t="s">
        <v>149</v>
      </c>
      <c r="E48">
        <v>40</v>
      </c>
      <c r="F48" t="s">
        <v>30</v>
      </c>
      <c r="G48" t="s">
        <v>26</v>
      </c>
      <c r="H48" t="s">
        <v>57</v>
      </c>
      <c r="I48" t="s">
        <v>203</v>
      </c>
      <c r="J48">
        <v>1</v>
      </c>
      <c r="K48" t="s">
        <v>41</v>
      </c>
      <c r="L48">
        <v>1358</v>
      </c>
      <c r="M48" t="s">
        <v>77</v>
      </c>
    </row>
    <row r="49" spans="1:13">
      <c r="A49">
        <v>1014041</v>
      </c>
      <c r="B49" t="s">
        <v>204</v>
      </c>
      <c r="C49">
        <v>18</v>
      </c>
      <c r="D49" t="s">
        <v>205</v>
      </c>
      <c r="E49">
        <v>12</v>
      </c>
      <c r="F49" t="s">
        <v>25</v>
      </c>
      <c r="G49" t="s">
        <v>5</v>
      </c>
      <c r="H49" t="s">
        <v>58</v>
      </c>
      <c r="I49" t="s">
        <v>206</v>
      </c>
      <c r="J49">
        <v>2</v>
      </c>
      <c r="K49" t="s">
        <v>37</v>
      </c>
      <c r="L49">
        <v>2424</v>
      </c>
      <c r="M49" t="s">
        <v>77</v>
      </c>
    </row>
    <row r="50" spans="1:13">
      <c r="A50">
        <v>1015068</v>
      </c>
      <c r="B50" t="s">
        <v>207</v>
      </c>
      <c r="C50">
        <v>19</v>
      </c>
      <c r="D50" t="s">
        <v>208</v>
      </c>
      <c r="E50">
        <v>13</v>
      </c>
      <c r="F50" t="s">
        <v>6</v>
      </c>
      <c r="G50" t="s">
        <v>17</v>
      </c>
      <c r="H50" t="s">
        <v>60</v>
      </c>
      <c r="I50" t="s">
        <v>209</v>
      </c>
      <c r="J50">
        <v>1</v>
      </c>
      <c r="K50" t="s">
        <v>41</v>
      </c>
      <c r="L50">
        <v>668</v>
      </c>
      <c r="M50" t="s">
        <v>77</v>
      </c>
    </row>
    <row r="51" spans="1:13">
      <c r="A51">
        <v>1015189</v>
      </c>
      <c r="B51" t="s">
        <v>210</v>
      </c>
      <c r="C51">
        <v>40</v>
      </c>
      <c r="D51" t="s">
        <v>211</v>
      </c>
      <c r="E51">
        <v>30</v>
      </c>
      <c r="F51" t="s">
        <v>23</v>
      </c>
      <c r="G51" t="s">
        <v>15</v>
      </c>
      <c r="H51" t="s">
        <v>56</v>
      </c>
      <c r="I51" t="s">
        <v>212</v>
      </c>
      <c r="J51">
        <v>3</v>
      </c>
      <c r="K51" t="s">
        <v>41</v>
      </c>
      <c r="L51">
        <v>10355</v>
      </c>
      <c r="M51" t="s">
        <v>77</v>
      </c>
    </row>
    <row r="52" spans="1:13">
      <c r="A52">
        <v>1015275</v>
      </c>
      <c r="B52" t="s">
        <v>213</v>
      </c>
      <c r="C52">
        <v>4</v>
      </c>
      <c r="D52" t="s">
        <v>214</v>
      </c>
      <c r="E52">
        <v>2</v>
      </c>
      <c r="F52" t="s">
        <v>27</v>
      </c>
      <c r="G52" t="s">
        <v>2</v>
      </c>
      <c r="H52" t="s">
        <v>57</v>
      </c>
      <c r="I52" t="s">
        <v>215</v>
      </c>
      <c r="J52">
        <v>2</v>
      </c>
      <c r="K52" t="s">
        <v>37</v>
      </c>
      <c r="L52">
        <v>6297</v>
      </c>
      <c r="M52" t="s">
        <v>77</v>
      </c>
    </row>
    <row r="53" spans="1:13">
      <c r="A53">
        <v>1015447</v>
      </c>
      <c r="B53" t="s">
        <v>216</v>
      </c>
      <c r="C53">
        <v>18</v>
      </c>
      <c r="D53" t="s">
        <v>205</v>
      </c>
      <c r="E53">
        <v>12</v>
      </c>
      <c r="F53" t="s">
        <v>25</v>
      </c>
      <c r="G53" t="s">
        <v>5</v>
      </c>
      <c r="H53" t="s">
        <v>58</v>
      </c>
      <c r="I53" t="s">
        <v>217</v>
      </c>
      <c r="J53">
        <v>3</v>
      </c>
      <c r="K53" t="s">
        <v>45</v>
      </c>
      <c r="L53">
        <v>3636</v>
      </c>
      <c r="M53" t="s">
        <v>77</v>
      </c>
    </row>
    <row r="54" spans="1:13">
      <c r="A54">
        <v>1015771</v>
      </c>
      <c r="B54" t="s">
        <v>218</v>
      </c>
      <c r="C54">
        <v>18</v>
      </c>
      <c r="D54" t="s">
        <v>219</v>
      </c>
      <c r="E54">
        <v>12</v>
      </c>
      <c r="F54" t="s">
        <v>25</v>
      </c>
      <c r="G54" t="s">
        <v>5</v>
      </c>
      <c r="H54" t="s">
        <v>57</v>
      </c>
      <c r="I54" t="s">
        <v>220</v>
      </c>
      <c r="J54">
        <v>3</v>
      </c>
      <c r="K54" t="s">
        <v>41</v>
      </c>
      <c r="L54">
        <v>6438</v>
      </c>
      <c r="M54" t="s">
        <v>77</v>
      </c>
    </row>
    <row r="55" spans="1:13">
      <c r="A55">
        <v>1015789</v>
      </c>
      <c r="B55" t="s">
        <v>221</v>
      </c>
      <c r="C55">
        <v>12</v>
      </c>
      <c r="D55" t="s">
        <v>91</v>
      </c>
      <c r="E55">
        <v>8</v>
      </c>
      <c r="F55" t="s">
        <v>18</v>
      </c>
      <c r="G55" t="s">
        <v>3</v>
      </c>
      <c r="H55" t="s">
        <v>57</v>
      </c>
      <c r="I55" t="s">
        <v>222</v>
      </c>
      <c r="J55">
        <v>4</v>
      </c>
      <c r="K55" t="s">
        <v>41</v>
      </c>
      <c r="L55">
        <v>5934</v>
      </c>
      <c r="M55" t="s">
        <v>77</v>
      </c>
    </row>
    <row r="56" spans="1:13">
      <c r="A56">
        <v>1015827</v>
      </c>
      <c r="B56" t="s">
        <v>223</v>
      </c>
      <c r="C56">
        <v>23</v>
      </c>
      <c r="D56" t="s">
        <v>128</v>
      </c>
      <c r="E56">
        <v>17</v>
      </c>
      <c r="F56" t="s">
        <v>8</v>
      </c>
      <c r="G56" t="s">
        <v>12</v>
      </c>
      <c r="H56" t="s">
        <v>57</v>
      </c>
      <c r="I56" t="s">
        <v>224</v>
      </c>
      <c r="J56">
        <v>1</v>
      </c>
      <c r="K56" t="s">
        <v>41</v>
      </c>
      <c r="L56">
        <v>2211</v>
      </c>
      <c r="M56" t="s">
        <v>77</v>
      </c>
    </row>
    <row r="57" spans="1:13">
      <c r="A57">
        <v>1016727</v>
      </c>
      <c r="B57" t="s">
        <v>225</v>
      </c>
      <c r="C57">
        <v>15</v>
      </c>
      <c r="D57" t="s">
        <v>146</v>
      </c>
      <c r="E57">
        <v>9</v>
      </c>
      <c r="F57" t="s">
        <v>4</v>
      </c>
      <c r="G57" t="s">
        <v>10</v>
      </c>
      <c r="H57" t="s">
        <v>58</v>
      </c>
      <c r="I57" t="s">
        <v>226</v>
      </c>
      <c r="J57">
        <v>1</v>
      </c>
      <c r="K57" t="s">
        <v>41</v>
      </c>
      <c r="L57">
        <v>549</v>
      </c>
      <c r="M57" t="s">
        <v>77</v>
      </c>
    </row>
    <row r="58" spans="1:13">
      <c r="A58">
        <v>1016823</v>
      </c>
      <c r="B58" t="s">
        <v>227</v>
      </c>
      <c r="C58">
        <v>49</v>
      </c>
      <c r="D58" t="s">
        <v>228</v>
      </c>
      <c r="E58">
        <v>37</v>
      </c>
      <c r="F58" t="s">
        <v>24</v>
      </c>
      <c r="G58" t="s">
        <v>31</v>
      </c>
      <c r="H58" t="s">
        <v>57</v>
      </c>
      <c r="I58" t="s">
        <v>229</v>
      </c>
      <c r="J58">
        <v>2</v>
      </c>
      <c r="K58" t="s">
        <v>41</v>
      </c>
      <c r="L58">
        <v>6604</v>
      </c>
      <c r="M58" t="s">
        <v>77</v>
      </c>
    </row>
    <row r="59" spans="1:13">
      <c r="A59">
        <v>1017132</v>
      </c>
      <c r="B59" t="s">
        <v>230</v>
      </c>
      <c r="C59">
        <v>46</v>
      </c>
      <c r="D59" t="s">
        <v>231</v>
      </c>
      <c r="E59">
        <v>34</v>
      </c>
      <c r="F59" t="s">
        <v>28</v>
      </c>
      <c r="G59" t="s">
        <v>21</v>
      </c>
      <c r="H59" t="s">
        <v>58</v>
      </c>
      <c r="I59" t="s">
        <v>232</v>
      </c>
      <c r="J59">
        <v>1</v>
      </c>
      <c r="K59" t="s">
        <v>41</v>
      </c>
      <c r="L59">
        <v>570</v>
      </c>
      <c r="M59" t="s">
        <v>77</v>
      </c>
    </row>
    <row r="60" spans="1:13">
      <c r="A60">
        <v>1017303</v>
      </c>
      <c r="B60" t="s">
        <v>233</v>
      </c>
      <c r="C60">
        <v>48</v>
      </c>
      <c r="D60" t="s">
        <v>138</v>
      </c>
      <c r="E60">
        <v>36</v>
      </c>
      <c r="F60" t="s">
        <v>29</v>
      </c>
      <c r="G60" t="s">
        <v>22</v>
      </c>
      <c r="H60" t="s">
        <v>57</v>
      </c>
      <c r="I60" t="s">
        <v>234</v>
      </c>
      <c r="J60">
        <v>4</v>
      </c>
      <c r="K60" t="s">
        <v>41</v>
      </c>
      <c r="L60">
        <v>12492</v>
      </c>
      <c r="M60" t="s">
        <v>77</v>
      </c>
    </row>
    <row r="61" spans="1:13">
      <c r="A61">
        <v>1017459</v>
      </c>
      <c r="B61" t="s">
        <v>235</v>
      </c>
      <c r="C61">
        <v>28</v>
      </c>
      <c r="D61" t="s">
        <v>179</v>
      </c>
      <c r="E61">
        <v>22</v>
      </c>
      <c r="F61" t="s">
        <v>20</v>
      </c>
      <c r="G61" t="s">
        <v>9</v>
      </c>
      <c r="H61" t="s">
        <v>57</v>
      </c>
      <c r="I61" t="s">
        <v>236</v>
      </c>
      <c r="J61">
        <v>1</v>
      </c>
      <c r="K61" t="s">
        <v>41</v>
      </c>
      <c r="L61" t="s">
        <v>177</v>
      </c>
      <c r="M61" t="s">
        <v>77</v>
      </c>
    </row>
    <row r="62" spans="1:13">
      <c r="A62">
        <v>1017579</v>
      </c>
      <c r="B62" t="s">
        <v>237</v>
      </c>
      <c r="C62">
        <v>15</v>
      </c>
      <c r="D62" t="s">
        <v>193</v>
      </c>
      <c r="E62">
        <v>9</v>
      </c>
      <c r="F62" t="s">
        <v>4</v>
      </c>
      <c r="G62" t="s">
        <v>10</v>
      </c>
      <c r="H62" t="s">
        <v>60</v>
      </c>
      <c r="I62" t="s">
        <v>238</v>
      </c>
      <c r="J62">
        <v>3</v>
      </c>
      <c r="K62" t="s">
        <v>41</v>
      </c>
      <c r="L62">
        <v>1981</v>
      </c>
      <c r="M62" t="s">
        <v>77</v>
      </c>
    </row>
    <row r="63" spans="1:13">
      <c r="A63">
        <v>1017595</v>
      </c>
      <c r="B63" t="s">
        <v>239</v>
      </c>
      <c r="C63">
        <v>12</v>
      </c>
      <c r="D63" t="s">
        <v>97</v>
      </c>
      <c r="E63">
        <v>8</v>
      </c>
      <c r="F63" t="s">
        <v>240</v>
      </c>
      <c r="G63" t="s">
        <v>241</v>
      </c>
      <c r="H63" t="s">
        <v>60</v>
      </c>
      <c r="I63" t="s">
        <v>242</v>
      </c>
      <c r="J63">
        <v>4</v>
      </c>
      <c r="K63" t="s">
        <v>41</v>
      </c>
      <c r="L63">
        <v>2095</v>
      </c>
      <c r="M63" t="s">
        <v>77</v>
      </c>
    </row>
    <row r="64" spans="1:13">
      <c r="A64">
        <v>1018391</v>
      </c>
      <c r="B64" t="s">
        <v>243</v>
      </c>
      <c r="C64">
        <v>16</v>
      </c>
      <c r="D64" t="s">
        <v>244</v>
      </c>
      <c r="E64">
        <v>10</v>
      </c>
      <c r="F64" t="s">
        <v>10</v>
      </c>
      <c r="G64" t="s">
        <v>4</v>
      </c>
      <c r="H64" t="s">
        <v>57</v>
      </c>
      <c r="I64" t="s">
        <v>245</v>
      </c>
      <c r="J64">
        <v>5</v>
      </c>
      <c r="K64" t="s">
        <v>41</v>
      </c>
      <c r="L64">
        <v>11173</v>
      </c>
      <c r="M64" t="s">
        <v>77</v>
      </c>
    </row>
    <row r="65" spans="1:13">
      <c r="A65">
        <v>1019199</v>
      </c>
      <c r="B65" t="s">
        <v>246</v>
      </c>
      <c r="C65">
        <v>4</v>
      </c>
      <c r="D65" t="s">
        <v>247</v>
      </c>
      <c r="E65">
        <v>2</v>
      </c>
      <c r="F65" t="s">
        <v>27</v>
      </c>
      <c r="G65" t="s">
        <v>2</v>
      </c>
      <c r="H65" t="s">
        <v>58</v>
      </c>
      <c r="I65" t="s">
        <v>248</v>
      </c>
      <c r="J65">
        <v>3</v>
      </c>
      <c r="K65" t="s">
        <v>49</v>
      </c>
      <c r="L65">
        <v>4106</v>
      </c>
      <c r="M65" t="s">
        <v>77</v>
      </c>
    </row>
    <row r="66" spans="1:13">
      <c r="A66">
        <v>1019981</v>
      </c>
      <c r="B66" t="s">
        <v>249</v>
      </c>
      <c r="C66">
        <v>40</v>
      </c>
      <c r="D66" t="s">
        <v>211</v>
      </c>
      <c r="E66">
        <v>30</v>
      </c>
      <c r="F66" t="s">
        <v>23</v>
      </c>
      <c r="G66" t="s">
        <v>15</v>
      </c>
      <c r="H66" t="s">
        <v>58</v>
      </c>
      <c r="I66" t="s">
        <v>250</v>
      </c>
      <c r="J66">
        <v>2</v>
      </c>
      <c r="K66" t="s">
        <v>41</v>
      </c>
      <c r="L66">
        <v>2174</v>
      </c>
      <c r="M66" t="s">
        <v>77</v>
      </c>
    </row>
    <row r="67" spans="1:13">
      <c r="A67">
        <v>1020492</v>
      </c>
      <c r="B67" t="s">
        <v>251</v>
      </c>
      <c r="C67">
        <v>33</v>
      </c>
      <c r="D67" t="s">
        <v>252</v>
      </c>
      <c r="E67">
        <v>25</v>
      </c>
      <c r="F67" t="s">
        <v>12</v>
      </c>
      <c r="G67" t="s">
        <v>19</v>
      </c>
      <c r="H67" t="s">
        <v>58</v>
      </c>
      <c r="I67" t="s">
        <v>253</v>
      </c>
      <c r="J67">
        <v>2</v>
      </c>
      <c r="K67" t="s">
        <v>47</v>
      </c>
      <c r="L67">
        <v>2098</v>
      </c>
      <c r="M67" t="s">
        <v>77</v>
      </c>
    </row>
    <row r="68" spans="1:13">
      <c r="A68">
        <v>1020992</v>
      </c>
      <c r="B68" t="s">
        <v>254</v>
      </c>
      <c r="C68">
        <v>46</v>
      </c>
      <c r="D68" t="s">
        <v>231</v>
      </c>
      <c r="E68">
        <v>34</v>
      </c>
      <c r="F68" t="s">
        <v>28</v>
      </c>
      <c r="G68" t="s">
        <v>21</v>
      </c>
      <c r="H68" t="s">
        <v>56</v>
      </c>
      <c r="I68" t="s">
        <v>255</v>
      </c>
      <c r="J68">
        <v>2</v>
      </c>
      <c r="K68" t="s">
        <v>41</v>
      </c>
      <c r="L68">
        <v>7230</v>
      </c>
      <c r="M68" t="s">
        <v>77</v>
      </c>
    </row>
    <row r="69" spans="1:13">
      <c r="A69">
        <v>1021010</v>
      </c>
      <c r="B69" t="s">
        <v>256</v>
      </c>
      <c r="C69">
        <v>44</v>
      </c>
      <c r="D69" t="s">
        <v>257</v>
      </c>
      <c r="E69">
        <v>34</v>
      </c>
      <c r="F69" t="s">
        <v>28</v>
      </c>
      <c r="G69" t="s">
        <v>21</v>
      </c>
      <c r="H69" t="s">
        <v>60</v>
      </c>
      <c r="I69" t="s">
        <v>258</v>
      </c>
      <c r="J69">
        <v>1</v>
      </c>
      <c r="K69" t="s">
        <v>37</v>
      </c>
      <c r="L69">
        <v>753</v>
      </c>
      <c r="M69" t="s">
        <v>77</v>
      </c>
    </row>
    <row r="70" spans="1:13">
      <c r="A70">
        <v>1021072</v>
      </c>
      <c r="B70" t="s">
        <v>259</v>
      </c>
      <c r="C70">
        <v>46</v>
      </c>
      <c r="D70" t="s">
        <v>231</v>
      </c>
      <c r="E70">
        <v>34</v>
      </c>
      <c r="F70" t="s">
        <v>28</v>
      </c>
      <c r="G70" t="s">
        <v>21</v>
      </c>
      <c r="H70" t="s">
        <v>57</v>
      </c>
      <c r="I70" t="s">
        <v>260</v>
      </c>
      <c r="J70">
        <v>2</v>
      </c>
      <c r="K70" t="s">
        <v>41</v>
      </c>
      <c r="L70">
        <v>5040</v>
      </c>
      <c r="M70" t="s">
        <v>77</v>
      </c>
    </row>
    <row r="71" spans="1:13">
      <c r="A71">
        <v>1021441</v>
      </c>
      <c r="B71" t="s">
        <v>261</v>
      </c>
      <c r="C71">
        <v>32</v>
      </c>
      <c r="D71" t="s">
        <v>262</v>
      </c>
      <c r="E71">
        <v>24</v>
      </c>
      <c r="F71" t="s">
        <v>20</v>
      </c>
      <c r="G71" t="s">
        <v>10</v>
      </c>
      <c r="H71" t="s">
        <v>58</v>
      </c>
      <c r="I71" t="s">
        <v>263</v>
      </c>
      <c r="J71">
        <v>6</v>
      </c>
      <c r="K71" t="s">
        <v>41</v>
      </c>
      <c r="L71">
        <v>3663</v>
      </c>
      <c r="M71" t="s">
        <v>77</v>
      </c>
    </row>
    <row r="72" spans="1:13">
      <c r="A72">
        <v>1021854</v>
      </c>
      <c r="B72" t="s">
        <v>264</v>
      </c>
      <c r="C72">
        <v>6</v>
      </c>
      <c r="D72" t="s">
        <v>149</v>
      </c>
      <c r="E72">
        <v>4</v>
      </c>
      <c r="F72" t="s">
        <v>33</v>
      </c>
      <c r="G72" t="s">
        <v>2</v>
      </c>
      <c r="H72" t="s">
        <v>56</v>
      </c>
      <c r="I72" t="s">
        <v>265</v>
      </c>
      <c r="J72">
        <v>2</v>
      </c>
      <c r="K72" t="s">
        <v>41</v>
      </c>
      <c r="L72">
        <v>10606</v>
      </c>
      <c r="M72" t="s">
        <v>77</v>
      </c>
    </row>
    <row r="73" spans="1:13">
      <c r="A73">
        <v>1021946</v>
      </c>
      <c r="B73" t="s">
        <v>266</v>
      </c>
      <c r="C73">
        <v>39</v>
      </c>
      <c r="D73" t="s">
        <v>116</v>
      </c>
      <c r="E73">
        <v>29</v>
      </c>
      <c r="F73" t="s">
        <v>15</v>
      </c>
      <c r="G73" t="s">
        <v>23</v>
      </c>
      <c r="H73" t="s">
        <v>58</v>
      </c>
      <c r="I73" t="s">
        <v>267</v>
      </c>
      <c r="J73">
        <v>2</v>
      </c>
      <c r="K73" t="s">
        <v>37</v>
      </c>
      <c r="L73">
        <v>2174</v>
      </c>
      <c r="M73" t="s">
        <v>77</v>
      </c>
    </row>
    <row r="74" spans="1:13">
      <c r="A74">
        <v>1022190</v>
      </c>
      <c r="B74" t="s">
        <v>268</v>
      </c>
      <c r="C74">
        <v>15</v>
      </c>
      <c r="D74" t="s">
        <v>146</v>
      </c>
      <c r="E74">
        <v>9</v>
      </c>
      <c r="F74" t="s">
        <v>4</v>
      </c>
      <c r="G74" t="s">
        <v>10</v>
      </c>
      <c r="H74" t="s">
        <v>58</v>
      </c>
      <c r="I74" t="s">
        <v>269</v>
      </c>
      <c r="J74">
        <v>4</v>
      </c>
      <c r="K74" t="s">
        <v>49</v>
      </c>
      <c r="L74">
        <v>3664</v>
      </c>
      <c r="M74" t="s">
        <v>77</v>
      </c>
    </row>
    <row r="75" spans="1:13">
      <c r="A75">
        <v>1022407</v>
      </c>
      <c r="B75" t="s">
        <v>270</v>
      </c>
      <c r="C75">
        <v>51</v>
      </c>
      <c r="D75" t="s">
        <v>271</v>
      </c>
      <c r="E75">
        <v>39</v>
      </c>
      <c r="F75" t="s">
        <v>26</v>
      </c>
      <c r="G75" t="s">
        <v>30</v>
      </c>
      <c r="H75" t="s">
        <v>58</v>
      </c>
      <c r="I75" t="s">
        <v>272</v>
      </c>
      <c r="J75">
        <v>5</v>
      </c>
      <c r="K75" t="s">
        <v>41</v>
      </c>
      <c r="L75">
        <v>3586</v>
      </c>
      <c r="M75" t="s">
        <v>77</v>
      </c>
    </row>
    <row r="76" spans="1:13">
      <c r="A76">
        <v>1022690</v>
      </c>
      <c r="B76" t="s">
        <v>273</v>
      </c>
      <c r="C76">
        <v>30</v>
      </c>
      <c r="D76" t="s">
        <v>274</v>
      </c>
      <c r="E76">
        <v>24</v>
      </c>
      <c r="F76" t="s">
        <v>20</v>
      </c>
      <c r="G76" t="s">
        <v>10</v>
      </c>
      <c r="H76" t="s">
        <v>57</v>
      </c>
      <c r="I76" t="s">
        <v>275</v>
      </c>
      <c r="J76">
        <v>2</v>
      </c>
      <c r="K76" t="s">
        <v>47</v>
      </c>
      <c r="L76">
        <v>2770</v>
      </c>
      <c r="M76" t="s">
        <v>77</v>
      </c>
    </row>
    <row r="77" spans="1:13">
      <c r="A77">
        <v>1022972</v>
      </c>
      <c r="B77" t="s">
        <v>276</v>
      </c>
      <c r="C77">
        <v>14</v>
      </c>
      <c r="D77" t="s">
        <v>116</v>
      </c>
      <c r="E77">
        <v>10</v>
      </c>
      <c r="F77" t="s">
        <v>10</v>
      </c>
      <c r="G77" t="s">
        <v>4</v>
      </c>
      <c r="H77" t="s">
        <v>55</v>
      </c>
      <c r="I77" t="s">
        <v>277</v>
      </c>
      <c r="J77">
        <v>1</v>
      </c>
      <c r="K77" t="s">
        <v>278</v>
      </c>
      <c r="L77">
        <v>7338</v>
      </c>
      <c r="M77" t="s">
        <v>77</v>
      </c>
    </row>
    <row r="78" spans="1:13">
      <c r="A78">
        <v>1023016</v>
      </c>
      <c r="B78" t="s">
        <v>279</v>
      </c>
      <c r="C78">
        <v>16</v>
      </c>
      <c r="D78" t="s">
        <v>280</v>
      </c>
      <c r="E78">
        <v>10</v>
      </c>
      <c r="F78" t="s">
        <v>10</v>
      </c>
      <c r="G78" t="s">
        <v>4</v>
      </c>
      <c r="H78" t="s">
        <v>57</v>
      </c>
      <c r="I78" t="s">
        <v>281</v>
      </c>
      <c r="J78">
        <v>1</v>
      </c>
      <c r="K78" t="s">
        <v>37</v>
      </c>
      <c r="L78">
        <v>2429</v>
      </c>
      <c r="M78" t="s">
        <v>77</v>
      </c>
    </row>
    <row r="79" spans="1:13">
      <c r="A79">
        <v>1024071</v>
      </c>
      <c r="B79" t="s">
        <v>282</v>
      </c>
      <c r="C79">
        <v>12</v>
      </c>
      <c r="D79" t="s">
        <v>97</v>
      </c>
      <c r="E79">
        <v>8</v>
      </c>
      <c r="F79" t="s">
        <v>18</v>
      </c>
      <c r="G79" t="s">
        <v>3</v>
      </c>
      <c r="H79" t="s">
        <v>58</v>
      </c>
      <c r="I79" t="s">
        <v>283</v>
      </c>
      <c r="J79">
        <v>2</v>
      </c>
      <c r="K79" t="s">
        <v>41</v>
      </c>
      <c r="L79">
        <v>1400</v>
      </c>
      <c r="M79" t="s">
        <v>77</v>
      </c>
    </row>
    <row r="80" spans="1:13">
      <c r="A80">
        <v>1024249</v>
      </c>
      <c r="B80" t="s">
        <v>284</v>
      </c>
      <c r="C80">
        <v>40</v>
      </c>
      <c r="D80" t="s">
        <v>285</v>
      </c>
      <c r="E80">
        <v>30</v>
      </c>
      <c r="F80" t="s">
        <v>23</v>
      </c>
      <c r="G80" t="s">
        <v>15</v>
      </c>
      <c r="H80" t="s">
        <v>57</v>
      </c>
      <c r="I80" t="s">
        <v>286</v>
      </c>
      <c r="J80">
        <v>2</v>
      </c>
      <c r="K80" t="s">
        <v>41</v>
      </c>
      <c r="L80">
        <v>4329</v>
      </c>
      <c r="M80" t="s">
        <v>77</v>
      </c>
    </row>
    <row r="81" spans="1:13">
      <c r="A81">
        <v>1024488</v>
      </c>
      <c r="B81" t="s">
        <v>287</v>
      </c>
      <c r="C81">
        <v>48</v>
      </c>
      <c r="D81" t="s">
        <v>288</v>
      </c>
      <c r="E81">
        <v>36</v>
      </c>
      <c r="F81" t="s">
        <v>29</v>
      </c>
      <c r="G81" t="s">
        <v>22</v>
      </c>
      <c r="H81" t="s">
        <v>58</v>
      </c>
      <c r="I81" t="s">
        <v>289</v>
      </c>
      <c r="J81">
        <v>1</v>
      </c>
      <c r="K81" t="s">
        <v>41</v>
      </c>
      <c r="L81">
        <v>1176</v>
      </c>
      <c r="M81" t="s">
        <v>77</v>
      </c>
    </row>
    <row r="82" spans="1:13">
      <c r="A82">
        <v>1025070</v>
      </c>
      <c r="B82" t="s">
        <v>290</v>
      </c>
      <c r="C82">
        <v>50</v>
      </c>
      <c r="D82" t="s">
        <v>291</v>
      </c>
      <c r="E82">
        <v>38</v>
      </c>
      <c r="F82" t="s">
        <v>31</v>
      </c>
      <c r="G82" t="s">
        <v>24</v>
      </c>
      <c r="H82" t="s">
        <v>58</v>
      </c>
      <c r="I82" t="s">
        <v>292</v>
      </c>
      <c r="J82">
        <v>1</v>
      </c>
      <c r="K82" t="s">
        <v>41</v>
      </c>
      <c r="L82">
        <v>1243</v>
      </c>
      <c r="M82" t="s">
        <v>77</v>
      </c>
    </row>
    <row r="83" spans="1:13">
      <c r="A83">
        <v>1025466</v>
      </c>
      <c r="B83" t="s">
        <v>293</v>
      </c>
      <c r="C83">
        <v>44</v>
      </c>
      <c r="D83" t="s">
        <v>257</v>
      </c>
      <c r="E83">
        <v>34</v>
      </c>
      <c r="F83" t="s">
        <v>28</v>
      </c>
      <c r="G83" t="s">
        <v>21</v>
      </c>
      <c r="H83" t="s">
        <v>60</v>
      </c>
      <c r="I83" t="s">
        <v>294</v>
      </c>
      <c r="J83">
        <v>1</v>
      </c>
      <c r="K83" t="s">
        <v>41</v>
      </c>
      <c r="L83">
        <v>753</v>
      </c>
      <c r="M83" t="s">
        <v>77</v>
      </c>
    </row>
    <row r="84" spans="1:13">
      <c r="A84">
        <v>1025907</v>
      </c>
      <c r="B84" t="s">
        <v>295</v>
      </c>
      <c r="C84">
        <v>24</v>
      </c>
      <c r="D84" t="s">
        <v>296</v>
      </c>
      <c r="E84">
        <v>18</v>
      </c>
      <c r="F84" t="s">
        <v>12</v>
      </c>
      <c r="G84" t="s">
        <v>8</v>
      </c>
      <c r="H84" t="s">
        <v>57</v>
      </c>
      <c r="I84" t="s">
        <v>297</v>
      </c>
      <c r="J84">
        <v>1</v>
      </c>
      <c r="K84" t="s">
        <v>41</v>
      </c>
      <c r="L84">
        <v>2211</v>
      </c>
      <c r="M84" t="s">
        <v>77</v>
      </c>
    </row>
    <row r="85" spans="1:13">
      <c r="A85">
        <v>1026016</v>
      </c>
      <c r="B85" t="s">
        <v>298</v>
      </c>
      <c r="C85">
        <v>32</v>
      </c>
      <c r="D85" t="s">
        <v>262</v>
      </c>
      <c r="E85">
        <v>24</v>
      </c>
      <c r="F85" t="s">
        <v>20</v>
      </c>
      <c r="G85" t="s">
        <v>10</v>
      </c>
      <c r="H85" t="s">
        <v>58</v>
      </c>
      <c r="I85" t="s">
        <v>299</v>
      </c>
      <c r="J85">
        <v>2</v>
      </c>
      <c r="K85" t="s">
        <v>49</v>
      </c>
      <c r="L85">
        <v>1308</v>
      </c>
      <c r="M85" t="s">
        <v>77</v>
      </c>
    </row>
    <row r="86" spans="1:13">
      <c r="A86">
        <v>1026503</v>
      </c>
      <c r="B86" t="s">
        <v>300</v>
      </c>
      <c r="C86">
        <v>27</v>
      </c>
      <c r="D86" t="s">
        <v>301</v>
      </c>
      <c r="E86">
        <v>21</v>
      </c>
      <c r="F86" t="s">
        <v>9</v>
      </c>
      <c r="G86" t="s">
        <v>20</v>
      </c>
      <c r="H86" t="s">
        <v>58</v>
      </c>
      <c r="I86" t="s">
        <v>302</v>
      </c>
      <c r="J86">
        <v>3</v>
      </c>
      <c r="K86" t="s">
        <v>41</v>
      </c>
      <c r="L86">
        <v>3076</v>
      </c>
      <c r="M86" t="s">
        <v>77</v>
      </c>
    </row>
    <row r="87" spans="1:13">
      <c r="A87">
        <v>1026767</v>
      </c>
      <c r="B87" t="s">
        <v>303</v>
      </c>
      <c r="C87">
        <v>46</v>
      </c>
      <c r="D87" t="s">
        <v>231</v>
      </c>
      <c r="E87">
        <v>34</v>
      </c>
      <c r="F87" t="s">
        <v>28</v>
      </c>
      <c r="G87" t="s">
        <v>21</v>
      </c>
      <c r="H87" t="s">
        <v>56</v>
      </c>
      <c r="I87" t="s">
        <v>304</v>
      </c>
      <c r="J87">
        <v>1</v>
      </c>
      <c r="K87" t="s">
        <v>41</v>
      </c>
      <c r="L87">
        <v>3615</v>
      </c>
      <c r="M87" t="s">
        <v>77</v>
      </c>
    </row>
    <row r="88" spans="1:13">
      <c r="A88">
        <v>1026783</v>
      </c>
      <c r="B88" t="s">
        <v>305</v>
      </c>
      <c r="C88">
        <v>31</v>
      </c>
      <c r="D88" t="s">
        <v>169</v>
      </c>
      <c r="E88">
        <v>23</v>
      </c>
      <c r="F88" t="s">
        <v>10</v>
      </c>
      <c r="G88" t="s">
        <v>20</v>
      </c>
      <c r="H88" t="s">
        <v>58</v>
      </c>
      <c r="J88">
        <v>1</v>
      </c>
      <c r="K88" t="s">
        <v>41</v>
      </c>
      <c r="L88">
        <v>654</v>
      </c>
      <c r="M88" t="s">
        <v>77</v>
      </c>
    </row>
    <row r="89" spans="1:13">
      <c r="A89">
        <v>1026979</v>
      </c>
      <c r="B89" t="s">
        <v>306</v>
      </c>
      <c r="C89">
        <v>12</v>
      </c>
      <c r="D89" t="s">
        <v>97</v>
      </c>
      <c r="E89">
        <v>8</v>
      </c>
      <c r="F89" t="s">
        <v>18</v>
      </c>
      <c r="G89" t="s">
        <v>3</v>
      </c>
      <c r="H89" t="s">
        <v>60</v>
      </c>
      <c r="I89" t="s">
        <v>307</v>
      </c>
      <c r="J89">
        <v>1</v>
      </c>
      <c r="K89" t="s">
        <v>41</v>
      </c>
      <c r="L89">
        <v>582</v>
      </c>
      <c r="M89" t="s">
        <v>77</v>
      </c>
    </row>
    <row r="90" spans="1:13">
      <c r="A90">
        <v>1027209</v>
      </c>
      <c r="B90" t="s">
        <v>308</v>
      </c>
      <c r="C90">
        <v>18</v>
      </c>
      <c r="D90" t="s">
        <v>97</v>
      </c>
      <c r="E90">
        <v>12</v>
      </c>
      <c r="F90" t="s">
        <v>25</v>
      </c>
      <c r="G90" t="s">
        <v>5</v>
      </c>
      <c r="H90" t="s">
        <v>57</v>
      </c>
      <c r="I90" t="s">
        <v>309</v>
      </c>
      <c r="J90">
        <v>2</v>
      </c>
      <c r="K90" t="s">
        <v>41</v>
      </c>
      <c r="L90">
        <v>5151</v>
      </c>
      <c r="M90" t="s">
        <v>77</v>
      </c>
    </row>
    <row r="91" spans="1:13">
      <c r="A91">
        <v>1028041</v>
      </c>
      <c r="B91" t="s">
        <v>310</v>
      </c>
      <c r="C91">
        <v>24</v>
      </c>
      <c r="D91" t="s">
        <v>311</v>
      </c>
      <c r="E91">
        <v>18</v>
      </c>
      <c r="F91" t="s">
        <v>12</v>
      </c>
      <c r="G91" t="s">
        <v>8</v>
      </c>
      <c r="H91" t="s">
        <v>56</v>
      </c>
      <c r="I91" t="s">
        <v>312</v>
      </c>
      <c r="J91">
        <v>1</v>
      </c>
      <c r="K91" t="s">
        <v>41</v>
      </c>
      <c r="L91">
        <v>3171</v>
      </c>
      <c r="M91" t="s">
        <v>77</v>
      </c>
    </row>
    <row r="92" spans="1:13">
      <c r="A92">
        <v>1028506</v>
      </c>
      <c r="B92" t="s">
        <v>313</v>
      </c>
      <c r="C92">
        <v>42</v>
      </c>
      <c r="D92" t="s">
        <v>314</v>
      </c>
      <c r="E92">
        <v>32</v>
      </c>
      <c r="F92" t="s">
        <v>32</v>
      </c>
      <c r="G92" t="s">
        <v>16</v>
      </c>
      <c r="H92" t="s">
        <v>57</v>
      </c>
      <c r="I92" t="s">
        <v>315</v>
      </c>
      <c r="J92">
        <v>2</v>
      </c>
      <c r="K92" t="s">
        <v>126</v>
      </c>
      <c r="L92">
        <v>4805</v>
      </c>
      <c r="M92" t="s">
        <v>77</v>
      </c>
    </row>
    <row r="93" spans="1:13">
      <c r="A93">
        <v>1028750</v>
      </c>
      <c r="B93" t="s">
        <v>316</v>
      </c>
      <c r="C93">
        <v>39</v>
      </c>
      <c r="D93" t="s">
        <v>317</v>
      </c>
      <c r="E93">
        <v>29</v>
      </c>
      <c r="F93" t="s">
        <v>15</v>
      </c>
      <c r="G93" t="s">
        <v>23</v>
      </c>
      <c r="H93" t="s">
        <v>58</v>
      </c>
      <c r="I93" t="s">
        <v>318</v>
      </c>
      <c r="J93">
        <v>1</v>
      </c>
      <c r="K93" t="s">
        <v>37</v>
      </c>
      <c r="L93">
        <v>1087</v>
      </c>
      <c r="M93" t="s">
        <v>77</v>
      </c>
    </row>
    <row r="94" spans="1:13">
      <c r="A94">
        <v>1029155</v>
      </c>
      <c r="B94" t="s">
        <v>319</v>
      </c>
      <c r="C94">
        <v>29</v>
      </c>
      <c r="D94" t="s">
        <v>291</v>
      </c>
      <c r="E94">
        <v>23</v>
      </c>
      <c r="F94" t="s">
        <v>10</v>
      </c>
      <c r="G94" t="s">
        <v>20</v>
      </c>
      <c r="H94" t="s">
        <v>57</v>
      </c>
      <c r="I94" t="s">
        <v>320</v>
      </c>
      <c r="J94">
        <v>2</v>
      </c>
      <c r="K94" t="s">
        <v>41</v>
      </c>
      <c r="L94">
        <v>3462</v>
      </c>
      <c r="M94" t="s">
        <v>77</v>
      </c>
    </row>
    <row r="95" spans="1:13">
      <c r="A95">
        <v>1029181</v>
      </c>
      <c r="B95" t="s">
        <v>321</v>
      </c>
      <c r="C95">
        <v>26</v>
      </c>
      <c r="D95" t="s">
        <v>322</v>
      </c>
      <c r="E95">
        <v>20</v>
      </c>
      <c r="F95" t="s">
        <v>13</v>
      </c>
      <c r="G95" t="s">
        <v>8</v>
      </c>
      <c r="H95" t="s">
        <v>58</v>
      </c>
      <c r="I95" t="s">
        <v>323</v>
      </c>
      <c r="J95">
        <v>1</v>
      </c>
      <c r="K95" t="s">
        <v>41</v>
      </c>
      <c r="L95">
        <v>870</v>
      </c>
      <c r="M95" t="s">
        <v>77</v>
      </c>
    </row>
    <row r="96" spans="1:13">
      <c r="A96">
        <v>1029353</v>
      </c>
      <c r="B96" t="s">
        <v>324</v>
      </c>
      <c r="C96">
        <v>12</v>
      </c>
      <c r="D96" t="s">
        <v>97</v>
      </c>
      <c r="E96">
        <v>8</v>
      </c>
      <c r="F96" t="s">
        <v>18</v>
      </c>
      <c r="G96" t="s">
        <v>3</v>
      </c>
      <c r="H96" t="s">
        <v>60</v>
      </c>
      <c r="I96" t="s">
        <v>325</v>
      </c>
      <c r="J96">
        <v>2</v>
      </c>
      <c r="K96" t="s">
        <v>41</v>
      </c>
      <c r="L96">
        <v>1164</v>
      </c>
      <c r="M96" t="s">
        <v>77</v>
      </c>
    </row>
    <row r="97" spans="1:13">
      <c r="A97">
        <v>1029548</v>
      </c>
      <c r="B97" t="s">
        <v>326</v>
      </c>
      <c r="C97">
        <v>18</v>
      </c>
      <c r="D97" t="s">
        <v>97</v>
      </c>
      <c r="E97">
        <v>12</v>
      </c>
      <c r="F97" t="s">
        <v>25</v>
      </c>
      <c r="G97" t="s">
        <v>5</v>
      </c>
      <c r="H97" t="s">
        <v>60</v>
      </c>
      <c r="I97" t="s">
        <v>327</v>
      </c>
      <c r="J97">
        <v>2</v>
      </c>
      <c r="K97" t="s">
        <v>41</v>
      </c>
      <c r="L97">
        <v>2016</v>
      </c>
      <c r="M97" t="s">
        <v>77</v>
      </c>
    </row>
    <row r="98" spans="1:13">
      <c r="A98">
        <v>1029590</v>
      </c>
      <c r="B98" t="s">
        <v>328</v>
      </c>
      <c r="C98">
        <v>16</v>
      </c>
      <c r="D98" t="s">
        <v>329</v>
      </c>
      <c r="E98">
        <v>10</v>
      </c>
      <c r="F98" t="s">
        <v>10</v>
      </c>
      <c r="G98" t="s">
        <v>4</v>
      </c>
      <c r="H98" t="s">
        <v>58</v>
      </c>
      <c r="I98" t="s">
        <v>330</v>
      </c>
      <c r="J98">
        <v>2</v>
      </c>
      <c r="K98" t="s">
        <v>41</v>
      </c>
      <c r="L98">
        <v>1832</v>
      </c>
      <c r="M98" t="s">
        <v>77</v>
      </c>
    </row>
    <row r="99" spans="1:13">
      <c r="A99">
        <v>1029993</v>
      </c>
      <c r="B99" t="s">
        <v>331</v>
      </c>
      <c r="C99">
        <v>8</v>
      </c>
      <c r="D99" t="s">
        <v>332</v>
      </c>
      <c r="E99">
        <v>4</v>
      </c>
      <c r="F99" t="s">
        <v>33</v>
      </c>
      <c r="G99" t="s">
        <v>2</v>
      </c>
      <c r="H99" t="s">
        <v>58</v>
      </c>
      <c r="I99" t="s">
        <v>333</v>
      </c>
      <c r="J99">
        <v>1</v>
      </c>
      <c r="K99" t="s">
        <v>37</v>
      </c>
      <c r="L99">
        <v>1325</v>
      </c>
      <c r="M99" t="s">
        <v>77</v>
      </c>
    </row>
    <row r="100" spans="1:13">
      <c r="A100">
        <v>1030387</v>
      </c>
      <c r="B100" t="s">
        <v>334</v>
      </c>
      <c r="C100">
        <v>15</v>
      </c>
      <c r="D100" t="s">
        <v>335</v>
      </c>
      <c r="E100">
        <v>9</v>
      </c>
      <c r="F100" t="s">
        <v>4</v>
      </c>
      <c r="G100" t="s">
        <v>10</v>
      </c>
      <c r="H100" t="s">
        <v>60</v>
      </c>
      <c r="I100" t="s">
        <v>336</v>
      </c>
      <c r="J100">
        <v>1</v>
      </c>
      <c r="K100" t="s">
        <v>41</v>
      </c>
      <c r="L100">
        <v>762</v>
      </c>
      <c r="M100" t="s">
        <v>77</v>
      </c>
    </row>
    <row r="101" spans="1:13">
      <c r="A101">
        <v>1031206</v>
      </c>
      <c r="B101" t="s">
        <v>337</v>
      </c>
      <c r="C101">
        <v>2</v>
      </c>
      <c r="D101" t="s">
        <v>338</v>
      </c>
      <c r="E101">
        <v>2</v>
      </c>
      <c r="F101" t="s">
        <v>27</v>
      </c>
      <c r="G101" t="s">
        <v>2</v>
      </c>
      <c r="H101" t="s">
        <v>58</v>
      </c>
      <c r="I101" t="s">
        <v>339</v>
      </c>
      <c r="J101">
        <v>1</v>
      </c>
      <c r="K101" t="s">
        <v>37</v>
      </c>
      <c r="L101">
        <v>1657</v>
      </c>
      <c r="M101" t="s">
        <v>77</v>
      </c>
    </row>
    <row r="102" spans="1:13">
      <c r="A102">
        <v>1031770</v>
      </c>
      <c r="B102" t="s">
        <v>340</v>
      </c>
      <c r="C102">
        <v>21</v>
      </c>
      <c r="D102" t="s">
        <v>314</v>
      </c>
      <c r="E102">
        <v>15</v>
      </c>
      <c r="F102" t="s">
        <v>7</v>
      </c>
      <c r="G102" t="s">
        <v>11</v>
      </c>
      <c r="H102" t="s">
        <v>58</v>
      </c>
      <c r="I102" t="s">
        <v>341</v>
      </c>
      <c r="J102">
        <v>1</v>
      </c>
      <c r="K102" t="s">
        <v>41</v>
      </c>
      <c r="L102">
        <v>1053</v>
      </c>
      <c r="M102" t="s">
        <v>77</v>
      </c>
    </row>
    <row r="103" spans="1:13">
      <c r="A103">
        <v>1032006</v>
      </c>
      <c r="B103" t="s">
        <v>342</v>
      </c>
      <c r="C103">
        <v>26</v>
      </c>
      <c r="D103" t="s">
        <v>322</v>
      </c>
      <c r="E103">
        <v>20</v>
      </c>
      <c r="F103" t="s">
        <v>13</v>
      </c>
      <c r="G103" t="s">
        <v>8</v>
      </c>
      <c r="H103" t="s">
        <v>58</v>
      </c>
      <c r="I103" t="s">
        <v>343</v>
      </c>
      <c r="J103">
        <v>2</v>
      </c>
      <c r="K103" t="s">
        <v>41</v>
      </c>
      <c r="L103">
        <v>1740</v>
      </c>
      <c r="M103" t="s">
        <v>77</v>
      </c>
    </row>
    <row r="104" spans="1:13">
      <c r="A104">
        <v>1032070</v>
      </c>
      <c r="B104" t="s">
        <v>344</v>
      </c>
      <c r="C104">
        <v>1</v>
      </c>
      <c r="D104" t="s">
        <v>345</v>
      </c>
      <c r="E104">
        <v>1</v>
      </c>
      <c r="F104" t="s">
        <v>2</v>
      </c>
      <c r="G104" t="s">
        <v>27</v>
      </c>
      <c r="H104" t="s">
        <v>60</v>
      </c>
      <c r="I104" t="s">
        <v>346</v>
      </c>
      <c r="J104">
        <v>4</v>
      </c>
      <c r="K104" t="s">
        <v>41</v>
      </c>
      <c r="L104">
        <v>5516</v>
      </c>
      <c r="M104" t="s">
        <v>77</v>
      </c>
    </row>
    <row r="105" spans="1:13">
      <c r="A105">
        <v>1032096</v>
      </c>
      <c r="B105" t="s">
        <v>347</v>
      </c>
      <c r="C105">
        <v>49</v>
      </c>
      <c r="D105" t="s">
        <v>169</v>
      </c>
      <c r="E105">
        <v>37</v>
      </c>
      <c r="F105" t="s">
        <v>24</v>
      </c>
      <c r="G105" t="s">
        <v>31</v>
      </c>
      <c r="H105" t="s">
        <v>60</v>
      </c>
      <c r="I105" t="s">
        <v>348</v>
      </c>
      <c r="J105">
        <v>1</v>
      </c>
      <c r="K105" t="s">
        <v>41</v>
      </c>
      <c r="L105">
        <v>1034</v>
      </c>
      <c r="M105" t="s">
        <v>77</v>
      </c>
    </row>
    <row r="106" spans="1:13">
      <c r="A106">
        <v>1032311</v>
      </c>
      <c r="B106" t="s">
        <v>349</v>
      </c>
      <c r="C106">
        <v>43</v>
      </c>
      <c r="D106" t="s">
        <v>350</v>
      </c>
      <c r="E106">
        <v>33</v>
      </c>
      <c r="F106" t="s">
        <v>21</v>
      </c>
      <c r="G106" t="s">
        <v>177</v>
      </c>
      <c r="H106" t="s">
        <v>60</v>
      </c>
      <c r="I106" t="s">
        <v>351</v>
      </c>
      <c r="J106">
        <v>2</v>
      </c>
      <c r="K106" t="s">
        <v>41</v>
      </c>
      <c r="L106">
        <v>1506</v>
      </c>
      <c r="M106" t="s">
        <v>77</v>
      </c>
    </row>
    <row r="107" spans="1:13">
      <c r="A107">
        <v>1032683</v>
      </c>
      <c r="B107" t="s">
        <v>352</v>
      </c>
      <c r="C107">
        <v>11</v>
      </c>
      <c r="D107" t="s">
        <v>353</v>
      </c>
      <c r="E107">
        <v>7</v>
      </c>
      <c r="F107" t="s">
        <v>3</v>
      </c>
      <c r="G107" t="s">
        <v>18</v>
      </c>
      <c r="H107" t="s">
        <v>58</v>
      </c>
      <c r="I107" t="s">
        <v>354</v>
      </c>
      <c r="J107">
        <v>1</v>
      </c>
      <c r="K107" t="s">
        <v>41</v>
      </c>
      <c r="L107">
        <v>700</v>
      </c>
      <c r="M107" t="s">
        <v>77</v>
      </c>
    </row>
    <row r="108" spans="1:13">
      <c r="A108">
        <v>1032751</v>
      </c>
      <c r="B108" t="s">
        <v>355</v>
      </c>
      <c r="C108">
        <v>28</v>
      </c>
      <c r="D108" t="s">
        <v>356</v>
      </c>
      <c r="E108">
        <v>22</v>
      </c>
      <c r="F108" t="s">
        <v>20</v>
      </c>
      <c r="G108" t="s">
        <v>9</v>
      </c>
      <c r="H108" t="s">
        <v>58</v>
      </c>
      <c r="I108" t="s">
        <v>357</v>
      </c>
      <c r="J108">
        <v>1</v>
      </c>
      <c r="K108" t="s">
        <v>37</v>
      </c>
      <c r="L108">
        <v>1183</v>
      </c>
      <c r="M108" t="s">
        <v>77</v>
      </c>
    </row>
    <row r="109" spans="1:13">
      <c r="A109">
        <v>1032942</v>
      </c>
      <c r="B109" t="s">
        <v>358</v>
      </c>
      <c r="C109">
        <v>30</v>
      </c>
      <c r="D109" t="s">
        <v>359</v>
      </c>
      <c r="E109">
        <v>24</v>
      </c>
      <c r="F109" t="s">
        <v>20</v>
      </c>
      <c r="G109" t="s">
        <v>10</v>
      </c>
      <c r="H109" t="s">
        <v>60</v>
      </c>
      <c r="I109" t="s">
        <v>360</v>
      </c>
      <c r="J109">
        <v>2</v>
      </c>
      <c r="K109" t="s">
        <v>37</v>
      </c>
      <c r="L109">
        <v>816</v>
      </c>
      <c r="M109" t="s">
        <v>77</v>
      </c>
    </row>
    <row r="110" spans="1:13">
      <c r="A110">
        <v>1033170</v>
      </c>
      <c r="B110" t="s">
        <v>361</v>
      </c>
      <c r="C110">
        <v>32</v>
      </c>
      <c r="D110" t="s">
        <v>362</v>
      </c>
      <c r="E110">
        <v>24</v>
      </c>
      <c r="F110" t="s">
        <v>20</v>
      </c>
      <c r="G110" t="s">
        <v>10</v>
      </c>
      <c r="H110" t="s">
        <v>60</v>
      </c>
      <c r="I110" t="s">
        <v>363</v>
      </c>
      <c r="J110">
        <v>6</v>
      </c>
      <c r="K110" t="s">
        <v>41</v>
      </c>
      <c r="L110">
        <v>2828</v>
      </c>
      <c r="M110" t="s">
        <v>77</v>
      </c>
    </row>
    <row r="111" spans="1:13">
      <c r="A111">
        <v>1033359</v>
      </c>
      <c r="B111" t="s">
        <v>364</v>
      </c>
      <c r="C111">
        <v>52</v>
      </c>
      <c r="D111" t="s">
        <v>365</v>
      </c>
      <c r="E111">
        <v>40</v>
      </c>
      <c r="F111" t="s">
        <v>30</v>
      </c>
      <c r="G111" t="s">
        <v>26</v>
      </c>
      <c r="H111" t="s">
        <v>60</v>
      </c>
      <c r="I111" t="s">
        <v>366</v>
      </c>
      <c r="J111">
        <v>1</v>
      </c>
      <c r="K111" t="s">
        <v>41</v>
      </c>
      <c r="L111">
        <v>426</v>
      </c>
      <c r="M111" t="s">
        <v>77</v>
      </c>
    </row>
    <row r="112" spans="1:13">
      <c r="A112">
        <v>1033617</v>
      </c>
      <c r="B112" t="s">
        <v>367</v>
      </c>
      <c r="C112">
        <v>9</v>
      </c>
      <c r="D112" t="s">
        <v>356</v>
      </c>
      <c r="E112">
        <v>5</v>
      </c>
      <c r="F112" t="s">
        <v>3</v>
      </c>
      <c r="G112" t="s">
        <v>16</v>
      </c>
      <c r="H112" t="s">
        <v>59</v>
      </c>
      <c r="I112" t="s">
        <v>368</v>
      </c>
      <c r="J112">
        <v>2</v>
      </c>
      <c r="K112" t="s">
        <v>41</v>
      </c>
      <c r="L112">
        <v>1333</v>
      </c>
      <c r="M112" t="s">
        <v>77</v>
      </c>
    </row>
    <row r="113" spans="1:13">
      <c r="A113">
        <v>1033662</v>
      </c>
      <c r="B113" t="s">
        <v>369</v>
      </c>
      <c r="C113">
        <v>51</v>
      </c>
      <c r="D113" t="s">
        <v>370</v>
      </c>
      <c r="E113">
        <v>39</v>
      </c>
      <c r="F113" t="s">
        <v>26</v>
      </c>
      <c r="G113" t="s">
        <v>30</v>
      </c>
      <c r="H113" t="s">
        <v>57</v>
      </c>
      <c r="I113" t="s">
        <v>371</v>
      </c>
      <c r="J113">
        <v>1</v>
      </c>
      <c r="K113" t="s">
        <v>41</v>
      </c>
      <c r="L113">
        <v>2264</v>
      </c>
      <c r="M113" t="s">
        <v>77</v>
      </c>
    </row>
    <row r="114" spans="1:13">
      <c r="A114">
        <v>1033852</v>
      </c>
      <c r="B114" t="s">
        <v>372</v>
      </c>
      <c r="C114">
        <v>27</v>
      </c>
      <c r="D114" t="s">
        <v>301</v>
      </c>
      <c r="E114">
        <v>21</v>
      </c>
      <c r="F114" t="s">
        <v>9</v>
      </c>
      <c r="G114" t="s">
        <v>20</v>
      </c>
      <c r="H114" t="s">
        <v>56</v>
      </c>
      <c r="I114" t="s">
        <v>373</v>
      </c>
      <c r="J114">
        <v>1</v>
      </c>
      <c r="K114" t="s">
        <v>47</v>
      </c>
      <c r="L114">
        <v>4510</v>
      </c>
      <c r="M114" t="s">
        <v>77</v>
      </c>
    </row>
    <row r="115" spans="1:13">
      <c r="A115">
        <v>1033943</v>
      </c>
      <c r="B115" t="s">
        <v>374</v>
      </c>
      <c r="C115">
        <v>27</v>
      </c>
      <c r="D115" t="s">
        <v>301</v>
      </c>
      <c r="E115">
        <v>21</v>
      </c>
      <c r="F115" t="s">
        <v>9</v>
      </c>
      <c r="G115" t="s">
        <v>20</v>
      </c>
      <c r="H115" t="s">
        <v>58</v>
      </c>
      <c r="I115" t="s">
        <v>375</v>
      </c>
      <c r="J115">
        <v>2</v>
      </c>
      <c r="K115" t="s">
        <v>37</v>
      </c>
      <c r="L115">
        <v>1775</v>
      </c>
      <c r="M115" t="s">
        <v>77</v>
      </c>
    </row>
    <row r="116" spans="1:13">
      <c r="A116">
        <v>1033952</v>
      </c>
      <c r="B116" t="s">
        <v>376</v>
      </c>
      <c r="C116">
        <v>2</v>
      </c>
      <c r="D116" t="s">
        <v>377</v>
      </c>
      <c r="E116">
        <v>2</v>
      </c>
      <c r="F116" t="s">
        <v>27</v>
      </c>
      <c r="G116" t="s">
        <v>2</v>
      </c>
      <c r="H116" t="s">
        <v>58</v>
      </c>
      <c r="I116" t="s">
        <v>378</v>
      </c>
      <c r="J116">
        <v>2</v>
      </c>
      <c r="K116" t="s">
        <v>41</v>
      </c>
      <c r="L116">
        <v>2486</v>
      </c>
      <c r="M116" t="s">
        <v>77</v>
      </c>
    </row>
    <row r="117" spans="1:13">
      <c r="A117">
        <v>1034717</v>
      </c>
      <c r="B117" t="s">
        <v>379</v>
      </c>
      <c r="C117">
        <v>43</v>
      </c>
      <c r="D117" t="s">
        <v>332</v>
      </c>
      <c r="E117">
        <v>33</v>
      </c>
      <c r="F117" t="s">
        <v>21</v>
      </c>
      <c r="G117" t="s">
        <v>28</v>
      </c>
      <c r="H117" t="s">
        <v>57</v>
      </c>
      <c r="I117" t="s">
        <v>380</v>
      </c>
      <c r="J117">
        <v>1</v>
      </c>
      <c r="K117" t="s">
        <v>41</v>
      </c>
      <c r="L117">
        <v>1441</v>
      </c>
      <c r="M117" t="s">
        <v>77</v>
      </c>
    </row>
    <row r="118" spans="1:13">
      <c r="A118">
        <v>1035233</v>
      </c>
      <c r="B118" t="s">
        <v>381</v>
      </c>
      <c r="C118">
        <v>32</v>
      </c>
      <c r="D118" t="s">
        <v>382</v>
      </c>
      <c r="E118">
        <v>24</v>
      </c>
      <c r="F118" t="s">
        <v>20</v>
      </c>
      <c r="G118" t="s">
        <v>10</v>
      </c>
      <c r="H118" t="s">
        <v>57</v>
      </c>
      <c r="I118" t="s">
        <v>383</v>
      </c>
      <c r="J118">
        <v>2</v>
      </c>
      <c r="K118" t="s">
        <v>41</v>
      </c>
      <c r="L118">
        <v>2770</v>
      </c>
      <c r="M118" t="s">
        <v>77</v>
      </c>
    </row>
    <row r="119" spans="1:13">
      <c r="A119">
        <v>1035543</v>
      </c>
      <c r="B119" t="s">
        <v>384</v>
      </c>
      <c r="C119">
        <v>42</v>
      </c>
      <c r="D119" t="s">
        <v>314</v>
      </c>
      <c r="E119">
        <v>32</v>
      </c>
      <c r="F119" t="s">
        <v>32</v>
      </c>
      <c r="G119" t="s">
        <v>16</v>
      </c>
      <c r="H119" t="s">
        <v>57</v>
      </c>
      <c r="I119" t="s">
        <v>385</v>
      </c>
      <c r="J119">
        <v>1</v>
      </c>
      <c r="K119" t="s">
        <v>41</v>
      </c>
      <c r="L119">
        <v>3003</v>
      </c>
      <c r="M119" t="s">
        <v>77</v>
      </c>
    </row>
    <row r="120" spans="1:13">
      <c r="A120">
        <v>1036026</v>
      </c>
      <c r="B120" t="s">
        <v>386</v>
      </c>
      <c r="C120">
        <v>2</v>
      </c>
      <c r="D120" t="s">
        <v>377</v>
      </c>
      <c r="E120">
        <v>2</v>
      </c>
      <c r="F120" t="s">
        <v>27</v>
      </c>
      <c r="G120" t="s">
        <v>2</v>
      </c>
      <c r="H120" t="s">
        <v>60</v>
      </c>
      <c r="I120" t="s">
        <v>387</v>
      </c>
      <c r="J120">
        <v>1</v>
      </c>
      <c r="K120" t="s">
        <v>37</v>
      </c>
      <c r="L120">
        <v>1379</v>
      </c>
      <c r="M120" t="s">
        <v>77</v>
      </c>
    </row>
    <row r="121" spans="1:13">
      <c r="A121">
        <v>1036697</v>
      </c>
      <c r="B121" t="s">
        <v>388</v>
      </c>
      <c r="C121">
        <v>16</v>
      </c>
      <c r="D121" t="s">
        <v>389</v>
      </c>
      <c r="E121">
        <v>10</v>
      </c>
      <c r="F121" t="s">
        <v>10</v>
      </c>
      <c r="G121" t="s">
        <v>4</v>
      </c>
      <c r="H121" t="s">
        <v>57</v>
      </c>
      <c r="I121" t="s">
        <v>390</v>
      </c>
      <c r="J121">
        <v>1</v>
      </c>
      <c r="K121" t="s">
        <v>41</v>
      </c>
      <c r="M121" t="s">
        <v>77</v>
      </c>
    </row>
    <row r="122" spans="1:13">
      <c r="A122">
        <v>1036960</v>
      </c>
      <c r="B122" t="s">
        <v>391</v>
      </c>
      <c r="C122">
        <v>31</v>
      </c>
      <c r="D122" t="s">
        <v>392</v>
      </c>
      <c r="E122">
        <v>23</v>
      </c>
      <c r="F122" t="s">
        <v>10</v>
      </c>
      <c r="G122" t="s">
        <v>20</v>
      </c>
      <c r="H122" t="s">
        <v>57</v>
      </c>
      <c r="I122" t="s">
        <v>393</v>
      </c>
      <c r="J122">
        <v>6</v>
      </c>
      <c r="K122" t="s">
        <v>41</v>
      </c>
      <c r="L122">
        <v>8137</v>
      </c>
      <c r="M122" t="s">
        <v>77</v>
      </c>
    </row>
    <row r="123" spans="1:13">
      <c r="A123">
        <v>1036967</v>
      </c>
      <c r="B123" t="s">
        <v>394</v>
      </c>
      <c r="C123">
        <v>4</v>
      </c>
      <c r="D123" t="s">
        <v>353</v>
      </c>
      <c r="E123">
        <v>2</v>
      </c>
      <c r="F123" t="s">
        <v>27</v>
      </c>
      <c r="G123" t="s">
        <v>2</v>
      </c>
      <c r="H123" t="s">
        <v>58</v>
      </c>
      <c r="I123" t="s">
        <v>395</v>
      </c>
      <c r="J123">
        <v>4</v>
      </c>
      <c r="K123" t="s">
        <v>49</v>
      </c>
      <c r="L123">
        <v>6316</v>
      </c>
      <c r="M123" t="s">
        <v>77</v>
      </c>
    </row>
    <row r="124" spans="1:13">
      <c r="A124">
        <v>1037102</v>
      </c>
      <c r="B124" t="s">
        <v>396</v>
      </c>
      <c r="C124">
        <v>42</v>
      </c>
      <c r="D124" t="s">
        <v>397</v>
      </c>
      <c r="E124">
        <v>32</v>
      </c>
      <c r="F124" t="s">
        <v>32</v>
      </c>
      <c r="G124" t="s">
        <v>16</v>
      </c>
      <c r="H124" t="s">
        <v>57</v>
      </c>
      <c r="I124" t="s">
        <v>398</v>
      </c>
      <c r="J124">
        <v>1</v>
      </c>
      <c r="K124" t="s">
        <v>41</v>
      </c>
      <c r="L124">
        <v>3003</v>
      </c>
      <c r="M124" t="s">
        <v>77</v>
      </c>
    </row>
    <row r="125" spans="1:13">
      <c r="A125">
        <v>1037781</v>
      </c>
      <c r="B125" t="s">
        <v>399</v>
      </c>
      <c r="C125">
        <v>36</v>
      </c>
      <c r="D125" t="s">
        <v>400</v>
      </c>
      <c r="E125">
        <v>26</v>
      </c>
      <c r="F125" t="s">
        <v>19</v>
      </c>
      <c r="G125" t="s">
        <v>12</v>
      </c>
      <c r="H125" t="s">
        <v>57</v>
      </c>
      <c r="I125" t="s">
        <v>401</v>
      </c>
      <c r="J125">
        <v>1</v>
      </c>
      <c r="K125" t="s">
        <v>41</v>
      </c>
      <c r="L125">
        <v>2784</v>
      </c>
      <c r="M125" t="s">
        <v>77</v>
      </c>
    </row>
    <row r="126" spans="1:13">
      <c r="A126">
        <v>1037976</v>
      </c>
      <c r="B126" t="s">
        <v>402</v>
      </c>
      <c r="C126">
        <v>2</v>
      </c>
      <c r="D126" t="s">
        <v>359</v>
      </c>
      <c r="E126">
        <v>2</v>
      </c>
      <c r="F126" t="s">
        <v>27</v>
      </c>
      <c r="G126" t="s">
        <v>2</v>
      </c>
      <c r="H126" t="s">
        <v>60</v>
      </c>
      <c r="I126" t="s">
        <v>403</v>
      </c>
      <c r="J126">
        <v>4</v>
      </c>
      <c r="K126" t="s">
        <v>41</v>
      </c>
      <c r="L126">
        <v>4827</v>
      </c>
      <c r="M126" t="s">
        <v>77</v>
      </c>
    </row>
    <row r="127" spans="1:13">
      <c r="A127">
        <v>1038246</v>
      </c>
      <c r="B127" t="s">
        <v>404</v>
      </c>
      <c r="C127">
        <v>44</v>
      </c>
      <c r="D127" t="s">
        <v>405</v>
      </c>
      <c r="E127">
        <v>34</v>
      </c>
      <c r="F127" t="s">
        <v>28</v>
      </c>
      <c r="G127" t="s">
        <v>21</v>
      </c>
      <c r="H127" t="s">
        <v>58</v>
      </c>
      <c r="I127" t="s">
        <v>406</v>
      </c>
      <c r="J127" t="s">
        <v>407</v>
      </c>
      <c r="K127" t="s">
        <v>37</v>
      </c>
      <c r="L127">
        <v>3171</v>
      </c>
      <c r="M127" t="s">
        <v>77</v>
      </c>
    </row>
    <row r="128" spans="1:13">
      <c r="A128">
        <v>1038289</v>
      </c>
      <c r="B128" t="s">
        <v>408</v>
      </c>
      <c r="C128">
        <v>5</v>
      </c>
      <c r="D128" t="s">
        <v>409</v>
      </c>
      <c r="E128">
        <v>3</v>
      </c>
      <c r="F128" t="s">
        <v>2</v>
      </c>
      <c r="G128" t="s">
        <v>33</v>
      </c>
      <c r="H128" t="s">
        <v>58</v>
      </c>
      <c r="I128" t="s">
        <v>410</v>
      </c>
      <c r="J128">
        <v>1</v>
      </c>
      <c r="K128" t="s">
        <v>41</v>
      </c>
      <c r="L128">
        <v>1390</v>
      </c>
      <c r="M128" t="s">
        <v>77</v>
      </c>
    </row>
    <row r="129" spans="1:13">
      <c r="A129">
        <v>1038662</v>
      </c>
      <c r="B129" t="s">
        <v>411</v>
      </c>
      <c r="C129">
        <v>18</v>
      </c>
      <c r="D129" t="s">
        <v>219</v>
      </c>
      <c r="E129">
        <v>12</v>
      </c>
      <c r="F129" t="s">
        <v>25</v>
      </c>
      <c r="G129" t="s">
        <v>5</v>
      </c>
      <c r="H129" t="s">
        <v>57</v>
      </c>
      <c r="I129" t="s">
        <v>412</v>
      </c>
      <c r="J129">
        <v>2</v>
      </c>
      <c r="K129" t="s">
        <v>41</v>
      </c>
      <c r="L129">
        <v>6438</v>
      </c>
      <c r="M129" t="s">
        <v>77</v>
      </c>
    </row>
    <row r="130" spans="1:13">
      <c r="A130">
        <v>1038708</v>
      </c>
      <c r="B130" t="s">
        <v>413</v>
      </c>
      <c r="C130">
        <v>29</v>
      </c>
      <c r="D130" t="s">
        <v>414</v>
      </c>
      <c r="E130">
        <v>23</v>
      </c>
      <c r="F130" t="s">
        <v>10</v>
      </c>
      <c r="G130" t="s">
        <v>20</v>
      </c>
      <c r="H130" t="s">
        <v>58</v>
      </c>
      <c r="I130" t="s">
        <v>415</v>
      </c>
      <c r="J130">
        <v>1</v>
      </c>
      <c r="K130" t="s">
        <v>37</v>
      </c>
      <c r="L130">
        <v>654</v>
      </c>
      <c r="M130" t="s">
        <v>77</v>
      </c>
    </row>
    <row r="131" spans="1:13">
      <c r="A131">
        <v>1038813</v>
      </c>
      <c r="B131" t="s">
        <v>416</v>
      </c>
      <c r="C131">
        <v>31</v>
      </c>
      <c r="D131" t="s">
        <v>169</v>
      </c>
      <c r="E131">
        <v>23</v>
      </c>
      <c r="F131" t="s">
        <v>417</v>
      </c>
      <c r="G131" t="s">
        <v>418</v>
      </c>
      <c r="H131" t="s">
        <v>60</v>
      </c>
      <c r="I131" t="s">
        <v>419</v>
      </c>
      <c r="J131">
        <v>4</v>
      </c>
      <c r="K131" t="s">
        <v>37</v>
      </c>
      <c r="L131">
        <v>1686</v>
      </c>
      <c r="M131" t="s">
        <v>77</v>
      </c>
    </row>
    <row r="132" spans="1:13">
      <c r="A132">
        <v>1041015</v>
      </c>
      <c r="B132" t="s">
        <v>420</v>
      </c>
      <c r="C132">
        <v>8</v>
      </c>
      <c r="D132" t="s">
        <v>421</v>
      </c>
      <c r="E132">
        <v>4</v>
      </c>
      <c r="F132" t="s">
        <v>33</v>
      </c>
      <c r="G132" t="s">
        <v>2</v>
      </c>
      <c r="H132" t="s">
        <v>60</v>
      </c>
      <c r="I132" t="s">
        <v>422</v>
      </c>
      <c r="J132">
        <v>1</v>
      </c>
      <c r="K132" t="s">
        <v>41</v>
      </c>
      <c r="M132" t="s">
        <v>77</v>
      </c>
    </row>
    <row r="133" spans="1:13">
      <c r="A133">
        <v>1041254</v>
      </c>
      <c r="B133" t="s">
        <v>423</v>
      </c>
      <c r="C133">
        <v>41</v>
      </c>
      <c r="D133" t="s">
        <v>362</v>
      </c>
      <c r="E133">
        <v>31</v>
      </c>
      <c r="F133" t="s">
        <v>16</v>
      </c>
      <c r="G133" t="s">
        <v>32</v>
      </c>
      <c r="H133" t="s">
        <v>57</v>
      </c>
      <c r="I133" t="s">
        <v>424</v>
      </c>
      <c r="J133">
        <v>2</v>
      </c>
      <c r="K133" t="s">
        <v>41</v>
      </c>
      <c r="L133">
        <v>6006</v>
      </c>
      <c r="M133" t="s">
        <v>77</v>
      </c>
    </row>
    <row r="134" spans="1:13">
      <c r="A134">
        <v>1041316</v>
      </c>
      <c r="B134" t="s">
        <v>425</v>
      </c>
      <c r="C134">
        <v>44</v>
      </c>
      <c r="D134" t="s">
        <v>405</v>
      </c>
      <c r="E134">
        <v>34</v>
      </c>
      <c r="F134" t="s">
        <v>28</v>
      </c>
      <c r="G134" t="s">
        <v>21</v>
      </c>
      <c r="H134" t="s">
        <v>57</v>
      </c>
      <c r="I134" t="s">
        <v>426</v>
      </c>
      <c r="J134">
        <v>2</v>
      </c>
      <c r="K134" t="s">
        <v>47</v>
      </c>
      <c r="L134">
        <v>2882</v>
      </c>
      <c r="M134" t="s">
        <v>77</v>
      </c>
    </row>
    <row r="135" spans="1:13">
      <c r="A135">
        <v>1041842</v>
      </c>
      <c r="B135" t="s">
        <v>427</v>
      </c>
      <c r="C135">
        <v>2</v>
      </c>
      <c r="D135" t="s">
        <v>428</v>
      </c>
      <c r="E135">
        <v>2</v>
      </c>
      <c r="F135" t="s">
        <v>27</v>
      </c>
      <c r="G135" t="s">
        <v>2</v>
      </c>
      <c r="H135" t="s">
        <v>57</v>
      </c>
      <c r="I135" t="s">
        <v>429</v>
      </c>
      <c r="J135" t="s">
        <v>407</v>
      </c>
      <c r="K135" t="s">
        <v>41</v>
      </c>
      <c r="L135">
        <v>2644</v>
      </c>
      <c r="M135" t="s">
        <v>77</v>
      </c>
    </row>
    <row r="136" spans="1:13">
      <c r="A136">
        <v>1042485</v>
      </c>
      <c r="B136" t="s">
        <v>430</v>
      </c>
      <c r="C136">
        <v>31</v>
      </c>
      <c r="D136" t="s">
        <v>431</v>
      </c>
      <c r="E136">
        <v>23</v>
      </c>
      <c r="F136" t="s">
        <v>10</v>
      </c>
      <c r="G136" t="s">
        <v>20</v>
      </c>
      <c r="H136" t="s">
        <v>57</v>
      </c>
      <c r="I136" t="s">
        <v>432</v>
      </c>
      <c r="J136">
        <v>1</v>
      </c>
      <c r="K136" t="s">
        <v>41</v>
      </c>
      <c r="L136">
        <v>1731</v>
      </c>
      <c r="M136" t="s">
        <v>77</v>
      </c>
    </row>
    <row r="137" spans="1:13">
      <c r="A137">
        <v>1042637</v>
      </c>
      <c r="B137" t="s">
        <v>433</v>
      </c>
      <c r="C137">
        <v>43</v>
      </c>
      <c r="D137" t="s">
        <v>350</v>
      </c>
      <c r="E137">
        <v>33</v>
      </c>
      <c r="F137" t="s">
        <v>21</v>
      </c>
      <c r="G137" t="s">
        <v>28</v>
      </c>
      <c r="H137" t="s">
        <v>58</v>
      </c>
      <c r="I137" t="s">
        <v>434</v>
      </c>
      <c r="J137">
        <v>1</v>
      </c>
      <c r="K137" t="s">
        <v>41</v>
      </c>
      <c r="L137">
        <v>906</v>
      </c>
      <c r="M137" t="s">
        <v>77</v>
      </c>
    </row>
    <row r="138" spans="1:13">
      <c r="A138">
        <v>1043064</v>
      </c>
      <c r="B138" t="s">
        <v>435</v>
      </c>
      <c r="C138">
        <v>35</v>
      </c>
      <c r="D138" t="s">
        <v>436</v>
      </c>
      <c r="E138">
        <v>25</v>
      </c>
      <c r="F138" t="s">
        <v>12</v>
      </c>
      <c r="G138" t="s">
        <v>19</v>
      </c>
      <c r="H138" t="s">
        <v>58</v>
      </c>
      <c r="I138" t="s">
        <v>437</v>
      </c>
      <c r="J138">
        <v>1</v>
      </c>
      <c r="K138" t="s">
        <v>41</v>
      </c>
      <c r="L138">
        <v>1049</v>
      </c>
      <c r="M138" t="s">
        <v>77</v>
      </c>
    </row>
    <row r="139" spans="1:13">
      <c r="A139">
        <v>1043917</v>
      </c>
      <c r="B139" t="s">
        <v>438</v>
      </c>
      <c r="C139">
        <v>30</v>
      </c>
      <c r="D139" t="s">
        <v>332</v>
      </c>
      <c r="E139">
        <v>24</v>
      </c>
      <c r="F139" t="s">
        <v>20</v>
      </c>
      <c r="G139" t="s">
        <v>10</v>
      </c>
      <c r="H139" t="s">
        <v>58</v>
      </c>
      <c r="I139" t="s">
        <v>439</v>
      </c>
      <c r="J139">
        <v>1</v>
      </c>
      <c r="K139" t="s">
        <v>41</v>
      </c>
      <c r="L139">
        <v>654</v>
      </c>
      <c r="M139" t="s">
        <v>77</v>
      </c>
    </row>
    <row r="140" spans="1:13">
      <c r="A140">
        <v>1044066</v>
      </c>
      <c r="B140" t="s">
        <v>440</v>
      </c>
      <c r="C140">
        <v>19</v>
      </c>
      <c r="D140" t="s">
        <v>441</v>
      </c>
      <c r="E140">
        <v>13</v>
      </c>
      <c r="F140" t="s">
        <v>6</v>
      </c>
      <c r="G140" t="s">
        <v>17</v>
      </c>
      <c r="H140" t="s">
        <v>60</v>
      </c>
      <c r="I140" t="s">
        <v>442</v>
      </c>
      <c r="J140">
        <v>2</v>
      </c>
      <c r="K140" t="s">
        <v>37</v>
      </c>
      <c r="L140">
        <v>1002</v>
      </c>
      <c r="M140" t="s">
        <v>77</v>
      </c>
    </row>
    <row r="141" spans="1:13">
      <c r="A141">
        <v>1044512</v>
      </c>
      <c r="B141" t="s">
        <v>443</v>
      </c>
      <c r="C141">
        <v>43</v>
      </c>
      <c r="D141" t="s">
        <v>444</v>
      </c>
      <c r="E141">
        <v>33</v>
      </c>
      <c r="F141" t="s">
        <v>21</v>
      </c>
      <c r="G141" t="s">
        <v>28</v>
      </c>
      <c r="H141" t="s">
        <v>57</v>
      </c>
      <c r="I141" t="s">
        <v>445</v>
      </c>
      <c r="J141">
        <v>1</v>
      </c>
      <c r="K141" t="s">
        <v>41</v>
      </c>
      <c r="L141">
        <v>2402</v>
      </c>
      <c r="M141" t="s">
        <v>77</v>
      </c>
    </row>
    <row r="142" spans="1:13">
      <c r="A142">
        <v>1046011</v>
      </c>
      <c r="B142" t="s">
        <v>446</v>
      </c>
      <c r="C142">
        <v>45</v>
      </c>
      <c r="D142" t="s">
        <v>447</v>
      </c>
      <c r="E142">
        <v>33</v>
      </c>
      <c r="F142" t="s">
        <v>21</v>
      </c>
      <c r="G142" t="s">
        <v>28</v>
      </c>
      <c r="H142" t="s">
        <v>60</v>
      </c>
      <c r="I142" t="s">
        <v>448</v>
      </c>
      <c r="J142">
        <v>1</v>
      </c>
      <c r="K142" t="s">
        <v>37</v>
      </c>
      <c r="L142">
        <v>-790</v>
      </c>
      <c r="M142" t="s">
        <v>77</v>
      </c>
    </row>
    <row r="143" spans="1:13">
      <c r="A143">
        <v>1046029</v>
      </c>
      <c r="B143" t="s">
        <v>449</v>
      </c>
      <c r="C143">
        <v>13</v>
      </c>
      <c r="D143" t="s">
        <v>450</v>
      </c>
      <c r="E143">
        <v>9</v>
      </c>
      <c r="F143" t="s">
        <v>4</v>
      </c>
      <c r="G143" t="s">
        <v>10</v>
      </c>
      <c r="H143" t="s">
        <v>55</v>
      </c>
      <c r="I143" t="s">
        <v>451</v>
      </c>
      <c r="J143">
        <v>1</v>
      </c>
      <c r="K143" t="s">
        <v>41</v>
      </c>
      <c r="M143" t="s">
        <v>77</v>
      </c>
    </row>
    <row r="144" spans="1:13">
      <c r="A144">
        <v>1046157</v>
      </c>
      <c r="B144" t="s">
        <v>452</v>
      </c>
      <c r="C144">
        <v>38</v>
      </c>
      <c r="D144" t="s">
        <v>365</v>
      </c>
      <c r="E144">
        <v>28</v>
      </c>
      <c r="F144" t="s">
        <v>27</v>
      </c>
      <c r="G144" t="s">
        <v>14</v>
      </c>
      <c r="H144" t="s">
        <v>58</v>
      </c>
      <c r="I144" t="s">
        <v>453</v>
      </c>
      <c r="J144">
        <v>1</v>
      </c>
      <c r="K144" t="s">
        <v>41</v>
      </c>
      <c r="L144">
        <v>607</v>
      </c>
      <c r="M144" t="s">
        <v>77</v>
      </c>
    </row>
    <row r="145" spans="1:13">
      <c r="A145">
        <v>1046198</v>
      </c>
      <c r="B145" t="s">
        <v>454</v>
      </c>
      <c r="C145">
        <v>30</v>
      </c>
      <c r="D145" t="s">
        <v>332</v>
      </c>
      <c r="E145">
        <v>24</v>
      </c>
      <c r="F145" t="s">
        <v>20</v>
      </c>
      <c r="G145" t="s">
        <v>10</v>
      </c>
      <c r="H145" t="s">
        <v>58</v>
      </c>
      <c r="I145" t="s">
        <v>455</v>
      </c>
      <c r="J145">
        <v>2</v>
      </c>
      <c r="K145" t="s">
        <v>41</v>
      </c>
      <c r="L145">
        <v>1308</v>
      </c>
      <c r="M145" t="s">
        <v>77</v>
      </c>
    </row>
    <row r="146" spans="1:13">
      <c r="A146">
        <v>1046233</v>
      </c>
      <c r="B146" t="s">
        <v>456</v>
      </c>
      <c r="C146">
        <v>23</v>
      </c>
      <c r="D146" t="s">
        <v>457</v>
      </c>
      <c r="E146">
        <v>17</v>
      </c>
      <c r="F146" t="s">
        <v>458</v>
      </c>
      <c r="G146" t="s">
        <v>459</v>
      </c>
      <c r="H146" t="s">
        <v>58</v>
      </c>
      <c r="I146" t="s">
        <v>460</v>
      </c>
      <c r="J146">
        <v>2</v>
      </c>
      <c r="K146" t="s">
        <v>41</v>
      </c>
      <c r="L146">
        <v>1335</v>
      </c>
      <c r="M146" t="s">
        <v>77</v>
      </c>
    </row>
    <row r="147" spans="1:13">
      <c r="A147">
        <v>1046536</v>
      </c>
      <c r="B147" t="s">
        <v>461</v>
      </c>
      <c r="C147">
        <v>31</v>
      </c>
      <c r="D147" t="s">
        <v>431</v>
      </c>
      <c r="E147">
        <v>23</v>
      </c>
      <c r="F147" t="s">
        <v>10</v>
      </c>
      <c r="G147" t="s">
        <v>20</v>
      </c>
      <c r="H147" t="s">
        <v>60</v>
      </c>
      <c r="I147" t="s">
        <v>462</v>
      </c>
      <c r="J147">
        <v>2</v>
      </c>
      <c r="K147" t="s">
        <v>41</v>
      </c>
      <c r="L147">
        <v>1088</v>
      </c>
      <c r="M147" t="s">
        <v>77</v>
      </c>
    </row>
    <row r="148" spans="1:13">
      <c r="A148">
        <v>1047713</v>
      </c>
      <c r="B148" t="s">
        <v>463</v>
      </c>
      <c r="C148">
        <v>36</v>
      </c>
      <c r="D148" t="s">
        <v>464</v>
      </c>
      <c r="E148">
        <v>26</v>
      </c>
      <c r="F148" t="s">
        <v>19</v>
      </c>
      <c r="G148" t="s">
        <v>12</v>
      </c>
      <c r="H148" t="s">
        <v>58</v>
      </c>
      <c r="I148" t="s">
        <v>465</v>
      </c>
      <c r="J148">
        <v>2</v>
      </c>
      <c r="K148" t="s">
        <v>41</v>
      </c>
      <c r="L148">
        <v>1573</v>
      </c>
      <c r="M148" t="s">
        <v>77</v>
      </c>
    </row>
    <row r="149" spans="1:13">
      <c r="A149">
        <v>1048875</v>
      </c>
      <c r="B149" t="s">
        <v>466</v>
      </c>
      <c r="C149">
        <v>13</v>
      </c>
      <c r="D149" t="s">
        <v>450</v>
      </c>
      <c r="E149">
        <v>9</v>
      </c>
      <c r="F149" t="s">
        <v>4</v>
      </c>
      <c r="G149" t="s">
        <v>10</v>
      </c>
      <c r="H149" t="s">
        <v>57</v>
      </c>
      <c r="I149" t="s">
        <v>467</v>
      </c>
      <c r="J149" t="s">
        <v>407</v>
      </c>
      <c r="K149" t="s">
        <v>41</v>
      </c>
      <c r="L149">
        <v>9078</v>
      </c>
      <c r="M149" t="s">
        <v>77</v>
      </c>
    </row>
    <row r="150" spans="1:13">
      <c r="A150">
        <v>1048994</v>
      </c>
      <c r="B150" t="s">
        <v>468</v>
      </c>
      <c r="C150">
        <v>15</v>
      </c>
      <c r="D150" t="s">
        <v>469</v>
      </c>
      <c r="E150">
        <v>9</v>
      </c>
      <c r="F150" t="s">
        <v>4</v>
      </c>
      <c r="G150" t="s">
        <v>10</v>
      </c>
      <c r="H150" t="s">
        <v>60</v>
      </c>
      <c r="I150" t="s">
        <v>470</v>
      </c>
      <c r="J150">
        <v>2</v>
      </c>
      <c r="K150" t="s">
        <v>45</v>
      </c>
      <c r="L150">
        <v>1524</v>
      </c>
      <c r="M150" t="s">
        <v>77</v>
      </c>
    </row>
    <row r="151" spans="1:13">
      <c r="A151">
        <v>1049353</v>
      </c>
      <c r="B151" t="s">
        <v>471</v>
      </c>
      <c r="C151">
        <v>33</v>
      </c>
      <c r="D151" t="s">
        <v>332</v>
      </c>
      <c r="E151">
        <v>25</v>
      </c>
      <c r="F151" t="s">
        <v>12</v>
      </c>
      <c r="G151" t="s">
        <v>19</v>
      </c>
      <c r="H151" t="s">
        <v>58</v>
      </c>
      <c r="I151" t="s">
        <v>472</v>
      </c>
      <c r="J151">
        <v>2</v>
      </c>
      <c r="K151" t="s">
        <v>41</v>
      </c>
      <c r="L151">
        <v>2098</v>
      </c>
      <c r="M151" t="s">
        <v>77</v>
      </c>
    </row>
    <row r="152" spans="1:13">
      <c r="A152">
        <v>1050196</v>
      </c>
      <c r="B152" t="s">
        <v>473</v>
      </c>
      <c r="C152">
        <v>43</v>
      </c>
      <c r="D152" t="s">
        <v>332</v>
      </c>
      <c r="E152">
        <v>33</v>
      </c>
      <c r="F152" t="s">
        <v>21</v>
      </c>
      <c r="G152" t="s">
        <v>28</v>
      </c>
      <c r="H152" t="s">
        <v>57</v>
      </c>
      <c r="I152" t="s">
        <v>474</v>
      </c>
      <c r="J152">
        <v>1</v>
      </c>
      <c r="K152" t="s">
        <v>49</v>
      </c>
      <c r="L152">
        <v>2402</v>
      </c>
      <c r="M152" t="s">
        <v>77</v>
      </c>
    </row>
    <row r="153" spans="1:13">
      <c r="A153">
        <v>1050534</v>
      </c>
      <c r="B153" t="s">
        <v>475</v>
      </c>
      <c r="C153">
        <v>25</v>
      </c>
      <c r="D153" t="s">
        <v>476</v>
      </c>
      <c r="E153">
        <v>19</v>
      </c>
      <c r="F153" t="s">
        <v>8</v>
      </c>
      <c r="G153" t="s">
        <v>13</v>
      </c>
      <c r="H153" t="s">
        <v>58</v>
      </c>
      <c r="I153" t="s">
        <v>477</v>
      </c>
      <c r="J153">
        <v>3</v>
      </c>
      <c r="K153" t="s">
        <v>41</v>
      </c>
      <c r="L153">
        <v>1566</v>
      </c>
      <c r="M153" t="s">
        <v>77</v>
      </c>
    </row>
    <row r="154" spans="1:13">
      <c r="A154">
        <v>1050575</v>
      </c>
      <c r="B154" t="s">
        <v>478</v>
      </c>
      <c r="C154">
        <v>13</v>
      </c>
      <c r="D154" t="s">
        <v>332</v>
      </c>
      <c r="E154">
        <v>9</v>
      </c>
      <c r="F154" t="s">
        <v>4</v>
      </c>
      <c r="G154" t="s">
        <v>10</v>
      </c>
      <c r="H154" t="s">
        <v>56</v>
      </c>
      <c r="I154" t="s">
        <v>479</v>
      </c>
      <c r="J154">
        <v>2</v>
      </c>
      <c r="K154" t="s">
        <v>37</v>
      </c>
      <c r="L154">
        <v>6513</v>
      </c>
      <c r="M154" t="s">
        <v>77</v>
      </c>
    </row>
    <row r="155" spans="1:13">
      <c r="A155">
        <v>1050620</v>
      </c>
      <c r="B155" t="s">
        <v>480</v>
      </c>
      <c r="C155">
        <v>39</v>
      </c>
      <c r="D155" t="s">
        <v>481</v>
      </c>
      <c r="E155">
        <v>29</v>
      </c>
      <c r="F155" t="s">
        <v>15</v>
      </c>
      <c r="G155" t="s">
        <v>23</v>
      </c>
      <c r="H155" t="s">
        <v>57</v>
      </c>
      <c r="I155" t="s">
        <v>482</v>
      </c>
      <c r="J155">
        <v>1</v>
      </c>
      <c r="K155" t="s">
        <v>49</v>
      </c>
      <c r="L155">
        <v>2886</v>
      </c>
      <c r="M155" t="s">
        <v>77</v>
      </c>
    </row>
    <row r="156" spans="1:13">
      <c r="A156">
        <v>1050680</v>
      </c>
      <c r="B156" t="s">
        <v>483</v>
      </c>
      <c r="C156">
        <v>6</v>
      </c>
      <c r="D156" t="s">
        <v>484</v>
      </c>
      <c r="E156">
        <v>4</v>
      </c>
      <c r="F156" t="s">
        <v>33</v>
      </c>
      <c r="G156" t="s">
        <v>2</v>
      </c>
      <c r="H156" t="s">
        <v>58</v>
      </c>
      <c r="I156" t="s">
        <v>485</v>
      </c>
      <c r="J156">
        <v>1</v>
      </c>
      <c r="K156" t="s">
        <v>37</v>
      </c>
      <c r="L156">
        <v>1390</v>
      </c>
      <c r="M156" t="s">
        <v>77</v>
      </c>
    </row>
    <row r="157" spans="1:13">
      <c r="A157">
        <v>1051001</v>
      </c>
      <c r="B157" t="s">
        <v>486</v>
      </c>
      <c r="C157">
        <v>30</v>
      </c>
      <c r="D157" t="s">
        <v>487</v>
      </c>
      <c r="E157">
        <v>24</v>
      </c>
      <c r="F157" t="s">
        <v>488</v>
      </c>
      <c r="G157" t="s">
        <v>489</v>
      </c>
      <c r="H157" t="s">
        <v>58</v>
      </c>
      <c r="I157" t="s">
        <v>490</v>
      </c>
      <c r="J157">
        <v>2</v>
      </c>
      <c r="K157" t="s">
        <v>41</v>
      </c>
      <c r="L157">
        <v>1308</v>
      </c>
      <c r="M157" t="s">
        <v>77</v>
      </c>
    </row>
    <row r="158" spans="1:13">
      <c r="A158">
        <v>1051333</v>
      </c>
      <c r="B158" t="s">
        <v>491</v>
      </c>
      <c r="C158">
        <v>34</v>
      </c>
      <c r="D158" t="s">
        <v>447</v>
      </c>
      <c r="E158">
        <v>26</v>
      </c>
      <c r="F158" t="s">
        <v>19</v>
      </c>
      <c r="G158" t="s">
        <v>12</v>
      </c>
      <c r="H158" t="s">
        <v>58</v>
      </c>
      <c r="I158" t="s">
        <v>492</v>
      </c>
      <c r="J158">
        <v>2</v>
      </c>
      <c r="K158" t="s">
        <v>41</v>
      </c>
      <c r="L158">
        <v>2098</v>
      </c>
      <c r="M158" t="s">
        <v>77</v>
      </c>
    </row>
    <row r="159" spans="1:13">
      <c r="A159">
        <v>1051550</v>
      </c>
      <c r="B159" t="s">
        <v>493</v>
      </c>
      <c r="C159">
        <v>28</v>
      </c>
      <c r="D159" t="s">
        <v>365</v>
      </c>
      <c r="E159">
        <v>22</v>
      </c>
      <c r="F159" t="s">
        <v>20</v>
      </c>
      <c r="G159" t="s">
        <v>9</v>
      </c>
      <c r="H159" t="s">
        <v>58</v>
      </c>
      <c r="I159" t="s">
        <v>494</v>
      </c>
      <c r="J159">
        <v>5</v>
      </c>
      <c r="K159" t="s">
        <v>41</v>
      </c>
      <c r="L159">
        <v>4733</v>
      </c>
      <c r="M159" t="s">
        <v>77</v>
      </c>
    </row>
    <row r="160" spans="1:13">
      <c r="A160">
        <v>1051773</v>
      </c>
      <c r="B160" t="s">
        <v>495</v>
      </c>
      <c r="C160">
        <v>46</v>
      </c>
      <c r="D160" t="s">
        <v>496</v>
      </c>
      <c r="E160">
        <v>34</v>
      </c>
      <c r="F160" t="s">
        <v>28</v>
      </c>
      <c r="G160" t="s">
        <v>21</v>
      </c>
      <c r="H160" t="s">
        <v>57</v>
      </c>
      <c r="I160" t="s">
        <v>497</v>
      </c>
      <c r="J160">
        <v>1</v>
      </c>
      <c r="K160" t="s">
        <v>41</v>
      </c>
      <c r="L160">
        <v>2520</v>
      </c>
      <c r="M160" t="s">
        <v>77</v>
      </c>
    </row>
    <row r="161" spans="1:13">
      <c r="A161">
        <v>1051794</v>
      </c>
      <c r="B161" t="s">
        <v>498</v>
      </c>
      <c r="C161">
        <v>46</v>
      </c>
      <c r="D161" t="s">
        <v>496</v>
      </c>
      <c r="E161">
        <v>34</v>
      </c>
      <c r="F161" t="s">
        <v>28</v>
      </c>
      <c r="G161" t="s">
        <v>21</v>
      </c>
      <c r="H161" t="s">
        <v>58</v>
      </c>
      <c r="I161" t="s">
        <v>499</v>
      </c>
      <c r="J161">
        <v>3</v>
      </c>
      <c r="K161" t="s">
        <v>41</v>
      </c>
      <c r="L161" t="s">
        <v>500</v>
      </c>
      <c r="M161" t="s">
        <v>77</v>
      </c>
    </row>
    <row r="162" spans="1:13">
      <c r="A162">
        <v>1052314</v>
      </c>
      <c r="B162" t="s">
        <v>501</v>
      </c>
      <c r="C162">
        <v>23</v>
      </c>
      <c r="D162" t="s">
        <v>502</v>
      </c>
      <c r="E162">
        <v>17</v>
      </c>
      <c r="F162" t="s">
        <v>8</v>
      </c>
      <c r="G162" t="s">
        <v>12</v>
      </c>
      <c r="H162" t="s">
        <v>58</v>
      </c>
      <c r="I162" t="s">
        <v>503</v>
      </c>
      <c r="J162">
        <v>1</v>
      </c>
      <c r="K162" t="s">
        <v>41</v>
      </c>
      <c r="L162">
        <v>501</v>
      </c>
      <c r="M162" t="s">
        <v>77</v>
      </c>
    </row>
    <row r="163" spans="1:13">
      <c r="A163">
        <v>1052682</v>
      </c>
      <c r="B163" t="s">
        <v>504</v>
      </c>
      <c r="C163">
        <v>43</v>
      </c>
      <c r="D163" t="s">
        <v>505</v>
      </c>
      <c r="E163">
        <v>33</v>
      </c>
      <c r="F163" t="s">
        <v>21</v>
      </c>
      <c r="G163" t="s">
        <v>28</v>
      </c>
      <c r="H163" t="s">
        <v>57</v>
      </c>
      <c r="I163" t="s">
        <v>506</v>
      </c>
      <c r="J163">
        <v>2</v>
      </c>
      <c r="K163" t="s">
        <v>45</v>
      </c>
      <c r="L163">
        <v>3603</v>
      </c>
      <c r="M163" t="s">
        <v>77</v>
      </c>
    </row>
    <row r="164" spans="1:13">
      <c r="A164">
        <v>1053583</v>
      </c>
      <c r="B164" t="s">
        <v>507</v>
      </c>
      <c r="C164">
        <v>16</v>
      </c>
      <c r="D164" t="s">
        <v>502</v>
      </c>
      <c r="E164">
        <v>10</v>
      </c>
      <c r="F164" t="s">
        <v>10</v>
      </c>
      <c r="G164" t="s">
        <v>4</v>
      </c>
      <c r="H164" t="s">
        <v>57</v>
      </c>
      <c r="I164" t="s">
        <v>508</v>
      </c>
      <c r="J164">
        <v>1</v>
      </c>
      <c r="K164" t="s">
        <v>41</v>
      </c>
      <c r="L164">
        <v>2429</v>
      </c>
      <c r="M164" t="s">
        <v>77</v>
      </c>
    </row>
    <row r="165" spans="1:13">
      <c r="A165">
        <v>1053912</v>
      </c>
      <c r="B165" t="s">
        <v>509</v>
      </c>
      <c r="C165">
        <v>42</v>
      </c>
      <c r="D165" t="s">
        <v>510</v>
      </c>
      <c r="E165">
        <v>32</v>
      </c>
      <c r="F165" t="s">
        <v>32</v>
      </c>
      <c r="G165" t="s">
        <v>16</v>
      </c>
      <c r="H165" t="s">
        <v>58</v>
      </c>
      <c r="I165" t="s">
        <v>511</v>
      </c>
      <c r="J165">
        <v>6</v>
      </c>
      <c r="K165" t="s">
        <v>41</v>
      </c>
      <c r="L165">
        <v>6334</v>
      </c>
      <c r="M165" t="s">
        <v>77</v>
      </c>
    </row>
    <row r="166" spans="1:13">
      <c r="A166">
        <v>1054382</v>
      </c>
      <c r="B166" t="s">
        <v>512</v>
      </c>
      <c r="C166">
        <v>24</v>
      </c>
      <c r="D166" t="s">
        <v>513</v>
      </c>
      <c r="E166">
        <v>18</v>
      </c>
      <c r="F166" t="s">
        <v>12</v>
      </c>
      <c r="G166" t="s">
        <v>8</v>
      </c>
      <c r="H166" t="s">
        <v>57</v>
      </c>
      <c r="I166" t="s">
        <v>514</v>
      </c>
      <c r="J166">
        <v>2</v>
      </c>
      <c r="K166" t="s">
        <v>37</v>
      </c>
      <c r="L166">
        <v>4422</v>
      </c>
      <c r="M166" t="s">
        <v>77</v>
      </c>
    </row>
    <row r="167" spans="1:13">
      <c r="A167">
        <v>1054902</v>
      </c>
      <c r="B167" t="s">
        <v>515</v>
      </c>
      <c r="C167">
        <v>8</v>
      </c>
      <c r="D167" t="s">
        <v>421</v>
      </c>
      <c r="E167">
        <v>4</v>
      </c>
      <c r="F167" t="s">
        <v>33</v>
      </c>
      <c r="G167" t="s">
        <v>2</v>
      </c>
      <c r="H167" t="s">
        <v>57</v>
      </c>
      <c r="I167" t="s">
        <v>516</v>
      </c>
      <c r="J167">
        <v>1</v>
      </c>
      <c r="K167" t="s">
        <v>41</v>
      </c>
      <c r="L167">
        <v>3520</v>
      </c>
      <c r="M167" t="s">
        <v>77</v>
      </c>
    </row>
    <row r="168" spans="1:13">
      <c r="A168">
        <v>1056099</v>
      </c>
      <c r="B168" t="s">
        <v>517</v>
      </c>
      <c r="C168">
        <v>15</v>
      </c>
      <c r="D168" t="s">
        <v>518</v>
      </c>
      <c r="E168">
        <v>9</v>
      </c>
      <c r="F168" t="s">
        <v>4</v>
      </c>
      <c r="G168" t="s">
        <v>10</v>
      </c>
      <c r="H168" t="s">
        <v>57</v>
      </c>
      <c r="I168" t="s">
        <v>519</v>
      </c>
      <c r="J168">
        <v>2</v>
      </c>
      <c r="K168" t="s">
        <v>37</v>
      </c>
      <c r="L168">
        <v>4858</v>
      </c>
      <c r="M168" t="s">
        <v>77</v>
      </c>
    </row>
    <row r="169" spans="1:13">
      <c r="A169">
        <v>1056380</v>
      </c>
      <c r="B169" t="s">
        <v>520</v>
      </c>
      <c r="C169">
        <v>18</v>
      </c>
      <c r="D169" t="s">
        <v>510</v>
      </c>
      <c r="E169">
        <v>12</v>
      </c>
      <c r="F169" t="s">
        <v>25</v>
      </c>
      <c r="G169" t="s">
        <v>5</v>
      </c>
      <c r="H169" t="s">
        <v>60</v>
      </c>
      <c r="I169" t="s">
        <v>521</v>
      </c>
      <c r="J169">
        <v>4</v>
      </c>
      <c r="K169" t="s">
        <v>37</v>
      </c>
      <c r="L169">
        <v>3226</v>
      </c>
      <c r="M169" t="s">
        <v>77</v>
      </c>
    </row>
    <row r="170" spans="1:13">
      <c r="A170">
        <v>1056639</v>
      </c>
      <c r="B170" t="s">
        <v>522</v>
      </c>
      <c r="C170">
        <v>26</v>
      </c>
      <c r="D170" t="s">
        <v>502</v>
      </c>
      <c r="E170">
        <v>20</v>
      </c>
      <c r="F170" t="s">
        <v>13</v>
      </c>
      <c r="G170" t="s">
        <v>8</v>
      </c>
      <c r="H170" t="s">
        <v>58</v>
      </c>
      <c r="I170" t="s">
        <v>523</v>
      </c>
      <c r="J170">
        <v>1</v>
      </c>
      <c r="K170" t="s">
        <v>41</v>
      </c>
      <c r="L170">
        <v>870</v>
      </c>
      <c r="M170" t="s">
        <v>77</v>
      </c>
    </row>
    <row r="171" spans="1:13">
      <c r="A171">
        <v>1057021</v>
      </c>
      <c r="B171" t="s">
        <v>524</v>
      </c>
      <c r="C171">
        <v>29</v>
      </c>
      <c r="D171" t="s">
        <v>525</v>
      </c>
      <c r="E171">
        <v>23</v>
      </c>
      <c r="F171" t="s">
        <v>10</v>
      </c>
      <c r="G171" t="s">
        <v>20</v>
      </c>
      <c r="H171" t="s">
        <v>60</v>
      </c>
      <c r="I171" t="s">
        <v>526</v>
      </c>
      <c r="J171">
        <v>1</v>
      </c>
      <c r="K171" t="s">
        <v>41</v>
      </c>
      <c r="L171">
        <v>326</v>
      </c>
      <c r="M171" t="s">
        <v>77</v>
      </c>
    </row>
    <row r="172" spans="1:13">
      <c r="A172">
        <v>1057195</v>
      </c>
      <c r="B172" t="s">
        <v>527</v>
      </c>
      <c r="C172">
        <v>43</v>
      </c>
      <c r="D172" t="s">
        <v>505</v>
      </c>
      <c r="E172">
        <v>33</v>
      </c>
      <c r="F172" t="s">
        <v>21</v>
      </c>
      <c r="G172" t="s">
        <v>28</v>
      </c>
      <c r="H172" t="s">
        <v>57</v>
      </c>
      <c r="I172" t="s">
        <v>528</v>
      </c>
      <c r="J172">
        <v>2</v>
      </c>
      <c r="K172" t="s">
        <v>49</v>
      </c>
      <c r="L172">
        <v>4804</v>
      </c>
      <c r="M172" t="s">
        <v>77</v>
      </c>
    </row>
    <row r="173" spans="1:13">
      <c r="A173">
        <v>1057459</v>
      </c>
      <c r="B173" t="s">
        <v>529</v>
      </c>
      <c r="C173">
        <v>27</v>
      </c>
      <c r="D173" t="s">
        <v>530</v>
      </c>
      <c r="E173">
        <v>21</v>
      </c>
      <c r="F173" t="s">
        <v>9</v>
      </c>
      <c r="G173" t="s">
        <v>20</v>
      </c>
      <c r="H173" t="s">
        <v>58</v>
      </c>
      <c r="I173" t="s">
        <v>531</v>
      </c>
      <c r="J173">
        <v>1</v>
      </c>
      <c r="K173" t="s">
        <v>41</v>
      </c>
      <c r="L173">
        <v>1183</v>
      </c>
      <c r="M173" t="s">
        <v>77</v>
      </c>
    </row>
    <row r="174" spans="1:13">
      <c r="A174">
        <v>1057808</v>
      </c>
      <c r="B174" t="s">
        <v>532</v>
      </c>
      <c r="C174">
        <v>24</v>
      </c>
      <c r="D174" t="s">
        <v>533</v>
      </c>
      <c r="E174">
        <v>18</v>
      </c>
      <c r="F174" t="s">
        <v>12</v>
      </c>
      <c r="G174" t="s">
        <v>8</v>
      </c>
      <c r="H174" t="s">
        <v>58</v>
      </c>
      <c r="I174" t="s">
        <v>534</v>
      </c>
      <c r="J174">
        <v>1</v>
      </c>
      <c r="K174" t="s">
        <v>41</v>
      </c>
      <c r="L174">
        <v>834</v>
      </c>
      <c r="M174" t="s">
        <v>77</v>
      </c>
    </row>
    <row r="175" spans="1:13">
      <c r="A175">
        <v>1058027</v>
      </c>
      <c r="B175" t="s">
        <v>535</v>
      </c>
      <c r="C175">
        <v>29</v>
      </c>
      <c r="D175" t="s">
        <v>525</v>
      </c>
      <c r="E175">
        <v>23</v>
      </c>
      <c r="F175" t="s">
        <v>10</v>
      </c>
      <c r="G175" t="s">
        <v>20</v>
      </c>
      <c r="H175" t="s">
        <v>57</v>
      </c>
      <c r="I175" t="s">
        <v>536</v>
      </c>
      <c r="J175">
        <v>3</v>
      </c>
      <c r="K175" t="s">
        <v>37</v>
      </c>
      <c r="L175">
        <v>4501</v>
      </c>
      <c r="M175" t="s">
        <v>77</v>
      </c>
    </row>
    <row r="176" spans="1:13">
      <c r="A176">
        <v>1058296</v>
      </c>
      <c r="B176" t="s">
        <v>537</v>
      </c>
      <c r="C176">
        <v>44</v>
      </c>
      <c r="D176" t="s">
        <v>538</v>
      </c>
      <c r="E176">
        <v>34</v>
      </c>
      <c r="F176" t="s">
        <v>28</v>
      </c>
      <c r="G176" t="s">
        <v>21</v>
      </c>
      <c r="H176" t="s">
        <v>60</v>
      </c>
      <c r="I176" t="s">
        <v>539</v>
      </c>
      <c r="J176">
        <v>1</v>
      </c>
      <c r="K176" t="s">
        <v>41</v>
      </c>
      <c r="L176">
        <v>753</v>
      </c>
      <c r="M176" t="s">
        <v>77</v>
      </c>
    </row>
    <row r="177" spans="1:13">
      <c r="A177">
        <v>1058903</v>
      </c>
      <c r="B177" t="s">
        <v>540</v>
      </c>
      <c r="C177">
        <v>16</v>
      </c>
      <c r="D177" t="s">
        <v>389</v>
      </c>
      <c r="E177">
        <v>10</v>
      </c>
      <c r="F177" t="s">
        <v>10</v>
      </c>
      <c r="G177" t="s">
        <v>4</v>
      </c>
      <c r="H177" t="s">
        <v>58</v>
      </c>
      <c r="I177" t="s">
        <v>541</v>
      </c>
      <c r="J177">
        <v>2</v>
      </c>
      <c r="K177" t="s">
        <v>41</v>
      </c>
      <c r="L177">
        <v>1465</v>
      </c>
      <c r="M177" t="s">
        <v>77</v>
      </c>
    </row>
    <row r="178" spans="1:13">
      <c r="A178">
        <v>1059208</v>
      </c>
      <c r="B178" t="s">
        <v>542</v>
      </c>
      <c r="C178">
        <v>30</v>
      </c>
      <c r="D178" t="s">
        <v>487</v>
      </c>
      <c r="E178">
        <v>24</v>
      </c>
      <c r="F178" t="s">
        <v>20</v>
      </c>
      <c r="G178" t="s">
        <v>10</v>
      </c>
      <c r="H178" t="s">
        <v>57</v>
      </c>
      <c r="I178" t="s">
        <v>543</v>
      </c>
      <c r="J178">
        <v>1</v>
      </c>
      <c r="K178" t="s">
        <v>41</v>
      </c>
      <c r="L178">
        <v>1731</v>
      </c>
      <c r="M178" t="s">
        <v>77</v>
      </c>
    </row>
    <row r="179" spans="1:13">
      <c r="A179">
        <v>1059369</v>
      </c>
      <c r="B179" t="s">
        <v>544</v>
      </c>
      <c r="C179">
        <v>36</v>
      </c>
      <c r="D179" t="s">
        <v>545</v>
      </c>
      <c r="E179">
        <v>26</v>
      </c>
      <c r="F179" t="s">
        <v>19</v>
      </c>
      <c r="G179" t="s">
        <v>12</v>
      </c>
      <c r="H179" t="s">
        <v>60</v>
      </c>
      <c r="I179" t="s">
        <v>546</v>
      </c>
      <c r="J179">
        <v>2</v>
      </c>
      <c r="K179" t="s">
        <v>41</v>
      </c>
      <c r="L179">
        <v>1396</v>
      </c>
      <c r="M179" t="s">
        <v>77</v>
      </c>
    </row>
    <row r="180" spans="1:13">
      <c r="A180">
        <v>1059807</v>
      </c>
      <c r="B180" t="s">
        <v>547</v>
      </c>
      <c r="C180">
        <v>43</v>
      </c>
      <c r="D180" t="s">
        <v>548</v>
      </c>
      <c r="E180">
        <v>33</v>
      </c>
      <c r="F180" t="s">
        <v>21</v>
      </c>
      <c r="G180" t="s">
        <v>28</v>
      </c>
      <c r="H180" t="s">
        <v>57</v>
      </c>
      <c r="I180" t="s">
        <v>549</v>
      </c>
      <c r="J180">
        <v>5</v>
      </c>
      <c r="K180" t="s">
        <v>41</v>
      </c>
      <c r="L180">
        <v>11049</v>
      </c>
      <c r="M180" t="s">
        <v>77</v>
      </c>
    </row>
    <row r="181" spans="1:13">
      <c r="A181">
        <v>1060211</v>
      </c>
      <c r="B181" t="s">
        <v>550</v>
      </c>
      <c r="C181">
        <v>24</v>
      </c>
      <c r="D181" t="s">
        <v>513</v>
      </c>
      <c r="E181">
        <v>18</v>
      </c>
      <c r="F181" t="s">
        <v>12</v>
      </c>
      <c r="G181" t="s">
        <v>8</v>
      </c>
      <c r="H181" t="s">
        <v>58</v>
      </c>
      <c r="I181" t="s">
        <v>551</v>
      </c>
      <c r="J181">
        <v>2</v>
      </c>
      <c r="K181" t="s">
        <v>37</v>
      </c>
      <c r="L181">
        <v>1668</v>
      </c>
      <c r="M181" t="s">
        <v>77</v>
      </c>
    </row>
    <row r="182" spans="1:13">
      <c r="A182">
        <v>1060349</v>
      </c>
      <c r="B182" t="s">
        <v>552</v>
      </c>
      <c r="C182">
        <v>43</v>
      </c>
      <c r="D182" t="s">
        <v>548</v>
      </c>
      <c r="E182">
        <v>33</v>
      </c>
      <c r="F182" t="s">
        <v>21</v>
      </c>
      <c r="G182" t="s">
        <v>28</v>
      </c>
      <c r="H182" t="s">
        <v>57</v>
      </c>
      <c r="I182" t="s">
        <v>553</v>
      </c>
      <c r="J182">
        <v>2</v>
      </c>
      <c r="K182" t="s">
        <v>41</v>
      </c>
      <c r="L182">
        <v>38430</v>
      </c>
      <c r="M182" t="s">
        <v>77</v>
      </c>
    </row>
    <row r="183" spans="1:13">
      <c r="A183">
        <v>1060922</v>
      </c>
      <c r="B183" t="s">
        <v>554</v>
      </c>
      <c r="C183">
        <v>13</v>
      </c>
      <c r="D183" t="s">
        <v>555</v>
      </c>
      <c r="E183">
        <v>9</v>
      </c>
      <c r="F183" t="s">
        <v>4</v>
      </c>
      <c r="G183" t="s">
        <v>10</v>
      </c>
      <c r="H183" t="s">
        <v>56</v>
      </c>
      <c r="I183" t="s">
        <v>556</v>
      </c>
      <c r="J183">
        <v>1</v>
      </c>
      <c r="K183" t="s">
        <v>41</v>
      </c>
      <c r="L183">
        <v>4342</v>
      </c>
      <c r="M183" t="s">
        <v>77</v>
      </c>
    </row>
    <row r="184" spans="1:13">
      <c r="A184">
        <v>1061363</v>
      </c>
      <c r="B184" t="s">
        <v>557</v>
      </c>
      <c r="C184">
        <v>12</v>
      </c>
      <c r="D184" t="s">
        <v>530</v>
      </c>
      <c r="E184">
        <v>8</v>
      </c>
      <c r="F184" t="s">
        <v>18</v>
      </c>
      <c r="G184" t="s">
        <v>3</v>
      </c>
      <c r="H184" t="s">
        <v>60</v>
      </c>
      <c r="I184" t="s">
        <v>558</v>
      </c>
      <c r="J184">
        <v>1</v>
      </c>
      <c r="K184" t="s">
        <v>41</v>
      </c>
      <c r="L184">
        <v>349</v>
      </c>
      <c r="M184" t="s">
        <v>77</v>
      </c>
    </row>
    <row r="185" spans="1:13">
      <c r="A185">
        <v>1062055</v>
      </c>
      <c r="B185" t="s">
        <v>559</v>
      </c>
      <c r="C185">
        <v>2</v>
      </c>
      <c r="D185" t="s">
        <v>560</v>
      </c>
      <c r="E185">
        <v>2</v>
      </c>
      <c r="F185" t="s">
        <v>27</v>
      </c>
      <c r="G185" t="s">
        <v>2</v>
      </c>
      <c r="H185" t="s">
        <v>60</v>
      </c>
      <c r="I185" t="s">
        <v>561</v>
      </c>
      <c r="J185">
        <v>1</v>
      </c>
      <c r="K185" t="s">
        <v>37</v>
      </c>
      <c r="L185">
        <v>1379</v>
      </c>
      <c r="M185" t="s">
        <v>77</v>
      </c>
    </row>
    <row r="186" spans="1:13">
      <c r="A186">
        <v>1062073</v>
      </c>
      <c r="B186" t="s">
        <v>562</v>
      </c>
      <c r="C186">
        <v>44</v>
      </c>
      <c r="D186" t="s">
        <v>538</v>
      </c>
      <c r="E186">
        <v>34</v>
      </c>
      <c r="F186" t="s">
        <v>28</v>
      </c>
      <c r="G186" t="s">
        <v>21</v>
      </c>
      <c r="H186" t="s">
        <v>60</v>
      </c>
      <c r="I186" t="s">
        <v>563</v>
      </c>
      <c r="J186">
        <v>4</v>
      </c>
      <c r="K186" t="s">
        <v>41</v>
      </c>
      <c r="L186">
        <v>2635</v>
      </c>
      <c r="M186" t="s">
        <v>77</v>
      </c>
    </row>
    <row r="187" spans="1:13">
      <c r="A187">
        <v>1062167</v>
      </c>
      <c r="B187" t="s">
        <v>564</v>
      </c>
      <c r="C187">
        <v>45</v>
      </c>
      <c r="D187" t="s">
        <v>565</v>
      </c>
      <c r="E187">
        <v>33</v>
      </c>
      <c r="F187" t="s">
        <v>21</v>
      </c>
      <c r="G187" t="s">
        <v>28</v>
      </c>
      <c r="H187" t="s">
        <v>60</v>
      </c>
      <c r="I187" t="s">
        <v>566</v>
      </c>
      <c r="J187">
        <v>1</v>
      </c>
      <c r="K187" t="s">
        <v>41</v>
      </c>
      <c r="L187">
        <v>790</v>
      </c>
      <c r="M187" t="s">
        <v>77</v>
      </c>
    </row>
    <row r="188" spans="1:13">
      <c r="A188">
        <v>1062180</v>
      </c>
      <c r="B188" t="s">
        <v>567</v>
      </c>
      <c r="C188">
        <v>44</v>
      </c>
      <c r="D188" t="s">
        <v>538</v>
      </c>
      <c r="E188">
        <v>34</v>
      </c>
      <c r="F188" t="s">
        <v>28</v>
      </c>
      <c r="G188" t="s">
        <v>21</v>
      </c>
      <c r="H188" t="s">
        <v>58</v>
      </c>
      <c r="I188" t="s">
        <v>568</v>
      </c>
      <c r="J188">
        <v>1</v>
      </c>
      <c r="K188" t="s">
        <v>41</v>
      </c>
      <c r="L188">
        <v>906</v>
      </c>
      <c r="M188" t="s">
        <v>77</v>
      </c>
    </row>
    <row r="189" spans="1:13">
      <c r="A189">
        <v>1062244</v>
      </c>
      <c r="B189" t="s">
        <v>569</v>
      </c>
      <c r="C189">
        <v>30</v>
      </c>
      <c r="D189" t="s">
        <v>560</v>
      </c>
      <c r="E189">
        <v>24</v>
      </c>
      <c r="F189" t="s">
        <v>20</v>
      </c>
      <c r="G189" t="s">
        <v>10</v>
      </c>
      <c r="H189" t="s">
        <v>58</v>
      </c>
      <c r="I189" t="s">
        <v>570</v>
      </c>
      <c r="J189">
        <v>1</v>
      </c>
      <c r="K189" t="s">
        <v>41</v>
      </c>
      <c r="L189">
        <v>654</v>
      </c>
      <c r="M189" t="s">
        <v>77</v>
      </c>
    </row>
    <row r="190" spans="1:13">
      <c r="A190">
        <v>1062277</v>
      </c>
      <c r="B190" t="s">
        <v>571</v>
      </c>
      <c r="C190">
        <v>18</v>
      </c>
      <c r="D190" t="s">
        <v>572</v>
      </c>
      <c r="E190">
        <v>12</v>
      </c>
      <c r="F190" t="s">
        <v>25</v>
      </c>
      <c r="G190" t="s">
        <v>5</v>
      </c>
      <c r="H190" t="s">
        <v>58</v>
      </c>
      <c r="I190" t="s">
        <v>573</v>
      </c>
      <c r="J190">
        <v>2</v>
      </c>
      <c r="K190" t="s">
        <v>41</v>
      </c>
      <c r="L190">
        <v>2424</v>
      </c>
      <c r="M190" t="s">
        <v>77</v>
      </c>
    </row>
    <row r="191" spans="1:13">
      <c r="A191">
        <v>1062319</v>
      </c>
      <c r="B191" t="s">
        <v>574</v>
      </c>
      <c r="C191">
        <v>50</v>
      </c>
      <c r="D191" t="s">
        <v>575</v>
      </c>
      <c r="E191">
        <v>38</v>
      </c>
      <c r="F191" t="s">
        <v>31</v>
      </c>
      <c r="G191" t="s">
        <v>24</v>
      </c>
      <c r="H191" t="s">
        <v>56</v>
      </c>
      <c r="I191" t="s">
        <v>576</v>
      </c>
      <c r="J191">
        <v>6</v>
      </c>
      <c r="K191" t="s">
        <v>41</v>
      </c>
      <c r="L191">
        <v>28440</v>
      </c>
      <c r="M191" t="s">
        <v>77</v>
      </c>
    </row>
    <row r="192" spans="1:13">
      <c r="A192">
        <v>1062784</v>
      </c>
      <c r="B192" t="s">
        <v>577</v>
      </c>
      <c r="C192">
        <v>29</v>
      </c>
      <c r="D192" t="s">
        <v>525</v>
      </c>
      <c r="E192">
        <v>23</v>
      </c>
      <c r="F192" t="s">
        <v>10</v>
      </c>
      <c r="G192" t="s">
        <v>20</v>
      </c>
      <c r="H192" t="s">
        <v>60</v>
      </c>
      <c r="I192" t="s">
        <v>578</v>
      </c>
      <c r="J192">
        <v>1</v>
      </c>
      <c r="K192" t="s">
        <v>41</v>
      </c>
      <c r="L192">
        <v>544</v>
      </c>
      <c r="M192" t="s">
        <v>77</v>
      </c>
    </row>
    <row r="193" spans="1:13">
      <c r="A193">
        <v>1062812</v>
      </c>
      <c r="B193" t="s">
        <v>579</v>
      </c>
      <c r="C193">
        <v>51</v>
      </c>
      <c r="D193" t="s">
        <v>370</v>
      </c>
      <c r="E193">
        <v>39</v>
      </c>
      <c r="F193" t="s">
        <v>26</v>
      </c>
      <c r="G193" t="s">
        <v>30</v>
      </c>
      <c r="H193" t="s">
        <v>58</v>
      </c>
      <c r="I193" t="s">
        <v>580</v>
      </c>
      <c r="J193">
        <v>1</v>
      </c>
      <c r="K193" t="s">
        <v>47</v>
      </c>
      <c r="L193">
        <v>854</v>
      </c>
      <c r="M193" t="s">
        <v>77</v>
      </c>
    </row>
    <row r="194" spans="1:13">
      <c r="A194">
        <v>1063280</v>
      </c>
      <c r="B194" t="s">
        <v>581</v>
      </c>
      <c r="C194">
        <v>23</v>
      </c>
      <c r="D194" t="s">
        <v>582</v>
      </c>
      <c r="E194">
        <v>17</v>
      </c>
      <c r="F194" t="s">
        <v>8</v>
      </c>
      <c r="G194" t="s">
        <v>12</v>
      </c>
      <c r="H194" t="s">
        <v>57</v>
      </c>
      <c r="I194" t="s">
        <v>583</v>
      </c>
      <c r="J194">
        <v>1</v>
      </c>
      <c r="K194" t="s">
        <v>41</v>
      </c>
      <c r="L194">
        <v>2211</v>
      </c>
      <c r="M194" t="s">
        <v>77</v>
      </c>
    </row>
    <row r="195" spans="1:13">
      <c r="A195">
        <v>1063693</v>
      </c>
      <c r="B195" t="s">
        <v>584</v>
      </c>
      <c r="C195">
        <v>18</v>
      </c>
      <c r="D195" t="s">
        <v>585</v>
      </c>
      <c r="E195">
        <v>12</v>
      </c>
      <c r="F195" t="s">
        <v>25</v>
      </c>
      <c r="G195" t="s">
        <v>5</v>
      </c>
      <c r="H195" t="s">
        <v>60</v>
      </c>
      <c r="I195" t="s">
        <v>586</v>
      </c>
      <c r="J195">
        <v>1</v>
      </c>
      <c r="K195" t="s">
        <v>41</v>
      </c>
      <c r="L195">
        <v>1008</v>
      </c>
      <c r="M195" t="s">
        <v>77</v>
      </c>
    </row>
    <row r="196" spans="1:13">
      <c r="A196">
        <v>1064376</v>
      </c>
      <c r="B196" t="s">
        <v>587</v>
      </c>
      <c r="C196">
        <v>6</v>
      </c>
      <c r="D196" t="s">
        <v>588</v>
      </c>
      <c r="E196">
        <v>4</v>
      </c>
      <c r="F196" t="s">
        <v>33</v>
      </c>
      <c r="G196" t="s">
        <v>2</v>
      </c>
      <c r="H196" t="s">
        <v>58</v>
      </c>
      <c r="I196" t="s">
        <v>589</v>
      </c>
      <c r="J196">
        <v>2</v>
      </c>
      <c r="K196" t="s">
        <v>41</v>
      </c>
      <c r="L196">
        <v>2780</v>
      </c>
      <c r="M196" t="s">
        <v>77</v>
      </c>
    </row>
    <row r="197" spans="1:13">
      <c r="A197">
        <v>1064925</v>
      </c>
      <c r="B197" t="s">
        <v>590</v>
      </c>
      <c r="C197">
        <v>37</v>
      </c>
      <c r="D197" t="s">
        <v>591</v>
      </c>
      <c r="E197">
        <v>27</v>
      </c>
      <c r="F197" t="s">
        <v>14</v>
      </c>
      <c r="G197" t="s">
        <v>27</v>
      </c>
      <c r="H197" t="s">
        <v>58</v>
      </c>
      <c r="I197" t="s">
        <v>592</v>
      </c>
      <c r="J197">
        <v>1</v>
      </c>
      <c r="K197" t="s">
        <v>41</v>
      </c>
      <c r="L197">
        <v>607</v>
      </c>
      <c r="M197" t="s">
        <v>77</v>
      </c>
    </row>
    <row r="198" spans="1:13">
      <c r="A198">
        <v>1065300</v>
      </c>
      <c r="B198" t="s">
        <v>593</v>
      </c>
      <c r="C198">
        <v>5</v>
      </c>
      <c r="D198" t="s">
        <v>594</v>
      </c>
      <c r="E198">
        <v>3</v>
      </c>
      <c r="F198" t="s">
        <v>2</v>
      </c>
      <c r="G198" t="s">
        <v>33</v>
      </c>
      <c r="H198" t="s">
        <v>58</v>
      </c>
      <c r="I198" t="s">
        <v>595</v>
      </c>
      <c r="J198">
        <v>1</v>
      </c>
      <c r="K198" t="s">
        <v>41</v>
      </c>
      <c r="L198">
        <v>1390</v>
      </c>
      <c r="M198" t="s">
        <v>77</v>
      </c>
    </row>
    <row r="199" spans="1:13">
      <c r="A199">
        <v>1065560</v>
      </c>
      <c r="B199" t="s">
        <v>596</v>
      </c>
      <c r="C199">
        <v>12</v>
      </c>
      <c r="D199" t="s">
        <v>597</v>
      </c>
      <c r="E199">
        <v>8</v>
      </c>
      <c r="F199" t="s">
        <v>18</v>
      </c>
      <c r="G199" t="s">
        <v>3</v>
      </c>
      <c r="H199" t="s">
        <v>57</v>
      </c>
      <c r="I199" t="s">
        <v>598</v>
      </c>
      <c r="J199">
        <v>1</v>
      </c>
      <c r="K199" t="s">
        <v>41</v>
      </c>
      <c r="L199">
        <v>1854</v>
      </c>
      <c r="M199" t="s">
        <v>77</v>
      </c>
    </row>
    <row r="200" spans="1:13">
      <c r="A200">
        <v>1066087</v>
      </c>
      <c r="B200" t="s">
        <v>599</v>
      </c>
      <c r="C200">
        <v>29</v>
      </c>
      <c r="D200" t="s">
        <v>525</v>
      </c>
      <c r="E200">
        <v>23</v>
      </c>
      <c r="F200" t="s">
        <v>10</v>
      </c>
      <c r="G200" t="s">
        <v>20</v>
      </c>
      <c r="H200" t="s">
        <v>58</v>
      </c>
      <c r="I200" t="s">
        <v>600</v>
      </c>
      <c r="J200">
        <v>4</v>
      </c>
      <c r="K200" t="s">
        <v>41</v>
      </c>
      <c r="L200">
        <v>2355</v>
      </c>
      <c r="M200" t="s">
        <v>77</v>
      </c>
    </row>
    <row r="201" spans="1:13">
      <c r="A201">
        <v>1066182</v>
      </c>
      <c r="B201" t="s">
        <v>601</v>
      </c>
      <c r="C201">
        <v>23</v>
      </c>
      <c r="D201" t="s">
        <v>602</v>
      </c>
      <c r="E201">
        <v>17</v>
      </c>
      <c r="F201" t="s">
        <v>8</v>
      </c>
      <c r="G201" t="s">
        <v>12</v>
      </c>
      <c r="H201" t="s">
        <v>58</v>
      </c>
      <c r="I201" t="s">
        <v>603</v>
      </c>
      <c r="J201">
        <v>2</v>
      </c>
      <c r="K201" t="s">
        <v>41</v>
      </c>
      <c r="L201">
        <v>1251</v>
      </c>
      <c r="M201" t="s">
        <v>77</v>
      </c>
    </row>
    <row r="202" spans="1:13">
      <c r="A202">
        <v>1066186</v>
      </c>
      <c r="B202" t="s">
        <v>604</v>
      </c>
      <c r="C202">
        <v>34</v>
      </c>
      <c r="D202" t="s">
        <v>605</v>
      </c>
      <c r="E202">
        <v>26</v>
      </c>
      <c r="F202" t="s">
        <v>19</v>
      </c>
      <c r="G202" t="s">
        <v>12</v>
      </c>
      <c r="H202" t="s">
        <v>57</v>
      </c>
      <c r="I202" t="s">
        <v>606</v>
      </c>
      <c r="J202">
        <v>4</v>
      </c>
      <c r="K202" t="s">
        <v>41</v>
      </c>
      <c r="L202">
        <v>10022</v>
      </c>
      <c r="M202" t="s">
        <v>77</v>
      </c>
    </row>
    <row r="203" spans="1:13">
      <c r="A203">
        <v>1066440</v>
      </c>
      <c r="B203" t="s">
        <v>607</v>
      </c>
      <c r="C203">
        <v>38</v>
      </c>
      <c r="D203" t="s">
        <v>608</v>
      </c>
      <c r="E203">
        <v>28</v>
      </c>
      <c r="F203" t="s">
        <v>27</v>
      </c>
      <c r="G203" t="s">
        <v>14</v>
      </c>
      <c r="H203" t="s">
        <v>57</v>
      </c>
      <c r="I203" t="s">
        <v>609</v>
      </c>
      <c r="J203">
        <v>1</v>
      </c>
      <c r="K203" t="s">
        <v>41</v>
      </c>
      <c r="L203">
        <v>1606</v>
      </c>
      <c r="M203" t="s">
        <v>77</v>
      </c>
    </row>
    <row r="204" spans="1:13">
      <c r="A204">
        <v>1066636</v>
      </c>
      <c r="B204" t="s">
        <v>610</v>
      </c>
      <c r="C204">
        <v>40</v>
      </c>
      <c r="D204" t="s">
        <v>611</v>
      </c>
      <c r="E204">
        <v>30</v>
      </c>
      <c r="F204" t="s">
        <v>23</v>
      </c>
      <c r="G204" t="s">
        <v>15</v>
      </c>
      <c r="H204" t="s">
        <v>56</v>
      </c>
      <c r="I204" t="s">
        <v>612</v>
      </c>
      <c r="J204">
        <v>2</v>
      </c>
      <c r="K204" t="s">
        <v>41</v>
      </c>
      <c r="L204">
        <v>8284</v>
      </c>
      <c r="M204" t="s">
        <v>77</v>
      </c>
    </row>
    <row r="205" spans="1:13">
      <c r="A205">
        <v>1067932</v>
      </c>
      <c r="B205" t="s">
        <v>613</v>
      </c>
      <c r="C205">
        <v>1</v>
      </c>
      <c r="D205" t="s">
        <v>614</v>
      </c>
      <c r="E205">
        <v>1</v>
      </c>
      <c r="F205" t="s">
        <v>2</v>
      </c>
      <c r="G205" t="s">
        <v>27</v>
      </c>
      <c r="H205" t="s">
        <v>60</v>
      </c>
      <c r="I205" t="s">
        <v>615</v>
      </c>
      <c r="J205">
        <v>2</v>
      </c>
      <c r="K205" t="s">
        <v>41</v>
      </c>
      <c r="L205">
        <v>2758</v>
      </c>
      <c r="M205" t="s">
        <v>77</v>
      </c>
    </row>
    <row r="206" spans="1:13">
      <c r="A206">
        <v>1068175</v>
      </c>
      <c r="B206" t="s">
        <v>616</v>
      </c>
      <c r="C206">
        <v>9</v>
      </c>
      <c r="D206" t="s">
        <v>582</v>
      </c>
      <c r="E206">
        <v>5</v>
      </c>
      <c r="F206" t="s">
        <v>3</v>
      </c>
      <c r="G206" t="s">
        <v>16</v>
      </c>
      <c r="H206" t="s">
        <v>60</v>
      </c>
      <c r="I206" t="s">
        <v>617</v>
      </c>
      <c r="J206">
        <v>1</v>
      </c>
      <c r="K206" t="s">
        <v>41</v>
      </c>
      <c r="L206">
        <v>173</v>
      </c>
      <c r="M206" t="s">
        <v>77</v>
      </c>
    </row>
    <row r="207" spans="1:13">
      <c r="A207">
        <v>1068289</v>
      </c>
      <c r="B207" t="s">
        <v>618</v>
      </c>
      <c r="C207">
        <v>29</v>
      </c>
      <c r="D207" t="s">
        <v>525</v>
      </c>
      <c r="E207">
        <v>23</v>
      </c>
      <c r="F207" t="s">
        <v>10</v>
      </c>
      <c r="G207" t="s">
        <v>20</v>
      </c>
      <c r="H207" t="s">
        <v>60</v>
      </c>
      <c r="I207" t="s">
        <v>619</v>
      </c>
      <c r="J207">
        <v>3</v>
      </c>
      <c r="K207" t="s">
        <v>49</v>
      </c>
      <c r="L207">
        <v>1632</v>
      </c>
      <c r="M207" t="s">
        <v>77</v>
      </c>
    </row>
    <row r="208" spans="1:13">
      <c r="A208">
        <v>1068745</v>
      </c>
      <c r="B208" t="s">
        <v>620</v>
      </c>
      <c r="C208">
        <v>29</v>
      </c>
      <c r="D208" t="s">
        <v>525</v>
      </c>
      <c r="E208">
        <v>23</v>
      </c>
      <c r="F208" t="s">
        <v>10</v>
      </c>
      <c r="G208" t="s">
        <v>20</v>
      </c>
      <c r="H208" t="s">
        <v>60</v>
      </c>
      <c r="I208" t="s">
        <v>621</v>
      </c>
      <c r="J208">
        <v>2</v>
      </c>
      <c r="K208" t="s">
        <v>49</v>
      </c>
      <c r="L208">
        <v>1088</v>
      </c>
      <c r="M208" t="s">
        <v>77</v>
      </c>
    </row>
    <row r="209" spans="1:13">
      <c r="A209">
        <v>1069008</v>
      </c>
      <c r="B209" t="s">
        <v>622</v>
      </c>
      <c r="C209">
        <v>31</v>
      </c>
      <c r="D209" t="s">
        <v>392</v>
      </c>
      <c r="E209">
        <v>23</v>
      </c>
      <c r="F209" t="s">
        <v>10</v>
      </c>
      <c r="G209" t="s">
        <v>20</v>
      </c>
      <c r="H209" t="s">
        <v>60</v>
      </c>
      <c r="I209" t="s">
        <v>623</v>
      </c>
      <c r="J209">
        <v>2</v>
      </c>
      <c r="K209" t="s">
        <v>49</v>
      </c>
      <c r="L209">
        <v>1088</v>
      </c>
      <c r="M209" t="s">
        <v>77</v>
      </c>
    </row>
    <row r="210" spans="1:13">
      <c r="A210">
        <v>1069152</v>
      </c>
      <c r="B210" t="s">
        <v>624</v>
      </c>
      <c r="C210">
        <v>4</v>
      </c>
      <c r="D210" t="s">
        <v>611</v>
      </c>
      <c r="E210">
        <v>2</v>
      </c>
      <c r="F210" t="s">
        <v>27</v>
      </c>
      <c r="G210" t="s">
        <v>2</v>
      </c>
      <c r="H210" t="s">
        <v>57</v>
      </c>
      <c r="I210" t="s">
        <v>625</v>
      </c>
      <c r="J210">
        <v>1</v>
      </c>
      <c r="K210" t="s">
        <v>49</v>
      </c>
      <c r="L210">
        <v>4198</v>
      </c>
      <c r="M210" t="s">
        <v>77</v>
      </c>
    </row>
    <row r="211" spans="1:13">
      <c r="A211">
        <v>1069896</v>
      </c>
      <c r="B211" t="s">
        <v>626</v>
      </c>
      <c r="C211">
        <v>18</v>
      </c>
      <c r="D211" t="s">
        <v>444</v>
      </c>
      <c r="E211">
        <v>12</v>
      </c>
      <c r="F211" t="s">
        <v>25</v>
      </c>
      <c r="G211" t="s">
        <v>5</v>
      </c>
      <c r="H211" t="s">
        <v>57</v>
      </c>
      <c r="I211" t="s">
        <v>627</v>
      </c>
      <c r="J211">
        <v>1</v>
      </c>
      <c r="K211" t="s">
        <v>41</v>
      </c>
      <c r="L211">
        <v>3219</v>
      </c>
      <c r="M211" t="s">
        <v>77</v>
      </c>
    </row>
    <row r="212" spans="1:13">
      <c r="A212">
        <v>1069898</v>
      </c>
      <c r="B212" t="s">
        <v>628</v>
      </c>
      <c r="C212">
        <v>47</v>
      </c>
      <c r="D212" t="s">
        <v>629</v>
      </c>
      <c r="E212">
        <v>35</v>
      </c>
      <c r="F212" t="s">
        <v>22</v>
      </c>
      <c r="G212" t="s">
        <v>29</v>
      </c>
      <c r="H212" t="s">
        <v>58</v>
      </c>
      <c r="I212" t="s">
        <v>630</v>
      </c>
      <c r="J212">
        <v>2</v>
      </c>
      <c r="K212" t="s">
        <v>41</v>
      </c>
      <c r="L212">
        <v>2352</v>
      </c>
      <c r="M212" t="s">
        <v>77</v>
      </c>
    </row>
    <row r="213" spans="1:13">
      <c r="A213">
        <v>1070044</v>
      </c>
      <c r="B213" t="s">
        <v>631</v>
      </c>
      <c r="C213">
        <v>44</v>
      </c>
      <c r="D213" t="s">
        <v>538</v>
      </c>
      <c r="E213">
        <v>34</v>
      </c>
      <c r="F213" t="s">
        <v>28</v>
      </c>
      <c r="G213" t="s">
        <v>21</v>
      </c>
      <c r="H213" t="s">
        <v>57</v>
      </c>
      <c r="I213" t="s">
        <v>632</v>
      </c>
      <c r="J213">
        <v>3</v>
      </c>
      <c r="K213" t="s">
        <v>37</v>
      </c>
      <c r="L213">
        <v>7206</v>
      </c>
      <c r="M213" t="s">
        <v>77</v>
      </c>
    </row>
    <row r="214" spans="1:13">
      <c r="A214">
        <v>1070048</v>
      </c>
      <c r="B214" t="s">
        <v>633</v>
      </c>
      <c r="C214">
        <v>44</v>
      </c>
      <c r="D214" t="s">
        <v>591</v>
      </c>
      <c r="E214">
        <v>34</v>
      </c>
      <c r="F214" t="s">
        <v>28</v>
      </c>
      <c r="G214" t="s">
        <v>21</v>
      </c>
      <c r="H214" t="s">
        <v>58</v>
      </c>
      <c r="I214" t="s">
        <v>634</v>
      </c>
      <c r="J214">
        <v>1</v>
      </c>
      <c r="K214" t="s">
        <v>41</v>
      </c>
      <c r="L214">
        <v>906</v>
      </c>
      <c r="M214" t="s">
        <v>77</v>
      </c>
    </row>
    <row r="215" spans="1:13">
      <c r="A215">
        <v>1071085</v>
      </c>
      <c r="B215" t="s">
        <v>635</v>
      </c>
      <c r="C215">
        <v>40</v>
      </c>
      <c r="D215" t="s">
        <v>444</v>
      </c>
      <c r="E215">
        <v>30</v>
      </c>
      <c r="F215" t="s">
        <v>23</v>
      </c>
      <c r="G215" t="s">
        <v>15</v>
      </c>
      <c r="H215" t="s">
        <v>57</v>
      </c>
      <c r="I215" t="s">
        <v>636</v>
      </c>
      <c r="J215">
        <v>4</v>
      </c>
      <c r="K215" t="s">
        <v>43</v>
      </c>
      <c r="L215">
        <v>11544</v>
      </c>
      <c r="M215" t="s">
        <v>77</v>
      </c>
    </row>
    <row r="216" spans="1:13">
      <c r="A216">
        <v>1071462</v>
      </c>
      <c r="B216" t="s">
        <v>637</v>
      </c>
      <c r="C216">
        <v>43</v>
      </c>
      <c r="D216" t="s">
        <v>444</v>
      </c>
      <c r="E216">
        <v>33</v>
      </c>
      <c r="F216" t="s">
        <v>21</v>
      </c>
      <c r="G216" t="s">
        <v>28</v>
      </c>
      <c r="H216" t="s">
        <v>58</v>
      </c>
      <c r="I216" t="s">
        <v>638</v>
      </c>
      <c r="J216">
        <v>2</v>
      </c>
      <c r="K216" t="s">
        <v>41</v>
      </c>
      <c r="L216">
        <v>1812</v>
      </c>
      <c r="M216" t="s">
        <v>77</v>
      </c>
    </row>
    <row r="217" spans="1:13">
      <c r="A217">
        <v>1071732</v>
      </c>
      <c r="B217" t="s">
        <v>639</v>
      </c>
      <c r="C217">
        <v>10</v>
      </c>
      <c r="D217" t="s">
        <v>640</v>
      </c>
      <c r="E217">
        <v>6</v>
      </c>
      <c r="F217" t="s">
        <v>16</v>
      </c>
      <c r="G217" t="s">
        <v>3</v>
      </c>
      <c r="H217" t="s">
        <v>60</v>
      </c>
      <c r="I217" t="s">
        <v>641</v>
      </c>
      <c r="J217">
        <v>4</v>
      </c>
      <c r="K217" t="s">
        <v>41</v>
      </c>
      <c r="L217">
        <v>1152</v>
      </c>
      <c r="M217" t="s">
        <v>77</v>
      </c>
    </row>
    <row r="218" spans="1:13">
      <c r="A218">
        <v>1071944</v>
      </c>
      <c r="B218" t="s">
        <v>642</v>
      </c>
      <c r="C218">
        <v>49</v>
      </c>
      <c r="D218" t="s">
        <v>640</v>
      </c>
      <c r="E218">
        <v>37</v>
      </c>
      <c r="F218" t="s">
        <v>24</v>
      </c>
      <c r="G218" t="s">
        <v>31</v>
      </c>
      <c r="H218" t="s">
        <v>60</v>
      </c>
      <c r="I218" t="s">
        <v>643</v>
      </c>
      <c r="J218">
        <v>6</v>
      </c>
      <c r="K218" t="s">
        <v>41</v>
      </c>
      <c r="L218">
        <v>5687</v>
      </c>
      <c r="M218" t="s">
        <v>77</v>
      </c>
    </row>
    <row r="219" spans="1:13">
      <c r="A219">
        <v>1072013</v>
      </c>
      <c r="B219" t="s">
        <v>644</v>
      </c>
      <c r="C219">
        <v>2</v>
      </c>
      <c r="D219" t="s">
        <v>560</v>
      </c>
      <c r="E219">
        <v>2</v>
      </c>
      <c r="F219" t="s">
        <v>27</v>
      </c>
      <c r="G219" t="s">
        <v>2</v>
      </c>
      <c r="H219" t="s">
        <v>58</v>
      </c>
      <c r="I219" t="s">
        <v>645</v>
      </c>
      <c r="J219">
        <v>1</v>
      </c>
      <c r="K219" t="s">
        <v>41</v>
      </c>
      <c r="L219">
        <v>1657</v>
      </c>
      <c r="M219" t="s">
        <v>77</v>
      </c>
    </row>
    <row r="220" spans="1:13">
      <c r="A220">
        <v>1072140</v>
      </c>
      <c r="B220" t="s">
        <v>646</v>
      </c>
      <c r="C220">
        <v>33</v>
      </c>
      <c r="D220" t="s">
        <v>647</v>
      </c>
      <c r="E220">
        <v>25</v>
      </c>
      <c r="F220" t="s">
        <v>12</v>
      </c>
      <c r="G220" t="s">
        <v>19</v>
      </c>
      <c r="H220" t="s">
        <v>58</v>
      </c>
      <c r="I220" t="s">
        <v>648</v>
      </c>
      <c r="J220">
        <v>4</v>
      </c>
      <c r="K220" t="s">
        <v>41</v>
      </c>
      <c r="L220">
        <v>4196</v>
      </c>
      <c r="M220" t="s">
        <v>77</v>
      </c>
    </row>
    <row r="221" spans="1:13">
      <c r="A221">
        <v>1072851</v>
      </c>
      <c r="B221" t="s">
        <v>649</v>
      </c>
      <c r="C221">
        <v>45</v>
      </c>
      <c r="D221" t="s">
        <v>650</v>
      </c>
      <c r="E221">
        <v>33</v>
      </c>
      <c r="F221" t="s">
        <v>651</v>
      </c>
      <c r="G221" t="s">
        <v>652</v>
      </c>
      <c r="H221" t="s">
        <v>60</v>
      </c>
      <c r="I221" t="s">
        <v>653</v>
      </c>
      <c r="J221">
        <v>2</v>
      </c>
      <c r="K221" t="s">
        <v>41</v>
      </c>
      <c r="L221">
        <v>1264</v>
      </c>
      <c r="M221" t="s">
        <v>77</v>
      </c>
    </row>
    <row r="222" spans="1:13">
      <c r="A222">
        <v>1073017</v>
      </c>
      <c r="B222" t="s">
        <v>654</v>
      </c>
      <c r="C222">
        <v>19</v>
      </c>
      <c r="D222" t="s">
        <v>655</v>
      </c>
      <c r="E222">
        <v>13</v>
      </c>
      <c r="F222" t="s">
        <v>6</v>
      </c>
      <c r="G222" t="s">
        <v>17</v>
      </c>
      <c r="H222" t="s">
        <v>58</v>
      </c>
      <c r="I222" t="s">
        <v>656</v>
      </c>
      <c r="J222">
        <v>4</v>
      </c>
      <c r="K222" t="s">
        <v>41</v>
      </c>
      <c r="L222">
        <v>2814</v>
      </c>
      <c r="M222" t="s">
        <v>77</v>
      </c>
    </row>
    <row r="223" spans="1:13">
      <c r="A223">
        <v>1073259</v>
      </c>
      <c r="B223" t="s">
        <v>657</v>
      </c>
      <c r="C223">
        <v>42</v>
      </c>
      <c r="D223" t="s">
        <v>560</v>
      </c>
      <c r="E223">
        <v>32</v>
      </c>
      <c r="F223" t="s">
        <v>32</v>
      </c>
      <c r="G223" t="s">
        <v>16</v>
      </c>
      <c r="H223" t="s">
        <v>60</v>
      </c>
      <c r="I223" t="s">
        <v>658</v>
      </c>
      <c r="J223">
        <v>3</v>
      </c>
      <c r="K223" t="s">
        <v>41</v>
      </c>
      <c r="L223">
        <v>2823</v>
      </c>
      <c r="M223" t="s">
        <v>77</v>
      </c>
    </row>
    <row r="224" spans="1:13">
      <c r="A224">
        <v>1073449</v>
      </c>
      <c r="B224" t="s">
        <v>659</v>
      </c>
      <c r="C224">
        <v>43</v>
      </c>
      <c r="D224" t="s">
        <v>444</v>
      </c>
      <c r="E224">
        <v>33</v>
      </c>
      <c r="F224" t="s">
        <v>21</v>
      </c>
      <c r="G224" t="s">
        <v>28</v>
      </c>
      <c r="H224" t="s">
        <v>60</v>
      </c>
      <c r="I224" t="s">
        <v>660</v>
      </c>
      <c r="J224">
        <v>1</v>
      </c>
      <c r="K224" t="s">
        <v>41</v>
      </c>
      <c r="L224">
        <v>753</v>
      </c>
      <c r="M224" t="s">
        <v>77</v>
      </c>
    </row>
    <row r="225" spans="1:13">
      <c r="A225">
        <v>1073530</v>
      </c>
      <c r="B225" t="s">
        <v>661</v>
      </c>
      <c r="C225">
        <v>46</v>
      </c>
      <c r="D225" t="s">
        <v>538</v>
      </c>
      <c r="E225">
        <v>34</v>
      </c>
      <c r="F225" t="s">
        <v>28</v>
      </c>
      <c r="G225" t="s">
        <v>21</v>
      </c>
      <c r="H225" t="s">
        <v>58</v>
      </c>
      <c r="I225" t="s">
        <v>662</v>
      </c>
      <c r="J225">
        <v>2</v>
      </c>
      <c r="K225" t="s">
        <v>45</v>
      </c>
      <c r="L225">
        <v>1425</v>
      </c>
      <c r="M225" t="s">
        <v>77</v>
      </c>
    </row>
    <row r="226" spans="1:13">
      <c r="A226">
        <v>1074131</v>
      </c>
      <c r="B226" t="s">
        <v>663</v>
      </c>
      <c r="C226">
        <v>45</v>
      </c>
      <c r="D226" t="s">
        <v>664</v>
      </c>
      <c r="E226">
        <v>33</v>
      </c>
      <c r="F226" t="s">
        <v>21</v>
      </c>
      <c r="G226" t="s">
        <v>28</v>
      </c>
      <c r="H226" t="s">
        <v>60</v>
      </c>
      <c r="I226" t="s">
        <v>665</v>
      </c>
      <c r="J226">
        <v>1</v>
      </c>
      <c r="K226" t="s">
        <v>41</v>
      </c>
      <c r="L226">
        <v>790</v>
      </c>
      <c r="M226" t="s">
        <v>77</v>
      </c>
    </row>
    <row r="227" spans="1:13">
      <c r="A227">
        <v>1074365</v>
      </c>
      <c r="B227" t="s">
        <v>666</v>
      </c>
      <c r="C227">
        <v>15</v>
      </c>
      <c r="D227" t="s">
        <v>518</v>
      </c>
      <c r="E227">
        <v>9</v>
      </c>
      <c r="F227" t="s">
        <v>4</v>
      </c>
      <c r="G227" t="s">
        <v>10</v>
      </c>
      <c r="H227" t="s">
        <v>60</v>
      </c>
      <c r="I227" t="s">
        <v>667</v>
      </c>
      <c r="J227">
        <v>2</v>
      </c>
      <c r="K227" t="s">
        <v>41</v>
      </c>
      <c r="L227">
        <v>1524</v>
      </c>
      <c r="M227" t="s">
        <v>77</v>
      </c>
    </row>
    <row r="228" spans="1:13">
      <c r="A228">
        <v>1074639</v>
      </c>
      <c r="B228" t="s">
        <v>668</v>
      </c>
      <c r="C228">
        <v>39</v>
      </c>
      <c r="D228" t="s">
        <v>669</v>
      </c>
      <c r="E228">
        <v>29</v>
      </c>
      <c r="F228" t="s">
        <v>15</v>
      </c>
      <c r="G228" t="s">
        <v>23</v>
      </c>
      <c r="H228" t="s">
        <v>57</v>
      </c>
      <c r="I228" t="s">
        <v>670</v>
      </c>
      <c r="J228">
        <v>1</v>
      </c>
      <c r="K228" t="s">
        <v>41</v>
      </c>
      <c r="L228">
        <v>2886</v>
      </c>
      <c r="M228" t="s">
        <v>77</v>
      </c>
    </row>
    <row r="229" spans="1:13">
      <c r="A229">
        <v>1074677</v>
      </c>
      <c r="B229" t="s">
        <v>671</v>
      </c>
      <c r="C229">
        <v>31</v>
      </c>
      <c r="D229" t="s">
        <v>655</v>
      </c>
      <c r="E229">
        <v>23</v>
      </c>
      <c r="F229" t="s">
        <v>10</v>
      </c>
      <c r="G229" t="s">
        <v>20</v>
      </c>
      <c r="H229" t="s">
        <v>58</v>
      </c>
      <c r="I229" t="s">
        <v>672</v>
      </c>
      <c r="J229">
        <v>1</v>
      </c>
      <c r="K229" t="s">
        <v>41</v>
      </c>
      <c r="L229">
        <v>654</v>
      </c>
      <c r="M229" t="s">
        <v>77</v>
      </c>
    </row>
    <row r="230" spans="1:13">
      <c r="A230">
        <v>1074958</v>
      </c>
      <c r="B230" t="s">
        <v>673</v>
      </c>
      <c r="C230">
        <v>22</v>
      </c>
      <c r="D230" t="s">
        <v>674</v>
      </c>
      <c r="E230">
        <v>16</v>
      </c>
      <c r="F230" t="s">
        <v>11</v>
      </c>
      <c r="G230" t="s">
        <v>7</v>
      </c>
      <c r="H230" t="s">
        <v>58</v>
      </c>
      <c r="I230" t="s">
        <v>675</v>
      </c>
      <c r="J230">
        <v>1</v>
      </c>
      <c r="K230" t="s">
        <v>41</v>
      </c>
      <c r="L230">
        <v>1053</v>
      </c>
      <c r="M230" t="s">
        <v>77</v>
      </c>
    </row>
    <row r="231" spans="1:13">
      <c r="A231">
        <v>1075134</v>
      </c>
      <c r="B231" t="s">
        <v>676</v>
      </c>
      <c r="C231">
        <v>5</v>
      </c>
      <c r="D231" t="s">
        <v>594</v>
      </c>
      <c r="E231">
        <v>3</v>
      </c>
      <c r="F231" t="s">
        <v>2</v>
      </c>
      <c r="G231" t="s">
        <v>33</v>
      </c>
      <c r="H231" t="s">
        <v>56</v>
      </c>
      <c r="I231" t="s">
        <v>677</v>
      </c>
      <c r="J231">
        <v>1</v>
      </c>
      <c r="K231" t="s">
        <v>41</v>
      </c>
      <c r="L231">
        <v>3182</v>
      </c>
      <c r="M231" t="s">
        <v>77</v>
      </c>
    </row>
    <row r="232" spans="1:13">
      <c r="A232">
        <v>1075804</v>
      </c>
      <c r="B232" t="s">
        <v>678</v>
      </c>
      <c r="C232">
        <v>42</v>
      </c>
      <c r="D232" t="s">
        <v>560</v>
      </c>
      <c r="E232">
        <v>32</v>
      </c>
      <c r="F232" t="s">
        <v>32</v>
      </c>
      <c r="G232" t="s">
        <v>16</v>
      </c>
      <c r="H232" t="s">
        <v>60</v>
      </c>
      <c r="I232" t="s">
        <v>679</v>
      </c>
      <c r="J232">
        <v>2</v>
      </c>
      <c r="K232" t="s">
        <v>41</v>
      </c>
      <c r="L232">
        <v>1882</v>
      </c>
      <c r="M232" t="s">
        <v>77</v>
      </c>
    </row>
    <row r="233" spans="1:13">
      <c r="A233">
        <v>1076154</v>
      </c>
      <c r="B233" t="s">
        <v>680</v>
      </c>
      <c r="C233">
        <v>16</v>
      </c>
      <c r="D233" t="s">
        <v>681</v>
      </c>
      <c r="E233">
        <v>10</v>
      </c>
      <c r="F233" t="s">
        <v>10</v>
      </c>
      <c r="G233" t="s">
        <v>4</v>
      </c>
      <c r="H233" t="s">
        <v>56</v>
      </c>
      <c r="I233" t="s">
        <v>682</v>
      </c>
      <c r="J233">
        <v>1</v>
      </c>
      <c r="K233" t="s">
        <v>49</v>
      </c>
      <c r="L233">
        <v>3484</v>
      </c>
      <c r="M233" t="s">
        <v>77</v>
      </c>
    </row>
    <row r="234" spans="1:13">
      <c r="A234">
        <v>1076507</v>
      </c>
      <c r="B234" t="s">
        <v>683</v>
      </c>
      <c r="C234">
        <v>33</v>
      </c>
      <c r="D234" t="s">
        <v>444</v>
      </c>
      <c r="E234">
        <v>25</v>
      </c>
      <c r="F234" t="s">
        <v>12</v>
      </c>
      <c r="G234" t="s">
        <v>19</v>
      </c>
      <c r="H234" t="s">
        <v>57</v>
      </c>
      <c r="I234" t="s">
        <v>684</v>
      </c>
      <c r="J234">
        <v>3</v>
      </c>
      <c r="K234" t="s">
        <v>47</v>
      </c>
      <c r="L234">
        <v>8352</v>
      </c>
      <c r="M234" t="s">
        <v>77</v>
      </c>
    </row>
    <row r="235" spans="1:13">
      <c r="A235">
        <v>1076665</v>
      </c>
      <c r="B235" t="s">
        <v>685</v>
      </c>
      <c r="C235">
        <v>18</v>
      </c>
      <c r="D235" t="s">
        <v>444</v>
      </c>
      <c r="E235">
        <v>12</v>
      </c>
      <c r="F235" t="s">
        <v>25</v>
      </c>
      <c r="G235" t="s">
        <v>5</v>
      </c>
      <c r="H235" t="s">
        <v>60</v>
      </c>
      <c r="I235" t="s">
        <v>686</v>
      </c>
      <c r="J235">
        <v>2</v>
      </c>
      <c r="K235" t="s">
        <v>49</v>
      </c>
      <c r="L235">
        <v>2016</v>
      </c>
      <c r="M235" t="s">
        <v>77</v>
      </c>
    </row>
    <row r="236" spans="1:13">
      <c r="A236">
        <v>1076797</v>
      </c>
      <c r="B236" t="s">
        <v>687</v>
      </c>
      <c r="C236">
        <v>24</v>
      </c>
      <c r="D236" t="s">
        <v>688</v>
      </c>
      <c r="E236">
        <v>18</v>
      </c>
      <c r="F236" t="s">
        <v>12</v>
      </c>
      <c r="G236" t="s">
        <v>8</v>
      </c>
      <c r="H236" t="s">
        <v>56</v>
      </c>
      <c r="I236" t="s">
        <v>689</v>
      </c>
      <c r="J236">
        <v>1</v>
      </c>
      <c r="K236" t="s">
        <v>47</v>
      </c>
      <c r="L236">
        <v>3171</v>
      </c>
      <c r="M236" t="s">
        <v>77</v>
      </c>
    </row>
    <row r="237" spans="1:13">
      <c r="A237">
        <v>1076911</v>
      </c>
      <c r="B237" t="s">
        <v>690</v>
      </c>
      <c r="C237">
        <v>18</v>
      </c>
      <c r="D237" t="s">
        <v>691</v>
      </c>
      <c r="E237">
        <v>12</v>
      </c>
      <c r="F237" t="s">
        <v>25</v>
      </c>
      <c r="G237" t="s">
        <v>5</v>
      </c>
      <c r="H237" t="s">
        <v>60</v>
      </c>
      <c r="I237" t="s">
        <v>692</v>
      </c>
      <c r="J237">
        <v>2</v>
      </c>
      <c r="K237" t="s">
        <v>41</v>
      </c>
      <c r="L237">
        <v>2016</v>
      </c>
      <c r="M237" t="s">
        <v>77</v>
      </c>
    </row>
    <row r="238" spans="1:13">
      <c r="A238">
        <v>1077889</v>
      </c>
      <c r="B238" t="s">
        <v>693</v>
      </c>
      <c r="C238">
        <v>21</v>
      </c>
      <c r="D238" t="s">
        <v>688</v>
      </c>
      <c r="E238">
        <v>15</v>
      </c>
      <c r="F238" t="s">
        <v>7</v>
      </c>
      <c r="G238" t="s">
        <v>11</v>
      </c>
      <c r="H238" t="s">
        <v>57</v>
      </c>
      <c r="I238" t="s">
        <v>694</v>
      </c>
      <c r="J238">
        <v>5</v>
      </c>
      <c r="K238" t="s">
        <v>41</v>
      </c>
      <c r="L238">
        <v>12857</v>
      </c>
      <c r="M238" t="s">
        <v>77</v>
      </c>
    </row>
    <row r="239" spans="1:13">
      <c r="A239">
        <v>1077975</v>
      </c>
      <c r="B239" t="s">
        <v>695</v>
      </c>
      <c r="C239">
        <v>24</v>
      </c>
      <c r="D239" t="s">
        <v>688</v>
      </c>
      <c r="E239">
        <v>18</v>
      </c>
      <c r="F239" t="s">
        <v>12</v>
      </c>
      <c r="G239" t="s">
        <v>8</v>
      </c>
      <c r="H239" t="s">
        <v>56</v>
      </c>
      <c r="I239" t="s">
        <v>696</v>
      </c>
      <c r="J239">
        <v>1</v>
      </c>
      <c r="K239" t="s">
        <v>49</v>
      </c>
      <c r="L239">
        <v>3171</v>
      </c>
      <c r="M239" t="s">
        <v>77</v>
      </c>
    </row>
    <row r="240" spans="1:13">
      <c r="A240">
        <v>1078000</v>
      </c>
      <c r="B240" t="s">
        <v>697</v>
      </c>
      <c r="C240">
        <v>44</v>
      </c>
      <c r="D240" t="s">
        <v>591</v>
      </c>
      <c r="E240">
        <v>34</v>
      </c>
      <c r="F240" t="s">
        <v>28</v>
      </c>
      <c r="G240" t="s">
        <v>21</v>
      </c>
      <c r="H240" t="s">
        <v>58</v>
      </c>
      <c r="I240" t="s">
        <v>698</v>
      </c>
      <c r="J240">
        <v>5</v>
      </c>
      <c r="K240" t="s">
        <v>47</v>
      </c>
      <c r="L240">
        <v>4167</v>
      </c>
      <c r="M240" t="s">
        <v>77</v>
      </c>
    </row>
    <row r="241" spans="1:13">
      <c r="A241">
        <v>1078035</v>
      </c>
      <c r="B241" t="s">
        <v>699</v>
      </c>
      <c r="C241">
        <v>15</v>
      </c>
      <c r="D241" t="s">
        <v>700</v>
      </c>
      <c r="E241">
        <v>9</v>
      </c>
      <c r="F241" t="s">
        <v>4</v>
      </c>
      <c r="G241" t="s">
        <v>10</v>
      </c>
      <c r="H241" t="s">
        <v>57</v>
      </c>
      <c r="I241" t="s">
        <v>701</v>
      </c>
      <c r="J241">
        <v>1</v>
      </c>
      <c r="K241" t="s">
        <v>41</v>
      </c>
      <c r="M241" t="s">
        <v>77</v>
      </c>
    </row>
    <row r="242" spans="1:13">
      <c r="A242">
        <v>1078216</v>
      </c>
      <c r="B242" t="s">
        <v>702</v>
      </c>
      <c r="C242">
        <v>41</v>
      </c>
      <c r="D242" t="s">
        <v>703</v>
      </c>
      <c r="E242">
        <v>31</v>
      </c>
      <c r="F242" t="s">
        <v>16</v>
      </c>
      <c r="G242" t="s">
        <v>32</v>
      </c>
      <c r="H242" t="s">
        <v>60</v>
      </c>
      <c r="I242" t="s">
        <v>704</v>
      </c>
      <c r="J242">
        <v>1</v>
      </c>
      <c r="K242" t="s">
        <v>41</v>
      </c>
      <c r="L242">
        <v>941</v>
      </c>
      <c r="M242" t="s">
        <v>77</v>
      </c>
    </row>
    <row r="243" spans="1:13">
      <c r="A243">
        <v>1078604</v>
      </c>
      <c r="B243" t="s">
        <v>705</v>
      </c>
      <c r="C243">
        <v>44</v>
      </c>
      <c r="D243" t="s">
        <v>591</v>
      </c>
      <c r="E243">
        <v>34</v>
      </c>
      <c r="F243" t="s">
        <v>28</v>
      </c>
      <c r="G243" t="s">
        <v>21</v>
      </c>
      <c r="H243" t="s">
        <v>60</v>
      </c>
      <c r="I243" t="s">
        <v>706</v>
      </c>
      <c r="J243">
        <v>1</v>
      </c>
      <c r="K243" t="s">
        <v>41</v>
      </c>
      <c r="L243">
        <v>753</v>
      </c>
      <c r="M243" t="s">
        <v>77</v>
      </c>
    </row>
    <row r="244" spans="1:13">
      <c r="A244">
        <v>1078946</v>
      </c>
      <c r="B244" t="s">
        <v>707</v>
      </c>
      <c r="C244">
        <v>9</v>
      </c>
      <c r="D244" t="s">
        <v>708</v>
      </c>
      <c r="E244">
        <v>5</v>
      </c>
      <c r="F244" t="s">
        <v>3</v>
      </c>
      <c r="G244" t="s">
        <v>16</v>
      </c>
      <c r="H244" t="s">
        <v>60</v>
      </c>
      <c r="I244" t="s">
        <v>709</v>
      </c>
      <c r="J244">
        <v>1</v>
      </c>
      <c r="K244" t="s">
        <v>41</v>
      </c>
      <c r="L244">
        <v>288</v>
      </c>
      <c r="M244" t="s">
        <v>77</v>
      </c>
    </row>
    <row r="245" spans="1:13">
      <c r="A245">
        <v>1079358</v>
      </c>
      <c r="B245" t="s">
        <v>710</v>
      </c>
      <c r="C245">
        <v>47</v>
      </c>
      <c r="D245" t="s">
        <v>629</v>
      </c>
      <c r="E245">
        <v>35</v>
      </c>
      <c r="F245" t="s">
        <v>22</v>
      </c>
      <c r="G245" t="s">
        <v>29</v>
      </c>
      <c r="H245" t="s">
        <v>57</v>
      </c>
      <c r="I245" t="s">
        <v>711</v>
      </c>
      <c r="J245">
        <v>4</v>
      </c>
      <c r="K245" t="s">
        <v>45</v>
      </c>
      <c r="L245">
        <v>12492</v>
      </c>
      <c r="M245" t="s">
        <v>77</v>
      </c>
    </row>
    <row r="246" spans="1:13">
      <c r="A246">
        <v>1079788</v>
      </c>
      <c r="B246" t="s">
        <v>712</v>
      </c>
      <c r="C246">
        <v>36</v>
      </c>
      <c r="D246" t="s">
        <v>545</v>
      </c>
      <c r="E246">
        <v>26</v>
      </c>
      <c r="F246" t="s">
        <v>19</v>
      </c>
      <c r="G246" t="s">
        <v>12</v>
      </c>
      <c r="H246" t="s">
        <v>57</v>
      </c>
      <c r="I246" t="s">
        <v>713</v>
      </c>
      <c r="J246">
        <v>3</v>
      </c>
      <c r="K246" t="s">
        <v>41</v>
      </c>
      <c r="L246">
        <v>8352</v>
      </c>
      <c r="M246" t="s">
        <v>77</v>
      </c>
    </row>
    <row r="247" spans="1:13">
      <c r="A247">
        <v>1079819</v>
      </c>
      <c r="B247" t="s">
        <v>714</v>
      </c>
      <c r="C247">
        <v>8</v>
      </c>
      <c r="D247" t="s">
        <v>688</v>
      </c>
      <c r="E247">
        <v>4</v>
      </c>
      <c r="F247" t="s">
        <v>33</v>
      </c>
      <c r="G247" t="s">
        <v>2</v>
      </c>
      <c r="H247" t="s">
        <v>60</v>
      </c>
      <c r="I247" t="s">
        <v>715</v>
      </c>
      <c r="J247">
        <v>2</v>
      </c>
      <c r="K247" t="s">
        <v>49</v>
      </c>
      <c r="L247">
        <v>1653</v>
      </c>
      <c r="M247" t="s">
        <v>77</v>
      </c>
    </row>
    <row r="248" spans="1:13">
      <c r="A248">
        <v>1080019</v>
      </c>
      <c r="B248" t="s">
        <v>716</v>
      </c>
      <c r="C248">
        <v>44</v>
      </c>
      <c r="D248" t="s">
        <v>591</v>
      </c>
      <c r="E248">
        <v>34</v>
      </c>
      <c r="F248" t="s">
        <v>28</v>
      </c>
      <c r="G248" t="s">
        <v>21</v>
      </c>
      <c r="H248" t="s">
        <v>60</v>
      </c>
      <c r="I248" t="s">
        <v>717</v>
      </c>
      <c r="J248">
        <v>1</v>
      </c>
      <c r="K248" t="s">
        <v>41</v>
      </c>
      <c r="L248">
        <v>753</v>
      </c>
      <c r="M248" t="s">
        <v>77</v>
      </c>
    </row>
    <row r="249" spans="1:13">
      <c r="A249">
        <v>1080555</v>
      </c>
      <c r="B249" t="s">
        <v>718</v>
      </c>
      <c r="C249">
        <v>35</v>
      </c>
      <c r="D249" t="s">
        <v>719</v>
      </c>
      <c r="E249">
        <v>25</v>
      </c>
      <c r="F249" t="s">
        <v>12</v>
      </c>
      <c r="G249" t="s">
        <v>19</v>
      </c>
      <c r="H249" t="s">
        <v>57</v>
      </c>
      <c r="I249" t="s">
        <v>720</v>
      </c>
      <c r="J249">
        <v>1</v>
      </c>
      <c r="K249" t="s">
        <v>41</v>
      </c>
      <c r="L249">
        <v>2784</v>
      </c>
      <c r="M249" t="s">
        <v>77</v>
      </c>
    </row>
    <row r="250" spans="1:13">
      <c r="A250">
        <v>1080584</v>
      </c>
      <c r="B250" t="s">
        <v>721</v>
      </c>
      <c r="C250">
        <v>48</v>
      </c>
      <c r="D250" t="s">
        <v>722</v>
      </c>
      <c r="E250">
        <v>36</v>
      </c>
      <c r="F250" t="s">
        <v>29</v>
      </c>
      <c r="G250" t="s">
        <v>22</v>
      </c>
      <c r="H250" t="s">
        <v>58</v>
      </c>
      <c r="I250" t="s">
        <v>723</v>
      </c>
      <c r="J250">
        <v>2</v>
      </c>
      <c r="K250" t="s">
        <v>41</v>
      </c>
      <c r="L250">
        <v>2352</v>
      </c>
      <c r="M250" t="s">
        <v>77</v>
      </c>
    </row>
    <row r="251" spans="1:13">
      <c r="A251">
        <v>1080622</v>
      </c>
      <c r="B251" t="s">
        <v>724</v>
      </c>
      <c r="C251">
        <v>50</v>
      </c>
      <c r="D251" t="s">
        <v>575</v>
      </c>
      <c r="E251">
        <v>38</v>
      </c>
      <c r="F251" t="s">
        <v>31</v>
      </c>
      <c r="G251" t="s">
        <v>24</v>
      </c>
      <c r="H251" t="s">
        <v>58</v>
      </c>
      <c r="I251" t="s">
        <v>725</v>
      </c>
      <c r="J251">
        <v>1</v>
      </c>
      <c r="K251" t="s">
        <v>41</v>
      </c>
      <c r="L251">
        <v>1243</v>
      </c>
      <c r="M251" t="s">
        <v>77</v>
      </c>
    </row>
    <row r="252" spans="1:13">
      <c r="A252">
        <v>1080665</v>
      </c>
      <c r="B252" t="s">
        <v>726</v>
      </c>
      <c r="C252">
        <v>31</v>
      </c>
      <c r="D252" t="s">
        <v>727</v>
      </c>
      <c r="E252">
        <v>23</v>
      </c>
      <c r="F252" t="s">
        <v>10</v>
      </c>
      <c r="G252" t="s">
        <v>20</v>
      </c>
      <c r="H252" t="s">
        <v>58</v>
      </c>
      <c r="I252" t="s">
        <v>728</v>
      </c>
      <c r="J252">
        <v>1</v>
      </c>
      <c r="K252" t="s">
        <v>41</v>
      </c>
      <c r="L252">
        <v>393</v>
      </c>
      <c r="M252" t="s">
        <v>77</v>
      </c>
    </row>
    <row r="253" spans="1:13">
      <c r="A253">
        <v>1080716</v>
      </c>
      <c r="B253" t="s">
        <v>729</v>
      </c>
      <c r="C253">
        <v>44</v>
      </c>
      <c r="D253" t="s">
        <v>730</v>
      </c>
      <c r="E253">
        <v>34</v>
      </c>
      <c r="F253" t="s">
        <v>28</v>
      </c>
      <c r="G253" t="s">
        <v>21</v>
      </c>
      <c r="H253" t="s">
        <v>57</v>
      </c>
      <c r="I253" t="s">
        <v>731</v>
      </c>
      <c r="J253">
        <v>2</v>
      </c>
      <c r="K253" t="s">
        <v>41</v>
      </c>
      <c r="L253">
        <v>4804</v>
      </c>
      <c r="M253" t="s">
        <v>77</v>
      </c>
    </row>
    <row r="254" spans="1:13">
      <c r="A254">
        <v>1080854</v>
      </c>
      <c r="B254" t="s">
        <v>732</v>
      </c>
      <c r="C254">
        <v>11</v>
      </c>
      <c r="D254" t="s">
        <v>545</v>
      </c>
      <c r="E254">
        <v>7</v>
      </c>
      <c r="F254" t="s">
        <v>3</v>
      </c>
      <c r="G254" t="s">
        <v>18</v>
      </c>
      <c r="H254" t="s">
        <v>56</v>
      </c>
      <c r="I254" t="s">
        <v>733</v>
      </c>
      <c r="J254">
        <v>1</v>
      </c>
      <c r="K254" t="s">
        <v>41</v>
      </c>
      <c r="L254">
        <v>2658</v>
      </c>
      <c r="M254" t="s">
        <v>77</v>
      </c>
    </row>
    <row r="255" spans="1:13">
      <c r="A255">
        <v>1081189</v>
      </c>
      <c r="B255" t="s">
        <v>734</v>
      </c>
      <c r="C255">
        <v>2</v>
      </c>
      <c r="D255" t="s">
        <v>722</v>
      </c>
      <c r="E255">
        <v>2</v>
      </c>
      <c r="F255" t="s">
        <v>27</v>
      </c>
      <c r="G255" t="s">
        <v>2</v>
      </c>
      <c r="H255" t="s">
        <v>58</v>
      </c>
      <c r="I255" t="s">
        <v>735</v>
      </c>
      <c r="J255">
        <v>1</v>
      </c>
      <c r="K255" t="s">
        <v>37</v>
      </c>
      <c r="L255">
        <v>1657</v>
      </c>
      <c r="M255" t="s">
        <v>77</v>
      </c>
    </row>
    <row r="256" spans="1:13">
      <c r="A256">
        <v>1081720</v>
      </c>
      <c r="B256" t="s">
        <v>736</v>
      </c>
      <c r="C256">
        <v>8</v>
      </c>
      <c r="D256" t="s">
        <v>737</v>
      </c>
      <c r="E256">
        <v>4</v>
      </c>
      <c r="F256" t="s">
        <v>33</v>
      </c>
      <c r="G256" t="s">
        <v>2</v>
      </c>
      <c r="H256" t="s">
        <v>57</v>
      </c>
      <c r="I256" t="s">
        <v>738</v>
      </c>
      <c r="J256">
        <v>1</v>
      </c>
      <c r="K256" t="s">
        <v>41</v>
      </c>
      <c r="L256">
        <v>3520</v>
      </c>
      <c r="M256" t="s">
        <v>77</v>
      </c>
    </row>
    <row r="257" spans="1:13">
      <c r="A257">
        <v>1081876</v>
      </c>
      <c r="B257" t="s">
        <v>739</v>
      </c>
      <c r="C257">
        <v>48</v>
      </c>
      <c r="D257" t="s">
        <v>730</v>
      </c>
      <c r="E257">
        <v>36</v>
      </c>
      <c r="F257" t="s">
        <v>29</v>
      </c>
      <c r="G257" t="s">
        <v>22</v>
      </c>
      <c r="H257" t="s">
        <v>58</v>
      </c>
      <c r="I257" t="s">
        <v>740</v>
      </c>
      <c r="J257">
        <v>2</v>
      </c>
      <c r="K257" t="s">
        <v>41</v>
      </c>
      <c r="L257">
        <v>2352</v>
      </c>
      <c r="M257" t="s">
        <v>77</v>
      </c>
    </row>
    <row r="258" spans="1:13">
      <c r="A258">
        <v>1082449</v>
      </c>
      <c r="B258" t="s">
        <v>741</v>
      </c>
      <c r="C258">
        <v>11</v>
      </c>
      <c r="D258" t="s">
        <v>545</v>
      </c>
      <c r="E258">
        <v>7</v>
      </c>
      <c r="F258" t="s">
        <v>3</v>
      </c>
      <c r="G258" t="s">
        <v>18</v>
      </c>
      <c r="H258" t="s">
        <v>57</v>
      </c>
      <c r="I258" t="s">
        <v>742</v>
      </c>
      <c r="J258">
        <v>1</v>
      </c>
      <c r="K258" t="s">
        <v>41</v>
      </c>
      <c r="L258">
        <v>1854</v>
      </c>
      <c r="M258" t="s">
        <v>77</v>
      </c>
    </row>
    <row r="259" spans="1:13">
      <c r="A259">
        <v>1083870</v>
      </c>
      <c r="B259" t="s">
        <v>743</v>
      </c>
      <c r="C259">
        <v>10</v>
      </c>
      <c r="D259" t="s">
        <v>727</v>
      </c>
      <c r="E259">
        <v>6</v>
      </c>
      <c r="F259" t="s">
        <v>16</v>
      </c>
      <c r="G259" t="s">
        <v>3</v>
      </c>
      <c r="H259" t="s">
        <v>58</v>
      </c>
      <c r="I259" t="s">
        <v>744</v>
      </c>
      <c r="J259">
        <v>6</v>
      </c>
      <c r="K259" t="s">
        <v>41</v>
      </c>
      <c r="L259">
        <v>2088</v>
      </c>
      <c r="M259" t="s">
        <v>77</v>
      </c>
    </row>
    <row r="260" spans="1:13">
      <c r="A260">
        <v>1084581</v>
      </c>
      <c r="B260" t="s">
        <v>745</v>
      </c>
      <c r="C260">
        <v>13</v>
      </c>
      <c r="D260" t="s">
        <v>746</v>
      </c>
      <c r="E260">
        <v>9</v>
      </c>
      <c r="F260" t="s">
        <v>4</v>
      </c>
      <c r="G260" t="s">
        <v>10</v>
      </c>
      <c r="H260" t="s">
        <v>57</v>
      </c>
      <c r="I260" t="s">
        <v>747</v>
      </c>
      <c r="J260">
        <v>5</v>
      </c>
      <c r="K260" t="s">
        <v>41</v>
      </c>
      <c r="L260">
        <v>15130</v>
      </c>
      <c r="M260" t="s">
        <v>77</v>
      </c>
    </row>
    <row r="261" spans="1:13">
      <c r="A261">
        <v>1084587</v>
      </c>
      <c r="B261" t="s">
        <v>748</v>
      </c>
      <c r="C261">
        <v>15</v>
      </c>
      <c r="D261" t="s">
        <v>518</v>
      </c>
      <c r="E261">
        <v>9</v>
      </c>
      <c r="F261" t="s">
        <v>4</v>
      </c>
      <c r="G261" t="s">
        <v>10</v>
      </c>
      <c r="H261" t="s">
        <v>58</v>
      </c>
      <c r="I261" t="s">
        <v>749</v>
      </c>
      <c r="J261">
        <v>1</v>
      </c>
      <c r="K261" t="s">
        <v>41</v>
      </c>
      <c r="L261">
        <v>916</v>
      </c>
      <c r="M261" t="s">
        <v>77</v>
      </c>
    </row>
    <row r="262" spans="1:13">
      <c r="A262">
        <v>1084667</v>
      </c>
      <c r="B262" t="s">
        <v>750</v>
      </c>
      <c r="C262">
        <v>51</v>
      </c>
      <c r="D262" t="s">
        <v>545</v>
      </c>
      <c r="E262">
        <v>39</v>
      </c>
      <c r="F262" t="s">
        <v>26</v>
      </c>
      <c r="G262" t="s">
        <v>30</v>
      </c>
      <c r="H262" t="s">
        <v>56</v>
      </c>
      <c r="I262" t="s">
        <v>751</v>
      </c>
      <c r="J262">
        <v>3</v>
      </c>
      <c r="K262" t="s">
        <v>47</v>
      </c>
      <c r="L262">
        <v>7143</v>
      </c>
      <c r="M262" t="s">
        <v>77</v>
      </c>
    </row>
    <row r="263" spans="1:13">
      <c r="A263">
        <v>1084927</v>
      </c>
      <c r="B263" t="s">
        <v>752</v>
      </c>
      <c r="C263">
        <v>36</v>
      </c>
      <c r="D263" t="s">
        <v>545</v>
      </c>
      <c r="E263">
        <v>26</v>
      </c>
      <c r="F263" t="s">
        <v>19</v>
      </c>
      <c r="G263" t="s">
        <v>12</v>
      </c>
      <c r="H263" t="s">
        <v>58</v>
      </c>
      <c r="I263" t="s">
        <v>753</v>
      </c>
      <c r="J263">
        <v>4</v>
      </c>
      <c r="K263" t="s">
        <v>41</v>
      </c>
      <c r="L263">
        <v>4196</v>
      </c>
      <c r="M263" t="s">
        <v>77</v>
      </c>
    </row>
    <row r="264" spans="1:13">
      <c r="A264">
        <v>1085292</v>
      </c>
      <c r="B264" t="s">
        <v>754</v>
      </c>
      <c r="C264">
        <v>21</v>
      </c>
      <c r="D264" t="s">
        <v>755</v>
      </c>
      <c r="E264">
        <v>15</v>
      </c>
      <c r="F264" t="s">
        <v>7</v>
      </c>
      <c r="G264" t="s">
        <v>11</v>
      </c>
      <c r="H264" t="s">
        <v>57</v>
      </c>
      <c r="I264" t="s">
        <v>756</v>
      </c>
      <c r="J264">
        <v>1</v>
      </c>
      <c r="K264" t="s">
        <v>41</v>
      </c>
      <c r="L264">
        <v>2795</v>
      </c>
      <c r="M264" t="s">
        <v>77</v>
      </c>
    </row>
    <row r="265" spans="1:13">
      <c r="A265">
        <v>1085418</v>
      </c>
      <c r="B265" t="s">
        <v>757</v>
      </c>
      <c r="C265">
        <v>45</v>
      </c>
      <c r="D265" t="s">
        <v>758</v>
      </c>
      <c r="E265">
        <v>33</v>
      </c>
      <c r="F265" t="s">
        <v>21</v>
      </c>
      <c r="G265" t="s">
        <v>28</v>
      </c>
      <c r="H265" t="s">
        <v>57</v>
      </c>
      <c r="I265" t="s">
        <v>759</v>
      </c>
      <c r="J265">
        <v>1</v>
      </c>
      <c r="K265" t="s">
        <v>41</v>
      </c>
      <c r="L265">
        <v>2520</v>
      </c>
      <c r="M265" t="s">
        <v>77</v>
      </c>
    </row>
    <row r="266" spans="1:13">
      <c r="A266">
        <v>1085662</v>
      </c>
      <c r="B266" t="s">
        <v>760</v>
      </c>
      <c r="C266">
        <v>48</v>
      </c>
      <c r="D266" t="s">
        <v>722</v>
      </c>
      <c r="E266">
        <v>36</v>
      </c>
      <c r="F266" t="s">
        <v>29</v>
      </c>
      <c r="G266" t="s">
        <v>22</v>
      </c>
      <c r="H266" t="s">
        <v>58</v>
      </c>
      <c r="I266" t="s">
        <v>761</v>
      </c>
      <c r="J266">
        <v>2</v>
      </c>
      <c r="K266" t="s">
        <v>41</v>
      </c>
      <c r="L266">
        <v>1764</v>
      </c>
      <c r="M266" t="s">
        <v>77</v>
      </c>
    </row>
    <row r="267" spans="1:13">
      <c r="A267">
        <v>1087131</v>
      </c>
      <c r="B267" t="s">
        <v>762</v>
      </c>
      <c r="C267">
        <v>15</v>
      </c>
      <c r="D267" t="s">
        <v>518</v>
      </c>
      <c r="E267">
        <v>9</v>
      </c>
      <c r="F267" t="s">
        <v>4</v>
      </c>
      <c r="G267" t="s">
        <v>10</v>
      </c>
      <c r="H267" t="s">
        <v>60</v>
      </c>
      <c r="I267" t="s">
        <v>763</v>
      </c>
      <c r="J267">
        <v>6</v>
      </c>
      <c r="K267" t="s">
        <v>49</v>
      </c>
      <c r="L267">
        <v>4267</v>
      </c>
      <c r="M267" t="s">
        <v>77</v>
      </c>
    </row>
    <row r="268" spans="1:13">
      <c r="A268">
        <v>1087348</v>
      </c>
      <c r="B268" t="s">
        <v>764</v>
      </c>
      <c r="C268">
        <v>26</v>
      </c>
      <c r="D268" t="s">
        <v>765</v>
      </c>
      <c r="E268">
        <v>20</v>
      </c>
      <c r="F268" t="s">
        <v>13</v>
      </c>
      <c r="G268" t="s">
        <v>8</v>
      </c>
      <c r="H268" t="s">
        <v>58</v>
      </c>
      <c r="I268" t="s">
        <v>766</v>
      </c>
      <c r="J268">
        <v>2</v>
      </c>
      <c r="K268" t="s">
        <v>41</v>
      </c>
      <c r="L268">
        <v>1740</v>
      </c>
      <c r="M268" t="s">
        <v>77</v>
      </c>
    </row>
    <row r="269" spans="1:13">
      <c r="A269">
        <v>1088056</v>
      </c>
      <c r="B269" t="s">
        <v>767</v>
      </c>
      <c r="C269">
        <v>39</v>
      </c>
      <c r="D269" t="s">
        <v>669</v>
      </c>
      <c r="F269" t="s">
        <v>15</v>
      </c>
      <c r="G269" t="s">
        <v>23</v>
      </c>
      <c r="H269" t="s">
        <v>56</v>
      </c>
      <c r="I269" t="s">
        <v>768</v>
      </c>
      <c r="J269">
        <v>2</v>
      </c>
      <c r="K269" t="s">
        <v>41</v>
      </c>
      <c r="L269">
        <v>8284</v>
      </c>
      <c r="M269" t="s">
        <v>77</v>
      </c>
    </row>
    <row r="270" spans="1:13">
      <c r="A270">
        <v>1089984</v>
      </c>
      <c r="B270" t="s">
        <v>769</v>
      </c>
      <c r="C270">
        <v>45</v>
      </c>
      <c r="D270" t="s">
        <v>650</v>
      </c>
      <c r="E270">
        <v>33</v>
      </c>
      <c r="F270" t="s">
        <v>21</v>
      </c>
      <c r="G270" t="s">
        <v>28</v>
      </c>
      <c r="H270" t="s">
        <v>60</v>
      </c>
      <c r="I270" t="s">
        <v>770</v>
      </c>
      <c r="J270">
        <v>1</v>
      </c>
      <c r="K270" t="s">
        <v>41</v>
      </c>
      <c r="L270">
        <v>790</v>
      </c>
      <c r="M270" t="s">
        <v>77</v>
      </c>
    </row>
    <row r="271" spans="1:13">
      <c r="A271">
        <v>1090224</v>
      </c>
      <c r="B271" t="s">
        <v>771</v>
      </c>
      <c r="C271">
        <v>18</v>
      </c>
      <c r="D271" t="s">
        <v>691</v>
      </c>
      <c r="E271">
        <v>12</v>
      </c>
      <c r="F271" t="s">
        <v>25</v>
      </c>
      <c r="G271" t="s">
        <v>5</v>
      </c>
      <c r="H271" t="s">
        <v>60</v>
      </c>
      <c r="I271" t="s">
        <v>772</v>
      </c>
      <c r="J271">
        <v>1</v>
      </c>
      <c r="K271" t="s">
        <v>41</v>
      </c>
      <c r="L271">
        <v>1008</v>
      </c>
      <c r="M271" t="s">
        <v>77</v>
      </c>
    </row>
    <row r="272" spans="1:13">
      <c r="A272">
        <v>1090748</v>
      </c>
      <c r="B272" t="s">
        <v>773</v>
      </c>
      <c r="C272">
        <v>45</v>
      </c>
      <c r="D272" t="s">
        <v>650</v>
      </c>
      <c r="E272">
        <v>33</v>
      </c>
      <c r="F272" t="s">
        <v>21</v>
      </c>
      <c r="G272" t="s">
        <v>28</v>
      </c>
      <c r="H272" t="s">
        <v>58</v>
      </c>
      <c r="I272" t="s">
        <v>774</v>
      </c>
      <c r="J272">
        <v>1</v>
      </c>
      <c r="K272" t="s">
        <v>49</v>
      </c>
      <c r="L272">
        <v>950</v>
      </c>
      <c r="M272" t="s">
        <v>77</v>
      </c>
    </row>
    <row r="273" spans="1:13">
      <c r="A273">
        <v>1091321</v>
      </c>
      <c r="B273" t="s">
        <v>775</v>
      </c>
      <c r="C273">
        <v>52</v>
      </c>
      <c r="D273" t="s">
        <v>776</v>
      </c>
      <c r="E273">
        <v>40</v>
      </c>
      <c r="F273" t="s">
        <v>30</v>
      </c>
      <c r="G273" t="s">
        <v>26</v>
      </c>
      <c r="H273" t="s">
        <v>58</v>
      </c>
      <c r="I273" t="s">
        <v>777</v>
      </c>
      <c r="J273">
        <v>1</v>
      </c>
      <c r="K273" t="s">
        <v>41</v>
      </c>
      <c r="L273">
        <v>854</v>
      </c>
      <c r="M273" t="s">
        <v>77</v>
      </c>
    </row>
    <row r="274" spans="1:13">
      <c r="A274">
        <v>1091765</v>
      </c>
      <c r="B274" t="s">
        <v>778</v>
      </c>
      <c r="C274">
        <v>32</v>
      </c>
      <c r="D274" t="s">
        <v>779</v>
      </c>
      <c r="E274">
        <v>24</v>
      </c>
      <c r="F274" t="s">
        <v>20</v>
      </c>
      <c r="G274" t="s">
        <v>10</v>
      </c>
      <c r="H274" t="s">
        <v>60</v>
      </c>
      <c r="I274" t="s">
        <v>780</v>
      </c>
      <c r="J274">
        <v>2</v>
      </c>
      <c r="K274" t="s">
        <v>41</v>
      </c>
      <c r="L274">
        <v>1088</v>
      </c>
      <c r="M274" t="s">
        <v>77</v>
      </c>
    </row>
    <row r="275" spans="1:13">
      <c r="A275">
        <v>1091769</v>
      </c>
      <c r="B275" t="s">
        <v>781</v>
      </c>
      <c r="C275">
        <v>52</v>
      </c>
      <c r="D275" t="s">
        <v>776</v>
      </c>
      <c r="E275">
        <v>40</v>
      </c>
      <c r="F275" t="s">
        <v>30</v>
      </c>
      <c r="G275" t="s">
        <v>26</v>
      </c>
      <c r="H275" t="s">
        <v>60</v>
      </c>
      <c r="I275" t="s">
        <v>782</v>
      </c>
      <c r="J275">
        <v>6</v>
      </c>
      <c r="K275" t="s">
        <v>49</v>
      </c>
      <c r="L275">
        <v>3266</v>
      </c>
      <c r="M275" t="s">
        <v>77</v>
      </c>
    </row>
    <row r="276" spans="1:13">
      <c r="A276">
        <v>1091959</v>
      </c>
      <c r="B276" t="s">
        <v>783</v>
      </c>
      <c r="C276">
        <v>48</v>
      </c>
      <c r="D276" t="s">
        <v>730</v>
      </c>
      <c r="E276">
        <v>36</v>
      </c>
      <c r="F276" t="s">
        <v>29</v>
      </c>
      <c r="G276" t="s">
        <v>22</v>
      </c>
      <c r="H276" t="s">
        <v>58</v>
      </c>
      <c r="I276" t="s">
        <v>784</v>
      </c>
      <c r="J276">
        <v>1</v>
      </c>
      <c r="K276" t="s">
        <v>41</v>
      </c>
      <c r="L276">
        <v>1176</v>
      </c>
      <c r="M276" t="s">
        <v>77</v>
      </c>
    </row>
    <row r="277" spans="1:13">
      <c r="A277">
        <v>1092107</v>
      </c>
      <c r="B277" t="s">
        <v>785</v>
      </c>
      <c r="C277">
        <v>48</v>
      </c>
      <c r="D277" t="s">
        <v>730</v>
      </c>
      <c r="E277">
        <v>36</v>
      </c>
      <c r="F277" t="s">
        <v>29</v>
      </c>
      <c r="G277" t="s">
        <v>22</v>
      </c>
      <c r="H277" t="s">
        <v>58</v>
      </c>
      <c r="I277" t="s">
        <v>786</v>
      </c>
      <c r="J277">
        <v>1</v>
      </c>
      <c r="K277" t="s">
        <v>41</v>
      </c>
      <c r="L277">
        <v>1176</v>
      </c>
      <c r="M277" t="s">
        <v>77</v>
      </c>
    </row>
    <row r="278" spans="1:13">
      <c r="A278">
        <v>1092320</v>
      </c>
      <c r="B278" t="s">
        <v>787</v>
      </c>
      <c r="C278">
        <v>40</v>
      </c>
      <c r="D278" t="s">
        <v>788</v>
      </c>
      <c r="E278">
        <v>30</v>
      </c>
      <c r="F278" t="s">
        <v>23</v>
      </c>
      <c r="G278" t="s">
        <v>15</v>
      </c>
      <c r="H278" t="s">
        <v>57</v>
      </c>
      <c r="I278" t="s">
        <v>789</v>
      </c>
      <c r="J278">
        <v>4</v>
      </c>
      <c r="K278" t="s">
        <v>41</v>
      </c>
      <c r="L278">
        <v>10101</v>
      </c>
      <c r="M278" t="s">
        <v>77</v>
      </c>
    </row>
    <row r="279" spans="1:13">
      <c r="A279">
        <v>1092995</v>
      </c>
      <c r="B279" t="s">
        <v>790</v>
      </c>
      <c r="C279">
        <v>16</v>
      </c>
      <c r="D279" t="s">
        <v>791</v>
      </c>
      <c r="E279">
        <v>10</v>
      </c>
      <c r="F279" t="s">
        <v>10</v>
      </c>
      <c r="G279" t="s">
        <v>4</v>
      </c>
      <c r="H279" t="s">
        <v>57</v>
      </c>
      <c r="I279" t="s">
        <v>792</v>
      </c>
      <c r="J279">
        <v>1</v>
      </c>
      <c r="K279" t="s">
        <v>41</v>
      </c>
      <c r="L279">
        <v>2429</v>
      </c>
      <c r="M279" t="s">
        <v>77</v>
      </c>
    </row>
    <row r="280" spans="1:13">
      <c r="A280">
        <v>1093380</v>
      </c>
      <c r="B280" t="s">
        <v>793</v>
      </c>
      <c r="C280">
        <v>36</v>
      </c>
      <c r="D280" t="s">
        <v>719</v>
      </c>
      <c r="E280">
        <v>26</v>
      </c>
      <c r="F280" t="s">
        <v>19</v>
      </c>
      <c r="G280" t="s">
        <v>12</v>
      </c>
      <c r="H280" t="s">
        <v>57</v>
      </c>
      <c r="I280" t="s">
        <v>794</v>
      </c>
      <c r="J280">
        <v>1</v>
      </c>
      <c r="K280" t="s">
        <v>41</v>
      </c>
      <c r="L280">
        <v>2784</v>
      </c>
      <c r="M280" t="s">
        <v>77</v>
      </c>
    </row>
    <row r="281" spans="1:13">
      <c r="A281">
        <v>1094153</v>
      </c>
      <c r="B281" t="s">
        <v>795</v>
      </c>
      <c r="C281">
        <v>47</v>
      </c>
      <c r="D281" t="s">
        <v>796</v>
      </c>
      <c r="E281">
        <v>35</v>
      </c>
      <c r="F281" t="s">
        <v>22</v>
      </c>
      <c r="G281" t="s">
        <v>29</v>
      </c>
      <c r="H281" t="s">
        <v>58</v>
      </c>
      <c r="I281" t="s">
        <v>797</v>
      </c>
      <c r="J281">
        <v>1</v>
      </c>
      <c r="K281" t="s">
        <v>41</v>
      </c>
      <c r="L281">
        <v>1176</v>
      </c>
      <c r="M281" t="s">
        <v>77</v>
      </c>
    </row>
    <row r="282" spans="1:13">
      <c r="A282">
        <v>1095527</v>
      </c>
      <c r="B282" t="s">
        <v>798</v>
      </c>
      <c r="C282">
        <v>48</v>
      </c>
      <c r="D282" t="s">
        <v>799</v>
      </c>
      <c r="E282">
        <v>36</v>
      </c>
      <c r="F282" t="s">
        <v>29</v>
      </c>
      <c r="G282" t="s">
        <v>22</v>
      </c>
      <c r="H282" t="s">
        <v>56</v>
      </c>
      <c r="I282" t="s">
        <v>800</v>
      </c>
      <c r="J282">
        <v>6</v>
      </c>
      <c r="K282" t="s">
        <v>37</v>
      </c>
      <c r="L282">
        <v>23306</v>
      </c>
      <c r="M282" t="s">
        <v>77</v>
      </c>
    </row>
    <row r="283" spans="1:13">
      <c r="A283">
        <v>1096099</v>
      </c>
      <c r="B283" t="s">
        <v>801</v>
      </c>
      <c r="C283">
        <v>30</v>
      </c>
      <c r="D283" t="s">
        <v>802</v>
      </c>
      <c r="E283">
        <v>24</v>
      </c>
      <c r="F283" t="s">
        <v>20</v>
      </c>
      <c r="G283" t="s">
        <v>10</v>
      </c>
      <c r="H283" t="s">
        <v>58</v>
      </c>
      <c r="I283" t="s">
        <v>803</v>
      </c>
      <c r="J283">
        <v>2</v>
      </c>
      <c r="K283" t="s">
        <v>41</v>
      </c>
      <c r="L283" t="s">
        <v>804</v>
      </c>
      <c r="M283" t="s">
        <v>77</v>
      </c>
    </row>
    <row r="284" spans="1:13">
      <c r="A284">
        <v>1096350</v>
      </c>
      <c r="B284" t="s">
        <v>805</v>
      </c>
      <c r="C284">
        <v>37</v>
      </c>
      <c r="D284" t="s">
        <v>806</v>
      </c>
      <c r="E284">
        <v>27</v>
      </c>
      <c r="F284" t="s">
        <v>14</v>
      </c>
      <c r="G284" t="s">
        <v>27</v>
      </c>
      <c r="H284" t="s">
        <v>57</v>
      </c>
      <c r="I284" t="s">
        <v>807</v>
      </c>
      <c r="J284">
        <v>3</v>
      </c>
      <c r="K284" t="s">
        <v>37</v>
      </c>
      <c r="L284">
        <v>4175</v>
      </c>
      <c r="M284" t="s">
        <v>77</v>
      </c>
    </row>
    <row r="285" spans="1:13">
      <c r="A285">
        <v>1096648</v>
      </c>
      <c r="B285" t="s">
        <v>808</v>
      </c>
      <c r="C285">
        <v>1</v>
      </c>
      <c r="D285" t="s">
        <v>809</v>
      </c>
      <c r="E285">
        <v>1</v>
      </c>
      <c r="F285" t="s">
        <v>2</v>
      </c>
      <c r="G285" t="s">
        <v>27</v>
      </c>
      <c r="H285" t="s">
        <v>58</v>
      </c>
      <c r="I285" t="s">
        <v>810</v>
      </c>
      <c r="J285">
        <v>2</v>
      </c>
      <c r="K285" t="s">
        <v>37</v>
      </c>
      <c r="L285">
        <v>2486</v>
      </c>
      <c r="M285" t="s">
        <v>77</v>
      </c>
    </row>
    <row r="286" spans="1:13">
      <c r="A286">
        <v>1097788</v>
      </c>
      <c r="B286" t="s">
        <v>811</v>
      </c>
      <c r="C286">
        <v>9</v>
      </c>
      <c r="D286" t="s">
        <v>812</v>
      </c>
      <c r="E286">
        <v>5</v>
      </c>
      <c r="F286" t="s">
        <v>3</v>
      </c>
      <c r="G286" t="s">
        <v>16</v>
      </c>
      <c r="H286" t="s">
        <v>60</v>
      </c>
      <c r="I286" t="s">
        <v>813</v>
      </c>
      <c r="J286">
        <v>4</v>
      </c>
      <c r="K286" t="s">
        <v>37</v>
      </c>
      <c r="L286">
        <v>1152</v>
      </c>
      <c r="M286" t="s">
        <v>77</v>
      </c>
    </row>
    <row r="287" spans="1:13">
      <c r="A287">
        <v>1097941</v>
      </c>
      <c r="B287" t="s">
        <v>814</v>
      </c>
      <c r="C287">
        <v>42</v>
      </c>
      <c r="D287" t="s">
        <v>815</v>
      </c>
      <c r="E287">
        <v>32</v>
      </c>
      <c r="F287" t="s">
        <v>32</v>
      </c>
      <c r="G287" t="s">
        <v>16</v>
      </c>
      <c r="H287" t="s">
        <v>57</v>
      </c>
      <c r="I287" t="s">
        <v>816</v>
      </c>
      <c r="J287">
        <v>2</v>
      </c>
      <c r="K287" t="s">
        <v>41</v>
      </c>
      <c r="L287">
        <v>4805</v>
      </c>
      <c r="M287" t="s">
        <v>77</v>
      </c>
    </row>
    <row r="288" spans="1:13">
      <c r="A288">
        <v>1098241</v>
      </c>
      <c r="B288" t="s">
        <v>817</v>
      </c>
      <c r="C288">
        <v>31</v>
      </c>
      <c r="D288" t="s">
        <v>818</v>
      </c>
      <c r="E288">
        <v>23</v>
      </c>
      <c r="F288" t="s">
        <v>10</v>
      </c>
      <c r="G288" t="s">
        <v>20</v>
      </c>
      <c r="H288" t="s">
        <v>58</v>
      </c>
      <c r="I288" t="s">
        <v>819</v>
      </c>
      <c r="J288">
        <v>4</v>
      </c>
      <c r="K288" t="s">
        <v>41</v>
      </c>
      <c r="L288">
        <v>2616</v>
      </c>
      <c r="M288" t="s">
        <v>77</v>
      </c>
    </row>
    <row r="289" spans="1:13">
      <c r="A289">
        <v>1098271</v>
      </c>
      <c r="B289" t="s">
        <v>820</v>
      </c>
      <c r="C289">
        <v>47</v>
      </c>
      <c r="D289" t="s">
        <v>821</v>
      </c>
      <c r="E289">
        <v>35</v>
      </c>
      <c r="F289" t="s">
        <v>22</v>
      </c>
      <c r="G289" t="s">
        <v>29</v>
      </c>
      <c r="H289" t="s">
        <v>57</v>
      </c>
      <c r="I289" t="s">
        <v>822</v>
      </c>
      <c r="J289">
        <v>4</v>
      </c>
      <c r="K289" t="s">
        <v>41</v>
      </c>
      <c r="L289">
        <v>9682</v>
      </c>
      <c r="M289" t="s">
        <v>77</v>
      </c>
    </row>
    <row r="290" spans="1:13">
      <c r="A290">
        <v>1098731</v>
      </c>
      <c r="B290" t="s">
        <v>823</v>
      </c>
      <c r="C290">
        <v>42</v>
      </c>
      <c r="D290" t="s">
        <v>815</v>
      </c>
      <c r="E290">
        <v>32</v>
      </c>
      <c r="F290" t="s">
        <v>32</v>
      </c>
      <c r="G290" t="s">
        <v>16</v>
      </c>
      <c r="H290" t="s">
        <v>58</v>
      </c>
      <c r="I290" t="s">
        <v>824</v>
      </c>
      <c r="J290">
        <v>5</v>
      </c>
      <c r="K290" t="s">
        <v>41</v>
      </c>
      <c r="L290">
        <v>5655</v>
      </c>
      <c r="M290" t="s">
        <v>77</v>
      </c>
    </row>
    <row r="291" spans="1:13">
      <c r="A291">
        <v>1098764</v>
      </c>
      <c r="B291" t="s">
        <v>825</v>
      </c>
      <c r="C291">
        <v>31</v>
      </c>
      <c r="D291" t="s">
        <v>802</v>
      </c>
      <c r="E291">
        <v>23</v>
      </c>
      <c r="F291" t="s">
        <v>10</v>
      </c>
      <c r="G291" t="s">
        <v>20</v>
      </c>
      <c r="H291" t="s">
        <v>58</v>
      </c>
      <c r="I291" t="s">
        <v>826</v>
      </c>
      <c r="J291">
        <v>4</v>
      </c>
      <c r="K291" t="s">
        <v>41</v>
      </c>
      <c r="L291">
        <v>2616</v>
      </c>
      <c r="M291" t="s">
        <v>77</v>
      </c>
    </row>
    <row r="292" spans="1:13">
      <c r="A292">
        <v>1098923</v>
      </c>
      <c r="B292" t="s">
        <v>827</v>
      </c>
      <c r="C292">
        <v>32</v>
      </c>
      <c r="D292" t="s">
        <v>779</v>
      </c>
      <c r="E292">
        <v>24</v>
      </c>
      <c r="F292" t="s">
        <v>20</v>
      </c>
      <c r="G292" t="s">
        <v>10</v>
      </c>
      <c r="H292" t="s">
        <v>57</v>
      </c>
      <c r="I292" t="s">
        <v>828</v>
      </c>
      <c r="J292">
        <v>6</v>
      </c>
      <c r="K292" t="s">
        <v>49</v>
      </c>
      <c r="L292">
        <v>7618</v>
      </c>
      <c r="M292" t="s">
        <v>77</v>
      </c>
    </row>
    <row r="293" spans="1:13">
      <c r="A293">
        <v>1099369</v>
      </c>
      <c r="B293" t="s">
        <v>829</v>
      </c>
      <c r="C293">
        <v>32</v>
      </c>
      <c r="D293" t="s">
        <v>779</v>
      </c>
      <c r="E293">
        <v>24</v>
      </c>
      <c r="F293" t="s">
        <v>20</v>
      </c>
      <c r="G293" t="s">
        <v>10</v>
      </c>
      <c r="H293" t="s">
        <v>57</v>
      </c>
      <c r="I293" t="s">
        <v>830</v>
      </c>
      <c r="J293">
        <v>4</v>
      </c>
      <c r="K293" t="s">
        <v>49</v>
      </c>
      <c r="L293">
        <v>5367</v>
      </c>
      <c r="M293" t="s">
        <v>77</v>
      </c>
    </row>
    <row r="294" spans="1:13">
      <c r="A294">
        <v>1099495</v>
      </c>
      <c r="B294" t="s">
        <v>831</v>
      </c>
      <c r="C294">
        <v>45</v>
      </c>
      <c r="D294" t="s">
        <v>832</v>
      </c>
      <c r="E294">
        <v>33</v>
      </c>
      <c r="F294" t="s">
        <v>21</v>
      </c>
      <c r="G294" t="s">
        <v>28</v>
      </c>
      <c r="H294" t="s">
        <v>58</v>
      </c>
      <c r="I294" t="s">
        <v>833</v>
      </c>
      <c r="J294">
        <v>4</v>
      </c>
      <c r="K294" t="s">
        <v>37</v>
      </c>
      <c r="L294">
        <v>3800</v>
      </c>
      <c r="M294" t="s">
        <v>77</v>
      </c>
    </row>
    <row r="295" spans="1:13">
      <c r="A295">
        <v>1099930</v>
      </c>
      <c r="B295" t="s">
        <v>834</v>
      </c>
      <c r="C295">
        <v>11</v>
      </c>
      <c r="D295" t="s">
        <v>835</v>
      </c>
      <c r="E295">
        <v>7</v>
      </c>
      <c r="F295" t="s">
        <v>3</v>
      </c>
      <c r="G295" t="s">
        <v>18</v>
      </c>
      <c r="H295" t="s">
        <v>58</v>
      </c>
      <c r="I295" t="s">
        <v>836</v>
      </c>
      <c r="J295">
        <v>1</v>
      </c>
      <c r="K295" t="s">
        <v>41</v>
      </c>
      <c r="L295">
        <v>700</v>
      </c>
      <c r="M295" t="s">
        <v>77</v>
      </c>
    </row>
    <row r="296" spans="1:13">
      <c r="A296">
        <v>1101414</v>
      </c>
      <c r="B296" t="s">
        <v>837</v>
      </c>
      <c r="C296">
        <v>12</v>
      </c>
      <c r="D296" t="s">
        <v>838</v>
      </c>
      <c r="E296">
        <v>8</v>
      </c>
      <c r="F296" t="s">
        <v>18</v>
      </c>
      <c r="G296" t="s">
        <v>3</v>
      </c>
      <c r="H296" t="s">
        <v>58</v>
      </c>
      <c r="I296" t="s">
        <v>839</v>
      </c>
      <c r="J296">
        <v>4</v>
      </c>
      <c r="K296" t="s">
        <v>41</v>
      </c>
      <c r="L296">
        <v>2520</v>
      </c>
      <c r="M296" t="s">
        <v>77</v>
      </c>
    </row>
    <row r="297" spans="1:13">
      <c r="A297">
        <v>1102132</v>
      </c>
      <c r="B297" t="s">
        <v>840</v>
      </c>
      <c r="C297">
        <v>7</v>
      </c>
      <c r="D297" t="s">
        <v>841</v>
      </c>
      <c r="E297">
        <v>3</v>
      </c>
      <c r="F297" t="s">
        <v>2</v>
      </c>
      <c r="G297" t="s">
        <v>33</v>
      </c>
      <c r="H297" t="s">
        <v>56</v>
      </c>
      <c r="I297" t="s">
        <v>842</v>
      </c>
      <c r="J297">
        <v>1</v>
      </c>
      <c r="K297" t="s">
        <v>41</v>
      </c>
      <c r="L297">
        <v>5052</v>
      </c>
      <c r="M297" t="s">
        <v>77</v>
      </c>
    </row>
    <row r="298" spans="1:13">
      <c r="A298">
        <v>1102138</v>
      </c>
      <c r="B298" t="s">
        <v>843</v>
      </c>
      <c r="C298">
        <v>25</v>
      </c>
      <c r="D298" t="s">
        <v>844</v>
      </c>
      <c r="E298">
        <v>19</v>
      </c>
      <c r="F298" t="s">
        <v>8</v>
      </c>
      <c r="G298" t="s">
        <v>13</v>
      </c>
      <c r="H298" t="s">
        <v>57</v>
      </c>
      <c r="I298" t="s">
        <v>845</v>
      </c>
      <c r="J298">
        <v>1</v>
      </c>
      <c r="K298" t="s">
        <v>41</v>
      </c>
      <c r="L298">
        <v>2307</v>
      </c>
      <c r="M298" t="s">
        <v>77</v>
      </c>
    </row>
    <row r="299" spans="1:13">
      <c r="A299">
        <v>1102621</v>
      </c>
      <c r="B299" t="s">
        <v>846</v>
      </c>
      <c r="C299">
        <v>42</v>
      </c>
      <c r="D299" t="s">
        <v>847</v>
      </c>
      <c r="E299">
        <v>32</v>
      </c>
      <c r="F299" t="s">
        <v>32</v>
      </c>
      <c r="G299" t="s">
        <v>848</v>
      </c>
      <c r="H299" t="s">
        <v>57</v>
      </c>
      <c r="I299" t="s">
        <v>849</v>
      </c>
      <c r="J299">
        <v>1</v>
      </c>
      <c r="K299" t="s">
        <v>41</v>
      </c>
      <c r="L299">
        <v>1802</v>
      </c>
      <c r="M299" t="s">
        <v>77</v>
      </c>
    </row>
    <row r="300" spans="1:13">
      <c r="A300">
        <v>1103424</v>
      </c>
      <c r="B300" t="s">
        <v>850</v>
      </c>
      <c r="C300">
        <v>36</v>
      </c>
      <c r="D300" t="s">
        <v>851</v>
      </c>
      <c r="E300">
        <v>26</v>
      </c>
      <c r="F300" t="s">
        <v>19</v>
      </c>
      <c r="G300" t="s">
        <v>12</v>
      </c>
      <c r="H300" t="s">
        <v>57</v>
      </c>
      <c r="I300" t="s">
        <v>852</v>
      </c>
      <c r="J300">
        <v>1</v>
      </c>
      <c r="K300" t="s">
        <v>41</v>
      </c>
      <c r="L300">
        <v>2784</v>
      </c>
      <c r="M300" t="s">
        <v>77</v>
      </c>
    </row>
    <row r="301" spans="1:13">
      <c r="A301">
        <v>1103717</v>
      </c>
      <c r="B301" t="s">
        <v>853</v>
      </c>
      <c r="C301">
        <v>42</v>
      </c>
      <c r="D301" t="s">
        <v>854</v>
      </c>
      <c r="E301">
        <v>32</v>
      </c>
      <c r="F301" t="s">
        <v>855</v>
      </c>
      <c r="G301" t="s">
        <v>856</v>
      </c>
      <c r="H301" t="s">
        <v>57</v>
      </c>
      <c r="I301" t="s">
        <v>857</v>
      </c>
      <c r="J301">
        <v>3</v>
      </c>
      <c r="K301" t="s">
        <v>41</v>
      </c>
      <c r="L301">
        <v>9009</v>
      </c>
      <c r="M301" t="s">
        <v>77</v>
      </c>
    </row>
    <row r="302" spans="1:13">
      <c r="A302">
        <v>1103873</v>
      </c>
      <c r="B302" t="s">
        <v>858</v>
      </c>
      <c r="C302">
        <v>1</v>
      </c>
      <c r="D302" t="s">
        <v>809</v>
      </c>
      <c r="E302">
        <v>1</v>
      </c>
      <c r="F302" t="s">
        <v>2</v>
      </c>
      <c r="G302" t="s">
        <v>27</v>
      </c>
      <c r="H302" t="s">
        <v>57</v>
      </c>
      <c r="I302" t="s">
        <v>859</v>
      </c>
      <c r="J302">
        <v>1</v>
      </c>
      <c r="K302" t="s">
        <v>41</v>
      </c>
      <c r="L302">
        <v>4406</v>
      </c>
      <c r="M302" t="s">
        <v>77</v>
      </c>
    </row>
    <row r="303" spans="1:13">
      <c r="A303">
        <v>1103951</v>
      </c>
      <c r="B303" t="s">
        <v>860</v>
      </c>
      <c r="C303">
        <v>33</v>
      </c>
      <c r="D303" t="s">
        <v>847</v>
      </c>
      <c r="E303">
        <v>25</v>
      </c>
      <c r="F303" t="s">
        <v>12</v>
      </c>
      <c r="G303" t="s">
        <v>19</v>
      </c>
      <c r="H303" t="s">
        <v>58</v>
      </c>
      <c r="I303" t="s">
        <v>861</v>
      </c>
      <c r="J303">
        <v>1</v>
      </c>
      <c r="K303" t="s">
        <v>41</v>
      </c>
      <c r="L303">
        <v>629</v>
      </c>
      <c r="M303" t="s">
        <v>77</v>
      </c>
    </row>
    <row r="304" spans="1:13">
      <c r="A304">
        <v>1104709</v>
      </c>
      <c r="B304" t="s">
        <v>862</v>
      </c>
      <c r="C304">
        <v>44</v>
      </c>
      <c r="D304" t="s">
        <v>841</v>
      </c>
      <c r="E304">
        <v>34</v>
      </c>
      <c r="F304" t="s">
        <v>28</v>
      </c>
      <c r="G304" t="s">
        <v>21</v>
      </c>
      <c r="H304" t="s">
        <v>60</v>
      </c>
      <c r="I304" t="s">
        <v>863</v>
      </c>
      <c r="J304">
        <v>2</v>
      </c>
      <c r="K304" t="s">
        <v>41</v>
      </c>
      <c r="L304">
        <v>1506</v>
      </c>
      <c r="M304" t="s">
        <v>77</v>
      </c>
    </row>
    <row r="305" spans="1:13">
      <c r="A305">
        <v>1104744</v>
      </c>
      <c r="B305" t="s">
        <v>864</v>
      </c>
      <c r="C305">
        <v>40</v>
      </c>
      <c r="D305" t="s">
        <v>865</v>
      </c>
      <c r="E305">
        <v>30</v>
      </c>
      <c r="F305" t="s">
        <v>23</v>
      </c>
      <c r="G305" t="s">
        <v>15</v>
      </c>
      <c r="H305" t="s">
        <v>57</v>
      </c>
      <c r="I305" t="s">
        <v>866</v>
      </c>
      <c r="J305">
        <v>2</v>
      </c>
      <c r="K305" t="s">
        <v>41</v>
      </c>
      <c r="L305">
        <v>5772</v>
      </c>
      <c r="M305" t="s">
        <v>77</v>
      </c>
    </row>
    <row r="306" spans="1:13">
      <c r="A306">
        <v>1105012</v>
      </c>
      <c r="B306" t="s">
        <v>867</v>
      </c>
      <c r="C306">
        <v>30</v>
      </c>
      <c r="D306" t="s">
        <v>868</v>
      </c>
      <c r="E306">
        <v>24</v>
      </c>
      <c r="F306" t="s">
        <v>20</v>
      </c>
      <c r="G306" t="s">
        <v>10</v>
      </c>
      <c r="H306" t="s">
        <v>58</v>
      </c>
      <c r="I306" t="s">
        <v>869</v>
      </c>
      <c r="J306">
        <v>3</v>
      </c>
      <c r="K306" t="s">
        <v>49</v>
      </c>
      <c r="L306">
        <v>1962</v>
      </c>
      <c r="M306" t="s">
        <v>77</v>
      </c>
    </row>
    <row r="307" spans="1:13">
      <c r="A307">
        <v>1105429</v>
      </c>
      <c r="B307" t="s">
        <v>870</v>
      </c>
      <c r="C307">
        <v>10</v>
      </c>
      <c r="D307" t="s">
        <v>871</v>
      </c>
      <c r="E307">
        <v>6</v>
      </c>
      <c r="F307" t="s">
        <v>16</v>
      </c>
      <c r="G307" t="s">
        <v>3</v>
      </c>
      <c r="H307" t="s">
        <v>59</v>
      </c>
      <c r="I307" t="s">
        <v>872</v>
      </c>
      <c r="J307">
        <v>1</v>
      </c>
      <c r="K307" t="s">
        <v>41</v>
      </c>
      <c r="L307">
        <v>833</v>
      </c>
      <c r="M307" t="s">
        <v>77</v>
      </c>
    </row>
    <row r="308" spans="1:13">
      <c r="A308">
        <v>1105494</v>
      </c>
      <c r="B308" t="s">
        <v>873</v>
      </c>
      <c r="C308">
        <v>6</v>
      </c>
      <c r="D308" t="s">
        <v>758</v>
      </c>
      <c r="E308">
        <v>4</v>
      </c>
      <c r="F308" t="s">
        <v>33</v>
      </c>
      <c r="G308" t="s">
        <v>2</v>
      </c>
      <c r="H308" t="s">
        <v>58</v>
      </c>
      <c r="I308" t="s">
        <v>874</v>
      </c>
      <c r="J308">
        <v>1</v>
      </c>
      <c r="K308" t="s">
        <v>41</v>
      </c>
      <c r="L308">
        <v>1390</v>
      </c>
      <c r="M308" t="s">
        <v>77</v>
      </c>
    </row>
    <row r="309" spans="1:13">
      <c r="A309">
        <v>1105849</v>
      </c>
      <c r="B309" t="s">
        <v>875</v>
      </c>
      <c r="C309">
        <v>19</v>
      </c>
      <c r="D309" t="s">
        <v>876</v>
      </c>
      <c r="E309">
        <v>13</v>
      </c>
      <c r="F309" t="s">
        <v>6</v>
      </c>
      <c r="G309" t="s">
        <v>17</v>
      </c>
      <c r="H309" t="s">
        <v>60</v>
      </c>
      <c r="I309" t="s">
        <v>877</v>
      </c>
      <c r="J309">
        <v>1</v>
      </c>
      <c r="K309" t="s">
        <v>41</v>
      </c>
      <c r="L309">
        <v>668</v>
      </c>
      <c r="M309" t="s">
        <v>77</v>
      </c>
    </row>
    <row r="310" spans="1:13">
      <c r="A310">
        <v>1106173</v>
      </c>
      <c r="B310" t="s">
        <v>878</v>
      </c>
      <c r="C310">
        <v>15</v>
      </c>
      <c r="D310" t="s">
        <v>700</v>
      </c>
      <c r="E310">
        <v>9</v>
      </c>
      <c r="F310" t="s">
        <v>4</v>
      </c>
      <c r="G310" t="s">
        <v>10</v>
      </c>
      <c r="H310" t="s">
        <v>58</v>
      </c>
      <c r="I310" t="s">
        <v>879</v>
      </c>
      <c r="J310">
        <v>1</v>
      </c>
      <c r="K310" t="s">
        <v>49</v>
      </c>
      <c r="L310">
        <v>549</v>
      </c>
      <c r="M310" t="s">
        <v>77</v>
      </c>
    </row>
    <row r="311" spans="1:13">
      <c r="A311">
        <v>1106210</v>
      </c>
      <c r="B311" t="s">
        <v>880</v>
      </c>
      <c r="C311">
        <v>36</v>
      </c>
      <c r="D311" t="s">
        <v>876</v>
      </c>
      <c r="E311">
        <v>26</v>
      </c>
      <c r="F311" t="s">
        <v>19</v>
      </c>
      <c r="G311" t="s">
        <v>12</v>
      </c>
      <c r="H311" t="s">
        <v>60</v>
      </c>
      <c r="I311" t="s">
        <v>881</v>
      </c>
      <c r="J311">
        <v>2</v>
      </c>
      <c r="K311" t="s">
        <v>41</v>
      </c>
      <c r="L311">
        <v>1744</v>
      </c>
      <c r="M311" t="s">
        <v>77</v>
      </c>
    </row>
    <row r="312" spans="1:13">
      <c r="A312">
        <v>1106387</v>
      </c>
      <c r="B312" t="s">
        <v>882</v>
      </c>
      <c r="C312">
        <v>33</v>
      </c>
      <c r="D312" t="s">
        <v>847</v>
      </c>
      <c r="E312">
        <v>25</v>
      </c>
      <c r="F312" t="s">
        <v>12</v>
      </c>
      <c r="G312" t="s">
        <v>19</v>
      </c>
      <c r="H312" t="s">
        <v>60</v>
      </c>
      <c r="I312" t="s">
        <v>883</v>
      </c>
      <c r="J312">
        <v>1</v>
      </c>
      <c r="K312" t="s">
        <v>37</v>
      </c>
      <c r="L312">
        <v>872</v>
      </c>
      <c r="M312" t="s">
        <v>77</v>
      </c>
    </row>
    <row r="313" spans="1:13">
      <c r="A313">
        <v>1106935</v>
      </c>
      <c r="B313" t="s">
        <v>884</v>
      </c>
      <c r="C313">
        <v>15</v>
      </c>
      <c r="D313" t="s">
        <v>700</v>
      </c>
      <c r="E313">
        <v>9</v>
      </c>
      <c r="F313" t="s">
        <v>4</v>
      </c>
      <c r="G313" t="s">
        <v>10</v>
      </c>
      <c r="H313" t="s">
        <v>58</v>
      </c>
      <c r="I313" t="s">
        <v>885</v>
      </c>
      <c r="J313">
        <v>1</v>
      </c>
      <c r="K313" t="s">
        <v>49</v>
      </c>
      <c r="L313">
        <v>916</v>
      </c>
      <c r="M313" t="s">
        <v>77</v>
      </c>
    </row>
    <row r="314" spans="1:13">
      <c r="A314">
        <v>1106962</v>
      </c>
      <c r="B314" t="s">
        <v>886</v>
      </c>
      <c r="C314">
        <v>33</v>
      </c>
      <c r="D314" t="s">
        <v>847</v>
      </c>
      <c r="E314">
        <v>25</v>
      </c>
      <c r="F314" t="s">
        <v>12</v>
      </c>
      <c r="G314" t="s">
        <v>19</v>
      </c>
      <c r="H314" t="s">
        <v>57</v>
      </c>
      <c r="I314" t="s">
        <v>887</v>
      </c>
      <c r="J314">
        <v>4</v>
      </c>
      <c r="K314" t="s">
        <v>45</v>
      </c>
      <c r="L314">
        <v>8630</v>
      </c>
      <c r="M314" t="s">
        <v>77</v>
      </c>
    </row>
    <row r="315" spans="1:13">
      <c r="A315">
        <v>1107133</v>
      </c>
      <c r="B315" t="s">
        <v>888</v>
      </c>
      <c r="C315">
        <v>35</v>
      </c>
      <c r="D315" t="s">
        <v>889</v>
      </c>
      <c r="E315">
        <v>25</v>
      </c>
      <c r="F315" t="s">
        <v>12</v>
      </c>
      <c r="G315" t="s">
        <v>19</v>
      </c>
      <c r="H315" t="s">
        <v>60</v>
      </c>
      <c r="I315" t="s">
        <v>890</v>
      </c>
      <c r="J315">
        <v>1</v>
      </c>
      <c r="K315" t="s">
        <v>37</v>
      </c>
      <c r="L315">
        <v>872</v>
      </c>
      <c r="M315" t="s">
        <v>77</v>
      </c>
    </row>
    <row r="316" spans="1:13">
      <c r="A316">
        <v>1107501</v>
      </c>
      <c r="B316" t="s">
        <v>891</v>
      </c>
      <c r="C316">
        <v>32</v>
      </c>
      <c r="D316" t="s">
        <v>844</v>
      </c>
      <c r="E316">
        <v>24</v>
      </c>
      <c r="F316" t="s">
        <v>20</v>
      </c>
      <c r="G316" t="s">
        <v>10</v>
      </c>
      <c r="H316" t="s">
        <v>57</v>
      </c>
      <c r="I316" t="s">
        <v>892</v>
      </c>
      <c r="J316">
        <v>2</v>
      </c>
      <c r="K316" t="s">
        <v>41</v>
      </c>
      <c r="L316">
        <v>2770</v>
      </c>
      <c r="M316" t="s">
        <v>77</v>
      </c>
    </row>
    <row r="317" spans="1:13">
      <c r="A317">
        <v>1107838</v>
      </c>
      <c r="B317" t="s">
        <v>893</v>
      </c>
      <c r="C317">
        <v>43</v>
      </c>
      <c r="D317" t="s">
        <v>894</v>
      </c>
      <c r="F317" t="s">
        <v>21</v>
      </c>
      <c r="G317" t="s">
        <v>28</v>
      </c>
      <c r="H317" t="s">
        <v>60</v>
      </c>
      <c r="I317" t="s">
        <v>895</v>
      </c>
      <c r="J317">
        <v>6</v>
      </c>
      <c r="K317" t="s">
        <v>41</v>
      </c>
      <c r="L317">
        <v>4518</v>
      </c>
      <c r="M317" t="s">
        <v>77</v>
      </c>
    </row>
    <row r="318" spans="1:13">
      <c r="A318">
        <v>1108253</v>
      </c>
      <c r="B318" t="s">
        <v>896</v>
      </c>
      <c r="C318">
        <v>51</v>
      </c>
      <c r="D318" t="s">
        <v>897</v>
      </c>
      <c r="E318">
        <v>39</v>
      </c>
      <c r="F318" t="s">
        <v>26</v>
      </c>
      <c r="G318" t="s">
        <v>30</v>
      </c>
      <c r="H318" t="s">
        <v>58</v>
      </c>
      <c r="I318" t="s">
        <v>898</v>
      </c>
      <c r="J318">
        <v>2</v>
      </c>
      <c r="K318" t="s">
        <v>41</v>
      </c>
      <c r="L318">
        <v>1708</v>
      </c>
      <c r="M318" t="s">
        <v>77</v>
      </c>
    </row>
    <row r="319" spans="1:13">
      <c r="A319">
        <v>1108410</v>
      </c>
      <c r="B319" t="s">
        <v>899</v>
      </c>
      <c r="C319">
        <v>27</v>
      </c>
      <c r="D319" t="s">
        <v>900</v>
      </c>
      <c r="E319">
        <v>21</v>
      </c>
      <c r="F319" t="s">
        <v>9</v>
      </c>
      <c r="G319" t="s">
        <v>20</v>
      </c>
      <c r="H319" t="s">
        <v>56</v>
      </c>
      <c r="I319" t="s">
        <v>901</v>
      </c>
      <c r="J319">
        <v>2</v>
      </c>
      <c r="K319" t="s">
        <v>41</v>
      </c>
      <c r="L319">
        <v>9020</v>
      </c>
      <c r="M319" t="s">
        <v>77</v>
      </c>
    </row>
    <row r="320" spans="1:13">
      <c r="A320">
        <v>1108576</v>
      </c>
      <c r="B320" t="s">
        <v>902</v>
      </c>
      <c r="C320">
        <v>8</v>
      </c>
      <c r="D320" t="s">
        <v>806</v>
      </c>
      <c r="E320">
        <v>4</v>
      </c>
      <c r="F320" t="s">
        <v>33</v>
      </c>
      <c r="G320" t="s">
        <v>2</v>
      </c>
      <c r="H320" t="s">
        <v>58</v>
      </c>
      <c r="I320" t="s">
        <v>903</v>
      </c>
      <c r="J320">
        <v>3</v>
      </c>
      <c r="K320" t="s">
        <v>41</v>
      </c>
      <c r="L320">
        <v>3975</v>
      </c>
      <c r="M320" t="s">
        <v>77</v>
      </c>
    </row>
    <row r="321" spans="1:13">
      <c r="A321">
        <v>1108951</v>
      </c>
      <c r="B321" t="s">
        <v>904</v>
      </c>
      <c r="C321">
        <v>14</v>
      </c>
      <c r="D321" t="s">
        <v>905</v>
      </c>
      <c r="E321">
        <v>10</v>
      </c>
      <c r="F321" t="s">
        <v>10</v>
      </c>
      <c r="G321" t="s">
        <v>4</v>
      </c>
      <c r="H321" t="s">
        <v>56</v>
      </c>
      <c r="I321" t="s">
        <v>906</v>
      </c>
      <c r="J321">
        <v>4</v>
      </c>
      <c r="K321" t="s">
        <v>41</v>
      </c>
      <c r="L321">
        <v>13460</v>
      </c>
      <c r="M321" t="s">
        <v>77</v>
      </c>
    </row>
    <row r="322" spans="1:13">
      <c r="A322">
        <v>1109362</v>
      </c>
      <c r="B322" t="s">
        <v>907</v>
      </c>
      <c r="C322">
        <v>22</v>
      </c>
      <c r="D322" t="s">
        <v>844</v>
      </c>
      <c r="E322">
        <v>16</v>
      </c>
      <c r="F322" t="s">
        <v>11</v>
      </c>
      <c r="G322" t="s">
        <v>7</v>
      </c>
      <c r="H322" t="s">
        <v>58</v>
      </c>
      <c r="I322" t="s">
        <v>908</v>
      </c>
      <c r="J322">
        <v>1</v>
      </c>
      <c r="K322" t="s">
        <v>41</v>
      </c>
      <c r="L322">
        <v>1053</v>
      </c>
      <c r="M322" t="s">
        <v>77</v>
      </c>
    </row>
    <row r="323" spans="1:13">
      <c r="A323">
        <v>1109655</v>
      </c>
      <c r="B323" t="s">
        <v>909</v>
      </c>
      <c r="C323">
        <v>32</v>
      </c>
      <c r="D323" t="s">
        <v>844</v>
      </c>
      <c r="E323">
        <v>24</v>
      </c>
      <c r="F323" t="s">
        <v>20</v>
      </c>
      <c r="G323" t="s">
        <v>10</v>
      </c>
      <c r="H323" t="s">
        <v>60</v>
      </c>
      <c r="I323" t="s">
        <v>910</v>
      </c>
      <c r="J323">
        <v>1</v>
      </c>
      <c r="K323" t="s">
        <v>37</v>
      </c>
      <c r="L323">
        <v>326</v>
      </c>
      <c r="M323" t="s">
        <v>77</v>
      </c>
    </row>
    <row r="324" spans="1:13">
      <c r="A324">
        <v>1109693</v>
      </c>
      <c r="B324" t="s">
        <v>911</v>
      </c>
      <c r="C324">
        <v>12</v>
      </c>
      <c r="D324" t="s">
        <v>838</v>
      </c>
      <c r="E324">
        <v>8</v>
      </c>
      <c r="F324" t="s">
        <v>18</v>
      </c>
      <c r="G324" t="s">
        <v>3</v>
      </c>
      <c r="H324" t="s">
        <v>60</v>
      </c>
      <c r="I324" t="s">
        <v>912</v>
      </c>
      <c r="J324">
        <v>1</v>
      </c>
      <c r="K324" t="s">
        <v>41</v>
      </c>
      <c r="L324" t="s">
        <v>913</v>
      </c>
      <c r="M324" t="s">
        <v>77</v>
      </c>
    </row>
    <row r="325" spans="1:13">
      <c r="A325">
        <v>1109783</v>
      </c>
      <c r="B325" t="s">
        <v>914</v>
      </c>
      <c r="C325">
        <v>29</v>
      </c>
      <c r="D325" t="s">
        <v>865</v>
      </c>
      <c r="E325">
        <v>23</v>
      </c>
      <c r="F325" t="s">
        <v>10</v>
      </c>
      <c r="G325" t="s">
        <v>20</v>
      </c>
      <c r="H325" t="s">
        <v>60</v>
      </c>
      <c r="I325" t="s">
        <v>915</v>
      </c>
      <c r="J325">
        <v>1</v>
      </c>
      <c r="K325" t="s">
        <v>41</v>
      </c>
      <c r="L325">
        <v>544</v>
      </c>
      <c r="M325" t="s">
        <v>77</v>
      </c>
    </row>
    <row r="326" spans="1:13">
      <c r="A326">
        <v>1109812</v>
      </c>
      <c r="B326" t="s">
        <v>916</v>
      </c>
      <c r="C326">
        <v>51</v>
      </c>
      <c r="D326" t="s">
        <v>897</v>
      </c>
      <c r="E326">
        <v>39</v>
      </c>
      <c r="F326" t="s">
        <v>26</v>
      </c>
      <c r="G326" t="s">
        <v>30</v>
      </c>
      <c r="H326" t="s">
        <v>58</v>
      </c>
      <c r="I326" t="s">
        <v>917</v>
      </c>
      <c r="J326">
        <v>4</v>
      </c>
      <c r="K326" t="s">
        <v>41</v>
      </c>
      <c r="L326">
        <v>3416</v>
      </c>
      <c r="M326" t="s">
        <v>77</v>
      </c>
    </row>
    <row r="327" spans="1:13">
      <c r="A327">
        <v>1109946</v>
      </c>
      <c r="B327" t="s">
        <v>918</v>
      </c>
      <c r="C327">
        <v>42</v>
      </c>
      <c r="D327" t="s">
        <v>847</v>
      </c>
      <c r="E327">
        <v>32</v>
      </c>
      <c r="F327" t="s">
        <v>32</v>
      </c>
      <c r="G327" t="s">
        <v>16</v>
      </c>
      <c r="H327" t="s">
        <v>58</v>
      </c>
      <c r="I327" t="s">
        <v>919</v>
      </c>
      <c r="J327">
        <v>3</v>
      </c>
      <c r="K327" t="s">
        <v>41</v>
      </c>
      <c r="L327">
        <v>3393</v>
      </c>
      <c r="M327" t="s">
        <v>77</v>
      </c>
    </row>
    <row r="328" spans="1:13">
      <c r="A328">
        <v>1109994</v>
      </c>
      <c r="B328" t="s">
        <v>920</v>
      </c>
      <c r="C328">
        <v>35</v>
      </c>
      <c r="D328" t="s">
        <v>921</v>
      </c>
      <c r="E328">
        <v>25</v>
      </c>
      <c r="F328" t="s">
        <v>12</v>
      </c>
      <c r="G328" t="s">
        <v>19</v>
      </c>
      <c r="H328" t="s">
        <v>60</v>
      </c>
      <c r="I328" t="s">
        <v>922</v>
      </c>
      <c r="J328">
        <v>1</v>
      </c>
      <c r="K328" t="s">
        <v>41</v>
      </c>
      <c r="L328">
        <v>524</v>
      </c>
      <c r="M328" t="s">
        <v>77</v>
      </c>
    </row>
    <row r="329" spans="1:13">
      <c r="A329">
        <v>1110425</v>
      </c>
      <c r="B329" t="s">
        <v>923</v>
      </c>
      <c r="C329">
        <v>8</v>
      </c>
      <c r="D329" t="s">
        <v>924</v>
      </c>
      <c r="E329">
        <v>4</v>
      </c>
      <c r="F329" t="s">
        <v>33</v>
      </c>
      <c r="G329" t="s">
        <v>2</v>
      </c>
      <c r="H329" t="s">
        <v>60</v>
      </c>
      <c r="I329" t="s">
        <v>925</v>
      </c>
      <c r="J329">
        <v>1</v>
      </c>
      <c r="K329" t="s">
        <v>41</v>
      </c>
      <c r="L329">
        <v>1102</v>
      </c>
      <c r="M329" t="s">
        <v>77</v>
      </c>
    </row>
    <row r="330" spans="1:13">
      <c r="A330">
        <v>1110648</v>
      </c>
      <c r="B330" t="s">
        <v>926</v>
      </c>
      <c r="C330">
        <v>12</v>
      </c>
      <c r="D330" t="s">
        <v>905</v>
      </c>
      <c r="E330">
        <v>8</v>
      </c>
      <c r="F330" t="s">
        <v>18</v>
      </c>
      <c r="G330" t="s">
        <v>3</v>
      </c>
      <c r="H330" t="s">
        <v>60</v>
      </c>
      <c r="I330" t="s">
        <v>927</v>
      </c>
      <c r="J330">
        <v>1</v>
      </c>
      <c r="K330" t="s">
        <v>41</v>
      </c>
      <c r="L330">
        <v>582</v>
      </c>
      <c r="M330" t="s">
        <v>77</v>
      </c>
    </row>
    <row r="331" spans="1:13">
      <c r="A331">
        <v>1110928</v>
      </c>
      <c r="B331" t="s">
        <v>928</v>
      </c>
      <c r="C331">
        <v>6</v>
      </c>
      <c r="D331" t="s">
        <v>929</v>
      </c>
      <c r="E331">
        <v>4</v>
      </c>
      <c r="F331" t="s">
        <v>33</v>
      </c>
      <c r="G331" t="s">
        <v>2</v>
      </c>
      <c r="H331" t="s">
        <v>57</v>
      </c>
      <c r="I331" t="s">
        <v>930</v>
      </c>
      <c r="J331">
        <v>1</v>
      </c>
      <c r="K331" t="s">
        <v>37</v>
      </c>
      <c r="L331">
        <v>2216</v>
      </c>
      <c r="M331" t="s">
        <v>77</v>
      </c>
    </row>
    <row r="332" spans="1:13">
      <c r="A332">
        <v>1111157</v>
      </c>
      <c r="B332" t="s">
        <v>931</v>
      </c>
      <c r="C332">
        <v>43</v>
      </c>
      <c r="D332" t="s">
        <v>894</v>
      </c>
      <c r="E332">
        <v>33</v>
      </c>
      <c r="F332" t="s">
        <v>21</v>
      </c>
      <c r="G332" t="s">
        <v>28</v>
      </c>
      <c r="H332" t="s">
        <v>60</v>
      </c>
      <c r="I332" t="s">
        <v>932</v>
      </c>
      <c r="J332">
        <v>6</v>
      </c>
      <c r="K332" t="s">
        <v>41</v>
      </c>
      <c r="L332">
        <v>4217</v>
      </c>
      <c r="M332" t="s">
        <v>77</v>
      </c>
    </row>
    <row r="333" spans="1:13">
      <c r="A333">
        <v>1111915</v>
      </c>
      <c r="B333" t="s">
        <v>933</v>
      </c>
      <c r="C333">
        <v>33</v>
      </c>
      <c r="D333" t="s">
        <v>847</v>
      </c>
      <c r="E333">
        <v>25</v>
      </c>
      <c r="F333" t="s">
        <v>12</v>
      </c>
      <c r="G333" t="s">
        <v>19</v>
      </c>
      <c r="H333" t="s">
        <v>58</v>
      </c>
      <c r="I333" t="s">
        <v>934</v>
      </c>
      <c r="J333">
        <v>1</v>
      </c>
      <c r="K333" t="s">
        <v>41</v>
      </c>
      <c r="L333">
        <v>1049</v>
      </c>
      <c r="M333" t="s">
        <v>77</v>
      </c>
    </row>
    <row r="334" spans="1:13">
      <c r="A334">
        <v>1112281</v>
      </c>
      <c r="B334" t="s">
        <v>935</v>
      </c>
      <c r="C334">
        <v>12</v>
      </c>
      <c r="D334" t="s">
        <v>838</v>
      </c>
      <c r="E334">
        <v>8</v>
      </c>
      <c r="F334" t="s">
        <v>18</v>
      </c>
      <c r="G334" t="s">
        <v>3</v>
      </c>
      <c r="H334" t="s">
        <v>57</v>
      </c>
      <c r="I334" t="s">
        <v>936</v>
      </c>
      <c r="J334">
        <v>3</v>
      </c>
      <c r="K334" t="s">
        <v>41</v>
      </c>
      <c r="L334">
        <v>4080</v>
      </c>
      <c r="M334" t="s">
        <v>77</v>
      </c>
    </row>
    <row r="335" spans="1:13">
      <c r="A335">
        <v>1112382</v>
      </c>
      <c r="B335" t="s">
        <v>937</v>
      </c>
      <c r="C335">
        <v>1</v>
      </c>
      <c r="D335" t="s">
        <v>938</v>
      </c>
      <c r="E335">
        <v>1</v>
      </c>
      <c r="F335" t="s">
        <v>2</v>
      </c>
      <c r="G335" t="s">
        <v>27</v>
      </c>
      <c r="H335" t="s">
        <v>60</v>
      </c>
      <c r="I335" t="s">
        <v>939</v>
      </c>
      <c r="J335">
        <v>1</v>
      </c>
      <c r="K335" t="s">
        <v>41</v>
      </c>
      <c r="L335">
        <v>1379</v>
      </c>
      <c r="M335" t="s">
        <v>77</v>
      </c>
    </row>
    <row r="336" spans="1:13">
      <c r="A336">
        <v>1112583</v>
      </c>
      <c r="B336" t="s">
        <v>940</v>
      </c>
      <c r="C336">
        <v>15</v>
      </c>
      <c r="D336" t="s">
        <v>941</v>
      </c>
      <c r="E336">
        <v>9</v>
      </c>
      <c r="F336" t="s">
        <v>4</v>
      </c>
      <c r="G336" t="s">
        <v>10</v>
      </c>
      <c r="H336" t="s">
        <v>60</v>
      </c>
      <c r="I336" t="s">
        <v>942</v>
      </c>
      <c r="J336">
        <v>2</v>
      </c>
      <c r="K336" t="s">
        <v>37</v>
      </c>
      <c r="L336">
        <v>1524</v>
      </c>
      <c r="M336" t="s">
        <v>77</v>
      </c>
    </row>
    <row r="337" spans="1:13">
      <c r="A337">
        <v>1112827</v>
      </c>
      <c r="B337" t="s">
        <v>943</v>
      </c>
      <c r="C337">
        <v>3</v>
      </c>
      <c r="D337" t="s">
        <v>944</v>
      </c>
      <c r="E337">
        <v>1</v>
      </c>
      <c r="F337" t="s">
        <v>2</v>
      </c>
      <c r="G337" t="s">
        <v>27</v>
      </c>
      <c r="H337" t="s">
        <v>57</v>
      </c>
      <c r="I337" t="s">
        <v>945</v>
      </c>
      <c r="J337">
        <v>3</v>
      </c>
      <c r="K337" t="s">
        <v>37</v>
      </c>
      <c r="L337">
        <v>12594</v>
      </c>
      <c r="M337" t="s">
        <v>77</v>
      </c>
    </row>
    <row r="338" spans="1:13">
      <c r="A338">
        <v>1113227</v>
      </c>
      <c r="B338" t="s">
        <v>946</v>
      </c>
      <c r="C338">
        <v>24</v>
      </c>
      <c r="D338" t="s">
        <v>947</v>
      </c>
      <c r="E338">
        <v>18</v>
      </c>
      <c r="F338" t="s">
        <v>12</v>
      </c>
      <c r="G338" t="s">
        <v>8</v>
      </c>
      <c r="H338" t="s">
        <v>58</v>
      </c>
      <c r="I338" t="s">
        <v>948</v>
      </c>
      <c r="J338">
        <v>3</v>
      </c>
      <c r="K338" t="s">
        <v>41</v>
      </c>
      <c r="L338">
        <v>2169</v>
      </c>
      <c r="M338" t="s">
        <v>77</v>
      </c>
    </row>
    <row r="339" spans="1:13">
      <c r="A339">
        <v>1113807</v>
      </c>
      <c r="B339" t="s">
        <v>949</v>
      </c>
      <c r="C339">
        <v>45</v>
      </c>
      <c r="D339" t="s">
        <v>832</v>
      </c>
      <c r="E339">
        <v>33</v>
      </c>
      <c r="F339" t="s">
        <v>21</v>
      </c>
      <c r="G339" t="s">
        <v>28</v>
      </c>
      <c r="H339" t="s">
        <v>60</v>
      </c>
      <c r="I339" t="s">
        <v>950</v>
      </c>
      <c r="J339">
        <v>1</v>
      </c>
      <c r="K339" t="s">
        <v>41</v>
      </c>
      <c r="L339">
        <v>790</v>
      </c>
      <c r="M339" t="s">
        <v>77</v>
      </c>
    </row>
    <row r="340" spans="1:13">
      <c r="A340">
        <v>1114094</v>
      </c>
      <c r="B340" t="s">
        <v>951</v>
      </c>
      <c r="C340">
        <v>23</v>
      </c>
      <c r="D340" t="s">
        <v>952</v>
      </c>
      <c r="E340">
        <v>17</v>
      </c>
      <c r="F340" t="s">
        <v>8</v>
      </c>
      <c r="G340" t="s">
        <v>12</v>
      </c>
      <c r="H340" t="s">
        <v>58</v>
      </c>
      <c r="I340" t="s">
        <v>953</v>
      </c>
      <c r="J340">
        <v>1</v>
      </c>
      <c r="K340" t="s">
        <v>41</v>
      </c>
      <c r="M340" t="s">
        <v>77</v>
      </c>
    </row>
    <row r="341" spans="1:13">
      <c r="A341">
        <v>1114178</v>
      </c>
      <c r="B341" t="s">
        <v>954</v>
      </c>
      <c r="C341">
        <v>43</v>
      </c>
      <c r="D341" t="s">
        <v>894</v>
      </c>
      <c r="E341">
        <v>33</v>
      </c>
      <c r="F341" t="s">
        <v>21</v>
      </c>
      <c r="G341" t="s">
        <v>28</v>
      </c>
      <c r="H341" t="s">
        <v>58</v>
      </c>
      <c r="I341" t="s">
        <v>955</v>
      </c>
      <c r="J341">
        <v>1</v>
      </c>
      <c r="K341" t="s">
        <v>41</v>
      </c>
      <c r="L341">
        <v>543</v>
      </c>
      <c r="M341" t="s">
        <v>77</v>
      </c>
    </row>
    <row r="342" spans="1:13">
      <c r="A342">
        <v>1114288</v>
      </c>
      <c r="B342" t="s">
        <v>956</v>
      </c>
      <c r="C342">
        <v>36</v>
      </c>
      <c r="D342" t="s">
        <v>957</v>
      </c>
      <c r="E342">
        <v>26</v>
      </c>
      <c r="F342" t="s">
        <v>19</v>
      </c>
      <c r="G342" t="s">
        <v>12</v>
      </c>
      <c r="H342" t="s">
        <v>57</v>
      </c>
      <c r="I342" t="s">
        <v>958</v>
      </c>
      <c r="J342">
        <v>1</v>
      </c>
      <c r="K342" t="s">
        <v>41</v>
      </c>
      <c r="M342" t="s">
        <v>77</v>
      </c>
    </row>
    <row r="343" spans="1:13">
      <c r="A343">
        <v>1114785</v>
      </c>
      <c r="B343" t="s">
        <v>959</v>
      </c>
      <c r="C343">
        <v>3</v>
      </c>
      <c r="D343" t="s">
        <v>944</v>
      </c>
      <c r="E343">
        <v>1</v>
      </c>
      <c r="F343" t="s">
        <v>2</v>
      </c>
      <c r="G343" t="s">
        <v>27</v>
      </c>
      <c r="H343" t="s">
        <v>58</v>
      </c>
      <c r="I343" t="s">
        <v>960</v>
      </c>
      <c r="J343">
        <v>1</v>
      </c>
      <c r="K343" t="s">
        <v>41</v>
      </c>
      <c r="L343">
        <v>1579</v>
      </c>
      <c r="M343" t="s">
        <v>77</v>
      </c>
    </row>
    <row r="344" spans="1:13">
      <c r="A344">
        <v>1115198</v>
      </c>
      <c r="B344" t="s">
        <v>961</v>
      </c>
      <c r="C344">
        <v>51</v>
      </c>
      <c r="D344" t="s">
        <v>897</v>
      </c>
      <c r="E344">
        <v>39</v>
      </c>
      <c r="F344" t="s">
        <v>26</v>
      </c>
      <c r="G344" t="s">
        <v>30</v>
      </c>
      <c r="H344" t="s">
        <v>58</v>
      </c>
      <c r="I344" t="s">
        <v>962</v>
      </c>
      <c r="J344">
        <v>2</v>
      </c>
      <c r="K344" t="s">
        <v>37</v>
      </c>
      <c r="L344">
        <v>1708</v>
      </c>
      <c r="M344" t="s">
        <v>77</v>
      </c>
    </row>
    <row r="345" spans="1:13">
      <c r="A345">
        <v>1115367</v>
      </c>
      <c r="B345" t="s">
        <v>963</v>
      </c>
      <c r="C345">
        <v>33</v>
      </c>
      <c r="D345" t="s">
        <v>964</v>
      </c>
      <c r="E345">
        <v>25</v>
      </c>
      <c r="F345" t="s">
        <v>12</v>
      </c>
      <c r="G345" t="s">
        <v>19</v>
      </c>
      <c r="H345" t="s">
        <v>58</v>
      </c>
      <c r="I345" t="s">
        <v>965</v>
      </c>
      <c r="J345">
        <v>1</v>
      </c>
      <c r="K345" t="s">
        <v>37</v>
      </c>
      <c r="L345">
        <v>629</v>
      </c>
      <c r="M345" t="s">
        <v>77</v>
      </c>
    </row>
    <row r="346" spans="1:13">
      <c r="A346">
        <v>1116396</v>
      </c>
      <c r="B346" t="s">
        <v>966</v>
      </c>
      <c r="C346">
        <v>1</v>
      </c>
      <c r="D346" t="s">
        <v>809</v>
      </c>
      <c r="E346">
        <v>1</v>
      </c>
      <c r="F346" t="s">
        <v>2</v>
      </c>
      <c r="G346" t="s">
        <v>27</v>
      </c>
      <c r="H346" t="s">
        <v>60</v>
      </c>
      <c r="I346" t="s">
        <v>967</v>
      </c>
      <c r="J346">
        <v>1</v>
      </c>
      <c r="K346" t="s">
        <v>41</v>
      </c>
      <c r="L346">
        <v>1379</v>
      </c>
      <c r="M346" t="s">
        <v>77</v>
      </c>
    </row>
    <row r="347" spans="1:13">
      <c r="A347">
        <v>1116489</v>
      </c>
      <c r="B347" t="s">
        <v>968</v>
      </c>
      <c r="C347">
        <v>33</v>
      </c>
      <c r="D347" t="s">
        <v>847</v>
      </c>
      <c r="E347">
        <v>25</v>
      </c>
      <c r="F347" t="s">
        <v>12</v>
      </c>
      <c r="G347" t="s">
        <v>19</v>
      </c>
      <c r="H347" t="s">
        <v>60</v>
      </c>
      <c r="I347" t="s">
        <v>969</v>
      </c>
      <c r="J347">
        <v>1</v>
      </c>
      <c r="K347" t="s">
        <v>41</v>
      </c>
      <c r="L347">
        <v>872</v>
      </c>
      <c r="M347" t="s">
        <v>77</v>
      </c>
    </row>
    <row r="348" spans="1:13">
      <c r="A348">
        <v>1117149</v>
      </c>
      <c r="B348" t="s">
        <v>970</v>
      </c>
      <c r="C348">
        <v>28</v>
      </c>
      <c r="D348" t="s">
        <v>818</v>
      </c>
      <c r="E348">
        <v>22</v>
      </c>
      <c r="F348" t="s">
        <v>20</v>
      </c>
      <c r="G348" t="s">
        <v>9</v>
      </c>
      <c r="H348" t="s">
        <v>60</v>
      </c>
      <c r="I348" t="s">
        <v>971</v>
      </c>
      <c r="J348">
        <v>2</v>
      </c>
      <c r="K348" t="s">
        <v>41</v>
      </c>
      <c r="L348">
        <v>1968</v>
      </c>
      <c r="M348" t="s">
        <v>77</v>
      </c>
    </row>
    <row r="349" spans="1:13">
      <c r="A349">
        <v>1117321</v>
      </c>
      <c r="B349" t="s">
        <v>972</v>
      </c>
      <c r="C349">
        <v>3</v>
      </c>
      <c r="D349" t="s">
        <v>944</v>
      </c>
      <c r="E349">
        <v>1</v>
      </c>
      <c r="F349" t="s">
        <v>2</v>
      </c>
      <c r="G349" t="s">
        <v>27</v>
      </c>
      <c r="H349" t="s">
        <v>57</v>
      </c>
      <c r="I349" t="s">
        <v>973</v>
      </c>
      <c r="J349">
        <v>3</v>
      </c>
      <c r="K349" t="s">
        <v>41</v>
      </c>
      <c r="L349">
        <v>12594</v>
      </c>
      <c r="M349" t="s">
        <v>77</v>
      </c>
    </row>
    <row r="350" spans="1:13">
      <c r="A350">
        <v>1118149</v>
      </c>
      <c r="B350" t="s">
        <v>974</v>
      </c>
      <c r="C350">
        <v>51</v>
      </c>
      <c r="D350" t="s">
        <v>975</v>
      </c>
      <c r="E350">
        <v>39</v>
      </c>
      <c r="F350" t="s">
        <v>26</v>
      </c>
      <c r="G350" t="s">
        <v>30</v>
      </c>
      <c r="H350" t="s">
        <v>58</v>
      </c>
      <c r="I350" t="s">
        <v>976</v>
      </c>
      <c r="J350">
        <v>1</v>
      </c>
      <c r="K350" t="s">
        <v>41</v>
      </c>
      <c r="L350">
        <v>854</v>
      </c>
      <c r="M350" t="s">
        <v>77</v>
      </c>
    </row>
    <row r="351" spans="1:13">
      <c r="A351">
        <v>1118274</v>
      </c>
      <c r="B351" t="s">
        <v>977</v>
      </c>
      <c r="C351">
        <v>29</v>
      </c>
      <c r="D351" t="s">
        <v>978</v>
      </c>
      <c r="E351">
        <v>23</v>
      </c>
      <c r="F351" t="s">
        <v>10</v>
      </c>
      <c r="G351" t="s">
        <v>20</v>
      </c>
      <c r="H351" t="s">
        <v>60</v>
      </c>
      <c r="I351" t="s">
        <v>979</v>
      </c>
      <c r="J351">
        <v>4</v>
      </c>
      <c r="K351" t="s">
        <v>41</v>
      </c>
      <c r="L351">
        <v>1958</v>
      </c>
      <c r="M351" t="s">
        <v>77</v>
      </c>
    </row>
    <row r="352" spans="1:13">
      <c r="A352">
        <v>1118868</v>
      </c>
      <c r="B352" t="s">
        <v>980</v>
      </c>
      <c r="C352">
        <v>1</v>
      </c>
      <c r="D352" t="s">
        <v>981</v>
      </c>
      <c r="E352">
        <v>1</v>
      </c>
      <c r="F352" t="s">
        <v>2</v>
      </c>
      <c r="G352" t="s">
        <v>27</v>
      </c>
      <c r="H352" t="s">
        <v>58</v>
      </c>
      <c r="I352" t="s">
        <v>982</v>
      </c>
      <c r="J352">
        <v>2</v>
      </c>
      <c r="K352" t="s">
        <v>41</v>
      </c>
      <c r="L352">
        <v>2651</v>
      </c>
      <c r="M352" t="s">
        <v>77</v>
      </c>
    </row>
    <row r="353" spans="1:13">
      <c r="A353">
        <v>1119517</v>
      </c>
      <c r="B353" t="s">
        <v>983</v>
      </c>
      <c r="C353">
        <v>45</v>
      </c>
      <c r="D353" t="s">
        <v>984</v>
      </c>
      <c r="E353">
        <v>33</v>
      </c>
      <c r="F353" t="s">
        <v>21</v>
      </c>
      <c r="G353" t="s">
        <v>28</v>
      </c>
      <c r="H353" t="s">
        <v>57</v>
      </c>
      <c r="I353" t="s">
        <v>985</v>
      </c>
      <c r="J353">
        <v>1</v>
      </c>
      <c r="K353" t="s">
        <v>37</v>
      </c>
      <c r="L353">
        <v>2520</v>
      </c>
      <c r="M353" t="s">
        <v>77</v>
      </c>
    </row>
    <row r="354" spans="1:13">
      <c r="A354">
        <v>1119837</v>
      </c>
      <c r="B354" t="s">
        <v>986</v>
      </c>
      <c r="C354">
        <v>21</v>
      </c>
      <c r="D354" t="s">
        <v>987</v>
      </c>
      <c r="E354">
        <v>15</v>
      </c>
      <c r="F354" t="s">
        <v>7</v>
      </c>
      <c r="G354" t="s">
        <v>11</v>
      </c>
      <c r="H354" t="s">
        <v>58</v>
      </c>
      <c r="I354" t="s">
        <v>988</v>
      </c>
      <c r="J354">
        <v>1</v>
      </c>
      <c r="K354" t="s">
        <v>41</v>
      </c>
      <c r="L354">
        <v>1053</v>
      </c>
      <c r="M354" t="s">
        <v>77</v>
      </c>
    </row>
    <row r="355" spans="1:13">
      <c r="A355">
        <v>1120103</v>
      </c>
      <c r="B355" t="s">
        <v>989</v>
      </c>
      <c r="C355">
        <v>1</v>
      </c>
      <c r="D355" t="s">
        <v>809</v>
      </c>
      <c r="E355">
        <v>1</v>
      </c>
      <c r="F355" t="s">
        <v>2</v>
      </c>
      <c r="G355" t="s">
        <v>27</v>
      </c>
      <c r="H355" t="s">
        <v>57</v>
      </c>
      <c r="I355" t="s">
        <v>990</v>
      </c>
      <c r="J355">
        <v>1</v>
      </c>
      <c r="K355" t="s">
        <v>37</v>
      </c>
      <c r="L355" t="s">
        <v>177</v>
      </c>
      <c r="M355" t="s">
        <v>77</v>
      </c>
    </row>
    <row r="356" spans="1:13">
      <c r="A356">
        <v>1120423</v>
      </c>
      <c r="B356" t="s">
        <v>991</v>
      </c>
      <c r="C356">
        <v>35</v>
      </c>
      <c r="D356" t="s">
        <v>889</v>
      </c>
      <c r="E356">
        <v>25</v>
      </c>
      <c r="F356" t="s">
        <v>12</v>
      </c>
      <c r="G356" t="s">
        <v>19</v>
      </c>
      <c r="H356" t="s">
        <v>57</v>
      </c>
      <c r="I356" t="s">
        <v>992</v>
      </c>
      <c r="J356">
        <v>1</v>
      </c>
      <c r="K356" t="s">
        <v>41</v>
      </c>
      <c r="L356">
        <v>2784</v>
      </c>
      <c r="M356" t="s">
        <v>77</v>
      </c>
    </row>
    <row r="357" spans="1:13">
      <c r="A357">
        <v>1120611</v>
      </c>
      <c r="B357" t="s">
        <v>993</v>
      </c>
      <c r="C357">
        <v>45</v>
      </c>
      <c r="D357" t="s">
        <v>994</v>
      </c>
      <c r="E357">
        <v>33</v>
      </c>
      <c r="F357" t="s">
        <v>21</v>
      </c>
      <c r="G357" t="s">
        <v>28</v>
      </c>
      <c r="H357" t="s">
        <v>58</v>
      </c>
      <c r="I357" t="s">
        <v>995</v>
      </c>
      <c r="J357">
        <v>4</v>
      </c>
      <c r="K357" t="s">
        <v>45</v>
      </c>
      <c r="L357">
        <v>3800</v>
      </c>
      <c r="M357" t="s">
        <v>77</v>
      </c>
    </row>
    <row r="358" spans="1:13">
      <c r="A358">
        <v>1120649</v>
      </c>
      <c r="B358" t="s">
        <v>996</v>
      </c>
      <c r="C358">
        <v>3</v>
      </c>
      <c r="D358" t="s">
        <v>944</v>
      </c>
      <c r="E358">
        <v>1</v>
      </c>
      <c r="F358" t="s">
        <v>2</v>
      </c>
      <c r="G358" t="s">
        <v>27</v>
      </c>
      <c r="H358" t="s">
        <v>58</v>
      </c>
      <c r="I358" t="s">
        <v>997</v>
      </c>
      <c r="J358">
        <v>2</v>
      </c>
      <c r="K358" t="s">
        <v>41</v>
      </c>
      <c r="L358">
        <v>3158</v>
      </c>
      <c r="M358" t="s">
        <v>77</v>
      </c>
    </row>
    <row r="359" spans="1:13">
      <c r="A359">
        <v>1120875</v>
      </c>
      <c r="B359" t="s">
        <v>998</v>
      </c>
      <c r="C359">
        <v>44</v>
      </c>
      <c r="D359" t="s">
        <v>994</v>
      </c>
      <c r="E359">
        <v>34</v>
      </c>
      <c r="F359" t="s">
        <v>28</v>
      </c>
      <c r="G359" t="s">
        <v>21</v>
      </c>
      <c r="H359" t="s">
        <v>60</v>
      </c>
      <c r="I359" t="s">
        <v>999</v>
      </c>
      <c r="J359">
        <v>3</v>
      </c>
      <c r="K359" t="s">
        <v>41</v>
      </c>
      <c r="L359">
        <v>1657</v>
      </c>
      <c r="M359" t="s">
        <v>77</v>
      </c>
    </row>
    <row r="360" spans="1:13">
      <c r="A360">
        <v>1121859</v>
      </c>
      <c r="B360" t="s">
        <v>1000</v>
      </c>
      <c r="C360">
        <v>32</v>
      </c>
      <c r="D360" t="s">
        <v>947</v>
      </c>
      <c r="F360" t="s">
        <v>20</v>
      </c>
      <c r="G360" t="s">
        <v>10</v>
      </c>
      <c r="H360" t="s">
        <v>57</v>
      </c>
      <c r="I360" t="s">
        <v>1001</v>
      </c>
      <c r="J360">
        <v>1</v>
      </c>
      <c r="K360" t="s">
        <v>41</v>
      </c>
      <c r="L360">
        <v>1731</v>
      </c>
      <c r="M360" t="s">
        <v>77</v>
      </c>
    </row>
    <row r="361" spans="1:13">
      <c r="A361">
        <v>1122006</v>
      </c>
      <c r="B361" t="s">
        <v>1002</v>
      </c>
      <c r="C361">
        <v>32</v>
      </c>
      <c r="D361" t="s">
        <v>994</v>
      </c>
      <c r="E361">
        <v>24</v>
      </c>
      <c r="F361" t="s">
        <v>20</v>
      </c>
      <c r="G361" t="s">
        <v>10</v>
      </c>
      <c r="H361" t="s">
        <v>58</v>
      </c>
      <c r="I361" t="s">
        <v>1003</v>
      </c>
      <c r="J361">
        <v>1</v>
      </c>
      <c r="K361" t="s">
        <v>49</v>
      </c>
      <c r="L361">
        <v>654</v>
      </c>
      <c r="M361" t="s">
        <v>77</v>
      </c>
    </row>
    <row r="362" spans="1:13">
      <c r="A362">
        <v>1122013</v>
      </c>
      <c r="B362" t="s">
        <v>1004</v>
      </c>
      <c r="C362">
        <v>32</v>
      </c>
      <c r="D362" t="s">
        <v>994</v>
      </c>
      <c r="E362">
        <v>24</v>
      </c>
      <c r="F362" t="s">
        <v>20</v>
      </c>
      <c r="G362" t="s">
        <v>10</v>
      </c>
      <c r="H362" t="s">
        <v>58</v>
      </c>
      <c r="I362" t="s">
        <v>1005</v>
      </c>
      <c r="J362">
        <v>1</v>
      </c>
      <c r="K362" t="s">
        <v>37</v>
      </c>
      <c r="L362">
        <v>393</v>
      </c>
      <c r="M362" t="s">
        <v>77</v>
      </c>
    </row>
    <row r="363" spans="1:13">
      <c r="A363">
        <v>1122136</v>
      </c>
      <c r="B363" t="s">
        <v>1006</v>
      </c>
      <c r="C363">
        <v>38</v>
      </c>
      <c r="D363" t="s">
        <v>1007</v>
      </c>
      <c r="E363">
        <v>28</v>
      </c>
      <c r="F363" t="s">
        <v>27</v>
      </c>
      <c r="G363" t="s">
        <v>14</v>
      </c>
      <c r="H363" t="s">
        <v>58</v>
      </c>
      <c r="I363" t="s">
        <v>1008</v>
      </c>
      <c r="J363">
        <v>1</v>
      </c>
      <c r="K363" t="s">
        <v>41</v>
      </c>
      <c r="L363">
        <v>607</v>
      </c>
      <c r="M363" t="s">
        <v>77</v>
      </c>
    </row>
    <row r="364" spans="1:13">
      <c r="A364">
        <v>1122140</v>
      </c>
      <c r="B364" t="s">
        <v>1009</v>
      </c>
      <c r="C364">
        <v>44</v>
      </c>
      <c r="D364" t="s">
        <v>994</v>
      </c>
      <c r="E364">
        <v>34</v>
      </c>
      <c r="F364" t="s">
        <v>28</v>
      </c>
      <c r="G364" t="s">
        <v>21</v>
      </c>
      <c r="H364" t="s">
        <v>58</v>
      </c>
      <c r="I364" t="s">
        <v>1010</v>
      </c>
      <c r="J364">
        <v>2</v>
      </c>
      <c r="K364" t="s">
        <v>47</v>
      </c>
      <c r="L364">
        <v>1359</v>
      </c>
      <c r="M364" t="s">
        <v>77</v>
      </c>
    </row>
    <row r="365" spans="1:13">
      <c r="A365">
        <v>1122145</v>
      </c>
      <c r="B365" t="s">
        <v>1011</v>
      </c>
      <c r="C365">
        <v>44</v>
      </c>
      <c r="D365" t="s">
        <v>994</v>
      </c>
      <c r="E365">
        <v>34</v>
      </c>
      <c r="F365" t="s">
        <v>28</v>
      </c>
      <c r="G365" t="s">
        <v>21</v>
      </c>
      <c r="H365" t="s">
        <v>58</v>
      </c>
      <c r="I365" t="s">
        <v>1012</v>
      </c>
      <c r="J365">
        <v>4</v>
      </c>
      <c r="K365" t="s">
        <v>47</v>
      </c>
      <c r="L365">
        <v>3624</v>
      </c>
      <c r="M365" t="s">
        <v>77</v>
      </c>
    </row>
    <row r="366" spans="1:13">
      <c r="A366">
        <v>1122170</v>
      </c>
      <c r="B366" t="s">
        <v>1013</v>
      </c>
      <c r="C366">
        <v>15</v>
      </c>
      <c r="D366" t="s">
        <v>1014</v>
      </c>
      <c r="E366">
        <v>9</v>
      </c>
      <c r="F366" t="s">
        <v>4</v>
      </c>
      <c r="G366" t="s">
        <v>10</v>
      </c>
      <c r="H366" t="s">
        <v>57</v>
      </c>
      <c r="I366" t="s">
        <v>1015</v>
      </c>
      <c r="J366">
        <v>6</v>
      </c>
      <c r="K366" t="s">
        <v>47</v>
      </c>
      <c r="L366">
        <v>14574</v>
      </c>
      <c r="M366" t="s">
        <v>77</v>
      </c>
    </row>
    <row r="367" spans="1:13">
      <c r="A367">
        <v>1122233</v>
      </c>
      <c r="B367" t="s">
        <v>1016</v>
      </c>
      <c r="C367">
        <v>3</v>
      </c>
      <c r="D367" t="s">
        <v>944</v>
      </c>
      <c r="E367">
        <v>1</v>
      </c>
      <c r="F367" t="s">
        <v>2</v>
      </c>
      <c r="G367" t="s">
        <v>27</v>
      </c>
      <c r="H367" t="s">
        <v>57</v>
      </c>
      <c r="I367" t="s">
        <v>1017</v>
      </c>
      <c r="J367">
        <v>1</v>
      </c>
      <c r="K367" t="s">
        <v>47</v>
      </c>
      <c r="L367">
        <v>2519</v>
      </c>
      <c r="M367" t="s">
        <v>77</v>
      </c>
    </row>
    <row r="368" spans="1:13">
      <c r="A368">
        <v>1122534</v>
      </c>
      <c r="B368" t="s">
        <v>1018</v>
      </c>
      <c r="C368">
        <v>28</v>
      </c>
      <c r="D368" t="s">
        <v>818</v>
      </c>
      <c r="E368">
        <v>22</v>
      </c>
      <c r="F368" t="s">
        <v>20</v>
      </c>
      <c r="G368" t="s">
        <v>9</v>
      </c>
      <c r="H368" t="s">
        <v>60</v>
      </c>
      <c r="I368" t="s">
        <v>1019</v>
      </c>
      <c r="J368">
        <v>5</v>
      </c>
      <c r="K368" t="s">
        <v>37</v>
      </c>
      <c r="L368">
        <v>4428</v>
      </c>
      <c r="M368" t="s">
        <v>77</v>
      </c>
    </row>
    <row r="369" spans="1:13">
      <c r="A369">
        <v>1122677</v>
      </c>
      <c r="B369" t="s">
        <v>1020</v>
      </c>
      <c r="C369">
        <v>2</v>
      </c>
      <c r="D369" t="s">
        <v>1021</v>
      </c>
      <c r="E369">
        <v>2</v>
      </c>
      <c r="F369" t="s">
        <v>27</v>
      </c>
      <c r="G369" t="s">
        <v>2</v>
      </c>
      <c r="H369" t="s">
        <v>60</v>
      </c>
      <c r="I369" t="s">
        <v>1022</v>
      </c>
      <c r="J369">
        <v>1</v>
      </c>
      <c r="K369" t="s">
        <v>41</v>
      </c>
      <c r="L369">
        <v>1379</v>
      </c>
      <c r="M369" t="s">
        <v>77</v>
      </c>
    </row>
    <row r="370" spans="1:13">
      <c r="A370">
        <v>1123615</v>
      </c>
      <c r="B370" t="s">
        <v>1023</v>
      </c>
      <c r="C370">
        <v>44</v>
      </c>
      <c r="D370" t="s">
        <v>994</v>
      </c>
      <c r="E370">
        <v>34</v>
      </c>
      <c r="F370" t="s">
        <v>28</v>
      </c>
      <c r="G370" t="s">
        <v>21</v>
      </c>
      <c r="H370" t="s">
        <v>60</v>
      </c>
      <c r="I370" t="s">
        <v>1024</v>
      </c>
      <c r="J370">
        <v>2</v>
      </c>
      <c r="K370" t="s">
        <v>41</v>
      </c>
      <c r="L370">
        <v>1506</v>
      </c>
      <c r="M370" t="s">
        <v>77</v>
      </c>
    </row>
    <row r="371" spans="1:13">
      <c r="A371">
        <v>1123753</v>
      </c>
      <c r="B371" t="s">
        <v>1025</v>
      </c>
      <c r="C371">
        <v>29</v>
      </c>
      <c r="D371" t="s">
        <v>1026</v>
      </c>
      <c r="E371">
        <v>23</v>
      </c>
      <c r="F371" t="s">
        <v>10</v>
      </c>
      <c r="G371" t="s">
        <v>20</v>
      </c>
      <c r="H371" t="s">
        <v>58</v>
      </c>
      <c r="I371" t="s">
        <v>1027</v>
      </c>
      <c r="J371">
        <v>1</v>
      </c>
      <c r="K371" t="s">
        <v>41</v>
      </c>
      <c r="L371">
        <v>654</v>
      </c>
      <c r="M371" t="s">
        <v>77</v>
      </c>
    </row>
    <row r="372" spans="1:13">
      <c r="A372">
        <v>1124587</v>
      </c>
      <c r="B372" t="s">
        <v>1028</v>
      </c>
      <c r="C372">
        <v>44</v>
      </c>
      <c r="D372" t="s">
        <v>994</v>
      </c>
      <c r="E372">
        <v>34</v>
      </c>
      <c r="F372" t="s">
        <v>28</v>
      </c>
      <c r="G372" t="s">
        <v>21</v>
      </c>
      <c r="H372" t="s">
        <v>58</v>
      </c>
      <c r="I372" t="s">
        <v>1029</v>
      </c>
      <c r="J372">
        <v>1</v>
      </c>
      <c r="K372" t="s">
        <v>37</v>
      </c>
      <c r="L372">
        <v>906</v>
      </c>
      <c r="M372" t="s">
        <v>77</v>
      </c>
    </row>
    <row r="373" spans="1:13">
      <c r="A373">
        <v>1124863</v>
      </c>
      <c r="B373" t="s">
        <v>1030</v>
      </c>
      <c r="C373">
        <v>25</v>
      </c>
      <c r="D373" t="s">
        <v>1031</v>
      </c>
      <c r="E373">
        <v>19</v>
      </c>
      <c r="F373" t="s">
        <v>8</v>
      </c>
      <c r="G373" t="s">
        <v>13</v>
      </c>
      <c r="H373" t="s">
        <v>58</v>
      </c>
      <c r="I373" t="s">
        <v>1032</v>
      </c>
      <c r="J373">
        <v>2</v>
      </c>
      <c r="K373" t="s">
        <v>41</v>
      </c>
      <c r="L373">
        <v>1740</v>
      </c>
      <c r="M373" t="s">
        <v>77</v>
      </c>
    </row>
    <row r="374" spans="1:13">
      <c r="A374">
        <v>1125038</v>
      </c>
      <c r="B374" t="s">
        <v>1033</v>
      </c>
      <c r="C374">
        <v>46</v>
      </c>
      <c r="D374" t="s">
        <v>1034</v>
      </c>
      <c r="E374">
        <v>34</v>
      </c>
      <c r="F374" t="s">
        <v>28</v>
      </c>
      <c r="G374" t="s">
        <v>21</v>
      </c>
      <c r="H374" t="s">
        <v>58</v>
      </c>
      <c r="I374" t="s">
        <v>1035</v>
      </c>
      <c r="J374">
        <v>3</v>
      </c>
      <c r="K374" t="s">
        <v>41</v>
      </c>
      <c r="L374">
        <v>2850</v>
      </c>
      <c r="M374" t="s">
        <v>77</v>
      </c>
    </row>
    <row r="375" spans="1:13">
      <c r="A375">
        <v>1125238</v>
      </c>
      <c r="B375" t="s">
        <v>1036</v>
      </c>
      <c r="C375">
        <v>19</v>
      </c>
      <c r="D375" t="s">
        <v>1037</v>
      </c>
      <c r="E375">
        <v>13</v>
      </c>
      <c r="F375" t="s">
        <v>177</v>
      </c>
      <c r="G375" t="s">
        <v>17</v>
      </c>
      <c r="H375" t="s">
        <v>60</v>
      </c>
      <c r="I375" t="s">
        <v>1038</v>
      </c>
      <c r="J375">
        <v>2</v>
      </c>
      <c r="K375" t="s">
        <v>41</v>
      </c>
      <c r="L375">
        <v>1336</v>
      </c>
      <c r="M375" t="s">
        <v>77</v>
      </c>
    </row>
    <row r="376" spans="1:13">
      <c r="A376">
        <v>1125471</v>
      </c>
      <c r="B376" t="s">
        <v>1039</v>
      </c>
      <c r="C376">
        <v>27</v>
      </c>
      <c r="D376" t="s">
        <v>1040</v>
      </c>
      <c r="E376">
        <v>21</v>
      </c>
      <c r="F376" t="s">
        <v>9</v>
      </c>
      <c r="G376" t="s">
        <v>20</v>
      </c>
      <c r="H376" t="s">
        <v>58</v>
      </c>
      <c r="I376" t="s">
        <v>1041</v>
      </c>
      <c r="J376">
        <v>0</v>
      </c>
      <c r="K376" t="s">
        <v>41</v>
      </c>
      <c r="L376">
        <v>1893</v>
      </c>
      <c r="M376" t="s">
        <v>77</v>
      </c>
    </row>
    <row r="377" spans="1:13">
      <c r="A377">
        <v>1125474</v>
      </c>
      <c r="B377" t="s">
        <v>1042</v>
      </c>
      <c r="C377">
        <v>31</v>
      </c>
      <c r="D377" t="s">
        <v>818</v>
      </c>
      <c r="E377">
        <v>23</v>
      </c>
      <c r="F377" t="s">
        <v>10</v>
      </c>
      <c r="G377" t="s">
        <v>20</v>
      </c>
      <c r="H377" t="s">
        <v>60</v>
      </c>
      <c r="I377" t="s">
        <v>1043</v>
      </c>
      <c r="J377">
        <v>2</v>
      </c>
      <c r="K377" t="s">
        <v>49</v>
      </c>
      <c r="L377">
        <v>816</v>
      </c>
      <c r="M377" t="s">
        <v>77</v>
      </c>
    </row>
    <row r="378" spans="1:13">
      <c r="A378">
        <v>1126190</v>
      </c>
      <c r="B378" t="s">
        <v>1044</v>
      </c>
      <c r="C378">
        <v>1</v>
      </c>
      <c r="D378" t="s">
        <v>981</v>
      </c>
      <c r="E378">
        <v>1</v>
      </c>
      <c r="F378" t="s">
        <v>2</v>
      </c>
      <c r="G378" t="s">
        <v>27</v>
      </c>
      <c r="H378" t="s">
        <v>60</v>
      </c>
      <c r="I378" t="s">
        <v>1045</v>
      </c>
      <c r="J378">
        <v>1</v>
      </c>
      <c r="K378" t="s">
        <v>43</v>
      </c>
      <c r="L378">
        <v>1379</v>
      </c>
      <c r="M378" t="s">
        <v>77</v>
      </c>
    </row>
    <row r="379" spans="1:13">
      <c r="A379">
        <v>1126291</v>
      </c>
      <c r="B379" t="s">
        <v>1046</v>
      </c>
      <c r="C379">
        <v>2</v>
      </c>
      <c r="D379" t="s">
        <v>1047</v>
      </c>
      <c r="E379">
        <v>2</v>
      </c>
      <c r="F379" t="s">
        <v>27</v>
      </c>
      <c r="G379" t="s">
        <v>2</v>
      </c>
      <c r="H379" t="s">
        <v>60</v>
      </c>
      <c r="I379" t="s">
        <v>1048</v>
      </c>
      <c r="J379">
        <v>1</v>
      </c>
      <c r="K379" t="s">
        <v>37</v>
      </c>
      <c r="L379">
        <v>1379</v>
      </c>
      <c r="M379" t="s">
        <v>77</v>
      </c>
    </row>
    <row r="380" spans="1:13">
      <c r="A380">
        <v>1126400</v>
      </c>
      <c r="B380" t="s">
        <v>1049</v>
      </c>
      <c r="C380">
        <v>36</v>
      </c>
      <c r="D380" t="s">
        <v>957</v>
      </c>
      <c r="E380">
        <v>26</v>
      </c>
      <c r="F380" t="s">
        <v>19</v>
      </c>
      <c r="G380" t="s">
        <v>12</v>
      </c>
      <c r="H380" t="s">
        <v>58</v>
      </c>
      <c r="I380" t="s">
        <v>1050</v>
      </c>
      <c r="J380">
        <v>5</v>
      </c>
      <c r="K380" t="s">
        <v>41</v>
      </c>
      <c r="L380">
        <v>5245</v>
      </c>
      <c r="M380" t="s">
        <v>77</v>
      </c>
    </row>
    <row r="381" spans="1:13">
      <c r="A381">
        <v>1126405</v>
      </c>
      <c r="B381" t="s">
        <v>1051</v>
      </c>
      <c r="C381">
        <v>33</v>
      </c>
      <c r="D381" t="s">
        <v>1052</v>
      </c>
      <c r="E381">
        <v>25</v>
      </c>
      <c r="F381" t="s">
        <v>12</v>
      </c>
      <c r="G381" t="s">
        <v>19</v>
      </c>
      <c r="H381" t="s">
        <v>58</v>
      </c>
      <c r="I381" t="s">
        <v>1053</v>
      </c>
      <c r="J381">
        <v>5</v>
      </c>
      <c r="K381" t="s">
        <v>37</v>
      </c>
      <c r="L381">
        <v>5245</v>
      </c>
      <c r="M381" t="s">
        <v>77</v>
      </c>
    </row>
    <row r="382" spans="1:13">
      <c r="A382">
        <v>1127244</v>
      </c>
      <c r="B382" t="s">
        <v>1054</v>
      </c>
      <c r="C382">
        <v>2</v>
      </c>
      <c r="D382" t="s">
        <v>1021</v>
      </c>
      <c r="E382">
        <v>2</v>
      </c>
      <c r="F382" t="s">
        <v>27</v>
      </c>
      <c r="G382" t="s">
        <v>2</v>
      </c>
      <c r="H382" t="s">
        <v>57</v>
      </c>
      <c r="I382" t="s">
        <v>1055</v>
      </c>
      <c r="J382">
        <v>1</v>
      </c>
      <c r="K382" t="s">
        <v>37</v>
      </c>
      <c r="L382">
        <v>4406</v>
      </c>
      <c r="M382" t="s">
        <v>77</v>
      </c>
    </row>
    <row r="383" spans="1:13">
      <c r="A383">
        <v>1127773</v>
      </c>
      <c r="B383" t="s">
        <v>1056</v>
      </c>
      <c r="C383">
        <v>3</v>
      </c>
      <c r="D383" t="s">
        <v>1057</v>
      </c>
      <c r="E383">
        <v>1</v>
      </c>
      <c r="F383" t="s">
        <v>2</v>
      </c>
      <c r="G383" t="s">
        <v>27</v>
      </c>
      <c r="H383" t="s">
        <v>58</v>
      </c>
      <c r="I383" t="s">
        <v>1058</v>
      </c>
      <c r="J383">
        <v>1</v>
      </c>
      <c r="K383" t="s">
        <v>41</v>
      </c>
      <c r="L383">
        <v>1579</v>
      </c>
      <c r="M383" t="s">
        <v>77</v>
      </c>
    </row>
    <row r="384" spans="1:13">
      <c r="A384">
        <v>1128434</v>
      </c>
      <c r="B384" t="s">
        <v>1059</v>
      </c>
      <c r="C384">
        <v>27</v>
      </c>
      <c r="D384" t="s">
        <v>1040</v>
      </c>
      <c r="E384">
        <v>21</v>
      </c>
      <c r="F384" t="s">
        <v>9</v>
      </c>
      <c r="G384" t="s">
        <v>20</v>
      </c>
      <c r="H384" t="s">
        <v>57</v>
      </c>
      <c r="I384" t="s">
        <v>1060</v>
      </c>
      <c r="J384">
        <v>1</v>
      </c>
      <c r="K384" t="s">
        <v>41</v>
      </c>
      <c r="L384">
        <v>3142</v>
      </c>
      <c r="M384" t="s">
        <v>77</v>
      </c>
    </row>
    <row r="385" spans="1:13">
      <c r="A385">
        <v>1128435</v>
      </c>
      <c r="B385" t="s">
        <v>1061</v>
      </c>
      <c r="C385">
        <v>29</v>
      </c>
      <c r="D385" t="s">
        <v>1026</v>
      </c>
      <c r="E385">
        <v>23</v>
      </c>
      <c r="F385" t="s">
        <v>10</v>
      </c>
      <c r="G385" t="s">
        <v>20</v>
      </c>
      <c r="H385" t="s">
        <v>58</v>
      </c>
      <c r="I385" t="s">
        <v>1062</v>
      </c>
      <c r="J385">
        <v>1</v>
      </c>
      <c r="K385" t="s">
        <v>37</v>
      </c>
      <c r="L385">
        <v>654</v>
      </c>
      <c r="M385" t="s">
        <v>77</v>
      </c>
    </row>
    <row r="386" spans="1:13">
      <c r="A386">
        <v>1128767</v>
      </c>
      <c r="B386" t="s">
        <v>1063</v>
      </c>
      <c r="C386">
        <v>50</v>
      </c>
      <c r="D386" t="s">
        <v>1064</v>
      </c>
      <c r="E386">
        <v>38</v>
      </c>
      <c r="F386" t="s">
        <v>31</v>
      </c>
      <c r="G386" t="s">
        <v>24</v>
      </c>
      <c r="H386" t="s">
        <v>57</v>
      </c>
      <c r="I386" t="s">
        <v>1065</v>
      </c>
      <c r="J386">
        <v>1</v>
      </c>
      <c r="K386" t="s">
        <v>41</v>
      </c>
      <c r="L386">
        <v>3302</v>
      </c>
      <c r="M386" t="s">
        <v>77</v>
      </c>
    </row>
    <row r="387" spans="1:13">
      <c r="A387">
        <v>1129047</v>
      </c>
      <c r="B387" t="s">
        <v>1066</v>
      </c>
      <c r="C387">
        <v>51</v>
      </c>
      <c r="D387" t="s">
        <v>1067</v>
      </c>
      <c r="E387">
        <v>39</v>
      </c>
      <c r="F387" t="s">
        <v>26</v>
      </c>
      <c r="G387" t="s">
        <v>30</v>
      </c>
      <c r="H387" t="s">
        <v>56</v>
      </c>
      <c r="I387" t="s">
        <v>1068</v>
      </c>
      <c r="J387">
        <v>2</v>
      </c>
      <c r="K387" t="s">
        <v>41</v>
      </c>
      <c r="L387">
        <v>6494</v>
      </c>
      <c r="M387" t="s">
        <v>77</v>
      </c>
    </row>
    <row r="388" spans="1:13">
      <c r="A388">
        <v>1129237</v>
      </c>
      <c r="B388" t="s">
        <v>1069</v>
      </c>
      <c r="C388">
        <v>34</v>
      </c>
      <c r="D388" t="s">
        <v>1070</v>
      </c>
      <c r="E388">
        <v>26</v>
      </c>
      <c r="F388" t="s">
        <v>19</v>
      </c>
      <c r="G388" t="s">
        <v>12</v>
      </c>
      <c r="H388" t="s">
        <v>57</v>
      </c>
      <c r="I388" t="s">
        <v>1071</v>
      </c>
      <c r="J388">
        <v>2</v>
      </c>
      <c r="K388" t="s">
        <v>37</v>
      </c>
      <c r="L388">
        <v>5568</v>
      </c>
      <c r="M388" t="s">
        <v>77</v>
      </c>
    </row>
    <row r="389" spans="1:13">
      <c r="A389">
        <v>1129353</v>
      </c>
      <c r="B389" t="s">
        <v>1072</v>
      </c>
      <c r="C389">
        <v>37</v>
      </c>
      <c r="D389" t="s">
        <v>1073</v>
      </c>
      <c r="E389">
        <v>27</v>
      </c>
      <c r="F389" t="s">
        <v>14</v>
      </c>
      <c r="G389" t="s">
        <v>27</v>
      </c>
      <c r="H389" t="s">
        <v>56</v>
      </c>
      <c r="I389" t="s">
        <v>1074</v>
      </c>
      <c r="J389">
        <v>3</v>
      </c>
      <c r="K389" t="s">
        <v>41</v>
      </c>
      <c r="L389">
        <v>6903</v>
      </c>
      <c r="M389" t="s">
        <v>77</v>
      </c>
    </row>
    <row r="390" spans="1:13">
      <c r="A390">
        <v>1130073</v>
      </c>
      <c r="B390" t="s">
        <v>1075</v>
      </c>
      <c r="C390">
        <v>13</v>
      </c>
      <c r="D390" t="s">
        <v>1057</v>
      </c>
      <c r="E390">
        <v>9</v>
      </c>
      <c r="F390" t="s">
        <v>1076</v>
      </c>
      <c r="G390" t="s">
        <v>489</v>
      </c>
      <c r="H390" t="s">
        <v>57</v>
      </c>
      <c r="I390" t="s">
        <v>1077</v>
      </c>
      <c r="J390">
        <v>2</v>
      </c>
      <c r="K390" t="s">
        <v>41</v>
      </c>
      <c r="L390">
        <v>6052</v>
      </c>
      <c r="M390" t="s">
        <v>77</v>
      </c>
    </row>
    <row r="391" spans="1:13">
      <c r="A391">
        <v>1130496</v>
      </c>
      <c r="B391" t="s">
        <v>1078</v>
      </c>
      <c r="C391">
        <v>34</v>
      </c>
      <c r="D391" t="s">
        <v>1070</v>
      </c>
      <c r="E391">
        <v>26</v>
      </c>
      <c r="F391" t="s">
        <v>19</v>
      </c>
      <c r="G391" t="s">
        <v>12</v>
      </c>
      <c r="H391" t="s">
        <v>57</v>
      </c>
      <c r="I391" t="s">
        <v>1079</v>
      </c>
      <c r="J391">
        <v>2</v>
      </c>
      <c r="K391" t="s">
        <v>41</v>
      </c>
      <c r="L391">
        <v>5568</v>
      </c>
      <c r="M391" t="s">
        <v>77</v>
      </c>
    </row>
    <row r="392" spans="1:13">
      <c r="A392">
        <v>1130695</v>
      </c>
      <c r="B392" t="s">
        <v>1080</v>
      </c>
      <c r="C392">
        <v>6</v>
      </c>
      <c r="D392" t="s">
        <v>1064</v>
      </c>
      <c r="E392">
        <v>4</v>
      </c>
      <c r="F392" t="s">
        <v>33</v>
      </c>
      <c r="G392" t="s">
        <v>2</v>
      </c>
      <c r="H392" t="s">
        <v>58</v>
      </c>
      <c r="I392" t="s">
        <v>1081</v>
      </c>
      <c r="J392">
        <v>1</v>
      </c>
      <c r="K392" t="s">
        <v>37</v>
      </c>
      <c r="L392">
        <v>1390</v>
      </c>
      <c r="M392" t="s">
        <v>77</v>
      </c>
    </row>
    <row r="393" spans="1:13">
      <c r="A393">
        <v>1131105</v>
      </c>
      <c r="B393" t="s">
        <v>1082</v>
      </c>
      <c r="C393">
        <v>10</v>
      </c>
      <c r="D393" t="s">
        <v>1083</v>
      </c>
      <c r="E393">
        <v>6</v>
      </c>
      <c r="F393" t="s">
        <v>16</v>
      </c>
      <c r="G393" t="s">
        <v>3</v>
      </c>
      <c r="H393" t="s">
        <v>60</v>
      </c>
      <c r="I393" t="s">
        <v>1084</v>
      </c>
      <c r="J393">
        <v>1</v>
      </c>
      <c r="K393" t="s">
        <v>41</v>
      </c>
      <c r="L393">
        <v>288</v>
      </c>
      <c r="M393" t="s">
        <v>77</v>
      </c>
    </row>
    <row r="394" spans="1:13">
      <c r="A394">
        <v>1131122</v>
      </c>
      <c r="B394" t="s">
        <v>1085</v>
      </c>
      <c r="C394">
        <v>32</v>
      </c>
      <c r="D394" t="s">
        <v>947</v>
      </c>
      <c r="E394">
        <v>24</v>
      </c>
      <c r="F394" t="s">
        <v>20</v>
      </c>
      <c r="G394" t="s">
        <v>10</v>
      </c>
      <c r="H394" t="s">
        <v>60</v>
      </c>
      <c r="I394" t="s">
        <v>1086</v>
      </c>
      <c r="J394">
        <v>2</v>
      </c>
      <c r="K394" t="s">
        <v>41</v>
      </c>
      <c r="L394">
        <v>816</v>
      </c>
      <c r="M394" t="s">
        <v>77</v>
      </c>
    </row>
    <row r="395" spans="1:13">
      <c r="A395">
        <v>1131156</v>
      </c>
      <c r="B395" t="s">
        <v>1087</v>
      </c>
      <c r="C395">
        <v>33</v>
      </c>
      <c r="D395" t="s">
        <v>1052</v>
      </c>
      <c r="E395">
        <v>25</v>
      </c>
      <c r="F395" t="s">
        <v>12</v>
      </c>
      <c r="G395" t="s">
        <v>19</v>
      </c>
      <c r="H395" t="s">
        <v>60</v>
      </c>
      <c r="I395" t="s">
        <v>1088</v>
      </c>
      <c r="J395">
        <v>1</v>
      </c>
      <c r="K395" t="s">
        <v>49</v>
      </c>
      <c r="L395">
        <v>872</v>
      </c>
      <c r="M395" t="s">
        <v>77</v>
      </c>
    </row>
    <row r="396" spans="1:13">
      <c r="A396">
        <v>1131980</v>
      </c>
      <c r="B396" t="s">
        <v>1089</v>
      </c>
      <c r="C396">
        <v>29</v>
      </c>
      <c r="D396" t="s">
        <v>978</v>
      </c>
      <c r="E396">
        <v>23</v>
      </c>
      <c r="F396" t="s">
        <v>10</v>
      </c>
      <c r="G396" t="s">
        <v>20</v>
      </c>
      <c r="H396" t="s">
        <v>60</v>
      </c>
      <c r="I396" t="s">
        <v>1090</v>
      </c>
      <c r="J396">
        <v>1</v>
      </c>
      <c r="K396" t="s">
        <v>41</v>
      </c>
      <c r="L396">
        <v>544</v>
      </c>
      <c r="M396" t="s">
        <v>77</v>
      </c>
    </row>
    <row r="397" spans="1:13">
      <c r="A397">
        <v>1132914</v>
      </c>
      <c r="B397" t="s">
        <v>1091</v>
      </c>
      <c r="C397">
        <v>17</v>
      </c>
      <c r="D397" t="s">
        <v>1034</v>
      </c>
      <c r="E397">
        <v>11</v>
      </c>
      <c r="F397" t="s">
        <v>5</v>
      </c>
      <c r="G397" t="s">
        <v>25</v>
      </c>
      <c r="H397" t="s">
        <v>57</v>
      </c>
      <c r="I397" t="s">
        <v>1092</v>
      </c>
      <c r="J397">
        <v>1</v>
      </c>
      <c r="K397" t="s">
        <v>41</v>
      </c>
      <c r="L397">
        <v>32190</v>
      </c>
      <c r="M397" t="s">
        <v>77</v>
      </c>
    </row>
    <row r="398" spans="1:13">
      <c r="A398">
        <v>1133457</v>
      </c>
      <c r="B398" t="s">
        <v>1093</v>
      </c>
      <c r="C398">
        <v>47</v>
      </c>
      <c r="D398" t="s">
        <v>1094</v>
      </c>
      <c r="E398">
        <v>35</v>
      </c>
      <c r="F398" t="s">
        <v>22</v>
      </c>
      <c r="G398" t="s">
        <v>29</v>
      </c>
      <c r="H398" t="s">
        <v>60</v>
      </c>
      <c r="I398" t="s">
        <v>1095</v>
      </c>
      <c r="J398">
        <v>1</v>
      </c>
      <c r="K398" t="s">
        <v>37</v>
      </c>
      <c r="L398">
        <v>587</v>
      </c>
      <c r="M398" t="s">
        <v>77</v>
      </c>
    </row>
    <row r="399" spans="1:13">
      <c r="A399">
        <v>1133994</v>
      </c>
      <c r="B399" t="s">
        <v>1096</v>
      </c>
      <c r="C399">
        <v>17</v>
      </c>
      <c r="D399" t="s">
        <v>1034</v>
      </c>
      <c r="E399">
        <v>11</v>
      </c>
      <c r="F399" t="s">
        <v>5</v>
      </c>
      <c r="G399" t="s">
        <v>25</v>
      </c>
      <c r="H399" t="s">
        <v>60</v>
      </c>
      <c r="I399" t="s">
        <v>1097</v>
      </c>
      <c r="J399">
        <v>2</v>
      </c>
      <c r="K399" t="s">
        <v>41</v>
      </c>
      <c r="L399">
        <v>2016</v>
      </c>
      <c r="M399" t="s">
        <v>77</v>
      </c>
    </row>
    <row r="400" spans="1:13">
      <c r="A400">
        <v>1134104</v>
      </c>
      <c r="B400" t="s">
        <v>1098</v>
      </c>
      <c r="C400">
        <v>7</v>
      </c>
      <c r="D400" t="s">
        <v>1099</v>
      </c>
      <c r="E400">
        <v>3</v>
      </c>
      <c r="F400" t="s">
        <v>2</v>
      </c>
      <c r="G400" t="s">
        <v>33</v>
      </c>
      <c r="H400" t="s">
        <v>57</v>
      </c>
      <c r="I400" t="s">
        <v>1100</v>
      </c>
      <c r="J400">
        <v>1</v>
      </c>
      <c r="K400" t="s">
        <v>41</v>
      </c>
      <c r="L400">
        <v>-3520</v>
      </c>
      <c r="M400" t="s">
        <v>77</v>
      </c>
    </row>
    <row r="401" spans="1:13">
      <c r="A401">
        <v>1134219</v>
      </c>
      <c r="B401" t="s">
        <v>1101</v>
      </c>
      <c r="C401">
        <v>6</v>
      </c>
      <c r="D401" t="s">
        <v>1102</v>
      </c>
      <c r="E401">
        <v>4</v>
      </c>
      <c r="F401" t="s">
        <v>33</v>
      </c>
      <c r="G401" t="s">
        <v>2</v>
      </c>
      <c r="H401" t="s">
        <v>58</v>
      </c>
      <c r="I401" t="s">
        <v>1103</v>
      </c>
      <c r="J401">
        <v>1</v>
      </c>
      <c r="K401" t="s">
        <v>41</v>
      </c>
      <c r="L401">
        <v>1390</v>
      </c>
      <c r="M401" t="s">
        <v>77</v>
      </c>
    </row>
    <row r="402" spans="1:13">
      <c r="A402">
        <v>1134307</v>
      </c>
      <c r="B402" t="s">
        <v>1104</v>
      </c>
      <c r="C402">
        <v>35</v>
      </c>
      <c r="D402" t="s">
        <v>889</v>
      </c>
      <c r="E402">
        <v>25</v>
      </c>
      <c r="F402" t="s">
        <v>12</v>
      </c>
      <c r="G402" t="s">
        <v>19</v>
      </c>
      <c r="H402" t="s">
        <v>58</v>
      </c>
      <c r="I402" t="s">
        <v>1105</v>
      </c>
      <c r="J402">
        <v>4</v>
      </c>
      <c r="K402" t="s">
        <v>41</v>
      </c>
      <c r="L402">
        <v>4196</v>
      </c>
      <c r="M402" t="s">
        <v>77</v>
      </c>
    </row>
    <row r="403" spans="1:13">
      <c r="A403">
        <v>1136744</v>
      </c>
      <c r="B403" t="s">
        <v>1106</v>
      </c>
      <c r="C403">
        <v>3</v>
      </c>
      <c r="D403" t="s">
        <v>1057</v>
      </c>
      <c r="E403">
        <v>1</v>
      </c>
      <c r="F403" t="s">
        <v>2</v>
      </c>
      <c r="G403" t="s">
        <v>27</v>
      </c>
      <c r="H403" t="s">
        <v>60</v>
      </c>
      <c r="I403" t="s">
        <v>1107</v>
      </c>
      <c r="J403">
        <v>1</v>
      </c>
      <c r="K403" t="s">
        <v>41</v>
      </c>
      <c r="L403">
        <v>1314</v>
      </c>
      <c r="M403" t="s">
        <v>77</v>
      </c>
    </row>
    <row r="404" spans="1:13">
      <c r="A404">
        <v>1136796</v>
      </c>
      <c r="B404" t="s">
        <v>1108</v>
      </c>
      <c r="C404">
        <v>42</v>
      </c>
      <c r="D404" t="s">
        <v>1109</v>
      </c>
      <c r="E404">
        <v>32</v>
      </c>
      <c r="F404" t="s">
        <v>32</v>
      </c>
      <c r="G404" t="s">
        <v>16</v>
      </c>
      <c r="H404" t="s">
        <v>60</v>
      </c>
      <c r="I404" t="s">
        <v>1110</v>
      </c>
      <c r="J404">
        <v>2</v>
      </c>
      <c r="K404" t="s">
        <v>41</v>
      </c>
      <c r="L404">
        <v>1882</v>
      </c>
      <c r="M404" t="s">
        <v>77</v>
      </c>
    </row>
    <row r="405" spans="1:13">
      <c r="A405">
        <v>1137400</v>
      </c>
      <c r="B405" t="s">
        <v>1111</v>
      </c>
      <c r="C405">
        <v>52</v>
      </c>
      <c r="D405" t="s">
        <v>1112</v>
      </c>
      <c r="E405">
        <v>40</v>
      </c>
      <c r="F405" t="s">
        <v>30</v>
      </c>
      <c r="G405" t="s">
        <v>26</v>
      </c>
      <c r="H405" t="s">
        <v>60</v>
      </c>
      <c r="I405" t="s">
        <v>1113</v>
      </c>
      <c r="J405">
        <v>2</v>
      </c>
      <c r="K405" t="s">
        <v>41</v>
      </c>
      <c r="L405">
        <v>1420</v>
      </c>
      <c r="M405" t="s">
        <v>77</v>
      </c>
    </row>
    <row r="406" spans="1:13">
      <c r="A406">
        <v>1138455</v>
      </c>
      <c r="B406" t="s">
        <v>1114</v>
      </c>
      <c r="C406">
        <v>46</v>
      </c>
      <c r="D406" t="s">
        <v>1034</v>
      </c>
      <c r="E406">
        <v>34</v>
      </c>
      <c r="F406" t="s">
        <v>28</v>
      </c>
      <c r="G406" t="s">
        <v>21</v>
      </c>
      <c r="H406" t="s">
        <v>57</v>
      </c>
      <c r="I406" t="s">
        <v>1115</v>
      </c>
      <c r="J406">
        <v>3</v>
      </c>
      <c r="K406" t="s">
        <v>45</v>
      </c>
      <c r="L406">
        <v>7560</v>
      </c>
      <c r="M406" t="s">
        <v>77</v>
      </c>
    </row>
    <row r="407" spans="1:13">
      <c r="A407">
        <v>1138512</v>
      </c>
      <c r="B407" t="s">
        <v>1116</v>
      </c>
      <c r="C407">
        <v>27</v>
      </c>
      <c r="D407" t="s">
        <v>1117</v>
      </c>
      <c r="E407">
        <v>21</v>
      </c>
      <c r="F407" t="s">
        <v>9</v>
      </c>
      <c r="G407" t="s">
        <v>20</v>
      </c>
      <c r="H407" t="s">
        <v>58</v>
      </c>
      <c r="I407" t="s">
        <v>1118</v>
      </c>
      <c r="J407">
        <v>3</v>
      </c>
      <c r="K407" t="s">
        <v>41</v>
      </c>
      <c r="L407">
        <v>2603</v>
      </c>
      <c r="M407" t="s">
        <v>77</v>
      </c>
    </row>
    <row r="408" spans="1:13">
      <c r="A408">
        <v>1138785</v>
      </c>
      <c r="B408" t="s">
        <v>1119</v>
      </c>
      <c r="C408">
        <v>14</v>
      </c>
      <c r="D408" t="s">
        <v>1120</v>
      </c>
      <c r="E408">
        <v>10</v>
      </c>
      <c r="F408" t="s">
        <v>10</v>
      </c>
      <c r="G408" t="s">
        <v>4</v>
      </c>
      <c r="H408" t="s">
        <v>57</v>
      </c>
      <c r="I408" t="s">
        <v>1121</v>
      </c>
      <c r="J408">
        <v>2</v>
      </c>
      <c r="K408" t="s">
        <v>41</v>
      </c>
      <c r="L408">
        <v>6052</v>
      </c>
      <c r="M408" t="s">
        <v>77</v>
      </c>
    </row>
    <row r="409" spans="1:13">
      <c r="A409">
        <v>1139299</v>
      </c>
      <c r="B409" t="s">
        <v>1122</v>
      </c>
      <c r="C409">
        <v>13</v>
      </c>
      <c r="D409" t="s">
        <v>1123</v>
      </c>
      <c r="E409">
        <v>9</v>
      </c>
      <c r="F409" t="s">
        <v>4</v>
      </c>
      <c r="G409" t="s">
        <v>10</v>
      </c>
      <c r="H409" t="s">
        <v>57</v>
      </c>
      <c r="I409" t="s">
        <v>1124</v>
      </c>
      <c r="J409">
        <v>4</v>
      </c>
      <c r="K409" t="s">
        <v>37</v>
      </c>
      <c r="L409">
        <v>12104</v>
      </c>
      <c r="M409" t="s">
        <v>77</v>
      </c>
    </row>
    <row r="410" spans="1:13">
      <c r="A410">
        <v>1139539</v>
      </c>
      <c r="B410" t="s">
        <v>1125</v>
      </c>
      <c r="C410">
        <v>17</v>
      </c>
      <c r="D410" t="s">
        <v>1034</v>
      </c>
      <c r="E410">
        <v>11</v>
      </c>
      <c r="F410" t="s">
        <v>5</v>
      </c>
      <c r="G410" t="s">
        <v>25</v>
      </c>
      <c r="H410" t="s">
        <v>60</v>
      </c>
      <c r="I410" t="s">
        <v>1126</v>
      </c>
      <c r="J410">
        <v>6</v>
      </c>
      <c r="K410" t="s">
        <v>41</v>
      </c>
      <c r="L410">
        <v>5645</v>
      </c>
      <c r="M410" t="s">
        <v>77</v>
      </c>
    </row>
    <row r="411" spans="1:13">
      <c r="A411">
        <v>1139821</v>
      </c>
      <c r="B411" t="s">
        <v>1127</v>
      </c>
      <c r="C411">
        <v>50</v>
      </c>
      <c r="D411" t="s">
        <v>1128</v>
      </c>
      <c r="E411">
        <v>38</v>
      </c>
      <c r="F411" t="s">
        <v>31</v>
      </c>
      <c r="G411" t="s">
        <v>24</v>
      </c>
      <c r="H411" t="s">
        <v>58</v>
      </c>
      <c r="I411" t="s">
        <v>1129</v>
      </c>
      <c r="J411">
        <v>2</v>
      </c>
      <c r="K411" t="s">
        <v>41</v>
      </c>
      <c r="L411">
        <v>2486</v>
      </c>
      <c r="M411" t="s">
        <v>77</v>
      </c>
    </row>
    <row r="412" spans="1:13">
      <c r="A412">
        <v>1140161</v>
      </c>
      <c r="B412" t="s">
        <v>1130</v>
      </c>
      <c r="C412">
        <v>14</v>
      </c>
      <c r="D412" t="s">
        <v>1067</v>
      </c>
      <c r="E412">
        <v>10</v>
      </c>
      <c r="F412" t="s">
        <v>10</v>
      </c>
      <c r="G412" t="s">
        <v>4</v>
      </c>
      <c r="H412" t="s">
        <v>57</v>
      </c>
      <c r="I412" t="s">
        <v>1131</v>
      </c>
      <c r="J412">
        <v>2</v>
      </c>
      <c r="K412" t="s">
        <v>47</v>
      </c>
      <c r="L412">
        <v>6052</v>
      </c>
      <c r="M412" t="s">
        <v>77</v>
      </c>
    </row>
    <row r="413" spans="1:13">
      <c r="A413">
        <v>1140190</v>
      </c>
      <c r="B413" t="s">
        <v>1132</v>
      </c>
      <c r="C413">
        <v>5</v>
      </c>
      <c r="D413" t="s">
        <v>1133</v>
      </c>
      <c r="E413">
        <v>3</v>
      </c>
      <c r="F413" t="s">
        <v>2</v>
      </c>
      <c r="G413" t="s">
        <v>33</v>
      </c>
      <c r="H413" t="s">
        <v>58</v>
      </c>
      <c r="I413" t="s">
        <v>1134</v>
      </c>
      <c r="J413">
        <v>3</v>
      </c>
      <c r="K413" t="s">
        <v>41</v>
      </c>
      <c r="L413">
        <v>3614</v>
      </c>
      <c r="M413" t="s">
        <v>77</v>
      </c>
    </row>
    <row r="414" spans="1:13">
      <c r="A414">
        <v>1140449</v>
      </c>
      <c r="B414" t="s">
        <v>1135</v>
      </c>
      <c r="C414">
        <v>12</v>
      </c>
      <c r="D414" t="s">
        <v>1136</v>
      </c>
      <c r="E414">
        <v>8</v>
      </c>
      <c r="F414" t="s">
        <v>18</v>
      </c>
      <c r="G414" t="s">
        <v>3</v>
      </c>
      <c r="H414" t="s">
        <v>58</v>
      </c>
      <c r="I414" t="s">
        <v>1137</v>
      </c>
      <c r="J414">
        <v>1</v>
      </c>
      <c r="K414" t="s">
        <v>41</v>
      </c>
      <c r="L414">
        <v>700</v>
      </c>
      <c r="M414" t="s">
        <v>77</v>
      </c>
    </row>
    <row r="415" spans="1:13">
      <c r="A415">
        <v>1140539</v>
      </c>
      <c r="B415" t="s">
        <v>1138</v>
      </c>
      <c r="C415">
        <v>40</v>
      </c>
      <c r="D415" t="s">
        <v>1139</v>
      </c>
      <c r="E415">
        <v>30</v>
      </c>
      <c r="F415" t="s">
        <v>23</v>
      </c>
      <c r="G415" t="s">
        <v>15</v>
      </c>
      <c r="H415" t="s">
        <v>56</v>
      </c>
      <c r="I415" t="s">
        <v>1140</v>
      </c>
      <c r="J415">
        <v>3</v>
      </c>
      <c r="K415" t="s">
        <v>41</v>
      </c>
      <c r="L415">
        <v>10355</v>
      </c>
      <c r="M415" t="s">
        <v>77</v>
      </c>
    </row>
    <row r="416" spans="1:13">
      <c r="A416">
        <v>1141063</v>
      </c>
      <c r="B416" t="s">
        <v>1141</v>
      </c>
      <c r="C416">
        <v>14</v>
      </c>
      <c r="D416" t="s">
        <v>1067</v>
      </c>
      <c r="E416">
        <v>10</v>
      </c>
      <c r="F416" t="s">
        <v>10</v>
      </c>
      <c r="G416" t="s">
        <v>4</v>
      </c>
      <c r="H416" t="s">
        <v>57</v>
      </c>
      <c r="I416" t="s">
        <v>1142</v>
      </c>
      <c r="J416">
        <v>2</v>
      </c>
      <c r="K416" t="s">
        <v>47</v>
      </c>
      <c r="L416">
        <v>4539</v>
      </c>
      <c r="M416" t="s">
        <v>77</v>
      </c>
    </row>
    <row r="417" spans="1:13">
      <c r="A417">
        <v>1141070</v>
      </c>
      <c r="B417" t="s">
        <v>1143</v>
      </c>
      <c r="C417">
        <v>31</v>
      </c>
      <c r="D417" t="s">
        <v>1144</v>
      </c>
      <c r="E417">
        <v>23</v>
      </c>
      <c r="F417" t="s">
        <v>10</v>
      </c>
      <c r="G417" t="s">
        <v>20</v>
      </c>
      <c r="H417" t="s">
        <v>60</v>
      </c>
      <c r="I417" t="s">
        <v>1145</v>
      </c>
      <c r="J417">
        <v>1</v>
      </c>
      <c r="K417" t="s">
        <v>1146</v>
      </c>
      <c r="L417">
        <v>544</v>
      </c>
      <c r="M417" t="s">
        <v>77</v>
      </c>
    </row>
    <row r="418" spans="1:13">
      <c r="A418">
        <v>1141084</v>
      </c>
      <c r="B418" t="s">
        <v>1147</v>
      </c>
      <c r="C418">
        <v>12</v>
      </c>
      <c r="D418" t="s">
        <v>1148</v>
      </c>
      <c r="E418">
        <v>8</v>
      </c>
      <c r="F418" t="s">
        <v>18</v>
      </c>
      <c r="G418" t="s">
        <v>3</v>
      </c>
      <c r="H418" t="s">
        <v>60</v>
      </c>
      <c r="I418" t="s">
        <v>1149</v>
      </c>
      <c r="J418">
        <v>1</v>
      </c>
      <c r="K418" t="s">
        <v>41</v>
      </c>
      <c r="L418">
        <v>582</v>
      </c>
      <c r="M418" t="s">
        <v>77</v>
      </c>
    </row>
    <row r="419" spans="1:13">
      <c r="A419">
        <v>1141196</v>
      </c>
      <c r="B419" t="s">
        <v>1150</v>
      </c>
      <c r="C419">
        <v>12</v>
      </c>
      <c r="D419" t="s">
        <v>1151</v>
      </c>
      <c r="E419">
        <v>8</v>
      </c>
      <c r="F419" t="s">
        <v>18</v>
      </c>
      <c r="G419" t="s">
        <v>3</v>
      </c>
      <c r="H419" t="s">
        <v>57</v>
      </c>
      <c r="I419" t="s">
        <v>1152</v>
      </c>
      <c r="J419">
        <v>1</v>
      </c>
      <c r="K419" t="s">
        <v>37</v>
      </c>
      <c r="L419">
        <v>1854</v>
      </c>
      <c r="M419" t="s">
        <v>77</v>
      </c>
    </row>
    <row r="420" spans="1:13">
      <c r="A420">
        <v>1141452</v>
      </c>
      <c r="B420" t="s">
        <v>1153</v>
      </c>
      <c r="C420">
        <v>40</v>
      </c>
      <c r="D420" t="s">
        <v>1139</v>
      </c>
      <c r="E420">
        <v>30</v>
      </c>
      <c r="F420" t="s">
        <v>23</v>
      </c>
      <c r="G420" t="s">
        <v>15</v>
      </c>
      <c r="H420" t="s">
        <v>57</v>
      </c>
      <c r="I420" t="s">
        <v>1154</v>
      </c>
      <c r="J420">
        <v>2</v>
      </c>
      <c r="K420" t="s">
        <v>41</v>
      </c>
      <c r="L420">
        <v>5772</v>
      </c>
      <c r="M420" t="s">
        <v>77</v>
      </c>
    </row>
    <row r="421" spans="1:13">
      <c r="A421">
        <v>1141538</v>
      </c>
      <c r="B421" t="s">
        <v>1155</v>
      </c>
      <c r="C421">
        <v>19</v>
      </c>
      <c r="D421" t="s">
        <v>1156</v>
      </c>
      <c r="E421">
        <v>13</v>
      </c>
      <c r="F421" t="s">
        <v>6</v>
      </c>
      <c r="G421" t="s">
        <v>17</v>
      </c>
      <c r="H421" t="s">
        <v>58</v>
      </c>
      <c r="I421" t="s">
        <v>1157</v>
      </c>
      <c r="J421">
        <v>2</v>
      </c>
      <c r="K421" t="s">
        <v>41</v>
      </c>
      <c r="L421">
        <v>1286</v>
      </c>
      <c r="M421" t="s">
        <v>77</v>
      </c>
    </row>
    <row r="422" spans="1:13">
      <c r="A422">
        <v>1141562</v>
      </c>
      <c r="B422" t="s">
        <v>1158</v>
      </c>
      <c r="C422">
        <v>33</v>
      </c>
      <c r="D422" t="s">
        <v>1159</v>
      </c>
      <c r="E422">
        <v>25</v>
      </c>
      <c r="F422" t="s">
        <v>12</v>
      </c>
      <c r="G422" t="s">
        <v>19</v>
      </c>
      <c r="H422" t="s">
        <v>58</v>
      </c>
      <c r="I422" t="s">
        <v>1160</v>
      </c>
      <c r="J422">
        <v>1</v>
      </c>
      <c r="K422" t="s">
        <v>37</v>
      </c>
      <c r="L422">
        <v>1049</v>
      </c>
      <c r="M422" t="s">
        <v>77</v>
      </c>
    </row>
    <row r="423" spans="1:13">
      <c r="A423">
        <v>1142545</v>
      </c>
      <c r="B423" t="s">
        <v>1161</v>
      </c>
      <c r="C423">
        <v>39</v>
      </c>
      <c r="D423" t="s">
        <v>1162</v>
      </c>
      <c r="E423">
        <v>29</v>
      </c>
      <c r="F423" t="s">
        <v>15</v>
      </c>
      <c r="G423" t="s">
        <v>23</v>
      </c>
      <c r="H423" t="s">
        <v>58</v>
      </c>
      <c r="I423" t="s">
        <v>1163</v>
      </c>
      <c r="J423">
        <v>2</v>
      </c>
      <c r="K423" t="s">
        <v>41</v>
      </c>
      <c r="L423">
        <v>2174</v>
      </c>
      <c r="M423" t="s">
        <v>77</v>
      </c>
    </row>
    <row r="424" spans="1:13">
      <c r="A424">
        <v>1142683</v>
      </c>
      <c r="B424" t="s">
        <v>1164</v>
      </c>
      <c r="C424">
        <v>31</v>
      </c>
      <c r="D424" t="s">
        <v>1165</v>
      </c>
      <c r="E424">
        <v>23</v>
      </c>
      <c r="F424" t="s">
        <v>10</v>
      </c>
      <c r="G424" t="s">
        <v>20</v>
      </c>
      <c r="H424" t="s">
        <v>58</v>
      </c>
      <c r="I424" t="s">
        <v>1166</v>
      </c>
      <c r="J424">
        <v>3</v>
      </c>
      <c r="K424" t="s">
        <v>41</v>
      </c>
      <c r="L424">
        <v>1635</v>
      </c>
      <c r="M424" t="s">
        <v>77</v>
      </c>
    </row>
    <row r="425" spans="1:13">
      <c r="A425">
        <v>1142813</v>
      </c>
      <c r="B425" t="s">
        <v>1167</v>
      </c>
      <c r="C425">
        <v>5</v>
      </c>
      <c r="D425" t="s">
        <v>1099</v>
      </c>
      <c r="E425">
        <v>3</v>
      </c>
      <c r="F425" t="s">
        <v>1168</v>
      </c>
      <c r="G425" t="s">
        <v>1169</v>
      </c>
      <c r="H425" t="s">
        <v>57</v>
      </c>
      <c r="I425" t="s">
        <v>1170</v>
      </c>
      <c r="J425">
        <v>1</v>
      </c>
      <c r="K425" t="s">
        <v>37</v>
      </c>
      <c r="L425">
        <v>3694</v>
      </c>
      <c r="M425" t="s">
        <v>77</v>
      </c>
    </row>
    <row r="426" spans="1:13">
      <c r="A426">
        <v>1143359</v>
      </c>
      <c r="B426" t="s">
        <v>1171</v>
      </c>
      <c r="C426">
        <v>19</v>
      </c>
      <c r="D426" t="s">
        <v>1156</v>
      </c>
      <c r="E426">
        <v>13</v>
      </c>
      <c r="F426" t="s">
        <v>6</v>
      </c>
      <c r="G426" t="s">
        <v>17</v>
      </c>
      <c r="H426" t="s">
        <v>60</v>
      </c>
      <c r="I426" t="s">
        <v>1172</v>
      </c>
      <c r="J426">
        <v>4</v>
      </c>
      <c r="K426" t="s">
        <v>41</v>
      </c>
      <c r="L426">
        <v>2672</v>
      </c>
      <c r="M426" t="s">
        <v>77</v>
      </c>
    </row>
    <row r="427" spans="1:13">
      <c r="A427">
        <v>1143705</v>
      </c>
      <c r="B427" t="s">
        <v>1173</v>
      </c>
      <c r="C427">
        <v>45</v>
      </c>
      <c r="D427" t="s">
        <v>1174</v>
      </c>
      <c r="E427">
        <v>33</v>
      </c>
      <c r="F427" t="s">
        <v>21</v>
      </c>
      <c r="G427" t="s">
        <v>28</v>
      </c>
      <c r="H427" t="s">
        <v>60</v>
      </c>
      <c r="I427" t="s">
        <v>1175</v>
      </c>
      <c r="J427">
        <v>1</v>
      </c>
      <c r="K427" t="s">
        <v>41</v>
      </c>
      <c r="L427">
        <v>790</v>
      </c>
      <c r="M427" t="s">
        <v>77</v>
      </c>
    </row>
    <row r="428" spans="1:13">
      <c r="A428">
        <v>1143776</v>
      </c>
      <c r="B428" t="s">
        <v>1176</v>
      </c>
      <c r="C428">
        <v>48</v>
      </c>
      <c r="D428" t="s">
        <v>1177</v>
      </c>
      <c r="E428">
        <v>36</v>
      </c>
      <c r="F428" t="s">
        <v>29</v>
      </c>
      <c r="G428" t="s">
        <v>22</v>
      </c>
      <c r="H428" t="s">
        <v>57</v>
      </c>
      <c r="I428" t="s">
        <v>1178</v>
      </c>
      <c r="J428">
        <v>1</v>
      </c>
      <c r="K428" t="s">
        <v>1179</v>
      </c>
      <c r="L428">
        <v>3123</v>
      </c>
      <c r="M428" t="s">
        <v>77</v>
      </c>
    </row>
    <row r="429" spans="1:13">
      <c r="A429">
        <v>1143824</v>
      </c>
      <c r="B429" t="s">
        <v>1180</v>
      </c>
      <c r="C429">
        <v>5</v>
      </c>
      <c r="D429" t="s">
        <v>1181</v>
      </c>
      <c r="E429">
        <v>3</v>
      </c>
      <c r="F429" t="s">
        <v>2</v>
      </c>
      <c r="G429" t="s">
        <v>33</v>
      </c>
      <c r="H429" t="s">
        <v>56</v>
      </c>
      <c r="I429" t="s">
        <v>1182</v>
      </c>
      <c r="J429">
        <v>2</v>
      </c>
      <c r="K429" t="s">
        <v>37</v>
      </c>
      <c r="L429">
        <v>5833</v>
      </c>
      <c r="M429" t="s">
        <v>77</v>
      </c>
    </row>
    <row r="430" spans="1:13">
      <c r="A430">
        <v>1144187</v>
      </c>
      <c r="B430" t="s">
        <v>1183</v>
      </c>
      <c r="C430">
        <v>35</v>
      </c>
      <c r="D430" t="s">
        <v>1133</v>
      </c>
      <c r="E430">
        <v>25</v>
      </c>
      <c r="F430" t="s">
        <v>12</v>
      </c>
      <c r="G430" t="s">
        <v>19</v>
      </c>
      <c r="H430" t="s">
        <v>57</v>
      </c>
      <c r="I430" t="s">
        <v>1184</v>
      </c>
      <c r="J430">
        <v>1</v>
      </c>
      <c r="K430" t="s">
        <v>37</v>
      </c>
      <c r="L430">
        <v>1670</v>
      </c>
      <c r="M430" t="s">
        <v>77</v>
      </c>
    </row>
    <row r="431" spans="1:13">
      <c r="A431">
        <v>1144215</v>
      </c>
      <c r="B431" t="s">
        <v>1185</v>
      </c>
      <c r="C431">
        <v>1</v>
      </c>
      <c r="D431" t="s">
        <v>1186</v>
      </c>
      <c r="E431">
        <v>1</v>
      </c>
      <c r="F431" t="s">
        <v>2</v>
      </c>
      <c r="G431" t="s">
        <v>27</v>
      </c>
      <c r="H431" t="s">
        <v>60</v>
      </c>
      <c r="I431" t="s">
        <v>1187</v>
      </c>
      <c r="J431">
        <v>1</v>
      </c>
      <c r="K431" t="s">
        <v>41</v>
      </c>
      <c r="L431">
        <v>1379</v>
      </c>
      <c r="M431" t="s">
        <v>77</v>
      </c>
    </row>
    <row r="432" spans="1:13">
      <c r="A432">
        <v>1144413</v>
      </c>
      <c r="B432" t="s">
        <v>1188</v>
      </c>
      <c r="C432">
        <v>1</v>
      </c>
      <c r="D432" t="s">
        <v>938</v>
      </c>
      <c r="E432">
        <v>1</v>
      </c>
      <c r="F432" t="s">
        <v>2</v>
      </c>
      <c r="G432" t="s">
        <v>27</v>
      </c>
      <c r="H432" t="s">
        <v>58</v>
      </c>
      <c r="I432" t="s">
        <v>1189</v>
      </c>
      <c r="J432">
        <v>2</v>
      </c>
      <c r="K432" t="s">
        <v>41</v>
      </c>
      <c r="L432">
        <v>3314</v>
      </c>
      <c r="M432" t="s">
        <v>77</v>
      </c>
    </row>
    <row r="433" spans="1:13">
      <c r="A433">
        <v>1144538</v>
      </c>
      <c r="B433" t="s">
        <v>1190</v>
      </c>
      <c r="C433">
        <v>19</v>
      </c>
      <c r="D433" t="s">
        <v>1191</v>
      </c>
      <c r="E433">
        <v>13</v>
      </c>
      <c r="F433" t="s">
        <v>6</v>
      </c>
      <c r="G433" t="s">
        <v>17</v>
      </c>
      <c r="H433" t="s">
        <v>58</v>
      </c>
      <c r="I433" t="s">
        <v>1192</v>
      </c>
      <c r="J433">
        <v>4</v>
      </c>
      <c r="K433" t="s">
        <v>41</v>
      </c>
      <c r="L433">
        <v>3216</v>
      </c>
      <c r="M433" t="s">
        <v>77</v>
      </c>
    </row>
    <row r="434" spans="1:13">
      <c r="A434">
        <v>1144730</v>
      </c>
      <c r="B434" t="s">
        <v>1193</v>
      </c>
      <c r="C434">
        <v>31</v>
      </c>
      <c r="D434" t="s">
        <v>1123</v>
      </c>
      <c r="E434">
        <v>23</v>
      </c>
      <c r="F434" t="s">
        <v>10</v>
      </c>
      <c r="G434" t="s">
        <v>20</v>
      </c>
      <c r="H434" t="s">
        <v>58</v>
      </c>
      <c r="I434" t="s">
        <v>1194</v>
      </c>
      <c r="J434">
        <v>1</v>
      </c>
      <c r="K434" t="s">
        <v>41</v>
      </c>
      <c r="L434">
        <v>393</v>
      </c>
      <c r="M434" t="s">
        <v>77</v>
      </c>
    </row>
    <row r="435" spans="1:13">
      <c r="A435">
        <v>1145742</v>
      </c>
      <c r="B435" t="s">
        <v>1195</v>
      </c>
      <c r="C435">
        <v>33</v>
      </c>
      <c r="D435" t="s">
        <v>964</v>
      </c>
      <c r="E435">
        <v>25</v>
      </c>
      <c r="F435" t="s">
        <v>12</v>
      </c>
      <c r="G435" t="s">
        <v>19</v>
      </c>
      <c r="H435" t="s">
        <v>60</v>
      </c>
      <c r="I435" t="s">
        <v>1196</v>
      </c>
      <c r="J435">
        <v>2</v>
      </c>
      <c r="K435" t="s">
        <v>41</v>
      </c>
      <c r="L435">
        <v>1744</v>
      </c>
      <c r="M435" t="s">
        <v>77</v>
      </c>
    </row>
    <row r="436" spans="1:13">
      <c r="A436">
        <v>1145945</v>
      </c>
      <c r="B436" t="s">
        <v>1197</v>
      </c>
      <c r="C436">
        <v>30</v>
      </c>
      <c r="D436" t="s">
        <v>1198</v>
      </c>
      <c r="E436">
        <v>24</v>
      </c>
      <c r="F436" t="s">
        <v>20</v>
      </c>
      <c r="G436" t="s">
        <v>10</v>
      </c>
      <c r="H436" t="s">
        <v>60</v>
      </c>
      <c r="I436" t="s">
        <v>1199</v>
      </c>
      <c r="J436">
        <v>1</v>
      </c>
      <c r="K436" t="s">
        <v>41</v>
      </c>
      <c r="L436">
        <v>544</v>
      </c>
      <c r="M436" t="s">
        <v>77</v>
      </c>
    </row>
    <row r="437" spans="1:13">
      <c r="A437">
        <v>1145955</v>
      </c>
      <c r="B437" t="s">
        <v>1200</v>
      </c>
      <c r="C437">
        <v>30</v>
      </c>
      <c r="D437" t="s">
        <v>1174</v>
      </c>
      <c r="E437">
        <v>24</v>
      </c>
      <c r="F437" t="s">
        <v>20</v>
      </c>
      <c r="G437" t="s">
        <v>10</v>
      </c>
      <c r="H437" t="s">
        <v>58</v>
      </c>
      <c r="I437" t="s">
        <v>1201</v>
      </c>
      <c r="J437">
        <v>6</v>
      </c>
      <c r="K437" t="s">
        <v>37</v>
      </c>
      <c r="L437">
        <v>3663</v>
      </c>
      <c r="M437" t="s">
        <v>77</v>
      </c>
    </row>
    <row r="438" spans="1:13">
      <c r="A438">
        <v>1146201</v>
      </c>
      <c r="B438" t="s">
        <v>1202</v>
      </c>
      <c r="C438">
        <v>15</v>
      </c>
      <c r="D438" t="s">
        <v>1203</v>
      </c>
      <c r="E438">
        <v>9</v>
      </c>
      <c r="F438" t="s">
        <v>4</v>
      </c>
      <c r="G438" t="s">
        <v>10</v>
      </c>
      <c r="H438" t="s">
        <v>57</v>
      </c>
      <c r="I438" t="s">
        <v>1204</v>
      </c>
      <c r="J438">
        <v>2</v>
      </c>
      <c r="K438" t="s">
        <v>37</v>
      </c>
      <c r="L438">
        <v>4858</v>
      </c>
      <c r="M438" t="s">
        <v>77</v>
      </c>
    </row>
    <row r="439" spans="1:13">
      <c r="A439">
        <v>1146740</v>
      </c>
      <c r="B439" t="s">
        <v>1205</v>
      </c>
      <c r="C439">
        <v>45</v>
      </c>
      <c r="D439" t="s">
        <v>984</v>
      </c>
      <c r="E439">
        <v>33</v>
      </c>
      <c r="F439" t="s">
        <v>21</v>
      </c>
      <c r="G439" t="s">
        <v>28</v>
      </c>
      <c r="H439" t="s">
        <v>57</v>
      </c>
      <c r="I439" t="s">
        <v>1206</v>
      </c>
      <c r="J439">
        <v>2</v>
      </c>
      <c r="K439" t="s">
        <v>37</v>
      </c>
      <c r="L439">
        <v>4032</v>
      </c>
      <c r="M439" t="s">
        <v>77</v>
      </c>
    </row>
    <row r="440" spans="1:13">
      <c r="A440">
        <v>1146760</v>
      </c>
      <c r="B440" t="s">
        <v>1207</v>
      </c>
      <c r="C440">
        <v>44</v>
      </c>
      <c r="D440" t="s">
        <v>1208</v>
      </c>
      <c r="E440">
        <v>34</v>
      </c>
      <c r="F440" t="s">
        <v>28</v>
      </c>
      <c r="G440" t="s">
        <v>21</v>
      </c>
      <c r="H440" t="s">
        <v>60</v>
      </c>
      <c r="I440" t="s">
        <v>1209</v>
      </c>
      <c r="J440">
        <v>1</v>
      </c>
      <c r="K440" t="s">
        <v>41</v>
      </c>
      <c r="L440">
        <v>753</v>
      </c>
      <c r="M440" t="s">
        <v>77</v>
      </c>
    </row>
    <row r="441" spans="1:13">
      <c r="A441">
        <v>1146868</v>
      </c>
      <c r="B441" t="s">
        <v>1210</v>
      </c>
      <c r="C441">
        <v>6</v>
      </c>
      <c r="D441" t="s">
        <v>1211</v>
      </c>
      <c r="E441">
        <v>4</v>
      </c>
      <c r="F441" t="s">
        <v>33</v>
      </c>
      <c r="G441" t="s">
        <v>2</v>
      </c>
      <c r="H441" t="s">
        <v>58</v>
      </c>
      <c r="I441" t="s">
        <v>1212</v>
      </c>
      <c r="J441">
        <v>1</v>
      </c>
      <c r="K441" t="s">
        <v>41</v>
      </c>
      <c r="L441">
        <v>1390</v>
      </c>
      <c r="M441" t="s">
        <v>77</v>
      </c>
    </row>
    <row r="442" spans="1:13">
      <c r="A442">
        <v>1146896</v>
      </c>
      <c r="B442" t="s">
        <v>1213</v>
      </c>
      <c r="C442">
        <v>16</v>
      </c>
      <c r="D442" t="s">
        <v>1214</v>
      </c>
      <c r="E442">
        <v>10</v>
      </c>
      <c r="F442" t="s">
        <v>10</v>
      </c>
      <c r="G442" t="s">
        <v>4</v>
      </c>
      <c r="H442" t="s">
        <v>57</v>
      </c>
      <c r="I442" t="s">
        <v>1215</v>
      </c>
      <c r="J442">
        <v>3</v>
      </c>
      <c r="K442" t="s">
        <v>37</v>
      </c>
      <c r="L442">
        <v>7287</v>
      </c>
      <c r="M442" t="s">
        <v>77</v>
      </c>
    </row>
    <row r="443" spans="1:13">
      <c r="A443">
        <v>1146993</v>
      </c>
      <c r="B443" t="s">
        <v>1216</v>
      </c>
      <c r="C443">
        <v>8</v>
      </c>
      <c r="D443" t="s">
        <v>1217</v>
      </c>
      <c r="E443">
        <v>4</v>
      </c>
      <c r="F443" t="s">
        <v>33</v>
      </c>
      <c r="G443" t="s">
        <v>2</v>
      </c>
      <c r="H443" t="s">
        <v>60</v>
      </c>
      <c r="I443" t="s">
        <v>1218</v>
      </c>
      <c r="J443">
        <v>1</v>
      </c>
      <c r="K443" t="s">
        <v>37</v>
      </c>
      <c r="L443">
        <v>1102</v>
      </c>
      <c r="M443" t="s">
        <v>77</v>
      </c>
    </row>
    <row r="444" spans="1:13">
      <c r="A444">
        <v>1147417</v>
      </c>
      <c r="B444" t="s">
        <v>1219</v>
      </c>
      <c r="C444">
        <v>46</v>
      </c>
      <c r="D444" t="s">
        <v>1217</v>
      </c>
      <c r="E444">
        <v>34</v>
      </c>
      <c r="F444" t="s">
        <v>28</v>
      </c>
      <c r="G444" t="s">
        <v>21</v>
      </c>
      <c r="H444" t="s">
        <v>56</v>
      </c>
      <c r="I444" t="s">
        <v>1220</v>
      </c>
      <c r="J444">
        <v>3</v>
      </c>
      <c r="K444" t="s">
        <v>41</v>
      </c>
      <c r="L444">
        <v>7953</v>
      </c>
      <c r="M444" t="s">
        <v>77</v>
      </c>
    </row>
    <row r="445" spans="1:13">
      <c r="A445">
        <v>1147512</v>
      </c>
      <c r="B445" t="s">
        <v>1221</v>
      </c>
      <c r="C445">
        <v>34</v>
      </c>
      <c r="D445" t="s">
        <v>1070</v>
      </c>
      <c r="E445">
        <v>26</v>
      </c>
      <c r="F445" t="s">
        <v>19</v>
      </c>
      <c r="G445" t="s">
        <v>12</v>
      </c>
      <c r="H445" t="s">
        <v>57</v>
      </c>
      <c r="I445" t="s">
        <v>1222</v>
      </c>
      <c r="J445">
        <v>1</v>
      </c>
      <c r="K445" t="s">
        <v>41</v>
      </c>
      <c r="L445">
        <v>2784</v>
      </c>
      <c r="M445" t="s">
        <v>77</v>
      </c>
    </row>
    <row r="446" spans="1:13">
      <c r="A446">
        <v>1147998</v>
      </c>
      <c r="B446" t="s">
        <v>1223</v>
      </c>
      <c r="C446">
        <v>30</v>
      </c>
      <c r="D446" t="s">
        <v>1198</v>
      </c>
      <c r="E446">
        <v>24</v>
      </c>
      <c r="F446" t="s">
        <v>20</v>
      </c>
      <c r="G446" t="s">
        <v>10</v>
      </c>
      <c r="H446" t="s">
        <v>58</v>
      </c>
      <c r="J446">
        <v>1</v>
      </c>
      <c r="K446" t="s">
        <v>41</v>
      </c>
      <c r="L446">
        <v>654</v>
      </c>
      <c r="M446" t="s">
        <v>77</v>
      </c>
    </row>
    <row r="447" spans="1:13">
      <c r="A447">
        <v>1148151</v>
      </c>
      <c r="B447" t="s">
        <v>1224</v>
      </c>
      <c r="C447">
        <v>43</v>
      </c>
      <c r="D447" t="s">
        <v>1047</v>
      </c>
      <c r="E447">
        <v>33</v>
      </c>
      <c r="F447" t="s">
        <v>21</v>
      </c>
      <c r="G447" t="s">
        <v>28</v>
      </c>
      <c r="H447" t="s">
        <v>58</v>
      </c>
      <c r="I447" t="s">
        <v>1225</v>
      </c>
      <c r="J447">
        <v>2</v>
      </c>
      <c r="K447" t="s">
        <v>45</v>
      </c>
      <c r="L447">
        <v>1812</v>
      </c>
      <c r="M447" t="s">
        <v>77</v>
      </c>
    </row>
    <row r="448" spans="1:13">
      <c r="A448">
        <v>1148655</v>
      </c>
      <c r="B448" t="s">
        <v>1226</v>
      </c>
      <c r="C448">
        <v>34</v>
      </c>
      <c r="D448" t="s">
        <v>1227</v>
      </c>
      <c r="E448">
        <v>26</v>
      </c>
      <c r="F448" t="s">
        <v>19</v>
      </c>
      <c r="G448" t="s">
        <v>12</v>
      </c>
      <c r="H448" t="s">
        <v>56</v>
      </c>
      <c r="I448" t="s">
        <v>1228</v>
      </c>
      <c r="J448">
        <v>2</v>
      </c>
      <c r="K448" t="s">
        <v>1179</v>
      </c>
      <c r="L448">
        <v>7988</v>
      </c>
      <c r="M448" t="s">
        <v>77</v>
      </c>
    </row>
    <row r="449" spans="1:13">
      <c r="A449">
        <v>1148664</v>
      </c>
      <c r="B449" t="s">
        <v>1229</v>
      </c>
      <c r="C449">
        <v>29</v>
      </c>
      <c r="D449" t="s">
        <v>1230</v>
      </c>
      <c r="E449">
        <v>23</v>
      </c>
      <c r="F449" t="s">
        <v>177</v>
      </c>
      <c r="G449" t="s">
        <v>20</v>
      </c>
      <c r="H449" t="s">
        <v>57</v>
      </c>
      <c r="I449" t="s">
        <v>1231</v>
      </c>
      <c r="J449">
        <v>1</v>
      </c>
      <c r="K449" t="s">
        <v>41</v>
      </c>
      <c r="L449">
        <v>1731</v>
      </c>
      <c r="M449" t="s">
        <v>77</v>
      </c>
    </row>
    <row r="450" spans="1:13">
      <c r="A450">
        <v>1148902</v>
      </c>
      <c r="B450" t="s">
        <v>1232</v>
      </c>
      <c r="C450">
        <v>45</v>
      </c>
      <c r="D450" t="s">
        <v>984</v>
      </c>
      <c r="E450">
        <v>33</v>
      </c>
      <c r="F450" t="s">
        <v>21</v>
      </c>
      <c r="G450" t="s">
        <v>28</v>
      </c>
      <c r="H450" t="s">
        <v>60</v>
      </c>
      <c r="I450" t="s">
        <v>1233</v>
      </c>
      <c r="J450">
        <v>4</v>
      </c>
      <c r="K450" t="s">
        <v>41</v>
      </c>
      <c r="L450">
        <v>2765</v>
      </c>
      <c r="M450" t="s">
        <v>77</v>
      </c>
    </row>
    <row r="451" spans="1:13">
      <c r="A451">
        <v>1148989</v>
      </c>
      <c r="B451" t="s">
        <v>1234</v>
      </c>
      <c r="C451">
        <v>2</v>
      </c>
      <c r="D451" t="s">
        <v>1203</v>
      </c>
      <c r="E451">
        <v>2</v>
      </c>
      <c r="F451" t="s">
        <v>27</v>
      </c>
      <c r="G451" t="s">
        <v>2</v>
      </c>
      <c r="H451" t="s">
        <v>57</v>
      </c>
      <c r="I451" t="s">
        <v>1235</v>
      </c>
      <c r="J451">
        <v>1</v>
      </c>
      <c r="K451" t="s">
        <v>41</v>
      </c>
      <c r="L451">
        <v>4406</v>
      </c>
      <c r="M451" t="s">
        <v>77</v>
      </c>
    </row>
    <row r="452" spans="1:13">
      <c r="A452">
        <v>1149512</v>
      </c>
      <c r="B452" t="s">
        <v>1236</v>
      </c>
      <c r="C452">
        <v>2</v>
      </c>
      <c r="D452" t="s">
        <v>1203</v>
      </c>
      <c r="E452">
        <v>2</v>
      </c>
      <c r="F452" t="s">
        <v>27</v>
      </c>
      <c r="G452" t="s">
        <v>2</v>
      </c>
      <c r="H452" t="s">
        <v>57</v>
      </c>
      <c r="I452" t="s">
        <v>1237</v>
      </c>
      <c r="J452">
        <v>3</v>
      </c>
      <c r="K452" t="s">
        <v>41</v>
      </c>
      <c r="L452">
        <v>9253</v>
      </c>
      <c r="M452" t="s">
        <v>77</v>
      </c>
    </row>
    <row r="453" spans="1:13">
      <c r="A453">
        <v>1149632</v>
      </c>
      <c r="B453" t="s">
        <v>1238</v>
      </c>
      <c r="C453">
        <v>51</v>
      </c>
      <c r="D453" t="s">
        <v>1239</v>
      </c>
      <c r="E453">
        <v>39</v>
      </c>
      <c r="F453" t="s">
        <v>26</v>
      </c>
      <c r="G453" t="s">
        <v>30</v>
      </c>
      <c r="H453" t="s">
        <v>56</v>
      </c>
      <c r="I453" t="s">
        <v>1240</v>
      </c>
      <c r="J453">
        <v>2</v>
      </c>
      <c r="K453" t="s">
        <v>49</v>
      </c>
      <c r="L453">
        <v>6494</v>
      </c>
      <c r="M453" t="s">
        <v>77</v>
      </c>
    </row>
    <row r="454" spans="1:13">
      <c r="A454">
        <v>1150654</v>
      </c>
      <c r="B454" t="s">
        <v>1241</v>
      </c>
      <c r="C454">
        <v>9</v>
      </c>
      <c r="D454" t="s">
        <v>1242</v>
      </c>
      <c r="E454">
        <v>5</v>
      </c>
      <c r="F454" t="s">
        <v>3</v>
      </c>
      <c r="G454" t="s">
        <v>16</v>
      </c>
      <c r="H454" t="s">
        <v>59</v>
      </c>
      <c r="I454" t="s">
        <v>1243</v>
      </c>
      <c r="J454">
        <v>1</v>
      </c>
      <c r="K454" t="s">
        <v>37</v>
      </c>
      <c r="L454">
        <v>833</v>
      </c>
      <c r="M454" t="s">
        <v>77</v>
      </c>
    </row>
    <row r="455" spans="1:13">
      <c r="A455">
        <v>1150852</v>
      </c>
      <c r="B455" t="s">
        <v>1244</v>
      </c>
      <c r="C455">
        <v>24</v>
      </c>
      <c r="D455" t="s">
        <v>1148</v>
      </c>
      <c r="E455">
        <v>18</v>
      </c>
      <c r="F455" t="s">
        <v>12</v>
      </c>
      <c r="G455" t="s">
        <v>8</v>
      </c>
      <c r="H455" t="s">
        <v>58</v>
      </c>
      <c r="I455" t="s">
        <v>1245</v>
      </c>
      <c r="J455">
        <v>3</v>
      </c>
      <c r="K455" t="s">
        <v>37</v>
      </c>
      <c r="L455">
        <v>2502</v>
      </c>
      <c r="M455" t="s">
        <v>77</v>
      </c>
    </row>
    <row r="456" spans="1:13">
      <c r="A456">
        <v>1151385</v>
      </c>
      <c r="B456" t="s">
        <v>1246</v>
      </c>
      <c r="C456">
        <v>44</v>
      </c>
      <c r="D456" t="s">
        <v>1208</v>
      </c>
      <c r="E456">
        <v>34</v>
      </c>
      <c r="F456" t="s">
        <v>28</v>
      </c>
      <c r="G456" t="s">
        <v>21</v>
      </c>
      <c r="H456" t="s">
        <v>60</v>
      </c>
      <c r="I456" t="s">
        <v>1247</v>
      </c>
      <c r="J456">
        <v>4</v>
      </c>
      <c r="K456" t="s">
        <v>41</v>
      </c>
      <c r="L456">
        <v>2334</v>
      </c>
      <c r="M456" t="s">
        <v>77</v>
      </c>
    </row>
    <row r="457" spans="1:13">
      <c r="A457">
        <v>1151709</v>
      </c>
      <c r="B457" t="s">
        <v>1248</v>
      </c>
      <c r="C457">
        <v>26</v>
      </c>
      <c r="D457" t="s">
        <v>1249</v>
      </c>
      <c r="E457">
        <v>20</v>
      </c>
      <c r="F457" t="s">
        <v>13</v>
      </c>
      <c r="G457" t="s">
        <v>848</v>
      </c>
      <c r="H457" t="s">
        <v>58</v>
      </c>
      <c r="I457" t="s">
        <v>1250</v>
      </c>
      <c r="J457">
        <v>3</v>
      </c>
      <c r="K457" t="s">
        <v>41</v>
      </c>
      <c r="L457">
        <v>1827</v>
      </c>
      <c r="M457" t="s">
        <v>77</v>
      </c>
    </row>
    <row r="458" spans="1:13">
      <c r="A458">
        <v>1151722</v>
      </c>
      <c r="B458" t="s">
        <v>1251</v>
      </c>
      <c r="C458">
        <v>30</v>
      </c>
      <c r="D458" t="s">
        <v>1252</v>
      </c>
      <c r="E458">
        <v>24</v>
      </c>
      <c r="F458" t="s">
        <v>20</v>
      </c>
      <c r="G458" t="s">
        <v>10</v>
      </c>
      <c r="H458" t="s">
        <v>57</v>
      </c>
      <c r="I458" t="s">
        <v>1253</v>
      </c>
      <c r="J458">
        <v>4</v>
      </c>
      <c r="K458" t="s">
        <v>41</v>
      </c>
      <c r="L458">
        <v>6059</v>
      </c>
      <c r="M458" t="s">
        <v>77</v>
      </c>
    </row>
    <row r="459" spans="1:13">
      <c r="A459">
        <v>1151847</v>
      </c>
      <c r="B459" t="s">
        <v>1254</v>
      </c>
      <c r="C459">
        <v>30</v>
      </c>
      <c r="D459" t="s">
        <v>1174</v>
      </c>
      <c r="E459">
        <v>24</v>
      </c>
      <c r="F459" t="s">
        <v>20</v>
      </c>
      <c r="G459" t="s">
        <v>10</v>
      </c>
      <c r="H459" t="s">
        <v>58</v>
      </c>
      <c r="I459" t="s">
        <v>1255</v>
      </c>
      <c r="J459">
        <v>2</v>
      </c>
      <c r="K459" t="s">
        <v>47</v>
      </c>
      <c r="L459">
        <v>1308</v>
      </c>
      <c r="M459" t="s">
        <v>77</v>
      </c>
    </row>
    <row r="460" spans="1:13">
      <c r="A460">
        <v>1152098</v>
      </c>
      <c r="B460" t="s">
        <v>1256</v>
      </c>
      <c r="C460">
        <v>13</v>
      </c>
      <c r="D460" t="s">
        <v>1257</v>
      </c>
      <c r="E460">
        <v>9</v>
      </c>
      <c r="F460" t="s">
        <v>4</v>
      </c>
      <c r="G460" t="s">
        <v>10</v>
      </c>
      <c r="H460" t="s">
        <v>57</v>
      </c>
      <c r="I460" t="s">
        <v>1258</v>
      </c>
      <c r="J460">
        <v>1</v>
      </c>
      <c r="K460" t="s">
        <v>49</v>
      </c>
      <c r="L460">
        <v>3026</v>
      </c>
      <c r="M460" t="s">
        <v>77</v>
      </c>
    </row>
    <row r="461" spans="1:13">
      <c r="A461">
        <v>1152374</v>
      </c>
      <c r="B461" t="s">
        <v>1259</v>
      </c>
      <c r="C461">
        <v>16</v>
      </c>
      <c r="D461" t="s">
        <v>1120</v>
      </c>
      <c r="E461">
        <v>10</v>
      </c>
      <c r="F461" t="s">
        <v>10</v>
      </c>
      <c r="G461" t="s">
        <v>4</v>
      </c>
      <c r="H461" t="s">
        <v>58</v>
      </c>
      <c r="I461" t="s">
        <v>1260</v>
      </c>
      <c r="J461">
        <v>1</v>
      </c>
      <c r="K461" t="s">
        <v>41</v>
      </c>
      <c r="L461">
        <v>916</v>
      </c>
      <c r="M461" t="s">
        <v>77</v>
      </c>
    </row>
    <row r="462" spans="1:13">
      <c r="A462">
        <v>1152419</v>
      </c>
      <c r="B462" t="s">
        <v>1261</v>
      </c>
      <c r="C462">
        <v>43</v>
      </c>
      <c r="D462" t="s">
        <v>1262</v>
      </c>
      <c r="E462">
        <v>33</v>
      </c>
      <c r="F462" t="s">
        <v>21</v>
      </c>
      <c r="G462" t="s">
        <v>28</v>
      </c>
      <c r="H462" t="s">
        <v>60</v>
      </c>
      <c r="I462" t="s">
        <v>1263</v>
      </c>
      <c r="J462">
        <v>3</v>
      </c>
      <c r="K462" t="s">
        <v>37</v>
      </c>
      <c r="L462">
        <v>1958</v>
      </c>
      <c r="M462" t="s">
        <v>77</v>
      </c>
    </row>
    <row r="463" spans="1:13">
      <c r="A463">
        <v>1153612</v>
      </c>
      <c r="B463" t="s">
        <v>1264</v>
      </c>
      <c r="C463">
        <v>14</v>
      </c>
      <c r="D463" t="s">
        <v>1265</v>
      </c>
      <c r="E463">
        <v>10</v>
      </c>
      <c r="F463" t="s">
        <v>10</v>
      </c>
      <c r="G463" t="s">
        <v>4</v>
      </c>
      <c r="H463" t="s">
        <v>57</v>
      </c>
      <c r="I463" t="s">
        <v>1266</v>
      </c>
      <c r="J463">
        <v>2</v>
      </c>
      <c r="K463" t="s">
        <v>41</v>
      </c>
      <c r="L463">
        <v>6052</v>
      </c>
      <c r="M463" t="s">
        <v>77</v>
      </c>
    </row>
    <row r="464" spans="1:13">
      <c r="A464">
        <v>1154055</v>
      </c>
      <c r="B464" t="s">
        <v>1267</v>
      </c>
      <c r="C464">
        <v>18</v>
      </c>
      <c r="D464" t="s">
        <v>1268</v>
      </c>
      <c r="E464">
        <v>12</v>
      </c>
      <c r="F464" t="s">
        <v>25</v>
      </c>
      <c r="G464" t="s">
        <v>5</v>
      </c>
      <c r="H464" t="s">
        <v>58</v>
      </c>
      <c r="I464" t="s">
        <v>1269</v>
      </c>
      <c r="J464">
        <v>2</v>
      </c>
      <c r="K464" t="s">
        <v>1179</v>
      </c>
      <c r="L464">
        <v>1939</v>
      </c>
      <c r="M464" t="s">
        <v>77</v>
      </c>
    </row>
    <row r="465" spans="1:13">
      <c r="A465">
        <v>1154156</v>
      </c>
      <c r="B465" t="s">
        <v>1270</v>
      </c>
      <c r="C465">
        <v>16</v>
      </c>
      <c r="D465" t="s">
        <v>1120</v>
      </c>
      <c r="E465">
        <v>10</v>
      </c>
      <c r="F465" t="s">
        <v>417</v>
      </c>
      <c r="G465" t="s">
        <v>1271</v>
      </c>
      <c r="H465" t="s">
        <v>58</v>
      </c>
      <c r="I465" t="s">
        <v>1272</v>
      </c>
      <c r="J465">
        <v>2</v>
      </c>
      <c r="K465" t="s">
        <v>41</v>
      </c>
      <c r="L465">
        <v>1832</v>
      </c>
      <c r="M465" t="s">
        <v>77</v>
      </c>
    </row>
    <row r="466" spans="1:13">
      <c r="A466">
        <v>1154672</v>
      </c>
      <c r="B466" t="s">
        <v>1273</v>
      </c>
      <c r="C466">
        <v>43</v>
      </c>
      <c r="D466" t="s">
        <v>1274</v>
      </c>
      <c r="E466">
        <v>33</v>
      </c>
      <c r="F466" t="s">
        <v>21</v>
      </c>
      <c r="G466" t="s">
        <v>28</v>
      </c>
      <c r="H466" t="s">
        <v>60</v>
      </c>
      <c r="I466" t="s">
        <v>1275</v>
      </c>
      <c r="J466">
        <v>4</v>
      </c>
      <c r="K466" t="s">
        <v>41</v>
      </c>
      <c r="L466">
        <v>2635</v>
      </c>
      <c r="M466" t="s">
        <v>77</v>
      </c>
    </row>
    <row r="467" spans="1:13">
      <c r="A467">
        <v>1154784</v>
      </c>
      <c r="B467" t="s">
        <v>1276</v>
      </c>
      <c r="C467">
        <v>36</v>
      </c>
      <c r="D467" t="s">
        <v>1277</v>
      </c>
      <c r="E467">
        <v>26</v>
      </c>
      <c r="F467" t="s">
        <v>19</v>
      </c>
      <c r="G467" t="s">
        <v>12</v>
      </c>
      <c r="H467" t="s">
        <v>57</v>
      </c>
      <c r="I467" t="s">
        <v>1278</v>
      </c>
      <c r="J467">
        <v>2</v>
      </c>
      <c r="K467" t="s">
        <v>41</v>
      </c>
      <c r="L467">
        <v>5568</v>
      </c>
      <c r="M467" t="s">
        <v>77</v>
      </c>
    </row>
    <row r="468" spans="1:13">
      <c r="A468">
        <v>1154799</v>
      </c>
      <c r="B468" t="s">
        <v>1279</v>
      </c>
      <c r="C468">
        <v>33</v>
      </c>
      <c r="D468" t="s">
        <v>1047</v>
      </c>
      <c r="E468">
        <v>25</v>
      </c>
      <c r="F468" t="s">
        <v>12</v>
      </c>
      <c r="G468" t="s">
        <v>19</v>
      </c>
      <c r="H468" t="s">
        <v>60</v>
      </c>
      <c r="I468" t="s">
        <v>1280</v>
      </c>
      <c r="J468">
        <v>1</v>
      </c>
      <c r="K468" t="s">
        <v>41</v>
      </c>
      <c r="L468">
        <v>872</v>
      </c>
      <c r="M468" t="s">
        <v>77</v>
      </c>
    </row>
    <row r="469" spans="1:13">
      <c r="A469">
        <v>1154897</v>
      </c>
      <c r="B469" t="s">
        <v>1281</v>
      </c>
      <c r="C469">
        <v>40</v>
      </c>
      <c r="D469" t="s">
        <v>1282</v>
      </c>
      <c r="E469">
        <v>30</v>
      </c>
      <c r="F469" t="s">
        <v>23</v>
      </c>
      <c r="G469" t="s">
        <v>15</v>
      </c>
      <c r="H469" t="s">
        <v>56</v>
      </c>
      <c r="I469" t="s">
        <v>1283</v>
      </c>
      <c r="J469">
        <v>1</v>
      </c>
      <c r="K469" t="s">
        <v>41</v>
      </c>
      <c r="L469">
        <v>4142</v>
      </c>
      <c r="M469" t="s">
        <v>77</v>
      </c>
    </row>
    <row r="470" spans="1:13">
      <c r="A470">
        <v>1155002</v>
      </c>
      <c r="B470" t="s">
        <v>1284</v>
      </c>
      <c r="C470">
        <v>45</v>
      </c>
      <c r="D470" t="s">
        <v>1285</v>
      </c>
      <c r="E470">
        <v>33</v>
      </c>
      <c r="F470" t="s">
        <v>21</v>
      </c>
      <c r="G470" t="s">
        <v>28</v>
      </c>
      <c r="H470" t="s">
        <v>57</v>
      </c>
      <c r="I470" t="s">
        <v>1286</v>
      </c>
      <c r="J470">
        <v>2</v>
      </c>
      <c r="K470" t="s">
        <v>41</v>
      </c>
      <c r="L470">
        <v>5040</v>
      </c>
      <c r="M470" t="s">
        <v>77</v>
      </c>
    </row>
    <row r="471" spans="1:13">
      <c r="A471">
        <v>1155548</v>
      </c>
      <c r="B471" t="s">
        <v>1287</v>
      </c>
      <c r="C471">
        <v>21</v>
      </c>
      <c r="D471" t="s">
        <v>1288</v>
      </c>
      <c r="E471">
        <v>15</v>
      </c>
      <c r="F471" t="s">
        <v>7</v>
      </c>
      <c r="G471" t="s">
        <v>11</v>
      </c>
      <c r="H471" t="s">
        <v>58</v>
      </c>
      <c r="I471" t="s">
        <v>1289</v>
      </c>
      <c r="J471">
        <v>1</v>
      </c>
      <c r="K471" t="s">
        <v>37</v>
      </c>
      <c r="L471">
        <v>1053</v>
      </c>
      <c r="M471" t="s">
        <v>77</v>
      </c>
    </row>
    <row r="472" spans="1:13">
      <c r="A472">
        <v>1155881</v>
      </c>
      <c r="B472" t="s">
        <v>1290</v>
      </c>
      <c r="C472">
        <v>10</v>
      </c>
      <c r="D472" t="s">
        <v>1291</v>
      </c>
      <c r="E472">
        <v>6</v>
      </c>
      <c r="F472" t="s">
        <v>16</v>
      </c>
      <c r="G472" t="s">
        <v>3</v>
      </c>
      <c r="H472" t="s">
        <v>58</v>
      </c>
      <c r="I472" t="s">
        <v>1292</v>
      </c>
      <c r="J472">
        <v>1</v>
      </c>
      <c r="K472" t="s">
        <v>41</v>
      </c>
      <c r="L472">
        <v>209</v>
      </c>
      <c r="M472" t="s">
        <v>77</v>
      </c>
    </row>
    <row r="473" spans="1:13">
      <c r="A473">
        <v>1155958</v>
      </c>
      <c r="B473" t="s">
        <v>1293</v>
      </c>
      <c r="C473">
        <v>32</v>
      </c>
      <c r="D473" t="s">
        <v>1249</v>
      </c>
      <c r="E473">
        <v>24</v>
      </c>
      <c r="F473" t="s">
        <v>20</v>
      </c>
      <c r="G473" t="s">
        <v>10</v>
      </c>
      <c r="H473" t="s">
        <v>58</v>
      </c>
      <c r="I473" t="s">
        <v>1294</v>
      </c>
      <c r="J473">
        <v>4</v>
      </c>
      <c r="K473" t="s">
        <v>47</v>
      </c>
      <c r="L473">
        <v>2289</v>
      </c>
      <c r="M473" t="s">
        <v>77</v>
      </c>
    </row>
    <row r="474" spans="1:13">
      <c r="A474">
        <v>1156722</v>
      </c>
      <c r="B474" t="s">
        <v>1295</v>
      </c>
      <c r="C474">
        <v>26</v>
      </c>
      <c r="D474" t="s">
        <v>1249</v>
      </c>
      <c r="E474">
        <v>20</v>
      </c>
      <c r="F474" t="s">
        <v>13</v>
      </c>
      <c r="G474" t="s">
        <v>8</v>
      </c>
      <c r="H474" t="s">
        <v>58</v>
      </c>
      <c r="I474" t="s">
        <v>1296</v>
      </c>
      <c r="J474">
        <v>2</v>
      </c>
      <c r="K474" t="s">
        <v>49</v>
      </c>
      <c r="L474">
        <v>1740</v>
      </c>
      <c r="M474" t="s">
        <v>77</v>
      </c>
    </row>
    <row r="475" spans="1:13">
      <c r="A475">
        <v>1157753</v>
      </c>
      <c r="B475" t="s">
        <v>1297</v>
      </c>
      <c r="C475">
        <v>43</v>
      </c>
      <c r="D475" t="s">
        <v>1047</v>
      </c>
      <c r="E475">
        <v>33</v>
      </c>
      <c r="F475" t="s">
        <v>21</v>
      </c>
      <c r="G475" t="s">
        <v>28</v>
      </c>
      <c r="H475" t="s">
        <v>60</v>
      </c>
      <c r="I475" t="s">
        <v>1298</v>
      </c>
      <c r="J475">
        <v>1</v>
      </c>
      <c r="K475" t="s">
        <v>49</v>
      </c>
      <c r="L475">
        <v>0</v>
      </c>
      <c r="M475" t="s">
        <v>77</v>
      </c>
    </row>
    <row r="476" spans="1:13">
      <c r="A476">
        <v>1158099</v>
      </c>
      <c r="B476" t="s">
        <v>1299</v>
      </c>
      <c r="C476">
        <v>3</v>
      </c>
      <c r="D476" t="s">
        <v>1300</v>
      </c>
      <c r="E476">
        <v>1</v>
      </c>
      <c r="F476" t="s">
        <v>2</v>
      </c>
      <c r="G476" t="s">
        <v>27</v>
      </c>
      <c r="H476" t="s">
        <v>57</v>
      </c>
      <c r="I476" t="s">
        <v>1301</v>
      </c>
      <c r="J476">
        <v>1</v>
      </c>
      <c r="K476" t="s">
        <v>41</v>
      </c>
      <c r="L476">
        <v>2519</v>
      </c>
      <c r="M476" t="s">
        <v>77</v>
      </c>
    </row>
    <row r="477" spans="1:13">
      <c r="A477">
        <v>1158698</v>
      </c>
      <c r="B477" t="s">
        <v>1302</v>
      </c>
      <c r="C477">
        <v>3</v>
      </c>
      <c r="D477" t="s">
        <v>1300</v>
      </c>
      <c r="E477">
        <v>1</v>
      </c>
      <c r="F477" t="s">
        <v>2</v>
      </c>
      <c r="G477" t="s">
        <v>27</v>
      </c>
      <c r="H477" t="s">
        <v>57</v>
      </c>
      <c r="I477" t="s">
        <v>1303</v>
      </c>
      <c r="J477">
        <v>1</v>
      </c>
      <c r="K477" t="s">
        <v>41</v>
      </c>
      <c r="L477">
        <v>4198</v>
      </c>
      <c r="M477" t="s">
        <v>77</v>
      </c>
    </row>
    <row r="478" spans="1:13">
      <c r="A478">
        <v>1158815</v>
      </c>
      <c r="B478" t="s">
        <v>1304</v>
      </c>
      <c r="C478">
        <v>18</v>
      </c>
      <c r="D478" t="s">
        <v>1305</v>
      </c>
      <c r="E478">
        <v>12</v>
      </c>
      <c r="F478" t="s">
        <v>25</v>
      </c>
      <c r="G478" t="s">
        <v>5</v>
      </c>
      <c r="H478" t="s">
        <v>57</v>
      </c>
      <c r="I478" t="s">
        <v>1306</v>
      </c>
      <c r="J478">
        <v>4</v>
      </c>
      <c r="K478" t="s">
        <v>45</v>
      </c>
      <c r="L478">
        <v>10302</v>
      </c>
      <c r="M478" t="s">
        <v>77</v>
      </c>
    </row>
    <row r="479" spans="1:13">
      <c r="A479">
        <v>1158935</v>
      </c>
      <c r="B479" t="s">
        <v>1307</v>
      </c>
      <c r="C479">
        <v>30</v>
      </c>
      <c r="D479" t="s">
        <v>1308</v>
      </c>
      <c r="E479">
        <v>24</v>
      </c>
      <c r="F479" t="s">
        <v>20</v>
      </c>
      <c r="G479" t="s">
        <v>10</v>
      </c>
      <c r="H479" t="s">
        <v>57</v>
      </c>
      <c r="I479" t="s">
        <v>1309</v>
      </c>
      <c r="J479">
        <v>2</v>
      </c>
      <c r="K479" t="s">
        <v>41</v>
      </c>
      <c r="L479">
        <v>3462</v>
      </c>
      <c r="M479" t="s">
        <v>77</v>
      </c>
    </row>
    <row r="480" spans="1:13">
      <c r="A480">
        <v>1158978</v>
      </c>
      <c r="B480" t="s">
        <v>1310</v>
      </c>
      <c r="C480">
        <v>12</v>
      </c>
      <c r="D480" t="s">
        <v>1208</v>
      </c>
      <c r="E480">
        <v>8</v>
      </c>
      <c r="F480" t="s">
        <v>18</v>
      </c>
      <c r="G480" t="s">
        <v>3</v>
      </c>
      <c r="H480" t="s">
        <v>57</v>
      </c>
      <c r="I480" t="s">
        <v>1311</v>
      </c>
      <c r="J480">
        <v>5</v>
      </c>
      <c r="K480" t="s">
        <v>37</v>
      </c>
      <c r="L480">
        <v>8343</v>
      </c>
      <c r="M480" t="s">
        <v>77</v>
      </c>
    </row>
    <row r="481" spans="1:13">
      <c r="A481">
        <v>1159674</v>
      </c>
      <c r="B481" t="s">
        <v>1312</v>
      </c>
      <c r="C481">
        <v>22</v>
      </c>
      <c r="D481" t="s">
        <v>1313</v>
      </c>
      <c r="E481">
        <v>16</v>
      </c>
      <c r="F481" t="s">
        <v>11</v>
      </c>
      <c r="G481" t="s">
        <v>7</v>
      </c>
      <c r="H481" t="s">
        <v>58</v>
      </c>
      <c r="I481" t="s">
        <v>1314</v>
      </c>
      <c r="J481">
        <v>2</v>
      </c>
      <c r="K481" t="s">
        <v>37</v>
      </c>
      <c r="M481" t="s">
        <v>77</v>
      </c>
    </row>
    <row r="482" spans="1:13">
      <c r="A482">
        <v>1160118</v>
      </c>
      <c r="B482" t="s">
        <v>1315</v>
      </c>
      <c r="C482">
        <v>46</v>
      </c>
      <c r="D482" t="s">
        <v>1217</v>
      </c>
      <c r="E482">
        <v>34</v>
      </c>
      <c r="F482" t="s">
        <v>28</v>
      </c>
      <c r="G482" t="s">
        <v>21</v>
      </c>
      <c r="H482" t="s">
        <v>58</v>
      </c>
      <c r="I482" t="s">
        <v>1316</v>
      </c>
      <c r="J482">
        <v>1</v>
      </c>
      <c r="K482" t="s">
        <v>47</v>
      </c>
      <c r="L482">
        <v>950</v>
      </c>
      <c r="M482" t="s">
        <v>77</v>
      </c>
    </row>
    <row r="483" spans="1:13">
      <c r="A483">
        <v>1160122</v>
      </c>
      <c r="B483" t="s">
        <v>1317</v>
      </c>
      <c r="C483">
        <v>27</v>
      </c>
      <c r="D483" t="s">
        <v>1318</v>
      </c>
      <c r="E483">
        <v>21</v>
      </c>
      <c r="F483" t="s">
        <v>9</v>
      </c>
      <c r="G483" t="s">
        <v>20</v>
      </c>
      <c r="H483" t="s">
        <v>58</v>
      </c>
      <c r="I483" t="s">
        <v>1319</v>
      </c>
      <c r="J483">
        <v>1</v>
      </c>
      <c r="K483" t="s">
        <v>41</v>
      </c>
      <c r="L483">
        <v>1183</v>
      </c>
      <c r="M483" t="s">
        <v>77</v>
      </c>
    </row>
    <row r="484" spans="1:13">
      <c r="A484">
        <v>1160148</v>
      </c>
      <c r="B484" t="s">
        <v>1320</v>
      </c>
      <c r="C484">
        <v>25</v>
      </c>
      <c r="D484" t="s">
        <v>1274</v>
      </c>
      <c r="E484">
        <v>19</v>
      </c>
      <c r="F484" t="s">
        <v>8</v>
      </c>
      <c r="G484" t="s">
        <v>13</v>
      </c>
      <c r="H484" t="s">
        <v>58</v>
      </c>
      <c r="I484" t="s">
        <v>1321</v>
      </c>
      <c r="J484">
        <v>5</v>
      </c>
      <c r="K484" t="s">
        <v>41</v>
      </c>
      <c r="L484">
        <v>4350</v>
      </c>
      <c r="M484" t="s">
        <v>77</v>
      </c>
    </row>
    <row r="485" spans="1:13">
      <c r="A485">
        <v>1160688</v>
      </c>
      <c r="B485" t="s">
        <v>1322</v>
      </c>
      <c r="C485">
        <v>10</v>
      </c>
      <c r="D485" t="s">
        <v>1083</v>
      </c>
      <c r="E485">
        <v>6</v>
      </c>
      <c r="F485" t="s">
        <v>16</v>
      </c>
      <c r="G485" t="s">
        <v>3</v>
      </c>
      <c r="H485" t="s">
        <v>59</v>
      </c>
      <c r="I485" t="s">
        <v>1323</v>
      </c>
      <c r="J485">
        <v>1</v>
      </c>
      <c r="K485" t="s">
        <v>41</v>
      </c>
      <c r="L485" t="s">
        <v>1324</v>
      </c>
      <c r="M485" t="s">
        <v>77</v>
      </c>
    </row>
    <row r="486" spans="1:13">
      <c r="A486">
        <v>1161167</v>
      </c>
      <c r="B486" t="s">
        <v>1325</v>
      </c>
      <c r="C486">
        <v>29</v>
      </c>
      <c r="D486" t="s">
        <v>1326</v>
      </c>
      <c r="E486">
        <v>23</v>
      </c>
      <c r="F486" t="s">
        <v>10</v>
      </c>
      <c r="G486" t="s">
        <v>20</v>
      </c>
      <c r="H486" t="s">
        <v>57</v>
      </c>
      <c r="I486" t="s">
        <v>1327</v>
      </c>
      <c r="J486">
        <v>1</v>
      </c>
      <c r="K486" t="s">
        <v>41</v>
      </c>
      <c r="L486">
        <v>1731</v>
      </c>
      <c r="M486" t="s">
        <v>77</v>
      </c>
    </row>
    <row r="487" spans="1:13">
      <c r="A487">
        <v>1161274</v>
      </c>
      <c r="B487" t="s">
        <v>1328</v>
      </c>
      <c r="C487">
        <v>12</v>
      </c>
      <c r="D487" t="s">
        <v>1208</v>
      </c>
      <c r="E487">
        <v>8</v>
      </c>
      <c r="F487" t="s">
        <v>18</v>
      </c>
      <c r="G487" t="s">
        <v>3</v>
      </c>
      <c r="H487" t="s">
        <v>57</v>
      </c>
      <c r="I487" t="s">
        <v>1329</v>
      </c>
      <c r="J487">
        <v>2</v>
      </c>
      <c r="K487" t="s">
        <v>41</v>
      </c>
      <c r="L487">
        <v>3708</v>
      </c>
      <c r="M487" t="s">
        <v>77</v>
      </c>
    </row>
    <row r="488" spans="1:13">
      <c r="A488">
        <v>1161513</v>
      </c>
      <c r="B488" t="s">
        <v>1330</v>
      </c>
      <c r="C488">
        <v>12</v>
      </c>
      <c r="D488" t="s">
        <v>1208</v>
      </c>
      <c r="E488">
        <v>8</v>
      </c>
      <c r="F488" t="s">
        <v>18</v>
      </c>
      <c r="G488" t="s">
        <v>3</v>
      </c>
      <c r="H488" t="s">
        <v>60</v>
      </c>
      <c r="I488" t="s">
        <v>1331</v>
      </c>
      <c r="J488">
        <v>1</v>
      </c>
      <c r="K488" t="s">
        <v>41</v>
      </c>
      <c r="L488">
        <v>582</v>
      </c>
      <c r="M488" t="s">
        <v>77</v>
      </c>
    </row>
    <row r="489" spans="1:13">
      <c r="A489">
        <v>1162063</v>
      </c>
      <c r="B489" t="s">
        <v>1332</v>
      </c>
      <c r="C489">
        <v>45</v>
      </c>
      <c r="D489" t="s">
        <v>1285</v>
      </c>
      <c r="E489">
        <v>33</v>
      </c>
      <c r="F489" t="s">
        <v>21</v>
      </c>
      <c r="G489" t="s">
        <v>28</v>
      </c>
      <c r="H489" t="s">
        <v>57</v>
      </c>
      <c r="I489" t="s">
        <v>1333</v>
      </c>
      <c r="J489">
        <v>1</v>
      </c>
      <c r="K489" t="s">
        <v>37</v>
      </c>
      <c r="L489">
        <v>1512</v>
      </c>
      <c r="M489" t="s">
        <v>77</v>
      </c>
    </row>
    <row r="490" spans="1:13">
      <c r="A490">
        <v>1162577</v>
      </c>
      <c r="B490" t="s">
        <v>1334</v>
      </c>
      <c r="C490">
        <v>27</v>
      </c>
      <c r="D490" t="s">
        <v>1335</v>
      </c>
      <c r="E490">
        <v>21</v>
      </c>
      <c r="F490" t="s">
        <v>9</v>
      </c>
      <c r="G490" t="s">
        <v>20</v>
      </c>
      <c r="H490" t="s">
        <v>58</v>
      </c>
      <c r="I490" t="s">
        <v>1336</v>
      </c>
      <c r="J490">
        <v>1</v>
      </c>
      <c r="K490" t="s">
        <v>41</v>
      </c>
      <c r="L490">
        <v>710</v>
      </c>
      <c r="M490" t="s">
        <v>77</v>
      </c>
    </row>
    <row r="491" spans="1:13">
      <c r="A491">
        <v>1162647</v>
      </c>
      <c r="B491" t="s">
        <v>1337</v>
      </c>
      <c r="C491">
        <v>41</v>
      </c>
      <c r="D491" t="s">
        <v>1300</v>
      </c>
      <c r="E491">
        <v>31</v>
      </c>
      <c r="F491" t="s">
        <v>16</v>
      </c>
      <c r="G491" t="s">
        <v>32</v>
      </c>
      <c r="H491" t="s">
        <v>60</v>
      </c>
      <c r="I491" t="s">
        <v>1338</v>
      </c>
      <c r="J491">
        <v>1</v>
      </c>
      <c r="K491" t="s">
        <v>37</v>
      </c>
      <c r="L491">
        <v>941</v>
      </c>
      <c r="M491" t="s">
        <v>77</v>
      </c>
    </row>
    <row r="492" spans="1:13">
      <c r="A492">
        <v>1162802</v>
      </c>
      <c r="B492" t="s">
        <v>1339</v>
      </c>
      <c r="C492">
        <v>11</v>
      </c>
      <c r="D492" t="s">
        <v>1340</v>
      </c>
      <c r="E492">
        <v>7</v>
      </c>
      <c r="F492" t="s">
        <v>3</v>
      </c>
      <c r="G492" t="s">
        <v>18</v>
      </c>
      <c r="H492" t="s">
        <v>58</v>
      </c>
      <c r="I492" t="s">
        <v>1341</v>
      </c>
      <c r="J492">
        <v>1</v>
      </c>
      <c r="K492" t="s">
        <v>41</v>
      </c>
      <c r="L492">
        <v>700</v>
      </c>
      <c r="M492" t="s">
        <v>77</v>
      </c>
    </row>
    <row r="493" spans="1:13">
      <c r="A493">
        <v>1162927</v>
      </c>
      <c r="B493" t="s">
        <v>1342</v>
      </c>
      <c r="C493">
        <v>12</v>
      </c>
      <c r="D493" t="s">
        <v>1208</v>
      </c>
      <c r="E493">
        <v>8</v>
      </c>
      <c r="F493" t="s">
        <v>18</v>
      </c>
      <c r="G493" t="s">
        <v>3</v>
      </c>
      <c r="H493" t="s">
        <v>58</v>
      </c>
      <c r="I493" t="s">
        <v>1343</v>
      </c>
      <c r="J493">
        <v>2</v>
      </c>
      <c r="K493" t="s">
        <v>41</v>
      </c>
      <c r="L493">
        <v>1400</v>
      </c>
      <c r="M493" t="s">
        <v>77</v>
      </c>
    </row>
    <row r="494" spans="1:13">
      <c r="A494">
        <v>1163181</v>
      </c>
      <c r="B494" t="s">
        <v>1344</v>
      </c>
      <c r="C494">
        <v>25</v>
      </c>
      <c r="D494" t="s">
        <v>1274</v>
      </c>
      <c r="E494">
        <v>19</v>
      </c>
      <c r="F494" t="s">
        <v>8</v>
      </c>
      <c r="G494" t="s">
        <v>13</v>
      </c>
      <c r="H494" t="s">
        <v>57</v>
      </c>
      <c r="I494" t="s">
        <v>1345</v>
      </c>
      <c r="J494">
        <v>3</v>
      </c>
      <c r="K494" t="s">
        <v>41</v>
      </c>
      <c r="L494">
        <v>6921</v>
      </c>
      <c r="M494" t="s">
        <v>77</v>
      </c>
    </row>
    <row r="495" spans="1:13">
      <c r="A495">
        <v>1163782</v>
      </c>
      <c r="B495" t="s">
        <v>1346</v>
      </c>
      <c r="C495">
        <v>12</v>
      </c>
      <c r="D495" t="s">
        <v>1208</v>
      </c>
      <c r="E495">
        <v>8</v>
      </c>
      <c r="F495" t="s">
        <v>18</v>
      </c>
      <c r="G495" t="s">
        <v>3</v>
      </c>
      <c r="H495" t="s">
        <v>57</v>
      </c>
      <c r="I495" t="s">
        <v>1347</v>
      </c>
      <c r="J495">
        <v>2</v>
      </c>
      <c r="K495" t="s">
        <v>37</v>
      </c>
      <c r="L495">
        <v>2967</v>
      </c>
      <c r="M495" t="s">
        <v>77</v>
      </c>
    </row>
    <row r="496" spans="1:13">
      <c r="A496">
        <v>1163803</v>
      </c>
      <c r="B496" t="s">
        <v>1348</v>
      </c>
      <c r="C496">
        <v>30</v>
      </c>
      <c r="D496" t="s">
        <v>1308</v>
      </c>
      <c r="E496">
        <v>24</v>
      </c>
      <c r="F496" t="s">
        <v>20</v>
      </c>
      <c r="G496" t="s">
        <v>10</v>
      </c>
      <c r="H496" t="s">
        <v>60</v>
      </c>
      <c r="I496" t="s">
        <v>1349</v>
      </c>
      <c r="J496">
        <v>1</v>
      </c>
      <c r="K496" t="s">
        <v>41</v>
      </c>
      <c r="L496">
        <v>544</v>
      </c>
      <c r="M496" t="s">
        <v>77</v>
      </c>
    </row>
    <row r="497" spans="1:13">
      <c r="A497">
        <v>1164059</v>
      </c>
      <c r="B497" t="s">
        <v>1350</v>
      </c>
      <c r="C497">
        <v>44</v>
      </c>
      <c r="D497" t="s">
        <v>1351</v>
      </c>
      <c r="E497">
        <v>34</v>
      </c>
      <c r="F497" t="s">
        <v>28</v>
      </c>
      <c r="G497" t="s">
        <v>21</v>
      </c>
      <c r="H497" t="s">
        <v>58</v>
      </c>
      <c r="I497" t="s">
        <v>1352</v>
      </c>
      <c r="J497">
        <v>1</v>
      </c>
      <c r="K497" t="s">
        <v>37</v>
      </c>
      <c r="L497">
        <v>906</v>
      </c>
      <c r="M497" t="s">
        <v>77</v>
      </c>
    </row>
    <row r="498" spans="1:13">
      <c r="A498">
        <v>1164189</v>
      </c>
      <c r="B498" t="s">
        <v>1353</v>
      </c>
      <c r="C498">
        <v>18</v>
      </c>
      <c r="D498" t="s">
        <v>1305</v>
      </c>
      <c r="E498">
        <v>12</v>
      </c>
      <c r="F498" t="s">
        <v>25</v>
      </c>
      <c r="G498" t="s">
        <v>5</v>
      </c>
      <c r="H498" t="s">
        <v>58</v>
      </c>
      <c r="I498" t="s">
        <v>1354</v>
      </c>
      <c r="J498">
        <v>1</v>
      </c>
      <c r="K498" t="s">
        <v>41</v>
      </c>
      <c r="L498">
        <v>1212</v>
      </c>
      <c r="M498" t="s">
        <v>77</v>
      </c>
    </row>
    <row r="499" spans="1:13">
      <c r="A499">
        <v>1164898</v>
      </c>
      <c r="B499" t="s">
        <v>1355</v>
      </c>
      <c r="C499">
        <v>30</v>
      </c>
      <c r="D499" t="s">
        <v>1356</v>
      </c>
      <c r="E499">
        <v>24</v>
      </c>
      <c r="F499" t="s">
        <v>20</v>
      </c>
      <c r="G499" t="s">
        <v>10</v>
      </c>
      <c r="H499" t="s">
        <v>58</v>
      </c>
      <c r="I499" t="s">
        <v>1357</v>
      </c>
      <c r="J499">
        <v>1</v>
      </c>
      <c r="K499" t="s">
        <v>49</v>
      </c>
      <c r="L499">
        <v>654</v>
      </c>
      <c r="M499" t="s">
        <v>77</v>
      </c>
    </row>
    <row r="500" spans="1:13">
      <c r="A500">
        <v>1164953</v>
      </c>
      <c r="B500" t="s">
        <v>1358</v>
      </c>
      <c r="C500">
        <v>32</v>
      </c>
      <c r="D500" t="s">
        <v>1359</v>
      </c>
      <c r="E500">
        <v>24</v>
      </c>
      <c r="F500" t="s">
        <v>20</v>
      </c>
      <c r="G500" t="s">
        <v>10</v>
      </c>
      <c r="H500" t="s">
        <v>57</v>
      </c>
      <c r="I500" t="s">
        <v>1360</v>
      </c>
      <c r="J500">
        <v>4</v>
      </c>
      <c r="K500" t="s">
        <v>41</v>
      </c>
      <c r="L500">
        <v>5367</v>
      </c>
      <c r="M500" t="s">
        <v>77</v>
      </c>
    </row>
    <row r="501" spans="1:13">
      <c r="A501">
        <v>1165115</v>
      </c>
      <c r="B501" t="s">
        <v>1361</v>
      </c>
      <c r="C501">
        <v>16</v>
      </c>
      <c r="D501" t="s">
        <v>1214</v>
      </c>
      <c r="E501">
        <v>10</v>
      </c>
      <c r="F501" t="s">
        <v>10</v>
      </c>
      <c r="G501" t="s">
        <v>4</v>
      </c>
      <c r="H501" t="s">
        <v>58</v>
      </c>
      <c r="I501" t="s">
        <v>1362</v>
      </c>
      <c r="J501">
        <v>5</v>
      </c>
      <c r="K501" t="s">
        <v>37</v>
      </c>
      <c r="L501">
        <v>3755</v>
      </c>
      <c r="M501" t="s">
        <v>77</v>
      </c>
    </row>
    <row r="502" spans="1:13">
      <c r="A502">
        <v>1165130</v>
      </c>
      <c r="B502" t="s">
        <v>1363</v>
      </c>
      <c r="C502">
        <v>30</v>
      </c>
      <c r="D502" t="s">
        <v>1308</v>
      </c>
      <c r="E502">
        <v>24</v>
      </c>
      <c r="F502" t="s">
        <v>20</v>
      </c>
      <c r="G502" t="s">
        <v>10</v>
      </c>
      <c r="H502" t="s">
        <v>57</v>
      </c>
      <c r="I502" t="s">
        <v>1364</v>
      </c>
      <c r="J502">
        <v>1</v>
      </c>
      <c r="K502" t="s">
        <v>37</v>
      </c>
      <c r="L502">
        <v>1039</v>
      </c>
      <c r="M502" t="s">
        <v>77</v>
      </c>
    </row>
    <row r="503" spans="1:13">
      <c r="A503">
        <v>1165520</v>
      </c>
      <c r="B503" t="s">
        <v>1365</v>
      </c>
      <c r="C503">
        <v>31</v>
      </c>
      <c r="D503" t="s">
        <v>1123</v>
      </c>
      <c r="E503">
        <v>23</v>
      </c>
      <c r="F503" t="s">
        <v>10</v>
      </c>
      <c r="G503" t="s">
        <v>20</v>
      </c>
      <c r="H503" t="s">
        <v>58</v>
      </c>
      <c r="I503" t="s">
        <v>1366</v>
      </c>
      <c r="J503">
        <v>1</v>
      </c>
      <c r="K503" t="s">
        <v>47</v>
      </c>
      <c r="L503">
        <v>654</v>
      </c>
      <c r="M503" t="s">
        <v>77</v>
      </c>
    </row>
    <row r="504" spans="1:13">
      <c r="A504">
        <v>1165685</v>
      </c>
      <c r="B504" t="s">
        <v>1367</v>
      </c>
      <c r="C504">
        <v>34</v>
      </c>
      <c r="D504" t="s">
        <v>1368</v>
      </c>
      <c r="E504">
        <v>26</v>
      </c>
      <c r="F504" t="s">
        <v>19</v>
      </c>
      <c r="G504" t="s">
        <v>12</v>
      </c>
      <c r="H504" t="s">
        <v>58</v>
      </c>
      <c r="I504" t="s">
        <v>1369</v>
      </c>
      <c r="J504">
        <v>2</v>
      </c>
      <c r="K504" t="s">
        <v>41</v>
      </c>
      <c r="L504">
        <v>2098</v>
      </c>
      <c r="M504" t="s">
        <v>77</v>
      </c>
    </row>
    <row r="505" spans="1:13">
      <c r="A505">
        <v>1165984</v>
      </c>
      <c r="B505" t="s">
        <v>1370</v>
      </c>
      <c r="C505">
        <v>9</v>
      </c>
      <c r="D505" t="s">
        <v>1123</v>
      </c>
      <c r="E505">
        <v>5</v>
      </c>
      <c r="F505" t="s">
        <v>3</v>
      </c>
      <c r="G505" t="s">
        <v>16</v>
      </c>
      <c r="H505" t="s">
        <v>60</v>
      </c>
      <c r="I505" t="s">
        <v>1371</v>
      </c>
      <c r="J505">
        <v>4</v>
      </c>
      <c r="K505" t="s">
        <v>41</v>
      </c>
      <c r="L505">
        <v>1152</v>
      </c>
      <c r="M505" t="s">
        <v>77</v>
      </c>
    </row>
    <row r="506" spans="1:13">
      <c r="A506">
        <v>1166012</v>
      </c>
      <c r="B506" t="s">
        <v>1372</v>
      </c>
      <c r="C506">
        <v>3</v>
      </c>
      <c r="D506" t="s">
        <v>1373</v>
      </c>
      <c r="E506">
        <v>1</v>
      </c>
      <c r="F506" t="s">
        <v>2</v>
      </c>
      <c r="G506" t="s">
        <v>27</v>
      </c>
      <c r="H506" t="s">
        <v>57</v>
      </c>
      <c r="I506" t="s">
        <v>1374</v>
      </c>
      <c r="J506">
        <v>1</v>
      </c>
      <c r="K506" t="s">
        <v>41</v>
      </c>
      <c r="L506">
        <v>4198</v>
      </c>
      <c r="M506" t="s">
        <v>77</v>
      </c>
    </row>
    <row r="507" spans="1:13">
      <c r="A507">
        <v>1166075</v>
      </c>
      <c r="B507" t="s">
        <v>1375</v>
      </c>
      <c r="C507">
        <v>14</v>
      </c>
      <c r="D507" t="s">
        <v>1376</v>
      </c>
      <c r="E507">
        <v>10</v>
      </c>
      <c r="F507" t="s">
        <v>10</v>
      </c>
      <c r="G507" t="s">
        <v>4</v>
      </c>
      <c r="H507" t="s">
        <v>56</v>
      </c>
      <c r="I507" t="s">
        <v>1377</v>
      </c>
      <c r="J507" t="s">
        <v>407</v>
      </c>
      <c r="K507" t="s">
        <v>41</v>
      </c>
      <c r="L507">
        <v>8684</v>
      </c>
      <c r="M507" t="s">
        <v>77</v>
      </c>
    </row>
    <row r="508" spans="1:13">
      <c r="A508">
        <v>1166085</v>
      </c>
      <c r="B508" t="s">
        <v>1378</v>
      </c>
      <c r="C508">
        <v>22</v>
      </c>
      <c r="D508" t="s">
        <v>1291</v>
      </c>
      <c r="E508">
        <v>16</v>
      </c>
      <c r="F508" t="s">
        <v>11</v>
      </c>
      <c r="G508" t="s">
        <v>7</v>
      </c>
      <c r="H508" t="s">
        <v>58</v>
      </c>
      <c r="I508" t="s">
        <v>1379</v>
      </c>
      <c r="J508">
        <v>4</v>
      </c>
      <c r="K508" t="s">
        <v>45</v>
      </c>
      <c r="L508">
        <v>4212</v>
      </c>
      <c r="M508" t="s">
        <v>77</v>
      </c>
    </row>
    <row r="509" spans="1:13">
      <c r="A509">
        <v>1166228</v>
      </c>
      <c r="B509" t="s">
        <v>1380</v>
      </c>
      <c r="C509">
        <v>1</v>
      </c>
      <c r="D509" t="s">
        <v>1186</v>
      </c>
      <c r="E509">
        <v>1</v>
      </c>
      <c r="F509" t="s">
        <v>2</v>
      </c>
      <c r="G509" t="s">
        <v>27</v>
      </c>
      <c r="H509" t="s">
        <v>58</v>
      </c>
      <c r="I509" t="s">
        <v>1381</v>
      </c>
      <c r="J509">
        <v>4</v>
      </c>
      <c r="K509" t="s">
        <v>41</v>
      </c>
      <c r="L509">
        <v>5965</v>
      </c>
      <c r="M509" t="s">
        <v>77</v>
      </c>
    </row>
    <row r="510" spans="1:13">
      <c r="A510">
        <v>1166538</v>
      </c>
      <c r="B510" t="s">
        <v>1382</v>
      </c>
      <c r="C510">
        <v>32</v>
      </c>
      <c r="D510" t="s">
        <v>1368</v>
      </c>
      <c r="E510">
        <v>24</v>
      </c>
      <c r="F510" t="s">
        <v>20</v>
      </c>
      <c r="G510" t="s">
        <v>10</v>
      </c>
      <c r="H510" t="s">
        <v>60</v>
      </c>
      <c r="I510" t="s">
        <v>1383</v>
      </c>
      <c r="J510">
        <v>1</v>
      </c>
      <c r="K510" t="s">
        <v>37</v>
      </c>
      <c r="L510">
        <v>544</v>
      </c>
      <c r="M510" t="s">
        <v>77</v>
      </c>
    </row>
    <row r="511" spans="1:13">
      <c r="A511">
        <v>1166805</v>
      </c>
      <c r="B511" t="s">
        <v>1384</v>
      </c>
      <c r="C511">
        <v>3</v>
      </c>
      <c r="D511" t="s">
        <v>1385</v>
      </c>
      <c r="E511">
        <v>1</v>
      </c>
      <c r="F511" t="s">
        <v>2</v>
      </c>
      <c r="G511" t="s">
        <v>27</v>
      </c>
      <c r="H511" t="s">
        <v>57</v>
      </c>
      <c r="I511" t="s">
        <v>1386</v>
      </c>
      <c r="J511">
        <v>1</v>
      </c>
      <c r="K511" t="s">
        <v>41</v>
      </c>
      <c r="L511">
        <v>4198</v>
      </c>
      <c r="M511" t="s">
        <v>77</v>
      </c>
    </row>
    <row r="512" spans="1:13">
      <c r="A512">
        <v>1167325</v>
      </c>
      <c r="B512" t="s">
        <v>1387</v>
      </c>
      <c r="C512">
        <v>36</v>
      </c>
      <c r="D512" t="s">
        <v>1285</v>
      </c>
      <c r="E512">
        <v>26</v>
      </c>
      <c r="F512" t="s">
        <v>19</v>
      </c>
      <c r="G512" t="s">
        <v>12</v>
      </c>
      <c r="H512" t="s">
        <v>58</v>
      </c>
      <c r="I512" t="s">
        <v>1388</v>
      </c>
      <c r="J512">
        <v>3</v>
      </c>
      <c r="K512" t="s">
        <v>41</v>
      </c>
      <c r="L512">
        <v>3147</v>
      </c>
      <c r="M512" t="s">
        <v>77</v>
      </c>
    </row>
    <row r="513" spans="1:13">
      <c r="A513">
        <v>1167777</v>
      </c>
      <c r="B513" t="s">
        <v>1389</v>
      </c>
      <c r="C513">
        <v>36</v>
      </c>
      <c r="D513" t="s">
        <v>1285</v>
      </c>
      <c r="E513">
        <v>26</v>
      </c>
      <c r="F513" t="s">
        <v>19</v>
      </c>
      <c r="G513" t="s">
        <v>12</v>
      </c>
      <c r="H513" t="s">
        <v>60</v>
      </c>
      <c r="I513" t="s">
        <v>1390</v>
      </c>
      <c r="J513">
        <v>1</v>
      </c>
      <c r="K513" t="s">
        <v>41</v>
      </c>
      <c r="L513">
        <v>872</v>
      </c>
      <c r="M513" t="s">
        <v>77</v>
      </c>
    </row>
    <row r="514" spans="1:13">
      <c r="A514">
        <v>1168404</v>
      </c>
      <c r="B514" t="s">
        <v>1391</v>
      </c>
      <c r="C514">
        <v>30</v>
      </c>
      <c r="D514" t="s">
        <v>1356</v>
      </c>
      <c r="E514">
        <v>24</v>
      </c>
      <c r="F514" t="s">
        <v>20</v>
      </c>
      <c r="G514" t="s">
        <v>10</v>
      </c>
      <c r="H514" t="s">
        <v>60</v>
      </c>
      <c r="I514" t="s">
        <v>1392</v>
      </c>
      <c r="J514">
        <v>1</v>
      </c>
      <c r="K514" t="s">
        <v>177</v>
      </c>
      <c r="L514">
        <v>544</v>
      </c>
      <c r="M514" t="s">
        <v>77</v>
      </c>
    </row>
    <row r="515" spans="1:13">
      <c r="A515">
        <v>1168644</v>
      </c>
      <c r="B515" t="s">
        <v>1393</v>
      </c>
      <c r="C515">
        <v>18</v>
      </c>
      <c r="D515" t="s">
        <v>1305</v>
      </c>
      <c r="E515">
        <v>12</v>
      </c>
      <c r="F515" t="s">
        <v>25</v>
      </c>
      <c r="G515" t="s">
        <v>5</v>
      </c>
      <c r="H515" t="s">
        <v>60</v>
      </c>
      <c r="I515" t="s">
        <v>1394</v>
      </c>
      <c r="J515">
        <v>1</v>
      </c>
      <c r="K515" t="s">
        <v>41</v>
      </c>
      <c r="L515">
        <v>1008</v>
      </c>
      <c r="M515" t="s">
        <v>77</v>
      </c>
    </row>
    <row r="516" spans="1:13">
      <c r="A516">
        <v>1168703</v>
      </c>
      <c r="B516" t="s">
        <v>1395</v>
      </c>
      <c r="C516">
        <v>16</v>
      </c>
      <c r="D516" t="s">
        <v>1214</v>
      </c>
      <c r="E516">
        <v>10</v>
      </c>
      <c r="F516" t="s">
        <v>10</v>
      </c>
      <c r="G516" t="s">
        <v>4</v>
      </c>
      <c r="H516" t="s">
        <v>58</v>
      </c>
      <c r="I516" t="s">
        <v>1396</v>
      </c>
      <c r="J516">
        <v>1</v>
      </c>
      <c r="K516" t="s">
        <v>49</v>
      </c>
      <c r="L516">
        <v>916</v>
      </c>
      <c r="M516" t="s">
        <v>77</v>
      </c>
    </row>
    <row r="517" spans="1:13">
      <c r="A517">
        <v>1169051</v>
      </c>
      <c r="B517" t="s">
        <v>1397</v>
      </c>
      <c r="C517">
        <v>16</v>
      </c>
      <c r="D517" t="s">
        <v>1214</v>
      </c>
      <c r="E517">
        <v>10</v>
      </c>
      <c r="F517" t="s">
        <v>10</v>
      </c>
      <c r="G517" t="s">
        <v>4</v>
      </c>
      <c r="H517" t="s">
        <v>57</v>
      </c>
      <c r="I517" t="s">
        <v>1398</v>
      </c>
      <c r="J517">
        <v>2</v>
      </c>
      <c r="K517" t="s">
        <v>47</v>
      </c>
      <c r="L517">
        <v>4858</v>
      </c>
      <c r="M517" t="s">
        <v>77</v>
      </c>
    </row>
    <row r="518" spans="1:13">
      <c r="A518">
        <v>1169089</v>
      </c>
      <c r="B518" t="s">
        <v>1399</v>
      </c>
      <c r="C518">
        <v>27</v>
      </c>
      <c r="D518" t="s">
        <v>1335</v>
      </c>
      <c r="E518">
        <v>21</v>
      </c>
      <c r="F518" t="s">
        <v>9</v>
      </c>
      <c r="G518" t="s">
        <v>20</v>
      </c>
      <c r="H518" t="s">
        <v>57</v>
      </c>
      <c r="I518" t="s">
        <v>1400</v>
      </c>
      <c r="J518">
        <v>1</v>
      </c>
      <c r="K518" t="s">
        <v>1401</v>
      </c>
      <c r="L518">
        <v>1885</v>
      </c>
      <c r="M518" t="s">
        <v>77</v>
      </c>
    </row>
    <row r="519" spans="1:13">
      <c r="A519">
        <v>1169250</v>
      </c>
      <c r="B519" t="s">
        <v>1402</v>
      </c>
      <c r="C519">
        <v>51</v>
      </c>
      <c r="D519" t="s">
        <v>1376</v>
      </c>
      <c r="E519">
        <v>39</v>
      </c>
      <c r="F519" t="s">
        <v>26</v>
      </c>
      <c r="G519" t="s">
        <v>30</v>
      </c>
      <c r="H519" t="s">
        <v>57</v>
      </c>
      <c r="I519" t="s">
        <v>1403</v>
      </c>
      <c r="J519">
        <v>1</v>
      </c>
      <c r="K519" t="s">
        <v>41</v>
      </c>
      <c r="L519">
        <v>2264</v>
      </c>
      <c r="M519" t="s">
        <v>77</v>
      </c>
    </row>
    <row r="520" spans="1:13">
      <c r="A520">
        <v>1169457</v>
      </c>
      <c r="B520" t="s">
        <v>1404</v>
      </c>
      <c r="C520">
        <v>27</v>
      </c>
      <c r="D520" t="s">
        <v>1405</v>
      </c>
      <c r="E520">
        <v>21</v>
      </c>
      <c r="F520" t="s">
        <v>9</v>
      </c>
      <c r="G520" t="s">
        <v>20</v>
      </c>
      <c r="H520" t="s">
        <v>57</v>
      </c>
      <c r="I520" t="s">
        <v>1406</v>
      </c>
      <c r="J520">
        <v>4</v>
      </c>
      <c r="K520" t="s">
        <v>41</v>
      </c>
      <c r="L520">
        <v>12568</v>
      </c>
      <c r="M520" t="s">
        <v>77</v>
      </c>
    </row>
    <row r="521" spans="1:13">
      <c r="A521">
        <v>1169665</v>
      </c>
      <c r="B521" t="s">
        <v>1407</v>
      </c>
      <c r="C521">
        <v>30</v>
      </c>
      <c r="D521" t="s">
        <v>1308</v>
      </c>
      <c r="E521">
        <v>24</v>
      </c>
      <c r="F521" t="s">
        <v>20</v>
      </c>
      <c r="G521" t="s">
        <v>10</v>
      </c>
      <c r="H521" t="s">
        <v>58</v>
      </c>
      <c r="I521" t="s">
        <v>1408</v>
      </c>
      <c r="J521">
        <v>2</v>
      </c>
      <c r="K521" t="s">
        <v>41</v>
      </c>
      <c r="L521">
        <v>1308</v>
      </c>
      <c r="M521" t="s">
        <v>77</v>
      </c>
    </row>
    <row r="522" spans="1:13">
      <c r="A522">
        <v>1169847</v>
      </c>
      <c r="B522" t="s">
        <v>1409</v>
      </c>
      <c r="C522">
        <v>6</v>
      </c>
      <c r="D522" t="s">
        <v>1211</v>
      </c>
      <c r="E522">
        <v>4</v>
      </c>
      <c r="F522" t="s">
        <v>33</v>
      </c>
      <c r="G522" t="s">
        <v>2</v>
      </c>
      <c r="H522" t="s">
        <v>58</v>
      </c>
      <c r="I522" t="s">
        <v>1410</v>
      </c>
      <c r="J522">
        <v>2</v>
      </c>
      <c r="K522" t="s">
        <v>41</v>
      </c>
      <c r="L522">
        <v>2085</v>
      </c>
      <c r="M522" t="s">
        <v>77</v>
      </c>
    </row>
    <row r="523" spans="1:13">
      <c r="A523">
        <v>1169931</v>
      </c>
      <c r="B523" t="s">
        <v>1411</v>
      </c>
      <c r="C523">
        <v>44</v>
      </c>
      <c r="D523" t="s">
        <v>1412</v>
      </c>
      <c r="E523">
        <v>34</v>
      </c>
      <c r="F523" t="s">
        <v>28</v>
      </c>
      <c r="G523" t="s">
        <v>21</v>
      </c>
      <c r="H523" t="s">
        <v>60</v>
      </c>
      <c r="I523" t="s">
        <v>1413</v>
      </c>
      <c r="J523">
        <v>3</v>
      </c>
      <c r="K523" t="s">
        <v>41</v>
      </c>
      <c r="L523">
        <v>1958</v>
      </c>
      <c r="M523" t="s">
        <v>77</v>
      </c>
    </row>
    <row r="524" spans="1:13">
      <c r="A524">
        <v>1170529</v>
      </c>
      <c r="B524" t="s">
        <v>1414</v>
      </c>
      <c r="C524">
        <v>19</v>
      </c>
      <c r="D524" t="s">
        <v>1415</v>
      </c>
      <c r="E524">
        <v>13</v>
      </c>
      <c r="F524" t="s">
        <v>6</v>
      </c>
      <c r="G524" t="s">
        <v>17</v>
      </c>
      <c r="H524" t="s">
        <v>57</v>
      </c>
      <c r="I524" t="s">
        <v>1416</v>
      </c>
      <c r="J524">
        <v>1</v>
      </c>
      <c r="K524" t="s">
        <v>41</v>
      </c>
      <c r="L524">
        <v>1278</v>
      </c>
      <c r="M524" t="s">
        <v>77</v>
      </c>
    </row>
    <row r="525" spans="1:13">
      <c r="A525">
        <v>1170536</v>
      </c>
      <c r="B525" t="s">
        <v>1417</v>
      </c>
      <c r="C525">
        <v>5</v>
      </c>
      <c r="D525" t="s">
        <v>1133</v>
      </c>
      <c r="E525">
        <v>3</v>
      </c>
      <c r="F525" t="s">
        <v>2</v>
      </c>
      <c r="G525" t="s">
        <v>33</v>
      </c>
      <c r="H525" t="s">
        <v>57</v>
      </c>
      <c r="I525" t="s">
        <v>1418</v>
      </c>
      <c r="J525">
        <v>1</v>
      </c>
      <c r="K525" t="s">
        <v>41</v>
      </c>
      <c r="L525">
        <v>3694</v>
      </c>
      <c r="M525" t="s">
        <v>77</v>
      </c>
    </row>
    <row r="526" spans="1:13">
      <c r="A526">
        <v>1170583</v>
      </c>
      <c r="B526" t="s">
        <v>1419</v>
      </c>
      <c r="C526">
        <v>45</v>
      </c>
      <c r="D526" t="s">
        <v>1285</v>
      </c>
      <c r="E526">
        <v>33</v>
      </c>
      <c r="F526" t="s">
        <v>21</v>
      </c>
      <c r="G526" t="s">
        <v>28</v>
      </c>
      <c r="H526" t="s">
        <v>57</v>
      </c>
      <c r="I526" t="s">
        <v>1420</v>
      </c>
      <c r="J526">
        <v>1</v>
      </c>
      <c r="K526" t="s">
        <v>49</v>
      </c>
      <c r="L526">
        <v>2520</v>
      </c>
      <c r="M526" t="s">
        <v>77</v>
      </c>
    </row>
    <row r="527" spans="1:13">
      <c r="A527">
        <v>1170781</v>
      </c>
      <c r="B527" t="s">
        <v>1421</v>
      </c>
      <c r="C527">
        <v>24</v>
      </c>
      <c r="D527" t="s">
        <v>1422</v>
      </c>
      <c r="F527" t="s">
        <v>12</v>
      </c>
      <c r="G527" t="s">
        <v>8</v>
      </c>
      <c r="H527" t="s">
        <v>58</v>
      </c>
      <c r="I527" t="s">
        <v>1423</v>
      </c>
      <c r="J527">
        <v>2</v>
      </c>
      <c r="K527" t="s">
        <v>41</v>
      </c>
      <c r="L527">
        <v>1668</v>
      </c>
      <c r="M527" t="s">
        <v>77</v>
      </c>
    </row>
    <row r="528" spans="1:13">
      <c r="A528">
        <v>1170933</v>
      </c>
      <c r="B528" t="s">
        <v>1424</v>
      </c>
      <c r="C528">
        <v>7</v>
      </c>
      <c r="D528" t="s">
        <v>1412</v>
      </c>
      <c r="E528">
        <v>3</v>
      </c>
      <c r="F528" t="s">
        <v>2</v>
      </c>
      <c r="G528" t="s">
        <v>33</v>
      </c>
      <c r="H528" t="s">
        <v>57</v>
      </c>
      <c r="I528" t="s">
        <v>1425</v>
      </c>
      <c r="J528">
        <v>6</v>
      </c>
      <c r="K528" t="s">
        <v>177</v>
      </c>
      <c r="L528">
        <v>19360</v>
      </c>
      <c r="M528" t="s">
        <v>77</v>
      </c>
    </row>
    <row r="529" spans="1:13">
      <c r="A529">
        <v>1171385</v>
      </c>
      <c r="B529" t="s">
        <v>1426</v>
      </c>
      <c r="C529">
        <v>42</v>
      </c>
      <c r="D529" t="s">
        <v>1427</v>
      </c>
      <c r="E529">
        <v>32</v>
      </c>
      <c r="F529" t="s">
        <v>32</v>
      </c>
      <c r="G529" t="s">
        <v>16</v>
      </c>
      <c r="H529" t="s">
        <v>57</v>
      </c>
      <c r="I529" t="s">
        <v>1428</v>
      </c>
      <c r="J529">
        <v>2</v>
      </c>
      <c r="K529" t="s">
        <v>37</v>
      </c>
      <c r="L529">
        <v>4805</v>
      </c>
      <c r="M529" t="s">
        <v>77</v>
      </c>
    </row>
    <row r="530" spans="1:13">
      <c r="A530">
        <v>1171881</v>
      </c>
      <c r="B530" t="s">
        <v>1429</v>
      </c>
      <c r="C530">
        <v>30</v>
      </c>
      <c r="D530" t="s">
        <v>1308</v>
      </c>
      <c r="E530">
        <v>24</v>
      </c>
      <c r="F530" t="s">
        <v>20</v>
      </c>
      <c r="G530" t="s">
        <v>10</v>
      </c>
      <c r="H530" t="s">
        <v>58</v>
      </c>
      <c r="I530" t="s">
        <v>1430</v>
      </c>
      <c r="J530">
        <v>1</v>
      </c>
      <c r="K530" t="s">
        <v>47</v>
      </c>
      <c r="L530">
        <v>654</v>
      </c>
      <c r="M530" t="s">
        <v>77</v>
      </c>
    </row>
    <row r="531" spans="1:13">
      <c r="A531">
        <v>1171977</v>
      </c>
      <c r="B531" t="s">
        <v>1431</v>
      </c>
      <c r="C531">
        <v>39</v>
      </c>
      <c r="D531" t="s">
        <v>1186</v>
      </c>
      <c r="E531">
        <v>29</v>
      </c>
      <c r="F531" t="s">
        <v>15</v>
      </c>
      <c r="G531" t="s">
        <v>23</v>
      </c>
      <c r="H531" t="s">
        <v>57</v>
      </c>
      <c r="I531" t="s">
        <v>1432</v>
      </c>
      <c r="J531">
        <v>2</v>
      </c>
      <c r="K531" t="s">
        <v>1146</v>
      </c>
      <c r="L531">
        <v>5772</v>
      </c>
      <c r="M531" t="s">
        <v>77</v>
      </c>
    </row>
    <row r="532" spans="1:13">
      <c r="A532">
        <v>1172702</v>
      </c>
      <c r="B532" t="s">
        <v>1433</v>
      </c>
      <c r="C532">
        <v>46</v>
      </c>
      <c r="D532" t="s">
        <v>1434</v>
      </c>
      <c r="E532">
        <v>34</v>
      </c>
      <c r="F532" t="s">
        <v>28</v>
      </c>
      <c r="G532" t="s">
        <v>21</v>
      </c>
      <c r="H532" t="s">
        <v>57</v>
      </c>
      <c r="I532" t="s">
        <v>1435</v>
      </c>
      <c r="J532">
        <v>1</v>
      </c>
      <c r="K532" t="s">
        <v>41</v>
      </c>
      <c r="L532">
        <v>2520</v>
      </c>
      <c r="M532" t="s">
        <v>77</v>
      </c>
    </row>
    <row r="533" spans="1:13">
      <c r="A533">
        <v>1173259</v>
      </c>
      <c r="B533" t="s">
        <v>1436</v>
      </c>
      <c r="C533">
        <v>29</v>
      </c>
      <c r="D533" t="s">
        <v>1434</v>
      </c>
      <c r="E533">
        <v>23</v>
      </c>
      <c r="F533" t="s">
        <v>10</v>
      </c>
      <c r="G533" t="s">
        <v>20</v>
      </c>
      <c r="H533" t="s">
        <v>60</v>
      </c>
      <c r="I533" t="s">
        <v>1437</v>
      </c>
      <c r="J533">
        <v>1</v>
      </c>
      <c r="K533" t="s">
        <v>41</v>
      </c>
      <c r="L533">
        <v>544</v>
      </c>
      <c r="M533" t="s">
        <v>77</v>
      </c>
    </row>
    <row r="534" spans="1:13">
      <c r="A534">
        <v>1173778</v>
      </c>
      <c r="B534" t="s">
        <v>1438</v>
      </c>
      <c r="C534">
        <v>28</v>
      </c>
      <c r="D534" t="s">
        <v>1439</v>
      </c>
      <c r="E534">
        <v>22</v>
      </c>
      <c r="F534" t="s">
        <v>20</v>
      </c>
      <c r="G534" t="s">
        <v>9</v>
      </c>
      <c r="H534" t="s">
        <v>60</v>
      </c>
      <c r="I534" t="s">
        <v>1440</v>
      </c>
      <c r="J534">
        <v>3</v>
      </c>
      <c r="K534" t="s">
        <v>41</v>
      </c>
      <c r="L534">
        <v>2559</v>
      </c>
      <c r="M534" t="s">
        <v>77</v>
      </c>
    </row>
    <row r="535" spans="1:13">
      <c r="A535">
        <v>1174427</v>
      </c>
      <c r="B535" t="s">
        <v>1441</v>
      </c>
      <c r="C535">
        <v>16</v>
      </c>
      <c r="D535" t="s">
        <v>1442</v>
      </c>
      <c r="E535">
        <v>10</v>
      </c>
      <c r="F535" t="s">
        <v>10</v>
      </c>
      <c r="G535" t="s">
        <v>4</v>
      </c>
      <c r="H535" t="s">
        <v>56</v>
      </c>
      <c r="I535" t="s">
        <v>1443</v>
      </c>
      <c r="J535">
        <v>3</v>
      </c>
      <c r="K535" t="s">
        <v>41</v>
      </c>
      <c r="L535">
        <v>9058</v>
      </c>
      <c r="M535" t="s">
        <v>77</v>
      </c>
    </row>
    <row r="536" spans="1:13">
      <c r="A536">
        <v>1175305</v>
      </c>
      <c r="B536" t="s">
        <v>1444</v>
      </c>
      <c r="C536">
        <v>33</v>
      </c>
      <c r="D536" t="s">
        <v>1159</v>
      </c>
      <c r="E536">
        <v>25</v>
      </c>
      <c r="F536" t="s">
        <v>12</v>
      </c>
      <c r="G536" t="s">
        <v>19</v>
      </c>
      <c r="H536" t="s">
        <v>60</v>
      </c>
      <c r="I536" t="s">
        <v>1445</v>
      </c>
      <c r="J536">
        <v>3</v>
      </c>
      <c r="K536" t="s">
        <v>49</v>
      </c>
      <c r="L536" t="s">
        <v>1446</v>
      </c>
      <c r="M536" t="s">
        <v>77</v>
      </c>
    </row>
    <row r="537" spans="1:13">
      <c r="A537">
        <v>1175646</v>
      </c>
      <c r="B537" t="s">
        <v>1447</v>
      </c>
      <c r="C537">
        <v>28</v>
      </c>
      <c r="D537" t="s">
        <v>1439</v>
      </c>
      <c r="E537">
        <v>22</v>
      </c>
      <c r="F537" t="s">
        <v>20</v>
      </c>
      <c r="G537" t="s">
        <v>9</v>
      </c>
      <c r="H537" t="s">
        <v>58</v>
      </c>
      <c r="I537" t="s">
        <v>1448</v>
      </c>
      <c r="J537">
        <v>3</v>
      </c>
      <c r="K537" t="s">
        <v>41</v>
      </c>
      <c r="L537">
        <v>2367</v>
      </c>
      <c r="M537" t="s">
        <v>77</v>
      </c>
    </row>
    <row r="538" spans="1:13">
      <c r="A538">
        <v>1175901</v>
      </c>
      <c r="B538" t="s">
        <v>1449</v>
      </c>
      <c r="C538">
        <v>42</v>
      </c>
      <c r="D538" t="s">
        <v>1427</v>
      </c>
      <c r="E538">
        <v>32</v>
      </c>
      <c r="F538" t="s">
        <v>32</v>
      </c>
      <c r="G538" t="s">
        <v>16</v>
      </c>
      <c r="H538" t="s">
        <v>60</v>
      </c>
      <c r="I538" t="s">
        <v>1450</v>
      </c>
      <c r="J538">
        <v>4</v>
      </c>
      <c r="K538" t="s">
        <v>41</v>
      </c>
      <c r="L538">
        <v>3012</v>
      </c>
      <c r="M538" t="s">
        <v>77</v>
      </c>
    </row>
    <row r="539" spans="1:13">
      <c r="A539">
        <v>1175921</v>
      </c>
      <c r="B539" t="s">
        <v>1451</v>
      </c>
      <c r="C539">
        <v>13</v>
      </c>
      <c r="D539" t="s">
        <v>1308</v>
      </c>
      <c r="E539">
        <v>9</v>
      </c>
      <c r="F539" t="s">
        <v>4</v>
      </c>
      <c r="G539" t="s">
        <v>10</v>
      </c>
      <c r="H539" t="s">
        <v>56</v>
      </c>
      <c r="I539" t="s">
        <v>1452</v>
      </c>
      <c r="J539">
        <v>1</v>
      </c>
      <c r="K539" t="s">
        <v>49</v>
      </c>
      <c r="L539">
        <v>4342</v>
      </c>
      <c r="M539" t="s">
        <v>77</v>
      </c>
    </row>
    <row r="540" spans="1:13">
      <c r="A540">
        <v>1175968</v>
      </c>
      <c r="B540" t="s">
        <v>1453</v>
      </c>
      <c r="C540">
        <v>43</v>
      </c>
      <c r="D540" t="s">
        <v>1262</v>
      </c>
      <c r="E540">
        <v>33</v>
      </c>
      <c r="F540" t="s">
        <v>21</v>
      </c>
      <c r="G540" t="s">
        <v>28</v>
      </c>
      <c r="H540" t="s">
        <v>60</v>
      </c>
      <c r="I540" t="s">
        <v>1454</v>
      </c>
      <c r="J540">
        <v>1</v>
      </c>
      <c r="K540" t="s">
        <v>41</v>
      </c>
      <c r="L540">
        <v>753</v>
      </c>
      <c r="M540" t="s">
        <v>77</v>
      </c>
    </row>
    <row r="541" spans="1:13">
      <c r="A541">
        <v>1176094</v>
      </c>
      <c r="B541" t="s">
        <v>1455</v>
      </c>
      <c r="C541">
        <v>50</v>
      </c>
      <c r="D541" t="s">
        <v>1442</v>
      </c>
      <c r="E541">
        <v>38</v>
      </c>
      <c r="F541" t="s">
        <v>31</v>
      </c>
      <c r="G541" t="s">
        <v>24</v>
      </c>
      <c r="H541" t="s">
        <v>58</v>
      </c>
      <c r="I541" t="s">
        <v>1456</v>
      </c>
      <c r="J541">
        <v>1</v>
      </c>
      <c r="K541" t="s">
        <v>41</v>
      </c>
      <c r="L541">
        <v>1243</v>
      </c>
      <c r="M541" t="s">
        <v>77</v>
      </c>
    </row>
    <row r="542" spans="1:13">
      <c r="A542">
        <v>1176811</v>
      </c>
      <c r="B542" t="s">
        <v>1457</v>
      </c>
      <c r="C542">
        <v>28</v>
      </c>
      <c r="D542" t="s">
        <v>1439</v>
      </c>
      <c r="E542">
        <v>22</v>
      </c>
      <c r="F542" t="s">
        <v>20</v>
      </c>
      <c r="G542" t="s">
        <v>9</v>
      </c>
      <c r="H542" t="s">
        <v>57</v>
      </c>
      <c r="I542" t="s">
        <v>1458</v>
      </c>
      <c r="J542">
        <v>1</v>
      </c>
      <c r="K542" t="s">
        <v>278</v>
      </c>
      <c r="L542">
        <v>3142</v>
      </c>
      <c r="M542" t="s">
        <v>77</v>
      </c>
    </row>
    <row r="543" spans="1:13">
      <c r="A543">
        <v>1177167</v>
      </c>
      <c r="B543" t="s">
        <v>1459</v>
      </c>
      <c r="C543">
        <v>46</v>
      </c>
      <c r="D543" t="s">
        <v>1434</v>
      </c>
      <c r="E543">
        <v>34</v>
      </c>
      <c r="F543" t="s">
        <v>28</v>
      </c>
      <c r="G543" t="s">
        <v>21</v>
      </c>
      <c r="H543" t="s">
        <v>58</v>
      </c>
      <c r="I543" t="s">
        <v>1460</v>
      </c>
      <c r="J543">
        <v>1</v>
      </c>
      <c r="K543" t="s">
        <v>37</v>
      </c>
      <c r="L543">
        <v>950</v>
      </c>
      <c r="M543" t="s">
        <v>77</v>
      </c>
    </row>
    <row r="544" spans="1:13">
      <c r="A544">
        <v>1177292</v>
      </c>
      <c r="B544" t="s">
        <v>1461</v>
      </c>
      <c r="C544">
        <v>7</v>
      </c>
      <c r="D544" t="s">
        <v>1462</v>
      </c>
      <c r="E544">
        <v>3</v>
      </c>
      <c r="F544" t="s">
        <v>2</v>
      </c>
      <c r="G544" t="s">
        <v>33</v>
      </c>
      <c r="H544" t="s">
        <v>57</v>
      </c>
      <c r="I544" t="s">
        <v>1463</v>
      </c>
      <c r="J544">
        <v>2</v>
      </c>
      <c r="K544" t="s">
        <v>41</v>
      </c>
      <c r="L544">
        <v>7040</v>
      </c>
      <c r="M544" t="s">
        <v>77</v>
      </c>
    </row>
    <row r="545" spans="1:13">
      <c r="A545">
        <v>1177417</v>
      </c>
      <c r="B545" t="s">
        <v>1464</v>
      </c>
      <c r="C545">
        <v>29</v>
      </c>
      <c r="D545" t="s">
        <v>1434</v>
      </c>
      <c r="E545">
        <v>23</v>
      </c>
      <c r="F545" t="s">
        <v>10</v>
      </c>
      <c r="G545" t="s">
        <v>20</v>
      </c>
      <c r="H545" t="s">
        <v>57</v>
      </c>
      <c r="I545" t="s">
        <v>1465</v>
      </c>
      <c r="J545">
        <v>2</v>
      </c>
      <c r="K545" t="s">
        <v>41</v>
      </c>
      <c r="L545">
        <v>3462</v>
      </c>
      <c r="M545" t="s">
        <v>77</v>
      </c>
    </row>
    <row r="546" spans="1:13">
      <c r="A546">
        <v>1177463</v>
      </c>
      <c r="B546" t="s">
        <v>1466</v>
      </c>
      <c r="C546">
        <v>24</v>
      </c>
      <c r="D546" t="s">
        <v>1422</v>
      </c>
      <c r="E546">
        <v>18</v>
      </c>
      <c r="F546" t="s">
        <v>12</v>
      </c>
      <c r="G546" t="s">
        <v>8</v>
      </c>
      <c r="H546" t="s">
        <v>57</v>
      </c>
      <c r="I546" t="s">
        <v>1467</v>
      </c>
      <c r="J546">
        <v>1</v>
      </c>
      <c r="K546" t="s">
        <v>41</v>
      </c>
      <c r="L546">
        <v>2211</v>
      </c>
      <c r="M546" t="s">
        <v>77</v>
      </c>
    </row>
    <row r="547" spans="1:13">
      <c r="A547">
        <v>1177481</v>
      </c>
      <c r="B547" t="s">
        <v>1468</v>
      </c>
      <c r="C547">
        <v>14</v>
      </c>
      <c r="D547" t="s">
        <v>1376</v>
      </c>
      <c r="E547">
        <v>10</v>
      </c>
      <c r="F547" t="s">
        <v>10</v>
      </c>
      <c r="G547" t="s">
        <v>4</v>
      </c>
      <c r="H547" t="s">
        <v>57</v>
      </c>
      <c r="I547" t="s">
        <v>1469</v>
      </c>
      <c r="J547">
        <v>1</v>
      </c>
      <c r="K547" t="s">
        <v>37</v>
      </c>
      <c r="L547" t="s">
        <v>1470</v>
      </c>
      <c r="M547" t="s">
        <v>77</v>
      </c>
    </row>
    <row r="548" spans="1:13">
      <c r="A548">
        <v>1177797</v>
      </c>
      <c r="B548" t="s">
        <v>1471</v>
      </c>
      <c r="C548">
        <v>11</v>
      </c>
      <c r="D548" t="s">
        <v>1340</v>
      </c>
      <c r="E548">
        <v>7</v>
      </c>
      <c r="F548" t="s">
        <v>3</v>
      </c>
      <c r="G548" t="s">
        <v>18</v>
      </c>
      <c r="H548" t="s">
        <v>57</v>
      </c>
      <c r="I548" t="s">
        <v>1472</v>
      </c>
      <c r="J548">
        <v>1</v>
      </c>
      <c r="K548" t="s">
        <v>41</v>
      </c>
      <c r="L548">
        <v>1854</v>
      </c>
      <c r="M548" t="s">
        <v>77</v>
      </c>
    </row>
    <row r="549" spans="1:13">
      <c r="A549">
        <v>1177952</v>
      </c>
      <c r="B549" t="s">
        <v>1473</v>
      </c>
      <c r="C549">
        <v>29</v>
      </c>
      <c r="D549" t="s">
        <v>1434</v>
      </c>
      <c r="E549">
        <v>23</v>
      </c>
      <c r="F549" t="s">
        <v>10</v>
      </c>
      <c r="G549" t="s">
        <v>20</v>
      </c>
      <c r="H549" t="s">
        <v>57</v>
      </c>
      <c r="I549" t="s">
        <v>1474</v>
      </c>
      <c r="J549">
        <v>1</v>
      </c>
      <c r="K549" t="s">
        <v>41</v>
      </c>
      <c r="L549">
        <v>1039</v>
      </c>
      <c r="M549" t="s">
        <v>77</v>
      </c>
    </row>
    <row r="550" spans="1:13">
      <c r="A550">
        <v>1178210</v>
      </c>
      <c r="B550" t="s">
        <v>1475</v>
      </c>
      <c r="C550">
        <v>28</v>
      </c>
      <c r="D550" t="s">
        <v>1476</v>
      </c>
      <c r="E550">
        <v>22</v>
      </c>
      <c r="F550" t="s">
        <v>20</v>
      </c>
      <c r="G550" t="s">
        <v>9</v>
      </c>
      <c r="H550" t="s">
        <v>60</v>
      </c>
      <c r="I550" t="s">
        <v>1477</v>
      </c>
      <c r="J550">
        <v>1</v>
      </c>
      <c r="K550" t="s">
        <v>41</v>
      </c>
      <c r="L550">
        <v>984</v>
      </c>
      <c r="M550" t="s">
        <v>77</v>
      </c>
    </row>
    <row r="551" spans="1:13">
      <c r="A551">
        <v>1178372</v>
      </c>
      <c r="B551" t="s">
        <v>1478</v>
      </c>
      <c r="C551">
        <v>27</v>
      </c>
      <c r="D551" t="s">
        <v>1479</v>
      </c>
      <c r="E551">
        <v>21</v>
      </c>
      <c r="F551" t="s">
        <v>9</v>
      </c>
      <c r="G551" t="s">
        <v>20</v>
      </c>
      <c r="H551" t="s">
        <v>58</v>
      </c>
      <c r="I551" t="s">
        <v>1480</v>
      </c>
      <c r="J551">
        <v>1</v>
      </c>
      <c r="K551" t="s">
        <v>41</v>
      </c>
      <c r="L551">
        <v>1183</v>
      </c>
      <c r="M551" t="s">
        <v>77</v>
      </c>
    </row>
    <row r="552" spans="1:13">
      <c r="A552">
        <v>1178581</v>
      </c>
      <c r="B552" t="s">
        <v>1481</v>
      </c>
      <c r="C552">
        <v>43</v>
      </c>
      <c r="D552" t="s">
        <v>1262</v>
      </c>
      <c r="E552">
        <v>33</v>
      </c>
      <c r="F552" t="s">
        <v>21</v>
      </c>
      <c r="G552" t="s">
        <v>28</v>
      </c>
      <c r="H552" t="s">
        <v>57</v>
      </c>
      <c r="I552" t="s">
        <v>1482</v>
      </c>
      <c r="J552">
        <v>2</v>
      </c>
      <c r="K552" t="s">
        <v>47</v>
      </c>
      <c r="L552">
        <v>2882</v>
      </c>
      <c r="M552" t="s">
        <v>77</v>
      </c>
    </row>
    <row r="553" spans="1:13">
      <c r="A553">
        <v>1178955</v>
      </c>
      <c r="B553" t="s">
        <v>1483</v>
      </c>
      <c r="C553">
        <v>18</v>
      </c>
      <c r="D553" t="s">
        <v>1484</v>
      </c>
      <c r="E553">
        <v>12</v>
      </c>
      <c r="F553" t="s">
        <v>25</v>
      </c>
      <c r="G553" t="s">
        <v>5</v>
      </c>
      <c r="H553" t="s">
        <v>57</v>
      </c>
      <c r="I553" t="s">
        <v>1485</v>
      </c>
      <c r="J553">
        <v>6</v>
      </c>
      <c r="K553" t="s">
        <v>41</v>
      </c>
      <c r="L553">
        <v>18027</v>
      </c>
      <c r="M553" t="s">
        <v>77</v>
      </c>
    </row>
    <row r="554" spans="1:13">
      <c r="A554">
        <v>1179276</v>
      </c>
      <c r="B554" t="s">
        <v>1486</v>
      </c>
      <c r="C554">
        <v>28</v>
      </c>
      <c r="D554" t="s">
        <v>1439</v>
      </c>
      <c r="E554">
        <v>22</v>
      </c>
      <c r="F554" t="s">
        <v>20</v>
      </c>
      <c r="G554" t="s">
        <v>9</v>
      </c>
      <c r="H554" t="s">
        <v>58</v>
      </c>
      <c r="I554" t="s">
        <v>1487</v>
      </c>
      <c r="J554">
        <v>2</v>
      </c>
      <c r="K554" t="s">
        <v>49</v>
      </c>
      <c r="L554">
        <v>2366</v>
      </c>
      <c r="M554" t="s">
        <v>77</v>
      </c>
    </row>
    <row r="555" spans="1:13">
      <c r="A555">
        <v>1179384</v>
      </c>
      <c r="B555" t="s">
        <v>1488</v>
      </c>
      <c r="C555">
        <v>34</v>
      </c>
      <c r="D555" t="s">
        <v>1368</v>
      </c>
      <c r="E555">
        <v>26</v>
      </c>
      <c r="F555" t="s">
        <v>19</v>
      </c>
      <c r="G555" t="s">
        <v>12</v>
      </c>
      <c r="H555" t="s">
        <v>57</v>
      </c>
      <c r="I555" t="s">
        <v>1489</v>
      </c>
      <c r="J555">
        <v>3</v>
      </c>
      <c r="K555" t="s">
        <v>41</v>
      </c>
      <c r="L555">
        <v>8352</v>
      </c>
      <c r="M555" t="s">
        <v>77</v>
      </c>
    </row>
    <row r="556" spans="1:13">
      <c r="A556">
        <v>1179482</v>
      </c>
      <c r="B556" t="s">
        <v>1490</v>
      </c>
      <c r="C556">
        <v>36</v>
      </c>
      <c r="D556" t="s">
        <v>1277</v>
      </c>
      <c r="E556">
        <v>26</v>
      </c>
      <c r="F556" t="s">
        <v>19</v>
      </c>
      <c r="G556" t="s">
        <v>12</v>
      </c>
      <c r="H556" t="s">
        <v>58</v>
      </c>
      <c r="I556" t="s">
        <v>1491</v>
      </c>
      <c r="J556">
        <v>6</v>
      </c>
      <c r="K556" t="s">
        <v>49</v>
      </c>
      <c r="L556">
        <v>5769</v>
      </c>
      <c r="M556" t="s">
        <v>77</v>
      </c>
    </row>
    <row r="557" spans="1:13">
      <c r="A557">
        <v>1179497</v>
      </c>
      <c r="B557" t="s">
        <v>1492</v>
      </c>
      <c r="C557">
        <v>16</v>
      </c>
      <c r="D557" t="s">
        <v>1493</v>
      </c>
      <c r="E557">
        <v>10</v>
      </c>
      <c r="F557" t="s">
        <v>10</v>
      </c>
      <c r="G557" t="s">
        <v>4</v>
      </c>
      <c r="H557" t="s">
        <v>56</v>
      </c>
      <c r="I557" t="s">
        <v>1494</v>
      </c>
      <c r="J557">
        <v>2</v>
      </c>
      <c r="K557" t="s">
        <v>45</v>
      </c>
      <c r="L557">
        <v>4180</v>
      </c>
      <c r="M557" t="s">
        <v>77</v>
      </c>
    </row>
    <row r="558" spans="1:13">
      <c r="A558">
        <v>1179635</v>
      </c>
      <c r="B558" t="s">
        <v>1495</v>
      </c>
      <c r="C558">
        <v>32</v>
      </c>
      <c r="D558" t="s">
        <v>1368</v>
      </c>
      <c r="E558">
        <v>24</v>
      </c>
      <c r="F558" t="s">
        <v>20</v>
      </c>
      <c r="G558" t="s">
        <v>10</v>
      </c>
      <c r="H558" t="s">
        <v>58</v>
      </c>
      <c r="I558" t="s">
        <v>1496</v>
      </c>
      <c r="J558">
        <v>6</v>
      </c>
      <c r="K558" t="s">
        <v>47</v>
      </c>
      <c r="L558">
        <v>3663</v>
      </c>
      <c r="M558" t="s">
        <v>77</v>
      </c>
    </row>
    <row r="559" spans="1:13">
      <c r="A559">
        <v>1179722</v>
      </c>
      <c r="B559" t="s">
        <v>1497</v>
      </c>
      <c r="C559">
        <v>1</v>
      </c>
      <c r="D559" t="s">
        <v>1498</v>
      </c>
      <c r="E559">
        <v>1</v>
      </c>
      <c r="F559" t="s">
        <v>2</v>
      </c>
      <c r="G559" t="s">
        <v>27</v>
      </c>
      <c r="H559" t="s">
        <v>57</v>
      </c>
      <c r="I559" t="s">
        <v>1499</v>
      </c>
      <c r="J559">
        <v>5</v>
      </c>
      <c r="K559" t="s">
        <v>47</v>
      </c>
      <c r="L559">
        <v>20268</v>
      </c>
      <c r="M559" t="s">
        <v>77</v>
      </c>
    </row>
    <row r="560" spans="1:13">
      <c r="A560">
        <v>1180229</v>
      </c>
      <c r="B560" t="s">
        <v>1500</v>
      </c>
      <c r="C560">
        <v>15</v>
      </c>
      <c r="D560" t="s">
        <v>1501</v>
      </c>
      <c r="E560">
        <v>9</v>
      </c>
      <c r="F560" t="s">
        <v>4</v>
      </c>
      <c r="G560" t="s">
        <v>10</v>
      </c>
      <c r="H560" t="s">
        <v>58</v>
      </c>
      <c r="I560" t="s">
        <v>1502</v>
      </c>
      <c r="J560">
        <v>3</v>
      </c>
      <c r="L560">
        <v>2748</v>
      </c>
      <c r="M560" t="s">
        <v>77</v>
      </c>
    </row>
    <row r="561" spans="1:13">
      <c r="A561">
        <v>1180523</v>
      </c>
      <c r="B561" t="s">
        <v>1503</v>
      </c>
      <c r="C561">
        <v>44</v>
      </c>
      <c r="D561" t="s">
        <v>1412</v>
      </c>
      <c r="E561">
        <v>34</v>
      </c>
      <c r="F561" t="s">
        <v>28</v>
      </c>
      <c r="G561" t="s">
        <v>21</v>
      </c>
      <c r="H561" t="s">
        <v>58</v>
      </c>
      <c r="I561" t="s">
        <v>1504</v>
      </c>
      <c r="J561">
        <v>1</v>
      </c>
      <c r="K561" t="s">
        <v>49</v>
      </c>
      <c r="L561">
        <v>906</v>
      </c>
      <c r="M561" t="s">
        <v>77</v>
      </c>
    </row>
    <row r="562" spans="1:13">
      <c r="A562">
        <v>1180732</v>
      </c>
      <c r="B562" t="s">
        <v>1505</v>
      </c>
      <c r="C562">
        <v>9</v>
      </c>
      <c r="D562" t="s">
        <v>1506</v>
      </c>
      <c r="E562">
        <v>5</v>
      </c>
      <c r="F562" t="s">
        <v>3</v>
      </c>
      <c r="G562" t="s">
        <v>16</v>
      </c>
      <c r="H562" t="s">
        <v>60</v>
      </c>
      <c r="I562" t="s">
        <v>1507</v>
      </c>
      <c r="J562">
        <v>1</v>
      </c>
      <c r="K562" t="s">
        <v>41</v>
      </c>
      <c r="L562">
        <v>288</v>
      </c>
      <c r="M562" t="s">
        <v>77</v>
      </c>
    </row>
    <row r="563" spans="1:13">
      <c r="A563">
        <v>1180749</v>
      </c>
      <c r="B563" t="s">
        <v>1508</v>
      </c>
      <c r="C563">
        <v>51</v>
      </c>
      <c r="D563" t="s">
        <v>1376</v>
      </c>
      <c r="E563">
        <v>39</v>
      </c>
      <c r="F563" t="s">
        <v>26</v>
      </c>
      <c r="G563" t="s">
        <v>30</v>
      </c>
      <c r="H563" t="s">
        <v>58</v>
      </c>
      <c r="I563" t="s">
        <v>1509</v>
      </c>
      <c r="J563">
        <v>2</v>
      </c>
      <c r="K563" t="s">
        <v>49</v>
      </c>
      <c r="L563">
        <v>1708</v>
      </c>
      <c r="M563" t="s">
        <v>77</v>
      </c>
    </row>
    <row r="564" spans="1:13">
      <c r="A564">
        <v>1181937</v>
      </c>
      <c r="B564" t="s">
        <v>1510</v>
      </c>
      <c r="C564">
        <v>37</v>
      </c>
      <c r="D564" t="s">
        <v>1442</v>
      </c>
      <c r="E564">
        <v>27</v>
      </c>
      <c r="F564" t="s">
        <v>14</v>
      </c>
      <c r="G564" t="s">
        <v>27</v>
      </c>
      <c r="H564" t="s">
        <v>57</v>
      </c>
      <c r="I564" t="s">
        <v>1511</v>
      </c>
      <c r="J564">
        <v>2</v>
      </c>
      <c r="K564" t="s">
        <v>41</v>
      </c>
      <c r="L564">
        <v>2569</v>
      </c>
      <c r="M564" t="s">
        <v>77</v>
      </c>
    </row>
    <row r="565" spans="1:13">
      <c r="A565">
        <v>1182073</v>
      </c>
      <c r="B565" t="s">
        <v>1512</v>
      </c>
      <c r="C565">
        <v>43</v>
      </c>
      <c r="D565" t="s">
        <v>1262</v>
      </c>
      <c r="E565">
        <v>33</v>
      </c>
      <c r="F565" t="s">
        <v>21</v>
      </c>
      <c r="G565" t="s">
        <v>28</v>
      </c>
      <c r="H565" t="s">
        <v>60</v>
      </c>
      <c r="I565" t="s">
        <v>1513</v>
      </c>
      <c r="J565">
        <v>1</v>
      </c>
      <c r="K565" t="s">
        <v>49</v>
      </c>
      <c r="L565">
        <v>753</v>
      </c>
      <c r="M565" t="s">
        <v>77</v>
      </c>
    </row>
    <row r="566" spans="1:13">
      <c r="A566">
        <v>1182788</v>
      </c>
      <c r="B566" t="s">
        <v>1514</v>
      </c>
      <c r="C566">
        <v>28</v>
      </c>
      <c r="D566" t="s">
        <v>1439</v>
      </c>
      <c r="E566">
        <v>22</v>
      </c>
      <c r="F566" t="s">
        <v>20</v>
      </c>
      <c r="G566" t="s">
        <v>9</v>
      </c>
      <c r="H566" t="s">
        <v>60</v>
      </c>
      <c r="I566" t="s">
        <v>1515</v>
      </c>
      <c r="J566">
        <v>2</v>
      </c>
      <c r="K566" t="s">
        <v>37</v>
      </c>
      <c r="L566">
        <v>1575</v>
      </c>
      <c r="M566" t="s">
        <v>77</v>
      </c>
    </row>
    <row r="567" spans="1:13">
      <c r="A567">
        <v>1183047</v>
      </c>
      <c r="B567" t="s">
        <v>1516</v>
      </c>
      <c r="C567">
        <v>18</v>
      </c>
      <c r="D567" t="s">
        <v>1268</v>
      </c>
      <c r="E567">
        <v>12</v>
      </c>
      <c r="F567" t="s">
        <v>848</v>
      </c>
      <c r="G567" t="s">
        <v>5</v>
      </c>
      <c r="H567" t="s">
        <v>58</v>
      </c>
      <c r="I567" t="s">
        <v>1517</v>
      </c>
      <c r="J567">
        <v>1</v>
      </c>
      <c r="K567" t="s">
        <v>41</v>
      </c>
      <c r="L567">
        <v>727</v>
      </c>
      <c r="M567" t="s">
        <v>77</v>
      </c>
    </row>
    <row r="568" spans="1:13">
      <c r="A568">
        <v>1183346</v>
      </c>
      <c r="B568" t="s">
        <v>1518</v>
      </c>
      <c r="C568">
        <v>15</v>
      </c>
      <c r="D568" t="s">
        <v>1462</v>
      </c>
      <c r="E568">
        <v>9</v>
      </c>
      <c r="F568" t="s">
        <v>4</v>
      </c>
      <c r="G568" t="s">
        <v>10</v>
      </c>
      <c r="H568" t="s">
        <v>58</v>
      </c>
      <c r="I568" t="s">
        <v>1519</v>
      </c>
      <c r="J568">
        <v>4</v>
      </c>
      <c r="K568" t="s">
        <v>47</v>
      </c>
      <c r="L568">
        <v>3297</v>
      </c>
      <c r="M568" t="s">
        <v>77</v>
      </c>
    </row>
    <row r="569" spans="1:13">
      <c r="A569">
        <v>1183483</v>
      </c>
      <c r="B569" t="s">
        <v>1520</v>
      </c>
      <c r="C569">
        <v>16</v>
      </c>
      <c r="D569" t="s">
        <v>1493</v>
      </c>
      <c r="E569">
        <v>10</v>
      </c>
      <c r="F569" t="s">
        <v>10</v>
      </c>
      <c r="G569" t="s">
        <v>4</v>
      </c>
      <c r="H569" t="s">
        <v>58</v>
      </c>
      <c r="I569" t="s">
        <v>1521</v>
      </c>
      <c r="J569">
        <v>1</v>
      </c>
      <c r="K569" t="s">
        <v>47</v>
      </c>
      <c r="L569">
        <v>916</v>
      </c>
      <c r="M569" t="s">
        <v>77</v>
      </c>
    </row>
    <row r="570" spans="1:13">
      <c r="A570">
        <v>1183539</v>
      </c>
      <c r="B570" t="s">
        <v>1522</v>
      </c>
      <c r="C570">
        <v>27</v>
      </c>
      <c r="D570" t="s">
        <v>1523</v>
      </c>
      <c r="E570">
        <v>21</v>
      </c>
      <c r="F570" t="s">
        <v>9</v>
      </c>
      <c r="G570" t="s">
        <v>20</v>
      </c>
      <c r="H570" t="s">
        <v>58</v>
      </c>
      <c r="J570">
        <v>1</v>
      </c>
      <c r="K570" t="s">
        <v>41</v>
      </c>
      <c r="L570">
        <v>1183</v>
      </c>
      <c r="M570" t="s">
        <v>77</v>
      </c>
    </row>
    <row r="571" spans="1:13">
      <c r="A571">
        <v>1183685</v>
      </c>
      <c r="B571" t="s">
        <v>1524</v>
      </c>
      <c r="C571">
        <v>3</v>
      </c>
      <c r="D571" t="s">
        <v>1427</v>
      </c>
      <c r="E571">
        <v>1</v>
      </c>
      <c r="F571" t="s">
        <v>2</v>
      </c>
      <c r="G571" t="s">
        <v>27</v>
      </c>
      <c r="H571" t="s">
        <v>60</v>
      </c>
      <c r="I571" t="s">
        <v>1525</v>
      </c>
      <c r="J571">
        <v>3</v>
      </c>
      <c r="K571" t="s">
        <v>41</v>
      </c>
      <c r="L571">
        <v>3285</v>
      </c>
      <c r="M571" t="s">
        <v>77</v>
      </c>
    </row>
    <row r="572" spans="1:13">
      <c r="A572">
        <v>1183814</v>
      </c>
      <c r="B572" t="s">
        <v>1526</v>
      </c>
      <c r="C572">
        <v>15</v>
      </c>
      <c r="D572" t="s">
        <v>1462</v>
      </c>
      <c r="E572">
        <v>9</v>
      </c>
      <c r="F572" t="s">
        <v>4</v>
      </c>
      <c r="G572" t="s">
        <v>10</v>
      </c>
      <c r="H572" t="s">
        <v>57</v>
      </c>
      <c r="I572" t="s">
        <v>1527</v>
      </c>
      <c r="J572">
        <v>1</v>
      </c>
      <c r="K572" t="s">
        <v>41</v>
      </c>
      <c r="L572">
        <v>2429</v>
      </c>
      <c r="M572" t="s">
        <v>77</v>
      </c>
    </row>
    <row r="573" spans="1:13">
      <c r="A573">
        <v>1183934</v>
      </c>
      <c r="B573" t="s">
        <v>1528</v>
      </c>
      <c r="C573">
        <v>46</v>
      </c>
      <c r="D573" t="s">
        <v>1434</v>
      </c>
      <c r="E573">
        <v>34</v>
      </c>
      <c r="F573" t="s">
        <v>28</v>
      </c>
      <c r="G573" t="s">
        <v>21</v>
      </c>
      <c r="H573" t="s">
        <v>57</v>
      </c>
      <c r="I573" t="s">
        <v>1529</v>
      </c>
      <c r="J573">
        <v>2</v>
      </c>
      <c r="K573" t="s">
        <v>49</v>
      </c>
      <c r="L573">
        <v>4032</v>
      </c>
      <c r="M573" t="s">
        <v>77</v>
      </c>
    </row>
    <row r="574" spans="1:13">
      <c r="A574">
        <v>1184347</v>
      </c>
      <c r="B574" t="s">
        <v>1530</v>
      </c>
      <c r="C574">
        <v>8</v>
      </c>
      <c r="D574" t="s">
        <v>1405</v>
      </c>
      <c r="E574">
        <v>4</v>
      </c>
      <c r="F574" t="s">
        <v>33</v>
      </c>
      <c r="G574" t="s">
        <v>2</v>
      </c>
      <c r="H574" t="s">
        <v>57</v>
      </c>
      <c r="I574" t="s">
        <v>1531</v>
      </c>
      <c r="J574">
        <v>2</v>
      </c>
      <c r="K574" t="s">
        <v>41</v>
      </c>
      <c r="L574">
        <v>7040</v>
      </c>
      <c r="M574" t="s">
        <v>77</v>
      </c>
    </row>
    <row r="575" spans="1:13">
      <c r="A575">
        <v>1184489</v>
      </c>
      <c r="B575" t="s">
        <v>1532</v>
      </c>
      <c r="C575">
        <v>28</v>
      </c>
      <c r="D575" t="s">
        <v>1476</v>
      </c>
      <c r="E575">
        <v>22</v>
      </c>
      <c r="F575" t="s">
        <v>20</v>
      </c>
      <c r="G575" t="s">
        <v>9</v>
      </c>
      <c r="H575" t="s">
        <v>60</v>
      </c>
      <c r="I575" t="s">
        <v>1533</v>
      </c>
      <c r="J575">
        <v>3</v>
      </c>
      <c r="K575" t="s">
        <v>41</v>
      </c>
      <c r="L575">
        <v>2559</v>
      </c>
      <c r="M575" t="s">
        <v>77</v>
      </c>
    </row>
    <row r="576" spans="1:13">
      <c r="A576">
        <v>1184742</v>
      </c>
      <c r="B576" t="s">
        <v>1534</v>
      </c>
      <c r="C576">
        <v>2</v>
      </c>
      <c r="D576" t="s">
        <v>1535</v>
      </c>
      <c r="E576">
        <v>2</v>
      </c>
      <c r="F576" t="s">
        <v>27</v>
      </c>
      <c r="G576" t="s">
        <v>2</v>
      </c>
      <c r="H576" t="s">
        <v>57</v>
      </c>
      <c r="I576" t="s">
        <v>1536</v>
      </c>
      <c r="J576">
        <v>2</v>
      </c>
      <c r="K576" t="s">
        <v>45</v>
      </c>
      <c r="L576">
        <v>4847</v>
      </c>
      <c r="M576" t="s">
        <v>77</v>
      </c>
    </row>
    <row r="577" spans="1:13">
      <c r="A577">
        <v>1184805</v>
      </c>
      <c r="B577" t="s">
        <v>1537</v>
      </c>
      <c r="C577">
        <v>15</v>
      </c>
      <c r="D577" t="s">
        <v>1462</v>
      </c>
      <c r="E577">
        <v>9</v>
      </c>
      <c r="F577" t="s">
        <v>4</v>
      </c>
      <c r="G577" t="s">
        <v>10</v>
      </c>
      <c r="H577" t="s">
        <v>60</v>
      </c>
      <c r="I577" t="s">
        <v>1538</v>
      </c>
      <c r="J577">
        <v>1</v>
      </c>
      <c r="K577" t="s">
        <v>49</v>
      </c>
      <c r="L577">
        <v>762</v>
      </c>
      <c r="M577" t="s">
        <v>77</v>
      </c>
    </row>
    <row r="578" spans="1:13">
      <c r="A578">
        <v>1184897</v>
      </c>
      <c r="B578" t="s">
        <v>1539</v>
      </c>
      <c r="C578">
        <v>35</v>
      </c>
      <c r="D578" t="s">
        <v>1462</v>
      </c>
      <c r="E578">
        <v>25</v>
      </c>
      <c r="F578" t="s">
        <v>12</v>
      </c>
      <c r="G578" t="s">
        <v>19</v>
      </c>
      <c r="H578" t="s">
        <v>58</v>
      </c>
      <c r="I578" t="s">
        <v>1540</v>
      </c>
      <c r="J578">
        <v>1</v>
      </c>
      <c r="K578" t="s">
        <v>41</v>
      </c>
      <c r="L578">
        <v>1049</v>
      </c>
      <c r="M578" t="s">
        <v>77</v>
      </c>
    </row>
    <row r="579" spans="1:13">
      <c r="A579">
        <v>1185029</v>
      </c>
      <c r="B579" t="s">
        <v>1541</v>
      </c>
      <c r="C579">
        <v>14</v>
      </c>
      <c r="D579" t="s">
        <v>1542</v>
      </c>
      <c r="E579">
        <v>10</v>
      </c>
      <c r="F579" t="s">
        <v>10</v>
      </c>
      <c r="G579" t="s">
        <v>4</v>
      </c>
      <c r="H579" t="s">
        <v>57</v>
      </c>
      <c r="I579" t="s">
        <v>1543</v>
      </c>
      <c r="J579">
        <v>2</v>
      </c>
      <c r="K579" t="s">
        <v>45</v>
      </c>
      <c r="L579">
        <v>6052</v>
      </c>
      <c r="M579" t="s">
        <v>77</v>
      </c>
    </row>
    <row r="580" spans="1:13">
      <c r="A580">
        <v>1185140</v>
      </c>
      <c r="B580" t="s">
        <v>1544</v>
      </c>
      <c r="C580">
        <v>20</v>
      </c>
      <c r="D580" t="s">
        <v>1545</v>
      </c>
      <c r="E580">
        <v>14</v>
      </c>
      <c r="F580" t="s">
        <v>17</v>
      </c>
      <c r="G580" t="s">
        <v>6</v>
      </c>
      <c r="H580" t="s">
        <v>58</v>
      </c>
      <c r="I580" t="s">
        <v>1546</v>
      </c>
      <c r="J580">
        <v>1</v>
      </c>
      <c r="K580" t="s">
        <v>41</v>
      </c>
      <c r="L580">
        <v>804</v>
      </c>
      <c r="M580" t="s">
        <v>77</v>
      </c>
    </row>
    <row r="581" spans="1:13">
      <c r="A581">
        <v>1185328</v>
      </c>
      <c r="B581" t="s">
        <v>1547</v>
      </c>
      <c r="C581">
        <v>41</v>
      </c>
      <c r="D581" t="s">
        <v>1548</v>
      </c>
      <c r="E581">
        <v>31</v>
      </c>
      <c r="F581" t="s">
        <v>16</v>
      </c>
      <c r="G581" t="s">
        <v>32</v>
      </c>
      <c r="H581" t="s">
        <v>60</v>
      </c>
      <c r="I581" t="s">
        <v>1549</v>
      </c>
      <c r="J581">
        <v>2</v>
      </c>
      <c r="K581" t="s">
        <v>41</v>
      </c>
      <c r="L581">
        <v>1882</v>
      </c>
      <c r="M581" t="s">
        <v>77</v>
      </c>
    </row>
    <row r="582" spans="1:13">
      <c r="A582">
        <v>1185986</v>
      </c>
      <c r="B582" t="s">
        <v>1550</v>
      </c>
      <c r="C582">
        <v>44</v>
      </c>
      <c r="D582" t="s">
        <v>1351</v>
      </c>
      <c r="E582">
        <v>34</v>
      </c>
      <c r="F582" t="s">
        <v>28</v>
      </c>
      <c r="G582" t="s">
        <v>21</v>
      </c>
      <c r="H582" t="s">
        <v>60</v>
      </c>
      <c r="I582" t="s">
        <v>1551</v>
      </c>
      <c r="J582">
        <v>1</v>
      </c>
      <c r="K582" t="s">
        <v>41</v>
      </c>
      <c r="L582">
        <v>753</v>
      </c>
      <c r="M582" t="s">
        <v>77</v>
      </c>
    </row>
    <row r="583" spans="1:13">
      <c r="A583">
        <v>1186076</v>
      </c>
      <c r="B583" t="s">
        <v>1552</v>
      </c>
      <c r="C583">
        <v>29</v>
      </c>
      <c r="D583" t="s">
        <v>1434</v>
      </c>
      <c r="E583">
        <v>23</v>
      </c>
      <c r="F583" t="s">
        <v>10</v>
      </c>
      <c r="G583" t="s">
        <v>20</v>
      </c>
      <c r="H583" t="s">
        <v>57</v>
      </c>
      <c r="I583" t="s">
        <v>1553</v>
      </c>
      <c r="J583">
        <v>2</v>
      </c>
      <c r="K583" t="s">
        <v>49</v>
      </c>
      <c r="L583">
        <v>2770</v>
      </c>
      <c r="M583" t="s">
        <v>77</v>
      </c>
    </row>
    <row r="584" spans="1:13">
      <c r="A584">
        <v>1186306</v>
      </c>
      <c r="B584" t="s">
        <v>1554</v>
      </c>
      <c r="C584">
        <v>28</v>
      </c>
      <c r="D584" t="s">
        <v>1476</v>
      </c>
      <c r="E584">
        <v>22</v>
      </c>
      <c r="F584" t="s">
        <v>20</v>
      </c>
      <c r="G584" t="s">
        <v>9</v>
      </c>
      <c r="H584" t="s">
        <v>58</v>
      </c>
      <c r="I584" t="s">
        <v>1555</v>
      </c>
      <c r="J584">
        <v>1</v>
      </c>
      <c r="K584" t="s">
        <v>41</v>
      </c>
      <c r="L584">
        <v>1183</v>
      </c>
      <c r="M584" t="s">
        <v>77</v>
      </c>
    </row>
    <row r="585" spans="1:13">
      <c r="A585">
        <v>1186631</v>
      </c>
      <c r="B585" t="s">
        <v>1556</v>
      </c>
      <c r="C585">
        <v>12</v>
      </c>
      <c r="D585" t="s">
        <v>1557</v>
      </c>
      <c r="E585">
        <v>8</v>
      </c>
      <c r="F585" t="s">
        <v>18</v>
      </c>
      <c r="G585" t="s">
        <v>3</v>
      </c>
      <c r="H585" t="s">
        <v>58</v>
      </c>
      <c r="I585" t="s">
        <v>1558</v>
      </c>
      <c r="J585">
        <v>2</v>
      </c>
      <c r="K585" t="s">
        <v>41</v>
      </c>
      <c r="L585">
        <v>1400</v>
      </c>
      <c r="M585" t="s">
        <v>77</v>
      </c>
    </row>
    <row r="586" spans="1:13">
      <c r="A586">
        <v>1186718</v>
      </c>
      <c r="B586" t="s">
        <v>1559</v>
      </c>
      <c r="C586">
        <v>49</v>
      </c>
      <c r="D586" t="s">
        <v>1560</v>
      </c>
      <c r="E586">
        <v>37</v>
      </c>
      <c r="F586" t="s">
        <v>24</v>
      </c>
      <c r="G586" t="s">
        <v>31</v>
      </c>
      <c r="H586" t="s">
        <v>57</v>
      </c>
      <c r="I586" t="s">
        <v>1561</v>
      </c>
      <c r="J586">
        <v>2</v>
      </c>
      <c r="K586" t="s">
        <v>41</v>
      </c>
      <c r="L586">
        <v>6604</v>
      </c>
      <c r="M586" t="s">
        <v>77</v>
      </c>
    </row>
    <row r="587" spans="1:13">
      <c r="A587">
        <v>1186780</v>
      </c>
      <c r="B587" t="s">
        <v>1562</v>
      </c>
      <c r="C587">
        <v>35</v>
      </c>
      <c r="D587" t="s">
        <v>1462</v>
      </c>
      <c r="E587">
        <v>25</v>
      </c>
      <c r="F587" t="s">
        <v>12</v>
      </c>
      <c r="G587" t="s">
        <v>19</v>
      </c>
      <c r="H587" t="s">
        <v>60</v>
      </c>
      <c r="I587" t="s">
        <v>1563</v>
      </c>
      <c r="J587">
        <v>4</v>
      </c>
      <c r="K587" t="s">
        <v>41</v>
      </c>
      <c r="L587">
        <v>3488</v>
      </c>
      <c r="M587" t="s">
        <v>77</v>
      </c>
    </row>
    <row r="588" spans="1:13">
      <c r="A588">
        <v>1186842</v>
      </c>
      <c r="B588" t="s">
        <v>1564</v>
      </c>
      <c r="C588">
        <v>41</v>
      </c>
      <c r="D588" t="s">
        <v>1565</v>
      </c>
      <c r="E588">
        <v>31</v>
      </c>
      <c r="F588" t="s">
        <v>16</v>
      </c>
      <c r="G588" t="s">
        <v>32</v>
      </c>
      <c r="H588" t="s">
        <v>60</v>
      </c>
      <c r="I588" t="s">
        <v>1566</v>
      </c>
      <c r="J588">
        <v>4</v>
      </c>
      <c r="K588" t="s">
        <v>41</v>
      </c>
      <c r="L588">
        <v>3012</v>
      </c>
      <c r="M588" t="s">
        <v>77</v>
      </c>
    </row>
    <row r="589" spans="1:13">
      <c r="A589">
        <v>1187089</v>
      </c>
      <c r="B589" t="s">
        <v>1567</v>
      </c>
      <c r="C589">
        <v>15</v>
      </c>
      <c r="D589" t="s">
        <v>1462</v>
      </c>
      <c r="E589">
        <v>9</v>
      </c>
      <c r="F589" t="s">
        <v>4</v>
      </c>
      <c r="G589" t="s">
        <v>10</v>
      </c>
      <c r="H589" t="s">
        <v>57</v>
      </c>
      <c r="I589" t="s">
        <v>1568</v>
      </c>
      <c r="J589">
        <v>3</v>
      </c>
      <c r="K589" t="s">
        <v>49</v>
      </c>
      <c r="L589">
        <v>7287</v>
      </c>
      <c r="M589" t="s">
        <v>77</v>
      </c>
    </row>
    <row r="590" spans="1:13">
      <c r="A590">
        <v>1187256</v>
      </c>
      <c r="B590" t="s">
        <v>1569</v>
      </c>
      <c r="C590">
        <v>1</v>
      </c>
      <c r="D590" t="s">
        <v>1570</v>
      </c>
      <c r="E590">
        <v>1</v>
      </c>
      <c r="F590" t="s">
        <v>2</v>
      </c>
      <c r="G590" t="s">
        <v>27</v>
      </c>
      <c r="H590" t="s">
        <v>58</v>
      </c>
      <c r="I590" t="s">
        <v>1571</v>
      </c>
      <c r="J590">
        <v>1</v>
      </c>
      <c r="K590" t="s">
        <v>41</v>
      </c>
      <c r="L590">
        <v>994</v>
      </c>
      <c r="M590" t="s">
        <v>77</v>
      </c>
    </row>
    <row r="591" spans="1:13">
      <c r="A591">
        <v>1187585</v>
      </c>
      <c r="B591" t="s">
        <v>1572</v>
      </c>
      <c r="C591">
        <v>25</v>
      </c>
      <c r="D591" t="s">
        <v>1573</v>
      </c>
      <c r="E591">
        <v>19</v>
      </c>
      <c r="F591" t="s">
        <v>8</v>
      </c>
      <c r="G591" t="s">
        <v>13</v>
      </c>
      <c r="H591" t="s">
        <v>56</v>
      </c>
      <c r="I591" t="s">
        <v>1574</v>
      </c>
      <c r="J591">
        <v>2</v>
      </c>
      <c r="K591" t="s">
        <v>41</v>
      </c>
      <c r="L591">
        <v>5294</v>
      </c>
      <c r="M591" t="s">
        <v>77</v>
      </c>
    </row>
    <row r="592" spans="1:13">
      <c r="A592">
        <v>1188878</v>
      </c>
      <c r="B592" t="s">
        <v>1575</v>
      </c>
      <c r="C592">
        <v>15</v>
      </c>
      <c r="D592" t="s">
        <v>1501</v>
      </c>
      <c r="E592">
        <v>9</v>
      </c>
      <c r="F592" t="s">
        <v>4</v>
      </c>
      <c r="G592" t="s">
        <v>10</v>
      </c>
      <c r="H592" t="s">
        <v>58</v>
      </c>
      <c r="I592" t="s">
        <v>1576</v>
      </c>
      <c r="J592">
        <v>1</v>
      </c>
      <c r="K592" t="s">
        <v>37</v>
      </c>
      <c r="L592">
        <v>916</v>
      </c>
      <c r="M592" t="s">
        <v>77</v>
      </c>
    </row>
    <row r="593" spans="1:13">
      <c r="A593">
        <v>1189426</v>
      </c>
      <c r="B593" t="s">
        <v>1577</v>
      </c>
      <c r="C593">
        <v>8</v>
      </c>
      <c r="D593" t="s">
        <v>1578</v>
      </c>
      <c r="E593">
        <v>4</v>
      </c>
      <c r="F593" t="s">
        <v>33</v>
      </c>
      <c r="G593" t="s">
        <v>2</v>
      </c>
      <c r="H593" t="s">
        <v>60</v>
      </c>
      <c r="I593" t="s">
        <v>1579</v>
      </c>
      <c r="J593">
        <v>3</v>
      </c>
      <c r="K593" t="s">
        <v>41</v>
      </c>
      <c r="L593">
        <v>2426</v>
      </c>
      <c r="M593" t="s">
        <v>77</v>
      </c>
    </row>
    <row r="594" spans="1:13">
      <c r="A594">
        <v>1189659</v>
      </c>
      <c r="B594" t="s">
        <v>1580</v>
      </c>
      <c r="C594">
        <v>34</v>
      </c>
      <c r="D594" t="s">
        <v>1581</v>
      </c>
      <c r="E594">
        <v>26</v>
      </c>
      <c r="F594" t="s">
        <v>19</v>
      </c>
      <c r="G594" t="s">
        <v>12</v>
      </c>
      <c r="H594" t="s">
        <v>58</v>
      </c>
      <c r="I594" t="s">
        <v>1582</v>
      </c>
      <c r="J594">
        <v>3</v>
      </c>
      <c r="K594" t="s">
        <v>41</v>
      </c>
      <c r="L594">
        <v>3147</v>
      </c>
      <c r="M594" t="s">
        <v>77</v>
      </c>
    </row>
    <row r="595" spans="1:13">
      <c r="A595">
        <v>1189966</v>
      </c>
      <c r="B595" t="s">
        <v>1583</v>
      </c>
      <c r="C595">
        <v>15</v>
      </c>
      <c r="D595" t="s">
        <v>1501</v>
      </c>
      <c r="E595">
        <v>9</v>
      </c>
      <c r="F595" t="s">
        <v>4</v>
      </c>
      <c r="G595" t="s">
        <v>10</v>
      </c>
      <c r="H595" t="s">
        <v>58</v>
      </c>
      <c r="I595" t="s">
        <v>1584</v>
      </c>
      <c r="J595">
        <v>3</v>
      </c>
      <c r="K595" t="s">
        <v>41</v>
      </c>
      <c r="L595">
        <v>2381</v>
      </c>
      <c r="M595" t="s">
        <v>77</v>
      </c>
    </row>
    <row r="596" spans="1:13">
      <c r="A596">
        <v>1189972</v>
      </c>
      <c r="B596" t="s">
        <v>1585</v>
      </c>
      <c r="C596">
        <v>3</v>
      </c>
      <c r="D596" t="s">
        <v>1373</v>
      </c>
      <c r="E596">
        <v>1</v>
      </c>
      <c r="F596" t="s">
        <v>2</v>
      </c>
      <c r="G596" t="s">
        <v>27</v>
      </c>
      <c r="H596" t="s">
        <v>58</v>
      </c>
      <c r="I596" t="s">
        <v>1586</v>
      </c>
      <c r="J596">
        <v>4</v>
      </c>
      <c r="K596" t="s">
        <v>41</v>
      </c>
      <c r="L596">
        <v>5685</v>
      </c>
      <c r="M596" t="s">
        <v>77</v>
      </c>
    </row>
    <row r="597" spans="1:13">
      <c r="A597">
        <v>1190022</v>
      </c>
      <c r="B597" t="s">
        <v>1587</v>
      </c>
      <c r="C597">
        <v>15</v>
      </c>
      <c r="D597" t="s">
        <v>1501</v>
      </c>
      <c r="E597">
        <v>9</v>
      </c>
      <c r="F597" t="s">
        <v>4</v>
      </c>
      <c r="G597" t="s">
        <v>10</v>
      </c>
      <c r="H597" t="s">
        <v>58</v>
      </c>
      <c r="I597" t="s">
        <v>1588</v>
      </c>
      <c r="J597">
        <v>6</v>
      </c>
      <c r="K597" t="s">
        <v>41</v>
      </c>
      <c r="L597">
        <v>4395</v>
      </c>
      <c r="M597" t="s">
        <v>77</v>
      </c>
    </row>
    <row r="598" spans="1:13">
      <c r="A598">
        <v>1190134</v>
      </c>
      <c r="B598" t="s">
        <v>1589</v>
      </c>
      <c r="C598">
        <v>8</v>
      </c>
      <c r="D598" t="s">
        <v>1578</v>
      </c>
      <c r="E598">
        <v>4</v>
      </c>
      <c r="F598" t="s">
        <v>33</v>
      </c>
      <c r="G598" t="s">
        <v>2</v>
      </c>
      <c r="H598" t="s">
        <v>58</v>
      </c>
      <c r="J598">
        <v>5</v>
      </c>
      <c r="K598" t="s">
        <v>41</v>
      </c>
      <c r="L598">
        <v>4902</v>
      </c>
      <c r="M598" t="s">
        <v>77</v>
      </c>
    </row>
    <row r="599" spans="1:13">
      <c r="A599">
        <v>1190251</v>
      </c>
      <c r="B599" t="s">
        <v>1590</v>
      </c>
      <c r="C599">
        <v>32</v>
      </c>
      <c r="D599" t="s">
        <v>1359</v>
      </c>
      <c r="E599">
        <v>24</v>
      </c>
      <c r="F599" t="s">
        <v>20</v>
      </c>
      <c r="G599" t="s">
        <v>10</v>
      </c>
      <c r="H599" t="s">
        <v>60</v>
      </c>
      <c r="I599" t="s">
        <v>1591</v>
      </c>
      <c r="J599">
        <v>1</v>
      </c>
      <c r="K599" t="s">
        <v>41</v>
      </c>
      <c r="L599" t="s">
        <v>1592</v>
      </c>
      <c r="M599" t="s">
        <v>77</v>
      </c>
    </row>
    <row r="600" spans="1:13">
      <c r="A600">
        <v>1191314</v>
      </c>
      <c r="B600" t="s">
        <v>1593</v>
      </c>
      <c r="C600">
        <v>9</v>
      </c>
      <c r="D600" t="s">
        <v>1594</v>
      </c>
      <c r="E600">
        <v>5</v>
      </c>
      <c r="F600" t="s">
        <v>3</v>
      </c>
      <c r="G600" t="s">
        <v>16</v>
      </c>
      <c r="H600" t="s">
        <v>60</v>
      </c>
      <c r="I600" t="s">
        <v>1595</v>
      </c>
      <c r="J600">
        <v>2</v>
      </c>
      <c r="K600" t="s">
        <v>45</v>
      </c>
      <c r="L600">
        <v>576</v>
      </c>
      <c r="M600" t="s">
        <v>77</v>
      </c>
    </row>
    <row r="601" spans="1:13">
      <c r="A601">
        <v>1191336</v>
      </c>
      <c r="B601" t="s">
        <v>1596</v>
      </c>
      <c r="C601">
        <v>27</v>
      </c>
      <c r="D601" t="s">
        <v>1523</v>
      </c>
      <c r="E601">
        <v>21</v>
      </c>
      <c r="F601" t="s">
        <v>9</v>
      </c>
      <c r="G601" t="s">
        <v>20</v>
      </c>
      <c r="H601" t="s">
        <v>58</v>
      </c>
      <c r="I601" t="s">
        <v>1597</v>
      </c>
      <c r="J601">
        <v>2</v>
      </c>
      <c r="K601" t="s">
        <v>41</v>
      </c>
      <c r="L601">
        <v>1775</v>
      </c>
      <c r="M601" t="s">
        <v>77</v>
      </c>
    </row>
    <row r="602" spans="1:13">
      <c r="A602">
        <v>1191528</v>
      </c>
      <c r="B602" t="s">
        <v>1598</v>
      </c>
      <c r="C602">
        <v>15</v>
      </c>
      <c r="D602" t="s">
        <v>1501</v>
      </c>
      <c r="E602">
        <v>9</v>
      </c>
      <c r="F602" t="s">
        <v>4</v>
      </c>
      <c r="G602" t="s">
        <v>10</v>
      </c>
      <c r="H602" t="s">
        <v>57</v>
      </c>
      <c r="I602" t="s">
        <v>1599</v>
      </c>
      <c r="J602">
        <v>1</v>
      </c>
      <c r="K602" t="s">
        <v>41</v>
      </c>
      <c r="L602">
        <v>1457</v>
      </c>
      <c r="M602" t="s">
        <v>77</v>
      </c>
    </row>
    <row r="603" spans="1:13">
      <c r="A603">
        <v>1191703</v>
      </c>
      <c r="B603" t="s">
        <v>1600</v>
      </c>
      <c r="C603">
        <v>30</v>
      </c>
      <c r="D603" t="s">
        <v>1560</v>
      </c>
      <c r="E603">
        <v>24</v>
      </c>
      <c r="F603" t="s">
        <v>20</v>
      </c>
      <c r="G603" t="s">
        <v>10</v>
      </c>
      <c r="H603" t="s">
        <v>57</v>
      </c>
      <c r="I603" t="s">
        <v>1601</v>
      </c>
      <c r="J603">
        <v>1</v>
      </c>
      <c r="K603" t="s">
        <v>37</v>
      </c>
      <c r="L603">
        <v>1731</v>
      </c>
      <c r="M603" t="s">
        <v>77</v>
      </c>
    </row>
    <row r="604" spans="1:13">
      <c r="A604">
        <v>1192481</v>
      </c>
      <c r="B604" t="s">
        <v>1602</v>
      </c>
      <c r="C604">
        <v>24</v>
      </c>
      <c r="D604" t="s">
        <v>1603</v>
      </c>
      <c r="E604">
        <v>18</v>
      </c>
      <c r="F604" t="s">
        <v>12</v>
      </c>
      <c r="G604" t="s">
        <v>8</v>
      </c>
      <c r="H604" t="s">
        <v>57</v>
      </c>
      <c r="I604" t="s">
        <v>1604</v>
      </c>
      <c r="J604">
        <v>4</v>
      </c>
      <c r="K604" t="s">
        <v>37</v>
      </c>
      <c r="L604">
        <v>7960</v>
      </c>
      <c r="M604" t="s">
        <v>77</v>
      </c>
    </row>
    <row r="605" spans="1:13">
      <c r="A605">
        <v>1192749</v>
      </c>
      <c r="B605" t="s">
        <v>1605</v>
      </c>
      <c r="C605">
        <v>15</v>
      </c>
      <c r="D605" t="s">
        <v>1606</v>
      </c>
      <c r="E605">
        <v>9</v>
      </c>
      <c r="F605" t="s">
        <v>4</v>
      </c>
      <c r="G605" t="s">
        <v>10</v>
      </c>
      <c r="H605" t="s">
        <v>60</v>
      </c>
      <c r="I605" t="s">
        <v>1607</v>
      </c>
      <c r="J605">
        <v>2</v>
      </c>
      <c r="K605" t="s">
        <v>41</v>
      </c>
      <c r="L605">
        <v>1524</v>
      </c>
      <c r="M605" t="s">
        <v>77</v>
      </c>
    </row>
    <row r="606" spans="1:13">
      <c r="A606">
        <v>1192751</v>
      </c>
      <c r="B606" t="s">
        <v>1608</v>
      </c>
      <c r="C606">
        <v>16</v>
      </c>
      <c r="D606" t="s">
        <v>1609</v>
      </c>
      <c r="E606">
        <v>10</v>
      </c>
      <c r="F606" t="s">
        <v>10</v>
      </c>
      <c r="G606" t="s">
        <v>4</v>
      </c>
      <c r="H606" t="s">
        <v>57</v>
      </c>
      <c r="I606" t="s">
        <v>1610</v>
      </c>
      <c r="J606">
        <v>6</v>
      </c>
      <c r="K606" t="s">
        <v>41</v>
      </c>
      <c r="L606">
        <v>13602</v>
      </c>
      <c r="M606" t="s">
        <v>77</v>
      </c>
    </row>
    <row r="607" spans="1:13">
      <c r="A607">
        <v>1192802</v>
      </c>
      <c r="B607" t="s">
        <v>1611</v>
      </c>
      <c r="C607">
        <v>43</v>
      </c>
      <c r="D607" t="s">
        <v>1612</v>
      </c>
      <c r="E607">
        <v>33</v>
      </c>
      <c r="F607" t="s">
        <v>21</v>
      </c>
      <c r="G607" t="s">
        <v>28</v>
      </c>
      <c r="H607" t="s">
        <v>60</v>
      </c>
      <c r="I607" t="s">
        <v>1613</v>
      </c>
      <c r="J607">
        <v>3</v>
      </c>
      <c r="K607" t="s">
        <v>41</v>
      </c>
      <c r="L607">
        <v>1958</v>
      </c>
      <c r="M607" t="s">
        <v>77</v>
      </c>
    </row>
    <row r="608" spans="1:13">
      <c r="A608">
        <v>1193016</v>
      </c>
      <c r="B608" t="s">
        <v>1614</v>
      </c>
      <c r="C608">
        <v>43</v>
      </c>
      <c r="D608" t="s">
        <v>1612</v>
      </c>
      <c r="E608">
        <v>33</v>
      </c>
      <c r="F608" t="s">
        <v>21</v>
      </c>
      <c r="G608" t="s">
        <v>28</v>
      </c>
      <c r="H608" t="s">
        <v>60</v>
      </c>
      <c r="I608" t="s">
        <v>1615</v>
      </c>
      <c r="J608">
        <v>3</v>
      </c>
      <c r="K608" t="s">
        <v>41</v>
      </c>
      <c r="L608">
        <v>2259</v>
      </c>
      <c r="M608" t="s">
        <v>77</v>
      </c>
    </row>
    <row r="609" spans="1:13">
      <c r="A609">
        <v>1193245</v>
      </c>
      <c r="B609" t="s">
        <v>1616</v>
      </c>
      <c r="C609">
        <v>15</v>
      </c>
      <c r="D609" t="s">
        <v>1501</v>
      </c>
      <c r="E609">
        <v>9</v>
      </c>
      <c r="F609" t="s">
        <v>4</v>
      </c>
      <c r="G609" t="s">
        <v>10</v>
      </c>
      <c r="H609" t="s">
        <v>57</v>
      </c>
      <c r="I609" t="s">
        <v>1617</v>
      </c>
      <c r="J609">
        <v>3</v>
      </c>
      <c r="K609" t="s">
        <v>47</v>
      </c>
      <c r="L609">
        <v>6315</v>
      </c>
      <c r="M609" t="s">
        <v>77</v>
      </c>
    </row>
    <row r="610" spans="1:13">
      <c r="A610">
        <v>1193481</v>
      </c>
      <c r="B610" t="s">
        <v>1618</v>
      </c>
      <c r="C610">
        <v>6</v>
      </c>
      <c r="D610" t="s">
        <v>1619</v>
      </c>
      <c r="E610">
        <v>4</v>
      </c>
      <c r="F610" t="s">
        <v>33</v>
      </c>
      <c r="G610" t="s">
        <v>2</v>
      </c>
      <c r="H610" t="s">
        <v>58</v>
      </c>
      <c r="I610" t="s">
        <v>1620</v>
      </c>
      <c r="J610">
        <v>2</v>
      </c>
      <c r="K610" t="s">
        <v>41</v>
      </c>
      <c r="L610">
        <v>2224</v>
      </c>
      <c r="M610" t="s">
        <v>77</v>
      </c>
    </row>
    <row r="611" spans="1:13">
      <c r="A611">
        <v>1194649</v>
      </c>
      <c r="B611" t="s">
        <v>1621</v>
      </c>
      <c r="C611">
        <v>10</v>
      </c>
      <c r="D611" t="s">
        <v>1622</v>
      </c>
      <c r="E611">
        <v>6</v>
      </c>
      <c r="F611" t="s">
        <v>16</v>
      </c>
      <c r="G611" t="s">
        <v>3</v>
      </c>
      <c r="H611" t="s">
        <v>58</v>
      </c>
      <c r="I611" t="s">
        <v>1623</v>
      </c>
      <c r="J611">
        <v>1</v>
      </c>
      <c r="K611" t="s">
        <v>41</v>
      </c>
      <c r="L611">
        <v>348</v>
      </c>
      <c r="M611" t="s">
        <v>77</v>
      </c>
    </row>
    <row r="612" spans="1:13">
      <c r="A612">
        <v>1194709</v>
      </c>
      <c r="B612" t="s">
        <v>1624</v>
      </c>
      <c r="C612">
        <v>44</v>
      </c>
      <c r="D612" t="s">
        <v>1351</v>
      </c>
      <c r="E612">
        <v>34</v>
      </c>
      <c r="F612" t="s">
        <v>28</v>
      </c>
      <c r="G612" t="s">
        <v>21</v>
      </c>
      <c r="H612" t="s">
        <v>58</v>
      </c>
      <c r="I612" t="s">
        <v>1625</v>
      </c>
      <c r="J612">
        <v>2</v>
      </c>
      <c r="K612" t="s">
        <v>47</v>
      </c>
      <c r="L612">
        <v>1449</v>
      </c>
      <c r="M612" t="s">
        <v>77</v>
      </c>
    </row>
    <row r="613" spans="1:13">
      <c r="A613">
        <v>1195275</v>
      </c>
      <c r="B613" t="s">
        <v>1626</v>
      </c>
      <c r="C613">
        <v>35</v>
      </c>
      <c r="D613" t="s">
        <v>1627</v>
      </c>
      <c r="E613">
        <v>25</v>
      </c>
      <c r="F613" t="s">
        <v>12</v>
      </c>
      <c r="G613" t="s">
        <v>19</v>
      </c>
      <c r="H613" t="s">
        <v>60</v>
      </c>
      <c r="I613" t="s">
        <v>1628</v>
      </c>
      <c r="J613">
        <v>1</v>
      </c>
      <c r="K613" t="s">
        <v>37</v>
      </c>
      <c r="L613">
        <v>872</v>
      </c>
      <c r="M613" t="s">
        <v>77</v>
      </c>
    </row>
    <row r="614" spans="1:13">
      <c r="A614">
        <v>1195699</v>
      </c>
      <c r="B614" t="s">
        <v>1629</v>
      </c>
      <c r="C614">
        <v>1</v>
      </c>
      <c r="D614" t="s">
        <v>1570</v>
      </c>
      <c r="E614">
        <v>1</v>
      </c>
      <c r="F614" t="s">
        <v>2</v>
      </c>
      <c r="G614" t="s">
        <v>27</v>
      </c>
      <c r="H614" t="s">
        <v>60</v>
      </c>
      <c r="I614" t="s">
        <v>1630</v>
      </c>
      <c r="J614">
        <v>2</v>
      </c>
      <c r="K614" t="s">
        <v>43</v>
      </c>
      <c r="L614">
        <v>2758</v>
      </c>
      <c r="M614" t="s">
        <v>77</v>
      </c>
    </row>
    <row r="615" spans="1:13">
      <c r="A615">
        <v>1195755</v>
      </c>
      <c r="B615" t="s">
        <v>1631</v>
      </c>
      <c r="C615">
        <v>31</v>
      </c>
      <c r="D615" t="s">
        <v>1560</v>
      </c>
      <c r="E615">
        <v>23</v>
      </c>
      <c r="F615" t="s">
        <v>10</v>
      </c>
      <c r="G615" t="s">
        <v>20</v>
      </c>
      <c r="H615" t="s">
        <v>60</v>
      </c>
      <c r="I615" t="s">
        <v>1632</v>
      </c>
      <c r="J615">
        <v>2</v>
      </c>
      <c r="K615" t="s">
        <v>41</v>
      </c>
      <c r="L615">
        <v>1088</v>
      </c>
      <c r="M615" t="s">
        <v>77</v>
      </c>
    </row>
    <row r="616" spans="1:13">
      <c r="A616">
        <v>1196392</v>
      </c>
      <c r="B616" t="s">
        <v>1633</v>
      </c>
      <c r="C616">
        <v>27</v>
      </c>
      <c r="D616" t="s">
        <v>1523</v>
      </c>
      <c r="E616">
        <v>21</v>
      </c>
      <c r="F616" t="s">
        <v>9</v>
      </c>
      <c r="G616" t="s">
        <v>20</v>
      </c>
      <c r="H616" t="s">
        <v>56</v>
      </c>
      <c r="I616" t="s">
        <v>1634</v>
      </c>
      <c r="J616">
        <v>1</v>
      </c>
      <c r="K616" t="s">
        <v>41</v>
      </c>
      <c r="L616">
        <v>4510</v>
      </c>
      <c r="M616" t="s">
        <v>77</v>
      </c>
    </row>
    <row r="617" spans="1:13">
      <c r="A617">
        <v>1197007</v>
      </c>
      <c r="B617" t="s">
        <v>1635</v>
      </c>
      <c r="C617">
        <v>20</v>
      </c>
      <c r="D617" t="s">
        <v>1636</v>
      </c>
      <c r="E617">
        <v>14</v>
      </c>
      <c r="F617" t="s">
        <v>17</v>
      </c>
      <c r="G617" t="s">
        <v>6</v>
      </c>
      <c r="H617" t="s">
        <v>57</v>
      </c>
      <c r="I617" t="s">
        <v>1637</v>
      </c>
      <c r="J617">
        <v>2</v>
      </c>
      <c r="K617" t="s">
        <v>41</v>
      </c>
      <c r="L617">
        <v>4260</v>
      </c>
      <c r="M617" t="s">
        <v>77</v>
      </c>
    </row>
    <row r="618" spans="1:13">
      <c r="A618">
        <v>1197470</v>
      </c>
      <c r="B618" t="s">
        <v>1638</v>
      </c>
      <c r="C618">
        <v>3</v>
      </c>
      <c r="D618" t="s">
        <v>1373</v>
      </c>
      <c r="E618">
        <v>1</v>
      </c>
      <c r="F618" t="s">
        <v>2</v>
      </c>
      <c r="G618" t="s">
        <v>27</v>
      </c>
      <c r="H618" t="s">
        <v>57</v>
      </c>
      <c r="I618" t="s">
        <v>1639</v>
      </c>
      <c r="J618">
        <v>2</v>
      </c>
      <c r="K618" t="s">
        <v>49</v>
      </c>
      <c r="L618">
        <v>8396</v>
      </c>
      <c r="M618" t="s">
        <v>77</v>
      </c>
    </row>
    <row r="619" spans="1:13">
      <c r="A619">
        <v>1197742</v>
      </c>
      <c r="B619" t="s">
        <v>1640</v>
      </c>
      <c r="C619">
        <v>50</v>
      </c>
      <c r="D619" t="s">
        <v>1501</v>
      </c>
      <c r="E619">
        <v>38</v>
      </c>
      <c r="F619" t="s">
        <v>31</v>
      </c>
      <c r="G619" t="s">
        <v>24</v>
      </c>
      <c r="H619" t="s">
        <v>58</v>
      </c>
      <c r="I619" t="s">
        <v>1641</v>
      </c>
      <c r="J619">
        <v>1</v>
      </c>
      <c r="K619" t="s">
        <v>41</v>
      </c>
      <c r="L619">
        <v>1243</v>
      </c>
      <c r="M619" t="s">
        <v>77</v>
      </c>
    </row>
    <row r="620" spans="1:13">
      <c r="A620">
        <v>1197896</v>
      </c>
      <c r="B620" t="s">
        <v>1642</v>
      </c>
      <c r="C620">
        <v>46</v>
      </c>
      <c r="D620" t="s">
        <v>1581</v>
      </c>
      <c r="E620">
        <v>34</v>
      </c>
      <c r="F620" t="s">
        <v>28</v>
      </c>
      <c r="G620" t="s">
        <v>21</v>
      </c>
      <c r="H620" t="s">
        <v>58</v>
      </c>
      <c r="I620" t="s">
        <v>1643</v>
      </c>
      <c r="J620">
        <v>3</v>
      </c>
      <c r="K620" t="s">
        <v>49</v>
      </c>
      <c r="L620">
        <v>2850</v>
      </c>
      <c r="M620" t="s">
        <v>77</v>
      </c>
    </row>
    <row r="621" spans="1:13">
      <c r="A621">
        <v>1197993</v>
      </c>
      <c r="B621" t="s">
        <v>1644</v>
      </c>
      <c r="C621">
        <v>48</v>
      </c>
      <c r="D621" t="s">
        <v>1645</v>
      </c>
      <c r="E621">
        <v>36</v>
      </c>
      <c r="F621" t="s">
        <v>29</v>
      </c>
      <c r="G621" t="s">
        <v>22</v>
      </c>
      <c r="H621" t="s">
        <v>57</v>
      </c>
      <c r="I621" t="s">
        <v>1646</v>
      </c>
      <c r="J621">
        <v>1</v>
      </c>
      <c r="K621" t="s">
        <v>41</v>
      </c>
      <c r="L621">
        <v>3123</v>
      </c>
      <c r="M621" t="s">
        <v>77</v>
      </c>
    </row>
    <row r="622" spans="1:13">
      <c r="A622">
        <v>1198119</v>
      </c>
      <c r="B622" t="s">
        <v>1647</v>
      </c>
      <c r="C622">
        <v>46</v>
      </c>
      <c r="D622" t="s">
        <v>1581</v>
      </c>
      <c r="E622">
        <v>34</v>
      </c>
      <c r="F622" t="s">
        <v>28</v>
      </c>
      <c r="G622" t="s">
        <v>21</v>
      </c>
      <c r="H622" t="s">
        <v>57</v>
      </c>
      <c r="I622" t="s">
        <v>1648</v>
      </c>
      <c r="J622">
        <v>4</v>
      </c>
      <c r="K622" t="s">
        <v>41</v>
      </c>
      <c r="L622">
        <v>9072</v>
      </c>
      <c r="M622" t="s">
        <v>77</v>
      </c>
    </row>
    <row r="623" spans="1:13">
      <c r="A623">
        <v>1198169</v>
      </c>
      <c r="B623" t="s">
        <v>1649</v>
      </c>
      <c r="C623">
        <v>15</v>
      </c>
      <c r="D623" t="s">
        <v>1606</v>
      </c>
      <c r="E623">
        <v>9</v>
      </c>
      <c r="F623" t="s">
        <v>4</v>
      </c>
      <c r="G623" t="s">
        <v>10</v>
      </c>
      <c r="H623" t="s">
        <v>58</v>
      </c>
      <c r="I623" t="s">
        <v>1650</v>
      </c>
      <c r="J623">
        <v>2</v>
      </c>
      <c r="K623" t="s">
        <v>41</v>
      </c>
      <c r="L623">
        <v>1832</v>
      </c>
      <c r="M623" t="s">
        <v>77</v>
      </c>
    </row>
    <row r="624" spans="1:13">
      <c r="A624">
        <v>1198822</v>
      </c>
      <c r="B624" t="s">
        <v>1651</v>
      </c>
      <c r="C624">
        <v>44</v>
      </c>
      <c r="D624" t="s">
        <v>1619</v>
      </c>
      <c r="E624">
        <v>34</v>
      </c>
      <c r="F624" t="s">
        <v>28</v>
      </c>
      <c r="G624" t="s">
        <v>21</v>
      </c>
      <c r="H624" t="s">
        <v>58</v>
      </c>
      <c r="I624" t="s">
        <v>1652</v>
      </c>
      <c r="J624">
        <v>1</v>
      </c>
      <c r="K624" t="s">
        <v>41</v>
      </c>
      <c r="L624">
        <v>906</v>
      </c>
      <c r="M624" t="s">
        <v>77</v>
      </c>
    </row>
    <row r="625" spans="1:13">
      <c r="A625">
        <v>1199119</v>
      </c>
      <c r="B625" t="s">
        <v>1653</v>
      </c>
      <c r="C625">
        <v>1</v>
      </c>
      <c r="D625" t="s">
        <v>1570</v>
      </c>
      <c r="E625">
        <v>1</v>
      </c>
      <c r="F625" t="s">
        <v>2</v>
      </c>
      <c r="G625" t="s">
        <v>27</v>
      </c>
      <c r="H625" t="s">
        <v>57</v>
      </c>
      <c r="I625" t="s">
        <v>1654</v>
      </c>
      <c r="J625">
        <v>2</v>
      </c>
      <c r="K625" t="s">
        <v>49</v>
      </c>
      <c r="L625">
        <v>8812</v>
      </c>
      <c r="M625" t="s">
        <v>77</v>
      </c>
    </row>
    <row r="626" spans="1:13">
      <c r="A626">
        <v>1199281</v>
      </c>
      <c r="B626" t="s">
        <v>1655</v>
      </c>
      <c r="C626">
        <v>10</v>
      </c>
      <c r="D626" t="s">
        <v>1622</v>
      </c>
      <c r="E626">
        <v>6</v>
      </c>
      <c r="F626" t="s">
        <v>16</v>
      </c>
      <c r="G626" t="s">
        <v>3</v>
      </c>
      <c r="H626" t="s">
        <v>60</v>
      </c>
      <c r="I626" t="s">
        <v>1656</v>
      </c>
      <c r="J626">
        <v>3</v>
      </c>
      <c r="K626" t="s">
        <v>41</v>
      </c>
      <c r="L626">
        <v>749</v>
      </c>
      <c r="M626" t="s">
        <v>77</v>
      </c>
    </row>
    <row r="627" spans="1:13">
      <c r="A627">
        <v>1199549</v>
      </c>
      <c r="B627" t="s">
        <v>1657</v>
      </c>
      <c r="C627">
        <v>45</v>
      </c>
      <c r="D627" t="s">
        <v>1658</v>
      </c>
      <c r="E627">
        <v>33</v>
      </c>
      <c r="F627" t="s">
        <v>21</v>
      </c>
      <c r="G627" t="s">
        <v>28</v>
      </c>
      <c r="H627" t="s">
        <v>58</v>
      </c>
      <c r="I627" t="s">
        <v>1659</v>
      </c>
      <c r="J627">
        <v>3</v>
      </c>
      <c r="K627" t="s">
        <v>41</v>
      </c>
      <c r="L627">
        <v>2375</v>
      </c>
      <c r="M627" t="s">
        <v>77</v>
      </c>
    </row>
    <row r="628" spans="1:13">
      <c r="A628">
        <v>1199562</v>
      </c>
      <c r="B628" t="s">
        <v>1660</v>
      </c>
      <c r="C628">
        <v>51</v>
      </c>
      <c r="D628" t="s">
        <v>1661</v>
      </c>
      <c r="F628" t="s">
        <v>26</v>
      </c>
      <c r="G628" t="s">
        <v>30</v>
      </c>
      <c r="H628" t="s">
        <v>58</v>
      </c>
      <c r="I628" t="s">
        <v>1662</v>
      </c>
      <c r="J628">
        <v>2</v>
      </c>
      <c r="K628" t="s">
        <v>41</v>
      </c>
      <c r="L628">
        <v>1366</v>
      </c>
      <c r="M628" t="s">
        <v>77</v>
      </c>
    </row>
    <row r="629" spans="1:13">
      <c r="A629">
        <v>1199769</v>
      </c>
      <c r="B629" t="s">
        <v>1663</v>
      </c>
      <c r="C629">
        <v>8</v>
      </c>
      <c r="D629" t="s">
        <v>1664</v>
      </c>
      <c r="E629">
        <v>4</v>
      </c>
      <c r="F629" t="s">
        <v>33</v>
      </c>
      <c r="G629" t="s">
        <v>2</v>
      </c>
      <c r="H629" t="s">
        <v>60</v>
      </c>
      <c r="I629" t="s">
        <v>1665</v>
      </c>
      <c r="J629">
        <v>4</v>
      </c>
      <c r="K629" t="s">
        <v>41</v>
      </c>
      <c r="L629">
        <v>3528</v>
      </c>
      <c r="M629" t="s">
        <v>77</v>
      </c>
    </row>
    <row r="630" spans="1:13">
      <c r="A630">
        <v>1200060</v>
      </c>
      <c r="B630" t="s">
        <v>1666</v>
      </c>
      <c r="C630">
        <v>45</v>
      </c>
      <c r="D630" t="s">
        <v>1658</v>
      </c>
      <c r="E630">
        <v>33</v>
      </c>
      <c r="F630" t="s">
        <v>21</v>
      </c>
      <c r="G630" t="s">
        <v>28</v>
      </c>
      <c r="H630" t="s">
        <v>58</v>
      </c>
      <c r="I630" t="s">
        <v>1667</v>
      </c>
      <c r="J630">
        <v>3</v>
      </c>
      <c r="K630" t="s">
        <v>41</v>
      </c>
      <c r="L630">
        <v>2850</v>
      </c>
      <c r="M630" t="s">
        <v>77</v>
      </c>
    </row>
    <row r="631" spans="1:13">
      <c r="A631">
        <v>1200160</v>
      </c>
      <c r="B631" t="s">
        <v>1668</v>
      </c>
      <c r="C631">
        <v>15</v>
      </c>
      <c r="D631" t="s">
        <v>1606</v>
      </c>
      <c r="E631">
        <v>9</v>
      </c>
      <c r="F631" t="s">
        <v>4</v>
      </c>
      <c r="G631" t="s">
        <v>10</v>
      </c>
      <c r="H631" t="s">
        <v>60</v>
      </c>
      <c r="I631" t="s">
        <v>1669</v>
      </c>
      <c r="J631">
        <v>2</v>
      </c>
      <c r="K631" t="s">
        <v>49</v>
      </c>
      <c r="L631">
        <v>1524</v>
      </c>
      <c r="M631" t="s">
        <v>77</v>
      </c>
    </row>
    <row r="632" spans="1:13">
      <c r="A632">
        <v>1200394</v>
      </c>
      <c r="B632" t="s">
        <v>1670</v>
      </c>
      <c r="C632">
        <v>43</v>
      </c>
      <c r="D632" t="s">
        <v>1671</v>
      </c>
      <c r="E632">
        <v>33</v>
      </c>
      <c r="F632" t="s">
        <v>21</v>
      </c>
      <c r="G632" t="s">
        <v>28</v>
      </c>
      <c r="H632" t="s">
        <v>58</v>
      </c>
      <c r="I632" t="s">
        <v>1672</v>
      </c>
      <c r="J632">
        <v>2</v>
      </c>
      <c r="K632" t="s">
        <v>41</v>
      </c>
      <c r="L632">
        <v>1812</v>
      </c>
      <c r="M632" t="s">
        <v>77</v>
      </c>
    </row>
    <row r="633" spans="1:13">
      <c r="A633">
        <v>1200433</v>
      </c>
      <c r="B633" t="s">
        <v>1673</v>
      </c>
      <c r="C633">
        <v>43</v>
      </c>
      <c r="D633" t="s">
        <v>1671</v>
      </c>
      <c r="E633">
        <v>33</v>
      </c>
      <c r="F633" t="s">
        <v>21</v>
      </c>
      <c r="G633" t="s">
        <v>28</v>
      </c>
      <c r="H633" t="s">
        <v>60</v>
      </c>
      <c r="I633" t="s">
        <v>1674</v>
      </c>
      <c r="J633">
        <v>1</v>
      </c>
      <c r="K633" t="s">
        <v>37</v>
      </c>
      <c r="L633">
        <v>753</v>
      </c>
      <c r="M633" t="s">
        <v>77</v>
      </c>
    </row>
    <row r="634" spans="1:13">
      <c r="A634">
        <v>1200653</v>
      </c>
      <c r="B634" t="s">
        <v>1675</v>
      </c>
      <c r="C634">
        <v>16</v>
      </c>
      <c r="D634" t="s">
        <v>1676</v>
      </c>
      <c r="E634">
        <v>10</v>
      </c>
      <c r="F634" t="s">
        <v>10</v>
      </c>
      <c r="G634" t="s">
        <v>4</v>
      </c>
      <c r="H634" t="s">
        <v>57</v>
      </c>
      <c r="J634">
        <v>5</v>
      </c>
      <c r="K634" t="s">
        <v>37</v>
      </c>
      <c r="L634">
        <v>8986</v>
      </c>
      <c r="M634" t="s">
        <v>77</v>
      </c>
    </row>
    <row r="635" spans="1:13">
      <c r="A635">
        <v>1201266</v>
      </c>
      <c r="B635" t="s">
        <v>1677</v>
      </c>
      <c r="C635">
        <v>4</v>
      </c>
      <c r="D635" t="s">
        <v>1678</v>
      </c>
      <c r="E635">
        <v>2</v>
      </c>
      <c r="F635" t="s">
        <v>27</v>
      </c>
      <c r="G635" t="s">
        <v>2</v>
      </c>
      <c r="H635" t="s">
        <v>57</v>
      </c>
      <c r="I635" t="s">
        <v>1679</v>
      </c>
      <c r="J635">
        <v>1</v>
      </c>
      <c r="K635" t="s">
        <v>47</v>
      </c>
      <c r="L635">
        <v>4198</v>
      </c>
      <c r="M635" t="s">
        <v>77</v>
      </c>
    </row>
    <row r="636" spans="1:13">
      <c r="A636">
        <v>1201381</v>
      </c>
      <c r="B636" t="s">
        <v>1680</v>
      </c>
      <c r="C636">
        <v>23</v>
      </c>
      <c r="D636" t="s">
        <v>1681</v>
      </c>
      <c r="E636">
        <v>17</v>
      </c>
      <c r="F636" t="s">
        <v>8</v>
      </c>
      <c r="G636" t="s">
        <v>12</v>
      </c>
      <c r="H636" t="s">
        <v>58</v>
      </c>
      <c r="I636" t="s">
        <v>1682</v>
      </c>
      <c r="J636">
        <v>1</v>
      </c>
      <c r="K636" t="s">
        <v>41</v>
      </c>
      <c r="L636">
        <v>834</v>
      </c>
      <c r="M636" t="s">
        <v>77</v>
      </c>
    </row>
    <row r="637" spans="1:13">
      <c r="A637">
        <v>1201444</v>
      </c>
      <c r="B637" t="s">
        <v>1683</v>
      </c>
      <c r="C637">
        <v>27</v>
      </c>
      <c r="D637" t="s">
        <v>1523</v>
      </c>
      <c r="E637">
        <v>21</v>
      </c>
      <c r="F637" t="s">
        <v>9</v>
      </c>
      <c r="G637" t="s">
        <v>20</v>
      </c>
      <c r="H637" t="s">
        <v>57</v>
      </c>
      <c r="I637" t="s">
        <v>1684</v>
      </c>
      <c r="J637">
        <v>4</v>
      </c>
      <c r="K637" t="s">
        <v>41</v>
      </c>
      <c r="L637">
        <v>12568</v>
      </c>
      <c r="M637" t="s">
        <v>77</v>
      </c>
    </row>
    <row r="638" spans="1:13">
      <c r="A638">
        <v>1201825</v>
      </c>
      <c r="B638" t="s">
        <v>1685</v>
      </c>
      <c r="C638">
        <v>41</v>
      </c>
      <c r="D638" t="s">
        <v>1557</v>
      </c>
      <c r="E638">
        <v>31</v>
      </c>
      <c r="F638" t="s">
        <v>16</v>
      </c>
      <c r="G638" t="s">
        <v>32</v>
      </c>
      <c r="H638" t="s">
        <v>57</v>
      </c>
      <c r="I638" t="s">
        <v>1686</v>
      </c>
      <c r="J638">
        <v>4</v>
      </c>
      <c r="K638" t="s">
        <v>37</v>
      </c>
      <c r="L638">
        <v>10511</v>
      </c>
      <c r="M638" t="s">
        <v>77</v>
      </c>
    </row>
    <row r="639" spans="1:13">
      <c r="A639">
        <v>1201915</v>
      </c>
      <c r="B639" t="s">
        <v>1687</v>
      </c>
      <c r="C639">
        <v>41</v>
      </c>
      <c r="D639" t="s">
        <v>1557</v>
      </c>
      <c r="E639">
        <v>31</v>
      </c>
      <c r="F639" t="s">
        <v>16</v>
      </c>
      <c r="G639" t="s">
        <v>32</v>
      </c>
      <c r="H639" t="s">
        <v>58</v>
      </c>
      <c r="J639">
        <v>1</v>
      </c>
      <c r="K639" t="s">
        <v>41</v>
      </c>
      <c r="L639">
        <v>1131</v>
      </c>
      <c r="M639" t="s">
        <v>77</v>
      </c>
    </row>
    <row r="640" spans="1:13">
      <c r="A640">
        <v>1126291</v>
      </c>
      <c r="B640" t="s">
        <v>1046</v>
      </c>
      <c r="C640">
        <v>2</v>
      </c>
      <c r="D640" t="s">
        <v>1047</v>
      </c>
      <c r="E640">
        <v>2</v>
      </c>
      <c r="F640" t="s">
        <v>27</v>
      </c>
      <c r="G640" t="s">
        <v>2</v>
      </c>
      <c r="H640" t="s">
        <v>60</v>
      </c>
      <c r="I640" t="s">
        <v>1048</v>
      </c>
      <c r="J640">
        <v>1</v>
      </c>
      <c r="K640" t="s">
        <v>37</v>
      </c>
      <c r="L640">
        <v>1379</v>
      </c>
      <c r="M640" t="s">
        <v>77</v>
      </c>
    </row>
    <row r="641" spans="1:13">
      <c r="A641">
        <v>1098923</v>
      </c>
      <c r="B641" t="s">
        <v>827</v>
      </c>
      <c r="C641">
        <v>32</v>
      </c>
      <c r="D641" t="s">
        <v>779</v>
      </c>
      <c r="E641">
        <v>24</v>
      </c>
      <c r="F641" t="s">
        <v>20</v>
      </c>
      <c r="G641" t="s">
        <v>10</v>
      </c>
      <c r="H641" t="s">
        <v>57</v>
      </c>
      <c r="I641" t="s">
        <v>828</v>
      </c>
      <c r="J641">
        <v>6</v>
      </c>
      <c r="K641" t="s">
        <v>49</v>
      </c>
      <c r="L641">
        <v>7618</v>
      </c>
      <c r="M641" t="s">
        <v>77</v>
      </c>
    </row>
    <row r="642" spans="1:13">
      <c r="A642">
        <v>1000611</v>
      </c>
      <c r="B642" t="s">
        <v>74</v>
      </c>
      <c r="C642">
        <v>4</v>
      </c>
      <c r="D642" t="s">
        <v>75</v>
      </c>
      <c r="E642">
        <v>2</v>
      </c>
      <c r="F642" t="s">
        <v>27</v>
      </c>
      <c r="G642" t="s">
        <v>2</v>
      </c>
      <c r="H642" t="s">
        <v>60</v>
      </c>
      <c r="I642" t="s">
        <v>76</v>
      </c>
      <c r="J642">
        <v>4</v>
      </c>
      <c r="K642" t="s">
        <v>41</v>
      </c>
      <c r="L642">
        <v>4731</v>
      </c>
      <c r="M642" t="s">
        <v>77</v>
      </c>
    </row>
    <row r="643" spans="1:13">
      <c r="A643">
        <v>1064376</v>
      </c>
      <c r="B643" t="s">
        <v>587</v>
      </c>
      <c r="C643">
        <v>6</v>
      </c>
      <c r="D643" t="s">
        <v>588</v>
      </c>
      <c r="E643">
        <v>4</v>
      </c>
      <c r="F643" t="s">
        <v>33</v>
      </c>
      <c r="G643" t="s">
        <v>2</v>
      </c>
      <c r="H643" t="s">
        <v>58</v>
      </c>
      <c r="I643" t="s">
        <v>589</v>
      </c>
      <c r="J643">
        <v>2</v>
      </c>
      <c r="K643" t="s">
        <v>41</v>
      </c>
      <c r="L643">
        <v>2780</v>
      </c>
      <c r="M643" t="s">
        <v>77</v>
      </c>
    </row>
    <row r="644" spans="1:13">
      <c r="A644">
        <v>1007455</v>
      </c>
      <c r="B644" t="s">
        <v>148</v>
      </c>
      <c r="C644">
        <v>52</v>
      </c>
      <c r="D644" t="s">
        <v>149</v>
      </c>
      <c r="E644">
        <v>40</v>
      </c>
      <c r="F644" t="s">
        <v>30</v>
      </c>
      <c r="G644" t="s">
        <v>26</v>
      </c>
      <c r="H644" t="s">
        <v>58</v>
      </c>
      <c r="I644" t="s">
        <v>150</v>
      </c>
      <c r="J644">
        <v>1</v>
      </c>
      <c r="K644" t="s">
        <v>41</v>
      </c>
      <c r="L644">
        <v>854</v>
      </c>
      <c r="M644" t="s">
        <v>77</v>
      </c>
    </row>
    <row r="645" spans="1:13">
      <c r="A645">
        <v>1122534</v>
      </c>
      <c r="B645" t="s">
        <v>1018</v>
      </c>
      <c r="C645">
        <v>28</v>
      </c>
      <c r="D645" t="s">
        <v>818</v>
      </c>
      <c r="E645">
        <v>22</v>
      </c>
      <c r="F645" t="s">
        <v>20</v>
      </c>
      <c r="G645" t="s">
        <v>9</v>
      </c>
      <c r="H645" t="s">
        <v>60</v>
      </c>
      <c r="I645" t="s">
        <v>1019</v>
      </c>
      <c r="J645">
        <v>5</v>
      </c>
      <c r="K645" t="s">
        <v>37</v>
      </c>
      <c r="L645">
        <v>4428</v>
      </c>
      <c r="M645" t="s">
        <v>77</v>
      </c>
    </row>
    <row r="646" spans="1:13">
      <c r="A646">
        <v>1114785</v>
      </c>
      <c r="B646" t="s">
        <v>959</v>
      </c>
      <c r="C646">
        <v>3</v>
      </c>
      <c r="D646" t="s">
        <v>944</v>
      </c>
      <c r="E646">
        <v>1</v>
      </c>
      <c r="F646" t="s">
        <v>2</v>
      </c>
      <c r="G646" t="s">
        <v>27</v>
      </c>
      <c r="H646" t="s">
        <v>58</v>
      </c>
      <c r="I646" t="s">
        <v>960</v>
      </c>
      <c r="J646">
        <v>1</v>
      </c>
      <c r="K646" t="s">
        <v>41</v>
      </c>
      <c r="L646">
        <v>1579</v>
      </c>
      <c r="M646" t="s">
        <v>77</v>
      </c>
    </row>
    <row r="647" spans="1:13">
      <c r="A647">
        <v>1065300</v>
      </c>
      <c r="B647" t="s">
        <v>593</v>
      </c>
      <c r="C647">
        <v>5</v>
      </c>
      <c r="D647" t="s">
        <v>594</v>
      </c>
      <c r="E647">
        <v>3</v>
      </c>
      <c r="F647" t="s">
        <v>2</v>
      </c>
      <c r="G647" t="s">
        <v>33</v>
      </c>
      <c r="H647" t="s">
        <v>58</v>
      </c>
      <c r="I647" t="s">
        <v>595</v>
      </c>
      <c r="J647">
        <v>1</v>
      </c>
      <c r="K647" t="s">
        <v>41</v>
      </c>
      <c r="L647">
        <v>1390</v>
      </c>
      <c r="M647" t="s">
        <v>77</v>
      </c>
    </row>
    <row r="648" spans="1:13">
      <c r="A648">
        <v>1050196</v>
      </c>
      <c r="B648" t="s">
        <v>473</v>
      </c>
      <c r="C648">
        <v>43</v>
      </c>
      <c r="D648" t="s">
        <v>332</v>
      </c>
      <c r="E648">
        <v>33</v>
      </c>
      <c r="F648" t="s">
        <v>21</v>
      </c>
      <c r="G648" t="s">
        <v>28</v>
      </c>
      <c r="H648" t="s">
        <v>57</v>
      </c>
      <c r="I648" t="s">
        <v>474</v>
      </c>
      <c r="J648">
        <v>1</v>
      </c>
      <c r="K648" t="s">
        <v>49</v>
      </c>
      <c r="L648">
        <v>2402</v>
      </c>
      <c r="M648" t="s">
        <v>77</v>
      </c>
    </row>
  </sheetData>
  <autoFilter ref="A1:M648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7F7F7F"/>
  </sheetPr>
  <dimension ref="A1:I1336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0" width="17.7109375" customWidth="1"/>
  </cols>
  <sheetData>
    <row r="1" spans="1:9">
      <c r="A1" s="5" t="s">
        <v>1688</v>
      </c>
      <c r="B1" s="5" t="s">
        <v>62</v>
      </c>
      <c r="C1" s="5" t="s">
        <v>1689</v>
      </c>
      <c r="D1" s="5" t="s">
        <v>1690</v>
      </c>
      <c r="E1" s="5" t="s">
        <v>1691</v>
      </c>
      <c r="F1" s="5" t="s">
        <v>1692</v>
      </c>
      <c r="G1" s="5" t="s">
        <v>1693</v>
      </c>
      <c r="H1" s="5" t="s">
        <v>1694</v>
      </c>
      <c r="I1" s="5" t="s">
        <v>73</v>
      </c>
    </row>
    <row r="2" spans="1:9">
      <c r="A2">
        <v>1257</v>
      </c>
      <c r="B2">
        <v>1000611</v>
      </c>
      <c r="C2">
        <v>1</v>
      </c>
      <c r="D2" t="s">
        <v>1695</v>
      </c>
      <c r="E2">
        <v>1314</v>
      </c>
      <c r="F2" t="s">
        <v>41</v>
      </c>
      <c r="G2" t="s">
        <v>41</v>
      </c>
      <c r="I2" t="s">
        <v>77</v>
      </c>
    </row>
    <row r="3" spans="1:9">
      <c r="A3">
        <v>1258</v>
      </c>
      <c r="B3">
        <v>1000611</v>
      </c>
      <c r="C3">
        <v>2</v>
      </c>
      <c r="D3" t="s">
        <v>1695</v>
      </c>
      <c r="E3">
        <v>1314</v>
      </c>
      <c r="F3" t="s">
        <v>41</v>
      </c>
      <c r="G3" t="s">
        <v>41</v>
      </c>
      <c r="I3" t="s">
        <v>77</v>
      </c>
    </row>
    <row r="4" spans="1:9">
      <c r="A4">
        <v>1259</v>
      </c>
      <c r="B4">
        <v>1000611</v>
      </c>
      <c r="C4">
        <v>3</v>
      </c>
      <c r="D4" t="s">
        <v>1695</v>
      </c>
      <c r="E4">
        <v>1314</v>
      </c>
      <c r="F4" t="s">
        <v>41</v>
      </c>
      <c r="G4" t="s">
        <v>41</v>
      </c>
      <c r="I4" t="s">
        <v>77</v>
      </c>
    </row>
    <row r="5" spans="1:9">
      <c r="A5">
        <v>1260</v>
      </c>
      <c r="B5">
        <v>1000611</v>
      </c>
      <c r="C5">
        <v>4</v>
      </c>
      <c r="D5" t="s">
        <v>1696</v>
      </c>
      <c r="E5">
        <v>789</v>
      </c>
      <c r="F5" t="s">
        <v>41</v>
      </c>
      <c r="G5" t="s">
        <v>41</v>
      </c>
      <c r="I5" t="s">
        <v>77</v>
      </c>
    </row>
    <row r="6" spans="1:9">
      <c r="A6">
        <v>3797</v>
      </c>
      <c r="B6">
        <v>1001896</v>
      </c>
      <c r="C6">
        <v>1</v>
      </c>
      <c r="D6" t="s">
        <v>1695</v>
      </c>
      <c r="E6">
        <v>1053</v>
      </c>
      <c r="F6" t="s">
        <v>41</v>
      </c>
      <c r="G6" t="s">
        <v>41</v>
      </c>
      <c r="I6" t="s">
        <v>77</v>
      </c>
    </row>
    <row r="7" spans="1:9">
      <c r="A7">
        <v>3798</v>
      </c>
      <c r="B7">
        <v>1001896</v>
      </c>
      <c r="C7">
        <v>2</v>
      </c>
      <c r="D7" t="s">
        <v>1695</v>
      </c>
      <c r="E7">
        <v>1053</v>
      </c>
      <c r="F7" t="s">
        <v>41</v>
      </c>
      <c r="G7" t="s">
        <v>41</v>
      </c>
      <c r="I7" t="s">
        <v>77</v>
      </c>
    </row>
    <row r="8" spans="1:9">
      <c r="A8">
        <v>3799</v>
      </c>
      <c r="B8">
        <v>1001896</v>
      </c>
      <c r="C8">
        <v>3</v>
      </c>
      <c r="D8" t="s">
        <v>1695</v>
      </c>
      <c r="E8">
        <v>1053</v>
      </c>
      <c r="F8" t="s">
        <v>41</v>
      </c>
      <c r="G8" t="s">
        <v>41</v>
      </c>
      <c r="I8" t="s">
        <v>77</v>
      </c>
    </row>
    <row r="9" spans="1:9">
      <c r="A9">
        <v>4015</v>
      </c>
      <c r="B9">
        <v>1002009</v>
      </c>
      <c r="C9">
        <v>1</v>
      </c>
      <c r="D9" t="s">
        <v>1695</v>
      </c>
      <c r="E9">
        <v>544</v>
      </c>
      <c r="F9" t="s">
        <v>41</v>
      </c>
      <c r="G9" t="s">
        <v>41</v>
      </c>
      <c r="I9" t="s">
        <v>77</v>
      </c>
    </row>
    <row r="10" spans="1:9">
      <c r="A10">
        <v>4016</v>
      </c>
      <c r="B10">
        <v>1002009</v>
      </c>
      <c r="C10">
        <v>2</v>
      </c>
      <c r="D10" t="s">
        <v>1697</v>
      </c>
      <c r="E10">
        <v>272</v>
      </c>
      <c r="F10" t="s">
        <v>41</v>
      </c>
      <c r="G10" t="s">
        <v>41</v>
      </c>
      <c r="I10" t="s">
        <v>77</v>
      </c>
    </row>
    <row r="11" spans="1:9">
      <c r="A11">
        <v>4783</v>
      </c>
      <c r="B11">
        <v>1002389</v>
      </c>
      <c r="C11">
        <v>1</v>
      </c>
      <c r="D11" t="s">
        <v>1695</v>
      </c>
      <c r="E11">
        <v>872</v>
      </c>
      <c r="F11" t="s">
        <v>41</v>
      </c>
      <c r="G11" t="s">
        <v>41</v>
      </c>
      <c r="I11" t="s">
        <v>77</v>
      </c>
    </row>
    <row r="12" spans="1:9">
      <c r="A12">
        <v>4784</v>
      </c>
      <c r="B12">
        <v>1002389</v>
      </c>
      <c r="C12">
        <v>2</v>
      </c>
      <c r="D12" t="s">
        <v>1697</v>
      </c>
      <c r="E12">
        <v>436</v>
      </c>
      <c r="F12" t="s">
        <v>41</v>
      </c>
      <c r="G12" t="s">
        <v>41</v>
      </c>
      <c r="I12" t="s">
        <v>77</v>
      </c>
    </row>
    <row r="13" spans="1:9">
      <c r="A13">
        <v>5077</v>
      </c>
      <c r="B13">
        <v>1002524</v>
      </c>
      <c r="C13">
        <v>1</v>
      </c>
      <c r="D13" t="s">
        <v>1695</v>
      </c>
      <c r="E13">
        <v>2402</v>
      </c>
      <c r="F13" t="s">
        <v>41</v>
      </c>
      <c r="G13" t="s">
        <v>41</v>
      </c>
      <c r="I13" t="s">
        <v>77</v>
      </c>
    </row>
    <row r="14" spans="1:9">
      <c r="A14">
        <v>5078</v>
      </c>
      <c r="B14">
        <v>1002524</v>
      </c>
      <c r="C14">
        <v>2</v>
      </c>
      <c r="D14" t="s">
        <v>1695</v>
      </c>
      <c r="E14">
        <v>2402</v>
      </c>
      <c r="F14" t="s">
        <v>41</v>
      </c>
      <c r="G14" t="s">
        <v>41</v>
      </c>
      <c r="I14" t="s">
        <v>77</v>
      </c>
    </row>
    <row r="15" spans="1:9">
      <c r="A15">
        <v>5891</v>
      </c>
      <c r="B15">
        <v>1002921</v>
      </c>
      <c r="C15">
        <v>1</v>
      </c>
      <c r="D15" t="s">
        <v>1695</v>
      </c>
      <c r="E15">
        <v>1854</v>
      </c>
      <c r="F15" t="s">
        <v>41</v>
      </c>
      <c r="G15" t="s">
        <v>41</v>
      </c>
      <c r="I15" t="s">
        <v>77</v>
      </c>
    </row>
    <row r="16" spans="1:9">
      <c r="A16">
        <v>5892</v>
      </c>
      <c r="B16">
        <v>1002921</v>
      </c>
      <c r="C16">
        <v>2</v>
      </c>
      <c r="D16" t="s">
        <v>1695</v>
      </c>
      <c r="E16">
        <v>1854</v>
      </c>
      <c r="F16" t="s">
        <v>41</v>
      </c>
      <c r="G16" t="s">
        <v>41</v>
      </c>
      <c r="I16" t="s">
        <v>77</v>
      </c>
    </row>
    <row r="17" spans="1:9">
      <c r="A17">
        <v>6027</v>
      </c>
      <c r="B17">
        <v>1002990</v>
      </c>
      <c r="C17">
        <v>1</v>
      </c>
      <c r="D17" t="s">
        <v>1695</v>
      </c>
      <c r="E17">
        <v>1049</v>
      </c>
      <c r="F17" t="s">
        <v>41</v>
      </c>
      <c r="G17" t="s">
        <v>41</v>
      </c>
      <c r="I17" t="s">
        <v>77</v>
      </c>
    </row>
    <row r="18" spans="1:9">
      <c r="A18">
        <v>6183</v>
      </c>
      <c r="B18">
        <v>1003061</v>
      </c>
      <c r="C18">
        <v>1</v>
      </c>
      <c r="D18" t="s">
        <v>1695</v>
      </c>
      <c r="E18">
        <v>544</v>
      </c>
      <c r="F18" t="s">
        <v>41</v>
      </c>
      <c r="G18" t="s">
        <v>41</v>
      </c>
      <c r="I18" t="s">
        <v>77</v>
      </c>
    </row>
    <row r="19" spans="1:9">
      <c r="A19">
        <v>6184</v>
      </c>
      <c r="B19">
        <v>1003061</v>
      </c>
      <c r="C19">
        <v>2</v>
      </c>
      <c r="D19" t="s">
        <v>1695</v>
      </c>
      <c r="E19">
        <v>544</v>
      </c>
      <c r="F19" t="s">
        <v>41</v>
      </c>
      <c r="G19" t="s">
        <v>41</v>
      </c>
      <c r="I19" t="s">
        <v>77</v>
      </c>
    </row>
    <row r="20" spans="1:9">
      <c r="A20">
        <v>6275</v>
      </c>
      <c r="B20">
        <v>1003110</v>
      </c>
      <c r="C20">
        <v>1</v>
      </c>
      <c r="D20" t="s">
        <v>1695</v>
      </c>
      <c r="E20">
        <v>1314</v>
      </c>
      <c r="F20" t="s">
        <v>41</v>
      </c>
      <c r="G20" t="s">
        <v>41</v>
      </c>
      <c r="I20" t="s">
        <v>77</v>
      </c>
    </row>
    <row r="21" spans="1:9">
      <c r="A21">
        <v>6276</v>
      </c>
      <c r="B21">
        <v>1003110</v>
      </c>
      <c r="C21">
        <v>2</v>
      </c>
      <c r="D21" t="s">
        <v>1695</v>
      </c>
      <c r="E21">
        <v>1314</v>
      </c>
      <c r="F21" t="s">
        <v>41</v>
      </c>
      <c r="G21" t="s">
        <v>41</v>
      </c>
      <c r="I21" t="s">
        <v>77</v>
      </c>
    </row>
    <row r="22" spans="1:9">
      <c r="A22">
        <v>6277</v>
      </c>
      <c r="B22">
        <v>1003110</v>
      </c>
      <c r="C22">
        <v>3</v>
      </c>
      <c r="D22" t="s">
        <v>1695</v>
      </c>
      <c r="E22">
        <v>1314</v>
      </c>
      <c r="F22" t="s">
        <v>41</v>
      </c>
      <c r="G22" t="s">
        <v>41</v>
      </c>
      <c r="I22" t="s">
        <v>77</v>
      </c>
    </row>
    <row r="23" spans="1:9">
      <c r="A23">
        <v>6278</v>
      </c>
      <c r="B23">
        <v>1003110</v>
      </c>
      <c r="C23">
        <v>4</v>
      </c>
      <c r="D23" t="s">
        <v>1695</v>
      </c>
      <c r="E23">
        <v>1314</v>
      </c>
      <c r="F23" t="s">
        <v>41</v>
      </c>
      <c r="G23" t="s">
        <v>41</v>
      </c>
      <c r="I23" t="s">
        <v>77</v>
      </c>
    </row>
    <row r="24" spans="1:9">
      <c r="A24">
        <v>7310</v>
      </c>
      <c r="B24">
        <v>1003617</v>
      </c>
      <c r="C24">
        <v>1</v>
      </c>
      <c r="D24" t="s">
        <v>1695</v>
      </c>
      <c r="E24">
        <v>2520</v>
      </c>
      <c r="F24" t="s">
        <v>1698</v>
      </c>
      <c r="G24" t="s">
        <v>41</v>
      </c>
      <c r="I24" t="s">
        <v>77</v>
      </c>
    </row>
    <row r="25" spans="1:9">
      <c r="A25">
        <v>7311</v>
      </c>
      <c r="B25">
        <v>1003617</v>
      </c>
      <c r="C25">
        <v>2</v>
      </c>
      <c r="D25" t="s">
        <v>1695</v>
      </c>
      <c r="E25">
        <v>2520</v>
      </c>
      <c r="F25" t="s">
        <v>41</v>
      </c>
      <c r="G25" t="s">
        <v>41</v>
      </c>
      <c r="I25" t="s">
        <v>77</v>
      </c>
    </row>
    <row r="26" spans="1:9">
      <c r="A26">
        <v>7312</v>
      </c>
      <c r="B26">
        <v>1003617</v>
      </c>
      <c r="C26">
        <v>3</v>
      </c>
      <c r="D26" t="s">
        <v>1695</v>
      </c>
      <c r="E26">
        <v>2520</v>
      </c>
      <c r="F26" t="s">
        <v>41</v>
      </c>
      <c r="G26" t="s">
        <v>41</v>
      </c>
      <c r="I26" t="s">
        <v>77</v>
      </c>
    </row>
    <row r="27" spans="1:9">
      <c r="A27">
        <v>7806</v>
      </c>
      <c r="B27">
        <v>1003866</v>
      </c>
      <c r="C27">
        <v>1</v>
      </c>
      <c r="D27" t="s">
        <v>1695</v>
      </c>
      <c r="E27">
        <v>3694</v>
      </c>
      <c r="F27" t="s">
        <v>41</v>
      </c>
      <c r="G27" t="s">
        <v>41</v>
      </c>
      <c r="I27" t="s">
        <v>77</v>
      </c>
    </row>
    <row r="28" spans="1:9">
      <c r="A28">
        <v>8988</v>
      </c>
      <c r="B28">
        <v>1004416</v>
      </c>
      <c r="C28">
        <v>1</v>
      </c>
      <c r="D28" t="s">
        <v>1696</v>
      </c>
      <c r="E28">
        <v>482</v>
      </c>
      <c r="F28" t="s">
        <v>41</v>
      </c>
      <c r="G28" t="s">
        <v>41</v>
      </c>
      <c r="I28" t="s">
        <v>77</v>
      </c>
    </row>
    <row r="29" spans="1:9">
      <c r="A29">
        <v>9483</v>
      </c>
      <c r="B29">
        <v>1004645</v>
      </c>
      <c r="C29">
        <v>1</v>
      </c>
      <c r="D29" t="s">
        <v>1695</v>
      </c>
      <c r="E29">
        <v>1314</v>
      </c>
      <c r="F29" t="s">
        <v>41</v>
      </c>
      <c r="G29" t="s">
        <v>41</v>
      </c>
      <c r="I29" t="s">
        <v>77</v>
      </c>
    </row>
    <row r="30" spans="1:9">
      <c r="A30">
        <v>9822</v>
      </c>
      <c r="B30">
        <v>1004815</v>
      </c>
      <c r="C30">
        <v>1</v>
      </c>
      <c r="D30" t="s">
        <v>1695</v>
      </c>
      <c r="E30">
        <v>804</v>
      </c>
      <c r="F30" t="s">
        <v>41</v>
      </c>
      <c r="G30" t="s">
        <v>37</v>
      </c>
      <c r="H30">
        <v>776</v>
      </c>
      <c r="I30" t="s">
        <v>77</v>
      </c>
    </row>
    <row r="31" spans="1:9">
      <c r="A31">
        <v>9892</v>
      </c>
      <c r="B31">
        <v>1004847</v>
      </c>
      <c r="C31">
        <v>1</v>
      </c>
      <c r="D31" t="s">
        <v>1695</v>
      </c>
      <c r="E31">
        <v>3219</v>
      </c>
      <c r="F31" t="s">
        <v>41</v>
      </c>
      <c r="G31" t="s">
        <v>37</v>
      </c>
      <c r="H31">
        <v>2735</v>
      </c>
      <c r="I31" t="s">
        <v>77</v>
      </c>
    </row>
    <row r="32" spans="1:9">
      <c r="A32">
        <v>10555</v>
      </c>
      <c r="B32">
        <v>1005162</v>
      </c>
      <c r="C32">
        <v>1</v>
      </c>
      <c r="D32" t="s">
        <v>1695</v>
      </c>
      <c r="E32">
        <v>1854</v>
      </c>
      <c r="F32" t="s">
        <v>41</v>
      </c>
      <c r="G32" t="s">
        <v>41</v>
      </c>
      <c r="I32" t="s">
        <v>77</v>
      </c>
    </row>
    <row r="33" spans="1:9">
      <c r="A33">
        <v>11394</v>
      </c>
      <c r="B33">
        <v>1005562</v>
      </c>
      <c r="C33">
        <v>1</v>
      </c>
      <c r="D33" t="s">
        <v>1695</v>
      </c>
      <c r="E33">
        <v>870</v>
      </c>
      <c r="F33" t="s">
        <v>41</v>
      </c>
      <c r="G33" t="s">
        <v>41</v>
      </c>
      <c r="I33" t="s">
        <v>77</v>
      </c>
    </row>
    <row r="34" spans="1:9">
      <c r="A34">
        <v>11395</v>
      </c>
      <c r="B34">
        <v>1005562</v>
      </c>
      <c r="C34">
        <v>2</v>
      </c>
      <c r="D34" t="s">
        <v>1696</v>
      </c>
      <c r="E34">
        <v>522</v>
      </c>
      <c r="F34" t="s">
        <v>41</v>
      </c>
      <c r="G34" t="s">
        <v>41</v>
      </c>
      <c r="I34" t="s">
        <v>77</v>
      </c>
    </row>
    <row r="35" spans="1:9">
      <c r="A35">
        <v>11428</v>
      </c>
      <c r="B35">
        <v>1005583</v>
      </c>
      <c r="C35">
        <v>1</v>
      </c>
      <c r="D35" t="s">
        <v>1695</v>
      </c>
      <c r="E35">
        <v>1390</v>
      </c>
      <c r="F35" t="s">
        <v>41</v>
      </c>
      <c r="G35" t="s">
        <v>41</v>
      </c>
      <c r="I35" t="s">
        <v>77</v>
      </c>
    </row>
    <row r="36" spans="1:9">
      <c r="A36">
        <v>12364</v>
      </c>
      <c r="B36">
        <v>1006037</v>
      </c>
      <c r="C36">
        <v>1</v>
      </c>
      <c r="D36" t="s">
        <v>1695</v>
      </c>
      <c r="E36">
        <v>2211</v>
      </c>
      <c r="F36" t="s">
        <v>41</v>
      </c>
      <c r="G36" t="s">
        <v>41</v>
      </c>
      <c r="I36" t="s">
        <v>77</v>
      </c>
    </row>
    <row r="37" spans="1:9">
      <c r="A37">
        <v>12365</v>
      </c>
      <c r="B37">
        <v>1006037</v>
      </c>
      <c r="C37">
        <v>2</v>
      </c>
      <c r="D37" t="s">
        <v>1695</v>
      </c>
      <c r="E37">
        <v>2211</v>
      </c>
      <c r="F37" t="s">
        <v>41</v>
      </c>
      <c r="G37" t="s">
        <v>41</v>
      </c>
      <c r="I37" t="s">
        <v>77</v>
      </c>
    </row>
    <row r="38" spans="1:9">
      <c r="A38">
        <v>12366</v>
      </c>
      <c r="B38">
        <v>1006037</v>
      </c>
      <c r="C38">
        <v>3</v>
      </c>
      <c r="D38" t="s">
        <v>1695</v>
      </c>
      <c r="E38">
        <v>2211</v>
      </c>
      <c r="F38" t="s">
        <v>41</v>
      </c>
      <c r="G38" t="s">
        <v>41</v>
      </c>
      <c r="I38" t="s">
        <v>77</v>
      </c>
    </row>
    <row r="39" spans="1:9">
      <c r="A39">
        <v>13013</v>
      </c>
      <c r="B39">
        <v>1006359</v>
      </c>
      <c r="C39">
        <v>1</v>
      </c>
      <c r="D39" t="s">
        <v>1696</v>
      </c>
      <c r="E39">
        <v>393</v>
      </c>
      <c r="F39" t="s">
        <v>41</v>
      </c>
      <c r="G39" t="s">
        <v>37</v>
      </c>
      <c r="H39">
        <v>629</v>
      </c>
      <c r="I39" t="s">
        <v>77</v>
      </c>
    </row>
    <row r="40" spans="1:9">
      <c r="A40">
        <v>13257</v>
      </c>
      <c r="B40">
        <v>1006475</v>
      </c>
      <c r="C40">
        <v>1</v>
      </c>
      <c r="D40" t="s">
        <v>1695</v>
      </c>
      <c r="E40">
        <v>833</v>
      </c>
      <c r="F40" t="s">
        <v>41</v>
      </c>
      <c r="G40" t="s">
        <v>41</v>
      </c>
      <c r="I40" t="s">
        <v>77</v>
      </c>
    </row>
    <row r="41" spans="1:9">
      <c r="A41">
        <v>13258</v>
      </c>
      <c r="B41">
        <v>1006475</v>
      </c>
      <c r="C41">
        <v>2</v>
      </c>
      <c r="D41" t="s">
        <v>1695</v>
      </c>
      <c r="E41">
        <v>833</v>
      </c>
      <c r="F41" t="s">
        <v>41</v>
      </c>
      <c r="G41" t="s">
        <v>41</v>
      </c>
      <c r="I41" t="s">
        <v>77</v>
      </c>
    </row>
    <row r="42" spans="1:9">
      <c r="A42">
        <v>13659</v>
      </c>
      <c r="B42">
        <v>1006678</v>
      </c>
      <c r="C42">
        <v>1</v>
      </c>
      <c r="D42" t="s">
        <v>1695</v>
      </c>
      <c r="E42">
        <v>1176</v>
      </c>
      <c r="F42" t="s">
        <v>41</v>
      </c>
      <c r="G42" t="s">
        <v>41</v>
      </c>
      <c r="I42" t="s">
        <v>77</v>
      </c>
    </row>
    <row r="43" spans="1:9">
      <c r="A43">
        <v>13660</v>
      </c>
      <c r="B43">
        <v>1006678</v>
      </c>
      <c r="C43">
        <v>2</v>
      </c>
      <c r="D43" t="s">
        <v>1697</v>
      </c>
      <c r="E43">
        <v>588</v>
      </c>
      <c r="F43" t="s">
        <v>41</v>
      </c>
      <c r="G43" t="s">
        <v>41</v>
      </c>
      <c r="I43" t="s">
        <v>77</v>
      </c>
    </row>
    <row r="44" spans="1:9">
      <c r="A44">
        <v>13661</v>
      </c>
      <c r="B44">
        <v>1006678</v>
      </c>
      <c r="C44">
        <v>3</v>
      </c>
      <c r="D44" t="s">
        <v>1697</v>
      </c>
      <c r="E44">
        <v>588</v>
      </c>
      <c r="F44" t="s">
        <v>41</v>
      </c>
      <c r="G44" t="s">
        <v>41</v>
      </c>
      <c r="I44" t="s">
        <v>77</v>
      </c>
    </row>
    <row r="45" spans="1:9">
      <c r="A45">
        <v>13662</v>
      </c>
      <c r="B45">
        <v>1006678</v>
      </c>
      <c r="C45">
        <v>4</v>
      </c>
      <c r="D45" t="s">
        <v>1695</v>
      </c>
      <c r="E45">
        <v>1176</v>
      </c>
      <c r="F45" t="s">
        <v>41</v>
      </c>
      <c r="G45" t="s">
        <v>41</v>
      </c>
      <c r="I45" t="s">
        <v>77</v>
      </c>
    </row>
    <row r="46" spans="1:9">
      <c r="A46">
        <v>13663</v>
      </c>
      <c r="B46">
        <v>1006678</v>
      </c>
      <c r="C46">
        <v>5</v>
      </c>
      <c r="D46" t="s">
        <v>1695</v>
      </c>
      <c r="E46">
        <v>1176</v>
      </c>
      <c r="F46" t="s">
        <v>41</v>
      </c>
      <c r="G46" t="s">
        <v>41</v>
      </c>
      <c r="I46" t="s">
        <v>77</v>
      </c>
    </row>
    <row r="47" spans="1:9">
      <c r="A47">
        <v>13664</v>
      </c>
      <c r="B47">
        <v>1006678</v>
      </c>
      <c r="C47">
        <v>6</v>
      </c>
      <c r="D47" t="s">
        <v>1695</v>
      </c>
      <c r="E47">
        <v>1176</v>
      </c>
      <c r="F47" t="s">
        <v>41</v>
      </c>
      <c r="G47" t="s">
        <v>41</v>
      </c>
      <c r="I47" t="s">
        <v>77</v>
      </c>
    </row>
    <row r="48" spans="1:9">
      <c r="A48">
        <v>13672</v>
      </c>
      <c r="B48">
        <v>1006682</v>
      </c>
      <c r="C48">
        <v>1</v>
      </c>
      <c r="D48" t="s">
        <v>1695</v>
      </c>
      <c r="E48">
        <v>1390</v>
      </c>
      <c r="F48" t="s">
        <v>41</v>
      </c>
      <c r="G48" t="s">
        <v>41</v>
      </c>
      <c r="I48" t="s">
        <v>77</v>
      </c>
    </row>
    <row r="49" spans="1:9">
      <c r="A49">
        <v>13673</v>
      </c>
      <c r="B49">
        <v>1006682</v>
      </c>
      <c r="C49">
        <v>2</v>
      </c>
      <c r="D49" t="s">
        <v>1697</v>
      </c>
      <c r="E49">
        <v>695</v>
      </c>
      <c r="F49" t="s">
        <v>41</v>
      </c>
      <c r="G49" t="s">
        <v>41</v>
      </c>
      <c r="I49" t="s">
        <v>77</v>
      </c>
    </row>
    <row r="50" spans="1:9">
      <c r="A50">
        <v>13674</v>
      </c>
      <c r="B50">
        <v>1006682</v>
      </c>
      <c r="C50">
        <v>3</v>
      </c>
      <c r="D50" t="s">
        <v>1697</v>
      </c>
      <c r="E50">
        <v>695</v>
      </c>
      <c r="F50" t="s">
        <v>41</v>
      </c>
      <c r="G50" t="s">
        <v>41</v>
      </c>
      <c r="I50" t="s">
        <v>77</v>
      </c>
    </row>
    <row r="51" spans="1:9">
      <c r="A51">
        <v>13675</v>
      </c>
      <c r="B51">
        <v>1006682</v>
      </c>
      <c r="C51">
        <v>4</v>
      </c>
      <c r="D51" t="s">
        <v>1695</v>
      </c>
      <c r="E51">
        <v>1390</v>
      </c>
      <c r="F51" t="s">
        <v>41</v>
      </c>
      <c r="G51" t="s">
        <v>41</v>
      </c>
      <c r="I51" t="s">
        <v>77</v>
      </c>
    </row>
    <row r="52" spans="1:9">
      <c r="A52">
        <v>13715</v>
      </c>
      <c r="B52">
        <v>1006706</v>
      </c>
      <c r="C52">
        <v>1</v>
      </c>
      <c r="D52" t="s">
        <v>1695</v>
      </c>
      <c r="E52">
        <v>753</v>
      </c>
      <c r="F52" t="s">
        <v>41</v>
      </c>
      <c r="G52" t="s">
        <v>1699</v>
      </c>
      <c r="H52">
        <v>1069</v>
      </c>
      <c r="I52" t="s">
        <v>77</v>
      </c>
    </row>
    <row r="53" spans="1:9">
      <c r="A53">
        <v>14078</v>
      </c>
      <c r="B53">
        <v>1006886</v>
      </c>
      <c r="C53">
        <v>1</v>
      </c>
      <c r="D53" t="s">
        <v>1695</v>
      </c>
      <c r="E53">
        <v>2429</v>
      </c>
      <c r="F53" t="s">
        <v>41</v>
      </c>
      <c r="G53" t="s">
        <v>41</v>
      </c>
      <c r="I53" t="s">
        <v>77</v>
      </c>
    </row>
    <row r="54" spans="1:9">
      <c r="A54">
        <v>15276</v>
      </c>
      <c r="B54">
        <v>1007455</v>
      </c>
      <c r="C54">
        <v>1</v>
      </c>
      <c r="D54" t="s">
        <v>1695</v>
      </c>
      <c r="E54">
        <v>854</v>
      </c>
      <c r="F54" t="s">
        <v>41</v>
      </c>
      <c r="G54" t="s">
        <v>41</v>
      </c>
      <c r="I54" t="s">
        <v>77</v>
      </c>
    </row>
    <row r="55" spans="1:9">
      <c r="A55">
        <v>15602</v>
      </c>
      <c r="B55">
        <v>1007632</v>
      </c>
      <c r="C55">
        <v>1</v>
      </c>
      <c r="D55" t="s">
        <v>1695</v>
      </c>
      <c r="E55">
        <v>3694</v>
      </c>
      <c r="F55" t="s">
        <v>41</v>
      </c>
      <c r="G55" t="s">
        <v>41</v>
      </c>
      <c r="I55" t="s">
        <v>77</v>
      </c>
    </row>
    <row r="56" spans="1:9">
      <c r="A56">
        <v>15603</v>
      </c>
      <c r="B56">
        <v>1007632</v>
      </c>
      <c r="C56">
        <v>2</v>
      </c>
      <c r="D56" t="s">
        <v>1695</v>
      </c>
      <c r="E56">
        <v>3694</v>
      </c>
      <c r="F56" t="s">
        <v>41</v>
      </c>
      <c r="G56" t="s">
        <v>41</v>
      </c>
      <c r="I56" t="s">
        <v>77</v>
      </c>
    </row>
    <row r="57" spans="1:9">
      <c r="A57">
        <v>15673</v>
      </c>
      <c r="B57">
        <v>1007669</v>
      </c>
      <c r="C57">
        <v>1</v>
      </c>
      <c r="E57">
        <v>2795</v>
      </c>
      <c r="F57" t="s">
        <v>41</v>
      </c>
      <c r="G57" t="s">
        <v>41</v>
      </c>
      <c r="I57" t="s">
        <v>77</v>
      </c>
    </row>
    <row r="58" spans="1:9">
      <c r="A58">
        <v>15674</v>
      </c>
      <c r="B58">
        <v>1007669</v>
      </c>
      <c r="C58">
        <v>2</v>
      </c>
      <c r="D58" t="s">
        <v>1695</v>
      </c>
      <c r="E58">
        <v>2795</v>
      </c>
      <c r="F58" t="s">
        <v>41</v>
      </c>
      <c r="G58" t="s">
        <v>41</v>
      </c>
      <c r="I58" t="s">
        <v>77</v>
      </c>
    </row>
    <row r="59" spans="1:9">
      <c r="A59">
        <v>16793</v>
      </c>
      <c r="B59">
        <v>1008214</v>
      </c>
      <c r="C59">
        <v>1</v>
      </c>
      <c r="D59" t="s">
        <v>1696</v>
      </c>
      <c r="E59">
        <v>501</v>
      </c>
      <c r="F59" t="s">
        <v>41</v>
      </c>
      <c r="G59" t="s">
        <v>41</v>
      </c>
      <c r="I59" t="s">
        <v>77</v>
      </c>
    </row>
    <row r="60" spans="1:9">
      <c r="A60">
        <v>16794</v>
      </c>
      <c r="B60">
        <v>1008214</v>
      </c>
      <c r="C60">
        <v>2</v>
      </c>
      <c r="D60" t="s">
        <v>1695</v>
      </c>
      <c r="E60">
        <v>834</v>
      </c>
      <c r="F60" t="s">
        <v>41</v>
      </c>
      <c r="G60" t="s">
        <v>41</v>
      </c>
      <c r="I60" t="s">
        <v>77</v>
      </c>
    </row>
    <row r="61" spans="1:9">
      <c r="A61">
        <v>16795</v>
      </c>
      <c r="B61">
        <v>1008214</v>
      </c>
      <c r="C61">
        <v>3</v>
      </c>
      <c r="D61" t="s">
        <v>1695</v>
      </c>
      <c r="E61">
        <v>834</v>
      </c>
      <c r="F61" t="s">
        <v>41</v>
      </c>
      <c r="G61" t="s">
        <v>41</v>
      </c>
      <c r="I61" t="s">
        <v>77</v>
      </c>
    </row>
    <row r="62" spans="1:9">
      <c r="A62">
        <v>18053</v>
      </c>
      <c r="B62">
        <v>1008844</v>
      </c>
      <c r="C62">
        <v>1</v>
      </c>
      <c r="D62" t="s">
        <v>1695</v>
      </c>
      <c r="E62">
        <v>834</v>
      </c>
      <c r="F62" t="s">
        <v>41</v>
      </c>
      <c r="G62" t="s">
        <v>41</v>
      </c>
      <c r="I62" t="s">
        <v>77</v>
      </c>
    </row>
    <row r="63" spans="1:9">
      <c r="A63">
        <v>18054</v>
      </c>
      <c r="B63">
        <v>1008844</v>
      </c>
      <c r="C63">
        <v>2</v>
      </c>
      <c r="D63" t="s">
        <v>1695</v>
      </c>
      <c r="E63">
        <v>834</v>
      </c>
      <c r="F63" t="s">
        <v>41</v>
      </c>
      <c r="G63" t="s">
        <v>37</v>
      </c>
      <c r="H63">
        <v>2080</v>
      </c>
      <c r="I63" t="s">
        <v>77</v>
      </c>
    </row>
    <row r="64" spans="1:9">
      <c r="A64">
        <v>18055</v>
      </c>
      <c r="B64">
        <v>1008844</v>
      </c>
      <c r="C64">
        <v>3</v>
      </c>
      <c r="D64" t="s">
        <v>1695</v>
      </c>
      <c r="E64">
        <v>834</v>
      </c>
      <c r="F64" t="s">
        <v>41</v>
      </c>
      <c r="G64" t="s">
        <v>37</v>
      </c>
      <c r="H64">
        <v>2080</v>
      </c>
      <c r="I64" t="s">
        <v>77</v>
      </c>
    </row>
    <row r="65" spans="1:9">
      <c r="A65">
        <v>18092</v>
      </c>
      <c r="B65">
        <v>1008865</v>
      </c>
      <c r="C65">
        <v>1</v>
      </c>
      <c r="D65" t="s">
        <v>1695</v>
      </c>
      <c r="E65">
        <v>3026</v>
      </c>
      <c r="F65" t="s">
        <v>41</v>
      </c>
      <c r="G65" t="s">
        <v>41</v>
      </c>
      <c r="I65" t="s">
        <v>77</v>
      </c>
    </row>
    <row r="66" spans="1:9">
      <c r="A66">
        <v>18529</v>
      </c>
      <c r="B66">
        <v>1009096</v>
      </c>
      <c r="C66">
        <v>1</v>
      </c>
      <c r="D66" t="s">
        <v>1695</v>
      </c>
      <c r="E66">
        <v>4011</v>
      </c>
      <c r="F66" t="s">
        <v>41</v>
      </c>
      <c r="G66" t="s">
        <v>41</v>
      </c>
      <c r="I66" t="s">
        <v>77</v>
      </c>
    </row>
    <row r="67" spans="1:9">
      <c r="A67">
        <v>18530</v>
      </c>
      <c r="B67">
        <v>1009096</v>
      </c>
      <c r="C67">
        <v>2</v>
      </c>
      <c r="D67" t="s">
        <v>1695</v>
      </c>
      <c r="E67">
        <v>4011</v>
      </c>
      <c r="F67" t="s">
        <v>41</v>
      </c>
      <c r="G67" t="s">
        <v>41</v>
      </c>
      <c r="I67" t="s">
        <v>77</v>
      </c>
    </row>
    <row r="68" spans="1:9">
      <c r="A68">
        <v>22226</v>
      </c>
      <c r="B68">
        <v>1010912</v>
      </c>
      <c r="C68">
        <v>1</v>
      </c>
      <c r="D68" t="s">
        <v>1696</v>
      </c>
      <c r="E68">
        <v>452</v>
      </c>
      <c r="F68" t="s">
        <v>49</v>
      </c>
      <c r="G68" t="s">
        <v>49</v>
      </c>
      <c r="H68">
        <v>1514</v>
      </c>
      <c r="I68" t="s">
        <v>77</v>
      </c>
    </row>
    <row r="69" spans="1:9">
      <c r="A69">
        <v>23043</v>
      </c>
      <c r="B69">
        <v>1011314</v>
      </c>
      <c r="C69">
        <v>1</v>
      </c>
      <c r="D69" t="s">
        <v>1695</v>
      </c>
      <c r="E69">
        <v>1731</v>
      </c>
      <c r="F69" t="s">
        <v>41</v>
      </c>
      <c r="G69" t="s">
        <v>37</v>
      </c>
      <c r="H69">
        <v>6520</v>
      </c>
      <c r="I69" t="s">
        <v>77</v>
      </c>
    </row>
    <row r="70" spans="1:9">
      <c r="A70">
        <v>23745</v>
      </c>
      <c r="B70">
        <v>1011658</v>
      </c>
      <c r="C70">
        <v>1</v>
      </c>
      <c r="D70" t="s">
        <v>1695</v>
      </c>
      <c r="E70">
        <v>1379</v>
      </c>
      <c r="F70" t="s">
        <v>41</v>
      </c>
      <c r="G70" t="s">
        <v>41</v>
      </c>
      <c r="I70" t="s">
        <v>77</v>
      </c>
    </row>
    <row r="71" spans="1:9">
      <c r="A71">
        <v>23746</v>
      </c>
      <c r="B71">
        <v>1011658</v>
      </c>
      <c r="C71">
        <v>2</v>
      </c>
      <c r="D71" t="s">
        <v>1695</v>
      </c>
      <c r="E71">
        <v>1379</v>
      </c>
      <c r="F71" t="s">
        <v>41</v>
      </c>
      <c r="G71" t="s">
        <v>41</v>
      </c>
      <c r="I71" t="s">
        <v>77</v>
      </c>
    </row>
    <row r="72" spans="1:9">
      <c r="A72">
        <v>23747</v>
      </c>
      <c r="B72">
        <v>1011658</v>
      </c>
      <c r="C72">
        <v>3</v>
      </c>
      <c r="D72" t="s">
        <v>1695</v>
      </c>
      <c r="E72">
        <v>1379</v>
      </c>
      <c r="F72" t="s">
        <v>41</v>
      </c>
      <c r="G72" t="s">
        <v>41</v>
      </c>
      <c r="I72" t="s">
        <v>77</v>
      </c>
    </row>
    <row r="73" spans="1:9">
      <c r="A73">
        <v>23748</v>
      </c>
      <c r="B73">
        <v>1011658</v>
      </c>
      <c r="C73">
        <v>4</v>
      </c>
      <c r="D73" t="s">
        <v>1695</v>
      </c>
      <c r="E73">
        <v>1379</v>
      </c>
      <c r="F73" t="s">
        <v>41</v>
      </c>
      <c r="G73" t="s">
        <v>41</v>
      </c>
      <c r="I73" t="s">
        <v>77</v>
      </c>
    </row>
    <row r="74" spans="1:9">
      <c r="A74">
        <v>24309</v>
      </c>
      <c r="B74">
        <v>1011942</v>
      </c>
      <c r="C74">
        <v>1</v>
      </c>
      <c r="D74" t="s">
        <v>1695</v>
      </c>
      <c r="E74">
        <v>1008</v>
      </c>
      <c r="F74" t="s">
        <v>41</v>
      </c>
      <c r="G74" t="s">
        <v>41</v>
      </c>
      <c r="I74" t="s">
        <v>77</v>
      </c>
    </row>
    <row r="75" spans="1:9">
      <c r="A75">
        <v>24490</v>
      </c>
      <c r="B75">
        <v>1012042</v>
      </c>
      <c r="C75">
        <v>1</v>
      </c>
      <c r="D75" t="s">
        <v>1695</v>
      </c>
      <c r="E75">
        <v>1390</v>
      </c>
      <c r="F75" t="s">
        <v>41</v>
      </c>
      <c r="G75" t="s">
        <v>41</v>
      </c>
      <c r="I75" t="s">
        <v>77</v>
      </c>
    </row>
    <row r="76" spans="1:9">
      <c r="A76">
        <v>25179</v>
      </c>
      <c r="B76">
        <v>1012374</v>
      </c>
      <c r="C76">
        <v>1</v>
      </c>
      <c r="D76" t="s">
        <v>1695</v>
      </c>
      <c r="E76">
        <v>2130</v>
      </c>
      <c r="F76" t="s">
        <v>41</v>
      </c>
      <c r="G76" t="s">
        <v>37</v>
      </c>
      <c r="H76">
        <v>2515</v>
      </c>
      <c r="I76" t="s">
        <v>77</v>
      </c>
    </row>
    <row r="77" spans="1:9">
      <c r="A77">
        <v>25363</v>
      </c>
      <c r="B77">
        <v>1012464</v>
      </c>
      <c r="C77">
        <v>1</v>
      </c>
      <c r="D77" t="s">
        <v>1695</v>
      </c>
      <c r="E77">
        <v>2402</v>
      </c>
      <c r="F77" t="s">
        <v>47</v>
      </c>
      <c r="G77" t="s">
        <v>47</v>
      </c>
      <c r="I77" t="s">
        <v>77</v>
      </c>
    </row>
    <row r="78" spans="1:9">
      <c r="A78">
        <v>25722</v>
      </c>
      <c r="B78">
        <v>1012655</v>
      </c>
      <c r="C78">
        <v>1</v>
      </c>
      <c r="D78" t="s">
        <v>1695</v>
      </c>
      <c r="E78">
        <v>1049</v>
      </c>
      <c r="F78" t="s">
        <v>133</v>
      </c>
      <c r="G78" t="s">
        <v>41</v>
      </c>
      <c r="I78" t="s">
        <v>77</v>
      </c>
    </row>
    <row r="79" spans="1:9">
      <c r="A79">
        <v>25723</v>
      </c>
      <c r="B79">
        <v>1012655</v>
      </c>
      <c r="C79">
        <v>2</v>
      </c>
      <c r="D79" t="s">
        <v>1695</v>
      </c>
      <c r="E79">
        <v>1049</v>
      </c>
      <c r="F79" t="s">
        <v>41</v>
      </c>
      <c r="G79" t="s">
        <v>41</v>
      </c>
      <c r="I79" t="s">
        <v>77</v>
      </c>
    </row>
    <row r="80" spans="1:9">
      <c r="A80">
        <v>25724</v>
      </c>
      <c r="B80">
        <v>1012655</v>
      </c>
      <c r="C80">
        <v>3</v>
      </c>
      <c r="D80" t="s">
        <v>1696</v>
      </c>
      <c r="E80">
        <v>629</v>
      </c>
      <c r="F80" t="s">
        <v>41</v>
      </c>
      <c r="G80" t="s">
        <v>41</v>
      </c>
      <c r="I80" t="s">
        <v>77</v>
      </c>
    </row>
    <row r="81" spans="1:9">
      <c r="A81">
        <v>25725</v>
      </c>
      <c r="B81">
        <v>1012655</v>
      </c>
      <c r="C81">
        <v>4</v>
      </c>
      <c r="D81" t="s">
        <v>1695</v>
      </c>
      <c r="E81">
        <v>1049</v>
      </c>
      <c r="F81" t="s">
        <v>41</v>
      </c>
      <c r="G81" t="s">
        <v>41</v>
      </c>
      <c r="I81" t="s">
        <v>77</v>
      </c>
    </row>
    <row r="82" spans="1:9">
      <c r="A82">
        <v>25986</v>
      </c>
      <c r="B82">
        <v>1012794</v>
      </c>
      <c r="C82">
        <v>1</v>
      </c>
      <c r="D82" t="s">
        <v>1695</v>
      </c>
      <c r="E82">
        <v>582</v>
      </c>
      <c r="F82" t="s">
        <v>41</v>
      </c>
      <c r="G82" t="s">
        <v>41</v>
      </c>
      <c r="I82" t="s">
        <v>77</v>
      </c>
    </row>
    <row r="83" spans="1:9">
      <c r="A83">
        <v>25987</v>
      </c>
      <c r="B83">
        <v>1012794</v>
      </c>
      <c r="C83">
        <v>2</v>
      </c>
      <c r="D83" t="s">
        <v>1696</v>
      </c>
      <c r="E83">
        <v>349</v>
      </c>
      <c r="F83" t="s">
        <v>41</v>
      </c>
      <c r="G83" t="s">
        <v>41</v>
      </c>
      <c r="I83" t="s">
        <v>77</v>
      </c>
    </row>
    <row r="84" spans="1:9">
      <c r="A84">
        <v>26888</v>
      </c>
      <c r="B84">
        <v>1013233</v>
      </c>
      <c r="C84">
        <v>1</v>
      </c>
      <c r="D84" t="s">
        <v>1695</v>
      </c>
      <c r="E84">
        <v>654</v>
      </c>
      <c r="F84" t="s">
        <v>41</v>
      </c>
      <c r="G84" t="s">
        <v>37</v>
      </c>
      <c r="H84">
        <v>1680</v>
      </c>
      <c r="I84" t="s">
        <v>77</v>
      </c>
    </row>
    <row r="85" spans="1:9">
      <c r="A85">
        <v>26961</v>
      </c>
      <c r="B85">
        <v>1013270</v>
      </c>
      <c r="C85">
        <v>1</v>
      </c>
      <c r="D85" t="s">
        <v>1695</v>
      </c>
      <c r="E85">
        <v>950</v>
      </c>
      <c r="F85" t="s">
        <v>41</v>
      </c>
      <c r="G85" t="s">
        <v>37</v>
      </c>
      <c r="H85">
        <v>1729</v>
      </c>
      <c r="I85" t="s">
        <v>77</v>
      </c>
    </row>
    <row r="86" spans="1:9">
      <c r="A86">
        <v>27417</v>
      </c>
      <c r="B86">
        <v>1013494</v>
      </c>
      <c r="C86">
        <v>1</v>
      </c>
      <c r="D86" t="s">
        <v>1695</v>
      </c>
      <c r="E86">
        <v>804</v>
      </c>
      <c r="F86" t="s">
        <v>41</v>
      </c>
      <c r="G86" t="s">
        <v>41</v>
      </c>
      <c r="I86" t="s">
        <v>77</v>
      </c>
    </row>
    <row r="87" spans="1:9">
      <c r="A87">
        <v>27418</v>
      </c>
      <c r="B87">
        <v>1013494</v>
      </c>
      <c r="C87">
        <v>2</v>
      </c>
      <c r="D87" t="s">
        <v>1696</v>
      </c>
      <c r="E87">
        <v>482</v>
      </c>
      <c r="F87" t="s">
        <v>41</v>
      </c>
      <c r="G87" t="s">
        <v>41</v>
      </c>
      <c r="I87" t="s">
        <v>77</v>
      </c>
    </row>
    <row r="88" spans="1:9">
      <c r="A88">
        <v>27419</v>
      </c>
      <c r="B88">
        <v>1013494</v>
      </c>
      <c r="C88">
        <v>3</v>
      </c>
      <c r="D88" t="s">
        <v>1695</v>
      </c>
      <c r="E88">
        <v>804</v>
      </c>
      <c r="F88" t="s">
        <v>41</v>
      </c>
      <c r="G88" t="s">
        <v>41</v>
      </c>
      <c r="I88" t="s">
        <v>77</v>
      </c>
    </row>
    <row r="89" spans="1:9">
      <c r="A89">
        <v>27422</v>
      </c>
      <c r="B89">
        <v>1013497</v>
      </c>
      <c r="C89">
        <v>1</v>
      </c>
      <c r="D89" t="s">
        <v>1695</v>
      </c>
      <c r="E89">
        <v>2784</v>
      </c>
      <c r="F89" t="s">
        <v>41</v>
      </c>
      <c r="G89" t="s">
        <v>41</v>
      </c>
      <c r="I89" t="s">
        <v>77</v>
      </c>
    </row>
    <row r="90" spans="1:9">
      <c r="A90">
        <v>27423</v>
      </c>
      <c r="B90">
        <v>1013497</v>
      </c>
      <c r="C90">
        <v>2</v>
      </c>
      <c r="D90" t="s">
        <v>1695</v>
      </c>
      <c r="E90">
        <v>2784</v>
      </c>
      <c r="F90" t="s">
        <v>41</v>
      </c>
      <c r="G90" t="s">
        <v>37</v>
      </c>
      <c r="H90">
        <v>2032</v>
      </c>
      <c r="I90" t="s">
        <v>77</v>
      </c>
    </row>
    <row r="91" spans="1:9">
      <c r="A91">
        <v>27897</v>
      </c>
      <c r="B91">
        <v>1013731</v>
      </c>
      <c r="C91">
        <v>1</v>
      </c>
      <c r="D91" t="s">
        <v>1695</v>
      </c>
      <c r="E91">
        <v>1390</v>
      </c>
      <c r="F91" t="s">
        <v>41</v>
      </c>
      <c r="G91" t="s">
        <v>41</v>
      </c>
      <c r="I91" t="s">
        <v>77</v>
      </c>
    </row>
    <row r="92" spans="1:9">
      <c r="A92">
        <v>27898</v>
      </c>
      <c r="B92">
        <v>1013731</v>
      </c>
      <c r="C92">
        <v>2</v>
      </c>
      <c r="D92" t="s">
        <v>1696</v>
      </c>
      <c r="E92">
        <v>834</v>
      </c>
      <c r="F92" t="s">
        <v>41</v>
      </c>
      <c r="G92" t="s">
        <v>41</v>
      </c>
      <c r="I92" t="s">
        <v>77</v>
      </c>
    </row>
    <row r="93" spans="1:9">
      <c r="A93">
        <v>27899</v>
      </c>
      <c r="B93">
        <v>1013731</v>
      </c>
      <c r="C93">
        <v>3</v>
      </c>
      <c r="D93" t="s">
        <v>1695</v>
      </c>
      <c r="E93">
        <v>1390</v>
      </c>
      <c r="F93" t="s">
        <v>41</v>
      </c>
      <c r="G93" t="s">
        <v>41</v>
      </c>
      <c r="I93" t="s">
        <v>77</v>
      </c>
    </row>
    <row r="94" spans="1:9">
      <c r="A94">
        <v>28319</v>
      </c>
      <c r="B94">
        <v>1013942</v>
      </c>
      <c r="C94">
        <v>1</v>
      </c>
      <c r="D94" t="s">
        <v>1696</v>
      </c>
      <c r="E94">
        <v>1358</v>
      </c>
      <c r="F94" t="s">
        <v>41</v>
      </c>
      <c r="G94" t="s">
        <v>41</v>
      </c>
      <c r="I94" t="s">
        <v>77</v>
      </c>
    </row>
    <row r="95" spans="1:9">
      <c r="A95">
        <v>28509</v>
      </c>
      <c r="B95">
        <v>1014041</v>
      </c>
      <c r="C95">
        <v>1</v>
      </c>
      <c r="D95" t="s">
        <v>1695</v>
      </c>
      <c r="E95">
        <v>1212</v>
      </c>
      <c r="F95" t="s">
        <v>41</v>
      </c>
      <c r="G95" t="s">
        <v>37</v>
      </c>
      <c r="H95">
        <v>1828</v>
      </c>
      <c r="I95" t="s">
        <v>77</v>
      </c>
    </row>
    <row r="96" spans="1:9">
      <c r="A96">
        <v>28510</v>
      </c>
      <c r="B96">
        <v>1014041</v>
      </c>
      <c r="C96">
        <v>2</v>
      </c>
      <c r="D96" t="s">
        <v>1695</v>
      </c>
      <c r="E96">
        <v>1212</v>
      </c>
      <c r="F96" t="s">
        <v>41</v>
      </c>
      <c r="G96" t="s">
        <v>37</v>
      </c>
      <c r="H96">
        <v>1828</v>
      </c>
      <c r="I96" t="s">
        <v>77</v>
      </c>
    </row>
    <row r="97" spans="1:9">
      <c r="A97">
        <v>30557</v>
      </c>
      <c r="B97">
        <v>1015068</v>
      </c>
      <c r="C97">
        <v>1</v>
      </c>
      <c r="D97" t="s">
        <v>1695</v>
      </c>
      <c r="E97">
        <v>668</v>
      </c>
      <c r="F97" t="s">
        <v>41</v>
      </c>
      <c r="G97" t="s">
        <v>41</v>
      </c>
      <c r="I97" t="s">
        <v>77</v>
      </c>
    </row>
    <row r="98" spans="1:9">
      <c r="A98">
        <v>30798</v>
      </c>
      <c r="B98">
        <v>1015189</v>
      </c>
      <c r="C98">
        <v>1</v>
      </c>
      <c r="D98" t="s">
        <v>1695</v>
      </c>
      <c r="E98">
        <v>4142</v>
      </c>
      <c r="F98" t="s">
        <v>41</v>
      </c>
      <c r="G98" t="s">
        <v>41</v>
      </c>
      <c r="I98" t="s">
        <v>77</v>
      </c>
    </row>
    <row r="99" spans="1:9">
      <c r="A99">
        <v>30799</v>
      </c>
      <c r="B99">
        <v>1015189</v>
      </c>
      <c r="C99">
        <v>2</v>
      </c>
      <c r="D99" t="s">
        <v>1695</v>
      </c>
      <c r="E99">
        <v>4142</v>
      </c>
      <c r="F99" t="s">
        <v>41</v>
      </c>
      <c r="G99" t="s">
        <v>41</v>
      </c>
      <c r="I99" t="s">
        <v>77</v>
      </c>
    </row>
    <row r="100" spans="1:9">
      <c r="A100">
        <v>30800</v>
      </c>
      <c r="B100">
        <v>1015189</v>
      </c>
      <c r="C100">
        <v>3</v>
      </c>
      <c r="D100" t="s">
        <v>1697</v>
      </c>
      <c r="E100">
        <v>2071</v>
      </c>
      <c r="F100" t="s">
        <v>41</v>
      </c>
      <c r="G100" t="s">
        <v>41</v>
      </c>
      <c r="I100" t="s">
        <v>77</v>
      </c>
    </row>
    <row r="101" spans="1:9">
      <c r="A101">
        <v>30964</v>
      </c>
      <c r="B101">
        <v>1015275</v>
      </c>
      <c r="C101">
        <v>1</v>
      </c>
      <c r="D101" t="s">
        <v>1695</v>
      </c>
      <c r="E101">
        <v>4198</v>
      </c>
      <c r="F101" t="s">
        <v>41</v>
      </c>
      <c r="G101" t="s">
        <v>37</v>
      </c>
      <c r="H101">
        <v>4488</v>
      </c>
      <c r="I101" t="s">
        <v>77</v>
      </c>
    </row>
    <row r="102" spans="1:9">
      <c r="A102">
        <v>30965</v>
      </c>
      <c r="B102">
        <v>1015275</v>
      </c>
      <c r="C102">
        <v>2</v>
      </c>
      <c r="D102" t="s">
        <v>1697</v>
      </c>
      <c r="E102">
        <v>2099</v>
      </c>
      <c r="F102" t="s">
        <v>41</v>
      </c>
      <c r="G102" t="s">
        <v>37</v>
      </c>
      <c r="H102">
        <v>4488</v>
      </c>
      <c r="I102" t="s">
        <v>77</v>
      </c>
    </row>
    <row r="103" spans="1:9">
      <c r="A103">
        <v>31307</v>
      </c>
      <c r="B103">
        <v>1015447</v>
      </c>
      <c r="C103">
        <v>1</v>
      </c>
      <c r="D103" t="s">
        <v>1695</v>
      </c>
      <c r="E103">
        <v>1212</v>
      </c>
      <c r="F103" t="s">
        <v>41</v>
      </c>
      <c r="G103" t="s">
        <v>37</v>
      </c>
      <c r="H103">
        <v>1950</v>
      </c>
      <c r="I103" t="s">
        <v>77</v>
      </c>
    </row>
    <row r="104" spans="1:9">
      <c r="A104">
        <v>31308</v>
      </c>
      <c r="B104">
        <v>1015447</v>
      </c>
      <c r="C104">
        <v>2</v>
      </c>
      <c r="D104" t="s">
        <v>1695</v>
      </c>
      <c r="E104">
        <v>1212</v>
      </c>
      <c r="F104" t="s">
        <v>41</v>
      </c>
      <c r="G104" t="s">
        <v>41</v>
      </c>
      <c r="I104" t="s">
        <v>77</v>
      </c>
    </row>
    <row r="105" spans="1:9">
      <c r="A105">
        <v>31309</v>
      </c>
      <c r="B105">
        <v>1015447</v>
      </c>
      <c r="C105">
        <v>3</v>
      </c>
      <c r="D105" t="s">
        <v>1695</v>
      </c>
      <c r="E105">
        <v>1212</v>
      </c>
      <c r="F105" t="s">
        <v>41</v>
      </c>
      <c r="G105" t="s">
        <v>41</v>
      </c>
      <c r="I105" t="s">
        <v>77</v>
      </c>
    </row>
    <row r="106" spans="1:9">
      <c r="A106">
        <v>31957</v>
      </c>
      <c r="B106">
        <v>1015771</v>
      </c>
      <c r="C106">
        <v>1</v>
      </c>
      <c r="D106" t="s">
        <v>1695</v>
      </c>
      <c r="E106">
        <v>3219</v>
      </c>
      <c r="F106" t="s">
        <v>41</v>
      </c>
      <c r="G106" t="s">
        <v>41</v>
      </c>
      <c r="I106" t="s">
        <v>77</v>
      </c>
    </row>
    <row r="107" spans="1:9">
      <c r="A107">
        <v>31958</v>
      </c>
      <c r="B107">
        <v>1015771</v>
      </c>
      <c r="C107">
        <v>2</v>
      </c>
      <c r="D107" t="s">
        <v>1695</v>
      </c>
      <c r="E107">
        <v>3219</v>
      </c>
      <c r="F107" t="s">
        <v>41</v>
      </c>
      <c r="G107" t="s">
        <v>41</v>
      </c>
      <c r="I107" t="s">
        <v>77</v>
      </c>
    </row>
    <row r="108" spans="1:9">
      <c r="A108">
        <v>31995</v>
      </c>
      <c r="B108">
        <v>1015789</v>
      </c>
      <c r="C108">
        <v>1</v>
      </c>
      <c r="D108" t="s">
        <v>1695</v>
      </c>
      <c r="E108">
        <v>1854</v>
      </c>
      <c r="F108" t="s">
        <v>41</v>
      </c>
      <c r="G108" t="s">
        <v>41</v>
      </c>
      <c r="I108" t="s">
        <v>77</v>
      </c>
    </row>
    <row r="109" spans="1:9">
      <c r="A109">
        <v>31996</v>
      </c>
      <c r="B109">
        <v>1015789</v>
      </c>
      <c r="C109">
        <v>2</v>
      </c>
      <c r="D109" t="s">
        <v>1695</v>
      </c>
      <c r="E109">
        <v>1854</v>
      </c>
      <c r="F109" t="s">
        <v>41</v>
      </c>
      <c r="G109" t="s">
        <v>41</v>
      </c>
      <c r="I109" t="s">
        <v>77</v>
      </c>
    </row>
    <row r="110" spans="1:9">
      <c r="A110">
        <v>31997</v>
      </c>
      <c r="B110">
        <v>1015789</v>
      </c>
      <c r="C110">
        <v>3</v>
      </c>
      <c r="D110" t="s">
        <v>1696</v>
      </c>
      <c r="E110">
        <v>1113</v>
      </c>
      <c r="F110" t="s">
        <v>41</v>
      </c>
      <c r="G110" t="s">
        <v>41</v>
      </c>
      <c r="I110" t="s">
        <v>77</v>
      </c>
    </row>
    <row r="111" spans="1:9">
      <c r="A111">
        <v>31998</v>
      </c>
      <c r="B111">
        <v>1015789</v>
      </c>
      <c r="C111">
        <v>4</v>
      </c>
      <c r="D111" t="s">
        <v>1696</v>
      </c>
      <c r="E111">
        <v>1113</v>
      </c>
      <c r="F111" t="s">
        <v>41</v>
      </c>
      <c r="G111" t="s">
        <v>41</v>
      </c>
      <c r="I111" t="s">
        <v>77</v>
      </c>
    </row>
    <row r="112" spans="1:9">
      <c r="A112">
        <v>32076</v>
      </c>
      <c r="B112">
        <v>1015827</v>
      </c>
      <c r="C112">
        <v>1</v>
      </c>
      <c r="D112" t="s">
        <v>1695</v>
      </c>
      <c r="E112">
        <v>2211</v>
      </c>
      <c r="F112" t="s">
        <v>41</v>
      </c>
      <c r="G112" t="s">
        <v>41</v>
      </c>
      <c r="I112" t="s">
        <v>77</v>
      </c>
    </row>
    <row r="113" spans="1:9">
      <c r="A113">
        <v>33872</v>
      </c>
      <c r="B113">
        <v>1016727</v>
      </c>
      <c r="C113">
        <v>1</v>
      </c>
      <c r="D113" t="s">
        <v>1696</v>
      </c>
      <c r="E113">
        <v>549</v>
      </c>
      <c r="F113" t="s">
        <v>41</v>
      </c>
      <c r="G113" t="s">
        <v>41</v>
      </c>
      <c r="I113" t="s">
        <v>77</v>
      </c>
    </row>
    <row r="114" spans="1:9">
      <c r="A114">
        <v>34059</v>
      </c>
      <c r="B114">
        <v>1016823</v>
      </c>
      <c r="C114">
        <v>1</v>
      </c>
      <c r="D114" t="s">
        <v>1695</v>
      </c>
      <c r="E114">
        <v>3302</v>
      </c>
      <c r="F114" t="s">
        <v>41</v>
      </c>
      <c r="G114" t="s">
        <v>41</v>
      </c>
      <c r="I114" t="s">
        <v>77</v>
      </c>
    </row>
    <row r="115" spans="1:9">
      <c r="A115">
        <v>34060</v>
      </c>
      <c r="B115">
        <v>1016823</v>
      </c>
      <c r="C115">
        <v>2</v>
      </c>
      <c r="D115" t="s">
        <v>1695</v>
      </c>
      <c r="E115">
        <v>3302</v>
      </c>
      <c r="F115" t="s">
        <v>41</v>
      </c>
      <c r="G115" t="s">
        <v>41</v>
      </c>
      <c r="I115" t="s">
        <v>77</v>
      </c>
    </row>
    <row r="116" spans="1:9">
      <c r="A116">
        <v>34695</v>
      </c>
      <c r="B116">
        <v>1017132</v>
      </c>
      <c r="C116">
        <v>1</v>
      </c>
      <c r="D116" t="s">
        <v>1696</v>
      </c>
      <c r="E116">
        <v>570</v>
      </c>
      <c r="F116" t="s">
        <v>41</v>
      </c>
      <c r="G116" t="s">
        <v>41</v>
      </c>
      <c r="I116" t="s">
        <v>77</v>
      </c>
    </row>
    <row r="117" spans="1:9">
      <c r="A117">
        <v>35024</v>
      </c>
      <c r="B117">
        <v>1017303</v>
      </c>
      <c r="C117">
        <v>1</v>
      </c>
      <c r="D117" t="s">
        <v>1695</v>
      </c>
      <c r="E117">
        <v>3123</v>
      </c>
      <c r="F117" t="s">
        <v>41</v>
      </c>
      <c r="G117" t="s">
        <v>41</v>
      </c>
      <c r="I117" t="s">
        <v>77</v>
      </c>
    </row>
    <row r="118" spans="1:9">
      <c r="A118">
        <v>35025</v>
      </c>
      <c r="B118">
        <v>1017303</v>
      </c>
      <c r="C118">
        <v>2</v>
      </c>
      <c r="D118" t="s">
        <v>1695</v>
      </c>
      <c r="E118">
        <v>3123</v>
      </c>
      <c r="F118" t="s">
        <v>41</v>
      </c>
      <c r="G118" t="s">
        <v>41</v>
      </c>
      <c r="I118" t="s">
        <v>77</v>
      </c>
    </row>
    <row r="119" spans="1:9">
      <c r="A119">
        <v>35026</v>
      </c>
      <c r="B119">
        <v>1017303</v>
      </c>
      <c r="C119">
        <v>3</v>
      </c>
      <c r="D119" t="s">
        <v>1695</v>
      </c>
      <c r="E119">
        <v>3123</v>
      </c>
      <c r="F119" t="s">
        <v>41</v>
      </c>
      <c r="G119" t="s">
        <v>41</v>
      </c>
      <c r="I119" t="s">
        <v>77</v>
      </c>
    </row>
    <row r="120" spans="1:9">
      <c r="A120">
        <v>35027</v>
      </c>
      <c r="B120">
        <v>1017303</v>
      </c>
      <c r="C120">
        <v>4</v>
      </c>
      <c r="D120" t="s">
        <v>1695</v>
      </c>
      <c r="E120">
        <v>3123</v>
      </c>
      <c r="F120" t="s">
        <v>41</v>
      </c>
      <c r="G120" t="s">
        <v>41</v>
      </c>
      <c r="I120" t="s">
        <v>77</v>
      </c>
    </row>
    <row r="121" spans="1:9">
      <c r="A121">
        <v>35311</v>
      </c>
      <c r="B121">
        <v>1017459</v>
      </c>
      <c r="C121">
        <v>1</v>
      </c>
      <c r="D121" t="s">
        <v>1695</v>
      </c>
      <c r="E121">
        <v>3142</v>
      </c>
      <c r="F121" t="s">
        <v>41</v>
      </c>
      <c r="G121" t="s">
        <v>41</v>
      </c>
      <c r="I121" t="s">
        <v>77</v>
      </c>
    </row>
    <row r="122" spans="1:9">
      <c r="A122">
        <v>35565</v>
      </c>
      <c r="B122">
        <v>1017579</v>
      </c>
      <c r="C122">
        <v>1</v>
      </c>
      <c r="D122" t="s">
        <v>1695</v>
      </c>
      <c r="E122">
        <v>762</v>
      </c>
      <c r="F122" t="s">
        <v>41</v>
      </c>
      <c r="G122" t="s">
        <v>41</v>
      </c>
      <c r="I122" t="s">
        <v>77</v>
      </c>
    </row>
    <row r="123" spans="1:9">
      <c r="A123">
        <v>35566</v>
      </c>
      <c r="B123">
        <v>1017579</v>
      </c>
      <c r="C123">
        <v>2</v>
      </c>
      <c r="D123" t="s">
        <v>1696</v>
      </c>
      <c r="E123">
        <v>457</v>
      </c>
      <c r="F123" t="s">
        <v>41</v>
      </c>
      <c r="G123" t="s">
        <v>41</v>
      </c>
      <c r="I123" t="s">
        <v>77</v>
      </c>
    </row>
    <row r="124" spans="1:9">
      <c r="A124">
        <v>35567</v>
      </c>
      <c r="B124">
        <v>1017579</v>
      </c>
      <c r="C124">
        <v>3</v>
      </c>
      <c r="D124" t="s">
        <v>1695</v>
      </c>
      <c r="E124">
        <v>762</v>
      </c>
      <c r="F124" t="s">
        <v>41</v>
      </c>
      <c r="G124" t="s">
        <v>41</v>
      </c>
      <c r="I124" t="s">
        <v>77</v>
      </c>
    </row>
    <row r="125" spans="1:9">
      <c r="A125">
        <v>35590</v>
      </c>
      <c r="B125">
        <v>1017595</v>
      </c>
      <c r="C125">
        <v>1</v>
      </c>
      <c r="D125" t="s">
        <v>1695</v>
      </c>
      <c r="E125">
        <v>582</v>
      </c>
      <c r="F125" t="s">
        <v>41</v>
      </c>
      <c r="G125" t="s">
        <v>41</v>
      </c>
      <c r="I125" t="s">
        <v>77</v>
      </c>
    </row>
    <row r="126" spans="1:9">
      <c r="A126">
        <v>35591</v>
      </c>
      <c r="B126">
        <v>1017595</v>
      </c>
      <c r="C126">
        <v>2</v>
      </c>
      <c r="D126" t="s">
        <v>1696</v>
      </c>
      <c r="E126">
        <v>349</v>
      </c>
      <c r="F126" t="s">
        <v>41</v>
      </c>
      <c r="G126" t="s">
        <v>41</v>
      </c>
      <c r="I126" t="s">
        <v>77</v>
      </c>
    </row>
    <row r="127" spans="1:9">
      <c r="A127">
        <v>35592</v>
      </c>
      <c r="B127">
        <v>1017595</v>
      </c>
      <c r="C127">
        <v>3</v>
      </c>
      <c r="D127" t="s">
        <v>1695</v>
      </c>
      <c r="E127">
        <v>582</v>
      </c>
      <c r="F127" t="s">
        <v>41</v>
      </c>
      <c r="G127" t="s">
        <v>41</v>
      </c>
      <c r="I127" t="s">
        <v>77</v>
      </c>
    </row>
    <row r="128" spans="1:9">
      <c r="A128">
        <v>35593</v>
      </c>
      <c r="B128">
        <v>1017595</v>
      </c>
      <c r="C128">
        <v>4</v>
      </c>
      <c r="D128" t="s">
        <v>1695</v>
      </c>
      <c r="E128">
        <v>582</v>
      </c>
      <c r="F128" t="s">
        <v>41</v>
      </c>
      <c r="G128" t="s">
        <v>41</v>
      </c>
      <c r="I128" t="s">
        <v>77</v>
      </c>
    </row>
    <row r="129" spans="1:9">
      <c r="A129">
        <v>37215</v>
      </c>
      <c r="B129">
        <v>1018391</v>
      </c>
      <c r="C129">
        <v>1</v>
      </c>
      <c r="D129" t="s">
        <v>1695</v>
      </c>
      <c r="E129">
        <v>2429</v>
      </c>
      <c r="F129" t="s">
        <v>41</v>
      </c>
      <c r="G129" t="s">
        <v>41</v>
      </c>
      <c r="I129" t="s">
        <v>77</v>
      </c>
    </row>
    <row r="130" spans="1:9">
      <c r="A130">
        <v>37216</v>
      </c>
      <c r="B130">
        <v>1018391</v>
      </c>
      <c r="C130">
        <v>2</v>
      </c>
      <c r="D130" t="s">
        <v>1695</v>
      </c>
      <c r="E130">
        <v>2429</v>
      </c>
      <c r="F130" t="s">
        <v>41</v>
      </c>
      <c r="G130" t="s">
        <v>41</v>
      </c>
      <c r="I130" t="s">
        <v>77</v>
      </c>
    </row>
    <row r="131" spans="1:9">
      <c r="A131">
        <v>37217</v>
      </c>
      <c r="B131">
        <v>1018391</v>
      </c>
      <c r="C131">
        <v>3</v>
      </c>
      <c r="D131" t="s">
        <v>1696</v>
      </c>
      <c r="E131">
        <v>1457</v>
      </c>
      <c r="F131" t="s">
        <v>41</v>
      </c>
      <c r="G131" t="s">
        <v>41</v>
      </c>
      <c r="I131" t="s">
        <v>77</v>
      </c>
    </row>
    <row r="132" spans="1:9">
      <c r="A132">
        <v>37218</v>
      </c>
      <c r="B132">
        <v>1018391</v>
      </c>
      <c r="C132">
        <v>4</v>
      </c>
      <c r="D132" t="s">
        <v>1695</v>
      </c>
      <c r="E132">
        <v>2429</v>
      </c>
      <c r="F132" t="s">
        <v>41</v>
      </c>
      <c r="G132" t="s">
        <v>41</v>
      </c>
      <c r="I132" t="s">
        <v>77</v>
      </c>
    </row>
    <row r="133" spans="1:9">
      <c r="A133">
        <v>37219</v>
      </c>
      <c r="B133">
        <v>1018391</v>
      </c>
      <c r="C133">
        <v>5</v>
      </c>
      <c r="D133" t="s">
        <v>1695</v>
      </c>
      <c r="E133">
        <v>2429</v>
      </c>
      <c r="F133" t="s">
        <v>41</v>
      </c>
      <c r="G133" t="s">
        <v>41</v>
      </c>
      <c r="I133" t="s">
        <v>77</v>
      </c>
    </row>
    <row r="134" spans="1:9">
      <c r="A134">
        <v>38789</v>
      </c>
      <c r="B134">
        <v>1019199</v>
      </c>
      <c r="C134">
        <v>1</v>
      </c>
      <c r="D134" t="s">
        <v>1696</v>
      </c>
      <c r="E134">
        <v>948</v>
      </c>
      <c r="F134" t="s">
        <v>49</v>
      </c>
      <c r="G134" t="s">
        <v>49</v>
      </c>
      <c r="H134">
        <v>3517</v>
      </c>
      <c r="I134" t="s">
        <v>77</v>
      </c>
    </row>
    <row r="135" spans="1:9">
      <c r="A135">
        <v>38790</v>
      </c>
      <c r="B135">
        <v>1019199</v>
      </c>
      <c r="C135">
        <v>2</v>
      </c>
      <c r="D135" t="s">
        <v>1695</v>
      </c>
      <c r="E135">
        <v>1579</v>
      </c>
      <c r="F135" t="s">
        <v>49</v>
      </c>
      <c r="G135" t="s">
        <v>49</v>
      </c>
      <c r="H135">
        <v>3517</v>
      </c>
      <c r="I135" t="s">
        <v>77</v>
      </c>
    </row>
    <row r="136" spans="1:9">
      <c r="A136">
        <v>38791</v>
      </c>
      <c r="B136">
        <v>1019199</v>
      </c>
      <c r="C136">
        <v>3</v>
      </c>
      <c r="D136" t="s">
        <v>1695</v>
      </c>
      <c r="E136">
        <v>1579</v>
      </c>
      <c r="F136" t="s">
        <v>49</v>
      </c>
      <c r="G136" t="s">
        <v>49</v>
      </c>
      <c r="H136">
        <v>3517</v>
      </c>
      <c r="I136" t="s">
        <v>77</v>
      </c>
    </row>
    <row r="137" spans="1:9">
      <c r="A137">
        <v>40321</v>
      </c>
      <c r="B137">
        <v>1019981</v>
      </c>
      <c r="C137">
        <v>1</v>
      </c>
      <c r="D137" t="s">
        <v>1695</v>
      </c>
      <c r="E137">
        <v>1087</v>
      </c>
      <c r="F137" t="s">
        <v>41</v>
      </c>
      <c r="G137" t="s">
        <v>41</v>
      </c>
      <c r="I137" t="s">
        <v>77</v>
      </c>
    </row>
    <row r="138" spans="1:9">
      <c r="A138">
        <v>40322</v>
      </c>
      <c r="B138">
        <v>1019981</v>
      </c>
      <c r="C138">
        <v>2</v>
      </c>
      <c r="D138" t="s">
        <v>1695</v>
      </c>
      <c r="E138">
        <v>1087</v>
      </c>
      <c r="F138" t="s">
        <v>41</v>
      </c>
      <c r="G138" t="s">
        <v>41</v>
      </c>
      <c r="I138" t="s">
        <v>77</v>
      </c>
    </row>
    <row r="139" spans="1:9">
      <c r="A139">
        <v>41307</v>
      </c>
      <c r="B139">
        <v>1020492</v>
      </c>
      <c r="C139">
        <v>1</v>
      </c>
      <c r="E139">
        <v>1049</v>
      </c>
      <c r="F139" t="s">
        <v>47</v>
      </c>
      <c r="G139" t="s">
        <v>47</v>
      </c>
      <c r="I139" t="s">
        <v>77</v>
      </c>
    </row>
    <row r="140" spans="1:9">
      <c r="A140">
        <v>41308</v>
      </c>
      <c r="B140">
        <v>1020492</v>
      </c>
      <c r="C140">
        <v>2</v>
      </c>
      <c r="D140" t="s">
        <v>1695</v>
      </c>
      <c r="E140">
        <v>1049</v>
      </c>
      <c r="F140" t="s">
        <v>47</v>
      </c>
      <c r="G140" t="s">
        <v>47</v>
      </c>
      <c r="I140" t="s">
        <v>77</v>
      </c>
    </row>
    <row r="141" spans="1:9">
      <c r="A141">
        <v>42344</v>
      </c>
      <c r="B141">
        <v>1020992</v>
      </c>
      <c r="C141">
        <v>1</v>
      </c>
      <c r="D141" t="s">
        <v>1695</v>
      </c>
      <c r="E141">
        <v>3615</v>
      </c>
      <c r="F141" t="s">
        <v>41</v>
      </c>
      <c r="G141" t="s">
        <v>41</v>
      </c>
      <c r="I141" t="s">
        <v>77</v>
      </c>
    </row>
    <row r="142" spans="1:9">
      <c r="A142">
        <v>42345</v>
      </c>
      <c r="B142">
        <v>1020992</v>
      </c>
      <c r="C142">
        <v>2</v>
      </c>
      <c r="D142" t="s">
        <v>1695</v>
      </c>
      <c r="E142">
        <v>3615</v>
      </c>
      <c r="F142" t="s">
        <v>41</v>
      </c>
      <c r="G142" t="s">
        <v>41</v>
      </c>
      <c r="I142" t="s">
        <v>77</v>
      </c>
    </row>
    <row r="143" spans="1:9">
      <c r="A143">
        <v>42383</v>
      </c>
      <c r="B143">
        <v>1021010</v>
      </c>
      <c r="C143">
        <v>1</v>
      </c>
      <c r="D143" t="s">
        <v>1695</v>
      </c>
      <c r="E143">
        <v>753</v>
      </c>
      <c r="F143" t="s">
        <v>41</v>
      </c>
      <c r="G143" t="s">
        <v>37</v>
      </c>
      <c r="H143">
        <v>4052</v>
      </c>
      <c r="I143" t="s">
        <v>77</v>
      </c>
    </row>
    <row r="144" spans="1:9">
      <c r="A144">
        <v>42498</v>
      </c>
      <c r="B144">
        <v>1021072</v>
      </c>
      <c r="C144">
        <v>1</v>
      </c>
      <c r="D144" t="s">
        <v>1695</v>
      </c>
      <c r="E144">
        <v>2520</v>
      </c>
      <c r="F144" t="s">
        <v>41</v>
      </c>
      <c r="G144" t="s">
        <v>41</v>
      </c>
      <c r="I144" t="s">
        <v>77</v>
      </c>
    </row>
    <row r="145" spans="1:9">
      <c r="A145">
        <v>42499</v>
      </c>
      <c r="B145">
        <v>1021072</v>
      </c>
      <c r="C145">
        <v>2</v>
      </c>
      <c r="D145" t="s">
        <v>1695</v>
      </c>
      <c r="E145">
        <v>2520</v>
      </c>
      <c r="F145" t="s">
        <v>41</v>
      </c>
      <c r="G145" t="s">
        <v>41</v>
      </c>
      <c r="I145" t="s">
        <v>77</v>
      </c>
    </row>
    <row r="146" spans="1:9">
      <c r="A146">
        <v>43214</v>
      </c>
      <c r="B146">
        <v>1021441</v>
      </c>
      <c r="C146">
        <v>1</v>
      </c>
      <c r="D146" t="s">
        <v>1695</v>
      </c>
      <c r="E146">
        <v>654</v>
      </c>
      <c r="F146" t="s">
        <v>41</v>
      </c>
      <c r="G146" t="s">
        <v>41</v>
      </c>
      <c r="I146" t="s">
        <v>77</v>
      </c>
    </row>
    <row r="147" spans="1:9">
      <c r="A147">
        <v>43215</v>
      </c>
      <c r="B147">
        <v>1021441</v>
      </c>
      <c r="C147">
        <v>2</v>
      </c>
      <c r="D147" t="s">
        <v>1695</v>
      </c>
      <c r="E147">
        <v>654</v>
      </c>
      <c r="F147" t="s">
        <v>41</v>
      </c>
      <c r="G147" t="s">
        <v>41</v>
      </c>
      <c r="I147" t="s">
        <v>77</v>
      </c>
    </row>
    <row r="148" spans="1:9">
      <c r="A148">
        <v>43216</v>
      </c>
      <c r="B148">
        <v>1021441</v>
      </c>
      <c r="C148">
        <v>3</v>
      </c>
      <c r="D148" t="s">
        <v>1695</v>
      </c>
      <c r="E148">
        <v>654</v>
      </c>
      <c r="F148" t="s">
        <v>41</v>
      </c>
      <c r="G148" t="s">
        <v>41</v>
      </c>
      <c r="I148" t="s">
        <v>77</v>
      </c>
    </row>
    <row r="149" spans="1:9">
      <c r="A149">
        <v>43217</v>
      </c>
      <c r="B149">
        <v>1021441</v>
      </c>
      <c r="C149">
        <v>4</v>
      </c>
      <c r="D149" t="s">
        <v>1696</v>
      </c>
      <c r="E149">
        <v>393</v>
      </c>
      <c r="F149" t="s">
        <v>41</v>
      </c>
      <c r="G149" t="s">
        <v>41</v>
      </c>
      <c r="I149" t="s">
        <v>77</v>
      </c>
    </row>
    <row r="150" spans="1:9">
      <c r="A150">
        <v>43218</v>
      </c>
      <c r="B150">
        <v>1021441</v>
      </c>
      <c r="C150">
        <v>5</v>
      </c>
      <c r="D150" t="s">
        <v>1695</v>
      </c>
      <c r="E150">
        <v>654</v>
      </c>
      <c r="F150" t="s">
        <v>41</v>
      </c>
      <c r="G150" t="s">
        <v>41</v>
      </c>
      <c r="I150" t="s">
        <v>77</v>
      </c>
    </row>
    <row r="151" spans="1:9">
      <c r="A151">
        <v>43219</v>
      </c>
      <c r="B151">
        <v>1021441</v>
      </c>
      <c r="C151">
        <v>6</v>
      </c>
      <c r="D151" t="s">
        <v>1695</v>
      </c>
      <c r="E151">
        <v>654</v>
      </c>
      <c r="F151" t="s">
        <v>41</v>
      </c>
      <c r="G151" t="s">
        <v>41</v>
      </c>
      <c r="I151" t="s">
        <v>77</v>
      </c>
    </row>
    <row r="152" spans="1:9">
      <c r="A152">
        <v>44065</v>
      </c>
      <c r="B152">
        <v>1021854</v>
      </c>
      <c r="C152">
        <v>1</v>
      </c>
      <c r="D152" t="s">
        <v>1695</v>
      </c>
      <c r="E152">
        <v>5303</v>
      </c>
      <c r="F152" t="s">
        <v>41</v>
      </c>
      <c r="G152" t="s">
        <v>41</v>
      </c>
      <c r="I152" t="s">
        <v>77</v>
      </c>
    </row>
    <row r="153" spans="1:9">
      <c r="A153">
        <v>44066</v>
      </c>
      <c r="B153">
        <v>1021854</v>
      </c>
      <c r="C153">
        <v>2</v>
      </c>
      <c r="D153" t="s">
        <v>1695</v>
      </c>
      <c r="E153">
        <v>5303</v>
      </c>
      <c r="F153" t="s">
        <v>41</v>
      </c>
      <c r="G153" t="s">
        <v>41</v>
      </c>
      <c r="I153" t="s">
        <v>77</v>
      </c>
    </row>
    <row r="154" spans="1:9">
      <c r="A154">
        <v>44229</v>
      </c>
      <c r="B154">
        <v>1021946</v>
      </c>
      <c r="C154">
        <v>1</v>
      </c>
      <c r="D154" t="s">
        <v>1695</v>
      </c>
      <c r="E154">
        <v>1087</v>
      </c>
      <c r="F154" t="s">
        <v>47</v>
      </c>
      <c r="G154" t="s">
        <v>37</v>
      </c>
      <c r="H154">
        <v>3743</v>
      </c>
      <c r="I154" t="s">
        <v>77</v>
      </c>
    </row>
    <row r="155" spans="1:9">
      <c r="A155">
        <v>44230</v>
      </c>
      <c r="B155">
        <v>1021946</v>
      </c>
      <c r="C155">
        <v>2</v>
      </c>
      <c r="D155" t="s">
        <v>1695</v>
      </c>
      <c r="E155">
        <v>1087</v>
      </c>
      <c r="F155" t="s">
        <v>47</v>
      </c>
      <c r="G155" t="s">
        <v>37</v>
      </c>
      <c r="H155">
        <v>3743</v>
      </c>
      <c r="I155" t="s">
        <v>77</v>
      </c>
    </row>
    <row r="156" spans="1:9">
      <c r="A156">
        <v>44706</v>
      </c>
      <c r="B156">
        <v>1022190</v>
      </c>
      <c r="C156">
        <v>1</v>
      </c>
      <c r="D156" t="s">
        <v>1695</v>
      </c>
      <c r="E156">
        <v>-916</v>
      </c>
      <c r="F156" t="s">
        <v>49</v>
      </c>
      <c r="G156" t="s">
        <v>49</v>
      </c>
      <c r="H156">
        <v>3717</v>
      </c>
      <c r="I156" t="s">
        <v>77</v>
      </c>
    </row>
    <row r="157" spans="1:9">
      <c r="A157">
        <v>44707</v>
      </c>
      <c r="B157">
        <v>1022190</v>
      </c>
      <c r="C157">
        <v>2</v>
      </c>
      <c r="D157" t="s">
        <v>1695</v>
      </c>
      <c r="E157">
        <v>916</v>
      </c>
      <c r="F157" t="s">
        <v>49</v>
      </c>
      <c r="G157" t="s">
        <v>49</v>
      </c>
      <c r="H157">
        <v>3717</v>
      </c>
      <c r="I157" t="s">
        <v>77</v>
      </c>
    </row>
    <row r="158" spans="1:9">
      <c r="A158">
        <v>44708</v>
      </c>
      <c r="B158">
        <v>1022190</v>
      </c>
      <c r="C158">
        <v>3</v>
      </c>
      <c r="D158" t="s">
        <v>1695</v>
      </c>
      <c r="E158">
        <v>916</v>
      </c>
      <c r="F158" t="s">
        <v>49</v>
      </c>
      <c r="G158" t="s">
        <v>49</v>
      </c>
      <c r="H158">
        <v>3717</v>
      </c>
      <c r="I158" t="s">
        <v>77</v>
      </c>
    </row>
    <row r="159" spans="1:9">
      <c r="A159">
        <v>44709</v>
      </c>
      <c r="B159">
        <v>1022190</v>
      </c>
      <c r="C159">
        <v>4</v>
      </c>
      <c r="D159" t="s">
        <v>1695</v>
      </c>
      <c r="E159">
        <v>916</v>
      </c>
      <c r="F159" t="s">
        <v>49</v>
      </c>
      <c r="G159" t="s">
        <v>49</v>
      </c>
      <c r="H159">
        <v>3717</v>
      </c>
      <c r="I159" t="s">
        <v>77</v>
      </c>
    </row>
    <row r="160" spans="1:9">
      <c r="A160">
        <v>45143</v>
      </c>
      <c r="B160">
        <v>1022407</v>
      </c>
      <c r="C160">
        <v>1</v>
      </c>
      <c r="D160" t="s">
        <v>1696</v>
      </c>
      <c r="E160">
        <v>512</v>
      </c>
      <c r="F160" t="s">
        <v>41</v>
      </c>
      <c r="G160" t="s">
        <v>41</v>
      </c>
      <c r="I160" t="s">
        <v>77</v>
      </c>
    </row>
    <row r="161" spans="1:9">
      <c r="A161">
        <v>45144</v>
      </c>
      <c r="B161">
        <v>1022407</v>
      </c>
      <c r="C161">
        <v>2</v>
      </c>
      <c r="D161" t="s">
        <v>1695</v>
      </c>
      <c r="E161">
        <v>854</v>
      </c>
      <c r="F161" t="s">
        <v>41</v>
      </c>
      <c r="G161" t="s">
        <v>41</v>
      </c>
      <c r="I161" t="s">
        <v>77</v>
      </c>
    </row>
    <row r="162" spans="1:9">
      <c r="A162">
        <v>45145</v>
      </c>
      <c r="B162">
        <v>1022407</v>
      </c>
      <c r="C162">
        <v>3</v>
      </c>
      <c r="D162" t="s">
        <v>1695</v>
      </c>
      <c r="E162">
        <v>854</v>
      </c>
      <c r="F162" t="s">
        <v>41</v>
      </c>
      <c r="G162" t="s">
        <v>41</v>
      </c>
      <c r="I162" t="s">
        <v>77</v>
      </c>
    </row>
    <row r="163" spans="1:9">
      <c r="A163">
        <v>45146</v>
      </c>
      <c r="B163">
        <v>1022407</v>
      </c>
      <c r="C163">
        <v>4</v>
      </c>
      <c r="D163" t="s">
        <v>1695</v>
      </c>
      <c r="E163">
        <v>854</v>
      </c>
      <c r="F163" t="s">
        <v>41</v>
      </c>
      <c r="G163" t="s">
        <v>41</v>
      </c>
      <c r="I163" t="s">
        <v>77</v>
      </c>
    </row>
    <row r="164" spans="1:9">
      <c r="A164">
        <v>45147</v>
      </c>
      <c r="B164">
        <v>1022407</v>
      </c>
      <c r="C164">
        <v>5</v>
      </c>
      <c r="D164" t="s">
        <v>1696</v>
      </c>
      <c r="E164">
        <v>512</v>
      </c>
      <c r="F164" t="s">
        <v>41</v>
      </c>
      <c r="G164" t="s">
        <v>41</v>
      </c>
      <c r="I164" t="s">
        <v>77</v>
      </c>
    </row>
    <row r="165" spans="1:9">
      <c r="A165">
        <v>45719</v>
      </c>
      <c r="B165">
        <v>1022690</v>
      </c>
      <c r="C165">
        <v>1</v>
      </c>
      <c r="D165" t="s">
        <v>1696</v>
      </c>
      <c r="E165">
        <v>1039</v>
      </c>
      <c r="F165" t="s">
        <v>49</v>
      </c>
      <c r="G165" t="s">
        <v>47</v>
      </c>
      <c r="I165" t="s">
        <v>77</v>
      </c>
    </row>
    <row r="166" spans="1:9">
      <c r="A166">
        <v>45720</v>
      </c>
      <c r="B166">
        <v>1022690</v>
      </c>
      <c r="C166">
        <v>2</v>
      </c>
      <c r="D166" t="s">
        <v>1695</v>
      </c>
      <c r="E166">
        <v>1731</v>
      </c>
      <c r="F166" t="s">
        <v>49</v>
      </c>
      <c r="G166" t="s">
        <v>47</v>
      </c>
      <c r="I166" t="s">
        <v>77</v>
      </c>
    </row>
    <row r="167" spans="1:9">
      <c r="A167">
        <v>46311</v>
      </c>
      <c r="B167">
        <v>1022972</v>
      </c>
      <c r="C167">
        <v>1</v>
      </c>
      <c r="D167" t="s">
        <v>1695</v>
      </c>
      <c r="E167">
        <v>7338</v>
      </c>
      <c r="F167" t="s">
        <v>49</v>
      </c>
      <c r="G167" t="s">
        <v>49</v>
      </c>
      <c r="H167">
        <v>3796</v>
      </c>
      <c r="I167" t="s">
        <v>77</v>
      </c>
    </row>
    <row r="168" spans="1:9">
      <c r="A168">
        <v>46401</v>
      </c>
      <c r="B168">
        <v>1023016</v>
      </c>
      <c r="C168">
        <v>1</v>
      </c>
      <c r="D168" t="s">
        <v>1695</v>
      </c>
      <c r="E168">
        <v>2429</v>
      </c>
      <c r="F168" t="s">
        <v>41</v>
      </c>
      <c r="G168" t="s">
        <v>37</v>
      </c>
      <c r="H168">
        <v>5208</v>
      </c>
      <c r="I168" t="s">
        <v>77</v>
      </c>
    </row>
    <row r="169" spans="1:9">
      <c r="A169">
        <v>48555</v>
      </c>
      <c r="B169">
        <v>1024071</v>
      </c>
      <c r="C169">
        <v>1</v>
      </c>
      <c r="D169" t="s">
        <v>1695</v>
      </c>
      <c r="E169">
        <v>700</v>
      </c>
      <c r="F169" t="s">
        <v>41</v>
      </c>
      <c r="G169" t="s">
        <v>41</v>
      </c>
      <c r="I169" t="s">
        <v>77</v>
      </c>
    </row>
    <row r="170" spans="1:9">
      <c r="A170">
        <v>48556</v>
      </c>
      <c r="B170">
        <v>1024071</v>
      </c>
      <c r="C170">
        <v>2</v>
      </c>
      <c r="D170" t="s">
        <v>1695</v>
      </c>
      <c r="E170">
        <v>700</v>
      </c>
      <c r="F170" t="s">
        <v>41</v>
      </c>
      <c r="G170" t="s">
        <v>41</v>
      </c>
      <c r="I170" t="s">
        <v>77</v>
      </c>
    </row>
    <row r="171" spans="1:9">
      <c r="A171">
        <v>48922</v>
      </c>
      <c r="B171">
        <v>1024249</v>
      </c>
      <c r="C171">
        <v>1</v>
      </c>
      <c r="D171" t="s">
        <v>1695</v>
      </c>
      <c r="E171">
        <v>2886</v>
      </c>
      <c r="F171" t="s">
        <v>41</v>
      </c>
      <c r="G171" t="s">
        <v>41</v>
      </c>
      <c r="I171" t="s">
        <v>77</v>
      </c>
    </row>
    <row r="172" spans="1:9">
      <c r="A172">
        <v>48923</v>
      </c>
      <c r="B172">
        <v>1024249</v>
      </c>
      <c r="C172">
        <v>2</v>
      </c>
      <c r="D172" t="s">
        <v>1697</v>
      </c>
      <c r="E172">
        <v>1443</v>
      </c>
      <c r="F172" t="s">
        <v>41</v>
      </c>
      <c r="G172" t="s">
        <v>41</v>
      </c>
      <c r="I172" t="s">
        <v>77</v>
      </c>
    </row>
    <row r="173" spans="1:9">
      <c r="A173">
        <v>49407</v>
      </c>
      <c r="B173">
        <v>1024488</v>
      </c>
      <c r="C173">
        <v>1</v>
      </c>
      <c r="D173" t="s">
        <v>1695</v>
      </c>
      <c r="E173">
        <v>1176</v>
      </c>
      <c r="F173" t="s">
        <v>41</v>
      </c>
      <c r="G173" t="s">
        <v>41</v>
      </c>
      <c r="I173" t="s">
        <v>77</v>
      </c>
    </row>
    <row r="174" spans="1:9">
      <c r="A174">
        <v>50566</v>
      </c>
      <c r="B174">
        <v>1025070</v>
      </c>
      <c r="C174">
        <v>1</v>
      </c>
      <c r="D174" t="s">
        <v>1695</v>
      </c>
      <c r="E174">
        <v>1243</v>
      </c>
      <c r="F174" t="s">
        <v>41</v>
      </c>
      <c r="G174" t="s">
        <v>41</v>
      </c>
      <c r="I174" t="s">
        <v>77</v>
      </c>
    </row>
    <row r="175" spans="1:9">
      <c r="A175">
        <v>51408</v>
      </c>
      <c r="B175">
        <v>1025466</v>
      </c>
      <c r="C175">
        <v>1</v>
      </c>
      <c r="D175" t="s">
        <v>1695</v>
      </c>
      <c r="E175">
        <v>753</v>
      </c>
      <c r="F175" t="s">
        <v>41</v>
      </c>
      <c r="G175" t="s">
        <v>41</v>
      </c>
      <c r="I175" t="s">
        <v>77</v>
      </c>
    </row>
    <row r="176" spans="1:9">
      <c r="A176">
        <v>52289</v>
      </c>
      <c r="B176">
        <v>1025907</v>
      </c>
      <c r="C176">
        <v>1</v>
      </c>
      <c r="D176" t="s">
        <v>1695</v>
      </c>
      <c r="E176">
        <v>2211</v>
      </c>
      <c r="F176" t="s">
        <v>41</v>
      </c>
      <c r="G176" t="s">
        <v>41</v>
      </c>
      <c r="I176" t="s">
        <v>77</v>
      </c>
    </row>
    <row r="177" spans="1:9">
      <c r="A177">
        <v>52506</v>
      </c>
      <c r="B177">
        <v>1026016</v>
      </c>
      <c r="C177">
        <v>1</v>
      </c>
      <c r="D177" t="s">
        <v>1695</v>
      </c>
      <c r="E177">
        <v>654</v>
      </c>
      <c r="F177" t="s">
        <v>49</v>
      </c>
      <c r="G177" t="s">
        <v>49</v>
      </c>
      <c r="H177">
        <v>4326</v>
      </c>
      <c r="I177" t="s">
        <v>77</v>
      </c>
    </row>
    <row r="178" spans="1:9">
      <c r="A178">
        <v>52507</v>
      </c>
      <c r="B178">
        <v>1026016</v>
      </c>
      <c r="C178">
        <v>2</v>
      </c>
      <c r="D178" t="s">
        <v>1695</v>
      </c>
      <c r="E178">
        <v>654</v>
      </c>
      <c r="F178" t="s">
        <v>49</v>
      </c>
      <c r="G178" t="s">
        <v>49</v>
      </c>
      <c r="H178">
        <v>4326</v>
      </c>
      <c r="I178" t="s">
        <v>77</v>
      </c>
    </row>
    <row r="179" spans="1:9">
      <c r="A179">
        <v>53475</v>
      </c>
      <c r="B179">
        <v>1026503</v>
      </c>
      <c r="C179">
        <v>1</v>
      </c>
      <c r="D179" t="s">
        <v>1696</v>
      </c>
      <c r="E179">
        <v>710</v>
      </c>
      <c r="F179" t="s">
        <v>41</v>
      </c>
      <c r="G179" t="s">
        <v>41</v>
      </c>
      <c r="I179" t="s">
        <v>77</v>
      </c>
    </row>
    <row r="180" spans="1:9">
      <c r="A180">
        <v>53476</v>
      </c>
      <c r="B180">
        <v>1026503</v>
      </c>
      <c r="C180">
        <v>2</v>
      </c>
      <c r="D180" t="s">
        <v>1695</v>
      </c>
      <c r="E180">
        <v>1183</v>
      </c>
      <c r="F180" t="s">
        <v>41</v>
      </c>
      <c r="G180" t="s">
        <v>41</v>
      </c>
      <c r="I180" t="s">
        <v>77</v>
      </c>
    </row>
    <row r="181" spans="1:9">
      <c r="A181">
        <v>53477</v>
      </c>
      <c r="B181">
        <v>1026503</v>
      </c>
      <c r="C181">
        <v>3</v>
      </c>
      <c r="D181" t="s">
        <v>1695</v>
      </c>
      <c r="E181">
        <v>1183</v>
      </c>
      <c r="F181" t="s">
        <v>41</v>
      </c>
      <c r="G181" t="s">
        <v>41</v>
      </c>
      <c r="I181" t="s">
        <v>77</v>
      </c>
    </row>
    <row r="182" spans="1:9">
      <c r="A182">
        <v>54021</v>
      </c>
      <c r="B182">
        <v>1026767</v>
      </c>
      <c r="C182">
        <v>1</v>
      </c>
      <c r="D182" t="s">
        <v>1695</v>
      </c>
      <c r="E182">
        <v>3615</v>
      </c>
      <c r="F182" t="s">
        <v>41</v>
      </c>
      <c r="G182" t="s">
        <v>41</v>
      </c>
      <c r="I182" t="s">
        <v>77</v>
      </c>
    </row>
    <row r="183" spans="1:9">
      <c r="A183">
        <v>54051</v>
      </c>
      <c r="B183">
        <v>1026783</v>
      </c>
      <c r="C183">
        <v>1</v>
      </c>
      <c r="D183" t="s">
        <v>1695</v>
      </c>
      <c r="E183">
        <v>654</v>
      </c>
      <c r="F183" t="s">
        <v>41</v>
      </c>
      <c r="G183" t="s">
        <v>41</v>
      </c>
      <c r="I183" t="s">
        <v>77</v>
      </c>
    </row>
    <row r="184" spans="1:9">
      <c r="A184">
        <v>54438</v>
      </c>
      <c r="B184">
        <v>1026979</v>
      </c>
      <c r="C184">
        <v>1</v>
      </c>
      <c r="D184" t="s">
        <v>1695</v>
      </c>
      <c r="E184">
        <v>582</v>
      </c>
      <c r="F184" t="s">
        <v>41</v>
      </c>
      <c r="G184" t="s">
        <v>41</v>
      </c>
      <c r="I184" t="s">
        <v>77</v>
      </c>
    </row>
    <row r="185" spans="1:9">
      <c r="A185">
        <v>54869</v>
      </c>
      <c r="B185">
        <v>1027209</v>
      </c>
      <c r="C185">
        <v>1</v>
      </c>
      <c r="D185" t="s">
        <v>1696</v>
      </c>
      <c r="E185">
        <v>1932</v>
      </c>
      <c r="F185" t="s">
        <v>41</v>
      </c>
      <c r="G185" t="s">
        <v>41</v>
      </c>
      <c r="I185" t="s">
        <v>77</v>
      </c>
    </row>
    <row r="186" spans="1:9">
      <c r="A186">
        <v>54870</v>
      </c>
      <c r="B186">
        <v>1027209</v>
      </c>
      <c r="C186">
        <v>2</v>
      </c>
      <c r="D186" t="s">
        <v>1695</v>
      </c>
      <c r="E186">
        <v>3219</v>
      </c>
      <c r="F186" t="s">
        <v>41</v>
      </c>
      <c r="G186" t="s">
        <v>41</v>
      </c>
      <c r="I186" t="s">
        <v>77</v>
      </c>
    </row>
    <row r="187" spans="1:9">
      <c r="A187">
        <v>56527</v>
      </c>
      <c r="B187">
        <v>1028041</v>
      </c>
      <c r="C187">
        <v>1</v>
      </c>
      <c r="D187" t="s">
        <v>1695</v>
      </c>
      <c r="E187">
        <v>3171</v>
      </c>
      <c r="F187" t="s">
        <v>41</v>
      </c>
      <c r="G187" t="s">
        <v>41</v>
      </c>
      <c r="I187" t="s">
        <v>77</v>
      </c>
    </row>
    <row r="188" spans="1:9">
      <c r="A188">
        <v>57426</v>
      </c>
      <c r="B188">
        <v>1028506</v>
      </c>
      <c r="C188">
        <v>1</v>
      </c>
      <c r="D188" t="s">
        <v>1696</v>
      </c>
      <c r="E188">
        <v>1802</v>
      </c>
      <c r="F188" t="s">
        <v>41</v>
      </c>
      <c r="G188" t="s">
        <v>41</v>
      </c>
      <c r="I188" t="s">
        <v>77</v>
      </c>
    </row>
    <row r="189" spans="1:9">
      <c r="A189">
        <v>57427</v>
      </c>
      <c r="B189">
        <v>1028506</v>
      </c>
      <c r="C189">
        <v>2</v>
      </c>
      <c r="D189" t="s">
        <v>1695</v>
      </c>
      <c r="E189">
        <v>3003</v>
      </c>
      <c r="F189" t="s">
        <v>41</v>
      </c>
      <c r="G189" t="s">
        <v>41</v>
      </c>
      <c r="I189" t="s">
        <v>77</v>
      </c>
    </row>
    <row r="190" spans="1:9">
      <c r="A190">
        <v>57953</v>
      </c>
      <c r="B190">
        <v>1028750</v>
      </c>
      <c r="C190">
        <v>1</v>
      </c>
      <c r="D190" t="s">
        <v>1695</v>
      </c>
      <c r="E190">
        <v>1087</v>
      </c>
      <c r="F190" t="s">
        <v>41</v>
      </c>
      <c r="G190" t="s">
        <v>37</v>
      </c>
      <c r="H190">
        <v>5068</v>
      </c>
      <c r="I190" t="s">
        <v>77</v>
      </c>
    </row>
    <row r="191" spans="1:9">
      <c r="A191">
        <v>58814</v>
      </c>
      <c r="B191">
        <v>1029155</v>
      </c>
      <c r="C191">
        <v>1</v>
      </c>
      <c r="D191" t="s">
        <v>1695</v>
      </c>
      <c r="E191">
        <v>1731</v>
      </c>
      <c r="F191" t="s">
        <v>41</v>
      </c>
      <c r="G191" t="s">
        <v>41</v>
      </c>
      <c r="I191" t="s">
        <v>77</v>
      </c>
    </row>
    <row r="192" spans="1:9">
      <c r="A192">
        <v>58815</v>
      </c>
      <c r="B192">
        <v>1029155</v>
      </c>
      <c r="C192">
        <v>2</v>
      </c>
      <c r="D192" t="s">
        <v>1695</v>
      </c>
      <c r="E192">
        <v>1731</v>
      </c>
      <c r="F192" t="s">
        <v>41</v>
      </c>
      <c r="G192" t="s">
        <v>41</v>
      </c>
      <c r="I192" t="s">
        <v>77</v>
      </c>
    </row>
    <row r="193" spans="1:9">
      <c r="A193">
        <v>58872</v>
      </c>
      <c r="B193">
        <v>1029181</v>
      </c>
      <c r="C193">
        <v>1</v>
      </c>
      <c r="D193" t="s">
        <v>1695</v>
      </c>
      <c r="E193">
        <v>870</v>
      </c>
      <c r="F193" t="s">
        <v>41</v>
      </c>
      <c r="G193" t="s">
        <v>41</v>
      </c>
      <c r="I193" t="s">
        <v>77</v>
      </c>
    </row>
    <row r="194" spans="1:9">
      <c r="A194">
        <v>59234</v>
      </c>
      <c r="B194">
        <v>1029353</v>
      </c>
      <c r="C194">
        <v>1</v>
      </c>
      <c r="D194" t="s">
        <v>1695</v>
      </c>
      <c r="E194">
        <v>582</v>
      </c>
      <c r="F194" t="s">
        <v>41</v>
      </c>
      <c r="G194" t="s">
        <v>41</v>
      </c>
      <c r="I194" t="s">
        <v>77</v>
      </c>
    </row>
    <row r="195" spans="1:9">
      <c r="A195">
        <v>59235</v>
      </c>
      <c r="B195">
        <v>1029353</v>
      </c>
      <c r="C195">
        <v>2</v>
      </c>
      <c r="D195" t="s">
        <v>1695</v>
      </c>
      <c r="E195">
        <v>582</v>
      </c>
      <c r="F195" t="s">
        <v>41</v>
      </c>
      <c r="G195" t="s">
        <v>41</v>
      </c>
      <c r="I195" t="s">
        <v>77</v>
      </c>
    </row>
    <row r="196" spans="1:9">
      <c r="A196">
        <v>59613</v>
      </c>
      <c r="B196">
        <v>1029548</v>
      </c>
      <c r="C196">
        <v>1</v>
      </c>
      <c r="D196" t="s">
        <v>1695</v>
      </c>
      <c r="E196">
        <v>1008</v>
      </c>
      <c r="F196" t="s">
        <v>41</v>
      </c>
      <c r="G196" t="s">
        <v>41</v>
      </c>
      <c r="I196" t="s">
        <v>77</v>
      </c>
    </row>
    <row r="197" spans="1:9">
      <c r="A197">
        <v>59614</v>
      </c>
      <c r="B197">
        <v>1029548</v>
      </c>
      <c r="C197">
        <v>2</v>
      </c>
      <c r="D197" t="s">
        <v>1695</v>
      </c>
      <c r="E197">
        <v>1008</v>
      </c>
      <c r="F197" t="s">
        <v>41</v>
      </c>
      <c r="G197" t="s">
        <v>41</v>
      </c>
      <c r="I197" t="s">
        <v>77</v>
      </c>
    </row>
    <row r="198" spans="1:9">
      <c r="A198">
        <v>59700</v>
      </c>
      <c r="B198">
        <v>1029590</v>
      </c>
      <c r="C198">
        <v>1</v>
      </c>
      <c r="D198" t="s">
        <v>1695</v>
      </c>
      <c r="E198">
        <v>916</v>
      </c>
      <c r="F198" t="s">
        <v>41</v>
      </c>
      <c r="G198" t="s">
        <v>41</v>
      </c>
      <c r="I198" t="s">
        <v>77</v>
      </c>
    </row>
    <row r="199" spans="1:9">
      <c r="A199">
        <v>59701</v>
      </c>
      <c r="B199">
        <v>1029590</v>
      </c>
      <c r="C199">
        <v>2</v>
      </c>
      <c r="D199" t="s">
        <v>1695</v>
      </c>
      <c r="E199">
        <v>916</v>
      </c>
      <c r="F199" t="s">
        <v>41</v>
      </c>
      <c r="G199" t="s">
        <v>41</v>
      </c>
      <c r="I199" t="s">
        <v>77</v>
      </c>
    </row>
    <row r="200" spans="1:9">
      <c r="A200">
        <v>60501</v>
      </c>
      <c r="B200">
        <v>1029993</v>
      </c>
      <c r="C200">
        <v>1</v>
      </c>
      <c r="D200" t="s">
        <v>1695</v>
      </c>
      <c r="E200">
        <v>1325</v>
      </c>
      <c r="F200" t="s">
        <v>41</v>
      </c>
      <c r="G200" t="s">
        <v>37</v>
      </c>
      <c r="H200">
        <v>7206</v>
      </c>
      <c r="I200" t="s">
        <v>77</v>
      </c>
    </row>
    <row r="201" spans="1:9">
      <c r="A201">
        <v>61317</v>
      </c>
      <c r="B201">
        <v>1030387</v>
      </c>
      <c r="C201">
        <v>1</v>
      </c>
      <c r="D201" t="s">
        <v>1695</v>
      </c>
      <c r="E201">
        <v>762</v>
      </c>
      <c r="F201" t="s">
        <v>41</v>
      </c>
      <c r="G201" t="s">
        <v>41</v>
      </c>
      <c r="I201" t="s">
        <v>77</v>
      </c>
    </row>
    <row r="202" spans="1:9">
      <c r="A202">
        <v>62936</v>
      </c>
      <c r="B202">
        <v>1031206</v>
      </c>
      <c r="C202">
        <v>1</v>
      </c>
      <c r="D202" t="s">
        <v>1695</v>
      </c>
      <c r="E202">
        <v>1657</v>
      </c>
      <c r="F202" t="s">
        <v>41</v>
      </c>
      <c r="G202" t="s">
        <v>37</v>
      </c>
      <c r="H202">
        <v>5520</v>
      </c>
      <c r="I202" t="s">
        <v>77</v>
      </c>
    </row>
    <row r="203" spans="1:9">
      <c r="A203">
        <v>64127</v>
      </c>
      <c r="B203">
        <v>1031770</v>
      </c>
      <c r="C203">
        <v>1</v>
      </c>
      <c r="D203" t="s">
        <v>1695</v>
      </c>
      <c r="E203">
        <v>1053</v>
      </c>
      <c r="F203" t="s">
        <v>41</v>
      </c>
      <c r="G203" t="s">
        <v>41</v>
      </c>
      <c r="I203" t="s">
        <v>77</v>
      </c>
    </row>
    <row r="204" spans="1:9">
      <c r="A204">
        <v>64591</v>
      </c>
      <c r="B204">
        <v>1032006</v>
      </c>
      <c r="C204">
        <v>1</v>
      </c>
      <c r="D204" t="s">
        <v>1695</v>
      </c>
      <c r="E204">
        <v>870</v>
      </c>
      <c r="F204" t="s">
        <v>41</v>
      </c>
      <c r="G204" t="s">
        <v>41</v>
      </c>
      <c r="I204" t="s">
        <v>77</v>
      </c>
    </row>
    <row r="205" spans="1:9">
      <c r="A205">
        <v>64592</v>
      </c>
      <c r="B205">
        <v>1032006</v>
      </c>
      <c r="C205">
        <v>2</v>
      </c>
      <c r="D205" t="s">
        <v>1695</v>
      </c>
      <c r="E205">
        <v>870</v>
      </c>
      <c r="F205" t="s">
        <v>41</v>
      </c>
      <c r="G205" t="s">
        <v>41</v>
      </c>
      <c r="I205" t="s">
        <v>77</v>
      </c>
    </row>
    <row r="206" spans="1:9">
      <c r="A206">
        <v>64730</v>
      </c>
      <c r="B206">
        <v>1032070</v>
      </c>
      <c r="C206">
        <v>1</v>
      </c>
      <c r="D206" t="s">
        <v>1695</v>
      </c>
      <c r="E206">
        <v>1379</v>
      </c>
      <c r="F206" t="s">
        <v>41</v>
      </c>
      <c r="G206" t="s">
        <v>41</v>
      </c>
      <c r="I206" t="s">
        <v>77</v>
      </c>
    </row>
    <row r="207" spans="1:9">
      <c r="A207">
        <v>64731</v>
      </c>
      <c r="B207">
        <v>1032070</v>
      </c>
      <c r="C207">
        <v>2</v>
      </c>
      <c r="D207" t="s">
        <v>1695</v>
      </c>
      <c r="E207">
        <v>1379</v>
      </c>
      <c r="F207" t="s">
        <v>41</v>
      </c>
      <c r="G207" t="s">
        <v>41</v>
      </c>
      <c r="I207" t="s">
        <v>77</v>
      </c>
    </row>
    <row r="208" spans="1:9">
      <c r="A208">
        <v>64732</v>
      </c>
      <c r="B208">
        <v>1032070</v>
      </c>
      <c r="C208">
        <v>3</v>
      </c>
      <c r="D208" t="s">
        <v>1695</v>
      </c>
      <c r="E208">
        <v>1379</v>
      </c>
      <c r="F208" t="s">
        <v>41</v>
      </c>
      <c r="G208" t="s">
        <v>41</v>
      </c>
      <c r="I208" t="s">
        <v>77</v>
      </c>
    </row>
    <row r="209" spans="1:9">
      <c r="A209">
        <v>64733</v>
      </c>
      <c r="B209">
        <v>1032070</v>
      </c>
      <c r="C209">
        <v>4</v>
      </c>
      <c r="D209" t="s">
        <v>1695</v>
      </c>
      <c r="E209">
        <v>1379</v>
      </c>
      <c r="F209" t="s">
        <v>41</v>
      </c>
      <c r="G209" t="s">
        <v>41</v>
      </c>
      <c r="I209" t="s">
        <v>77</v>
      </c>
    </row>
    <row r="210" spans="1:9">
      <c r="A210">
        <v>64780</v>
      </c>
      <c r="B210">
        <v>1032096</v>
      </c>
      <c r="C210">
        <v>1</v>
      </c>
      <c r="D210" t="s">
        <v>1695</v>
      </c>
      <c r="E210">
        <v>1034</v>
      </c>
      <c r="F210" t="s">
        <v>41</v>
      </c>
      <c r="G210" t="s">
        <v>41</v>
      </c>
      <c r="I210" t="s">
        <v>77</v>
      </c>
    </row>
    <row r="211" spans="1:9">
      <c r="A211">
        <v>65216</v>
      </c>
      <c r="B211">
        <v>1032311</v>
      </c>
      <c r="C211">
        <v>1</v>
      </c>
      <c r="D211" t="s">
        <v>1695</v>
      </c>
      <c r="E211">
        <v>753</v>
      </c>
      <c r="F211" t="s">
        <v>41</v>
      </c>
      <c r="G211" t="s">
        <v>41</v>
      </c>
      <c r="I211" t="s">
        <v>77</v>
      </c>
    </row>
    <row r="212" spans="1:9">
      <c r="A212">
        <v>65217</v>
      </c>
      <c r="B212">
        <v>1032311</v>
      </c>
      <c r="C212">
        <v>2</v>
      </c>
      <c r="D212" t="s">
        <v>1695</v>
      </c>
      <c r="E212">
        <v>753</v>
      </c>
      <c r="F212" t="s">
        <v>41</v>
      </c>
      <c r="G212" t="s">
        <v>41</v>
      </c>
      <c r="I212" t="s">
        <v>77</v>
      </c>
    </row>
    <row r="213" spans="1:9">
      <c r="A213">
        <v>65990</v>
      </c>
      <c r="B213">
        <v>1032683</v>
      </c>
      <c r="C213">
        <v>1</v>
      </c>
      <c r="D213" t="s">
        <v>1695</v>
      </c>
      <c r="E213">
        <v>700</v>
      </c>
      <c r="F213" t="s">
        <v>41</v>
      </c>
      <c r="G213" t="s">
        <v>41</v>
      </c>
      <c r="I213" t="s">
        <v>77</v>
      </c>
    </row>
    <row r="214" spans="1:9">
      <c r="A214">
        <v>66149</v>
      </c>
      <c r="B214">
        <v>1032751</v>
      </c>
      <c r="C214">
        <v>1</v>
      </c>
      <c r="D214" t="s">
        <v>1695</v>
      </c>
      <c r="E214">
        <v>1183</v>
      </c>
      <c r="F214" t="s">
        <v>41</v>
      </c>
      <c r="G214" t="s">
        <v>37</v>
      </c>
      <c r="H214">
        <v>5990</v>
      </c>
      <c r="I214" t="s">
        <v>77</v>
      </c>
    </row>
    <row r="215" spans="1:9">
      <c r="A215">
        <v>66523</v>
      </c>
      <c r="B215">
        <v>1032942</v>
      </c>
      <c r="C215">
        <v>1</v>
      </c>
      <c r="D215" t="s">
        <v>1695</v>
      </c>
      <c r="E215">
        <v>544</v>
      </c>
      <c r="F215" t="s">
        <v>41</v>
      </c>
      <c r="G215" t="s">
        <v>37</v>
      </c>
      <c r="H215">
        <v>7659</v>
      </c>
      <c r="I215" t="s">
        <v>77</v>
      </c>
    </row>
    <row r="216" spans="1:9">
      <c r="A216">
        <v>66524</v>
      </c>
      <c r="B216">
        <v>1032942</v>
      </c>
      <c r="C216">
        <v>2</v>
      </c>
      <c r="D216" t="s">
        <v>1697</v>
      </c>
      <c r="E216">
        <v>272</v>
      </c>
      <c r="F216" t="s">
        <v>41</v>
      </c>
      <c r="G216" t="s">
        <v>37</v>
      </c>
      <c r="H216">
        <v>7659</v>
      </c>
      <c r="I216" t="s">
        <v>77</v>
      </c>
    </row>
    <row r="217" spans="1:9">
      <c r="A217">
        <v>66963</v>
      </c>
      <c r="B217">
        <v>1033170</v>
      </c>
      <c r="C217">
        <v>1</v>
      </c>
      <c r="D217" t="s">
        <v>1696</v>
      </c>
      <c r="E217">
        <v>326</v>
      </c>
      <c r="F217" t="s">
        <v>41</v>
      </c>
      <c r="G217" t="s">
        <v>41</v>
      </c>
      <c r="I217" t="s">
        <v>77</v>
      </c>
    </row>
    <row r="218" spans="1:9">
      <c r="A218">
        <v>66964</v>
      </c>
      <c r="B218">
        <v>1033170</v>
      </c>
      <c r="C218">
        <v>2</v>
      </c>
      <c r="D218" t="s">
        <v>1695</v>
      </c>
      <c r="E218">
        <v>544</v>
      </c>
      <c r="F218" t="s">
        <v>41</v>
      </c>
      <c r="G218" t="s">
        <v>41</v>
      </c>
      <c r="I218" t="s">
        <v>77</v>
      </c>
    </row>
    <row r="219" spans="1:9">
      <c r="A219">
        <v>66965</v>
      </c>
      <c r="B219">
        <v>1033170</v>
      </c>
      <c r="C219">
        <v>3</v>
      </c>
      <c r="D219" t="s">
        <v>1696</v>
      </c>
      <c r="E219">
        <v>326</v>
      </c>
      <c r="F219" t="s">
        <v>41</v>
      </c>
      <c r="G219" t="s">
        <v>41</v>
      </c>
      <c r="I219" t="s">
        <v>77</v>
      </c>
    </row>
    <row r="220" spans="1:9">
      <c r="A220">
        <v>66966</v>
      </c>
      <c r="B220">
        <v>1033170</v>
      </c>
      <c r="C220">
        <v>4</v>
      </c>
      <c r="D220" t="s">
        <v>1695</v>
      </c>
      <c r="E220">
        <v>544</v>
      </c>
      <c r="F220" t="s">
        <v>41</v>
      </c>
      <c r="G220" t="s">
        <v>41</v>
      </c>
      <c r="I220" t="s">
        <v>77</v>
      </c>
    </row>
    <row r="221" spans="1:9">
      <c r="A221">
        <v>66967</v>
      </c>
      <c r="B221">
        <v>1033170</v>
      </c>
      <c r="C221">
        <v>5</v>
      </c>
      <c r="D221" t="s">
        <v>1695</v>
      </c>
      <c r="E221">
        <v>544</v>
      </c>
      <c r="F221" t="s">
        <v>41</v>
      </c>
      <c r="G221" t="s">
        <v>41</v>
      </c>
      <c r="I221" t="s">
        <v>77</v>
      </c>
    </row>
    <row r="222" spans="1:9">
      <c r="A222">
        <v>66968</v>
      </c>
      <c r="B222">
        <v>1033170</v>
      </c>
      <c r="C222">
        <v>6</v>
      </c>
      <c r="D222" t="s">
        <v>1695</v>
      </c>
      <c r="E222">
        <v>544</v>
      </c>
      <c r="F222" t="s">
        <v>41</v>
      </c>
      <c r="G222" t="s">
        <v>41</v>
      </c>
      <c r="I222" t="s">
        <v>77</v>
      </c>
    </row>
    <row r="223" spans="1:9">
      <c r="A223">
        <v>67335</v>
      </c>
      <c r="B223">
        <v>1033359</v>
      </c>
      <c r="C223">
        <v>1</v>
      </c>
      <c r="D223" t="s">
        <v>1696</v>
      </c>
      <c r="E223">
        <v>426</v>
      </c>
      <c r="F223" t="s">
        <v>41</v>
      </c>
      <c r="G223" t="s">
        <v>41</v>
      </c>
      <c r="I223" t="s">
        <v>77</v>
      </c>
    </row>
    <row r="224" spans="1:9">
      <c r="A224">
        <v>67816</v>
      </c>
      <c r="B224">
        <v>1033617</v>
      </c>
      <c r="C224">
        <v>1</v>
      </c>
      <c r="D224" t="s">
        <v>1696</v>
      </c>
      <c r="E224">
        <v>500</v>
      </c>
      <c r="F224" t="s">
        <v>41</v>
      </c>
      <c r="G224" t="s">
        <v>41</v>
      </c>
      <c r="I224" t="s">
        <v>77</v>
      </c>
    </row>
    <row r="225" spans="1:9">
      <c r="A225">
        <v>67817</v>
      </c>
      <c r="B225">
        <v>1033617</v>
      </c>
      <c r="C225">
        <v>2</v>
      </c>
      <c r="D225" t="s">
        <v>1695</v>
      </c>
      <c r="E225">
        <v>833</v>
      </c>
      <c r="F225" t="s">
        <v>41</v>
      </c>
      <c r="G225" t="s">
        <v>41</v>
      </c>
      <c r="I225" t="s">
        <v>77</v>
      </c>
    </row>
    <row r="226" spans="1:9">
      <c r="A226">
        <v>67919</v>
      </c>
      <c r="B226">
        <v>1033662</v>
      </c>
      <c r="C226">
        <v>1</v>
      </c>
      <c r="D226" t="s">
        <v>1695</v>
      </c>
      <c r="E226">
        <v>2264</v>
      </c>
      <c r="F226" t="s">
        <v>41</v>
      </c>
      <c r="G226" t="s">
        <v>41</v>
      </c>
      <c r="I226" t="s">
        <v>77</v>
      </c>
    </row>
    <row r="227" spans="1:9">
      <c r="A227">
        <v>68311</v>
      </c>
      <c r="B227">
        <v>1033852</v>
      </c>
      <c r="C227">
        <v>1</v>
      </c>
      <c r="D227" t="s">
        <v>1695</v>
      </c>
      <c r="E227">
        <v>4510</v>
      </c>
      <c r="F227" t="s">
        <v>47</v>
      </c>
      <c r="G227" t="s">
        <v>47</v>
      </c>
      <c r="I227" t="s">
        <v>77</v>
      </c>
    </row>
    <row r="228" spans="1:9">
      <c r="A228">
        <v>68479</v>
      </c>
      <c r="B228">
        <v>1033943</v>
      </c>
      <c r="C228">
        <v>1</v>
      </c>
      <c r="D228" t="s">
        <v>1695</v>
      </c>
      <c r="E228">
        <v>1183</v>
      </c>
      <c r="F228" t="s">
        <v>47</v>
      </c>
      <c r="G228" t="s">
        <v>37</v>
      </c>
      <c r="H228">
        <v>6031</v>
      </c>
      <c r="I228" t="s">
        <v>77</v>
      </c>
    </row>
    <row r="229" spans="1:9">
      <c r="A229">
        <v>68480</v>
      </c>
      <c r="B229">
        <v>1033943</v>
      </c>
      <c r="C229">
        <v>2</v>
      </c>
      <c r="D229" t="s">
        <v>1697</v>
      </c>
      <c r="E229">
        <v>592</v>
      </c>
      <c r="F229" t="s">
        <v>47</v>
      </c>
      <c r="G229" t="s">
        <v>37</v>
      </c>
      <c r="H229">
        <v>6031</v>
      </c>
      <c r="I229" t="s">
        <v>77</v>
      </c>
    </row>
    <row r="230" spans="1:9">
      <c r="A230">
        <v>68500</v>
      </c>
      <c r="B230">
        <v>1033952</v>
      </c>
      <c r="C230">
        <v>1</v>
      </c>
      <c r="D230" t="s">
        <v>1695</v>
      </c>
      <c r="E230">
        <v>1657</v>
      </c>
      <c r="F230" t="s">
        <v>41</v>
      </c>
      <c r="G230" t="s">
        <v>41</v>
      </c>
      <c r="I230" t="s">
        <v>77</v>
      </c>
    </row>
    <row r="231" spans="1:9">
      <c r="A231">
        <v>68501</v>
      </c>
      <c r="B231">
        <v>1033952</v>
      </c>
      <c r="C231">
        <v>2</v>
      </c>
      <c r="D231" t="s">
        <v>1697</v>
      </c>
      <c r="E231">
        <v>829</v>
      </c>
      <c r="F231" t="s">
        <v>41</v>
      </c>
      <c r="G231" t="s">
        <v>41</v>
      </c>
      <c r="I231" t="s">
        <v>77</v>
      </c>
    </row>
    <row r="232" spans="1:9">
      <c r="A232">
        <v>70069</v>
      </c>
      <c r="B232">
        <v>1034717</v>
      </c>
      <c r="C232">
        <v>1</v>
      </c>
      <c r="D232" t="s">
        <v>1696</v>
      </c>
      <c r="E232">
        <v>1441</v>
      </c>
      <c r="F232" t="s">
        <v>41</v>
      </c>
      <c r="G232" t="s">
        <v>41</v>
      </c>
      <c r="I232" t="s">
        <v>77</v>
      </c>
    </row>
    <row r="233" spans="1:9">
      <c r="A233">
        <v>71095</v>
      </c>
      <c r="B233">
        <v>1035233</v>
      </c>
      <c r="C233">
        <v>1</v>
      </c>
      <c r="D233" t="s">
        <v>1695</v>
      </c>
      <c r="E233">
        <v>1731</v>
      </c>
      <c r="F233" t="s">
        <v>41</v>
      </c>
      <c r="G233" t="s">
        <v>41</v>
      </c>
      <c r="I233" t="s">
        <v>77</v>
      </c>
    </row>
    <row r="234" spans="1:9">
      <c r="A234">
        <v>71096</v>
      </c>
      <c r="B234">
        <v>1035233</v>
      </c>
      <c r="C234">
        <v>2</v>
      </c>
      <c r="D234" t="s">
        <v>1696</v>
      </c>
      <c r="E234">
        <v>1039</v>
      </c>
      <c r="F234" t="s">
        <v>41</v>
      </c>
      <c r="G234" t="s">
        <v>41</v>
      </c>
      <c r="I234" t="s">
        <v>77</v>
      </c>
    </row>
    <row r="235" spans="1:9">
      <c r="A235">
        <v>71716</v>
      </c>
      <c r="B235">
        <v>1035543</v>
      </c>
      <c r="C235">
        <v>1</v>
      </c>
      <c r="D235" t="s">
        <v>1695</v>
      </c>
      <c r="E235">
        <v>3003</v>
      </c>
      <c r="F235" t="s">
        <v>41</v>
      </c>
      <c r="G235" t="s">
        <v>41</v>
      </c>
      <c r="I235" t="s">
        <v>77</v>
      </c>
    </row>
    <row r="236" spans="1:9">
      <c r="A236">
        <v>72735</v>
      </c>
      <c r="B236">
        <v>1036026</v>
      </c>
      <c r="C236">
        <v>1</v>
      </c>
      <c r="D236" t="s">
        <v>1695</v>
      </c>
      <c r="E236">
        <v>1379</v>
      </c>
      <c r="F236" t="s">
        <v>41</v>
      </c>
      <c r="G236" t="s">
        <v>37</v>
      </c>
      <c r="H236">
        <v>7536</v>
      </c>
      <c r="I236" t="s">
        <v>77</v>
      </c>
    </row>
    <row r="237" spans="1:9">
      <c r="A237">
        <v>74096</v>
      </c>
      <c r="B237">
        <v>1036697</v>
      </c>
      <c r="C237">
        <v>1</v>
      </c>
      <c r="D237" t="s">
        <v>1695</v>
      </c>
      <c r="E237">
        <v>2429</v>
      </c>
      <c r="F237" t="s">
        <v>41</v>
      </c>
      <c r="G237" t="s">
        <v>41</v>
      </c>
      <c r="I237" t="s">
        <v>77</v>
      </c>
    </row>
    <row r="238" spans="1:9">
      <c r="A238">
        <v>74621</v>
      </c>
      <c r="B238">
        <v>1036960</v>
      </c>
      <c r="C238">
        <v>1</v>
      </c>
      <c r="D238" t="s">
        <v>1695</v>
      </c>
      <c r="E238">
        <v>1731</v>
      </c>
      <c r="F238" t="s">
        <v>41</v>
      </c>
      <c r="G238" t="s">
        <v>41</v>
      </c>
      <c r="I238" t="s">
        <v>77</v>
      </c>
    </row>
    <row r="239" spans="1:9">
      <c r="A239">
        <v>74622</v>
      </c>
      <c r="B239">
        <v>1036960</v>
      </c>
      <c r="C239">
        <v>2</v>
      </c>
      <c r="D239" t="s">
        <v>1696</v>
      </c>
      <c r="E239">
        <v>1039</v>
      </c>
      <c r="F239" t="s">
        <v>41</v>
      </c>
      <c r="G239" t="s">
        <v>41</v>
      </c>
      <c r="I239" t="s">
        <v>77</v>
      </c>
    </row>
    <row r="240" spans="1:9">
      <c r="A240">
        <v>74623</v>
      </c>
      <c r="B240">
        <v>1036960</v>
      </c>
      <c r="C240">
        <v>3</v>
      </c>
      <c r="D240" t="s">
        <v>1695</v>
      </c>
      <c r="E240">
        <v>1731</v>
      </c>
      <c r="F240" t="s">
        <v>41</v>
      </c>
      <c r="G240" t="s">
        <v>41</v>
      </c>
      <c r="I240" t="s">
        <v>77</v>
      </c>
    </row>
    <row r="241" spans="1:9">
      <c r="A241">
        <v>74624</v>
      </c>
      <c r="B241">
        <v>1036960</v>
      </c>
      <c r="C241">
        <v>4</v>
      </c>
      <c r="D241" t="s">
        <v>1695</v>
      </c>
      <c r="E241">
        <v>1731</v>
      </c>
      <c r="F241" t="s">
        <v>41</v>
      </c>
      <c r="G241" t="s">
        <v>41</v>
      </c>
      <c r="I241" t="s">
        <v>77</v>
      </c>
    </row>
    <row r="242" spans="1:9">
      <c r="A242">
        <v>74625</v>
      </c>
      <c r="B242">
        <v>1036960</v>
      </c>
      <c r="C242">
        <v>5</v>
      </c>
      <c r="D242" t="s">
        <v>1696</v>
      </c>
      <c r="E242">
        <v>1039</v>
      </c>
      <c r="F242" t="s">
        <v>41</v>
      </c>
      <c r="G242" t="s">
        <v>41</v>
      </c>
      <c r="I242" t="s">
        <v>77</v>
      </c>
    </row>
    <row r="243" spans="1:9">
      <c r="A243">
        <v>74626</v>
      </c>
      <c r="B243">
        <v>1036960</v>
      </c>
      <c r="C243">
        <v>6</v>
      </c>
      <c r="D243" t="s">
        <v>1697</v>
      </c>
      <c r="E243">
        <v>866</v>
      </c>
      <c r="F243" t="s">
        <v>41</v>
      </c>
      <c r="G243" t="s">
        <v>41</v>
      </c>
      <c r="I243" t="s">
        <v>77</v>
      </c>
    </row>
    <row r="244" spans="1:9">
      <c r="A244">
        <v>74636</v>
      </c>
      <c r="B244">
        <v>1036967</v>
      </c>
      <c r="C244">
        <v>1</v>
      </c>
      <c r="D244" t="s">
        <v>1695</v>
      </c>
      <c r="E244">
        <v>1579</v>
      </c>
      <c r="F244" t="s">
        <v>49</v>
      </c>
      <c r="G244" t="s">
        <v>49</v>
      </c>
      <c r="H244">
        <v>6481</v>
      </c>
      <c r="I244" t="s">
        <v>77</v>
      </c>
    </row>
    <row r="245" spans="1:9">
      <c r="A245">
        <v>74637</v>
      </c>
      <c r="B245">
        <v>1036967</v>
      </c>
      <c r="C245">
        <v>2</v>
      </c>
      <c r="D245" t="s">
        <v>1695</v>
      </c>
      <c r="E245">
        <v>1579</v>
      </c>
      <c r="F245" t="s">
        <v>49</v>
      </c>
      <c r="G245" t="s">
        <v>49</v>
      </c>
      <c r="H245">
        <v>6481</v>
      </c>
      <c r="I245" t="s">
        <v>77</v>
      </c>
    </row>
    <row r="246" spans="1:9">
      <c r="A246">
        <v>74638</v>
      </c>
      <c r="B246">
        <v>1036967</v>
      </c>
      <c r="C246">
        <v>3</v>
      </c>
      <c r="D246" t="s">
        <v>1695</v>
      </c>
      <c r="E246">
        <v>1579</v>
      </c>
      <c r="F246" t="s">
        <v>49</v>
      </c>
      <c r="G246" t="s">
        <v>49</v>
      </c>
      <c r="H246">
        <v>6481</v>
      </c>
      <c r="I246" t="s">
        <v>77</v>
      </c>
    </row>
    <row r="247" spans="1:9">
      <c r="A247">
        <v>74639</v>
      </c>
      <c r="B247">
        <v>1036967</v>
      </c>
      <c r="C247">
        <v>4</v>
      </c>
      <c r="D247" t="s">
        <v>1695</v>
      </c>
      <c r="E247">
        <v>1579</v>
      </c>
      <c r="F247" t="s">
        <v>49</v>
      </c>
      <c r="G247" t="s">
        <v>49</v>
      </c>
      <c r="H247">
        <v>6481</v>
      </c>
      <c r="I247" t="s">
        <v>77</v>
      </c>
    </row>
    <row r="248" spans="1:9">
      <c r="A248">
        <v>74918</v>
      </c>
      <c r="B248">
        <v>1037102</v>
      </c>
      <c r="C248">
        <v>1</v>
      </c>
      <c r="D248" t="s">
        <v>1695</v>
      </c>
      <c r="E248">
        <v>3003</v>
      </c>
      <c r="F248" t="s">
        <v>41</v>
      </c>
      <c r="G248" t="s">
        <v>41</v>
      </c>
      <c r="I248" t="s">
        <v>77</v>
      </c>
    </row>
    <row r="249" spans="1:9">
      <c r="A249">
        <v>76300</v>
      </c>
      <c r="B249">
        <v>1037781</v>
      </c>
      <c r="C249">
        <v>1</v>
      </c>
      <c r="D249" t="s">
        <v>1695</v>
      </c>
      <c r="E249">
        <v>2784</v>
      </c>
      <c r="F249" t="s">
        <v>41</v>
      </c>
      <c r="G249" t="s">
        <v>41</v>
      </c>
      <c r="I249" t="s">
        <v>77</v>
      </c>
    </row>
    <row r="250" spans="1:9">
      <c r="A250">
        <v>76695</v>
      </c>
      <c r="B250">
        <v>1037976</v>
      </c>
      <c r="C250">
        <v>1</v>
      </c>
      <c r="D250" t="s">
        <v>1695</v>
      </c>
      <c r="E250">
        <v>1379</v>
      </c>
      <c r="F250" t="s">
        <v>41</v>
      </c>
      <c r="G250" t="s">
        <v>41</v>
      </c>
      <c r="I250" t="s">
        <v>77</v>
      </c>
    </row>
    <row r="251" spans="1:9">
      <c r="A251">
        <v>76696</v>
      </c>
      <c r="B251">
        <v>1037976</v>
      </c>
      <c r="C251">
        <v>2</v>
      </c>
      <c r="D251" t="s">
        <v>1697</v>
      </c>
      <c r="E251">
        <v>690</v>
      </c>
      <c r="F251" t="s">
        <v>41</v>
      </c>
      <c r="G251" t="s">
        <v>41</v>
      </c>
      <c r="I251" t="s">
        <v>77</v>
      </c>
    </row>
    <row r="252" spans="1:9">
      <c r="A252">
        <v>76697</v>
      </c>
      <c r="B252">
        <v>1037976</v>
      </c>
      <c r="C252">
        <v>3</v>
      </c>
      <c r="D252" t="s">
        <v>1695</v>
      </c>
      <c r="E252">
        <v>1379</v>
      </c>
      <c r="F252" t="s">
        <v>41</v>
      </c>
      <c r="G252" t="s">
        <v>41</v>
      </c>
      <c r="I252" t="s">
        <v>77</v>
      </c>
    </row>
    <row r="253" spans="1:9">
      <c r="A253">
        <v>76698</v>
      </c>
      <c r="B253">
        <v>1037976</v>
      </c>
      <c r="C253">
        <v>4</v>
      </c>
      <c r="D253" t="s">
        <v>1695</v>
      </c>
      <c r="E253">
        <v>1379</v>
      </c>
      <c r="F253" t="s">
        <v>41</v>
      </c>
      <c r="G253" t="s">
        <v>41</v>
      </c>
      <c r="I253" t="s">
        <v>77</v>
      </c>
    </row>
    <row r="254" spans="1:9">
      <c r="A254">
        <v>77308</v>
      </c>
      <c r="B254">
        <v>1038246</v>
      </c>
      <c r="C254">
        <v>1</v>
      </c>
      <c r="D254" t="s">
        <v>1695</v>
      </c>
      <c r="E254">
        <v>906</v>
      </c>
      <c r="F254" t="s">
        <v>47</v>
      </c>
      <c r="G254" t="s">
        <v>37</v>
      </c>
      <c r="H254">
        <v>6979</v>
      </c>
      <c r="I254" t="s">
        <v>77</v>
      </c>
    </row>
    <row r="255" spans="1:9">
      <c r="A255">
        <v>77309</v>
      </c>
      <c r="B255">
        <v>1038246</v>
      </c>
      <c r="C255">
        <v>2</v>
      </c>
      <c r="D255" t="s">
        <v>1695</v>
      </c>
      <c r="E255">
        <v>906</v>
      </c>
      <c r="F255" t="s">
        <v>47</v>
      </c>
      <c r="G255" t="s">
        <v>37</v>
      </c>
      <c r="H255">
        <v>6979</v>
      </c>
      <c r="I255" t="s">
        <v>77</v>
      </c>
    </row>
    <row r="256" spans="1:9">
      <c r="A256">
        <v>77310</v>
      </c>
      <c r="B256">
        <v>1038246</v>
      </c>
      <c r="C256">
        <v>3</v>
      </c>
      <c r="D256" t="s">
        <v>1695</v>
      </c>
      <c r="E256">
        <v>906</v>
      </c>
      <c r="F256" t="s">
        <v>47</v>
      </c>
      <c r="G256" t="s">
        <v>37</v>
      </c>
      <c r="H256">
        <v>6979</v>
      </c>
      <c r="I256" t="s">
        <v>77</v>
      </c>
    </row>
    <row r="257" spans="1:9">
      <c r="A257">
        <v>77311</v>
      </c>
      <c r="B257">
        <v>1038246</v>
      </c>
      <c r="C257">
        <v>4</v>
      </c>
      <c r="D257" t="s">
        <v>1697</v>
      </c>
      <c r="E257">
        <v>453</v>
      </c>
      <c r="F257" t="s">
        <v>47</v>
      </c>
      <c r="G257" t="s">
        <v>37</v>
      </c>
      <c r="H257">
        <v>6979</v>
      </c>
      <c r="I257" t="s">
        <v>77</v>
      </c>
    </row>
    <row r="258" spans="1:9">
      <c r="A258">
        <v>77388</v>
      </c>
      <c r="B258">
        <v>1038289</v>
      </c>
      <c r="C258">
        <v>1</v>
      </c>
      <c r="D258" t="s">
        <v>1695</v>
      </c>
      <c r="E258">
        <v>1390</v>
      </c>
      <c r="F258" t="s">
        <v>41</v>
      </c>
      <c r="G258" t="s">
        <v>41</v>
      </c>
      <c r="I258" t="s">
        <v>77</v>
      </c>
    </row>
    <row r="259" spans="1:9">
      <c r="A259">
        <v>78156</v>
      </c>
      <c r="B259">
        <v>1038662</v>
      </c>
      <c r="C259">
        <v>1</v>
      </c>
      <c r="D259" t="s">
        <v>1695</v>
      </c>
      <c r="E259">
        <v>3219</v>
      </c>
      <c r="F259" t="s">
        <v>41</v>
      </c>
      <c r="G259" t="s">
        <v>41</v>
      </c>
      <c r="I259" t="s">
        <v>77</v>
      </c>
    </row>
    <row r="260" spans="1:9">
      <c r="A260">
        <v>78157</v>
      </c>
      <c r="B260">
        <v>1038662</v>
      </c>
      <c r="C260">
        <v>2</v>
      </c>
      <c r="D260" t="s">
        <v>1695</v>
      </c>
      <c r="E260">
        <v>3219</v>
      </c>
      <c r="F260" t="s">
        <v>41</v>
      </c>
      <c r="G260" t="s">
        <v>41</v>
      </c>
      <c r="I260" t="s">
        <v>77</v>
      </c>
    </row>
    <row r="261" spans="1:9">
      <c r="A261">
        <v>78244</v>
      </c>
      <c r="B261">
        <v>1038708</v>
      </c>
      <c r="C261">
        <v>1</v>
      </c>
      <c r="D261" t="s">
        <v>1695</v>
      </c>
      <c r="E261">
        <v>654</v>
      </c>
      <c r="F261" t="s">
        <v>41</v>
      </c>
      <c r="G261" t="s">
        <v>37</v>
      </c>
      <c r="H261">
        <v>6886</v>
      </c>
      <c r="I261" t="s">
        <v>77</v>
      </c>
    </row>
    <row r="262" spans="1:9">
      <c r="A262">
        <v>78442</v>
      </c>
      <c r="B262">
        <v>1038813</v>
      </c>
      <c r="C262">
        <v>1</v>
      </c>
      <c r="D262" t="s">
        <v>1696</v>
      </c>
      <c r="E262">
        <v>326</v>
      </c>
      <c r="F262" t="s">
        <v>41</v>
      </c>
      <c r="G262" t="s">
        <v>37</v>
      </c>
      <c r="H262">
        <v>6727</v>
      </c>
      <c r="I262" t="s">
        <v>77</v>
      </c>
    </row>
    <row r="263" spans="1:9">
      <c r="A263">
        <v>78443</v>
      </c>
      <c r="B263">
        <v>1038813</v>
      </c>
      <c r="C263">
        <v>2</v>
      </c>
      <c r="D263" t="s">
        <v>1695</v>
      </c>
      <c r="E263">
        <v>544</v>
      </c>
      <c r="F263" t="s">
        <v>41</v>
      </c>
      <c r="G263" t="s">
        <v>37</v>
      </c>
      <c r="H263">
        <v>6727</v>
      </c>
      <c r="I263" t="s">
        <v>77</v>
      </c>
    </row>
    <row r="264" spans="1:9">
      <c r="A264">
        <v>78444</v>
      </c>
      <c r="B264">
        <v>1038813</v>
      </c>
      <c r="C264">
        <v>3</v>
      </c>
      <c r="D264" t="s">
        <v>1697</v>
      </c>
      <c r="E264">
        <v>272</v>
      </c>
      <c r="F264" t="s">
        <v>41</v>
      </c>
      <c r="G264" t="s">
        <v>37</v>
      </c>
      <c r="H264">
        <v>6727</v>
      </c>
      <c r="I264" t="s">
        <v>77</v>
      </c>
    </row>
    <row r="265" spans="1:9">
      <c r="A265">
        <v>78445</v>
      </c>
      <c r="B265">
        <v>1038813</v>
      </c>
      <c r="C265">
        <v>4</v>
      </c>
      <c r="D265" t="s">
        <v>1695</v>
      </c>
      <c r="E265">
        <v>544</v>
      </c>
      <c r="F265" t="s">
        <v>41</v>
      </c>
      <c r="G265" t="s">
        <v>37</v>
      </c>
      <c r="H265">
        <v>6727</v>
      </c>
      <c r="I265" t="s">
        <v>77</v>
      </c>
    </row>
    <row r="266" spans="1:9">
      <c r="A266">
        <v>82872</v>
      </c>
      <c r="B266">
        <v>1041015</v>
      </c>
      <c r="C266">
        <v>1</v>
      </c>
      <c r="D266" t="s">
        <v>1695</v>
      </c>
      <c r="E266">
        <v>1102</v>
      </c>
      <c r="F266" t="s">
        <v>41</v>
      </c>
      <c r="G266" t="s">
        <v>41</v>
      </c>
      <c r="I266" t="s">
        <v>77</v>
      </c>
    </row>
    <row r="267" spans="1:9">
      <c r="A267">
        <v>83343</v>
      </c>
      <c r="B267">
        <v>1041254</v>
      </c>
      <c r="C267">
        <v>1</v>
      </c>
      <c r="D267" t="s">
        <v>1695</v>
      </c>
      <c r="E267">
        <v>3003</v>
      </c>
      <c r="F267" t="s">
        <v>41</v>
      </c>
      <c r="G267" t="s">
        <v>41</v>
      </c>
      <c r="I267" t="s">
        <v>77</v>
      </c>
    </row>
    <row r="268" spans="1:9">
      <c r="A268">
        <v>83344</v>
      </c>
      <c r="B268">
        <v>1041254</v>
      </c>
      <c r="C268">
        <v>2</v>
      </c>
      <c r="D268" t="s">
        <v>1695</v>
      </c>
      <c r="E268">
        <v>3003</v>
      </c>
      <c r="F268" t="s">
        <v>41</v>
      </c>
      <c r="G268" t="s">
        <v>41</v>
      </c>
      <c r="I268" t="s">
        <v>77</v>
      </c>
    </row>
    <row r="269" spans="1:9">
      <c r="A269">
        <v>83460</v>
      </c>
      <c r="B269">
        <v>1041316</v>
      </c>
      <c r="C269">
        <v>1</v>
      </c>
      <c r="D269" t="s">
        <v>1696</v>
      </c>
      <c r="E269">
        <v>1441</v>
      </c>
      <c r="F269" t="s">
        <v>47</v>
      </c>
      <c r="G269" t="s">
        <v>47</v>
      </c>
      <c r="I269" t="s">
        <v>77</v>
      </c>
    </row>
    <row r="270" spans="1:9">
      <c r="A270">
        <v>83461</v>
      </c>
      <c r="B270">
        <v>1041316</v>
      </c>
      <c r="C270">
        <v>2</v>
      </c>
      <c r="D270" t="s">
        <v>1696</v>
      </c>
      <c r="E270">
        <v>1441</v>
      </c>
      <c r="F270" t="s">
        <v>47</v>
      </c>
      <c r="G270" t="s">
        <v>47</v>
      </c>
      <c r="I270" t="s">
        <v>77</v>
      </c>
    </row>
    <row r="271" spans="1:9">
      <c r="A271">
        <v>84504</v>
      </c>
      <c r="B271">
        <v>1041842</v>
      </c>
      <c r="C271">
        <v>1</v>
      </c>
      <c r="D271" t="s">
        <v>1696</v>
      </c>
      <c r="E271">
        <v>2644</v>
      </c>
      <c r="F271" t="s">
        <v>41</v>
      </c>
      <c r="G271" t="s">
        <v>41</v>
      </c>
      <c r="I271" t="s">
        <v>77</v>
      </c>
    </row>
    <row r="272" spans="1:9">
      <c r="A272">
        <v>85768</v>
      </c>
      <c r="B272">
        <v>1042485</v>
      </c>
      <c r="C272">
        <v>1</v>
      </c>
      <c r="D272" t="s">
        <v>1695</v>
      </c>
      <c r="E272">
        <v>1731</v>
      </c>
      <c r="F272" t="s">
        <v>41</v>
      </c>
      <c r="G272" t="s">
        <v>41</v>
      </c>
      <c r="I272" t="s">
        <v>77</v>
      </c>
    </row>
    <row r="273" spans="1:9">
      <c r="A273">
        <v>86069</v>
      </c>
      <c r="B273">
        <v>1042637</v>
      </c>
      <c r="C273">
        <v>1</v>
      </c>
      <c r="D273" t="s">
        <v>1695</v>
      </c>
      <c r="E273">
        <v>906</v>
      </c>
      <c r="F273" t="s">
        <v>41</v>
      </c>
      <c r="G273" t="s">
        <v>41</v>
      </c>
      <c r="I273" t="s">
        <v>77</v>
      </c>
    </row>
    <row r="274" spans="1:9">
      <c r="A274">
        <v>86939</v>
      </c>
      <c r="B274">
        <v>1043064</v>
      </c>
      <c r="C274">
        <v>1</v>
      </c>
      <c r="D274" t="s">
        <v>1695</v>
      </c>
      <c r="E274">
        <v>1049</v>
      </c>
      <c r="F274" t="s">
        <v>41</v>
      </c>
      <c r="G274" t="s">
        <v>41</v>
      </c>
      <c r="I274" t="s">
        <v>77</v>
      </c>
    </row>
    <row r="275" spans="1:9">
      <c r="A275">
        <v>88682</v>
      </c>
      <c r="B275">
        <v>1043917</v>
      </c>
      <c r="C275">
        <v>1</v>
      </c>
      <c r="D275" t="s">
        <v>1695</v>
      </c>
      <c r="E275">
        <v>654</v>
      </c>
      <c r="F275" t="s">
        <v>41</v>
      </c>
      <c r="G275" t="s">
        <v>41</v>
      </c>
      <c r="I275" t="s">
        <v>77</v>
      </c>
    </row>
    <row r="276" spans="1:9">
      <c r="A276">
        <v>89023</v>
      </c>
      <c r="B276">
        <v>1044066</v>
      </c>
      <c r="C276">
        <v>1</v>
      </c>
      <c r="D276" t="s">
        <v>1695</v>
      </c>
      <c r="E276">
        <v>668</v>
      </c>
      <c r="F276" t="s">
        <v>41</v>
      </c>
      <c r="G276" t="s">
        <v>37</v>
      </c>
      <c r="H276">
        <v>7814</v>
      </c>
      <c r="I276" t="s">
        <v>77</v>
      </c>
    </row>
    <row r="277" spans="1:9">
      <c r="A277">
        <v>89024</v>
      </c>
      <c r="B277">
        <v>1044066</v>
      </c>
      <c r="C277">
        <v>2</v>
      </c>
      <c r="D277" t="s">
        <v>1697</v>
      </c>
      <c r="E277">
        <v>334</v>
      </c>
      <c r="F277" t="s">
        <v>41</v>
      </c>
      <c r="G277" t="s">
        <v>37</v>
      </c>
      <c r="H277">
        <v>7814</v>
      </c>
      <c r="I277" t="s">
        <v>77</v>
      </c>
    </row>
    <row r="278" spans="1:9">
      <c r="A278">
        <v>89963</v>
      </c>
      <c r="B278">
        <v>1044512</v>
      </c>
      <c r="C278">
        <v>1</v>
      </c>
      <c r="D278" t="s">
        <v>1695</v>
      </c>
      <c r="E278">
        <v>2402</v>
      </c>
      <c r="F278" t="s">
        <v>41</v>
      </c>
      <c r="G278" t="s">
        <v>41</v>
      </c>
      <c r="I278" t="s">
        <v>77</v>
      </c>
    </row>
    <row r="279" spans="1:9">
      <c r="A279">
        <v>93126</v>
      </c>
      <c r="B279">
        <v>1046011</v>
      </c>
      <c r="C279">
        <v>1</v>
      </c>
      <c r="D279" t="s">
        <v>1695</v>
      </c>
      <c r="E279">
        <v>790</v>
      </c>
      <c r="F279" t="s">
        <v>41</v>
      </c>
      <c r="G279" t="s">
        <v>37</v>
      </c>
      <c r="H279">
        <v>8638</v>
      </c>
      <c r="I279" t="s">
        <v>77</v>
      </c>
    </row>
    <row r="280" spans="1:9">
      <c r="A280">
        <v>93156</v>
      </c>
      <c r="B280">
        <v>1046029</v>
      </c>
      <c r="C280">
        <v>1</v>
      </c>
      <c r="D280" t="s">
        <v>1695</v>
      </c>
      <c r="E280">
        <v>7338</v>
      </c>
      <c r="F280" t="s">
        <v>41</v>
      </c>
      <c r="G280" t="s">
        <v>41</v>
      </c>
      <c r="I280" t="s">
        <v>77</v>
      </c>
    </row>
    <row r="281" spans="1:9">
      <c r="A281">
        <v>93415</v>
      </c>
      <c r="B281">
        <v>1046157</v>
      </c>
      <c r="C281">
        <v>1</v>
      </c>
      <c r="D281" t="s">
        <v>1695</v>
      </c>
      <c r="E281">
        <v>607</v>
      </c>
      <c r="F281" t="s">
        <v>41</v>
      </c>
      <c r="G281" t="s">
        <v>41</v>
      </c>
      <c r="I281" t="s">
        <v>77</v>
      </c>
    </row>
    <row r="282" spans="1:9">
      <c r="A282">
        <v>93480</v>
      </c>
      <c r="B282">
        <v>1046198</v>
      </c>
      <c r="C282">
        <v>1</v>
      </c>
      <c r="D282" t="s">
        <v>1695</v>
      </c>
      <c r="E282">
        <v>654</v>
      </c>
      <c r="F282" t="s">
        <v>41</v>
      </c>
      <c r="G282" t="s">
        <v>41</v>
      </c>
      <c r="I282" t="s">
        <v>77</v>
      </c>
    </row>
    <row r="283" spans="1:9">
      <c r="A283">
        <v>93481</v>
      </c>
      <c r="B283">
        <v>1046198</v>
      </c>
      <c r="C283">
        <v>2</v>
      </c>
      <c r="D283" t="s">
        <v>1695</v>
      </c>
      <c r="E283">
        <v>654</v>
      </c>
      <c r="F283" t="s">
        <v>41</v>
      </c>
      <c r="G283" t="s">
        <v>41</v>
      </c>
      <c r="I283" t="s">
        <v>77</v>
      </c>
    </row>
    <row r="284" spans="1:9">
      <c r="A284">
        <v>93536</v>
      </c>
      <c r="B284">
        <v>1046233</v>
      </c>
      <c r="C284">
        <v>1</v>
      </c>
      <c r="D284" t="s">
        <v>1695</v>
      </c>
      <c r="E284">
        <v>834</v>
      </c>
      <c r="F284" t="s">
        <v>41</v>
      </c>
      <c r="G284" t="s">
        <v>41</v>
      </c>
      <c r="I284" t="s">
        <v>77</v>
      </c>
    </row>
    <row r="285" spans="1:9">
      <c r="A285">
        <v>93537</v>
      </c>
      <c r="B285">
        <v>1046233</v>
      </c>
      <c r="C285">
        <v>2</v>
      </c>
      <c r="D285" t="s">
        <v>1696</v>
      </c>
      <c r="E285">
        <v>501</v>
      </c>
      <c r="F285" t="s">
        <v>41</v>
      </c>
      <c r="G285" t="s">
        <v>41</v>
      </c>
      <c r="I285" t="s">
        <v>77</v>
      </c>
    </row>
    <row r="286" spans="1:9">
      <c r="A286">
        <v>94119</v>
      </c>
      <c r="B286">
        <v>1046536</v>
      </c>
      <c r="C286">
        <v>1</v>
      </c>
      <c r="D286" t="s">
        <v>1695</v>
      </c>
      <c r="E286">
        <v>544</v>
      </c>
      <c r="F286" t="s">
        <v>41</v>
      </c>
      <c r="G286" t="s">
        <v>41</v>
      </c>
      <c r="I286" t="s">
        <v>77</v>
      </c>
    </row>
    <row r="287" spans="1:9">
      <c r="A287">
        <v>94120</v>
      </c>
      <c r="B287">
        <v>1046536</v>
      </c>
      <c r="C287">
        <v>2</v>
      </c>
      <c r="D287" t="s">
        <v>1695</v>
      </c>
      <c r="E287">
        <v>544</v>
      </c>
      <c r="F287" t="s">
        <v>41</v>
      </c>
      <c r="G287" t="s">
        <v>41</v>
      </c>
      <c r="I287" t="s">
        <v>77</v>
      </c>
    </row>
    <row r="288" spans="1:9">
      <c r="A288">
        <v>96391</v>
      </c>
      <c r="B288">
        <v>1047713</v>
      </c>
      <c r="C288">
        <v>1</v>
      </c>
      <c r="D288" t="s">
        <v>1695</v>
      </c>
      <c r="E288">
        <v>1049</v>
      </c>
      <c r="F288" t="s">
        <v>41</v>
      </c>
      <c r="G288" t="s">
        <v>41</v>
      </c>
      <c r="I288" t="s">
        <v>77</v>
      </c>
    </row>
    <row r="289" spans="1:9">
      <c r="A289">
        <v>96392</v>
      </c>
      <c r="B289">
        <v>1047713</v>
      </c>
      <c r="C289">
        <v>2</v>
      </c>
      <c r="D289" t="s">
        <v>1697</v>
      </c>
      <c r="E289">
        <v>524</v>
      </c>
      <c r="F289" t="s">
        <v>41</v>
      </c>
      <c r="G289" t="s">
        <v>41</v>
      </c>
      <c r="I289" t="s">
        <v>77</v>
      </c>
    </row>
    <row r="290" spans="1:9">
      <c r="A290">
        <v>98704</v>
      </c>
      <c r="B290">
        <v>1048875</v>
      </c>
      <c r="C290">
        <v>1</v>
      </c>
      <c r="D290" t="s">
        <v>1695</v>
      </c>
      <c r="E290">
        <v>3026</v>
      </c>
      <c r="F290" t="s">
        <v>41</v>
      </c>
      <c r="G290" t="s">
        <v>41</v>
      </c>
      <c r="I290" t="s">
        <v>77</v>
      </c>
    </row>
    <row r="291" spans="1:9">
      <c r="A291">
        <v>98705</v>
      </c>
      <c r="B291">
        <v>1048875</v>
      </c>
      <c r="C291">
        <v>2</v>
      </c>
      <c r="D291" t="s">
        <v>1695</v>
      </c>
      <c r="E291">
        <v>3026</v>
      </c>
      <c r="F291" t="s">
        <v>41</v>
      </c>
      <c r="G291" t="s">
        <v>41</v>
      </c>
      <c r="I291" t="s">
        <v>77</v>
      </c>
    </row>
    <row r="292" spans="1:9">
      <c r="A292">
        <v>98706</v>
      </c>
      <c r="B292">
        <v>1048875</v>
      </c>
      <c r="C292">
        <v>3</v>
      </c>
      <c r="D292" t="s">
        <v>1695</v>
      </c>
      <c r="E292">
        <v>3026</v>
      </c>
      <c r="F292" t="s">
        <v>41</v>
      </c>
      <c r="G292" t="s">
        <v>41</v>
      </c>
      <c r="I292" t="s">
        <v>77</v>
      </c>
    </row>
    <row r="293" spans="1:9">
      <c r="A293">
        <v>98929</v>
      </c>
      <c r="B293">
        <v>1048994</v>
      </c>
      <c r="C293">
        <v>1</v>
      </c>
      <c r="D293" t="s">
        <v>1695</v>
      </c>
      <c r="E293">
        <v>762</v>
      </c>
      <c r="F293" t="s">
        <v>41</v>
      </c>
      <c r="G293" t="s">
        <v>37</v>
      </c>
      <c r="H293">
        <v>10668</v>
      </c>
      <c r="I293" t="s">
        <v>77</v>
      </c>
    </row>
    <row r="294" spans="1:9">
      <c r="A294">
        <v>98930</v>
      </c>
      <c r="B294">
        <v>1048994</v>
      </c>
      <c r="C294">
        <v>2</v>
      </c>
      <c r="D294" t="s">
        <v>1695</v>
      </c>
      <c r="E294">
        <v>762</v>
      </c>
      <c r="F294" t="s">
        <v>41</v>
      </c>
      <c r="G294" t="s">
        <v>41</v>
      </c>
      <c r="I294" t="s">
        <v>77</v>
      </c>
    </row>
    <row r="295" spans="1:9">
      <c r="A295">
        <v>99649</v>
      </c>
      <c r="B295">
        <v>1049353</v>
      </c>
      <c r="C295">
        <v>1</v>
      </c>
      <c r="D295" t="s">
        <v>1695</v>
      </c>
      <c r="E295">
        <v>1049</v>
      </c>
      <c r="F295" t="s">
        <v>41</v>
      </c>
      <c r="G295" t="s">
        <v>41</v>
      </c>
      <c r="I295" t="s">
        <v>77</v>
      </c>
    </row>
    <row r="296" spans="1:9">
      <c r="A296">
        <v>99650</v>
      </c>
      <c r="B296">
        <v>1049353</v>
      </c>
      <c r="C296">
        <v>2</v>
      </c>
      <c r="D296" t="s">
        <v>1695</v>
      </c>
      <c r="E296">
        <v>1049</v>
      </c>
      <c r="F296" t="s">
        <v>41</v>
      </c>
      <c r="G296" t="s">
        <v>41</v>
      </c>
      <c r="I296" t="s">
        <v>77</v>
      </c>
    </row>
    <row r="297" spans="1:9">
      <c r="A297">
        <v>101395</v>
      </c>
      <c r="B297">
        <v>1050196</v>
      </c>
      <c r="C297">
        <v>1</v>
      </c>
      <c r="D297" t="s">
        <v>1695</v>
      </c>
      <c r="E297">
        <v>2402</v>
      </c>
      <c r="F297" t="s">
        <v>49</v>
      </c>
      <c r="G297" t="s">
        <v>49</v>
      </c>
      <c r="H297">
        <v>8770</v>
      </c>
      <c r="I297" t="s">
        <v>77</v>
      </c>
    </row>
    <row r="298" spans="1:9">
      <c r="A298">
        <v>102072</v>
      </c>
      <c r="B298">
        <v>1050534</v>
      </c>
      <c r="C298">
        <v>1</v>
      </c>
      <c r="D298" t="s">
        <v>1696</v>
      </c>
      <c r="E298">
        <v>522</v>
      </c>
      <c r="F298" t="s">
        <v>41</v>
      </c>
      <c r="G298" t="s">
        <v>41</v>
      </c>
      <c r="I298" t="s">
        <v>77</v>
      </c>
    </row>
    <row r="299" spans="1:9">
      <c r="A299">
        <v>102073</v>
      </c>
      <c r="B299">
        <v>1050534</v>
      </c>
      <c r="C299">
        <v>2</v>
      </c>
      <c r="D299" t="s">
        <v>1696</v>
      </c>
      <c r="E299">
        <v>522</v>
      </c>
      <c r="F299" t="s">
        <v>41</v>
      </c>
      <c r="G299" t="s">
        <v>41</v>
      </c>
      <c r="I299" t="s">
        <v>77</v>
      </c>
    </row>
    <row r="300" spans="1:9">
      <c r="A300">
        <v>102074</v>
      </c>
      <c r="B300">
        <v>1050534</v>
      </c>
      <c r="C300">
        <v>3</v>
      </c>
      <c r="D300" t="s">
        <v>1696</v>
      </c>
      <c r="E300">
        <v>522</v>
      </c>
      <c r="F300" t="s">
        <v>41</v>
      </c>
      <c r="G300" t="s">
        <v>41</v>
      </c>
      <c r="I300" t="s">
        <v>77</v>
      </c>
    </row>
    <row r="301" spans="1:9">
      <c r="A301">
        <v>102168</v>
      </c>
      <c r="B301">
        <v>1050575</v>
      </c>
      <c r="C301">
        <v>1</v>
      </c>
      <c r="D301" t="s">
        <v>1695</v>
      </c>
      <c r="E301">
        <v>4342</v>
      </c>
      <c r="F301" t="s">
        <v>41</v>
      </c>
      <c r="G301" t="s">
        <v>37</v>
      </c>
      <c r="H301">
        <v>8720</v>
      </c>
      <c r="I301" t="s">
        <v>77</v>
      </c>
    </row>
    <row r="302" spans="1:9">
      <c r="A302">
        <v>102169</v>
      </c>
      <c r="B302">
        <v>1050575</v>
      </c>
      <c r="C302">
        <v>2</v>
      </c>
      <c r="D302" t="s">
        <v>1697</v>
      </c>
      <c r="E302">
        <v>2171</v>
      </c>
      <c r="F302" t="s">
        <v>41</v>
      </c>
      <c r="G302" t="s">
        <v>37</v>
      </c>
      <c r="H302">
        <v>8720</v>
      </c>
      <c r="I302" t="s">
        <v>77</v>
      </c>
    </row>
    <row r="303" spans="1:9">
      <c r="A303">
        <v>102265</v>
      </c>
      <c r="B303">
        <v>1050620</v>
      </c>
      <c r="C303">
        <v>1</v>
      </c>
      <c r="D303" t="s">
        <v>1695</v>
      </c>
      <c r="E303">
        <v>2886</v>
      </c>
      <c r="F303" t="s">
        <v>49</v>
      </c>
      <c r="G303" t="s">
        <v>49</v>
      </c>
      <c r="H303">
        <v>8861</v>
      </c>
      <c r="I303" t="s">
        <v>77</v>
      </c>
    </row>
    <row r="304" spans="1:9">
      <c r="A304">
        <v>102385</v>
      </c>
      <c r="B304">
        <v>1050680</v>
      </c>
      <c r="C304">
        <v>1</v>
      </c>
      <c r="D304" t="s">
        <v>1695</v>
      </c>
      <c r="E304">
        <v>1390</v>
      </c>
      <c r="F304" t="s">
        <v>49</v>
      </c>
      <c r="G304" t="s">
        <v>37</v>
      </c>
      <c r="H304">
        <v>9437</v>
      </c>
      <c r="I304" t="s">
        <v>77</v>
      </c>
    </row>
    <row r="305" spans="1:9">
      <c r="A305">
        <v>103044</v>
      </c>
      <c r="B305">
        <v>1051001</v>
      </c>
      <c r="C305">
        <v>1</v>
      </c>
      <c r="D305" t="s">
        <v>1695</v>
      </c>
      <c r="E305">
        <v>654</v>
      </c>
      <c r="F305" t="s">
        <v>41</v>
      </c>
      <c r="G305" t="s">
        <v>41</v>
      </c>
      <c r="I305" t="s">
        <v>77</v>
      </c>
    </row>
    <row r="306" spans="1:9">
      <c r="A306">
        <v>103045</v>
      </c>
      <c r="B306">
        <v>1051001</v>
      </c>
      <c r="C306">
        <v>2</v>
      </c>
      <c r="D306" t="s">
        <v>1695</v>
      </c>
      <c r="E306">
        <v>654</v>
      </c>
      <c r="F306" t="s">
        <v>41</v>
      </c>
      <c r="G306" t="s">
        <v>41</v>
      </c>
      <c r="I306" t="s">
        <v>77</v>
      </c>
    </row>
    <row r="307" spans="1:9">
      <c r="A307">
        <v>103712</v>
      </c>
      <c r="B307">
        <v>1051333</v>
      </c>
      <c r="C307">
        <v>1</v>
      </c>
      <c r="D307" t="s">
        <v>1695</v>
      </c>
      <c r="E307">
        <v>1049</v>
      </c>
      <c r="F307" t="s">
        <v>41</v>
      </c>
      <c r="G307" t="s">
        <v>41</v>
      </c>
      <c r="I307" t="s">
        <v>77</v>
      </c>
    </row>
    <row r="308" spans="1:9">
      <c r="A308">
        <v>103713</v>
      </c>
      <c r="B308">
        <v>1051333</v>
      </c>
      <c r="C308">
        <v>2</v>
      </c>
      <c r="D308" t="s">
        <v>1695</v>
      </c>
      <c r="E308">
        <v>1049</v>
      </c>
      <c r="F308" t="s">
        <v>41</v>
      </c>
      <c r="G308" t="s">
        <v>41</v>
      </c>
      <c r="I308" t="s">
        <v>77</v>
      </c>
    </row>
    <row r="309" spans="1:9">
      <c r="A309">
        <v>104125</v>
      </c>
      <c r="B309">
        <v>1051550</v>
      </c>
      <c r="C309">
        <v>1</v>
      </c>
      <c r="D309" t="s">
        <v>1695</v>
      </c>
      <c r="E309">
        <v>1183</v>
      </c>
      <c r="F309" t="s">
        <v>41</v>
      </c>
      <c r="G309" t="s">
        <v>41</v>
      </c>
      <c r="I309" t="s">
        <v>77</v>
      </c>
    </row>
    <row r="310" spans="1:9">
      <c r="A310">
        <v>104126</v>
      </c>
      <c r="B310">
        <v>1051550</v>
      </c>
      <c r="C310">
        <v>2</v>
      </c>
      <c r="D310" t="s">
        <v>1697</v>
      </c>
      <c r="E310">
        <v>592</v>
      </c>
      <c r="F310" t="s">
        <v>41</v>
      </c>
      <c r="G310" t="s">
        <v>41</v>
      </c>
      <c r="I310" t="s">
        <v>77</v>
      </c>
    </row>
    <row r="311" spans="1:9">
      <c r="A311">
        <v>104127</v>
      </c>
      <c r="B311">
        <v>1051550</v>
      </c>
      <c r="C311">
        <v>3</v>
      </c>
      <c r="D311" t="s">
        <v>1697</v>
      </c>
      <c r="E311">
        <v>592</v>
      </c>
      <c r="F311" t="s">
        <v>41</v>
      </c>
      <c r="G311" t="s">
        <v>41</v>
      </c>
      <c r="I311" t="s">
        <v>77</v>
      </c>
    </row>
    <row r="312" spans="1:9">
      <c r="A312">
        <v>104128</v>
      </c>
      <c r="B312">
        <v>1051550</v>
      </c>
      <c r="C312">
        <v>4</v>
      </c>
      <c r="D312" t="s">
        <v>1695</v>
      </c>
      <c r="E312">
        <v>1183</v>
      </c>
      <c r="F312" t="s">
        <v>41</v>
      </c>
      <c r="G312" t="s">
        <v>41</v>
      </c>
      <c r="I312" t="s">
        <v>77</v>
      </c>
    </row>
    <row r="313" spans="1:9">
      <c r="A313">
        <v>104129</v>
      </c>
      <c r="B313">
        <v>1051550</v>
      </c>
      <c r="C313">
        <v>5</v>
      </c>
      <c r="D313" t="s">
        <v>1695</v>
      </c>
      <c r="E313">
        <v>1183</v>
      </c>
      <c r="F313" t="s">
        <v>41</v>
      </c>
      <c r="G313" t="s">
        <v>41</v>
      </c>
      <c r="I313" t="s">
        <v>77</v>
      </c>
    </row>
    <row r="314" spans="1:9">
      <c r="A314">
        <v>104572</v>
      </c>
      <c r="B314">
        <v>1051773</v>
      </c>
      <c r="C314">
        <v>1</v>
      </c>
      <c r="D314" t="s">
        <v>1695</v>
      </c>
      <c r="E314">
        <v>2520</v>
      </c>
      <c r="F314" t="s">
        <v>41</v>
      </c>
      <c r="G314" t="s">
        <v>41</v>
      </c>
      <c r="I314" t="s">
        <v>77</v>
      </c>
    </row>
    <row r="315" spans="1:9">
      <c r="A315">
        <v>104615</v>
      </c>
      <c r="B315">
        <v>1051794</v>
      </c>
      <c r="C315">
        <v>1</v>
      </c>
      <c r="D315" t="s">
        <v>1695</v>
      </c>
      <c r="E315">
        <v>950</v>
      </c>
      <c r="F315" t="s">
        <v>47</v>
      </c>
      <c r="G315" t="s">
        <v>41</v>
      </c>
      <c r="I315" t="s">
        <v>77</v>
      </c>
    </row>
    <row r="316" spans="1:9">
      <c r="A316">
        <v>104616</v>
      </c>
      <c r="B316">
        <v>1051794</v>
      </c>
      <c r="C316">
        <v>2</v>
      </c>
      <c r="D316" t="s">
        <v>1696</v>
      </c>
      <c r="E316">
        <v>570</v>
      </c>
      <c r="F316" t="s">
        <v>47</v>
      </c>
      <c r="G316" t="s">
        <v>41</v>
      </c>
      <c r="I316" t="s">
        <v>77</v>
      </c>
    </row>
    <row r="317" spans="1:9">
      <c r="A317">
        <v>104617</v>
      </c>
      <c r="B317">
        <v>1051794</v>
      </c>
      <c r="C317">
        <v>3</v>
      </c>
      <c r="D317" t="s">
        <v>1695</v>
      </c>
      <c r="E317">
        <v>950</v>
      </c>
      <c r="F317" t="s">
        <v>47</v>
      </c>
      <c r="G317" t="s">
        <v>41</v>
      </c>
      <c r="I317" t="s">
        <v>77</v>
      </c>
    </row>
    <row r="318" spans="1:9">
      <c r="A318">
        <v>105651</v>
      </c>
      <c r="B318">
        <v>1052314</v>
      </c>
      <c r="C318">
        <v>1</v>
      </c>
      <c r="D318" t="s">
        <v>1696</v>
      </c>
      <c r="E318">
        <v>501</v>
      </c>
      <c r="F318" t="s">
        <v>41</v>
      </c>
      <c r="G318" t="s">
        <v>41</v>
      </c>
      <c r="I318" t="s">
        <v>77</v>
      </c>
    </row>
    <row r="319" spans="1:9">
      <c r="A319">
        <v>106410</v>
      </c>
      <c r="B319">
        <v>1052682</v>
      </c>
      <c r="C319">
        <v>1</v>
      </c>
      <c r="D319" t="s">
        <v>1695</v>
      </c>
      <c r="E319">
        <v>2402</v>
      </c>
      <c r="F319" t="s">
        <v>41</v>
      </c>
      <c r="G319" t="s">
        <v>37</v>
      </c>
      <c r="H319">
        <v>10121</v>
      </c>
      <c r="I319" t="s">
        <v>77</v>
      </c>
    </row>
    <row r="320" spans="1:9">
      <c r="A320">
        <v>106411</v>
      </c>
      <c r="B320">
        <v>1052682</v>
      </c>
      <c r="C320">
        <v>2</v>
      </c>
      <c r="D320" t="s">
        <v>1697</v>
      </c>
      <c r="E320">
        <v>1201</v>
      </c>
      <c r="F320" t="s">
        <v>41</v>
      </c>
      <c r="G320" t="s">
        <v>41</v>
      </c>
      <c r="I320" t="s">
        <v>77</v>
      </c>
    </row>
    <row r="321" spans="1:9">
      <c r="A321">
        <v>108252</v>
      </c>
      <c r="B321">
        <v>1053583</v>
      </c>
      <c r="C321">
        <v>1</v>
      </c>
      <c r="D321" t="s">
        <v>1695</v>
      </c>
      <c r="E321">
        <v>2429</v>
      </c>
      <c r="F321" t="s">
        <v>41</v>
      </c>
      <c r="G321" t="s">
        <v>41</v>
      </c>
      <c r="I321" t="s">
        <v>77</v>
      </c>
    </row>
    <row r="322" spans="1:9">
      <c r="A322">
        <v>108912</v>
      </c>
      <c r="B322">
        <v>1053912</v>
      </c>
      <c r="C322">
        <v>1</v>
      </c>
      <c r="D322" t="s">
        <v>1695</v>
      </c>
      <c r="E322">
        <v>1131</v>
      </c>
      <c r="F322" t="s">
        <v>41</v>
      </c>
      <c r="G322" t="s">
        <v>41</v>
      </c>
      <c r="I322" t="s">
        <v>77</v>
      </c>
    </row>
    <row r="323" spans="1:9">
      <c r="A323">
        <v>108913</v>
      </c>
      <c r="B323">
        <v>1053912</v>
      </c>
      <c r="C323">
        <v>2</v>
      </c>
      <c r="D323" t="s">
        <v>1695</v>
      </c>
      <c r="E323">
        <v>1131</v>
      </c>
      <c r="F323" t="s">
        <v>41</v>
      </c>
      <c r="G323" t="s">
        <v>41</v>
      </c>
      <c r="I323" t="s">
        <v>77</v>
      </c>
    </row>
    <row r="324" spans="1:9">
      <c r="A324">
        <v>108914</v>
      </c>
      <c r="B324">
        <v>1053912</v>
      </c>
      <c r="C324">
        <v>3</v>
      </c>
      <c r="D324" t="s">
        <v>1695</v>
      </c>
      <c r="E324">
        <v>1131</v>
      </c>
      <c r="F324" t="s">
        <v>41</v>
      </c>
      <c r="G324" t="s">
        <v>41</v>
      </c>
      <c r="I324" t="s">
        <v>77</v>
      </c>
    </row>
    <row r="325" spans="1:9">
      <c r="A325">
        <v>108915</v>
      </c>
      <c r="B325">
        <v>1053912</v>
      </c>
      <c r="C325">
        <v>4</v>
      </c>
      <c r="D325" t="s">
        <v>1696</v>
      </c>
      <c r="E325">
        <v>679</v>
      </c>
      <c r="F325" t="s">
        <v>41</v>
      </c>
      <c r="G325" t="s">
        <v>41</v>
      </c>
      <c r="I325" t="s">
        <v>77</v>
      </c>
    </row>
    <row r="326" spans="1:9">
      <c r="A326">
        <v>108916</v>
      </c>
      <c r="B326">
        <v>1053912</v>
      </c>
      <c r="C326">
        <v>5</v>
      </c>
      <c r="D326" t="s">
        <v>1695</v>
      </c>
      <c r="E326">
        <v>1131</v>
      </c>
      <c r="F326" t="s">
        <v>41</v>
      </c>
      <c r="G326" t="s">
        <v>41</v>
      </c>
      <c r="I326" t="s">
        <v>77</v>
      </c>
    </row>
    <row r="327" spans="1:9">
      <c r="A327">
        <v>108917</v>
      </c>
      <c r="B327">
        <v>1053912</v>
      </c>
      <c r="C327">
        <v>6</v>
      </c>
      <c r="D327" t="s">
        <v>1695</v>
      </c>
      <c r="E327">
        <v>1131</v>
      </c>
      <c r="F327" t="s">
        <v>41</v>
      </c>
      <c r="G327" t="s">
        <v>41</v>
      </c>
      <c r="I327" t="s">
        <v>77</v>
      </c>
    </row>
    <row r="328" spans="1:9">
      <c r="A328">
        <v>109847</v>
      </c>
      <c r="B328">
        <v>1054382</v>
      </c>
      <c r="C328">
        <v>1</v>
      </c>
      <c r="D328" t="s">
        <v>1695</v>
      </c>
      <c r="E328">
        <v>2211</v>
      </c>
      <c r="F328" t="s">
        <v>41</v>
      </c>
      <c r="G328" t="s">
        <v>37</v>
      </c>
      <c r="H328">
        <v>10126</v>
      </c>
      <c r="I328" t="s">
        <v>77</v>
      </c>
    </row>
    <row r="329" spans="1:9">
      <c r="A329">
        <v>109848</v>
      </c>
      <c r="B329">
        <v>1054382</v>
      </c>
      <c r="C329">
        <v>2</v>
      </c>
      <c r="D329" t="s">
        <v>1695</v>
      </c>
      <c r="E329">
        <v>2211</v>
      </c>
      <c r="F329" t="s">
        <v>41</v>
      </c>
      <c r="G329" t="s">
        <v>37</v>
      </c>
      <c r="H329">
        <v>10126</v>
      </c>
      <c r="I329" t="s">
        <v>77</v>
      </c>
    </row>
    <row r="330" spans="1:9">
      <c r="A330">
        <v>110887</v>
      </c>
      <c r="B330">
        <v>1054902</v>
      </c>
      <c r="C330">
        <v>1</v>
      </c>
      <c r="D330" t="s">
        <v>1695</v>
      </c>
      <c r="E330">
        <v>3520</v>
      </c>
      <c r="F330" t="s">
        <v>41</v>
      </c>
      <c r="G330" t="s">
        <v>41</v>
      </c>
      <c r="I330" t="s">
        <v>77</v>
      </c>
    </row>
    <row r="331" spans="1:9">
      <c r="A331">
        <v>113267</v>
      </c>
      <c r="B331">
        <v>1056099</v>
      </c>
      <c r="C331">
        <v>1</v>
      </c>
      <c r="D331" t="s">
        <v>1695</v>
      </c>
      <c r="E331">
        <v>2429</v>
      </c>
      <c r="F331" t="s">
        <v>41</v>
      </c>
      <c r="G331" t="s">
        <v>37</v>
      </c>
      <c r="H331">
        <v>15200</v>
      </c>
      <c r="I331" t="s">
        <v>77</v>
      </c>
    </row>
    <row r="332" spans="1:9">
      <c r="A332">
        <v>113268</v>
      </c>
      <c r="B332">
        <v>1056099</v>
      </c>
      <c r="C332">
        <v>2</v>
      </c>
      <c r="D332" t="s">
        <v>1695</v>
      </c>
      <c r="E332">
        <v>2429</v>
      </c>
      <c r="F332" t="s">
        <v>41</v>
      </c>
      <c r="G332" t="s">
        <v>37</v>
      </c>
      <c r="H332">
        <v>15200</v>
      </c>
      <c r="I332" t="s">
        <v>77</v>
      </c>
    </row>
    <row r="333" spans="1:9">
      <c r="A333">
        <v>113812</v>
      </c>
      <c r="B333">
        <v>1056380</v>
      </c>
      <c r="C333">
        <v>1</v>
      </c>
      <c r="D333" t="s">
        <v>1696</v>
      </c>
      <c r="E333">
        <v>605</v>
      </c>
      <c r="F333" t="s">
        <v>41</v>
      </c>
      <c r="G333" t="s">
        <v>37</v>
      </c>
      <c r="H333">
        <v>10477</v>
      </c>
      <c r="I333" t="s">
        <v>77</v>
      </c>
    </row>
    <row r="334" spans="1:9">
      <c r="A334">
        <v>113813</v>
      </c>
      <c r="B334">
        <v>1056380</v>
      </c>
      <c r="C334">
        <v>2</v>
      </c>
      <c r="D334" t="s">
        <v>1695</v>
      </c>
      <c r="E334">
        <v>1008</v>
      </c>
      <c r="F334" t="s">
        <v>41</v>
      </c>
      <c r="G334" t="s">
        <v>37</v>
      </c>
      <c r="H334">
        <v>10477</v>
      </c>
      <c r="I334" t="s">
        <v>77</v>
      </c>
    </row>
    <row r="335" spans="1:9">
      <c r="A335">
        <v>113814</v>
      </c>
      <c r="B335">
        <v>1056380</v>
      </c>
      <c r="C335">
        <v>3</v>
      </c>
      <c r="D335" t="s">
        <v>1695</v>
      </c>
      <c r="E335">
        <v>1008</v>
      </c>
      <c r="F335" t="s">
        <v>41</v>
      </c>
      <c r="G335" t="s">
        <v>37</v>
      </c>
      <c r="H335">
        <v>10477</v>
      </c>
      <c r="I335" t="s">
        <v>77</v>
      </c>
    </row>
    <row r="336" spans="1:9">
      <c r="A336">
        <v>113815</v>
      </c>
      <c r="B336">
        <v>1056380</v>
      </c>
      <c r="C336">
        <v>4</v>
      </c>
      <c r="D336" t="s">
        <v>1696</v>
      </c>
      <c r="E336">
        <v>605</v>
      </c>
      <c r="F336" t="s">
        <v>41</v>
      </c>
      <c r="G336" t="s">
        <v>37</v>
      </c>
      <c r="H336">
        <v>10477</v>
      </c>
      <c r="I336" t="s">
        <v>77</v>
      </c>
    </row>
    <row r="337" spans="1:9">
      <c r="A337">
        <v>114383</v>
      </c>
      <c r="B337">
        <v>1056639</v>
      </c>
      <c r="C337">
        <v>1</v>
      </c>
      <c r="D337" t="s">
        <v>1695</v>
      </c>
      <c r="E337">
        <v>870</v>
      </c>
      <c r="F337" t="s">
        <v>41</v>
      </c>
      <c r="G337" t="s">
        <v>41</v>
      </c>
      <c r="I337" t="s">
        <v>77</v>
      </c>
    </row>
    <row r="338" spans="1:9">
      <c r="A338">
        <v>115107</v>
      </c>
      <c r="B338">
        <v>1057021</v>
      </c>
      <c r="C338">
        <v>1</v>
      </c>
      <c r="D338" t="s">
        <v>1696</v>
      </c>
      <c r="E338">
        <v>326</v>
      </c>
      <c r="F338" t="s">
        <v>1698</v>
      </c>
      <c r="G338" t="s">
        <v>41</v>
      </c>
      <c r="I338" t="s">
        <v>77</v>
      </c>
    </row>
    <row r="339" spans="1:9">
      <c r="A339">
        <v>115458</v>
      </c>
      <c r="B339">
        <v>1057195</v>
      </c>
      <c r="C339">
        <v>1</v>
      </c>
      <c r="D339" t="s">
        <v>1695</v>
      </c>
      <c r="E339">
        <v>2402</v>
      </c>
      <c r="F339" t="s">
        <v>49</v>
      </c>
      <c r="G339" t="s">
        <v>49</v>
      </c>
      <c r="H339">
        <v>10185</v>
      </c>
      <c r="I339" t="s">
        <v>77</v>
      </c>
    </row>
    <row r="340" spans="1:9">
      <c r="A340">
        <v>115459</v>
      </c>
      <c r="B340">
        <v>1057195</v>
      </c>
      <c r="C340">
        <v>2</v>
      </c>
      <c r="D340" t="s">
        <v>1695</v>
      </c>
      <c r="E340">
        <v>2402</v>
      </c>
      <c r="F340" t="s">
        <v>49</v>
      </c>
      <c r="G340" t="s">
        <v>49</v>
      </c>
      <c r="H340">
        <v>10185</v>
      </c>
      <c r="I340" t="s">
        <v>77</v>
      </c>
    </row>
    <row r="341" spans="1:9">
      <c r="A341">
        <v>115965</v>
      </c>
      <c r="B341">
        <v>1057459</v>
      </c>
      <c r="C341">
        <v>1</v>
      </c>
      <c r="D341" t="s">
        <v>1695</v>
      </c>
      <c r="E341">
        <v>1183</v>
      </c>
      <c r="F341" t="s">
        <v>41</v>
      </c>
      <c r="G341" t="s">
        <v>41</v>
      </c>
      <c r="I341" t="s">
        <v>77</v>
      </c>
    </row>
    <row r="342" spans="1:9">
      <c r="A342">
        <v>116691</v>
      </c>
      <c r="B342">
        <v>1057808</v>
      </c>
      <c r="C342">
        <v>1</v>
      </c>
      <c r="D342" t="s">
        <v>1695</v>
      </c>
      <c r="E342">
        <v>834</v>
      </c>
      <c r="F342" t="s">
        <v>41</v>
      </c>
      <c r="G342" t="s">
        <v>41</v>
      </c>
      <c r="I342" t="s">
        <v>77</v>
      </c>
    </row>
    <row r="343" spans="1:9">
      <c r="A343">
        <v>117125</v>
      </c>
      <c r="B343">
        <v>1058027</v>
      </c>
      <c r="C343">
        <v>1</v>
      </c>
      <c r="D343" t="s">
        <v>1695</v>
      </c>
      <c r="E343">
        <v>1731</v>
      </c>
      <c r="F343" t="s">
        <v>47</v>
      </c>
      <c r="G343" t="s">
        <v>37</v>
      </c>
      <c r="H343">
        <v>12095</v>
      </c>
      <c r="I343" t="s">
        <v>77</v>
      </c>
    </row>
    <row r="344" spans="1:9">
      <c r="A344">
        <v>117126</v>
      </c>
      <c r="B344">
        <v>1058027</v>
      </c>
      <c r="C344">
        <v>2</v>
      </c>
      <c r="D344" t="s">
        <v>1695</v>
      </c>
      <c r="E344">
        <v>1731</v>
      </c>
      <c r="F344" t="s">
        <v>47</v>
      </c>
      <c r="G344" t="s">
        <v>37</v>
      </c>
      <c r="H344">
        <v>12095</v>
      </c>
      <c r="I344" t="s">
        <v>77</v>
      </c>
    </row>
    <row r="345" spans="1:9">
      <c r="A345">
        <v>117127</v>
      </c>
      <c r="B345">
        <v>1058027</v>
      </c>
      <c r="C345">
        <v>3</v>
      </c>
      <c r="D345" t="s">
        <v>1696</v>
      </c>
      <c r="E345">
        <v>1039</v>
      </c>
      <c r="F345" t="s">
        <v>47</v>
      </c>
      <c r="G345" t="s">
        <v>37</v>
      </c>
      <c r="H345">
        <v>12095</v>
      </c>
      <c r="I345" t="s">
        <v>77</v>
      </c>
    </row>
    <row r="346" spans="1:9">
      <c r="A346">
        <v>117689</v>
      </c>
      <c r="B346">
        <v>1058296</v>
      </c>
      <c r="C346">
        <v>1</v>
      </c>
      <c r="D346" t="s">
        <v>1695</v>
      </c>
      <c r="E346">
        <v>753</v>
      </c>
      <c r="F346" t="s">
        <v>41</v>
      </c>
      <c r="G346" t="s">
        <v>41</v>
      </c>
      <c r="I346" t="s">
        <v>77</v>
      </c>
    </row>
    <row r="347" spans="1:9">
      <c r="A347">
        <v>118896</v>
      </c>
      <c r="B347">
        <v>1058903</v>
      </c>
      <c r="C347">
        <v>1</v>
      </c>
      <c r="D347" t="s">
        <v>1695</v>
      </c>
      <c r="E347">
        <v>916</v>
      </c>
      <c r="F347" t="s">
        <v>41</v>
      </c>
      <c r="G347" t="s">
        <v>41</v>
      </c>
      <c r="I347" t="s">
        <v>77</v>
      </c>
    </row>
    <row r="348" spans="1:9">
      <c r="A348">
        <v>118897</v>
      </c>
      <c r="B348">
        <v>1058903</v>
      </c>
      <c r="C348">
        <v>2</v>
      </c>
      <c r="D348" t="s">
        <v>1696</v>
      </c>
      <c r="E348">
        <v>549</v>
      </c>
      <c r="F348" t="s">
        <v>41</v>
      </c>
      <c r="G348" t="s">
        <v>41</v>
      </c>
      <c r="I348" t="s">
        <v>77</v>
      </c>
    </row>
    <row r="349" spans="1:9">
      <c r="A349">
        <v>119496</v>
      </c>
      <c r="B349">
        <v>1059208</v>
      </c>
      <c r="C349">
        <v>1</v>
      </c>
      <c r="D349" t="s">
        <v>1695</v>
      </c>
      <c r="E349">
        <v>1731</v>
      </c>
      <c r="F349" t="s">
        <v>41</v>
      </c>
      <c r="G349" t="s">
        <v>41</v>
      </c>
      <c r="I349" t="s">
        <v>77</v>
      </c>
    </row>
    <row r="350" spans="1:9">
      <c r="A350">
        <v>119841</v>
      </c>
      <c r="B350">
        <v>1059369</v>
      </c>
      <c r="C350">
        <v>1</v>
      </c>
      <c r="D350" t="s">
        <v>1696</v>
      </c>
      <c r="E350">
        <v>524</v>
      </c>
      <c r="F350" t="s">
        <v>41</v>
      </c>
      <c r="G350" t="s">
        <v>41</v>
      </c>
      <c r="I350" t="s">
        <v>77</v>
      </c>
    </row>
    <row r="351" spans="1:9">
      <c r="A351">
        <v>119842</v>
      </c>
      <c r="B351">
        <v>1059369</v>
      </c>
      <c r="C351">
        <v>2</v>
      </c>
      <c r="D351" t="s">
        <v>1695</v>
      </c>
      <c r="E351">
        <v>872</v>
      </c>
      <c r="F351" t="s">
        <v>41</v>
      </c>
      <c r="G351" t="s">
        <v>41</v>
      </c>
      <c r="I351" t="s">
        <v>77</v>
      </c>
    </row>
    <row r="352" spans="1:9">
      <c r="A352">
        <v>120712</v>
      </c>
      <c r="B352">
        <v>1059807</v>
      </c>
      <c r="C352">
        <v>1</v>
      </c>
      <c r="D352" t="s">
        <v>1695</v>
      </c>
      <c r="E352">
        <v>2402</v>
      </c>
      <c r="F352" t="s">
        <v>41</v>
      </c>
      <c r="G352" t="s">
        <v>41</v>
      </c>
      <c r="I352" t="s">
        <v>77</v>
      </c>
    </row>
    <row r="353" spans="1:9">
      <c r="A353">
        <v>120713</v>
      </c>
      <c r="B353">
        <v>1059807</v>
      </c>
      <c r="C353">
        <v>2</v>
      </c>
      <c r="D353" t="s">
        <v>1695</v>
      </c>
      <c r="E353">
        <v>2402</v>
      </c>
      <c r="F353" t="s">
        <v>41</v>
      </c>
      <c r="G353" t="s">
        <v>41</v>
      </c>
      <c r="I353" t="s">
        <v>77</v>
      </c>
    </row>
    <row r="354" spans="1:9">
      <c r="A354">
        <v>120714</v>
      </c>
      <c r="B354">
        <v>1059807</v>
      </c>
      <c r="C354">
        <v>3</v>
      </c>
      <c r="D354" t="s">
        <v>1695</v>
      </c>
      <c r="E354">
        <v>2402</v>
      </c>
      <c r="F354" t="s">
        <v>41</v>
      </c>
      <c r="G354" t="s">
        <v>41</v>
      </c>
      <c r="I354" t="s">
        <v>77</v>
      </c>
    </row>
    <row r="355" spans="1:9">
      <c r="A355">
        <v>120715</v>
      </c>
      <c r="B355">
        <v>1059807</v>
      </c>
      <c r="C355">
        <v>4</v>
      </c>
      <c r="D355" t="s">
        <v>1695</v>
      </c>
      <c r="E355">
        <v>2402</v>
      </c>
      <c r="F355" t="s">
        <v>41</v>
      </c>
      <c r="G355" t="s">
        <v>41</v>
      </c>
      <c r="I355" t="s">
        <v>77</v>
      </c>
    </row>
    <row r="356" spans="1:9">
      <c r="A356">
        <v>120716</v>
      </c>
      <c r="B356">
        <v>1059807</v>
      </c>
      <c r="C356">
        <v>5</v>
      </c>
      <c r="D356" t="s">
        <v>1696</v>
      </c>
      <c r="E356">
        <v>1441</v>
      </c>
      <c r="F356" t="s">
        <v>41</v>
      </c>
      <c r="G356" t="s">
        <v>41</v>
      </c>
      <c r="I356" t="s">
        <v>77</v>
      </c>
    </row>
    <row r="357" spans="1:9">
      <c r="A357">
        <v>121483</v>
      </c>
      <c r="B357">
        <v>1060211</v>
      </c>
      <c r="C357">
        <v>1</v>
      </c>
      <c r="D357" t="s">
        <v>1695</v>
      </c>
      <c r="E357">
        <v>834</v>
      </c>
      <c r="F357" t="s">
        <v>49</v>
      </c>
      <c r="G357" t="s">
        <v>37</v>
      </c>
      <c r="H357">
        <v>11174</v>
      </c>
      <c r="I357" t="s">
        <v>77</v>
      </c>
    </row>
    <row r="358" spans="1:9">
      <c r="A358">
        <v>121484</v>
      </c>
      <c r="B358">
        <v>1060211</v>
      </c>
      <c r="C358">
        <v>2</v>
      </c>
      <c r="D358" t="s">
        <v>1695</v>
      </c>
      <c r="E358">
        <v>834</v>
      </c>
      <c r="F358" t="s">
        <v>49</v>
      </c>
      <c r="G358" t="s">
        <v>37</v>
      </c>
      <c r="H358">
        <v>11174</v>
      </c>
      <c r="I358" t="s">
        <v>77</v>
      </c>
    </row>
    <row r="359" spans="1:9">
      <c r="A359">
        <v>121746</v>
      </c>
      <c r="B359">
        <v>1060349</v>
      </c>
      <c r="C359">
        <v>1</v>
      </c>
      <c r="D359" t="s">
        <v>1695</v>
      </c>
      <c r="E359">
        <v>2402</v>
      </c>
      <c r="F359" t="s">
        <v>41</v>
      </c>
      <c r="G359" t="s">
        <v>41</v>
      </c>
      <c r="I359" t="s">
        <v>77</v>
      </c>
    </row>
    <row r="360" spans="1:9">
      <c r="A360">
        <v>121747</v>
      </c>
      <c r="B360">
        <v>1060349</v>
      </c>
      <c r="C360">
        <v>2</v>
      </c>
      <c r="D360" t="s">
        <v>1696</v>
      </c>
      <c r="E360">
        <v>1441</v>
      </c>
      <c r="F360" t="s">
        <v>41</v>
      </c>
      <c r="G360" t="s">
        <v>41</v>
      </c>
      <c r="I360" t="s">
        <v>77</v>
      </c>
    </row>
    <row r="361" spans="1:9">
      <c r="A361">
        <v>122935</v>
      </c>
      <c r="B361">
        <v>1060922</v>
      </c>
      <c r="C361">
        <v>1</v>
      </c>
      <c r="D361" t="s">
        <v>1695</v>
      </c>
      <c r="E361">
        <v>4342</v>
      </c>
      <c r="F361" t="s">
        <v>41</v>
      </c>
      <c r="G361" t="s">
        <v>41</v>
      </c>
      <c r="I361" t="s">
        <v>77</v>
      </c>
    </row>
    <row r="362" spans="1:9">
      <c r="A362">
        <v>123814</v>
      </c>
      <c r="B362">
        <v>1061363</v>
      </c>
      <c r="C362">
        <v>1</v>
      </c>
      <c r="D362" t="s">
        <v>1696</v>
      </c>
      <c r="E362">
        <v>349</v>
      </c>
      <c r="F362" t="s">
        <v>41</v>
      </c>
      <c r="G362" t="s">
        <v>41</v>
      </c>
      <c r="I362" t="s">
        <v>77</v>
      </c>
    </row>
    <row r="363" spans="1:9">
      <c r="A363">
        <v>125305</v>
      </c>
      <c r="B363">
        <v>1062055</v>
      </c>
      <c r="C363">
        <v>1</v>
      </c>
      <c r="D363" t="s">
        <v>1695</v>
      </c>
      <c r="E363">
        <v>1379</v>
      </c>
      <c r="F363" t="s">
        <v>41</v>
      </c>
      <c r="G363" t="s">
        <v>37</v>
      </c>
      <c r="H363">
        <v>13048</v>
      </c>
      <c r="I363" t="s">
        <v>77</v>
      </c>
    </row>
    <row r="364" spans="1:9">
      <c r="A364">
        <v>125334</v>
      </c>
      <c r="B364">
        <v>1062073</v>
      </c>
      <c r="C364">
        <v>1</v>
      </c>
      <c r="D364" t="s">
        <v>1695</v>
      </c>
      <c r="E364">
        <v>753</v>
      </c>
      <c r="F364" t="s">
        <v>41</v>
      </c>
      <c r="G364" t="s">
        <v>41</v>
      </c>
      <c r="I364" t="s">
        <v>77</v>
      </c>
    </row>
    <row r="365" spans="1:9">
      <c r="A365">
        <v>125335</v>
      </c>
      <c r="B365">
        <v>1062073</v>
      </c>
      <c r="C365">
        <v>2</v>
      </c>
      <c r="D365" t="s">
        <v>1697</v>
      </c>
      <c r="E365">
        <v>376</v>
      </c>
      <c r="F365" t="s">
        <v>41</v>
      </c>
      <c r="G365" t="s">
        <v>41</v>
      </c>
      <c r="I365" t="s">
        <v>77</v>
      </c>
    </row>
    <row r="366" spans="1:9">
      <c r="A366">
        <v>125336</v>
      </c>
      <c r="B366">
        <v>1062073</v>
      </c>
      <c r="C366">
        <v>3</v>
      </c>
      <c r="D366" t="s">
        <v>1695</v>
      </c>
      <c r="E366">
        <v>753</v>
      </c>
      <c r="F366" t="s">
        <v>41</v>
      </c>
      <c r="G366" t="s">
        <v>41</v>
      </c>
      <c r="I366" t="s">
        <v>77</v>
      </c>
    </row>
    <row r="367" spans="1:9">
      <c r="A367">
        <v>125337</v>
      </c>
      <c r="B367">
        <v>1062073</v>
      </c>
      <c r="C367">
        <v>4</v>
      </c>
      <c r="D367" t="s">
        <v>1695</v>
      </c>
      <c r="E367">
        <v>753</v>
      </c>
      <c r="F367" t="s">
        <v>41</v>
      </c>
      <c r="G367" t="s">
        <v>41</v>
      </c>
      <c r="I367" t="s">
        <v>77</v>
      </c>
    </row>
    <row r="368" spans="1:9">
      <c r="A368">
        <v>125528</v>
      </c>
      <c r="B368">
        <v>1062167</v>
      </c>
      <c r="C368">
        <v>1</v>
      </c>
      <c r="D368" t="s">
        <v>1695</v>
      </c>
      <c r="E368">
        <v>790</v>
      </c>
      <c r="F368" t="s">
        <v>41</v>
      </c>
      <c r="G368" t="s">
        <v>41</v>
      </c>
      <c r="I368" t="s">
        <v>77</v>
      </c>
    </row>
    <row r="369" spans="1:9">
      <c r="A369">
        <v>125552</v>
      </c>
      <c r="B369">
        <v>1062180</v>
      </c>
      <c r="C369">
        <v>1</v>
      </c>
      <c r="D369" t="s">
        <v>1695</v>
      </c>
      <c r="E369">
        <v>906</v>
      </c>
      <c r="F369" t="s">
        <v>41</v>
      </c>
      <c r="G369" t="s">
        <v>41</v>
      </c>
      <c r="I369" t="s">
        <v>77</v>
      </c>
    </row>
    <row r="370" spans="1:9">
      <c r="A370">
        <v>125703</v>
      </c>
      <c r="B370">
        <v>1062244</v>
      </c>
      <c r="C370">
        <v>1</v>
      </c>
      <c r="D370" t="s">
        <v>1695</v>
      </c>
      <c r="E370">
        <v>654</v>
      </c>
      <c r="F370" t="s">
        <v>41</v>
      </c>
      <c r="G370" t="s">
        <v>41</v>
      </c>
      <c r="I370" t="s">
        <v>77</v>
      </c>
    </row>
    <row r="371" spans="1:9">
      <c r="A371">
        <v>125777</v>
      </c>
      <c r="B371">
        <v>1062277</v>
      </c>
      <c r="C371">
        <v>1</v>
      </c>
      <c r="D371" t="s">
        <v>1695</v>
      </c>
      <c r="E371">
        <v>1212</v>
      </c>
      <c r="F371" t="s">
        <v>41</v>
      </c>
      <c r="G371" t="s">
        <v>41</v>
      </c>
      <c r="I371" t="s">
        <v>77</v>
      </c>
    </row>
    <row r="372" spans="1:9">
      <c r="A372">
        <v>125778</v>
      </c>
      <c r="B372">
        <v>1062277</v>
      </c>
      <c r="C372">
        <v>2</v>
      </c>
      <c r="D372" t="s">
        <v>1695</v>
      </c>
      <c r="E372">
        <v>1212</v>
      </c>
      <c r="F372" t="s">
        <v>41</v>
      </c>
      <c r="G372" t="s">
        <v>41</v>
      </c>
      <c r="I372" t="s">
        <v>77</v>
      </c>
    </row>
    <row r="373" spans="1:9">
      <c r="A373">
        <v>125879</v>
      </c>
      <c r="B373">
        <v>1062319</v>
      </c>
      <c r="C373">
        <v>1</v>
      </c>
      <c r="D373" t="s">
        <v>1695</v>
      </c>
      <c r="E373">
        <v>4740</v>
      </c>
      <c r="F373" t="s">
        <v>41</v>
      </c>
      <c r="G373" t="s">
        <v>41</v>
      </c>
      <c r="I373" t="s">
        <v>77</v>
      </c>
    </row>
    <row r="374" spans="1:9">
      <c r="A374">
        <v>125880</v>
      </c>
      <c r="B374">
        <v>1062319</v>
      </c>
      <c r="C374">
        <v>2</v>
      </c>
      <c r="D374" t="s">
        <v>1695</v>
      </c>
      <c r="E374">
        <v>4740</v>
      </c>
      <c r="F374" t="s">
        <v>41</v>
      </c>
      <c r="G374" t="s">
        <v>41</v>
      </c>
      <c r="I374" t="s">
        <v>77</v>
      </c>
    </row>
    <row r="375" spans="1:9">
      <c r="A375">
        <v>125881</v>
      </c>
      <c r="B375">
        <v>1062319</v>
      </c>
      <c r="C375">
        <v>3</v>
      </c>
      <c r="D375" t="s">
        <v>1695</v>
      </c>
      <c r="E375">
        <v>4740</v>
      </c>
      <c r="F375" t="s">
        <v>41</v>
      </c>
      <c r="G375" t="s">
        <v>41</v>
      </c>
      <c r="I375" t="s">
        <v>77</v>
      </c>
    </row>
    <row r="376" spans="1:9">
      <c r="A376">
        <v>125882</v>
      </c>
      <c r="B376">
        <v>1062319</v>
      </c>
      <c r="C376">
        <v>4</v>
      </c>
      <c r="D376" t="s">
        <v>1695</v>
      </c>
      <c r="E376">
        <v>4740</v>
      </c>
      <c r="F376" t="s">
        <v>41</v>
      </c>
      <c r="G376" t="s">
        <v>41</v>
      </c>
      <c r="I376" t="s">
        <v>77</v>
      </c>
    </row>
    <row r="377" spans="1:9">
      <c r="A377">
        <v>125883</v>
      </c>
      <c r="B377">
        <v>1062319</v>
      </c>
      <c r="C377">
        <v>5</v>
      </c>
      <c r="D377" t="s">
        <v>1695</v>
      </c>
      <c r="E377">
        <v>4740</v>
      </c>
      <c r="F377" t="s">
        <v>41</v>
      </c>
      <c r="G377" t="s">
        <v>41</v>
      </c>
      <c r="I377" t="s">
        <v>77</v>
      </c>
    </row>
    <row r="378" spans="1:9">
      <c r="A378">
        <v>125884</v>
      </c>
      <c r="B378">
        <v>1062319</v>
      </c>
      <c r="C378">
        <v>6</v>
      </c>
      <c r="D378" t="s">
        <v>1695</v>
      </c>
      <c r="E378">
        <v>4740</v>
      </c>
      <c r="F378" t="s">
        <v>41</v>
      </c>
      <c r="G378" t="s">
        <v>41</v>
      </c>
      <c r="I378" t="s">
        <v>77</v>
      </c>
    </row>
    <row r="379" spans="1:9">
      <c r="A379">
        <v>126793</v>
      </c>
      <c r="B379">
        <v>1062784</v>
      </c>
      <c r="C379">
        <v>1</v>
      </c>
      <c r="D379" t="s">
        <v>1695</v>
      </c>
      <c r="E379">
        <v>544</v>
      </c>
      <c r="F379" t="s">
        <v>41</v>
      </c>
      <c r="G379" t="s">
        <v>41</v>
      </c>
      <c r="I379" t="s">
        <v>77</v>
      </c>
    </row>
    <row r="380" spans="1:9">
      <c r="A380">
        <v>126845</v>
      </c>
      <c r="B380">
        <v>1062812</v>
      </c>
      <c r="C380">
        <v>1</v>
      </c>
      <c r="D380" t="s">
        <v>1695</v>
      </c>
      <c r="E380">
        <v>854</v>
      </c>
      <c r="F380" t="s">
        <v>47</v>
      </c>
      <c r="G380" t="s">
        <v>47</v>
      </c>
      <c r="I380" t="s">
        <v>77</v>
      </c>
    </row>
    <row r="381" spans="1:9">
      <c r="A381">
        <v>127797</v>
      </c>
      <c r="B381">
        <v>1063280</v>
      </c>
      <c r="C381">
        <v>1</v>
      </c>
      <c r="D381" t="s">
        <v>1695</v>
      </c>
      <c r="E381">
        <v>2211</v>
      </c>
      <c r="F381" t="s">
        <v>41</v>
      </c>
      <c r="G381" t="s">
        <v>41</v>
      </c>
      <c r="I381" t="s">
        <v>77</v>
      </c>
    </row>
    <row r="382" spans="1:9">
      <c r="A382">
        <v>128632</v>
      </c>
      <c r="B382">
        <v>1063693</v>
      </c>
      <c r="C382">
        <v>1</v>
      </c>
      <c r="D382" t="s">
        <v>1695</v>
      </c>
      <c r="E382">
        <v>1008</v>
      </c>
      <c r="F382" t="s">
        <v>41</v>
      </c>
      <c r="G382" t="s">
        <v>41</v>
      </c>
      <c r="I382" t="s">
        <v>77</v>
      </c>
    </row>
    <row r="383" spans="1:9">
      <c r="A383">
        <v>129997</v>
      </c>
      <c r="B383">
        <v>1064376</v>
      </c>
      <c r="C383">
        <v>1</v>
      </c>
      <c r="D383" t="s">
        <v>1695</v>
      </c>
      <c r="E383">
        <v>1390</v>
      </c>
      <c r="F383" t="s">
        <v>41</v>
      </c>
      <c r="G383" t="s">
        <v>41</v>
      </c>
      <c r="I383" t="s">
        <v>77</v>
      </c>
    </row>
    <row r="384" spans="1:9">
      <c r="A384">
        <v>129998</v>
      </c>
      <c r="B384">
        <v>1064376</v>
      </c>
      <c r="C384">
        <v>2</v>
      </c>
      <c r="D384" t="s">
        <v>1695</v>
      </c>
      <c r="E384">
        <v>1390</v>
      </c>
      <c r="F384" t="s">
        <v>41</v>
      </c>
      <c r="G384" t="s">
        <v>41</v>
      </c>
      <c r="I384" t="s">
        <v>77</v>
      </c>
    </row>
    <row r="385" spans="1:9">
      <c r="A385">
        <v>131108</v>
      </c>
      <c r="B385">
        <v>1064925</v>
      </c>
      <c r="C385">
        <v>1</v>
      </c>
      <c r="D385" t="s">
        <v>1695</v>
      </c>
      <c r="E385">
        <v>607</v>
      </c>
      <c r="F385" t="s">
        <v>41</v>
      </c>
      <c r="G385" t="s">
        <v>41</v>
      </c>
      <c r="I385" t="s">
        <v>77</v>
      </c>
    </row>
    <row r="386" spans="1:9">
      <c r="A386">
        <v>131857</v>
      </c>
      <c r="B386">
        <v>1065300</v>
      </c>
      <c r="C386">
        <v>1</v>
      </c>
      <c r="D386" t="s">
        <v>1695</v>
      </c>
      <c r="E386">
        <v>1390</v>
      </c>
      <c r="F386" t="s">
        <v>41</v>
      </c>
      <c r="G386" t="s">
        <v>41</v>
      </c>
      <c r="I386" t="s">
        <v>77</v>
      </c>
    </row>
    <row r="387" spans="1:9">
      <c r="A387">
        <v>132365</v>
      </c>
      <c r="B387">
        <v>1065560</v>
      </c>
      <c r="C387">
        <v>1</v>
      </c>
      <c r="D387" t="s">
        <v>1695</v>
      </c>
      <c r="E387">
        <v>1854</v>
      </c>
      <c r="F387" t="s">
        <v>41</v>
      </c>
      <c r="G387" t="s">
        <v>41</v>
      </c>
      <c r="I387" t="s">
        <v>77</v>
      </c>
    </row>
    <row r="388" spans="1:9">
      <c r="A388">
        <v>133409</v>
      </c>
      <c r="B388">
        <v>1066087</v>
      </c>
      <c r="C388">
        <v>1</v>
      </c>
      <c r="D388" t="s">
        <v>1696</v>
      </c>
      <c r="E388">
        <v>393</v>
      </c>
      <c r="F388" t="s">
        <v>41</v>
      </c>
      <c r="G388" t="s">
        <v>41</v>
      </c>
      <c r="I388" t="s">
        <v>77</v>
      </c>
    </row>
    <row r="389" spans="1:9">
      <c r="A389">
        <v>133410</v>
      </c>
      <c r="B389">
        <v>1066087</v>
      </c>
      <c r="C389">
        <v>2</v>
      </c>
      <c r="D389" t="s">
        <v>1695</v>
      </c>
      <c r="E389">
        <v>654</v>
      </c>
      <c r="F389" t="s">
        <v>41</v>
      </c>
      <c r="G389" t="s">
        <v>41</v>
      </c>
      <c r="I389" t="s">
        <v>77</v>
      </c>
    </row>
    <row r="390" spans="1:9">
      <c r="A390">
        <v>133411</v>
      </c>
      <c r="B390">
        <v>1066087</v>
      </c>
      <c r="C390">
        <v>3</v>
      </c>
      <c r="D390" t="s">
        <v>1695</v>
      </c>
      <c r="E390">
        <v>654</v>
      </c>
      <c r="F390" t="s">
        <v>41</v>
      </c>
      <c r="G390" t="s">
        <v>41</v>
      </c>
      <c r="I390" t="s">
        <v>77</v>
      </c>
    </row>
    <row r="391" spans="1:9">
      <c r="A391">
        <v>133412</v>
      </c>
      <c r="B391">
        <v>1066087</v>
      </c>
      <c r="C391">
        <v>4</v>
      </c>
      <c r="D391" t="s">
        <v>1695</v>
      </c>
      <c r="E391">
        <v>654</v>
      </c>
      <c r="F391" t="s">
        <v>41</v>
      </c>
      <c r="G391" t="s">
        <v>41</v>
      </c>
      <c r="I391" t="s">
        <v>77</v>
      </c>
    </row>
    <row r="392" spans="1:9">
      <c r="A392">
        <v>133613</v>
      </c>
      <c r="B392">
        <v>1066182</v>
      </c>
      <c r="C392">
        <v>1</v>
      </c>
      <c r="D392" t="s">
        <v>1695</v>
      </c>
      <c r="E392">
        <v>834</v>
      </c>
      <c r="F392" t="s">
        <v>41</v>
      </c>
      <c r="G392" t="s">
        <v>41</v>
      </c>
      <c r="I392" t="s">
        <v>77</v>
      </c>
    </row>
    <row r="393" spans="1:9">
      <c r="A393">
        <v>133614</v>
      </c>
      <c r="B393">
        <v>1066182</v>
      </c>
      <c r="C393">
        <v>2</v>
      </c>
      <c r="D393" t="s">
        <v>1697</v>
      </c>
      <c r="E393">
        <v>417</v>
      </c>
      <c r="F393" t="s">
        <v>41</v>
      </c>
      <c r="G393" t="s">
        <v>41</v>
      </c>
      <c r="I393" t="s">
        <v>77</v>
      </c>
    </row>
    <row r="394" spans="1:9">
      <c r="A394">
        <v>133624</v>
      </c>
      <c r="B394">
        <v>1066186</v>
      </c>
      <c r="C394">
        <v>1</v>
      </c>
      <c r="D394" t="s">
        <v>1695</v>
      </c>
      <c r="E394">
        <v>2784</v>
      </c>
      <c r="F394" t="s">
        <v>41</v>
      </c>
      <c r="G394" t="s">
        <v>41</v>
      </c>
      <c r="I394" t="s">
        <v>77</v>
      </c>
    </row>
    <row r="395" spans="1:9">
      <c r="A395">
        <v>133625</v>
      </c>
      <c r="B395">
        <v>1066186</v>
      </c>
      <c r="C395">
        <v>2</v>
      </c>
      <c r="D395" t="s">
        <v>1695</v>
      </c>
      <c r="E395">
        <v>2784</v>
      </c>
      <c r="F395" t="s">
        <v>41</v>
      </c>
      <c r="G395" t="s">
        <v>41</v>
      </c>
      <c r="I395" t="s">
        <v>77</v>
      </c>
    </row>
    <row r="396" spans="1:9">
      <c r="A396">
        <v>133626</v>
      </c>
      <c r="B396">
        <v>1066186</v>
      </c>
      <c r="C396">
        <v>3</v>
      </c>
      <c r="D396" t="s">
        <v>1695</v>
      </c>
      <c r="E396">
        <v>2784</v>
      </c>
      <c r="F396" t="s">
        <v>41</v>
      </c>
      <c r="G396" t="s">
        <v>41</v>
      </c>
      <c r="I396" t="s">
        <v>77</v>
      </c>
    </row>
    <row r="397" spans="1:9">
      <c r="A397">
        <v>133627</v>
      </c>
      <c r="B397">
        <v>1066186</v>
      </c>
      <c r="C397">
        <v>4</v>
      </c>
      <c r="D397" t="s">
        <v>1696</v>
      </c>
      <c r="E397">
        <v>1670</v>
      </c>
      <c r="F397" t="s">
        <v>41</v>
      </c>
      <c r="G397" t="s">
        <v>41</v>
      </c>
      <c r="I397" t="s">
        <v>77</v>
      </c>
    </row>
    <row r="398" spans="1:9">
      <c r="A398">
        <v>134102</v>
      </c>
      <c r="B398">
        <v>1066440</v>
      </c>
      <c r="C398">
        <v>1</v>
      </c>
      <c r="D398" t="s">
        <v>1695</v>
      </c>
      <c r="E398">
        <v>1606</v>
      </c>
      <c r="F398" t="s">
        <v>41</v>
      </c>
      <c r="G398" t="s">
        <v>41</v>
      </c>
      <c r="I398" t="s">
        <v>77</v>
      </c>
    </row>
    <row r="399" spans="1:9">
      <c r="A399">
        <v>134530</v>
      </c>
      <c r="B399">
        <v>1066636</v>
      </c>
      <c r="C399">
        <v>1</v>
      </c>
      <c r="D399" t="s">
        <v>1695</v>
      </c>
      <c r="E399">
        <v>4142</v>
      </c>
      <c r="F399" t="s">
        <v>41</v>
      </c>
      <c r="G399" t="s">
        <v>41</v>
      </c>
      <c r="I399" t="s">
        <v>77</v>
      </c>
    </row>
    <row r="400" spans="1:9">
      <c r="A400">
        <v>134531</v>
      </c>
      <c r="B400">
        <v>1066636</v>
      </c>
      <c r="C400">
        <v>2</v>
      </c>
      <c r="D400" t="s">
        <v>1695</v>
      </c>
      <c r="E400">
        <v>4142</v>
      </c>
      <c r="F400" t="s">
        <v>41</v>
      </c>
      <c r="G400" t="s">
        <v>41</v>
      </c>
      <c r="I400" t="s">
        <v>77</v>
      </c>
    </row>
    <row r="401" spans="1:9">
      <c r="A401">
        <v>137105</v>
      </c>
      <c r="B401">
        <v>1067932</v>
      </c>
      <c r="C401">
        <v>1</v>
      </c>
      <c r="D401" t="s">
        <v>1695</v>
      </c>
      <c r="E401">
        <v>1379</v>
      </c>
      <c r="F401" t="s">
        <v>41</v>
      </c>
      <c r="G401" t="s">
        <v>41</v>
      </c>
      <c r="I401" t="s">
        <v>77</v>
      </c>
    </row>
    <row r="402" spans="1:9">
      <c r="A402">
        <v>137106</v>
      </c>
      <c r="B402">
        <v>1067932</v>
      </c>
      <c r="C402">
        <v>2</v>
      </c>
      <c r="D402" t="s">
        <v>1695</v>
      </c>
      <c r="E402">
        <v>1379</v>
      </c>
      <c r="F402" t="s">
        <v>41</v>
      </c>
      <c r="G402" t="s">
        <v>41</v>
      </c>
      <c r="I402" t="s">
        <v>77</v>
      </c>
    </row>
    <row r="403" spans="1:9">
      <c r="A403">
        <v>137565</v>
      </c>
      <c r="B403">
        <v>1068175</v>
      </c>
      <c r="C403">
        <v>1</v>
      </c>
      <c r="D403" t="s">
        <v>1696</v>
      </c>
      <c r="E403">
        <v>-173</v>
      </c>
      <c r="F403" t="s">
        <v>41</v>
      </c>
      <c r="G403" t="s">
        <v>41</v>
      </c>
      <c r="I403" t="s">
        <v>77</v>
      </c>
    </row>
    <row r="404" spans="1:9">
      <c r="A404">
        <v>137794</v>
      </c>
      <c r="B404">
        <v>1068289</v>
      </c>
      <c r="C404">
        <v>1</v>
      </c>
      <c r="D404" t="s">
        <v>1695</v>
      </c>
      <c r="E404">
        <v>544</v>
      </c>
      <c r="F404" t="s">
        <v>49</v>
      </c>
      <c r="G404" t="s">
        <v>49</v>
      </c>
      <c r="H404">
        <v>12768</v>
      </c>
      <c r="I404" t="s">
        <v>77</v>
      </c>
    </row>
    <row r="405" spans="1:9">
      <c r="A405">
        <v>137795</v>
      </c>
      <c r="B405">
        <v>1068289</v>
      </c>
      <c r="C405">
        <v>2</v>
      </c>
      <c r="D405" t="s">
        <v>1695</v>
      </c>
      <c r="E405">
        <v>544</v>
      </c>
      <c r="F405" t="s">
        <v>49</v>
      </c>
      <c r="G405" t="s">
        <v>49</v>
      </c>
      <c r="H405">
        <v>12768</v>
      </c>
      <c r="I405" t="s">
        <v>77</v>
      </c>
    </row>
    <row r="406" spans="1:9">
      <c r="A406">
        <v>137796</v>
      </c>
      <c r="B406">
        <v>1068289</v>
      </c>
      <c r="C406">
        <v>3</v>
      </c>
      <c r="D406" t="s">
        <v>1695</v>
      </c>
      <c r="E406">
        <v>544</v>
      </c>
      <c r="F406" t="s">
        <v>49</v>
      </c>
      <c r="G406" t="s">
        <v>49</v>
      </c>
      <c r="H406">
        <v>12768</v>
      </c>
      <c r="I406" t="s">
        <v>77</v>
      </c>
    </row>
    <row r="407" spans="1:9">
      <c r="A407">
        <v>138705</v>
      </c>
      <c r="B407">
        <v>1068745</v>
      </c>
      <c r="C407">
        <v>1</v>
      </c>
      <c r="D407" t="s">
        <v>1695</v>
      </c>
      <c r="E407">
        <v>544</v>
      </c>
      <c r="F407" t="s">
        <v>49</v>
      </c>
      <c r="G407" t="s">
        <v>49</v>
      </c>
      <c r="H407">
        <v>12778</v>
      </c>
      <c r="I407" t="s">
        <v>77</v>
      </c>
    </row>
    <row r="408" spans="1:9">
      <c r="A408">
        <v>138706</v>
      </c>
      <c r="B408">
        <v>1068745</v>
      </c>
      <c r="C408">
        <v>2</v>
      </c>
      <c r="D408" t="s">
        <v>1695</v>
      </c>
      <c r="E408">
        <v>544</v>
      </c>
      <c r="F408" t="s">
        <v>49</v>
      </c>
      <c r="G408" t="s">
        <v>49</v>
      </c>
      <c r="H408">
        <v>12778</v>
      </c>
      <c r="I408" t="s">
        <v>77</v>
      </c>
    </row>
    <row r="409" spans="1:9">
      <c r="A409">
        <v>139243</v>
      </c>
      <c r="B409">
        <v>1069008</v>
      </c>
      <c r="C409">
        <v>1</v>
      </c>
      <c r="D409" t="s">
        <v>1695</v>
      </c>
      <c r="E409">
        <v>544</v>
      </c>
      <c r="F409" t="s">
        <v>49</v>
      </c>
      <c r="G409" t="s">
        <v>49</v>
      </c>
      <c r="H409">
        <v>12862</v>
      </c>
      <c r="I409" t="s">
        <v>77</v>
      </c>
    </row>
    <row r="410" spans="1:9">
      <c r="A410">
        <v>139244</v>
      </c>
      <c r="B410">
        <v>1069008</v>
      </c>
      <c r="C410">
        <v>2</v>
      </c>
      <c r="D410" t="s">
        <v>1695</v>
      </c>
      <c r="E410">
        <v>544</v>
      </c>
      <c r="F410" t="s">
        <v>49</v>
      </c>
      <c r="G410" t="s">
        <v>49</v>
      </c>
      <c r="H410">
        <v>12862</v>
      </c>
      <c r="I410" t="s">
        <v>77</v>
      </c>
    </row>
    <row r="411" spans="1:9">
      <c r="A411">
        <v>139550</v>
      </c>
      <c r="B411">
        <v>1069152</v>
      </c>
      <c r="C411">
        <v>1</v>
      </c>
      <c r="D411" t="s">
        <v>1695</v>
      </c>
      <c r="E411">
        <v>4198</v>
      </c>
      <c r="F411" t="s">
        <v>49</v>
      </c>
      <c r="G411" t="s">
        <v>49</v>
      </c>
      <c r="H411">
        <v>13083</v>
      </c>
      <c r="I411" t="s">
        <v>77</v>
      </c>
    </row>
    <row r="412" spans="1:9">
      <c r="A412">
        <v>141042</v>
      </c>
      <c r="B412">
        <v>1069896</v>
      </c>
      <c r="C412">
        <v>1</v>
      </c>
      <c r="D412" t="s">
        <v>1695</v>
      </c>
      <c r="E412">
        <v>3219</v>
      </c>
      <c r="F412" t="s">
        <v>41</v>
      </c>
      <c r="G412" t="s">
        <v>41</v>
      </c>
      <c r="I412" t="s">
        <v>77</v>
      </c>
    </row>
    <row r="413" spans="1:9">
      <c r="A413">
        <v>141047</v>
      </c>
      <c r="B413">
        <v>1069898</v>
      </c>
      <c r="C413">
        <v>1</v>
      </c>
      <c r="D413" t="s">
        <v>1695</v>
      </c>
      <c r="E413">
        <v>1176</v>
      </c>
      <c r="F413" t="s">
        <v>41</v>
      </c>
      <c r="G413" t="s">
        <v>41</v>
      </c>
      <c r="I413" t="s">
        <v>77</v>
      </c>
    </row>
    <row r="414" spans="1:9">
      <c r="A414">
        <v>141048</v>
      </c>
      <c r="B414">
        <v>1069898</v>
      </c>
      <c r="C414">
        <v>2</v>
      </c>
      <c r="D414" t="s">
        <v>1695</v>
      </c>
      <c r="E414">
        <v>1176</v>
      </c>
      <c r="F414" t="s">
        <v>41</v>
      </c>
      <c r="G414" t="s">
        <v>41</v>
      </c>
      <c r="I414" t="s">
        <v>77</v>
      </c>
    </row>
    <row r="415" spans="1:9">
      <c r="A415">
        <v>141348</v>
      </c>
      <c r="B415">
        <v>1070044</v>
      </c>
      <c r="C415">
        <v>1</v>
      </c>
      <c r="D415" t="s">
        <v>1695</v>
      </c>
      <c r="E415">
        <v>2402</v>
      </c>
      <c r="F415" t="s">
        <v>47</v>
      </c>
      <c r="G415" t="s">
        <v>37</v>
      </c>
      <c r="H415">
        <v>13620</v>
      </c>
      <c r="I415" t="s">
        <v>77</v>
      </c>
    </row>
    <row r="416" spans="1:9">
      <c r="A416">
        <v>141349</v>
      </c>
      <c r="B416">
        <v>1070044</v>
      </c>
      <c r="C416">
        <v>2</v>
      </c>
      <c r="D416" t="s">
        <v>1695</v>
      </c>
      <c r="E416">
        <v>2402</v>
      </c>
      <c r="F416" t="s">
        <v>47</v>
      </c>
      <c r="G416" t="s">
        <v>37</v>
      </c>
      <c r="H416">
        <v>13620</v>
      </c>
      <c r="I416" t="s">
        <v>77</v>
      </c>
    </row>
    <row r="417" spans="1:9">
      <c r="A417">
        <v>141350</v>
      </c>
      <c r="B417">
        <v>1070044</v>
      </c>
      <c r="C417">
        <v>3</v>
      </c>
      <c r="D417" t="s">
        <v>1695</v>
      </c>
      <c r="E417">
        <v>2402</v>
      </c>
      <c r="F417" t="s">
        <v>47</v>
      </c>
      <c r="G417" t="s">
        <v>37</v>
      </c>
      <c r="H417">
        <v>13620</v>
      </c>
      <c r="I417" t="s">
        <v>77</v>
      </c>
    </row>
    <row r="418" spans="1:9">
      <c r="A418">
        <v>141355</v>
      </c>
      <c r="B418">
        <v>1070048</v>
      </c>
      <c r="C418">
        <v>1</v>
      </c>
      <c r="D418" t="s">
        <v>1695</v>
      </c>
      <c r="E418">
        <v>906</v>
      </c>
      <c r="F418" t="s">
        <v>41</v>
      </c>
      <c r="G418" t="s">
        <v>41</v>
      </c>
      <c r="I418" t="s">
        <v>77</v>
      </c>
    </row>
    <row r="419" spans="1:9">
      <c r="A419">
        <v>143425</v>
      </c>
      <c r="B419">
        <v>1071085</v>
      </c>
      <c r="C419">
        <v>1</v>
      </c>
      <c r="D419" t="s">
        <v>1695</v>
      </c>
      <c r="E419">
        <v>2886</v>
      </c>
      <c r="F419" t="s">
        <v>41</v>
      </c>
      <c r="G419" t="s">
        <v>41</v>
      </c>
      <c r="I419" t="s">
        <v>77</v>
      </c>
    </row>
    <row r="420" spans="1:9">
      <c r="A420">
        <v>143426</v>
      </c>
      <c r="B420">
        <v>1071085</v>
      </c>
      <c r="C420">
        <v>2</v>
      </c>
      <c r="D420" t="s">
        <v>1695</v>
      </c>
      <c r="E420">
        <v>2886</v>
      </c>
      <c r="F420" t="s">
        <v>41</v>
      </c>
      <c r="G420" t="s">
        <v>41</v>
      </c>
      <c r="I420" t="s">
        <v>77</v>
      </c>
    </row>
    <row r="421" spans="1:9">
      <c r="A421">
        <v>143427</v>
      </c>
      <c r="B421">
        <v>1071085</v>
      </c>
      <c r="C421">
        <v>3</v>
      </c>
      <c r="D421" t="s">
        <v>1695</v>
      </c>
      <c r="E421">
        <v>2886</v>
      </c>
      <c r="F421" t="s">
        <v>41</v>
      </c>
      <c r="G421" t="s">
        <v>41</v>
      </c>
      <c r="I421" t="s">
        <v>77</v>
      </c>
    </row>
    <row r="422" spans="1:9">
      <c r="A422">
        <v>143428</v>
      </c>
      <c r="B422">
        <v>1071085</v>
      </c>
      <c r="C422">
        <v>4</v>
      </c>
      <c r="D422" t="s">
        <v>1695</v>
      </c>
      <c r="E422">
        <v>2886</v>
      </c>
      <c r="F422" t="s">
        <v>41</v>
      </c>
      <c r="G422" t="s">
        <v>41</v>
      </c>
      <c r="I422" t="s">
        <v>77</v>
      </c>
    </row>
    <row r="423" spans="1:9">
      <c r="A423">
        <v>144180</v>
      </c>
      <c r="B423">
        <v>1071462</v>
      </c>
      <c r="C423">
        <v>1</v>
      </c>
      <c r="D423" t="s">
        <v>1695</v>
      </c>
      <c r="E423">
        <v>906</v>
      </c>
      <c r="F423" t="s">
        <v>41</v>
      </c>
      <c r="G423" t="s">
        <v>41</v>
      </c>
      <c r="I423" t="s">
        <v>77</v>
      </c>
    </row>
    <row r="424" spans="1:9">
      <c r="A424">
        <v>144181</v>
      </c>
      <c r="B424">
        <v>1071462</v>
      </c>
      <c r="C424">
        <v>2</v>
      </c>
      <c r="D424" t="s">
        <v>1695</v>
      </c>
      <c r="E424">
        <v>906</v>
      </c>
      <c r="F424" t="s">
        <v>41</v>
      </c>
      <c r="G424" t="s">
        <v>41</v>
      </c>
      <c r="I424" t="s">
        <v>77</v>
      </c>
    </row>
    <row r="425" spans="1:9">
      <c r="A425">
        <v>144739</v>
      </c>
      <c r="B425">
        <v>1071732</v>
      </c>
      <c r="C425">
        <v>1</v>
      </c>
      <c r="D425" t="s">
        <v>1695</v>
      </c>
      <c r="E425">
        <v>288</v>
      </c>
      <c r="F425" t="s">
        <v>41</v>
      </c>
      <c r="G425" t="s">
        <v>41</v>
      </c>
      <c r="I425" t="s">
        <v>77</v>
      </c>
    </row>
    <row r="426" spans="1:9">
      <c r="A426">
        <v>144740</v>
      </c>
      <c r="B426">
        <v>1071732</v>
      </c>
      <c r="C426">
        <v>2</v>
      </c>
      <c r="D426" t="s">
        <v>1695</v>
      </c>
      <c r="E426">
        <v>288</v>
      </c>
      <c r="F426" t="s">
        <v>41</v>
      </c>
      <c r="G426" t="s">
        <v>41</v>
      </c>
      <c r="I426" t="s">
        <v>77</v>
      </c>
    </row>
    <row r="427" spans="1:9">
      <c r="A427">
        <v>144741</v>
      </c>
      <c r="B427">
        <v>1071732</v>
      </c>
      <c r="C427">
        <v>3</v>
      </c>
      <c r="D427" t="s">
        <v>1695</v>
      </c>
      <c r="E427">
        <v>288</v>
      </c>
      <c r="F427" t="s">
        <v>41</v>
      </c>
      <c r="G427" t="s">
        <v>41</v>
      </c>
      <c r="I427" t="s">
        <v>77</v>
      </c>
    </row>
    <row r="428" spans="1:9">
      <c r="A428">
        <v>144742</v>
      </c>
      <c r="B428">
        <v>1071732</v>
      </c>
      <c r="C428">
        <v>4</v>
      </c>
      <c r="D428" t="s">
        <v>1695</v>
      </c>
      <c r="E428">
        <v>288</v>
      </c>
      <c r="F428" t="s">
        <v>41</v>
      </c>
      <c r="G428" t="s">
        <v>41</v>
      </c>
      <c r="I428" t="s">
        <v>77</v>
      </c>
    </row>
    <row r="429" spans="1:9">
      <c r="A429">
        <v>145159</v>
      </c>
      <c r="B429">
        <v>1071944</v>
      </c>
      <c r="C429">
        <v>1</v>
      </c>
      <c r="D429" t="s">
        <v>1695</v>
      </c>
      <c r="E429">
        <v>1034</v>
      </c>
      <c r="F429" t="s">
        <v>41</v>
      </c>
      <c r="G429" t="s">
        <v>41</v>
      </c>
      <c r="I429" t="s">
        <v>77</v>
      </c>
    </row>
    <row r="430" spans="1:9">
      <c r="A430">
        <v>145160</v>
      </c>
      <c r="B430">
        <v>1071944</v>
      </c>
      <c r="C430">
        <v>2</v>
      </c>
      <c r="D430" t="s">
        <v>1695</v>
      </c>
      <c r="E430">
        <v>1034</v>
      </c>
      <c r="F430" t="s">
        <v>41</v>
      </c>
      <c r="G430" t="s">
        <v>41</v>
      </c>
      <c r="I430" t="s">
        <v>77</v>
      </c>
    </row>
    <row r="431" spans="1:9">
      <c r="A431">
        <v>145161</v>
      </c>
      <c r="B431">
        <v>1071944</v>
      </c>
      <c r="C431">
        <v>3</v>
      </c>
      <c r="D431" t="s">
        <v>1697</v>
      </c>
      <c r="E431">
        <v>517</v>
      </c>
      <c r="F431" t="s">
        <v>41</v>
      </c>
      <c r="G431" t="s">
        <v>41</v>
      </c>
      <c r="I431" t="s">
        <v>77</v>
      </c>
    </row>
    <row r="432" spans="1:9">
      <c r="A432">
        <v>145162</v>
      </c>
      <c r="B432">
        <v>1071944</v>
      </c>
      <c r="C432">
        <v>4</v>
      </c>
      <c r="D432" t="s">
        <v>1695</v>
      </c>
      <c r="E432">
        <v>1034</v>
      </c>
      <c r="F432" t="s">
        <v>41</v>
      </c>
      <c r="G432" t="s">
        <v>41</v>
      </c>
      <c r="I432" t="s">
        <v>77</v>
      </c>
    </row>
    <row r="433" spans="1:9">
      <c r="A433">
        <v>145163</v>
      </c>
      <c r="B433">
        <v>1071944</v>
      </c>
      <c r="C433">
        <v>5</v>
      </c>
      <c r="D433" t="s">
        <v>1695</v>
      </c>
      <c r="E433">
        <v>1034</v>
      </c>
      <c r="F433" t="s">
        <v>41</v>
      </c>
      <c r="G433" t="s">
        <v>41</v>
      </c>
      <c r="I433" t="s">
        <v>77</v>
      </c>
    </row>
    <row r="434" spans="1:9">
      <c r="A434">
        <v>145164</v>
      </c>
      <c r="B434">
        <v>1071944</v>
      </c>
      <c r="C434">
        <v>6</v>
      </c>
      <c r="D434" t="s">
        <v>1695</v>
      </c>
      <c r="E434">
        <v>1034</v>
      </c>
      <c r="F434" t="s">
        <v>41</v>
      </c>
      <c r="G434" t="s">
        <v>41</v>
      </c>
      <c r="I434" t="s">
        <v>77</v>
      </c>
    </row>
    <row r="435" spans="1:9">
      <c r="A435">
        <v>145307</v>
      </c>
      <c r="B435">
        <v>1072013</v>
      </c>
      <c r="C435">
        <v>1</v>
      </c>
      <c r="D435" t="s">
        <v>1695</v>
      </c>
      <c r="E435">
        <v>1657</v>
      </c>
      <c r="F435" t="s">
        <v>41</v>
      </c>
      <c r="G435" t="s">
        <v>41</v>
      </c>
      <c r="I435" t="s">
        <v>77</v>
      </c>
    </row>
    <row r="436" spans="1:9">
      <c r="A436">
        <v>145573</v>
      </c>
      <c r="B436">
        <v>1072140</v>
      </c>
      <c r="C436">
        <v>1</v>
      </c>
      <c r="D436" t="s">
        <v>1695</v>
      </c>
      <c r="E436">
        <v>1049</v>
      </c>
      <c r="F436" t="s">
        <v>41</v>
      </c>
      <c r="G436" t="s">
        <v>41</v>
      </c>
      <c r="I436" t="s">
        <v>77</v>
      </c>
    </row>
    <row r="437" spans="1:9">
      <c r="A437">
        <v>145574</v>
      </c>
      <c r="B437">
        <v>1072140</v>
      </c>
      <c r="C437">
        <v>2</v>
      </c>
      <c r="D437" t="s">
        <v>1695</v>
      </c>
      <c r="E437">
        <v>1049</v>
      </c>
      <c r="F437" t="s">
        <v>41</v>
      </c>
      <c r="G437" t="s">
        <v>41</v>
      </c>
      <c r="I437" t="s">
        <v>77</v>
      </c>
    </row>
    <row r="438" spans="1:9">
      <c r="A438">
        <v>145575</v>
      </c>
      <c r="B438">
        <v>1072140</v>
      </c>
      <c r="C438">
        <v>3</v>
      </c>
      <c r="D438" t="s">
        <v>1695</v>
      </c>
      <c r="E438">
        <v>1049</v>
      </c>
      <c r="F438" t="s">
        <v>41</v>
      </c>
      <c r="G438" t="s">
        <v>41</v>
      </c>
      <c r="I438" t="s">
        <v>77</v>
      </c>
    </row>
    <row r="439" spans="1:9">
      <c r="A439">
        <v>145576</v>
      </c>
      <c r="B439">
        <v>1072140</v>
      </c>
      <c r="C439">
        <v>4</v>
      </c>
      <c r="D439" t="s">
        <v>1695</v>
      </c>
      <c r="E439">
        <v>1049</v>
      </c>
      <c r="F439" t="s">
        <v>41</v>
      </c>
      <c r="G439" t="s">
        <v>41</v>
      </c>
      <c r="I439" t="s">
        <v>77</v>
      </c>
    </row>
    <row r="440" spans="1:9">
      <c r="A440">
        <v>146959</v>
      </c>
      <c r="B440">
        <v>1072851</v>
      </c>
      <c r="C440">
        <v>1</v>
      </c>
      <c r="D440" t="s">
        <v>1695</v>
      </c>
      <c r="E440">
        <v>790</v>
      </c>
      <c r="F440" t="s">
        <v>41</v>
      </c>
      <c r="G440" t="s">
        <v>41</v>
      </c>
      <c r="I440" t="s">
        <v>77</v>
      </c>
    </row>
    <row r="441" spans="1:9">
      <c r="A441">
        <v>146960</v>
      </c>
      <c r="B441">
        <v>1072851</v>
      </c>
      <c r="C441">
        <v>2</v>
      </c>
      <c r="D441" t="s">
        <v>1696</v>
      </c>
      <c r="E441">
        <v>474</v>
      </c>
      <c r="F441" t="s">
        <v>41</v>
      </c>
      <c r="G441" t="s">
        <v>41</v>
      </c>
      <c r="I441" t="s">
        <v>77</v>
      </c>
    </row>
    <row r="442" spans="1:9">
      <c r="A442">
        <v>147315</v>
      </c>
      <c r="B442">
        <v>1073017</v>
      </c>
      <c r="C442">
        <v>1</v>
      </c>
      <c r="D442" t="s">
        <v>1695</v>
      </c>
      <c r="E442">
        <v>804</v>
      </c>
      <c r="F442" t="s">
        <v>41</v>
      </c>
      <c r="G442" t="s">
        <v>41</v>
      </c>
      <c r="I442" t="s">
        <v>77</v>
      </c>
    </row>
    <row r="443" spans="1:9">
      <c r="A443">
        <v>147316</v>
      </c>
      <c r="B443">
        <v>1073017</v>
      </c>
      <c r="C443">
        <v>2</v>
      </c>
      <c r="D443" t="s">
        <v>1695</v>
      </c>
      <c r="E443">
        <v>804</v>
      </c>
      <c r="F443" t="s">
        <v>41</v>
      </c>
      <c r="G443" t="s">
        <v>41</v>
      </c>
      <c r="I443" t="s">
        <v>77</v>
      </c>
    </row>
    <row r="444" spans="1:9">
      <c r="A444">
        <v>147317</v>
      </c>
      <c r="B444">
        <v>1073017</v>
      </c>
      <c r="C444">
        <v>3</v>
      </c>
      <c r="D444" t="s">
        <v>1695</v>
      </c>
      <c r="E444">
        <v>804</v>
      </c>
      <c r="F444" t="s">
        <v>41</v>
      </c>
      <c r="G444" t="s">
        <v>41</v>
      </c>
      <c r="I444" t="s">
        <v>77</v>
      </c>
    </row>
    <row r="445" spans="1:9">
      <c r="A445">
        <v>147318</v>
      </c>
      <c r="B445">
        <v>1073017</v>
      </c>
      <c r="C445">
        <v>4</v>
      </c>
      <c r="D445" t="s">
        <v>1697</v>
      </c>
      <c r="E445">
        <v>402</v>
      </c>
      <c r="F445" t="s">
        <v>41</v>
      </c>
      <c r="G445" t="s">
        <v>41</v>
      </c>
      <c r="I445" t="s">
        <v>77</v>
      </c>
    </row>
    <row r="446" spans="1:9">
      <c r="A446">
        <v>147785</v>
      </c>
      <c r="B446">
        <v>1073259</v>
      </c>
      <c r="C446">
        <v>1</v>
      </c>
      <c r="D446" t="s">
        <v>1695</v>
      </c>
      <c r="E446">
        <v>941</v>
      </c>
      <c r="F446" t="s">
        <v>41</v>
      </c>
      <c r="G446" t="s">
        <v>41</v>
      </c>
      <c r="I446" t="s">
        <v>77</v>
      </c>
    </row>
    <row r="447" spans="1:9">
      <c r="A447">
        <v>147786</v>
      </c>
      <c r="B447">
        <v>1073259</v>
      </c>
      <c r="C447">
        <v>2</v>
      </c>
      <c r="D447" t="s">
        <v>1695</v>
      </c>
      <c r="E447">
        <v>941</v>
      </c>
      <c r="F447" t="s">
        <v>41</v>
      </c>
      <c r="G447" t="s">
        <v>41</v>
      </c>
      <c r="I447" t="s">
        <v>77</v>
      </c>
    </row>
    <row r="448" spans="1:9">
      <c r="A448">
        <v>147787</v>
      </c>
      <c r="B448">
        <v>1073259</v>
      </c>
      <c r="C448">
        <v>3</v>
      </c>
      <c r="D448" t="s">
        <v>1695</v>
      </c>
      <c r="E448">
        <v>941</v>
      </c>
      <c r="F448" t="s">
        <v>41</v>
      </c>
      <c r="G448" t="s">
        <v>41</v>
      </c>
      <c r="I448" t="s">
        <v>77</v>
      </c>
    </row>
    <row r="449" spans="1:9">
      <c r="A449">
        <v>148181</v>
      </c>
      <c r="B449">
        <v>1073449</v>
      </c>
      <c r="C449">
        <v>1</v>
      </c>
      <c r="D449" t="s">
        <v>1695</v>
      </c>
      <c r="E449">
        <v>753</v>
      </c>
      <c r="F449" t="s">
        <v>41</v>
      </c>
      <c r="G449" t="s">
        <v>41</v>
      </c>
      <c r="I449" t="s">
        <v>77</v>
      </c>
    </row>
    <row r="450" spans="1:9">
      <c r="A450">
        <v>148337</v>
      </c>
      <c r="B450">
        <v>1073530</v>
      </c>
      <c r="C450">
        <v>1</v>
      </c>
      <c r="D450" t="s">
        <v>1695</v>
      </c>
      <c r="E450">
        <v>950</v>
      </c>
      <c r="F450" t="s">
        <v>49</v>
      </c>
      <c r="G450" t="s">
        <v>37</v>
      </c>
      <c r="H450">
        <v>13665</v>
      </c>
      <c r="I450" t="s">
        <v>77</v>
      </c>
    </row>
    <row r="451" spans="1:9">
      <c r="A451">
        <v>148338</v>
      </c>
      <c r="B451">
        <v>1073530</v>
      </c>
      <c r="C451">
        <v>2</v>
      </c>
      <c r="D451" t="s">
        <v>1697</v>
      </c>
      <c r="E451">
        <v>475</v>
      </c>
      <c r="F451" t="s">
        <v>49</v>
      </c>
      <c r="G451" t="s">
        <v>49</v>
      </c>
      <c r="H451">
        <v>13905</v>
      </c>
      <c r="I451" t="s">
        <v>77</v>
      </c>
    </row>
    <row r="452" spans="1:9">
      <c r="A452">
        <v>149540</v>
      </c>
      <c r="B452">
        <v>1074131</v>
      </c>
      <c r="C452">
        <v>1</v>
      </c>
      <c r="D452" t="s">
        <v>1695</v>
      </c>
      <c r="E452">
        <v>790</v>
      </c>
      <c r="F452" t="s">
        <v>41</v>
      </c>
      <c r="G452" t="s">
        <v>41</v>
      </c>
      <c r="I452" t="s">
        <v>77</v>
      </c>
    </row>
    <row r="453" spans="1:9">
      <c r="A453">
        <v>149981</v>
      </c>
      <c r="B453">
        <v>1074365</v>
      </c>
      <c r="C453">
        <v>1</v>
      </c>
      <c r="D453" t="s">
        <v>1695</v>
      </c>
      <c r="E453">
        <v>762</v>
      </c>
      <c r="F453" t="s">
        <v>41</v>
      </c>
      <c r="G453" t="s">
        <v>41</v>
      </c>
      <c r="I453" t="s">
        <v>77</v>
      </c>
    </row>
    <row r="454" spans="1:9">
      <c r="A454">
        <v>149982</v>
      </c>
      <c r="B454">
        <v>1074365</v>
      </c>
      <c r="C454">
        <v>2</v>
      </c>
      <c r="D454" t="s">
        <v>1695</v>
      </c>
      <c r="E454">
        <v>762</v>
      </c>
      <c r="F454" t="s">
        <v>41</v>
      </c>
      <c r="G454" t="s">
        <v>41</v>
      </c>
      <c r="I454" t="s">
        <v>77</v>
      </c>
    </row>
    <row r="455" spans="1:9">
      <c r="A455">
        <v>150545</v>
      </c>
      <c r="B455">
        <v>1074639</v>
      </c>
      <c r="C455">
        <v>1</v>
      </c>
      <c r="E455">
        <v>2886</v>
      </c>
      <c r="F455" t="s">
        <v>41</v>
      </c>
      <c r="G455" t="s">
        <v>41</v>
      </c>
      <c r="I455" t="s">
        <v>77</v>
      </c>
    </row>
    <row r="456" spans="1:9">
      <c r="A456">
        <v>150612</v>
      </c>
      <c r="B456">
        <v>1074677</v>
      </c>
      <c r="C456">
        <v>1</v>
      </c>
      <c r="D456" t="s">
        <v>1695</v>
      </c>
      <c r="E456">
        <v>654</v>
      </c>
      <c r="F456" t="s">
        <v>47</v>
      </c>
      <c r="G456" t="s">
        <v>41</v>
      </c>
      <c r="I456" t="s">
        <v>77</v>
      </c>
    </row>
    <row r="457" spans="1:9">
      <c r="A457">
        <v>151188</v>
      </c>
      <c r="B457">
        <v>1074958</v>
      </c>
      <c r="C457">
        <v>1</v>
      </c>
      <c r="D457" t="s">
        <v>1695</v>
      </c>
      <c r="E457">
        <v>1053</v>
      </c>
      <c r="F457" t="s">
        <v>41</v>
      </c>
      <c r="G457" t="s">
        <v>41</v>
      </c>
      <c r="I457" t="s">
        <v>77</v>
      </c>
    </row>
    <row r="458" spans="1:9">
      <c r="A458">
        <v>151554</v>
      </c>
      <c r="B458">
        <v>1075134</v>
      </c>
      <c r="C458">
        <v>1</v>
      </c>
      <c r="D458" t="s">
        <v>1696</v>
      </c>
      <c r="E458">
        <v>3182</v>
      </c>
      <c r="F458" t="s">
        <v>41</v>
      </c>
      <c r="G458" t="s">
        <v>41</v>
      </c>
      <c r="I458" t="s">
        <v>77</v>
      </c>
    </row>
    <row r="459" spans="1:9">
      <c r="A459">
        <v>152889</v>
      </c>
      <c r="B459">
        <v>1075804</v>
      </c>
      <c r="C459">
        <v>1</v>
      </c>
      <c r="D459" t="s">
        <v>1695</v>
      </c>
      <c r="E459">
        <v>941</v>
      </c>
      <c r="F459" t="s">
        <v>41</v>
      </c>
      <c r="G459" t="s">
        <v>41</v>
      </c>
      <c r="I459" t="s">
        <v>77</v>
      </c>
    </row>
    <row r="460" spans="1:9">
      <c r="A460">
        <v>152890</v>
      </c>
      <c r="B460">
        <v>1075804</v>
      </c>
      <c r="C460">
        <v>2</v>
      </c>
      <c r="D460" t="s">
        <v>1695</v>
      </c>
      <c r="E460">
        <v>941</v>
      </c>
      <c r="F460" t="s">
        <v>41</v>
      </c>
      <c r="G460" t="s">
        <v>41</v>
      </c>
      <c r="I460" t="s">
        <v>77</v>
      </c>
    </row>
    <row r="461" spans="1:9">
      <c r="A461">
        <v>153598</v>
      </c>
      <c r="B461">
        <v>1076154</v>
      </c>
      <c r="C461">
        <v>1</v>
      </c>
      <c r="D461" t="s">
        <v>1695</v>
      </c>
      <c r="E461">
        <v>3484</v>
      </c>
      <c r="F461" t="s">
        <v>49</v>
      </c>
      <c r="G461" t="s">
        <v>49</v>
      </c>
      <c r="H461">
        <v>14394</v>
      </c>
      <c r="I461" t="s">
        <v>77</v>
      </c>
    </row>
    <row r="462" spans="1:9">
      <c r="A462">
        <v>154292</v>
      </c>
      <c r="B462">
        <v>1076507</v>
      </c>
      <c r="C462">
        <v>1</v>
      </c>
      <c r="D462" t="s">
        <v>1695</v>
      </c>
      <c r="E462">
        <v>2784</v>
      </c>
      <c r="F462" t="s">
        <v>47</v>
      </c>
      <c r="G462" t="s">
        <v>47</v>
      </c>
      <c r="I462" t="s">
        <v>77</v>
      </c>
    </row>
    <row r="463" spans="1:9">
      <c r="A463">
        <v>154293</v>
      </c>
      <c r="B463">
        <v>1076507</v>
      </c>
      <c r="C463">
        <v>2</v>
      </c>
      <c r="D463" t="s">
        <v>1695</v>
      </c>
      <c r="E463">
        <v>2784</v>
      </c>
      <c r="F463" t="s">
        <v>47</v>
      </c>
      <c r="G463" t="s">
        <v>47</v>
      </c>
      <c r="I463" t="s">
        <v>77</v>
      </c>
    </row>
    <row r="464" spans="1:9">
      <c r="A464">
        <v>154294</v>
      </c>
      <c r="B464">
        <v>1076507</v>
      </c>
      <c r="C464">
        <v>3</v>
      </c>
      <c r="D464" t="s">
        <v>1695</v>
      </c>
      <c r="E464">
        <v>2784</v>
      </c>
      <c r="F464" t="s">
        <v>47</v>
      </c>
      <c r="G464" t="s">
        <v>47</v>
      </c>
      <c r="I464" t="s">
        <v>77</v>
      </c>
    </row>
    <row r="465" spans="1:9">
      <c r="A465">
        <v>154611</v>
      </c>
      <c r="B465">
        <v>1076665</v>
      </c>
      <c r="C465">
        <v>1</v>
      </c>
      <c r="D465" t="s">
        <v>1695</v>
      </c>
      <c r="E465">
        <v>1008</v>
      </c>
      <c r="F465" t="s">
        <v>49</v>
      </c>
      <c r="G465" t="s">
        <v>133</v>
      </c>
      <c r="H465">
        <v>14814</v>
      </c>
      <c r="I465" t="s">
        <v>77</v>
      </c>
    </row>
    <row r="466" spans="1:9">
      <c r="A466">
        <v>154612</v>
      </c>
      <c r="B466">
        <v>1076665</v>
      </c>
      <c r="C466">
        <v>2</v>
      </c>
      <c r="D466" t="s">
        <v>1695</v>
      </c>
      <c r="E466">
        <v>1008</v>
      </c>
      <c r="F466" t="s">
        <v>49</v>
      </c>
      <c r="G466" t="s">
        <v>49</v>
      </c>
      <c r="H466">
        <v>14814</v>
      </c>
      <c r="I466" t="s">
        <v>77</v>
      </c>
    </row>
    <row r="467" spans="1:9">
      <c r="A467">
        <v>154902</v>
      </c>
      <c r="B467">
        <v>1076797</v>
      </c>
      <c r="C467">
        <v>1</v>
      </c>
      <c r="D467" t="s">
        <v>1695</v>
      </c>
      <c r="E467">
        <v>3171</v>
      </c>
      <c r="F467" t="s">
        <v>47</v>
      </c>
      <c r="G467" t="s">
        <v>47</v>
      </c>
      <c r="I467" t="s">
        <v>77</v>
      </c>
    </row>
    <row r="468" spans="1:9">
      <c r="A468">
        <v>155127</v>
      </c>
      <c r="B468">
        <v>1076911</v>
      </c>
      <c r="C468">
        <v>1</v>
      </c>
      <c r="D468" t="s">
        <v>1695</v>
      </c>
      <c r="E468">
        <v>1008</v>
      </c>
      <c r="F468" t="s">
        <v>41</v>
      </c>
      <c r="G468" t="s">
        <v>41</v>
      </c>
      <c r="I468" t="s">
        <v>77</v>
      </c>
    </row>
    <row r="469" spans="1:9">
      <c r="A469">
        <v>155128</v>
      </c>
      <c r="B469">
        <v>1076911</v>
      </c>
      <c r="C469">
        <v>2</v>
      </c>
      <c r="D469" t="s">
        <v>1695</v>
      </c>
      <c r="E469">
        <v>1008</v>
      </c>
      <c r="F469" t="s">
        <v>41</v>
      </c>
      <c r="G469" t="s">
        <v>41</v>
      </c>
      <c r="I469" t="s">
        <v>77</v>
      </c>
    </row>
    <row r="470" spans="1:9">
      <c r="A470">
        <v>157082</v>
      </c>
      <c r="B470">
        <v>1077889</v>
      </c>
      <c r="C470">
        <v>1</v>
      </c>
      <c r="D470" t="s">
        <v>1695</v>
      </c>
      <c r="E470">
        <v>2795</v>
      </c>
      <c r="F470" t="s">
        <v>41</v>
      </c>
      <c r="G470" t="s">
        <v>41</v>
      </c>
      <c r="I470" t="s">
        <v>77</v>
      </c>
    </row>
    <row r="471" spans="1:9">
      <c r="A471">
        <v>157083</v>
      </c>
      <c r="B471">
        <v>1077889</v>
      </c>
      <c r="C471">
        <v>2</v>
      </c>
      <c r="D471" t="s">
        <v>1696</v>
      </c>
      <c r="E471">
        <v>1677</v>
      </c>
      <c r="F471" t="s">
        <v>41</v>
      </c>
      <c r="G471" t="s">
        <v>41</v>
      </c>
      <c r="I471" t="s">
        <v>77</v>
      </c>
    </row>
    <row r="472" spans="1:9">
      <c r="A472">
        <v>157084</v>
      </c>
      <c r="B472">
        <v>1077889</v>
      </c>
      <c r="C472">
        <v>3</v>
      </c>
      <c r="D472" t="s">
        <v>1695</v>
      </c>
      <c r="E472">
        <v>2795</v>
      </c>
      <c r="F472" t="s">
        <v>41</v>
      </c>
      <c r="G472" t="s">
        <v>41</v>
      </c>
      <c r="I472" t="s">
        <v>77</v>
      </c>
    </row>
    <row r="473" spans="1:9">
      <c r="A473">
        <v>157085</v>
      </c>
      <c r="B473">
        <v>1077889</v>
      </c>
      <c r="C473">
        <v>4</v>
      </c>
      <c r="D473" t="s">
        <v>1695</v>
      </c>
      <c r="E473">
        <v>2795</v>
      </c>
      <c r="F473" t="s">
        <v>41</v>
      </c>
      <c r="G473" t="s">
        <v>41</v>
      </c>
      <c r="I473" t="s">
        <v>77</v>
      </c>
    </row>
    <row r="474" spans="1:9">
      <c r="A474">
        <v>157086</v>
      </c>
      <c r="B474">
        <v>1077889</v>
      </c>
      <c r="C474">
        <v>5</v>
      </c>
      <c r="D474" t="s">
        <v>1695</v>
      </c>
      <c r="E474">
        <v>2795</v>
      </c>
      <c r="F474" t="s">
        <v>41</v>
      </c>
      <c r="G474" t="s">
        <v>41</v>
      </c>
      <c r="I474" t="s">
        <v>77</v>
      </c>
    </row>
    <row r="475" spans="1:9">
      <c r="A475">
        <v>157262</v>
      </c>
      <c r="B475">
        <v>1077975</v>
      </c>
      <c r="C475">
        <v>1</v>
      </c>
      <c r="D475" t="s">
        <v>1695</v>
      </c>
      <c r="E475">
        <v>3171</v>
      </c>
      <c r="F475" t="s">
        <v>49</v>
      </c>
      <c r="G475" t="s">
        <v>49</v>
      </c>
      <c r="H475">
        <v>15485</v>
      </c>
      <c r="I475" t="s">
        <v>77</v>
      </c>
    </row>
    <row r="476" spans="1:9">
      <c r="A476">
        <v>157306</v>
      </c>
      <c r="B476">
        <v>1078000</v>
      </c>
      <c r="C476">
        <v>1</v>
      </c>
      <c r="D476" t="s">
        <v>1696</v>
      </c>
      <c r="E476">
        <v>543</v>
      </c>
      <c r="F476" t="s">
        <v>47</v>
      </c>
      <c r="G476" t="s">
        <v>47</v>
      </c>
      <c r="I476" t="s">
        <v>77</v>
      </c>
    </row>
    <row r="477" spans="1:9">
      <c r="A477">
        <v>157307</v>
      </c>
      <c r="B477">
        <v>1078000</v>
      </c>
      <c r="C477">
        <v>2</v>
      </c>
      <c r="D477" t="s">
        <v>1695</v>
      </c>
      <c r="E477">
        <v>906</v>
      </c>
      <c r="F477" t="s">
        <v>47</v>
      </c>
      <c r="G477" t="s">
        <v>47</v>
      </c>
      <c r="I477" t="s">
        <v>77</v>
      </c>
    </row>
    <row r="478" spans="1:9">
      <c r="A478">
        <v>157308</v>
      </c>
      <c r="B478">
        <v>1078000</v>
      </c>
      <c r="C478">
        <v>3</v>
      </c>
      <c r="D478" t="s">
        <v>1695</v>
      </c>
      <c r="E478">
        <v>906</v>
      </c>
      <c r="F478" t="s">
        <v>47</v>
      </c>
      <c r="G478" t="s">
        <v>47</v>
      </c>
      <c r="I478" t="s">
        <v>77</v>
      </c>
    </row>
    <row r="479" spans="1:9">
      <c r="A479">
        <v>157309</v>
      </c>
      <c r="B479">
        <v>1078000</v>
      </c>
      <c r="C479">
        <v>4</v>
      </c>
      <c r="D479" t="s">
        <v>1695</v>
      </c>
      <c r="E479">
        <v>906</v>
      </c>
      <c r="F479" t="s">
        <v>47</v>
      </c>
      <c r="G479" t="s">
        <v>47</v>
      </c>
      <c r="I479" t="s">
        <v>77</v>
      </c>
    </row>
    <row r="480" spans="1:9">
      <c r="A480">
        <v>157310</v>
      </c>
      <c r="B480">
        <v>1078000</v>
      </c>
      <c r="C480">
        <v>5</v>
      </c>
      <c r="D480" t="s">
        <v>1695</v>
      </c>
      <c r="E480">
        <v>906</v>
      </c>
      <c r="F480" t="s">
        <v>47</v>
      </c>
      <c r="G480" t="s">
        <v>47</v>
      </c>
      <c r="I480" t="s">
        <v>77</v>
      </c>
    </row>
    <row r="481" spans="1:9">
      <c r="A481">
        <v>157374</v>
      </c>
      <c r="B481">
        <v>1078035</v>
      </c>
      <c r="C481">
        <v>1</v>
      </c>
      <c r="D481" t="s">
        <v>1695</v>
      </c>
      <c r="E481">
        <v>2429</v>
      </c>
      <c r="F481" t="s">
        <v>41</v>
      </c>
      <c r="G481" t="s">
        <v>41</v>
      </c>
      <c r="I481" t="s">
        <v>77</v>
      </c>
    </row>
    <row r="482" spans="1:9">
      <c r="A482">
        <v>157741</v>
      </c>
      <c r="B482">
        <v>1078216</v>
      </c>
      <c r="C482">
        <v>1</v>
      </c>
      <c r="D482" t="s">
        <v>1695</v>
      </c>
      <c r="E482">
        <v>941</v>
      </c>
      <c r="F482" t="s">
        <v>41</v>
      </c>
      <c r="G482" t="s">
        <v>41</v>
      </c>
      <c r="I482" t="s">
        <v>77</v>
      </c>
    </row>
    <row r="483" spans="1:9">
      <c r="A483">
        <v>158579</v>
      </c>
      <c r="B483">
        <v>1078604</v>
      </c>
      <c r="C483">
        <v>1</v>
      </c>
      <c r="D483" t="s">
        <v>1695</v>
      </c>
      <c r="E483">
        <v>753</v>
      </c>
      <c r="F483" t="s">
        <v>41</v>
      </c>
      <c r="G483" t="s">
        <v>163</v>
      </c>
      <c r="I483" t="s">
        <v>77</v>
      </c>
    </row>
    <row r="484" spans="1:9">
      <c r="A484">
        <v>159279</v>
      </c>
      <c r="B484">
        <v>1078946</v>
      </c>
      <c r="C484">
        <v>1</v>
      </c>
      <c r="D484" t="s">
        <v>1695</v>
      </c>
      <c r="E484">
        <v>288</v>
      </c>
      <c r="F484" t="s">
        <v>41</v>
      </c>
      <c r="G484" t="s">
        <v>41</v>
      </c>
      <c r="I484" t="s">
        <v>77</v>
      </c>
    </row>
    <row r="485" spans="1:9">
      <c r="A485">
        <v>160107</v>
      </c>
      <c r="B485">
        <v>1079358</v>
      </c>
      <c r="C485">
        <v>1</v>
      </c>
      <c r="D485" t="s">
        <v>1695</v>
      </c>
      <c r="E485">
        <v>3123</v>
      </c>
      <c r="F485" t="s">
        <v>49</v>
      </c>
      <c r="G485" t="s">
        <v>37</v>
      </c>
      <c r="H485">
        <v>15639</v>
      </c>
      <c r="I485" t="s">
        <v>77</v>
      </c>
    </row>
    <row r="486" spans="1:9">
      <c r="A486">
        <v>160108</v>
      </c>
      <c r="B486">
        <v>1079358</v>
      </c>
      <c r="C486">
        <v>2</v>
      </c>
      <c r="D486" t="s">
        <v>1695</v>
      </c>
      <c r="E486">
        <v>3123</v>
      </c>
      <c r="F486" t="s">
        <v>49</v>
      </c>
      <c r="G486" t="s">
        <v>47</v>
      </c>
      <c r="I486" t="s">
        <v>77</v>
      </c>
    </row>
    <row r="487" spans="1:9">
      <c r="A487">
        <v>160109</v>
      </c>
      <c r="B487">
        <v>1079358</v>
      </c>
      <c r="C487">
        <v>3</v>
      </c>
      <c r="D487" t="s">
        <v>1695</v>
      </c>
      <c r="E487">
        <v>3123</v>
      </c>
      <c r="F487" t="s">
        <v>49</v>
      </c>
      <c r="G487" t="s">
        <v>47</v>
      </c>
      <c r="I487" t="s">
        <v>77</v>
      </c>
    </row>
    <row r="488" spans="1:9">
      <c r="A488">
        <v>160110</v>
      </c>
      <c r="B488">
        <v>1079358</v>
      </c>
      <c r="C488">
        <v>4</v>
      </c>
      <c r="D488" t="s">
        <v>1695</v>
      </c>
      <c r="E488">
        <v>3123</v>
      </c>
      <c r="F488" t="s">
        <v>49</v>
      </c>
      <c r="G488" t="s">
        <v>47</v>
      </c>
      <c r="I488" t="s">
        <v>77</v>
      </c>
    </row>
    <row r="489" spans="1:9">
      <c r="A489">
        <v>160964</v>
      </c>
      <c r="B489">
        <v>1079788</v>
      </c>
      <c r="C489">
        <v>1</v>
      </c>
      <c r="D489" t="s">
        <v>1695</v>
      </c>
      <c r="E489">
        <v>2784</v>
      </c>
      <c r="F489" t="s">
        <v>41</v>
      </c>
      <c r="G489" t="s">
        <v>41</v>
      </c>
      <c r="I489" t="s">
        <v>77</v>
      </c>
    </row>
    <row r="490" spans="1:9">
      <c r="A490">
        <v>160965</v>
      </c>
      <c r="B490">
        <v>1079788</v>
      </c>
      <c r="C490">
        <v>2</v>
      </c>
      <c r="D490" t="s">
        <v>1695</v>
      </c>
      <c r="E490">
        <v>2784</v>
      </c>
      <c r="F490" t="s">
        <v>41</v>
      </c>
      <c r="G490" t="s">
        <v>41</v>
      </c>
      <c r="I490" t="s">
        <v>77</v>
      </c>
    </row>
    <row r="491" spans="1:9">
      <c r="A491">
        <v>160966</v>
      </c>
      <c r="B491">
        <v>1079788</v>
      </c>
      <c r="C491">
        <v>3</v>
      </c>
      <c r="D491" t="s">
        <v>1695</v>
      </c>
      <c r="E491">
        <v>2784</v>
      </c>
      <c r="F491" t="s">
        <v>41</v>
      </c>
      <c r="G491" t="s">
        <v>41</v>
      </c>
      <c r="I491" t="s">
        <v>77</v>
      </c>
    </row>
    <row r="492" spans="1:9">
      <c r="A492">
        <v>161028</v>
      </c>
      <c r="B492">
        <v>1079819</v>
      </c>
      <c r="C492">
        <v>1</v>
      </c>
      <c r="D492" t="s">
        <v>1695</v>
      </c>
      <c r="E492">
        <v>1102</v>
      </c>
      <c r="F492" t="s">
        <v>49</v>
      </c>
      <c r="G492" t="s">
        <v>49</v>
      </c>
      <c r="H492">
        <v>15625</v>
      </c>
      <c r="I492" t="s">
        <v>77</v>
      </c>
    </row>
    <row r="493" spans="1:9">
      <c r="A493">
        <v>161029</v>
      </c>
      <c r="B493">
        <v>1079819</v>
      </c>
      <c r="C493">
        <v>2</v>
      </c>
      <c r="D493" t="s">
        <v>1697</v>
      </c>
      <c r="E493">
        <v>551</v>
      </c>
      <c r="F493" t="s">
        <v>49</v>
      </c>
      <c r="G493" t="s">
        <v>49</v>
      </c>
      <c r="H493">
        <v>15625</v>
      </c>
      <c r="I493" t="s">
        <v>77</v>
      </c>
    </row>
    <row r="494" spans="1:9">
      <c r="A494">
        <v>161411</v>
      </c>
      <c r="B494">
        <v>1080019</v>
      </c>
      <c r="C494">
        <v>1</v>
      </c>
      <c r="D494" t="s">
        <v>1695</v>
      </c>
      <c r="E494">
        <v>753</v>
      </c>
      <c r="F494" t="s">
        <v>41</v>
      </c>
      <c r="G494" t="s">
        <v>41</v>
      </c>
      <c r="I494" t="s">
        <v>77</v>
      </c>
    </row>
    <row r="495" spans="1:9">
      <c r="A495">
        <v>162492</v>
      </c>
      <c r="B495">
        <v>1080555</v>
      </c>
      <c r="C495">
        <v>1</v>
      </c>
      <c r="D495" t="s">
        <v>1695</v>
      </c>
      <c r="E495">
        <v>2784</v>
      </c>
      <c r="F495" t="s">
        <v>41</v>
      </c>
      <c r="G495" t="s">
        <v>41</v>
      </c>
      <c r="I495" t="s">
        <v>77</v>
      </c>
    </row>
    <row r="496" spans="1:9">
      <c r="A496">
        <v>162543</v>
      </c>
      <c r="B496">
        <v>1080584</v>
      </c>
      <c r="C496">
        <v>1</v>
      </c>
      <c r="D496" t="s">
        <v>1695</v>
      </c>
      <c r="E496">
        <v>1176</v>
      </c>
      <c r="F496" t="s">
        <v>41</v>
      </c>
      <c r="G496" t="s">
        <v>41</v>
      </c>
      <c r="I496" t="s">
        <v>77</v>
      </c>
    </row>
    <row r="497" spans="1:9">
      <c r="A497">
        <v>162544</v>
      </c>
      <c r="B497">
        <v>1080584</v>
      </c>
      <c r="C497">
        <v>2</v>
      </c>
      <c r="D497" t="s">
        <v>1695</v>
      </c>
      <c r="E497">
        <v>1176</v>
      </c>
      <c r="F497" t="s">
        <v>41</v>
      </c>
      <c r="G497" t="s">
        <v>41</v>
      </c>
      <c r="I497" t="s">
        <v>77</v>
      </c>
    </row>
    <row r="498" spans="1:9">
      <c r="A498">
        <v>162617</v>
      </c>
      <c r="B498">
        <v>1080622</v>
      </c>
      <c r="C498">
        <v>1</v>
      </c>
      <c r="D498" t="s">
        <v>1695</v>
      </c>
      <c r="E498">
        <v>1243</v>
      </c>
      <c r="F498" t="s">
        <v>41</v>
      </c>
      <c r="G498" t="s">
        <v>41</v>
      </c>
      <c r="I498" t="s">
        <v>77</v>
      </c>
    </row>
    <row r="499" spans="1:9">
      <c r="A499">
        <v>162688</v>
      </c>
      <c r="B499">
        <v>1080665</v>
      </c>
      <c r="C499">
        <v>1</v>
      </c>
      <c r="D499" t="s">
        <v>1696</v>
      </c>
      <c r="E499">
        <v>393</v>
      </c>
      <c r="F499" t="s">
        <v>41</v>
      </c>
      <c r="G499" t="s">
        <v>41</v>
      </c>
      <c r="I499" t="s">
        <v>77</v>
      </c>
    </row>
    <row r="500" spans="1:9">
      <c r="A500">
        <v>162793</v>
      </c>
      <c r="B500">
        <v>1080716</v>
      </c>
      <c r="C500">
        <v>1</v>
      </c>
      <c r="D500" t="s">
        <v>1695</v>
      </c>
      <c r="E500">
        <v>2402</v>
      </c>
      <c r="F500" t="s">
        <v>41</v>
      </c>
      <c r="G500" t="s">
        <v>41</v>
      </c>
      <c r="I500" t="s">
        <v>77</v>
      </c>
    </row>
    <row r="501" spans="1:9">
      <c r="A501">
        <v>162794</v>
      </c>
      <c r="B501">
        <v>1080716</v>
      </c>
      <c r="C501">
        <v>2</v>
      </c>
      <c r="D501" t="s">
        <v>1695</v>
      </c>
      <c r="E501">
        <v>2402</v>
      </c>
      <c r="F501" t="s">
        <v>41</v>
      </c>
      <c r="G501" t="s">
        <v>41</v>
      </c>
      <c r="I501" t="s">
        <v>77</v>
      </c>
    </row>
    <row r="502" spans="1:9">
      <c r="A502">
        <v>163095</v>
      </c>
      <c r="B502">
        <v>1080854</v>
      </c>
      <c r="C502">
        <v>1</v>
      </c>
      <c r="D502" t="s">
        <v>1695</v>
      </c>
      <c r="E502">
        <v>2658</v>
      </c>
      <c r="F502" t="s">
        <v>41</v>
      </c>
      <c r="G502" t="s">
        <v>41</v>
      </c>
      <c r="I502" t="s">
        <v>77</v>
      </c>
    </row>
    <row r="503" spans="1:9">
      <c r="A503">
        <v>163781</v>
      </c>
      <c r="B503">
        <v>1081189</v>
      </c>
      <c r="C503">
        <v>1</v>
      </c>
      <c r="D503" t="s">
        <v>1695</v>
      </c>
      <c r="E503">
        <v>1657</v>
      </c>
      <c r="F503" t="s">
        <v>41</v>
      </c>
      <c r="G503" t="s">
        <v>37</v>
      </c>
      <c r="H503">
        <v>17051</v>
      </c>
      <c r="I503" t="s">
        <v>77</v>
      </c>
    </row>
    <row r="504" spans="1:9">
      <c r="A504">
        <v>164855</v>
      </c>
      <c r="B504">
        <v>1081720</v>
      </c>
      <c r="C504">
        <v>1</v>
      </c>
      <c r="D504" t="s">
        <v>1695</v>
      </c>
      <c r="E504">
        <v>3520</v>
      </c>
      <c r="F504" t="s">
        <v>41</v>
      </c>
      <c r="G504" t="s">
        <v>41</v>
      </c>
      <c r="I504" t="s">
        <v>77</v>
      </c>
    </row>
    <row r="505" spans="1:9">
      <c r="A505">
        <v>165182</v>
      </c>
      <c r="B505">
        <v>1081876</v>
      </c>
      <c r="C505">
        <v>1</v>
      </c>
      <c r="D505" t="s">
        <v>1695</v>
      </c>
      <c r="E505">
        <v>1176</v>
      </c>
      <c r="F505" t="s">
        <v>41</v>
      </c>
      <c r="G505" t="s">
        <v>41</v>
      </c>
      <c r="I505" t="s">
        <v>77</v>
      </c>
    </row>
    <row r="506" spans="1:9">
      <c r="A506">
        <v>165183</v>
      </c>
      <c r="B506">
        <v>1081876</v>
      </c>
      <c r="C506">
        <v>2</v>
      </c>
      <c r="D506" t="s">
        <v>1695</v>
      </c>
      <c r="E506">
        <v>1176</v>
      </c>
      <c r="F506" t="s">
        <v>41</v>
      </c>
      <c r="G506" t="s">
        <v>41</v>
      </c>
      <c r="I506" t="s">
        <v>77</v>
      </c>
    </row>
    <row r="507" spans="1:9">
      <c r="A507">
        <v>166343</v>
      </c>
      <c r="B507">
        <v>1082449</v>
      </c>
      <c r="C507">
        <v>1</v>
      </c>
      <c r="D507" t="s">
        <v>1695</v>
      </c>
      <c r="E507">
        <v>1854</v>
      </c>
      <c r="F507" t="s">
        <v>41</v>
      </c>
      <c r="G507" t="s">
        <v>41</v>
      </c>
      <c r="I507" t="s">
        <v>77</v>
      </c>
    </row>
    <row r="508" spans="1:9">
      <c r="A508">
        <v>169193</v>
      </c>
      <c r="B508">
        <v>1083870</v>
      </c>
      <c r="C508">
        <v>1</v>
      </c>
      <c r="D508" t="s">
        <v>1695</v>
      </c>
      <c r="E508">
        <v>348</v>
      </c>
      <c r="F508" t="s">
        <v>41</v>
      </c>
      <c r="G508" t="s">
        <v>41</v>
      </c>
      <c r="I508" t="s">
        <v>77</v>
      </c>
    </row>
    <row r="509" spans="1:9">
      <c r="A509">
        <v>169194</v>
      </c>
      <c r="B509">
        <v>1083870</v>
      </c>
      <c r="C509">
        <v>2</v>
      </c>
      <c r="D509" t="s">
        <v>1695</v>
      </c>
      <c r="E509">
        <v>348</v>
      </c>
      <c r="F509" t="s">
        <v>41</v>
      </c>
      <c r="G509" t="s">
        <v>41</v>
      </c>
      <c r="I509" t="s">
        <v>77</v>
      </c>
    </row>
    <row r="510" spans="1:9">
      <c r="A510">
        <v>169195</v>
      </c>
      <c r="B510">
        <v>1083870</v>
      </c>
      <c r="C510">
        <v>3</v>
      </c>
      <c r="D510" t="s">
        <v>1695</v>
      </c>
      <c r="E510">
        <v>348</v>
      </c>
      <c r="F510" t="s">
        <v>41</v>
      </c>
      <c r="G510" t="s">
        <v>41</v>
      </c>
      <c r="I510" t="s">
        <v>77</v>
      </c>
    </row>
    <row r="511" spans="1:9">
      <c r="A511">
        <v>169196</v>
      </c>
      <c r="B511">
        <v>1083870</v>
      </c>
      <c r="C511">
        <v>4</v>
      </c>
      <c r="D511" t="s">
        <v>1695</v>
      </c>
      <c r="E511">
        <v>348</v>
      </c>
      <c r="F511" t="s">
        <v>41</v>
      </c>
      <c r="G511" t="s">
        <v>41</v>
      </c>
      <c r="I511" t="s">
        <v>77</v>
      </c>
    </row>
    <row r="512" spans="1:9">
      <c r="A512">
        <v>169197</v>
      </c>
      <c r="B512">
        <v>1083870</v>
      </c>
      <c r="C512">
        <v>5</v>
      </c>
      <c r="D512" t="s">
        <v>1695</v>
      </c>
      <c r="E512">
        <v>348</v>
      </c>
      <c r="F512" t="s">
        <v>41</v>
      </c>
      <c r="G512" t="s">
        <v>41</v>
      </c>
      <c r="I512" t="s">
        <v>77</v>
      </c>
    </row>
    <row r="513" spans="1:9">
      <c r="A513">
        <v>169198</v>
      </c>
      <c r="B513">
        <v>1083870</v>
      </c>
      <c r="C513">
        <v>6</v>
      </c>
      <c r="D513" t="s">
        <v>1695</v>
      </c>
      <c r="E513">
        <v>348</v>
      </c>
      <c r="F513" t="s">
        <v>41</v>
      </c>
      <c r="G513" t="s">
        <v>41</v>
      </c>
      <c r="I513" t="s">
        <v>77</v>
      </c>
    </row>
    <row r="514" spans="1:9">
      <c r="A514">
        <v>170601</v>
      </c>
      <c r="B514">
        <v>1084581</v>
      </c>
      <c r="C514">
        <v>1</v>
      </c>
      <c r="D514" t="s">
        <v>1695</v>
      </c>
      <c r="E514">
        <v>3026</v>
      </c>
      <c r="F514" t="s">
        <v>41</v>
      </c>
      <c r="G514" t="s">
        <v>41</v>
      </c>
      <c r="I514" t="s">
        <v>77</v>
      </c>
    </row>
    <row r="515" spans="1:9">
      <c r="A515">
        <v>170602</v>
      </c>
      <c r="B515">
        <v>1084581</v>
      </c>
      <c r="C515">
        <v>2</v>
      </c>
      <c r="D515" t="s">
        <v>1695</v>
      </c>
      <c r="E515">
        <v>3026</v>
      </c>
      <c r="F515" t="s">
        <v>41</v>
      </c>
      <c r="G515" t="s">
        <v>41</v>
      </c>
      <c r="I515" t="s">
        <v>77</v>
      </c>
    </row>
    <row r="516" spans="1:9">
      <c r="A516">
        <v>170603</v>
      </c>
      <c r="B516">
        <v>1084581</v>
      </c>
      <c r="C516">
        <v>3</v>
      </c>
      <c r="D516" t="s">
        <v>1695</v>
      </c>
      <c r="E516">
        <v>3026</v>
      </c>
      <c r="F516" t="s">
        <v>41</v>
      </c>
      <c r="G516" t="s">
        <v>41</v>
      </c>
      <c r="I516" t="s">
        <v>77</v>
      </c>
    </row>
    <row r="517" spans="1:9">
      <c r="A517">
        <v>170604</v>
      </c>
      <c r="B517">
        <v>1084581</v>
      </c>
      <c r="C517">
        <v>4</v>
      </c>
      <c r="D517" t="s">
        <v>1695</v>
      </c>
      <c r="E517">
        <v>3026</v>
      </c>
      <c r="F517" t="s">
        <v>41</v>
      </c>
      <c r="G517" t="s">
        <v>41</v>
      </c>
      <c r="I517" t="s">
        <v>77</v>
      </c>
    </row>
    <row r="518" spans="1:9">
      <c r="A518">
        <v>170605</v>
      </c>
      <c r="B518">
        <v>1084581</v>
      </c>
      <c r="C518">
        <v>5</v>
      </c>
      <c r="D518" t="s">
        <v>1695</v>
      </c>
      <c r="E518">
        <v>3026</v>
      </c>
      <c r="F518" t="s">
        <v>41</v>
      </c>
      <c r="G518" t="s">
        <v>41</v>
      </c>
      <c r="I518" t="s">
        <v>77</v>
      </c>
    </row>
    <row r="519" spans="1:9">
      <c r="A519">
        <v>170620</v>
      </c>
      <c r="B519">
        <v>1084587</v>
      </c>
      <c r="C519">
        <v>1</v>
      </c>
      <c r="D519" t="s">
        <v>1695</v>
      </c>
      <c r="E519">
        <v>916</v>
      </c>
      <c r="F519" t="s">
        <v>41</v>
      </c>
      <c r="G519" t="s">
        <v>41</v>
      </c>
      <c r="I519" t="s">
        <v>77</v>
      </c>
    </row>
    <row r="520" spans="1:9">
      <c r="A520">
        <v>170778</v>
      </c>
      <c r="B520">
        <v>1084667</v>
      </c>
      <c r="C520">
        <v>1</v>
      </c>
      <c r="D520" t="s">
        <v>1696</v>
      </c>
      <c r="E520">
        <v>1948</v>
      </c>
      <c r="F520" t="s">
        <v>47</v>
      </c>
      <c r="G520" t="s">
        <v>47</v>
      </c>
      <c r="I520" t="s">
        <v>77</v>
      </c>
    </row>
    <row r="521" spans="1:9">
      <c r="A521">
        <v>170779</v>
      </c>
      <c r="B521">
        <v>1084667</v>
      </c>
      <c r="C521">
        <v>2</v>
      </c>
      <c r="D521" t="s">
        <v>1696</v>
      </c>
      <c r="E521">
        <v>1948</v>
      </c>
      <c r="F521" t="s">
        <v>47</v>
      </c>
      <c r="G521" t="s">
        <v>47</v>
      </c>
      <c r="I521" t="s">
        <v>77</v>
      </c>
    </row>
    <row r="522" spans="1:9">
      <c r="A522">
        <v>170780</v>
      </c>
      <c r="B522">
        <v>1084667</v>
      </c>
      <c r="C522">
        <v>3</v>
      </c>
      <c r="D522" t="s">
        <v>1695</v>
      </c>
      <c r="E522">
        <v>3247</v>
      </c>
      <c r="F522" t="s">
        <v>47</v>
      </c>
      <c r="G522" t="s">
        <v>47</v>
      </c>
      <c r="I522" t="s">
        <v>77</v>
      </c>
    </row>
    <row r="523" spans="1:9">
      <c r="A523">
        <v>171295</v>
      </c>
      <c r="B523">
        <v>1084927</v>
      </c>
      <c r="C523">
        <v>1</v>
      </c>
      <c r="D523" t="s">
        <v>1695</v>
      </c>
      <c r="E523">
        <v>1049</v>
      </c>
      <c r="F523" t="s">
        <v>41</v>
      </c>
      <c r="G523" t="s">
        <v>41</v>
      </c>
      <c r="I523" t="s">
        <v>77</v>
      </c>
    </row>
    <row r="524" spans="1:9">
      <c r="A524">
        <v>171296</v>
      </c>
      <c r="B524">
        <v>1084927</v>
      </c>
      <c r="C524">
        <v>2</v>
      </c>
      <c r="D524" t="s">
        <v>1695</v>
      </c>
      <c r="E524">
        <v>1049</v>
      </c>
      <c r="F524" t="s">
        <v>41</v>
      </c>
      <c r="G524" t="s">
        <v>41</v>
      </c>
      <c r="I524" t="s">
        <v>77</v>
      </c>
    </row>
    <row r="525" spans="1:9">
      <c r="A525">
        <v>171297</v>
      </c>
      <c r="B525">
        <v>1084927</v>
      </c>
      <c r="C525">
        <v>3</v>
      </c>
      <c r="D525" t="s">
        <v>1695</v>
      </c>
      <c r="E525">
        <v>1049</v>
      </c>
      <c r="F525" t="s">
        <v>41</v>
      </c>
      <c r="G525" t="s">
        <v>41</v>
      </c>
      <c r="I525" t="s">
        <v>77</v>
      </c>
    </row>
    <row r="526" spans="1:9">
      <c r="A526">
        <v>171298</v>
      </c>
      <c r="B526">
        <v>1084927</v>
      </c>
      <c r="C526">
        <v>4</v>
      </c>
      <c r="D526" t="s">
        <v>1695</v>
      </c>
      <c r="E526">
        <v>1049</v>
      </c>
      <c r="F526" t="s">
        <v>47</v>
      </c>
      <c r="G526" t="s">
        <v>41</v>
      </c>
      <c r="I526" t="s">
        <v>77</v>
      </c>
    </row>
    <row r="527" spans="1:9">
      <c r="A527">
        <v>172045</v>
      </c>
      <c r="B527">
        <v>1085292</v>
      </c>
      <c r="C527">
        <v>1</v>
      </c>
      <c r="D527" t="s">
        <v>1695</v>
      </c>
      <c r="E527">
        <v>2795</v>
      </c>
      <c r="F527" t="s">
        <v>41</v>
      </c>
      <c r="G527" t="s">
        <v>41</v>
      </c>
      <c r="I527" t="s">
        <v>77</v>
      </c>
    </row>
    <row r="528" spans="1:9">
      <c r="A528">
        <v>172308</v>
      </c>
      <c r="B528">
        <v>1085418</v>
      </c>
      <c r="C528">
        <v>1</v>
      </c>
      <c r="D528" t="s">
        <v>1695</v>
      </c>
      <c r="E528">
        <v>2520</v>
      </c>
      <c r="F528" t="s">
        <v>41</v>
      </c>
      <c r="G528" t="s">
        <v>41</v>
      </c>
      <c r="I528" t="s">
        <v>77</v>
      </c>
    </row>
    <row r="529" spans="1:9">
      <c r="A529">
        <v>172836</v>
      </c>
      <c r="B529">
        <v>1085662</v>
      </c>
      <c r="C529">
        <v>1</v>
      </c>
      <c r="D529" t="s">
        <v>1695</v>
      </c>
      <c r="E529">
        <v>1176</v>
      </c>
      <c r="F529" t="s">
        <v>41</v>
      </c>
      <c r="G529" t="s">
        <v>41</v>
      </c>
      <c r="I529" t="s">
        <v>77</v>
      </c>
    </row>
    <row r="530" spans="1:9">
      <c r="A530">
        <v>172837</v>
      </c>
      <c r="B530">
        <v>1085662</v>
      </c>
      <c r="C530">
        <v>2</v>
      </c>
      <c r="D530" t="s">
        <v>1697</v>
      </c>
      <c r="E530">
        <v>588</v>
      </c>
      <c r="F530" t="s">
        <v>41</v>
      </c>
      <c r="G530" t="s">
        <v>41</v>
      </c>
      <c r="I530" t="s">
        <v>77</v>
      </c>
    </row>
    <row r="531" spans="1:9">
      <c r="A531">
        <v>175764</v>
      </c>
      <c r="B531">
        <v>1087131</v>
      </c>
      <c r="C531">
        <v>1</v>
      </c>
      <c r="D531" t="s">
        <v>1695</v>
      </c>
      <c r="E531">
        <v>762</v>
      </c>
      <c r="F531" t="s">
        <v>49</v>
      </c>
      <c r="G531" t="s">
        <v>49</v>
      </c>
      <c r="H531">
        <v>17644</v>
      </c>
      <c r="I531" t="s">
        <v>77</v>
      </c>
    </row>
    <row r="532" spans="1:9">
      <c r="A532">
        <v>175765</v>
      </c>
      <c r="B532">
        <v>1087131</v>
      </c>
      <c r="C532">
        <v>2</v>
      </c>
      <c r="D532" t="s">
        <v>1696</v>
      </c>
      <c r="E532">
        <v>457</v>
      </c>
      <c r="F532" t="s">
        <v>49</v>
      </c>
      <c r="G532" t="s">
        <v>49</v>
      </c>
      <c r="H532">
        <v>17644</v>
      </c>
      <c r="I532" t="s">
        <v>77</v>
      </c>
    </row>
    <row r="533" spans="1:9">
      <c r="A533">
        <v>175766</v>
      </c>
      <c r="B533">
        <v>1087131</v>
      </c>
      <c r="C533">
        <v>3</v>
      </c>
      <c r="D533" t="s">
        <v>1695</v>
      </c>
      <c r="E533">
        <v>762</v>
      </c>
      <c r="F533" t="s">
        <v>49</v>
      </c>
      <c r="G533" t="s">
        <v>49</v>
      </c>
      <c r="H533">
        <v>17644</v>
      </c>
      <c r="I533" t="s">
        <v>77</v>
      </c>
    </row>
    <row r="534" spans="1:9">
      <c r="A534">
        <v>175767</v>
      </c>
      <c r="B534">
        <v>1087131</v>
      </c>
      <c r="C534">
        <v>4</v>
      </c>
      <c r="D534" t="s">
        <v>1695</v>
      </c>
      <c r="E534">
        <v>762</v>
      </c>
      <c r="F534" t="s">
        <v>49</v>
      </c>
      <c r="G534" t="s">
        <v>49</v>
      </c>
      <c r="H534">
        <v>17644</v>
      </c>
      <c r="I534" t="s">
        <v>77</v>
      </c>
    </row>
    <row r="535" spans="1:9">
      <c r="A535">
        <v>175768</v>
      </c>
      <c r="B535">
        <v>1087131</v>
      </c>
      <c r="C535">
        <v>5</v>
      </c>
      <c r="D535" t="s">
        <v>1695</v>
      </c>
      <c r="E535">
        <v>762</v>
      </c>
      <c r="F535" t="s">
        <v>49</v>
      </c>
      <c r="G535" t="s">
        <v>49</v>
      </c>
      <c r="H535">
        <v>17644</v>
      </c>
      <c r="I535" t="s">
        <v>77</v>
      </c>
    </row>
    <row r="536" spans="1:9">
      <c r="A536">
        <v>175769</v>
      </c>
      <c r="B536">
        <v>1087131</v>
      </c>
      <c r="C536">
        <v>6</v>
      </c>
      <c r="D536" t="s">
        <v>1695</v>
      </c>
      <c r="E536">
        <v>762</v>
      </c>
      <c r="F536" t="s">
        <v>49</v>
      </c>
      <c r="G536" t="s">
        <v>49</v>
      </c>
      <c r="H536">
        <v>17644</v>
      </c>
      <c r="I536" t="s">
        <v>77</v>
      </c>
    </row>
    <row r="537" spans="1:9">
      <c r="A537">
        <v>176192</v>
      </c>
      <c r="B537">
        <v>1087348</v>
      </c>
      <c r="C537">
        <v>1</v>
      </c>
      <c r="D537" t="s">
        <v>1695</v>
      </c>
      <c r="E537">
        <v>870</v>
      </c>
      <c r="F537" t="s">
        <v>41</v>
      </c>
      <c r="G537" t="s">
        <v>41</v>
      </c>
      <c r="I537" t="s">
        <v>77</v>
      </c>
    </row>
    <row r="538" spans="1:9">
      <c r="A538">
        <v>176193</v>
      </c>
      <c r="B538">
        <v>1087348</v>
      </c>
      <c r="C538">
        <v>2</v>
      </c>
      <c r="D538" t="s">
        <v>1695</v>
      </c>
      <c r="E538">
        <v>870</v>
      </c>
      <c r="F538" t="s">
        <v>41</v>
      </c>
      <c r="G538" t="s">
        <v>41</v>
      </c>
      <c r="I538" t="s">
        <v>77</v>
      </c>
    </row>
    <row r="539" spans="1:9">
      <c r="A539">
        <v>177621</v>
      </c>
      <c r="B539">
        <v>1088056</v>
      </c>
      <c r="C539">
        <v>1</v>
      </c>
      <c r="D539" t="s">
        <v>1695</v>
      </c>
      <c r="E539">
        <v>4142</v>
      </c>
      <c r="F539" t="s">
        <v>41</v>
      </c>
      <c r="G539" t="s">
        <v>41</v>
      </c>
      <c r="I539" t="s">
        <v>77</v>
      </c>
    </row>
    <row r="540" spans="1:9">
      <c r="A540">
        <v>177622</v>
      </c>
      <c r="B540">
        <v>1088056</v>
      </c>
      <c r="C540">
        <v>2</v>
      </c>
      <c r="D540" t="s">
        <v>1695</v>
      </c>
      <c r="E540">
        <v>4142</v>
      </c>
      <c r="F540" t="s">
        <v>41</v>
      </c>
      <c r="G540" t="s">
        <v>41</v>
      </c>
      <c r="I540" t="s">
        <v>77</v>
      </c>
    </row>
    <row r="541" spans="1:9">
      <c r="A541">
        <v>181672</v>
      </c>
      <c r="B541">
        <v>1089984</v>
      </c>
      <c r="C541">
        <v>1</v>
      </c>
      <c r="D541" t="s">
        <v>1695</v>
      </c>
      <c r="E541">
        <v>790</v>
      </c>
      <c r="F541" t="s">
        <v>41</v>
      </c>
      <c r="G541" t="s">
        <v>41</v>
      </c>
      <c r="I541" t="s">
        <v>77</v>
      </c>
    </row>
    <row r="542" spans="1:9">
      <c r="A542">
        <v>182122</v>
      </c>
      <c r="B542">
        <v>1090224</v>
      </c>
      <c r="C542">
        <v>1</v>
      </c>
      <c r="D542" t="s">
        <v>1695</v>
      </c>
      <c r="E542">
        <v>1008</v>
      </c>
      <c r="F542" t="s">
        <v>41</v>
      </c>
      <c r="G542" t="s">
        <v>41</v>
      </c>
      <c r="I542" t="s">
        <v>77</v>
      </c>
    </row>
    <row r="543" spans="1:9">
      <c r="A543">
        <v>183200</v>
      </c>
      <c r="B543">
        <v>1090748</v>
      </c>
      <c r="C543">
        <v>1</v>
      </c>
      <c r="D543" t="s">
        <v>1695</v>
      </c>
      <c r="E543">
        <v>950</v>
      </c>
      <c r="F543" t="s">
        <v>49</v>
      </c>
      <c r="G543" t="s">
        <v>49</v>
      </c>
      <c r="H543">
        <v>18150</v>
      </c>
      <c r="I543" t="s">
        <v>77</v>
      </c>
    </row>
    <row r="544" spans="1:9">
      <c r="A544">
        <v>184386</v>
      </c>
      <c r="B544">
        <v>1091321</v>
      </c>
      <c r="C544">
        <v>1</v>
      </c>
      <c r="D544" t="s">
        <v>1695</v>
      </c>
      <c r="E544">
        <v>854</v>
      </c>
      <c r="F544" t="s">
        <v>41</v>
      </c>
      <c r="G544" t="s">
        <v>41</v>
      </c>
      <c r="I544" t="s">
        <v>77</v>
      </c>
    </row>
    <row r="545" spans="1:9">
      <c r="A545">
        <v>185271</v>
      </c>
      <c r="B545">
        <v>1091765</v>
      </c>
      <c r="C545">
        <v>1</v>
      </c>
      <c r="D545" t="s">
        <v>1695</v>
      </c>
      <c r="E545">
        <v>544</v>
      </c>
      <c r="F545" t="s">
        <v>41</v>
      </c>
      <c r="G545" t="s">
        <v>41</v>
      </c>
      <c r="I545" t="s">
        <v>77</v>
      </c>
    </row>
    <row r="546" spans="1:9">
      <c r="A546">
        <v>185272</v>
      </c>
      <c r="B546">
        <v>1091765</v>
      </c>
      <c r="C546">
        <v>2</v>
      </c>
      <c r="D546" t="s">
        <v>1695</v>
      </c>
      <c r="E546">
        <v>544</v>
      </c>
      <c r="F546" t="s">
        <v>41</v>
      </c>
      <c r="G546" t="s">
        <v>41</v>
      </c>
      <c r="I546" t="s">
        <v>77</v>
      </c>
    </row>
    <row r="547" spans="1:9">
      <c r="A547">
        <v>185277</v>
      </c>
      <c r="B547">
        <v>1091769</v>
      </c>
      <c r="C547">
        <v>1</v>
      </c>
      <c r="D547" t="s">
        <v>1695</v>
      </c>
      <c r="E547">
        <v>710</v>
      </c>
      <c r="F547" t="s">
        <v>49</v>
      </c>
      <c r="G547" t="s">
        <v>49</v>
      </c>
      <c r="H547">
        <v>18403</v>
      </c>
      <c r="I547" t="s">
        <v>77</v>
      </c>
    </row>
    <row r="548" spans="1:9">
      <c r="A548">
        <v>185278</v>
      </c>
      <c r="B548">
        <v>1091769</v>
      </c>
      <c r="C548">
        <v>2</v>
      </c>
      <c r="D548" t="s">
        <v>1695</v>
      </c>
      <c r="E548">
        <v>710</v>
      </c>
      <c r="F548" t="s">
        <v>49</v>
      </c>
      <c r="G548" t="s">
        <v>49</v>
      </c>
      <c r="H548">
        <v>18403</v>
      </c>
      <c r="I548" t="s">
        <v>77</v>
      </c>
    </row>
    <row r="549" spans="1:9">
      <c r="A549">
        <v>185279</v>
      </c>
      <c r="B549">
        <v>1091769</v>
      </c>
      <c r="C549">
        <v>3</v>
      </c>
      <c r="D549" t="s">
        <v>1697</v>
      </c>
      <c r="E549">
        <v>355</v>
      </c>
      <c r="F549" t="s">
        <v>49</v>
      </c>
      <c r="G549" t="s">
        <v>49</v>
      </c>
      <c r="H549">
        <v>18403</v>
      </c>
      <c r="I549" t="s">
        <v>77</v>
      </c>
    </row>
    <row r="550" spans="1:9">
      <c r="A550">
        <v>185280</v>
      </c>
      <c r="B550">
        <v>1091769</v>
      </c>
      <c r="C550">
        <v>4</v>
      </c>
      <c r="D550" t="s">
        <v>1696</v>
      </c>
      <c r="E550">
        <v>426</v>
      </c>
      <c r="F550" t="s">
        <v>49</v>
      </c>
      <c r="G550" t="s">
        <v>49</v>
      </c>
      <c r="H550">
        <v>18403</v>
      </c>
      <c r="I550" t="s">
        <v>77</v>
      </c>
    </row>
    <row r="551" spans="1:9">
      <c r="A551">
        <v>185281</v>
      </c>
      <c r="B551">
        <v>1091769</v>
      </c>
      <c r="C551">
        <v>5</v>
      </c>
      <c r="D551" t="s">
        <v>1697</v>
      </c>
      <c r="E551">
        <v>355</v>
      </c>
      <c r="F551" t="s">
        <v>49</v>
      </c>
      <c r="G551" t="s">
        <v>49</v>
      </c>
      <c r="H551">
        <v>18403</v>
      </c>
      <c r="I551" t="s">
        <v>77</v>
      </c>
    </row>
    <row r="552" spans="1:9">
      <c r="A552">
        <v>185282</v>
      </c>
      <c r="B552">
        <v>1091769</v>
      </c>
      <c r="C552">
        <v>6</v>
      </c>
      <c r="D552" t="s">
        <v>1695</v>
      </c>
      <c r="E552">
        <v>710</v>
      </c>
      <c r="F552" t="s">
        <v>49</v>
      </c>
      <c r="G552" t="s">
        <v>49</v>
      </c>
      <c r="H552">
        <v>18403</v>
      </c>
      <c r="I552" t="s">
        <v>77</v>
      </c>
    </row>
    <row r="553" spans="1:9">
      <c r="A553">
        <v>185681</v>
      </c>
      <c r="B553">
        <v>1091959</v>
      </c>
      <c r="C553">
        <v>1</v>
      </c>
      <c r="D553" t="s">
        <v>1695</v>
      </c>
      <c r="E553">
        <v>1176</v>
      </c>
      <c r="F553" t="s">
        <v>41</v>
      </c>
      <c r="G553" t="s">
        <v>41</v>
      </c>
      <c r="I553" t="s">
        <v>77</v>
      </c>
    </row>
    <row r="554" spans="1:9">
      <c r="A554">
        <v>186002</v>
      </c>
      <c r="B554">
        <v>1092107</v>
      </c>
      <c r="C554">
        <v>1</v>
      </c>
      <c r="D554" t="s">
        <v>1695</v>
      </c>
      <c r="E554">
        <v>1176</v>
      </c>
      <c r="F554" t="s">
        <v>41</v>
      </c>
      <c r="G554" t="s">
        <v>163</v>
      </c>
      <c r="I554" t="s">
        <v>77</v>
      </c>
    </row>
    <row r="555" spans="1:9">
      <c r="A555">
        <v>186441</v>
      </c>
      <c r="B555">
        <v>1092320</v>
      </c>
      <c r="C555">
        <v>1</v>
      </c>
      <c r="D555" t="s">
        <v>1695</v>
      </c>
      <c r="E555">
        <v>2886</v>
      </c>
      <c r="F555" t="s">
        <v>41</v>
      </c>
      <c r="G555" t="s">
        <v>41</v>
      </c>
      <c r="I555" t="s">
        <v>77</v>
      </c>
    </row>
    <row r="556" spans="1:9">
      <c r="A556">
        <v>186442</v>
      </c>
      <c r="B556">
        <v>1092320</v>
      </c>
      <c r="C556">
        <v>2</v>
      </c>
      <c r="D556" t="s">
        <v>1695</v>
      </c>
      <c r="E556">
        <v>2886</v>
      </c>
      <c r="F556" t="s">
        <v>41</v>
      </c>
      <c r="G556" t="s">
        <v>41</v>
      </c>
      <c r="I556" t="s">
        <v>77</v>
      </c>
    </row>
    <row r="557" spans="1:9">
      <c r="A557">
        <v>186443</v>
      </c>
      <c r="B557">
        <v>1092320</v>
      </c>
      <c r="C557">
        <v>3</v>
      </c>
      <c r="D557" t="s">
        <v>1695</v>
      </c>
      <c r="E557">
        <v>2886</v>
      </c>
      <c r="F557" t="s">
        <v>41</v>
      </c>
      <c r="G557" t="s">
        <v>41</v>
      </c>
      <c r="I557" t="s">
        <v>77</v>
      </c>
    </row>
    <row r="558" spans="1:9">
      <c r="A558">
        <v>186444</v>
      </c>
      <c r="B558">
        <v>1092320</v>
      </c>
      <c r="C558">
        <v>4</v>
      </c>
      <c r="D558" t="s">
        <v>1697</v>
      </c>
      <c r="E558">
        <v>1443</v>
      </c>
      <c r="F558" t="s">
        <v>41</v>
      </c>
      <c r="G558" t="s">
        <v>41</v>
      </c>
      <c r="I558" t="s">
        <v>77</v>
      </c>
    </row>
    <row r="559" spans="1:9">
      <c r="A559">
        <v>187821</v>
      </c>
      <c r="B559">
        <v>1092995</v>
      </c>
      <c r="C559">
        <v>1</v>
      </c>
      <c r="D559" t="s">
        <v>1695</v>
      </c>
      <c r="E559">
        <v>2429</v>
      </c>
      <c r="F559" t="s">
        <v>41</v>
      </c>
      <c r="G559" t="s">
        <v>41</v>
      </c>
      <c r="I559" t="s">
        <v>77</v>
      </c>
    </row>
    <row r="560" spans="1:9">
      <c r="A560">
        <v>188596</v>
      </c>
      <c r="B560">
        <v>1093380</v>
      </c>
      <c r="C560">
        <v>1</v>
      </c>
      <c r="D560" t="s">
        <v>1695</v>
      </c>
      <c r="E560">
        <v>2784</v>
      </c>
      <c r="F560" t="s">
        <v>41</v>
      </c>
      <c r="G560" t="s">
        <v>41</v>
      </c>
      <c r="I560" t="s">
        <v>77</v>
      </c>
    </row>
    <row r="561" spans="1:9">
      <c r="A561">
        <v>190146</v>
      </c>
      <c r="B561">
        <v>1094153</v>
      </c>
      <c r="C561">
        <v>1</v>
      </c>
      <c r="D561" t="s">
        <v>1695</v>
      </c>
      <c r="E561">
        <v>1176</v>
      </c>
      <c r="F561" t="s">
        <v>41</v>
      </c>
      <c r="G561" t="s">
        <v>41</v>
      </c>
      <c r="I561" t="s">
        <v>77</v>
      </c>
    </row>
    <row r="562" spans="1:9">
      <c r="A562">
        <v>192920</v>
      </c>
      <c r="B562">
        <v>1095527</v>
      </c>
      <c r="C562">
        <v>1</v>
      </c>
      <c r="D562" t="s">
        <v>1695</v>
      </c>
      <c r="E562">
        <v>4482</v>
      </c>
      <c r="F562" t="s">
        <v>41</v>
      </c>
      <c r="G562" t="s">
        <v>37</v>
      </c>
      <c r="H562">
        <v>19825</v>
      </c>
      <c r="I562" t="s">
        <v>77</v>
      </c>
    </row>
    <row r="563" spans="1:9">
      <c r="A563">
        <v>192921</v>
      </c>
      <c r="B563">
        <v>1095527</v>
      </c>
      <c r="C563">
        <v>2</v>
      </c>
      <c r="D563" t="s">
        <v>1696</v>
      </c>
      <c r="E563">
        <v>2689</v>
      </c>
      <c r="F563" t="s">
        <v>41</v>
      </c>
      <c r="G563" t="s">
        <v>37</v>
      </c>
      <c r="H563">
        <v>19825</v>
      </c>
      <c r="I563" t="s">
        <v>77</v>
      </c>
    </row>
    <row r="564" spans="1:9">
      <c r="A564">
        <v>192922</v>
      </c>
      <c r="B564">
        <v>1095527</v>
      </c>
      <c r="C564">
        <v>3</v>
      </c>
      <c r="D564" t="s">
        <v>1696</v>
      </c>
      <c r="E564">
        <v>2689</v>
      </c>
      <c r="F564" t="s">
        <v>41</v>
      </c>
      <c r="G564" t="s">
        <v>37</v>
      </c>
      <c r="H564">
        <v>19825</v>
      </c>
      <c r="I564" t="s">
        <v>77</v>
      </c>
    </row>
    <row r="565" spans="1:9">
      <c r="A565">
        <v>192923</v>
      </c>
      <c r="B565">
        <v>1095527</v>
      </c>
      <c r="C565">
        <v>4</v>
      </c>
      <c r="D565" t="s">
        <v>1695</v>
      </c>
      <c r="E565">
        <v>4482</v>
      </c>
      <c r="F565" t="s">
        <v>41</v>
      </c>
      <c r="G565" t="s">
        <v>37</v>
      </c>
      <c r="H565">
        <v>19825</v>
      </c>
      <c r="I565" t="s">
        <v>77</v>
      </c>
    </row>
    <row r="566" spans="1:9">
      <c r="A566">
        <v>192924</v>
      </c>
      <c r="B566">
        <v>1095527</v>
      </c>
      <c r="C566">
        <v>5</v>
      </c>
      <c r="D566" t="s">
        <v>1695</v>
      </c>
      <c r="E566">
        <v>4482</v>
      </c>
      <c r="F566" t="s">
        <v>41</v>
      </c>
      <c r="G566" t="s">
        <v>37</v>
      </c>
      <c r="H566">
        <v>19825</v>
      </c>
      <c r="I566" t="s">
        <v>77</v>
      </c>
    </row>
    <row r="567" spans="1:9">
      <c r="A567">
        <v>192925</v>
      </c>
      <c r="B567">
        <v>1095527</v>
      </c>
      <c r="C567">
        <v>6</v>
      </c>
      <c r="D567" t="s">
        <v>1695</v>
      </c>
      <c r="E567">
        <v>4482</v>
      </c>
      <c r="F567" t="s">
        <v>41</v>
      </c>
      <c r="G567" t="s">
        <v>37</v>
      </c>
      <c r="H567">
        <v>19825</v>
      </c>
      <c r="I567" t="s">
        <v>77</v>
      </c>
    </row>
    <row r="568" spans="1:9">
      <c r="A568">
        <v>194041</v>
      </c>
      <c r="B568">
        <v>1096099</v>
      </c>
      <c r="C568">
        <v>1</v>
      </c>
      <c r="D568" t="s">
        <v>1695</v>
      </c>
      <c r="E568">
        <v>654</v>
      </c>
      <c r="F568" t="s">
        <v>41</v>
      </c>
      <c r="G568" t="s">
        <v>41</v>
      </c>
      <c r="I568" t="s">
        <v>77</v>
      </c>
    </row>
    <row r="569" spans="1:9">
      <c r="A569">
        <v>194042</v>
      </c>
      <c r="B569">
        <v>1096099</v>
      </c>
      <c r="C569">
        <v>2</v>
      </c>
      <c r="D569" t="s">
        <v>1695</v>
      </c>
      <c r="E569">
        <v>654</v>
      </c>
      <c r="F569" t="s">
        <v>41</v>
      </c>
      <c r="G569" t="s">
        <v>41</v>
      </c>
      <c r="I569" t="s">
        <v>77</v>
      </c>
    </row>
    <row r="570" spans="1:9">
      <c r="A570">
        <v>194541</v>
      </c>
      <c r="B570">
        <v>1096350</v>
      </c>
      <c r="C570">
        <v>1</v>
      </c>
      <c r="D570" t="s">
        <v>1695</v>
      </c>
      <c r="E570">
        <v>1606</v>
      </c>
      <c r="F570" t="s">
        <v>41</v>
      </c>
      <c r="G570" t="s">
        <v>37</v>
      </c>
      <c r="H570">
        <v>19676</v>
      </c>
      <c r="I570" t="s">
        <v>77</v>
      </c>
    </row>
    <row r="571" spans="1:9">
      <c r="A571">
        <v>194542</v>
      </c>
      <c r="B571">
        <v>1096350</v>
      </c>
      <c r="C571">
        <v>2</v>
      </c>
      <c r="D571" t="s">
        <v>1696</v>
      </c>
      <c r="E571">
        <v>963</v>
      </c>
      <c r="F571" t="s">
        <v>41</v>
      </c>
      <c r="G571" t="s">
        <v>37</v>
      </c>
      <c r="H571">
        <v>19676</v>
      </c>
      <c r="I571" t="s">
        <v>77</v>
      </c>
    </row>
    <row r="572" spans="1:9">
      <c r="A572">
        <v>194543</v>
      </c>
      <c r="B572">
        <v>1096350</v>
      </c>
      <c r="C572">
        <v>3</v>
      </c>
      <c r="D572" t="s">
        <v>1695</v>
      </c>
      <c r="E572">
        <v>1606</v>
      </c>
      <c r="F572" t="s">
        <v>41</v>
      </c>
      <c r="G572" t="s">
        <v>37</v>
      </c>
      <c r="H572">
        <v>19676</v>
      </c>
      <c r="I572" t="s">
        <v>77</v>
      </c>
    </row>
    <row r="573" spans="1:9">
      <c r="A573">
        <v>195131</v>
      </c>
      <c r="B573">
        <v>1096648</v>
      </c>
      <c r="C573">
        <v>1</v>
      </c>
      <c r="D573" t="s">
        <v>1695</v>
      </c>
      <c r="E573">
        <v>1657</v>
      </c>
      <c r="F573" t="s">
        <v>41</v>
      </c>
      <c r="G573" t="s">
        <v>37</v>
      </c>
      <c r="H573">
        <v>20547</v>
      </c>
      <c r="I573" t="s">
        <v>77</v>
      </c>
    </row>
    <row r="574" spans="1:9">
      <c r="A574">
        <v>195132</v>
      </c>
      <c r="B574">
        <v>1096648</v>
      </c>
      <c r="C574">
        <v>2</v>
      </c>
      <c r="D574" t="s">
        <v>1697</v>
      </c>
      <c r="E574">
        <v>829</v>
      </c>
      <c r="F574" t="s">
        <v>41</v>
      </c>
      <c r="G574" t="s">
        <v>37</v>
      </c>
      <c r="H574">
        <v>20547</v>
      </c>
      <c r="I574" t="s">
        <v>77</v>
      </c>
    </row>
    <row r="575" spans="1:9">
      <c r="A575">
        <v>197446</v>
      </c>
      <c r="B575">
        <v>1097788</v>
      </c>
      <c r="C575">
        <v>1</v>
      </c>
      <c r="D575" t="s">
        <v>1695</v>
      </c>
      <c r="E575">
        <v>288</v>
      </c>
      <c r="F575" t="s">
        <v>41</v>
      </c>
      <c r="G575" t="s">
        <v>37</v>
      </c>
      <c r="H575">
        <v>19413</v>
      </c>
      <c r="I575" t="s">
        <v>77</v>
      </c>
    </row>
    <row r="576" spans="1:9">
      <c r="A576">
        <v>197447</v>
      </c>
      <c r="B576">
        <v>1097788</v>
      </c>
      <c r="C576">
        <v>2</v>
      </c>
      <c r="D576" t="s">
        <v>1695</v>
      </c>
      <c r="E576">
        <v>288</v>
      </c>
      <c r="F576" t="s">
        <v>41</v>
      </c>
      <c r="G576" t="s">
        <v>37</v>
      </c>
      <c r="H576">
        <v>19413</v>
      </c>
      <c r="I576" t="s">
        <v>77</v>
      </c>
    </row>
    <row r="577" spans="1:9">
      <c r="A577">
        <v>197448</v>
      </c>
      <c r="B577">
        <v>1097788</v>
      </c>
      <c r="C577">
        <v>3</v>
      </c>
      <c r="D577" t="s">
        <v>1695</v>
      </c>
      <c r="E577">
        <v>288</v>
      </c>
      <c r="F577" t="s">
        <v>41</v>
      </c>
      <c r="G577" t="s">
        <v>37</v>
      </c>
      <c r="H577">
        <v>19413</v>
      </c>
      <c r="I577" t="s">
        <v>77</v>
      </c>
    </row>
    <row r="578" spans="1:9">
      <c r="A578">
        <v>197449</v>
      </c>
      <c r="B578">
        <v>1097788</v>
      </c>
      <c r="C578">
        <v>4</v>
      </c>
      <c r="D578" t="s">
        <v>1695</v>
      </c>
      <c r="E578">
        <v>288</v>
      </c>
      <c r="F578" t="s">
        <v>41</v>
      </c>
      <c r="G578" t="s">
        <v>37</v>
      </c>
      <c r="H578">
        <v>19413</v>
      </c>
      <c r="I578" t="s">
        <v>77</v>
      </c>
    </row>
    <row r="579" spans="1:9">
      <c r="A579">
        <v>197800</v>
      </c>
      <c r="B579">
        <v>1097941</v>
      </c>
      <c r="C579">
        <v>1</v>
      </c>
      <c r="D579" t="s">
        <v>1695</v>
      </c>
      <c r="E579">
        <v>3003</v>
      </c>
      <c r="F579" t="s">
        <v>47</v>
      </c>
      <c r="G579" t="s">
        <v>41</v>
      </c>
      <c r="I579" t="s">
        <v>77</v>
      </c>
    </row>
    <row r="580" spans="1:9">
      <c r="A580">
        <v>197801</v>
      </c>
      <c r="B580">
        <v>1097941</v>
      </c>
      <c r="C580">
        <v>2</v>
      </c>
      <c r="D580" t="s">
        <v>1696</v>
      </c>
      <c r="E580">
        <v>1802</v>
      </c>
      <c r="F580" t="s">
        <v>47</v>
      </c>
      <c r="G580" t="s">
        <v>41</v>
      </c>
      <c r="I580" t="s">
        <v>77</v>
      </c>
    </row>
    <row r="581" spans="1:9">
      <c r="A581">
        <v>198428</v>
      </c>
      <c r="B581">
        <v>1098241</v>
      </c>
      <c r="C581">
        <v>1</v>
      </c>
      <c r="D581" t="s">
        <v>1695</v>
      </c>
      <c r="E581">
        <v>654</v>
      </c>
      <c r="F581" t="s">
        <v>41</v>
      </c>
      <c r="G581" t="s">
        <v>41</v>
      </c>
      <c r="I581" t="s">
        <v>77</v>
      </c>
    </row>
    <row r="582" spans="1:9">
      <c r="A582">
        <v>198429</v>
      </c>
      <c r="B582">
        <v>1098241</v>
      </c>
      <c r="C582">
        <v>2</v>
      </c>
      <c r="D582" t="s">
        <v>1695</v>
      </c>
      <c r="E582">
        <v>654</v>
      </c>
      <c r="F582" t="s">
        <v>41</v>
      </c>
      <c r="G582" t="s">
        <v>41</v>
      </c>
      <c r="I582" t="s">
        <v>77</v>
      </c>
    </row>
    <row r="583" spans="1:9">
      <c r="A583">
        <v>198430</v>
      </c>
      <c r="B583">
        <v>1098241</v>
      </c>
      <c r="C583">
        <v>3</v>
      </c>
      <c r="D583" t="s">
        <v>1695</v>
      </c>
      <c r="E583">
        <v>654</v>
      </c>
      <c r="F583" t="s">
        <v>41</v>
      </c>
      <c r="G583" t="s">
        <v>41</v>
      </c>
      <c r="I583" t="s">
        <v>77</v>
      </c>
    </row>
    <row r="584" spans="1:9">
      <c r="A584">
        <v>198431</v>
      </c>
      <c r="B584">
        <v>1098241</v>
      </c>
      <c r="C584">
        <v>4</v>
      </c>
      <c r="D584" t="s">
        <v>1695</v>
      </c>
      <c r="E584">
        <v>654</v>
      </c>
      <c r="F584" t="s">
        <v>41</v>
      </c>
      <c r="G584" t="s">
        <v>41</v>
      </c>
      <c r="I584" t="s">
        <v>77</v>
      </c>
    </row>
    <row r="585" spans="1:9">
      <c r="A585">
        <v>198494</v>
      </c>
      <c r="B585">
        <v>1098271</v>
      </c>
      <c r="C585">
        <v>1</v>
      </c>
      <c r="E585">
        <v>3123</v>
      </c>
      <c r="F585" t="s">
        <v>41</v>
      </c>
      <c r="G585" t="s">
        <v>41</v>
      </c>
      <c r="I585" t="s">
        <v>77</v>
      </c>
    </row>
    <row r="586" spans="1:9">
      <c r="A586">
        <v>198495</v>
      </c>
      <c r="B586">
        <v>1098271</v>
      </c>
      <c r="C586">
        <v>2</v>
      </c>
      <c r="D586" t="s">
        <v>1695</v>
      </c>
      <c r="E586">
        <v>3123</v>
      </c>
      <c r="F586" t="s">
        <v>41</v>
      </c>
      <c r="G586" t="s">
        <v>41</v>
      </c>
      <c r="I586" t="s">
        <v>77</v>
      </c>
    </row>
    <row r="587" spans="1:9">
      <c r="A587">
        <v>198496</v>
      </c>
      <c r="B587">
        <v>1098271</v>
      </c>
      <c r="C587">
        <v>3</v>
      </c>
      <c r="D587" t="s">
        <v>1696</v>
      </c>
      <c r="E587">
        <v>1874</v>
      </c>
      <c r="F587" t="s">
        <v>41</v>
      </c>
      <c r="G587" t="s">
        <v>41</v>
      </c>
      <c r="I587" t="s">
        <v>77</v>
      </c>
    </row>
    <row r="588" spans="1:9">
      <c r="A588">
        <v>198497</v>
      </c>
      <c r="B588">
        <v>1098271</v>
      </c>
      <c r="C588">
        <v>4</v>
      </c>
      <c r="D588" t="s">
        <v>1697</v>
      </c>
      <c r="E588">
        <v>1562</v>
      </c>
      <c r="F588" t="s">
        <v>41</v>
      </c>
      <c r="G588" t="s">
        <v>41</v>
      </c>
      <c r="I588" t="s">
        <v>77</v>
      </c>
    </row>
    <row r="589" spans="1:9">
      <c r="A589">
        <v>199469</v>
      </c>
      <c r="B589">
        <v>1098731</v>
      </c>
      <c r="C589">
        <v>1</v>
      </c>
      <c r="D589" t="s">
        <v>1695</v>
      </c>
      <c r="E589">
        <v>1131</v>
      </c>
      <c r="F589" t="s">
        <v>41</v>
      </c>
      <c r="G589" t="s">
        <v>41</v>
      </c>
      <c r="I589" t="s">
        <v>77</v>
      </c>
    </row>
    <row r="590" spans="1:9">
      <c r="A590">
        <v>199470</v>
      </c>
      <c r="B590">
        <v>1098731</v>
      </c>
      <c r="C590">
        <v>2</v>
      </c>
      <c r="D590" t="s">
        <v>1695</v>
      </c>
      <c r="E590">
        <v>1131</v>
      </c>
      <c r="F590" t="s">
        <v>41</v>
      </c>
      <c r="G590" t="s">
        <v>41</v>
      </c>
      <c r="I590" t="s">
        <v>77</v>
      </c>
    </row>
    <row r="591" spans="1:9">
      <c r="A591">
        <v>199471</v>
      </c>
      <c r="B591">
        <v>1098731</v>
      </c>
      <c r="C591">
        <v>3</v>
      </c>
      <c r="D591" t="s">
        <v>1695</v>
      </c>
      <c r="E591">
        <v>1131</v>
      </c>
      <c r="F591" t="s">
        <v>41</v>
      </c>
      <c r="G591" t="s">
        <v>41</v>
      </c>
      <c r="I591" t="s">
        <v>77</v>
      </c>
    </row>
    <row r="592" spans="1:9">
      <c r="A592">
        <v>199472</v>
      </c>
      <c r="B592">
        <v>1098731</v>
      </c>
      <c r="C592">
        <v>4</v>
      </c>
      <c r="D592" t="s">
        <v>1695</v>
      </c>
      <c r="E592">
        <v>1131</v>
      </c>
      <c r="F592" t="s">
        <v>41</v>
      </c>
      <c r="G592" t="s">
        <v>41</v>
      </c>
      <c r="I592" t="s">
        <v>77</v>
      </c>
    </row>
    <row r="593" spans="1:9">
      <c r="A593">
        <v>199473</v>
      </c>
      <c r="B593">
        <v>1098731</v>
      </c>
      <c r="C593">
        <v>5</v>
      </c>
      <c r="D593" t="s">
        <v>1695</v>
      </c>
      <c r="E593">
        <v>1131</v>
      </c>
      <c r="F593" t="s">
        <v>41</v>
      </c>
      <c r="G593" t="s">
        <v>41</v>
      </c>
      <c r="I593" t="s">
        <v>77</v>
      </c>
    </row>
    <row r="594" spans="1:9">
      <c r="A594">
        <v>199532</v>
      </c>
      <c r="B594">
        <v>1098764</v>
      </c>
      <c r="C594">
        <v>1</v>
      </c>
      <c r="D594" t="s">
        <v>1695</v>
      </c>
      <c r="E594">
        <v>654</v>
      </c>
      <c r="F594" t="s">
        <v>41</v>
      </c>
      <c r="G594" t="s">
        <v>41</v>
      </c>
      <c r="I594" t="s">
        <v>77</v>
      </c>
    </row>
    <row r="595" spans="1:9">
      <c r="A595">
        <v>199533</v>
      </c>
      <c r="B595">
        <v>1098764</v>
      </c>
      <c r="C595">
        <v>2</v>
      </c>
      <c r="D595" t="s">
        <v>1695</v>
      </c>
      <c r="E595">
        <v>654</v>
      </c>
      <c r="F595" t="s">
        <v>41</v>
      </c>
      <c r="G595" t="s">
        <v>41</v>
      </c>
      <c r="I595" t="s">
        <v>77</v>
      </c>
    </row>
    <row r="596" spans="1:9">
      <c r="A596">
        <v>199534</v>
      </c>
      <c r="B596">
        <v>1098764</v>
      </c>
      <c r="C596">
        <v>3</v>
      </c>
      <c r="D596" t="s">
        <v>1695</v>
      </c>
      <c r="E596">
        <v>654</v>
      </c>
      <c r="F596" t="s">
        <v>41</v>
      </c>
      <c r="G596" t="s">
        <v>41</v>
      </c>
      <c r="I596" t="s">
        <v>77</v>
      </c>
    </row>
    <row r="597" spans="1:9">
      <c r="A597">
        <v>199535</v>
      </c>
      <c r="B597">
        <v>1098764</v>
      </c>
      <c r="C597">
        <v>4</v>
      </c>
      <c r="D597" t="s">
        <v>1695</v>
      </c>
      <c r="E597">
        <v>654</v>
      </c>
      <c r="F597" t="s">
        <v>41</v>
      </c>
      <c r="G597" t="s">
        <v>41</v>
      </c>
      <c r="I597" t="s">
        <v>77</v>
      </c>
    </row>
    <row r="598" spans="1:9">
      <c r="A598">
        <v>199861</v>
      </c>
      <c r="B598">
        <v>1098923</v>
      </c>
      <c r="C598">
        <v>1</v>
      </c>
      <c r="D598" t="s">
        <v>1695</v>
      </c>
      <c r="E598">
        <v>1731</v>
      </c>
      <c r="F598" t="s">
        <v>49</v>
      </c>
      <c r="G598" t="s">
        <v>49</v>
      </c>
      <c r="H598">
        <v>19788</v>
      </c>
      <c r="I598" t="s">
        <v>77</v>
      </c>
    </row>
    <row r="599" spans="1:9">
      <c r="A599">
        <v>199862</v>
      </c>
      <c r="B599">
        <v>1098923</v>
      </c>
      <c r="C599">
        <v>2</v>
      </c>
      <c r="D599" t="s">
        <v>1696</v>
      </c>
      <c r="E599">
        <v>1039</v>
      </c>
      <c r="F599" t="s">
        <v>49</v>
      </c>
      <c r="G599" t="s">
        <v>49</v>
      </c>
      <c r="H599">
        <v>19788</v>
      </c>
      <c r="I599" t="s">
        <v>77</v>
      </c>
    </row>
    <row r="600" spans="1:9">
      <c r="A600">
        <v>199863</v>
      </c>
      <c r="B600">
        <v>1098923</v>
      </c>
      <c r="C600">
        <v>3</v>
      </c>
      <c r="D600" t="s">
        <v>1696</v>
      </c>
      <c r="E600">
        <v>1039</v>
      </c>
      <c r="F600" t="s">
        <v>49</v>
      </c>
      <c r="G600" t="s">
        <v>49</v>
      </c>
      <c r="H600">
        <v>19788</v>
      </c>
      <c r="I600" t="s">
        <v>77</v>
      </c>
    </row>
    <row r="601" spans="1:9">
      <c r="A601">
        <v>199864</v>
      </c>
      <c r="B601">
        <v>1098923</v>
      </c>
      <c r="C601">
        <v>4</v>
      </c>
      <c r="D601" t="s">
        <v>1696</v>
      </c>
      <c r="E601">
        <v>1039</v>
      </c>
      <c r="F601" t="s">
        <v>49</v>
      </c>
      <c r="G601" t="s">
        <v>49</v>
      </c>
      <c r="H601">
        <v>19788</v>
      </c>
      <c r="I601" t="s">
        <v>77</v>
      </c>
    </row>
    <row r="602" spans="1:9">
      <c r="A602">
        <v>199865</v>
      </c>
      <c r="B602">
        <v>1098923</v>
      </c>
      <c r="C602">
        <v>5</v>
      </c>
      <c r="D602" t="s">
        <v>1695</v>
      </c>
      <c r="E602">
        <v>1731</v>
      </c>
      <c r="F602" t="s">
        <v>49</v>
      </c>
      <c r="G602" t="s">
        <v>49</v>
      </c>
      <c r="H602">
        <v>19788</v>
      </c>
      <c r="I602" t="s">
        <v>77</v>
      </c>
    </row>
    <row r="603" spans="1:9">
      <c r="A603">
        <v>199866</v>
      </c>
      <c r="B603">
        <v>1098923</v>
      </c>
      <c r="C603">
        <v>6</v>
      </c>
      <c r="D603" t="s">
        <v>1696</v>
      </c>
      <c r="E603">
        <v>1039</v>
      </c>
      <c r="F603" t="s">
        <v>49</v>
      </c>
      <c r="G603" t="s">
        <v>49</v>
      </c>
      <c r="H603">
        <v>19788</v>
      </c>
      <c r="I603" t="s">
        <v>77</v>
      </c>
    </row>
    <row r="604" spans="1:9">
      <c r="A604">
        <v>200752</v>
      </c>
      <c r="B604">
        <v>1099369</v>
      </c>
      <c r="C604">
        <v>1</v>
      </c>
      <c r="D604" t="s">
        <v>1696</v>
      </c>
      <c r="E604">
        <v>1039</v>
      </c>
      <c r="F604" t="s">
        <v>49</v>
      </c>
      <c r="G604" t="s">
        <v>49</v>
      </c>
      <c r="H604">
        <v>19793</v>
      </c>
      <c r="I604" t="s">
        <v>77</v>
      </c>
    </row>
    <row r="605" spans="1:9">
      <c r="A605">
        <v>200753</v>
      </c>
      <c r="B605">
        <v>1099369</v>
      </c>
      <c r="C605">
        <v>2</v>
      </c>
      <c r="D605" t="s">
        <v>1695</v>
      </c>
      <c r="E605">
        <v>1731</v>
      </c>
      <c r="F605" t="s">
        <v>49</v>
      </c>
      <c r="G605" t="s">
        <v>49</v>
      </c>
      <c r="H605">
        <v>19793</v>
      </c>
      <c r="I605" t="s">
        <v>77</v>
      </c>
    </row>
    <row r="606" spans="1:9">
      <c r="A606">
        <v>200754</v>
      </c>
      <c r="B606">
        <v>1099369</v>
      </c>
      <c r="C606">
        <v>3</v>
      </c>
      <c r="D606" t="s">
        <v>1695</v>
      </c>
      <c r="E606">
        <v>1731</v>
      </c>
      <c r="F606" t="s">
        <v>49</v>
      </c>
      <c r="G606" t="s">
        <v>49</v>
      </c>
      <c r="H606">
        <v>19793</v>
      </c>
      <c r="I606" t="s">
        <v>77</v>
      </c>
    </row>
    <row r="607" spans="1:9">
      <c r="A607">
        <v>200755</v>
      </c>
      <c r="B607">
        <v>1099369</v>
      </c>
      <c r="C607">
        <v>4</v>
      </c>
      <c r="D607" t="s">
        <v>1697</v>
      </c>
      <c r="E607">
        <v>866</v>
      </c>
      <c r="F607" t="s">
        <v>49</v>
      </c>
      <c r="G607" t="s">
        <v>49</v>
      </c>
      <c r="H607">
        <v>19793</v>
      </c>
      <c r="I607" t="s">
        <v>77</v>
      </c>
    </row>
    <row r="608" spans="1:9">
      <c r="A608">
        <v>201001</v>
      </c>
      <c r="B608">
        <v>1099495</v>
      </c>
      <c r="C608">
        <v>1</v>
      </c>
      <c r="D608" t="s">
        <v>1695</v>
      </c>
      <c r="E608">
        <v>950</v>
      </c>
      <c r="F608" t="s">
        <v>41</v>
      </c>
      <c r="G608" t="s">
        <v>37</v>
      </c>
      <c r="H608">
        <v>21998</v>
      </c>
      <c r="I608" t="s">
        <v>77</v>
      </c>
    </row>
    <row r="609" spans="1:9">
      <c r="A609">
        <v>201002</v>
      </c>
      <c r="B609">
        <v>1099495</v>
      </c>
      <c r="C609">
        <v>2</v>
      </c>
      <c r="D609" t="s">
        <v>1695</v>
      </c>
      <c r="E609">
        <v>950</v>
      </c>
      <c r="F609" t="s">
        <v>41</v>
      </c>
      <c r="G609" t="s">
        <v>37</v>
      </c>
      <c r="H609">
        <v>21998</v>
      </c>
      <c r="I609" t="s">
        <v>77</v>
      </c>
    </row>
    <row r="610" spans="1:9">
      <c r="A610">
        <v>201003</v>
      </c>
      <c r="B610">
        <v>1099495</v>
      </c>
      <c r="C610">
        <v>3</v>
      </c>
      <c r="D610" t="s">
        <v>1695</v>
      </c>
      <c r="E610">
        <v>950</v>
      </c>
      <c r="F610" t="s">
        <v>41</v>
      </c>
      <c r="G610" t="s">
        <v>37</v>
      </c>
      <c r="H610">
        <v>21998</v>
      </c>
      <c r="I610" t="s">
        <v>77</v>
      </c>
    </row>
    <row r="611" spans="1:9">
      <c r="A611">
        <v>201004</v>
      </c>
      <c r="B611">
        <v>1099495</v>
      </c>
      <c r="C611">
        <v>4</v>
      </c>
      <c r="D611" t="s">
        <v>1695</v>
      </c>
      <c r="E611">
        <v>950</v>
      </c>
      <c r="F611" t="s">
        <v>41</v>
      </c>
      <c r="G611" t="s">
        <v>37</v>
      </c>
      <c r="H611">
        <v>21998</v>
      </c>
      <c r="I611" t="s">
        <v>77</v>
      </c>
    </row>
    <row r="612" spans="1:9">
      <c r="A612">
        <v>201901</v>
      </c>
      <c r="B612">
        <v>1099930</v>
      </c>
      <c r="C612">
        <v>1</v>
      </c>
      <c r="D612" t="s">
        <v>1695</v>
      </c>
      <c r="E612">
        <v>700</v>
      </c>
      <c r="F612" t="s">
        <v>41</v>
      </c>
      <c r="G612" t="s">
        <v>41</v>
      </c>
      <c r="I612" t="s">
        <v>77</v>
      </c>
    </row>
    <row r="613" spans="1:9">
      <c r="A613">
        <v>204919</v>
      </c>
      <c r="B613">
        <v>1101414</v>
      </c>
      <c r="C613">
        <v>1</v>
      </c>
      <c r="D613" t="s">
        <v>1695</v>
      </c>
      <c r="E613">
        <v>700</v>
      </c>
      <c r="F613" t="s">
        <v>41</v>
      </c>
      <c r="G613" t="s">
        <v>41</v>
      </c>
      <c r="I613" t="s">
        <v>77</v>
      </c>
    </row>
    <row r="614" spans="1:9">
      <c r="A614">
        <v>204920</v>
      </c>
      <c r="B614">
        <v>1101414</v>
      </c>
      <c r="C614">
        <v>2</v>
      </c>
      <c r="D614" t="s">
        <v>1696</v>
      </c>
      <c r="E614">
        <v>420</v>
      </c>
      <c r="F614" t="s">
        <v>41</v>
      </c>
      <c r="G614" t="s">
        <v>41</v>
      </c>
      <c r="I614" t="s">
        <v>77</v>
      </c>
    </row>
    <row r="615" spans="1:9">
      <c r="A615">
        <v>204921</v>
      </c>
      <c r="B615">
        <v>1101414</v>
      </c>
      <c r="C615">
        <v>3</v>
      </c>
      <c r="D615" t="s">
        <v>1695</v>
      </c>
      <c r="E615">
        <v>700</v>
      </c>
      <c r="F615" t="s">
        <v>41</v>
      </c>
      <c r="G615" t="s">
        <v>41</v>
      </c>
      <c r="I615" t="s">
        <v>77</v>
      </c>
    </row>
    <row r="616" spans="1:9">
      <c r="A616">
        <v>204922</v>
      </c>
      <c r="B616">
        <v>1101414</v>
      </c>
      <c r="C616">
        <v>4</v>
      </c>
      <c r="D616" t="s">
        <v>1695</v>
      </c>
      <c r="E616">
        <v>700</v>
      </c>
      <c r="F616" t="s">
        <v>41</v>
      </c>
      <c r="G616" t="s">
        <v>41</v>
      </c>
      <c r="I616" t="s">
        <v>77</v>
      </c>
    </row>
    <row r="617" spans="1:9">
      <c r="A617">
        <v>206362</v>
      </c>
      <c r="B617">
        <v>1102132</v>
      </c>
      <c r="C617">
        <v>1</v>
      </c>
      <c r="D617" t="s">
        <v>1695</v>
      </c>
      <c r="E617">
        <v>5052</v>
      </c>
      <c r="F617" t="s">
        <v>41</v>
      </c>
      <c r="G617" t="s">
        <v>41</v>
      </c>
      <c r="I617" t="s">
        <v>77</v>
      </c>
    </row>
    <row r="618" spans="1:9">
      <c r="A618">
        <v>206371</v>
      </c>
      <c r="B618">
        <v>1102138</v>
      </c>
      <c r="C618">
        <v>1</v>
      </c>
      <c r="D618" t="s">
        <v>1695</v>
      </c>
      <c r="E618">
        <v>2307</v>
      </c>
      <c r="F618" t="s">
        <v>41</v>
      </c>
      <c r="G618" t="s">
        <v>41</v>
      </c>
      <c r="I618" t="s">
        <v>77</v>
      </c>
    </row>
    <row r="619" spans="1:9">
      <c r="A619">
        <v>207384</v>
      </c>
      <c r="B619">
        <v>1102621</v>
      </c>
      <c r="C619">
        <v>1</v>
      </c>
      <c r="D619" t="s">
        <v>1696</v>
      </c>
      <c r="E619">
        <v>1802</v>
      </c>
      <c r="F619" t="s">
        <v>41</v>
      </c>
      <c r="G619" t="s">
        <v>41</v>
      </c>
      <c r="I619" t="s">
        <v>77</v>
      </c>
    </row>
    <row r="620" spans="1:9">
      <c r="A620">
        <v>209036</v>
      </c>
      <c r="B620">
        <v>1103424</v>
      </c>
      <c r="C620">
        <v>1</v>
      </c>
      <c r="D620" t="s">
        <v>1695</v>
      </c>
      <c r="E620">
        <v>2784</v>
      </c>
      <c r="F620" t="s">
        <v>41</v>
      </c>
      <c r="G620" t="s">
        <v>41</v>
      </c>
      <c r="I620" t="s">
        <v>77</v>
      </c>
    </row>
    <row r="621" spans="1:9">
      <c r="A621">
        <v>209628</v>
      </c>
      <c r="B621">
        <v>1103717</v>
      </c>
      <c r="C621">
        <v>1</v>
      </c>
      <c r="D621" t="s">
        <v>1695</v>
      </c>
      <c r="E621">
        <v>3003</v>
      </c>
      <c r="F621" t="s">
        <v>41</v>
      </c>
      <c r="G621" t="s">
        <v>41</v>
      </c>
      <c r="I621" t="s">
        <v>77</v>
      </c>
    </row>
    <row r="622" spans="1:9">
      <c r="A622">
        <v>209629</v>
      </c>
      <c r="B622">
        <v>1103717</v>
      </c>
      <c r="C622">
        <v>2</v>
      </c>
      <c r="D622" t="s">
        <v>1695</v>
      </c>
      <c r="E622">
        <v>3003</v>
      </c>
      <c r="F622" t="s">
        <v>41</v>
      </c>
      <c r="G622" t="s">
        <v>41</v>
      </c>
      <c r="I622" t="s">
        <v>77</v>
      </c>
    </row>
    <row r="623" spans="1:9">
      <c r="A623">
        <v>209630</v>
      </c>
      <c r="B623">
        <v>1103717</v>
      </c>
      <c r="C623">
        <v>3</v>
      </c>
      <c r="D623" t="s">
        <v>1695</v>
      </c>
      <c r="E623">
        <v>3003</v>
      </c>
      <c r="F623" t="s">
        <v>41</v>
      </c>
      <c r="G623" t="s">
        <v>41</v>
      </c>
      <c r="I623" t="s">
        <v>77</v>
      </c>
    </row>
    <row r="624" spans="1:9">
      <c r="A624">
        <v>209971</v>
      </c>
      <c r="B624">
        <v>1103873</v>
      </c>
      <c r="C624">
        <v>1</v>
      </c>
      <c r="D624" t="s">
        <v>1695</v>
      </c>
      <c r="E624">
        <v>4406</v>
      </c>
      <c r="F624" t="s">
        <v>41</v>
      </c>
      <c r="G624" t="s">
        <v>41</v>
      </c>
      <c r="I624" t="s">
        <v>77</v>
      </c>
    </row>
    <row r="625" spans="1:9">
      <c r="A625">
        <v>210127</v>
      </c>
      <c r="B625">
        <v>1103951</v>
      </c>
      <c r="C625">
        <v>1</v>
      </c>
      <c r="D625" t="s">
        <v>1696</v>
      </c>
      <c r="E625">
        <v>629</v>
      </c>
      <c r="F625" t="s">
        <v>41</v>
      </c>
      <c r="G625" t="s">
        <v>41</v>
      </c>
      <c r="I625" t="s">
        <v>77</v>
      </c>
    </row>
    <row r="626" spans="1:9">
      <c r="A626">
        <v>211718</v>
      </c>
      <c r="B626">
        <v>1104709</v>
      </c>
      <c r="C626">
        <v>1</v>
      </c>
      <c r="D626" t="s">
        <v>1695</v>
      </c>
      <c r="E626">
        <v>753</v>
      </c>
      <c r="F626" t="s">
        <v>41</v>
      </c>
      <c r="G626" t="s">
        <v>41</v>
      </c>
      <c r="I626" t="s">
        <v>77</v>
      </c>
    </row>
    <row r="627" spans="1:9">
      <c r="A627">
        <v>211719</v>
      </c>
      <c r="B627">
        <v>1104709</v>
      </c>
      <c r="C627">
        <v>2</v>
      </c>
      <c r="D627" t="s">
        <v>1695</v>
      </c>
      <c r="E627">
        <v>753</v>
      </c>
      <c r="F627" t="s">
        <v>41</v>
      </c>
      <c r="G627" t="s">
        <v>41</v>
      </c>
      <c r="I627" t="s">
        <v>77</v>
      </c>
    </row>
    <row r="628" spans="1:9">
      <c r="A628">
        <v>211787</v>
      </c>
      <c r="B628">
        <v>1104744</v>
      </c>
      <c r="C628">
        <v>1</v>
      </c>
      <c r="D628" t="s">
        <v>1695</v>
      </c>
      <c r="E628">
        <v>2886</v>
      </c>
      <c r="F628" t="s">
        <v>41</v>
      </c>
      <c r="G628" t="s">
        <v>41</v>
      </c>
      <c r="I628" t="s">
        <v>77</v>
      </c>
    </row>
    <row r="629" spans="1:9">
      <c r="A629">
        <v>211788</v>
      </c>
      <c r="B629">
        <v>1104744</v>
      </c>
      <c r="C629">
        <v>2</v>
      </c>
      <c r="D629" t="s">
        <v>1695</v>
      </c>
      <c r="E629">
        <v>2886</v>
      </c>
      <c r="F629" t="s">
        <v>41</v>
      </c>
      <c r="G629" t="s">
        <v>41</v>
      </c>
      <c r="I629" t="s">
        <v>77</v>
      </c>
    </row>
    <row r="630" spans="1:9">
      <c r="A630">
        <v>212327</v>
      </c>
      <c r="B630">
        <v>1105012</v>
      </c>
      <c r="C630">
        <v>1</v>
      </c>
      <c r="D630" t="s">
        <v>1695</v>
      </c>
      <c r="E630">
        <v>654</v>
      </c>
      <c r="F630" t="s">
        <v>49</v>
      </c>
      <c r="G630" t="s">
        <v>49</v>
      </c>
      <c r="H630">
        <v>21191</v>
      </c>
      <c r="I630" t="s">
        <v>77</v>
      </c>
    </row>
    <row r="631" spans="1:9">
      <c r="A631">
        <v>212328</v>
      </c>
      <c r="B631">
        <v>1105012</v>
      </c>
      <c r="C631">
        <v>2</v>
      </c>
      <c r="D631" t="s">
        <v>1695</v>
      </c>
      <c r="E631">
        <v>654</v>
      </c>
      <c r="F631" t="s">
        <v>49</v>
      </c>
      <c r="G631" t="s">
        <v>49</v>
      </c>
      <c r="H631">
        <v>21191</v>
      </c>
      <c r="I631" t="s">
        <v>77</v>
      </c>
    </row>
    <row r="632" spans="1:9">
      <c r="A632">
        <v>212329</v>
      </c>
      <c r="B632">
        <v>1105012</v>
      </c>
      <c r="C632">
        <v>3</v>
      </c>
      <c r="D632" t="s">
        <v>1695</v>
      </c>
      <c r="E632">
        <v>654</v>
      </c>
      <c r="F632" t="s">
        <v>49</v>
      </c>
      <c r="G632" t="s">
        <v>49</v>
      </c>
      <c r="H632">
        <v>21191</v>
      </c>
      <c r="I632" t="s">
        <v>77</v>
      </c>
    </row>
    <row r="633" spans="1:9">
      <c r="A633">
        <v>213135</v>
      </c>
      <c r="B633">
        <v>1105429</v>
      </c>
      <c r="C633">
        <v>1</v>
      </c>
      <c r="D633" t="s">
        <v>1695</v>
      </c>
      <c r="E633">
        <v>833</v>
      </c>
      <c r="F633" t="s">
        <v>41</v>
      </c>
      <c r="G633" t="s">
        <v>41</v>
      </c>
      <c r="I633" t="s">
        <v>77</v>
      </c>
    </row>
    <row r="634" spans="1:9">
      <c r="A634">
        <v>213261</v>
      </c>
      <c r="B634">
        <v>1105494</v>
      </c>
      <c r="C634">
        <v>1</v>
      </c>
      <c r="D634" t="s">
        <v>1695</v>
      </c>
      <c r="E634">
        <v>1390</v>
      </c>
      <c r="F634" t="s">
        <v>41</v>
      </c>
      <c r="G634" t="s">
        <v>41</v>
      </c>
      <c r="I634" t="s">
        <v>77</v>
      </c>
    </row>
    <row r="635" spans="1:9">
      <c r="A635">
        <v>213968</v>
      </c>
      <c r="B635">
        <v>1105849</v>
      </c>
      <c r="C635">
        <v>1</v>
      </c>
      <c r="D635" t="s">
        <v>1695</v>
      </c>
      <c r="E635">
        <v>668</v>
      </c>
      <c r="F635" t="s">
        <v>41</v>
      </c>
      <c r="G635" t="s">
        <v>41</v>
      </c>
      <c r="I635" t="s">
        <v>77</v>
      </c>
    </row>
    <row r="636" spans="1:9">
      <c r="A636">
        <v>214627</v>
      </c>
      <c r="B636">
        <v>1106173</v>
      </c>
      <c r="C636">
        <v>1</v>
      </c>
      <c r="D636" t="s">
        <v>1696</v>
      </c>
      <c r="E636">
        <v>549</v>
      </c>
      <c r="F636" t="s">
        <v>49</v>
      </c>
      <c r="G636" t="s">
        <v>49</v>
      </c>
      <c r="H636">
        <v>21037</v>
      </c>
      <c r="I636" t="s">
        <v>77</v>
      </c>
    </row>
    <row r="637" spans="1:9">
      <c r="A637">
        <v>214697</v>
      </c>
      <c r="B637">
        <v>1106210</v>
      </c>
      <c r="C637">
        <v>1</v>
      </c>
      <c r="D637" t="s">
        <v>1695</v>
      </c>
      <c r="E637">
        <v>872</v>
      </c>
      <c r="F637" t="s">
        <v>41</v>
      </c>
      <c r="G637" t="s">
        <v>41</v>
      </c>
      <c r="I637" t="s">
        <v>77</v>
      </c>
    </row>
    <row r="638" spans="1:9">
      <c r="A638">
        <v>214698</v>
      </c>
      <c r="B638">
        <v>1106210</v>
      </c>
      <c r="C638">
        <v>2</v>
      </c>
      <c r="D638" t="s">
        <v>1695</v>
      </c>
      <c r="E638">
        <v>872</v>
      </c>
      <c r="F638" t="s">
        <v>41</v>
      </c>
      <c r="G638" t="s">
        <v>41</v>
      </c>
      <c r="I638" t="s">
        <v>77</v>
      </c>
    </row>
    <row r="639" spans="1:9">
      <c r="A639">
        <v>215047</v>
      </c>
      <c r="B639">
        <v>1106387</v>
      </c>
      <c r="C639">
        <v>1</v>
      </c>
      <c r="D639" t="s">
        <v>1695</v>
      </c>
      <c r="E639">
        <v>872</v>
      </c>
      <c r="F639" t="s">
        <v>41</v>
      </c>
      <c r="G639" t="s">
        <v>37</v>
      </c>
      <c r="H639">
        <v>20853</v>
      </c>
      <c r="I639" t="s">
        <v>77</v>
      </c>
    </row>
    <row r="640" spans="1:9">
      <c r="A640">
        <v>216139</v>
      </c>
      <c r="B640">
        <v>1106935</v>
      </c>
      <c r="C640">
        <v>1</v>
      </c>
      <c r="D640" t="s">
        <v>1695</v>
      </c>
      <c r="E640">
        <v>916</v>
      </c>
      <c r="F640" t="s">
        <v>49</v>
      </c>
      <c r="G640" t="s">
        <v>49</v>
      </c>
      <c r="H640">
        <v>21048</v>
      </c>
      <c r="I640" t="s">
        <v>77</v>
      </c>
    </row>
    <row r="641" spans="1:9">
      <c r="A641">
        <v>216197</v>
      </c>
      <c r="B641">
        <v>1106962</v>
      </c>
      <c r="C641">
        <v>1</v>
      </c>
      <c r="D641" t="s">
        <v>1695</v>
      </c>
      <c r="E641">
        <v>2784</v>
      </c>
      <c r="F641" t="s">
        <v>41</v>
      </c>
      <c r="G641" t="s">
        <v>41</v>
      </c>
      <c r="I641" t="s">
        <v>77</v>
      </c>
    </row>
    <row r="642" spans="1:9">
      <c r="A642">
        <v>216198</v>
      </c>
      <c r="B642">
        <v>1106962</v>
      </c>
      <c r="C642">
        <v>2</v>
      </c>
      <c r="D642" t="s">
        <v>1696</v>
      </c>
      <c r="E642">
        <v>1670</v>
      </c>
      <c r="F642" t="s">
        <v>41</v>
      </c>
      <c r="G642" t="s">
        <v>41</v>
      </c>
      <c r="I642" t="s">
        <v>77</v>
      </c>
    </row>
    <row r="643" spans="1:9">
      <c r="A643">
        <v>216199</v>
      </c>
      <c r="B643">
        <v>1106962</v>
      </c>
      <c r="C643">
        <v>3</v>
      </c>
      <c r="D643" t="s">
        <v>1695</v>
      </c>
      <c r="E643">
        <v>2784</v>
      </c>
      <c r="F643" t="s">
        <v>41</v>
      </c>
      <c r="G643" t="s">
        <v>41</v>
      </c>
      <c r="I643" t="s">
        <v>77</v>
      </c>
    </row>
    <row r="644" spans="1:9">
      <c r="A644">
        <v>216200</v>
      </c>
      <c r="B644">
        <v>1106962</v>
      </c>
      <c r="C644">
        <v>4</v>
      </c>
      <c r="D644" t="s">
        <v>1697</v>
      </c>
      <c r="E644">
        <v>1392</v>
      </c>
      <c r="F644" t="s">
        <v>41</v>
      </c>
      <c r="G644" t="s">
        <v>37</v>
      </c>
      <c r="H644">
        <v>21554</v>
      </c>
      <c r="I644" t="s">
        <v>77</v>
      </c>
    </row>
    <row r="645" spans="1:9">
      <c r="A645">
        <v>216531</v>
      </c>
      <c r="B645">
        <v>1107133</v>
      </c>
      <c r="C645">
        <v>1</v>
      </c>
      <c r="D645" t="s">
        <v>1695</v>
      </c>
      <c r="E645">
        <v>872</v>
      </c>
      <c r="F645" t="s">
        <v>41</v>
      </c>
      <c r="G645" t="s">
        <v>37</v>
      </c>
      <c r="H645">
        <v>25824</v>
      </c>
      <c r="I645" t="s">
        <v>77</v>
      </c>
    </row>
    <row r="646" spans="1:9">
      <c r="A646">
        <v>217275</v>
      </c>
      <c r="B646">
        <v>1107501</v>
      </c>
      <c r="C646">
        <v>1</v>
      </c>
      <c r="D646" t="s">
        <v>1695</v>
      </c>
      <c r="E646">
        <v>1731</v>
      </c>
      <c r="F646" t="s">
        <v>41</v>
      </c>
      <c r="G646" t="s">
        <v>41</v>
      </c>
      <c r="I646" t="s">
        <v>77</v>
      </c>
    </row>
    <row r="647" spans="1:9">
      <c r="A647">
        <v>217276</v>
      </c>
      <c r="B647">
        <v>1107501</v>
      </c>
      <c r="C647">
        <v>2</v>
      </c>
      <c r="D647" t="s">
        <v>1696</v>
      </c>
      <c r="E647">
        <v>1039</v>
      </c>
      <c r="F647" t="s">
        <v>47</v>
      </c>
      <c r="G647" t="s">
        <v>41</v>
      </c>
      <c r="I647" t="s">
        <v>77</v>
      </c>
    </row>
    <row r="648" spans="1:9">
      <c r="A648">
        <v>217962</v>
      </c>
      <c r="B648">
        <v>1107838</v>
      </c>
      <c r="C648">
        <v>1</v>
      </c>
      <c r="D648" t="s">
        <v>1695</v>
      </c>
      <c r="E648">
        <v>753</v>
      </c>
      <c r="F648" t="s">
        <v>41</v>
      </c>
      <c r="G648" t="s">
        <v>41</v>
      </c>
      <c r="I648" t="s">
        <v>77</v>
      </c>
    </row>
    <row r="649" spans="1:9">
      <c r="A649">
        <v>217963</v>
      </c>
      <c r="B649">
        <v>1107838</v>
      </c>
      <c r="C649">
        <v>2</v>
      </c>
      <c r="D649" t="s">
        <v>1695</v>
      </c>
      <c r="E649">
        <v>753</v>
      </c>
      <c r="F649" t="s">
        <v>41</v>
      </c>
      <c r="G649" t="s">
        <v>41</v>
      </c>
      <c r="I649" t="s">
        <v>77</v>
      </c>
    </row>
    <row r="650" spans="1:9">
      <c r="A650">
        <v>217964</v>
      </c>
      <c r="B650">
        <v>1107838</v>
      </c>
      <c r="C650">
        <v>3</v>
      </c>
      <c r="D650" t="s">
        <v>1695</v>
      </c>
      <c r="E650">
        <v>753</v>
      </c>
      <c r="F650" t="s">
        <v>41</v>
      </c>
      <c r="G650" t="s">
        <v>41</v>
      </c>
      <c r="I650" t="s">
        <v>77</v>
      </c>
    </row>
    <row r="651" spans="1:9">
      <c r="A651">
        <v>217965</v>
      </c>
      <c r="B651">
        <v>1107838</v>
      </c>
      <c r="C651">
        <v>4</v>
      </c>
      <c r="D651" t="s">
        <v>1695</v>
      </c>
      <c r="E651">
        <v>753</v>
      </c>
      <c r="F651" t="s">
        <v>41</v>
      </c>
      <c r="G651" t="s">
        <v>41</v>
      </c>
      <c r="I651" t="s">
        <v>77</v>
      </c>
    </row>
    <row r="652" spans="1:9">
      <c r="A652">
        <v>217966</v>
      </c>
      <c r="B652">
        <v>1107838</v>
      </c>
      <c r="C652">
        <v>5</v>
      </c>
      <c r="D652" t="s">
        <v>1695</v>
      </c>
      <c r="E652">
        <v>753</v>
      </c>
      <c r="F652" t="s">
        <v>41</v>
      </c>
      <c r="G652" t="s">
        <v>41</v>
      </c>
      <c r="I652" t="s">
        <v>77</v>
      </c>
    </row>
    <row r="653" spans="1:9">
      <c r="A653">
        <v>217967</v>
      </c>
      <c r="B653">
        <v>1107838</v>
      </c>
      <c r="C653">
        <v>6</v>
      </c>
      <c r="D653" t="s">
        <v>1695</v>
      </c>
      <c r="E653">
        <v>753</v>
      </c>
      <c r="F653" t="s">
        <v>41</v>
      </c>
      <c r="G653" t="s">
        <v>41</v>
      </c>
      <c r="I653" t="s">
        <v>77</v>
      </c>
    </row>
    <row r="654" spans="1:9">
      <c r="A654">
        <v>218820</v>
      </c>
      <c r="B654">
        <v>1108253</v>
      </c>
      <c r="C654">
        <v>1</v>
      </c>
      <c r="D654" t="s">
        <v>1695</v>
      </c>
      <c r="E654">
        <v>854</v>
      </c>
      <c r="F654" t="s">
        <v>41</v>
      </c>
      <c r="G654" t="s">
        <v>41</v>
      </c>
      <c r="I654" t="s">
        <v>77</v>
      </c>
    </row>
    <row r="655" spans="1:9">
      <c r="A655">
        <v>218821</v>
      </c>
      <c r="B655">
        <v>1108253</v>
      </c>
      <c r="C655">
        <v>2</v>
      </c>
      <c r="D655" t="s">
        <v>1695</v>
      </c>
      <c r="E655">
        <v>854</v>
      </c>
      <c r="F655" t="s">
        <v>41</v>
      </c>
      <c r="G655" t="s">
        <v>41</v>
      </c>
      <c r="I655" t="s">
        <v>77</v>
      </c>
    </row>
    <row r="656" spans="1:9">
      <c r="A656">
        <v>219140</v>
      </c>
      <c r="B656">
        <v>1108410</v>
      </c>
      <c r="C656">
        <v>1</v>
      </c>
      <c r="D656" t="s">
        <v>1695</v>
      </c>
      <c r="E656">
        <v>4510</v>
      </c>
      <c r="F656" t="s">
        <v>41</v>
      </c>
      <c r="G656" t="s">
        <v>41</v>
      </c>
      <c r="I656" t="s">
        <v>77</v>
      </c>
    </row>
    <row r="657" spans="1:9">
      <c r="A657">
        <v>219141</v>
      </c>
      <c r="B657">
        <v>1108410</v>
      </c>
      <c r="C657">
        <v>2</v>
      </c>
      <c r="D657" t="s">
        <v>1695</v>
      </c>
      <c r="E657">
        <v>4510</v>
      </c>
      <c r="F657" t="s">
        <v>41</v>
      </c>
      <c r="G657" t="s">
        <v>41</v>
      </c>
      <c r="I657" t="s">
        <v>77</v>
      </c>
    </row>
    <row r="658" spans="1:9">
      <c r="A658">
        <v>219486</v>
      </c>
      <c r="B658">
        <v>1108576</v>
      </c>
      <c r="C658">
        <v>1</v>
      </c>
      <c r="D658" t="s">
        <v>1695</v>
      </c>
      <c r="E658">
        <v>1325</v>
      </c>
      <c r="F658" t="s">
        <v>41</v>
      </c>
      <c r="G658" t="s">
        <v>41</v>
      </c>
      <c r="I658" t="s">
        <v>77</v>
      </c>
    </row>
    <row r="659" spans="1:9">
      <c r="A659">
        <v>219487</v>
      </c>
      <c r="B659">
        <v>1108576</v>
      </c>
      <c r="C659">
        <v>2</v>
      </c>
      <c r="D659" t="s">
        <v>1695</v>
      </c>
      <c r="E659">
        <v>1325</v>
      </c>
      <c r="F659" t="s">
        <v>41</v>
      </c>
      <c r="G659" t="s">
        <v>41</v>
      </c>
      <c r="I659" t="s">
        <v>77</v>
      </c>
    </row>
    <row r="660" spans="1:9">
      <c r="A660">
        <v>219488</v>
      </c>
      <c r="B660">
        <v>1108576</v>
      </c>
      <c r="C660">
        <v>3</v>
      </c>
      <c r="D660" t="s">
        <v>1695</v>
      </c>
      <c r="E660">
        <v>1325</v>
      </c>
      <c r="F660" t="s">
        <v>41</v>
      </c>
      <c r="G660" t="s">
        <v>41</v>
      </c>
      <c r="I660" t="s">
        <v>77</v>
      </c>
    </row>
    <row r="661" spans="1:9">
      <c r="A661">
        <v>220250</v>
      </c>
      <c r="B661">
        <v>1108951</v>
      </c>
      <c r="C661">
        <v>1</v>
      </c>
      <c r="D661" t="s">
        <v>1695</v>
      </c>
      <c r="E661">
        <v>4342</v>
      </c>
      <c r="F661" t="s">
        <v>41</v>
      </c>
      <c r="G661" t="s">
        <v>41</v>
      </c>
      <c r="I661" t="s">
        <v>77</v>
      </c>
    </row>
    <row r="662" spans="1:9">
      <c r="A662">
        <v>220251</v>
      </c>
      <c r="B662">
        <v>1108951</v>
      </c>
      <c r="C662">
        <v>2</v>
      </c>
      <c r="D662" t="s">
        <v>1695</v>
      </c>
      <c r="E662">
        <v>4342</v>
      </c>
      <c r="F662" t="s">
        <v>41</v>
      </c>
      <c r="G662" t="s">
        <v>41</v>
      </c>
      <c r="I662" t="s">
        <v>77</v>
      </c>
    </row>
    <row r="663" spans="1:9">
      <c r="A663">
        <v>220252</v>
      </c>
      <c r="B663">
        <v>1108951</v>
      </c>
      <c r="C663">
        <v>3</v>
      </c>
      <c r="D663" t="s">
        <v>1696</v>
      </c>
      <c r="E663">
        <v>2605</v>
      </c>
      <c r="F663" t="s">
        <v>41</v>
      </c>
      <c r="G663" t="s">
        <v>41</v>
      </c>
      <c r="I663" t="s">
        <v>77</v>
      </c>
    </row>
    <row r="664" spans="1:9">
      <c r="A664">
        <v>220253</v>
      </c>
      <c r="B664">
        <v>1108951</v>
      </c>
      <c r="C664">
        <v>4</v>
      </c>
      <c r="D664" t="s">
        <v>1697</v>
      </c>
      <c r="E664">
        <v>2171</v>
      </c>
      <c r="F664" t="s">
        <v>41</v>
      </c>
      <c r="G664" t="s">
        <v>41</v>
      </c>
      <c r="I664" t="s">
        <v>77</v>
      </c>
    </row>
    <row r="665" spans="1:9">
      <c r="A665">
        <v>221073</v>
      </c>
      <c r="B665">
        <v>1109362</v>
      </c>
      <c r="C665">
        <v>1</v>
      </c>
      <c r="D665" t="s">
        <v>1695</v>
      </c>
      <c r="E665">
        <v>1053</v>
      </c>
      <c r="F665" t="s">
        <v>41</v>
      </c>
      <c r="G665" t="s">
        <v>41</v>
      </c>
      <c r="I665" t="s">
        <v>77</v>
      </c>
    </row>
    <row r="666" spans="1:9">
      <c r="A666">
        <v>221665</v>
      </c>
      <c r="B666">
        <v>1109655</v>
      </c>
      <c r="C666">
        <v>1</v>
      </c>
      <c r="D666" t="s">
        <v>1696</v>
      </c>
      <c r="E666">
        <v>326</v>
      </c>
      <c r="F666" t="s">
        <v>49</v>
      </c>
      <c r="G666" t="s">
        <v>37</v>
      </c>
      <c r="H666">
        <v>21433</v>
      </c>
      <c r="I666" t="s">
        <v>77</v>
      </c>
    </row>
    <row r="667" spans="1:9">
      <c r="A667">
        <v>221747</v>
      </c>
      <c r="B667">
        <v>1109693</v>
      </c>
      <c r="C667">
        <v>1</v>
      </c>
      <c r="D667" t="s">
        <v>1695</v>
      </c>
      <c r="E667">
        <v>582</v>
      </c>
      <c r="F667" t="s">
        <v>41</v>
      </c>
      <c r="G667" t="s">
        <v>41</v>
      </c>
      <c r="I667" t="s">
        <v>77</v>
      </c>
    </row>
    <row r="668" spans="1:9">
      <c r="A668">
        <v>221903</v>
      </c>
      <c r="B668">
        <v>1109783</v>
      </c>
      <c r="C668">
        <v>1</v>
      </c>
      <c r="D668" t="s">
        <v>1695</v>
      </c>
      <c r="E668">
        <v>544</v>
      </c>
      <c r="F668" t="s">
        <v>41</v>
      </c>
      <c r="G668" t="s">
        <v>41</v>
      </c>
      <c r="I668" t="s">
        <v>77</v>
      </c>
    </row>
    <row r="669" spans="1:9">
      <c r="A669">
        <v>221950</v>
      </c>
      <c r="B669">
        <v>1109812</v>
      </c>
      <c r="C669">
        <v>1</v>
      </c>
      <c r="D669" t="s">
        <v>1695</v>
      </c>
      <c r="E669">
        <v>854</v>
      </c>
      <c r="F669" t="s">
        <v>41</v>
      </c>
      <c r="G669" t="s">
        <v>41</v>
      </c>
      <c r="I669" t="s">
        <v>77</v>
      </c>
    </row>
    <row r="670" spans="1:9">
      <c r="A670">
        <v>221951</v>
      </c>
      <c r="B670">
        <v>1109812</v>
      </c>
      <c r="C670">
        <v>2</v>
      </c>
      <c r="D670" t="s">
        <v>1695</v>
      </c>
      <c r="E670">
        <v>854</v>
      </c>
      <c r="F670" t="s">
        <v>41</v>
      </c>
      <c r="G670" t="s">
        <v>41</v>
      </c>
      <c r="I670" t="s">
        <v>77</v>
      </c>
    </row>
    <row r="671" spans="1:9">
      <c r="A671">
        <v>221952</v>
      </c>
      <c r="B671">
        <v>1109812</v>
      </c>
      <c r="C671">
        <v>3</v>
      </c>
      <c r="D671" t="s">
        <v>1695</v>
      </c>
      <c r="E671">
        <v>854</v>
      </c>
      <c r="F671" t="s">
        <v>41</v>
      </c>
      <c r="G671" t="s">
        <v>41</v>
      </c>
      <c r="I671" t="s">
        <v>77</v>
      </c>
    </row>
    <row r="672" spans="1:9">
      <c r="A672">
        <v>221953</v>
      </c>
      <c r="B672">
        <v>1109812</v>
      </c>
      <c r="C672">
        <v>4</v>
      </c>
      <c r="D672" t="s">
        <v>1695</v>
      </c>
      <c r="E672">
        <v>854</v>
      </c>
      <c r="F672" t="s">
        <v>41</v>
      </c>
      <c r="G672" t="s">
        <v>41</v>
      </c>
      <c r="I672" t="s">
        <v>77</v>
      </c>
    </row>
    <row r="673" spans="1:9">
      <c r="A673">
        <v>222219</v>
      </c>
      <c r="B673">
        <v>1109946</v>
      </c>
      <c r="C673">
        <v>1</v>
      </c>
      <c r="D673" t="s">
        <v>1695</v>
      </c>
      <c r="E673">
        <v>1131</v>
      </c>
      <c r="F673" t="s">
        <v>41</v>
      </c>
      <c r="G673" t="s">
        <v>41</v>
      </c>
      <c r="I673" t="s">
        <v>77</v>
      </c>
    </row>
    <row r="674" spans="1:9">
      <c r="A674">
        <v>222220</v>
      </c>
      <c r="B674">
        <v>1109946</v>
      </c>
      <c r="C674">
        <v>2</v>
      </c>
      <c r="D674" t="s">
        <v>1695</v>
      </c>
      <c r="E674">
        <v>1131</v>
      </c>
      <c r="F674" t="s">
        <v>41</v>
      </c>
      <c r="G674" t="s">
        <v>41</v>
      </c>
      <c r="I674" t="s">
        <v>77</v>
      </c>
    </row>
    <row r="675" spans="1:9">
      <c r="A675">
        <v>222221</v>
      </c>
      <c r="B675">
        <v>1109946</v>
      </c>
      <c r="C675">
        <v>3</v>
      </c>
      <c r="D675" t="s">
        <v>1695</v>
      </c>
      <c r="E675">
        <v>1131</v>
      </c>
      <c r="F675" t="s">
        <v>41</v>
      </c>
      <c r="G675" t="s">
        <v>41</v>
      </c>
      <c r="I675" t="s">
        <v>77</v>
      </c>
    </row>
    <row r="676" spans="1:9">
      <c r="A676">
        <v>222320</v>
      </c>
      <c r="B676">
        <v>1109994</v>
      </c>
      <c r="C676">
        <v>1</v>
      </c>
      <c r="D676" t="s">
        <v>1696</v>
      </c>
      <c r="E676">
        <v>524</v>
      </c>
      <c r="F676" t="s">
        <v>41</v>
      </c>
      <c r="G676" t="s">
        <v>41</v>
      </c>
      <c r="I676" t="s">
        <v>77</v>
      </c>
    </row>
    <row r="677" spans="1:9">
      <c r="A677">
        <v>223203</v>
      </c>
      <c r="B677">
        <v>1110425</v>
      </c>
      <c r="C677">
        <v>1</v>
      </c>
      <c r="D677" t="s">
        <v>1695</v>
      </c>
      <c r="E677">
        <v>1102</v>
      </c>
      <c r="F677" t="s">
        <v>1700</v>
      </c>
      <c r="G677" t="s">
        <v>41</v>
      </c>
      <c r="I677" t="s">
        <v>77</v>
      </c>
    </row>
    <row r="678" spans="1:9">
      <c r="A678">
        <v>223642</v>
      </c>
      <c r="B678">
        <v>1110648</v>
      </c>
      <c r="C678">
        <v>1</v>
      </c>
      <c r="D678" t="s">
        <v>1695</v>
      </c>
      <c r="E678">
        <v>582</v>
      </c>
      <c r="F678" t="s">
        <v>41</v>
      </c>
      <c r="G678" t="s">
        <v>41</v>
      </c>
      <c r="I678" t="s">
        <v>77</v>
      </c>
    </row>
    <row r="679" spans="1:9">
      <c r="A679">
        <v>224183</v>
      </c>
      <c r="B679">
        <v>1110928</v>
      </c>
      <c r="C679">
        <v>1</v>
      </c>
      <c r="D679" t="s">
        <v>1696</v>
      </c>
      <c r="E679">
        <v>2216</v>
      </c>
      <c r="F679" t="s">
        <v>41</v>
      </c>
      <c r="G679" t="s">
        <v>37</v>
      </c>
      <c r="H679">
        <v>23477</v>
      </c>
      <c r="I679" t="s">
        <v>77</v>
      </c>
    </row>
    <row r="680" spans="1:9">
      <c r="A680">
        <v>224645</v>
      </c>
      <c r="B680">
        <v>1111157</v>
      </c>
      <c r="C680">
        <v>1</v>
      </c>
      <c r="D680" t="s">
        <v>1695</v>
      </c>
      <c r="E680">
        <v>753</v>
      </c>
      <c r="F680" t="s">
        <v>41</v>
      </c>
      <c r="G680" t="s">
        <v>41</v>
      </c>
      <c r="I680" t="s">
        <v>77</v>
      </c>
    </row>
    <row r="681" spans="1:9">
      <c r="A681">
        <v>224646</v>
      </c>
      <c r="B681">
        <v>1111157</v>
      </c>
      <c r="C681">
        <v>2</v>
      </c>
      <c r="D681" t="s">
        <v>1695</v>
      </c>
      <c r="E681">
        <v>753</v>
      </c>
      <c r="F681" t="s">
        <v>41</v>
      </c>
      <c r="G681" t="s">
        <v>41</v>
      </c>
      <c r="I681" t="s">
        <v>77</v>
      </c>
    </row>
    <row r="682" spans="1:9">
      <c r="A682">
        <v>224647</v>
      </c>
      <c r="B682">
        <v>1111157</v>
      </c>
      <c r="C682">
        <v>3</v>
      </c>
      <c r="D682" t="s">
        <v>1695</v>
      </c>
      <c r="E682">
        <v>753</v>
      </c>
      <c r="F682" t="s">
        <v>41</v>
      </c>
      <c r="G682" t="s">
        <v>41</v>
      </c>
      <c r="I682" t="s">
        <v>77</v>
      </c>
    </row>
    <row r="683" spans="1:9">
      <c r="A683">
        <v>224648</v>
      </c>
      <c r="B683">
        <v>1111157</v>
      </c>
      <c r="C683">
        <v>4</v>
      </c>
      <c r="D683" t="s">
        <v>1696</v>
      </c>
      <c r="E683">
        <v>452</v>
      </c>
      <c r="F683" t="s">
        <v>41</v>
      </c>
      <c r="G683" t="s">
        <v>41</v>
      </c>
      <c r="I683" t="s">
        <v>77</v>
      </c>
    </row>
    <row r="684" spans="1:9">
      <c r="A684">
        <v>224649</v>
      </c>
      <c r="B684">
        <v>1111157</v>
      </c>
      <c r="C684">
        <v>5</v>
      </c>
      <c r="D684" t="s">
        <v>1695</v>
      </c>
      <c r="E684">
        <v>753</v>
      </c>
      <c r="F684" t="s">
        <v>41</v>
      </c>
      <c r="G684" t="s">
        <v>41</v>
      </c>
      <c r="I684" t="s">
        <v>77</v>
      </c>
    </row>
    <row r="685" spans="1:9">
      <c r="A685">
        <v>224650</v>
      </c>
      <c r="B685">
        <v>1111157</v>
      </c>
      <c r="C685">
        <v>6</v>
      </c>
      <c r="D685" t="s">
        <v>1695</v>
      </c>
      <c r="E685">
        <v>753</v>
      </c>
      <c r="F685" t="s">
        <v>41</v>
      </c>
      <c r="G685" t="s">
        <v>41</v>
      </c>
      <c r="I685" t="s">
        <v>77</v>
      </c>
    </row>
    <row r="686" spans="1:9">
      <c r="A686">
        <v>226115</v>
      </c>
      <c r="B686">
        <v>1111915</v>
      </c>
      <c r="C686">
        <v>1</v>
      </c>
      <c r="D686" t="s">
        <v>1695</v>
      </c>
      <c r="E686">
        <v>1049</v>
      </c>
      <c r="F686" t="s">
        <v>47</v>
      </c>
      <c r="G686" t="s">
        <v>41</v>
      </c>
      <c r="I686" t="s">
        <v>77</v>
      </c>
    </row>
    <row r="687" spans="1:9">
      <c r="A687">
        <v>226841</v>
      </c>
      <c r="B687">
        <v>1112281</v>
      </c>
      <c r="C687">
        <v>1</v>
      </c>
      <c r="D687" t="s">
        <v>1696</v>
      </c>
      <c r="E687">
        <v>1113</v>
      </c>
      <c r="F687" t="s">
        <v>41</v>
      </c>
      <c r="G687" t="s">
        <v>41</v>
      </c>
      <c r="I687" t="s">
        <v>77</v>
      </c>
    </row>
    <row r="688" spans="1:9">
      <c r="A688">
        <v>226842</v>
      </c>
      <c r="B688">
        <v>1112281</v>
      </c>
      <c r="C688">
        <v>2</v>
      </c>
      <c r="D688" t="s">
        <v>1696</v>
      </c>
      <c r="E688">
        <v>1113</v>
      </c>
      <c r="F688" t="s">
        <v>41</v>
      </c>
      <c r="G688" t="s">
        <v>41</v>
      </c>
      <c r="I688" t="s">
        <v>77</v>
      </c>
    </row>
    <row r="689" spans="1:9">
      <c r="A689">
        <v>226843</v>
      </c>
      <c r="B689">
        <v>1112281</v>
      </c>
      <c r="C689">
        <v>3</v>
      </c>
      <c r="D689" t="s">
        <v>1695</v>
      </c>
      <c r="E689">
        <v>1854</v>
      </c>
      <c r="F689" t="s">
        <v>41</v>
      </c>
      <c r="G689" t="s">
        <v>41</v>
      </c>
      <c r="I689" t="s">
        <v>77</v>
      </c>
    </row>
    <row r="690" spans="1:9">
      <c r="A690">
        <v>227039</v>
      </c>
      <c r="B690">
        <v>1112382</v>
      </c>
      <c r="C690">
        <v>1</v>
      </c>
      <c r="D690" t="s">
        <v>1695</v>
      </c>
      <c r="E690">
        <v>1379</v>
      </c>
      <c r="F690" t="s">
        <v>41</v>
      </c>
      <c r="G690" t="s">
        <v>43</v>
      </c>
      <c r="I690" t="s">
        <v>77</v>
      </c>
    </row>
    <row r="691" spans="1:9">
      <c r="A691">
        <v>227437</v>
      </c>
      <c r="B691">
        <v>1112583</v>
      </c>
      <c r="C691">
        <v>1</v>
      </c>
      <c r="D691" t="s">
        <v>1695</v>
      </c>
      <c r="E691">
        <v>762</v>
      </c>
      <c r="F691" t="s">
        <v>41</v>
      </c>
      <c r="G691" t="s">
        <v>37</v>
      </c>
      <c r="H691">
        <v>23364</v>
      </c>
      <c r="I691" t="s">
        <v>77</v>
      </c>
    </row>
    <row r="692" spans="1:9">
      <c r="A692">
        <v>227438</v>
      </c>
      <c r="B692">
        <v>1112583</v>
      </c>
      <c r="C692">
        <v>2</v>
      </c>
      <c r="D692" t="s">
        <v>1695</v>
      </c>
      <c r="E692">
        <v>762</v>
      </c>
      <c r="F692" t="s">
        <v>41</v>
      </c>
      <c r="G692" t="s">
        <v>37</v>
      </c>
      <c r="H692">
        <v>23364</v>
      </c>
      <c r="I692" t="s">
        <v>77</v>
      </c>
    </row>
    <row r="693" spans="1:9">
      <c r="A693">
        <v>227929</v>
      </c>
      <c r="B693">
        <v>1112827</v>
      </c>
      <c r="C693">
        <v>1</v>
      </c>
      <c r="D693" t="s">
        <v>1695</v>
      </c>
      <c r="E693">
        <v>4198</v>
      </c>
      <c r="F693" t="s">
        <v>41</v>
      </c>
      <c r="G693" t="s">
        <v>37</v>
      </c>
      <c r="H693">
        <v>24124</v>
      </c>
      <c r="I693" t="s">
        <v>77</v>
      </c>
    </row>
    <row r="694" spans="1:9">
      <c r="A694">
        <v>227930</v>
      </c>
      <c r="B694">
        <v>1112827</v>
      </c>
      <c r="C694">
        <v>2</v>
      </c>
      <c r="D694" t="s">
        <v>1695</v>
      </c>
      <c r="E694">
        <v>4198</v>
      </c>
      <c r="F694" t="s">
        <v>41</v>
      </c>
      <c r="G694" t="s">
        <v>37</v>
      </c>
      <c r="H694">
        <v>24124</v>
      </c>
      <c r="I694" t="s">
        <v>77</v>
      </c>
    </row>
    <row r="695" spans="1:9">
      <c r="A695">
        <v>227931</v>
      </c>
      <c r="B695">
        <v>1112827</v>
      </c>
      <c r="C695">
        <v>3</v>
      </c>
      <c r="D695" t="s">
        <v>1695</v>
      </c>
      <c r="E695">
        <v>4198</v>
      </c>
      <c r="F695" t="s">
        <v>41</v>
      </c>
      <c r="G695" t="s">
        <v>37</v>
      </c>
      <c r="H695">
        <v>24124</v>
      </c>
      <c r="I695" t="s">
        <v>77</v>
      </c>
    </row>
    <row r="696" spans="1:9">
      <c r="A696">
        <v>228737</v>
      </c>
      <c r="B696">
        <v>1113227</v>
      </c>
      <c r="C696">
        <v>1</v>
      </c>
      <c r="D696" t="s">
        <v>1695</v>
      </c>
      <c r="E696">
        <v>834</v>
      </c>
      <c r="F696" t="s">
        <v>41</v>
      </c>
      <c r="G696" t="s">
        <v>41</v>
      </c>
      <c r="I696" t="s">
        <v>77</v>
      </c>
    </row>
    <row r="697" spans="1:9">
      <c r="A697">
        <v>228738</v>
      </c>
      <c r="B697">
        <v>1113227</v>
      </c>
      <c r="C697">
        <v>2</v>
      </c>
      <c r="D697" t="s">
        <v>1696</v>
      </c>
      <c r="E697">
        <v>501</v>
      </c>
      <c r="F697" t="s">
        <v>41</v>
      </c>
      <c r="G697" t="s">
        <v>41</v>
      </c>
      <c r="I697" t="s">
        <v>77</v>
      </c>
    </row>
    <row r="698" spans="1:9">
      <c r="A698">
        <v>228739</v>
      </c>
      <c r="B698">
        <v>1113227</v>
      </c>
      <c r="C698">
        <v>3</v>
      </c>
      <c r="D698" t="s">
        <v>1695</v>
      </c>
      <c r="E698">
        <v>834</v>
      </c>
      <c r="F698" t="s">
        <v>41</v>
      </c>
      <c r="G698" t="s">
        <v>41</v>
      </c>
      <c r="I698" t="s">
        <v>77</v>
      </c>
    </row>
    <row r="699" spans="1:9">
      <c r="A699">
        <v>229933</v>
      </c>
      <c r="B699">
        <v>1113807</v>
      </c>
      <c r="C699">
        <v>1</v>
      </c>
      <c r="D699" t="s">
        <v>1695</v>
      </c>
      <c r="E699">
        <v>790</v>
      </c>
      <c r="F699" t="s">
        <v>41</v>
      </c>
      <c r="G699" t="s">
        <v>41</v>
      </c>
      <c r="I699" t="s">
        <v>77</v>
      </c>
    </row>
    <row r="700" spans="1:9">
      <c r="A700">
        <v>230498</v>
      </c>
      <c r="B700">
        <v>1114094</v>
      </c>
      <c r="C700">
        <v>1</v>
      </c>
      <c r="D700" t="s">
        <v>1695</v>
      </c>
      <c r="E700">
        <v>834</v>
      </c>
      <c r="F700" t="s">
        <v>41</v>
      </c>
      <c r="G700" t="s">
        <v>41</v>
      </c>
      <c r="I700" t="s">
        <v>77</v>
      </c>
    </row>
    <row r="701" spans="1:9">
      <c r="A701">
        <v>230667</v>
      </c>
      <c r="B701">
        <v>1114178</v>
      </c>
      <c r="C701">
        <v>1</v>
      </c>
      <c r="D701" t="s">
        <v>1696</v>
      </c>
      <c r="E701">
        <v>543</v>
      </c>
      <c r="F701" t="s">
        <v>41</v>
      </c>
      <c r="G701" t="s">
        <v>41</v>
      </c>
      <c r="I701" t="s">
        <v>77</v>
      </c>
    </row>
    <row r="702" spans="1:9">
      <c r="A702">
        <v>230905</v>
      </c>
      <c r="B702">
        <v>1114288</v>
      </c>
      <c r="C702">
        <v>1</v>
      </c>
      <c r="D702" t="s">
        <v>1695</v>
      </c>
      <c r="E702">
        <v>2784</v>
      </c>
      <c r="F702" t="s">
        <v>41</v>
      </c>
      <c r="G702" t="s">
        <v>41</v>
      </c>
      <c r="I702" t="s">
        <v>77</v>
      </c>
    </row>
    <row r="703" spans="1:9">
      <c r="A703">
        <v>231847</v>
      </c>
      <c r="B703">
        <v>1114785</v>
      </c>
      <c r="C703">
        <v>1</v>
      </c>
      <c r="D703" t="s">
        <v>1695</v>
      </c>
      <c r="E703">
        <v>1579</v>
      </c>
      <c r="F703" t="s">
        <v>41</v>
      </c>
      <c r="G703" t="s">
        <v>41</v>
      </c>
      <c r="I703" t="s">
        <v>77</v>
      </c>
    </row>
    <row r="704" spans="1:9">
      <c r="A704">
        <v>232614</v>
      </c>
      <c r="B704">
        <v>1115198</v>
      </c>
      <c r="C704">
        <v>1</v>
      </c>
      <c r="D704" t="s">
        <v>1695</v>
      </c>
      <c r="E704">
        <v>854</v>
      </c>
      <c r="F704" t="s">
        <v>47</v>
      </c>
      <c r="G704" t="s">
        <v>1699</v>
      </c>
      <c r="H704">
        <v>23309</v>
      </c>
      <c r="I704" t="s">
        <v>77</v>
      </c>
    </row>
    <row r="705" spans="1:9">
      <c r="A705">
        <v>232615</v>
      </c>
      <c r="B705">
        <v>1115198</v>
      </c>
      <c r="C705">
        <v>2</v>
      </c>
      <c r="D705" t="s">
        <v>1695</v>
      </c>
      <c r="E705">
        <v>854</v>
      </c>
      <c r="F705" t="s">
        <v>47</v>
      </c>
      <c r="G705" t="s">
        <v>37</v>
      </c>
      <c r="H705">
        <v>23309</v>
      </c>
      <c r="I705" t="s">
        <v>77</v>
      </c>
    </row>
    <row r="706" spans="1:9">
      <c r="A706">
        <v>232954</v>
      </c>
      <c r="B706">
        <v>1115367</v>
      </c>
      <c r="C706">
        <v>1</v>
      </c>
      <c r="D706" t="s">
        <v>1696</v>
      </c>
      <c r="E706">
        <v>629</v>
      </c>
      <c r="F706" t="s">
        <v>41</v>
      </c>
      <c r="G706" t="s">
        <v>37</v>
      </c>
      <c r="H706">
        <v>25015</v>
      </c>
      <c r="I706" t="s">
        <v>77</v>
      </c>
    </row>
    <row r="707" spans="1:9">
      <c r="A707">
        <v>235020</v>
      </c>
      <c r="B707">
        <v>1116396</v>
      </c>
      <c r="C707">
        <v>1</v>
      </c>
      <c r="D707" t="s">
        <v>1695</v>
      </c>
      <c r="E707">
        <v>1379</v>
      </c>
      <c r="F707" t="s">
        <v>41</v>
      </c>
      <c r="G707" t="s">
        <v>41</v>
      </c>
      <c r="I707" t="s">
        <v>77</v>
      </c>
    </row>
    <row r="708" spans="1:9">
      <c r="A708">
        <v>235229</v>
      </c>
      <c r="B708">
        <v>1116489</v>
      </c>
      <c r="C708">
        <v>1</v>
      </c>
      <c r="D708" t="s">
        <v>1695</v>
      </c>
      <c r="E708">
        <v>872</v>
      </c>
      <c r="F708" t="s">
        <v>41</v>
      </c>
      <c r="G708" t="s">
        <v>41</v>
      </c>
      <c r="I708" t="s">
        <v>77</v>
      </c>
    </row>
    <row r="709" spans="1:9">
      <c r="A709">
        <v>236525</v>
      </c>
      <c r="B709">
        <v>1117149</v>
      </c>
      <c r="C709">
        <v>1</v>
      </c>
      <c r="D709" t="s">
        <v>1695</v>
      </c>
      <c r="E709">
        <v>984</v>
      </c>
      <c r="F709" t="s">
        <v>41</v>
      </c>
      <c r="G709" t="s">
        <v>41</v>
      </c>
      <c r="I709" t="s">
        <v>77</v>
      </c>
    </row>
    <row r="710" spans="1:9">
      <c r="A710">
        <v>236526</v>
      </c>
      <c r="B710">
        <v>1117149</v>
      </c>
      <c r="C710">
        <v>2</v>
      </c>
      <c r="D710" t="s">
        <v>1695</v>
      </c>
      <c r="E710">
        <v>984</v>
      </c>
      <c r="F710" t="s">
        <v>41</v>
      </c>
      <c r="G710" t="s">
        <v>41</v>
      </c>
      <c r="I710" t="s">
        <v>77</v>
      </c>
    </row>
    <row r="711" spans="1:9">
      <c r="A711">
        <v>236880</v>
      </c>
      <c r="B711">
        <v>1117321</v>
      </c>
      <c r="C711">
        <v>1</v>
      </c>
      <c r="D711" t="s">
        <v>1695</v>
      </c>
      <c r="E711">
        <v>4198</v>
      </c>
      <c r="F711" t="s">
        <v>41</v>
      </c>
      <c r="G711" t="s">
        <v>41</v>
      </c>
      <c r="I711" t="s">
        <v>77</v>
      </c>
    </row>
    <row r="712" spans="1:9">
      <c r="A712">
        <v>236881</v>
      </c>
      <c r="B712">
        <v>1117321</v>
      </c>
      <c r="C712">
        <v>2</v>
      </c>
      <c r="D712" t="s">
        <v>1695</v>
      </c>
      <c r="E712">
        <v>4198</v>
      </c>
      <c r="F712" t="s">
        <v>41</v>
      </c>
      <c r="G712" t="s">
        <v>41</v>
      </c>
      <c r="I712" t="s">
        <v>77</v>
      </c>
    </row>
    <row r="713" spans="1:9">
      <c r="A713">
        <v>236882</v>
      </c>
      <c r="B713">
        <v>1117321</v>
      </c>
      <c r="C713">
        <v>3</v>
      </c>
      <c r="D713" t="s">
        <v>1695</v>
      </c>
      <c r="E713">
        <v>4198</v>
      </c>
      <c r="F713" t="s">
        <v>41</v>
      </c>
      <c r="G713" t="s">
        <v>41</v>
      </c>
      <c r="I713" t="s">
        <v>77</v>
      </c>
    </row>
    <row r="714" spans="1:9">
      <c r="A714">
        <v>238577</v>
      </c>
      <c r="B714">
        <v>1118149</v>
      </c>
      <c r="C714">
        <v>1</v>
      </c>
      <c r="D714" t="s">
        <v>1695</v>
      </c>
      <c r="E714">
        <v>854</v>
      </c>
      <c r="F714" t="s">
        <v>41</v>
      </c>
      <c r="G714" t="s">
        <v>41</v>
      </c>
      <c r="I714" t="s">
        <v>77</v>
      </c>
    </row>
    <row r="715" spans="1:9">
      <c r="A715">
        <v>238844</v>
      </c>
      <c r="B715">
        <v>1118274</v>
      </c>
      <c r="C715">
        <v>1</v>
      </c>
      <c r="D715" t="s">
        <v>1695</v>
      </c>
      <c r="E715">
        <v>544</v>
      </c>
      <c r="F715" t="s">
        <v>133</v>
      </c>
      <c r="G715" t="s">
        <v>41</v>
      </c>
      <c r="I715" t="s">
        <v>77</v>
      </c>
    </row>
    <row r="716" spans="1:9">
      <c r="A716">
        <v>238845</v>
      </c>
      <c r="B716">
        <v>1118274</v>
      </c>
      <c r="C716">
        <v>2</v>
      </c>
      <c r="D716" t="s">
        <v>1696</v>
      </c>
      <c r="E716">
        <v>326</v>
      </c>
      <c r="F716" t="s">
        <v>41</v>
      </c>
      <c r="G716" t="s">
        <v>41</v>
      </c>
      <c r="I716" t="s">
        <v>77</v>
      </c>
    </row>
    <row r="717" spans="1:9">
      <c r="A717">
        <v>238846</v>
      </c>
      <c r="B717">
        <v>1118274</v>
      </c>
      <c r="C717">
        <v>3</v>
      </c>
      <c r="D717" t="s">
        <v>1695</v>
      </c>
      <c r="E717">
        <v>544</v>
      </c>
      <c r="F717" t="s">
        <v>41</v>
      </c>
      <c r="G717" t="s">
        <v>41</v>
      </c>
      <c r="I717" t="s">
        <v>77</v>
      </c>
    </row>
    <row r="718" spans="1:9">
      <c r="A718">
        <v>238847</v>
      </c>
      <c r="B718">
        <v>1118274</v>
      </c>
      <c r="C718">
        <v>4</v>
      </c>
      <c r="D718" t="s">
        <v>1695</v>
      </c>
      <c r="E718">
        <v>544</v>
      </c>
      <c r="F718" t="s">
        <v>41</v>
      </c>
      <c r="G718" t="s">
        <v>41</v>
      </c>
      <c r="I718" t="s">
        <v>77</v>
      </c>
    </row>
    <row r="719" spans="1:9">
      <c r="A719">
        <v>240098</v>
      </c>
      <c r="B719">
        <v>1118868</v>
      </c>
      <c r="C719">
        <v>1</v>
      </c>
      <c r="D719" t="s">
        <v>1695</v>
      </c>
      <c r="E719">
        <v>1657</v>
      </c>
      <c r="F719" t="s">
        <v>41</v>
      </c>
      <c r="G719" t="s">
        <v>41</v>
      </c>
      <c r="I719" t="s">
        <v>77</v>
      </c>
    </row>
    <row r="720" spans="1:9">
      <c r="A720">
        <v>240099</v>
      </c>
      <c r="B720">
        <v>1118868</v>
      </c>
      <c r="C720">
        <v>2</v>
      </c>
      <c r="D720" t="s">
        <v>1696</v>
      </c>
      <c r="E720">
        <v>994</v>
      </c>
      <c r="F720" t="s">
        <v>41</v>
      </c>
      <c r="G720" t="s">
        <v>41</v>
      </c>
      <c r="I720" t="s">
        <v>77</v>
      </c>
    </row>
    <row r="721" spans="1:9">
      <c r="A721">
        <v>241383</v>
      </c>
      <c r="B721">
        <v>1119517</v>
      </c>
      <c r="C721">
        <v>1</v>
      </c>
      <c r="D721" t="s">
        <v>1695</v>
      </c>
      <c r="E721">
        <v>2520</v>
      </c>
      <c r="F721" t="s">
        <v>41</v>
      </c>
      <c r="G721" t="s">
        <v>37</v>
      </c>
      <c r="H721">
        <v>28630</v>
      </c>
      <c r="I721" t="s">
        <v>77</v>
      </c>
    </row>
    <row r="722" spans="1:9">
      <c r="A722">
        <v>241989</v>
      </c>
      <c r="B722">
        <v>1119837</v>
      </c>
      <c r="C722">
        <v>1</v>
      </c>
      <c r="D722" t="s">
        <v>1695</v>
      </c>
      <c r="E722">
        <v>1053</v>
      </c>
      <c r="F722" t="s">
        <v>41</v>
      </c>
      <c r="G722" t="s">
        <v>41</v>
      </c>
      <c r="I722" t="s">
        <v>77</v>
      </c>
    </row>
    <row r="723" spans="1:9">
      <c r="A723">
        <v>242579</v>
      </c>
      <c r="B723">
        <v>1120103</v>
      </c>
      <c r="C723">
        <v>1</v>
      </c>
      <c r="D723" t="s">
        <v>1695</v>
      </c>
      <c r="E723">
        <v>4406</v>
      </c>
      <c r="F723" t="s">
        <v>47</v>
      </c>
      <c r="G723" t="s">
        <v>37</v>
      </c>
      <c r="H723">
        <v>23669</v>
      </c>
      <c r="I723" t="s">
        <v>77</v>
      </c>
    </row>
    <row r="724" spans="1:9">
      <c r="A724">
        <v>243244</v>
      </c>
      <c r="B724">
        <v>1120423</v>
      </c>
      <c r="C724">
        <v>1</v>
      </c>
      <c r="D724" t="s">
        <v>1695</v>
      </c>
      <c r="E724">
        <v>2784</v>
      </c>
      <c r="F724" t="s">
        <v>41</v>
      </c>
      <c r="G724" t="s">
        <v>41</v>
      </c>
      <c r="I724" t="s">
        <v>77</v>
      </c>
    </row>
    <row r="725" spans="1:9">
      <c r="A725">
        <v>243633</v>
      </c>
      <c r="B725">
        <v>1120611</v>
      </c>
      <c r="C725">
        <v>1</v>
      </c>
      <c r="D725" t="s">
        <v>1695</v>
      </c>
      <c r="E725">
        <v>950</v>
      </c>
      <c r="F725" t="s">
        <v>47</v>
      </c>
      <c r="G725" t="s">
        <v>41</v>
      </c>
      <c r="I725" t="s">
        <v>77</v>
      </c>
    </row>
    <row r="726" spans="1:9">
      <c r="A726">
        <v>243634</v>
      </c>
      <c r="B726">
        <v>1120611</v>
      </c>
      <c r="C726">
        <v>2</v>
      </c>
      <c r="D726" t="s">
        <v>1695</v>
      </c>
      <c r="E726">
        <v>950</v>
      </c>
      <c r="F726" t="s">
        <v>47</v>
      </c>
      <c r="G726" t="s">
        <v>41</v>
      </c>
      <c r="I726" t="s">
        <v>77</v>
      </c>
    </row>
    <row r="727" spans="1:9">
      <c r="A727">
        <v>243635</v>
      </c>
      <c r="B727">
        <v>1120611</v>
      </c>
      <c r="C727">
        <v>3</v>
      </c>
      <c r="D727" t="s">
        <v>1695</v>
      </c>
      <c r="E727">
        <v>950</v>
      </c>
      <c r="F727" t="s">
        <v>47</v>
      </c>
      <c r="G727" t="s">
        <v>47</v>
      </c>
      <c r="I727" t="s">
        <v>77</v>
      </c>
    </row>
    <row r="728" spans="1:9">
      <c r="A728">
        <v>243636</v>
      </c>
      <c r="B728">
        <v>1120611</v>
      </c>
      <c r="C728">
        <v>4</v>
      </c>
      <c r="D728" t="s">
        <v>1695</v>
      </c>
      <c r="E728">
        <v>950</v>
      </c>
      <c r="F728" t="s">
        <v>47</v>
      </c>
      <c r="G728" t="s">
        <v>47</v>
      </c>
      <c r="I728" t="s">
        <v>77</v>
      </c>
    </row>
    <row r="729" spans="1:9">
      <c r="A729">
        <v>243721</v>
      </c>
      <c r="B729">
        <v>1120649</v>
      </c>
      <c r="C729">
        <v>1</v>
      </c>
      <c r="D729" t="s">
        <v>1695</v>
      </c>
      <c r="E729">
        <v>1579</v>
      </c>
      <c r="F729" t="s">
        <v>47</v>
      </c>
      <c r="G729" t="s">
        <v>41</v>
      </c>
      <c r="I729" t="s">
        <v>77</v>
      </c>
    </row>
    <row r="730" spans="1:9">
      <c r="A730">
        <v>243722</v>
      </c>
      <c r="B730">
        <v>1120649</v>
      </c>
      <c r="C730">
        <v>2</v>
      </c>
      <c r="D730" t="s">
        <v>1695</v>
      </c>
      <c r="E730">
        <v>1579</v>
      </c>
      <c r="F730" t="s">
        <v>47</v>
      </c>
      <c r="G730" t="s">
        <v>41</v>
      </c>
      <c r="I730" t="s">
        <v>77</v>
      </c>
    </row>
    <row r="731" spans="1:9">
      <c r="A731">
        <v>244188</v>
      </c>
      <c r="B731">
        <v>1120875</v>
      </c>
      <c r="C731">
        <v>1</v>
      </c>
      <c r="D731" t="s">
        <v>1696</v>
      </c>
      <c r="E731">
        <v>452</v>
      </c>
      <c r="F731" t="s">
        <v>41</v>
      </c>
      <c r="G731" t="s">
        <v>41</v>
      </c>
      <c r="I731" t="s">
        <v>77</v>
      </c>
    </row>
    <row r="732" spans="1:9">
      <c r="A732">
        <v>244189</v>
      </c>
      <c r="B732">
        <v>1120875</v>
      </c>
      <c r="C732">
        <v>2</v>
      </c>
      <c r="D732" t="s">
        <v>1696</v>
      </c>
      <c r="E732">
        <v>452</v>
      </c>
      <c r="F732" t="s">
        <v>41</v>
      </c>
      <c r="G732" t="s">
        <v>41</v>
      </c>
      <c r="I732" t="s">
        <v>77</v>
      </c>
    </row>
    <row r="733" spans="1:9">
      <c r="A733">
        <v>244190</v>
      </c>
      <c r="B733">
        <v>1120875</v>
      </c>
      <c r="C733">
        <v>3</v>
      </c>
      <c r="D733" t="s">
        <v>1695</v>
      </c>
      <c r="E733">
        <v>753</v>
      </c>
      <c r="F733" t="s">
        <v>41</v>
      </c>
      <c r="G733" t="s">
        <v>41</v>
      </c>
      <c r="I733" t="s">
        <v>77</v>
      </c>
    </row>
    <row r="734" spans="1:9">
      <c r="A734">
        <v>246187</v>
      </c>
      <c r="B734">
        <v>1121859</v>
      </c>
      <c r="C734">
        <v>1</v>
      </c>
      <c r="D734" t="s">
        <v>1695</v>
      </c>
      <c r="E734">
        <v>1731</v>
      </c>
      <c r="F734" t="s">
        <v>41</v>
      </c>
      <c r="G734" t="s">
        <v>41</v>
      </c>
      <c r="I734" t="s">
        <v>77</v>
      </c>
    </row>
    <row r="735" spans="1:9">
      <c r="A735">
        <v>246466</v>
      </c>
      <c r="B735">
        <v>1122006</v>
      </c>
      <c r="C735">
        <v>1</v>
      </c>
      <c r="D735" t="s">
        <v>1695</v>
      </c>
      <c r="E735">
        <v>654</v>
      </c>
      <c r="F735" t="s">
        <v>49</v>
      </c>
      <c r="G735" t="s">
        <v>1699</v>
      </c>
      <c r="H735">
        <v>24752</v>
      </c>
      <c r="I735" t="s">
        <v>77</v>
      </c>
    </row>
    <row r="736" spans="1:9">
      <c r="A736">
        <v>246474</v>
      </c>
      <c r="B736">
        <v>1122013</v>
      </c>
      <c r="C736">
        <v>1</v>
      </c>
      <c r="D736" t="s">
        <v>1696</v>
      </c>
      <c r="E736">
        <v>393</v>
      </c>
      <c r="F736" t="s">
        <v>49</v>
      </c>
      <c r="G736" t="s">
        <v>37</v>
      </c>
      <c r="H736">
        <v>24169</v>
      </c>
      <c r="I736" t="s">
        <v>77</v>
      </c>
    </row>
    <row r="737" spans="1:9">
      <c r="A737">
        <v>246716</v>
      </c>
      <c r="B737">
        <v>1122136</v>
      </c>
      <c r="C737">
        <v>1</v>
      </c>
      <c r="D737" t="s">
        <v>1695</v>
      </c>
      <c r="E737">
        <v>607</v>
      </c>
      <c r="F737" t="s">
        <v>41</v>
      </c>
      <c r="G737" t="s">
        <v>41</v>
      </c>
      <c r="I737" t="s">
        <v>77</v>
      </c>
    </row>
    <row r="738" spans="1:9">
      <c r="A738">
        <v>246722</v>
      </c>
      <c r="B738">
        <v>1122140</v>
      </c>
      <c r="C738">
        <v>1</v>
      </c>
      <c r="D738" t="s">
        <v>1695</v>
      </c>
      <c r="E738">
        <v>906</v>
      </c>
      <c r="F738" t="s">
        <v>47</v>
      </c>
      <c r="G738" t="s">
        <v>47</v>
      </c>
      <c r="I738" t="s">
        <v>77</v>
      </c>
    </row>
    <row r="739" spans="1:9">
      <c r="A739">
        <v>246723</v>
      </c>
      <c r="B739">
        <v>1122140</v>
      </c>
      <c r="C739">
        <v>2</v>
      </c>
      <c r="D739" t="s">
        <v>1697</v>
      </c>
      <c r="E739">
        <v>453</v>
      </c>
      <c r="F739" t="s">
        <v>47</v>
      </c>
      <c r="G739" t="s">
        <v>47</v>
      </c>
      <c r="I739" t="s">
        <v>77</v>
      </c>
    </row>
    <row r="740" spans="1:9">
      <c r="A740">
        <v>246729</v>
      </c>
      <c r="B740">
        <v>1122145</v>
      </c>
      <c r="C740">
        <v>1</v>
      </c>
      <c r="D740" t="s">
        <v>1695</v>
      </c>
      <c r="E740">
        <v>906</v>
      </c>
      <c r="F740" t="s">
        <v>47</v>
      </c>
      <c r="G740" t="s">
        <v>47</v>
      </c>
      <c r="I740" t="s">
        <v>77</v>
      </c>
    </row>
    <row r="741" spans="1:9">
      <c r="A741">
        <v>246730</v>
      </c>
      <c r="B741">
        <v>1122145</v>
      </c>
      <c r="C741">
        <v>2</v>
      </c>
      <c r="D741" t="s">
        <v>1695</v>
      </c>
      <c r="E741">
        <v>906</v>
      </c>
      <c r="F741" t="s">
        <v>47</v>
      </c>
      <c r="G741" t="s">
        <v>47</v>
      </c>
      <c r="I741" t="s">
        <v>77</v>
      </c>
    </row>
    <row r="742" spans="1:9">
      <c r="A742">
        <v>246731</v>
      </c>
      <c r="B742">
        <v>1122145</v>
      </c>
      <c r="C742">
        <v>3</v>
      </c>
      <c r="D742" t="s">
        <v>1695</v>
      </c>
      <c r="E742">
        <v>906</v>
      </c>
      <c r="F742" t="s">
        <v>47</v>
      </c>
      <c r="G742" t="s">
        <v>47</v>
      </c>
      <c r="I742" t="s">
        <v>77</v>
      </c>
    </row>
    <row r="743" spans="1:9">
      <c r="A743">
        <v>246732</v>
      </c>
      <c r="B743">
        <v>1122145</v>
      </c>
      <c r="C743">
        <v>4</v>
      </c>
      <c r="D743" t="s">
        <v>1695</v>
      </c>
      <c r="E743">
        <v>906</v>
      </c>
      <c r="F743" t="s">
        <v>47</v>
      </c>
      <c r="G743" t="s">
        <v>47</v>
      </c>
      <c r="I743" t="s">
        <v>77</v>
      </c>
    </row>
    <row r="744" spans="1:9">
      <c r="A744">
        <v>246778</v>
      </c>
      <c r="B744">
        <v>1122170</v>
      </c>
      <c r="C744">
        <v>1</v>
      </c>
      <c r="D744" t="s">
        <v>1695</v>
      </c>
      <c r="E744">
        <v>2429</v>
      </c>
      <c r="F744" t="s">
        <v>47</v>
      </c>
      <c r="G744" t="s">
        <v>47</v>
      </c>
      <c r="I744" t="s">
        <v>77</v>
      </c>
    </row>
    <row r="745" spans="1:9">
      <c r="A745">
        <v>246779</v>
      </c>
      <c r="B745">
        <v>1122170</v>
      </c>
      <c r="C745">
        <v>2</v>
      </c>
      <c r="D745" t="s">
        <v>1695</v>
      </c>
      <c r="E745">
        <v>2429</v>
      </c>
      <c r="F745" t="s">
        <v>47</v>
      </c>
      <c r="G745" t="s">
        <v>47</v>
      </c>
      <c r="I745" t="s">
        <v>77</v>
      </c>
    </row>
    <row r="746" spans="1:9">
      <c r="A746">
        <v>246780</v>
      </c>
      <c r="B746">
        <v>1122170</v>
      </c>
      <c r="C746">
        <v>3</v>
      </c>
      <c r="D746" t="s">
        <v>1695</v>
      </c>
      <c r="E746">
        <v>2429</v>
      </c>
      <c r="F746" t="s">
        <v>47</v>
      </c>
      <c r="G746" t="s">
        <v>47</v>
      </c>
      <c r="I746" t="s">
        <v>77</v>
      </c>
    </row>
    <row r="747" spans="1:9">
      <c r="A747">
        <v>246781</v>
      </c>
      <c r="B747">
        <v>1122170</v>
      </c>
      <c r="C747">
        <v>4</v>
      </c>
      <c r="D747" t="s">
        <v>1695</v>
      </c>
      <c r="E747">
        <v>2429</v>
      </c>
      <c r="F747" t="s">
        <v>47</v>
      </c>
      <c r="G747" t="s">
        <v>47</v>
      </c>
      <c r="I747" t="s">
        <v>77</v>
      </c>
    </row>
    <row r="748" spans="1:9">
      <c r="A748">
        <v>246782</v>
      </c>
      <c r="B748">
        <v>1122170</v>
      </c>
      <c r="C748">
        <v>5</v>
      </c>
      <c r="D748" t="s">
        <v>1695</v>
      </c>
      <c r="E748">
        <v>2429</v>
      </c>
      <c r="F748" t="s">
        <v>47</v>
      </c>
      <c r="G748" t="s">
        <v>47</v>
      </c>
      <c r="I748" t="s">
        <v>77</v>
      </c>
    </row>
    <row r="749" spans="1:9">
      <c r="A749">
        <v>246783</v>
      </c>
      <c r="B749">
        <v>1122170</v>
      </c>
      <c r="C749">
        <v>6</v>
      </c>
      <c r="D749" t="s">
        <v>1695</v>
      </c>
      <c r="E749">
        <v>2429</v>
      </c>
      <c r="F749" t="s">
        <v>47</v>
      </c>
      <c r="G749" t="s">
        <v>47</v>
      </c>
      <c r="I749" t="s">
        <v>77</v>
      </c>
    </row>
    <row r="750" spans="1:9">
      <c r="A750">
        <v>246903</v>
      </c>
      <c r="B750">
        <v>1122233</v>
      </c>
      <c r="C750">
        <v>1</v>
      </c>
      <c r="D750" t="s">
        <v>1696</v>
      </c>
      <c r="E750">
        <v>2519</v>
      </c>
      <c r="F750" t="s">
        <v>47</v>
      </c>
      <c r="G750" t="s">
        <v>47</v>
      </c>
      <c r="I750" t="s">
        <v>77</v>
      </c>
    </row>
    <row r="751" spans="1:9">
      <c r="A751">
        <v>247508</v>
      </c>
      <c r="B751">
        <v>1122534</v>
      </c>
      <c r="C751">
        <v>1</v>
      </c>
      <c r="D751" t="s">
        <v>1695</v>
      </c>
      <c r="E751">
        <v>984</v>
      </c>
      <c r="F751" t="s">
        <v>41</v>
      </c>
      <c r="G751" t="s">
        <v>37</v>
      </c>
      <c r="H751">
        <v>24799</v>
      </c>
      <c r="I751" t="s">
        <v>77</v>
      </c>
    </row>
    <row r="752" spans="1:9">
      <c r="A752">
        <v>247509</v>
      </c>
      <c r="B752">
        <v>1122534</v>
      </c>
      <c r="C752">
        <v>2</v>
      </c>
      <c r="D752" t="s">
        <v>1695</v>
      </c>
      <c r="E752">
        <v>984</v>
      </c>
      <c r="F752" t="s">
        <v>41</v>
      </c>
      <c r="G752" t="s">
        <v>37</v>
      </c>
      <c r="H752">
        <v>24799</v>
      </c>
      <c r="I752" t="s">
        <v>77</v>
      </c>
    </row>
    <row r="753" spans="1:9">
      <c r="A753">
        <v>247510</v>
      </c>
      <c r="B753">
        <v>1122534</v>
      </c>
      <c r="C753">
        <v>3</v>
      </c>
      <c r="D753" t="s">
        <v>1695</v>
      </c>
      <c r="E753">
        <v>984</v>
      </c>
      <c r="F753" t="s">
        <v>41</v>
      </c>
      <c r="G753" t="s">
        <v>37</v>
      </c>
      <c r="H753">
        <v>24799</v>
      </c>
      <c r="I753" t="s">
        <v>77</v>
      </c>
    </row>
    <row r="754" spans="1:9">
      <c r="A754">
        <v>247511</v>
      </c>
      <c r="B754">
        <v>1122534</v>
      </c>
      <c r="C754">
        <v>4</v>
      </c>
      <c r="D754" t="s">
        <v>1697</v>
      </c>
      <c r="E754">
        <v>492</v>
      </c>
      <c r="F754" t="s">
        <v>41</v>
      </c>
      <c r="G754" t="s">
        <v>37</v>
      </c>
      <c r="H754">
        <v>24799</v>
      </c>
      <c r="I754" t="s">
        <v>77</v>
      </c>
    </row>
    <row r="755" spans="1:9">
      <c r="A755">
        <v>247512</v>
      </c>
      <c r="B755">
        <v>1122534</v>
      </c>
      <c r="C755">
        <v>5</v>
      </c>
      <c r="D755" t="s">
        <v>1695</v>
      </c>
      <c r="E755">
        <v>984</v>
      </c>
      <c r="F755" t="s">
        <v>41</v>
      </c>
      <c r="G755" t="s">
        <v>37</v>
      </c>
      <c r="H755">
        <v>24799</v>
      </c>
      <c r="I755" t="s">
        <v>77</v>
      </c>
    </row>
    <row r="756" spans="1:9">
      <c r="A756">
        <v>247823</v>
      </c>
      <c r="B756">
        <v>1122677</v>
      </c>
      <c r="C756">
        <v>1</v>
      </c>
      <c r="D756" t="s">
        <v>1695</v>
      </c>
      <c r="E756">
        <v>1379</v>
      </c>
      <c r="F756" t="s">
        <v>41</v>
      </c>
      <c r="G756" t="s">
        <v>41</v>
      </c>
      <c r="I756" t="s">
        <v>77</v>
      </c>
    </row>
    <row r="757" spans="1:9">
      <c r="A757">
        <v>249714</v>
      </c>
      <c r="B757">
        <v>1123615</v>
      </c>
      <c r="C757">
        <v>1</v>
      </c>
      <c r="D757" t="s">
        <v>1695</v>
      </c>
      <c r="E757">
        <v>753</v>
      </c>
      <c r="F757" t="s">
        <v>41</v>
      </c>
      <c r="G757" t="s">
        <v>41</v>
      </c>
      <c r="I757" t="s">
        <v>77</v>
      </c>
    </row>
    <row r="758" spans="1:9">
      <c r="A758">
        <v>249715</v>
      </c>
      <c r="B758">
        <v>1123615</v>
      </c>
      <c r="C758">
        <v>2</v>
      </c>
      <c r="D758" t="s">
        <v>1695</v>
      </c>
      <c r="E758">
        <v>753</v>
      </c>
      <c r="F758" t="s">
        <v>41</v>
      </c>
      <c r="G758" t="s">
        <v>41</v>
      </c>
      <c r="I758" t="s">
        <v>77</v>
      </c>
    </row>
    <row r="759" spans="1:9">
      <c r="A759">
        <v>249996</v>
      </c>
      <c r="B759">
        <v>1123753</v>
      </c>
      <c r="C759">
        <v>1</v>
      </c>
      <c r="D759" t="s">
        <v>1695</v>
      </c>
      <c r="E759">
        <v>654</v>
      </c>
      <c r="F759" t="s">
        <v>41</v>
      </c>
      <c r="G759" t="s">
        <v>41</v>
      </c>
      <c r="I759" t="s">
        <v>77</v>
      </c>
    </row>
    <row r="760" spans="1:9">
      <c r="A760">
        <v>251648</v>
      </c>
      <c r="B760">
        <v>1124587</v>
      </c>
      <c r="C760">
        <v>1</v>
      </c>
      <c r="D760" t="s">
        <v>1695</v>
      </c>
      <c r="E760">
        <v>906</v>
      </c>
      <c r="F760" t="s">
        <v>49</v>
      </c>
      <c r="G760" t="s">
        <v>37</v>
      </c>
      <c r="H760">
        <v>24794</v>
      </c>
      <c r="I760" t="s">
        <v>77</v>
      </c>
    </row>
    <row r="761" spans="1:9">
      <c r="A761">
        <v>252224</v>
      </c>
      <c r="B761">
        <v>1124863</v>
      </c>
      <c r="C761">
        <v>1</v>
      </c>
      <c r="D761" t="s">
        <v>1695</v>
      </c>
      <c r="E761">
        <v>870</v>
      </c>
      <c r="F761" t="s">
        <v>41</v>
      </c>
      <c r="G761" t="s">
        <v>41</v>
      </c>
      <c r="I761" t="s">
        <v>77</v>
      </c>
    </row>
    <row r="762" spans="1:9">
      <c r="A762">
        <v>252225</v>
      </c>
      <c r="B762">
        <v>1124863</v>
      </c>
      <c r="C762">
        <v>2</v>
      </c>
      <c r="D762" t="s">
        <v>1695</v>
      </c>
      <c r="E762">
        <v>870</v>
      </c>
      <c r="F762" t="s">
        <v>41</v>
      </c>
      <c r="G762" t="s">
        <v>41</v>
      </c>
      <c r="I762" t="s">
        <v>77</v>
      </c>
    </row>
    <row r="763" spans="1:9">
      <c r="A763">
        <v>252582</v>
      </c>
      <c r="B763">
        <v>1125038</v>
      </c>
      <c r="C763">
        <v>1</v>
      </c>
      <c r="D763" t="s">
        <v>1695</v>
      </c>
      <c r="E763">
        <v>950</v>
      </c>
      <c r="F763" t="s">
        <v>41</v>
      </c>
      <c r="G763" t="s">
        <v>41</v>
      </c>
      <c r="I763" t="s">
        <v>77</v>
      </c>
    </row>
    <row r="764" spans="1:9">
      <c r="A764">
        <v>252583</v>
      </c>
      <c r="B764">
        <v>1125038</v>
      </c>
      <c r="C764">
        <v>2</v>
      </c>
      <c r="D764" t="s">
        <v>1695</v>
      </c>
      <c r="E764">
        <v>950</v>
      </c>
      <c r="F764" t="s">
        <v>41</v>
      </c>
      <c r="G764" t="s">
        <v>41</v>
      </c>
      <c r="I764" t="s">
        <v>77</v>
      </c>
    </row>
    <row r="765" spans="1:9">
      <c r="A765">
        <v>252584</v>
      </c>
      <c r="B765">
        <v>1125038</v>
      </c>
      <c r="C765">
        <v>3</v>
      </c>
      <c r="D765" t="s">
        <v>1695</v>
      </c>
      <c r="E765">
        <v>950</v>
      </c>
      <c r="F765" t="s">
        <v>41</v>
      </c>
      <c r="G765" t="s">
        <v>41</v>
      </c>
      <c r="I765" t="s">
        <v>77</v>
      </c>
    </row>
    <row r="766" spans="1:9">
      <c r="A766">
        <v>253004</v>
      </c>
      <c r="B766">
        <v>1125238</v>
      </c>
      <c r="C766">
        <v>1</v>
      </c>
      <c r="D766" t="s">
        <v>1695</v>
      </c>
      <c r="E766">
        <v>668</v>
      </c>
      <c r="F766" t="s">
        <v>41</v>
      </c>
      <c r="G766" t="s">
        <v>41</v>
      </c>
      <c r="I766" t="s">
        <v>77</v>
      </c>
    </row>
    <row r="767" spans="1:9">
      <c r="A767">
        <v>253005</v>
      </c>
      <c r="B767">
        <v>1125238</v>
      </c>
      <c r="C767">
        <v>2</v>
      </c>
      <c r="D767" t="s">
        <v>1695</v>
      </c>
      <c r="E767">
        <v>668</v>
      </c>
      <c r="F767" t="s">
        <v>41</v>
      </c>
      <c r="G767" t="s">
        <v>41</v>
      </c>
      <c r="I767" t="s">
        <v>77</v>
      </c>
    </row>
    <row r="768" spans="1:9">
      <c r="A768">
        <v>253481</v>
      </c>
      <c r="B768">
        <v>1125471</v>
      </c>
      <c r="C768">
        <v>1</v>
      </c>
      <c r="D768" t="s">
        <v>1695</v>
      </c>
      <c r="E768">
        <v>1183</v>
      </c>
      <c r="F768" t="s">
        <v>41</v>
      </c>
      <c r="G768" t="s">
        <v>41</v>
      </c>
      <c r="I768" t="s">
        <v>77</v>
      </c>
    </row>
    <row r="769" spans="1:9">
      <c r="A769">
        <v>253482</v>
      </c>
      <c r="B769">
        <v>1125471</v>
      </c>
      <c r="C769">
        <v>2</v>
      </c>
      <c r="D769" t="s">
        <v>1696</v>
      </c>
      <c r="E769">
        <v>710</v>
      </c>
      <c r="F769" t="s">
        <v>41</v>
      </c>
      <c r="G769" t="s">
        <v>41</v>
      </c>
      <c r="I769" t="s">
        <v>77</v>
      </c>
    </row>
    <row r="770" spans="1:9">
      <c r="A770">
        <v>253485</v>
      </c>
      <c r="B770">
        <v>1125474</v>
      </c>
      <c r="C770">
        <v>1</v>
      </c>
      <c r="D770" t="s">
        <v>1695</v>
      </c>
      <c r="E770">
        <v>544</v>
      </c>
      <c r="F770" t="s">
        <v>49</v>
      </c>
      <c r="G770" t="s">
        <v>49</v>
      </c>
      <c r="H770">
        <v>24924</v>
      </c>
      <c r="I770" t="s">
        <v>77</v>
      </c>
    </row>
    <row r="771" spans="1:9">
      <c r="A771">
        <v>253486</v>
      </c>
      <c r="B771">
        <v>1125474</v>
      </c>
      <c r="C771">
        <v>2</v>
      </c>
      <c r="D771" t="s">
        <v>1697</v>
      </c>
      <c r="E771">
        <v>272</v>
      </c>
      <c r="F771" t="s">
        <v>49</v>
      </c>
      <c r="G771" t="s">
        <v>49</v>
      </c>
      <c r="H771">
        <v>24924</v>
      </c>
      <c r="I771" t="s">
        <v>77</v>
      </c>
    </row>
    <row r="772" spans="1:9">
      <c r="A772">
        <v>254966</v>
      </c>
      <c r="B772">
        <v>1126190</v>
      </c>
      <c r="C772">
        <v>1</v>
      </c>
      <c r="D772" t="s">
        <v>1695</v>
      </c>
      <c r="E772">
        <v>1379</v>
      </c>
      <c r="F772" t="s">
        <v>41</v>
      </c>
      <c r="G772" t="s">
        <v>41</v>
      </c>
      <c r="I772" t="s">
        <v>77</v>
      </c>
    </row>
    <row r="773" spans="1:9">
      <c r="A773">
        <v>255151</v>
      </c>
      <c r="B773">
        <v>1126291</v>
      </c>
      <c r="C773">
        <v>1</v>
      </c>
      <c r="D773" t="s">
        <v>1695</v>
      </c>
      <c r="E773">
        <v>1379</v>
      </c>
      <c r="F773" t="s">
        <v>41</v>
      </c>
      <c r="G773" t="s">
        <v>37</v>
      </c>
      <c r="H773">
        <v>25359</v>
      </c>
      <c r="I773" t="s">
        <v>77</v>
      </c>
    </row>
    <row r="774" spans="1:9">
      <c r="A774">
        <v>255355</v>
      </c>
      <c r="B774">
        <v>1126400</v>
      </c>
      <c r="C774">
        <v>1</v>
      </c>
      <c r="D774" t="s">
        <v>1695</v>
      </c>
      <c r="E774">
        <v>1049</v>
      </c>
      <c r="F774" t="s">
        <v>41</v>
      </c>
      <c r="G774" t="s">
        <v>41</v>
      </c>
      <c r="I774" t="s">
        <v>77</v>
      </c>
    </row>
    <row r="775" spans="1:9">
      <c r="A775">
        <v>255356</v>
      </c>
      <c r="B775">
        <v>1126400</v>
      </c>
      <c r="C775">
        <v>2</v>
      </c>
      <c r="D775" t="s">
        <v>1695</v>
      </c>
      <c r="E775">
        <v>1049</v>
      </c>
      <c r="F775" t="s">
        <v>41</v>
      </c>
      <c r="G775" t="s">
        <v>41</v>
      </c>
      <c r="I775" t="s">
        <v>77</v>
      </c>
    </row>
    <row r="776" spans="1:9">
      <c r="A776">
        <v>255357</v>
      </c>
      <c r="B776">
        <v>1126400</v>
      </c>
      <c r="C776">
        <v>3</v>
      </c>
      <c r="D776" t="s">
        <v>1695</v>
      </c>
      <c r="E776">
        <v>1049</v>
      </c>
      <c r="F776" t="s">
        <v>41</v>
      </c>
      <c r="G776" t="s">
        <v>41</v>
      </c>
      <c r="I776" t="s">
        <v>77</v>
      </c>
    </row>
    <row r="777" spans="1:9">
      <c r="A777">
        <v>255358</v>
      </c>
      <c r="B777">
        <v>1126400</v>
      </c>
      <c r="C777">
        <v>4</v>
      </c>
      <c r="D777" t="s">
        <v>1695</v>
      </c>
      <c r="E777">
        <v>1049</v>
      </c>
      <c r="F777" t="s">
        <v>41</v>
      </c>
      <c r="G777" t="s">
        <v>41</v>
      </c>
      <c r="I777" t="s">
        <v>77</v>
      </c>
    </row>
    <row r="778" spans="1:9">
      <c r="A778">
        <v>255359</v>
      </c>
      <c r="B778">
        <v>1126400</v>
      </c>
      <c r="C778">
        <v>5</v>
      </c>
      <c r="D778" t="s">
        <v>1695</v>
      </c>
      <c r="E778">
        <v>1049</v>
      </c>
      <c r="F778" t="s">
        <v>41</v>
      </c>
      <c r="G778" t="s">
        <v>41</v>
      </c>
      <c r="I778" t="s">
        <v>77</v>
      </c>
    </row>
    <row r="779" spans="1:9">
      <c r="A779">
        <v>255373</v>
      </c>
      <c r="B779">
        <v>1126405</v>
      </c>
      <c r="C779">
        <v>1</v>
      </c>
      <c r="D779" t="s">
        <v>1695</v>
      </c>
      <c r="E779">
        <v>1049</v>
      </c>
      <c r="F779" t="s">
        <v>47</v>
      </c>
      <c r="G779" t="s">
        <v>37</v>
      </c>
      <c r="H779">
        <v>25432</v>
      </c>
      <c r="I779" t="s">
        <v>77</v>
      </c>
    </row>
    <row r="780" spans="1:9">
      <c r="A780">
        <v>255374</v>
      </c>
      <c r="B780">
        <v>1126405</v>
      </c>
      <c r="C780">
        <v>2</v>
      </c>
      <c r="D780" t="s">
        <v>1695</v>
      </c>
      <c r="E780">
        <v>1049</v>
      </c>
      <c r="F780" t="s">
        <v>47</v>
      </c>
      <c r="G780" t="s">
        <v>37</v>
      </c>
      <c r="H780">
        <v>25432</v>
      </c>
      <c r="I780" t="s">
        <v>77</v>
      </c>
    </row>
    <row r="781" spans="1:9">
      <c r="A781">
        <v>255375</v>
      </c>
      <c r="B781">
        <v>1126405</v>
      </c>
      <c r="C781">
        <v>3</v>
      </c>
      <c r="D781" t="s">
        <v>1695</v>
      </c>
      <c r="E781">
        <v>1049</v>
      </c>
      <c r="F781" t="s">
        <v>47</v>
      </c>
      <c r="G781" t="s">
        <v>37</v>
      </c>
      <c r="H781">
        <v>25432</v>
      </c>
      <c r="I781" t="s">
        <v>77</v>
      </c>
    </row>
    <row r="782" spans="1:9">
      <c r="A782">
        <v>255376</v>
      </c>
      <c r="B782">
        <v>1126405</v>
      </c>
      <c r="C782">
        <v>4</v>
      </c>
      <c r="D782" t="s">
        <v>1695</v>
      </c>
      <c r="E782">
        <v>1049</v>
      </c>
      <c r="F782" t="s">
        <v>47</v>
      </c>
      <c r="G782" t="s">
        <v>37</v>
      </c>
      <c r="H782">
        <v>25432</v>
      </c>
      <c r="I782" t="s">
        <v>77</v>
      </c>
    </row>
    <row r="783" spans="1:9">
      <c r="A783">
        <v>255377</v>
      </c>
      <c r="B783">
        <v>1126405</v>
      </c>
      <c r="C783">
        <v>5</v>
      </c>
      <c r="D783" t="s">
        <v>1695</v>
      </c>
      <c r="E783">
        <v>1049</v>
      </c>
      <c r="F783" t="s">
        <v>47</v>
      </c>
      <c r="G783" t="s">
        <v>37</v>
      </c>
      <c r="H783">
        <v>25432</v>
      </c>
      <c r="I783" t="s">
        <v>77</v>
      </c>
    </row>
    <row r="784" spans="1:9">
      <c r="A784">
        <v>257063</v>
      </c>
      <c r="B784">
        <v>1127244</v>
      </c>
      <c r="C784">
        <v>1</v>
      </c>
      <c r="D784" t="s">
        <v>1695</v>
      </c>
      <c r="E784">
        <v>4406</v>
      </c>
      <c r="F784" t="s">
        <v>41</v>
      </c>
      <c r="G784" t="s">
        <v>37</v>
      </c>
      <c r="H784">
        <v>26097</v>
      </c>
      <c r="I784" t="s">
        <v>77</v>
      </c>
    </row>
    <row r="785" spans="1:9">
      <c r="A785">
        <v>258157</v>
      </c>
      <c r="B785">
        <v>1127773</v>
      </c>
      <c r="C785">
        <v>1</v>
      </c>
      <c r="D785" t="s">
        <v>1695</v>
      </c>
      <c r="E785">
        <v>1579</v>
      </c>
      <c r="F785" t="s">
        <v>41</v>
      </c>
      <c r="G785" t="s">
        <v>41</v>
      </c>
      <c r="I785" t="s">
        <v>77</v>
      </c>
    </row>
    <row r="786" spans="1:9">
      <c r="A786">
        <v>259398</v>
      </c>
      <c r="B786">
        <v>1128434</v>
      </c>
      <c r="C786">
        <v>1</v>
      </c>
      <c r="D786" t="s">
        <v>1695</v>
      </c>
      <c r="E786">
        <v>3142</v>
      </c>
      <c r="F786" t="s">
        <v>41</v>
      </c>
      <c r="G786" t="s">
        <v>41</v>
      </c>
      <c r="I786" t="s">
        <v>77</v>
      </c>
    </row>
    <row r="787" spans="1:9">
      <c r="A787">
        <v>259399</v>
      </c>
      <c r="B787">
        <v>1128435</v>
      </c>
      <c r="C787">
        <v>1</v>
      </c>
      <c r="D787" t="s">
        <v>1695</v>
      </c>
      <c r="E787">
        <v>654</v>
      </c>
      <c r="F787" t="s">
        <v>41</v>
      </c>
      <c r="G787" t="s">
        <v>37</v>
      </c>
      <c r="H787">
        <v>25488</v>
      </c>
      <c r="I787" t="s">
        <v>77</v>
      </c>
    </row>
    <row r="788" spans="1:9">
      <c r="A788">
        <v>260093</v>
      </c>
      <c r="B788">
        <v>1128767</v>
      </c>
      <c r="C788">
        <v>1</v>
      </c>
      <c r="D788" t="s">
        <v>1695</v>
      </c>
      <c r="E788">
        <v>3302</v>
      </c>
      <c r="F788" t="s">
        <v>41</v>
      </c>
      <c r="G788" t="s">
        <v>41</v>
      </c>
      <c r="I788" t="s">
        <v>77</v>
      </c>
    </row>
    <row r="789" spans="1:9">
      <c r="A789">
        <v>260648</v>
      </c>
      <c r="B789">
        <v>1129047</v>
      </c>
      <c r="C789">
        <v>1</v>
      </c>
      <c r="D789" t="s">
        <v>1695</v>
      </c>
      <c r="E789">
        <v>3247</v>
      </c>
      <c r="F789" t="s">
        <v>43</v>
      </c>
      <c r="G789" t="s">
        <v>41</v>
      </c>
      <c r="I789" t="s">
        <v>77</v>
      </c>
    </row>
    <row r="790" spans="1:9">
      <c r="A790">
        <v>260649</v>
      </c>
      <c r="B790">
        <v>1129047</v>
      </c>
      <c r="C790">
        <v>2</v>
      </c>
      <c r="D790" t="s">
        <v>1695</v>
      </c>
      <c r="E790">
        <v>3247</v>
      </c>
      <c r="F790" t="s">
        <v>41</v>
      </c>
      <c r="G790" t="s">
        <v>41</v>
      </c>
      <c r="I790" t="s">
        <v>77</v>
      </c>
    </row>
    <row r="791" spans="1:9">
      <c r="A791">
        <v>261027</v>
      </c>
      <c r="B791">
        <v>1129237</v>
      </c>
      <c r="C791">
        <v>1</v>
      </c>
      <c r="D791" t="s">
        <v>1695</v>
      </c>
      <c r="E791">
        <v>2784</v>
      </c>
      <c r="F791" t="s">
        <v>41</v>
      </c>
      <c r="G791" t="s">
        <v>37</v>
      </c>
      <c r="H791">
        <v>30174</v>
      </c>
      <c r="I791" t="s">
        <v>77</v>
      </c>
    </row>
    <row r="792" spans="1:9">
      <c r="A792">
        <v>261028</v>
      </c>
      <c r="B792">
        <v>1129237</v>
      </c>
      <c r="C792">
        <v>2</v>
      </c>
      <c r="D792" t="s">
        <v>1695</v>
      </c>
      <c r="E792">
        <v>2784</v>
      </c>
      <c r="F792" t="s">
        <v>41</v>
      </c>
      <c r="G792" t="s">
        <v>37</v>
      </c>
      <c r="H792">
        <v>30174</v>
      </c>
      <c r="I792" t="s">
        <v>77</v>
      </c>
    </row>
    <row r="793" spans="1:9">
      <c r="A793">
        <v>261262</v>
      </c>
      <c r="B793">
        <v>1129353</v>
      </c>
      <c r="C793">
        <v>1</v>
      </c>
      <c r="D793" t="s">
        <v>1695</v>
      </c>
      <c r="E793">
        <v>2301</v>
      </c>
      <c r="F793" t="s">
        <v>1179</v>
      </c>
      <c r="G793" t="s">
        <v>41</v>
      </c>
      <c r="I793" t="s">
        <v>77</v>
      </c>
    </row>
    <row r="794" spans="1:9">
      <c r="A794">
        <v>261263</v>
      </c>
      <c r="B794">
        <v>1129353</v>
      </c>
      <c r="C794">
        <v>2</v>
      </c>
      <c r="D794" t="s">
        <v>1695</v>
      </c>
      <c r="E794">
        <v>2301</v>
      </c>
      <c r="F794" t="s">
        <v>41</v>
      </c>
      <c r="G794" t="s">
        <v>41</v>
      </c>
      <c r="I794" t="s">
        <v>77</v>
      </c>
    </row>
    <row r="795" spans="1:9">
      <c r="A795">
        <v>261264</v>
      </c>
      <c r="B795">
        <v>1129353</v>
      </c>
      <c r="C795">
        <v>3</v>
      </c>
      <c r="D795" t="s">
        <v>1695</v>
      </c>
      <c r="E795">
        <v>2301</v>
      </c>
      <c r="F795" t="s">
        <v>41</v>
      </c>
      <c r="G795" t="s">
        <v>41</v>
      </c>
      <c r="I795" t="s">
        <v>77</v>
      </c>
    </row>
    <row r="796" spans="1:9">
      <c r="A796">
        <v>262703</v>
      </c>
      <c r="B796">
        <v>1130073</v>
      </c>
      <c r="C796">
        <v>1</v>
      </c>
      <c r="D796" t="s">
        <v>1695</v>
      </c>
      <c r="E796">
        <v>3026</v>
      </c>
      <c r="F796" t="s">
        <v>47</v>
      </c>
      <c r="G796" t="s">
        <v>41</v>
      </c>
      <c r="I796" t="s">
        <v>77</v>
      </c>
    </row>
    <row r="797" spans="1:9">
      <c r="A797">
        <v>262704</v>
      </c>
      <c r="B797">
        <v>1130073</v>
      </c>
      <c r="C797">
        <v>2</v>
      </c>
      <c r="D797" t="s">
        <v>1695</v>
      </c>
      <c r="E797">
        <v>3026</v>
      </c>
      <c r="F797" t="s">
        <v>47</v>
      </c>
      <c r="G797" t="s">
        <v>41</v>
      </c>
      <c r="I797" t="s">
        <v>77</v>
      </c>
    </row>
    <row r="798" spans="1:9">
      <c r="A798">
        <v>263608</v>
      </c>
      <c r="B798">
        <v>1130496</v>
      </c>
      <c r="C798">
        <v>1</v>
      </c>
      <c r="D798" t="s">
        <v>1695</v>
      </c>
      <c r="E798">
        <v>2784</v>
      </c>
      <c r="F798" t="s">
        <v>41</v>
      </c>
      <c r="G798" t="s">
        <v>41</v>
      </c>
      <c r="I798" t="s">
        <v>77</v>
      </c>
    </row>
    <row r="799" spans="1:9">
      <c r="A799">
        <v>263609</v>
      </c>
      <c r="B799">
        <v>1130496</v>
      </c>
      <c r="C799">
        <v>2</v>
      </c>
      <c r="D799" t="s">
        <v>1695</v>
      </c>
      <c r="E799">
        <v>2784</v>
      </c>
      <c r="F799" t="s">
        <v>41</v>
      </c>
      <c r="G799" t="s">
        <v>41</v>
      </c>
      <c r="I799" t="s">
        <v>77</v>
      </c>
    </row>
    <row r="800" spans="1:9">
      <c r="A800">
        <v>263972</v>
      </c>
      <c r="B800">
        <v>1130695</v>
      </c>
      <c r="C800">
        <v>1</v>
      </c>
      <c r="D800" t="s">
        <v>1695</v>
      </c>
      <c r="E800">
        <v>1390</v>
      </c>
      <c r="F800" t="s">
        <v>47</v>
      </c>
      <c r="G800" t="s">
        <v>37</v>
      </c>
      <c r="H800">
        <v>26344</v>
      </c>
      <c r="I800" t="s">
        <v>77</v>
      </c>
    </row>
    <row r="801" spans="1:9">
      <c r="A801">
        <v>264848</v>
      </c>
      <c r="B801">
        <v>1131105</v>
      </c>
      <c r="C801">
        <v>1</v>
      </c>
      <c r="D801" t="s">
        <v>1695</v>
      </c>
      <c r="E801">
        <v>288</v>
      </c>
      <c r="F801" t="s">
        <v>41</v>
      </c>
      <c r="G801" t="s">
        <v>41</v>
      </c>
      <c r="I801" t="s">
        <v>77</v>
      </c>
    </row>
    <row r="802" spans="1:9">
      <c r="A802">
        <v>264872</v>
      </c>
      <c r="B802">
        <v>1131122</v>
      </c>
      <c r="C802">
        <v>1</v>
      </c>
      <c r="D802" t="s">
        <v>1695</v>
      </c>
      <c r="E802">
        <v>544</v>
      </c>
      <c r="F802" t="s">
        <v>41</v>
      </c>
      <c r="G802" t="s">
        <v>41</v>
      </c>
      <c r="I802" t="s">
        <v>77</v>
      </c>
    </row>
    <row r="803" spans="1:9">
      <c r="A803">
        <v>264873</v>
      </c>
      <c r="B803">
        <v>1131122</v>
      </c>
      <c r="C803">
        <v>2</v>
      </c>
      <c r="D803" t="s">
        <v>1697</v>
      </c>
      <c r="E803">
        <v>272</v>
      </c>
      <c r="F803" t="s">
        <v>41</v>
      </c>
      <c r="G803" t="s">
        <v>41</v>
      </c>
      <c r="I803" t="s">
        <v>77</v>
      </c>
    </row>
    <row r="804" spans="1:9">
      <c r="A804">
        <v>264950</v>
      </c>
      <c r="B804">
        <v>1131156</v>
      </c>
      <c r="C804">
        <v>1</v>
      </c>
      <c r="D804" t="s">
        <v>1695</v>
      </c>
      <c r="E804">
        <v>872</v>
      </c>
      <c r="F804" t="s">
        <v>49</v>
      </c>
      <c r="G804" t="s">
        <v>49</v>
      </c>
      <c r="H804">
        <v>25975</v>
      </c>
      <c r="I804" t="s">
        <v>77</v>
      </c>
    </row>
    <row r="805" spans="1:9">
      <c r="A805">
        <v>266558</v>
      </c>
      <c r="B805">
        <v>1131980</v>
      </c>
      <c r="C805">
        <v>1</v>
      </c>
      <c r="D805" t="s">
        <v>1695</v>
      </c>
      <c r="E805">
        <v>544</v>
      </c>
      <c r="F805" t="s">
        <v>41</v>
      </c>
      <c r="G805" t="s">
        <v>41</v>
      </c>
      <c r="I805" t="s">
        <v>77</v>
      </c>
    </row>
    <row r="806" spans="1:9">
      <c r="A806">
        <v>268415</v>
      </c>
      <c r="B806">
        <v>1132914</v>
      </c>
      <c r="C806">
        <v>1</v>
      </c>
      <c r="D806" t="s">
        <v>1695</v>
      </c>
      <c r="E806">
        <v>3219</v>
      </c>
      <c r="F806" t="s">
        <v>41</v>
      </c>
      <c r="G806" t="s">
        <v>41</v>
      </c>
      <c r="I806" t="s">
        <v>77</v>
      </c>
    </row>
    <row r="807" spans="1:9">
      <c r="A807">
        <v>269421</v>
      </c>
      <c r="B807">
        <v>1133457</v>
      </c>
      <c r="C807">
        <v>1</v>
      </c>
      <c r="D807" t="s">
        <v>1696</v>
      </c>
      <c r="E807">
        <v>587</v>
      </c>
      <c r="F807" t="s">
        <v>41</v>
      </c>
      <c r="G807" t="s">
        <v>37</v>
      </c>
      <c r="H807">
        <v>26370</v>
      </c>
      <c r="I807" t="s">
        <v>77</v>
      </c>
    </row>
    <row r="808" spans="1:9">
      <c r="A808">
        <v>270529</v>
      </c>
      <c r="B808">
        <v>1133994</v>
      </c>
      <c r="C808">
        <v>1</v>
      </c>
      <c r="D808" t="s">
        <v>1695</v>
      </c>
      <c r="E808">
        <v>1008</v>
      </c>
      <c r="F808" t="s">
        <v>41</v>
      </c>
      <c r="G808" t="s">
        <v>41</v>
      </c>
      <c r="I808" t="s">
        <v>77</v>
      </c>
    </row>
    <row r="809" spans="1:9">
      <c r="A809">
        <v>270530</v>
      </c>
      <c r="B809">
        <v>1133994</v>
      </c>
      <c r="C809">
        <v>2</v>
      </c>
      <c r="D809" t="s">
        <v>1695</v>
      </c>
      <c r="E809">
        <v>1008</v>
      </c>
      <c r="F809" t="s">
        <v>41</v>
      </c>
      <c r="G809" t="s">
        <v>41</v>
      </c>
      <c r="I809" t="s">
        <v>77</v>
      </c>
    </row>
    <row r="810" spans="1:9">
      <c r="A810">
        <v>270767</v>
      </c>
      <c r="B810">
        <v>1134104</v>
      </c>
      <c r="C810">
        <v>1</v>
      </c>
      <c r="D810" t="s">
        <v>1695</v>
      </c>
      <c r="E810">
        <v>3520</v>
      </c>
      <c r="F810" t="s">
        <v>41</v>
      </c>
      <c r="G810" t="s">
        <v>41</v>
      </c>
      <c r="I810" t="s">
        <v>77</v>
      </c>
    </row>
    <row r="811" spans="1:9">
      <c r="A811">
        <v>271007</v>
      </c>
      <c r="B811">
        <v>1134219</v>
      </c>
      <c r="C811">
        <v>1</v>
      </c>
      <c r="D811" t="s">
        <v>1695</v>
      </c>
      <c r="E811">
        <v>1390</v>
      </c>
      <c r="F811" t="s">
        <v>41</v>
      </c>
      <c r="G811" t="s">
        <v>41</v>
      </c>
      <c r="I811" t="s">
        <v>77</v>
      </c>
    </row>
    <row r="812" spans="1:9">
      <c r="A812">
        <v>271186</v>
      </c>
      <c r="B812">
        <v>1134307</v>
      </c>
      <c r="C812">
        <v>1</v>
      </c>
      <c r="D812" t="s">
        <v>1695</v>
      </c>
      <c r="E812">
        <v>1049</v>
      </c>
      <c r="F812" t="s">
        <v>41</v>
      </c>
      <c r="G812" t="s">
        <v>41</v>
      </c>
      <c r="I812" t="s">
        <v>77</v>
      </c>
    </row>
    <row r="813" spans="1:9">
      <c r="A813">
        <v>271187</v>
      </c>
      <c r="B813">
        <v>1134307</v>
      </c>
      <c r="C813">
        <v>2</v>
      </c>
      <c r="D813" t="s">
        <v>1695</v>
      </c>
      <c r="E813">
        <v>1049</v>
      </c>
      <c r="F813" t="s">
        <v>41</v>
      </c>
      <c r="G813" t="s">
        <v>41</v>
      </c>
      <c r="I813" t="s">
        <v>77</v>
      </c>
    </row>
    <row r="814" spans="1:9">
      <c r="A814">
        <v>271188</v>
      </c>
      <c r="B814">
        <v>1134307</v>
      </c>
      <c r="C814">
        <v>3</v>
      </c>
      <c r="D814" t="s">
        <v>1695</v>
      </c>
      <c r="E814">
        <v>1049</v>
      </c>
      <c r="F814" t="s">
        <v>41</v>
      </c>
      <c r="G814" t="s">
        <v>41</v>
      </c>
      <c r="I814" t="s">
        <v>77</v>
      </c>
    </row>
    <row r="815" spans="1:9">
      <c r="A815">
        <v>271189</v>
      </c>
      <c r="B815">
        <v>1134307</v>
      </c>
      <c r="C815">
        <v>4</v>
      </c>
      <c r="D815" t="s">
        <v>1695</v>
      </c>
      <c r="E815">
        <v>1049</v>
      </c>
      <c r="F815" t="s">
        <v>41</v>
      </c>
      <c r="G815" t="s">
        <v>41</v>
      </c>
      <c r="I815" t="s">
        <v>77</v>
      </c>
    </row>
    <row r="816" spans="1:9">
      <c r="A816">
        <v>276077</v>
      </c>
      <c r="B816">
        <v>1136744</v>
      </c>
      <c r="C816">
        <v>1</v>
      </c>
      <c r="D816" t="s">
        <v>1695</v>
      </c>
      <c r="E816">
        <v>1314</v>
      </c>
      <c r="F816" t="s">
        <v>41</v>
      </c>
      <c r="G816" t="s">
        <v>41</v>
      </c>
      <c r="I816" t="s">
        <v>77</v>
      </c>
    </row>
    <row r="817" spans="1:9">
      <c r="A817">
        <v>276162</v>
      </c>
      <c r="B817">
        <v>1136796</v>
      </c>
      <c r="C817">
        <v>1</v>
      </c>
      <c r="D817" t="s">
        <v>1695</v>
      </c>
      <c r="E817">
        <v>941</v>
      </c>
      <c r="F817" t="s">
        <v>41</v>
      </c>
      <c r="G817" t="s">
        <v>41</v>
      </c>
      <c r="I817" t="s">
        <v>77</v>
      </c>
    </row>
    <row r="818" spans="1:9">
      <c r="A818">
        <v>276163</v>
      </c>
      <c r="B818">
        <v>1136796</v>
      </c>
      <c r="C818">
        <v>2</v>
      </c>
      <c r="D818" t="s">
        <v>1695</v>
      </c>
      <c r="E818">
        <v>941</v>
      </c>
      <c r="F818" t="s">
        <v>41</v>
      </c>
      <c r="G818" t="s">
        <v>41</v>
      </c>
      <c r="I818" t="s">
        <v>77</v>
      </c>
    </row>
    <row r="819" spans="1:9">
      <c r="A819">
        <v>277365</v>
      </c>
      <c r="B819">
        <v>1137400</v>
      </c>
      <c r="C819">
        <v>1</v>
      </c>
      <c r="D819" t="s">
        <v>1695</v>
      </c>
      <c r="E819">
        <v>710</v>
      </c>
      <c r="F819" t="s">
        <v>41</v>
      </c>
      <c r="G819" t="s">
        <v>41</v>
      </c>
      <c r="I819" t="s">
        <v>77</v>
      </c>
    </row>
    <row r="820" spans="1:9">
      <c r="A820">
        <v>277366</v>
      </c>
      <c r="B820">
        <v>1137400</v>
      </c>
      <c r="C820">
        <v>2</v>
      </c>
      <c r="D820" t="s">
        <v>1695</v>
      </c>
      <c r="E820">
        <v>710</v>
      </c>
      <c r="F820" t="s">
        <v>41</v>
      </c>
      <c r="G820" t="s">
        <v>41</v>
      </c>
      <c r="I820" t="s">
        <v>77</v>
      </c>
    </row>
    <row r="821" spans="1:9">
      <c r="A821">
        <v>279471</v>
      </c>
      <c r="B821">
        <v>1138455</v>
      </c>
      <c r="C821">
        <v>1</v>
      </c>
      <c r="D821" t="s">
        <v>1695</v>
      </c>
      <c r="E821">
        <v>2520</v>
      </c>
      <c r="F821" t="s">
        <v>49</v>
      </c>
      <c r="G821" t="s">
        <v>47</v>
      </c>
      <c r="I821" t="s">
        <v>77</v>
      </c>
    </row>
    <row r="822" spans="1:9">
      <c r="A822">
        <v>279472</v>
      </c>
      <c r="B822">
        <v>1138455</v>
      </c>
      <c r="C822">
        <v>2</v>
      </c>
      <c r="D822" t="s">
        <v>1695</v>
      </c>
      <c r="E822">
        <v>2520</v>
      </c>
      <c r="F822" t="s">
        <v>49</v>
      </c>
      <c r="G822" t="s">
        <v>47</v>
      </c>
      <c r="I822" t="s">
        <v>77</v>
      </c>
    </row>
    <row r="823" spans="1:9">
      <c r="A823">
        <v>279473</v>
      </c>
      <c r="B823">
        <v>1138455</v>
      </c>
      <c r="C823">
        <v>3</v>
      </c>
      <c r="D823" t="s">
        <v>1695</v>
      </c>
      <c r="E823">
        <v>2520</v>
      </c>
      <c r="F823" t="s">
        <v>49</v>
      </c>
      <c r="G823" t="s">
        <v>49</v>
      </c>
      <c r="H823">
        <v>27471</v>
      </c>
      <c r="I823" t="s">
        <v>77</v>
      </c>
    </row>
    <row r="824" spans="1:9">
      <c r="A824">
        <v>279589</v>
      </c>
      <c r="B824">
        <v>1138512</v>
      </c>
      <c r="C824">
        <v>1</v>
      </c>
      <c r="D824" t="s">
        <v>1695</v>
      </c>
      <c r="E824">
        <v>1183</v>
      </c>
      <c r="F824" t="s">
        <v>41</v>
      </c>
      <c r="G824" t="s">
        <v>41</v>
      </c>
      <c r="I824" t="s">
        <v>77</v>
      </c>
    </row>
    <row r="825" spans="1:9">
      <c r="A825">
        <v>279590</v>
      </c>
      <c r="B825">
        <v>1138512</v>
      </c>
      <c r="C825">
        <v>2</v>
      </c>
      <c r="D825" t="s">
        <v>1696</v>
      </c>
      <c r="E825">
        <v>710</v>
      </c>
      <c r="F825" t="s">
        <v>41</v>
      </c>
      <c r="G825" t="s">
        <v>41</v>
      </c>
      <c r="I825" t="s">
        <v>77</v>
      </c>
    </row>
    <row r="826" spans="1:9">
      <c r="A826">
        <v>279591</v>
      </c>
      <c r="B826">
        <v>1138512</v>
      </c>
      <c r="C826">
        <v>3</v>
      </c>
      <c r="D826" t="s">
        <v>1696</v>
      </c>
      <c r="E826">
        <v>710</v>
      </c>
      <c r="F826" t="s">
        <v>41</v>
      </c>
      <c r="G826" t="s">
        <v>41</v>
      </c>
      <c r="I826" t="s">
        <v>77</v>
      </c>
    </row>
    <row r="827" spans="1:9">
      <c r="A827">
        <v>280108</v>
      </c>
      <c r="B827">
        <v>1138785</v>
      </c>
      <c r="C827">
        <v>1</v>
      </c>
      <c r="D827" t="s">
        <v>1695</v>
      </c>
      <c r="E827">
        <v>3026</v>
      </c>
      <c r="F827" t="s">
        <v>1698</v>
      </c>
      <c r="G827" t="s">
        <v>41</v>
      </c>
      <c r="I827" t="s">
        <v>77</v>
      </c>
    </row>
    <row r="828" spans="1:9">
      <c r="A828">
        <v>280109</v>
      </c>
      <c r="B828">
        <v>1138785</v>
      </c>
      <c r="C828">
        <v>2</v>
      </c>
      <c r="D828" t="s">
        <v>1695</v>
      </c>
      <c r="E828">
        <v>3026</v>
      </c>
      <c r="F828" t="s">
        <v>41</v>
      </c>
      <c r="G828" t="s">
        <v>41</v>
      </c>
      <c r="I828" t="s">
        <v>77</v>
      </c>
    </row>
    <row r="829" spans="1:9">
      <c r="A829">
        <v>281190</v>
      </c>
      <c r="B829">
        <v>1139299</v>
      </c>
      <c r="C829">
        <v>1</v>
      </c>
      <c r="D829" t="s">
        <v>1695</v>
      </c>
      <c r="E829">
        <v>3026</v>
      </c>
      <c r="F829" t="s">
        <v>41</v>
      </c>
      <c r="G829" t="s">
        <v>37</v>
      </c>
      <c r="H829">
        <v>30781</v>
      </c>
      <c r="I829" t="s">
        <v>77</v>
      </c>
    </row>
    <row r="830" spans="1:9">
      <c r="A830">
        <v>281191</v>
      </c>
      <c r="B830">
        <v>1139299</v>
      </c>
      <c r="C830">
        <v>2</v>
      </c>
      <c r="D830" t="s">
        <v>1695</v>
      </c>
      <c r="E830">
        <v>3026</v>
      </c>
      <c r="F830" t="s">
        <v>41</v>
      </c>
      <c r="G830" t="s">
        <v>37</v>
      </c>
      <c r="H830">
        <v>30781</v>
      </c>
      <c r="I830" t="s">
        <v>77</v>
      </c>
    </row>
    <row r="831" spans="1:9">
      <c r="A831">
        <v>281192</v>
      </c>
      <c r="B831">
        <v>1139299</v>
      </c>
      <c r="C831">
        <v>3</v>
      </c>
      <c r="D831" t="s">
        <v>1695</v>
      </c>
      <c r="E831">
        <v>3026</v>
      </c>
      <c r="F831" t="s">
        <v>41</v>
      </c>
      <c r="G831" t="s">
        <v>37</v>
      </c>
      <c r="H831">
        <v>30781</v>
      </c>
      <c r="I831" t="s">
        <v>77</v>
      </c>
    </row>
    <row r="832" spans="1:9">
      <c r="A832">
        <v>281193</v>
      </c>
      <c r="B832">
        <v>1139299</v>
      </c>
      <c r="C832">
        <v>4</v>
      </c>
      <c r="D832" t="s">
        <v>1695</v>
      </c>
      <c r="E832">
        <v>3026</v>
      </c>
      <c r="F832" t="s">
        <v>41</v>
      </c>
      <c r="G832" t="s">
        <v>37</v>
      </c>
      <c r="H832">
        <v>30781</v>
      </c>
      <c r="I832" t="s">
        <v>77</v>
      </c>
    </row>
    <row r="833" spans="1:9">
      <c r="A833">
        <v>281686</v>
      </c>
      <c r="B833">
        <v>1139539</v>
      </c>
      <c r="C833">
        <v>1</v>
      </c>
      <c r="D833" t="s">
        <v>1695</v>
      </c>
      <c r="E833">
        <v>1008</v>
      </c>
      <c r="F833" t="s">
        <v>41</v>
      </c>
      <c r="G833" t="s">
        <v>41</v>
      </c>
      <c r="I833" t="s">
        <v>77</v>
      </c>
    </row>
    <row r="834" spans="1:9">
      <c r="A834">
        <v>281687</v>
      </c>
      <c r="B834">
        <v>1139539</v>
      </c>
      <c r="C834">
        <v>2</v>
      </c>
      <c r="D834" t="s">
        <v>1695</v>
      </c>
      <c r="E834">
        <v>1008</v>
      </c>
      <c r="F834" t="s">
        <v>41</v>
      </c>
      <c r="G834" t="s">
        <v>41</v>
      </c>
      <c r="I834" t="s">
        <v>77</v>
      </c>
    </row>
    <row r="835" spans="1:9">
      <c r="A835">
        <v>281688</v>
      </c>
      <c r="B835">
        <v>1139539</v>
      </c>
      <c r="C835">
        <v>3</v>
      </c>
      <c r="D835" t="s">
        <v>1695</v>
      </c>
      <c r="E835">
        <v>1008</v>
      </c>
      <c r="F835" t="s">
        <v>41</v>
      </c>
      <c r="G835" t="s">
        <v>41</v>
      </c>
      <c r="I835" t="s">
        <v>77</v>
      </c>
    </row>
    <row r="836" spans="1:9">
      <c r="A836">
        <v>281689</v>
      </c>
      <c r="B836">
        <v>1139539</v>
      </c>
      <c r="C836">
        <v>4</v>
      </c>
      <c r="D836" t="s">
        <v>1695</v>
      </c>
      <c r="E836">
        <v>1008</v>
      </c>
      <c r="F836" t="s">
        <v>41</v>
      </c>
      <c r="G836" t="s">
        <v>41</v>
      </c>
      <c r="I836" t="s">
        <v>77</v>
      </c>
    </row>
    <row r="837" spans="1:9">
      <c r="A837">
        <v>281690</v>
      </c>
      <c r="B837">
        <v>1139539</v>
      </c>
      <c r="C837">
        <v>5</v>
      </c>
      <c r="D837" t="s">
        <v>1696</v>
      </c>
      <c r="E837">
        <v>605</v>
      </c>
      <c r="F837" t="s">
        <v>41</v>
      </c>
      <c r="G837" t="s">
        <v>41</v>
      </c>
      <c r="I837" t="s">
        <v>77</v>
      </c>
    </row>
    <row r="838" spans="1:9">
      <c r="A838">
        <v>281691</v>
      </c>
      <c r="B838">
        <v>1139539</v>
      </c>
      <c r="C838">
        <v>6</v>
      </c>
      <c r="D838" t="s">
        <v>1695</v>
      </c>
      <c r="E838">
        <v>1008</v>
      </c>
      <c r="F838" t="s">
        <v>41</v>
      </c>
      <c r="G838" t="s">
        <v>41</v>
      </c>
      <c r="I838" t="s">
        <v>77</v>
      </c>
    </row>
    <row r="839" spans="1:9">
      <c r="A839">
        <v>282261</v>
      </c>
      <c r="B839">
        <v>1139821</v>
      </c>
      <c r="C839">
        <v>1</v>
      </c>
      <c r="D839" t="s">
        <v>1695</v>
      </c>
      <c r="E839">
        <v>1243</v>
      </c>
      <c r="F839" t="s">
        <v>41</v>
      </c>
      <c r="G839" t="s">
        <v>41</v>
      </c>
      <c r="I839" t="s">
        <v>77</v>
      </c>
    </row>
    <row r="840" spans="1:9">
      <c r="A840">
        <v>282262</v>
      </c>
      <c r="B840">
        <v>1139821</v>
      </c>
      <c r="C840">
        <v>2</v>
      </c>
      <c r="D840" t="s">
        <v>1695</v>
      </c>
      <c r="E840">
        <v>1243</v>
      </c>
      <c r="F840" t="s">
        <v>41</v>
      </c>
      <c r="G840" t="s">
        <v>41</v>
      </c>
      <c r="I840" t="s">
        <v>77</v>
      </c>
    </row>
    <row r="841" spans="1:9">
      <c r="A841">
        <v>282960</v>
      </c>
      <c r="B841">
        <v>1140161</v>
      </c>
      <c r="C841">
        <v>1</v>
      </c>
      <c r="D841" t="s">
        <v>1695</v>
      </c>
      <c r="E841">
        <v>3026</v>
      </c>
      <c r="F841" t="s">
        <v>47</v>
      </c>
      <c r="G841" t="s">
        <v>47</v>
      </c>
      <c r="I841" t="s">
        <v>77</v>
      </c>
    </row>
    <row r="842" spans="1:9">
      <c r="A842">
        <v>282961</v>
      </c>
      <c r="B842">
        <v>1140161</v>
      </c>
      <c r="C842">
        <v>2</v>
      </c>
      <c r="D842" t="s">
        <v>1695</v>
      </c>
      <c r="E842">
        <v>3026</v>
      </c>
      <c r="F842" t="s">
        <v>47</v>
      </c>
      <c r="G842" t="s">
        <v>47</v>
      </c>
      <c r="I842" t="s">
        <v>77</v>
      </c>
    </row>
    <row r="843" spans="1:9">
      <c r="A843">
        <v>283011</v>
      </c>
      <c r="B843">
        <v>1140190</v>
      </c>
      <c r="C843">
        <v>1</v>
      </c>
      <c r="D843" t="s">
        <v>1695</v>
      </c>
      <c r="E843">
        <v>1390</v>
      </c>
      <c r="F843" t="s">
        <v>41</v>
      </c>
      <c r="G843" t="s">
        <v>41</v>
      </c>
      <c r="I843" t="s">
        <v>77</v>
      </c>
    </row>
    <row r="844" spans="1:9">
      <c r="A844">
        <v>283012</v>
      </c>
      <c r="B844">
        <v>1140190</v>
      </c>
      <c r="C844">
        <v>2</v>
      </c>
      <c r="D844" t="s">
        <v>1696</v>
      </c>
      <c r="E844">
        <v>834</v>
      </c>
      <c r="F844" t="s">
        <v>41</v>
      </c>
      <c r="G844" t="s">
        <v>41</v>
      </c>
      <c r="I844" t="s">
        <v>77</v>
      </c>
    </row>
    <row r="845" spans="1:9">
      <c r="A845">
        <v>283013</v>
      </c>
      <c r="B845">
        <v>1140190</v>
      </c>
      <c r="C845">
        <v>3</v>
      </c>
      <c r="D845" t="s">
        <v>1695</v>
      </c>
      <c r="E845">
        <v>1390</v>
      </c>
      <c r="F845" t="s">
        <v>41</v>
      </c>
      <c r="G845" t="s">
        <v>41</v>
      </c>
      <c r="I845" t="s">
        <v>77</v>
      </c>
    </row>
    <row r="846" spans="1:9">
      <c r="A846">
        <v>283559</v>
      </c>
      <c r="B846">
        <v>1140449</v>
      </c>
      <c r="C846">
        <v>1</v>
      </c>
      <c r="D846" t="s">
        <v>1695</v>
      </c>
      <c r="E846">
        <v>700</v>
      </c>
      <c r="F846" t="s">
        <v>41</v>
      </c>
      <c r="G846" t="s">
        <v>41</v>
      </c>
      <c r="I846" t="s">
        <v>77</v>
      </c>
    </row>
    <row r="847" spans="1:9">
      <c r="A847">
        <v>283719</v>
      </c>
      <c r="B847">
        <v>1140539</v>
      </c>
      <c r="C847">
        <v>1</v>
      </c>
      <c r="D847" t="s">
        <v>1695</v>
      </c>
      <c r="E847">
        <v>4142</v>
      </c>
      <c r="F847" t="s">
        <v>41</v>
      </c>
      <c r="G847" t="s">
        <v>41</v>
      </c>
      <c r="I847" t="s">
        <v>77</v>
      </c>
    </row>
    <row r="848" spans="1:9">
      <c r="A848">
        <v>283720</v>
      </c>
      <c r="B848">
        <v>1140539</v>
      </c>
      <c r="C848">
        <v>2</v>
      </c>
      <c r="D848" t="s">
        <v>1697</v>
      </c>
      <c r="E848">
        <v>2071</v>
      </c>
      <c r="F848" t="s">
        <v>41</v>
      </c>
      <c r="G848" t="s">
        <v>41</v>
      </c>
      <c r="I848" t="s">
        <v>77</v>
      </c>
    </row>
    <row r="849" spans="1:9">
      <c r="A849">
        <v>283721</v>
      </c>
      <c r="B849">
        <v>1140539</v>
      </c>
      <c r="C849">
        <v>3</v>
      </c>
      <c r="D849" t="s">
        <v>1695</v>
      </c>
      <c r="E849">
        <v>4142</v>
      </c>
      <c r="F849" t="s">
        <v>41</v>
      </c>
      <c r="G849" t="s">
        <v>41</v>
      </c>
      <c r="I849" t="s">
        <v>77</v>
      </c>
    </row>
    <row r="850" spans="1:9">
      <c r="A850">
        <v>284751</v>
      </c>
      <c r="B850">
        <v>1141063</v>
      </c>
      <c r="C850">
        <v>1</v>
      </c>
      <c r="D850" t="s">
        <v>1695</v>
      </c>
      <c r="E850">
        <v>3026</v>
      </c>
      <c r="F850" t="s">
        <v>49</v>
      </c>
      <c r="G850" t="s">
        <v>47</v>
      </c>
      <c r="I850" t="s">
        <v>77</v>
      </c>
    </row>
    <row r="851" spans="1:9">
      <c r="A851">
        <v>284752</v>
      </c>
      <c r="B851">
        <v>1141063</v>
      </c>
      <c r="C851">
        <v>2</v>
      </c>
      <c r="D851" t="s">
        <v>1697</v>
      </c>
      <c r="E851">
        <v>1513</v>
      </c>
      <c r="F851" t="s">
        <v>49</v>
      </c>
      <c r="G851" t="s">
        <v>47</v>
      </c>
      <c r="I851" t="s">
        <v>77</v>
      </c>
    </row>
    <row r="852" spans="1:9">
      <c r="A852">
        <v>284767</v>
      </c>
      <c r="B852">
        <v>1141070</v>
      </c>
      <c r="C852">
        <v>1</v>
      </c>
      <c r="D852" t="s">
        <v>1695</v>
      </c>
      <c r="E852">
        <v>544</v>
      </c>
      <c r="F852" t="s">
        <v>49</v>
      </c>
      <c r="G852" t="s">
        <v>49</v>
      </c>
      <c r="H852">
        <v>27813</v>
      </c>
      <c r="I852" t="s">
        <v>77</v>
      </c>
    </row>
    <row r="853" spans="1:9">
      <c r="A853">
        <v>284795</v>
      </c>
      <c r="B853">
        <v>1141084</v>
      </c>
      <c r="C853">
        <v>1</v>
      </c>
      <c r="D853" t="s">
        <v>1695</v>
      </c>
      <c r="E853">
        <v>582</v>
      </c>
      <c r="F853" t="s">
        <v>41</v>
      </c>
      <c r="G853" t="s">
        <v>41</v>
      </c>
      <c r="I853" t="s">
        <v>77</v>
      </c>
    </row>
    <row r="854" spans="1:9">
      <c r="A854">
        <v>285007</v>
      </c>
      <c r="B854">
        <v>1141196</v>
      </c>
      <c r="C854">
        <v>1</v>
      </c>
      <c r="D854" t="s">
        <v>1695</v>
      </c>
      <c r="E854">
        <v>1854</v>
      </c>
      <c r="F854" t="s">
        <v>41</v>
      </c>
      <c r="G854" t="s">
        <v>37</v>
      </c>
      <c r="H854">
        <v>28322</v>
      </c>
      <c r="I854" t="s">
        <v>77</v>
      </c>
    </row>
    <row r="855" spans="1:9">
      <c r="A855">
        <v>285508</v>
      </c>
      <c r="B855">
        <v>1141452</v>
      </c>
      <c r="C855">
        <v>1</v>
      </c>
      <c r="D855" t="s">
        <v>1695</v>
      </c>
      <c r="E855">
        <v>2886</v>
      </c>
      <c r="F855" t="s">
        <v>41</v>
      </c>
      <c r="G855" t="s">
        <v>41</v>
      </c>
      <c r="I855" t="s">
        <v>77</v>
      </c>
    </row>
    <row r="856" spans="1:9">
      <c r="A856">
        <v>285509</v>
      </c>
      <c r="B856">
        <v>1141452</v>
      </c>
      <c r="C856">
        <v>2</v>
      </c>
      <c r="D856" t="s">
        <v>1695</v>
      </c>
      <c r="E856">
        <v>2886</v>
      </c>
      <c r="F856" t="s">
        <v>41</v>
      </c>
      <c r="G856" t="s">
        <v>41</v>
      </c>
      <c r="I856" t="s">
        <v>77</v>
      </c>
    </row>
    <row r="857" spans="1:9">
      <c r="A857">
        <v>285692</v>
      </c>
      <c r="B857">
        <v>1141538</v>
      </c>
      <c r="C857">
        <v>1</v>
      </c>
      <c r="D857" t="s">
        <v>1695</v>
      </c>
      <c r="E857">
        <v>804</v>
      </c>
      <c r="F857" t="s">
        <v>41</v>
      </c>
      <c r="G857" t="s">
        <v>41</v>
      </c>
      <c r="I857" t="s">
        <v>77</v>
      </c>
    </row>
    <row r="858" spans="1:9">
      <c r="A858">
        <v>285693</v>
      </c>
      <c r="B858">
        <v>1141538</v>
      </c>
      <c r="C858">
        <v>2</v>
      </c>
      <c r="D858" t="s">
        <v>1696</v>
      </c>
      <c r="E858">
        <v>482</v>
      </c>
      <c r="F858" t="s">
        <v>41</v>
      </c>
      <c r="G858" t="s">
        <v>41</v>
      </c>
      <c r="I858" t="s">
        <v>77</v>
      </c>
    </row>
    <row r="859" spans="1:9">
      <c r="A859">
        <v>285750</v>
      </c>
      <c r="B859">
        <v>1141562</v>
      </c>
      <c r="C859">
        <v>1</v>
      </c>
      <c r="D859" t="s">
        <v>1695</v>
      </c>
      <c r="E859">
        <v>1049</v>
      </c>
      <c r="F859" t="s">
        <v>41</v>
      </c>
      <c r="G859" t="s">
        <v>37</v>
      </c>
      <c r="H859">
        <v>29437</v>
      </c>
      <c r="I859" t="s">
        <v>77</v>
      </c>
    </row>
    <row r="860" spans="1:9">
      <c r="A860">
        <v>287742</v>
      </c>
      <c r="B860">
        <v>1142545</v>
      </c>
      <c r="C860">
        <v>1</v>
      </c>
      <c r="D860" t="s">
        <v>1695</v>
      </c>
      <c r="E860">
        <v>1087</v>
      </c>
      <c r="F860" t="s">
        <v>41</v>
      </c>
      <c r="G860" t="s">
        <v>41</v>
      </c>
      <c r="I860" t="s">
        <v>77</v>
      </c>
    </row>
    <row r="861" spans="1:9">
      <c r="A861">
        <v>287743</v>
      </c>
      <c r="B861">
        <v>1142545</v>
      </c>
      <c r="C861">
        <v>2</v>
      </c>
      <c r="D861" t="s">
        <v>1695</v>
      </c>
      <c r="E861">
        <v>1087</v>
      </c>
      <c r="F861" t="s">
        <v>41</v>
      </c>
      <c r="G861" t="s">
        <v>41</v>
      </c>
      <c r="I861" t="s">
        <v>77</v>
      </c>
    </row>
    <row r="862" spans="1:9">
      <c r="A862">
        <v>287991</v>
      </c>
      <c r="B862">
        <v>1142683</v>
      </c>
      <c r="C862">
        <v>1</v>
      </c>
      <c r="D862" t="s">
        <v>1695</v>
      </c>
      <c r="E862">
        <v>654</v>
      </c>
      <c r="F862" t="s">
        <v>41</v>
      </c>
      <c r="G862" t="s">
        <v>41</v>
      </c>
      <c r="I862" t="s">
        <v>77</v>
      </c>
    </row>
    <row r="863" spans="1:9">
      <c r="A863">
        <v>287992</v>
      </c>
      <c r="B863">
        <v>1142683</v>
      </c>
      <c r="C863">
        <v>2</v>
      </c>
      <c r="D863" t="s">
        <v>1695</v>
      </c>
      <c r="E863">
        <v>654</v>
      </c>
      <c r="F863" t="s">
        <v>41</v>
      </c>
      <c r="G863" t="s">
        <v>41</v>
      </c>
      <c r="I863" t="s">
        <v>77</v>
      </c>
    </row>
    <row r="864" spans="1:9">
      <c r="A864">
        <v>287993</v>
      </c>
      <c r="B864">
        <v>1142683</v>
      </c>
      <c r="C864">
        <v>3</v>
      </c>
      <c r="D864" t="s">
        <v>1697</v>
      </c>
      <c r="E864">
        <v>327</v>
      </c>
      <c r="F864" t="s">
        <v>41</v>
      </c>
      <c r="G864" t="s">
        <v>41</v>
      </c>
      <c r="I864" t="s">
        <v>77</v>
      </c>
    </row>
    <row r="865" spans="1:9">
      <c r="A865">
        <v>288263</v>
      </c>
      <c r="B865">
        <v>1142813</v>
      </c>
      <c r="C865">
        <v>1</v>
      </c>
      <c r="D865" t="s">
        <v>1695</v>
      </c>
      <c r="E865">
        <v>3694</v>
      </c>
      <c r="F865" t="s">
        <v>41</v>
      </c>
      <c r="G865" t="s">
        <v>37</v>
      </c>
      <c r="H865">
        <v>28866</v>
      </c>
      <c r="I865" t="s">
        <v>77</v>
      </c>
    </row>
    <row r="866" spans="1:9">
      <c r="A866">
        <v>289433</v>
      </c>
      <c r="B866">
        <v>1143359</v>
      </c>
      <c r="C866">
        <v>1</v>
      </c>
      <c r="D866" t="s">
        <v>1695</v>
      </c>
      <c r="E866">
        <v>668</v>
      </c>
      <c r="F866" t="s">
        <v>41</v>
      </c>
      <c r="G866" t="s">
        <v>41</v>
      </c>
      <c r="I866" t="s">
        <v>77</v>
      </c>
    </row>
    <row r="867" spans="1:9">
      <c r="A867">
        <v>289434</v>
      </c>
      <c r="B867">
        <v>1143359</v>
      </c>
      <c r="C867">
        <v>2</v>
      </c>
      <c r="D867" t="s">
        <v>1695</v>
      </c>
      <c r="E867">
        <v>668</v>
      </c>
      <c r="F867" t="s">
        <v>41</v>
      </c>
      <c r="G867" t="s">
        <v>41</v>
      </c>
      <c r="I867" t="s">
        <v>77</v>
      </c>
    </row>
    <row r="868" spans="1:9">
      <c r="A868">
        <v>289435</v>
      </c>
      <c r="B868">
        <v>1143359</v>
      </c>
      <c r="C868">
        <v>3</v>
      </c>
      <c r="D868" t="s">
        <v>1695</v>
      </c>
      <c r="E868">
        <v>668</v>
      </c>
      <c r="F868" t="s">
        <v>41</v>
      </c>
      <c r="G868" t="s">
        <v>41</v>
      </c>
      <c r="I868" t="s">
        <v>77</v>
      </c>
    </row>
    <row r="869" spans="1:9">
      <c r="A869">
        <v>289436</v>
      </c>
      <c r="B869">
        <v>1143359</v>
      </c>
      <c r="C869">
        <v>4</v>
      </c>
      <c r="D869" t="s">
        <v>1695</v>
      </c>
      <c r="E869">
        <v>668</v>
      </c>
      <c r="F869" t="s">
        <v>41</v>
      </c>
      <c r="G869" t="s">
        <v>41</v>
      </c>
      <c r="I869" t="s">
        <v>77</v>
      </c>
    </row>
    <row r="870" spans="1:9">
      <c r="A870">
        <v>290147</v>
      </c>
      <c r="B870">
        <v>1143705</v>
      </c>
      <c r="C870">
        <v>1</v>
      </c>
      <c r="D870" t="s">
        <v>1695</v>
      </c>
      <c r="E870">
        <v>790</v>
      </c>
      <c r="F870" t="s">
        <v>41</v>
      </c>
      <c r="G870" t="s">
        <v>41</v>
      </c>
      <c r="I870" t="s">
        <v>77</v>
      </c>
    </row>
    <row r="871" spans="1:9">
      <c r="A871">
        <v>290284</v>
      </c>
      <c r="B871">
        <v>1143776</v>
      </c>
      <c r="C871">
        <v>1</v>
      </c>
      <c r="D871" t="s">
        <v>1695</v>
      </c>
      <c r="E871">
        <v>3123</v>
      </c>
      <c r="F871" t="s">
        <v>41</v>
      </c>
      <c r="G871" t="s">
        <v>41</v>
      </c>
      <c r="I871" t="s">
        <v>77</v>
      </c>
    </row>
    <row r="872" spans="1:9">
      <c r="A872">
        <v>290365</v>
      </c>
      <c r="B872">
        <v>1143824</v>
      </c>
      <c r="C872">
        <v>1</v>
      </c>
      <c r="D872" t="s">
        <v>1696</v>
      </c>
      <c r="E872">
        <v>3182</v>
      </c>
      <c r="F872" t="s">
        <v>41</v>
      </c>
      <c r="G872" t="s">
        <v>37</v>
      </c>
      <c r="H872">
        <v>32399</v>
      </c>
      <c r="I872" t="s">
        <v>77</v>
      </c>
    </row>
    <row r="873" spans="1:9">
      <c r="A873">
        <v>290366</v>
      </c>
      <c r="B873">
        <v>1143824</v>
      </c>
      <c r="C873">
        <v>2</v>
      </c>
      <c r="D873" t="s">
        <v>1697</v>
      </c>
      <c r="E873">
        <v>2651</v>
      </c>
      <c r="F873" t="s">
        <v>41</v>
      </c>
      <c r="G873" t="s">
        <v>37</v>
      </c>
      <c r="H873">
        <v>32399</v>
      </c>
      <c r="I873" t="s">
        <v>77</v>
      </c>
    </row>
    <row r="874" spans="1:9">
      <c r="A874">
        <v>291073</v>
      </c>
      <c r="B874">
        <v>1144187</v>
      </c>
      <c r="C874">
        <v>1</v>
      </c>
      <c r="D874" t="s">
        <v>1696</v>
      </c>
      <c r="E874">
        <v>1670</v>
      </c>
      <c r="F874" t="s">
        <v>41</v>
      </c>
      <c r="G874" t="s">
        <v>37</v>
      </c>
      <c r="H874">
        <v>34630</v>
      </c>
      <c r="I874" t="s">
        <v>77</v>
      </c>
    </row>
    <row r="875" spans="1:9">
      <c r="A875">
        <v>291137</v>
      </c>
      <c r="B875">
        <v>1144215</v>
      </c>
      <c r="C875">
        <v>1</v>
      </c>
      <c r="D875" t="s">
        <v>1695</v>
      </c>
      <c r="E875">
        <v>1379</v>
      </c>
      <c r="F875" t="s">
        <v>41</v>
      </c>
      <c r="G875" t="s">
        <v>41</v>
      </c>
      <c r="I875" t="s">
        <v>77</v>
      </c>
    </row>
    <row r="876" spans="1:9">
      <c r="A876">
        <v>291525</v>
      </c>
      <c r="B876">
        <v>1144413</v>
      </c>
      <c r="C876">
        <v>1</v>
      </c>
      <c r="D876" t="s">
        <v>1695</v>
      </c>
      <c r="E876">
        <v>1657</v>
      </c>
      <c r="F876" t="s">
        <v>41</v>
      </c>
      <c r="G876" t="s">
        <v>41</v>
      </c>
      <c r="I876" t="s">
        <v>77</v>
      </c>
    </row>
    <row r="877" spans="1:9">
      <c r="A877">
        <v>291526</v>
      </c>
      <c r="B877">
        <v>1144413</v>
      </c>
      <c r="C877">
        <v>2</v>
      </c>
      <c r="D877" t="s">
        <v>1695</v>
      </c>
      <c r="E877">
        <v>1657</v>
      </c>
      <c r="F877" t="s">
        <v>41</v>
      </c>
      <c r="G877" t="s">
        <v>41</v>
      </c>
      <c r="I877" t="s">
        <v>77</v>
      </c>
    </row>
    <row r="878" spans="1:9">
      <c r="A878">
        <v>291768</v>
      </c>
      <c r="B878">
        <v>1144538</v>
      </c>
      <c r="C878">
        <v>1</v>
      </c>
      <c r="D878" t="s">
        <v>1695</v>
      </c>
      <c r="E878">
        <v>804</v>
      </c>
      <c r="F878" t="s">
        <v>41</v>
      </c>
      <c r="G878" t="s">
        <v>41</v>
      </c>
      <c r="I878" t="s">
        <v>77</v>
      </c>
    </row>
    <row r="879" spans="1:9">
      <c r="A879">
        <v>291769</v>
      </c>
      <c r="B879">
        <v>1144538</v>
      </c>
      <c r="C879">
        <v>2</v>
      </c>
      <c r="D879" t="s">
        <v>1695</v>
      </c>
      <c r="E879">
        <v>804</v>
      </c>
      <c r="F879" t="s">
        <v>41</v>
      </c>
      <c r="G879" t="s">
        <v>41</v>
      </c>
      <c r="I879" t="s">
        <v>77</v>
      </c>
    </row>
    <row r="880" spans="1:9">
      <c r="A880">
        <v>291770</v>
      </c>
      <c r="B880">
        <v>1144538</v>
      </c>
      <c r="C880">
        <v>3</v>
      </c>
      <c r="D880" t="s">
        <v>1695</v>
      </c>
      <c r="E880">
        <v>804</v>
      </c>
      <c r="F880" t="s">
        <v>41</v>
      </c>
      <c r="G880" t="s">
        <v>41</v>
      </c>
      <c r="I880" t="s">
        <v>77</v>
      </c>
    </row>
    <row r="881" spans="1:9">
      <c r="A881">
        <v>291771</v>
      </c>
      <c r="B881">
        <v>1144538</v>
      </c>
      <c r="C881">
        <v>4</v>
      </c>
      <c r="D881" t="s">
        <v>1695</v>
      </c>
      <c r="E881">
        <v>804</v>
      </c>
      <c r="F881" t="s">
        <v>41</v>
      </c>
      <c r="G881" t="s">
        <v>41</v>
      </c>
      <c r="I881" t="s">
        <v>77</v>
      </c>
    </row>
    <row r="882" spans="1:9">
      <c r="A882">
        <v>292182</v>
      </c>
      <c r="B882">
        <v>1144730</v>
      </c>
      <c r="C882">
        <v>1</v>
      </c>
      <c r="D882" t="s">
        <v>1696</v>
      </c>
      <c r="E882">
        <v>393</v>
      </c>
      <c r="F882" t="s">
        <v>41</v>
      </c>
      <c r="G882" t="s">
        <v>41</v>
      </c>
      <c r="I882" t="s">
        <v>77</v>
      </c>
    </row>
    <row r="883" spans="1:9">
      <c r="A883">
        <v>294244</v>
      </c>
      <c r="B883">
        <v>1145742</v>
      </c>
      <c r="C883">
        <v>1</v>
      </c>
      <c r="D883" t="s">
        <v>1695</v>
      </c>
      <c r="E883">
        <v>872</v>
      </c>
      <c r="F883" t="s">
        <v>41</v>
      </c>
      <c r="G883" t="s">
        <v>41</v>
      </c>
      <c r="I883" t="s">
        <v>77</v>
      </c>
    </row>
    <row r="884" spans="1:9">
      <c r="A884">
        <v>294245</v>
      </c>
      <c r="B884">
        <v>1145742</v>
      </c>
      <c r="C884">
        <v>2</v>
      </c>
      <c r="D884" t="s">
        <v>1695</v>
      </c>
      <c r="E884">
        <v>872</v>
      </c>
      <c r="F884" t="s">
        <v>41</v>
      </c>
      <c r="G884" t="s">
        <v>41</v>
      </c>
      <c r="I884" t="s">
        <v>77</v>
      </c>
    </row>
    <row r="885" spans="1:9">
      <c r="A885">
        <v>294660</v>
      </c>
      <c r="B885">
        <v>1145945</v>
      </c>
      <c r="C885">
        <v>1</v>
      </c>
      <c r="D885" t="s">
        <v>1695</v>
      </c>
      <c r="E885">
        <v>544</v>
      </c>
      <c r="F885" t="s">
        <v>41</v>
      </c>
      <c r="G885" t="s">
        <v>41</v>
      </c>
      <c r="I885" t="s">
        <v>77</v>
      </c>
    </row>
    <row r="886" spans="1:9">
      <c r="A886">
        <v>294681</v>
      </c>
      <c r="B886">
        <v>1145955</v>
      </c>
      <c r="C886">
        <v>1</v>
      </c>
      <c r="E886">
        <v>654</v>
      </c>
      <c r="F886" t="s">
        <v>41</v>
      </c>
      <c r="G886" t="s">
        <v>37</v>
      </c>
      <c r="H886">
        <v>30495</v>
      </c>
      <c r="I886" t="s">
        <v>77</v>
      </c>
    </row>
    <row r="887" spans="1:9">
      <c r="A887">
        <v>294682</v>
      </c>
      <c r="B887">
        <v>1145955</v>
      </c>
      <c r="C887">
        <v>2</v>
      </c>
      <c r="D887" t="s">
        <v>1695</v>
      </c>
      <c r="E887">
        <v>654</v>
      </c>
      <c r="F887" t="s">
        <v>41</v>
      </c>
      <c r="G887" t="s">
        <v>37</v>
      </c>
      <c r="H887">
        <v>30495</v>
      </c>
      <c r="I887" t="s">
        <v>77</v>
      </c>
    </row>
    <row r="888" spans="1:9">
      <c r="A888">
        <v>294683</v>
      </c>
      <c r="B888">
        <v>1145955</v>
      </c>
      <c r="C888">
        <v>3</v>
      </c>
      <c r="D888" t="s">
        <v>1695</v>
      </c>
      <c r="E888">
        <v>654</v>
      </c>
      <c r="F888" t="s">
        <v>41</v>
      </c>
      <c r="G888" t="s">
        <v>37</v>
      </c>
      <c r="H888">
        <v>30495</v>
      </c>
      <c r="I888" t="s">
        <v>77</v>
      </c>
    </row>
    <row r="889" spans="1:9">
      <c r="A889">
        <v>294684</v>
      </c>
      <c r="B889">
        <v>1145955</v>
      </c>
      <c r="C889">
        <v>4</v>
      </c>
      <c r="D889" t="s">
        <v>1696</v>
      </c>
      <c r="E889">
        <v>393</v>
      </c>
      <c r="F889" t="s">
        <v>41</v>
      </c>
      <c r="G889" t="s">
        <v>37</v>
      </c>
      <c r="H889">
        <v>30495</v>
      </c>
      <c r="I889" t="s">
        <v>77</v>
      </c>
    </row>
    <row r="890" spans="1:9">
      <c r="A890">
        <v>294685</v>
      </c>
      <c r="B890">
        <v>1145955</v>
      </c>
      <c r="C890">
        <v>5</v>
      </c>
      <c r="D890" t="s">
        <v>1695</v>
      </c>
      <c r="E890">
        <v>654</v>
      </c>
      <c r="F890" t="s">
        <v>41</v>
      </c>
      <c r="G890" t="s">
        <v>37</v>
      </c>
      <c r="H890">
        <v>30495</v>
      </c>
      <c r="I890" t="s">
        <v>77</v>
      </c>
    </row>
    <row r="891" spans="1:9">
      <c r="A891">
        <v>294686</v>
      </c>
      <c r="B891">
        <v>1145955</v>
      </c>
      <c r="C891">
        <v>6</v>
      </c>
      <c r="D891" t="s">
        <v>1695</v>
      </c>
      <c r="E891">
        <v>654</v>
      </c>
      <c r="F891" t="s">
        <v>41</v>
      </c>
      <c r="G891" t="s">
        <v>37</v>
      </c>
      <c r="H891">
        <v>30495</v>
      </c>
      <c r="I891" t="s">
        <v>77</v>
      </c>
    </row>
    <row r="892" spans="1:9">
      <c r="A892">
        <v>295158</v>
      </c>
      <c r="B892">
        <v>1146201</v>
      </c>
      <c r="C892">
        <v>1</v>
      </c>
      <c r="D892" t="s">
        <v>1695</v>
      </c>
      <c r="E892">
        <v>2429</v>
      </c>
      <c r="F892" t="s">
        <v>49</v>
      </c>
      <c r="G892" t="s">
        <v>37</v>
      </c>
      <c r="H892">
        <v>30170</v>
      </c>
      <c r="I892" t="s">
        <v>77</v>
      </c>
    </row>
    <row r="893" spans="1:9">
      <c r="A893">
        <v>295159</v>
      </c>
      <c r="B893">
        <v>1146201</v>
      </c>
      <c r="C893">
        <v>2</v>
      </c>
      <c r="D893" t="s">
        <v>1695</v>
      </c>
      <c r="E893">
        <v>2429</v>
      </c>
      <c r="F893" t="s">
        <v>49</v>
      </c>
      <c r="G893" t="s">
        <v>37</v>
      </c>
      <c r="H893">
        <v>30170</v>
      </c>
      <c r="I893" t="s">
        <v>77</v>
      </c>
    </row>
    <row r="894" spans="1:9">
      <c r="A894">
        <v>296236</v>
      </c>
      <c r="B894">
        <v>1146740</v>
      </c>
      <c r="C894">
        <v>1</v>
      </c>
      <c r="D894" t="s">
        <v>1696</v>
      </c>
      <c r="E894">
        <v>1512</v>
      </c>
      <c r="F894" t="s">
        <v>41</v>
      </c>
      <c r="G894" t="s">
        <v>37</v>
      </c>
      <c r="H894">
        <v>29938</v>
      </c>
      <c r="I894" t="s">
        <v>77</v>
      </c>
    </row>
    <row r="895" spans="1:9">
      <c r="A895">
        <v>296237</v>
      </c>
      <c r="B895">
        <v>1146740</v>
      </c>
      <c r="C895">
        <v>2</v>
      </c>
      <c r="D895" t="s">
        <v>1695</v>
      </c>
      <c r="E895">
        <v>2520</v>
      </c>
      <c r="F895" t="s">
        <v>41</v>
      </c>
      <c r="G895" t="s">
        <v>37</v>
      </c>
      <c r="H895">
        <v>29938</v>
      </c>
      <c r="I895" t="s">
        <v>77</v>
      </c>
    </row>
    <row r="896" spans="1:9">
      <c r="A896">
        <v>296276</v>
      </c>
      <c r="B896">
        <v>1146760</v>
      </c>
      <c r="C896">
        <v>1</v>
      </c>
      <c r="D896" t="s">
        <v>1695</v>
      </c>
      <c r="E896">
        <v>753</v>
      </c>
      <c r="F896" t="s">
        <v>41</v>
      </c>
      <c r="G896" t="s">
        <v>41</v>
      </c>
      <c r="I896" t="s">
        <v>77</v>
      </c>
    </row>
    <row r="897" spans="1:9">
      <c r="A897">
        <v>296506</v>
      </c>
      <c r="B897">
        <v>1146868</v>
      </c>
      <c r="C897">
        <v>1</v>
      </c>
      <c r="D897" t="s">
        <v>1695</v>
      </c>
      <c r="E897">
        <v>1390</v>
      </c>
      <c r="F897" t="s">
        <v>41</v>
      </c>
      <c r="G897" t="s">
        <v>41</v>
      </c>
      <c r="I897" t="s">
        <v>77</v>
      </c>
    </row>
    <row r="898" spans="1:9">
      <c r="A898">
        <v>296560</v>
      </c>
      <c r="B898">
        <v>1146896</v>
      </c>
      <c r="C898">
        <v>1</v>
      </c>
      <c r="D898" t="s">
        <v>1695</v>
      </c>
      <c r="E898">
        <v>2429</v>
      </c>
      <c r="F898" t="s">
        <v>41</v>
      </c>
      <c r="G898" t="s">
        <v>37</v>
      </c>
      <c r="H898">
        <v>33217</v>
      </c>
      <c r="I898" t="s">
        <v>77</v>
      </c>
    </row>
    <row r="899" spans="1:9">
      <c r="A899">
        <v>296561</v>
      </c>
      <c r="B899">
        <v>1146896</v>
      </c>
      <c r="C899">
        <v>2</v>
      </c>
      <c r="D899" t="s">
        <v>1695</v>
      </c>
      <c r="E899">
        <v>2429</v>
      </c>
      <c r="F899" t="s">
        <v>41</v>
      </c>
      <c r="G899" t="s">
        <v>37</v>
      </c>
      <c r="H899">
        <v>33217</v>
      </c>
      <c r="I899" t="s">
        <v>77</v>
      </c>
    </row>
    <row r="900" spans="1:9">
      <c r="A900">
        <v>296562</v>
      </c>
      <c r="B900">
        <v>1146896</v>
      </c>
      <c r="C900">
        <v>3</v>
      </c>
      <c r="D900" t="s">
        <v>1695</v>
      </c>
      <c r="E900">
        <v>2429</v>
      </c>
      <c r="F900" t="s">
        <v>41</v>
      </c>
      <c r="G900" t="s">
        <v>37</v>
      </c>
      <c r="H900">
        <v>33217</v>
      </c>
      <c r="I900" t="s">
        <v>77</v>
      </c>
    </row>
    <row r="901" spans="1:9">
      <c r="A901">
        <v>296728</v>
      </c>
      <c r="B901">
        <v>1146993</v>
      </c>
      <c r="C901">
        <v>1</v>
      </c>
      <c r="D901" t="s">
        <v>1695</v>
      </c>
      <c r="E901">
        <v>1102</v>
      </c>
      <c r="F901" t="s">
        <v>41</v>
      </c>
      <c r="G901" t="s">
        <v>37</v>
      </c>
      <c r="H901">
        <v>31126</v>
      </c>
      <c r="I901" t="s">
        <v>77</v>
      </c>
    </row>
    <row r="902" spans="1:9">
      <c r="A902">
        <v>297576</v>
      </c>
      <c r="B902">
        <v>1147417</v>
      </c>
      <c r="C902">
        <v>1</v>
      </c>
      <c r="D902" t="s">
        <v>1696</v>
      </c>
      <c r="E902">
        <v>2169</v>
      </c>
      <c r="F902" t="s">
        <v>41</v>
      </c>
      <c r="G902" t="s">
        <v>41</v>
      </c>
      <c r="I902" t="s">
        <v>77</v>
      </c>
    </row>
    <row r="903" spans="1:9">
      <c r="A903">
        <v>297577</v>
      </c>
      <c r="B903">
        <v>1147417</v>
      </c>
      <c r="C903">
        <v>2</v>
      </c>
      <c r="D903" t="s">
        <v>1695</v>
      </c>
      <c r="E903">
        <v>3615</v>
      </c>
      <c r="F903" t="s">
        <v>41</v>
      </c>
      <c r="G903" t="s">
        <v>41</v>
      </c>
      <c r="I903" t="s">
        <v>77</v>
      </c>
    </row>
    <row r="904" spans="1:9">
      <c r="A904">
        <v>297578</v>
      </c>
      <c r="B904">
        <v>1147417</v>
      </c>
      <c r="C904">
        <v>3</v>
      </c>
      <c r="D904" t="s">
        <v>1696</v>
      </c>
      <c r="E904">
        <v>2169</v>
      </c>
      <c r="F904" t="s">
        <v>41</v>
      </c>
      <c r="G904" t="s">
        <v>41</v>
      </c>
      <c r="I904" t="s">
        <v>77</v>
      </c>
    </row>
    <row r="905" spans="1:9">
      <c r="A905">
        <v>297765</v>
      </c>
      <c r="B905">
        <v>1147512</v>
      </c>
      <c r="C905">
        <v>1</v>
      </c>
      <c r="D905" t="s">
        <v>1695</v>
      </c>
      <c r="E905">
        <v>2784</v>
      </c>
      <c r="F905" t="s">
        <v>41</v>
      </c>
      <c r="G905" t="s">
        <v>41</v>
      </c>
      <c r="I905" t="s">
        <v>77</v>
      </c>
    </row>
    <row r="906" spans="1:9">
      <c r="A906">
        <v>298723</v>
      </c>
      <c r="B906">
        <v>1147998</v>
      </c>
      <c r="C906">
        <v>1</v>
      </c>
      <c r="D906" t="s">
        <v>1695</v>
      </c>
      <c r="E906">
        <v>654</v>
      </c>
      <c r="F906" t="s">
        <v>47</v>
      </c>
      <c r="G906" t="s">
        <v>41</v>
      </c>
      <c r="I906" t="s">
        <v>77</v>
      </c>
    </row>
    <row r="907" spans="1:9">
      <c r="A907">
        <v>299027</v>
      </c>
      <c r="B907">
        <v>1148151</v>
      </c>
      <c r="C907">
        <v>1</v>
      </c>
      <c r="D907" t="s">
        <v>1695</v>
      </c>
      <c r="E907">
        <v>906</v>
      </c>
      <c r="F907" t="s">
        <v>41</v>
      </c>
      <c r="G907" t="s">
        <v>37</v>
      </c>
      <c r="H907">
        <v>30645</v>
      </c>
      <c r="I907" t="s">
        <v>77</v>
      </c>
    </row>
    <row r="908" spans="1:9">
      <c r="A908">
        <v>299028</v>
      </c>
      <c r="B908">
        <v>1148151</v>
      </c>
      <c r="C908">
        <v>2</v>
      </c>
      <c r="D908" t="s">
        <v>1695</v>
      </c>
      <c r="E908">
        <v>906</v>
      </c>
      <c r="F908" t="s">
        <v>41</v>
      </c>
      <c r="G908" t="s">
        <v>41</v>
      </c>
      <c r="I908" t="s">
        <v>77</v>
      </c>
    </row>
    <row r="909" spans="1:9">
      <c r="A909">
        <v>300082</v>
      </c>
      <c r="B909">
        <v>1148655</v>
      </c>
      <c r="C909">
        <v>1</v>
      </c>
      <c r="D909" t="s">
        <v>1695</v>
      </c>
      <c r="E909">
        <v>3994</v>
      </c>
      <c r="F909" t="s">
        <v>41</v>
      </c>
      <c r="G909" t="s">
        <v>41</v>
      </c>
      <c r="I909" t="s">
        <v>77</v>
      </c>
    </row>
    <row r="910" spans="1:9">
      <c r="A910">
        <v>300083</v>
      </c>
      <c r="B910">
        <v>1148655</v>
      </c>
      <c r="C910">
        <v>2</v>
      </c>
      <c r="D910" t="s">
        <v>1695</v>
      </c>
      <c r="E910">
        <v>3994</v>
      </c>
      <c r="F910" t="s">
        <v>41</v>
      </c>
      <c r="G910" t="s">
        <v>41</v>
      </c>
      <c r="I910" t="s">
        <v>77</v>
      </c>
    </row>
    <row r="911" spans="1:9">
      <c r="A911">
        <v>300105</v>
      </c>
      <c r="B911">
        <v>1148664</v>
      </c>
      <c r="C911">
        <v>1</v>
      </c>
      <c r="D911" t="s">
        <v>1695</v>
      </c>
      <c r="E911">
        <v>1731</v>
      </c>
      <c r="F911" t="s">
        <v>41</v>
      </c>
      <c r="G911" t="s">
        <v>41</v>
      </c>
      <c r="I911" t="s">
        <v>77</v>
      </c>
    </row>
    <row r="912" spans="1:9">
      <c r="A912">
        <v>300577</v>
      </c>
      <c r="B912">
        <v>1148902</v>
      </c>
      <c r="C912">
        <v>1</v>
      </c>
      <c r="D912" t="s">
        <v>1695</v>
      </c>
      <c r="E912">
        <v>790</v>
      </c>
      <c r="F912" t="s">
        <v>41</v>
      </c>
      <c r="G912" t="s">
        <v>41</v>
      </c>
      <c r="I912" t="s">
        <v>77</v>
      </c>
    </row>
    <row r="913" spans="1:9">
      <c r="A913">
        <v>300578</v>
      </c>
      <c r="B913">
        <v>1148902</v>
      </c>
      <c r="C913">
        <v>2</v>
      </c>
      <c r="D913" t="s">
        <v>1695</v>
      </c>
      <c r="E913">
        <v>790</v>
      </c>
      <c r="F913" t="s">
        <v>41</v>
      </c>
      <c r="G913" t="s">
        <v>41</v>
      </c>
      <c r="I913" t="s">
        <v>77</v>
      </c>
    </row>
    <row r="914" spans="1:9">
      <c r="A914">
        <v>300579</v>
      </c>
      <c r="B914">
        <v>1148902</v>
      </c>
      <c r="C914">
        <v>3</v>
      </c>
      <c r="D914" t="s">
        <v>1697</v>
      </c>
      <c r="E914">
        <v>395</v>
      </c>
      <c r="F914" t="s">
        <v>41</v>
      </c>
      <c r="G914" t="s">
        <v>41</v>
      </c>
      <c r="I914" t="s">
        <v>77</v>
      </c>
    </row>
    <row r="915" spans="1:9">
      <c r="A915">
        <v>300580</v>
      </c>
      <c r="B915">
        <v>1148902</v>
      </c>
      <c r="C915">
        <v>4</v>
      </c>
      <c r="D915" t="s">
        <v>1695</v>
      </c>
      <c r="E915">
        <v>790</v>
      </c>
      <c r="F915" t="s">
        <v>41</v>
      </c>
      <c r="G915" t="s">
        <v>41</v>
      </c>
      <c r="I915" t="s">
        <v>77</v>
      </c>
    </row>
    <row r="916" spans="1:9">
      <c r="A916">
        <v>300748</v>
      </c>
      <c r="B916">
        <v>1148989</v>
      </c>
      <c r="C916">
        <v>1</v>
      </c>
      <c r="D916" t="s">
        <v>1695</v>
      </c>
      <c r="E916">
        <v>4406</v>
      </c>
      <c r="F916" t="s">
        <v>41</v>
      </c>
      <c r="G916" t="s">
        <v>40</v>
      </c>
      <c r="I916" t="s">
        <v>77</v>
      </c>
    </row>
    <row r="917" spans="1:9">
      <c r="A917">
        <v>301743</v>
      </c>
      <c r="B917">
        <v>1149512</v>
      </c>
      <c r="C917">
        <v>1</v>
      </c>
      <c r="D917" t="s">
        <v>1695</v>
      </c>
      <c r="E917">
        <v>4406</v>
      </c>
      <c r="F917" t="s">
        <v>41</v>
      </c>
      <c r="G917" t="s">
        <v>41</v>
      </c>
      <c r="I917" t="s">
        <v>77</v>
      </c>
    </row>
    <row r="918" spans="1:9">
      <c r="A918">
        <v>301744</v>
      </c>
      <c r="B918">
        <v>1149512</v>
      </c>
      <c r="C918">
        <v>2</v>
      </c>
      <c r="D918" t="s">
        <v>1697</v>
      </c>
      <c r="E918">
        <v>2203</v>
      </c>
      <c r="F918" t="s">
        <v>41</v>
      </c>
      <c r="G918" t="s">
        <v>41</v>
      </c>
      <c r="I918" t="s">
        <v>77</v>
      </c>
    </row>
    <row r="919" spans="1:9">
      <c r="A919">
        <v>301745</v>
      </c>
      <c r="B919">
        <v>1149512</v>
      </c>
      <c r="C919">
        <v>3</v>
      </c>
      <c r="D919" t="s">
        <v>1696</v>
      </c>
      <c r="E919">
        <v>2644</v>
      </c>
      <c r="F919" t="s">
        <v>41</v>
      </c>
      <c r="G919" t="s">
        <v>41</v>
      </c>
      <c r="I919" t="s">
        <v>77</v>
      </c>
    </row>
    <row r="920" spans="1:9">
      <c r="A920">
        <v>301988</v>
      </c>
      <c r="B920">
        <v>1149632</v>
      </c>
      <c r="C920">
        <v>1</v>
      </c>
      <c r="D920" t="s">
        <v>1695</v>
      </c>
      <c r="E920">
        <v>3247</v>
      </c>
      <c r="F920" t="s">
        <v>49</v>
      </c>
      <c r="G920" t="s">
        <v>49</v>
      </c>
      <c r="H920">
        <v>29779</v>
      </c>
      <c r="I920" t="s">
        <v>77</v>
      </c>
    </row>
    <row r="921" spans="1:9">
      <c r="A921">
        <v>301989</v>
      </c>
      <c r="B921">
        <v>1149632</v>
      </c>
      <c r="C921">
        <v>2</v>
      </c>
      <c r="D921" t="s">
        <v>1695</v>
      </c>
      <c r="E921">
        <v>3247</v>
      </c>
      <c r="F921" t="s">
        <v>49</v>
      </c>
      <c r="G921" t="s">
        <v>49</v>
      </c>
      <c r="H921">
        <v>29779</v>
      </c>
      <c r="I921" t="s">
        <v>77</v>
      </c>
    </row>
    <row r="922" spans="1:9">
      <c r="A922">
        <v>304025</v>
      </c>
      <c r="B922">
        <v>1150654</v>
      </c>
      <c r="C922">
        <v>1</v>
      </c>
      <c r="D922" t="s">
        <v>1695</v>
      </c>
      <c r="E922">
        <v>833</v>
      </c>
      <c r="F922" t="s">
        <v>41</v>
      </c>
      <c r="G922" t="s">
        <v>37</v>
      </c>
      <c r="H922">
        <v>31381</v>
      </c>
      <c r="I922" t="s">
        <v>77</v>
      </c>
    </row>
    <row r="923" spans="1:9">
      <c r="A923">
        <v>304400</v>
      </c>
      <c r="B923">
        <v>1150852</v>
      </c>
      <c r="C923">
        <v>1</v>
      </c>
      <c r="D923" t="s">
        <v>1695</v>
      </c>
      <c r="E923">
        <v>834</v>
      </c>
      <c r="F923" t="s">
        <v>49</v>
      </c>
      <c r="G923" t="s">
        <v>37</v>
      </c>
      <c r="H923">
        <v>31373</v>
      </c>
      <c r="I923" t="s">
        <v>77</v>
      </c>
    </row>
    <row r="924" spans="1:9">
      <c r="A924">
        <v>304401</v>
      </c>
      <c r="B924">
        <v>1150852</v>
      </c>
      <c r="C924">
        <v>2</v>
      </c>
      <c r="D924" t="s">
        <v>1695</v>
      </c>
      <c r="E924">
        <v>834</v>
      </c>
      <c r="F924" t="s">
        <v>49</v>
      </c>
      <c r="G924" t="s">
        <v>37</v>
      </c>
      <c r="H924">
        <v>31373</v>
      </c>
      <c r="I924" t="s">
        <v>77</v>
      </c>
    </row>
    <row r="925" spans="1:9">
      <c r="A925">
        <v>304402</v>
      </c>
      <c r="B925">
        <v>1150852</v>
      </c>
      <c r="C925">
        <v>3</v>
      </c>
      <c r="D925" t="s">
        <v>1695</v>
      </c>
      <c r="E925">
        <v>834</v>
      </c>
      <c r="F925" t="s">
        <v>49</v>
      </c>
      <c r="G925" t="s">
        <v>37</v>
      </c>
      <c r="H925">
        <v>31373</v>
      </c>
      <c r="I925" t="s">
        <v>77</v>
      </c>
    </row>
    <row r="926" spans="1:9">
      <c r="A926">
        <v>305426</v>
      </c>
      <c r="B926">
        <v>1151385</v>
      </c>
      <c r="C926">
        <v>1</v>
      </c>
      <c r="D926" t="s">
        <v>1695</v>
      </c>
      <c r="E926">
        <v>753</v>
      </c>
      <c r="F926" t="s">
        <v>41</v>
      </c>
      <c r="G926" t="s">
        <v>41</v>
      </c>
      <c r="I926" t="s">
        <v>77</v>
      </c>
    </row>
    <row r="927" spans="1:9">
      <c r="A927">
        <v>305427</v>
      </c>
      <c r="B927">
        <v>1151385</v>
      </c>
      <c r="C927">
        <v>2</v>
      </c>
      <c r="D927" t="s">
        <v>1696</v>
      </c>
      <c r="E927">
        <v>452</v>
      </c>
      <c r="F927" t="s">
        <v>41</v>
      </c>
      <c r="G927" t="s">
        <v>41</v>
      </c>
      <c r="I927" t="s">
        <v>77</v>
      </c>
    </row>
    <row r="928" spans="1:9">
      <c r="A928">
        <v>305428</v>
      </c>
      <c r="B928">
        <v>1151385</v>
      </c>
      <c r="C928">
        <v>3</v>
      </c>
      <c r="D928" t="s">
        <v>1695</v>
      </c>
      <c r="E928">
        <v>753</v>
      </c>
      <c r="F928" t="s">
        <v>41</v>
      </c>
      <c r="G928" t="s">
        <v>41</v>
      </c>
      <c r="I928" t="s">
        <v>77</v>
      </c>
    </row>
    <row r="929" spans="1:9">
      <c r="A929">
        <v>305429</v>
      </c>
      <c r="B929">
        <v>1151385</v>
      </c>
      <c r="C929">
        <v>4</v>
      </c>
      <c r="D929" t="s">
        <v>1697</v>
      </c>
      <c r="E929">
        <v>376</v>
      </c>
      <c r="F929" t="s">
        <v>41</v>
      </c>
      <c r="G929" t="s">
        <v>41</v>
      </c>
      <c r="I929" t="s">
        <v>77</v>
      </c>
    </row>
    <row r="930" spans="1:9">
      <c r="A930">
        <v>306078</v>
      </c>
      <c r="B930">
        <v>1151709</v>
      </c>
      <c r="C930">
        <v>1</v>
      </c>
      <c r="D930" t="s">
        <v>1695</v>
      </c>
      <c r="E930">
        <v>870</v>
      </c>
      <c r="F930" t="s">
        <v>41</v>
      </c>
      <c r="G930" t="s">
        <v>41</v>
      </c>
      <c r="I930" t="s">
        <v>77</v>
      </c>
    </row>
    <row r="931" spans="1:9">
      <c r="A931">
        <v>306079</v>
      </c>
      <c r="B931">
        <v>1151709</v>
      </c>
      <c r="C931">
        <v>2</v>
      </c>
      <c r="D931" t="s">
        <v>1697</v>
      </c>
      <c r="E931">
        <v>435</v>
      </c>
      <c r="F931" t="s">
        <v>41</v>
      </c>
      <c r="G931" t="s">
        <v>41</v>
      </c>
      <c r="I931" t="s">
        <v>77</v>
      </c>
    </row>
    <row r="932" spans="1:9">
      <c r="A932">
        <v>306080</v>
      </c>
      <c r="B932">
        <v>1151709</v>
      </c>
      <c r="C932">
        <v>3</v>
      </c>
      <c r="D932" t="s">
        <v>1696</v>
      </c>
      <c r="E932">
        <v>522</v>
      </c>
      <c r="F932" t="s">
        <v>41</v>
      </c>
      <c r="G932" t="s">
        <v>41</v>
      </c>
      <c r="I932" t="s">
        <v>77</v>
      </c>
    </row>
    <row r="933" spans="1:9">
      <c r="A933">
        <v>306114</v>
      </c>
      <c r="B933">
        <v>1151722</v>
      </c>
      <c r="C933">
        <v>1</v>
      </c>
      <c r="D933" t="s">
        <v>1695</v>
      </c>
      <c r="E933">
        <v>1731</v>
      </c>
      <c r="F933" t="s">
        <v>41</v>
      </c>
      <c r="G933" t="s">
        <v>41</v>
      </c>
      <c r="I933" t="s">
        <v>77</v>
      </c>
    </row>
    <row r="934" spans="1:9">
      <c r="A934">
        <v>306115</v>
      </c>
      <c r="B934">
        <v>1151722</v>
      </c>
      <c r="C934">
        <v>2</v>
      </c>
      <c r="D934" t="s">
        <v>1695</v>
      </c>
      <c r="E934">
        <v>1731</v>
      </c>
      <c r="F934" t="s">
        <v>41</v>
      </c>
      <c r="G934" t="s">
        <v>41</v>
      </c>
      <c r="I934" t="s">
        <v>77</v>
      </c>
    </row>
    <row r="935" spans="1:9">
      <c r="A935">
        <v>306116</v>
      </c>
      <c r="B935">
        <v>1151722</v>
      </c>
      <c r="C935">
        <v>3</v>
      </c>
      <c r="D935" t="s">
        <v>1697</v>
      </c>
      <c r="E935">
        <v>866</v>
      </c>
      <c r="F935" t="s">
        <v>41</v>
      </c>
      <c r="G935" t="s">
        <v>41</v>
      </c>
      <c r="I935" t="s">
        <v>77</v>
      </c>
    </row>
    <row r="936" spans="1:9">
      <c r="A936">
        <v>306117</v>
      </c>
      <c r="B936">
        <v>1151722</v>
      </c>
      <c r="C936">
        <v>4</v>
      </c>
      <c r="D936" t="s">
        <v>1695</v>
      </c>
      <c r="E936">
        <v>1731</v>
      </c>
      <c r="F936" t="s">
        <v>41</v>
      </c>
      <c r="G936" t="s">
        <v>41</v>
      </c>
      <c r="I936" t="s">
        <v>77</v>
      </c>
    </row>
    <row r="937" spans="1:9">
      <c r="A937">
        <v>306376</v>
      </c>
      <c r="B937">
        <v>1151847</v>
      </c>
      <c r="C937">
        <v>1</v>
      </c>
      <c r="D937" t="s">
        <v>1695</v>
      </c>
      <c r="E937">
        <v>654</v>
      </c>
      <c r="F937" t="s">
        <v>49</v>
      </c>
      <c r="G937" t="s">
        <v>47</v>
      </c>
      <c r="I937" t="s">
        <v>77</v>
      </c>
    </row>
    <row r="938" spans="1:9">
      <c r="A938">
        <v>306377</v>
      </c>
      <c r="B938">
        <v>1151847</v>
      </c>
      <c r="C938">
        <v>2</v>
      </c>
      <c r="D938" t="s">
        <v>1695</v>
      </c>
      <c r="E938">
        <v>654</v>
      </c>
      <c r="F938" t="s">
        <v>49</v>
      </c>
      <c r="G938" t="s">
        <v>47</v>
      </c>
      <c r="I938" t="s">
        <v>77</v>
      </c>
    </row>
    <row r="939" spans="1:9">
      <c r="A939">
        <v>306877</v>
      </c>
      <c r="B939">
        <v>1152098</v>
      </c>
      <c r="C939">
        <v>1</v>
      </c>
      <c r="D939" t="s">
        <v>1695</v>
      </c>
      <c r="E939">
        <v>3026</v>
      </c>
      <c r="F939" t="s">
        <v>49</v>
      </c>
      <c r="G939" t="s">
        <v>49</v>
      </c>
      <c r="H939">
        <v>30241</v>
      </c>
      <c r="I939" t="s">
        <v>77</v>
      </c>
    </row>
    <row r="940" spans="1:9">
      <c r="A940">
        <v>307474</v>
      </c>
      <c r="B940">
        <v>1152374</v>
      </c>
      <c r="C940">
        <v>1</v>
      </c>
      <c r="D940" t="s">
        <v>1695</v>
      </c>
      <c r="E940">
        <v>916</v>
      </c>
      <c r="F940" t="s">
        <v>41</v>
      </c>
      <c r="G940" t="s">
        <v>41</v>
      </c>
      <c r="I940" t="s">
        <v>77</v>
      </c>
    </row>
    <row r="941" spans="1:9">
      <c r="A941">
        <v>307568</v>
      </c>
      <c r="B941">
        <v>1152419</v>
      </c>
      <c r="C941">
        <v>1</v>
      </c>
      <c r="D941" t="s">
        <v>1695</v>
      </c>
      <c r="E941">
        <v>-753</v>
      </c>
      <c r="F941" t="s">
        <v>41</v>
      </c>
      <c r="G941" t="s">
        <v>37</v>
      </c>
      <c r="H941">
        <v>37107</v>
      </c>
      <c r="I941" t="s">
        <v>77</v>
      </c>
    </row>
    <row r="942" spans="1:9">
      <c r="A942">
        <v>307569</v>
      </c>
      <c r="B942">
        <v>1152419</v>
      </c>
      <c r="C942">
        <v>2</v>
      </c>
      <c r="D942" t="s">
        <v>1695</v>
      </c>
      <c r="E942">
        <v>753</v>
      </c>
      <c r="F942" t="s">
        <v>41</v>
      </c>
      <c r="G942" t="s">
        <v>37</v>
      </c>
      <c r="H942">
        <v>37107</v>
      </c>
      <c r="I942" t="s">
        <v>77</v>
      </c>
    </row>
    <row r="943" spans="1:9">
      <c r="A943">
        <v>307570</v>
      </c>
      <c r="B943">
        <v>1152419</v>
      </c>
      <c r="C943">
        <v>3</v>
      </c>
      <c r="D943" t="s">
        <v>1696</v>
      </c>
      <c r="E943">
        <v>452</v>
      </c>
      <c r="F943" t="s">
        <v>41</v>
      </c>
      <c r="G943" t="s">
        <v>37</v>
      </c>
      <c r="H943">
        <v>37107</v>
      </c>
      <c r="I943" t="s">
        <v>77</v>
      </c>
    </row>
    <row r="944" spans="1:9">
      <c r="A944">
        <v>310016</v>
      </c>
      <c r="B944">
        <v>1153612</v>
      </c>
      <c r="C944">
        <v>1</v>
      </c>
      <c r="D944" t="s">
        <v>1695</v>
      </c>
      <c r="E944">
        <v>3026</v>
      </c>
      <c r="F944" t="s">
        <v>41</v>
      </c>
      <c r="G944" t="s">
        <v>41</v>
      </c>
      <c r="I944" t="s">
        <v>77</v>
      </c>
    </row>
    <row r="945" spans="1:9">
      <c r="A945">
        <v>310017</v>
      </c>
      <c r="B945">
        <v>1153612</v>
      </c>
      <c r="C945">
        <v>2</v>
      </c>
      <c r="D945" t="s">
        <v>1695</v>
      </c>
      <c r="E945">
        <v>3026</v>
      </c>
      <c r="F945" t="s">
        <v>41</v>
      </c>
      <c r="G945" t="s">
        <v>41</v>
      </c>
      <c r="I945" t="s">
        <v>77</v>
      </c>
    </row>
    <row r="946" spans="1:9">
      <c r="A946">
        <v>310910</v>
      </c>
      <c r="B946">
        <v>1154055</v>
      </c>
      <c r="C946">
        <v>1</v>
      </c>
      <c r="D946" t="s">
        <v>1696</v>
      </c>
      <c r="E946">
        <v>727</v>
      </c>
      <c r="F946" t="s">
        <v>41</v>
      </c>
      <c r="G946" t="s">
        <v>41</v>
      </c>
      <c r="I946" t="s">
        <v>77</v>
      </c>
    </row>
    <row r="947" spans="1:9">
      <c r="A947">
        <v>310911</v>
      </c>
      <c r="B947">
        <v>1154055</v>
      </c>
      <c r="C947">
        <v>2</v>
      </c>
      <c r="D947" t="s">
        <v>1695</v>
      </c>
      <c r="E947">
        <v>1212</v>
      </c>
      <c r="F947" t="s">
        <v>41</v>
      </c>
      <c r="G947" t="s">
        <v>41</v>
      </c>
      <c r="I947" t="s">
        <v>77</v>
      </c>
    </row>
    <row r="948" spans="1:9">
      <c r="A948">
        <v>311117</v>
      </c>
      <c r="B948">
        <v>1154156</v>
      </c>
      <c r="C948">
        <v>1</v>
      </c>
      <c r="D948" t="s">
        <v>1695</v>
      </c>
      <c r="E948">
        <v>916</v>
      </c>
      <c r="F948" t="s">
        <v>41</v>
      </c>
      <c r="G948" t="s">
        <v>41</v>
      </c>
      <c r="I948" t="s">
        <v>77</v>
      </c>
    </row>
    <row r="949" spans="1:9">
      <c r="A949">
        <v>311118</v>
      </c>
      <c r="B949">
        <v>1154156</v>
      </c>
      <c r="C949">
        <v>2</v>
      </c>
      <c r="D949" t="s">
        <v>1695</v>
      </c>
      <c r="E949">
        <v>916</v>
      </c>
      <c r="F949" t="s">
        <v>41</v>
      </c>
      <c r="G949" t="s">
        <v>41</v>
      </c>
      <c r="I949" t="s">
        <v>77</v>
      </c>
    </row>
    <row r="950" spans="1:9">
      <c r="A950">
        <v>312166</v>
      </c>
      <c r="B950">
        <v>1154672</v>
      </c>
      <c r="C950">
        <v>1</v>
      </c>
      <c r="D950" t="s">
        <v>1695</v>
      </c>
      <c r="E950">
        <v>753</v>
      </c>
      <c r="F950" t="s">
        <v>41</v>
      </c>
      <c r="G950" t="s">
        <v>41</v>
      </c>
      <c r="I950" t="s">
        <v>77</v>
      </c>
    </row>
    <row r="951" spans="1:9">
      <c r="A951">
        <v>312167</v>
      </c>
      <c r="B951">
        <v>1154672</v>
      </c>
      <c r="C951">
        <v>2</v>
      </c>
      <c r="D951" t="s">
        <v>1695</v>
      </c>
      <c r="E951">
        <v>753</v>
      </c>
      <c r="F951" t="s">
        <v>41</v>
      </c>
      <c r="G951" t="s">
        <v>41</v>
      </c>
      <c r="I951" t="s">
        <v>77</v>
      </c>
    </row>
    <row r="952" spans="1:9">
      <c r="A952">
        <v>312168</v>
      </c>
      <c r="B952">
        <v>1154672</v>
      </c>
      <c r="C952">
        <v>3</v>
      </c>
      <c r="D952" t="s">
        <v>1695</v>
      </c>
      <c r="E952">
        <v>753</v>
      </c>
      <c r="F952" t="s">
        <v>41</v>
      </c>
      <c r="G952" t="s">
        <v>41</v>
      </c>
      <c r="I952" t="s">
        <v>77</v>
      </c>
    </row>
    <row r="953" spans="1:9">
      <c r="A953">
        <v>312169</v>
      </c>
      <c r="B953">
        <v>1154672</v>
      </c>
      <c r="C953">
        <v>4</v>
      </c>
      <c r="D953" t="s">
        <v>1697</v>
      </c>
      <c r="E953">
        <v>376</v>
      </c>
      <c r="F953" t="s">
        <v>41</v>
      </c>
      <c r="G953" t="s">
        <v>41</v>
      </c>
      <c r="I953" t="s">
        <v>77</v>
      </c>
    </row>
    <row r="954" spans="1:9">
      <c r="A954">
        <v>312376</v>
      </c>
      <c r="B954">
        <v>1154784</v>
      </c>
      <c r="C954">
        <v>1</v>
      </c>
      <c r="D954" t="s">
        <v>1695</v>
      </c>
      <c r="E954">
        <v>2784</v>
      </c>
      <c r="F954" t="s">
        <v>41</v>
      </c>
      <c r="G954" t="s">
        <v>41</v>
      </c>
      <c r="I954" t="s">
        <v>77</v>
      </c>
    </row>
    <row r="955" spans="1:9">
      <c r="A955">
        <v>312377</v>
      </c>
      <c r="B955">
        <v>1154784</v>
      </c>
      <c r="C955">
        <v>2</v>
      </c>
      <c r="D955" t="s">
        <v>1695</v>
      </c>
      <c r="E955">
        <v>2784</v>
      </c>
      <c r="F955" t="s">
        <v>41</v>
      </c>
      <c r="G955" t="s">
        <v>41</v>
      </c>
      <c r="I955" t="s">
        <v>77</v>
      </c>
    </row>
    <row r="956" spans="1:9">
      <c r="A956">
        <v>312402</v>
      </c>
      <c r="B956">
        <v>1154799</v>
      </c>
      <c r="C956">
        <v>1</v>
      </c>
      <c r="D956" t="s">
        <v>1695</v>
      </c>
      <c r="E956">
        <v>872</v>
      </c>
      <c r="F956" t="s">
        <v>41</v>
      </c>
      <c r="G956" t="s">
        <v>41</v>
      </c>
      <c r="I956" t="s">
        <v>77</v>
      </c>
    </row>
    <row r="957" spans="1:9">
      <c r="A957">
        <v>312594</v>
      </c>
      <c r="B957">
        <v>1154897</v>
      </c>
      <c r="C957">
        <v>1</v>
      </c>
      <c r="D957" t="s">
        <v>1695</v>
      </c>
      <c r="E957">
        <v>4142</v>
      </c>
      <c r="F957" t="s">
        <v>41</v>
      </c>
      <c r="G957" t="s">
        <v>41</v>
      </c>
      <c r="I957" t="s">
        <v>77</v>
      </c>
    </row>
    <row r="958" spans="1:9">
      <c r="A958">
        <v>312828</v>
      </c>
      <c r="B958">
        <v>1155002</v>
      </c>
      <c r="C958">
        <v>1</v>
      </c>
      <c r="D958" t="s">
        <v>1695</v>
      </c>
      <c r="E958">
        <v>2520</v>
      </c>
      <c r="F958" t="s">
        <v>41</v>
      </c>
      <c r="G958" t="s">
        <v>41</v>
      </c>
      <c r="I958" t="s">
        <v>77</v>
      </c>
    </row>
    <row r="959" spans="1:9">
      <c r="A959">
        <v>312829</v>
      </c>
      <c r="B959">
        <v>1155002</v>
      </c>
      <c r="C959">
        <v>2</v>
      </c>
      <c r="D959" t="s">
        <v>1695</v>
      </c>
      <c r="E959">
        <v>2520</v>
      </c>
      <c r="F959" t="s">
        <v>41</v>
      </c>
      <c r="G959" t="s">
        <v>41</v>
      </c>
      <c r="I959" t="s">
        <v>77</v>
      </c>
    </row>
    <row r="960" spans="1:9">
      <c r="A960">
        <v>313876</v>
      </c>
      <c r="B960">
        <v>1155548</v>
      </c>
      <c r="C960">
        <v>1</v>
      </c>
      <c r="D960" t="s">
        <v>1695</v>
      </c>
      <c r="E960">
        <v>-1053</v>
      </c>
      <c r="F960" t="s">
        <v>41</v>
      </c>
      <c r="G960" t="s">
        <v>37</v>
      </c>
      <c r="H960">
        <v>33118</v>
      </c>
      <c r="I960" t="s">
        <v>77</v>
      </c>
    </row>
    <row r="961" spans="1:9">
      <c r="A961">
        <v>314533</v>
      </c>
      <c r="B961">
        <v>1155881</v>
      </c>
      <c r="C961">
        <v>1</v>
      </c>
      <c r="D961" t="s">
        <v>1696</v>
      </c>
      <c r="E961">
        <v>209</v>
      </c>
      <c r="F961" t="s">
        <v>41</v>
      </c>
      <c r="G961" t="s">
        <v>41</v>
      </c>
      <c r="I961" t="s">
        <v>77</v>
      </c>
    </row>
    <row r="962" spans="1:9">
      <c r="A962">
        <v>314680</v>
      </c>
      <c r="B962">
        <v>1155958</v>
      </c>
      <c r="C962">
        <v>1</v>
      </c>
      <c r="D962" t="s">
        <v>1695</v>
      </c>
      <c r="E962">
        <v>654</v>
      </c>
      <c r="F962" t="s">
        <v>47</v>
      </c>
      <c r="G962" t="s">
        <v>47</v>
      </c>
      <c r="I962" t="s">
        <v>77</v>
      </c>
    </row>
    <row r="963" spans="1:9">
      <c r="A963">
        <v>314681</v>
      </c>
      <c r="B963">
        <v>1155958</v>
      </c>
      <c r="C963">
        <v>2</v>
      </c>
      <c r="D963" t="s">
        <v>1697</v>
      </c>
      <c r="E963">
        <v>327</v>
      </c>
      <c r="F963" t="s">
        <v>47</v>
      </c>
      <c r="G963" t="s">
        <v>47</v>
      </c>
      <c r="I963" t="s">
        <v>77</v>
      </c>
    </row>
    <row r="964" spans="1:9">
      <c r="A964">
        <v>314682</v>
      </c>
      <c r="B964">
        <v>1155958</v>
      </c>
      <c r="C964">
        <v>3</v>
      </c>
      <c r="D964" t="s">
        <v>1695</v>
      </c>
      <c r="E964">
        <v>654</v>
      </c>
      <c r="F964" t="s">
        <v>47</v>
      </c>
      <c r="G964" t="s">
        <v>47</v>
      </c>
      <c r="I964" t="s">
        <v>77</v>
      </c>
    </row>
    <row r="965" spans="1:9">
      <c r="A965">
        <v>314683</v>
      </c>
      <c r="B965">
        <v>1155958</v>
      </c>
      <c r="C965">
        <v>4</v>
      </c>
      <c r="D965" t="s">
        <v>1695</v>
      </c>
      <c r="E965">
        <v>654</v>
      </c>
      <c r="F965" t="s">
        <v>47</v>
      </c>
      <c r="G965" t="s">
        <v>47</v>
      </c>
      <c r="I965" t="s">
        <v>77</v>
      </c>
    </row>
    <row r="966" spans="1:9">
      <c r="A966">
        <v>316165</v>
      </c>
      <c r="B966">
        <v>1156722</v>
      </c>
      <c r="C966">
        <v>1</v>
      </c>
      <c r="D966" t="s">
        <v>1695</v>
      </c>
      <c r="E966">
        <v>870</v>
      </c>
      <c r="F966" t="s">
        <v>49</v>
      </c>
      <c r="G966" t="s">
        <v>49</v>
      </c>
      <c r="H966">
        <v>31311</v>
      </c>
      <c r="I966" t="s">
        <v>77</v>
      </c>
    </row>
    <row r="967" spans="1:9">
      <c r="A967">
        <v>316166</v>
      </c>
      <c r="B967">
        <v>1156722</v>
      </c>
      <c r="C967">
        <v>2</v>
      </c>
      <c r="D967" t="s">
        <v>1695</v>
      </c>
      <c r="E967">
        <v>870</v>
      </c>
      <c r="F967" t="s">
        <v>49</v>
      </c>
      <c r="G967" t="s">
        <v>49</v>
      </c>
      <c r="H967">
        <v>31311</v>
      </c>
      <c r="I967" t="s">
        <v>77</v>
      </c>
    </row>
    <row r="968" spans="1:9">
      <c r="A968">
        <v>318244</v>
      </c>
      <c r="B968">
        <v>1157753</v>
      </c>
      <c r="C968">
        <v>1</v>
      </c>
      <c r="D968" t="s">
        <v>1696</v>
      </c>
      <c r="E968">
        <v>452</v>
      </c>
      <c r="F968" t="s">
        <v>49</v>
      </c>
      <c r="G968" t="s">
        <v>49</v>
      </c>
      <c r="H968">
        <v>32136</v>
      </c>
      <c r="I968" t="s">
        <v>77</v>
      </c>
    </row>
    <row r="969" spans="1:9">
      <c r="A969">
        <v>318908</v>
      </c>
      <c r="B969">
        <v>1158099</v>
      </c>
      <c r="C969">
        <v>1</v>
      </c>
      <c r="D969" t="s">
        <v>1696</v>
      </c>
      <c r="E969">
        <v>2519</v>
      </c>
      <c r="F969" t="s">
        <v>41</v>
      </c>
      <c r="G969" t="s">
        <v>41</v>
      </c>
      <c r="I969" t="s">
        <v>77</v>
      </c>
    </row>
    <row r="970" spans="1:9">
      <c r="A970">
        <v>320140</v>
      </c>
      <c r="B970">
        <v>1158698</v>
      </c>
      <c r="C970">
        <v>1</v>
      </c>
      <c r="D970" t="s">
        <v>1695</v>
      </c>
      <c r="E970">
        <v>4198</v>
      </c>
      <c r="F970" t="s">
        <v>41</v>
      </c>
      <c r="G970" t="s">
        <v>41</v>
      </c>
      <c r="I970" t="s">
        <v>77</v>
      </c>
    </row>
    <row r="971" spans="1:9">
      <c r="A971">
        <v>320364</v>
      </c>
      <c r="B971">
        <v>1158815</v>
      </c>
      <c r="C971">
        <v>1</v>
      </c>
      <c r="D971" t="s">
        <v>1695</v>
      </c>
      <c r="E971">
        <v>3219</v>
      </c>
      <c r="F971" t="s">
        <v>41</v>
      </c>
      <c r="G971" t="s">
        <v>37</v>
      </c>
      <c r="H971">
        <v>32651</v>
      </c>
      <c r="I971" t="s">
        <v>77</v>
      </c>
    </row>
    <row r="972" spans="1:9">
      <c r="A972">
        <v>320365</v>
      </c>
      <c r="B972">
        <v>1158815</v>
      </c>
      <c r="C972">
        <v>2</v>
      </c>
      <c r="D972" t="s">
        <v>1696</v>
      </c>
      <c r="E972">
        <v>1932</v>
      </c>
      <c r="F972" t="s">
        <v>41</v>
      </c>
      <c r="G972" t="s">
        <v>37</v>
      </c>
      <c r="H972">
        <v>32651</v>
      </c>
      <c r="I972" t="s">
        <v>77</v>
      </c>
    </row>
    <row r="973" spans="1:9">
      <c r="A973">
        <v>320366</v>
      </c>
      <c r="B973">
        <v>1158815</v>
      </c>
      <c r="C973">
        <v>3</v>
      </c>
      <c r="D973" t="s">
        <v>1695</v>
      </c>
      <c r="E973">
        <v>3219</v>
      </c>
      <c r="F973" t="s">
        <v>41</v>
      </c>
      <c r="G973" t="s">
        <v>41</v>
      </c>
      <c r="I973" t="s">
        <v>77</v>
      </c>
    </row>
    <row r="974" spans="1:9">
      <c r="A974">
        <v>320367</v>
      </c>
      <c r="B974">
        <v>1158815</v>
      </c>
      <c r="C974">
        <v>4</v>
      </c>
      <c r="D974" t="s">
        <v>1696</v>
      </c>
      <c r="E974">
        <v>1932</v>
      </c>
      <c r="F974" t="s">
        <v>41</v>
      </c>
      <c r="G974" t="s">
        <v>41</v>
      </c>
      <c r="I974" t="s">
        <v>77</v>
      </c>
    </row>
    <row r="975" spans="1:9">
      <c r="A975">
        <v>320595</v>
      </c>
      <c r="B975">
        <v>1158935</v>
      </c>
      <c r="C975">
        <v>1</v>
      </c>
      <c r="D975" t="s">
        <v>1695</v>
      </c>
      <c r="E975">
        <v>1731</v>
      </c>
      <c r="F975" t="s">
        <v>41</v>
      </c>
      <c r="G975" t="s">
        <v>41</v>
      </c>
      <c r="I975" t="s">
        <v>77</v>
      </c>
    </row>
    <row r="976" spans="1:9">
      <c r="A976">
        <v>320596</v>
      </c>
      <c r="B976">
        <v>1158935</v>
      </c>
      <c r="C976">
        <v>2</v>
      </c>
      <c r="D976" t="s">
        <v>1695</v>
      </c>
      <c r="E976">
        <v>1731</v>
      </c>
      <c r="F976" t="s">
        <v>41</v>
      </c>
      <c r="G976" t="s">
        <v>41</v>
      </c>
      <c r="I976" t="s">
        <v>77</v>
      </c>
    </row>
    <row r="977" spans="1:9">
      <c r="A977">
        <v>320687</v>
      </c>
      <c r="B977">
        <v>1158978</v>
      </c>
      <c r="C977">
        <v>1</v>
      </c>
      <c r="D977" t="s">
        <v>1695</v>
      </c>
      <c r="E977">
        <v>1854</v>
      </c>
      <c r="F977" t="s">
        <v>41</v>
      </c>
      <c r="G977" t="s">
        <v>37</v>
      </c>
      <c r="H977">
        <v>33318</v>
      </c>
      <c r="I977" t="s">
        <v>77</v>
      </c>
    </row>
    <row r="978" spans="1:9">
      <c r="A978">
        <v>320688</v>
      </c>
      <c r="B978">
        <v>1158978</v>
      </c>
      <c r="C978">
        <v>2</v>
      </c>
      <c r="D978" t="s">
        <v>1697</v>
      </c>
      <c r="E978">
        <v>927</v>
      </c>
      <c r="F978" t="s">
        <v>41</v>
      </c>
      <c r="G978" t="s">
        <v>37</v>
      </c>
      <c r="H978">
        <v>33318</v>
      </c>
      <c r="I978" t="s">
        <v>77</v>
      </c>
    </row>
    <row r="979" spans="1:9">
      <c r="A979">
        <v>320689</v>
      </c>
      <c r="B979">
        <v>1158978</v>
      </c>
      <c r="C979">
        <v>3</v>
      </c>
      <c r="D979" t="s">
        <v>1695</v>
      </c>
      <c r="E979">
        <v>1854</v>
      </c>
      <c r="F979" t="s">
        <v>41</v>
      </c>
      <c r="G979" t="s">
        <v>37</v>
      </c>
      <c r="H979">
        <v>33318</v>
      </c>
      <c r="I979" t="s">
        <v>77</v>
      </c>
    </row>
    <row r="980" spans="1:9">
      <c r="A980">
        <v>320690</v>
      </c>
      <c r="B980">
        <v>1158978</v>
      </c>
      <c r="C980">
        <v>4</v>
      </c>
      <c r="D980" t="s">
        <v>1695</v>
      </c>
      <c r="E980">
        <v>1854</v>
      </c>
      <c r="F980" t="s">
        <v>41</v>
      </c>
      <c r="G980" t="s">
        <v>37</v>
      </c>
      <c r="H980">
        <v>33318</v>
      </c>
      <c r="I980" t="s">
        <v>77</v>
      </c>
    </row>
    <row r="981" spans="1:9">
      <c r="A981">
        <v>320691</v>
      </c>
      <c r="B981">
        <v>1158978</v>
      </c>
      <c r="C981">
        <v>5</v>
      </c>
      <c r="D981" t="s">
        <v>1695</v>
      </c>
      <c r="E981">
        <v>1854</v>
      </c>
      <c r="F981" t="s">
        <v>41</v>
      </c>
      <c r="G981" t="s">
        <v>37</v>
      </c>
      <c r="H981">
        <v>33318</v>
      </c>
      <c r="I981" t="s">
        <v>77</v>
      </c>
    </row>
    <row r="982" spans="1:9">
      <c r="A982">
        <v>322103</v>
      </c>
      <c r="B982">
        <v>1159674</v>
      </c>
      <c r="C982">
        <v>1</v>
      </c>
      <c r="D982" t="s">
        <v>1695</v>
      </c>
      <c r="E982">
        <v>1053</v>
      </c>
      <c r="F982" t="s">
        <v>41</v>
      </c>
      <c r="G982" t="s">
        <v>37</v>
      </c>
      <c r="H982">
        <v>32265</v>
      </c>
      <c r="I982" t="s">
        <v>77</v>
      </c>
    </row>
    <row r="983" spans="1:9">
      <c r="A983">
        <v>322104</v>
      </c>
      <c r="B983">
        <v>1159674</v>
      </c>
      <c r="C983">
        <v>2</v>
      </c>
      <c r="D983" t="s">
        <v>1695</v>
      </c>
      <c r="E983">
        <v>1053</v>
      </c>
      <c r="F983" t="s">
        <v>41</v>
      </c>
      <c r="G983" t="s">
        <v>37</v>
      </c>
      <c r="H983">
        <v>32265</v>
      </c>
      <c r="I983" t="s">
        <v>77</v>
      </c>
    </row>
    <row r="984" spans="1:9">
      <c r="A984">
        <v>322956</v>
      </c>
      <c r="B984">
        <v>1160118</v>
      </c>
      <c r="C984">
        <v>1</v>
      </c>
      <c r="D984" t="s">
        <v>1695</v>
      </c>
      <c r="E984">
        <v>950</v>
      </c>
      <c r="F984" t="s">
        <v>47</v>
      </c>
      <c r="G984" t="s">
        <v>47</v>
      </c>
      <c r="I984" t="s">
        <v>77</v>
      </c>
    </row>
    <row r="985" spans="1:9">
      <c r="A985">
        <v>322961</v>
      </c>
      <c r="B985">
        <v>1160122</v>
      </c>
      <c r="C985">
        <v>1</v>
      </c>
      <c r="E985">
        <v>1183</v>
      </c>
      <c r="F985" t="s">
        <v>41</v>
      </c>
      <c r="G985" t="s">
        <v>41</v>
      </c>
      <c r="I985" t="s">
        <v>77</v>
      </c>
    </row>
    <row r="986" spans="1:9">
      <c r="A986">
        <v>323013</v>
      </c>
      <c r="B986">
        <v>1160148</v>
      </c>
      <c r="C986">
        <v>1</v>
      </c>
      <c r="D986" t="s">
        <v>1695</v>
      </c>
      <c r="E986">
        <v>870</v>
      </c>
      <c r="F986" t="s">
        <v>41</v>
      </c>
      <c r="G986" t="s">
        <v>41</v>
      </c>
      <c r="I986" t="s">
        <v>77</v>
      </c>
    </row>
    <row r="987" spans="1:9">
      <c r="A987">
        <v>323014</v>
      </c>
      <c r="B987">
        <v>1160148</v>
      </c>
      <c r="C987">
        <v>2</v>
      </c>
      <c r="D987" t="s">
        <v>1695</v>
      </c>
      <c r="E987">
        <v>870</v>
      </c>
      <c r="F987" t="s">
        <v>41</v>
      </c>
      <c r="G987" t="s">
        <v>41</v>
      </c>
      <c r="I987" t="s">
        <v>77</v>
      </c>
    </row>
    <row r="988" spans="1:9">
      <c r="A988">
        <v>323015</v>
      </c>
      <c r="B988">
        <v>1160148</v>
      </c>
      <c r="C988">
        <v>3</v>
      </c>
      <c r="D988" t="s">
        <v>1695</v>
      </c>
      <c r="E988">
        <v>870</v>
      </c>
      <c r="F988" t="s">
        <v>41</v>
      </c>
      <c r="G988" t="s">
        <v>41</v>
      </c>
      <c r="I988" t="s">
        <v>77</v>
      </c>
    </row>
    <row r="989" spans="1:9">
      <c r="A989">
        <v>323016</v>
      </c>
      <c r="B989">
        <v>1160148</v>
      </c>
      <c r="C989">
        <v>4</v>
      </c>
      <c r="D989" t="s">
        <v>1695</v>
      </c>
      <c r="E989">
        <v>870</v>
      </c>
      <c r="F989" t="s">
        <v>41</v>
      </c>
      <c r="G989" t="s">
        <v>41</v>
      </c>
      <c r="I989" t="s">
        <v>77</v>
      </c>
    </row>
    <row r="990" spans="1:9">
      <c r="A990">
        <v>323017</v>
      </c>
      <c r="B990">
        <v>1160148</v>
      </c>
      <c r="C990">
        <v>5</v>
      </c>
      <c r="D990" t="s">
        <v>1695</v>
      </c>
      <c r="E990">
        <v>870</v>
      </c>
      <c r="F990" t="s">
        <v>41</v>
      </c>
      <c r="G990" t="s">
        <v>41</v>
      </c>
      <c r="I990" t="s">
        <v>77</v>
      </c>
    </row>
    <row r="991" spans="1:9">
      <c r="A991">
        <v>324152</v>
      </c>
      <c r="B991">
        <v>1160688</v>
      </c>
      <c r="C991">
        <v>1</v>
      </c>
      <c r="D991" t="s">
        <v>1695</v>
      </c>
      <c r="E991">
        <v>833</v>
      </c>
      <c r="F991" t="s">
        <v>41</v>
      </c>
      <c r="G991" t="s">
        <v>41</v>
      </c>
      <c r="I991" t="s">
        <v>77</v>
      </c>
    </row>
    <row r="992" spans="1:9">
      <c r="A992">
        <v>325080</v>
      </c>
      <c r="B992">
        <v>1161167</v>
      </c>
      <c r="C992">
        <v>1</v>
      </c>
      <c r="D992" t="s">
        <v>1695</v>
      </c>
      <c r="E992">
        <v>1731</v>
      </c>
      <c r="F992" t="s">
        <v>41</v>
      </c>
      <c r="G992" t="s">
        <v>41</v>
      </c>
      <c r="I992" t="s">
        <v>77</v>
      </c>
    </row>
    <row r="993" spans="1:9">
      <c r="A993">
        <v>325291</v>
      </c>
      <c r="B993">
        <v>1161274</v>
      </c>
      <c r="C993">
        <v>1</v>
      </c>
      <c r="D993" t="s">
        <v>1695</v>
      </c>
      <c r="E993">
        <v>1854</v>
      </c>
      <c r="F993" t="s">
        <v>41</v>
      </c>
      <c r="G993" t="s">
        <v>41</v>
      </c>
      <c r="I993" t="s">
        <v>77</v>
      </c>
    </row>
    <row r="994" spans="1:9">
      <c r="A994">
        <v>325292</v>
      </c>
      <c r="B994">
        <v>1161274</v>
      </c>
      <c r="C994">
        <v>2</v>
      </c>
      <c r="D994" t="s">
        <v>1695</v>
      </c>
      <c r="E994">
        <v>1854</v>
      </c>
      <c r="F994" t="s">
        <v>41</v>
      </c>
      <c r="G994" t="s">
        <v>41</v>
      </c>
      <c r="I994" t="s">
        <v>77</v>
      </c>
    </row>
    <row r="995" spans="1:9">
      <c r="A995">
        <v>325799</v>
      </c>
      <c r="B995">
        <v>1161513</v>
      </c>
      <c r="C995">
        <v>1</v>
      </c>
      <c r="D995" t="s">
        <v>1695</v>
      </c>
      <c r="E995">
        <v>582</v>
      </c>
      <c r="F995" t="s">
        <v>41</v>
      </c>
      <c r="G995" t="s">
        <v>41</v>
      </c>
      <c r="I995" t="s">
        <v>77</v>
      </c>
    </row>
    <row r="996" spans="1:9">
      <c r="A996">
        <v>326945</v>
      </c>
      <c r="B996">
        <v>1162063</v>
      </c>
      <c r="C996">
        <v>1</v>
      </c>
      <c r="D996" t="s">
        <v>1696</v>
      </c>
      <c r="E996">
        <v>1512</v>
      </c>
      <c r="F996" t="s">
        <v>47</v>
      </c>
      <c r="G996" t="s">
        <v>37</v>
      </c>
      <c r="H996">
        <v>32815</v>
      </c>
      <c r="I996" t="s">
        <v>77</v>
      </c>
    </row>
    <row r="997" spans="1:9">
      <c r="A997">
        <v>328027</v>
      </c>
      <c r="B997">
        <v>1162577</v>
      </c>
      <c r="C997">
        <v>1</v>
      </c>
      <c r="D997" t="s">
        <v>1696</v>
      </c>
      <c r="E997">
        <v>710</v>
      </c>
      <c r="F997" t="s">
        <v>41</v>
      </c>
      <c r="G997" t="s">
        <v>41</v>
      </c>
      <c r="I997" t="s">
        <v>77</v>
      </c>
    </row>
    <row r="998" spans="1:9">
      <c r="A998">
        <v>328186</v>
      </c>
      <c r="B998">
        <v>1162647</v>
      </c>
      <c r="C998">
        <v>1</v>
      </c>
      <c r="D998" t="s">
        <v>1695</v>
      </c>
      <c r="E998">
        <v>941</v>
      </c>
      <c r="F998" t="s">
        <v>41</v>
      </c>
      <c r="G998" t="s">
        <v>37</v>
      </c>
      <c r="H998">
        <v>32807</v>
      </c>
      <c r="I998" t="s">
        <v>77</v>
      </c>
    </row>
    <row r="999" spans="1:9">
      <c r="A999">
        <v>328478</v>
      </c>
      <c r="B999">
        <v>1162802</v>
      </c>
      <c r="C999">
        <v>1</v>
      </c>
      <c r="D999" t="s">
        <v>1695</v>
      </c>
      <c r="E999">
        <v>700</v>
      </c>
      <c r="F999" t="s">
        <v>41</v>
      </c>
      <c r="G999" t="s">
        <v>41</v>
      </c>
      <c r="I999" t="s">
        <v>77</v>
      </c>
    </row>
    <row r="1000" spans="1:9">
      <c r="A1000">
        <v>328734</v>
      </c>
      <c r="B1000">
        <v>1162927</v>
      </c>
      <c r="C1000">
        <v>1</v>
      </c>
      <c r="D1000" t="s">
        <v>1695</v>
      </c>
      <c r="E1000">
        <v>700</v>
      </c>
      <c r="F1000" t="s">
        <v>41</v>
      </c>
      <c r="G1000" t="s">
        <v>41</v>
      </c>
      <c r="I1000" t="s">
        <v>77</v>
      </c>
    </row>
    <row r="1001" spans="1:9">
      <c r="A1001">
        <v>328735</v>
      </c>
      <c r="B1001">
        <v>1162927</v>
      </c>
      <c r="C1001">
        <v>2</v>
      </c>
      <c r="D1001" t="s">
        <v>1695</v>
      </c>
      <c r="E1001">
        <v>700</v>
      </c>
      <c r="F1001" t="s">
        <v>41</v>
      </c>
      <c r="G1001" t="s">
        <v>41</v>
      </c>
      <c r="I1001" t="s">
        <v>77</v>
      </c>
    </row>
    <row r="1002" spans="1:9">
      <c r="A1002">
        <v>329255</v>
      </c>
      <c r="B1002">
        <v>1163181</v>
      </c>
      <c r="C1002">
        <v>1</v>
      </c>
      <c r="D1002" t="s">
        <v>1695</v>
      </c>
      <c r="E1002">
        <v>2307</v>
      </c>
      <c r="F1002" t="s">
        <v>41</v>
      </c>
      <c r="G1002" t="s">
        <v>41</v>
      </c>
      <c r="I1002" t="s">
        <v>77</v>
      </c>
    </row>
    <row r="1003" spans="1:9">
      <c r="A1003">
        <v>329256</v>
      </c>
      <c r="B1003">
        <v>1163181</v>
      </c>
      <c r="C1003">
        <v>2</v>
      </c>
      <c r="D1003" t="s">
        <v>1695</v>
      </c>
      <c r="E1003">
        <v>2307</v>
      </c>
      <c r="F1003" t="s">
        <v>41</v>
      </c>
      <c r="G1003" t="s">
        <v>41</v>
      </c>
      <c r="I1003" t="s">
        <v>77</v>
      </c>
    </row>
    <row r="1004" spans="1:9">
      <c r="A1004">
        <v>329257</v>
      </c>
      <c r="B1004">
        <v>1163181</v>
      </c>
      <c r="C1004">
        <v>3</v>
      </c>
      <c r="D1004" t="s">
        <v>1695</v>
      </c>
      <c r="E1004">
        <v>2307</v>
      </c>
      <c r="F1004" t="s">
        <v>41</v>
      </c>
      <c r="G1004" t="s">
        <v>41</v>
      </c>
      <c r="I1004" t="s">
        <v>77</v>
      </c>
    </row>
    <row r="1005" spans="1:9">
      <c r="A1005">
        <v>330478</v>
      </c>
      <c r="B1005">
        <v>1163782</v>
      </c>
      <c r="C1005">
        <v>1</v>
      </c>
      <c r="D1005" t="s">
        <v>1696</v>
      </c>
      <c r="E1005">
        <v>1113</v>
      </c>
      <c r="F1005" t="s">
        <v>49</v>
      </c>
      <c r="G1005" t="s">
        <v>37</v>
      </c>
      <c r="H1005">
        <v>32963</v>
      </c>
      <c r="I1005" t="s">
        <v>77</v>
      </c>
    </row>
    <row r="1006" spans="1:9">
      <c r="A1006">
        <v>330479</v>
      </c>
      <c r="B1006">
        <v>1163782</v>
      </c>
      <c r="C1006">
        <v>2</v>
      </c>
      <c r="D1006" t="s">
        <v>1695</v>
      </c>
      <c r="E1006">
        <v>1854</v>
      </c>
      <c r="F1006" t="s">
        <v>49</v>
      </c>
      <c r="G1006" t="s">
        <v>37</v>
      </c>
      <c r="H1006">
        <v>32963</v>
      </c>
      <c r="I1006" t="s">
        <v>77</v>
      </c>
    </row>
    <row r="1007" spans="1:9">
      <c r="A1007">
        <v>330527</v>
      </c>
      <c r="B1007">
        <v>1163803</v>
      </c>
      <c r="C1007">
        <v>1</v>
      </c>
      <c r="D1007" t="s">
        <v>1695</v>
      </c>
      <c r="E1007">
        <v>544</v>
      </c>
      <c r="F1007" t="s">
        <v>41</v>
      </c>
      <c r="G1007" t="s">
        <v>41</v>
      </c>
      <c r="I1007" t="s">
        <v>77</v>
      </c>
    </row>
    <row r="1008" spans="1:9">
      <c r="A1008">
        <v>331027</v>
      </c>
      <c r="B1008">
        <v>1164059</v>
      </c>
      <c r="C1008">
        <v>1</v>
      </c>
      <c r="D1008" t="s">
        <v>1695</v>
      </c>
      <c r="E1008">
        <v>906</v>
      </c>
      <c r="F1008" t="s">
        <v>41</v>
      </c>
      <c r="G1008" t="s">
        <v>37</v>
      </c>
      <c r="H1008">
        <v>34535</v>
      </c>
      <c r="I1008" t="s">
        <v>77</v>
      </c>
    </row>
    <row r="1009" spans="1:9">
      <c r="A1009">
        <v>331295</v>
      </c>
      <c r="B1009">
        <v>1164189</v>
      </c>
      <c r="C1009">
        <v>1</v>
      </c>
      <c r="D1009" t="s">
        <v>1695</v>
      </c>
      <c r="E1009">
        <v>1212</v>
      </c>
      <c r="F1009" t="s">
        <v>41</v>
      </c>
      <c r="G1009" t="s">
        <v>41</v>
      </c>
      <c r="I1009" t="s">
        <v>77</v>
      </c>
    </row>
    <row r="1010" spans="1:9">
      <c r="A1010">
        <v>332674</v>
      </c>
      <c r="B1010">
        <v>1164898</v>
      </c>
      <c r="C1010">
        <v>1</v>
      </c>
      <c r="D1010" t="s">
        <v>1695</v>
      </c>
      <c r="E1010">
        <v>654</v>
      </c>
      <c r="F1010" t="s">
        <v>49</v>
      </c>
      <c r="G1010" t="s">
        <v>49</v>
      </c>
      <c r="H1010">
        <v>34140</v>
      </c>
      <c r="I1010" t="s">
        <v>77</v>
      </c>
    </row>
    <row r="1011" spans="1:9">
      <c r="A1011">
        <v>332789</v>
      </c>
      <c r="B1011">
        <v>1164953</v>
      </c>
      <c r="C1011">
        <v>1</v>
      </c>
      <c r="D1011" t="s">
        <v>1695</v>
      </c>
      <c r="E1011">
        <v>1731</v>
      </c>
      <c r="F1011" t="s">
        <v>41</v>
      </c>
      <c r="G1011" t="s">
        <v>41</v>
      </c>
      <c r="I1011" t="s">
        <v>77</v>
      </c>
    </row>
    <row r="1012" spans="1:9">
      <c r="A1012">
        <v>332790</v>
      </c>
      <c r="B1012">
        <v>1164953</v>
      </c>
      <c r="C1012">
        <v>2</v>
      </c>
      <c r="D1012" t="s">
        <v>1697</v>
      </c>
      <c r="E1012">
        <v>866</v>
      </c>
      <c r="F1012" t="s">
        <v>41</v>
      </c>
      <c r="G1012" t="s">
        <v>41</v>
      </c>
      <c r="I1012" t="s">
        <v>77</v>
      </c>
    </row>
    <row r="1013" spans="1:9">
      <c r="A1013">
        <v>332791</v>
      </c>
      <c r="B1013">
        <v>1164953</v>
      </c>
      <c r="C1013">
        <v>3</v>
      </c>
      <c r="D1013" t="s">
        <v>1696</v>
      </c>
      <c r="E1013">
        <v>1039</v>
      </c>
      <c r="F1013" t="s">
        <v>41</v>
      </c>
      <c r="G1013" t="s">
        <v>41</v>
      </c>
      <c r="I1013" t="s">
        <v>77</v>
      </c>
    </row>
    <row r="1014" spans="1:9">
      <c r="A1014">
        <v>332792</v>
      </c>
      <c r="B1014">
        <v>1164953</v>
      </c>
      <c r="C1014">
        <v>4</v>
      </c>
      <c r="D1014" t="s">
        <v>1695</v>
      </c>
      <c r="E1014">
        <v>1731</v>
      </c>
      <c r="F1014" t="s">
        <v>41</v>
      </c>
      <c r="G1014" t="s">
        <v>41</v>
      </c>
      <c r="I1014" t="s">
        <v>77</v>
      </c>
    </row>
    <row r="1015" spans="1:9">
      <c r="A1015">
        <v>333147</v>
      </c>
      <c r="B1015">
        <v>1165115</v>
      </c>
      <c r="C1015">
        <v>1</v>
      </c>
      <c r="D1015" t="s">
        <v>1696</v>
      </c>
      <c r="E1015">
        <v>549</v>
      </c>
      <c r="F1015" t="s">
        <v>41</v>
      </c>
      <c r="G1015" t="s">
        <v>37</v>
      </c>
      <c r="H1015">
        <v>33863</v>
      </c>
      <c r="I1015" t="s">
        <v>77</v>
      </c>
    </row>
    <row r="1016" spans="1:9">
      <c r="A1016">
        <v>333148</v>
      </c>
      <c r="B1016">
        <v>1165115</v>
      </c>
      <c r="C1016">
        <v>2</v>
      </c>
      <c r="D1016" t="s">
        <v>1697</v>
      </c>
      <c r="E1016">
        <v>458</v>
      </c>
      <c r="F1016" t="s">
        <v>41</v>
      </c>
      <c r="G1016" t="s">
        <v>37</v>
      </c>
      <c r="H1016">
        <v>33863</v>
      </c>
      <c r="I1016" t="s">
        <v>77</v>
      </c>
    </row>
    <row r="1017" spans="1:9">
      <c r="A1017">
        <v>333149</v>
      </c>
      <c r="B1017">
        <v>1165115</v>
      </c>
      <c r="C1017">
        <v>3</v>
      </c>
      <c r="D1017" t="s">
        <v>1695</v>
      </c>
      <c r="E1017">
        <v>916</v>
      </c>
      <c r="F1017" t="s">
        <v>41</v>
      </c>
      <c r="G1017" t="s">
        <v>37</v>
      </c>
      <c r="H1017">
        <v>33863</v>
      </c>
      <c r="I1017" t="s">
        <v>77</v>
      </c>
    </row>
    <row r="1018" spans="1:9">
      <c r="A1018">
        <v>333150</v>
      </c>
      <c r="B1018">
        <v>1165115</v>
      </c>
      <c r="C1018">
        <v>4</v>
      </c>
      <c r="D1018" t="s">
        <v>1695</v>
      </c>
      <c r="E1018">
        <v>916</v>
      </c>
      <c r="F1018" t="s">
        <v>41</v>
      </c>
      <c r="G1018" t="s">
        <v>37</v>
      </c>
      <c r="H1018">
        <v>33863</v>
      </c>
      <c r="I1018" t="s">
        <v>77</v>
      </c>
    </row>
    <row r="1019" spans="1:9">
      <c r="A1019">
        <v>333151</v>
      </c>
      <c r="B1019">
        <v>1165115</v>
      </c>
      <c r="C1019">
        <v>5</v>
      </c>
      <c r="D1019" t="s">
        <v>1695</v>
      </c>
      <c r="E1019">
        <v>916</v>
      </c>
      <c r="F1019" t="s">
        <v>41</v>
      </c>
      <c r="G1019" t="s">
        <v>37</v>
      </c>
      <c r="H1019">
        <v>33863</v>
      </c>
      <c r="I1019" t="s">
        <v>77</v>
      </c>
    </row>
    <row r="1020" spans="1:9">
      <c r="A1020">
        <v>333179</v>
      </c>
      <c r="B1020">
        <v>1165130</v>
      </c>
      <c r="C1020">
        <v>1</v>
      </c>
      <c r="D1020" t="s">
        <v>1696</v>
      </c>
      <c r="E1020">
        <v>1039</v>
      </c>
      <c r="F1020" t="s">
        <v>49</v>
      </c>
      <c r="G1020" t="s">
        <v>37</v>
      </c>
      <c r="H1020">
        <v>33600</v>
      </c>
      <c r="I1020" t="s">
        <v>77</v>
      </c>
    </row>
    <row r="1021" spans="1:9">
      <c r="A1021">
        <v>333978</v>
      </c>
      <c r="B1021">
        <v>1165520</v>
      </c>
      <c r="C1021">
        <v>1</v>
      </c>
      <c r="E1021">
        <v>654</v>
      </c>
      <c r="F1021" t="s">
        <v>49</v>
      </c>
      <c r="G1021" t="s">
        <v>47</v>
      </c>
      <c r="I1021" t="s">
        <v>77</v>
      </c>
    </row>
    <row r="1022" spans="1:9">
      <c r="A1022">
        <v>334296</v>
      </c>
      <c r="B1022">
        <v>1165685</v>
      </c>
      <c r="C1022">
        <v>1</v>
      </c>
      <c r="D1022" t="s">
        <v>1695</v>
      </c>
      <c r="E1022">
        <v>1049</v>
      </c>
      <c r="F1022" t="s">
        <v>41</v>
      </c>
      <c r="G1022" t="s">
        <v>41</v>
      </c>
      <c r="I1022" t="s">
        <v>77</v>
      </c>
    </row>
    <row r="1023" spans="1:9">
      <c r="A1023">
        <v>334297</v>
      </c>
      <c r="B1023">
        <v>1165685</v>
      </c>
      <c r="C1023">
        <v>2</v>
      </c>
      <c r="D1023" t="s">
        <v>1695</v>
      </c>
      <c r="E1023">
        <v>1049</v>
      </c>
      <c r="F1023" t="s">
        <v>41</v>
      </c>
      <c r="G1023" t="s">
        <v>41</v>
      </c>
      <c r="I1023" t="s">
        <v>77</v>
      </c>
    </row>
    <row r="1024" spans="1:9">
      <c r="A1024">
        <v>334901</v>
      </c>
      <c r="B1024">
        <v>1165984</v>
      </c>
      <c r="C1024">
        <v>1</v>
      </c>
      <c r="D1024" t="s">
        <v>1695</v>
      </c>
      <c r="E1024">
        <v>288</v>
      </c>
      <c r="F1024" t="s">
        <v>41</v>
      </c>
      <c r="G1024" t="s">
        <v>41</v>
      </c>
      <c r="I1024" t="s">
        <v>77</v>
      </c>
    </row>
    <row r="1025" spans="1:9">
      <c r="A1025">
        <v>334902</v>
      </c>
      <c r="B1025">
        <v>1165984</v>
      </c>
      <c r="C1025">
        <v>2</v>
      </c>
      <c r="D1025" t="s">
        <v>1695</v>
      </c>
      <c r="E1025">
        <v>288</v>
      </c>
      <c r="F1025" t="s">
        <v>41</v>
      </c>
      <c r="G1025" t="s">
        <v>41</v>
      </c>
      <c r="I1025" t="s">
        <v>77</v>
      </c>
    </row>
    <row r="1026" spans="1:9">
      <c r="A1026">
        <v>334903</v>
      </c>
      <c r="B1026">
        <v>1165984</v>
      </c>
      <c r="C1026">
        <v>3</v>
      </c>
      <c r="D1026" t="s">
        <v>1695</v>
      </c>
      <c r="E1026">
        <v>288</v>
      </c>
      <c r="F1026" t="s">
        <v>41</v>
      </c>
      <c r="G1026" t="s">
        <v>41</v>
      </c>
      <c r="I1026" t="s">
        <v>77</v>
      </c>
    </row>
    <row r="1027" spans="1:9">
      <c r="A1027">
        <v>334904</v>
      </c>
      <c r="B1027">
        <v>1165984</v>
      </c>
      <c r="C1027">
        <v>4</v>
      </c>
      <c r="D1027" t="s">
        <v>1695</v>
      </c>
      <c r="E1027">
        <v>288</v>
      </c>
      <c r="F1027" t="s">
        <v>41</v>
      </c>
      <c r="G1027" t="s">
        <v>41</v>
      </c>
      <c r="I1027" t="s">
        <v>77</v>
      </c>
    </row>
    <row r="1028" spans="1:9">
      <c r="A1028">
        <v>334945</v>
      </c>
      <c r="B1028">
        <v>1166012</v>
      </c>
      <c r="C1028">
        <v>1</v>
      </c>
      <c r="D1028" t="s">
        <v>1695</v>
      </c>
      <c r="E1028">
        <v>4198</v>
      </c>
      <c r="F1028" t="s">
        <v>41</v>
      </c>
      <c r="G1028" t="s">
        <v>41</v>
      </c>
      <c r="I1028" t="s">
        <v>77</v>
      </c>
    </row>
    <row r="1029" spans="1:9">
      <c r="A1029">
        <v>335082</v>
      </c>
      <c r="B1029">
        <v>1166075</v>
      </c>
      <c r="C1029">
        <v>1</v>
      </c>
      <c r="D1029" t="s">
        <v>1695</v>
      </c>
      <c r="E1029">
        <v>4342</v>
      </c>
      <c r="F1029" t="s">
        <v>41</v>
      </c>
      <c r="G1029" t="s">
        <v>41</v>
      </c>
      <c r="I1029" t="s">
        <v>77</v>
      </c>
    </row>
    <row r="1030" spans="1:9">
      <c r="A1030">
        <v>335083</v>
      </c>
      <c r="B1030">
        <v>1166075</v>
      </c>
      <c r="C1030">
        <v>2</v>
      </c>
      <c r="D1030" t="s">
        <v>1695</v>
      </c>
      <c r="E1030">
        <v>4342</v>
      </c>
      <c r="F1030" t="s">
        <v>41</v>
      </c>
      <c r="G1030" t="s">
        <v>41</v>
      </c>
      <c r="I1030" t="s">
        <v>77</v>
      </c>
    </row>
    <row r="1031" spans="1:9">
      <c r="A1031">
        <v>335103</v>
      </c>
      <c r="B1031">
        <v>1166085</v>
      </c>
      <c r="C1031">
        <v>1</v>
      </c>
      <c r="D1031" t="s">
        <v>1695</v>
      </c>
      <c r="E1031">
        <v>1053</v>
      </c>
      <c r="F1031" t="s">
        <v>41</v>
      </c>
      <c r="G1031" t="s">
        <v>37</v>
      </c>
      <c r="H1031">
        <v>33672</v>
      </c>
      <c r="I1031" t="s">
        <v>77</v>
      </c>
    </row>
    <row r="1032" spans="1:9">
      <c r="A1032">
        <v>335104</v>
      </c>
      <c r="B1032">
        <v>1166085</v>
      </c>
      <c r="C1032">
        <v>2</v>
      </c>
      <c r="D1032" t="s">
        <v>1695</v>
      </c>
      <c r="E1032">
        <v>1053</v>
      </c>
      <c r="F1032" t="s">
        <v>41</v>
      </c>
      <c r="G1032" t="s">
        <v>37</v>
      </c>
      <c r="H1032">
        <v>33672</v>
      </c>
      <c r="I1032" t="s">
        <v>77</v>
      </c>
    </row>
    <row r="1033" spans="1:9">
      <c r="A1033">
        <v>335105</v>
      </c>
      <c r="B1033">
        <v>1166085</v>
      </c>
      <c r="C1033">
        <v>3</v>
      </c>
      <c r="D1033" t="s">
        <v>1695</v>
      </c>
      <c r="E1033">
        <v>1053</v>
      </c>
      <c r="F1033" t="s">
        <v>41</v>
      </c>
      <c r="G1033" t="s">
        <v>37</v>
      </c>
      <c r="H1033">
        <v>33672</v>
      </c>
      <c r="I1033" t="s">
        <v>77</v>
      </c>
    </row>
    <row r="1034" spans="1:9">
      <c r="A1034">
        <v>335106</v>
      </c>
      <c r="B1034">
        <v>1166085</v>
      </c>
      <c r="C1034">
        <v>4</v>
      </c>
      <c r="D1034" t="s">
        <v>1695</v>
      </c>
      <c r="E1034">
        <v>1053</v>
      </c>
      <c r="F1034" t="s">
        <v>41</v>
      </c>
      <c r="G1034" t="s">
        <v>41</v>
      </c>
      <c r="I1034" t="s">
        <v>77</v>
      </c>
    </row>
    <row r="1035" spans="1:9">
      <c r="A1035">
        <v>335378</v>
      </c>
      <c r="B1035">
        <v>1166228</v>
      </c>
      <c r="C1035">
        <v>1</v>
      </c>
      <c r="D1035" t="s">
        <v>1696</v>
      </c>
      <c r="E1035">
        <v>994</v>
      </c>
      <c r="F1035" t="s">
        <v>47</v>
      </c>
      <c r="G1035" t="s">
        <v>41</v>
      </c>
      <c r="I1035" t="s">
        <v>77</v>
      </c>
    </row>
    <row r="1036" spans="1:9">
      <c r="A1036">
        <v>335379</v>
      </c>
      <c r="B1036">
        <v>1166228</v>
      </c>
      <c r="C1036">
        <v>2</v>
      </c>
      <c r="D1036" t="s">
        <v>1695</v>
      </c>
      <c r="E1036">
        <v>1657</v>
      </c>
      <c r="F1036" t="s">
        <v>47</v>
      </c>
      <c r="G1036" t="s">
        <v>41</v>
      </c>
      <c r="I1036" t="s">
        <v>77</v>
      </c>
    </row>
    <row r="1037" spans="1:9">
      <c r="A1037">
        <v>335380</v>
      </c>
      <c r="B1037">
        <v>1166228</v>
      </c>
      <c r="C1037">
        <v>3</v>
      </c>
      <c r="D1037" t="s">
        <v>1695</v>
      </c>
      <c r="E1037">
        <v>1657</v>
      </c>
      <c r="F1037" t="s">
        <v>47</v>
      </c>
      <c r="G1037" t="s">
        <v>41</v>
      </c>
      <c r="I1037" t="s">
        <v>77</v>
      </c>
    </row>
    <row r="1038" spans="1:9">
      <c r="A1038">
        <v>335381</v>
      </c>
      <c r="B1038">
        <v>1166228</v>
      </c>
      <c r="C1038">
        <v>4</v>
      </c>
      <c r="D1038" t="s">
        <v>1695</v>
      </c>
      <c r="E1038">
        <v>1657</v>
      </c>
      <c r="F1038" t="s">
        <v>47</v>
      </c>
      <c r="G1038" t="s">
        <v>41</v>
      </c>
      <c r="I1038" t="s">
        <v>77</v>
      </c>
    </row>
    <row r="1039" spans="1:9">
      <c r="A1039">
        <v>335999</v>
      </c>
      <c r="B1039">
        <v>1166538</v>
      </c>
      <c r="C1039">
        <v>1</v>
      </c>
      <c r="D1039" t="s">
        <v>1695</v>
      </c>
      <c r="E1039">
        <v>544</v>
      </c>
      <c r="F1039" t="s">
        <v>41</v>
      </c>
      <c r="G1039" t="s">
        <v>37</v>
      </c>
      <c r="H1039">
        <v>36506</v>
      </c>
      <c r="I1039" t="s">
        <v>77</v>
      </c>
    </row>
    <row r="1040" spans="1:9">
      <c r="A1040">
        <v>336539</v>
      </c>
      <c r="B1040">
        <v>1166805</v>
      </c>
      <c r="C1040">
        <v>1</v>
      </c>
      <c r="D1040" t="s">
        <v>1695</v>
      </c>
      <c r="E1040">
        <v>4198</v>
      </c>
      <c r="F1040" t="s">
        <v>41</v>
      </c>
      <c r="G1040" t="s">
        <v>41</v>
      </c>
      <c r="I1040" t="s">
        <v>77</v>
      </c>
    </row>
    <row r="1041" spans="1:9">
      <c r="A1041">
        <v>337620</v>
      </c>
      <c r="B1041">
        <v>1167325</v>
      </c>
      <c r="C1041">
        <v>1</v>
      </c>
      <c r="D1041" t="s">
        <v>1695</v>
      </c>
      <c r="E1041">
        <v>1049</v>
      </c>
      <c r="F1041" t="s">
        <v>41</v>
      </c>
      <c r="G1041" t="s">
        <v>41</v>
      </c>
      <c r="I1041" t="s">
        <v>77</v>
      </c>
    </row>
    <row r="1042" spans="1:9">
      <c r="A1042">
        <v>337621</v>
      </c>
      <c r="B1042">
        <v>1167325</v>
      </c>
      <c r="C1042">
        <v>2</v>
      </c>
      <c r="D1042" t="s">
        <v>1695</v>
      </c>
      <c r="E1042">
        <v>1049</v>
      </c>
      <c r="F1042" t="s">
        <v>41</v>
      </c>
      <c r="G1042" t="s">
        <v>41</v>
      </c>
      <c r="I1042" t="s">
        <v>77</v>
      </c>
    </row>
    <row r="1043" spans="1:9">
      <c r="A1043">
        <v>337622</v>
      </c>
      <c r="B1043">
        <v>1167325</v>
      </c>
      <c r="C1043">
        <v>3</v>
      </c>
      <c r="D1043" t="s">
        <v>1695</v>
      </c>
      <c r="E1043">
        <v>1049</v>
      </c>
      <c r="F1043" t="s">
        <v>41</v>
      </c>
      <c r="G1043" t="s">
        <v>41</v>
      </c>
      <c r="I1043" t="s">
        <v>77</v>
      </c>
    </row>
    <row r="1044" spans="1:9">
      <c r="A1044">
        <v>338591</v>
      </c>
      <c r="B1044">
        <v>1167777</v>
      </c>
      <c r="C1044">
        <v>1</v>
      </c>
      <c r="D1044" t="s">
        <v>1695</v>
      </c>
      <c r="E1044">
        <v>872</v>
      </c>
      <c r="F1044" t="s">
        <v>41</v>
      </c>
      <c r="G1044" t="s">
        <v>41</v>
      </c>
      <c r="I1044" t="s">
        <v>77</v>
      </c>
    </row>
    <row r="1045" spans="1:9">
      <c r="A1045">
        <v>339825</v>
      </c>
      <c r="B1045">
        <v>1168404</v>
      </c>
      <c r="C1045">
        <v>1</v>
      </c>
      <c r="D1045" t="s">
        <v>1695</v>
      </c>
      <c r="E1045">
        <v>544</v>
      </c>
      <c r="F1045" t="s">
        <v>49</v>
      </c>
      <c r="G1045" t="s">
        <v>49</v>
      </c>
      <c r="H1045">
        <v>34192</v>
      </c>
      <c r="I1045" t="s">
        <v>77</v>
      </c>
    </row>
    <row r="1046" spans="1:9">
      <c r="A1046">
        <v>340290</v>
      </c>
      <c r="B1046">
        <v>1168644</v>
      </c>
      <c r="C1046">
        <v>1</v>
      </c>
      <c r="D1046" t="s">
        <v>1695</v>
      </c>
      <c r="E1046">
        <v>1008</v>
      </c>
      <c r="F1046" t="s">
        <v>41</v>
      </c>
      <c r="G1046" t="s">
        <v>41</v>
      </c>
      <c r="I1046" t="s">
        <v>77</v>
      </c>
    </row>
    <row r="1047" spans="1:9">
      <c r="A1047">
        <v>340417</v>
      </c>
      <c r="B1047">
        <v>1168703</v>
      </c>
      <c r="C1047">
        <v>1</v>
      </c>
      <c r="D1047" t="s">
        <v>1695</v>
      </c>
      <c r="E1047">
        <v>916</v>
      </c>
      <c r="F1047" t="s">
        <v>49</v>
      </c>
      <c r="G1047" t="s">
        <v>49</v>
      </c>
      <c r="H1047">
        <v>35468</v>
      </c>
      <c r="I1047" t="s">
        <v>77</v>
      </c>
    </row>
    <row r="1048" spans="1:9">
      <c r="A1048">
        <v>341138</v>
      </c>
      <c r="B1048">
        <v>1169051</v>
      </c>
      <c r="C1048">
        <v>1</v>
      </c>
      <c r="D1048" t="s">
        <v>1695</v>
      </c>
      <c r="E1048">
        <v>2429</v>
      </c>
      <c r="F1048" t="s">
        <v>47</v>
      </c>
      <c r="G1048" t="s">
        <v>47</v>
      </c>
      <c r="I1048" t="s">
        <v>77</v>
      </c>
    </row>
    <row r="1049" spans="1:9">
      <c r="A1049">
        <v>341139</v>
      </c>
      <c r="B1049">
        <v>1169051</v>
      </c>
      <c r="C1049">
        <v>2</v>
      </c>
      <c r="D1049" t="s">
        <v>1695</v>
      </c>
      <c r="E1049">
        <v>2429</v>
      </c>
      <c r="F1049" t="s">
        <v>47</v>
      </c>
      <c r="G1049" t="s">
        <v>47</v>
      </c>
      <c r="I1049" t="s">
        <v>77</v>
      </c>
    </row>
    <row r="1050" spans="1:9">
      <c r="A1050">
        <v>341209</v>
      </c>
      <c r="B1050">
        <v>1169089</v>
      </c>
      <c r="C1050">
        <v>1</v>
      </c>
      <c r="D1050" t="s">
        <v>1696</v>
      </c>
      <c r="E1050">
        <v>1885</v>
      </c>
      <c r="F1050" t="s">
        <v>41</v>
      </c>
      <c r="G1050" t="s">
        <v>37</v>
      </c>
      <c r="H1050">
        <v>41398</v>
      </c>
      <c r="I1050" t="s">
        <v>77</v>
      </c>
    </row>
    <row r="1051" spans="1:9">
      <c r="A1051">
        <v>341561</v>
      </c>
      <c r="B1051">
        <v>1169250</v>
      </c>
      <c r="C1051">
        <v>1</v>
      </c>
      <c r="D1051" t="s">
        <v>1695</v>
      </c>
      <c r="E1051">
        <v>2264</v>
      </c>
      <c r="F1051" t="s">
        <v>41</v>
      </c>
      <c r="G1051" t="s">
        <v>41</v>
      </c>
      <c r="I1051" t="s">
        <v>77</v>
      </c>
    </row>
    <row r="1052" spans="1:9">
      <c r="A1052">
        <v>341988</v>
      </c>
      <c r="B1052">
        <v>1169457</v>
      </c>
      <c r="C1052">
        <v>1</v>
      </c>
      <c r="D1052" t="s">
        <v>1695</v>
      </c>
      <c r="E1052">
        <v>3142</v>
      </c>
      <c r="F1052" t="s">
        <v>41</v>
      </c>
      <c r="G1052" t="s">
        <v>41</v>
      </c>
      <c r="I1052" t="s">
        <v>77</v>
      </c>
    </row>
    <row r="1053" spans="1:9">
      <c r="A1053">
        <v>341989</v>
      </c>
      <c r="B1053">
        <v>1169457</v>
      </c>
      <c r="C1053">
        <v>2</v>
      </c>
      <c r="D1053" t="s">
        <v>1695</v>
      </c>
      <c r="E1053">
        <v>3142</v>
      </c>
      <c r="F1053" t="s">
        <v>41</v>
      </c>
      <c r="G1053" t="s">
        <v>41</v>
      </c>
      <c r="I1053" t="s">
        <v>77</v>
      </c>
    </row>
    <row r="1054" spans="1:9">
      <c r="A1054">
        <v>341990</v>
      </c>
      <c r="B1054">
        <v>1169457</v>
      </c>
      <c r="C1054">
        <v>3</v>
      </c>
      <c r="D1054" t="s">
        <v>1695</v>
      </c>
      <c r="E1054">
        <v>3142</v>
      </c>
      <c r="F1054" t="s">
        <v>41</v>
      </c>
      <c r="G1054" t="s">
        <v>41</v>
      </c>
      <c r="I1054" t="s">
        <v>77</v>
      </c>
    </row>
    <row r="1055" spans="1:9">
      <c r="A1055">
        <v>341991</v>
      </c>
      <c r="B1055">
        <v>1169457</v>
      </c>
      <c r="C1055">
        <v>4</v>
      </c>
      <c r="D1055" t="s">
        <v>1695</v>
      </c>
      <c r="E1055">
        <v>3142</v>
      </c>
      <c r="F1055" t="s">
        <v>41</v>
      </c>
      <c r="G1055" t="s">
        <v>41</v>
      </c>
      <c r="I1055" t="s">
        <v>77</v>
      </c>
    </row>
    <row r="1056" spans="1:9">
      <c r="A1056">
        <v>342390</v>
      </c>
      <c r="B1056">
        <v>1169665</v>
      </c>
      <c r="C1056">
        <v>1</v>
      </c>
      <c r="D1056" t="s">
        <v>1695</v>
      </c>
      <c r="E1056">
        <v>654</v>
      </c>
      <c r="F1056" t="s">
        <v>47</v>
      </c>
      <c r="G1056" t="s">
        <v>41</v>
      </c>
      <c r="I1056" t="s">
        <v>77</v>
      </c>
    </row>
    <row r="1057" spans="1:9">
      <c r="A1057">
        <v>342391</v>
      </c>
      <c r="B1057">
        <v>1169665</v>
      </c>
      <c r="C1057">
        <v>2</v>
      </c>
      <c r="D1057" t="s">
        <v>1695</v>
      </c>
      <c r="E1057">
        <v>654</v>
      </c>
      <c r="F1057" t="s">
        <v>47</v>
      </c>
      <c r="G1057" t="s">
        <v>41</v>
      </c>
      <c r="I1057" t="s">
        <v>77</v>
      </c>
    </row>
    <row r="1058" spans="1:9">
      <c r="A1058">
        <v>342759</v>
      </c>
      <c r="B1058">
        <v>1169847</v>
      </c>
      <c r="C1058">
        <v>1</v>
      </c>
      <c r="D1058" t="s">
        <v>1695</v>
      </c>
      <c r="E1058">
        <v>1390</v>
      </c>
      <c r="F1058" t="s">
        <v>47</v>
      </c>
      <c r="G1058" t="s">
        <v>41</v>
      </c>
      <c r="I1058" t="s">
        <v>77</v>
      </c>
    </row>
    <row r="1059" spans="1:9">
      <c r="A1059">
        <v>342760</v>
      </c>
      <c r="B1059">
        <v>1169847</v>
      </c>
      <c r="C1059">
        <v>2</v>
      </c>
      <c r="D1059" t="s">
        <v>1697</v>
      </c>
      <c r="E1059">
        <v>695</v>
      </c>
      <c r="F1059" t="s">
        <v>47</v>
      </c>
      <c r="G1059" t="s">
        <v>41</v>
      </c>
      <c r="I1059" t="s">
        <v>77</v>
      </c>
    </row>
    <row r="1060" spans="1:9">
      <c r="A1060">
        <v>342942</v>
      </c>
      <c r="B1060">
        <v>1169931</v>
      </c>
      <c r="C1060">
        <v>1</v>
      </c>
      <c r="D1060" t="s">
        <v>1695</v>
      </c>
      <c r="E1060">
        <v>753</v>
      </c>
      <c r="F1060" t="s">
        <v>41</v>
      </c>
      <c r="G1060" t="s">
        <v>41</v>
      </c>
      <c r="I1060" t="s">
        <v>77</v>
      </c>
    </row>
    <row r="1061" spans="1:9">
      <c r="A1061">
        <v>342943</v>
      </c>
      <c r="B1061">
        <v>1169931</v>
      </c>
      <c r="C1061">
        <v>2</v>
      </c>
      <c r="D1061" t="s">
        <v>1695</v>
      </c>
      <c r="E1061">
        <v>753</v>
      </c>
      <c r="F1061" t="s">
        <v>41</v>
      </c>
      <c r="G1061" t="s">
        <v>41</v>
      </c>
      <c r="I1061" t="s">
        <v>77</v>
      </c>
    </row>
    <row r="1062" spans="1:9">
      <c r="A1062">
        <v>342944</v>
      </c>
      <c r="B1062">
        <v>1169931</v>
      </c>
      <c r="C1062">
        <v>3</v>
      </c>
      <c r="D1062" t="s">
        <v>1696</v>
      </c>
      <c r="E1062">
        <v>452</v>
      </c>
      <c r="F1062" t="s">
        <v>41</v>
      </c>
      <c r="G1062" t="s">
        <v>41</v>
      </c>
      <c r="I1062" t="s">
        <v>77</v>
      </c>
    </row>
    <row r="1063" spans="1:9">
      <c r="A1063">
        <v>344152</v>
      </c>
      <c r="B1063">
        <v>1170529</v>
      </c>
      <c r="C1063">
        <v>1</v>
      </c>
      <c r="D1063" t="s">
        <v>1696</v>
      </c>
      <c r="E1063">
        <v>1278</v>
      </c>
      <c r="F1063" t="s">
        <v>41</v>
      </c>
      <c r="G1063" t="s">
        <v>41</v>
      </c>
      <c r="I1063" t="s">
        <v>77</v>
      </c>
    </row>
    <row r="1064" spans="1:9">
      <c r="A1064">
        <v>344166</v>
      </c>
      <c r="B1064">
        <v>1170536</v>
      </c>
      <c r="C1064">
        <v>1</v>
      </c>
      <c r="D1064" t="s">
        <v>1695</v>
      </c>
      <c r="E1064">
        <v>3694</v>
      </c>
      <c r="F1064" t="s">
        <v>41</v>
      </c>
      <c r="G1064" t="s">
        <v>41</v>
      </c>
      <c r="I1064" t="s">
        <v>77</v>
      </c>
    </row>
    <row r="1065" spans="1:9">
      <c r="A1065">
        <v>344247</v>
      </c>
      <c r="B1065">
        <v>1170583</v>
      </c>
      <c r="C1065">
        <v>1</v>
      </c>
      <c r="D1065" t="s">
        <v>1695</v>
      </c>
      <c r="E1065">
        <v>2520</v>
      </c>
      <c r="F1065" t="s">
        <v>49</v>
      </c>
      <c r="G1065" t="s">
        <v>49</v>
      </c>
      <c r="H1065">
        <v>35015</v>
      </c>
      <c r="I1065" t="s">
        <v>77</v>
      </c>
    </row>
    <row r="1066" spans="1:9">
      <c r="A1066">
        <v>344661</v>
      </c>
      <c r="B1066">
        <v>1170781</v>
      </c>
      <c r="C1066">
        <v>1</v>
      </c>
      <c r="D1066" t="s">
        <v>1695</v>
      </c>
      <c r="E1066">
        <v>834</v>
      </c>
      <c r="F1066" t="s">
        <v>41</v>
      </c>
      <c r="G1066" t="s">
        <v>41</v>
      </c>
      <c r="I1066" t="s">
        <v>77</v>
      </c>
    </row>
    <row r="1067" spans="1:9">
      <c r="A1067">
        <v>344662</v>
      </c>
      <c r="B1067">
        <v>1170781</v>
      </c>
      <c r="C1067">
        <v>2</v>
      </c>
      <c r="D1067" t="s">
        <v>1695</v>
      </c>
      <c r="E1067">
        <v>834</v>
      </c>
      <c r="F1067" t="s">
        <v>41</v>
      </c>
      <c r="G1067" t="s">
        <v>41</v>
      </c>
      <c r="I1067" t="s">
        <v>77</v>
      </c>
    </row>
    <row r="1068" spans="1:9">
      <c r="A1068">
        <v>344951</v>
      </c>
      <c r="B1068">
        <v>1170933</v>
      </c>
      <c r="C1068">
        <v>1</v>
      </c>
      <c r="D1068" t="s">
        <v>1695</v>
      </c>
      <c r="E1068">
        <v>3520</v>
      </c>
      <c r="F1068" t="s">
        <v>41</v>
      </c>
      <c r="G1068" t="s">
        <v>41</v>
      </c>
      <c r="I1068" t="s">
        <v>77</v>
      </c>
    </row>
    <row r="1069" spans="1:9">
      <c r="A1069">
        <v>344952</v>
      </c>
      <c r="B1069">
        <v>1170933</v>
      </c>
      <c r="C1069">
        <v>2</v>
      </c>
      <c r="D1069" t="s">
        <v>1695</v>
      </c>
      <c r="E1069">
        <v>3520</v>
      </c>
      <c r="F1069" t="s">
        <v>41</v>
      </c>
      <c r="G1069" t="s">
        <v>41</v>
      </c>
      <c r="I1069" t="s">
        <v>77</v>
      </c>
    </row>
    <row r="1070" spans="1:9">
      <c r="A1070">
        <v>344953</v>
      </c>
      <c r="B1070">
        <v>1170933</v>
      </c>
      <c r="C1070">
        <v>3</v>
      </c>
      <c r="D1070" t="s">
        <v>1695</v>
      </c>
      <c r="E1070">
        <v>3520</v>
      </c>
      <c r="F1070" t="s">
        <v>41</v>
      </c>
      <c r="G1070" t="s">
        <v>41</v>
      </c>
      <c r="I1070" t="s">
        <v>77</v>
      </c>
    </row>
    <row r="1071" spans="1:9">
      <c r="A1071">
        <v>344954</v>
      </c>
      <c r="B1071">
        <v>1170933</v>
      </c>
      <c r="C1071">
        <v>4</v>
      </c>
      <c r="D1071" t="s">
        <v>1695</v>
      </c>
      <c r="E1071">
        <v>3520</v>
      </c>
      <c r="F1071" t="s">
        <v>41</v>
      </c>
      <c r="G1071" t="s">
        <v>41</v>
      </c>
      <c r="I1071" t="s">
        <v>77</v>
      </c>
    </row>
    <row r="1072" spans="1:9">
      <c r="A1072">
        <v>344955</v>
      </c>
      <c r="B1072">
        <v>1170933</v>
      </c>
      <c r="C1072">
        <v>5</v>
      </c>
      <c r="D1072" t="s">
        <v>1697</v>
      </c>
      <c r="E1072">
        <v>1760</v>
      </c>
      <c r="F1072" t="s">
        <v>41</v>
      </c>
      <c r="G1072" t="s">
        <v>41</v>
      </c>
      <c r="I1072" t="s">
        <v>77</v>
      </c>
    </row>
    <row r="1073" spans="1:9">
      <c r="A1073">
        <v>344956</v>
      </c>
      <c r="B1073">
        <v>1170933</v>
      </c>
      <c r="C1073">
        <v>6</v>
      </c>
      <c r="D1073" t="s">
        <v>1695</v>
      </c>
      <c r="E1073">
        <v>3520</v>
      </c>
      <c r="F1073" t="s">
        <v>41</v>
      </c>
      <c r="G1073" t="s">
        <v>41</v>
      </c>
      <c r="I1073" t="s">
        <v>77</v>
      </c>
    </row>
    <row r="1074" spans="1:9">
      <c r="A1074">
        <v>345869</v>
      </c>
      <c r="B1074">
        <v>1171385</v>
      </c>
      <c r="C1074">
        <v>1</v>
      </c>
      <c r="D1074" t="s">
        <v>1696</v>
      </c>
      <c r="E1074">
        <v>1802</v>
      </c>
      <c r="F1074" t="s">
        <v>41</v>
      </c>
      <c r="G1074" t="s">
        <v>37</v>
      </c>
      <c r="H1074">
        <v>38236</v>
      </c>
      <c r="I1074" t="s">
        <v>77</v>
      </c>
    </row>
    <row r="1075" spans="1:9">
      <c r="A1075">
        <v>345870</v>
      </c>
      <c r="B1075">
        <v>1171385</v>
      </c>
      <c r="C1075">
        <v>2</v>
      </c>
      <c r="D1075" t="s">
        <v>1695</v>
      </c>
      <c r="E1075">
        <v>3003</v>
      </c>
      <c r="F1075" t="s">
        <v>41</v>
      </c>
      <c r="G1075" t="s">
        <v>37</v>
      </c>
      <c r="H1075">
        <v>38236</v>
      </c>
      <c r="I1075" t="s">
        <v>77</v>
      </c>
    </row>
    <row r="1076" spans="1:9">
      <c r="A1076">
        <v>346864</v>
      </c>
      <c r="B1076">
        <v>1171881</v>
      </c>
      <c r="C1076">
        <v>1</v>
      </c>
      <c r="D1076" t="s">
        <v>1695</v>
      </c>
      <c r="E1076">
        <v>-654</v>
      </c>
      <c r="F1076" t="s">
        <v>49</v>
      </c>
      <c r="G1076" t="s">
        <v>47</v>
      </c>
      <c r="I1076" t="s">
        <v>77</v>
      </c>
    </row>
    <row r="1077" spans="1:9">
      <c r="A1077">
        <v>347034</v>
      </c>
      <c r="B1077">
        <v>1171977</v>
      </c>
      <c r="C1077">
        <v>1</v>
      </c>
      <c r="D1077" t="s">
        <v>1695</v>
      </c>
      <c r="E1077">
        <v>2886</v>
      </c>
      <c r="F1077" t="s">
        <v>49</v>
      </c>
      <c r="G1077" t="s">
        <v>49</v>
      </c>
      <c r="H1077">
        <v>34856</v>
      </c>
      <c r="I1077" t="s">
        <v>77</v>
      </c>
    </row>
    <row r="1078" spans="1:9">
      <c r="A1078">
        <v>347035</v>
      </c>
      <c r="B1078">
        <v>1171977</v>
      </c>
      <c r="C1078">
        <v>2</v>
      </c>
      <c r="D1078" t="s">
        <v>1695</v>
      </c>
      <c r="E1078">
        <v>2886</v>
      </c>
      <c r="F1078" t="s">
        <v>49</v>
      </c>
      <c r="G1078" t="s">
        <v>49</v>
      </c>
      <c r="H1078">
        <v>34856</v>
      </c>
      <c r="I1078" t="s">
        <v>77</v>
      </c>
    </row>
    <row r="1079" spans="1:9">
      <c r="A1079">
        <v>348451</v>
      </c>
      <c r="B1079">
        <v>1172702</v>
      </c>
      <c r="C1079">
        <v>1</v>
      </c>
      <c r="D1079" t="s">
        <v>1695</v>
      </c>
      <c r="E1079">
        <v>2520</v>
      </c>
      <c r="F1079" t="s">
        <v>41</v>
      </c>
      <c r="G1079" t="s">
        <v>41</v>
      </c>
      <c r="I1079" t="s">
        <v>77</v>
      </c>
    </row>
    <row r="1080" spans="1:9">
      <c r="A1080">
        <v>349563</v>
      </c>
      <c r="B1080">
        <v>1173259</v>
      </c>
      <c r="C1080">
        <v>1</v>
      </c>
      <c r="D1080" t="s">
        <v>1695</v>
      </c>
      <c r="E1080">
        <v>544</v>
      </c>
      <c r="F1080" t="s">
        <v>41</v>
      </c>
      <c r="G1080" t="s">
        <v>41</v>
      </c>
      <c r="I1080" t="s">
        <v>77</v>
      </c>
    </row>
    <row r="1081" spans="1:9">
      <c r="A1081">
        <v>350586</v>
      </c>
      <c r="B1081">
        <v>1173778</v>
      </c>
      <c r="C1081">
        <v>1</v>
      </c>
      <c r="D1081" t="s">
        <v>1695</v>
      </c>
      <c r="E1081">
        <v>984</v>
      </c>
      <c r="F1081" t="s">
        <v>41</v>
      </c>
      <c r="G1081" t="s">
        <v>41</v>
      </c>
      <c r="I1081" t="s">
        <v>77</v>
      </c>
    </row>
    <row r="1082" spans="1:9">
      <c r="A1082">
        <v>350587</v>
      </c>
      <c r="B1082">
        <v>1173778</v>
      </c>
      <c r="C1082">
        <v>2</v>
      </c>
      <c r="D1082" t="s">
        <v>1696</v>
      </c>
      <c r="E1082">
        <v>591</v>
      </c>
      <c r="F1082" t="s">
        <v>41</v>
      </c>
      <c r="G1082" t="s">
        <v>41</v>
      </c>
      <c r="I1082" t="s">
        <v>77</v>
      </c>
    </row>
    <row r="1083" spans="1:9">
      <c r="A1083">
        <v>350588</v>
      </c>
      <c r="B1083">
        <v>1173778</v>
      </c>
      <c r="C1083">
        <v>3</v>
      </c>
      <c r="D1083" t="s">
        <v>1695</v>
      </c>
      <c r="E1083">
        <v>984</v>
      </c>
      <c r="F1083" t="s">
        <v>41</v>
      </c>
      <c r="G1083" t="s">
        <v>41</v>
      </c>
      <c r="I1083" t="s">
        <v>77</v>
      </c>
    </row>
    <row r="1084" spans="1:9">
      <c r="A1084">
        <v>351819</v>
      </c>
      <c r="B1084">
        <v>1174427</v>
      </c>
      <c r="C1084">
        <v>1</v>
      </c>
      <c r="D1084" t="s">
        <v>1696</v>
      </c>
      <c r="E1084">
        <v>-2090</v>
      </c>
      <c r="F1084" t="s">
        <v>41</v>
      </c>
      <c r="G1084" t="s">
        <v>41</v>
      </c>
      <c r="I1084" t="s">
        <v>77</v>
      </c>
    </row>
    <row r="1085" spans="1:9">
      <c r="A1085">
        <v>351820</v>
      </c>
      <c r="B1085">
        <v>1174427</v>
      </c>
      <c r="C1085">
        <v>2</v>
      </c>
      <c r="D1085" t="s">
        <v>1695</v>
      </c>
      <c r="E1085">
        <v>3484</v>
      </c>
      <c r="F1085" t="s">
        <v>41</v>
      </c>
      <c r="G1085" t="s">
        <v>41</v>
      </c>
      <c r="I1085" t="s">
        <v>77</v>
      </c>
    </row>
    <row r="1086" spans="1:9">
      <c r="A1086">
        <v>351821</v>
      </c>
      <c r="B1086">
        <v>1174427</v>
      </c>
      <c r="C1086">
        <v>3</v>
      </c>
      <c r="D1086" t="s">
        <v>1695</v>
      </c>
      <c r="E1086">
        <v>3484</v>
      </c>
      <c r="F1086" t="s">
        <v>41</v>
      </c>
      <c r="G1086" t="s">
        <v>41</v>
      </c>
      <c r="I1086" t="s">
        <v>77</v>
      </c>
    </row>
    <row r="1087" spans="1:9">
      <c r="A1087">
        <v>353547</v>
      </c>
      <c r="B1087">
        <v>1175305</v>
      </c>
      <c r="C1087">
        <v>1</v>
      </c>
      <c r="D1087" t="s">
        <v>1696</v>
      </c>
      <c r="E1087">
        <v>524</v>
      </c>
      <c r="F1087" t="s">
        <v>49</v>
      </c>
      <c r="G1087" t="s">
        <v>49</v>
      </c>
      <c r="H1087">
        <v>36578</v>
      </c>
      <c r="I1087" t="s">
        <v>77</v>
      </c>
    </row>
    <row r="1088" spans="1:9">
      <c r="A1088">
        <v>353548</v>
      </c>
      <c r="B1088">
        <v>1175305</v>
      </c>
      <c r="C1088">
        <v>2</v>
      </c>
      <c r="D1088" t="s">
        <v>1695</v>
      </c>
      <c r="E1088">
        <v>872</v>
      </c>
      <c r="F1088" t="s">
        <v>49</v>
      </c>
      <c r="G1088" t="s">
        <v>49</v>
      </c>
      <c r="H1088">
        <v>36578</v>
      </c>
      <c r="I1088" t="s">
        <v>77</v>
      </c>
    </row>
    <row r="1089" spans="1:9">
      <c r="A1089">
        <v>353549</v>
      </c>
      <c r="B1089">
        <v>1175305</v>
      </c>
      <c r="C1089">
        <v>3</v>
      </c>
      <c r="D1089" t="s">
        <v>1695</v>
      </c>
      <c r="E1089">
        <v>872</v>
      </c>
      <c r="F1089" t="s">
        <v>49</v>
      </c>
      <c r="G1089" t="s">
        <v>49</v>
      </c>
      <c r="H1089">
        <v>36578</v>
      </c>
      <c r="I1089" t="s">
        <v>77</v>
      </c>
    </row>
    <row r="1090" spans="1:9">
      <c r="A1090">
        <v>354257</v>
      </c>
      <c r="B1090">
        <v>1175646</v>
      </c>
      <c r="C1090">
        <v>1</v>
      </c>
      <c r="D1090" t="s">
        <v>1695</v>
      </c>
      <c r="E1090">
        <v>1183</v>
      </c>
      <c r="F1090" t="s">
        <v>41</v>
      </c>
      <c r="G1090" t="s">
        <v>41</v>
      </c>
      <c r="I1090" t="s">
        <v>77</v>
      </c>
    </row>
    <row r="1091" spans="1:9">
      <c r="A1091">
        <v>354258</v>
      </c>
      <c r="B1091">
        <v>1175646</v>
      </c>
      <c r="C1091">
        <v>2</v>
      </c>
      <c r="D1091" t="s">
        <v>1697</v>
      </c>
      <c r="E1091">
        <v>592</v>
      </c>
      <c r="F1091" t="s">
        <v>41</v>
      </c>
      <c r="G1091" t="s">
        <v>41</v>
      </c>
      <c r="I1091" t="s">
        <v>77</v>
      </c>
    </row>
    <row r="1092" spans="1:9">
      <c r="A1092">
        <v>354259</v>
      </c>
      <c r="B1092">
        <v>1175646</v>
      </c>
      <c r="C1092">
        <v>3</v>
      </c>
      <c r="D1092" t="s">
        <v>1697</v>
      </c>
      <c r="E1092">
        <v>592</v>
      </c>
      <c r="F1092" t="s">
        <v>41</v>
      </c>
      <c r="G1092" t="s">
        <v>41</v>
      </c>
      <c r="I1092" t="s">
        <v>77</v>
      </c>
    </row>
    <row r="1093" spans="1:9">
      <c r="A1093">
        <v>354787</v>
      </c>
      <c r="B1093">
        <v>1175901</v>
      </c>
      <c r="C1093">
        <v>1</v>
      </c>
      <c r="D1093" t="s">
        <v>1695</v>
      </c>
      <c r="E1093">
        <v>941</v>
      </c>
      <c r="F1093" t="s">
        <v>41</v>
      </c>
      <c r="G1093" t="s">
        <v>41</v>
      </c>
      <c r="I1093" t="s">
        <v>77</v>
      </c>
    </row>
    <row r="1094" spans="1:9">
      <c r="A1094">
        <v>354788</v>
      </c>
      <c r="B1094">
        <v>1175901</v>
      </c>
      <c r="C1094">
        <v>2</v>
      </c>
      <c r="D1094" t="s">
        <v>1695</v>
      </c>
      <c r="E1094">
        <v>941</v>
      </c>
      <c r="F1094" t="s">
        <v>41</v>
      </c>
      <c r="G1094" t="s">
        <v>41</v>
      </c>
      <c r="I1094" t="s">
        <v>77</v>
      </c>
    </row>
    <row r="1095" spans="1:9">
      <c r="A1095">
        <v>354789</v>
      </c>
      <c r="B1095">
        <v>1175901</v>
      </c>
      <c r="C1095">
        <v>3</v>
      </c>
      <c r="D1095" t="s">
        <v>1696</v>
      </c>
      <c r="E1095">
        <v>565</v>
      </c>
      <c r="F1095" t="s">
        <v>41</v>
      </c>
      <c r="G1095" t="s">
        <v>41</v>
      </c>
      <c r="I1095" t="s">
        <v>77</v>
      </c>
    </row>
    <row r="1096" spans="1:9">
      <c r="A1096">
        <v>354790</v>
      </c>
      <c r="B1096">
        <v>1175901</v>
      </c>
      <c r="C1096">
        <v>4</v>
      </c>
      <c r="D1096" t="s">
        <v>1696</v>
      </c>
      <c r="E1096">
        <v>565</v>
      </c>
      <c r="F1096" t="s">
        <v>41</v>
      </c>
      <c r="G1096" t="s">
        <v>41</v>
      </c>
      <c r="I1096" t="s">
        <v>77</v>
      </c>
    </row>
    <row r="1097" spans="1:9">
      <c r="A1097">
        <v>354828</v>
      </c>
      <c r="B1097">
        <v>1175921</v>
      </c>
      <c r="C1097">
        <v>1</v>
      </c>
      <c r="D1097" t="s">
        <v>1695</v>
      </c>
      <c r="E1097">
        <v>4342</v>
      </c>
      <c r="F1097" t="s">
        <v>49</v>
      </c>
      <c r="G1097" t="s">
        <v>49</v>
      </c>
      <c r="H1097">
        <v>36250</v>
      </c>
      <c r="I1097" t="s">
        <v>77</v>
      </c>
    </row>
    <row r="1098" spans="1:9">
      <c r="A1098">
        <v>354929</v>
      </c>
      <c r="B1098">
        <v>1175968</v>
      </c>
      <c r="C1098">
        <v>1</v>
      </c>
      <c r="E1098">
        <v>753</v>
      </c>
      <c r="F1098" t="s">
        <v>41</v>
      </c>
      <c r="G1098" t="s">
        <v>41</v>
      </c>
      <c r="I1098" t="s">
        <v>77</v>
      </c>
    </row>
    <row r="1099" spans="1:9">
      <c r="A1099">
        <v>355181</v>
      </c>
      <c r="B1099">
        <v>1176094</v>
      </c>
      <c r="C1099">
        <v>1</v>
      </c>
      <c r="D1099" t="s">
        <v>1695</v>
      </c>
      <c r="E1099">
        <v>1243</v>
      </c>
      <c r="F1099" t="s">
        <v>41</v>
      </c>
      <c r="G1099" t="s">
        <v>41</v>
      </c>
      <c r="I1099" t="s">
        <v>77</v>
      </c>
    </row>
    <row r="1100" spans="1:9">
      <c r="A1100">
        <v>356649</v>
      </c>
      <c r="B1100">
        <v>1176811</v>
      </c>
      <c r="C1100">
        <v>1</v>
      </c>
      <c r="D1100" t="s">
        <v>1695</v>
      </c>
      <c r="E1100">
        <v>3142</v>
      </c>
      <c r="F1100" t="s">
        <v>47</v>
      </c>
      <c r="G1100" t="s">
        <v>37</v>
      </c>
      <c r="H1100">
        <v>37031</v>
      </c>
      <c r="I1100" t="s">
        <v>77</v>
      </c>
    </row>
    <row r="1101" spans="1:9">
      <c r="A1101">
        <v>357330</v>
      </c>
      <c r="B1101">
        <v>1177167</v>
      </c>
      <c r="C1101">
        <v>1</v>
      </c>
      <c r="D1101" t="s">
        <v>1695</v>
      </c>
      <c r="E1101">
        <v>950</v>
      </c>
      <c r="F1101" t="s">
        <v>41</v>
      </c>
      <c r="G1101" t="s">
        <v>37</v>
      </c>
      <c r="H1101">
        <v>36544</v>
      </c>
      <c r="I1101" t="s">
        <v>77</v>
      </c>
    </row>
    <row r="1102" spans="1:9">
      <c r="A1102">
        <v>357576</v>
      </c>
      <c r="B1102">
        <v>1177292</v>
      </c>
      <c r="C1102">
        <v>1</v>
      </c>
      <c r="D1102" t="s">
        <v>1695</v>
      </c>
      <c r="E1102">
        <v>3520</v>
      </c>
      <c r="F1102" t="s">
        <v>41</v>
      </c>
      <c r="G1102" t="s">
        <v>41</v>
      </c>
      <c r="I1102" t="s">
        <v>77</v>
      </c>
    </row>
    <row r="1103" spans="1:9">
      <c r="A1103">
        <v>357577</v>
      </c>
      <c r="B1103">
        <v>1177292</v>
      </c>
      <c r="C1103">
        <v>2</v>
      </c>
      <c r="D1103" t="s">
        <v>1695</v>
      </c>
      <c r="E1103">
        <v>3520</v>
      </c>
      <c r="F1103" t="s">
        <v>41</v>
      </c>
      <c r="G1103" t="s">
        <v>41</v>
      </c>
      <c r="I1103" t="s">
        <v>77</v>
      </c>
    </row>
    <row r="1104" spans="1:9">
      <c r="A1104">
        <v>357834</v>
      </c>
      <c r="B1104">
        <v>1177417</v>
      </c>
      <c r="C1104">
        <v>1</v>
      </c>
      <c r="D1104" t="s">
        <v>1695</v>
      </c>
      <c r="E1104">
        <v>1731</v>
      </c>
      <c r="F1104" t="s">
        <v>41</v>
      </c>
      <c r="G1104" t="s">
        <v>41</v>
      </c>
      <c r="I1104" t="s">
        <v>77</v>
      </c>
    </row>
    <row r="1105" spans="1:9">
      <c r="A1105">
        <v>357835</v>
      </c>
      <c r="B1105">
        <v>1177417</v>
      </c>
      <c r="C1105">
        <v>2</v>
      </c>
      <c r="D1105" t="s">
        <v>1695</v>
      </c>
      <c r="E1105">
        <v>1731</v>
      </c>
      <c r="F1105" t="s">
        <v>41</v>
      </c>
      <c r="G1105" t="s">
        <v>41</v>
      </c>
      <c r="I1105" t="s">
        <v>77</v>
      </c>
    </row>
    <row r="1106" spans="1:9">
      <c r="A1106">
        <v>357919</v>
      </c>
      <c r="B1106">
        <v>1177463</v>
      </c>
      <c r="C1106">
        <v>1</v>
      </c>
      <c r="D1106" t="s">
        <v>1695</v>
      </c>
      <c r="E1106">
        <v>2211</v>
      </c>
      <c r="F1106" t="s">
        <v>41</v>
      </c>
      <c r="G1106" t="s">
        <v>41</v>
      </c>
      <c r="I1106" t="s">
        <v>77</v>
      </c>
    </row>
    <row r="1107" spans="1:9">
      <c r="A1107">
        <v>357949</v>
      </c>
      <c r="B1107">
        <v>1177481</v>
      </c>
      <c r="C1107">
        <v>1</v>
      </c>
      <c r="D1107" t="s">
        <v>1695</v>
      </c>
      <c r="E1107">
        <v>3026</v>
      </c>
      <c r="F1107" t="s">
        <v>49</v>
      </c>
      <c r="G1107" t="s">
        <v>37</v>
      </c>
      <c r="H1107">
        <v>36624</v>
      </c>
      <c r="I1107" t="s">
        <v>77</v>
      </c>
    </row>
    <row r="1108" spans="1:9">
      <c r="A1108">
        <v>358591</v>
      </c>
      <c r="B1108">
        <v>1177797</v>
      </c>
      <c r="C1108">
        <v>1</v>
      </c>
      <c r="D1108" t="s">
        <v>1695</v>
      </c>
      <c r="E1108">
        <v>1854</v>
      </c>
      <c r="F1108" t="s">
        <v>41</v>
      </c>
      <c r="G1108" t="s">
        <v>41</v>
      </c>
      <c r="I1108" t="s">
        <v>77</v>
      </c>
    </row>
    <row r="1109" spans="1:9">
      <c r="A1109">
        <v>358893</v>
      </c>
      <c r="B1109">
        <v>1177952</v>
      </c>
      <c r="C1109">
        <v>1</v>
      </c>
      <c r="D1109" t="s">
        <v>1696</v>
      </c>
      <c r="E1109">
        <v>1039</v>
      </c>
      <c r="F1109" t="s">
        <v>41</v>
      </c>
      <c r="G1109" t="s">
        <v>41</v>
      </c>
      <c r="I1109" t="s">
        <v>77</v>
      </c>
    </row>
    <row r="1110" spans="1:9">
      <c r="A1110">
        <v>359410</v>
      </c>
      <c r="B1110">
        <v>1178210</v>
      </c>
      <c r="C1110">
        <v>1</v>
      </c>
      <c r="D1110" t="s">
        <v>1695</v>
      </c>
      <c r="E1110">
        <v>984</v>
      </c>
      <c r="F1110" t="s">
        <v>41</v>
      </c>
      <c r="G1110" t="s">
        <v>41</v>
      </c>
      <c r="I1110" t="s">
        <v>77</v>
      </c>
    </row>
    <row r="1111" spans="1:9">
      <c r="A1111">
        <v>359725</v>
      </c>
      <c r="B1111">
        <v>1178372</v>
      </c>
      <c r="C1111">
        <v>1</v>
      </c>
      <c r="D1111" t="s">
        <v>1695</v>
      </c>
      <c r="E1111">
        <v>1183</v>
      </c>
      <c r="F1111" t="s">
        <v>41</v>
      </c>
      <c r="G1111" t="s">
        <v>41</v>
      </c>
      <c r="I1111" t="s">
        <v>77</v>
      </c>
    </row>
    <row r="1112" spans="1:9">
      <c r="A1112">
        <v>360136</v>
      </c>
      <c r="B1112">
        <v>1178581</v>
      </c>
      <c r="C1112">
        <v>1</v>
      </c>
      <c r="D1112" t="s">
        <v>1696</v>
      </c>
      <c r="E1112">
        <v>1441</v>
      </c>
      <c r="F1112" t="s">
        <v>47</v>
      </c>
      <c r="G1112" t="s">
        <v>47</v>
      </c>
      <c r="I1112" t="s">
        <v>77</v>
      </c>
    </row>
    <row r="1113" spans="1:9">
      <c r="A1113">
        <v>360137</v>
      </c>
      <c r="B1113">
        <v>1178581</v>
      </c>
      <c r="C1113">
        <v>2</v>
      </c>
      <c r="D1113" t="s">
        <v>1696</v>
      </c>
      <c r="E1113">
        <v>1441</v>
      </c>
      <c r="F1113" t="s">
        <v>47</v>
      </c>
      <c r="G1113" t="s">
        <v>47</v>
      </c>
      <c r="I1113" t="s">
        <v>77</v>
      </c>
    </row>
    <row r="1114" spans="1:9">
      <c r="A1114">
        <v>360834</v>
      </c>
      <c r="B1114">
        <v>1178955</v>
      </c>
      <c r="C1114">
        <v>1</v>
      </c>
      <c r="D1114" t="s">
        <v>1695</v>
      </c>
      <c r="E1114">
        <v>3219</v>
      </c>
      <c r="F1114" t="s">
        <v>41</v>
      </c>
      <c r="G1114" t="s">
        <v>41</v>
      </c>
      <c r="I1114" t="s">
        <v>77</v>
      </c>
    </row>
    <row r="1115" spans="1:9">
      <c r="A1115">
        <v>360835</v>
      </c>
      <c r="B1115">
        <v>1178955</v>
      </c>
      <c r="C1115">
        <v>2</v>
      </c>
      <c r="D1115" t="s">
        <v>1695</v>
      </c>
      <c r="E1115">
        <v>3219</v>
      </c>
      <c r="F1115" t="s">
        <v>41</v>
      </c>
      <c r="G1115" t="s">
        <v>41</v>
      </c>
      <c r="I1115" t="s">
        <v>77</v>
      </c>
    </row>
    <row r="1116" spans="1:9">
      <c r="A1116">
        <v>360836</v>
      </c>
      <c r="B1116">
        <v>1178955</v>
      </c>
      <c r="C1116">
        <v>3</v>
      </c>
      <c r="D1116" t="s">
        <v>1695</v>
      </c>
      <c r="E1116">
        <v>3219</v>
      </c>
      <c r="F1116" t="s">
        <v>41</v>
      </c>
      <c r="G1116" t="s">
        <v>41</v>
      </c>
      <c r="I1116" t="s">
        <v>77</v>
      </c>
    </row>
    <row r="1117" spans="1:9">
      <c r="A1117">
        <v>360837</v>
      </c>
      <c r="B1117">
        <v>1178955</v>
      </c>
      <c r="C1117">
        <v>4</v>
      </c>
      <c r="D1117" t="s">
        <v>1695</v>
      </c>
      <c r="E1117">
        <v>3219</v>
      </c>
      <c r="F1117" t="s">
        <v>41</v>
      </c>
      <c r="G1117" t="s">
        <v>41</v>
      </c>
      <c r="I1117" t="s">
        <v>77</v>
      </c>
    </row>
    <row r="1118" spans="1:9">
      <c r="A1118">
        <v>360838</v>
      </c>
      <c r="B1118">
        <v>1178955</v>
      </c>
      <c r="C1118">
        <v>5</v>
      </c>
      <c r="D1118" t="s">
        <v>1695</v>
      </c>
      <c r="E1118">
        <v>3219</v>
      </c>
      <c r="F1118" t="s">
        <v>41</v>
      </c>
      <c r="G1118" t="s">
        <v>41</v>
      </c>
      <c r="I1118" t="s">
        <v>77</v>
      </c>
    </row>
    <row r="1119" spans="1:9">
      <c r="A1119">
        <v>360839</v>
      </c>
      <c r="B1119">
        <v>1178955</v>
      </c>
      <c r="C1119">
        <v>6</v>
      </c>
      <c r="D1119" t="s">
        <v>1696</v>
      </c>
      <c r="E1119">
        <v>1932</v>
      </c>
      <c r="F1119" t="s">
        <v>41</v>
      </c>
      <c r="G1119" t="s">
        <v>41</v>
      </c>
      <c r="I1119" t="s">
        <v>77</v>
      </c>
    </row>
    <row r="1120" spans="1:9">
      <c r="A1120">
        <v>361489</v>
      </c>
      <c r="B1120">
        <v>1179276</v>
      </c>
      <c r="C1120">
        <v>1</v>
      </c>
      <c r="D1120" t="s">
        <v>1695</v>
      </c>
      <c r="E1120">
        <v>1183</v>
      </c>
      <c r="F1120" t="s">
        <v>49</v>
      </c>
      <c r="G1120" t="s">
        <v>49</v>
      </c>
      <c r="H1120">
        <v>38680</v>
      </c>
      <c r="I1120" t="s">
        <v>77</v>
      </c>
    </row>
    <row r="1121" spans="1:9">
      <c r="A1121">
        <v>361490</v>
      </c>
      <c r="B1121">
        <v>1179276</v>
      </c>
      <c r="C1121">
        <v>2</v>
      </c>
      <c r="D1121" t="s">
        <v>1695</v>
      </c>
      <c r="E1121">
        <v>1183</v>
      </c>
      <c r="F1121" t="s">
        <v>49</v>
      </c>
      <c r="G1121" t="s">
        <v>49</v>
      </c>
      <c r="H1121">
        <v>38680</v>
      </c>
      <c r="I1121" t="s">
        <v>77</v>
      </c>
    </row>
    <row r="1122" spans="1:9">
      <c r="A1122">
        <v>361740</v>
      </c>
      <c r="B1122">
        <v>1179384</v>
      </c>
      <c r="C1122">
        <v>1</v>
      </c>
      <c r="D1122" t="s">
        <v>1695</v>
      </c>
      <c r="E1122">
        <v>2784</v>
      </c>
      <c r="F1122" t="s">
        <v>41</v>
      </c>
      <c r="G1122" t="s">
        <v>41</v>
      </c>
      <c r="I1122" t="s">
        <v>77</v>
      </c>
    </row>
    <row r="1123" spans="1:9">
      <c r="A1123">
        <v>361741</v>
      </c>
      <c r="B1123">
        <v>1179384</v>
      </c>
      <c r="C1123">
        <v>2</v>
      </c>
      <c r="D1123" t="s">
        <v>1695</v>
      </c>
      <c r="E1123">
        <v>2784</v>
      </c>
      <c r="F1123" t="s">
        <v>41</v>
      </c>
      <c r="G1123" t="s">
        <v>41</v>
      </c>
      <c r="I1123" t="s">
        <v>77</v>
      </c>
    </row>
    <row r="1124" spans="1:9">
      <c r="A1124">
        <v>361742</v>
      </c>
      <c r="B1124">
        <v>1179384</v>
      </c>
      <c r="C1124">
        <v>3</v>
      </c>
      <c r="D1124" t="s">
        <v>1695</v>
      </c>
      <c r="E1124">
        <v>2784</v>
      </c>
      <c r="F1124" t="s">
        <v>41</v>
      </c>
      <c r="G1124" t="s">
        <v>41</v>
      </c>
      <c r="I1124" t="s">
        <v>77</v>
      </c>
    </row>
    <row r="1125" spans="1:9">
      <c r="A1125">
        <v>361948</v>
      </c>
      <c r="B1125">
        <v>1179482</v>
      </c>
      <c r="C1125">
        <v>1</v>
      </c>
      <c r="D1125" t="s">
        <v>1695</v>
      </c>
      <c r="E1125">
        <v>1049</v>
      </c>
      <c r="F1125" t="s">
        <v>49</v>
      </c>
      <c r="G1125" t="s">
        <v>49</v>
      </c>
      <c r="H1125">
        <v>37087</v>
      </c>
      <c r="I1125" t="s">
        <v>77</v>
      </c>
    </row>
    <row r="1126" spans="1:9">
      <c r="A1126">
        <v>361949</v>
      </c>
      <c r="B1126">
        <v>1179482</v>
      </c>
      <c r="C1126">
        <v>2</v>
      </c>
      <c r="D1126" t="s">
        <v>1697</v>
      </c>
      <c r="E1126">
        <v>524</v>
      </c>
      <c r="F1126" t="s">
        <v>49</v>
      </c>
      <c r="G1126" t="s">
        <v>49</v>
      </c>
      <c r="H1126">
        <v>37087</v>
      </c>
      <c r="I1126" t="s">
        <v>77</v>
      </c>
    </row>
    <row r="1127" spans="1:9">
      <c r="A1127">
        <v>361950</v>
      </c>
      <c r="B1127">
        <v>1179482</v>
      </c>
      <c r="C1127">
        <v>3</v>
      </c>
      <c r="D1127" t="s">
        <v>1695</v>
      </c>
      <c r="E1127">
        <v>1049</v>
      </c>
      <c r="F1127" t="s">
        <v>49</v>
      </c>
      <c r="G1127" t="s">
        <v>49</v>
      </c>
      <c r="H1127">
        <v>37087</v>
      </c>
      <c r="I1127" t="s">
        <v>77</v>
      </c>
    </row>
    <row r="1128" spans="1:9">
      <c r="A1128">
        <v>361951</v>
      </c>
      <c r="B1128">
        <v>1179482</v>
      </c>
      <c r="C1128">
        <v>4</v>
      </c>
      <c r="D1128" t="s">
        <v>1695</v>
      </c>
      <c r="E1128">
        <v>1049</v>
      </c>
      <c r="F1128" t="s">
        <v>49</v>
      </c>
      <c r="G1128" t="s">
        <v>49</v>
      </c>
      <c r="H1128">
        <v>37087</v>
      </c>
      <c r="I1128" t="s">
        <v>77</v>
      </c>
    </row>
    <row r="1129" spans="1:9">
      <c r="A1129">
        <v>361952</v>
      </c>
      <c r="B1129">
        <v>1179482</v>
      </c>
      <c r="C1129">
        <v>5</v>
      </c>
      <c r="D1129" t="s">
        <v>1695</v>
      </c>
      <c r="E1129">
        <v>1049</v>
      </c>
      <c r="F1129" t="s">
        <v>49</v>
      </c>
      <c r="G1129" t="s">
        <v>49</v>
      </c>
      <c r="H1129">
        <v>37087</v>
      </c>
      <c r="I1129" t="s">
        <v>77</v>
      </c>
    </row>
    <row r="1130" spans="1:9">
      <c r="A1130">
        <v>361953</v>
      </c>
      <c r="B1130">
        <v>1179482</v>
      </c>
      <c r="C1130">
        <v>6</v>
      </c>
      <c r="D1130" t="s">
        <v>1695</v>
      </c>
      <c r="E1130">
        <v>1049</v>
      </c>
      <c r="F1130" t="s">
        <v>49</v>
      </c>
      <c r="G1130" t="s">
        <v>49</v>
      </c>
      <c r="H1130">
        <v>37087</v>
      </c>
      <c r="I1130" t="s">
        <v>77</v>
      </c>
    </row>
    <row r="1131" spans="1:9">
      <c r="A1131">
        <v>361976</v>
      </c>
      <c r="B1131">
        <v>1179497</v>
      </c>
      <c r="C1131">
        <v>1</v>
      </c>
      <c r="D1131" t="s">
        <v>1696</v>
      </c>
      <c r="E1131">
        <v>2090</v>
      </c>
      <c r="F1131" t="s">
        <v>41</v>
      </c>
      <c r="G1131" t="s">
        <v>41</v>
      </c>
      <c r="I1131" t="s">
        <v>77</v>
      </c>
    </row>
    <row r="1132" spans="1:9">
      <c r="A1132">
        <v>361977</v>
      </c>
      <c r="B1132">
        <v>1179497</v>
      </c>
      <c r="C1132">
        <v>2</v>
      </c>
      <c r="D1132" t="s">
        <v>1696</v>
      </c>
      <c r="E1132">
        <v>2090</v>
      </c>
      <c r="F1132" t="s">
        <v>47</v>
      </c>
      <c r="G1132" t="s">
        <v>47</v>
      </c>
      <c r="I1132" t="s">
        <v>77</v>
      </c>
    </row>
    <row r="1133" spans="1:9">
      <c r="A1133">
        <v>362242</v>
      </c>
      <c r="B1133">
        <v>1179635</v>
      </c>
      <c r="C1133">
        <v>1</v>
      </c>
      <c r="D1133" t="s">
        <v>1695</v>
      </c>
      <c r="E1133">
        <v>654</v>
      </c>
      <c r="F1133" t="s">
        <v>49</v>
      </c>
      <c r="G1133" t="s">
        <v>47</v>
      </c>
      <c r="I1133" t="s">
        <v>77</v>
      </c>
    </row>
    <row r="1134" spans="1:9">
      <c r="A1134">
        <v>362243</v>
      </c>
      <c r="B1134">
        <v>1179635</v>
      </c>
      <c r="C1134">
        <v>2</v>
      </c>
      <c r="D1134" t="s">
        <v>1695</v>
      </c>
      <c r="E1134">
        <v>654</v>
      </c>
      <c r="F1134" t="s">
        <v>49</v>
      </c>
      <c r="G1134" t="s">
        <v>47</v>
      </c>
      <c r="I1134" t="s">
        <v>77</v>
      </c>
    </row>
    <row r="1135" spans="1:9">
      <c r="A1135">
        <v>362244</v>
      </c>
      <c r="B1135">
        <v>1179635</v>
      </c>
      <c r="C1135">
        <v>3</v>
      </c>
      <c r="D1135" t="s">
        <v>1695</v>
      </c>
      <c r="E1135">
        <v>654</v>
      </c>
      <c r="F1135" t="s">
        <v>49</v>
      </c>
      <c r="G1135" t="s">
        <v>47</v>
      </c>
      <c r="I1135" t="s">
        <v>77</v>
      </c>
    </row>
    <row r="1136" spans="1:9">
      <c r="A1136">
        <v>362245</v>
      </c>
      <c r="B1136">
        <v>1179635</v>
      </c>
      <c r="C1136">
        <v>4</v>
      </c>
      <c r="D1136" t="s">
        <v>1695</v>
      </c>
      <c r="E1136">
        <v>654</v>
      </c>
      <c r="F1136" t="s">
        <v>49</v>
      </c>
      <c r="G1136" t="s">
        <v>47</v>
      </c>
      <c r="I1136" t="s">
        <v>77</v>
      </c>
    </row>
    <row r="1137" spans="1:9">
      <c r="A1137">
        <v>362246</v>
      </c>
      <c r="B1137">
        <v>1179635</v>
      </c>
      <c r="C1137">
        <v>5</v>
      </c>
      <c r="D1137" t="s">
        <v>1695</v>
      </c>
      <c r="E1137">
        <v>654</v>
      </c>
      <c r="F1137" t="s">
        <v>49</v>
      </c>
      <c r="G1137" t="s">
        <v>47</v>
      </c>
      <c r="I1137" t="s">
        <v>77</v>
      </c>
    </row>
    <row r="1138" spans="1:9">
      <c r="A1138">
        <v>362247</v>
      </c>
      <c r="B1138">
        <v>1179635</v>
      </c>
      <c r="C1138">
        <v>6</v>
      </c>
      <c r="D1138" t="s">
        <v>1696</v>
      </c>
      <c r="E1138">
        <v>393</v>
      </c>
      <c r="F1138" t="s">
        <v>49</v>
      </c>
      <c r="G1138" t="s">
        <v>47</v>
      </c>
      <c r="I1138" t="s">
        <v>77</v>
      </c>
    </row>
    <row r="1139" spans="1:9">
      <c r="A1139">
        <v>362429</v>
      </c>
      <c r="B1139">
        <v>1179722</v>
      </c>
      <c r="C1139">
        <v>1</v>
      </c>
      <c r="D1139" t="s">
        <v>1696</v>
      </c>
      <c r="E1139">
        <v>2644</v>
      </c>
      <c r="F1139" t="s">
        <v>47</v>
      </c>
      <c r="G1139" t="s">
        <v>47</v>
      </c>
      <c r="I1139" t="s">
        <v>77</v>
      </c>
    </row>
    <row r="1140" spans="1:9">
      <c r="A1140">
        <v>362430</v>
      </c>
      <c r="B1140">
        <v>1179722</v>
      </c>
      <c r="C1140">
        <v>2</v>
      </c>
      <c r="D1140" t="s">
        <v>1695</v>
      </c>
      <c r="E1140">
        <v>4406</v>
      </c>
      <c r="F1140" t="s">
        <v>47</v>
      </c>
      <c r="G1140" t="s">
        <v>47</v>
      </c>
      <c r="I1140" t="s">
        <v>77</v>
      </c>
    </row>
    <row r="1141" spans="1:9">
      <c r="A1141">
        <v>362431</v>
      </c>
      <c r="B1141">
        <v>1179722</v>
      </c>
      <c r="C1141">
        <v>3</v>
      </c>
      <c r="D1141" t="s">
        <v>1695</v>
      </c>
      <c r="E1141">
        <v>4406</v>
      </c>
      <c r="F1141" t="s">
        <v>47</v>
      </c>
      <c r="G1141" t="s">
        <v>47</v>
      </c>
      <c r="I1141" t="s">
        <v>77</v>
      </c>
    </row>
    <row r="1142" spans="1:9">
      <c r="A1142">
        <v>362432</v>
      </c>
      <c r="B1142">
        <v>1179722</v>
      </c>
      <c r="C1142">
        <v>4</v>
      </c>
      <c r="D1142" t="s">
        <v>1695</v>
      </c>
      <c r="E1142">
        <v>4406</v>
      </c>
      <c r="F1142" t="s">
        <v>47</v>
      </c>
      <c r="G1142" t="s">
        <v>47</v>
      </c>
      <c r="I1142" t="s">
        <v>77</v>
      </c>
    </row>
    <row r="1143" spans="1:9">
      <c r="A1143">
        <v>362433</v>
      </c>
      <c r="B1143">
        <v>1179722</v>
      </c>
      <c r="C1143">
        <v>5</v>
      </c>
      <c r="D1143" t="s">
        <v>1695</v>
      </c>
      <c r="E1143">
        <v>4406</v>
      </c>
      <c r="F1143" t="s">
        <v>47</v>
      </c>
      <c r="G1143" t="s">
        <v>47</v>
      </c>
      <c r="I1143" t="s">
        <v>77</v>
      </c>
    </row>
    <row r="1144" spans="1:9">
      <c r="A1144">
        <v>363472</v>
      </c>
      <c r="B1144">
        <v>1180229</v>
      </c>
      <c r="C1144">
        <v>1</v>
      </c>
      <c r="D1144" t="s">
        <v>1695</v>
      </c>
      <c r="E1144">
        <v>916</v>
      </c>
      <c r="F1144" t="s">
        <v>41</v>
      </c>
      <c r="G1144" t="s">
        <v>41</v>
      </c>
      <c r="I1144" t="s">
        <v>77</v>
      </c>
    </row>
    <row r="1145" spans="1:9">
      <c r="A1145">
        <v>363473</v>
      </c>
      <c r="B1145">
        <v>1180229</v>
      </c>
      <c r="C1145">
        <v>2</v>
      </c>
      <c r="D1145" t="s">
        <v>1695</v>
      </c>
      <c r="E1145">
        <v>916</v>
      </c>
      <c r="F1145" t="s">
        <v>41</v>
      </c>
      <c r="G1145" t="s">
        <v>41</v>
      </c>
      <c r="I1145" t="s">
        <v>77</v>
      </c>
    </row>
    <row r="1146" spans="1:9">
      <c r="A1146">
        <v>363474</v>
      </c>
      <c r="B1146">
        <v>1180229</v>
      </c>
      <c r="C1146">
        <v>3</v>
      </c>
      <c r="D1146" t="s">
        <v>1695</v>
      </c>
      <c r="E1146">
        <v>916</v>
      </c>
      <c r="F1146" t="s">
        <v>41</v>
      </c>
      <c r="G1146" t="s">
        <v>41</v>
      </c>
      <c r="I1146" t="s">
        <v>77</v>
      </c>
    </row>
    <row r="1147" spans="1:9">
      <c r="A1147">
        <v>364050</v>
      </c>
      <c r="B1147">
        <v>1180523</v>
      </c>
      <c r="C1147">
        <v>1</v>
      </c>
      <c r="D1147" t="s">
        <v>1695</v>
      </c>
      <c r="E1147">
        <v>906</v>
      </c>
      <c r="F1147" t="s">
        <v>49</v>
      </c>
      <c r="G1147" t="s">
        <v>49</v>
      </c>
      <c r="H1147">
        <v>39229</v>
      </c>
      <c r="I1147" t="s">
        <v>77</v>
      </c>
    </row>
    <row r="1148" spans="1:9">
      <c r="A1148">
        <v>364487</v>
      </c>
      <c r="B1148">
        <v>1180732</v>
      </c>
      <c r="C1148">
        <v>1</v>
      </c>
      <c r="D1148" t="s">
        <v>1695</v>
      </c>
      <c r="E1148">
        <v>288</v>
      </c>
      <c r="F1148" t="s">
        <v>41</v>
      </c>
      <c r="G1148" t="s">
        <v>41</v>
      </c>
      <c r="I1148" t="s">
        <v>77</v>
      </c>
    </row>
    <row r="1149" spans="1:9">
      <c r="A1149">
        <v>364520</v>
      </c>
      <c r="B1149">
        <v>1180749</v>
      </c>
      <c r="C1149">
        <v>1</v>
      </c>
      <c r="D1149" t="s">
        <v>1695</v>
      </c>
      <c r="E1149">
        <v>854</v>
      </c>
      <c r="F1149" t="s">
        <v>49</v>
      </c>
      <c r="G1149" t="s">
        <v>49</v>
      </c>
      <c r="H1149">
        <v>37291</v>
      </c>
      <c r="I1149" t="s">
        <v>77</v>
      </c>
    </row>
    <row r="1150" spans="1:9">
      <c r="A1150">
        <v>364521</v>
      </c>
      <c r="B1150">
        <v>1180749</v>
      </c>
      <c r="C1150">
        <v>2</v>
      </c>
      <c r="D1150" t="s">
        <v>1695</v>
      </c>
      <c r="E1150">
        <v>854</v>
      </c>
      <c r="F1150" t="s">
        <v>49</v>
      </c>
      <c r="G1150" t="s">
        <v>49</v>
      </c>
      <c r="H1150">
        <v>37291</v>
      </c>
      <c r="I1150" t="s">
        <v>77</v>
      </c>
    </row>
    <row r="1151" spans="1:9">
      <c r="A1151">
        <v>366884</v>
      </c>
      <c r="B1151">
        <v>1181937</v>
      </c>
      <c r="C1151">
        <v>1</v>
      </c>
      <c r="D1151" t="s">
        <v>1696</v>
      </c>
      <c r="E1151">
        <v>963</v>
      </c>
      <c r="F1151" t="s">
        <v>41</v>
      </c>
      <c r="G1151" t="s">
        <v>41</v>
      </c>
      <c r="I1151" t="s">
        <v>77</v>
      </c>
    </row>
    <row r="1152" spans="1:9">
      <c r="A1152">
        <v>366885</v>
      </c>
      <c r="B1152">
        <v>1181937</v>
      </c>
      <c r="C1152">
        <v>2</v>
      </c>
      <c r="D1152" t="s">
        <v>1695</v>
      </c>
      <c r="E1152">
        <v>1606</v>
      </c>
      <c r="F1152" t="s">
        <v>41</v>
      </c>
      <c r="G1152" t="s">
        <v>41</v>
      </c>
      <c r="I1152" t="s">
        <v>77</v>
      </c>
    </row>
    <row r="1153" spans="1:9">
      <c r="A1153">
        <v>367170</v>
      </c>
      <c r="B1153">
        <v>1182073</v>
      </c>
      <c r="C1153">
        <v>1</v>
      </c>
      <c r="D1153" t="s">
        <v>1695</v>
      </c>
      <c r="E1153">
        <v>753</v>
      </c>
      <c r="F1153" t="s">
        <v>49</v>
      </c>
      <c r="G1153" t="s">
        <v>49</v>
      </c>
      <c r="H1153">
        <v>38099</v>
      </c>
      <c r="I1153" t="s">
        <v>77</v>
      </c>
    </row>
    <row r="1154" spans="1:9">
      <c r="A1154">
        <v>368594</v>
      </c>
      <c r="B1154">
        <v>1182788</v>
      </c>
      <c r="C1154">
        <v>1</v>
      </c>
      <c r="D1154" t="s">
        <v>1695</v>
      </c>
      <c r="E1154">
        <v>984</v>
      </c>
      <c r="F1154" t="s">
        <v>49</v>
      </c>
      <c r="G1154" t="s">
        <v>37</v>
      </c>
      <c r="H1154">
        <v>38361</v>
      </c>
      <c r="I1154" t="s">
        <v>77</v>
      </c>
    </row>
    <row r="1155" spans="1:9">
      <c r="A1155">
        <v>368595</v>
      </c>
      <c r="B1155">
        <v>1182788</v>
      </c>
      <c r="C1155">
        <v>2</v>
      </c>
      <c r="D1155" t="s">
        <v>1696</v>
      </c>
      <c r="E1155">
        <v>591</v>
      </c>
      <c r="F1155" t="s">
        <v>49</v>
      </c>
      <c r="G1155" t="s">
        <v>37</v>
      </c>
      <c r="H1155">
        <v>38361</v>
      </c>
      <c r="I1155" t="s">
        <v>77</v>
      </c>
    </row>
    <row r="1156" spans="1:9">
      <c r="A1156">
        <v>369093</v>
      </c>
      <c r="B1156">
        <v>1183047</v>
      </c>
      <c r="C1156">
        <v>1</v>
      </c>
      <c r="D1156" t="s">
        <v>1696</v>
      </c>
      <c r="E1156">
        <v>727</v>
      </c>
      <c r="F1156" t="s">
        <v>41</v>
      </c>
      <c r="G1156" t="s">
        <v>41</v>
      </c>
      <c r="I1156" t="s">
        <v>77</v>
      </c>
    </row>
    <row r="1157" spans="1:9">
      <c r="A1157">
        <v>369689</v>
      </c>
      <c r="B1157">
        <v>1183346</v>
      </c>
      <c r="C1157">
        <v>1</v>
      </c>
      <c r="D1157" t="s">
        <v>1695</v>
      </c>
      <c r="E1157">
        <v>916</v>
      </c>
      <c r="F1157" t="s">
        <v>49</v>
      </c>
      <c r="G1157" t="s">
        <v>47</v>
      </c>
      <c r="I1157" t="s">
        <v>77</v>
      </c>
    </row>
    <row r="1158" spans="1:9">
      <c r="A1158">
        <v>369690</v>
      </c>
      <c r="B1158">
        <v>1183346</v>
      </c>
      <c r="C1158">
        <v>2</v>
      </c>
      <c r="D1158" t="s">
        <v>1695</v>
      </c>
      <c r="E1158">
        <v>916</v>
      </c>
      <c r="F1158" t="s">
        <v>49</v>
      </c>
      <c r="G1158" t="s">
        <v>47</v>
      </c>
      <c r="I1158" t="s">
        <v>77</v>
      </c>
    </row>
    <row r="1159" spans="1:9">
      <c r="A1159">
        <v>369691</v>
      </c>
      <c r="B1159">
        <v>1183346</v>
      </c>
      <c r="C1159">
        <v>3</v>
      </c>
      <c r="D1159" t="s">
        <v>1696</v>
      </c>
      <c r="E1159">
        <v>549</v>
      </c>
      <c r="F1159" t="s">
        <v>49</v>
      </c>
      <c r="G1159" t="s">
        <v>47</v>
      </c>
      <c r="I1159" t="s">
        <v>77</v>
      </c>
    </row>
    <row r="1160" spans="1:9">
      <c r="A1160">
        <v>369692</v>
      </c>
      <c r="B1160">
        <v>1183346</v>
      </c>
      <c r="C1160">
        <v>4</v>
      </c>
      <c r="D1160" t="s">
        <v>1695</v>
      </c>
      <c r="E1160">
        <v>916</v>
      </c>
      <c r="F1160" t="s">
        <v>49</v>
      </c>
      <c r="G1160" t="s">
        <v>47</v>
      </c>
      <c r="I1160" t="s">
        <v>77</v>
      </c>
    </row>
    <row r="1161" spans="1:9">
      <c r="A1161">
        <v>369974</v>
      </c>
      <c r="B1161">
        <v>1183483</v>
      </c>
      <c r="C1161">
        <v>1</v>
      </c>
      <c r="D1161" t="s">
        <v>1695</v>
      </c>
      <c r="E1161">
        <v>916</v>
      </c>
      <c r="F1161" t="s">
        <v>47</v>
      </c>
      <c r="G1161" t="s">
        <v>47</v>
      </c>
      <c r="I1161" t="s">
        <v>77</v>
      </c>
    </row>
    <row r="1162" spans="1:9">
      <c r="A1162">
        <v>370078</v>
      </c>
      <c r="B1162">
        <v>1183539</v>
      </c>
      <c r="C1162">
        <v>1</v>
      </c>
      <c r="D1162" t="s">
        <v>1695</v>
      </c>
      <c r="E1162">
        <v>1183</v>
      </c>
      <c r="F1162" t="s">
        <v>41</v>
      </c>
      <c r="G1162" t="s">
        <v>41</v>
      </c>
      <c r="I1162" t="s">
        <v>77</v>
      </c>
    </row>
    <row r="1163" spans="1:9">
      <c r="A1163">
        <v>370361</v>
      </c>
      <c r="B1163">
        <v>1183685</v>
      </c>
      <c r="C1163">
        <v>1</v>
      </c>
      <c r="D1163" t="s">
        <v>1695</v>
      </c>
      <c r="E1163">
        <v>1314</v>
      </c>
      <c r="F1163" t="s">
        <v>41</v>
      </c>
      <c r="G1163" t="s">
        <v>41</v>
      </c>
      <c r="I1163" t="s">
        <v>77</v>
      </c>
    </row>
    <row r="1164" spans="1:9">
      <c r="A1164">
        <v>370362</v>
      </c>
      <c r="B1164">
        <v>1183685</v>
      </c>
      <c r="C1164">
        <v>2</v>
      </c>
      <c r="D1164" t="s">
        <v>1695</v>
      </c>
      <c r="E1164">
        <v>1314</v>
      </c>
      <c r="F1164" t="s">
        <v>41</v>
      </c>
      <c r="G1164" t="s">
        <v>41</v>
      </c>
      <c r="I1164" t="s">
        <v>77</v>
      </c>
    </row>
    <row r="1165" spans="1:9">
      <c r="A1165">
        <v>370363</v>
      </c>
      <c r="B1165">
        <v>1183685</v>
      </c>
      <c r="C1165">
        <v>3</v>
      </c>
      <c r="D1165" t="s">
        <v>1697</v>
      </c>
      <c r="E1165">
        <v>657</v>
      </c>
      <c r="F1165" t="s">
        <v>41</v>
      </c>
      <c r="G1165" t="s">
        <v>41</v>
      </c>
      <c r="I1165" t="s">
        <v>77</v>
      </c>
    </row>
    <row r="1166" spans="1:9">
      <c r="A1166">
        <v>370611</v>
      </c>
      <c r="B1166">
        <v>1183814</v>
      </c>
      <c r="C1166">
        <v>1</v>
      </c>
      <c r="D1166" t="s">
        <v>1695</v>
      </c>
      <c r="E1166">
        <v>2429</v>
      </c>
      <c r="F1166" t="s">
        <v>47</v>
      </c>
      <c r="G1166" t="s">
        <v>41</v>
      </c>
      <c r="I1166" t="s">
        <v>77</v>
      </c>
    </row>
    <row r="1167" spans="1:9">
      <c r="A1167">
        <v>370847</v>
      </c>
      <c r="B1167">
        <v>1183934</v>
      </c>
      <c r="C1167">
        <v>1</v>
      </c>
      <c r="D1167" t="s">
        <v>1696</v>
      </c>
      <c r="E1167">
        <v>1512</v>
      </c>
      <c r="F1167" t="s">
        <v>49</v>
      </c>
      <c r="G1167" t="s">
        <v>49</v>
      </c>
      <c r="H1167">
        <v>39595</v>
      </c>
      <c r="I1167" t="s">
        <v>77</v>
      </c>
    </row>
    <row r="1168" spans="1:9">
      <c r="A1168">
        <v>370848</v>
      </c>
      <c r="B1168">
        <v>1183934</v>
      </c>
      <c r="C1168">
        <v>2</v>
      </c>
      <c r="D1168" t="s">
        <v>1695</v>
      </c>
      <c r="E1168">
        <v>2520</v>
      </c>
      <c r="F1168" t="s">
        <v>49</v>
      </c>
      <c r="G1168" t="s">
        <v>49</v>
      </c>
      <c r="H1168">
        <v>39595</v>
      </c>
      <c r="I1168" t="s">
        <v>77</v>
      </c>
    </row>
    <row r="1169" spans="1:9">
      <c r="A1169">
        <v>371640</v>
      </c>
      <c r="B1169">
        <v>1184347</v>
      </c>
      <c r="C1169">
        <v>1</v>
      </c>
      <c r="D1169" t="s">
        <v>1695</v>
      </c>
      <c r="E1169">
        <v>3520</v>
      </c>
      <c r="F1169" t="s">
        <v>41</v>
      </c>
      <c r="G1169" t="s">
        <v>41</v>
      </c>
      <c r="I1169" t="s">
        <v>77</v>
      </c>
    </row>
    <row r="1170" spans="1:9">
      <c r="A1170">
        <v>371641</v>
      </c>
      <c r="B1170">
        <v>1184347</v>
      </c>
      <c r="C1170">
        <v>2</v>
      </c>
      <c r="D1170" t="s">
        <v>1695</v>
      </c>
      <c r="E1170">
        <v>3520</v>
      </c>
      <c r="F1170" t="s">
        <v>41</v>
      </c>
      <c r="G1170" t="s">
        <v>41</v>
      </c>
      <c r="I1170" t="s">
        <v>77</v>
      </c>
    </row>
    <row r="1171" spans="1:9">
      <c r="A1171">
        <v>371916</v>
      </c>
      <c r="B1171">
        <v>1184489</v>
      </c>
      <c r="C1171">
        <v>1</v>
      </c>
      <c r="D1171" t="s">
        <v>1695</v>
      </c>
      <c r="E1171">
        <v>984</v>
      </c>
      <c r="F1171" t="s">
        <v>41</v>
      </c>
      <c r="G1171" t="s">
        <v>41</v>
      </c>
      <c r="I1171" t="s">
        <v>77</v>
      </c>
    </row>
    <row r="1172" spans="1:9">
      <c r="A1172">
        <v>371917</v>
      </c>
      <c r="B1172">
        <v>1184489</v>
      </c>
      <c r="C1172">
        <v>2</v>
      </c>
      <c r="D1172" t="s">
        <v>1695</v>
      </c>
      <c r="E1172">
        <v>984</v>
      </c>
      <c r="F1172" t="s">
        <v>41</v>
      </c>
      <c r="G1172" t="s">
        <v>41</v>
      </c>
      <c r="I1172" t="s">
        <v>77</v>
      </c>
    </row>
    <row r="1173" spans="1:9">
      <c r="A1173">
        <v>371918</v>
      </c>
      <c r="B1173">
        <v>1184489</v>
      </c>
      <c r="C1173">
        <v>3</v>
      </c>
      <c r="D1173" t="s">
        <v>1696</v>
      </c>
      <c r="E1173">
        <v>591</v>
      </c>
      <c r="F1173" t="s">
        <v>41</v>
      </c>
      <c r="G1173" t="s">
        <v>41</v>
      </c>
      <c r="I1173" t="s">
        <v>77</v>
      </c>
    </row>
    <row r="1174" spans="1:9">
      <c r="A1174">
        <v>372397</v>
      </c>
      <c r="B1174">
        <v>1184742</v>
      </c>
      <c r="C1174">
        <v>1</v>
      </c>
      <c r="D1174" t="s">
        <v>1696</v>
      </c>
      <c r="E1174">
        <v>2644</v>
      </c>
      <c r="F1174" t="s">
        <v>41</v>
      </c>
      <c r="G1174" t="s">
        <v>41</v>
      </c>
      <c r="I1174" t="s">
        <v>77</v>
      </c>
    </row>
    <row r="1175" spans="1:9">
      <c r="A1175">
        <v>372398</v>
      </c>
      <c r="B1175">
        <v>1184742</v>
      </c>
      <c r="C1175">
        <v>2</v>
      </c>
      <c r="D1175" t="s">
        <v>1697</v>
      </c>
      <c r="E1175">
        <v>2203</v>
      </c>
      <c r="F1175" t="s">
        <v>41</v>
      </c>
      <c r="G1175" t="s">
        <v>1698</v>
      </c>
      <c r="H1175">
        <v>39789</v>
      </c>
      <c r="I1175" t="s">
        <v>77</v>
      </c>
    </row>
    <row r="1176" spans="1:9">
      <c r="A1176">
        <v>372511</v>
      </c>
      <c r="B1176">
        <v>1184805</v>
      </c>
      <c r="C1176">
        <v>1</v>
      </c>
      <c r="D1176" t="s">
        <v>1695</v>
      </c>
      <c r="E1176">
        <v>762</v>
      </c>
      <c r="F1176" t="s">
        <v>49</v>
      </c>
      <c r="G1176" t="s">
        <v>49</v>
      </c>
      <c r="H1176">
        <v>40654</v>
      </c>
      <c r="I1176" t="s">
        <v>77</v>
      </c>
    </row>
    <row r="1177" spans="1:9">
      <c r="A1177">
        <v>372701</v>
      </c>
      <c r="B1177">
        <v>1184897</v>
      </c>
      <c r="C1177">
        <v>1</v>
      </c>
      <c r="D1177" t="s">
        <v>1695</v>
      </c>
      <c r="E1177">
        <v>1049</v>
      </c>
      <c r="F1177" t="s">
        <v>41</v>
      </c>
      <c r="G1177" t="s">
        <v>41</v>
      </c>
      <c r="I1177" t="s">
        <v>77</v>
      </c>
    </row>
    <row r="1178" spans="1:9">
      <c r="A1178">
        <v>372953</v>
      </c>
      <c r="B1178">
        <v>1185029</v>
      </c>
      <c r="C1178">
        <v>1</v>
      </c>
      <c r="D1178" t="s">
        <v>1695</v>
      </c>
      <c r="E1178">
        <v>3026</v>
      </c>
      <c r="F1178" t="s">
        <v>41</v>
      </c>
      <c r="G1178" t="s">
        <v>41</v>
      </c>
      <c r="I1178" t="s">
        <v>77</v>
      </c>
    </row>
    <row r="1179" spans="1:9">
      <c r="A1179">
        <v>372954</v>
      </c>
      <c r="B1179">
        <v>1185029</v>
      </c>
      <c r="C1179">
        <v>2</v>
      </c>
      <c r="D1179" t="s">
        <v>1695</v>
      </c>
      <c r="E1179">
        <v>3026</v>
      </c>
      <c r="F1179" t="s">
        <v>41</v>
      </c>
      <c r="G1179" t="s">
        <v>133</v>
      </c>
      <c r="H1179">
        <v>40161</v>
      </c>
      <c r="I1179" t="s">
        <v>77</v>
      </c>
    </row>
    <row r="1180" spans="1:9">
      <c r="A1180">
        <v>373163</v>
      </c>
      <c r="B1180">
        <v>1185140</v>
      </c>
      <c r="C1180">
        <v>1</v>
      </c>
      <c r="D1180" t="s">
        <v>1695</v>
      </c>
      <c r="E1180">
        <v>804</v>
      </c>
      <c r="F1180" t="s">
        <v>41</v>
      </c>
      <c r="G1180" t="s">
        <v>41</v>
      </c>
      <c r="I1180" t="s">
        <v>77</v>
      </c>
    </row>
    <row r="1181" spans="1:9">
      <c r="A1181">
        <v>373529</v>
      </c>
      <c r="B1181">
        <v>1185328</v>
      </c>
      <c r="C1181">
        <v>1</v>
      </c>
      <c r="D1181" t="s">
        <v>1695</v>
      </c>
      <c r="E1181">
        <v>941</v>
      </c>
      <c r="F1181" t="s">
        <v>41</v>
      </c>
      <c r="G1181" t="s">
        <v>41</v>
      </c>
      <c r="I1181" t="s">
        <v>77</v>
      </c>
    </row>
    <row r="1182" spans="1:9">
      <c r="A1182">
        <v>373530</v>
      </c>
      <c r="B1182">
        <v>1185328</v>
      </c>
      <c r="C1182">
        <v>2</v>
      </c>
      <c r="D1182" t="s">
        <v>1695</v>
      </c>
      <c r="E1182">
        <v>941</v>
      </c>
      <c r="F1182" t="s">
        <v>41</v>
      </c>
      <c r="G1182" t="s">
        <v>41</v>
      </c>
      <c r="I1182" t="s">
        <v>77</v>
      </c>
    </row>
    <row r="1183" spans="1:9">
      <c r="A1183">
        <v>374830</v>
      </c>
      <c r="B1183">
        <v>1185986</v>
      </c>
      <c r="C1183">
        <v>1</v>
      </c>
      <c r="D1183" t="s">
        <v>1695</v>
      </c>
      <c r="E1183">
        <v>753</v>
      </c>
      <c r="F1183" t="s">
        <v>41</v>
      </c>
      <c r="G1183" t="s">
        <v>41</v>
      </c>
      <c r="I1183" t="s">
        <v>77</v>
      </c>
    </row>
    <row r="1184" spans="1:9">
      <c r="A1184">
        <v>375010</v>
      </c>
      <c r="B1184">
        <v>1186076</v>
      </c>
      <c r="C1184">
        <v>1</v>
      </c>
      <c r="D1184" t="s">
        <v>1695</v>
      </c>
      <c r="E1184">
        <v>1731</v>
      </c>
      <c r="F1184" t="s">
        <v>49</v>
      </c>
      <c r="G1184" t="s">
        <v>49</v>
      </c>
      <c r="H1184">
        <v>39683</v>
      </c>
      <c r="I1184" t="s">
        <v>77</v>
      </c>
    </row>
    <row r="1185" spans="1:9">
      <c r="A1185">
        <v>375011</v>
      </c>
      <c r="B1185">
        <v>1186076</v>
      </c>
      <c r="C1185">
        <v>2</v>
      </c>
      <c r="D1185" t="s">
        <v>1696</v>
      </c>
      <c r="E1185">
        <v>1039</v>
      </c>
      <c r="F1185" t="s">
        <v>49</v>
      </c>
      <c r="G1185" t="s">
        <v>49</v>
      </c>
      <c r="H1185">
        <v>39683</v>
      </c>
      <c r="I1185" t="s">
        <v>77</v>
      </c>
    </row>
    <row r="1186" spans="1:9">
      <c r="A1186">
        <v>375473</v>
      </c>
      <c r="B1186">
        <v>1186306</v>
      </c>
      <c r="C1186">
        <v>1</v>
      </c>
      <c r="D1186" t="s">
        <v>1695</v>
      </c>
      <c r="E1186">
        <v>-1183</v>
      </c>
      <c r="F1186" t="s">
        <v>41</v>
      </c>
      <c r="G1186" t="s">
        <v>41</v>
      </c>
      <c r="I1186" t="s">
        <v>77</v>
      </c>
    </row>
    <row r="1187" spans="1:9">
      <c r="A1187">
        <v>376119</v>
      </c>
      <c r="B1187">
        <v>1186631</v>
      </c>
      <c r="C1187">
        <v>1</v>
      </c>
      <c r="D1187" t="s">
        <v>1695</v>
      </c>
      <c r="E1187">
        <v>-700</v>
      </c>
      <c r="F1187" t="s">
        <v>41</v>
      </c>
      <c r="G1187" t="s">
        <v>41</v>
      </c>
      <c r="I1187" t="s">
        <v>77</v>
      </c>
    </row>
    <row r="1188" spans="1:9">
      <c r="A1188">
        <v>376120</v>
      </c>
      <c r="B1188">
        <v>1186631</v>
      </c>
      <c r="C1188">
        <v>2</v>
      </c>
      <c r="D1188" t="s">
        <v>1695</v>
      </c>
      <c r="E1188">
        <v>700</v>
      </c>
      <c r="F1188" t="s">
        <v>41</v>
      </c>
      <c r="G1188" t="s">
        <v>41</v>
      </c>
      <c r="I1188" t="s">
        <v>77</v>
      </c>
    </row>
    <row r="1189" spans="1:9">
      <c r="A1189">
        <v>376293</v>
      </c>
      <c r="B1189">
        <v>1186718</v>
      </c>
      <c r="C1189">
        <v>1</v>
      </c>
      <c r="D1189" t="s">
        <v>1695</v>
      </c>
      <c r="E1189">
        <v>3302</v>
      </c>
      <c r="F1189" t="s">
        <v>41</v>
      </c>
      <c r="G1189" t="s">
        <v>41</v>
      </c>
      <c r="I1189" t="s">
        <v>77</v>
      </c>
    </row>
    <row r="1190" spans="1:9">
      <c r="A1190">
        <v>376294</v>
      </c>
      <c r="B1190">
        <v>1186718</v>
      </c>
      <c r="C1190">
        <v>2</v>
      </c>
      <c r="D1190" t="s">
        <v>1695</v>
      </c>
      <c r="E1190">
        <v>3302</v>
      </c>
      <c r="F1190" t="s">
        <v>41</v>
      </c>
      <c r="G1190" t="s">
        <v>41</v>
      </c>
      <c r="I1190" t="s">
        <v>77</v>
      </c>
    </row>
    <row r="1191" spans="1:9">
      <c r="A1191">
        <v>376404</v>
      </c>
      <c r="B1191">
        <v>1186780</v>
      </c>
      <c r="C1191">
        <v>1</v>
      </c>
      <c r="D1191" t="s">
        <v>1695</v>
      </c>
      <c r="E1191">
        <v>872</v>
      </c>
      <c r="F1191" t="s">
        <v>41</v>
      </c>
      <c r="G1191" t="s">
        <v>41</v>
      </c>
      <c r="I1191" t="s">
        <v>77</v>
      </c>
    </row>
    <row r="1192" spans="1:9">
      <c r="A1192">
        <v>376405</v>
      </c>
      <c r="B1192">
        <v>1186780</v>
      </c>
      <c r="C1192">
        <v>2</v>
      </c>
      <c r="D1192" t="s">
        <v>1695</v>
      </c>
      <c r="E1192">
        <v>872</v>
      </c>
      <c r="F1192" t="s">
        <v>41</v>
      </c>
      <c r="G1192" t="s">
        <v>41</v>
      </c>
      <c r="I1192" t="s">
        <v>77</v>
      </c>
    </row>
    <row r="1193" spans="1:9">
      <c r="A1193">
        <v>376406</v>
      </c>
      <c r="B1193">
        <v>1186780</v>
      </c>
      <c r="C1193">
        <v>3</v>
      </c>
      <c r="D1193" t="s">
        <v>1695</v>
      </c>
      <c r="E1193">
        <v>872</v>
      </c>
      <c r="F1193" t="s">
        <v>41</v>
      </c>
      <c r="G1193" t="s">
        <v>41</v>
      </c>
      <c r="I1193" t="s">
        <v>77</v>
      </c>
    </row>
    <row r="1194" spans="1:9">
      <c r="A1194">
        <v>376407</v>
      </c>
      <c r="B1194">
        <v>1186780</v>
      </c>
      <c r="C1194">
        <v>4</v>
      </c>
      <c r="D1194" t="s">
        <v>1695</v>
      </c>
      <c r="E1194">
        <v>872</v>
      </c>
      <c r="F1194" t="s">
        <v>41</v>
      </c>
      <c r="G1194" t="s">
        <v>41</v>
      </c>
      <c r="I1194" t="s">
        <v>77</v>
      </c>
    </row>
    <row r="1195" spans="1:9">
      <c r="A1195">
        <v>376524</v>
      </c>
      <c r="B1195">
        <v>1186842</v>
      </c>
      <c r="C1195">
        <v>1</v>
      </c>
      <c r="D1195" t="s">
        <v>1696</v>
      </c>
      <c r="E1195">
        <v>565</v>
      </c>
      <c r="F1195" t="s">
        <v>41</v>
      </c>
      <c r="G1195" t="s">
        <v>40</v>
      </c>
      <c r="I1195" t="s">
        <v>77</v>
      </c>
    </row>
    <row r="1196" spans="1:9">
      <c r="A1196">
        <v>376525</v>
      </c>
      <c r="B1196">
        <v>1186842</v>
      </c>
      <c r="C1196">
        <v>2</v>
      </c>
      <c r="D1196" t="s">
        <v>1696</v>
      </c>
      <c r="E1196">
        <v>565</v>
      </c>
      <c r="F1196" t="s">
        <v>41</v>
      </c>
      <c r="G1196" t="s">
        <v>41</v>
      </c>
      <c r="I1196" t="s">
        <v>77</v>
      </c>
    </row>
    <row r="1197" spans="1:9">
      <c r="A1197">
        <v>376526</v>
      </c>
      <c r="B1197">
        <v>1186842</v>
      </c>
      <c r="C1197">
        <v>3</v>
      </c>
      <c r="D1197" t="s">
        <v>1695</v>
      </c>
      <c r="E1197">
        <v>941</v>
      </c>
      <c r="F1197" t="s">
        <v>41</v>
      </c>
      <c r="G1197" t="s">
        <v>41</v>
      </c>
      <c r="I1197" t="s">
        <v>77</v>
      </c>
    </row>
    <row r="1198" spans="1:9">
      <c r="A1198">
        <v>376527</v>
      </c>
      <c r="B1198">
        <v>1186842</v>
      </c>
      <c r="C1198">
        <v>4</v>
      </c>
      <c r="D1198" t="s">
        <v>1695</v>
      </c>
      <c r="E1198">
        <v>941</v>
      </c>
      <c r="F1198" t="s">
        <v>41</v>
      </c>
      <c r="G1198" t="s">
        <v>41</v>
      </c>
      <c r="I1198" t="s">
        <v>77</v>
      </c>
    </row>
    <row r="1199" spans="1:9">
      <c r="A1199">
        <v>377038</v>
      </c>
      <c r="B1199">
        <v>1187089</v>
      </c>
      <c r="C1199">
        <v>1</v>
      </c>
      <c r="D1199" t="s">
        <v>1695</v>
      </c>
      <c r="E1199">
        <v>2429</v>
      </c>
      <c r="F1199" t="s">
        <v>49</v>
      </c>
      <c r="G1199" t="s">
        <v>49</v>
      </c>
      <c r="H1199">
        <v>40573</v>
      </c>
      <c r="I1199" t="s">
        <v>77</v>
      </c>
    </row>
    <row r="1200" spans="1:9">
      <c r="A1200">
        <v>377039</v>
      </c>
      <c r="B1200">
        <v>1187089</v>
      </c>
      <c r="C1200">
        <v>2</v>
      </c>
      <c r="D1200" t="s">
        <v>1695</v>
      </c>
      <c r="E1200">
        <v>2429</v>
      </c>
      <c r="F1200" t="s">
        <v>49</v>
      </c>
      <c r="G1200" t="s">
        <v>49</v>
      </c>
      <c r="H1200">
        <v>40573</v>
      </c>
      <c r="I1200" t="s">
        <v>77</v>
      </c>
    </row>
    <row r="1201" spans="1:9">
      <c r="A1201">
        <v>377040</v>
      </c>
      <c r="B1201">
        <v>1187089</v>
      </c>
      <c r="C1201">
        <v>3</v>
      </c>
      <c r="D1201" t="s">
        <v>1695</v>
      </c>
      <c r="E1201">
        <v>2429</v>
      </c>
      <c r="F1201" t="s">
        <v>49</v>
      </c>
      <c r="G1201" t="s">
        <v>49</v>
      </c>
      <c r="H1201">
        <v>40573</v>
      </c>
      <c r="I1201" t="s">
        <v>77</v>
      </c>
    </row>
    <row r="1202" spans="1:9">
      <c r="A1202">
        <v>377359</v>
      </c>
      <c r="B1202">
        <v>1187256</v>
      </c>
      <c r="C1202">
        <v>1</v>
      </c>
      <c r="D1202" t="s">
        <v>1696</v>
      </c>
      <c r="E1202">
        <v>994</v>
      </c>
      <c r="F1202" t="s">
        <v>41</v>
      </c>
      <c r="G1202" t="s">
        <v>41</v>
      </c>
      <c r="I1202" t="s">
        <v>77</v>
      </c>
    </row>
    <row r="1203" spans="1:9">
      <c r="A1203">
        <v>378026</v>
      </c>
      <c r="B1203">
        <v>1187585</v>
      </c>
      <c r="C1203">
        <v>1</v>
      </c>
      <c r="D1203" t="s">
        <v>1695</v>
      </c>
      <c r="E1203">
        <v>3309</v>
      </c>
      <c r="F1203" t="s">
        <v>41</v>
      </c>
      <c r="G1203" t="s">
        <v>41</v>
      </c>
      <c r="I1203" t="s">
        <v>77</v>
      </c>
    </row>
    <row r="1204" spans="1:9">
      <c r="A1204">
        <v>378027</v>
      </c>
      <c r="B1204">
        <v>1187585</v>
      </c>
      <c r="C1204">
        <v>2</v>
      </c>
      <c r="D1204" t="s">
        <v>1696</v>
      </c>
      <c r="E1204">
        <v>1985</v>
      </c>
      <c r="F1204" t="s">
        <v>41</v>
      </c>
      <c r="G1204" t="s">
        <v>41</v>
      </c>
      <c r="I1204" t="s">
        <v>77</v>
      </c>
    </row>
    <row r="1205" spans="1:9">
      <c r="A1205">
        <v>380616</v>
      </c>
      <c r="B1205">
        <v>1188878</v>
      </c>
      <c r="C1205">
        <v>1</v>
      </c>
      <c r="D1205" t="s">
        <v>1695</v>
      </c>
      <c r="E1205">
        <v>916</v>
      </c>
      <c r="F1205" t="s">
        <v>41</v>
      </c>
      <c r="G1205" t="s">
        <v>37</v>
      </c>
      <c r="H1205">
        <v>42060</v>
      </c>
      <c r="I1205" t="s">
        <v>77</v>
      </c>
    </row>
    <row r="1206" spans="1:9">
      <c r="A1206">
        <v>381758</v>
      </c>
      <c r="B1206">
        <v>1189426</v>
      </c>
      <c r="C1206">
        <v>1</v>
      </c>
      <c r="D1206" t="s">
        <v>1696</v>
      </c>
      <c r="E1206">
        <v>662</v>
      </c>
      <c r="F1206" t="s">
        <v>41</v>
      </c>
      <c r="G1206" t="s">
        <v>41</v>
      </c>
      <c r="I1206" t="s">
        <v>77</v>
      </c>
    </row>
    <row r="1207" spans="1:9">
      <c r="A1207">
        <v>381759</v>
      </c>
      <c r="B1207">
        <v>1189426</v>
      </c>
      <c r="C1207">
        <v>2</v>
      </c>
      <c r="D1207" t="s">
        <v>1695</v>
      </c>
      <c r="E1207">
        <v>1102</v>
      </c>
      <c r="F1207" t="s">
        <v>41</v>
      </c>
      <c r="G1207" t="s">
        <v>41</v>
      </c>
      <c r="I1207" t="s">
        <v>77</v>
      </c>
    </row>
    <row r="1208" spans="1:9">
      <c r="A1208">
        <v>381760</v>
      </c>
      <c r="B1208">
        <v>1189426</v>
      </c>
      <c r="C1208">
        <v>3</v>
      </c>
      <c r="D1208" t="s">
        <v>1696</v>
      </c>
      <c r="E1208">
        <v>662</v>
      </c>
      <c r="F1208" t="s">
        <v>41</v>
      </c>
      <c r="G1208" t="s">
        <v>41</v>
      </c>
      <c r="I1208" t="s">
        <v>77</v>
      </c>
    </row>
    <row r="1209" spans="1:9">
      <c r="A1209">
        <v>382221</v>
      </c>
      <c r="B1209">
        <v>1189659</v>
      </c>
      <c r="C1209">
        <v>1</v>
      </c>
      <c r="D1209" t="s">
        <v>1695</v>
      </c>
      <c r="E1209">
        <v>1049</v>
      </c>
      <c r="F1209" t="s">
        <v>41</v>
      </c>
      <c r="G1209" t="s">
        <v>41</v>
      </c>
      <c r="I1209" t="s">
        <v>77</v>
      </c>
    </row>
    <row r="1210" spans="1:9">
      <c r="A1210">
        <v>382222</v>
      </c>
      <c r="B1210">
        <v>1189659</v>
      </c>
      <c r="C1210">
        <v>2</v>
      </c>
      <c r="D1210" t="s">
        <v>1695</v>
      </c>
      <c r="E1210">
        <v>1049</v>
      </c>
      <c r="F1210" t="s">
        <v>41</v>
      </c>
      <c r="G1210" t="s">
        <v>41</v>
      </c>
      <c r="I1210" t="s">
        <v>77</v>
      </c>
    </row>
    <row r="1211" spans="1:9">
      <c r="A1211">
        <v>382223</v>
      </c>
      <c r="B1211">
        <v>1189659</v>
      </c>
      <c r="C1211">
        <v>3</v>
      </c>
      <c r="D1211" t="s">
        <v>1695</v>
      </c>
      <c r="E1211">
        <v>1049</v>
      </c>
      <c r="F1211" t="s">
        <v>41</v>
      </c>
      <c r="G1211" t="s">
        <v>41</v>
      </c>
      <c r="I1211" t="s">
        <v>77</v>
      </c>
    </row>
    <row r="1212" spans="1:9">
      <c r="A1212">
        <v>382825</v>
      </c>
      <c r="B1212">
        <v>1189966</v>
      </c>
      <c r="C1212">
        <v>1</v>
      </c>
      <c r="D1212" t="s">
        <v>1695</v>
      </c>
      <c r="E1212">
        <v>916</v>
      </c>
      <c r="F1212" t="s">
        <v>41</v>
      </c>
      <c r="G1212" t="s">
        <v>41</v>
      </c>
      <c r="I1212" t="s">
        <v>77</v>
      </c>
    </row>
    <row r="1213" spans="1:9">
      <c r="A1213">
        <v>382826</v>
      </c>
      <c r="B1213">
        <v>1189966</v>
      </c>
      <c r="C1213">
        <v>2</v>
      </c>
      <c r="D1213" t="s">
        <v>1696</v>
      </c>
      <c r="E1213">
        <v>549</v>
      </c>
      <c r="F1213" t="s">
        <v>41</v>
      </c>
      <c r="G1213" t="s">
        <v>41</v>
      </c>
      <c r="I1213" t="s">
        <v>77</v>
      </c>
    </row>
    <row r="1214" spans="1:9">
      <c r="A1214">
        <v>382827</v>
      </c>
      <c r="B1214">
        <v>1189966</v>
      </c>
      <c r="C1214">
        <v>3</v>
      </c>
      <c r="D1214" t="s">
        <v>1695</v>
      </c>
      <c r="E1214">
        <v>916</v>
      </c>
      <c r="F1214" t="s">
        <v>41</v>
      </c>
      <c r="G1214" t="s">
        <v>41</v>
      </c>
      <c r="I1214" t="s">
        <v>77</v>
      </c>
    </row>
    <row r="1215" spans="1:9">
      <c r="A1215">
        <v>382835</v>
      </c>
      <c r="B1215">
        <v>1189972</v>
      </c>
      <c r="C1215">
        <v>1</v>
      </c>
      <c r="D1215" t="s">
        <v>1695</v>
      </c>
      <c r="E1215">
        <v>1579</v>
      </c>
      <c r="F1215" t="s">
        <v>41</v>
      </c>
      <c r="G1215" t="s">
        <v>41</v>
      </c>
      <c r="I1215" t="s">
        <v>77</v>
      </c>
    </row>
    <row r="1216" spans="1:9">
      <c r="A1216">
        <v>382836</v>
      </c>
      <c r="B1216">
        <v>1189972</v>
      </c>
      <c r="C1216">
        <v>2</v>
      </c>
      <c r="D1216" t="s">
        <v>1696</v>
      </c>
      <c r="E1216">
        <v>948</v>
      </c>
      <c r="F1216" t="s">
        <v>41</v>
      </c>
      <c r="G1216" t="s">
        <v>41</v>
      </c>
      <c r="I1216" t="s">
        <v>77</v>
      </c>
    </row>
    <row r="1217" spans="1:9">
      <c r="A1217">
        <v>382837</v>
      </c>
      <c r="B1217">
        <v>1189972</v>
      </c>
      <c r="C1217">
        <v>3</v>
      </c>
      <c r="D1217" t="s">
        <v>1695</v>
      </c>
      <c r="E1217">
        <v>1579</v>
      </c>
      <c r="F1217" t="s">
        <v>41</v>
      </c>
      <c r="G1217" t="s">
        <v>41</v>
      </c>
      <c r="I1217" t="s">
        <v>77</v>
      </c>
    </row>
    <row r="1218" spans="1:9">
      <c r="A1218">
        <v>382838</v>
      </c>
      <c r="B1218">
        <v>1189972</v>
      </c>
      <c r="C1218">
        <v>4</v>
      </c>
      <c r="D1218" t="s">
        <v>1695</v>
      </c>
      <c r="E1218">
        <v>1579</v>
      </c>
      <c r="F1218" t="s">
        <v>41</v>
      </c>
      <c r="G1218" t="s">
        <v>41</v>
      </c>
      <c r="I1218" t="s">
        <v>77</v>
      </c>
    </row>
    <row r="1219" spans="1:9">
      <c r="A1219">
        <v>382926</v>
      </c>
      <c r="B1219">
        <v>1190022</v>
      </c>
      <c r="C1219">
        <v>1</v>
      </c>
      <c r="D1219" t="s">
        <v>1695</v>
      </c>
      <c r="E1219">
        <v>916</v>
      </c>
      <c r="F1219" t="s">
        <v>41</v>
      </c>
      <c r="G1219" t="s">
        <v>41</v>
      </c>
      <c r="I1219" t="s">
        <v>77</v>
      </c>
    </row>
    <row r="1220" spans="1:9">
      <c r="A1220">
        <v>382927</v>
      </c>
      <c r="B1220">
        <v>1190022</v>
      </c>
      <c r="C1220">
        <v>2</v>
      </c>
      <c r="D1220" t="s">
        <v>1695</v>
      </c>
      <c r="E1220">
        <v>916</v>
      </c>
      <c r="F1220" t="s">
        <v>41</v>
      </c>
      <c r="G1220" t="s">
        <v>41</v>
      </c>
      <c r="I1220" t="s">
        <v>77</v>
      </c>
    </row>
    <row r="1221" spans="1:9">
      <c r="A1221">
        <v>382928</v>
      </c>
      <c r="B1221">
        <v>1190022</v>
      </c>
      <c r="C1221">
        <v>3</v>
      </c>
      <c r="D1221" t="s">
        <v>1696</v>
      </c>
      <c r="E1221">
        <v>549</v>
      </c>
      <c r="F1221" t="s">
        <v>41</v>
      </c>
      <c r="G1221" t="s">
        <v>41</v>
      </c>
      <c r="I1221" t="s">
        <v>77</v>
      </c>
    </row>
    <row r="1222" spans="1:9">
      <c r="A1222">
        <v>382929</v>
      </c>
      <c r="B1222">
        <v>1190022</v>
      </c>
      <c r="C1222">
        <v>4</v>
      </c>
      <c r="D1222" t="s">
        <v>1695</v>
      </c>
      <c r="E1222">
        <v>916</v>
      </c>
      <c r="F1222" t="s">
        <v>41</v>
      </c>
      <c r="G1222" t="s">
        <v>41</v>
      </c>
      <c r="I1222" t="s">
        <v>77</v>
      </c>
    </row>
    <row r="1223" spans="1:9">
      <c r="A1223">
        <v>382930</v>
      </c>
      <c r="B1223">
        <v>1190022</v>
      </c>
      <c r="C1223">
        <v>5</v>
      </c>
      <c r="D1223" t="s">
        <v>1696</v>
      </c>
      <c r="E1223">
        <v>549</v>
      </c>
      <c r="F1223" t="s">
        <v>41</v>
      </c>
      <c r="G1223" t="s">
        <v>41</v>
      </c>
      <c r="I1223" t="s">
        <v>77</v>
      </c>
    </row>
    <row r="1224" spans="1:9">
      <c r="A1224">
        <v>382931</v>
      </c>
      <c r="B1224">
        <v>1190022</v>
      </c>
      <c r="C1224">
        <v>6</v>
      </c>
      <c r="D1224" t="s">
        <v>1696</v>
      </c>
      <c r="E1224">
        <v>549</v>
      </c>
      <c r="F1224" t="s">
        <v>41</v>
      </c>
      <c r="G1224" t="s">
        <v>41</v>
      </c>
      <c r="I1224" t="s">
        <v>77</v>
      </c>
    </row>
    <row r="1225" spans="1:9">
      <c r="A1225">
        <v>383147</v>
      </c>
      <c r="B1225">
        <v>1190134</v>
      </c>
      <c r="C1225">
        <v>1</v>
      </c>
      <c r="D1225" t="s">
        <v>1695</v>
      </c>
      <c r="E1225">
        <v>1325</v>
      </c>
      <c r="F1225" t="s">
        <v>41</v>
      </c>
      <c r="G1225" t="s">
        <v>41</v>
      </c>
      <c r="I1225" t="s">
        <v>77</v>
      </c>
    </row>
    <row r="1226" spans="1:9">
      <c r="A1226">
        <v>383148</v>
      </c>
      <c r="B1226">
        <v>1190134</v>
      </c>
      <c r="C1226">
        <v>2</v>
      </c>
      <c r="D1226" t="s">
        <v>1696</v>
      </c>
      <c r="E1226">
        <v>795</v>
      </c>
      <c r="F1226" t="s">
        <v>41</v>
      </c>
      <c r="G1226" t="s">
        <v>41</v>
      </c>
      <c r="I1226" t="s">
        <v>77</v>
      </c>
    </row>
    <row r="1227" spans="1:9">
      <c r="A1227">
        <v>383149</v>
      </c>
      <c r="B1227">
        <v>1190134</v>
      </c>
      <c r="C1227">
        <v>3</v>
      </c>
      <c r="D1227" t="s">
        <v>1695</v>
      </c>
      <c r="E1227">
        <v>1325</v>
      </c>
      <c r="F1227" t="s">
        <v>41</v>
      </c>
      <c r="G1227" t="s">
        <v>41</v>
      </c>
      <c r="I1227" t="s">
        <v>77</v>
      </c>
    </row>
    <row r="1228" spans="1:9">
      <c r="A1228">
        <v>383150</v>
      </c>
      <c r="B1228">
        <v>1190134</v>
      </c>
      <c r="C1228">
        <v>4</v>
      </c>
      <c r="D1228" t="s">
        <v>1697</v>
      </c>
      <c r="E1228">
        <v>662</v>
      </c>
      <c r="F1228" t="s">
        <v>41</v>
      </c>
      <c r="G1228" t="s">
        <v>41</v>
      </c>
      <c r="I1228" t="s">
        <v>77</v>
      </c>
    </row>
    <row r="1229" spans="1:9">
      <c r="A1229">
        <v>383151</v>
      </c>
      <c r="B1229">
        <v>1190134</v>
      </c>
      <c r="C1229">
        <v>5</v>
      </c>
      <c r="D1229" t="s">
        <v>1696</v>
      </c>
      <c r="E1229">
        <v>795</v>
      </c>
      <c r="F1229" t="s">
        <v>41</v>
      </c>
      <c r="G1229" t="s">
        <v>41</v>
      </c>
      <c r="I1229" t="s">
        <v>77</v>
      </c>
    </row>
    <row r="1230" spans="1:9">
      <c r="A1230">
        <v>383393</v>
      </c>
      <c r="B1230">
        <v>1190251</v>
      </c>
      <c r="C1230">
        <v>1</v>
      </c>
      <c r="D1230" t="s">
        <v>1696</v>
      </c>
      <c r="E1230">
        <v>326</v>
      </c>
      <c r="F1230" t="s">
        <v>41</v>
      </c>
      <c r="G1230" t="s">
        <v>41</v>
      </c>
      <c r="I1230" t="s">
        <v>77</v>
      </c>
    </row>
    <row r="1231" spans="1:9">
      <c r="A1231">
        <v>385486</v>
      </c>
      <c r="B1231">
        <v>1191314</v>
      </c>
      <c r="C1231">
        <v>1</v>
      </c>
      <c r="D1231" t="s">
        <v>1695</v>
      </c>
      <c r="E1231">
        <v>288</v>
      </c>
      <c r="F1231" t="s">
        <v>41</v>
      </c>
      <c r="G1231" t="s">
        <v>37</v>
      </c>
      <c r="H1231">
        <v>42083</v>
      </c>
      <c r="I1231" t="s">
        <v>77</v>
      </c>
    </row>
    <row r="1232" spans="1:9">
      <c r="A1232">
        <v>385487</v>
      </c>
      <c r="B1232">
        <v>1191314</v>
      </c>
      <c r="C1232">
        <v>2</v>
      </c>
      <c r="D1232" t="s">
        <v>1695</v>
      </c>
      <c r="E1232">
        <v>288</v>
      </c>
      <c r="F1232" t="s">
        <v>41</v>
      </c>
      <c r="G1232" t="s">
        <v>41</v>
      </c>
      <c r="I1232" t="s">
        <v>77</v>
      </c>
    </row>
    <row r="1233" spans="1:9">
      <c r="A1233">
        <v>385531</v>
      </c>
      <c r="B1233">
        <v>1191336</v>
      </c>
      <c r="C1233">
        <v>1</v>
      </c>
      <c r="D1233" t="s">
        <v>1695</v>
      </c>
      <c r="E1233">
        <v>1183</v>
      </c>
      <c r="F1233" t="s">
        <v>41</v>
      </c>
      <c r="G1233" t="s">
        <v>41</v>
      </c>
      <c r="I1233" t="s">
        <v>77</v>
      </c>
    </row>
    <row r="1234" spans="1:9">
      <c r="A1234">
        <v>385532</v>
      </c>
      <c r="B1234">
        <v>1191336</v>
      </c>
      <c r="C1234">
        <v>2</v>
      </c>
      <c r="D1234" t="s">
        <v>1697</v>
      </c>
      <c r="E1234">
        <v>592</v>
      </c>
      <c r="F1234" t="s">
        <v>41</v>
      </c>
      <c r="G1234" t="s">
        <v>41</v>
      </c>
      <c r="I1234" t="s">
        <v>77</v>
      </c>
    </row>
    <row r="1235" spans="1:9">
      <c r="A1235">
        <v>385894</v>
      </c>
      <c r="B1235">
        <v>1191528</v>
      </c>
      <c r="C1235">
        <v>1</v>
      </c>
      <c r="D1235" t="s">
        <v>1696</v>
      </c>
      <c r="E1235">
        <v>1457</v>
      </c>
      <c r="F1235" t="s">
        <v>47</v>
      </c>
      <c r="G1235" t="s">
        <v>41</v>
      </c>
      <c r="I1235" t="s">
        <v>77</v>
      </c>
    </row>
    <row r="1236" spans="1:9">
      <c r="A1236">
        <v>386254</v>
      </c>
      <c r="B1236">
        <v>1191703</v>
      </c>
      <c r="C1236">
        <v>1</v>
      </c>
      <c r="D1236" t="s">
        <v>1695</v>
      </c>
      <c r="E1236">
        <v>1731</v>
      </c>
      <c r="F1236" t="s">
        <v>163</v>
      </c>
      <c r="G1236" t="s">
        <v>37</v>
      </c>
      <c r="H1236">
        <v>41986</v>
      </c>
      <c r="I1236" t="s">
        <v>77</v>
      </c>
    </row>
    <row r="1237" spans="1:9">
      <c r="A1237">
        <v>387816</v>
      </c>
      <c r="B1237">
        <v>1192481</v>
      </c>
      <c r="C1237">
        <v>1</v>
      </c>
      <c r="D1237" t="s">
        <v>1695</v>
      </c>
      <c r="E1237">
        <v>2211</v>
      </c>
      <c r="F1237" t="s">
        <v>47</v>
      </c>
      <c r="G1237" t="s">
        <v>37</v>
      </c>
      <c r="H1237">
        <v>41430</v>
      </c>
      <c r="I1237" t="s">
        <v>77</v>
      </c>
    </row>
    <row r="1238" spans="1:9">
      <c r="A1238">
        <v>387817</v>
      </c>
      <c r="B1238">
        <v>1192481</v>
      </c>
      <c r="C1238">
        <v>2</v>
      </c>
      <c r="D1238" t="s">
        <v>1695</v>
      </c>
      <c r="E1238">
        <v>2211</v>
      </c>
      <c r="F1238" t="s">
        <v>49</v>
      </c>
      <c r="G1238" t="s">
        <v>37</v>
      </c>
      <c r="H1238">
        <v>41430</v>
      </c>
      <c r="I1238" t="s">
        <v>77</v>
      </c>
    </row>
    <row r="1239" spans="1:9">
      <c r="A1239">
        <v>387818</v>
      </c>
      <c r="B1239">
        <v>1192481</v>
      </c>
      <c r="C1239">
        <v>3</v>
      </c>
      <c r="D1239" t="s">
        <v>1695</v>
      </c>
      <c r="E1239">
        <v>2211</v>
      </c>
      <c r="F1239" t="s">
        <v>49</v>
      </c>
      <c r="G1239" t="s">
        <v>37</v>
      </c>
      <c r="H1239">
        <v>41430</v>
      </c>
      <c r="I1239" t="s">
        <v>77</v>
      </c>
    </row>
    <row r="1240" spans="1:9">
      <c r="A1240">
        <v>387819</v>
      </c>
      <c r="B1240">
        <v>1192481</v>
      </c>
      <c r="C1240">
        <v>4</v>
      </c>
      <c r="D1240" t="s">
        <v>1696</v>
      </c>
      <c r="E1240">
        <v>1327</v>
      </c>
      <c r="F1240" t="s">
        <v>49</v>
      </c>
      <c r="G1240" t="s">
        <v>37</v>
      </c>
      <c r="H1240">
        <v>41430</v>
      </c>
      <c r="I1240" t="s">
        <v>77</v>
      </c>
    </row>
    <row r="1241" spans="1:9">
      <c r="A1241">
        <v>388372</v>
      </c>
      <c r="B1241">
        <v>1192749</v>
      </c>
      <c r="C1241">
        <v>1</v>
      </c>
      <c r="D1241" t="s">
        <v>1695</v>
      </c>
      <c r="E1241">
        <v>762</v>
      </c>
      <c r="F1241" t="s">
        <v>41</v>
      </c>
      <c r="G1241" t="s">
        <v>41</v>
      </c>
      <c r="I1241" t="s">
        <v>77</v>
      </c>
    </row>
    <row r="1242" spans="1:9">
      <c r="A1242">
        <v>388373</v>
      </c>
      <c r="B1242">
        <v>1192749</v>
      </c>
      <c r="C1242">
        <v>2</v>
      </c>
      <c r="D1242" t="s">
        <v>1695</v>
      </c>
      <c r="E1242">
        <v>762</v>
      </c>
      <c r="F1242" t="s">
        <v>41</v>
      </c>
      <c r="G1242" t="s">
        <v>41</v>
      </c>
      <c r="I1242" t="s">
        <v>77</v>
      </c>
    </row>
    <row r="1243" spans="1:9">
      <c r="A1243">
        <v>388380</v>
      </c>
      <c r="B1243">
        <v>1192751</v>
      </c>
      <c r="C1243">
        <v>1</v>
      </c>
      <c r="D1243" t="s">
        <v>1696</v>
      </c>
      <c r="E1243">
        <v>1457</v>
      </c>
      <c r="F1243" t="s">
        <v>41</v>
      </c>
      <c r="G1243" t="s">
        <v>41</v>
      </c>
      <c r="I1243" t="s">
        <v>77</v>
      </c>
    </row>
    <row r="1244" spans="1:9">
      <c r="A1244">
        <v>388381</v>
      </c>
      <c r="B1244">
        <v>1192751</v>
      </c>
      <c r="C1244">
        <v>2</v>
      </c>
      <c r="D1244" t="s">
        <v>1695</v>
      </c>
      <c r="E1244">
        <v>2429</v>
      </c>
      <c r="F1244" t="s">
        <v>41</v>
      </c>
      <c r="G1244" t="s">
        <v>41</v>
      </c>
      <c r="I1244" t="s">
        <v>77</v>
      </c>
    </row>
    <row r="1245" spans="1:9">
      <c r="A1245">
        <v>388382</v>
      </c>
      <c r="B1245">
        <v>1192751</v>
      </c>
      <c r="C1245">
        <v>3</v>
      </c>
      <c r="D1245" t="s">
        <v>1695</v>
      </c>
      <c r="E1245">
        <v>2429</v>
      </c>
      <c r="F1245" t="s">
        <v>41</v>
      </c>
      <c r="G1245" t="s">
        <v>41</v>
      </c>
      <c r="I1245" t="s">
        <v>77</v>
      </c>
    </row>
    <row r="1246" spans="1:9">
      <c r="A1246">
        <v>388383</v>
      </c>
      <c r="B1246">
        <v>1192751</v>
      </c>
      <c r="C1246">
        <v>4</v>
      </c>
      <c r="D1246" t="s">
        <v>1695</v>
      </c>
      <c r="E1246">
        <v>2429</v>
      </c>
      <c r="F1246" t="s">
        <v>41</v>
      </c>
      <c r="G1246" t="s">
        <v>41</v>
      </c>
      <c r="I1246" t="s">
        <v>77</v>
      </c>
    </row>
    <row r="1247" spans="1:9">
      <c r="A1247">
        <v>388384</v>
      </c>
      <c r="B1247">
        <v>1192751</v>
      </c>
      <c r="C1247">
        <v>5</v>
      </c>
      <c r="D1247" t="s">
        <v>1695</v>
      </c>
      <c r="E1247">
        <v>2429</v>
      </c>
      <c r="F1247" t="s">
        <v>41</v>
      </c>
      <c r="G1247" t="s">
        <v>41</v>
      </c>
      <c r="I1247" t="s">
        <v>77</v>
      </c>
    </row>
    <row r="1248" spans="1:9">
      <c r="A1248">
        <v>388385</v>
      </c>
      <c r="B1248">
        <v>1192751</v>
      </c>
      <c r="C1248">
        <v>6</v>
      </c>
      <c r="D1248" t="s">
        <v>1695</v>
      </c>
      <c r="E1248">
        <v>2429</v>
      </c>
      <c r="F1248" t="s">
        <v>41</v>
      </c>
      <c r="G1248" t="s">
        <v>41</v>
      </c>
      <c r="I1248" t="s">
        <v>77</v>
      </c>
    </row>
    <row r="1249" spans="1:9">
      <c r="A1249">
        <v>388488</v>
      </c>
      <c r="B1249">
        <v>1192802</v>
      </c>
      <c r="C1249">
        <v>1</v>
      </c>
      <c r="D1249" t="s">
        <v>1695</v>
      </c>
      <c r="E1249">
        <v>753</v>
      </c>
      <c r="F1249" t="s">
        <v>41</v>
      </c>
      <c r="G1249" t="s">
        <v>41</v>
      </c>
      <c r="I1249" t="s">
        <v>77</v>
      </c>
    </row>
    <row r="1250" spans="1:9">
      <c r="A1250">
        <v>388489</v>
      </c>
      <c r="B1250">
        <v>1192802</v>
      </c>
      <c r="C1250">
        <v>2</v>
      </c>
      <c r="D1250" t="s">
        <v>1695</v>
      </c>
      <c r="E1250">
        <v>753</v>
      </c>
      <c r="F1250" t="s">
        <v>41</v>
      </c>
      <c r="G1250" t="s">
        <v>41</v>
      </c>
      <c r="I1250" t="s">
        <v>77</v>
      </c>
    </row>
    <row r="1251" spans="1:9">
      <c r="A1251">
        <v>388490</v>
      </c>
      <c r="B1251">
        <v>1192802</v>
      </c>
      <c r="C1251">
        <v>3</v>
      </c>
      <c r="D1251" t="s">
        <v>1696</v>
      </c>
      <c r="E1251">
        <v>452</v>
      </c>
      <c r="F1251" t="s">
        <v>41</v>
      </c>
      <c r="G1251" t="s">
        <v>41</v>
      </c>
      <c r="I1251" t="s">
        <v>77</v>
      </c>
    </row>
    <row r="1252" spans="1:9">
      <c r="A1252">
        <v>388897</v>
      </c>
      <c r="B1252">
        <v>1193016</v>
      </c>
      <c r="C1252">
        <v>1</v>
      </c>
      <c r="D1252" t="s">
        <v>1695</v>
      </c>
      <c r="E1252">
        <v>753</v>
      </c>
      <c r="F1252" t="s">
        <v>41</v>
      </c>
      <c r="G1252" t="s">
        <v>41</v>
      </c>
      <c r="I1252" t="s">
        <v>77</v>
      </c>
    </row>
    <row r="1253" spans="1:9">
      <c r="A1253">
        <v>388898</v>
      </c>
      <c r="B1253">
        <v>1193016</v>
      </c>
      <c r="C1253">
        <v>2</v>
      </c>
      <c r="D1253" t="s">
        <v>1695</v>
      </c>
      <c r="E1253">
        <v>753</v>
      </c>
      <c r="F1253" t="s">
        <v>41</v>
      </c>
      <c r="G1253" t="s">
        <v>41</v>
      </c>
      <c r="I1253" t="s">
        <v>77</v>
      </c>
    </row>
    <row r="1254" spans="1:9">
      <c r="A1254">
        <v>388899</v>
      </c>
      <c r="B1254">
        <v>1193016</v>
      </c>
      <c r="C1254">
        <v>3</v>
      </c>
      <c r="D1254" t="s">
        <v>1695</v>
      </c>
      <c r="E1254">
        <v>753</v>
      </c>
      <c r="F1254" t="s">
        <v>41</v>
      </c>
      <c r="G1254" t="s">
        <v>41</v>
      </c>
      <c r="I1254" t="s">
        <v>77</v>
      </c>
    </row>
    <row r="1255" spans="1:9">
      <c r="A1255">
        <v>389354</v>
      </c>
      <c r="B1255">
        <v>1193245</v>
      </c>
      <c r="C1255">
        <v>1</v>
      </c>
      <c r="D1255" t="s">
        <v>1695</v>
      </c>
      <c r="E1255">
        <v>2429</v>
      </c>
      <c r="F1255" t="s">
        <v>49</v>
      </c>
      <c r="G1255" t="s">
        <v>1701</v>
      </c>
      <c r="I1255" t="s">
        <v>77</v>
      </c>
    </row>
    <row r="1256" spans="1:9">
      <c r="A1256">
        <v>389355</v>
      </c>
      <c r="B1256">
        <v>1193245</v>
      </c>
      <c r="C1256">
        <v>2</v>
      </c>
      <c r="D1256" t="s">
        <v>1696</v>
      </c>
      <c r="E1256">
        <v>1457</v>
      </c>
      <c r="F1256" t="s">
        <v>49</v>
      </c>
      <c r="G1256" t="s">
        <v>47</v>
      </c>
      <c r="I1256" t="s">
        <v>77</v>
      </c>
    </row>
    <row r="1257" spans="1:9">
      <c r="A1257">
        <v>389356</v>
      </c>
      <c r="B1257">
        <v>1193245</v>
      </c>
      <c r="C1257">
        <v>3</v>
      </c>
      <c r="D1257" t="s">
        <v>1695</v>
      </c>
      <c r="E1257">
        <v>2429</v>
      </c>
      <c r="F1257" t="s">
        <v>49</v>
      </c>
      <c r="G1257" t="s">
        <v>47</v>
      </c>
      <c r="I1257" t="s">
        <v>77</v>
      </c>
    </row>
    <row r="1258" spans="1:9">
      <c r="A1258">
        <v>389874</v>
      </c>
      <c r="B1258">
        <v>1193481</v>
      </c>
      <c r="C1258">
        <v>1</v>
      </c>
      <c r="D1258" t="s">
        <v>1696</v>
      </c>
      <c r="E1258">
        <v>834</v>
      </c>
      <c r="F1258" t="s">
        <v>41</v>
      </c>
      <c r="G1258" t="s">
        <v>41</v>
      </c>
      <c r="I1258" t="s">
        <v>77</v>
      </c>
    </row>
    <row r="1259" spans="1:9">
      <c r="A1259">
        <v>389875</v>
      </c>
      <c r="B1259">
        <v>1193481</v>
      </c>
      <c r="C1259">
        <v>2</v>
      </c>
      <c r="D1259" t="s">
        <v>1695</v>
      </c>
      <c r="E1259">
        <v>1390</v>
      </c>
      <c r="F1259" t="s">
        <v>41</v>
      </c>
      <c r="G1259" t="s">
        <v>41</v>
      </c>
      <c r="I1259" t="s">
        <v>77</v>
      </c>
    </row>
    <row r="1260" spans="1:9">
      <c r="A1260">
        <v>392177</v>
      </c>
      <c r="B1260">
        <v>1194649</v>
      </c>
      <c r="C1260">
        <v>1</v>
      </c>
      <c r="D1260" t="s">
        <v>1695</v>
      </c>
      <c r="E1260">
        <v>348</v>
      </c>
      <c r="F1260" t="s">
        <v>41</v>
      </c>
      <c r="G1260" t="s">
        <v>41</v>
      </c>
      <c r="I1260" t="s">
        <v>77</v>
      </c>
    </row>
    <row r="1261" spans="1:9">
      <c r="A1261">
        <v>392291</v>
      </c>
      <c r="B1261">
        <v>1194709</v>
      </c>
      <c r="C1261">
        <v>1</v>
      </c>
      <c r="D1261" t="s">
        <v>1695</v>
      </c>
      <c r="E1261">
        <v>906</v>
      </c>
      <c r="F1261" t="s">
        <v>47</v>
      </c>
      <c r="G1261" t="s">
        <v>47</v>
      </c>
      <c r="I1261" t="s">
        <v>77</v>
      </c>
    </row>
    <row r="1262" spans="1:9">
      <c r="A1262">
        <v>392292</v>
      </c>
      <c r="B1262">
        <v>1194709</v>
      </c>
      <c r="C1262">
        <v>2</v>
      </c>
      <c r="D1262" t="s">
        <v>1696</v>
      </c>
      <c r="E1262">
        <v>543</v>
      </c>
      <c r="F1262" t="s">
        <v>47</v>
      </c>
      <c r="G1262" t="s">
        <v>47</v>
      </c>
      <c r="I1262" t="s">
        <v>77</v>
      </c>
    </row>
    <row r="1263" spans="1:9">
      <c r="A1263">
        <v>393399</v>
      </c>
      <c r="B1263">
        <v>1195275</v>
      </c>
      <c r="C1263">
        <v>1</v>
      </c>
      <c r="D1263" t="s">
        <v>1695</v>
      </c>
      <c r="E1263">
        <v>872</v>
      </c>
      <c r="F1263" t="s">
        <v>41</v>
      </c>
      <c r="G1263" t="s">
        <v>37</v>
      </c>
      <c r="H1263">
        <v>42212</v>
      </c>
      <c r="I1263" t="s">
        <v>77</v>
      </c>
    </row>
    <row r="1264" spans="1:9">
      <c r="A1264">
        <v>394246</v>
      </c>
      <c r="B1264">
        <v>1195699</v>
      </c>
      <c r="C1264">
        <v>1</v>
      </c>
      <c r="D1264" t="s">
        <v>1695</v>
      </c>
      <c r="E1264">
        <v>1379</v>
      </c>
      <c r="F1264" t="s">
        <v>41</v>
      </c>
      <c r="G1264" t="s">
        <v>41</v>
      </c>
      <c r="I1264" t="s">
        <v>77</v>
      </c>
    </row>
    <row r="1265" spans="1:9">
      <c r="A1265">
        <v>394247</v>
      </c>
      <c r="B1265">
        <v>1195699</v>
      </c>
      <c r="C1265">
        <v>2</v>
      </c>
      <c r="D1265" t="s">
        <v>1695</v>
      </c>
      <c r="E1265">
        <v>1379</v>
      </c>
      <c r="F1265" t="s">
        <v>41</v>
      </c>
      <c r="G1265" t="s">
        <v>41</v>
      </c>
      <c r="I1265" t="s">
        <v>77</v>
      </c>
    </row>
    <row r="1266" spans="1:9">
      <c r="A1266">
        <v>394346</v>
      </c>
      <c r="B1266">
        <v>1195755</v>
      </c>
      <c r="C1266">
        <v>1</v>
      </c>
      <c r="D1266" t="s">
        <v>1695</v>
      </c>
      <c r="E1266">
        <v>544</v>
      </c>
      <c r="F1266" t="s">
        <v>41</v>
      </c>
      <c r="G1266" t="s">
        <v>41</v>
      </c>
      <c r="I1266" t="s">
        <v>77</v>
      </c>
    </row>
    <row r="1267" spans="1:9">
      <c r="A1267">
        <v>394347</v>
      </c>
      <c r="B1267">
        <v>1195755</v>
      </c>
      <c r="C1267">
        <v>2</v>
      </c>
      <c r="D1267" t="s">
        <v>1695</v>
      </c>
      <c r="E1267">
        <v>544</v>
      </c>
      <c r="F1267" t="s">
        <v>41</v>
      </c>
      <c r="G1267" t="s">
        <v>41</v>
      </c>
      <c r="I1267" t="s">
        <v>77</v>
      </c>
    </row>
    <row r="1268" spans="1:9">
      <c r="A1268">
        <v>395692</v>
      </c>
      <c r="B1268">
        <v>1196392</v>
      </c>
      <c r="C1268">
        <v>1</v>
      </c>
      <c r="D1268" t="s">
        <v>1695</v>
      </c>
      <c r="E1268">
        <v>4510</v>
      </c>
      <c r="F1268" t="s">
        <v>41</v>
      </c>
      <c r="G1268" t="s">
        <v>41</v>
      </c>
      <c r="I1268" t="s">
        <v>77</v>
      </c>
    </row>
    <row r="1269" spans="1:9">
      <c r="A1269">
        <v>396895</v>
      </c>
      <c r="B1269">
        <v>1197007</v>
      </c>
      <c r="C1269">
        <v>1</v>
      </c>
      <c r="D1269" t="s">
        <v>1695</v>
      </c>
      <c r="E1269">
        <v>2130</v>
      </c>
      <c r="F1269" t="s">
        <v>41</v>
      </c>
      <c r="G1269" t="s">
        <v>41</v>
      </c>
      <c r="I1269" t="s">
        <v>77</v>
      </c>
    </row>
    <row r="1270" spans="1:9">
      <c r="A1270">
        <v>396896</v>
      </c>
      <c r="B1270">
        <v>1197007</v>
      </c>
      <c r="C1270">
        <v>2</v>
      </c>
      <c r="D1270" t="s">
        <v>1695</v>
      </c>
      <c r="E1270">
        <v>2130</v>
      </c>
      <c r="F1270" t="s">
        <v>41</v>
      </c>
      <c r="G1270" t="s">
        <v>41</v>
      </c>
      <c r="I1270" t="s">
        <v>77</v>
      </c>
    </row>
    <row r="1271" spans="1:9">
      <c r="A1271">
        <v>397790</v>
      </c>
      <c r="B1271">
        <v>1197470</v>
      </c>
      <c r="C1271">
        <v>1</v>
      </c>
      <c r="D1271" t="s">
        <v>1695</v>
      </c>
      <c r="E1271">
        <v>4198</v>
      </c>
      <c r="F1271" t="s">
        <v>49</v>
      </c>
      <c r="G1271" t="s">
        <v>49</v>
      </c>
      <c r="H1271">
        <v>42597</v>
      </c>
      <c r="I1271" t="s">
        <v>77</v>
      </c>
    </row>
    <row r="1272" spans="1:9">
      <c r="A1272">
        <v>397791</v>
      </c>
      <c r="B1272">
        <v>1197470</v>
      </c>
      <c r="C1272">
        <v>2</v>
      </c>
      <c r="D1272" t="s">
        <v>1695</v>
      </c>
      <c r="E1272">
        <v>4198</v>
      </c>
      <c r="F1272" t="s">
        <v>49</v>
      </c>
      <c r="G1272" t="s">
        <v>49</v>
      </c>
      <c r="H1272">
        <v>42597</v>
      </c>
      <c r="I1272" t="s">
        <v>77</v>
      </c>
    </row>
    <row r="1273" spans="1:9">
      <c r="A1273">
        <v>398360</v>
      </c>
      <c r="B1273">
        <v>1197742</v>
      </c>
      <c r="C1273">
        <v>1</v>
      </c>
      <c r="D1273" t="s">
        <v>1695</v>
      </c>
      <c r="E1273">
        <v>1243</v>
      </c>
      <c r="F1273" t="s">
        <v>41</v>
      </c>
      <c r="G1273" t="s">
        <v>41</v>
      </c>
      <c r="I1273" t="s">
        <v>77</v>
      </c>
    </row>
    <row r="1274" spans="1:9">
      <c r="A1274">
        <v>398665</v>
      </c>
      <c r="B1274">
        <v>1197896</v>
      </c>
      <c r="C1274">
        <v>1</v>
      </c>
      <c r="D1274" t="s">
        <v>1695</v>
      </c>
      <c r="E1274">
        <v>950</v>
      </c>
      <c r="F1274" t="s">
        <v>49</v>
      </c>
      <c r="G1274" t="s">
        <v>49</v>
      </c>
      <c r="H1274">
        <v>43054</v>
      </c>
      <c r="I1274" t="s">
        <v>77</v>
      </c>
    </row>
    <row r="1275" spans="1:9">
      <c r="A1275">
        <v>398666</v>
      </c>
      <c r="B1275">
        <v>1197896</v>
      </c>
      <c r="C1275">
        <v>2</v>
      </c>
      <c r="D1275" t="s">
        <v>1695</v>
      </c>
      <c r="E1275">
        <v>950</v>
      </c>
      <c r="F1275" t="s">
        <v>49</v>
      </c>
      <c r="G1275" t="s">
        <v>49</v>
      </c>
      <c r="H1275">
        <v>43054</v>
      </c>
      <c r="I1275" t="s">
        <v>77</v>
      </c>
    </row>
    <row r="1276" spans="1:9">
      <c r="A1276">
        <v>398667</v>
      </c>
      <c r="B1276">
        <v>1197896</v>
      </c>
      <c r="C1276">
        <v>3</v>
      </c>
      <c r="D1276" t="s">
        <v>1695</v>
      </c>
      <c r="E1276">
        <v>950</v>
      </c>
      <c r="F1276" t="s">
        <v>49</v>
      </c>
      <c r="G1276" t="s">
        <v>49</v>
      </c>
      <c r="H1276">
        <v>43054</v>
      </c>
      <c r="I1276" t="s">
        <v>77</v>
      </c>
    </row>
    <row r="1277" spans="1:9">
      <c r="A1277">
        <v>398850</v>
      </c>
      <c r="B1277">
        <v>1197993</v>
      </c>
      <c r="C1277">
        <v>1</v>
      </c>
      <c r="D1277" t="s">
        <v>1695</v>
      </c>
      <c r="E1277">
        <v>3123</v>
      </c>
      <c r="F1277" t="s">
        <v>41</v>
      </c>
      <c r="G1277" t="s">
        <v>41</v>
      </c>
      <c r="I1277" t="s">
        <v>77</v>
      </c>
    </row>
    <row r="1278" spans="1:9">
      <c r="A1278">
        <v>399138</v>
      </c>
      <c r="B1278">
        <v>1198119</v>
      </c>
      <c r="C1278">
        <v>1</v>
      </c>
      <c r="D1278" t="s">
        <v>1695</v>
      </c>
      <c r="E1278">
        <v>2520</v>
      </c>
      <c r="F1278" t="s">
        <v>47</v>
      </c>
      <c r="G1278" t="s">
        <v>41</v>
      </c>
      <c r="I1278" t="s">
        <v>77</v>
      </c>
    </row>
    <row r="1279" spans="1:9">
      <c r="A1279">
        <v>399139</v>
      </c>
      <c r="B1279">
        <v>1198119</v>
      </c>
      <c r="C1279">
        <v>2</v>
      </c>
      <c r="D1279" t="s">
        <v>1695</v>
      </c>
      <c r="E1279">
        <v>2520</v>
      </c>
      <c r="F1279" t="s">
        <v>47</v>
      </c>
      <c r="G1279" t="s">
        <v>41</v>
      </c>
      <c r="I1279" t="s">
        <v>77</v>
      </c>
    </row>
    <row r="1280" spans="1:9">
      <c r="A1280">
        <v>399140</v>
      </c>
      <c r="B1280">
        <v>1198119</v>
      </c>
      <c r="C1280">
        <v>3</v>
      </c>
      <c r="D1280" t="s">
        <v>1696</v>
      </c>
      <c r="E1280">
        <v>1512</v>
      </c>
      <c r="F1280" t="s">
        <v>47</v>
      </c>
      <c r="G1280" t="s">
        <v>41</v>
      </c>
      <c r="I1280" t="s">
        <v>77</v>
      </c>
    </row>
    <row r="1281" spans="1:9">
      <c r="A1281">
        <v>399141</v>
      </c>
      <c r="B1281">
        <v>1198119</v>
      </c>
      <c r="C1281">
        <v>4</v>
      </c>
      <c r="D1281" t="s">
        <v>1695</v>
      </c>
      <c r="E1281">
        <v>2520</v>
      </c>
      <c r="F1281" t="s">
        <v>47</v>
      </c>
      <c r="G1281" t="s">
        <v>41</v>
      </c>
      <c r="I1281" t="s">
        <v>77</v>
      </c>
    </row>
    <row r="1282" spans="1:9">
      <c r="A1282">
        <v>399229</v>
      </c>
      <c r="B1282">
        <v>1198169</v>
      </c>
      <c r="C1282">
        <v>1</v>
      </c>
      <c r="D1282" t="s">
        <v>1695</v>
      </c>
      <c r="E1282">
        <v>916</v>
      </c>
      <c r="F1282" t="s">
        <v>41</v>
      </c>
      <c r="G1282" t="s">
        <v>41</v>
      </c>
      <c r="I1282" t="s">
        <v>77</v>
      </c>
    </row>
    <row r="1283" spans="1:9">
      <c r="A1283">
        <v>399230</v>
      </c>
      <c r="B1283">
        <v>1198169</v>
      </c>
      <c r="C1283">
        <v>2</v>
      </c>
      <c r="D1283" t="s">
        <v>1695</v>
      </c>
      <c r="E1283">
        <v>916</v>
      </c>
      <c r="F1283" t="s">
        <v>41</v>
      </c>
      <c r="G1283" t="s">
        <v>41</v>
      </c>
      <c r="I1283" t="s">
        <v>77</v>
      </c>
    </row>
    <row r="1284" spans="1:9">
      <c r="A1284">
        <v>400531</v>
      </c>
      <c r="B1284">
        <v>1198822</v>
      </c>
      <c r="C1284">
        <v>1</v>
      </c>
      <c r="D1284" t="s">
        <v>1695</v>
      </c>
      <c r="E1284">
        <v>906</v>
      </c>
      <c r="F1284" t="s">
        <v>41</v>
      </c>
      <c r="G1284" t="s">
        <v>41</v>
      </c>
      <c r="I1284" t="s">
        <v>77</v>
      </c>
    </row>
    <row r="1285" spans="1:9">
      <c r="A1285">
        <v>401140</v>
      </c>
      <c r="B1285">
        <v>1199119</v>
      </c>
      <c r="C1285">
        <v>1</v>
      </c>
      <c r="D1285" t="s">
        <v>1695</v>
      </c>
      <c r="E1285">
        <v>4406</v>
      </c>
      <c r="F1285" t="s">
        <v>49</v>
      </c>
      <c r="G1285" t="s">
        <v>49</v>
      </c>
      <c r="H1285">
        <v>43274</v>
      </c>
      <c r="I1285" t="s">
        <v>77</v>
      </c>
    </row>
    <row r="1286" spans="1:9">
      <c r="A1286">
        <v>401141</v>
      </c>
      <c r="B1286">
        <v>1199119</v>
      </c>
      <c r="C1286">
        <v>2</v>
      </c>
      <c r="D1286" t="s">
        <v>1695</v>
      </c>
      <c r="E1286">
        <v>4406</v>
      </c>
      <c r="F1286" t="s">
        <v>49</v>
      </c>
      <c r="G1286" t="s">
        <v>49</v>
      </c>
      <c r="H1286">
        <v>43274</v>
      </c>
      <c r="I1286" t="s">
        <v>77</v>
      </c>
    </row>
    <row r="1287" spans="1:9">
      <c r="A1287">
        <v>401455</v>
      </c>
      <c r="B1287">
        <v>1199281</v>
      </c>
      <c r="C1287">
        <v>1</v>
      </c>
      <c r="D1287" t="s">
        <v>1695</v>
      </c>
      <c r="E1287">
        <v>288</v>
      </c>
      <c r="F1287" t="s">
        <v>41</v>
      </c>
      <c r="G1287" t="s">
        <v>41</v>
      </c>
      <c r="I1287" t="s">
        <v>77</v>
      </c>
    </row>
    <row r="1288" spans="1:9">
      <c r="A1288">
        <v>401456</v>
      </c>
      <c r="B1288">
        <v>1199281</v>
      </c>
      <c r="C1288">
        <v>2</v>
      </c>
      <c r="D1288" t="s">
        <v>1696</v>
      </c>
      <c r="E1288">
        <v>173</v>
      </c>
      <c r="F1288" t="s">
        <v>41</v>
      </c>
      <c r="G1288" t="s">
        <v>41</v>
      </c>
      <c r="I1288" t="s">
        <v>77</v>
      </c>
    </row>
    <row r="1289" spans="1:9">
      <c r="A1289">
        <v>401457</v>
      </c>
      <c r="B1289">
        <v>1199281</v>
      </c>
      <c r="C1289">
        <v>3</v>
      </c>
      <c r="D1289" t="s">
        <v>1695</v>
      </c>
      <c r="E1289">
        <v>288</v>
      </c>
      <c r="F1289" t="s">
        <v>41</v>
      </c>
      <c r="G1289" t="s">
        <v>41</v>
      </c>
      <c r="I1289" t="s">
        <v>77</v>
      </c>
    </row>
    <row r="1290" spans="1:9">
      <c r="A1290">
        <v>401983</v>
      </c>
      <c r="B1290">
        <v>1199549</v>
      </c>
      <c r="C1290">
        <v>1</v>
      </c>
      <c r="D1290" t="s">
        <v>1695</v>
      </c>
      <c r="E1290">
        <v>950</v>
      </c>
      <c r="F1290" t="s">
        <v>41</v>
      </c>
      <c r="G1290" t="s">
        <v>41</v>
      </c>
      <c r="I1290" t="s">
        <v>77</v>
      </c>
    </row>
    <row r="1291" spans="1:9">
      <c r="A1291">
        <v>401984</v>
      </c>
      <c r="B1291">
        <v>1199549</v>
      </c>
      <c r="C1291">
        <v>2</v>
      </c>
      <c r="D1291" t="s">
        <v>1697</v>
      </c>
      <c r="E1291">
        <v>475</v>
      </c>
      <c r="F1291" t="s">
        <v>41</v>
      </c>
      <c r="G1291" t="s">
        <v>41</v>
      </c>
      <c r="I1291" t="s">
        <v>77</v>
      </c>
    </row>
    <row r="1292" spans="1:9">
      <c r="A1292">
        <v>401985</v>
      </c>
      <c r="B1292">
        <v>1199549</v>
      </c>
      <c r="C1292">
        <v>3</v>
      </c>
      <c r="D1292" t="s">
        <v>1695</v>
      </c>
      <c r="E1292">
        <v>950</v>
      </c>
      <c r="F1292" t="s">
        <v>41</v>
      </c>
      <c r="G1292" t="s">
        <v>41</v>
      </c>
      <c r="I1292" t="s">
        <v>77</v>
      </c>
    </row>
    <row r="1293" spans="1:9">
      <c r="A1293">
        <v>402010</v>
      </c>
      <c r="B1293">
        <v>1199562</v>
      </c>
      <c r="C1293">
        <v>1</v>
      </c>
      <c r="D1293" t="s">
        <v>1696</v>
      </c>
      <c r="E1293">
        <v>512</v>
      </c>
      <c r="F1293" t="s">
        <v>41</v>
      </c>
      <c r="G1293" t="s">
        <v>41</v>
      </c>
      <c r="I1293" t="s">
        <v>77</v>
      </c>
    </row>
    <row r="1294" spans="1:9">
      <c r="A1294">
        <v>402011</v>
      </c>
      <c r="B1294">
        <v>1199562</v>
      </c>
      <c r="C1294">
        <v>2</v>
      </c>
      <c r="D1294" t="s">
        <v>1695</v>
      </c>
      <c r="E1294">
        <v>854</v>
      </c>
      <c r="F1294" t="s">
        <v>41</v>
      </c>
      <c r="G1294" t="s">
        <v>41</v>
      </c>
      <c r="I1294" t="s">
        <v>77</v>
      </c>
    </row>
    <row r="1295" spans="1:9">
      <c r="A1295">
        <v>402423</v>
      </c>
      <c r="B1295">
        <v>1199769</v>
      </c>
      <c r="C1295">
        <v>1</v>
      </c>
      <c r="D1295" t="s">
        <v>1696</v>
      </c>
      <c r="E1295">
        <v>662</v>
      </c>
      <c r="F1295" t="s">
        <v>41</v>
      </c>
      <c r="G1295" t="s">
        <v>41</v>
      </c>
      <c r="I1295" t="s">
        <v>77</v>
      </c>
    </row>
    <row r="1296" spans="1:9">
      <c r="A1296">
        <v>402424</v>
      </c>
      <c r="B1296">
        <v>1199769</v>
      </c>
      <c r="C1296">
        <v>2</v>
      </c>
      <c r="D1296" t="s">
        <v>1695</v>
      </c>
      <c r="E1296">
        <v>1102</v>
      </c>
      <c r="F1296" t="s">
        <v>41</v>
      </c>
      <c r="G1296" t="s">
        <v>41</v>
      </c>
      <c r="I1296" t="s">
        <v>77</v>
      </c>
    </row>
    <row r="1297" spans="1:9">
      <c r="A1297">
        <v>402425</v>
      </c>
      <c r="B1297">
        <v>1199769</v>
      </c>
      <c r="C1297">
        <v>3</v>
      </c>
      <c r="D1297" t="s">
        <v>1696</v>
      </c>
      <c r="E1297">
        <v>662</v>
      </c>
      <c r="F1297" t="s">
        <v>41</v>
      </c>
      <c r="G1297" t="s">
        <v>41</v>
      </c>
      <c r="I1297" t="s">
        <v>77</v>
      </c>
    </row>
    <row r="1298" spans="1:9">
      <c r="A1298">
        <v>402426</v>
      </c>
      <c r="B1298">
        <v>1199769</v>
      </c>
      <c r="C1298">
        <v>4</v>
      </c>
      <c r="D1298" t="s">
        <v>1695</v>
      </c>
      <c r="E1298">
        <v>1102</v>
      </c>
      <c r="F1298" t="s">
        <v>41</v>
      </c>
      <c r="G1298" t="s">
        <v>41</v>
      </c>
      <c r="I1298" t="s">
        <v>77</v>
      </c>
    </row>
    <row r="1299" spans="1:9">
      <c r="A1299">
        <v>402979</v>
      </c>
      <c r="B1299">
        <v>1200060</v>
      </c>
      <c r="C1299">
        <v>1</v>
      </c>
      <c r="D1299" t="s">
        <v>1695</v>
      </c>
      <c r="E1299">
        <v>950</v>
      </c>
      <c r="F1299" t="s">
        <v>41</v>
      </c>
      <c r="G1299" t="s">
        <v>41</v>
      </c>
      <c r="I1299" t="s">
        <v>77</v>
      </c>
    </row>
    <row r="1300" spans="1:9">
      <c r="A1300">
        <v>402980</v>
      </c>
      <c r="B1300">
        <v>1200060</v>
      </c>
      <c r="C1300">
        <v>2</v>
      </c>
      <c r="D1300" t="s">
        <v>1695</v>
      </c>
      <c r="E1300">
        <v>950</v>
      </c>
      <c r="F1300" t="s">
        <v>41</v>
      </c>
      <c r="G1300" t="s">
        <v>41</v>
      </c>
      <c r="I1300" t="s">
        <v>77</v>
      </c>
    </row>
    <row r="1301" spans="1:9">
      <c r="A1301">
        <v>402981</v>
      </c>
      <c r="B1301">
        <v>1200060</v>
      </c>
      <c r="C1301">
        <v>3</v>
      </c>
      <c r="D1301" t="s">
        <v>1695</v>
      </c>
      <c r="E1301">
        <v>950</v>
      </c>
      <c r="F1301" t="s">
        <v>41</v>
      </c>
      <c r="G1301" t="s">
        <v>41</v>
      </c>
      <c r="I1301" t="s">
        <v>77</v>
      </c>
    </row>
    <row r="1302" spans="1:9">
      <c r="A1302">
        <v>403164</v>
      </c>
      <c r="B1302">
        <v>1200160</v>
      </c>
      <c r="C1302">
        <v>1</v>
      </c>
      <c r="D1302" t="s">
        <v>1695</v>
      </c>
      <c r="E1302">
        <v>762</v>
      </c>
      <c r="F1302" t="s">
        <v>49</v>
      </c>
      <c r="G1302" t="s">
        <v>49</v>
      </c>
      <c r="H1302">
        <v>43738</v>
      </c>
      <c r="I1302" t="s">
        <v>77</v>
      </c>
    </row>
    <row r="1303" spans="1:9">
      <c r="A1303">
        <v>403165</v>
      </c>
      <c r="B1303">
        <v>1200160</v>
      </c>
      <c r="C1303">
        <v>2</v>
      </c>
      <c r="D1303" t="s">
        <v>1695</v>
      </c>
      <c r="E1303">
        <v>762</v>
      </c>
      <c r="F1303" t="s">
        <v>49</v>
      </c>
      <c r="G1303" t="s">
        <v>49</v>
      </c>
      <c r="H1303">
        <v>43738</v>
      </c>
      <c r="I1303" t="s">
        <v>77</v>
      </c>
    </row>
    <row r="1304" spans="1:9">
      <c r="A1304">
        <v>403595</v>
      </c>
      <c r="B1304">
        <v>1200394</v>
      </c>
      <c r="C1304">
        <v>1</v>
      </c>
      <c r="D1304" t="s">
        <v>1695</v>
      </c>
      <c r="E1304">
        <v>906</v>
      </c>
      <c r="F1304" t="s">
        <v>41</v>
      </c>
      <c r="G1304" t="s">
        <v>41</v>
      </c>
      <c r="I1304" t="s">
        <v>77</v>
      </c>
    </row>
    <row r="1305" spans="1:9">
      <c r="A1305">
        <v>403596</v>
      </c>
      <c r="B1305">
        <v>1200394</v>
      </c>
      <c r="C1305">
        <v>2</v>
      </c>
      <c r="D1305" t="s">
        <v>1695</v>
      </c>
      <c r="E1305">
        <v>906</v>
      </c>
      <c r="F1305" t="s">
        <v>41</v>
      </c>
      <c r="G1305" t="s">
        <v>41</v>
      </c>
      <c r="I1305" t="s">
        <v>77</v>
      </c>
    </row>
    <row r="1306" spans="1:9">
      <c r="A1306">
        <v>403678</v>
      </c>
      <c r="B1306">
        <v>1200433</v>
      </c>
      <c r="C1306">
        <v>1</v>
      </c>
      <c r="D1306" t="s">
        <v>1695</v>
      </c>
      <c r="E1306">
        <v>753</v>
      </c>
      <c r="F1306" t="s">
        <v>41</v>
      </c>
      <c r="G1306" t="s">
        <v>37</v>
      </c>
      <c r="H1306">
        <v>43433</v>
      </c>
      <c r="I1306" t="s">
        <v>77</v>
      </c>
    </row>
    <row r="1307" spans="1:9">
      <c r="A1307">
        <v>404130</v>
      </c>
      <c r="B1307">
        <v>1200653</v>
      </c>
      <c r="C1307">
        <v>1</v>
      </c>
      <c r="D1307" t="s">
        <v>1695</v>
      </c>
      <c r="E1307">
        <v>2429</v>
      </c>
      <c r="F1307" t="s">
        <v>41</v>
      </c>
      <c r="G1307" t="s">
        <v>37</v>
      </c>
      <c r="H1307">
        <v>43548</v>
      </c>
      <c r="I1307" t="s">
        <v>77</v>
      </c>
    </row>
    <row r="1308" spans="1:9">
      <c r="A1308">
        <v>404131</v>
      </c>
      <c r="B1308">
        <v>1200653</v>
      </c>
      <c r="C1308">
        <v>2</v>
      </c>
      <c r="D1308" t="s">
        <v>1695</v>
      </c>
      <c r="E1308">
        <v>2429</v>
      </c>
      <c r="F1308" t="s">
        <v>41</v>
      </c>
      <c r="G1308" t="s">
        <v>37</v>
      </c>
      <c r="H1308">
        <v>43548</v>
      </c>
      <c r="I1308" t="s">
        <v>77</v>
      </c>
    </row>
    <row r="1309" spans="1:9">
      <c r="A1309">
        <v>404132</v>
      </c>
      <c r="B1309">
        <v>1200653</v>
      </c>
      <c r="C1309">
        <v>3</v>
      </c>
      <c r="D1309" t="s">
        <v>1697</v>
      </c>
      <c r="E1309">
        <v>1214</v>
      </c>
      <c r="F1309" t="s">
        <v>41</v>
      </c>
      <c r="G1309" t="s">
        <v>37</v>
      </c>
      <c r="H1309">
        <v>43548</v>
      </c>
      <c r="I1309" t="s">
        <v>77</v>
      </c>
    </row>
    <row r="1310" spans="1:9">
      <c r="A1310">
        <v>404133</v>
      </c>
      <c r="B1310">
        <v>1200653</v>
      </c>
      <c r="C1310">
        <v>4</v>
      </c>
      <c r="D1310" t="s">
        <v>1696</v>
      </c>
      <c r="E1310">
        <v>1457</v>
      </c>
      <c r="F1310" t="s">
        <v>41</v>
      </c>
      <c r="G1310" t="s">
        <v>37</v>
      </c>
      <c r="H1310">
        <v>43548</v>
      </c>
      <c r="I1310" t="s">
        <v>77</v>
      </c>
    </row>
    <row r="1311" spans="1:9">
      <c r="A1311">
        <v>404134</v>
      </c>
      <c r="B1311">
        <v>1200653</v>
      </c>
      <c r="C1311">
        <v>5</v>
      </c>
      <c r="D1311" t="s">
        <v>1696</v>
      </c>
      <c r="E1311">
        <v>1457</v>
      </c>
      <c r="F1311" t="s">
        <v>41</v>
      </c>
      <c r="G1311" t="s">
        <v>37</v>
      </c>
      <c r="H1311">
        <v>43548</v>
      </c>
      <c r="I1311" t="s">
        <v>77</v>
      </c>
    </row>
    <row r="1312" spans="1:9">
      <c r="A1312">
        <v>405359</v>
      </c>
      <c r="B1312">
        <v>1201266</v>
      </c>
      <c r="C1312">
        <v>1</v>
      </c>
      <c r="D1312" t="s">
        <v>1695</v>
      </c>
      <c r="E1312">
        <v>4198</v>
      </c>
      <c r="F1312" t="s">
        <v>47</v>
      </c>
      <c r="G1312" t="s">
        <v>47</v>
      </c>
      <c r="I1312" t="s">
        <v>77</v>
      </c>
    </row>
    <row r="1313" spans="1:9">
      <c r="A1313">
        <v>405596</v>
      </c>
      <c r="B1313">
        <v>1201381</v>
      </c>
      <c r="C1313">
        <v>1</v>
      </c>
      <c r="D1313" t="s">
        <v>1695</v>
      </c>
      <c r="E1313">
        <v>834</v>
      </c>
      <c r="F1313" t="s">
        <v>41</v>
      </c>
      <c r="G1313" t="s">
        <v>41</v>
      </c>
      <c r="I1313" t="s">
        <v>77</v>
      </c>
    </row>
    <row r="1314" spans="1:9">
      <c r="A1314">
        <v>405724</v>
      </c>
      <c r="B1314">
        <v>1201444</v>
      </c>
      <c r="C1314">
        <v>1</v>
      </c>
      <c r="D1314" t="s">
        <v>1695</v>
      </c>
      <c r="E1314">
        <v>3142</v>
      </c>
      <c r="F1314" t="s">
        <v>41</v>
      </c>
      <c r="G1314" t="s">
        <v>41</v>
      </c>
      <c r="I1314" t="s">
        <v>77</v>
      </c>
    </row>
    <row r="1315" spans="1:9">
      <c r="A1315">
        <v>405725</v>
      </c>
      <c r="B1315">
        <v>1201444</v>
      </c>
      <c r="C1315">
        <v>2</v>
      </c>
      <c r="D1315" t="s">
        <v>1695</v>
      </c>
      <c r="E1315">
        <v>3142</v>
      </c>
      <c r="F1315" t="s">
        <v>41</v>
      </c>
      <c r="G1315" t="s">
        <v>41</v>
      </c>
      <c r="I1315" t="s">
        <v>77</v>
      </c>
    </row>
    <row r="1316" spans="1:9">
      <c r="A1316">
        <v>405726</v>
      </c>
      <c r="B1316">
        <v>1201444</v>
      </c>
      <c r="C1316">
        <v>3</v>
      </c>
      <c r="D1316" t="s">
        <v>1695</v>
      </c>
      <c r="E1316">
        <v>3142</v>
      </c>
      <c r="F1316" t="s">
        <v>41</v>
      </c>
      <c r="G1316" t="s">
        <v>41</v>
      </c>
      <c r="I1316" t="s">
        <v>77</v>
      </c>
    </row>
    <row r="1317" spans="1:9">
      <c r="A1317">
        <v>405727</v>
      </c>
      <c r="B1317">
        <v>1201444</v>
      </c>
      <c r="C1317">
        <v>4</v>
      </c>
      <c r="D1317" t="s">
        <v>1695</v>
      </c>
      <c r="E1317">
        <v>3142</v>
      </c>
      <c r="F1317" t="s">
        <v>41</v>
      </c>
      <c r="G1317" t="s">
        <v>41</v>
      </c>
      <c r="I1317" t="s">
        <v>77</v>
      </c>
    </row>
    <row r="1318" spans="1:9">
      <c r="A1318">
        <v>406468</v>
      </c>
      <c r="B1318">
        <v>1201825</v>
      </c>
      <c r="C1318">
        <v>1</v>
      </c>
      <c r="D1318" t="s">
        <v>1695</v>
      </c>
      <c r="E1318">
        <v>3003</v>
      </c>
      <c r="F1318" t="s">
        <v>41</v>
      </c>
      <c r="G1318" t="s">
        <v>37</v>
      </c>
      <c r="H1318">
        <v>44096</v>
      </c>
      <c r="I1318" t="s">
        <v>77</v>
      </c>
    </row>
    <row r="1319" spans="1:9">
      <c r="A1319">
        <v>406469</v>
      </c>
      <c r="B1319">
        <v>1201825</v>
      </c>
      <c r="C1319">
        <v>2</v>
      </c>
      <c r="D1319" t="s">
        <v>1695</v>
      </c>
      <c r="E1319">
        <v>3003</v>
      </c>
      <c r="F1319" t="s">
        <v>41</v>
      </c>
      <c r="G1319" t="s">
        <v>37</v>
      </c>
      <c r="H1319">
        <v>44096</v>
      </c>
      <c r="I1319" t="s">
        <v>77</v>
      </c>
    </row>
    <row r="1320" spans="1:9">
      <c r="A1320">
        <v>406470</v>
      </c>
      <c r="B1320">
        <v>1201825</v>
      </c>
      <c r="C1320">
        <v>3</v>
      </c>
      <c r="D1320" t="s">
        <v>1695</v>
      </c>
      <c r="E1320">
        <v>3003</v>
      </c>
      <c r="F1320" t="s">
        <v>41</v>
      </c>
      <c r="G1320" t="s">
        <v>37</v>
      </c>
      <c r="H1320">
        <v>44096</v>
      </c>
      <c r="I1320" t="s">
        <v>77</v>
      </c>
    </row>
    <row r="1321" spans="1:9">
      <c r="A1321">
        <v>406471</v>
      </c>
      <c r="B1321">
        <v>1201825</v>
      </c>
      <c r="C1321">
        <v>4</v>
      </c>
      <c r="D1321" t="s">
        <v>1697</v>
      </c>
      <c r="E1321">
        <v>1502</v>
      </c>
      <c r="F1321" t="s">
        <v>41</v>
      </c>
      <c r="G1321" t="s">
        <v>37</v>
      </c>
      <c r="H1321">
        <v>44096</v>
      </c>
      <c r="I1321" t="s">
        <v>77</v>
      </c>
    </row>
    <row r="1322" spans="1:9">
      <c r="A1322">
        <v>406648</v>
      </c>
      <c r="B1322">
        <v>1201915</v>
      </c>
      <c r="C1322">
        <v>1</v>
      </c>
      <c r="D1322" t="s">
        <v>1695</v>
      </c>
      <c r="E1322">
        <v>1131</v>
      </c>
      <c r="F1322" t="s">
        <v>47</v>
      </c>
      <c r="G1322" t="s">
        <v>41</v>
      </c>
      <c r="I1322" t="s">
        <v>77</v>
      </c>
    </row>
    <row r="1323" spans="1:9">
      <c r="A1323">
        <v>358893</v>
      </c>
      <c r="B1323">
        <v>1177952</v>
      </c>
      <c r="C1323">
        <v>1</v>
      </c>
      <c r="D1323" t="s">
        <v>1696</v>
      </c>
      <c r="E1323">
        <v>1039</v>
      </c>
      <c r="F1323" t="s">
        <v>41</v>
      </c>
      <c r="G1323" t="s">
        <v>41</v>
      </c>
      <c r="I1323" t="s">
        <v>77</v>
      </c>
    </row>
    <row r="1324" spans="1:9">
      <c r="A1324">
        <v>289433</v>
      </c>
      <c r="B1324">
        <v>1143359</v>
      </c>
      <c r="C1324">
        <v>1</v>
      </c>
      <c r="D1324" t="s">
        <v>1695</v>
      </c>
      <c r="E1324">
        <v>668</v>
      </c>
      <c r="F1324" t="s">
        <v>41</v>
      </c>
      <c r="G1324" t="s">
        <v>41</v>
      </c>
      <c r="I1324" t="s">
        <v>77</v>
      </c>
    </row>
    <row r="1325" spans="1:9">
      <c r="A1325">
        <v>294660</v>
      </c>
      <c r="B1325">
        <v>1145945</v>
      </c>
      <c r="C1325">
        <v>1</v>
      </c>
      <c r="D1325" t="s">
        <v>1695</v>
      </c>
      <c r="E1325">
        <v>544</v>
      </c>
      <c r="F1325" t="s">
        <v>41</v>
      </c>
      <c r="G1325" t="s">
        <v>41</v>
      </c>
      <c r="I1325" t="s">
        <v>77</v>
      </c>
    </row>
    <row r="1326" spans="1:9">
      <c r="A1326">
        <v>340417</v>
      </c>
      <c r="B1326">
        <v>1168703</v>
      </c>
      <c r="C1326">
        <v>1</v>
      </c>
      <c r="D1326" t="s">
        <v>1695</v>
      </c>
      <c r="E1326">
        <v>916</v>
      </c>
      <c r="F1326" t="s">
        <v>49</v>
      </c>
      <c r="G1326" t="s">
        <v>49</v>
      </c>
      <c r="H1326">
        <v>35468</v>
      </c>
      <c r="I1326" t="s">
        <v>77</v>
      </c>
    </row>
    <row r="1327" spans="1:9">
      <c r="A1327">
        <v>318908</v>
      </c>
      <c r="B1327">
        <v>1158099</v>
      </c>
      <c r="C1327">
        <v>1</v>
      </c>
      <c r="D1327" t="s">
        <v>1696</v>
      </c>
      <c r="E1327">
        <v>2519</v>
      </c>
      <c r="F1327" t="s">
        <v>41</v>
      </c>
      <c r="G1327" t="s">
        <v>41</v>
      </c>
      <c r="I1327" t="s">
        <v>77</v>
      </c>
    </row>
    <row r="1328" spans="1:9">
      <c r="A1328">
        <v>382221</v>
      </c>
      <c r="B1328">
        <v>1189659</v>
      </c>
      <c r="C1328">
        <v>1</v>
      </c>
      <c r="D1328" t="s">
        <v>1695</v>
      </c>
      <c r="E1328">
        <v>1049</v>
      </c>
      <c r="F1328" t="s">
        <v>41</v>
      </c>
      <c r="G1328" t="s">
        <v>41</v>
      </c>
      <c r="I1328" t="s">
        <v>77</v>
      </c>
    </row>
    <row r="1329" spans="1:9">
      <c r="A1329">
        <v>287742</v>
      </c>
      <c r="B1329">
        <v>1142545</v>
      </c>
      <c r="C1329">
        <v>1</v>
      </c>
      <c r="D1329" t="s">
        <v>1695</v>
      </c>
      <c r="E1329">
        <v>1087</v>
      </c>
      <c r="F1329" t="s">
        <v>41</v>
      </c>
      <c r="G1329" t="s">
        <v>41</v>
      </c>
      <c r="I1329" t="s">
        <v>77</v>
      </c>
    </row>
    <row r="1330" spans="1:9">
      <c r="A1330">
        <v>86069</v>
      </c>
      <c r="B1330">
        <v>1042637</v>
      </c>
      <c r="C1330">
        <v>1</v>
      </c>
      <c r="D1330" t="s">
        <v>1695</v>
      </c>
      <c r="E1330">
        <v>906</v>
      </c>
      <c r="F1330" t="s">
        <v>41</v>
      </c>
      <c r="G1330" t="s">
        <v>41</v>
      </c>
      <c r="I1330" t="s">
        <v>77</v>
      </c>
    </row>
    <row r="1331" spans="1:9">
      <c r="A1331">
        <v>406702</v>
      </c>
      <c r="B1331">
        <v>9500020</v>
      </c>
      <c r="C1331">
        <v>2</v>
      </c>
      <c r="D1331" t="s">
        <v>1695</v>
      </c>
      <c r="E1331">
        <v>607</v>
      </c>
      <c r="F1331" t="s">
        <v>41</v>
      </c>
      <c r="G1331" t="s">
        <v>41</v>
      </c>
      <c r="I1331" t="s">
        <v>77</v>
      </c>
    </row>
    <row r="1332" spans="1:9">
      <c r="A1332">
        <v>406718</v>
      </c>
      <c r="B1332">
        <v>9500036</v>
      </c>
      <c r="C1332">
        <v>4</v>
      </c>
      <c r="D1332" t="s">
        <v>1697</v>
      </c>
      <c r="E1332">
        <v>272</v>
      </c>
      <c r="F1332" t="s">
        <v>41</v>
      </c>
      <c r="G1332" t="s">
        <v>41</v>
      </c>
      <c r="I1332" t="s">
        <v>77</v>
      </c>
    </row>
    <row r="1333" spans="1:9">
      <c r="A1333">
        <v>406725</v>
      </c>
      <c r="B1333">
        <v>9500043</v>
      </c>
      <c r="C1333">
        <v>1</v>
      </c>
      <c r="D1333" t="s">
        <v>1695</v>
      </c>
      <c r="E1333">
        <v>1314</v>
      </c>
      <c r="F1333" t="s">
        <v>41</v>
      </c>
      <c r="G1333" t="s">
        <v>41</v>
      </c>
      <c r="I1333" t="s">
        <v>77</v>
      </c>
    </row>
    <row r="1334" spans="1:9">
      <c r="A1334">
        <v>406726</v>
      </c>
      <c r="B1334">
        <v>9500044</v>
      </c>
      <c r="C1334">
        <v>2</v>
      </c>
      <c r="D1334" t="s">
        <v>1695</v>
      </c>
      <c r="E1334">
        <v>1731</v>
      </c>
      <c r="F1334" t="s">
        <v>41</v>
      </c>
      <c r="G1334" t="s">
        <v>41</v>
      </c>
      <c r="I1334" t="s">
        <v>77</v>
      </c>
    </row>
    <row r="1335" spans="1:9">
      <c r="A1335">
        <v>406733</v>
      </c>
      <c r="B1335">
        <v>9500051</v>
      </c>
      <c r="C1335">
        <v>1</v>
      </c>
      <c r="D1335" t="s">
        <v>1695</v>
      </c>
      <c r="E1335">
        <v>4510</v>
      </c>
      <c r="F1335" t="s">
        <v>41</v>
      </c>
      <c r="G1335" t="s">
        <v>41</v>
      </c>
      <c r="I1335" t="s">
        <v>77</v>
      </c>
    </row>
    <row r="1336" spans="1:9">
      <c r="A1336">
        <v>406771</v>
      </c>
      <c r="B1336">
        <v>9500089</v>
      </c>
      <c r="C1336">
        <v>1</v>
      </c>
      <c r="D1336" t="s">
        <v>1695</v>
      </c>
      <c r="E1336">
        <v>544</v>
      </c>
      <c r="F1336" t="s">
        <v>41</v>
      </c>
      <c r="G1336" t="s">
        <v>41</v>
      </c>
      <c r="I1336" t="s">
        <v>77</v>
      </c>
    </row>
  </sheetData>
  <autoFilter ref="A1:I1336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7F7F7F"/>
  </sheetPr>
  <dimension ref="A1:J17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1" width="17.7109375" customWidth="1"/>
  </cols>
  <sheetData>
    <row r="1" spans="1:10">
      <c r="A1" s="5" t="s">
        <v>1694</v>
      </c>
      <c r="B1" s="5" t="s">
        <v>62</v>
      </c>
      <c r="C1" s="5" t="s">
        <v>1702</v>
      </c>
      <c r="D1" s="5" t="s">
        <v>1703</v>
      </c>
      <c r="E1" s="5" t="s">
        <v>1704</v>
      </c>
      <c r="F1" s="5" t="s">
        <v>1705</v>
      </c>
      <c r="G1" s="5" t="s">
        <v>1706</v>
      </c>
      <c r="H1" s="5" t="s">
        <v>1707</v>
      </c>
      <c r="I1" s="5" t="s">
        <v>1708</v>
      </c>
      <c r="J1" s="5" t="s">
        <v>73</v>
      </c>
    </row>
    <row r="2" spans="1:10">
      <c r="A2">
        <v>629</v>
      </c>
      <c r="B2">
        <v>1006359</v>
      </c>
      <c r="C2" t="s">
        <v>1709</v>
      </c>
      <c r="D2" t="s">
        <v>1710</v>
      </c>
      <c r="E2" t="s">
        <v>41</v>
      </c>
      <c r="F2">
        <v>1</v>
      </c>
      <c r="G2">
        <v>393</v>
      </c>
      <c r="H2">
        <v>120</v>
      </c>
      <c r="I2">
        <v>273</v>
      </c>
      <c r="J2" t="s">
        <v>77</v>
      </c>
    </row>
    <row r="3" spans="1:10">
      <c r="A3">
        <v>776</v>
      </c>
      <c r="B3">
        <v>1004815</v>
      </c>
      <c r="C3" t="s">
        <v>1711</v>
      </c>
      <c r="D3" t="s">
        <v>1710</v>
      </c>
      <c r="E3" t="s">
        <v>41</v>
      </c>
      <c r="F3">
        <v>1</v>
      </c>
      <c r="G3">
        <v>804</v>
      </c>
      <c r="H3">
        <v>120</v>
      </c>
      <c r="I3">
        <v>684</v>
      </c>
      <c r="J3" t="s">
        <v>77</v>
      </c>
    </row>
    <row r="4" spans="1:10">
      <c r="A4">
        <v>1069</v>
      </c>
      <c r="B4">
        <v>1006706</v>
      </c>
      <c r="C4" t="s">
        <v>1712</v>
      </c>
      <c r="D4" t="s">
        <v>1710</v>
      </c>
      <c r="E4" t="s">
        <v>41</v>
      </c>
      <c r="F4">
        <v>1</v>
      </c>
      <c r="G4">
        <v>753</v>
      </c>
      <c r="H4">
        <v>60</v>
      </c>
      <c r="I4">
        <v>693</v>
      </c>
      <c r="J4" t="s">
        <v>77</v>
      </c>
    </row>
    <row r="5" spans="1:10">
      <c r="A5">
        <v>1514</v>
      </c>
      <c r="B5">
        <v>1010912</v>
      </c>
      <c r="C5" t="s">
        <v>1713</v>
      </c>
      <c r="D5" t="s">
        <v>1714</v>
      </c>
      <c r="E5" t="s">
        <v>49</v>
      </c>
      <c r="F5">
        <v>1</v>
      </c>
      <c r="G5">
        <v>452</v>
      </c>
      <c r="H5">
        <v>30</v>
      </c>
      <c r="I5">
        <v>422</v>
      </c>
      <c r="J5" t="s">
        <v>77</v>
      </c>
    </row>
    <row r="6" spans="1:10">
      <c r="A6">
        <v>1680</v>
      </c>
      <c r="B6">
        <v>1013233</v>
      </c>
      <c r="C6" t="s">
        <v>1715</v>
      </c>
      <c r="D6" t="s">
        <v>1710</v>
      </c>
      <c r="E6" t="s">
        <v>41</v>
      </c>
      <c r="F6">
        <v>1</v>
      </c>
      <c r="G6">
        <v>654</v>
      </c>
      <c r="H6">
        <v>120</v>
      </c>
      <c r="I6">
        <v>534</v>
      </c>
      <c r="J6" t="s">
        <v>77</v>
      </c>
    </row>
    <row r="7" spans="1:10">
      <c r="A7">
        <v>1729</v>
      </c>
      <c r="B7">
        <v>1013270</v>
      </c>
      <c r="C7" t="s">
        <v>1716</v>
      </c>
      <c r="D7" t="s">
        <v>1710</v>
      </c>
      <c r="E7" t="s">
        <v>41</v>
      </c>
      <c r="F7">
        <v>1</v>
      </c>
      <c r="G7">
        <v>950</v>
      </c>
      <c r="H7">
        <v>120</v>
      </c>
      <c r="I7">
        <v>830</v>
      </c>
      <c r="J7" t="s">
        <v>77</v>
      </c>
    </row>
    <row r="8" spans="1:10">
      <c r="A8">
        <v>1828</v>
      </c>
      <c r="B8">
        <v>1014041</v>
      </c>
      <c r="C8" t="s">
        <v>1717</v>
      </c>
      <c r="D8" t="s">
        <v>1710</v>
      </c>
      <c r="E8" t="s">
        <v>41</v>
      </c>
      <c r="F8">
        <v>2</v>
      </c>
      <c r="G8">
        <v>2424</v>
      </c>
      <c r="H8">
        <v>240</v>
      </c>
      <c r="I8">
        <v>2184</v>
      </c>
      <c r="J8" t="s">
        <v>77</v>
      </c>
    </row>
    <row r="9" spans="1:10">
      <c r="A9">
        <v>1950</v>
      </c>
      <c r="B9">
        <v>1015447</v>
      </c>
      <c r="C9" t="s">
        <v>1718</v>
      </c>
      <c r="D9" t="s">
        <v>1710</v>
      </c>
      <c r="E9" t="s">
        <v>41</v>
      </c>
      <c r="F9">
        <v>1</v>
      </c>
      <c r="G9">
        <v>1212</v>
      </c>
      <c r="H9">
        <v>606</v>
      </c>
      <c r="I9">
        <v>606</v>
      </c>
      <c r="J9" t="s">
        <v>77</v>
      </c>
    </row>
    <row r="10" spans="1:10">
      <c r="A10">
        <v>2032</v>
      </c>
      <c r="B10">
        <v>1013497</v>
      </c>
      <c r="C10" t="s">
        <v>1719</v>
      </c>
      <c r="D10" t="s">
        <v>1710</v>
      </c>
      <c r="E10" t="s">
        <v>41</v>
      </c>
      <c r="F10">
        <v>1</v>
      </c>
      <c r="G10">
        <v>2784</v>
      </c>
      <c r="H10">
        <v>180</v>
      </c>
      <c r="I10">
        <v>2604</v>
      </c>
      <c r="J10" t="s">
        <v>77</v>
      </c>
    </row>
    <row r="11" spans="1:10">
      <c r="A11">
        <v>2080</v>
      </c>
      <c r="B11">
        <v>1008844</v>
      </c>
      <c r="C11" t="s">
        <v>1720</v>
      </c>
      <c r="D11" t="s">
        <v>1710</v>
      </c>
      <c r="E11" t="s">
        <v>41</v>
      </c>
      <c r="F11">
        <v>2</v>
      </c>
      <c r="G11">
        <v>1668</v>
      </c>
      <c r="H11">
        <v>417</v>
      </c>
      <c r="I11">
        <v>1251</v>
      </c>
      <c r="J11" t="s">
        <v>77</v>
      </c>
    </row>
    <row r="12" spans="1:10">
      <c r="A12">
        <v>2515</v>
      </c>
      <c r="B12">
        <v>1012374</v>
      </c>
      <c r="C12" t="s">
        <v>1721</v>
      </c>
      <c r="D12" t="s">
        <v>1710</v>
      </c>
      <c r="E12" t="s">
        <v>41</v>
      </c>
      <c r="F12">
        <v>1</v>
      </c>
      <c r="G12">
        <v>2130</v>
      </c>
      <c r="H12">
        <v>180</v>
      </c>
      <c r="I12">
        <v>1950</v>
      </c>
      <c r="J12" t="s">
        <v>77</v>
      </c>
    </row>
    <row r="13" spans="1:10">
      <c r="A13">
        <v>2735</v>
      </c>
      <c r="B13">
        <v>1004847</v>
      </c>
      <c r="C13" t="s">
        <v>1722</v>
      </c>
      <c r="D13" t="s">
        <v>1710</v>
      </c>
      <c r="E13" t="s">
        <v>41</v>
      </c>
      <c r="F13">
        <v>1</v>
      </c>
      <c r="G13">
        <v>3219</v>
      </c>
      <c r="H13">
        <v>180</v>
      </c>
      <c r="I13">
        <v>3039</v>
      </c>
      <c r="J13" t="s">
        <v>77</v>
      </c>
    </row>
    <row r="14" spans="1:10">
      <c r="A14">
        <v>3517</v>
      </c>
      <c r="B14">
        <v>1019199</v>
      </c>
      <c r="C14" t="s">
        <v>1723</v>
      </c>
      <c r="D14" t="s">
        <v>1714</v>
      </c>
      <c r="E14" t="s">
        <v>49</v>
      </c>
      <c r="F14">
        <v>3</v>
      </c>
      <c r="G14">
        <v>4106</v>
      </c>
      <c r="H14">
        <v>90</v>
      </c>
      <c r="I14">
        <v>4016</v>
      </c>
      <c r="J14" t="s">
        <v>77</v>
      </c>
    </row>
    <row r="15" spans="1:10">
      <c r="A15">
        <v>3717</v>
      </c>
      <c r="B15">
        <v>1022190</v>
      </c>
      <c r="C15" t="s">
        <v>1724</v>
      </c>
      <c r="D15" t="s">
        <v>1714</v>
      </c>
      <c r="E15" t="s">
        <v>49</v>
      </c>
      <c r="F15">
        <v>4</v>
      </c>
      <c r="G15">
        <v>3664</v>
      </c>
      <c r="H15">
        <v>120</v>
      </c>
      <c r="I15">
        <v>3544</v>
      </c>
      <c r="J15" t="s">
        <v>77</v>
      </c>
    </row>
    <row r="16" spans="1:10">
      <c r="A16">
        <v>3743</v>
      </c>
      <c r="B16">
        <v>1021946</v>
      </c>
      <c r="C16" t="s">
        <v>1725</v>
      </c>
      <c r="D16" t="s">
        <v>1710</v>
      </c>
      <c r="E16" t="s">
        <v>47</v>
      </c>
      <c r="F16">
        <v>2</v>
      </c>
      <c r="G16">
        <v>2174</v>
      </c>
      <c r="H16">
        <v>543.5</v>
      </c>
      <c r="I16">
        <v>1630.5</v>
      </c>
      <c r="J16" t="s">
        <v>77</v>
      </c>
    </row>
    <row r="17" spans="1:10">
      <c r="A17">
        <v>3796</v>
      </c>
      <c r="B17">
        <v>1022972</v>
      </c>
      <c r="C17" t="s">
        <v>1726</v>
      </c>
      <c r="D17" t="s">
        <v>1714</v>
      </c>
      <c r="E17" t="s">
        <v>49</v>
      </c>
      <c r="F17">
        <v>1</v>
      </c>
      <c r="G17">
        <v>7338</v>
      </c>
      <c r="H17">
        <v>30</v>
      </c>
      <c r="I17">
        <v>7308</v>
      </c>
      <c r="J17" t="s">
        <v>77</v>
      </c>
    </row>
    <row r="18" spans="1:10">
      <c r="A18">
        <v>4052</v>
      </c>
      <c r="B18">
        <v>1021010</v>
      </c>
      <c r="C18" t="s">
        <v>1727</v>
      </c>
      <c r="D18" t="s">
        <v>1710</v>
      </c>
      <c r="E18" t="s">
        <v>41</v>
      </c>
      <c r="F18">
        <v>1</v>
      </c>
      <c r="G18">
        <v>753</v>
      </c>
      <c r="H18">
        <v>60</v>
      </c>
      <c r="I18">
        <v>693</v>
      </c>
      <c r="J18" t="s">
        <v>77</v>
      </c>
    </row>
    <row r="19" spans="1:10">
      <c r="A19">
        <v>4326</v>
      </c>
      <c r="B19">
        <v>1026016</v>
      </c>
      <c r="C19" t="s">
        <v>1728</v>
      </c>
      <c r="D19" t="s">
        <v>1714</v>
      </c>
      <c r="E19" t="s">
        <v>49</v>
      </c>
      <c r="F19">
        <v>2</v>
      </c>
      <c r="G19">
        <v>1308</v>
      </c>
      <c r="H19">
        <v>60</v>
      </c>
      <c r="I19">
        <v>1248</v>
      </c>
      <c r="J19" t="s">
        <v>77</v>
      </c>
    </row>
    <row r="20" spans="1:10">
      <c r="A20">
        <v>4488</v>
      </c>
      <c r="B20">
        <v>1015275</v>
      </c>
      <c r="C20" t="s">
        <v>1729</v>
      </c>
      <c r="D20" t="s">
        <v>1710</v>
      </c>
      <c r="E20" t="s">
        <v>41</v>
      </c>
      <c r="F20">
        <v>2</v>
      </c>
      <c r="G20">
        <v>6297</v>
      </c>
      <c r="H20">
        <v>360</v>
      </c>
      <c r="I20">
        <v>5937</v>
      </c>
      <c r="J20" t="s">
        <v>77</v>
      </c>
    </row>
    <row r="21" spans="1:10">
      <c r="A21">
        <v>5068</v>
      </c>
      <c r="B21">
        <v>1028750</v>
      </c>
      <c r="C21" t="s">
        <v>1730</v>
      </c>
      <c r="D21" t="s">
        <v>1710</v>
      </c>
      <c r="E21" t="s">
        <v>41</v>
      </c>
      <c r="F21">
        <v>1</v>
      </c>
      <c r="G21">
        <v>1087</v>
      </c>
      <c r="H21">
        <v>120</v>
      </c>
      <c r="I21">
        <v>967</v>
      </c>
      <c r="J21" t="s">
        <v>77</v>
      </c>
    </row>
    <row r="22" spans="1:10">
      <c r="A22">
        <v>5208</v>
      </c>
      <c r="B22">
        <v>1023016</v>
      </c>
      <c r="C22" t="s">
        <v>1731</v>
      </c>
      <c r="D22" t="s">
        <v>1710</v>
      </c>
      <c r="E22" t="s">
        <v>41</v>
      </c>
      <c r="F22">
        <v>1</v>
      </c>
      <c r="G22">
        <v>2429</v>
      </c>
      <c r="H22">
        <v>180</v>
      </c>
      <c r="I22">
        <v>2249</v>
      </c>
      <c r="J22" t="s">
        <v>77</v>
      </c>
    </row>
    <row r="23" spans="1:10">
      <c r="A23">
        <v>5520</v>
      </c>
      <c r="B23">
        <v>1031206</v>
      </c>
      <c r="C23" t="s">
        <v>1732</v>
      </c>
      <c r="D23" t="s">
        <v>1710</v>
      </c>
      <c r="E23" t="s">
        <v>41</v>
      </c>
      <c r="F23">
        <v>1</v>
      </c>
      <c r="G23">
        <v>1657</v>
      </c>
      <c r="H23">
        <v>414.25</v>
      </c>
      <c r="I23">
        <v>1242.75</v>
      </c>
      <c r="J23" t="s">
        <v>77</v>
      </c>
    </row>
    <row r="24" spans="1:10">
      <c r="A24">
        <v>5990</v>
      </c>
      <c r="B24">
        <v>1032751</v>
      </c>
      <c r="C24" t="s">
        <v>1733</v>
      </c>
      <c r="D24" t="s">
        <v>1710</v>
      </c>
      <c r="E24" t="s">
        <v>41</v>
      </c>
      <c r="F24">
        <v>1</v>
      </c>
      <c r="G24">
        <v>1183</v>
      </c>
      <c r="H24">
        <v>120</v>
      </c>
      <c r="I24">
        <v>1063</v>
      </c>
      <c r="J24" t="s">
        <v>77</v>
      </c>
    </row>
    <row r="25" spans="1:10">
      <c r="A25">
        <v>6031</v>
      </c>
      <c r="B25">
        <v>1033943</v>
      </c>
      <c r="C25" t="s">
        <v>1734</v>
      </c>
      <c r="D25" t="s">
        <v>1710</v>
      </c>
      <c r="E25" t="s">
        <v>47</v>
      </c>
      <c r="F25">
        <v>2</v>
      </c>
      <c r="G25">
        <v>1775</v>
      </c>
      <c r="H25">
        <v>240</v>
      </c>
      <c r="I25">
        <v>1535</v>
      </c>
      <c r="J25" t="s">
        <v>77</v>
      </c>
    </row>
    <row r="26" spans="1:10">
      <c r="A26">
        <v>6481</v>
      </c>
      <c r="B26">
        <v>1036967</v>
      </c>
      <c r="C26" t="s">
        <v>1735</v>
      </c>
      <c r="D26" t="s">
        <v>1714</v>
      </c>
      <c r="E26" t="s">
        <v>49</v>
      </c>
      <c r="F26">
        <v>4</v>
      </c>
      <c r="G26">
        <v>6316</v>
      </c>
      <c r="H26">
        <v>120</v>
      </c>
      <c r="I26">
        <v>6196</v>
      </c>
      <c r="J26" t="s">
        <v>77</v>
      </c>
    </row>
    <row r="27" spans="1:10">
      <c r="A27">
        <v>6520</v>
      </c>
      <c r="B27">
        <v>1011314</v>
      </c>
      <c r="C27" t="s">
        <v>1736</v>
      </c>
      <c r="D27" t="s">
        <v>1710</v>
      </c>
      <c r="E27" t="s">
        <v>41</v>
      </c>
      <c r="F27">
        <v>1</v>
      </c>
      <c r="G27">
        <v>1731</v>
      </c>
      <c r="H27">
        <v>180</v>
      </c>
      <c r="I27">
        <v>1551</v>
      </c>
      <c r="J27" t="s">
        <v>77</v>
      </c>
    </row>
    <row r="28" spans="1:10">
      <c r="A28">
        <v>6727</v>
      </c>
      <c r="B28">
        <v>1038813</v>
      </c>
      <c r="C28" t="s">
        <v>1737</v>
      </c>
      <c r="D28" t="s">
        <v>1710</v>
      </c>
      <c r="E28" t="s">
        <v>41</v>
      </c>
      <c r="F28">
        <v>4</v>
      </c>
      <c r="G28">
        <v>1686</v>
      </c>
      <c r="H28">
        <v>843</v>
      </c>
      <c r="I28">
        <v>843</v>
      </c>
      <c r="J28" t="s">
        <v>77</v>
      </c>
    </row>
    <row r="29" spans="1:10">
      <c r="A29">
        <v>6886</v>
      </c>
      <c r="B29">
        <v>1038708</v>
      </c>
      <c r="C29" t="s">
        <v>1738</v>
      </c>
      <c r="D29" t="s">
        <v>1710</v>
      </c>
      <c r="E29" t="s">
        <v>41</v>
      </c>
      <c r="F29">
        <v>1</v>
      </c>
      <c r="G29">
        <v>654</v>
      </c>
      <c r="H29">
        <v>120</v>
      </c>
      <c r="I29">
        <v>534</v>
      </c>
      <c r="J29" t="s">
        <v>77</v>
      </c>
    </row>
    <row r="30" spans="1:10">
      <c r="A30">
        <v>6979</v>
      </c>
      <c r="B30">
        <v>1038246</v>
      </c>
      <c r="C30" t="s">
        <v>1739</v>
      </c>
      <c r="D30" t="s">
        <v>1710</v>
      </c>
      <c r="E30" t="s">
        <v>47</v>
      </c>
      <c r="F30">
        <v>4</v>
      </c>
      <c r="G30">
        <v>3171</v>
      </c>
      <c r="H30">
        <v>480</v>
      </c>
      <c r="I30">
        <v>2691</v>
      </c>
      <c r="J30" t="s">
        <v>77</v>
      </c>
    </row>
    <row r="31" spans="1:10">
      <c r="A31">
        <v>7206</v>
      </c>
      <c r="B31">
        <v>1029993</v>
      </c>
      <c r="C31" t="s">
        <v>1740</v>
      </c>
      <c r="D31" t="s">
        <v>1710</v>
      </c>
      <c r="E31" t="s">
        <v>41</v>
      </c>
      <c r="F31">
        <v>1</v>
      </c>
      <c r="G31">
        <v>1325</v>
      </c>
      <c r="H31">
        <v>120</v>
      </c>
      <c r="I31">
        <v>2440.37</v>
      </c>
      <c r="J31" t="s">
        <v>77</v>
      </c>
    </row>
    <row r="32" spans="1:10">
      <c r="A32">
        <v>7536</v>
      </c>
      <c r="B32">
        <v>1036026</v>
      </c>
      <c r="C32" t="s">
        <v>1741</v>
      </c>
      <c r="D32" t="s">
        <v>1710</v>
      </c>
      <c r="E32" t="s">
        <v>41</v>
      </c>
      <c r="F32">
        <v>1</v>
      </c>
      <c r="G32">
        <v>1379</v>
      </c>
      <c r="H32">
        <v>60</v>
      </c>
      <c r="I32">
        <v>1319</v>
      </c>
      <c r="J32" t="s">
        <v>77</v>
      </c>
    </row>
    <row r="33" spans="1:10">
      <c r="A33">
        <v>7659</v>
      </c>
      <c r="B33">
        <v>1032942</v>
      </c>
      <c r="C33" t="s">
        <v>1742</v>
      </c>
      <c r="D33" t="s">
        <v>1710</v>
      </c>
      <c r="E33" t="s">
        <v>41</v>
      </c>
      <c r="F33">
        <v>2</v>
      </c>
      <c r="G33">
        <v>816</v>
      </c>
      <c r="H33">
        <v>120</v>
      </c>
      <c r="I33">
        <v>696</v>
      </c>
      <c r="J33" t="s">
        <v>77</v>
      </c>
    </row>
    <row r="34" spans="1:10">
      <c r="A34">
        <v>7814</v>
      </c>
      <c r="B34">
        <v>1044066</v>
      </c>
      <c r="C34" t="s">
        <v>1743</v>
      </c>
      <c r="D34" t="s">
        <v>1710</v>
      </c>
      <c r="E34" t="s">
        <v>41</v>
      </c>
      <c r="F34">
        <v>2</v>
      </c>
      <c r="G34">
        <v>1002</v>
      </c>
      <c r="H34">
        <v>120</v>
      </c>
      <c r="I34">
        <v>882</v>
      </c>
      <c r="J34" t="s">
        <v>77</v>
      </c>
    </row>
    <row r="35" spans="1:10">
      <c r="A35">
        <v>8638</v>
      </c>
      <c r="B35">
        <v>1046011</v>
      </c>
      <c r="C35" t="s">
        <v>1744</v>
      </c>
      <c r="D35" t="s">
        <v>1710</v>
      </c>
      <c r="E35" t="s">
        <v>41</v>
      </c>
      <c r="F35">
        <v>1</v>
      </c>
      <c r="G35">
        <v>790</v>
      </c>
      <c r="H35">
        <v>60</v>
      </c>
      <c r="I35">
        <v>730</v>
      </c>
      <c r="J35" t="s">
        <v>77</v>
      </c>
    </row>
    <row r="36" spans="1:10">
      <c r="A36">
        <v>8720</v>
      </c>
      <c r="B36">
        <v>1050575</v>
      </c>
      <c r="C36" t="s">
        <v>1745</v>
      </c>
      <c r="D36" t="s">
        <v>1710</v>
      </c>
      <c r="E36" t="s">
        <v>41</v>
      </c>
      <c r="F36">
        <v>2</v>
      </c>
      <c r="G36">
        <v>6513</v>
      </c>
      <c r="H36">
        <v>3256.5</v>
      </c>
      <c r="I36">
        <v>3256.5</v>
      </c>
      <c r="J36" t="s">
        <v>77</v>
      </c>
    </row>
    <row r="37" spans="1:10">
      <c r="A37">
        <v>8770</v>
      </c>
      <c r="B37">
        <v>1050196</v>
      </c>
      <c r="C37" t="s">
        <v>1746</v>
      </c>
      <c r="D37" t="s">
        <v>1714</v>
      </c>
      <c r="E37" t="s">
        <v>49</v>
      </c>
      <c r="F37">
        <v>1</v>
      </c>
      <c r="G37">
        <v>2402</v>
      </c>
      <c r="H37">
        <v>30</v>
      </c>
      <c r="I37">
        <v>2372</v>
      </c>
      <c r="J37" t="s">
        <v>77</v>
      </c>
    </row>
    <row r="38" spans="1:10">
      <c r="A38">
        <v>8861</v>
      </c>
      <c r="B38">
        <v>1050620</v>
      </c>
      <c r="C38" t="s">
        <v>1747</v>
      </c>
      <c r="D38" t="s">
        <v>1714</v>
      </c>
      <c r="E38" t="s">
        <v>49</v>
      </c>
      <c r="F38">
        <v>1</v>
      </c>
      <c r="G38">
        <v>2886</v>
      </c>
      <c r="H38">
        <v>30</v>
      </c>
      <c r="I38">
        <v>2856</v>
      </c>
      <c r="J38" t="s">
        <v>77</v>
      </c>
    </row>
    <row r="39" spans="1:10">
      <c r="A39">
        <v>9437</v>
      </c>
      <c r="B39">
        <v>1050680</v>
      </c>
      <c r="C39" t="s">
        <v>1748</v>
      </c>
      <c r="D39" t="s">
        <v>1710</v>
      </c>
      <c r="E39" t="s">
        <v>47</v>
      </c>
      <c r="F39">
        <v>1</v>
      </c>
      <c r="G39">
        <v>1390</v>
      </c>
      <c r="H39">
        <v>120</v>
      </c>
      <c r="I39">
        <v>1270</v>
      </c>
      <c r="J39" t="s">
        <v>77</v>
      </c>
    </row>
    <row r="40" spans="1:10">
      <c r="A40">
        <v>10121</v>
      </c>
      <c r="B40">
        <v>1052682</v>
      </c>
      <c r="C40" t="s">
        <v>1749</v>
      </c>
      <c r="D40" t="s">
        <v>1710</v>
      </c>
      <c r="E40" t="s">
        <v>41</v>
      </c>
      <c r="F40">
        <v>1</v>
      </c>
      <c r="G40">
        <v>2402</v>
      </c>
      <c r="H40">
        <v>600.5</v>
      </c>
      <c r="I40">
        <v>1801.5</v>
      </c>
      <c r="J40" t="s">
        <v>77</v>
      </c>
    </row>
    <row r="41" spans="1:10">
      <c r="A41">
        <v>10126</v>
      </c>
      <c r="B41">
        <v>1054382</v>
      </c>
      <c r="C41" t="s">
        <v>1750</v>
      </c>
      <c r="D41" t="s">
        <v>1710</v>
      </c>
      <c r="E41" t="s">
        <v>41</v>
      </c>
      <c r="F41">
        <v>2</v>
      </c>
      <c r="G41">
        <v>4422</v>
      </c>
      <c r="H41">
        <v>360</v>
      </c>
      <c r="I41">
        <v>4062</v>
      </c>
      <c r="J41" t="s">
        <v>77</v>
      </c>
    </row>
    <row r="42" spans="1:10">
      <c r="A42">
        <v>10185</v>
      </c>
      <c r="B42">
        <v>1057195</v>
      </c>
      <c r="C42" t="s">
        <v>1751</v>
      </c>
      <c r="D42" t="s">
        <v>1714</v>
      </c>
      <c r="E42" t="s">
        <v>49</v>
      </c>
      <c r="F42">
        <v>2</v>
      </c>
      <c r="G42">
        <v>4804</v>
      </c>
      <c r="H42">
        <v>60</v>
      </c>
      <c r="I42">
        <v>4744</v>
      </c>
      <c r="J42" t="s">
        <v>77</v>
      </c>
    </row>
    <row r="43" spans="1:10">
      <c r="A43">
        <v>10477</v>
      </c>
      <c r="B43">
        <v>1056380</v>
      </c>
      <c r="C43" t="s">
        <v>1752</v>
      </c>
      <c r="D43" t="s">
        <v>1710</v>
      </c>
      <c r="E43" t="s">
        <v>41</v>
      </c>
      <c r="F43">
        <v>4</v>
      </c>
      <c r="G43">
        <v>3226</v>
      </c>
      <c r="H43">
        <v>806.5</v>
      </c>
      <c r="I43">
        <v>2419.5</v>
      </c>
      <c r="J43" t="s">
        <v>77</v>
      </c>
    </row>
    <row r="44" spans="1:10">
      <c r="A44">
        <v>10668</v>
      </c>
      <c r="B44">
        <v>1048994</v>
      </c>
      <c r="C44" t="s">
        <v>1753</v>
      </c>
      <c r="D44" t="s">
        <v>1710</v>
      </c>
      <c r="E44" t="s">
        <v>41</v>
      </c>
      <c r="F44">
        <v>1</v>
      </c>
      <c r="G44">
        <v>762</v>
      </c>
      <c r="H44">
        <v>60</v>
      </c>
      <c r="I44">
        <v>702</v>
      </c>
      <c r="J44" t="s">
        <v>77</v>
      </c>
    </row>
    <row r="45" spans="1:10">
      <c r="A45">
        <v>11174</v>
      </c>
      <c r="B45">
        <v>1060211</v>
      </c>
      <c r="C45" t="s">
        <v>1754</v>
      </c>
      <c r="D45" t="s">
        <v>1710</v>
      </c>
      <c r="E45" t="s">
        <v>47</v>
      </c>
      <c r="F45">
        <v>2</v>
      </c>
      <c r="G45">
        <v>1668</v>
      </c>
      <c r="H45">
        <v>417</v>
      </c>
      <c r="I45">
        <v>1251</v>
      </c>
      <c r="J45" t="s">
        <v>77</v>
      </c>
    </row>
    <row r="46" spans="1:10">
      <c r="A46">
        <v>12095</v>
      </c>
      <c r="B46">
        <v>1058027</v>
      </c>
      <c r="C46" t="s">
        <v>1755</v>
      </c>
      <c r="D46" t="s">
        <v>1710</v>
      </c>
      <c r="E46" t="s">
        <v>41</v>
      </c>
      <c r="F46">
        <v>3</v>
      </c>
      <c r="G46">
        <v>4501</v>
      </c>
      <c r="H46">
        <v>540</v>
      </c>
      <c r="I46">
        <v>3961</v>
      </c>
      <c r="J46" t="s">
        <v>77</v>
      </c>
    </row>
    <row r="47" spans="1:10">
      <c r="A47">
        <v>12768</v>
      </c>
      <c r="B47">
        <v>1068289</v>
      </c>
      <c r="C47" t="s">
        <v>1756</v>
      </c>
      <c r="D47" t="s">
        <v>1714</v>
      </c>
      <c r="E47" t="s">
        <v>49</v>
      </c>
      <c r="F47">
        <v>3</v>
      </c>
      <c r="G47">
        <v>1632</v>
      </c>
      <c r="H47">
        <v>90</v>
      </c>
      <c r="I47">
        <v>1542</v>
      </c>
      <c r="J47" t="s">
        <v>77</v>
      </c>
    </row>
    <row r="48" spans="1:10">
      <c r="A48">
        <v>12778</v>
      </c>
      <c r="B48">
        <v>1068745</v>
      </c>
      <c r="C48" t="s">
        <v>1756</v>
      </c>
      <c r="D48" t="s">
        <v>1714</v>
      </c>
      <c r="E48" t="s">
        <v>49</v>
      </c>
      <c r="F48">
        <v>2</v>
      </c>
      <c r="G48">
        <v>1088</v>
      </c>
      <c r="H48">
        <v>60</v>
      </c>
      <c r="I48">
        <v>1534.17</v>
      </c>
      <c r="J48" t="s">
        <v>77</v>
      </c>
    </row>
    <row r="49" spans="1:10">
      <c r="A49">
        <v>12862</v>
      </c>
      <c r="B49">
        <v>1069008</v>
      </c>
      <c r="C49" t="s">
        <v>1757</v>
      </c>
      <c r="D49" t="s">
        <v>1714</v>
      </c>
      <c r="E49" t="s">
        <v>49</v>
      </c>
      <c r="F49">
        <v>2</v>
      </c>
      <c r="G49">
        <v>1088</v>
      </c>
      <c r="H49">
        <v>60</v>
      </c>
      <c r="I49">
        <v>1028</v>
      </c>
      <c r="J49" t="s">
        <v>77</v>
      </c>
    </row>
    <row r="50" spans="1:10">
      <c r="A50">
        <v>13048</v>
      </c>
      <c r="B50">
        <v>1062055</v>
      </c>
      <c r="C50" t="s">
        <v>1758</v>
      </c>
      <c r="D50" t="s">
        <v>1710</v>
      </c>
      <c r="E50" t="s">
        <v>41</v>
      </c>
      <c r="F50">
        <v>1</v>
      </c>
      <c r="G50">
        <v>1379</v>
      </c>
      <c r="H50">
        <v>60</v>
      </c>
      <c r="I50">
        <v>2698.86</v>
      </c>
      <c r="J50" t="s">
        <v>77</v>
      </c>
    </row>
    <row r="51" spans="1:10">
      <c r="A51">
        <v>13083</v>
      </c>
      <c r="B51">
        <v>1069152</v>
      </c>
      <c r="C51" t="s">
        <v>1759</v>
      </c>
      <c r="D51" t="s">
        <v>1714</v>
      </c>
      <c r="E51" t="s">
        <v>49</v>
      </c>
      <c r="F51">
        <v>1</v>
      </c>
      <c r="G51">
        <v>4198</v>
      </c>
      <c r="H51">
        <v>30</v>
      </c>
      <c r="I51">
        <v>4168</v>
      </c>
      <c r="J51" t="s">
        <v>77</v>
      </c>
    </row>
    <row r="52" spans="1:10">
      <c r="A52">
        <v>13620</v>
      </c>
      <c r="B52">
        <v>1070044</v>
      </c>
      <c r="C52" t="s">
        <v>1760</v>
      </c>
      <c r="D52" t="s">
        <v>1710</v>
      </c>
      <c r="E52" t="s">
        <v>47</v>
      </c>
      <c r="F52">
        <v>3</v>
      </c>
      <c r="G52">
        <v>7206</v>
      </c>
      <c r="H52">
        <v>540</v>
      </c>
      <c r="I52">
        <v>6666</v>
      </c>
      <c r="J52" t="s">
        <v>77</v>
      </c>
    </row>
    <row r="53" spans="1:10">
      <c r="A53">
        <v>13665</v>
      </c>
      <c r="B53">
        <v>1073530</v>
      </c>
      <c r="C53" t="s">
        <v>1761</v>
      </c>
      <c r="D53" t="s">
        <v>1710</v>
      </c>
      <c r="E53" t="s">
        <v>49</v>
      </c>
      <c r="F53">
        <v>1</v>
      </c>
      <c r="G53">
        <v>950</v>
      </c>
      <c r="H53">
        <v>30</v>
      </c>
      <c r="I53">
        <v>920</v>
      </c>
      <c r="J53" t="s">
        <v>77</v>
      </c>
    </row>
    <row r="54" spans="1:10">
      <c r="A54">
        <v>13905</v>
      </c>
      <c r="B54">
        <v>1073530</v>
      </c>
      <c r="C54" t="s">
        <v>1762</v>
      </c>
      <c r="D54" t="s">
        <v>1714</v>
      </c>
      <c r="E54" t="s">
        <v>49</v>
      </c>
      <c r="F54">
        <v>1</v>
      </c>
      <c r="G54">
        <v>475</v>
      </c>
      <c r="H54">
        <v>30</v>
      </c>
      <c r="I54">
        <v>445</v>
      </c>
      <c r="J54" t="s">
        <v>77</v>
      </c>
    </row>
    <row r="55" spans="1:10">
      <c r="A55">
        <v>14394</v>
      </c>
      <c r="B55">
        <v>1076154</v>
      </c>
      <c r="C55" t="s">
        <v>1763</v>
      </c>
      <c r="D55" t="s">
        <v>1714</v>
      </c>
      <c r="E55" t="s">
        <v>49</v>
      </c>
      <c r="F55">
        <v>1</v>
      </c>
      <c r="G55">
        <v>3484</v>
      </c>
      <c r="H55">
        <v>30</v>
      </c>
      <c r="I55">
        <v>3454</v>
      </c>
      <c r="J55" t="s">
        <v>77</v>
      </c>
    </row>
    <row r="56" spans="1:10">
      <c r="A56">
        <v>14814</v>
      </c>
      <c r="B56">
        <v>1076665</v>
      </c>
      <c r="C56" t="s">
        <v>1764</v>
      </c>
      <c r="D56" t="s">
        <v>1714</v>
      </c>
      <c r="E56" t="s">
        <v>49</v>
      </c>
      <c r="F56">
        <v>2</v>
      </c>
      <c r="G56">
        <v>2016</v>
      </c>
      <c r="H56">
        <v>60</v>
      </c>
      <c r="I56">
        <v>1956</v>
      </c>
      <c r="J56" t="s">
        <v>77</v>
      </c>
    </row>
    <row r="57" spans="1:10">
      <c r="A57">
        <v>15200</v>
      </c>
      <c r="B57">
        <v>1056099</v>
      </c>
      <c r="C57" t="s">
        <v>1765</v>
      </c>
      <c r="D57" t="s">
        <v>1710</v>
      </c>
      <c r="E57" t="s">
        <v>41</v>
      </c>
      <c r="F57">
        <v>2</v>
      </c>
      <c r="G57">
        <v>4858</v>
      </c>
      <c r="H57">
        <v>360</v>
      </c>
      <c r="I57">
        <v>8581.91</v>
      </c>
      <c r="J57" t="s">
        <v>77</v>
      </c>
    </row>
    <row r="58" spans="1:10">
      <c r="A58">
        <v>15485</v>
      </c>
      <c r="B58">
        <v>1077975</v>
      </c>
      <c r="C58" t="s">
        <v>1766</v>
      </c>
      <c r="D58" t="s">
        <v>1714</v>
      </c>
      <c r="E58" t="s">
        <v>49</v>
      </c>
      <c r="F58">
        <v>1</v>
      </c>
      <c r="G58">
        <v>3171</v>
      </c>
      <c r="H58">
        <v>30</v>
      </c>
      <c r="I58">
        <v>3141</v>
      </c>
      <c r="J58" t="s">
        <v>77</v>
      </c>
    </row>
    <row r="59" spans="1:10">
      <c r="A59">
        <v>15625</v>
      </c>
      <c r="B59">
        <v>1079819</v>
      </c>
      <c r="C59" t="s">
        <v>1767</v>
      </c>
      <c r="D59" t="s">
        <v>1714</v>
      </c>
      <c r="E59" t="s">
        <v>49</v>
      </c>
      <c r="F59">
        <v>2</v>
      </c>
      <c r="G59">
        <v>1653</v>
      </c>
      <c r="H59">
        <v>60</v>
      </c>
      <c r="I59">
        <v>1593</v>
      </c>
      <c r="J59" t="s">
        <v>77</v>
      </c>
    </row>
    <row r="60" spans="1:10">
      <c r="A60">
        <v>15639</v>
      </c>
      <c r="B60">
        <v>1079358</v>
      </c>
      <c r="C60" t="s">
        <v>1768</v>
      </c>
      <c r="D60" t="s">
        <v>1710</v>
      </c>
      <c r="E60" t="s">
        <v>49</v>
      </c>
      <c r="F60">
        <v>1</v>
      </c>
      <c r="G60">
        <v>3123</v>
      </c>
      <c r="H60">
        <v>30</v>
      </c>
      <c r="I60">
        <v>3093</v>
      </c>
      <c r="J60" t="s">
        <v>77</v>
      </c>
    </row>
    <row r="61" spans="1:10">
      <c r="A61">
        <v>17051</v>
      </c>
      <c r="B61">
        <v>1081189</v>
      </c>
      <c r="C61" t="s">
        <v>1769</v>
      </c>
      <c r="D61" t="s">
        <v>1710</v>
      </c>
      <c r="E61" t="s">
        <v>41</v>
      </c>
      <c r="F61">
        <v>1</v>
      </c>
      <c r="G61">
        <v>1657</v>
      </c>
      <c r="H61">
        <v>414.25</v>
      </c>
      <c r="I61">
        <v>1242.75</v>
      </c>
      <c r="J61" t="s">
        <v>77</v>
      </c>
    </row>
    <row r="62" spans="1:10">
      <c r="A62">
        <v>17644</v>
      </c>
      <c r="B62">
        <v>1087131</v>
      </c>
      <c r="C62" t="s">
        <v>1770</v>
      </c>
      <c r="D62" t="s">
        <v>1714</v>
      </c>
      <c r="E62" t="s">
        <v>49</v>
      </c>
      <c r="F62">
        <v>6</v>
      </c>
      <c r="G62">
        <v>4267</v>
      </c>
      <c r="H62">
        <v>180</v>
      </c>
      <c r="I62">
        <v>4087</v>
      </c>
      <c r="J62" t="s">
        <v>77</v>
      </c>
    </row>
    <row r="63" spans="1:10">
      <c r="A63">
        <v>18150</v>
      </c>
      <c r="B63">
        <v>1090748</v>
      </c>
      <c r="C63" t="s">
        <v>1771</v>
      </c>
      <c r="D63" t="s">
        <v>1714</v>
      </c>
      <c r="E63" t="s">
        <v>49</v>
      </c>
      <c r="F63">
        <v>1</v>
      </c>
      <c r="G63">
        <v>950</v>
      </c>
      <c r="H63">
        <v>30</v>
      </c>
      <c r="I63">
        <v>920</v>
      </c>
      <c r="J63" t="s">
        <v>77</v>
      </c>
    </row>
    <row r="64" spans="1:10">
      <c r="A64">
        <v>18403</v>
      </c>
      <c r="B64">
        <v>1091769</v>
      </c>
      <c r="C64" t="s">
        <v>1772</v>
      </c>
      <c r="D64" t="s">
        <v>1714</v>
      </c>
      <c r="E64" t="s">
        <v>49</v>
      </c>
      <c r="F64">
        <v>6</v>
      </c>
      <c r="G64">
        <v>3266</v>
      </c>
      <c r="H64">
        <v>180</v>
      </c>
      <c r="I64">
        <v>3086</v>
      </c>
      <c r="J64" t="s">
        <v>77</v>
      </c>
    </row>
    <row r="65" spans="1:10">
      <c r="A65">
        <v>19413</v>
      </c>
      <c r="B65">
        <v>1097788</v>
      </c>
      <c r="C65" t="s">
        <v>1773</v>
      </c>
      <c r="D65" t="s">
        <v>1710</v>
      </c>
      <c r="E65" t="s">
        <v>41</v>
      </c>
      <c r="F65">
        <v>4</v>
      </c>
      <c r="G65">
        <v>1152</v>
      </c>
      <c r="H65">
        <v>240</v>
      </c>
      <c r="I65">
        <v>912</v>
      </c>
      <c r="J65" t="s">
        <v>77</v>
      </c>
    </row>
    <row r="66" spans="1:10">
      <c r="A66">
        <v>19676</v>
      </c>
      <c r="B66">
        <v>1096350</v>
      </c>
      <c r="C66" t="s">
        <v>1774</v>
      </c>
      <c r="D66" t="s">
        <v>1710</v>
      </c>
      <c r="E66" t="s">
        <v>41</v>
      </c>
      <c r="F66">
        <v>3</v>
      </c>
      <c r="G66">
        <v>4175</v>
      </c>
      <c r="H66">
        <v>540</v>
      </c>
      <c r="I66">
        <v>3635</v>
      </c>
      <c r="J66" t="s">
        <v>77</v>
      </c>
    </row>
    <row r="67" spans="1:10">
      <c r="A67">
        <v>19788</v>
      </c>
      <c r="B67">
        <v>1098923</v>
      </c>
      <c r="C67" t="s">
        <v>1775</v>
      </c>
      <c r="D67" t="s">
        <v>1714</v>
      </c>
      <c r="E67" t="s">
        <v>49</v>
      </c>
      <c r="F67">
        <v>6</v>
      </c>
      <c r="G67">
        <v>7618</v>
      </c>
      <c r="H67">
        <v>180</v>
      </c>
      <c r="I67">
        <v>7438</v>
      </c>
      <c r="J67" t="s">
        <v>77</v>
      </c>
    </row>
    <row r="68" spans="1:10">
      <c r="A68">
        <v>19793</v>
      </c>
      <c r="B68">
        <v>1099369</v>
      </c>
      <c r="C68" t="s">
        <v>1775</v>
      </c>
      <c r="D68" t="s">
        <v>1714</v>
      </c>
      <c r="E68" t="s">
        <v>49</v>
      </c>
      <c r="F68">
        <v>4</v>
      </c>
      <c r="G68">
        <v>5367</v>
      </c>
      <c r="H68">
        <v>120</v>
      </c>
      <c r="I68">
        <v>5247</v>
      </c>
      <c r="J68" t="s">
        <v>77</v>
      </c>
    </row>
    <row r="69" spans="1:10">
      <c r="A69">
        <v>19825</v>
      </c>
      <c r="B69">
        <v>1095527</v>
      </c>
      <c r="C69" t="s">
        <v>1776</v>
      </c>
      <c r="D69" t="s">
        <v>1710</v>
      </c>
      <c r="E69" t="s">
        <v>41</v>
      </c>
      <c r="F69">
        <v>6</v>
      </c>
      <c r="G69">
        <v>23306</v>
      </c>
      <c r="H69">
        <v>1200</v>
      </c>
      <c r="I69">
        <v>22106</v>
      </c>
      <c r="J69" t="s">
        <v>77</v>
      </c>
    </row>
    <row r="70" spans="1:10">
      <c r="A70">
        <v>20547</v>
      </c>
      <c r="B70">
        <v>1096648</v>
      </c>
      <c r="C70" t="s">
        <v>1777</v>
      </c>
      <c r="D70" t="s">
        <v>1710</v>
      </c>
      <c r="E70" t="s">
        <v>41</v>
      </c>
      <c r="F70">
        <v>2</v>
      </c>
      <c r="G70">
        <v>2486</v>
      </c>
      <c r="H70">
        <v>240</v>
      </c>
      <c r="I70">
        <v>2246</v>
      </c>
      <c r="J70" t="s">
        <v>77</v>
      </c>
    </row>
    <row r="71" spans="1:10">
      <c r="A71">
        <v>20853</v>
      </c>
      <c r="B71">
        <v>1106387</v>
      </c>
      <c r="C71" t="s">
        <v>1778</v>
      </c>
      <c r="D71" t="s">
        <v>1710</v>
      </c>
      <c r="E71" t="s">
        <v>41</v>
      </c>
      <c r="F71">
        <v>1</v>
      </c>
      <c r="G71">
        <v>872</v>
      </c>
      <c r="H71">
        <v>60</v>
      </c>
      <c r="I71">
        <v>812</v>
      </c>
      <c r="J71" t="s">
        <v>77</v>
      </c>
    </row>
    <row r="72" spans="1:10">
      <c r="A72">
        <v>21037</v>
      </c>
      <c r="B72">
        <v>1106173</v>
      </c>
      <c r="C72" t="s">
        <v>1779</v>
      </c>
      <c r="D72" t="s">
        <v>1714</v>
      </c>
      <c r="E72" t="s">
        <v>49</v>
      </c>
      <c r="F72">
        <v>1</v>
      </c>
      <c r="G72">
        <v>549</v>
      </c>
      <c r="H72">
        <v>30</v>
      </c>
      <c r="I72">
        <v>519</v>
      </c>
      <c r="J72" t="s">
        <v>77</v>
      </c>
    </row>
    <row r="73" spans="1:10">
      <c r="A73">
        <v>21048</v>
      </c>
      <c r="B73">
        <v>1106935</v>
      </c>
      <c r="C73" t="s">
        <v>1780</v>
      </c>
      <c r="D73" t="s">
        <v>1714</v>
      </c>
      <c r="E73" t="s">
        <v>49</v>
      </c>
      <c r="F73">
        <v>1</v>
      </c>
      <c r="G73">
        <v>916</v>
      </c>
      <c r="H73">
        <v>30</v>
      </c>
      <c r="I73">
        <v>886</v>
      </c>
      <c r="J73" t="s">
        <v>77</v>
      </c>
    </row>
    <row r="74" spans="1:10">
      <c r="A74">
        <v>21191</v>
      </c>
      <c r="B74">
        <v>1105012</v>
      </c>
      <c r="C74" t="s">
        <v>1781</v>
      </c>
      <c r="D74" t="s">
        <v>1714</v>
      </c>
      <c r="E74" t="s">
        <v>49</v>
      </c>
      <c r="F74">
        <v>3</v>
      </c>
      <c r="G74">
        <v>1962</v>
      </c>
      <c r="H74">
        <v>90</v>
      </c>
      <c r="I74">
        <v>1872</v>
      </c>
      <c r="J74" t="s">
        <v>77</v>
      </c>
    </row>
    <row r="75" spans="1:10">
      <c r="A75">
        <v>21433</v>
      </c>
      <c r="B75">
        <v>1109655</v>
      </c>
      <c r="C75" t="s">
        <v>1782</v>
      </c>
      <c r="D75" t="s">
        <v>1710</v>
      </c>
      <c r="E75" t="s">
        <v>49</v>
      </c>
      <c r="F75">
        <v>1</v>
      </c>
      <c r="G75">
        <v>326</v>
      </c>
      <c r="H75">
        <v>30</v>
      </c>
      <c r="I75">
        <v>296</v>
      </c>
      <c r="J75" t="s">
        <v>77</v>
      </c>
    </row>
    <row r="76" spans="1:10">
      <c r="A76">
        <v>21554</v>
      </c>
      <c r="B76">
        <v>1106962</v>
      </c>
      <c r="C76" t="s">
        <v>1783</v>
      </c>
      <c r="D76" t="s">
        <v>1710</v>
      </c>
      <c r="E76" t="s">
        <v>41</v>
      </c>
      <c r="F76">
        <v>1</v>
      </c>
      <c r="G76">
        <v>1392</v>
      </c>
      <c r="H76">
        <v>180</v>
      </c>
      <c r="I76">
        <v>1212</v>
      </c>
      <c r="J76" t="s">
        <v>77</v>
      </c>
    </row>
    <row r="77" spans="1:10">
      <c r="A77">
        <v>21998</v>
      </c>
      <c r="B77">
        <v>1099495</v>
      </c>
      <c r="C77" t="s">
        <v>1784</v>
      </c>
      <c r="D77" t="s">
        <v>1710</v>
      </c>
      <c r="E77" t="s">
        <v>41</v>
      </c>
      <c r="F77">
        <v>4</v>
      </c>
      <c r="G77">
        <v>3800</v>
      </c>
      <c r="H77">
        <v>480</v>
      </c>
      <c r="I77">
        <v>3320</v>
      </c>
      <c r="J77" t="s">
        <v>77</v>
      </c>
    </row>
    <row r="78" spans="1:10">
      <c r="A78">
        <v>23309</v>
      </c>
      <c r="B78">
        <v>1115198</v>
      </c>
      <c r="C78" t="s">
        <v>1785</v>
      </c>
      <c r="D78" t="s">
        <v>1710</v>
      </c>
      <c r="E78" t="s">
        <v>47</v>
      </c>
      <c r="F78">
        <v>2</v>
      </c>
      <c r="G78">
        <v>1708</v>
      </c>
      <c r="H78">
        <v>240</v>
      </c>
      <c r="I78">
        <v>1468</v>
      </c>
      <c r="J78" t="s">
        <v>77</v>
      </c>
    </row>
    <row r="79" spans="1:10">
      <c r="A79">
        <v>23364</v>
      </c>
      <c r="B79">
        <v>1112583</v>
      </c>
      <c r="C79" t="s">
        <v>1786</v>
      </c>
      <c r="D79" t="s">
        <v>1710</v>
      </c>
      <c r="E79" t="s">
        <v>41</v>
      </c>
      <c r="F79">
        <v>2</v>
      </c>
      <c r="G79">
        <v>1524</v>
      </c>
      <c r="H79">
        <v>120</v>
      </c>
      <c r="I79">
        <v>1404</v>
      </c>
      <c r="J79" t="s">
        <v>77</v>
      </c>
    </row>
    <row r="80" spans="1:10">
      <c r="A80">
        <v>23477</v>
      </c>
      <c r="B80">
        <v>1110928</v>
      </c>
      <c r="C80" t="s">
        <v>1787</v>
      </c>
      <c r="D80" t="s">
        <v>1710</v>
      </c>
      <c r="E80" t="s">
        <v>41</v>
      </c>
      <c r="F80">
        <v>1</v>
      </c>
      <c r="G80">
        <v>2216</v>
      </c>
      <c r="H80">
        <v>180</v>
      </c>
      <c r="I80">
        <v>2036</v>
      </c>
      <c r="J80" t="s">
        <v>77</v>
      </c>
    </row>
    <row r="81" spans="1:10">
      <c r="A81">
        <v>23669</v>
      </c>
      <c r="B81">
        <v>1120103</v>
      </c>
      <c r="C81" t="s">
        <v>1788</v>
      </c>
      <c r="D81" t="s">
        <v>1710</v>
      </c>
      <c r="E81" t="s">
        <v>47</v>
      </c>
      <c r="F81">
        <v>1</v>
      </c>
      <c r="G81">
        <v>4406</v>
      </c>
      <c r="H81">
        <v>2203</v>
      </c>
      <c r="I81">
        <v>2203</v>
      </c>
      <c r="J81" t="s">
        <v>77</v>
      </c>
    </row>
    <row r="82" spans="1:10">
      <c r="A82">
        <v>24124</v>
      </c>
      <c r="B82">
        <v>1112827</v>
      </c>
      <c r="C82" t="s">
        <v>1789</v>
      </c>
      <c r="D82" t="s">
        <v>1710</v>
      </c>
      <c r="E82" t="s">
        <v>41</v>
      </c>
      <c r="F82">
        <v>3</v>
      </c>
      <c r="G82">
        <v>12594</v>
      </c>
      <c r="H82">
        <v>3148.5</v>
      </c>
      <c r="I82">
        <v>9445.5</v>
      </c>
      <c r="J82" t="s">
        <v>77</v>
      </c>
    </row>
    <row r="83" spans="1:10">
      <c r="A83">
        <v>24169</v>
      </c>
      <c r="B83">
        <v>1122013</v>
      </c>
      <c r="C83" t="s">
        <v>1790</v>
      </c>
      <c r="D83" t="s">
        <v>1710</v>
      </c>
      <c r="E83" t="s">
        <v>49</v>
      </c>
      <c r="F83">
        <v>1</v>
      </c>
      <c r="G83">
        <v>393</v>
      </c>
      <c r="H83">
        <v>30</v>
      </c>
      <c r="I83">
        <v>363</v>
      </c>
      <c r="J83" t="s">
        <v>77</v>
      </c>
    </row>
    <row r="84" spans="1:10">
      <c r="A84">
        <v>24752</v>
      </c>
      <c r="B84">
        <v>1122006</v>
      </c>
      <c r="C84" t="s">
        <v>1791</v>
      </c>
      <c r="D84" t="s">
        <v>1714</v>
      </c>
      <c r="E84" t="s">
        <v>49</v>
      </c>
      <c r="F84">
        <v>1</v>
      </c>
      <c r="G84">
        <v>654</v>
      </c>
      <c r="H84">
        <v>30</v>
      </c>
      <c r="I84">
        <v>624</v>
      </c>
      <c r="J84" t="s">
        <v>77</v>
      </c>
    </row>
    <row r="85" spans="1:10">
      <c r="A85">
        <v>24794</v>
      </c>
      <c r="B85">
        <v>1124587</v>
      </c>
      <c r="C85" t="s">
        <v>1792</v>
      </c>
      <c r="D85" t="s">
        <v>1710</v>
      </c>
      <c r="E85" t="s">
        <v>49</v>
      </c>
      <c r="F85">
        <v>1</v>
      </c>
      <c r="G85">
        <v>906</v>
      </c>
      <c r="H85">
        <v>30</v>
      </c>
      <c r="I85">
        <v>876</v>
      </c>
      <c r="J85" t="s">
        <v>77</v>
      </c>
    </row>
    <row r="86" spans="1:10">
      <c r="A86">
        <v>24799</v>
      </c>
      <c r="B86">
        <v>1122534</v>
      </c>
      <c r="C86" t="s">
        <v>1793</v>
      </c>
      <c r="D86" t="s">
        <v>1710</v>
      </c>
      <c r="E86" t="s">
        <v>41</v>
      </c>
      <c r="F86">
        <v>5</v>
      </c>
      <c r="G86">
        <v>4428</v>
      </c>
      <c r="H86">
        <v>1107</v>
      </c>
      <c r="I86">
        <v>3321</v>
      </c>
      <c r="J86" t="s">
        <v>77</v>
      </c>
    </row>
    <row r="87" spans="1:10">
      <c r="A87">
        <v>24924</v>
      </c>
      <c r="B87">
        <v>1125474</v>
      </c>
      <c r="C87" t="s">
        <v>1794</v>
      </c>
      <c r="D87" t="s">
        <v>1714</v>
      </c>
      <c r="E87" t="s">
        <v>49</v>
      </c>
      <c r="F87">
        <v>2</v>
      </c>
      <c r="G87">
        <v>816</v>
      </c>
      <c r="H87">
        <v>60</v>
      </c>
      <c r="I87">
        <v>756</v>
      </c>
      <c r="J87" t="s">
        <v>77</v>
      </c>
    </row>
    <row r="88" spans="1:10">
      <c r="A88">
        <v>25015</v>
      </c>
      <c r="B88">
        <v>1115367</v>
      </c>
      <c r="C88" t="s">
        <v>1795</v>
      </c>
      <c r="D88" t="s">
        <v>1710</v>
      </c>
      <c r="E88" t="s">
        <v>41</v>
      </c>
      <c r="F88">
        <v>1</v>
      </c>
      <c r="G88">
        <v>629</v>
      </c>
      <c r="H88">
        <v>120</v>
      </c>
      <c r="I88">
        <v>509</v>
      </c>
      <c r="J88" t="s">
        <v>77</v>
      </c>
    </row>
    <row r="89" spans="1:10">
      <c r="A89">
        <v>25359</v>
      </c>
      <c r="B89">
        <v>1126291</v>
      </c>
      <c r="C89" t="s">
        <v>1796</v>
      </c>
      <c r="D89" t="s">
        <v>1710</v>
      </c>
      <c r="E89" t="s">
        <v>41</v>
      </c>
      <c r="F89">
        <v>1</v>
      </c>
      <c r="G89">
        <v>1379</v>
      </c>
      <c r="H89">
        <v>60</v>
      </c>
      <c r="I89">
        <v>1319</v>
      </c>
      <c r="J89" t="s">
        <v>77</v>
      </c>
    </row>
    <row r="90" spans="1:10">
      <c r="A90">
        <v>25432</v>
      </c>
      <c r="B90">
        <v>1126405</v>
      </c>
      <c r="C90" t="s">
        <v>1797</v>
      </c>
      <c r="D90" t="s">
        <v>1710</v>
      </c>
      <c r="E90" t="s">
        <v>47</v>
      </c>
      <c r="F90">
        <v>5</v>
      </c>
      <c r="G90">
        <v>5245</v>
      </c>
      <c r="H90">
        <v>600</v>
      </c>
      <c r="I90">
        <v>4645</v>
      </c>
      <c r="J90" t="s">
        <v>77</v>
      </c>
    </row>
    <row r="91" spans="1:10">
      <c r="A91">
        <v>25488</v>
      </c>
      <c r="B91">
        <v>1128435</v>
      </c>
      <c r="C91" t="s">
        <v>1798</v>
      </c>
      <c r="D91" t="s">
        <v>1710</v>
      </c>
      <c r="E91" t="s">
        <v>41</v>
      </c>
      <c r="F91">
        <v>1</v>
      </c>
      <c r="G91">
        <v>654</v>
      </c>
      <c r="H91">
        <v>163.5</v>
      </c>
      <c r="I91">
        <v>490.5</v>
      </c>
      <c r="J91" t="s">
        <v>77</v>
      </c>
    </row>
    <row r="92" spans="1:10">
      <c r="A92">
        <v>25824</v>
      </c>
      <c r="B92">
        <v>1107133</v>
      </c>
      <c r="C92" t="s">
        <v>1799</v>
      </c>
      <c r="D92" t="s">
        <v>1710</v>
      </c>
      <c r="E92" t="s">
        <v>41</v>
      </c>
      <c r="F92">
        <v>1</v>
      </c>
      <c r="G92">
        <v>872</v>
      </c>
      <c r="H92">
        <v>60</v>
      </c>
      <c r="I92">
        <v>812</v>
      </c>
      <c r="J92" t="s">
        <v>77</v>
      </c>
    </row>
    <row r="93" spans="1:10">
      <c r="A93">
        <v>25975</v>
      </c>
      <c r="B93">
        <v>1131156</v>
      </c>
      <c r="C93" t="s">
        <v>1800</v>
      </c>
      <c r="D93" t="s">
        <v>1714</v>
      </c>
      <c r="E93" t="s">
        <v>49</v>
      </c>
      <c r="F93">
        <v>1</v>
      </c>
      <c r="G93">
        <v>872</v>
      </c>
      <c r="H93">
        <v>30</v>
      </c>
      <c r="I93">
        <v>842</v>
      </c>
      <c r="J93" t="s">
        <v>77</v>
      </c>
    </row>
    <row r="94" spans="1:10">
      <c r="A94">
        <v>26097</v>
      </c>
      <c r="B94">
        <v>1127244</v>
      </c>
      <c r="C94" t="s">
        <v>1801</v>
      </c>
      <c r="D94" t="s">
        <v>1710</v>
      </c>
      <c r="E94" t="s">
        <v>41</v>
      </c>
      <c r="F94">
        <v>1</v>
      </c>
      <c r="G94">
        <v>4406</v>
      </c>
      <c r="H94">
        <v>180</v>
      </c>
      <c r="I94">
        <v>4226</v>
      </c>
      <c r="J94" t="s">
        <v>77</v>
      </c>
    </row>
    <row r="95" spans="1:10">
      <c r="A95">
        <v>26344</v>
      </c>
      <c r="B95">
        <v>1130695</v>
      </c>
      <c r="C95" t="s">
        <v>1802</v>
      </c>
      <c r="D95" t="s">
        <v>1710</v>
      </c>
      <c r="E95" t="s">
        <v>47</v>
      </c>
      <c r="F95">
        <v>1</v>
      </c>
      <c r="G95">
        <v>1390</v>
      </c>
      <c r="H95">
        <v>120</v>
      </c>
      <c r="I95">
        <v>1270</v>
      </c>
      <c r="J95" t="s">
        <v>77</v>
      </c>
    </row>
    <row r="96" spans="1:10">
      <c r="A96">
        <v>26370</v>
      </c>
      <c r="B96">
        <v>1133457</v>
      </c>
      <c r="C96" t="s">
        <v>1803</v>
      </c>
      <c r="D96" t="s">
        <v>1710</v>
      </c>
      <c r="E96" t="s">
        <v>41</v>
      </c>
      <c r="F96">
        <v>1</v>
      </c>
      <c r="G96">
        <v>587</v>
      </c>
      <c r="H96">
        <v>60</v>
      </c>
      <c r="I96">
        <v>527</v>
      </c>
      <c r="J96" t="s">
        <v>77</v>
      </c>
    </row>
    <row r="97" spans="1:10">
      <c r="A97">
        <v>27471</v>
      </c>
      <c r="B97">
        <v>1138455</v>
      </c>
      <c r="C97" t="s">
        <v>1804</v>
      </c>
      <c r="D97" t="s">
        <v>1714</v>
      </c>
      <c r="E97" t="s">
        <v>49</v>
      </c>
      <c r="F97">
        <v>1</v>
      </c>
      <c r="G97">
        <v>2520</v>
      </c>
      <c r="H97">
        <v>30</v>
      </c>
      <c r="I97">
        <v>2490</v>
      </c>
      <c r="J97" t="s">
        <v>77</v>
      </c>
    </row>
    <row r="98" spans="1:10">
      <c r="A98">
        <v>27813</v>
      </c>
      <c r="B98">
        <v>1141070</v>
      </c>
      <c r="C98" t="s">
        <v>1805</v>
      </c>
      <c r="D98" t="s">
        <v>1714</v>
      </c>
      <c r="E98" t="s">
        <v>49</v>
      </c>
      <c r="F98">
        <v>1</v>
      </c>
      <c r="G98">
        <v>544</v>
      </c>
      <c r="H98">
        <v>30</v>
      </c>
      <c r="I98">
        <v>514</v>
      </c>
      <c r="J98" t="s">
        <v>77</v>
      </c>
    </row>
    <row r="99" spans="1:10">
      <c r="A99">
        <v>28322</v>
      </c>
      <c r="B99">
        <v>1141196</v>
      </c>
      <c r="C99" t="s">
        <v>1806</v>
      </c>
      <c r="D99" t="s">
        <v>1710</v>
      </c>
      <c r="E99" t="s">
        <v>41</v>
      </c>
      <c r="F99">
        <v>1</v>
      </c>
      <c r="G99">
        <v>1854</v>
      </c>
      <c r="H99">
        <v>180</v>
      </c>
      <c r="I99">
        <v>1674</v>
      </c>
      <c r="J99" t="s">
        <v>77</v>
      </c>
    </row>
    <row r="100" spans="1:10">
      <c r="A100">
        <v>28630</v>
      </c>
      <c r="B100">
        <v>1119517</v>
      </c>
      <c r="C100" t="s">
        <v>1807</v>
      </c>
      <c r="D100" t="s">
        <v>1710</v>
      </c>
      <c r="E100" t="s">
        <v>41</v>
      </c>
      <c r="F100">
        <v>1</v>
      </c>
      <c r="G100">
        <v>2520</v>
      </c>
      <c r="H100">
        <v>180</v>
      </c>
      <c r="I100">
        <v>2340</v>
      </c>
      <c r="J100" t="s">
        <v>77</v>
      </c>
    </row>
    <row r="101" spans="1:10">
      <c r="A101">
        <v>28866</v>
      </c>
      <c r="B101">
        <v>1142813</v>
      </c>
      <c r="C101" t="s">
        <v>1808</v>
      </c>
      <c r="D101" t="s">
        <v>1710</v>
      </c>
      <c r="E101" t="s">
        <v>41</v>
      </c>
      <c r="F101">
        <v>1</v>
      </c>
      <c r="G101">
        <v>3694</v>
      </c>
      <c r="H101">
        <v>180</v>
      </c>
      <c r="I101">
        <v>3514</v>
      </c>
      <c r="J101" t="s">
        <v>77</v>
      </c>
    </row>
    <row r="102" spans="1:10">
      <c r="A102">
        <v>29437</v>
      </c>
      <c r="B102">
        <v>1141562</v>
      </c>
      <c r="C102" t="s">
        <v>1809</v>
      </c>
      <c r="D102" t="s">
        <v>1710</v>
      </c>
      <c r="E102" t="s">
        <v>41</v>
      </c>
      <c r="F102">
        <v>1</v>
      </c>
      <c r="G102">
        <v>1049</v>
      </c>
      <c r="H102">
        <v>120</v>
      </c>
      <c r="I102">
        <v>929</v>
      </c>
      <c r="J102" t="s">
        <v>77</v>
      </c>
    </row>
    <row r="103" spans="1:10">
      <c r="A103">
        <v>29779</v>
      </c>
      <c r="B103">
        <v>1149632</v>
      </c>
      <c r="C103" t="s">
        <v>1810</v>
      </c>
      <c r="D103" t="s">
        <v>1714</v>
      </c>
      <c r="E103" t="s">
        <v>49</v>
      </c>
      <c r="F103">
        <v>2</v>
      </c>
      <c r="G103">
        <v>6494</v>
      </c>
      <c r="H103">
        <v>60</v>
      </c>
      <c r="I103">
        <v>6434</v>
      </c>
      <c r="J103" t="s">
        <v>77</v>
      </c>
    </row>
    <row r="104" spans="1:10">
      <c r="A104">
        <v>29938</v>
      </c>
      <c r="B104">
        <v>1146740</v>
      </c>
      <c r="C104" t="s">
        <v>1811</v>
      </c>
      <c r="D104" t="s">
        <v>1710</v>
      </c>
      <c r="E104" t="s">
        <v>41</v>
      </c>
      <c r="F104">
        <v>2</v>
      </c>
      <c r="G104">
        <v>4032</v>
      </c>
      <c r="H104">
        <v>360</v>
      </c>
      <c r="I104">
        <v>3672</v>
      </c>
      <c r="J104" t="s">
        <v>77</v>
      </c>
    </row>
    <row r="105" spans="1:10">
      <c r="A105">
        <v>30170</v>
      </c>
      <c r="B105">
        <v>1146201</v>
      </c>
      <c r="C105" t="s">
        <v>1812</v>
      </c>
      <c r="D105" t="s">
        <v>1710</v>
      </c>
      <c r="E105" t="s">
        <v>49</v>
      </c>
      <c r="F105">
        <v>2</v>
      </c>
      <c r="G105">
        <v>4858</v>
      </c>
      <c r="H105">
        <v>60</v>
      </c>
      <c r="I105">
        <v>4798</v>
      </c>
      <c r="J105" t="s">
        <v>77</v>
      </c>
    </row>
    <row r="106" spans="1:10">
      <c r="A106">
        <v>30174</v>
      </c>
      <c r="B106">
        <v>1129237</v>
      </c>
      <c r="C106" t="s">
        <v>1813</v>
      </c>
      <c r="D106" t="s">
        <v>1710</v>
      </c>
      <c r="E106" t="s">
        <v>41</v>
      </c>
      <c r="F106">
        <v>2</v>
      </c>
      <c r="G106">
        <v>5568</v>
      </c>
      <c r="H106">
        <v>360</v>
      </c>
      <c r="I106">
        <v>5208</v>
      </c>
      <c r="J106" t="s">
        <v>77</v>
      </c>
    </row>
    <row r="107" spans="1:10">
      <c r="A107">
        <v>30241</v>
      </c>
      <c r="B107">
        <v>1152098</v>
      </c>
      <c r="C107" t="s">
        <v>1814</v>
      </c>
      <c r="D107" t="s">
        <v>1714</v>
      </c>
      <c r="E107" t="s">
        <v>49</v>
      </c>
      <c r="F107">
        <v>1</v>
      </c>
      <c r="G107">
        <v>3026</v>
      </c>
      <c r="H107">
        <v>30</v>
      </c>
      <c r="I107">
        <v>2996</v>
      </c>
      <c r="J107" t="s">
        <v>77</v>
      </c>
    </row>
    <row r="108" spans="1:10">
      <c r="A108">
        <v>30495</v>
      </c>
      <c r="B108">
        <v>1145955</v>
      </c>
      <c r="C108" t="s">
        <v>1815</v>
      </c>
      <c r="D108" t="s">
        <v>1710</v>
      </c>
      <c r="E108" t="s">
        <v>41</v>
      </c>
      <c r="F108">
        <v>6</v>
      </c>
      <c r="G108">
        <v>3663</v>
      </c>
      <c r="H108">
        <v>720</v>
      </c>
      <c r="I108">
        <v>2943</v>
      </c>
      <c r="J108" t="s">
        <v>77</v>
      </c>
    </row>
    <row r="109" spans="1:10">
      <c r="A109">
        <v>30645</v>
      </c>
      <c r="B109">
        <v>1148151</v>
      </c>
      <c r="C109" t="s">
        <v>1816</v>
      </c>
      <c r="D109" t="s">
        <v>1710</v>
      </c>
      <c r="E109" t="s">
        <v>41</v>
      </c>
      <c r="F109">
        <v>1</v>
      </c>
      <c r="G109">
        <v>906</v>
      </c>
      <c r="H109">
        <v>120</v>
      </c>
      <c r="I109">
        <v>786</v>
      </c>
      <c r="J109" t="s">
        <v>77</v>
      </c>
    </row>
    <row r="110" spans="1:10">
      <c r="A110">
        <v>30781</v>
      </c>
      <c r="B110">
        <v>1139299</v>
      </c>
      <c r="C110" t="s">
        <v>1817</v>
      </c>
      <c r="D110" t="s">
        <v>1710</v>
      </c>
      <c r="E110" t="s">
        <v>41</v>
      </c>
      <c r="F110">
        <v>4</v>
      </c>
      <c r="G110">
        <v>12104</v>
      </c>
      <c r="H110">
        <v>720</v>
      </c>
      <c r="I110">
        <v>11384</v>
      </c>
      <c r="J110" t="s">
        <v>77</v>
      </c>
    </row>
    <row r="111" spans="1:10">
      <c r="A111">
        <v>31126</v>
      </c>
      <c r="B111">
        <v>1146993</v>
      </c>
      <c r="C111" t="s">
        <v>1818</v>
      </c>
      <c r="D111" t="s">
        <v>1710</v>
      </c>
      <c r="E111" t="s">
        <v>41</v>
      </c>
      <c r="F111">
        <v>1</v>
      </c>
      <c r="G111">
        <v>1102</v>
      </c>
      <c r="H111">
        <v>60</v>
      </c>
      <c r="I111">
        <v>1042</v>
      </c>
      <c r="J111" t="s">
        <v>77</v>
      </c>
    </row>
    <row r="112" spans="1:10">
      <c r="A112">
        <v>31311</v>
      </c>
      <c r="B112">
        <v>1156722</v>
      </c>
      <c r="C112" t="s">
        <v>1819</v>
      </c>
      <c r="D112" t="s">
        <v>1714</v>
      </c>
      <c r="E112" t="s">
        <v>49</v>
      </c>
      <c r="F112">
        <v>2</v>
      </c>
      <c r="G112">
        <v>1740</v>
      </c>
      <c r="H112">
        <v>60</v>
      </c>
      <c r="I112">
        <v>1680</v>
      </c>
      <c r="J112" t="s">
        <v>77</v>
      </c>
    </row>
    <row r="113" spans="1:10">
      <c r="A113">
        <v>31373</v>
      </c>
      <c r="B113">
        <v>1150852</v>
      </c>
      <c r="C113" t="s">
        <v>1820</v>
      </c>
      <c r="D113" t="s">
        <v>1710</v>
      </c>
      <c r="E113" t="s">
        <v>47</v>
      </c>
      <c r="F113">
        <v>3</v>
      </c>
      <c r="G113">
        <v>2502</v>
      </c>
      <c r="H113">
        <v>625.5</v>
      </c>
      <c r="I113">
        <v>1876.5</v>
      </c>
      <c r="J113" t="s">
        <v>77</v>
      </c>
    </row>
    <row r="114" spans="1:10">
      <c r="A114">
        <v>31381</v>
      </c>
      <c r="B114">
        <v>1150654</v>
      </c>
      <c r="C114" t="s">
        <v>1821</v>
      </c>
      <c r="D114" t="s">
        <v>1710</v>
      </c>
      <c r="E114" t="s">
        <v>41</v>
      </c>
      <c r="F114">
        <v>1</v>
      </c>
      <c r="G114">
        <v>833</v>
      </c>
      <c r="H114">
        <v>180</v>
      </c>
      <c r="I114">
        <v>653</v>
      </c>
      <c r="J114" t="s">
        <v>77</v>
      </c>
    </row>
    <row r="115" spans="1:10">
      <c r="A115">
        <v>32136</v>
      </c>
      <c r="B115">
        <v>1157753</v>
      </c>
      <c r="C115" t="s">
        <v>1822</v>
      </c>
      <c r="D115" t="s">
        <v>1714</v>
      </c>
      <c r="E115" t="s">
        <v>49</v>
      </c>
      <c r="F115">
        <v>1</v>
      </c>
      <c r="G115">
        <v>452</v>
      </c>
      <c r="H115">
        <v>30</v>
      </c>
      <c r="I115">
        <v>422</v>
      </c>
      <c r="J115" t="s">
        <v>77</v>
      </c>
    </row>
    <row r="116" spans="1:10">
      <c r="A116">
        <v>32265</v>
      </c>
      <c r="B116">
        <v>1159674</v>
      </c>
      <c r="C116" t="s">
        <v>1823</v>
      </c>
      <c r="D116" t="s">
        <v>1710</v>
      </c>
      <c r="E116" t="s">
        <v>41</v>
      </c>
      <c r="F116">
        <v>2</v>
      </c>
      <c r="G116">
        <v>2106</v>
      </c>
      <c r="H116">
        <v>240</v>
      </c>
      <c r="I116">
        <v>1866</v>
      </c>
      <c r="J116" t="s">
        <v>77</v>
      </c>
    </row>
    <row r="117" spans="1:10">
      <c r="A117">
        <v>32399</v>
      </c>
      <c r="B117">
        <v>1143824</v>
      </c>
      <c r="C117" t="s">
        <v>1824</v>
      </c>
      <c r="D117" t="s">
        <v>1710</v>
      </c>
      <c r="E117" t="s">
        <v>41</v>
      </c>
      <c r="F117">
        <v>2</v>
      </c>
      <c r="G117">
        <v>5833</v>
      </c>
      <c r="H117">
        <v>400</v>
      </c>
      <c r="I117">
        <v>5433</v>
      </c>
      <c r="J117" t="s">
        <v>77</v>
      </c>
    </row>
    <row r="118" spans="1:10">
      <c r="A118">
        <v>32651</v>
      </c>
      <c r="B118">
        <v>1158815</v>
      </c>
      <c r="C118" t="s">
        <v>1825</v>
      </c>
      <c r="D118" t="s">
        <v>1710</v>
      </c>
      <c r="E118" t="s">
        <v>41</v>
      </c>
      <c r="F118">
        <v>2</v>
      </c>
      <c r="G118">
        <v>5151</v>
      </c>
      <c r="H118">
        <v>360</v>
      </c>
      <c r="I118">
        <v>4791</v>
      </c>
      <c r="J118" t="s">
        <v>77</v>
      </c>
    </row>
    <row r="119" spans="1:10">
      <c r="A119">
        <v>32807</v>
      </c>
      <c r="B119">
        <v>1162647</v>
      </c>
      <c r="C119" t="s">
        <v>1826</v>
      </c>
      <c r="D119" t="s">
        <v>1710</v>
      </c>
      <c r="E119" t="s">
        <v>41</v>
      </c>
      <c r="F119">
        <v>1</v>
      </c>
      <c r="G119">
        <v>941</v>
      </c>
      <c r="H119">
        <v>60</v>
      </c>
      <c r="I119">
        <v>881</v>
      </c>
      <c r="J119" t="s">
        <v>77</v>
      </c>
    </row>
    <row r="120" spans="1:10">
      <c r="A120">
        <v>32815</v>
      </c>
      <c r="B120">
        <v>1162063</v>
      </c>
      <c r="C120" t="s">
        <v>1827</v>
      </c>
      <c r="D120" t="s">
        <v>1710</v>
      </c>
      <c r="E120" t="s">
        <v>47</v>
      </c>
      <c r="F120">
        <v>1</v>
      </c>
      <c r="G120">
        <v>1512</v>
      </c>
      <c r="H120">
        <v>180</v>
      </c>
      <c r="I120">
        <v>1332</v>
      </c>
      <c r="J120" t="s">
        <v>77</v>
      </c>
    </row>
    <row r="121" spans="1:10">
      <c r="A121">
        <v>32963</v>
      </c>
      <c r="B121">
        <v>1163782</v>
      </c>
      <c r="C121" t="s">
        <v>1828</v>
      </c>
      <c r="D121" t="s">
        <v>1710</v>
      </c>
      <c r="E121" t="s">
        <v>49</v>
      </c>
      <c r="F121">
        <v>2</v>
      </c>
      <c r="G121">
        <v>2967</v>
      </c>
      <c r="H121">
        <v>60</v>
      </c>
      <c r="I121">
        <v>2907</v>
      </c>
      <c r="J121" t="s">
        <v>77</v>
      </c>
    </row>
    <row r="122" spans="1:10">
      <c r="A122">
        <v>33118</v>
      </c>
      <c r="B122">
        <v>1155548</v>
      </c>
      <c r="C122" t="s">
        <v>1829</v>
      </c>
      <c r="D122" t="s">
        <v>1710</v>
      </c>
      <c r="E122" t="s">
        <v>41</v>
      </c>
      <c r="F122">
        <v>1</v>
      </c>
      <c r="G122">
        <v>1053</v>
      </c>
      <c r="H122">
        <v>120</v>
      </c>
      <c r="I122">
        <v>933</v>
      </c>
      <c r="J122" t="s">
        <v>77</v>
      </c>
    </row>
    <row r="123" spans="1:10">
      <c r="A123">
        <v>33217</v>
      </c>
      <c r="B123">
        <v>1146896</v>
      </c>
      <c r="C123" t="s">
        <v>1830</v>
      </c>
      <c r="D123" t="s">
        <v>1710</v>
      </c>
      <c r="E123" t="s">
        <v>41</v>
      </c>
      <c r="F123">
        <v>3</v>
      </c>
      <c r="G123">
        <v>7287</v>
      </c>
      <c r="H123">
        <v>540</v>
      </c>
      <c r="I123">
        <v>6747</v>
      </c>
      <c r="J123" t="s">
        <v>77</v>
      </c>
    </row>
    <row r="124" spans="1:10">
      <c r="A124">
        <v>33318</v>
      </c>
      <c r="B124">
        <v>1158978</v>
      </c>
      <c r="C124" t="s">
        <v>1831</v>
      </c>
      <c r="D124" t="s">
        <v>1710</v>
      </c>
      <c r="E124" t="s">
        <v>41</v>
      </c>
      <c r="F124">
        <v>5</v>
      </c>
      <c r="G124">
        <v>8343</v>
      </c>
      <c r="H124">
        <v>900</v>
      </c>
      <c r="I124">
        <v>7443</v>
      </c>
      <c r="J124" t="s">
        <v>77</v>
      </c>
    </row>
    <row r="125" spans="1:10">
      <c r="A125">
        <v>33600</v>
      </c>
      <c r="B125">
        <v>1165130</v>
      </c>
      <c r="C125" t="s">
        <v>1832</v>
      </c>
      <c r="D125" t="s">
        <v>1710</v>
      </c>
      <c r="E125" t="s">
        <v>49</v>
      </c>
      <c r="F125">
        <v>1</v>
      </c>
      <c r="G125">
        <v>1039</v>
      </c>
      <c r="H125">
        <v>30</v>
      </c>
      <c r="I125">
        <v>1009</v>
      </c>
      <c r="J125" t="s">
        <v>77</v>
      </c>
    </row>
    <row r="126" spans="1:10">
      <c r="A126">
        <v>33672</v>
      </c>
      <c r="B126">
        <v>1166085</v>
      </c>
      <c r="C126" t="s">
        <v>1833</v>
      </c>
      <c r="D126" t="s">
        <v>1710</v>
      </c>
      <c r="E126" t="s">
        <v>41</v>
      </c>
      <c r="F126">
        <v>3</v>
      </c>
      <c r="G126">
        <v>3159</v>
      </c>
      <c r="H126">
        <v>360</v>
      </c>
      <c r="I126">
        <v>2799</v>
      </c>
      <c r="J126" t="s">
        <v>77</v>
      </c>
    </row>
    <row r="127" spans="1:10">
      <c r="A127">
        <v>33863</v>
      </c>
      <c r="B127">
        <v>1165115</v>
      </c>
      <c r="C127" t="s">
        <v>1834</v>
      </c>
      <c r="D127" t="s">
        <v>1710</v>
      </c>
      <c r="E127" t="s">
        <v>41</v>
      </c>
      <c r="F127">
        <v>5</v>
      </c>
      <c r="G127">
        <v>3755</v>
      </c>
      <c r="H127">
        <v>600</v>
      </c>
      <c r="I127">
        <v>3155</v>
      </c>
      <c r="J127" t="s">
        <v>77</v>
      </c>
    </row>
    <row r="128" spans="1:10">
      <c r="A128">
        <v>34140</v>
      </c>
      <c r="B128">
        <v>1164898</v>
      </c>
      <c r="C128" t="s">
        <v>1835</v>
      </c>
      <c r="D128" t="s">
        <v>1714</v>
      </c>
      <c r="E128" t="s">
        <v>49</v>
      </c>
      <c r="F128">
        <v>1</v>
      </c>
      <c r="G128">
        <v>654</v>
      </c>
      <c r="H128">
        <v>30</v>
      </c>
      <c r="I128">
        <v>624</v>
      </c>
      <c r="J128" t="s">
        <v>77</v>
      </c>
    </row>
    <row r="129" spans="1:10">
      <c r="A129">
        <v>34192</v>
      </c>
      <c r="B129">
        <v>1168404</v>
      </c>
      <c r="C129" t="s">
        <v>1836</v>
      </c>
      <c r="D129" t="s">
        <v>1714</v>
      </c>
      <c r="E129" t="s">
        <v>49</v>
      </c>
      <c r="F129">
        <v>1</v>
      </c>
      <c r="G129">
        <v>544</v>
      </c>
      <c r="H129">
        <v>30</v>
      </c>
      <c r="I129">
        <v>514</v>
      </c>
      <c r="J129" t="s">
        <v>77</v>
      </c>
    </row>
    <row r="130" spans="1:10">
      <c r="A130">
        <v>34535</v>
      </c>
      <c r="B130">
        <v>1164059</v>
      </c>
      <c r="C130" t="s">
        <v>1837</v>
      </c>
      <c r="D130" t="s">
        <v>1710</v>
      </c>
      <c r="E130" t="s">
        <v>41</v>
      </c>
      <c r="F130">
        <v>1</v>
      </c>
      <c r="G130">
        <v>906</v>
      </c>
      <c r="H130">
        <v>120</v>
      </c>
      <c r="I130">
        <v>786</v>
      </c>
      <c r="J130" t="s">
        <v>77</v>
      </c>
    </row>
    <row r="131" spans="1:10">
      <c r="A131">
        <v>34630</v>
      </c>
      <c r="B131">
        <v>1144187</v>
      </c>
      <c r="C131" t="s">
        <v>1838</v>
      </c>
      <c r="D131" t="s">
        <v>1710</v>
      </c>
      <c r="E131" t="s">
        <v>41</v>
      </c>
      <c r="F131">
        <v>1</v>
      </c>
      <c r="G131">
        <v>1670</v>
      </c>
      <c r="H131">
        <v>180</v>
      </c>
      <c r="I131">
        <v>1490</v>
      </c>
      <c r="J131" t="s">
        <v>77</v>
      </c>
    </row>
    <row r="132" spans="1:10">
      <c r="A132">
        <v>34856</v>
      </c>
      <c r="B132">
        <v>1171977</v>
      </c>
      <c r="C132" t="s">
        <v>1839</v>
      </c>
      <c r="D132" t="s">
        <v>1714</v>
      </c>
      <c r="E132" t="s">
        <v>49</v>
      </c>
      <c r="F132">
        <v>2</v>
      </c>
      <c r="G132">
        <v>5772</v>
      </c>
      <c r="H132">
        <v>60</v>
      </c>
      <c r="I132">
        <v>5712</v>
      </c>
      <c r="J132" t="s">
        <v>77</v>
      </c>
    </row>
    <row r="133" spans="1:10">
      <c r="A133">
        <v>35015</v>
      </c>
      <c r="B133">
        <v>1170583</v>
      </c>
      <c r="C133" t="s">
        <v>1840</v>
      </c>
      <c r="D133" t="s">
        <v>1714</v>
      </c>
      <c r="E133" t="s">
        <v>49</v>
      </c>
      <c r="F133">
        <v>1</v>
      </c>
      <c r="G133">
        <v>2520</v>
      </c>
      <c r="H133">
        <v>30</v>
      </c>
      <c r="I133">
        <v>3291.72</v>
      </c>
      <c r="J133" t="s">
        <v>77</v>
      </c>
    </row>
    <row r="134" spans="1:10">
      <c r="A134">
        <v>35468</v>
      </c>
      <c r="B134">
        <v>1168703</v>
      </c>
      <c r="C134" t="s">
        <v>1841</v>
      </c>
      <c r="D134" t="s">
        <v>1714</v>
      </c>
      <c r="E134" t="s">
        <v>49</v>
      </c>
      <c r="F134">
        <v>1</v>
      </c>
      <c r="G134">
        <v>916</v>
      </c>
      <c r="H134">
        <v>30</v>
      </c>
      <c r="I134">
        <v>886</v>
      </c>
      <c r="J134" t="s">
        <v>77</v>
      </c>
    </row>
    <row r="135" spans="1:10">
      <c r="A135">
        <v>36250</v>
      </c>
      <c r="B135">
        <v>1175921</v>
      </c>
      <c r="C135" t="s">
        <v>1842</v>
      </c>
      <c r="D135" t="s">
        <v>1714</v>
      </c>
      <c r="E135" t="s">
        <v>49</v>
      </c>
      <c r="F135">
        <v>1</v>
      </c>
      <c r="G135">
        <v>4342</v>
      </c>
      <c r="H135">
        <v>30</v>
      </c>
      <c r="I135">
        <v>4312</v>
      </c>
      <c r="J135" t="s">
        <v>77</v>
      </c>
    </row>
    <row r="136" spans="1:10">
      <c r="A136">
        <v>36506</v>
      </c>
      <c r="B136">
        <v>1166538</v>
      </c>
      <c r="C136" t="s">
        <v>1843</v>
      </c>
      <c r="D136" t="s">
        <v>1710</v>
      </c>
      <c r="E136" t="s">
        <v>41</v>
      </c>
      <c r="F136">
        <v>1</v>
      </c>
      <c r="G136">
        <v>544</v>
      </c>
      <c r="H136">
        <v>60</v>
      </c>
      <c r="I136">
        <v>484</v>
      </c>
      <c r="J136" t="s">
        <v>77</v>
      </c>
    </row>
    <row r="137" spans="1:10">
      <c r="A137">
        <v>36544</v>
      </c>
      <c r="B137">
        <v>1177167</v>
      </c>
      <c r="C137" t="s">
        <v>1844</v>
      </c>
      <c r="D137" t="s">
        <v>1710</v>
      </c>
      <c r="E137" t="s">
        <v>41</v>
      </c>
      <c r="F137">
        <v>1</v>
      </c>
      <c r="G137">
        <v>950</v>
      </c>
      <c r="H137">
        <v>120</v>
      </c>
      <c r="I137">
        <v>830</v>
      </c>
      <c r="J137" t="s">
        <v>77</v>
      </c>
    </row>
    <row r="138" spans="1:10">
      <c r="A138">
        <v>36578</v>
      </c>
      <c r="B138">
        <v>1175305</v>
      </c>
      <c r="C138" t="s">
        <v>1845</v>
      </c>
      <c r="D138" t="s">
        <v>1714</v>
      </c>
      <c r="E138" t="s">
        <v>49</v>
      </c>
      <c r="F138">
        <v>3</v>
      </c>
      <c r="G138">
        <v>2268</v>
      </c>
      <c r="H138">
        <v>90</v>
      </c>
      <c r="I138">
        <v>2178</v>
      </c>
      <c r="J138" t="s">
        <v>77</v>
      </c>
    </row>
    <row r="139" spans="1:10">
      <c r="A139">
        <v>36624</v>
      </c>
      <c r="B139">
        <v>1177481</v>
      </c>
      <c r="C139" t="s">
        <v>1846</v>
      </c>
      <c r="D139" t="s">
        <v>1710</v>
      </c>
      <c r="E139" t="s">
        <v>49</v>
      </c>
      <c r="F139">
        <v>1</v>
      </c>
      <c r="G139">
        <v>3026</v>
      </c>
      <c r="H139">
        <v>30</v>
      </c>
      <c r="I139">
        <v>2996</v>
      </c>
      <c r="J139" t="s">
        <v>77</v>
      </c>
    </row>
    <row r="140" spans="1:10">
      <c r="A140">
        <v>37031</v>
      </c>
      <c r="B140">
        <v>1176811</v>
      </c>
      <c r="C140" t="s">
        <v>1847</v>
      </c>
      <c r="D140" t="s">
        <v>1710</v>
      </c>
      <c r="E140" t="s">
        <v>41</v>
      </c>
      <c r="F140">
        <v>1</v>
      </c>
      <c r="G140">
        <v>3142</v>
      </c>
      <c r="H140">
        <v>180</v>
      </c>
      <c r="I140">
        <v>2962</v>
      </c>
      <c r="J140" t="s">
        <v>77</v>
      </c>
    </row>
    <row r="141" spans="1:10">
      <c r="A141">
        <v>37087</v>
      </c>
      <c r="B141">
        <v>1179482</v>
      </c>
      <c r="C141" t="s">
        <v>1848</v>
      </c>
      <c r="D141" t="s">
        <v>1714</v>
      </c>
      <c r="E141" t="s">
        <v>49</v>
      </c>
      <c r="F141">
        <v>6</v>
      </c>
      <c r="G141">
        <v>5769</v>
      </c>
      <c r="H141">
        <v>180</v>
      </c>
      <c r="I141">
        <v>5589</v>
      </c>
      <c r="J141" t="s">
        <v>77</v>
      </c>
    </row>
    <row r="142" spans="1:10">
      <c r="A142">
        <v>37107</v>
      </c>
      <c r="B142">
        <v>1152419</v>
      </c>
      <c r="C142" t="s">
        <v>1849</v>
      </c>
      <c r="D142" t="s">
        <v>1710</v>
      </c>
      <c r="E142" t="s">
        <v>41</v>
      </c>
      <c r="F142">
        <v>3</v>
      </c>
      <c r="G142">
        <v>1958</v>
      </c>
      <c r="H142">
        <v>180</v>
      </c>
      <c r="I142">
        <v>1778</v>
      </c>
      <c r="J142" t="s">
        <v>77</v>
      </c>
    </row>
    <row r="143" spans="1:10">
      <c r="A143">
        <v>37291</v>
      </c>
      <c r="B143">
        <v>1180749</v>
      </c>
      <c r="C143" t="s">
        <v>1850</v>
      </c>
      <c r="D143" t="s">
        <v>1714</v>
      </c>
      <c r="E143" t="s">
        <v>49</v>
      </c>
      <c r="F143">
        <v>2</v>
      </c>
      <c r="G143">
        <v>1708</v>
      </c>
      <c r="H143">
        <v>60</v>
      </c>
      <c r="I143">
        <v>1648</v>
      </c>
      <c r="J143" t="s">
        <v>77</v>
      </c>
    </row>
    <row r="144" spans="1:10">
      <c r="A144">
        <v>38099</v>
      </c>
      <c r="B144">
        <v>1182073</v>
      </c>
      <c r="C144" t="s">
        <v>1851</v>
      </c>
      <c r="D144" t="s">
        <v>1714</v>
      </c>
      <c r="E144" t="s">
        <v>49</v>
      </c>
      <c r="F144">
        <v>1</v>
      </c>
      <c r="G144">
        <v>753</v>
      </c>
      <c r="H144">
        <v>30</v>
      </c>
      <c r="I144">
        <v>723</v>
      </c>
      <c r="J144" t="s">
        <v>77</v>
      </c>
    </row>
    <row r="145" spans="1:10">
      <c r="A145">
        <v>38236</v>
      </c>
      <c r="B145">
        <v>1171385</v>
      </c>
      <c r="C145" t="s">
        <v>1852</v>
      </c>
      <c r="D145" t="s">
        <v>1710</v>
      </c>
      <c r="E145" t="s">
        <v>41</v>
      </c>
      <c r="F145">
        <v>2</v>
      </c>
      <c r="G145">
        <v>4805</v>
      </c>
      <c r="H145">
        <v>360</v>
      </c>
      <c r="I145">
        <v>7115.5</v>
      </c>
      <c r="J145" t="s">
        <v>77</v>
      </c>
    </row>
    <row r="146" spans="1:10">
      <c r="A146">
        <v>38361</v>
      </c>
      <c r="B146">
        <v>1182788</v>
      </c>
      <c r="C146" t="s">
        <v>1853</v>
      </c>
      <c r="D146" t="s">
        <v>1710</v>
      </c>
      <c r="E146" t="s">
        <v>49</v>
      </c>
      <c r="F146">
        <v>2</v>
      </c>
      <c r="G146">
        <v>1575</v>
      </c>
      <c r="H146">
        <v>60</v>
      </c>
      <c r="I146">
        <v>1515</v>
      </c>
      <c r="J146" t="s">
        <v>77</v>
      </c>
    </row>
    <row r="147" spans="1:10">
      <c r="A147">
        <v>38680</v>
      </c>
      <c r="B147">
        <v>1179276</v>
      </c>
      <c r="C147" t="s">
        <v>1854</v>
      </c>
      <c r="D147" t="s">
        <v>1714</v>
      </c>
      <c r="E147" t="s">
        <v>49</v>
      </c>
      <c r="F147">
        <v>2</v>
      </c>
      <c r="G147">
        <v>2366</v>
      </c>
      <c r="H147">
        <v>60</v>
      </c>
      <c r="I147">
        <v>2306</v>
      </c>
      <c r="J147" t="s">
        <v>77</v>
      </c>
    </row>
    <row r="148" spans="1:10">
      <c r="A148">
        <v>39229</v>
      </c>
      <c r="B148">
        <v>1180523</v>
      </c>
      <c r="C148" t="s">
        <v>1855</v>
      </c>
      <c r="D148" t="s">
        <v>1714</v>
      </c>
      <c r="E148" t="s">
        <v>49</v>
      </c>
      <c r="F148">
        <v>1</v>
      </c>
      <c r="G148">
        <v>906</v>
      </c>
      <c r="H148">
        <v>30</v>
      </c>
      <c r="I148">
        <v>876</v>
      </c>
      <c r="J148" t="s">
        <v>77</v>
      </c>
    </row>
    <row r="149" spans="1:10">
      <c r="A149">
        <v>39595</v>
      </c>
      <c r="B149">
        <v>1183934</v>
      </c>
      <c r="C149" t="s">
        <v>1856</v>
      </c>
      <c r="D149" t="s">
        <v>1714</v>
      </c>
      <c r="E149" t="s">
        <v>49</v>
      </c>
      <c r="F149">
        <v>2</v>
      </c>
      <c r="G149">
        <v>4032</v>
      </c>
      <c r="H149">
        <v>60</v>
      </c>
      <c r="I149">
        <v>3972</v>
      </c>
      <c r="J149" t="s">
        <v>77</v>
      </c>
    </row>
    <row r="150" spans="1:10">
      <c r="A150">
        <v>39683</v>
      </c>
      <c r="B150">
        <v>1186076</v>
      </c>
      <c r="C150" t="s">
        <v>1857</v>
      </c>
      <c r="D150" t="s">
        <v>1714</v>
      </c>
      <c r="E150" t="s">
        <v>49</v>
      </c>
      <c r="F150">
        <v>2</v>
      </c>
      <c r="G150">
        <v>2770</v>
      </c>
      <c r="H150">
        <v>60</v>
      </c>
      <c r="I150">
        <v>2710</v>
      </c>
      <c r="J150" t="s">
        <v>77</v>
      </c>
    </row>
    <row r="151" spans="1:10">
      <c r="A151">
        <v>39789</v>
      </c>
      <c r="B151">
        <v>1184742</v>
      </c>
      <c r="C151" t="s">
        <v>1858</v>
      </c>
      <c r="D151" t="s">
        <v>1710</v>
      </c>
      <c r="E151" t="s">
        <v>41</v>
      </c>
      <c r="F151">
        <v>1</v>
      </c>
      <c r="G151">
        <v>2203</v>
      </c>
      <c r="H151">
        <v>180</v>
      </c>
      <c r="I151">
        <v>2023</v>
      </c>
      <c r="J151" t="s">
        <v>77</v>
      </c>
    </row>
    <row r="152" spans="1:10">
      <c r="A152">
        <v>40161</v>
      </c>
      <c r="B152">
        <v>1185029</v>
      </c>
      <c r="C152" t="s">
        <v>1859</v>
      </c>
      <c r="D152" t="s">
        <v>1710</v>
      </c>
      <c r="E152" t="s">
        <v>41</v>
      </c>
      <c r="F152">
        <v>1</v>
      </c>
      <c r="G152">
        <v>3026</v>
      </c>
      <c r="H152">
        <v>180</v>
      </c>
      <c r="I152">
        <v>2846</v>
      </c>
      <c r="J152" t="s">
        <v>77</v>
      </c>
    </row>
    <row r="153" spans="1:10">
      <c r="A153">
        <v>40573</v>
      </c>
      <c r="B153">
        <v>1187089</v>
      </c>
      <c r="C153" t="s">
        <v>1860</v>
      </c>
      <c r="D153" t="s">
        <v>1714</v>
      </c>
      <c r="E153" t="s">
        <v>49</v>
      </c>
      <c r="F153">
        <v>3</v>
      </c>
      <c r="G153">
        <v>7287</v>
      </c>
      <c r="H153">
        <v>90</v>
      </c>
      <c r="I153">
        <v>7197</v>
      </c>
      <c r="J153" t="s">
        <v>77</v>
      </c>
    </row>
    <row r="154" spans="1:10">
      <c r="A154">
        <v>40654</v>
      </c>
      <c r="B154">
        <v>1184805</v>
      </c>
      <c r="C154" t="s">
        <v>1860</v>
      </c>
      <c r="D154" t="s">
        <v>1714</v>
      </c>
      <c r="E154" t="s">
        <v>49</v>
      </c>
      <c r="F154">
        <v>1</v>
      </c>
      <c r="G154">
        <v>762</v>
      </c>
      <c r="H154">
        <v>30</v>
      </c>
      <c r="I154">
        <v>732</v>
      </c>
      <c r="J154" t="s">
        <v>77</v>
      </c>
    </row>
    <row r="155" spans="1:10">
      <c r="A155">
        <v>41398</v>
      </c>
      <c r="B155">
        <v>1169089</v>
      </c>
      <c r="C155" t="s">
        <v>1861</v>
      </c>
      <c r="D155" t="s">
        <v>1710</v>
      </c>
      <c r="E155" t="s">
        <v>41</v>
      </c>
      <c r="F155">
        <v>1</v>
      </c>
      <c r="G155">
        <v>1885</v>
      </c>
      <c r="H155">
        <v>180</v>
      </c>
      <c r="I155">
        <v>1705</v>
      </c>
      <c r="J155" t="s">
        <v>77</v>
      </c>
    </row>
    <row r="156" spans="1:10">
      <c r="A156">
        <v>41430</v>
      </c>
      <c r="B156">
        <v>1192481</v>
      </c>
      <c r="C156" t="s">
        <v>1862</v>
      </c>
      <c r="D156" t="s">
        <v>1710</v>
      </c>
      <c r="E156" t="s">
        <v>47</v>
      </c>
      <c r="F156">
        <v>4</v>
      </c>
      <c r="G156">
        <v>7960</v>
      </c>
      <c r="H156">
        <v>720</v>
      </c>
      <c r="I156">
        <v>7240</v>
      </c>
      <c r="J156" t="s">
        <v>77</v>
      </c>
    </row>
    <row r="157" spans="1:10">
      <c r="A157">
        <v>41986</v>
      </c>
      <c r="B157">
        <v>1191703</v>
      </c>
      <c r="C157" t="s">
        <v>1863</v>
      </c>
      <c r="D157" t="s">
        <v>1710</v>
      </c>
      <c r="E157" t="s">
        <v>41</v>
      </c>
      <c r="F157">
        <v>1</v>
      </c>
      <c r="G157">
        <v>1731</v>
      </c>
      <c r="H157">
        <v>180</v>
      </c>
      <c r="I157">
        <v>1551</v>
      </c>
      <c r="J157" t="s">
        <v>77</v>
      </c>
    </row>
    <row r="158" spans="1:10">
      <c r="A158">
        <v>42060</v>
      </c>
      <c r="B158">
        <v>1188878</v>
      </c>
      <c r="C158" t="s">
        <v>1864</v>
      </c>
      <c r="D158" t="s">
        <v>1710</v>
      </c>
      <c r="E158" t="s">
        <v>41</v>
      </c>
      <c r="F158">
        <v>1</v>
      </c>
      <c r="G158">
        <v>916</v>
      </c>
      <c r="H158">
        <v>120</v>
      </c>
      <c r="I158">
        <v>796</v>
      </c>
      <c r="J158" t="s">
        <v>77</v>
      </c>
    </row>
    <row r="159" spans="1:10">
      <c r="A159">
        <v>42083</v>
      </c>
      <c r="B159">
        <v>1191314</v>
      </c>
      <c r="C159" t="s">
        <v>1865</v>
      </c>
      <c r="D159" t="s">
        <v>1710</v>
      </c>
      <c r="E159" t="s">
        <v>41</v>
      </c>
      <c r="F159">
        <v>1</v>
      </c>
      <c r="G159">
        <v>288</v>
      </c>
      <c r="H159">
        <v>60</v>
      </c>
      <c r="I159">
        <v>228</v>
      </c>
      <c r="J159" t="s">
        <v>77</v>
      </c>
    </row>
    <row r="160" spans="1:10">
      <c r="A160">
        <v>42212</v>
      </c>
      <c r="B160">
        <v>1195275</v>
      </c>
      <c r="C160" t="s">
        <v>1866</v>
      </c>
      <c r="D160" t="s">
        <v>1710</v>
      </c>
      <c r="E160" t="s">
        <v>41</v>
      </c>
      <c r="F160">
        <v>1</v>
      </c>
      <c r="G160">
        <v>872</v>
      </c>
      <c r="H160">
        <v>218</v>
      </c>
      <c r="I160">
        <v>654</v>
      </c>
      <c r="J160" t="s">
        <v>77</v>
      </c>
    </row>
    <row r="161" spans="1:10">
      <c r="A161">
        <v>42597</v>
      </c>
      <c r="B161">
        <v>1197470</v>
      </c>
      <c r="C161" t="s">
        <v>1867</v>
      </c>
      <c r="D161" t="s">
        <v>1714</v>
      </c>
      <c r="E161" t="s">
        <v>49</v>
      </c>
      <c r="F161">
        <v>2</v>
      </c>
      <c r="G161">
        <v>8396</v>
      </c>
      <c r="H161">
        <v>60</v>
      </c>
      <c r="I161">
        <v>8336</v>
      </c>
      <c r="J161" t="s">
        <v>77</v>
      </c>
    </row>
    <row r="162" spans="1:10">
      <c r="A162">
        <v>43054</v>
      </c>
      <c r="B162">
        <v>1197896</v>
      </c>
      <c r="C162" t="s">
        <v>1868</v>
      </c>
      <c r="D162" t="s">
        <v>1714</v>
      </c>
      <c r="E162" t="s">
        <v>49</v>
      </c>
      <c r="F162">
        <v>3</v>
      </c>
      <c r="G162">
        <v>2850</v>
      </c>
      <c r="H162">
        <v>90</v>
      </c>
      <c r="I162">
        <v>2760</v>
      </c>
      <c r="J162" t="s">
        <v>77</v>
      </c>
    </row>
    <row r="163" spans="1:10">
      <c r="A163">
        <v>43274</v>
      </c>
      <c r="B163">
        <v>1199119</v>
      </c>
      <c r="C163" t="s">
        <v>1869</v>
      </c>
      <c r="D163" t="s">
        <v>1714</v>
      </c>
      <c r="E163" t="s">
        <v>49</v>
      </c>
      <c r="F163">
        <v>2</v>
      </c>
      <c r="G163">
        <v>8812</v>
      </c>
      <c r="H163">
        <v>60</v>
      </c>
      <c r="I163">
        <v>8752</v>
      </c>
      <c r="J163" t="s">
        <v>77</v>
      </c>
    </row>
    <row r="164" spans="1:10">
      <c r="A164">
        <v>43433</v>
      </c>
      <c r="B164">
        <v>1200433</v>
      </c>
      <c r="C164" t="s">
        <v>1870</v>
      </c>
      <c r="D164" t="s">
        <v>1710</v>
      </c>
      <c r="E164" t="s">
        <v>41</v>
      </c>
      <c r="F164">
        <v>1</v>
      </c>
      <c r="G164">
        <v>753</v>
      </c>
      <c r="H164">
        <v>376.5</v>
      </c>
      <c r="I164">
        <v>376.5</v>
      </c>
      <c r="J164" t="s">
        <v>77</v>
      </c>
    </row>
    <row r="165" spans="1:10">
      <c r="A165">
        <v>43548</v>
      </c>
      <c r="B165">
        <v>1200653</v>
      </c>
      <c r="C165" t="s">
        <v>1871</v>
      </c>
      <c r="D165" t="s">
        <v>1710</v>
      </c>
      <c r="E165" t="s">
        <v>41</v>
      </c>
      <c r="F165">
        <v>5</v>
      </c>
      <c r="G165">
        <v>8986</v>
      </c>
      <c r="H165">
        <v>900</v>
      </c>
      <c r="I165">
        <v>8086</v>
      </c>
      <c r="J165" t="s">
        <v>77</v>
      </c>
    </row>
    <row r="166" spans="1:10">
      <c r="A166">
        <v>43738</v>
      </c>
      <c r="B166">
        <v>1200160</v>
      </c>
      <c r="C166" t="s">
        <v>1872</v>
      </c>
      <c r="D166" t="s">
        <v>1714</v>
      </c>
      <c r="E166" t="s">
        <v>49</v>
      </c>
      <c r="F166">
        <v>2</v>
      </c>
      <c r="G166">
        <v>1524</v>
      </c>
      <c r="H166">
        <v>60</v>
      </c>
      <c r="I166">
        <v>1464</v>
      </c>
      <c r="J166" t="s">
        <v>77</v>
      </c>
    </row>
    <row r="167" spans="1:10">
      <c r="A167">
        <v>44096</v>
      </c>
      <c r="B167">
        <v>1201825</v>
      </c>
      <c r="C167" t="s">
        <v>1873</v>
      </c>
      <c r="D167" t="s">
        <v>1710</v>
      </c>
      <c r="E167" t="s">
        <v>41</v>
      </c>
      <c r="F167">
        <v>4</v>
      </c>
      <c r="G167">
        <v>10511</v>
      </c>
      <c r="H167">
        <v>5255.5</v>
      </c>
      <c r="I167">
        <v>5255.5</v>
      </c>
      <c r="J167" t="s">
        <v>77</v>
      </c>
    </row>
    <row r="168" spans="1:10">
      <c r="A168">
        <v>28630</v>
      </c>
      <c r="B168">
        <v>1119517</v>
      </c>
      <c r="C168" t="s">
        <v>1807</v>
      </c>
      <c r="D168" t="s">
        <v>1710</v>
      </c>
      <c r="E168" t="s">
        <v>41</v>
      </c>
      <c r="F168">
        <v>1</v>
      </c>
      <c r="G168">
        <v>2520</v>
      </c>
      <c r="H168">
        <v>180</v>
      </c>
      <c r="I168">
        <v>2340</v>
      </c>
      <c r="J168" t="s">
        <v>77</v>
      </c>
    </row>
    <row r="169" spans="1:10">
      <c r="A169">
        <v>2032</v>
      </c>
      <c r="B169">
        <v>1013497</v>
      </c>
      <c r="C169" t="s">
        <v>1719</v>
      </c>
      <c r="D169" t="s">
        <v>1710</v>
      </c>
      <c r="E169" t="s">
        <v>41</v>
      </c>
      <c r="F169">
        <v>1</v>
      </c>
      <c r="G169">
        <v>2784</v>
      </c>
      <c r="H169">
        <v>180</v>
      </c>
      <c r="I169">
        <v>2604</v>
      </c>
      <c r="J169" t="s">
        <v>77</v>
      </c>
    </row>
    <row r="170" spans="1:10">
      <c r="A170">
        <v>1729</v>
      </c>
      <c r="B170">
        <v>1013270</v>
      </c>
      <c r="C170" t="s">
        <v>1716</v>
      </c>
      <c r="D170" t="s">
        <v>1710</v>
      </c>
      <c r="E170" t="s">
        <v>41</v>
      </c>
      <c r="F170">
        <v>1</v>
      </c>
      <c r="G170">
        <v>950</v>
      </c>
      <c r="H170">
        <v>120</v>
      </c>
      <c r="I170">
        <v>830</v>
      </c>
      <c r="J170" t="s">
        <v>77</v>
      </c>
    </row>
    <row r="171" spans="1:10">
      <c r="A171">
        <v>43274</v>
      </c>
      <c r="B171">
        <v>1199119</v>
      </c>
      <c r="C171" t="s">
        <v>1869</v>
      </c>
      <c r="D171" t="s">
        <v>1714</v>
      </c>
      <c r="E171" t="s">
        <v>49</v>
      </c>
      <c r="F171">
        <v>2</v>
      </c>
      <c r="G171">
        <v>8812</v>
      </c>
      <c r="H171">
        <v>60</v>
      </c>
      <c r="I171">
        <v>8752</v>
      </c>
      <c r="J171" t="s">
        <v>77</v>
      </c>
    </row>
    <row r="172" spans="1:10">
      <c r="A172">
        <v>4052</v>
      </c>
      <c r="B172">
        <v>1021010</v>
      </c>
      <c r="C172" t="s">
        <v>1727</v>
      </c>
      <c r="D172" t="s">
        <v>1710</v>
      </c>
      <c r="E172" t="s">
        <v>41</v>
      </c>
      <c r="F172">
        <v>1</v>
      </c>
      <c r="G172">
        <v>753</v>
      </c>
      <c r="H172">
        <v>60</v>
      </c>
      <c r="I172">
        <v>693</v>
      </c>
      <c r="J172" t="s">
        <v>77</v>
      </c>
    </row>
    <row r="173" spans="1:10">
      <c r="A173">
        <v>6031</v>
      </c>
      <c r="B173">
        <v>1033943</v>
      </c>
      <c r="C173" t="s">
        <v>1734</v>
      </c>
      <c r="D173" t="s">
        <v>1710</v>
      </c>
      <c r="E173" t="s">
        <v>47</v>
      </c>
      <c r="F173">
        <v>2</v>
      </c>
      <c r="G173">
        <v>1775</v>
      </c>
      <c r="H173">
        <v>240</v>
      </c>
      <c r="I173">
        <v>1535</v>
      </c>
      <c r="J173" t="s">
        <v>77</v>
      </c>
    </row>
    <row r="174" spans="1:10">
      <c r="A174">
        <v>44097</v>
      </c>
      <c r="B174">
        <v>9000000</v>
      </c>
      <c r="C174" t="s">
        <v>1874</v>
      </c>
      <c r="D174" t="s">
        <v>1710</v>
      </c>
      <c r="E174" t="s">
        <v>41</v>
      </c>
      <c r="F174">
        <v>2</v>
      </c>
      <c r="G174">
        <v>1336</v>
      </c>
      <c r="H174">
        <v>120</v>
      </c>
      <c r="I174">
        <v>1216</v>
      </c>
      <c r="J174" t="s">
        <v>77</v>
      </c>
    </row>
    <row r="175" spans="1:10">
      <c r="A175">
        <v>44120</v>
      </c>
      <c r="B175">
        <v>9000023</v>
      </c>
      <c r="C175" t="s">
        <v>1875</v>
      </c>
      <c r="D175" t="s">
        <v>1710</v>
      </c>
      <c r="E175" t="s">
        <v>41</v>
      </c>
      <c r="F175">
        <v>1</v>
      </c>
      <c r="G175">
        <v>2307</v>
      </c>
      <c r="H175">
        <v>180</v>
      </c>
      <c r="I175">
        <v>2127</v>
      </c>
      <c r="J175" t="s">
        <v>77</v>
      </c>
    </row>
    <row r="176" spans="1:10">
      <c r="A176">
        <v>44123</v>
      </c>
      <c r="B176">
        <v>9000026</v>
      </c>
      <c r="C176" t="s">
        <v>1876</v>
      </c>
      <c r="D176" t="s">
        <v>1710</v>
      </c>
      <c r="E176" t="s">
        <v>41</v>
      </c>
      <c r="F176">
        <v>2</v>
      </c>
      <c r="G176">
        <v>1336</v>
      </c>
      <c r="H176">
        <v>120</v>
      </c>
      <c r="I176">
        <v>1216</v>
      </c>
      <c r="J176" t="s">
        <v>77</v>
      </c>
    </row>
    <row r="177" spans="1:10">
      <c r="A177">
        <v>44166</v>
      </c>
      <c r="B177">
        <v>9000069</v>
      </c>
      <c r="C177" t="s">
        <v>1877</v>
      </c>
      <c r="D177" t="s">
        <v>1714</v>
      </c>
      <c r="E177" t="s">
        <v>49</v>
      </c>
      <c r="F177">
        <v>1</v>
      </c>
      <c r="G177">
        <v>1457</v>
      </c>
      <c r="H177">
        <v>30</v>
      </c>
      <c r="I177">
        <v>1427</v>
      </c>
      <c r="J177" t="s">
        <v>77</v>
      </c>
    </row>
    <row r="178" spans="1:10">
      <c r="A178">
        <v>44203</v>
      </c>
      <c r="B178">
        <v>9000106</v>
      </c>
      <c r="C178" t="s">
        <v>1878</v>
      </c>
      <c r="D178" t="s">
        <v>1710</v>
      </c>
      <c r="E178" t="s">
        <v>41</v>
      </c>
      <c r="F178">
        <v>4</v>
      </c>
      <c r="G178">
        <v>8844</v>
      </c>
      <c r="H178">
        <v>2211</v>
      </c>
      <c r="I178">
        <v>6633</v>
      </c>
      <c r="J178" t="s">
        <v>77</v>
      </c>
    </row>
    <row r="179" spans="1:10">
      <c r="A179">
        <v>44220</v>
      </c>
      <c r="B179">
        <v>9000123</v>
      </c>
      <c r="C179" t="s">
        <v>1855</v>
      </c>
      <c r="D179" t="s">
        <v>1714</v>
      </c>
      <c r="E179" t="s">
        <v>49</v>
      </c>
      <c r="F179">
        <v>4</v>
      </c>
      <c r="G179">
        <v>2711</v>
      </c>
      <c r="H179">
        <v>120</v>
      </c>
      <c r="I179">
        <v>2591</v>
      </c>
      <c r="J179" t="s">
        <v>77</v>
      </c>
    </row>
  </sheetData>
  <autoFilter ref="A1:J179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7F7F7F"/>
  </sheetPr>
  <dimension ref="A1:J9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1" width="17.7109375" customWidth="1"/>
  </cols>
  <sheetData>
    <row r="1" spans="1:10">
      <c r="A1" s="5" t="s">
        <v>1879</v>
      </c>
      <c r="B1" s="5" t="s">
        <v>64</v>
      </c>
      <c r="C1" s="5" t="s">
        <v>65</v>
      </c>
      <c r="D1" s="5" t="s">
        <v>53</v>
      </c>
      <c r="E1" s="5" t="s">
        <v>1880</v>
      </c>
      <c r="F1" s="5" t="s">
        <v>1881</v>
      </c>
      <c r="G1" s="5" t="s">
        <v>1882</v>
      </c>
      <c r="H1" s="5" t="s">
        <v>1883</v>
      </c>
      <c r="I1" s="5" t="s">
        <v>1884</v>
      </c>
      <c r="J1" s="5" t="s">
        <v>73</v>
      </c>
    </row>
    <row r="2" spans="1:10">
      <c r="A2">
        <v>43</v>
      </c>
      <c r="B2">
        <v>25</v>
      </c>
      <c r="C2" t="s">
        <v>121</v>
      </c>
      <c r="D2" t="s">
        <v>56</v>
      </c>
      <c r="E2">
        <v>1</v>
      </c>
      <c r="F2">
        <v>46</v>
      </c>
      <c r="G2">
        <v>46</v>
      </c>
      <c r="H2">
        <v>5</v>
      </c>
      <c r="I2">
        <v>14</v>
      </c>
      <c r="J2" t="s">
        <v>77</v>
      </c>
    </row>
    <row r="3" spans="1:10">
      <c r="A3">
        <v>124</v>
      </c>
      <c r="B3">
        <v>2</v>
      </c>
      <c r="C3" t="s">
        <v>193</v>
      </c>
      <c r="D3" t="s">
        <v>58</v>
      </c>
      <c r="E3">
        <v>3</v>
      </c>
      <c r="F3">
        <v>72</v>
      </c>
      <c r="G3">
        <v>216</v>
      </c>
      <c r="H3">
        <v>24</v>
      </c>
      <c r="I3">
        <v>65</v>
      </c>
      <c r="J3" t="s">
        <v>77</v>
      </c>
    </row>
    <row r="4" spans="1:10">
      <c r="A4">
        <v>135</v>
      </c>
      <c r="B4">
        <v>46</v>
      </c>
      <c r="C4" t="s">
        <v>193</v>
      </c>
      <c r="D4" t="s">
        <v>56</v>
      </c>
      <c r="E4">
        <v>2</v>
      </c>
      <c r="F4">
        <v>46</v>
      </c>
      <c r="G4">
        <v>92</v>
      </c>
      <c r="H4">
        <v>10</v>
      </c>
      <c r="I4">
        <v>28</v>
      </c>
      <c r="J4" t="s">
        <v>77</v>
      </c>
    </row>
    <row r="5" spans="1:10">
      <c r="A5">
        <v>139</v>
      </c>
      <c r="B5">
        <v>23</v>
      </c>
      <c r="C5" t="s">
        <v>128</v>
      </c>
      <c r="D5" t="s">
        <v>57</v>
      </c>
      <c r="E5">
        <v>3</v>
      </c>
      <c r="F5">
        <v>64</v>
      </c>
      <c r="G5">
        <v>192</v>
      </c>
      <c r="H5">
        <v>21</v>
      </c>
      <c r="I5">
        <v>58</v>
      </c>
      <c r="J5" t="s">
        <v>77</v>
      </c>
    </row>
    <row r="6" spans="1:10">
      <c r="A6">
        <v>141</v>
      </c>
      <c r="B6">
        <v>38</v>
      </c>
      <c r="C6" t="s">
        <v>1885</v>
      </c>
      <c r="D6" t="s">
        <v>56</v>
      </c>
      <c r="E6">
        <v>1</v>
      </c>
      <c r="F6">
        <v>46</v>
      </c>
      <c r="G6">
        <v>46</v>
      </c>
      <c r="H6">
        <v>5</v>
      </c>
      <c r="I6">
        <v>14</v>
      </c>
      <c r="J6" t="s">
        <v>77</v>
      </c>
    </row>
    <row r="7" spans="1:10">
      <c r="A7">
        <v>149</v>
      </c>
      <c r="B7">
        <v>7</v>
      </c>
      <c r="C7" t="s">
        <v>1886</v>
      </c>
      <c r="D7" t="s">
        <v>58</v>
      </c>
      <c r="E7">
        <v>2</v>
      </c>
      <c r="F7">
        <v>72</v>
      </c>
      <c r="G7">
        <v>144</v>
      </c>
      <c r="H7">
        <v>16</v>
      </c>
      <c r="I7">
        <v>43</v>
      </c>
      <c r="J7" t="s">
        <v>77</v>
      </c>
    </row>
    <row r="8" spans="1:10">
      <c r="A8">
        <v>153</v>
      </c>
      <c r="B8">
        <v>47</v>
      </c>
      <c r="C8" t="s">
        <v>1886</v>
      </c>
      <c r="D8" t="s">
        <v>57</v>
      </c>
      <c r="E8">
        <v>2</v>
      </c>
      <c r="F8">
        <v>64</v>
      </c>
      <c r="G8">
        <v>128</v>
      </c>
      <c r="H8">
        <v>14</v>
      </c>
      <c r="I8">
        <v>38</v>
      </c>
      <c r="J8" t="s">
        <v>77</v>
      </c>
    </row>
    <row r="9" spans="1:10">
      <c r="A9">
        <v>203</v>
      </c>
      <c r="B9">
        <v>31</v>
      </c>
      <c r="C9" t="s">
        <v>111</v>
      </c>
      <c r="D9" t="s">
        <v>57</v>
      </c>
      <c r="E9">
        <v>2</v>
      </c>
      <c r="F9">
        <v>64</v>
      </c>
      <c r="G9">
        <v>128</v>
      </c>
      <c r="H9">
        <v>14</v>
      </c>
      <c r="I9">
        <v>38</v>
      </c>
      <c r="J9" t="s">
        <v>77</v>
      </c>
    </row>
    <row r="10" spans="1:10">
      <c r="A10">
        <v>216</v>
      </c>
      <c r="B10">
        <v>38</v>
      </c>
      <c r="C10" t="s">
        <v>1887</v>
      </c>
      <c r="D10" t="s">
        <v>57</v>
      </c>
      <c r="E10">
        <v>3</v>
      </c>
      <c r="F10">
        <v>64</v>
      </c>
      <c r="G10">
        <v>192</v>
      </c>
      <c r="H10">
        <v>21</v>
      </c>
      <c r="I10">
        <v>58</v>
      </c>
      <c r="J10" t="s">
        <v>77</v>
      </c>
    </row>
    <row r="11" spans="1:10">
      <c r="A11">
        <v>264</v>
      </c>
      <c r="B11">
        <v>19</v>
      </c>
      <c r="C11" t="s">
        <v>196</v>
      </c>
      <c r="D11" t="s">
        <v>58</v>
      </c>
      <c r="E11">
        <v>4</v>
      </c>
      <c r="F11">
        <v>72</v>
      </c>
      <c r="G11">
        <v>288</v>
      </c>
      <c r="H11">
        <v>32</v>
      </c>
      <c r="I11">
        <v>86</v>
      </c>
      <c r="J11" t="s">
        <v>77</v>
      </c>
    </row>
    <row r="12" spans="1:10">
      <c r="A12">
        <v>286</v>
      </c>
      <c r="B12">
        <v>23</v>
      </c>
      <c r="C12" t="s">
        <v>1888</v>
      </c>
      <c r="D12" t="s">
        <v>58</v>
      </c>
      <c r="E12">
        <v>2</v>
      </c>
      <c r="F12">
        <v>78</v>
      </c>
      <c r="G12">
        <v>144</v>
      </c>
      <c r="H12">
        <v>16</v>
      </c>
      <c r="I12">
        <v>43</v>
      </c>
      <c r="J12" t="s">
        <v>77</v>
      </c>
    </row>
    <row r="13" spans="1:10">
      <c r="A13">
        <v>308</v>
      </c>
      <c r="B13">
        <v>49</v>
      </c>
      <c r="C13" t="s">
        <v>317</v>
      </c>
      <c r="D13" t="s">
        <v>57</v>
      </c>
      <c r="E13">
        <v>3</v>
      </c>
      <c r="F13">
        <v>64</v>
      </c>
      <c r="G13">
        <v>192</v>
      </c>
      <c r="H13">
        <v>21</v>
      </c>
      <c r="I13">
        <v>58</v>
      </c>
      <c r="J13" t="s">
        <v>77</v>
      </c>
    </row>
    <row r="14" spans="1:10">
      <c r="A14">
        <v>331</v>
      </c>
      <c r="B14">
        <v>4</v>
      </c>
      <c r="C14" t="s">
        <v>214</v>
      </c>
      <c r="D14" t="s">
        <v>57</v>
      </c>
      <c r="E14">
        <v>3</v>
      </c>
      <c r="F14">
        <v>64</v>
      </c>
      <c r="G14">
        <v>192</v>
      </c>
      <c r="H14">
        <v>21</v>
      </c>
      <c r="I14">
        <v>58</v>
      </c>
      <c r="J14" t="s">
        <v>77</v>
      </c>
    </row>
    <row r="15" spans="1:10">
      <c r="A15">
        <v>342</v>
      </c>
      <c r="B15">
        <v>3</v>
      </c>
      <c r="C15" t="s">
        <v>1889</v>
      </c>
      <c r="D15" t="s">
        <v>60</v>
      </c>
      <c r="E15">
        <v>2</v>
      </c>
      <c r="F15">
        <v>108</v>
      </c>
      <c r="G15">
        <v>216</v>
      </c>
      <c r="H15">
        <v>0</v>
      </c>
      <c r="I15">
        <v>65</v>
      </c>
      <c r="J15" t="s">
        <v>77</v>
      </c>
    </row>
    <row r="16" spans="1:10">
      <c r="A16">
        <v>344</v>
      </c>
      <c r="B16">
        <v>6</v>
      </c>
      <c r="C16" t="s">
        <v>124</v>
      </c>
      <c r="D16" t="s">
        <v>57</v>
      </c>
      <c r="E16">
        <v>2</v>
      </c>
      <c r="F16">
        <v>64</v>
      </c>
      <c r="G16">
        <v>128</v>
      </c>
      <c r="H16">
        <v>14</v>
      </c>
      <c r="I16">
        <v>38</v>
      </c>
      <c r="J16" t="s">
        <v>77</v>
      </c>
    </row>
    <row r="17" spans="1:10">
      <c r="A17">
        <v>351</v>
      </c>
      <c r="B17">
        <v>30</v>
      </c>
      <c r="C17" t="s">
        <v>97</v>
      </c>
      <c r="D17" t="s">
        <v>60</v>
      </c>
      <c r="E17">
        <v>2</v>
      </c>
      <c r="F17">
        <v>108</v>
      </c>
      <c r="G17">
        <v>216</v>
      </c>
      <c r="H17">
        <v>0</v>
      </c>
      <c r="I17">
        <v>65</v>
      </c>
      <c r="J17" t="s">
        <v>77</v>
      </c>
    </row>
    <row r="18" spans="1:10">
      <c r="A18">
        <v>370</v>
      </c>
      <c r="B18">
        <v>21</v>
      </c>
      <c r="C18" t="s">
        <v>314</v>
      </c>
      <c r="D18" t="s">
        <v>56</v>
      </c>
      <c r="E18">
        <v>1</v>
      </c>
      <c r="F18">
        <v>46</v>
      </c>
      <c r="G18">
        <v>46</v>
      </c>
      <c r="H18">
        <v>5</v>
      </c>
      <c r="I18">
        <v>14</v>
      </c>
      <c r="J18" t="s">
        <v>77</v>
      </c>
    </row>
    <row r="19" spans="1:10">
      <c r="A19">
        <v>382</v>
      </c>
      <c r="B19">
        <v>17</v>
      </c>
      <c r="C19" t="s">
        <v>353</v>
      </c>
      <c r="D19" t="s">
        <v>57</v>
      </c>
      <c r="E19">
        <v>2</v>
      </c>
      <c r="F19">
        <v>64</v>
      </c>
      <c r="G19">
        <v>128</v>
      </c>
      <c r="H19">
        <v>14</v>
      </c>
      <c r="I19">
        <v>38</v>
      </c>
      <c r="J19" t="s">
        <v>77</v>
      </c>
    </row>
    <row r="20" spans="1:10">
      <c r="A20">
        <v>385</v>
      </c>
      <c r="B20">
        <v>1</v>
      </c>
      <c r="C20" t="s">
        <v>1890</v>
      </c>
      <c r="D20" t="s">
        <v>57</v>
      </c>
      <c r="E20">
        <v>3</v>
      </c>
      <c r="F20">
        <v>64</v>
      </c>
      <c r="G20">
        <v>193</v>
      </c>
      <c r="H20">
        <v>21</v>
      </c>
      <c r="I20">
        <v>58</v>
      </c>
      <c r="J20" t="s">
        <v>77</v>
      </c>
    </row>
    <row r="21" spans="1:10">
      <c r="A21">
        <v>397</v>
      </c>
      <c r="B21">
        <v>2</v>
      </c>
      <c r="C21" t="s">
        <v>377</v>
      </c>
      <c r="D21" t="s">
        <v>57</v>
      </c>
      <c r="E21">
        <v>3</v>
      </c>
      <c r="F21">
        <v>64</v>
      </c>
      <c r="G21">
        <v>192</v>
      </c>
      <c r="H21">
        <v>21</v>
      </c>
      <c r="I21">
        <v>58</v>
      </c>
      <c r="J21" t="s">
        <v>77</v>
      </c>
    </row>
    <row r="22" spans="1:10">
      <c r="A22">
        <v>424</v>
      </c>
      <c r="B22">
        <v>6</v>
      </c>
      <c r="C22" t="s">
        <v>1891</v>
      </c>
      <c r="D22" t="s">
        <v>56</v>
      </c>
      <c r="E22">
        <v>1</v>
      </c>
      <c r="F22">
        <v>46</v>
      </c>
      <c r="G22">
        <v>46</v>
      </c>
      <c r="H22">
        <v>5</v>
      </c>
      <c r="I22">
        <v>14</v>
      </c>
      <c r="J22" t="s">
        <v>77</v>
      </c>
    </row>
    <row r="23" spans="1:10">
      <c r="A23">
        <v>442</v>
      </c>
      <c r="B23">
        <v>47</v>
      </c>
      <c r="C23" t="s">
        <v>1891</v>
      </c>
      <c r="D23" t="s">
        <v>57</v>
      </c>
      <c r="E23">
        <v>2</v>
      </c>
      <c r="F23">
        <v>64</v>
      </c>
      <c r="G23">
        <v>128</v>
      </c>
      <c r="H23">
        <v>14</v>
      </c>
      <c r="I23">
        <v>38</v>
      </c>
      <c r="J23" t="s">
        <v>77</v>
      </c>
    </row>
    <row r="24" spans="1:10">
      <c r="A24">
        <v>445</v>
      </c>
      <c r="B24">
        <v>31</v>
      </c>
      <c r="C24" t="s">
        <v>169</v>
      </c>
      <c r="D24" t="s">
        <v>57</v>
      </c>
      <c r="E24">
        <v>2</v>
      </c>
      <c r="F24">
        <v>76</v>
      </c>
      <c r="G24">
        <v>128</v>
      </c>
      <c r="H24">
        <v>14</v>
      </c>
      <c r="I24">
        <v>38</v>
      </c>
      <c r="J24" t="s">
        <v>77</v>
      </c>
    </row>
    <row r="25" spans="1:10">
      <c r="A25">
        <v>495</v>
      </c>
      <c r="B25">
        <v>13</v>
      </c>
      <c r="C25" t="s">
        <v>332</v>
      </c>
      <c r="D25" t="s">
        <v>55</v>
      </c>
      <c r="E25">
        <v>1</v>
      </c>
      <c r="F25">
        <v>24</v>
      </c>
      <c r="G25">
        <v>24</v>
      </c>
      <c r="H25">
        <v>0</v>
      </c>
      <c r="I25">
        <v>7</v>
      </c>
      <c r="J25" t="s">
        <v>77</v>
      </c>
    </row>
    <row r="26" spans="1:10">
      <c r="A26">
        <v>527</v>
      </c>
      <c r="B26">
        <v>45</v>
      </c>
      <c r="C26" t="s">
        <v>447</v>
      </c>
      <c r="D26" t="s">
        <v>57</v>
      </c>
      <c r="E26">
        <v>2</v>
      </c>
      <c r="F26">
        <v>72</v>
      </c>
      <c r="G26">
        <v>128</v>
      </c>
      <c r="H26">
        <v>14</v>
      </c>
      <c r="I26">
        <v>38</v>
      </c>
      <c r="J26" t="s">
        <v>77</v>
      </c>
    </row>
    <row r="27" spans="1:10">
      <c r="A27">
        <v>576</v>
      </c>
      <c r="B27">
        <v>52</v>
      </c>
      <c r="C27" t="s">
        <v>365</v>
      </c>
      <c r="D27" t="s">
        <v>58</v>
      </c>
      <c r="E27">
        <v>2</v>
      </c>
      <c r="F27">
        <v>72</v>
      </c>
      <c r="G27">
        <v>144</v>
      </c>
      <c r="H27">
        <v>16</v>
      </c>
      <c r="I27">
        <v>43</v>
      </c>
      <c r="J27" t="s">
        <v>77</v>
      </c>
    </row>
    <row r="28" spans="1:10">
      <c r="A28">
        <v>582</v>
      </c>
      <c r="B28">
        <v>48</v>
      </c>
      <c r="C28" t="s">
        <v>1892</v>
      </c>
      <c r="D28" t="s">
        <v>57</v>
      </c>
      <c r="E28">
        <v>3</v>
      </c>
      <c r="F28">
        <v>64</v>
      </c>
      <c r="G28">
        <v>218</v>
      </c>
      <c r="H28">
        <v>21</v>
      </c>
      <c r="I28">
        <v>58</v>
      </c>
      <c r="J28" t="s">
        <v>77</v>
      </c>
    </row>
    <row r="29" spans="1:10">
      <c r="A29">
        <v>591</v>
      </c>
      <c r="B29">
        <v>30</v>
      </c>
      <c r="C29" t="s">
        <v>359</v>
      </c>
      <c r="D29" t="s">
        <v>58</v>
      </c>
      <c r="E29">
        <v>4</v>
      </c>
      <c r="F29">
        <v>72</v>
      </c>
      <c r="G29">
        <v>333</v>
      </c>
      <c r="H29">
        <v>32</v>
      </c>
      <c r="I29">
        <v>86</v>
      </c>
      <c r="J29" t="s">
        <v>77</v>
      </c>
    </row>
    <row r="30" spans="1:10">
      <c r="A30">
        <v>593</v>
      </c>
      <c r="B30">
        <v>24</v>
      </c>
      <c r="C30" t="s">
        <v>513</v>
      </c>
      <c r="D30" t="s">
        <v>56</v>
      </c>
      <c r="E30">
        <v>2</v>
      </c>
      <c r="F30">
        <v>46</v>
      </c>
      <c r="G30">
        <v>104</v>
      </c>
      <c r="H30">
        <v>10</v>
      </c>
      <c r="I30">
        <v>28</v>
      </c>
      <c r="J30" t="s">
        <v>77</v>
      </c>
    </row>
    <row r="31" spans="1:10">
      <c r="A31">
        <v>602</v>
      </c>
      <c r="B31">
        <v>6</v>
      </c>
      <c r="C31" t="s">
        <v>484</v>
      </c>
      <c r="D31" t="s">
        <v>56</v>
      </c>
      <c r="E31">
        <v>1</v>
      </c>
      <c r="F31">
        <v>46</v>
      </c>
      <c r="G31">
        <v>46</v>
      </c>
      <c r="H31">
        <v>5</v>
      </c>
      <c r="I31">
        <v>14</v>
      </c>
      <c r="J31" t="s">
        <v>77</v>
      </c>
    </row>
    <row r="32" spans="1:10">
      <c r="A32">
        <v>683</v>
      </c>
      <c r="B32">
        <v>43</v>
      </c>
      <c r="C32" t="s">
        <v>548</v>
      </c>
      <c r="D32" t="s">
        <v>58</v>
      </c>
      <c r="E32">
        <v>4</v>
      </c>
      <c r="F32">
        <v>72</v>
      </c>
      <c r="G32">
        <v>288</v>
      </c>
      <c r="H32">
        <v>32</v>
      </c>
      <c r="I32">
        <v>86</v>
      </c>
      <c r="J32" t="s">
        <v>77</v>
      </c>
    </row>
    <row r="33" spans="1:10">
      <c r="A33">
        <v>735</v>
      </c>
      <c r="B33">
        <v>26</v>
      </c>
      <c r="C33" t="s">
        <v>614</v>
      </c>
      <c r="D33" t="s">
        <v>56</v>
      </c>
      <c r="E33">
        <v>2</v>
      </c>
      <c r="F33">
        <v>46</v>
      </c>
      <c r="G33">
        <v>92</v>
      </c>
      <c r="H33">
        <v>10</v>
      </c>
      <c r="I33">
        <v>28</v>
      </c>
      <c r="J33" t="s">
        <v>77</v>
      </c>
    </row>
    <row r="34" spans="1:10">
      <c r="A34">
        <v>741</v>
      </c>
      <c r="B34">
        <v>17</v>
      </c>
      <c r="C34" t="s">
        <v>1893</v>
      </c>
      <c r="D34" t="s">
        <v>57</v>
      </c>
      <c r="E34">
        <v>3</v>
      </c>
      <c r="F34">
        <v>64</v>
      </c>
      <c r="G34">
        <v>192</v>
      </c>
      <c r="H34">
        <v>21</v>
      </c>
      <c r="I34">
        <v>58</v>
      </c>
      <c r="J34" t="s">
        <v>77</v>
      </c>
    </row>
    <row r="35" spans="1:10">
      <c r="A35">
        <v>789</v>
      </c>
      <c r="B35">
        <v>42</v>
      </c>
      <c r="C35" t="s">
        <v>560</v>
      </c>
      <c r="D35" t="s">
        <v>57</v>
      </c>
      <c r="E35">
        <v>3</v>
      </c>
      <c r="F35">
        <v>64</v>
      </c>
      <c r="G35">
        <v>228</v>
      </c>
      <c r="H35">
        <v>21</v>
      </c>
      <c r="I35">
        <v>58</v>
      </c>
      <c r="J35" t="s">
        <v>77</v>
      </c>
    </row>
    <row r="36" spans="1:10">
      <c r="A36">
        <v>828</v>
      </c>
      <c r="B36">
        <v>43</v>
      </c>
      <c r="C36" t="s">
        <v>444</v>
      </c>
      <c r="D36" t="s">
        <v>58</v>
      </c>
      <c r="E36">
        <v>4</v>
      </c>
      <c r="F36">
        <v>72</v>
      </c>
      <c r="G36">
        <v>288</v>
      </c>
      <c r="H36">
        <v>32</v>
      </c>
      <c r="I36">
        <v>86</v>
      </c>
      <c r="J36" t="s">
        <v>77</v>
      </c>
    </row>
    <row r="37" spans="1:10">
      <c r="A37">
        <v>845</v>
      </c>
      <c r="B37">
        <v>23</v>
      </c>
      <c r="C37" t="s">
        <v>1894</v>
      </c>
      <c r="D37" t="s">
        <v>56</v>
      </c>
      <c r="E37">
        <v>1</v>
      </c>
      <c r="F37">
        <v>46</v>
      </c>
      <c r="G37">
        <v>46</v>
      </c>
      <c r="H37">
        <v>5</v>
      </c>
      <c r="I37">
        <v>14</v>
      </c>
      <c r="J37" t="s">
        <v>77</v>
      </c>
    </row>
    <row r="38" spans="1:10">
      <c r="A38">
        <v>948</v>
      </c>
      <c r="B38">
        <v>11</v>
      </c>
      <c r="C38" t="s">
        <v>545</v>
      </c>
      <c r="D38" t="s">
        <v>57</v>
      </c>
      <c r="E38">
        <v>2</v>
      </c>
      <c r="F38">
        <v>64</v>
      </c>
      <c r="G38">
        <v>128</v>
      </c>
      <c r="H38">
        <v>14</v>
      </c>
      <c r="I38">
        <v>38</v>
      </c>
      <c r="J38" t="s">
        <v>77</v>
      </c>
    </row>
    <row r="39" spans="1:10">
      <c r="A39">
        <v>969</v>
      </c>
      <c r="B39">
        <v>36</v>
      </c>
      <c r="C39" t="s">
        <v>719</v>
      </c>
      <c r="D39" t="s">
        <v>58</v>
      </c>
      <c r="E39">
        <v>3</v>
      </c>
      <c r="F39">
        <v>72</v>
      </c>
      <c r="G39">
        <v>216</v>
      </c>
      <c r="H39">
        <v>24</v>
      </c>
      <c r="I39">
        <v>65</v>
      </c>
      <c r="J39" t="s">
        <v>77</v>
      </c>
    </row>
    <row r="40" spans="1:10">
      <c r="A40">
        <v>998</v>
      </c>
      <c r="B40">
        <v>23</v>
      </c>
      <c r="C40" t="s">
        <v>1895</v>
      </c>
      <c r="D40" t="s">
        <v>57</v>
      </c>
      <c r="E40">
        <v>2</v>
      </c>
      <c r="F40">
        <v>64</v>
      </c>
      <c r="G40">
        <v>128</v>
      </c>
      <c r="H40">
        <v>14</v>
      </c>
      <c r="I40">
        <v>38</v>
      </c>
      <c r="J40" t="s">
        <v>77</v>
      </c>
    </row>
    <row r="41" spans="1:10">
      <c r="A41">
        <v>1004</v>
      </c>
      <c r="B41">
        <v>47</v>
      </c>
      <c r="C41" t="s">
        <v>796</v>
      </c>
      <c r="D41" t="s">
        <v>58</v>
      </c>
      <c r="E41">
        <v>5</v>
      </c>
      <c r="F41">
        <v>72</v>
      </c>
      <c r="G41">
        <v>360</v>
      </c>
      <c r="H41">
        <v>40</v>
      </c>
      <c r="I41">
        <v>108</v>
      </c>
      <c r="J41" t="s">
        <v>77</v>
      </c>
    </row>
    <row r="42" spans="1:10">
      <c r="A42">
        <v>1024</v>
      </c>
      <c r="B42">
        <v>7</v>
      </c>
      <c r="C42" t="s">
        <v>1896</v>
      </c>
      <c r="D42" t="s">
        <v>56</v>
      </c>
      <c r="E42">
        <v>1</v>
      </c>
      <c r="F42">
        <v>46</v>
      </c>
      <c r="G42">
        <v>46</v>
      </c>
      <c r="H42">
        <v>5</v>
      </c>
      <c r="I42">
        <v>14</v>
      </c>
      <c r="J42" t="s">
        <v>77</v>
      </c>
    </row>
    <row r="43" spans="1:10">
      <c r="A43">
        <v>1030</v>
      </c>
      <c r="B43">
        <v>51</v>
      </c>
      <c r="C43" t="s">
        <v>746</v>
      </c>
      <c r="D43" t="s">
        <v>56</v>
      </c>
      <c r="E43">
        <v>1</v>
      </c>
      <c r="F43">
        <v>46</v>
      </c>
      <c r="G43">
        <v>46</v>
      </c>
      <c r="H43">
        <v>5</v>
      </c>
      <c r="I43">
        <v>14</v>
      </c>
      <c r="J43" t="s">
        <v>77</v>
      </c>
    </row>
    <row r="44" spans="1:10">
      <c r="A44">
        <v>1122</v>
      </c>
      <c r="B44">
        <v>50</v>
      </c>
      <c r="C44" t="s">
        <v>1897</v>
      </c>
      <c r="D44" t="s">
        <v>56</v>
      </c>
      <c r="E44">
        <v>1</v>
      </c>
      <c r="F44">
        <v>34</v>
      </c>
      <c r="G44">
        <v>46</v>
      </c>
      <c r="H44">
        <v>5</v>
      </c>
      <c r="I44">
        <v>14</v>
      </c>
      <c r="J44" t="s">
        <v>77</v>
      </c>
    </row>
    <row r="45" spans="1:10">
      <c r="A45">
        <v>1173</v>
      </c>
      <c r="B45">
        <v>42</v>
      </c>
      <c r="C45" t="s">
        <v>854</v>
      </c>
      <c r="D45" t="s">
        <v>57</v>
      </c>
      <c r="E45">
        <v>3</v>
      </c>
      <c r="F45">
        <v>64</v>
      </c>
      <c r="G45">
        <v>192</v>
      </c>
      <c r="H45">
        <v>21</v>
      </c>
      <c r="I45">
        <v>58</v>
      </c>
      <c r="J45" t="s">
        <v>77</v>
      </c>
    </row>
    <row r="46" spans="1:10">
      <c r="A46">
        <v>1268</v>
      </c>
      <c r="B46">
        <v>41</v>
      </c>
      <c r="C46" t="s">
        <v>832</v>
      </c>
      <c r="D46" t="s">
        <v>57</v>
      </c>
      <c r="E46">
        <v>2</v>
      </c>
      <c r="F46">
        <v>64</v>
      </c>
      <c r="G46">
        <v>128</v>
      </c>
      <c r="H46">
        <v>14</v>
      </c>
      <c r="I46">
        <v>38</v>
      </c>
      <c r="J46" t="s">
        <v>77</v>
      </c>
    </row>
    <row r="47" spans="1:10">
      <c r="A47">
        <v>1280</v>
      </c>
      <c r="B47">
        <v>3</v>
      </c>
      <c r="C47" t="s">
        <v>1898</v>
      </c>
      <c r="D47" t="s">
        <v>57</v>
      </c>
      <c r="E47">
        <v>3</v>
      </c>
      <c r="F47">
        <v>64</v>
      </c>
      <c r="G47">
        <v>192</v>
      </c>
      <c r="H47">
        <v>21</v>
      </c>
      <c r="I47">
        <v>58</v>
      </c>
      <c r="J47" t="s">
        <v>77</v>
      </c>
    </row>
    <row r="48" spans="1:10">
      <c r="A48">
        <v>1289</v>
      </c>
      <c r="B48">
        <v>45</v>
      </c>
      <c r="C48" t="s">
        <v>832</v>
      </c>
      <c r="D48" t="s">
        <v>57</v>
      </c>
      <c r="E48">
        <v>2</v>
      </c>
      <c r="F48">
        <v>64</v>
      </c>
      <c r="G48">
        <v>128</v>
      </c>
      <c r="H48">
        <v>14</v>
      </c>
      <c r="I48">
        <v>38</v>
      </c>
      <c r="J48" t="s">
        <v>77</v>
      </c>
    </row>
    <row r="49" spans="1:10">
      <c r="A49">
        <v>1319</v>
      </c>
      <c r="B49">
        <v>48</v>
      </c>
      <c r="C49" t="s">
        <v>894</v>
      </c>
      <c r="D49" t="s">
        <v>56</v>
      </c>
      <c r="E49">
        <v>3</v>
      </c>
      <c r="F49">
        <v>46</v>
      </c>
      <c r="G49">
        <v>120</v>
      </c>
      <c r="H49">
        <v>15</v>
      </c>
      <c r="I49">
        <v>41</v>
      </c>
      <c r="J49" t="s">
        <v>77</v>
      </c>
    </row>
    <row r="50" spans="1:10">
      <c r="A50">
        <v>1457</v>
      </c>
      <c r="B50">
        <v>47</v>
      </c>
      <c r="C50" t="s">
        <v>1094</v>
      </c>
      <c r="D50" t="s">
        <v>57</v>
      </c>
      <c r="E50">
        <v>2</v>
      </c>
      <c r="F50">
        <v>64</v>
      </c>
      <c r="G50">
        <v>128</v>
      </c>
      <c r="H50">
        <v>14</v>
      </c>
      <c r="I50">
        <v>38</v>
      </c>
      <c r="J50" t="s">
        <v>77</v>
      </c>
    </row>
    <row r="51" spans="1:10">
      <c r="A51">
        <v>1467</v>
      </c>
      <c r="B51">
        <v>51</v>
      </c>
      <c r="C51" t="s">
        <v>975</v>
      </c>
      <c r="D51" t="s">
        <v>57</v>
      </c>
      <c r="E51">
        <v>3</v>
      </c>
      <c r="F51">
        <v>64</v>
      </c>
      <c r="G51">
        <v>192</v>
      </c>
      <c r="H51">
        <v>21</v>
      </c>
      <c r="I51">
        <v>58</v>
      </c>
      <c r="J51" t="s">
        <v>77</v>
      </c>
    </row>
    <row r="52" spans="1:10">
      <c r="A52">
        <v>1485</v>
      </c>
      <c r="B52">
        <v>44</v>
      </c>
      <c r="C52" t="s">
        <v>1899</v>
      </c>
      <c r="D52" t="s">
        <v>58</v>
      </c>
      <c r="E52">
        <v>3</v>
      </c>
      <c r="F52">
        <v>72</v>
      </c>
      <c r="G52">
        <v>216</v>
      </c>
      <c r="H52">
        <v>24</v>
      </c>
      <c r="I52">
        <v>65</v>
      </c>
      <c r="J52" t="s">
        <v>77</v>
      </c>
    </row>
    <row r="53" spans="1:10">
      <c r="A53">
        <v>1488</v>
      </c>
      <c r="B53">
        <v>38</v>
      </c>
      <c r="C53" t="s">
        <v>1900</v>
      </c>
      <c r="D53" t="s">
        <v>57</v>
      </c>
      <c r="E53">
        <v>3</v>
      </c>
      <c r="F53">
        <v>70</v>
      </c>
      <c r="G53">
        <v>192</v>
      </c>
      <c r="H53">
        <v>21</v>
      </c>
      <c r="I53">
        <v>58</v>
      </c>
      <c r="J53" t="s">
        <v>77</v>
      </c>
    </row>
    <row r="54" spans="1:10">
      <c r="A54">
        <v>1518</v>
      </c>
      <c r="B54">
        <v>20</v>
      </c>
      <c r="C54" t="s">
        <v>1901</v>
      </c>
      <c r="D54" t="s">
        <v>57</v>
      </c>
      <c r="E54">
        <v>3</v>
      </c>
      <c r="F54">
        <v>64</v>
      </c>
      <c r="G54">
        <v>192</v>
      </c>
      <c r="H54">
        <v>21</v>
      </c>
      <c r="I54">
        <v>58</v>
      </c>
      <c r="J54" t="s">
        <v>77</v>
      </c>
    </row>
    <row r="55" spans="1:10">
      <c r="A55">
        <v>1565</v>
      </c>
      <c r="B55">
        <v>46</v>
      </c>
      <c r="C55" t="s">
        <v>1034</v>
      </c>
      <c r="D55" t="s">
        <v>56</v>
      </c>
      <c r="E55">
        <v>1</v>
      </c>
      <c r="F55">
        <v>46</v>
      </c>
      <c r="G55">
        <v>46</v>
      </c>
      <c r="H55">
        <v>5</v>
      </c>
      <c r="I55">
        <v>14</v>
      </c>
      <c r="J55" t="s">
        <v>77</v>
      </c>
    </row>
    <row r="56" spans="1:10">
      <c r="A56">
        <v>1574</v>
      </c>
      <c r="B56">
        <v>37</v>
      </c>
      <c r="C56" t="s">
        <v>1902</v>
      </c>
      <c r="D56" t="s">
        <v>56</v>
      </c>
      <c r="E56">
        <v>1</v>
      </c>
      <c r="F56">
        <v>46</v>
      </c>
      <c r="G56">
        <v>46</v>
      </c>
      <c r="H56">
        <v>5</v>
      </c>
      <c r="I56">
        <v>14</v>
      </c>
      <c r="J56" t="s">
        <v>77</v>
      </c>
    </row>
    <row r="57" spans="1:10">
      <c r="A57">
        <v>1587</v>
      </c>
      <c r="B57">
        <v>45</v>
      </c>
      <c r="C57" t="s">
        <v>1902</v>
      </c>
      <c r="D57" t="s">
        <v>58</v>
      </c>
      <c r="E57">
        <v>3</v>
      </c>
      <c r="F57">
        <v>72</v>
      </c>
      <c r="G57">
        <v>216</v>
      </c>
      <c r="H57">
        <v>24</v>
      </c>
      <c r="I57">
        <v>65</v>
      </c>
      <c r="J57" t="s">
        <v>77</v>
      </c>
    </row>
    <row r="58" spans="1:10">
      <c r="A58">
        <v>1599</v>
      </c>
      <c r="B58">
        <v>12</v>
      </c>
      <c r="C58" t="s">
        <v>1136</v>
      </c>
      <c r="D58" t="s">
        <v>60</v>
      </c>
      <c r="E58">
        <v>3</v>
      </c>
      <c r="F58">
        <v>108</v>
      </c>
      <c r="G58">
        <v>324</v>
      </c>
      <c r="H58">
        <v>0</v>
      </c>
      <c r="I58">
        <v>97</v>
      </c>
      <c r="J58" t="s">
        <v>77</v>
      </c>
    </row>
    <row r="59" spans="1:10">
      <c r="A59">
        <v>1604</v>
      </c>
      <c r="B59">
        <v>25</v>
      </c>
      <c r="C59" t="s">
        <v>1144</v>
      </c>
      <c r="D59" t="s">
        <v>57</v>
      </c>
      <c r="E59">
        <v>2</v>
      </c>
      <c r="F59">
        <v>64</v>
      </c>
      <c r="G59">
        <v>128</v>
      </c>
      <c r="H59">
        <v>14</v>
      </c>
      <c r="I59">
        <v>38</v>
      </c>
      <c r="J59" t="s">
        <v>77</v>
      </c>
    </row>
    <row r="60" spans="1:10">
      <c r="A60">
        <v>1654</v>
      </c>
      <c r="B60">
        <v>1</v>
      </c>
      <c r="C60" t="s">
        <v>1903</v>
      </c>
      <c r="D60" t="s">
        <v>58</v>
      </c>
      <c r="E60">
        <v>3</v>
      </c>
      <c r="F60">
        <v>72</v>
      </c>
      <c r="G60">
        <v>187</v>
      </c>
      <c r="H60">
        <v>24</v>
      </c>
      <c r="I60">
        <v>65</v>
      </c>
      <c r="J60" t="s">
        <v>77</v>
      </c>
    </row>
    <row r="61" spans="1:10">
      <c r="A61">
        <v>1682</v>
      </c>
      <c r="B61">
        <v>19</v>
      </c>
      <c r="C61" t="s">
        <v>1191</v>
      </c>
      <c r="D61" t="s">
        <v>60</v>
      </c>
      <c r="E61">
        <v>3</v>
      </c>
      <c r="F61">
        <v>108</v>
      </c>
      <c r="G61">
        <v>324</v>
      </c>
      <c r="H61">
        <v>0</v>
      </c>
      <c r="I61">
        <v>97</v>
      </c>
      <c r="J61" t="s">
        <v>77</v>
      </c>
    </row>
    <row r="62" spans="1:10">
      <c r="A62">
        <v>1689</v>
      </c>
      <c r="B62">
        <v>16</v>
      </c>
      <c r="C62" t="s">
        <v>1120</v>
      </c>
      <c r="D62" t="s">
        <v>56</v>
      </c>
      <c r="E62">
        <v>2</v>
      </c>
      <c r="F62">
        <v>46</v>
      </c>
      <c r="G62">
        <v>149</v>
      </c>
      <c r="H62">
        <v>10</v>
      </c>
      <c r="I62">
        <v>28</v>
      </c>
      <c r="J62" t="s">
        <v>77</v>
      </c>
    </row>
    <row r="63" spans="1:10">
      <c r="A63">
        <v>1752</v>
      </c>
      <c r="B63">
        <v>11</v>
      </c>
      <c r="C63" t="s">
        <v>1904</v>
      </c>
      <c r="D63" t="s">
        <v>56</v>
      </c>
      <c r="E63">
        <v>2</v>
      </c>
      <c r="F63">
        <v>46</v>
      </c>
      <c r="G63">
        <v>92</v>
      </c>
      <c r="H63">
        <v>10</v>
      </c>
      <c r="I63">
        <v>28</v>
      </c>
      <c r="J63" t="s">
        <v>77</v>
      </c>
    </row>
    <row r="64" spans="1:10">
      <c r="A64">
        <v>1763</v>
      </c>
      <c r="B64">
        <v>46</v>
      </c>
      <c r="C64" t="s">
        <v>1217</v>
      </c>
      <c r="D64" t="s">
        <v>56</v>
      </c>
      <c r="E64">
        <v>3</v>
      </c>
      <c r="F64">
        <v>46</v>
      </c>
      <c r="G64">
        <v>138</v>
      </c>
      <c r="H64">
        <v>15</v>
      </c>
      <c r="I64">
        <v>41</v>
      </c>
      <c r="J64" t="s">
        <v>77</v>
      </c>
    </row>
    <row r="65" spans="1:10">
      <c r="A65">
        <v>1787</v>
      </c>
      <c r="B65">
        <v>24</v>
      </c>
      <c r="C65" t="s">
        <v>1148</v>
      </c>
      <c r="D65" t="s">
        <v>56</v>
      </c>
      <c r="E65">
        <v>3</v>
      </c>
      <c r="F65">
        <v>46</v>
      </c>
      <c r="G65">
        <v>138</v>
      </c>
      <c r="H65">
        <v>15</v>
      </c>
      <c r="I65">
        <v>41</v>
      </c>
      <c r="J65" t="s">
        <v>77</v>
      </c>
    </row>
    <row r="66" spans="1:10">
      <c r="A66">
        <v>1792</v>
      </c>
      <c r="B66">
        <v>25</v>
      </c>
      <c r="C66" t="s">
        <v>1905</v>
      </c>
      <c r="D66" t="s">
        <v>58</v>
      </c>
      <c r="E66">
        <v>3</v>
      </c>
      <c r="F66">
        <v>72</v>
      </c>
      <c r="G66">
        <v>264</v>
      </c>
      <c r="H66">
        <v>24</v>
      </c>
      <c r="I66">
        <v>65</v>
      </c>
      <c r="J66" t="s">
        <v>77</v>
      </c>
    </row>
    <row r="67" spans="1:10">
      <c r="A67">
        <v>1856</v>
      </c>
      <c r="B67">
        <v>25</v>
      </c>
      <c r="C67" t="s">
        <v>1274</v>
      </c>
      <c r="D67" t="s">
        <v>57</v>
      </c>
      <c r="E67">
        <v>2</v>
      </c>
      <c r="F67">
        <v>76</v>
      </c>
      <c r="G67">
        <v>128</v>
      </c>
      <c r="H67">
        <v>14</v>
      </c>
      <c r="I67">
        <v>38</v>
      </c>
      <c r="J67" t="s">
        <v>77</v>
      </c>
    </row>
    <row r="68" spans="1:10">
      <c r="A68">
        <v>1866</v>
      </c>
      <c r="B68">
        <v>47</v>
      </c>
      <c r="C68" t="s">
        <v>1906</v>
      </c>
      <c r="D68" t="s">
        <v>60</v>
      </c>
      <c r="E68">
        <v>2</v>
      </c>
      <c r="F68">
        <v>108</v>
      </c>
      <c r="G68">
        <v>216</v>
      </c>
      <c r="H68">
        <v>0</v>
      </c>
      <c r="I68">
        <v>65</v>
      </c>
      <c r="J68" t="s">
        <v>77</v>
      </c>
    </row>
    <row r="69" spans="1:10">
      <c r="A69">
        <v>1918</v>
      </c>
      <c r="B69">
        <v>24</v>
      </c>
      <c r="C69" t="s">
        <v>1907</v>
      </c>
      <c r="D69" t="s">
        <v>56</v>
      </c>
      <c r="E69">
        <v>2</v>
      </c>
      <c r="F69">
        <v>46</v>
      </c>
      <c r="G69">
        <v>92</v>
      </c>
      <c r="H69">
        <v>10</v>
      </c>
      <c r="I69">
        <v>28</v>
      </c>
      <c r="J69" t="s">
        <v>77</v>
      </c>
    </row>
    <row r="70" spans="1:10">
      <c r="A70">
        <v>1920</v>
      </c>
      <c r="B70">
        <v>24</v>
      </c>
      <c r="C70" t="s">
        <v>1907</v>
      </c>
      <c r="D70" t="s">
        <v>58</v>
      </c>
      <c r="E70">
        <v>2</v>
      </c>
      <c r="F70">
        <v>72</v>
      </c>
      <c r="G70">
        <v>144</v>
      </c>
      <c r="H70">
        <v>16</v>
      </c>
      <c r="I70">
        <v>43</v>
      </c>
      <c r="J70" t="s">
        <v>77</v>
      </c>
    </row>
    <row r="71" spans="1:10">
      <c r="A71">
        <v>1929</v>
      </c>
      <c r="B71">
        <v>26</v>
      </c>
      <c r="C71" t="s">
        <v>1368</v>
      </c>
      <c r="D71" t="s">
        <v>56</v>
      </c>
      <c r="E71">
        <v>2</v>
      </c>
      <c r="F71">
        <v>34</v>
      </c>
      <c r="G71">
        <v>92</v>
      </c>
      <c r="H71">
        <v>10</v>
      </c>
      <c r="I71">
        <v>28</v>
      </c>
      <c r="J71" t="s">
        <v>77</v>
      </c>
    </row>
    <row r="72" spans="1:10">
      <c r="A72">
        <v>1931</v>
      </c>
      <c r="B72">
        <v>26</v>
      </c>
      <c r="C72" t="s">
        <v>1368</v>
      </c>
      <c r="D72" t="s">
        <v>58</v>
      </c>
      <c r="E72">
        <v>2</v>
      </c>
      <c r="F72">
        <v>72</v>
      </c>
      <c r="G72">
        <v>144</v>
      </c>
      <c r="H72">
        <v>16</v>
      </c>
      <c r="I72">
        <v>43</v>
      </c>
      <c r="J72" t="s">
        <v>77</v>
      </c>
    </row>
    <row r="73" spans="1:10">
      <c r="A73">
        <v>1945</v>
      </c>
      <c r="B73">
        <v>17</v>
      </c>
      <c r="C73" t="s">
        <v>1439</v>
      </c>
      <c r="D73" t="s">
        <v>58</v>
      </c>
      <c r="E73">
        <v>2</v>
      </c>
      <c r="F73">
        <v>78</v>
      </c>
      <c r="G73">
        <v>144</v>
      </c>
      <c r="H73">
        <v>16</v>
      </c>
      <c r="I73">
        <v>43</v>
      </c>
      <c r="J73" t="s">
        <v>77</v>
      </c>
    </row>
    <row r="74" spans="1:10">
      <c r="A74">
        <v>1965</v>
      </c>
      <c r="B74">
        <v>25</v>
      </c>
      <c r="C74" t="s">
        <v>1385</v>
      </c>
      <c r="D74" t="s">
        <v>56</v>
      </c>
      <c r="E74">
        <v>1</v>
      </c>
      <c r="F74">
        <v>46</v>
      </c>
      <c r="G74">
        <v>46</v>
      </c>
      <c r="H74">
        <v>5</v>
      </c>
      <c r="I74">
        <v>14</v>
      </c>
      <c r="J74" t="s">
        <v>77</v>
      </c>
    </row>
    <row r="75" spans="1:10">
      <c r="A75">
        <v>2055</v>
      </c>
      <c r="B75">
        <v>7</v>
      </c>
      <c r="C75" t="s">
        <v>1462</v>
      </c>
      <c r="D75" t="s">
        <v>57</v>
      </c>
      <c r="E75">
        <v>4</v>
      </c>
      <c r="F75">
        <v>64</v>
      </c>
      <c r="G75">
        <v>316</v>
      </c>
      <c r="H75">
        <v>28</v>
      </c>
      <c r="I75">
        <v>77</v>
      </c>
      <c r="J75" t="s">
        <v>77</v>
      </c>
    </row>
    <row r="76" spans="1:10">
      <c r="A76">
        <v>2110</v>
      </c>
      <c r="B76">
        <v>37</v>
      </c>
      <c r="C76" t="s">
        <v>1908</v>
      </c>
      <c r="D76" t="s">
        <v>56</v>
      </c>
      <c r="E76">
        <v>1</v>
      </c>
      <c r="F76">
        <v>46</v>
      </c>
      <c r="G76">
        <v>46</v>
      </c>
      <c r="H76">
        <v>5</v>
      </c>
      <c r="I76">
        <v>14</v>
      </c>
      <c r="J76" t="s">
        <v>77</v>
      </c>
    </row>
    <row r="77" spans="1:10">
      <c r="A77">
        <v>2139</v>
      </c>
      <c r="B77">
        <v>2</v>
      </c>
      <c r="C77" t="s">
        <v>1560</v>
      </c>
      <c r="D77" t="s">
        <v>60</v>
      </c>
      <c r="E77">
        <v>3</v>
      </c>
      <c r="F77">
        <v>108</v>
      </c>
      <c r="G77">
        <v>324</v>
      </c>
      <c r="H77">
        <v>0</v>
      </c>
      <c r="I77">
        <v>97</v>
      </c>
      <c r="J77" t="s">
        <v>77</v>
      </c>
    </row>
    <row r="78" spans="1:10">
      <c r="A78">
        <v>2153</v>
      </c>
      <c r="B78">
        <v>27</v>
      </c>
      <c r="C78" t="s">
        <v>1335</v>
      </c>
      <c r="D78" t="s">
        <v>57</v>
      </c>
      <c r="E78">
        <v>3</v>
      </c>
      <c r="F78">
        <v>64</v>
      </c>
      <c r="G78">
        <v>192</v>
      </c>
      <c r="H78">
        <v>21</v>
      </c>
      <c r="I78">
        <v>58</v>
      </c>
      <c r="J78" t="s">
        <v>77</v>
      </c>
    </row>
    <row r="79" spans="1:10">
      <c r="A79">
        <v>2154</v>
      </c>
      <c r="B79">
        <v>27</v>
      </c>
      <c r="C79" t="s">
        <v>1335</v>
      </c>
      <c r="D79" t="s">
        <v>58</v>
      </c>
      <c r="E79">
        <v>4</v>
      </c>
      <c r="F79">
        <v>72</v>
      </c>
      <c r="G79">
        <v>319</v>
      </c>
      <c r="H79">
        <v>32</v>
      </c>
      <c r="I79">
        <v>86</v>
      </c>
      <c r="J79" t="s">
        <v>77</v>
      </c>
    </row>
    <row r="80" spans="1:10">
      <c r="A80">
        <v>2188</v>
      </c>
      <c r="B80">
        <v>48</v>
      </c>
      <c r="C80" t="s">
        <v>1645</v>
      </c>
      <c r="D80" t="s">
        <v>56</v>
      </c>
      <c r="E80">
        <v>2</v>
      </c>
      <c r="F80">
        <v>46</v>
      </c>
      <c r="G80">
        <v>92</v>
      </c>
      <c r="H80">
        <v>10</v>
      </c>
      <c r="I80">
        <v>28</v>
      </c>
      <c r="J80" t="s">
        <v>77</v>
      </c>
    </row>
    <row r="81" spans="1:10">
      <c r="A81">
        <v>2230</v>
      </c>
      <c r="B81">
        <v>27</v>
      </c>
      <c r="C81" t="s">
        <v>1523</v>
      </c>
      <c r="D81" t="s">
        <v>56</v>
      </c>
      <c r="E81">
        <v>2</v>
      </c>
      <c r="F81">
        <v>46</v>
      </c>
      <c r="G81">
        <v>92</v>
      </c>
      <c r="H81">
        <v>10</v>
      </c>
      <c r="I81">
        <v>28</v>
      </c>
      <c r="J81" t="s">
        <v>77</v>
      </c>
    </row>
    <row r="82" spans="1:10">
      <c r="A82">
        <v>2245</v>
      </c>
      <c r="B82">
        <v>26</v>
      </c>
      <c r="C82" t="s">
        <v>1619</v>
      </c>
      <c r="D82" t="s">
        <v>57</v>
      </c>
      <c r="E82">
        <v>2</v>
      </c>
      <c r="F82">
        <v>64</v>
      </c>
      <c r="G82">
        <v>128</v>
      </c>
      <c r="H82">
        <v>14</v>
      </c>
      <c r="I82">
        <v>38</v>
      </c>
      <c r="J82" t="s">
        <v>77</v>
      </c>
    </row>
    <row r="83" spans="1:10">
      <c r="A83">
        <v>2263</v>
      </c>
      <c r="B83">
        <v>5</v>
      </c>
      <c r="C83" t="s">
        <v>1636</v>
      </c>
      <c r="D83" t="s">
        <v>57</v>
      </c>
      <c r="E83">
        <v>3</v>
      </c>
      <c r="F83">
        <v>64</v>
      </c>
      <c r="G83">
        <v>192</v>
      </c>
      <c r="H83">
        <v>21</v>
      </c>
      <c r="I83">
        <v>58</v>
      </c>
      <c r="J83" t="s">
        <v>77</v>
      </c>
    </row>
    <row r="84" spans="1:10">
      <c r="A84">
        <v>2281</v>
      </c>
      <c r="B84">
        <v>34</v>
      </c>
      <c r="C84" t="s">
        <v>1581</v>
      </c>
      <c r="D84" t="s">
        <v>57</v>
      </c>
      <c r="E84">
        <v>3</v>
      </c>
      <c r="F84">
        <v>64</v>
      </c>
      <c r="G84">
        <v>192</v>
      </c>
      <c r="H84">
        <v>21</v>
      </c>
      <c r="I84">
        <v>58</v>
      </c>
      <c r="J84" t="s">
        <v>77</v>
      </c>
    </row>
    <row r="85" spans="1:10">
      <c r="A85">
        <v>2286</v>
      </c>
      <c r="B85">
        <v>21</v>
      </c>
      <c r="C85" t="s">
        <v>314</v>
      </c>
      <c r="D85" t="s">
        <v>56</v>
      </c>
      <c r="E85">
        <v>1</v>
      </c>
      <c r="F85">
        <v>46</v>
      </c>
      <c r="G85">
        <v>26</v>
      </c>
      <c r="H85">
        <v>5</v>
      </c>
      <c r="I85">
        <v>14</v>
      </c>
      <c r="J85" t="s">
        <v>77</v>
      </c>
    </row>
    <row r="86" spans="1:10">
      <c r="A86">
        <v>2290</v>
      </c>
      <c r="B86">
        <v>44</v>
      </c>
      <c r="C86" t="s">
        <v>1899</v>
      </c>
      <c r="D86" t="s">
        <v>58</v>
      </c>
      <c r="E86">
        <v>3</v>
      </c>
      <c r="F86">
        <v>72</v>
      </c>
      <c r="G86">
        <v>196</v>
      </c>
      <c r="H86">
        <v>24</v>
      </c>
      <c r="I86">
        <v>65</v>
      </c>
      <c r="J86" t="s">
        <v>77</v>
      </c>
    </row>
    <row r="87" spans="1:10">
      <c r="A87">
        <v>2292</v>
      </c>
      <c r="B87">
        <v>43</v>
      </c>
      <c r="C87" t="s">
        <v>444</v>
      </c>
      <c r="D87" t="s">
        <v>58</v>
      </c>
      <c r="E87">
        <v>4</v>
      </c>
      <c r="F87">
        <v>72</v>
      </c>
      <c r="G87">
        <v>318</v>
      </c>
      <c r="H87">
        <v>32</v>
      </c>
      <c r="I87">
        <v>86</v>
      </c>
      <c r="J87" t="s">
        <v>77</v>
      </c>
    </row>
    <row r="88" spans="1:10">
      <c r="A88">
        <v>2294</v>
      </c>
      <c r="B88">
        <v>27</v>
      </c>
      <c r="C88" t="s">
        <v>1335</v>
      </c>
      <c r="D88" t="s">
        <v>57</v>
      </c>
      <c r="E88">
        <v>3</v>
      </c>
      <c r="F88">
        <v>64</v>
      </c>
      <c r="G88">
        <v>222</v>
      </c>
      <c r="H88">
        <v>21</v>
      </c>
      <c r="I88">
        <v>58</v>
      </c>
      <c r="J88" t="s">
        <v>77</v>
      </c>
    </row>
    <row r="89" spans="1:10">
      <c r="A89">
        <v>2296</v>
      </c>
      <c r="B89">
        <v>17</v>
      </c>
      <c r="C89" t="s">
        <v>353</v>
      </c>
      <c r="D89" t="s">
        <v>57</v>
      </c>
      <c r="E89">
        <v>2</v>
      </c>
      <c r="F89">
        <v>64</v>
      </c>
      <c r="G89">
        <v>108</v>
      </c>
      <c r="H89">
        <v>14</v>
      </c>
      <c r="I89">
        <v>38</v>
      </c>
      <c r="J89" t="s">
        <v>77</v>
      </c>
    </row>
    <row r="90" spans="1:10">
      <c r="A90">
        <v>2299</v>
      </c>
      <c r="B90">
        <v>47</v>
      </c>
      <c r="C90" t="s">
        <v>1094</v>
      </c>
      <c r="D90" t="s">
        <v>57</v>
      </c>
      <c r="E90">
        <v>2</v>
      </c>
      <c r="F90">
        <v>64</v>
      </c>
      <c r="G90">
        <v>148</v>
      </c>
      <c r="H90">
        <v>14</v>
      </c>
      <c r="I90">
        <v>38</v>
      </c>
      <c r="J90" t="s">
        <v>77</v>
      </c>
    </row>
    <row r="91" spans="1:10">
      <c r="A91">
        <v>2302</v>
      </c>
      <c r="B91">
        <v>6</v>
      </c>
      <c r="C91" t="s">
        <v>484</v>
      </c>
      <c r="D91" t="s">
        <v>56</v>
      </c>
      <c r="E91">
        <v>1</v>
      </c>
      <c r="F91">
        <v>46</v>
      </c>
      <c r="G91">
        <v>16</v>
      </c>
      <c r="H91">
        <v>5</v>
      </c>
      <c r="I91">
        <v>14</v>
      </c>
      <c r="J91" t="s">
        <v>77</v>
      </c>
    </row>
    <row r="92" spans="1:10">
      <c r="A92">
        <v>2303</v>
      </c>
      <c r="B92">
        <v>4</v>
      </c>
      <c r="C92" t="s">
        <v>214</v>
      </c>
      <c r="D92" t="s">
        <v>57</v>
      </c>
      <c r="E92">
        <v>3</v>
      </c>
      <c r="F92">
        <v>64</v>
      </c>
      <c r="G92">
        <v>162</v>
      </c>
      <c r="H92">
        <v>21</v>
      </c>
      <c r="I92">
        <v>58</v>
      </c>
      <c r="J92" t="s">
        <v>77</v>
      </c>
    </row>
  </sheetData>
  <autoFilter ref="A1:J92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7F7F7F"/>
  </sheetPr>
  <dimension ref="A1:F56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7" width="17.7109375" customWidth="1"/>
  </cols>
  <sheetData>
    <row r="1" spans="1:6">
      <c r="A1" s="5" t="s">
        <v>1909</v>
      </c>
      <c r="B1" s="5" t="s">
        <v>64</v>
      </c>
      <c r="C1" s="5" t="s">
        <v>1910</v>
      </c>
      <c r="D1" s="5" t="s">
        <v>1911</v>
      </c>
      <c r="E1" s="5" t="s">
        <v>1912</v>
      </c>
      <c r="F1" s="5" t="s">
        <v>73</v>
      </c>
    </row>
    <row r="2" spans="1:6">
      <c r="A2">
        <v>12</v>
      </c>
      <c r="B2">
        <v>23</v>
      </c>
      <c r="C2" t="s">
        <v>1913</v>
      </c>
      <c r="D2">
        <v>15</v>
      </c>
      <c r="E2">
        <v>38</v>
      </c>
      <c r="F2" t="s">
        <v>77</v>
      </c>
    </row>
    <row r="3" spans="1:6">
      <c r="A3">
        <v>17</v>
      </c>
      <c r="B3">
        <v>38</v>
      </c>
      <c r="C3" t="s">
        <v>1914</v>
      </c>
      <c r="D3">
        <v>-3</v>
      </c>
      <c r="F3" t="s">
        <v>77</v>
      </c>
    </row>
    <row r="4" spans="1:6">
      <c r="A4">
        <v>44</v>
      </c>
      <c r="B4">
        <v>5</v>
      </c>
      <c r="C4" t="s">
        <v>105</v>
      </c>
      <c r="D4">
        <v>-7</v>
      </c>
      <c r="E4">
        <v>10</v>
      </c>
      <c r="F4" t="s">
        <v>77</v>
      </c>
    </row>
    <row r="5" spans="1:6">
      <c r="A5">
        <v>45</v>
      </c>
      <c r="B5">
        <v>13</v>
      </c>
      <c r="C5" t="s">
        <v>161</v>
      </c>
      <c r="D5">
        <v>-9</v>
      </c>
      <c r="E5">
        <v>-10</v>
      </c>
      <c r="F5" t="s">
        <v>77</v>
      </c>
    </row>
    <row r="6" spans="1:6">
      <c r="A6">
        <v>57</v>
      </c>
      <c r="B6">
        <v>27</v>
      </c>
      <c r="C6" t="s">
        <v>1886</v>
      </c>
      <c r="D6">
        <v>2</v>
      </c>
      <c r="E6">
        <v>6</v>
      </c>
      <c r="F6" t="s">
        <v>77</v>
      </c>
    </row>
    <row r="7" spans="1:6">
      <c r="A7">
        <v>59</v>
      </c>
      <c r="B7">
        <v>36</v>
      </c>
      <c r="C7" t="s">
        <v>94</v>
      </c>
      <c r="D7">
        <v>1</v>
      </c>
      <c r="E7">
        <v>5000</v>
      </c>
      <c r="F7" t="s">
        <v>77</v>
      </c>
    </row>
    <row r="8" spans="1:6">
      <c r="A8">
        <v>73</v>
      </c>
      <c r="B8">
        <v>38</v>
      </c>
      <c r="C8" t="s">
        <v>1887</v>
      </c>
      <c r="D8">
        <v>2</v>
      </c>
      <c r="E8">
        <v>-4</v>
      </c>
      <c r="F8" t="s">
        <v>77</v>
      </c>
    </row>
    <row r="9" spans="1:6">
      <c r="A9">
        <v>74</v>
      </c>
      <c r="B9">
        <v>52</v>
      </c>
      <c r="C9" t="s">
        <v>149</v>
      </c>
      <c r="D9">
        <v>15</v>
      </c>
      <c r="E9">
        <v>36</v>
      </c>
      <c r="F9" t="s">
        <v>77</v>
      </c>
    </row>
    <row r="10" spans="1:6">
      <c r="A10">
        <v>93</v>
      </c>
      <c r="B10">
        <v>18</v>
      </c>
      <c r="C10" t="s">
        <v>1915</v>
      </c>
      <c r="D10">
        <v>2</v>
      </c>
      <c r="E10">
        <v>4</v>
      </c>
      <c r="F10" t="s">
        <v>77</v>
      </c>
    </row>
    <row r="11" spans="1:6">
      <c r="A11">
        <v>100</v>
      </c>
      <c r="B11">
        <v>35</v>
      </c>
      <c r="C11" t="s">
        <v>1916</v>
      </c>
      <c r="D11">
        <v>0</v>
      </c>
      <c r="E11">
        <v>2</v>
      </c>
      <c r="F11" t="s">
        <v>77</v>
      </c>
    </row>
    <row r="12" spans="1:6">
      <c r="A12">
        <v>130</v>
      </c>
      <c r="B12">
        <v>1</v>
      </c>
      <c r="C12" t="s">
        <v>1890</v>
      </c>
      <c r="D12">
        <v>41</v>
      </c>
      <c r="F12" t="s">
        <v>77</v>
      </c>
    </row>
    <row r="13" spans="1:6">
      <c r="A13">
        <v>161</v>
      </c>
      <c r="B13">
        <v>46</v>
      </c>
      <c r="C13" t="s">
        <v>1917</v>
      </c>
      <c r="D13">
        <v>31</v>
      </c>
      <c r="E13">
        <v>51</v>
      </c>
      <c r="F13" t="s">
        <v>77</v>
      </c>
    </row>
    <row r="14" spans="1:6">
      <c r="A14">
        <v>168</v>
      </c>
      <c r="B14">
        <v>22</v>
      </c>
      <c r="C14" t="s">
        <v>428</v>
      </c>
      <c r="D14">
        <v>-1</v>
      </c>
      <c r="E14">
        <v>-7</v>
      </c>
      <c r="F14" t="s">
        <v>77</v>
      </c>
    </row>
    <row r="15" spans="1:6">
      <c r="A15">
        <v>173</v>
      </c>
      <c r="B15">
        <v>36</v>
      </c>
      <c r="C15" t="s">
        <v>400</v>
      </c>
      <c r="D15">
        <v>19</v>
      </c>
      <c r="E15">
        <v>59</v>
      </c>
      <c r="F15" t="s">
        <v>77</v>
      </c>
    </row>
    <row r="16" spans="1:6">
      <c r="A16">
        <v>176</v>
      </c>
      <c r="B16">
        <v>39</v>
      </c>
      <c r="C16" t="s">
        <v>481</v>
      </c>
      <c r="D16">
        <v>-5</v>
      </c>
      <c r="E16">
        <v>-12</v>
      </c>
      <c r="F16" t="s">
        <v>77</v>
      </c>
    </row>
    <row r="17" spans="1:6">
      <c r="A17">
        <v>195</v>
      </c>
      <c r="B17">
        <v>13</v>
      </c>
      <c r="C17" t="s">
        <v>450</v>
      </c>
      <c r="D17">
        <v>-1</v>
      </c>
      <c r="E17">
        <v>2</v>
      </c>
      <c r="F17" t="s">
        <v>77</v>
      </c>
    </row>
    <row r="18" spans="1:6">
      <c r="A18">
        <v>217</v>
      </c>
      <c r="B18">
        <v>14</v>
      </c>
      <c r="C18" t="s">
        <v>1918</v>
      </c>
      <c r="D18">
        <v>2</v>
      </c>
      <c r="F18" t="s">
        <v>77</v>
      </c>
    </row>
    <row r="19" spans="1:6">
      <c r="A19">
        <v>230</v>
      </c>
      <c r="B19">
        <v>43</v>
      </c>
      <c r="C19" t="s">
        <v>548</v>
      </c>
      <c r="D19">
        <v>-10</v>
      </c>
      <c r="E19">
        <v>-3</v>
      </c>
      <c r="F19" t="s">
        <v>77</v>
      </c>
    </row>
    <row r="20" spans="1:6">
      <c r="A20">
        <v>242</v>
      </c>
      <c r="B20">
        <v>34</v>
      </c>
      <c r="C20" t="s">
        <v>605</v>
      </c>
      <c r="D20">
        <v>-2</v>
      </c>
      <c r="E20">
        <v>0</v>
      </c>
      <c r="F20" t="s">
        <v>77</v>
      </c>
    </row>
    <row r="21" spans="1:6">
      <c r="A21">
        <v>248</v>
      </c>
      <c r="B21">
        <v>26</v>
      </c>
      <c r="C21" t="s">
        <v>614</v>
      </c>
      <c r="D21">
        <v>-7</v>
      </c>
      <c r="E21">
        <v>-999</v>
      </c>
      <c r="F21" t="s">
        <v>77</v>
      </c>
    </row>
    <row r="22" spans="1:6">
      <c r="A22">
        <v>260</v>
      </c>
      <c r="B22">
        <v>30</v>
      </c>
      <c r="C22" t="s">
        <v>560</v>
      </c>
      <c r="D22">
        <v>13</v>
      </c>
      <c r="E22">
        <v>27</v>
      </c>
      <c r="F22" t="s">
        <v>77</v>
      </c>
    </row>
    <row r="23" spans="1:6">
      <c r="A23">
        <v>289</v>
      </c>
      <c r="B23">
        <v>45</v>
      </c>
      <c r="C23" t="s">
        <v>565</v>
      </c>
      <c r="D23">
        <v>95</v>
      </c>
      <c r="E23">
        <v>143</v>
      </c>
      <c r="F23" t="s">
        <v>77</v>
      </c>
    </row>
    <row r="24" spans="1:6">
      <c r="A24">
        <v>299</v>
      </c>
      <c r="B24">
        <v>36</v>
      </c>
      <c r="C24" t="s">
        <v>545</v>
      </c>
      <c r="D24">
        <v>-6</v>
      </c>
      <c r="E24">
        <v>-11</v>
      </c>
      <c r="F24" t="s">
        <v>77</v>
      </c>
    </row>
    <row r="25" spans="1:6">
      <c r="A25">
        <v>313</v>
      </c>
      <c r="B25">
        <v>17</v>
      </c>
      <c r="C25" t="s">
        <v>1919</v>
      </c>
      <c r="D25">
        <v>3</v>
      </c>
      <c r="E25">
        <v>15</v>
      </c>
      <c r="F25" t="s">
        <v>77</v>
      </c>
    </row>
    <row r="26" spans="1:6">
      <c r="A26">
        <v>321</v>
      </c>
      <c r="B26">
        <v>29</v>
      </c>
      <c r="C26" t="s">
        <v>1920</v>
      </c>
      <c r="D26">
        <v>-2</v>
      </c>
      <c r="E26">
        <v>-5</v>
      </c>
      <c r="F26" t="s">
        <v>77</v>
      </c>
    </row>
    <row r="27" spans="1:6">
      <c r="A27">
        <v>328</v>
      </c>
      <c r="B27">
        <v>52</v>
      </c>
      <c r="C27" t="s">
        <v>776</v>
      </c>
      <c r="D27">
        <v>-5</v>
      </c>
      <c r="E27">
        <v>-2</v>
      </c>
      <c r="F27" t="s">
        <v>77</v>
      </c>
    </row>
    <row r="28" spans="1:6">
      <c r="A28">
        <v>344</v>
      </c>
      <c r="B28">
        <v>49</v>
      </c>
      <c r="C28" t="s">
        <v>1921</v>
      </c>
      <c r="D28">
        <v>71</v>
      </c>
      <c r="E28">
        <v>155</v>
      </c>
      <c r="F28" t="s">
        <v>77</v>
      </c>
    </row>
    <row r="29" spans="1:6">
      <c r="A29">
        <v>364</v>
      </c>
      <c r="B29">
        <v>37</v>
      </c>
      <c r="C29" t="s">
        <v>1922</v>
      </c>
      <c r="D29">
        <v>-6</v>
      </c>
      <c r="F29" t="s">
        <v>77</v>
      </c>
    </row>
    <row r="30" spans="1:6">
      <c r="A30">
        <v>384</v>
      </c>
      <c r="B30">
        <v>36</v>
      </c>
      <c r="C30" t="s">
        <v>802</v>
      </c>
      <c r="D30">
        <v>34</v>
      </c>
      <c r="E30">
        <v>111</v>
      </c>
      <c r="F30" t="s">
        <v>77</v>
      </c>
    </row>
    <row r="31" spans="1:6">
      <c r="A31">
        <v>411</v>
      </c>
      <c r="B31">
        <v>27</v>
      </c>
      <c r="C31" t="s">
        <v>1923</v>
      </c>
      <c r="D31">
        <v>36</v>
      </c>
      <c r="E31">
        <v>91</v>
      </c>
      <c r="F31" t="s">
        <v>77</v>
      </c>
    </row>
    <row r="32" spans="1:6">
      <c r="A32">
        <v>454</v>
      </c>
      <c r="B32">
        <v>20</v>
      </c>
      <c r="C32" t="s">
        <v>1924</v>
      </c>
      <c r="D32">
        <v>5</v>
      </c>
      <c r="F32" t="s">
        <v>77</v>
      </c>
    </row>
    <row r="33" spans="1:6">
      <c r="A33">
        <v>463</v>
      </c>
      <c r="B33">
        <v>12</v>
      </c>
      <c r="C33" t="s">
        <v>905</v>
      </c>
      <c r="D33">
        <v>21</v>
      </c>
      <c r="E33">
        <v>53</v>
      </c>
      <c r="F33" t="s">
        <v>77</v>
      </c>
    </row>
    <row r="34" spans="1:6">
      <c r="A34">
        <v>490</v>
      </c>
      <c r="B34">
        <v>47</v>
      </c>
      <c r="C34" t="s">
        <v>1094</v>
      </c>
      <c r="D34">
        <v>70</v>
      </c>
      <c r="E34">
        <v>-999</v>
      </c>
      <c r="F34" t="s">
        <v>77</v>
      </c>
    </row>
    <row r="35" spans="1:6">
      <c r="A35">
        <v>496</v>
      </c>
      <c r="B35">
        <v>2</v>
      </c>
      <c r="C35" t="s">
        <v>1021</v>
      </c>
      <c r="D35">
        <v>-5</v>
      </c>
      <c r="E35">
        <v>0</v>
      </c>
      <c r="F35" t="s">
        <v>77</v>
      </c>
    </row>
    <row r="36" spans="1:6">
      <c r="A36">
        <v>501</v>
      </c>
      <c r="B36">
        <v>29</v>
      </c>
      <c r="C36" t="s">
        <v>1026</v>
      </c>
      <c r="D36">
        <v>20</v>
      </c>
      <c r="E36">
        <v>82</v>
      </c>
      <c r="F36" t="s">
        <v>77</v>
      </c>
    </row>
    <row r="37" spans="1:6">
      <c r="A37">
        <v>503</v>
      </c>
      <c r="B37">
        <v>49</v>
      </c>
      <c r="C37" t="s">
        <v>1925</v>
      </c>
      <c r="D37">
        <v>1</v>
      </c>
      <c r="F37" t="s">
        <v>77</v>
      </c>
    </row>
    <row r="38" spans="1:6">
      <c r="A38">
        <v>509</v>
      </c>
      <c r="B38">
        <v>35</v>
      </c>
      <c r="C38" t="s">
        <v>889</v>
      </c>
      <c r="D38">
        <v>-3</v>
      </c>
      <c r="E38">
        <v>9999</v>
      </c>
      <c r="F38" t="s">
        <v>77</v>
      </c>
    </row>
    <row r="39" spans="1:6">
      <c r="A39">
        <v>551</v>
      </c>
      <c r="B39">
        <v>9</v>
      </c>
      <c r="C39" t="s">
        <v>1177</v>
      </c>
      <c r="D39">
        <v>0</v>
      </c>
      <c r="E39">
        <v>4</v>
      </c>
      <c r="F39" t="s">
        <v>77</v>
      </c>
    </row>
    <row r="40" spans="1:6">
      <c r="A40">
        <v>556</v>
      </c>
      <c r="B40">
        <v>1</v>
      </c>
      <c r="C40" t="s">
        <v>1903</v>
      </c>
      <c r="D40">
        <v>-1</v>
      </c>
      <c r="E40">
        <v>-1</v>
      </c>
      <c r="F40" t="s">
        <v>77</v>
      </c>
    </row>
    <row r="41" spans="1:6">
      <c r="A41">
        <v>562</v>
      </c>
      <c r="B41">
        <v>42</v>
      </c>
      <c r="C41" t="s">
        <v>1128</v>
      </c>
      <c r="D41">
        <v>13</v>
      </c>
      <c r="E41">
        <v>59</v>
      </c>
      <c r="F41" t="s">
        <v>77</v>
      </c>
    </row>
    <row r="42" spans="1:6">
      <c r="A42">
        <v>565</v>
      </c>
      <c r="B42">
        <v>19</v>
      </c>
      <c r="C42" t="s">
        <v>1191</v>
      </c>
      <c r="D42">
        <v>0</v>
      </c>
      <c r="E42">
        <v>-8</v>
      </c>
      <c r="F42" t="s">
        <v>77</v>
      </c>
    </row>
    <row r="43" spans="1:6">
      <c r="A43">
        <v>585</v>
      </c>
      <c r="B43">
        <v>41</v>
      </c>
      <c r="C43" t="s">
        <v>1300</v>
      </c>
      <c r="D43">
        <v>-1</v>
      </c>
      <c r="E43">
        <v>-999</v>
      </c>
      <c r="F43" t="s">
        <v>77</v>
      </c>
    </row>
    <row r="44" spans="1:6">
      <c r="A44">
        <v>601</v>
      </c>
      <c r="B44">
        <v>24</v>
      </c>
      <c r="C44" t="s">
        <v>1148</v>
      </c>
      <c r="D44">
        <v>19</v>
      </c>
      <c r="E44">
        <v>2500</v>
      </c>
      <c r="F44" t="s">
        <v>77</v>
      </c>
    </row>
    <row r="45" spans="1:6">
      <c r="A45">
        <v>607</v>
      </c>
      <c r="B45">
        <v>33</v>
      </c>
      <c r="C45" t="s">
        <v>1047</v>
      </c>
      <c r="D45">
        <v>7</v>
      </c>
      <c r="E45">
        <v>-13</v>
      </c>
      <c r="F45" t="s">
        <v>77</v>
      </c>
    </row>
    <row r="46" spans="1:6">
      <c r="A46">
        <v>640</v>
      </c>
      <c r="B46">
        <v>46</v>
      </c>
      <c r="C46" t="s">
        <v>1265</v>
      </c>
      <c r="D46">
        <v>6</v>
      </c>
      <c r="E46">
        <v>-5</v>
      </c>
      <c r="F46" t="s">
        <v>77</v>
      </c>
    </row>
    <row r="47" spans="1:6">
      <c r="A47">
        <v>652</v>
      </c>
      <c r="B47">
        <v>36</v>
      </c>
      <c r="C47" t="s">
        <v>1277</v>
      </c>
      <c r="D47">
        <v>-5</v>
      </c>
      <c r="E47">
        <v>-4</v>
      </c>
      <c r="F47" t="s">
        <v>77</v>
      </c>
    </row>
    <row r="48" spans="1:6">
      <c r="A48">
        <v>654</v>
      </c>
      <c r="B48">
        <v>17</v>
      </c>
      <c r="C48" t="s">
        <v>1439</v>
      </c>
      <c r="D48">
        <v>-2</v>
      </c>
      <c r="E48">
        <v>-8</v>
      </c>
      <c r="F48" t="s">
        <v>77</v>
      </c>
    </row>
    <row r="49" spans="1:6">
      <c r="A49">
        <v>655</v>
      </c>
      <c r="B49">
        <v>35</v>
      </c>
      <c r="C49" t="s">
        <v>1133</v>
      </c>
      <c r="D49">
        <v>-10</v>
      </c>
      <c r="E49">
        <v>5000</v>
      </c>
      <c r="F49" t="s">
        <v>77</v>
      </c>
    </row>
    <row r="50" spans="1:6">
      <c r="A50">
        <v>661</v>
      </c>
      <c r="B50">
        <v>25</v>
      </c>
      <c r="C50" t="s">
        <v>1385</v>
      </c>
      <c r="D50">
        <v>126</v>
      </c>
      <c r="F50" t="s">
        <v>77</v>
      </c>
    </row>
    <row r="51" spans="1:6">
      <c r="A51">
        <v>662</v>
      </c>
      <c r="B51">
        <v>3</v>
      </c>
      <c r="C51" t="s">
        <v>1385</v>
      </c>
      <c r="D51">
        <v>2</v>
      </c>
      <c r="E51">
        <v>2</v>
      </c>
      <c r="F51" t="s">
        <v>77</v>
      </c>
    </row>
    <row r="52" spans="1:6">
      <c r="A52">
        <v>667</v>
      </c>
      <c r="B52">
        <v>13</v>
      </c>
      <c r="C52" t="s">
        <v>1308</v>
      </c>
      <c r="D52">
        <v>0</v>
      </c>
      <c r="E52">
        <v>2</v>
      </c>
      <c r="F52" t="s">
        <v>77</v>
      </c>
    </row>
    <row r="53" spans="1:6">
      <c r="A53">
        <v>684</v>
      </c>
      <c r="B53">
        <v>46</v>
      </c>
      <c r="C53" t="s">
        <v>1434</v>
      </c>
      <c r="D53">
        <v>0</v>
      </c>
      <c r="E53">
        <v>-11</v>
      </c>
      <c r="F53" t="s">
        <v>77</v>
      </c>
    </row>
    <row r="54" spans="1:6">
      <c r="A54">
        <v>688</v>
      </c>
      <c r="B54">
        <v>13</v>
      </c>
      <c r="C54" t="s">
        <v>1493</v>
      </c>
      <c r="D54">
        <v>4</v>
      </c>
      <c r="E54">
        <v>-10</v>
      </c>
      <c r="F54" t="s">
        <v>77</v>
      </c>
    </row>
    <row r="55" spans="1:6">
      <c r="A55">
        <v>701</v>
      </c>
      <c r="B55">
        <v>1</v>
      </c>
      <c r="C55" t="s">
        <v>1926</v>
      </c>
      <c r="D55">
        <v>1</v>
      </c>
      <c r="E55">
        <v>9999</v>
      </c>
      <c r="F55" t="s">
        <v>77</v>
      </c>
    </row>
    <row r="56" spans="1:6">
      <c r="A56">
        <v>710</v>
      </c>
      <c r="B56">
        <v>37</v>
      </c>
      <c r="C56" t="s">
        <v>1908</v>
      </c>
      <c r="D56">
        <v>16</v>
      </c>
      <c r="F56" t="s">
        <v>77</v>
      </c>
    </row>
  </sheetData>
  <autoFilter ref="A1:F56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2E75B6"/>
  </sheetPr>
  <dimension ref="A1:AE64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30" width="15.7109375" customWidth="1"/>
  </cols>
  <sheetData>
    <row r="1" spans="1:31">
      <c r="A1" s="5" t="s">
        <v>1927</v>
      </c>
      <c r="B1" s="5" t="s">
        <v>1928</v>
      </c>
      <c r="C1" s="5" t="s">
        <v>1929</v>
      </c>
      <c r="D1" s="5" t="s">
        <v>1930</v>
      </c>
      <c r="E1" s="5" t="s">
        <v>1931</v>
      </c>
      <c r="F1" s="5" t="s">
        <v>1932</v>
      </c>
      <c r="G1" s="5" t="s">
        <v>1933</v>
      </c>
      <c r="H1" s="5" t="s">
        <v>1934</v>
      </c>
      <c r="I1" s="5" t="s">
        <v>1935</v>
      </c>
      <c r="J1" s="5" t="s">
        <v>1936</v>
      </c>
      <c r="K1" s="5" t="s">
        <v>1937</v>
      </c>
      <c r="L1" s="5" t="s">
        <v>1938</v>
      </c>
      <c r="M1" s="5" t="s">
        <v>1939</v>
      </c>
      <c r="N1" s="5" t="s">
        <v>1940</v>
      </c>
      <c r="O1" s="5" t="s">
        <v>1941</v>
      </c>
      <c r="P1" s="5" t="s">
        <v>1942</v>
      </c>
      <c r="Q1" s="5" t="s">
        <v>1943</v>
      </c>
      <c r="R1" s="5" t="s">
        <v>1944</v>
      </c>
      <c r="S1" s="5" t="s">
        <v>1945</v>
      </c>
      <c r="T1" s="5" t="s">
        <v>1946</v>
      </c>
      <c r="U1" s="5" t="s">
        <v>1947</v>
      </c>
      <c r="V1" s="5" t="s">
        <v>1948</v>
      </c>
      <c r="W1" s="5" t="s">
        <v>1949</v>
      </c>
      <c r="X1" s="5" t="s">
        <v>1950</v>
      </c>
      <c r="Y1" s="5" t="s">
        <v>1951</v>
      </c>
      <c r="Z1" s="5" t="s">
        <v>1952</v>
      </c>
      <c r="AA1" s="5" t="s">
        <v>1953</v>
      </c>
      <c r="AB1" s="5" t="s">
        <v>1954</v>
      </c>
      <c r="AC1" s="5" t="s">
        <v>1955</v>
      </c>
      <c r="AE1" s="9" t="s">
        <v>1956</v>
      </c>
    </row>
    <row r="2" spans="1:31">
      <c r="A2" s="7">
        <f>Raw_Bookings!A2</f>
        <v>1000611</v>
      </c>
      <c r="B2" s="7">
        <f>IF(COUNTIF(Raw_Bookings!$A$2:A2,Raw_Bookings!A2)&gt;1,1,0)</f>
        <v>0</v>
      </c>
      <c r="C2" s="7" t="str">
        <f>Raw_Bookings!D2&amp;""</f>
        <v>2024-09-04</v>
      </c>
      <c r="D2" s="7" t="str">
        <f>IF(AND(LEN(C2)=10,MID(C2,5,1)="-",MID(C2,8,1)="-"),"ISO",IF(AND(LEN(C2)=10,MID(C2,3,1)="-",MID(C2,6,1)="-"),"DMY","OTHER"))</f>
        <v>ISO</v>
      </c>
      <c r="E2" s="7">
        <f>IF(D2="ISO",VALUE(LEFT(C2,4)),IF(D2="DMY",VALUE(RIGHT(C2,4)),0))</f>
        <v>2024</v>
      </c>
      <c r="F2" s="7">
        <f>IF(D2="ISO",VALUE(MID(C2,6,2)),IF(D2="DMY",VALUE(MID(C2,4,2)),0))</f>
        <v>9</v>
      </c>
      <c r="G2" s="7">
        <f>IF(D2="ISO",VALUE(RIGHT(C2,2)),IF(D2="DMY",VALUE(LEFT(C2,2)),0))</f>
        <v>4</v>
      </c>
      <c r="H2" s="7">
        <f>IF(AND(D2&lt;&gt;"OTHER",F2&gt;=1,F2&lt;=12,G2&gt;=1,G2&lt;=31),IF(AND(MONTH(DATE(E2,F2,G2))=F2,DAY(DATE(E2,F2,G2))=G2),1,0),0)</f>
        <v>1</v>
      </c>
      <c r="I2" s="7">
        <f>IF(H2=1,DATE(E2,F2,G2),"")</f>
        <v>45539.0</v>
      </c>
      <c r="J2" s="7">
        <f>IF(AND(D2="DMY",H2=1),1,0)</f>
        <v>0</v>
      </c>
      <c r="K2" s="7">
        <f>IF(H2=0,1,0)</f>
        <v>0</v>
      </c>
      <c r="L2" s="7">
        <f>IF(TRIM(Raw_Bookings!I2&amp;"")="",1,0)</f>
        <v>0</v>
      </c>
      <c r="M2" s="7">
        <f>IF(L2=1,"",DATEVALUE(LEFT(Raw_Bookings!I2,10))+TIMEVALUE(MID(Raw_Bookings!I2,12,8)))</f>
        <v>45470.842002314814</v>
      </c>
      <c r="N2" s="7">
        <f>IF(AND(L2=0,H2=1),IF(INT(M2)&gt;I2,1,0),0)</f>
        <v>0</v>
      </c>
      <c r="O2" s="7" t="str">
        <f>UPPER(TRIM(Raw_Bookings!F2))</f>
        <v>MAU</v>
      </c>
      <c r="P2" s="7" t="str">
        <f>UPPER(TRIM(Raw_Bookings!G2))</f>
        <v>DEL</v>
      </c>
      <c r="Q2" s="7">
        <f>IF(COUNTIF(Lookup_Stations!$A$2:$A$33,O2)&gt;0,1,0)</f>
        <v>1</v>
      </c>
      <c r="R2" s="7">
        <f>IF(COUNTIF(Lookup_Stations!$A$2:$A$33,P2)&gt;0,1,0)</f>
        <v>1</v>
      </c>
      <c r="S2" s="7">
        <f>IF(OR(AND(Q2=1,NOT(EXACT(Raw_Bookings!F2,O2))),AND(R2=1,NOT(EXACT(Raw_Bookings!G2,P2)))),1,0)</f>
        <v>0</v>
      </c>
      <c r="T2" s="7">
        <f>IF(OR(Q2=0,R2=0),1,0)</f>
        <v>0</v>
      </c>
      <c r="U2" s="7">
        <f>IF(TRIM(Raw_Bookings!E2&amp;"")="",1,0)</f>
        <v>0</v>
      </c>
      <c r="V2" s="7" t="str">
        <f>IF(SUMPRODUCT(--(Lookup_Status!$A$2:$A$13=LOWER(TRIM(Raw_Bookings!K2))))=0,"",INDEX(Lookup_Status!$B$2:$B$13,SUMPRODUCT((Lookup_Status!$A$2:$A$13=LOWER(TRIM(Raw_Bookings!K2)))*(ROW(Lookup_Status!$A$2:$A$13)-1))))</f>
        <v>Confirmed</v>
      </c>
      <c r="W2" s="7">
        <f>IF(AND(V2&lt;&gt;"",NOT(EXACT(Raw_Bookings!K2,V2))),1,0)</f>
        <v>0</v>
      </c>
      <c r="X2" s="7">
        <f>IF(V2="",1,0)</f>
        <v>0</v>
      </c>
      <c r="Y2" s="7">
        <f>IF(TRIM(Raw_Bookings!L2&amp;"")="",1,0)</f>
        <v>0</v>
      </c>
      <c r="Z2" s="7">
        <f>IF(AND(ISTEXT(Raw_Bookings!L2),Y2=0),1,0)</f>
        <v>0</v>
      </c>
      <c r="AA2" s="7">
        <f>IF(Z2=1,IFERROR(VALUE(SUBSTITUTE(SUBSTITUTE(SUBSTITUTE(SUBSTITUTE(SUBSTITUTE(UPPER(Raw_Bookings!L2),"RS.",""),"₹",""),",","")," ",""),"INR","")),""),"")</f>
        <v/>
      </c>
      <c r="AB2" s="7">
        <f>IF(AND(Z2=1,ISNUMBER(AA2)),1,0)</f>
        <v>0</v>
      </c>
      <c r="AC2" s="7">
        <f>IF(B2=1,0,IF(NOT(ISNUMBER(Raw_Bookings!J2)),1,IF(Raw_Bookings!J2&lt;&gt;COUNTIFS(Work_Passengers!$B$2:$B$1336,Raw_Bookings!A2,Work_Passengers!$C$2:$C$1336,0),1,0)))</f>
        <v>0</v>
      </c>
    </row>
    <row r="3" spans="1:31">
      <c r="A3" s="7">
        <f>Raw_Bookings!A3</f>
        <v>1001896</v>
      </c>
      <c r="B3" s="7">
        <f>IF(COUNTIF(Raw_Bookings!$A$2:A3,Raw_Bookings!A3)&gt;1,1,0)</f>
        <v>0</v>
      </c>
      <c r="C3" s="7" t="str">
        <f>Raw_Bookings!D3&amp;""</f>
        <v>2024-09-16</v>
      </c>
      <c r="D3" s="7" t="str">
        <f>IF(AND(LEN(C3)=10,MID(C3,5,1)="-",MID(C3,8,1)="-"),"ISO",IF(AND(LEN(C3)=10,MID(C3,3,1)="-",MID(C3,6,1)="-"),"DMY","OTHER"))</f>
        <v>ISO</v>
      </c>
      <c r="E3" s="7">
        <f>IF(D3="ISO",VALUE(LEFT(C3,4)),IF(D3="DMY",VALUE(RIGHT(C3,4)),0))</f>
        <v>2024</v>
      </c>
      <c r="F3" s="7">
        <f>IF(D3="ISO",VALUE(MID(C3,6,2)),IF(D3="DMY",VALUE(MID(C3,4,2)),0))</f>
        <v>9</v>
      </c>
      <c r="G3" s="7">
        <f>IF(D3="ISO",VALUE(RIGHT(C3,2)),IF(D3="DMY",VALUE(LEFT(C3,2)),0))</f>
        <v>16</v>
      </c>
      <c r="H3" s="7">
        <f>IF(AND(D3&lt;&gt;"OTHER",F3&gt;=1,F3&lt;=12,G3&gt;=1,G3&lt;=31),IF(AND(MONTH(DATE(E3,F3,G3))=F3,DAY(DATE(E3,F3,G3))=G3),1,0),0)</f>
        <v>1</v>
      </c>
      <c r="I3" s="7">
        <f>IF(H3=1,DATE(E3,F3,G3),"")</f>
        <v>45551.0</v>
      </c>
      <c r="J3" s="7">
        <f>IF(AND(D3="DMY",H3=1),1,0)</f>
        <v>0</v>
      </c>
      <c r="K3" s="7">
        <f>IF(H3=0,1,0)</f>
        <v>0</v>
      </c>
      <c r="L3" s="7">
        <f>IF(TRIM(Raw_Bookings!I3&amp;"")="",1,0)</f>
        <v>0</v>
      </c>
      <c r="M3" s="7">
        <f>IF(L3=1,"",DATEVALUE(LEFT(Raw_Bookings!I3,10))+TIMEVALUE(MID(Raw_Bookings!I3,12,8)))</f>
        <v>45499.657997685186</v>
      </c>
      <c r="N3" s="7">
        <f>IF(AND(L3=0,H3=1),IF(INT(M3)&gt;I3,1,0),0)</f>
        <v>0</v>
      </c>
      <c r="O3" s="7" t="str">
        <f>UPPER(TRIM(Raw_Bookings!F3))</f>
        <v>DEH</v>
      </c>
      <c r="P3" s="7" t="str">
        <f>UPPER(TRIM(Raw_Bookings!G3))</f>
        <v>PUN</v>
      </c>
      <c r="Q3" s="7">
        <f>IF(COUNTIF(Lookup_Stations!$A$2:$A$33,O3)&gt;0,1,0)</f>
        <v>1</v>
      </c>
      <c r="R3" s="7">
        <f>IF(COUNTIF(Lookup_Stations!$A$2:$A$33,P3)&gt;0,1,0)</f>
        <v>1</v>
      </c>
      <c r="S3" s="7">
        <f>IF(OR(AND(Q3=1,NOT(EXACT(Raw_Bookings!F3,O3))),AND(R3=1,NOT(EXACT(Raw_Bookings!G3,P3)))),1,0)</f>
        <v>0</v>
      </c>
      <c r="T3" s="7">
        <f>IF(OR(Q3=0,R3=0),1,0)</f>
        <v>0</v>
      </c>
      <c r="U3" s="7">
        <f>IF(TRIM(Raw_Bookings!E3&amp;"")="",1,0)</f>
        <v>0</v>
      </c>
      <c r="V3" s="7" t="str">
        <f>IF(SUMPRODUCT(--(Lookup_Status!$A$2:$A$13=LOWER(TRIM(Raw_Bookings!K3))))=0,"",INDEX(Lookup_Status!$B$2:$B$13,SUMPRODUCT((Lookup_Status!$A$2:$A$13=LOWER(TRIM(Raw_Bookings!K3)))*(ROW(Lookup_Status!$A$2:$A$13)-1))))</f>
        <v>Confirmed</v>
      </c>
      <c r="W3" s="7">
        <f>IF(AND(V3&lt;&gt;"",NOT(EXACT(Raw_Bookings!K3,V3))),1,0)</f>
        <v>0</v>
      </c>
      <c r="X3" s="7">
        <f>IF(V3="",1,0)</f>
        <v>0</v>
      </c>
      <c r="Y3" s="7">
        <f>IF(TRIM(Raw_Bookings!L3&amp;"")="",1,0)</f>
        <v>0</v>
      </c>
      <c r="Z3" s="7">
        <f>IF(AND(ISTEXT(Raw_Bookings!L3),Y3=0),1,0)</f>
        <v>0</v>
      </c>
      <c r="AA3" s="7">
        <f>IF(Z3=1,IFERROR(VALUE(SUBSTITUTE(SUBSTITUTE(SUBSTITUTE(SUBSTITUTE(SUBSTITUTE(UPPER(Raw_Bookings!L3),"RS.",""),"₹",""),",","")," ",""),"INR","")),""),"")</f>
        <v/>
      </c>
      <c r="AB3" s="7">
        <f>IF(AND(Z3=1,ISNUMBER(AA3)),1,0)</f>
        <v>0</v>
      </c>
      <c r="AC3" s="7">
        <f>IF(B3=1,0,IF(NOT(ISNUMBER(Raw_Bookings!J3)),1,IF(Raw_Bookings!J3&lt;&gt;COUNTIFS(Work_Passengers!$B$2:$B$1336,Raw_Bookings!A3,Work_Passengers!$C$2:$C$1336,0),1,0)))</f>
        <v>0</v>
      </c>
    </row>
    <row r="4" spans="1:31">
      <c r="A4" s="7">
        <f>Raw_Bookings!A4</f>
        <v>1002009</v>
      </c>
      <c r="B4" s="7">
        <f>IF(COUNTIF(Raw_Bookings!$A$2:A4,Raw_Bookings!A4)&gt;1,1,0)</f>
        <v>0</v>
      </c>
      <c r="C4" s="7" t="str">
        <f>Raw_Bookings!D4&amp;""</f>
        <v>2024-10-15</v>
      </c>
      <c r="D4" s="7" t="str">
        <f>IF(AND(LEN(C4)=10,MID(C4,5,1)="-",MID(C4,8,1)="-"),"ISO",IF(AND(LEN(C4)=10,MID(C4,3,1)="-",MID(C4,6,1)="-"),"DMY","OTHER"))</f>
        <v>ISO</v>
      </c>
      <c r="E4" s="7">
        <f>IF(D4="ISO",VALUE(LEFT(C4,4)),IF(D4="DMY",VALUE(RIGHT(C4,4)),0))</f>
        <v>2024</v>
      </c>
      <c r="F4" s="7">
        <f>IF(D4="ISO",VALUE(MID(C4,6,2)),IF(D4="DMY",VALUE(MID(C4,4,2)),0))</f>
        <v>10</v>
      </c>
      <c r="G4" s="7">
        <f>IF(D4="ISO",VALUE(RIGHT(C4,2)),IF(D4="DMY",VALUE(LEFT(C4,2)),0))</f>
        <v>15</v>
      </c>
      <c r="H4" s="7">
        <f>IF(AND(D4&lt;&gt;"OTHER",F4&gt;=1,F4&lt;=12,G4&gt;=1,G4&lt;=31),IF(AND(MONTH(DATE(E4,F4,G4))=F4,DAY(DATE(E4,F4,G4))=G4),1,0),0)</f>
        <v>1</v>
      </c>
      <c r="I4" s="7">
        <f>IF(H4=1,DATE(E4,F4,G4),"")</f>
        <v>45580.0</v>
      </c>
      <c r="J4" s="7">
        <f>IF(AND(D4="DMY",H4=1),1,0)</f>
        <v>0</v>
      </c>
      <c r="K4" s="7">
        <f>IF(H4=0,1,0)</f>
        <v>0</v>
      </c>
      <c r="L4" s="7">
        <f>IF(TRIM(Raw_Bookings!I4&amp;"")="",1,0)</f>
        <v>0</v>
      </c>
      <c r="M4" s="7">
        <f>IF(L4=1,"",DATEVALUE(LEFT(Raw_Bookings!I4,10))+TIMEVALUE(MID(Raw_Bookings!I4,12,8)))</f>
        <v>45501.39252314815</v>
      </c>
      <c r="N4" s="7">
        <f>IF(AND(L4=0,H4=1),IF(INT(M4)&gt;I4,1,0),0)</f>
        <v>0</v>
      </c>
      <c r="O4" s="7" t="str">
        <f>UPPER(TRIM(Raw_Bookings!F4))</f>
        <v>MUM</v>
      </c>
      <c r="P4" s="7" t="str">
        <f>UPPER(TRIM(Raw_Bookings!G4))</f>
        <v>BEN</v>
      </c>
      <c r="Q4" s="7">
        <f>IF(COUNTIF(Lookup_Stations!$A$2:$A$33,O4)&gt;0,1,0)</f>
        <v>1</v>
      </c>
      <c r="R4" s="7">
        <f>IF(COUNTIF(Lookup_Stations!$A$2:$A$33,P4)&gt;0,1,0)</f>
        <v>1</v>
      </c>
      <c r="S4" s="7">
        <f>IF(OR(AND(Q4=1,NOT(EXACT(Raw_Bookings!F4,O4))),AND(R4=1,NOT(EXACT(Raw_Bookings!G4,P4)))),1,0)</f>
        <v>0</v>
      </c>
      <c r="T4" s="7">
        <f>IF(OR(Q4=0,R4=0),1,0)</f>
        <v>0</v>
      </c>
      <c r="U4" s="7">
        <f>IF(TRIM(Raw_Bookings!E4&amp;"")="",1,0)</f>
        <v>1</v>
      </c>
      <c r="V4" s="7" t="str">
        <f>IF(SUMPRODUCT(--(Lookup_Status!$A$2:$A$13=LOWER(TRIM(Raw_Bookings!K4))))=0,"",INDEX(Lookup_Status!$B$2:$B$13,SUMPRODUCT((Lookup_Status!$A$2:$A$13=LOWER(TRIM(Raw_Bookings!K4)))*(ROW(Lookup_Status!$A$2:$A$13)-1))))</f>
        <v>Confirmed</v>
      </c>
      <c r="W4" s="7">
        <f>IF(AND(V4&lt;&gt;"",NOT(EXACT(Raw_Bookings!K4,V4))),1,0)</f>
        <v>0</v>
      </c>
      <c r="X4" s="7">
        <f>IF(V4="",1,0)</f>
        <v>0</v>
      </c>
      <c r="Y4" s="7">
        <f>IF(TRIM(Raw_Bookings!L4&amp;"")="",1,0)</f>
        <v>0</v>
      </c>
      <c r="Z4" s="7">
        <f>IF(AND(ISTEXT(Raw_Bookings!L4),Y4=0),1,0)</f>
        <v>0</v>
      </c>
      <c r="AA4" s="7">
        <f>IF(Z4=1,IFERROR(VALUE(SUBSTITUTE(SUBSTITUTE(SUBSTITUTE(SUBSTITUTE(SUBSTITUTE(UPPER(Raw_Bookings!L4),"RS.",""),"₹",""),",","")," ",""),"INR","")),""),"")</f>
        <v/>
      </c>
      <c r="AB4" s="7">
        <f>IF(AND(Z4=1,ISNUMBER(AA4)),1,0)</f>
        <v>0</v>
      </c>
      <c r="AC4" s="7">
        <f>IF(B4=1,0,IF(NOT(ISNUMBER(Raw_Bookings!J4)),1,IF(Raw_Bookings!J4&lt;&gt;COUNTIFS(Work_Passengers!$B$2:$B$1336,Raw_Bookings!A4,Work_Passengers!$C$2:$C$1336,0),1,0)))</f>
        <v>0</v>
      </c>
    </row>
    <row r="5" spans="1:31">
      <c r="A5" s="7">
        <f>Raw_Bookings!A5</f>
        <v>1002389</v>
      </c>
      <c r="B5" s="7">
        <f>IF(COUNTIF(Raw_Bookings!$A$2:A5,Raw_Bookings!A5)&gt;1,1,0)</f>
        <v>0</v>
      </c>
      <c r="C5" s="7" t="str">
        <f>Raw_Bookings!D5&amp;""</f>
        <v>2024-11-12</v>
      </c>
      <c r="D5" s="7" t="str">
        <f>IF(AND(LEN(C5)=10,MID(C5,5,1)="-",MID(C5,8,1)="-"),"ISO",IF(AND(LEN(C5)=10,MID(C5,3,1)="-",MID(C5,6,1)="-"),"DMY","OTHER"))</f>
        <v>ISO</v>
      </c>
      <c r="E5" s="7">
        <f>IF(D5="ISO",VALUE(LEFT(C5,4)),IF(D5="DMY",VALUE(RIGHT(C5,4)),0))</f>
        <v>2024</v>
      </c>
      <c r="F5" s="7">
        <f>IF(D5="ISO",VALUE(MID(C5,6,2)),IF(D5="DMY",VALUE(MID(C5,4,2)),0))</f>
        <v>11</v>
      </c>
      <c r="G5" s="7">
        <f>IF(D5="ISO",VALUE(RIGHT(C5,2)),IF(D5="DMY",VALUE(LEFT(C5,2)),0))</f>
        <v>12</v>
      </c>
      <c r="H5" s="7">
        <f>IF(AND(D5&lt;&gt;"OTHER",F5&gt;=1,F5&lt;=12,G5&gt;=1,G5&lt;=31),IF(AND(MONTH(DATE(E5,F5,G5))=F5,DAY(DATE(E5,F5,G5))=G5),1,0),0)</f>
        <v>1</v>
      </c>
      <c r="I5" s="7">
        <f>IF(H5=1,DATE(E5,F5,G5),"")</f>
        <v>45608.0</v>
      </c>
      <c r="J5" s="7">
        <f>IF(AND(D5="DMY",H5=1),1,0)</f>
        <v>0</v>
      </c>
      <c r="K5" s="7">
        <f>IF(H5=0,1,0)</f>
        <v>0</v>
      </c>
      <c r="L5" s="7">
        <f>IF(TRIM(Raw_Bookings!I5&amp;"")="",1,0)</f>
        <v>0</v>
      </c>
      <c r="M5" s="7">
        <f>IF(L5=1,"",DATEVALUE(LEFT(Raw_Bookings!I5,10))+TIMEVALUE(MID(Raw_Bookings!I5,12,8)))</f>
        <v>45506.344363425924</v>
      </c>
      <c r="N5" s="7">
        <f>IF(AND(L5=0,H5=1),IF(INT(M5)&gt;I5,1,0),0)</f>
        <v>0</v>
      </c>
      <c r="O5" s="7" t="str">
        <f>UPPER(TRIM(Raw_Bookings!F5))</f>
        <v>AHM</v>
      </c>
      <c r="P5" s="7" t="str">
        <f>UPPER(TRIM(Raw_Bookings!G5))</f>
        <v>CHE</v>
      </c>
      <c r="Q5" s="7">
        <f>IF(COUNTIF(Lookup_Stations!$A$2:$A$33,O5)&gt;0,1,0)</f>
        <v>1</v>
      </c>
      <c r="R5" s="7">
        <f>IF(COUNTIF(Lookup_Stations!$A$2:$A$33,P5)&gt;0,1,0)</f>
        <v>1</v>
      </c>
      <c r="S5" s="7">
        <f>IF(OR(AND(Q5=1,NOT(EXACT(Raw_Bookings!F5,O5))),AND(R5=1,NOT(EXACT(Raw_Bookings!G5,P5)))),1,0)</f>
        <v>0</v>
      </c>
      <c r="T5" s="7">
        <f>IF(OR(Q5=0,R5=0),1,0)</f>
        <v>0</v>
      </c>
      <c r="U5" s="7">
        <f>IF(TRIM(Raw_Bookings!E5&amp;"")="",1,0)</f>
        <v>0</v>
      </c>
      <c r="V5" s="7" t="str">
        <f>IF(SUMPRODUCT(--(Lookup_Status!$A$2:$A$13=LOWER(TRIM(Raw_Bookings!K5))))=0,"",INDEX(Lookup_Status!$B$2:$B$13,SUMPRODUCT((Lookup_Status!$A$2:$A$13=LOWER(TRIM(Raw_Bookings!K5)))*(ROW(Lookup_Status!$A$2:$A$13)-1))))</f>
        <v>Confirmed</v>
      </c>
      <c r="W5" s="7">
        <f>IF(AND(V5&lt;&gt;"",NOT(EXACT(Raw_Bookings!K5,V5))),1,0)</f>
        <v>0</v>
      </c>
      <c r="X5" s="7">
        <f>IF(V5="",1,0)</f>
        <v>0</v>
      </c>
      <c r="Y5" s="7">
        <f>IF(TRIM(Raw_Bookings!L5&amp;"")="",1,0)</f>
        <v>0</v>
      </c>
      <c r="Z5" s="7">
        <f>IF(AND(ISTEXT(Raw_Bookings!L5),Y5=0),1,0)</f>
        <v>0</v>
      </c>
      <c r="AA5" s="7">
        <f>IF(Z5=1,IFERROR(VALUE(SUBSTITUTE(SUBSTITUTE(SUBSTITUTE(SUBSTITUTE(SUBSTITUTE(UPPER(Raw_Bookings!L5),"RS.",""),"₹",""),",","")," ",""),"INR","")),""),"")</f>
        <v/>
      </c>
      <c r="AB5" s="7">
        <f>IF(AND(Z5=1,ISNUMBER(AA5)),1,0)</f>
        <v>0</v>
      </c>
      <c r="AC5" s="7">
        <f>IF(B5=1,0,IF(NOT(ISNUMBER(Raw_Bookings!J5)),1,IF(Raw_Bookings!J5&lt;&gt;COUNTIFS(Work_Passengers!$B$2:$B$1336,Raw_Bookings!A5,Work_Passengers!$C$2:$C$1336,0),1,0)))</f>
        <v>0</v>
      </c>
    </row>
    <row r="6" spans="1:31">
      <c r="A6" s="7">
        <f>Raw_Bookings!A6</f>
        <v>1002524</v>
      </c>
      <c r="B6" s="7">
        <f>IF(COUNTIF(Raw_Bookings!$A$2:A6,Raw_Bookings!A6)&gt;1,1,0)</f>
        <v>0</v>
      </c>
      <c r="C6" s="7" t="str">
        <f>Raw_Bookings!D6&amp;""</f>
        <v>2024-09-28</v>
      </c>
      <c r="D6" s="7" t="str">
        <f>IF(AND(LEN(C6)=10,MID(C6,5,1)="-",MID(C6,8,1)="-"),"ISO",IF(AND(LEN(C6)=10,MID(C6,3,1)="-",MID(C6,6,1)="-"),"DMY","OTHER"))</f>
        <v>ISO</v>
      </c>
      <c r="E6" s="7">
        <f>IF(D6="ISO",VALUE(LEFT(C6,4)),IF(D6="DMY",VALUE(RIGHT(C6,4)),0))</f>
        <v>2024</v>
      </c>
      <c r="F6" s="7">
        <f>IF(D6="ISO",VALUE(MID(C6,6,2)),IF(D6="DMY",VALUE(MID(C6,4,2)),0))</f>
        <v>9</v>
      </c>
      <c r="G6" s="7">
        <f>IF(D6="ISO",VALUE(RIGHT(C6,2)),IF(D6="DMY",VALUE(LEFT(C6,2)),0))</f>
        <v>28</v>
      </c>
      <c r="H6" s="7">
        <f>IF(AND(D6&lt;&gt;"OTHER",F6&gt;=1,F6&lt;=12,G6&gt;=1,G6&lt;=31),IF(AND(MONTH(DATE(E6,F6,G6))=F6,DAY(DATE(E6,F6,G6))=G6),1,0),0)</f>
        <v>1</v>
      </c>
      <c r="I6" s="7">
        <f>IF(H6=1,DATE(E6,F6,G6),"")</f>
        <v>45563.0</v>
      </c>
      <c r="J6" s="7">
        <f>IF(AND(D6="DMY",H6=1),1,0)</f>
        <v>0</v>
      </c>
      <c r="K6" s="7">
        <f>IF(H6=0,1,0)</f>
        <v>0</v>
      </c>
      <c r="L6" s="7">
        <f>IF(TRIM(Raw_Bookings!I6&amp;"")="",1,0)</f>
        <v>0</v>
      </c>
      <c r="M6" s="7">
        <f>IF(L6=1,"",DATEVALUE(LEFT(Raw_Bookings!I6,10))+TIMEVALUE(MID(Raw_Bookings!I6,12,8)))</f>
        <v>45507.52170138889</v>
      </c>
      <c r="N6" s="7">
        <f>IF(AND(L6=0,H6=1),IF(INT(M6)&gt;I6,1,0),0)</f>
        <v>0</v>
      </c>
      <c r="O6" s="7" t="str">
        <f>UPPER(TRIM(Raw_Bookings!F6))</f>
        <v>KOL</v>
      </c>
      <c r="P6" s="7" t="str">
        <f>UPPER(TRIM(Raw_Bookings!G6))</f>
        <v>HYD</v>
      </c>
      <c r="Q6" s="7">
        <f>IF(COUNTIF(Lookup_Stations!$A$2:$A$33,O6)&gt;0,1,0)</f>
        <v>1</v>
      </c>
      <c r="R6" s="7">
        <f>IF(COUNTIF(Lookup_Stations!$A$2:$A$33,P6)&gt;0,1,0)</f>
        <v>1</v>
      </c>
      <c r="S6" s="7">
        <f>IF(OR(AND(Q6=1,NOT(EXACT(Raw_Bookings!F6,O6))),AND(R6=1,NOT(EXACT(Raw_Bookings!G6,P6)))),1,0)</f>
        <v>0</v>
      </c>
      <c r="T6" s="7">
        <f>IF(OR(Q6=0,R6=0),1,0)</f>
        <v>0</v>
      </c>
      <c r="U6" s="7">
        <f>IF(TRIM(Raw_Bookings!E6&amp;"")="",1,0)</f>
        <v>0</v>
      </c>
      <c r="V6" s="7" t="str">
        <f>IF(SUMPRODUCT(--(Lookup_Status!$A$2:$A$13=LOWER(TRIM(Raw_Bookings!K6))))=0,"",INDEX(Lookup_Status!$B$2:$B$13,SUMPRODUCT((Lookup_Status!$A$2:$A$13=LOWER(TRIM(Raw_Bookings!K6)))*(ROW(Lookup_Status!$A$2:$A$13)-1))))</f>
        <v>Confirmed</v>
      </c>
      <c r="W6" s="7">
        <f>IF(AND(V6&lt;&gt;"",NOT(EXACT(Raw_Bookings!K6,V6))),1,0)</f>
        <v>0</v>
      </c>
      <c r="X6" s="7">
        <f>IF(V6="",1,0)</f>
        <v>0</v>
      </c>
      <c r="Y6" s="7">
        <f>IF(TRIM(Raw_Bookings!L6&amp;"")="",1,0)</f>
        <v>0</v>
      </c>
      <c r="Z6" s="7">
        <f>IF(AND(ISTEXT(Raw_Bookings!L6),Y6=0),1,0)</f>
        <v>0</v>
      </c>
      <c r="AA6" s="7">
        <f>IF(Z6=1,IFERROR(VALUE(SUBSTITUTE(SUBSTITUTE(SUBSTITUTE(SUBSTITUTE(SUBSTITUTE(UPPER(Raw_Bookings!L6),"RS.",""),"₹",""),",","")," ",""),"INR","")),""),"")</f>
        <v/>
      </c>
      <c r="AB6" s="7">
        <f>IF(AND(Z6=1,ISNUMBER(AA6)),1,0)</f>
        <v>0</v>
      </c>
      <c r="AC6" s="7">
        <f>IF(B6=1,0,IF(NOT(ISNUMBER(Raw_Bookings!J6)),1,IF(Raw_Bookings!J6&lt;&gt;COUNTIFS(Work_Passengers!$B$2:$B$1336,Raw_Bookings!A6,Work_Passengers!$C$2:$C$1336,0),1,0)))</f>
        <v>0</v>
      </c>
    </row>
    <row r="7" spans="1:31">
      <c r="A7" s="7">
        <f>Raw_Bookings!A7</f>
        <v>1002921</v>
      </c>
      <c r="B7" s="7">
        <f>IF(COUNTIF(Raw_Bookings!$A$2:A7,Raw_Bookings!A7)&gt;1,1,0)</f>
        <v>0</v>
      </c>
      <c r="C7" s="7" t="str">
        <f>Raw_Bookings!D7&amp;""</f>
        <v>2024-10-13</v>
      </c>
      <c r="D7" s="7" t="str">
        <f>IF(AND(LEN(C7)=10,MID(C7,5,1)="-",MID(C7,8,1)="-"),"ISO",IF(AND(LEN(C7)=10,MID(C7,3,1)="-",MID(C7,6,1)="-"),"DMY","OTHER"))</f>
        <v>ISO</v>
      </c>
      <c r="E7" s="7">
        <f>IF(D7="ISO",VALUE(LEFT(C7,4)),IF(D7="DMY",VALUE(RIGHT(C7,4)),0))</f>
        <v>2024</v>
      </c>
      <c r="F7" s="7">
        <f>IF(D7="ISO",VALUE(MID(C7,6,2)),IF(D7="DMY",VALUE(MID(C7,4,2)),0))</f>
        <v>10</v>
      </c>
      <c r="G7" s="7">
        <f>IF(D7="ISO",VALUE(RIGHT(C7,2)),IF(D7="DMY",VALUE(LEFT(C7,2)),0))</f>
        <v>13</v>
      </c>
      <c r="H7" s="7">
        <f>IF(AND(D7&lt;&gt;"OTHER",F7&gt;=1,F7&lt;=12,G7&gt;=1,G7&lt;=31),IF(AND(MONTH(DATE(E7,F7,G7))=F7,DAY(DATE(E7,F7,G7))=G7),1,0),0)</f>
        <v>1</v>
      </c>
      <c r="I7" s="7">
        <f>IF(H7=1,DATE(E7,F7,G7),"")</f>
        <v>45578.0</v>
      </c>
      <c r="J7" s="7">
        <f>IF(AND(D7="DMY",H7=1),1,0)</f>
        <v>0</v>
      </c>
      <c r="K7" s="7">
        <f>IF(H7=0,1,0)</f>
        <v>0</v>
      </c>
      <c r="L7" s="7">
        <f>IF(TRIM(Raw_Bookings!I7&amp;"")="",1,0)</f>
        <v>0</v>
      </c>
      <c r="M7" s="7">
        <f>IF(L7=1,"",DATEVALUE(LEFT(Raw_Bookings!I7,10))+TIMEVALUE(MID(Raw_Bookings!I7,12,8)))</f>
        <v>45511.788125</v>
      </c>
      <c r="N7" s="7">
        <f>IF(AND(L7=0,H7=1),IF(INT(M7)&gt;I7,1,0),0)</f>
        <v>0</v>
      </c>
      <c r="O7" s="7" t="str">
        <f>UPPER(TRIM(Raw_Bookings!F7))</f>
        <v>RAI</v>
      </c>
      <c r="P7" s="7" t="str">
        <f>UPPER(TRIM(Raw_Bookings!G7))</f>
        <v>JAI</v>
      </c>
      <c r="Q7" s="7">
        <f>IF(COUNTIF(Lookup_Stations!$A$2:$A$33,O7)&gt;0,1,0)</f>
        <v>1</v>
      </c>
      <c r="R7" s="7">
        <f>IF(COUNTIF(Lookup_Stations!$A$2:$A$33,P7)&gt;0,1,0)</f>
        <v>1</v>
      </c>
      <c r="S7" s="7">
        <f>IF(OR(AND(Q7=1,NOT(EXACT(Raw_Bookings!F7,O7))),AND(R7=1,NOT(EXACT(Raw_Bookings!G7,P7)))),1,0)</f>
        <v>0</v>
      </c>
      <c r="T7" s="7">
        <f>IF(OR(Q7=0,R7=0),1,0)</f>
        <v>0</v>
      </c>
      <c r="U7" s="7">
        <f>IF(TRIM(Raw_Bookings!E7&amp;"")="",1,0)</f>
        <v>0</v>
      </c>
      <c r="V7" s="7" t="str">
        <f>IF(SUMPRODUCT(--(Lookup_Status!$A$2:$A$13=LOWER(TRIM(Raw_Bookings!K7))))=0,"",INDEX(Lookup_Status!$B$2:$B$13,SUMPRODUCT((Lookup_Status!$A$2:$A$13=LOWER(TRIM(Raw_Bookings!K7)))*(ROW(Lookup_Status!$A$2:$A$13)-1))))</f>
        <v>Confirmed</v>
      </c>
      <c r="W7" s="7">
        <f>IF(AND(V7&lt;&gt;"",NOT(EXACT(Raw_Bookings!K7,V7))),1,0)</f>
        <v>0</v>
      </c>
      <c r="X7" s="7">
        <f>IF(V7="",1,0)</f>
        <v>0</v>
      </c>
      <c r="Y7" s="7">
        <f>IF(TRIM(Raw_Bookings!L7&amp;"")="",1,0)</f>
        <v>0</v>
      </c>
      <c r="Z7" s="7">
        <f>IF(AND(ISTEXT(Raw_Bookings!L7),Y7=0),1,0)</f>
        <v>0</v>
      </c>
      <c r="AA7" s="7">
        <f>IF(Z7=1,IFERROR(VALUE(SUBSTITUTE(SUBSTITUTE(SUBSTITUTE(SUBSTITUTE(SUBSTITUTE(UPPER(Raw_Bookings!L7),"RS.",""),"₹",""),",","")," ",""),"INR","")),""),"")</f>
        <v/>
      </c>
      <c r="AB7" s="7">
        <f>IF(AND(Z7=1,ISNUMBER(AA7)),1,0)</f>
        <v>0</v>
      </c>
      <c r="AC7" s="7">
        <f>IF(B7=1,0,IF(NOT(ISNUMBER(Raw_Bookings!J7)),1,IF(Raw_Bookings!J7&lt;&gt;COUNTIFS(Work_Passengers!$B$2:$B$1336,Raw_Bookings!A7,Work_Passengers!$C$2:$C$1336,0),1,0)))</f>
        <v>0</v>
      </c>
    </row>
    <row r="8" spans="1:31">
      <c r="A8" s="7">
        <f>Raw_Bookings!A8</f>
        <v>1002990</v>
      </c>
      <c r="B8" s="7">
        <f>IF(COUNTIF(Raw_Bookings!$A$2:A8,Raw_Bookings!A8)&gt;1,1,0)</f>
        <v>0</v>
      </c>
      <c r="C8" s="7" t="str">
        <f>Raw_Bookings!D8&amp;""</f>
        <v>2024-10-06</v>
      </c>
      <c r="D8" s="7" t="str">
        <f>IF(AND(LEN(C8)=10,MID(C8,5,1)="-",MID(C8,8,1)="-"),"ISO",IF(AND(LEN(C8)=10,MID(C8,3,1)="-",MID(C8,6,1)="-"),"DMY","OTHER"))</f>
        <v>ISO</v>
      </c>
      <c r="E8" s="7">
        <f>IF(D8="ISO",VALUE(LEFT(C8,4)),IF(D8="DMY",VALUE(RIGHT(C8,4)),0))</f>
        <v>2024</v>
      </c>
      <c r="F8" s="7">
        <f>IF(D8="ISO",VALUE(MID(C8,6,2)),IF(D8="DMY",VALUE(MID(C8,4,2)),0))</f>
        <v>10</v>
      </c>
      <c r="G8" s="7">
        <f>IF(D8="ISO",VALUE(RIGHT(C8,2)),IF(D8="DMY",VALUE(LEFT(C8,2)),0))</f>
        <v>6</v>
      </c>
      <c r="H8" s="7">
        <f>IF(AND(D8&lt;&gt;"OTHER",F8&gt;=1,F8&lt;=12,G8&gt;=1,G8&lt;=31),IF(AND(MONTH(DATE(E8,F8,G8))=F8,DAY(DATE(E8,F8,G8))=G8),1,0),0)</f>
        <v>1</v>
      </c>
      <c r="I8" s="7">
        <f>IF(H8=1,DATE(E8,F8,G8),"")</f>
        <v>45571.0</v>
      </c>
      <c r="J8" s="7">
        <f>IF(AND(D8="DMY",H8=1),1,0)</f>
        <v>0</v>
      </c>
      <c r="K8" s="7">
        <f>IF(H8=0,1,0)</f>
        <v>0</v>
      </c>
      <c r="L8" s="7">
        <f>IF(TRIM(Raw_Bookings!I8&amp;"")="",1,0)</f>
        <v>0</v>
      </c>
      <c r="M8" s="7">
        <f>IF(L8=1,"",DATEVALUE(LEFT(Raw_Bookings!I8,10))+TIMEVALUE(MID(Raw_Bookings!I8,12,8)))</f>
        <v>45512.51797453704</v>
      </c>
      <c r="N8" s="7">
        <f>IF(AND(L8=0,H8=1),IF(INT(M8)&gt;I8,1,0),0)</f>
        <v>0</v>
      </c>
      <c r="O8" s="7" t="str">
        <f>UPPER(TRIM(Raw_Bookings!F8))</f>
        <v>CHE</v>
      </c>
      <c r="P8" s="7" t="str">
        <f>UPPER(TRIM(Raw_Bookings!G8))</f>
        <v>AHM</v>
      </c>
      <c r="Q8" s="7">
        <f>IF(COUNTIF(Lookup_Stations!$A$2:$A$33,O8)&gt;0,1,0)</f>
        <v>1</v>
      </c>
      <c r="R8" s="7">
        <f>IF(COUNTIF(Lookup_Stations!$A$2:$A$33,P8)&gt;0,1,0)</f>
        <v>1</v>
      </c>
      <c r="S8" s="7">
        <f>IF(OR(AND(Q8=1,NOT(EXACT(Raw_Bookings!F8,O8))),AND(R8=1,NOT(EXACT(Raw_Bookings!G8,P8)))),1,0)</f>
        <v>0</v>
      </c>
      <c r="T8" s="7">
        <f>IF(OR(Q8=0,R8=0),1,0)</f>
        <v>0</v>
      </c>
      <c r="U8" s="7">
        <f>IF(TRIM(Raw_Bookings!E8&amp;"")="",1,0)</f>
        <v>0</v>
      </c>
      <c r="V8" s="7" t="str">
        <f>IF(SUMPRODUCT(--(Lookup_Status!$A$2:$A$13=LOWER(TRIM(Raw_Bookings!K8))))=0,"",INDEX(Lookup_Status!$B$2:$B$13,SUMPRODUCT((Lookup_Status!$A$2:$A$13=LOWER(TRIM(Raw_Bookings!K8)))*(ROW(Lookup_Status!$A$2:$A$13)-1))))</f>
        <v>Confirmed</v>
      </c>
      <c r="W8" s="7">
        <f>IF(AND(V8&lt;&gt;"",NOT(EXACT(Raw_Bookings!K8,V8))),1,0)</f>
        <v>0</v>
      </c>
      <c r="X8" s="7">
        <f>IF(V8="",1,0)</f>
        <v>0</v>
      </c>
      <c r="Y8" s="7">
        <f>IF(TRIM(Raw_Bookings!L8&amp;"")="",1,0)</f>
        <v>0</v>
      </c>
      <c r="Z8" s="7">
        <f>IF(AND(ISTEXT(Raw_Bookings!L8),Y8=0),1,0)</f>
        <v>0</v>
      </c>
      <c r="AA8" s="7">
        <f>IF(Z8=1,IFERROR(VALUE(SUBSTITUTE(SUBSTITUTE(SUBSTITUTE(SUBSTITUTE(SUBSTITUTE(UPPER(Raw_Bookings!L8),"RS.",""),"₹",""),",","")," ",""),"INR","")),""),"")</f>
        <v/>
      </c>
      <c r="AB8" s="7">
        <f>IF(AND(Z8=1,ISNUMBER(AA8)),1,0)</f>
        <v>0</v>
      </c>
      <c r="AC8" s="7">
        <f>IF(B8=1,0,IF(NOT(ISNUMBER(Raw_Bookings!J8)),1,IF(Raw_Bookings!J8&lt;&gt;COUNTIFS(Work_Passengers!$B$2:$B$1336,Raw_Bookings!A8,Work_Passengers!$C$2:$C$1336,0),1,0)))</f>
        <v>0</v>
      </c>
    </row>
    <row r="9" spans="1:31">
      <c r="A9" s="7">
        <f>Raw_Bookings!A9</f>
        <v>1003061</v>
      </c>
      <c r="B9" s="7">
        <f>IF(COUNTIF(Raw_Bookings!$A$2:A9,Raw_Bookings!A9)&gt;1,1,0)</f>
        <v>0</v>
      </c>
      <c r="C9" s="7" t="str">
        <f>Raw_Bookings!D9&amp;""</f>
        <v>2024-12-04</v>
      </c>
      <c r="D9" s="7" t="str">
        <f>IF(AND(LEN(C9)=10,MID(C9,5,1)="-",MID(C9,8,1)="-"),"ISO",IF(AND(LEN(C9)=10,MID(C9,3,1)="-",MID(C9,6,1)="-"),"DMY","OTHER"))</f>
        <v>ISO</v>
      </c>
      <c r="E9" s="7">
        <f>IF(D9="ISO",VALUE(LEFT(C9,4)),IF(D9="DMY",VALUE(RIGHT(C9,4)),0))</f>
        <v>2024</v>
      </c>
      <c r="F9" s="7">
        <f>IF(D9="ISO",VALUE(MID(C9,6,2)),IF(D9="DMY",VALUE(MID(C9,4,2)),0))</f>
        <v>12</v>
      </c>
      <c r="G9" s="7">
        <f>IF(D9="ISO",VALUE(RIGHT(C9,2)),IF(D9="DMY",VALUE(LEFT(C9,2)),0))</f>
        <v>4</v>
      </c>
      <c r="H9" s="7">
        <f>IF(AND(D9&lt;&gt;"OTHER",F9&gt;=1,F9&lt;=12,G9&gt;=1,G9&lt;=31),IF(AND(MONTH(DATE(E9,F9,G9))=F9,DAY(DATE(E9,F9,G9))=G9),1,0),0)</f>
        <v>1</v>
      </c>
      <c r="I9" s="7">
        <f>IF(H9=1,DATE(E9,F9,G9),"")</f>
        <v>45630.0</v>
      </c>
      <c r="J9" s="7">
        <f>IF(AND(D9="DMY",H9=1),1,0)</f>
        <v>0</v>
      </c>
      <c r="K9" s="7">
        <f>IF(H9=0,1,0)</f>
        <v>0</v>
      </c>
      <c r="L9" s="7">
        <f>IF(TRIM(Raw_Bookings!I9&amp;"")="",1,0)</f>
        <v>0</v>
      </c>
      <c r="M9" s="7">
        <f>IF(L9=1,"",DATEVALUE(LEFT(Raw_Bookings!I9,10))+TIMEVALUE(MID(Raw_Bookings!I9,12,8)))</f>
        <v>45513.324421296296</v>
      </c>
      <c r="N9" s="7">
        <f>IF(AND(L9=0,H9=1),IF(INT(M9)&gt;I9,1,0),0)</f>
        <v>0</v>
      </c>
      <c r="O9" s="7" t="str">
        <f>UPPER(TRIM(Raw_Bookings!F9))</f>
        <v>BEN</v>
      </c>
      <c r="P9" s="7" t="str">
        <f>UPPER(TRIM(Raw_Bookings!G9))</f>
        <v>MUM</v>
      </c>
      <c r="Q9" s="7">
        <f>IF(COUNTIF(Lookup_Stations!$A$2:$A$33,O9)&gt;0,1,0)</f>
        <v>1</v>
      </c>
      <c r="R9" s="7">
        <f>IF(COUNTIF(Lookup_Stations!$A$2:$A$33,P9)&gt;0,1,0)</f>
        <v>1</v>
      </c>
      <c r="S9" s="7">
        <f>IF(OR(AND(Q9=1,NOT(EXACT(Raw_Bookings!F9,O9))),AND(R9=1,NOT(EXACT(Raw_Bookings!G9,P9)))),1,0)</f>
        <v>0</v>
      </c>
      <c r="T9" s="7">
        <f>IF(OR(Q9=0,R9=0),1,0)</f>
        <v>0</v>
      </c>
      <c r="U9" s="7">
        <f>IF(TRIM(Raw_Bookings!E9&amp;"")="",1,0)</f>
        <v>0</v>
      </c>
      <c r="V9" s="7" t="str">
        <f>IF(SUMPRODUCT(--(Lookup_Status!$A$2:$A$13=LOWER(TRIM(Raw_Bookings!K9))))=0,"",INDEX(Lookup_Status!$B$2:$B$13,SUMPRODUCT((Lookup_Status!$A$2:$A$13=LOWER(TRIM(Raw_Bookings!K9)))*(ROW(Lookup_Status!$A$2:$A$13)-1))))</f>
        <v>Confirmed</v>
      </c>
      <c r="W9" s="7">
        <f>IF(AND(V9&lt;&gt;"",NOT(EXACT(Raw_Bookings!K9,V9))),1,0)</f>
        <v>0</v>
      </c>
      <c r="X9" s="7">
        <f>IF(V9="",1,0)</f>
        <v>0</v>
      </c>
      <c r="Y9" s="7">
        <f>IF(TRIM(Raw_Bookings!L9&amp;"")="",1,0)</f>
        <v>0</v>
      </c>
      <c r="Z9" s="7">
        <f>IF(AND(ISTEXT(Raw_Bookings!L9),Y9=0),1,0)</f>
        <v>0</v>
      </c>
      <c r="AA9" s="7">
        <f>IF(Z9=1,IFERROR(VALUE(SUBSTITUTE(SUBSTITUTE(SUBSTITUTE(SUBSTITUTE(SUBSTITUTE(UPPER(Raw_Bookings!L9),"RS.",""),"₹",""),",","")," ",""),"INR","")),""),"")</f>
        <v/>
      </c>
      <c r="AB9" s="7">
        <f>IF(AND(Z9=1,ISNUMBER(AA9)),1,0)</f>
        <v>0</v>
      </c>
      <c r="AC9" s="7">
        <f>IF(B9=1,0,IF(NOT(ISNUMBER(Raw_Bookings!J9)),1,IF(Raw_Bookings!J9&lt;&gt;COUNTIFS(Work_Passengers!$B$2:$B$1336,Raw_Bookings!A9,Work_Passengers!$C$2:$C$1336,0),1,0)))</f>
        <v>0</v>
      </c>
    </row>
    <row r="10" spans="1:31">
      <c r="A10" s="7">
        <f>Raw_Bookings!A10</f>
        <v>1003110</v>
      </c>
      <c r="B10" s="7">
        <f>IF(COUNTIF(Raw_Bookings!$A$2:A10,Raw_Bookings!A10)&gt;1,1,0)</f>
        <v>0</v>
      </c>
      <c r="C10" s="7" t="str">
        <f>Raw_Bookings!D10&amp;""</f>
        <v>2024-09-04</v>
      </c>
      <c r="D10" s="7" t="str">
        <f>IF(AND(LEN(C10)=10,MID(C10,5,1)="-",MID(C10,8,1)="-"),"ISO",IF(AND(LEN(C10)=10,MID(C10,3,1)="-",MID(C10,6,1)="-"),"DMY","OTHER"))</f>
        <v>ISO</v>
      </c>
      <c r="E10" s="7">
        <f>IF(D10="ISO",VALUE(LEFT(C10,4)),IF(D10="DMY",VALUE(RIGHT(C10,4)),0))</f>
        <v>2024</v>
      </c>
      <c r="F10" s="7">
        <f>IF(D10="ISO",VALUE(MID(C10,6,2)),IF(D10="DMY",VALUE(MID(C10,4,2)),0))</f>
        <v>9</v>
      </c>
      <c r="G10" s="7">
        <f>IF(D10="ISO",VALUE(RIGHT(C10,2)),IF(D10="DMY",VALUE(LEFT(C10,2)),0))</f>
        <v>4</v>
      </c>
      <c r="H10" s="7">
        <f>IF(AND(D10&lt;&gt;"OTHER",F10&gt;=1,F10&lt;=12,G10&gt;=1,G10&lt;=31),IF(AND(MONTH(DATE(E10,F10,G10))=F10,DAY(DATE(E10,F10,G10))=G10),1,0),0)</f>
        <v>1</v>
      </c>
      <c r="I10" s="7">
        <f>IF(H10=1,DATE(E10,F10,G10),"")</f>
        <v>45539.0</v>
      </c>
      <c r="J10" s="7">
        <f>IF(AND(D10="DMY",H10=1),1,0)</f>
        <v>0</v>
      </c>
      <c r="K10" s="7">
        <f>IF(H10=0,1,0)</f>
        <v>0</v>
      </c>
      <c r="L10" s="7">
        <f>IF(TRIM(Raw_Bookings!I10&amp;"")="",1,0)</f>
        <v>0</v>
      </c>
      <c r="M10" s="7">
        <f>IF(L10=1,"",DATEVALUE(LEFT(Raw_Bookings!I10,10))+TIMEVALUE(MID(Raw_Bookings!I10,12,8)))</f>
        <v>45513.625185185185</v>
      </c>
      <c r="N10" s="7">
        <f>IF(AND(L10=0,H10=1),IF(INT(M10)&gt;I10,1,0),0)</f>
        <v>0</v>
      </c>
      <c r="O10" s="7" t="str">
        <f>UPPER(TRIM(Raw_Bookings!F10))</f>
        <v>MAU</v>
      </c>
      <c r="P10" s="7" t="str">
        <f>UPPER(TRIM(Raw_Bookings!G10))</f>
        <v>DEL</v>
      </c>
      <c r="Q10" s="7">
        <f>IF(COUNTIF(Lookup_Stations!$A$2:$A$33,O10)&gt;0,1,0)</f>
        <v>1</v>
      </c>
      <c r="R10" s="7">
        <f>IF(COUNTIF(Lookup_Stations!$A$2:$A$33,P10)&gt;0,1,0)</f>
        <v>1</v>
      </c>
      <c r="S10" s="7">
        <f>IF(OR(AND(Q10=1,NOT(EXACT(Raw_Bookings!F10,O10))),AND(R10=1,NOT(EXACT(Raw_Bookings!G10,P10)))),1,0)</f>
        <v>0</v>
      </c>
      <c r="T10" s="7">
        <f>IF(OR(Q10=0,R10=0),1,0)</f>
        <v>0</v>
      </c>
      <c r="U10" s="7">
        <f>IF(TRIM(Raw_Bookings!E10&amp;"")="",1,0)</f>
        <v>0</v>
      </c>
      <c r="V10" s="7" t="str">
        <f>IF(SUMPRODUCT(--(Lookup_Status!$A$2:$A$13=LOWER(TRIM(Raw_Bookings!K10))))=0,"",INDEX(Lookup_Status!$B$2:$B$13,SUMPRODUCT((Lookup_Status!$A$2:$A$13=LOWER(TRIM(Raw_Bookings!K10)))*(ROW(Lookup_Status!$A$2:$A$13)-1))))</f>
        <v>Confirmed</v>
      </c>
      <c r="W10" s="7">
        <f>IF(AND(V10&lt;&gt;"",NOT(EXACT(Raw_Bookings!K10,V10))),1,0)</f>
        <v>0</v>
      </c>
      <c r="X10" s="7">
        <f>IF(V10="",1,0)</f>
        <v>0</v>
      </c>
      <c r="Y10" s="7">
        <f>IF(TRIM(Raw_Bookings!L10&amp;"")="",1,0)</f>
        <v>0</v>
      </c>
      <c r="Z10" s="7">
        <f>IF(AND(ISTEXT(Raw_Bookings!L10),Y10=0),1,0)</f>
        <v>0</v>
      </c>
      <c r="AA10" s="7">
        <f>IF(Z10=1,IFERROR(VALUE(SUBSTITUTE(SUBSTITUTE(SUBSTITUTE(SUBSTITUTE(SUBSTITUTE(UPPER(Raw_Bookings!L10),"RS.",""),"₹",""),",","")," ",""),"INR","")),""),"")</f>
        <v/>
      </c>
      <c r="AB10" s="7">
        <f>IF(AND(Z10=1,ISNUMBER(AA10)),1,0)</f>
        <v>0</v>
      </c>
      <c r="AC10" s="7">
        <f>IF(B10=1,0,IF(NOT(ISNUMBER(Raw_Bookings!J10)),1,IF(Raw_Bookings!J10&lt;&gt;COUNTIFS(Work_Passengers!$B$2:$B$1336,Raw_Bookings!A10,Work_Passengers!$C$2:$C$1336,0),1,0)))</f>
        <v>0</v>
      </c>
    </row>
    <row r="11" spans="1:31">
      <c r="A11" s="7">
        <f>Raw_Bookings!A11</f>
        <v>1003617</v>
      </c>
      <c r="B11" s="7">
        <f>IF(COUNTIF(Raw_Bookings!$A$2:A11,Raw_Bookings!A11)&gt;1,1,0)</f>
        <v>0</v>
      </c>
      <c r="C11" s="7" t="str">
        <f>Raw_Bookings!D11&amp;""</f>
        <v>2024-09-20</v>
      </c>
      <c r="D11" s="7" t="str">
        <f>IF(AND(LEN(C11)=10,MID(C11,5,1)="-",MID(C11,8,1)="-"),"ISO",IF(AND(LEN(C11)=10,MID(C11,3,1)="-",MID(C11,6,1)="-"),"DMY","OTHER"))</f>
        <v>ISO</v>
      </c>
      <c r="E11" s="7">
        <f>IF(D11="ISO",VALUE(LEFT(C11,4)),IF(D11="DMY",VALUE(RIGHT(C11,4)),0))</f>
        <v>2024</v>
      </c>
      <c r="F11" s="7">
        <f>IF(D11="ISO",VALUE(MID(C11,6,2)),IF(D11="DMY",VALUE(MID(C11,4,2)),0))</f>
        <v>9</v>
      </c>
      <c r="G11" s="7">
        <f>IF(D11="ISO",VALUE(RIGHT(C11,2)),IF(D11="DMY",VALUE(LEFT(C11,2)),0))</f>
        <v>20</v>
      </c>
      <c r="H11" s="7">
        <f>IF(AND(D11&lt;&gt;"OTHER",F11&gt;=1,F11&lt;=12,G11&gt;=1,G11&lt;=31),IF(AND(MONTH(DATE(E11,F11,G11))=F11,DAY(DATE(E11,F11,G11))=G11),1,0),0)</f>
        <v>1</v>
      </c>
      <c r="I11" s="7">
        <f>IF(H11=1,DATE(E11,F11,G11),"")</f>
        <v>45555.0</v>
      </c>
      <c r="J11" s="7">
        <f>IF(AND(D11="DMY",H11=1),1,0)</f>
        <v>0</v>
      </c>
      <c r="K11" s="7">
        <f>IF(H11=0,1,0)</f>
        <v>0</v>
      </c>
      <c r="L11" s="7">
        <f>IF(TRIM(Raw_Bookings!I11&amp;"")="",1,0)</f>
        <v>0</v>
      </c>
      <c r="M11" s="7">
        <f>IF(L11=1,"",DATEVALUE(LEFT(Raw_Bookings!I11,10))+TIMEVALUE(MID(Raw_Bookings!I11,12,8)))</f>
        <v>45518.10003472222</v>
      </c>
      <c r="N11" s="7">
        <f>IF(AND(L11=0,H11=1),IF(INT(M11)&gt;I11,1,0),0)</f>
        <v>0</v>
      </c>
      <c r="O11" s="7" t="str">
        <f>UPPER(TRIM(Raw_Bookings!F11))</f>
        <v>KOL</v>
      </c>
      <c r="P11" s="7" t="str">
        <f>UPPER(TRIM(Raw_Bookings!G11))</f>
        <v>HYD</v>
      </c>
      <c r="Q11" s="7">
        <f>IF(COUNTIF(Lookup_Stations!$A$2:$A$33,O11)&gt;0,1,0)</f>
        <v>1</v>
      </c>
      <c r="R11" s="7">
        <f>IF(COUNTIF(Lookup_Stations!$A$2:$A$33,P11)&gt;0,1,0)</f>
        <v>1</v>
      </c>
      <c r="S11" s="7">
        <f>IF(OR(AND(Q11=1,NOT(EXACT(Raw_Bookings!F11,O11))),AND(R11=1,NOT(EXACT(Raw_Bookings!G11,P11)))),1,0)</f>
        <v>0</v>
      </c>
      <c r="T11" s="7">
        <f>IF(OR(Q11=0,R11=0),1,0)</f>
        <v>0</v>
      </c>
      <c r="U11" s="7">
        <f>IF(TRIM(Raw_Bookings!E11&amp;"")="",1,0)</f>
        <v>0</v>
      </c>
      <c r="V11" s="7" t="str">
        <f>IF(SUMPRODUCT(--(Lookup_Status!$A$2:$A$13=LOWER(TRIM(Raw_Bookings!K11))))=0,"",INDEX(Lookup_Status!$B$2:$B$13,SUMPRODUCT((Lookup_Status!$A$2:$A$13=LOWER(TRIM(Raw_Bookings!K11)))*(ROW(Lookup_Status!$A$2:$A$13)-1))))</f>
        <v>Confirmed</v>
      </c>
      <c r="W11" s="7">
        <f>IF(AND(V11&lt;&gt;"",NOT(EXACT(Raw_Bookings!K11,V11))),1,0)</f>
        <v>0</v>
      </c>
      <c r="X11" s="7">
        <f>IF(V11="",1,0)</f>
        <v>0</v>
      </c>
      <c r="Y11" s="7">
        <f>IF(TRIM(Raw_Bookings!L11&amp;"")="",1,0)</f>
        <v>0</v>
      </c>
      <c r="Z11" s="7">
        <f>IF(AND(ISTEXT(Raw_Bookings!L11),Y11=0),1,0)</f>
        <v>0</v>
      </c>
      <c r="AA11" s="7">
        <f>IF(Z11=1,IFERROR(VALUE(SUBSTITUTE(SUBSTITUTE(SUBSTITUTE(SUBSTITUTE(SUBSTITUTE(UPPER(Raw_Bookings!L11),"RS.",""),"₹",""),",","")," ",""),"INR","")),""),"")</f>
        <v/>
      </c>
      <c r="AB11" s="7">
        <f>IF(AND(Z11=1,ISNUMBER(AA11)),1,0)</f>
        <v>0</v>
      </c>
      <c r="AC11" s="7">
        <f>IF(B11=1,0,IF(NOT(ISNUMBER(Raw_Bookings!J11)),1,IF(Raw_Bookings!J11&lt;&gt;COUNTIFS(Work_Passengers!$B$2:$B$1336,Raw_Bookings!A11,Work_Passengers!$C$2:$C$1336,0),1,0)))</f>
        <v>0</v>
      </c>
    </row>
    <row r="12" spans="1:31">
      <c r="A12" s="7">
        <f>Raw_Bookings!A12</f>
        <v>1003866</v>
      </c>
      <c r="B12" s="7">
        <f>IF(COUNTIF(Raw_Bookings!$A$2:A12,Raw_Bookings!A12)&gt;1,1,0)</f>
        <v>0</v>
      </c>
      <c r="C12" s="7" t="str">
        <f>Raw_Bookings!D12&amp;""</f>
        <v>2024-10-07</v>
      </c>
      <c r="D12" s="7" t="str">
        <f>IF(AND(LEN(C12)=10,MID(C12,5,1)="-",MID(C12,8,1)="-"),"ISO",IF(AND(LEN(C12)=10,MID(C12,3,1)="-",MID(C12,6,1)="-"),"DMY","OTHER"))</f>
        <v>ISO</v>
      </c>
      <c r="E12" s="7">
        <f>IF(D12="ISO",VALUE(LEFT(C12,4)),IF(D12="DMY",VALUE(RIGHT(C12,4)),0))</f>
        <v>2024</v>
      </c>
      <c r="F12" s="7">
        <f>IF(D12="ISO",VALUE(MID(C12,6,2)),IF(D12="DMY",VALUE(MID(C12,4,2)),0))</f>
        <v>10</v>
      </c>
      <c r="G12" s="7">
        <f>IF(D12="ISO",VALUE(RIGHT(C12,2)),IF(D12="DMY",VALUE(LEFT(C12,2)),0))</f>
        <v>7</v>
      </c>
      <c r="H12" s="7">
        <f>IF(AND(D12&lt;&gt;"OTHER",F12&gt;=1,F12&lt;=12,G12&gt;=1,G12&lt;=31),IF(AND(MONTH(DATE(E12,F12,G12))=F12,DAY(DATE(E12,F12,G12))=G12),1,0),0)</f>
        <v>1</v>
      </c>
      <c r="I12" s="7">
        <f>IF(H12=1,DATE(E12,F12,G12),"")</f>
        <v>45572.0</v>
      </c>
      <c r="J12" s="7">
        <f>IF(AND(D12="DMY",H12=1),1,0)</f>
        <v>0</v>
      </c>
      <c r="K12" s="7">
        <f>IF(H12=0,1,0)</f>
        <v>0</v>
      </c>
      <c r="L12" s="7">
        <f>IF(TRIM(Raw_Bookings!I12&amp;"")="",1,0)</f>
        <v>0</v>
      </c>
      <c r="M12" s="7">
        <f>IF(L12=1,"",DATEVALUE(LEFT(Raw_Bookings!I12,10))+TIMEVALUE(MID(Raw_Bookings!I12,12,8)))</f>
        <v>45520.34945601852</v>
      </c>
      <c r="N12" s="7">
        <f>IF(AND(L12=0,H12=1),IF(INT(M12)&gt;I12,1,0),0)</f>
        <v>0</v>
      </c>
      <c r="O12" s="7" t="str">
        <f>UPPER(TRIM(Raw_Bookings!F12))</f>
        <v>DEL</v>
      </c>
      <c r="P12" s="7" t="str">
        <f>UPPER(TRIM(Raw_Bookings!G12))</f>
        <v>DIB</v>
      </c>
      <c r="Q12" s="7">
        <f>IF(COUNTIF(Lookup_Stations!$A$2:$A$33,O12)&gt;0,1,0)</f>
        <v>1</v>
      </c>
      <c r="R12" s="7">
        <f>IF(COUNTIF(Lookup_Stations!$A$2:$A$33,P12)&gt;0,1,0)</f>
        <v>1</v>
      </c>
      <c r="S12" s="7">
        <f>IF(OR(AND(Q12=1,NOT(EXACT(Raw_Bookings!F12,O12))),AND(R12=1,NOT(EXACT(Raw_Bookings!G12,P12)))),1,0)</f>
        <v>0</v>
      </c>
      <c r="T12" s="7">
        <f>IF(OR(Q12=0,R12=0),1,0)</f>
        <v>0</v>
      </c>
      <c r="U12" s="7">
        <f>IF(TRIM(Raw_Bookings!E12&amp;"")="",1,0)</f>
        <v>0</v>
      </c>
      <c r="V12" s="7" t="str">
        <f>IF(SUMPRODUCT(--(Lookup_Status!$A$2:$A$13=LOWER(TRIM(Raw_Bookings!K12))))=0,"",INDEX(Lookup_Status!$B$2:$B$13,SUMPRODUCT((Lookup_Status!$A$2:$A$13=LOWER(TRIM(Raw_Bookings!K12)))*(ROW(Lookup_Status!$A$2:$A$13)-1))))</f>
        <v>Confirmed</v>
      </c>
      <c r="W12" s="7">
        <f>IF(AND(V12&lt;&gt;"",NOT(EXACT(Raw_Bookings!K12,V12))),1,0)</f>
        <v>0</v>
      </c>
      <c r="X12" s="7">
        <f>IF(V12="",1,0)</f>
        <v>0</v>
      </c>
      <c r="Y12" s="7">
        <f>IF(TRIM(Raw_Bookings!L12&amp;"")="",1,0)</f>
        <v>0</v>
      </c>
      <c r="Z12" s="7">
        <f>IF(AND(ISTEXT(Raw_Bookings!L12),Y12=0),1,0)</f>
        <v>0</v>
      </c>
      <c r="AA12" s="7">
        <f>IF(Z12=1,IFERROR(VALUE(SUBSTITUTE(SUBSTITUTE(SUBSTITUTE(SUBSTITUTE(SUBSTITUTE(UPPER(Raw_Bookings!L12),"RS.",""),"₹",""),",","")," ",""),"INR","")),""),"")</f>
        <v/>
      </c>
      <c r="AB12" s="7">
        <f>IF(AND(Z12=1,ISNUMBER(AA12)),1,0)</f>
        <v>0</v>
      </c>
      <c r="AC12" s="7">
        <f>IF(B12=1,0,IF(NOT(ISNUMBER(Raw_Bookings!J12)),1,IF(Raw_Bookings!J12&lt;&gt;COUNTIFS(Work_Passengers!$B$2:$B$1336,Raw_Bookings!A12,Work_Passengers!$C$2:$C$1336,0),1,0)))</f>
        <v>0</v>
      </c>
    </row>
    <row r="13" spans="1:31">
      <c r="A13" s="7">
        <f>Raw_Bookings!A13</f>
        <v>1004416</v>
      </c>
      <c r="B13" s="7">
        <f>IF(COUNTIF(Raw_Bookings!$A$2:A13,Raw_Bookings!A13)&gt;1,1,0)</f>
        <v>0</v>
      </c>
      <c r="C13" s="7" t="str">
        <f>Raw_Bookings!D13&amp;""</f>
        <v>2024-09-17</v>
      </c>
      <c r="D13" s="7" t="str">
        <f>IF(AND(LEN(C13)=10,MID(C13,5,1)="-",MID(C13,8,1)="-"),"ISO",IF(AND(LEN(C13)=10,MID(C13,3,1)="-",MID(C13,6,1)="-"),"DMY","OTHER"))</f>
        <v>ISO</v>
      </c>
      <c r="E13" s="7">
        <f>IF(D13="ISO",VALUE(LEFT(C13,4)),IF(D13="DMY",VALUE(RIGHT(C13,4)),0))</f>
        <v>2024</v>
      </c>
      <c r="F13" s="7">
        <f>IF(D13="ISO",VALUE(MID(C13,6,2)),IF(D13="DMY",VALUE(MID(C13,4,2)),0))</f>
        <v>9</v>
      </c>
      <c r="G13" s="7">
        <f>IF(D13="ISO",VALUE(RIGHT(C13,2)),IF(D13="DMY",VALUE(LEFT(C13,2)),0))</f>
        <v>17</v>
      </c>
      <c r="H13" s="7">
        <f>IF(AND(D13&lt;&gt;"OTHER",F13&gt;=1,F13&lt;=12,G13&gt;=1,G13&lt;=31),IF(AND(MONTH(DATE(E13,F13,G13))=F13,DAY(DATE(E13,F13,G13))=G13),1,0),0)</f>
        <v>1</v>
      </c>
      <c r="I13" s="7">
        <f>IF(H13=1,DATE(E13,F13,G13),"")</f>
        <v>45552.0</v>
      </c>
      <c r="J13" s="7">
        <f>IF(AND(D13="DMY",H13=1),1,0)</f>
        <v>0</v>
      </c>
      <c r="K13" s="7">
        <f>IF(H13=0,1,0)</f>
        <v>0</v>
      </c>
      <c r="L13" s="7">
        <f>IF(TRIM(Raw_Bookings!I13&amp;"")="",1,0)</f>
        <v>0</v>
      </c>
      <c r="M13" s="7">
        <f>IF(L13=1,"",DATEVALUE(LEFT(Raw_Bookings!I13,10))+TIMEVALUE(MID(Raw_Bookings!I13,12,8)))</f>
        <v>45524.59873842593</v>
      </c>
      <c r="N13" s="7">
        <f>IF(AND(L13=0,H13=1),IF(INT(M13)&gt;I13,1,0),0)</f>
        <v>0</v>
      </c>
      <c r="O13" s="7" t="str">
        <f>UPPER(TRIM(Raw_Bookings!F13))</f>
        <v>IND</v>
      </c>
      <c r="P13" s="7" t="str">
        <f>UPPER(TRIM(Raw_Bookings!G13))</f>
        <v>AMR</v>
      </c>
      <c r="Q13" s="7">
        <f>IF(COUNTIF(Lookup_Stations!$A$2:$A$33,O13)&gt;0,1,0)</f>
        <v>1</v>
      </c>
      <c r="R13" s="7">
        <f>IF(COUNTIF(Lookup_Stations!$A$2:$A$33,P13)&gt;0,1,0)</f>
        <v>1</v>
      </c>
      <c r="S13" s="7">
        <f>IF(OR(AND(Q13=1,NOT(EXACT(Raw_Bookings!F13,O13))),AND(R13=1,NOT(EXACT(Raw_Bookings!G13,P13)))),1,0)</f>
        <v>0</v>
      </c>
      <c r="T13" s="7">
        <f>IF(OR(Q13=0,R13=0),1,0)</f>
        <v>0</v>
      </c>
      <c r="U13" s="7">
        <f>IF(TRIM(Raw_Bookings!E13&amp;"")="",1,0)</f>
        <v>0</v>
      </c>
      <c r="V13" s="7" t="str">
        <f>IF(SUMPRODUCT(--(Lookup_Status!$A$2:$A$13=LOWER(TRIM(Raw_Bookings!K13))))=0,"",INDEX(Lookup_Status!$B$2:$B$13,SUMPRODUCT((Lookup_Status!$A$2:$A$13=LOWER(TRIM(Raw_Bookings!K13)))*(ROW(Lookup_Status!$A$2:$A$13)-1))))</f>
        <v>Confirmed</v>
      </c>
      <c r="W13" s="7">
        <f>IF(AND(V13&lt;&gt;"",NOT(EXACT(Raw_Bookings!K13,V13))),1,0)</f>
        <v>0</v>
      </c>
      <c r="X13" s="7">
        <f>IF(V13="",1,0)</f>
        <v>0</v>
      </c>
      <c r="Y13" s="7">
        <f>IF(TRIM(Raw_Bookings!L13&amp;"")="",1,0)</f>
        <v>0</v>
      </c>
      <c r="Z13" s="7">
        <f>IF(AND(ISTEXT(Raw_Bookings!L13),Y13=0),1,0)</f>
        <v>0</v>
      </c>
      <c r="AA13" s="7">
        <f>IF(Z13=1,IFERROR(VALUE(SUBSTITUTE(SUBSTITUTE(SUBSTITUTE(SUBSTITUTE(SUBSTITUTE(UPPER(Raw_Bookings!L13),"RS.",""),"₹",""),",","")," ",""),"INR","")),""),"")</f>
        <v/>
      </c>
      <c r="AB13" s="7">
        <f>IF(AND(Z13=1,ISNUMBER(AA13)),1,0)</f>
        <v>0</v>
      </c>
      <c r="AC13" s="7">
        <f>IF(B13=1,0,IF(NOT(ISNUMBER(Raw_Bookings!J13)),1,IF(Raw_Bookings!J13&lt;&gt;COUNTIFS(Work_Passengers!$B$2:$B$1336,Raw_Bookings!A13,Work_Passengers!$C$2:$C$1336,0),1,0)))</f>
        <v>0</v>
      </c>
    </row>
    <row r="14" spans="1:31">
      <c r="A14" s="7">
        <f>Raw_Bookings!A14</f>
        <v>1004645</v>
      </c>
      <c r="B14" s="7">
        <f>IF(COUNTIF(Raw_Bookings!$A$2:A14,Raw_Bookings!A14)&gt;1,1,0)</f>
        <v>0</v>
      </c>
      <c r="C14" s="7" t="str">
        <f>Raw_Bookings!D14&amp;""</f>
        <v>2024-11-19</v>
      </c>
      <c r="D14" s="7" t="str">
        <f>IF(AND(LEN(C14)=10,MID(C14,5,1)="-",MID(C14,8,1)="-"),"ISO",IF(AND(LEN(C14)=10,MID(C14,3,1)="-",MID(C14,6,1)="-"),"DMY","OTHER"))</f>
        <v>ISO</v>
      </c>
      <c r="E14" s="7">
        <f>IF(D14="ISO",VALUE(LEFT(C14,4)),IF(D14="DMY",VALUE(RIGHT(C14,4)),0))</f>
        <v>2024</v>
      </c>
      <c r="F14" s="7">
        <f>IF(D14="ISO",VALUE(MID(C14,6,2)),IF(D14="DMY",VALUE(MID(C14,4,2)),0))</f>
        <v>11</v>
      </c>
      <c r="G14" s="7">
        <f>IF(D14="ISO",VALUE(RIGHT(C14,2)),IF(D14="DMY",VALUE(LEFT(C14,2)),0))</f>
        <v>19</v>
      </c>
      <c r="H14" s="7">
        <f>IF(AND(D14&lt;&gt;"OTHER",F14&gt;=1,F14&lt;=12,G14&gt;=1,G14&lt;=31),IF(AND(MONTH(DATE(E14,F14,G14))=F14,DAY(DATE(E14,F14,G14))=G14),1,0),0)</f>
        <v>1</v>
      </c>
      <c r="I14" s="7">
        <f>IF(H14=1,DATE(E14,F14,G14),"")</f>
        <v>45615.0</v>
      </c>
      <c r="J14" s="7">
        <f>IF(AND(D14="DMY",H14=1),1,0)</f>
        <v>0</v>
      </c>
      <c r="K14" s="7">
        <f>IF(H14=0,1,0)</f>
        <v>0</v>
      </c>
      <c r="L14" s="7">
        <f>IF(TRIM(Raw_Bookings!I14&amp;"")="",1,0)</f>
        <v>0</v>
      </c>
      <c r="M14" s="7">
        <f>IF(L14=1,"",DATEVALUE(LEFT(Raw_Bookings!I14,10))+TIMEVALUE(MID(Raw_Bookings!I14,12,8)))</f>
        <v>45526.40887731482</v>
      </c>
      <c r="N14" s="7">
        <f>IF(AND(L14=0,H14=1),IF(INT(M14)&gt;I14,1,0),0)</f>
        <v>0</v>
      </c>
      <c r="O14" s="7" t="str">
        <f>UPPER(TRIM(Raw_Bookings!F14))</f>
        <v>DEL</v>
      </c>
      <c r="P14" s="7" t="str">
        <f>UPPER(TRIM(Raw_Bookings!G14))</f>
        <v>MAU</v>
      </c>
      <c r="Q14" s="7">
        <f>IF(COUNTIF(Lookup_Stations!$A$2:$A$33,O14)&gt;0,1,0)</f>
        <v>1</v>
      </c>
      <c r="R14" s="7">
        <f>IF(COUNTIF(Lookup_Stations!$A$2:$A$33,P14)&gt;0,1,0)</f>
        <v>1</v>
      </c>
      <c r="S14" s="7">
        <f>IF(OR(AND(Q14=1,NOT(EXACT(Raw_Bookings!F14,O14))),AND(R14=1,NOT(EXACT(Raw_Bookings!G14,P14)))),1,0)</f>
        <v>0</v>
      </c>
      <c r="T14" s="7">
        <f>IF(OR(Q14=0,R14=0),1,0)</f>
        <v>0</v>
      </c>
      <c r="U14" s="7">
        <f>IF(TRIM(Raw_Bookings!E14&amp;"")="",1,0)</f>
        <v>0</v>
      </c>
      <c r="V14" s="7" t="str">
        <f>IF(SUMPRODUCT(--(Lookup_Status!$A$2:$A$13=LOWER(TRIM(Raw_Bookings!K14))))=0,"",INDEX(Lookup_Status!$B$2:$B$13,SUMPRODUCT((Lookup_Status!$A$2:$A$13=LOWER(TRIM(Raw_Bookings!K14)))*(ROW(Lookup_Status!$A$2:$A$13)-1))))</f>
        <v>Confirmed</v>
      </c>
      <c r="W14" s="7">
        <f>IF(AND(V14&lt;&gt;"",NOT(EXACT(Raw_Bookings!K14,V14))),1,0)</f>
        <v>0</v>
      </c>
      <c r="X14" s="7">
        <f>IF(V14="",1,0)</f>
        <v>0</v>
      </c>
      <c r="Y14" s="7">
        <f>IF(TRIM(Raw_Bookings!L14&amp;"")="",1,0)</f>
        <v>0</v>
      </c>
      <c r="Z14" s="7">
        <f>IF(AND(ISTEXT(Raw_Bookings!L14),Y14=0),1,0)</f>
        <v>0</v>
      </c>
      <c r="AA14" s="7">
        <f>IF(Z14=1,IFERROR(VALUE(SUBSTITUTE(SUBSTITUTE(SUBSTITUTE(SUBSTITUTE(SUBSTITUTE(UPPER(Raw_Bookings!L14),"RS.",""),"₹",""),",","")," ",""),"INR","")),""),"")</f>
        <v/>
      </c>
      <c r="AB14" s="7">
        <f>IF(AND(Z14=1,ISNUMBER(AA14)),1,0)</f>
        <v>0</v>
      </c>
      <c r="AC14" s="7">
        <f>IF(B14=1,0,IF(NOT(ISNUMBER(Raw_Bookings!J14)),1,IF(Raw_Bookings!J14&lt;&gt;COUNTIFS(Work_Passengers!$B$2:$B$1336,Raw_Bookings!A14,Work_Passengers!$C$2:$C$1336,0),1,0)))</f>
        <v>0</v>
      </c>
    </row>
    <row r="15" spans="1:31">
      <c r="A15" s="7">
        <f>Raw_Bookings!A15</f>
        <v>1004815</v>
      </c>
      <c r="B15" s="7">
        <f>IF(COUNTIF(Raw_Bookings!$A$2:A15,Raw_Bookings!A15)&gt;1,1,0)</f>
        <v>0</v>
      </c>
      <c r="C15" s="7" t="str">
        <f>Raw_Bookings!D15&amp;""</f>
        <v>2024-09-17</v>
      </c>
      <c r="D15" s="7" t="str">
        <f>IF(AND(LEN(C15)=10,MID(C15,5,1)="-",MID(C15,8,1)="-"),"ISO",IF(AND(LEN(C15)=10,MID(C15,3,1)="-",MID(C15,6,1)="-"),"DMY","OTHER"))</f>
        <v>ISO</v>
      </c>
      <c r="E15" s="7">
        <f>IF(D15="ISO",VALUE(LEFT(C15,4)),IF(D15="DMY",VALUE(RIGHT(C15,4)),0))</f>
        <v>2024</v>
      </c>
      <c r="F15" s="7">
        <f>IF(D15="ISO",VALUE(MID(C15,6,2)),IF(D15="DMY",VALUE(MID(C15,4,2)),0))</f>
        <v>9</v>
      </c>
      <c r="G15" s="7">
        <f>IF(D15="ISO",VALUE(RIGHT(C15,2)),IF(D15="DMY",VALUE(LEFT(C15,2)),0))</f>
        <v>17</v>
      </c>
      <c r="H15" s="7">
        <f>IF(AND(D15&lt;&gt;"OTHER",F15&gt;=1,F15&lt;=12,G15&gt;=1,G15&lt;=31),IF(AND(MONTH(DATE(E15,F15,G15))=F15,DAY(DATE(E15,F15,G15))=G15),1,0),0)</f>
        <v>1</v>
      </c>
      <c r="I15" s="7">
        <f>IF(H15=1,DATE(E15,F15,G15),"")</f>
        <v>45552.0</v>
      </c>
      <c r="J15" s="7">
        <f>IF(AND(D15="DMY",H15=1),1,0)</f>
        <v>0</v>
      </c>
      <c r="K15" s="7">
        <f>IF(H15=0,1,0)</f>
        <v>0</v>
      </c>
      <c r="L15" s="7">
        <f>IF(TRIM(Raw_Bookings!I15&amp;"")="",1,0)</f>
        <v>0</v>
      </c>
      <c r="M15" s="7">
        <f>IF(L15=1,"",DATEVALUE(LEFT(Raw_Bookings!I15,10))+TIMEVALUE(MID(Raw_Bookings!I15,12,8)))</f>
        <v>45527.360300925924</v>
      </c>
      <c r="N15" s="7">
        <f>IF(AND(L15=0,H15=1),IF(INT(M15)&gt;I15,1,0),0)</f>
        <v>0</v>
      </c>
      <c r="O15" s="7" t="str">
        <f>UPPER(TRIM(Raw_Bookings!F15))</f>
        <v>IND</v>
      </c>
      <c r="P15" s="7" t="str">
        <f>UPPER(TRIM(Raw_Bookings!G15))</f>
        <v>AMR</v>
      </c>
      <c r="Q15" s="7">
        <f>IF(COUNTIF(Lookup_Stations!$A$2:$A$33,O15)&gt;0,1,0)</f>
        <v>1</v>
      </c>
      <c r="R15" s="7">
        <f>IF(COUNTIF(Lookup_Stations!$A$2:$A$33,P15)&gt;0,1,0)</f>
        <v>1</v>
      </c>
      <c r="S15" s="7">
        <f>IF(OR(AND(Q15=1,NOT(EXACT(Raw_Bookings!F15,O15))),AND(R15=1,NOT(EXACT(Raw_Bookings!G15,P15)))),1,0)</f>
        <v>0</v>
      </c>
      <c r="T15" s="7">
        <f>IF(OR(Q15=0,R15=0),1,0)</f>
        <v>0</v>
      </c>
      <c r="U15" s="7">
        <f>IF(TRIM(Raw_Bookings!E15&amp;"")="",1,0)</f>
        <v>0</v>
      </c>
      <c r="V15" s="7" t="str">
        <f>IF(SUMPRODUCT(--(Lookup_Status!$A$2:$A$13=LOWER(TRIM(Raw_Bookings!K15))))=0,"",INDEX(Lookup_Status!$B$2:$B$13,SUMPRODUCT((Lookup_Status!$A$2:$A$13=LOWER(TRIM(Raw_Bookings!K15)))*(ROW(Lookup_Status!$A$2:$A$13)-1))))</f>
        <v>Cancelled</v>
      </c>
      <c r="W15" s="7">
        <f>IF(AND(V15&lt;&gt;"",NOT(EXACT(Raw_Bookings!K15,V15))),1,0)</f>
        <v>0</v>
      </c>
      <c r="X15" s="7">
        <f>IF(V15="",1,0)</f>
        <v>0</v>
      </c>
      <c r="Y15" s="7">
        <f>IF(TRIM(Raw_Bookings!L15&amp;"")="",1,0)</f>
        <v>0</v>
      </c>
      <c r="Z15" s="7">
        <f>IF(AND(ISTEXT(Raw_Bookings!L15),Y15=0),1,0)</f>
        <v>0</v>
      </c>
      <c r="AA15" s="7">
        <f>IF(Z15=1,IFERROR(VALUE(SUBSTITUTE(SUBSTITUTE(SUBSTITUTE(SUBSTITUTE(SUBSTITUTE(UPPER(Raw_Bookings!L15),"RS.",""),"₹",""),",","")," ",""),"INR","")),""),"")</f>
        <v/>
      </c>
      <c r="AB15" s="7">
        <f>IF(AND(Z15=1,ISNUMBER(AA15)),1,0)</f>
        <v>0</v>
      </c>
      <c r="AC15" s="7">
        <f>IF(B15=1,0,IF(NOT(ISNUMBER(Raw_Bookings!J15)),1,IF(Raw_Bookings!J15&lt;&gt;COUNTIFS(Work_Passengers!$B$2:$B$1336,Raw_Bookings!A15,Work_Passengers!$C$2:$C$1336,0),1,0)))</f>
        <v>0</v>
      </c>
    </row>
    <row r="16" spans="1:31">
      <c r="A16" s="7">
        <f>Raw_Bookings!A16</f>
        <v>1004847</v>
      </c>
      <c r="B16" s="7">
        <f>IF(COUNTIF(Raw_Bookings!$A$2:A16,Raw_Bookings!A16)&gt;1,1,0)</f>
        <v>0</v>
      </c>
      <c r="C16" s="7" t="str">
        <f>Raw_Bookings!D16&amp;""</f>
        <v>2024-11-06</v>
      </c>
      <c r="D16" s="7" t="str">
        <f>IF(AND(LEN(C16)=10,MID(C16,5,1)="-",MID(C16,8,1)="-"),"ISO",IF(AND(LEN(C16)=10,MID(C16,3,1)="-",MID(C16,6,1)="-"),"DMY","OTHER"))</f>
        <v>ISO</v>
      </c>
      <c r="E16" s="7">
        <f>IF(D16="ISO",VALUE(LEFT(C16,4)),IF(D16="DMY",VALUE(RIGHT(C16,4)),0))</f>
        <v>2024</v>
      </c>
      <c r="F16" s="7">
        <f>IF(D16="ISO",VALUE(MID(C16,6,2)),IF(D16="DMY",VALUE(MID(C16,4,2)),0))</f>
        <v>11</v>
      </c>
      <c r="G16" s="7">
        <f>IF(D16="ISO",VALUE(RIGHT(C16,2)),IF(D16="DMY",VALUE(LEFT(C16,2)),0))</f>
        <v>6</v>
      </c>
      <c r="H16" s="7">
        <f>IF(AND(D16&lt;&gt;"OTHER",F16&gt;=1,F16&lt;=12,G16&gt;=1,G16&lt;=31),IF(AND(MONTH(DATE(E16,F16,G16))=F16,DAY(DATE(E16,F16,G16))=G16),1,0),0)</f>
        <v>1</v>
      </c>
      <c r="I16" s="7">
        <f>IF(H16=1,DATE(E16,F16,G16),"")</f>
        <v>45602.0</v>
      </c>
      <c r="J16" s="7">
        <f>IF(AND(D16="DMY",H16=1),1,0)</f>
        <v>0</v>
      </c>
      <c r="K16" s="7">
        <f>IF(H16=0,1,0)</f>
        <v>0</v>
      </c>
      <c r="L16" s="7">
        <f>IF(TRIM(Raw_Bookings!I16&amp;"")="",1,0)</f>
        <v>0</v>
      </c>
      <c r="M16" s="7">
        <f>IF(L16=1,"",DATEVALUE(LEFT(Raw_Bookings!I16,10))+TIMEVALUE(MID(Raw_Bookings!I16,12,8)))</f>
        <v>45527.48638888889</v>
      </c>
      <c r="N16" s="7">
        <f>IF(AND(L16=0,H16=1),IF(INT(M16)&gt;I16,1,0),0)</f>
        <v>0</v>
      </c>
      <c r="O16" s="7" t="str">
        <f>UPPER(TRIM(Raw_Bookings!F16))</f>
        <v>CHA</v>
      </c>
      <c r="P16" s="7" t="str">
        <f>UPPER(TRIM(Raw_Bookings!G16))</f>
        <v>VIS</v>
      </c>
      <c r="Q16" s="7">
        <f>IF(COUNTIF(Lookup_Stations!$A$2:$A$33,O16)&gt;0,1,0)</f>
        <v>1</v>
      </c>
      <c r="R16" s="7">
        <f>IF(COUNTIF(Lookup_Stations!$A$2:$A$33,P16)&gt;0,1,0)</f>
        <v>1</v>
      </c>
      <c r="S16" s="7">
        <f>IF(OR(AND(Q16=1,NOT(EXACT(Raw_Bookings!F16,O16))),AND(R16=1,NOT(EXACT(Raw_Bookings!G16,P16)))),1,0)</f>
        <v>0</v>
      </c>
      <c r="T16" s="7">
        <f>IF(OR(Q16=0,R16=0),1,0)</f>
        <v>0</v>
      </c>
      <c r="U16" s="7">
        <f>IF(TRIM(Raw_Bookings!E16&amp;"")="",1,0)</f>
        <v>0</v>
      </c>
      <c r="V16" s="7" t="str">
        <f>IF(SUMPRODUCT(--(Lookup_Status!$A$2:$A$13=LOWER(TRIM(Raw_Bookings!K16))))=0,"",INDEX(Lookup_Status!$B$2:$B$13,SUMPRODUCT((Lookup_Status!$A$2:$A$13=LOWER(TRIM(Raw_Bookings!K16)))*(ROW(Lookup_Status!$A$2:$A$13)-1))))</f>
        <v>Cancelled</v>
      </c>
      <c r="W16" s="7">
        <f>IF(AND(V16&lt;&gt;"",NOT(EXACT(Raw_Bookings!K16,V16))),1,0)</f>
        <v>0</v>
      </c>
      <c r="X16" s="7">
        <f>IF(V16="",1,0)</f>
        <v>0</v>
      </c>
      <c r="Y16" s="7">
        <f>IF(TRIM(Raw_Bookings!L16&amp;"")="",1,0)</f>
        <v>0</v>
      </c>
      <c r="Z16" s="7">
        <f>IF(AND(ISTEXT(Raw_Bookings!L16),Y16=0),1,0)</f>
        <v>0</v>
      </c>
      <c r="AA16" s="7">
        <f>IF(Z16=1,IFERROR(VALUE(SUBSTITUTE(SUBSTITUTE(SUBSTITUTE(SUBSTITUTE(SUBSTITUTE(UPPER(Raw_Bookings!L16),"RS.",""),"₹",""),",","")," ",""),"INR","")),""),"")</f>
        <v/>
      </c>
      <c r="AB16" s="7">
        <f>IF(AND(Z16=1,ISNUMBER(AA16)),1,0)</f>
        <v>0</v>
      </c>
      <c r="AC16" s="7">
        <f>IF(B16=1,0,IF(NOT(ISNUMBER(Raw_Bookings!J16)),1,IF(Raw_Bookings!J16&lt;&gt;COUNTIFS(Work_Passengers!$B$2:$B$1336,Raw_Bookings!A16,Work_Passengers!$C$2:$C$1336,0),1,0)))</f>
        <v>0</v>
      </c>
    </row>
    <row r="17" spans="1:29">
      <c r="A17" s="7">
        <f>Raw_Bookings!A17</f>
        <v>1005162</v>
      </c>
      <c r="B17" s="7">
        <f>IF(COUNTIF(Raw_Bookings!$A$2:A17,Raw_Bookings!A17)&gt;1,1,0)</f>
        <v>0</v>
      </c>
      <c r="C17" s="7" t="str">
        <f>Raw_Bookings!D17&amp;""</f>
        <v>2024-12-04</v>
      </c>
      <c r="D17" s="7" t="str">
        <f>IF(AND(LEN(C17)=10,MID(C17,5,1)="-",MID(C17,8,1)="-"),"ISO",IF(AND(LEN(C17)=10,MID(C17,3,1)="-",MID(C17,6,1)="-"),"DMY","OTHER"))</f>
        <v>ISO</v>
      </c>
      <c r="E17" s="7">
        <f>IF(D17="ISO",VALUE(LEFT(C17,4)),IF(D17="DMY",VALUE(RIGHT(C17,4)),0))</f>
        <v>2024</v>
      </c>
      <c r="F17" s="7">
        <f>IF(D17="ISO",VALUE(MID(C17,6,2)),IF(D17="DMY",VALUE(MID(C17,4,2)),0))</f>
        <v>12</v>
      </c>
      <c r="G17" s="7">
        <f>IF(D17="ISO",VALUE(RIGHT(C17,2)),IF(D17="DMY",VALUE(LEFT(C17,2)),0))</f>
        <v>4</v>
      </c>
      <c r="H17" s="7">
        <f>IF(AND(D17&lt;&gt;"OTHER",F17&gt;=1,F17&lt;=12,G17&gt;=1,G17&lt;=31),IF(AND(MONTH(DATE(E17,F17,G17))=F17,DAY(DATE(E17,F17,G17))=G17),1,0),0)</f>
        <v>1</v>
      </c>
      <c r="I17" s="7">
        <f>IF(H17=1,DATE(E17,F17,G17),"")</f>
        <v>45630.0</v>
      </c>
      <c r="J17" s="7">
        <f>IF(AND(D17="DMY",H17=1),1,0)</f>
        <v>0</v>
      </c>
      <c r="K17" s="7">
        <f>IF(H17=0,1,0)</f>
        <v>0</v>
      </c>
      <c r="L17" s="7">
        <f>IF(TRIM(Raw_Bookings!I17&amp;"")="",1,0)</f>
        <v>0</v>
      </c>
      <c r="M17" s="7">
        <f>IF(L17=1,"",DATEVALUE(LEFT(Raw_Bookings!I17,10))+TIMEVALUE(MID(Raw_Bookings!I17,12,8)))</f>
        <v>45529.38538194444</v>
      </c>
      <c r="N17" s="7">
        <f>IF(AND(L17=0,H17=1),IF(INT(M17)&gt;I17,1,0),0)</f>
        <v>0</v>
      </c>
      <c r="O17" s="7" t="str">
        <f>UPPER(TRIM(Raw_Bookings!F17))</f>
        <v>RAI</v>
      </c>
      <c r="P17" s="7" t="str">
        <f>UPPER(TRIM(Raw_Bookings!G17))</f>
        <v>JAI</v>
      </c>
      <c r="Q17" s="7">
        <f>IF(COUNTIF(Lookup_Stations!$A$2:$A$33,O17)&gt;0,1,0)</f>
        <v>1</v>
      </c>
      <c r="R17" s="7">
        <f>IF(COUNTIF(Lookup_Stations!$A$2:$A$33,P17)&gt;0,1,0)</f>
        <v>1</v>
      </c>
      <c r="S17" s="7">
        <f>IF(OR(AND(Q17=1,NOT(EXACT(Raw_Bookings!F17,O17))),AND(R17=1,NOT(EXACT(Raw_Bookings!G17,P17)))),1,0)</f>
        <v>0</v>
      </c>
      <c r="T17" s="7">
        <f>IF(OR(Q17=0,R17=0),1,0)</f>
        <v>0</v>
      </c>
      <c r="U17" s="7">
        <f>IF(TRIM(Raw_Bookings!E17&amp;"")="",1,0)</f>
        <v>0</v>
      </c>
      <c r="V17" s="7" t="str">
        <f>IF(SUMPRODUCT(--(Lookup_Status!$A$2:$A$13=LOWER(TRIM(Raw_Bookings!K17))))=0,"",INDEX(Lookup_Status!$B$2:$B$13,SUMPRODUCT((Lookup_Status!$A$2:$A$13=LOWER(TRIM(Raw_Bookings!K17)))*(ROW(Lookup_Status!$A$2:$A$13)-1))))</f>
        <v>Confirmed</v>
      </c>
      <c r="W17" s="7">
        <f>IF(AND(V17&lt;&gt;"",NOT(EXACT(Raw_Bookings!K17,V17))),1,0)</f>
        <v>0</v>
      </c>
      <c r="X17" s="7">
        <f>IF(V17="",1,0)</f>
        <v>0</v>
      </c>
      <c r="Y17" s="7">
        <f>IF(TRIM(Raw_Bookings!L17&amp;"")="",1,0)</f>
        <v>0</v>
      </c>
      <c r="Z17" s="7">
        <f>IF(AND(ISTEXT(Raw_Bookings!L17),Y17=0),1,0)</f>
        <v>0</v>
      </c>
      <c r="AA17" s="7">
        <f>IF(Z17=1,IFERROR(VALUE(SUBSTITUTE(SUBSTITUTE(SUBSTITUTE(SUBSTITUTE(SUBSTITUTE(UPPER(Raw_Bookings!L17),"RS.",""),"₹",""),",","")," ",""),"INR","")),""),"")</f>
        <v/>
      </c>
      <c r="AB17" s="7">
        <f>IF(AND(Z17=1,ISNUMBER(AA17)),1,0)</f>
        <v>0</v>
      </c>
      <c r="AC17" s="7">
        <f>IF(B17=1,0,IF(NOT(ISNUMBER(Raw_Bookings!J17)),1,IF(Raw_Bookings!J17&lt;&gt;COUNTIFS(Work_Passengers!$B$2:$B$1336,Raw_Bookings!A17,Work_Passengers!$C$2:$C$1336,0),1,0)))</f>
        <v>0</v>
      </c>
    </row>
    <row r="18" spans="1:29">
      <c r="A18" s="7">
        <f>Raw_Bookings!A18</f>
        <v>1005562</v>
      </c>
      <c r="B18" s="7">
        <f>IF(COUNTIF(Raw_Bookings!$A$2:A18,Raw_Bookings!A18)&gt;1,1,0)</f>
        <v>0</v>
      </c>
      <c r="C18" s="7" t="str">
        <f>Raw_Bookings!D18&amp;""</f>
        <v>2024-09-24</v>
      </c>
      <c r="D18" s="7" t="str">
        <f>IF(AND(LEN(C18)=10,MID(C18,5,1)="-",MID(C18,8,1)="-"),"ISO",IF(AND(LEN(C18)=10,MID(C18,3,1)="-",MID(C18,6,1)="-"),"DMY","OTHER"))</f>
        <v>ISO</v>
      </c>
      <c r="E18" s="7">
        <f>IF(D18="ISO",VALUE(LEFT(C18,4)),IF(D18="DMY",VALUE(RIGHT(C18,4)),0))</f>
        <v>2024</v>
      </c>
      <c r="F18" s="7">
        <f>IF(D18="ISO",VALUE(MID(C18,6,2)),IF(D18="DMY",VALUE(MID(C18,4,2)),0))</f>
        <v>9</v>
      </c>
      <c r="G18" s="7">
        <f>IF(D18="ISO",VALUE(RIGHT(C18,2)),IF(D18="DMY",VALUE(LEFT(C18,2)),0))</f>
        <v>24</v>
      </c>
      <c r="H18" s="7">
        <f>IF(AND(D18&lt;&gt;"OTHER",F18&gt;=1,F18&lt;=12,G18&gt;=1,G18&lt;=31),IF(AND(MONTH(DATE(E18,F18,G18))=F18,DAY(DATE(E18,F18,G18))=G18),1,0),0)</f>
        <v>1</v>
      </c>
      <c r="I18" s="7">
        <f>IF(H18=1,DATE(E18,F18,G18),"")</f>
        <v>45559.0</v>
      </c>
      <c r="J18" s="7">
        <f>IF(AND(D18="DMY",H18=1),1,0)</f>
        <v>0</v>
      </c>
      <c r="K18" s="7">
        <f>IF(H18=0,1,0)</f>
        <v>0</v>
      </c>
      <c r="L18" s="7">
        <f>IF(TRIM(Raw_Bookings!I18&amp;"")="",1,0)</f>
        <v>0</v>
      </c>
      <c r="M18" s="7">
        <f>IF(L18=1,"",DATEVALUE(LEFT(Raw_Bookings!I18,10))+TIMEVALUE(MID(Raw_Bookings!I18,12,8)))</f>
        <v>45531.57300925926</v>
      </c>
      <c r="N18" s="7">
        <f>IF(AND(L18=0,H18=1),IF(INT(M18)&gt;I18,1,0),0)</f>
        <v>0</v>
      </c>
      <c r="O18" s="7" t="str">
        <f>UPPER(TRIM(Raw_Bookings!F18))</f>
        <v>VAR</v>
      </c>
      <c r="P18" s="7" t="str">
        <f>UPPER(TRIM(Raw_Bookings!G18))</f>
        <v>SUR</v>
      </c>
      <c r="Q18" s="7">
        <f>IF(COUNTIF(Lookup_Stations!$A$2:$A$33,O18)&gt;0,1,0)</f>
        <v>1</v>
      </c>
      <c r="R18" s="7">
        <f>IF(COUNTIF(Lookup_Stations!$A$2:$A$33,P18)&gt;0,1,0)</f>
        <v>1</v>
      </c>
      <c r="S18" s="7">
        <f>IF(OR(AND(Q18=1,NOT(EXACT(Raw_Bookings!F18,O18))),AND(R18=1,NOT(EXACT(Raw_Bookings!G18,P18)))),1,0)</f>
        <v>0</v>
      </c>
      <c r="T18" s="7">
        <f>IF(OR(Q18=0,R18=0),1,0)</f>
        <v>0</v>
      </c>
      <c r="U18" s="7">
        <f>IF(TRIM(Raw_Bookings!E18&amp;"")="",1,0)</f>
        <v>0</v>
      </c>
      <c r="V18" s="7" t="str">
        <f>IF(SUMPRODUCT(--(Lookup_Status!$A$2:$A$13=LOWER(TRIM(Raw_Bookings!K18))))=0,"",INDEX(Lookup_Status!$B$2:$B$13,SUMPRODUCT((Lookup_Status!$A$2:$A$13=LOWER(TRIM(Raw_Bookings!K18)))*(ROW(Lookup_Status!$A$2:$A$13)-1))))</f>
        <v>Confirmed</v>
      </c>
      <c r="W18" s="7">
        <f>IF(AND(V18&lt;&gt;"",NOT(EXACT(Raw_Bookings!K18,V18))),1,0)</f>
        <v>0</v>
      </c>
      <c r="X18" s="7">
        <f>IF(V18="",1,0)</f>
        <v>0</v>
      </c>
      <c r="Y18" s="7">
        <f>IF(TRIM(Raw_Bookings!L18&amp;"")="",1,0)</f>
        <v>0</v>
      </c>
      <c r="Z18" s="7">
        <f>IF(AND(ISTEXT(Raw_Bookings!L18),Y18=0),1,0)</f>
        <v>0</v>
      </c>
      <c r="AA18" s="7">
        <f>IF(Z18=1,IFERROR(VALUE(SUBSTITUTE(SUBSTITUTE(SUBSTITUTE(SUBSTITUTE(SUBSTITUTE(UPPER(Raw_Bookings!L18),"RS.",""),"₹",""),",","")," ",""),"INR","")),""),"")</f>
        <v/>
      </c>
      <c r="AB18" s="7">
        <f>IF(AND(Z18=1,ISNUMBER(AA18)),1,0)</f>
        <v>0</v>
      </c>
      <c r="AC18" s="7">
        <f>IF(B18=1,0,IF(NOT(ISNUMBER(Raw_Bookings!J18)),1,IF(Raw_Bookings!J18&lt;&gt;COUNTIFS(Work_Passengers!$B$2:$B$1336,Raw_Bookings!A18,Work_Passengers!$C$2:$C$1336,0),1,0)))</f>
        <v>0</v>
      </c>
    </row>
    <row r="19" spans="1:29">
      <c r="A19" s="7">
        <f>Raw_Bookings!A19</f>
        <v>1005583</v>
      </c>
      <c r="B19" s="7">
        <f>IF(COUNTIF(Raw_Bookings!$A$2:A19,Raw_Bookings!A19)&gt;1,1,0)</f>
        <v>0</v>
      </c>
      <c r="C19" s="7" t="str">
        <f>Raw_Bookings!D19&amp;""</f>
        <v>2024-12-14</v>
      </c>
      <c r="D19" s="7" t="str">
        <f>IF(AND(LEN(C19)=10,MID(C19,5,1)="-",MID(C19,8,1)="-"),"ISO",IF(AND(LEN(C19)=10,MID(C19,3,1)="-",MID(C19,6,1)="-"),"DMY","OTHER"))</f>
        <v>ISO</v>
      </c>
      <c r="E19" s="7">
        <f>IF(D19="ISO",VALUE(LEFT(C19,4)),IF(D19="DMY",VALUE(RIGHT(C19,4)),0))</f>
        <v>2024</v>
      </c>
      <c r="F19" s="7">
        <f>IF(D19="ISO",VALUE(MID(C19,6,2)),IF(D19="DMY",VALUE(MID(C19,4,2)),0))</f>
        <v>12</v>
      </c>
      <c r="G19" s="7">
        <f>IF(D19="ISO",VALUE(RIGHT(C19,2)),IF(D19="DMY",VALUE(LEFT(C19,2)),0))</f>
        <v>14</v>
      </c>
      <c r="H19" s="7">
        <f>IF(AND(D19&lt;&gt;"OTHER",F19&gt;=1,F19&lt;=12,G19&gt;=1,G19&lt;=31),IF(AND(MONTH(DATE(E19,F19,G19))=F19,DAY(DATE(E19,F19,G19))=G19),1,0),0)</f>
        <v>1</v>
      </c>
      <c r="I19" s="7">
        <f>IF(H19=1,DATE(E19,F19,G19),"")</f>
        <v>45640.0</v>
      </c>
      <c r="J19" s="7">
        <f>IF(AND(D19="DMY",H19=1),1,0)</f>
        <v>0</v>
      </c>
      <c r="K19" s="7">
        <f>IF(H19=0,1,0)</f>
        <v>0</v>
      </c>
      <c r="L19" s="7">
        <f>IF(TRIM(Raw_Bookings!I19&amp;"")="",1,0)</f>
        <v>0</v>
      </c>
      <c r="M19" s="7">
        <f>IF(L19=1,"",DATEVALUE(LEFT(Raw_Bookings!I19,10))+TIMEVALUE(MID(Raw_Bookings!I19,12,8)))</f>
        <v>45531.661527777775</v>
      </c>
      <c r="N19" s="7">
        <f>IF(AND(L19=0,H19=1),IF(INT(M19)&gt;I19,1,0),0)</f>
        <v>0</v>
      </c>
      <c r="O19" s="7" t="str">
        <f>UPPER(TRIM(Raw_Bookings!F19))</f>
        <v>DIB</v>
      </c>
      <c r="P19" s="7" t="str">
        <f>UPPER(TRIM(Raw_Bookings!G19))</f>
        <v>DEL</v>
      </c>
      <c r="Q19" s="7">
        <f>IF(COUNTIF(Lookup_Stations!$A$2:$A$33,O19)&gt;0,1,0)</f>
        <v>1</v>
      </c>
      <c r="R19" s="7">
        <f>IF(COUNTIF(Lookup_Stations!$A$2:$A$33,P19)&gt;0,1,0)</f>
        <v>1</v>
      </c>
      <c r="S19" s="7">
        <f>IF(OR(AND(Q19=1,NOT(EXACT(Raw_Bookings!F19,O19))),AND(R19=1,NOT(EXACT(Raw_Bookings!G19,P19)))),1,0)</f>
        <v>0</v>
      </c>
      <c r="T19" s="7">
        <f>IF(OR(Q19=0,R19=0),1,0)</f>
        <v>0</v>
      </c>
      <c r="U19" s="7">
        <f>IF(TRIM(Raw_Bookings!E19&amp;"")="",1,0)</f>
        <v>0</v>
      </c>
      <c r="V19" s="7" t="str">
        <f>IF(SUMPRODUCT(--(Lookup_Status!$A$2:$A$13=LOWER(TRIM(Raw_Bookings!K19))))=0,"",INDEX(Lookup_Status!$B$2:$B$13,SUMPRODUCT((Lookup_Status!$A$2:$A$13=LOWER(TRIM(Raw_Bookings!K19)))*(ROW(Lookup_Status!$A$2:$A$13)-1))))</f>
        <v>Confirmed</v>
      </c>
      <c r="W19" s="7">
        <f>IF(AND(V19&lt;&gt;"",NOT(EXACT(Raw_Bookings!K19,V19))),1,0)</f>
        <v>1</v>
      </c>
      <c r="X19" s="7">
        <f>IF(V19="",1,0)</f>
        <v>0</v>
      </c>
      <c r="Y19" s="7">
        <f>IF(TRIM(Raw_Bookings!L19&amp;"")="",1,0)</f>
        <v>0</v>
      </c>
      <c r="Z19" s="7">
        <f>IF(AND(ISTEXT(Raw_Bookings!L19),Y19=0),1,0)</f>
        <v>0</v>
      </c>
      <c r="AA19" s="7">
        <f>IF(Z19=1,IFERROR(VALUE(SUBSTITUTE(SUBSTITUTE(SUBSTITUTE(SUBSTITUTE(SUBSTITUTE(UPPER(Raw_Bookings!L19),"RS.",""),"₹",""),",","")," ",""),"INR","")),""),"")</f>
        <v/>
      </c>
      <c r="AB19" s="7">
        <f>IF(AND(Z19=1,ISNUMBER(AA19)),1,0)</f>
        <v>0</v>
      </c>
      <c r="AC19" s="7">
        <f>IF(B19=1,0,IF(NOT(ISNUMBER(Raw_Bookings!J19)),1,IF(Raw_Bookings!J19&lt;&gt;COUNTIFS(Work_Passengers!$B$2:$B$1336,Raw_Bookings!A19,Work_Passengers!$C$2:$C$1336,0),1,0)))</f>
        <v>0</v>
      </c>
    </row>
    <row r="20" spans="1:29">
      <c r="A20" s="7">
        <f>Raw_Bookings!A20</f>
        <v>1006037</v>
      </c>
      <c r="B20" s="7">
        <f>IF(COUNTIF(Raw_Bookings!$A$2:A20,Raw_Bookings!A20)&gt;1,1,0)</f>
        <v>0</v>
      </c>
      <c r="C20" s="7" t="str">
        <f>Raw_Bookings!D20&amp;""</f>
        <v>2024-10-17</v>
      </c>
      <c r="D20" s="7" t="str">
        <f>IF(AND(LEN(C20)=10,MID(C20,5,1)="-",MID(C20,8,1)="-"),"ISO",IF(AND(LEN(C20)=10,MID(C20,3,1)="-",MID(C20,6,1)="-"),"DMY","OTHER"))</f>
        <v>ISO</v>
      </c>
      <c r="E20" s="7">
        <f>IF(D20="ISO",VALUE(LEFT(C20,4)),IF(D20="DMY",VALUE(RIGHT(C20,4)),0))</f>
        <v>2024</v>
      </c>
      <c r="F20" s="7">
        <f>IF(D20="ISO",VALUE(MID(C20,6,2)),IF(D20="DMY",VALUE(MID(C20,4,2)),0))</f>
        <v>10</v>
      </c>
      <c r="G20" s="7">
        <f>IF(D20="ISO",VALUE(RIGHT(C20,2)),IF(D20="DMY",VALUE(LEFT(C20,2)),0))</f>
        <v>17</v>
      </c>
      <c r="H20" s="7">
        <f>IF(AND(D20&lt;&gt;"OTHER",F20&gt;=1,F20&lt;=12,G20&gt;=1,G20&lt;=31),IF(AND(MONTH(DATE(E20,F20,G20))=F20,DAY(DATE(E20,F20,G20))=G20),1,0),0)</f>
        <v>1</v>
      </c>
      <c r="I20" s="7">
        <f>IF(H20=1,DATE(E20,F20,G20),"")</f>
        <v>45582.0</v>
      </c>
      <c r="J20" s="7">
        <f>IF(AND(D20="DMY",H20=1),1,0)</f>
        <v>0</v>
      </c>
      <c r="K20" s="7">
        <f>IF(H20=0,1,0)</f>
        <v>0</v>
      </c>
      <c r="L20" s="7">
        <f>IF(TRIM(Raw_Bookings!I20&amp;"")="",1,0)</f>
        <v>0</v>
      </c>
      <c r="M20" s="7">
        <f>IF(L20=1,"",DATEVALUE(LEFT(Raw_Bookings!I20,10))+TIMEVALUE(MID(Raw_Bookings!I20,12,8)))</f>
        <v>45534.22474537037</v>
      </c>
      <c r="N20" s="7">
        <f>IF(AND(L20=0,H20=1),IF(INT(M20)&gt;I20,1,0),0)</f>
        <v>0</v>
      </c>
      <c r="O20" s="7" t="str">
        <f>UPPER(TRIM(Raw_Bookings!F20))</f>
        <v>VAR</v>
      </c>
      <c r="P20" s="7" t="str">
        <f>UPPER(TRIM(Raw_Bookings!G20))</f>
        <v>AHM</v>
      </c>
      <c r="Q20" s="7">
        <f>IF(COUNTIF(Lookup_Stations!$A$2:$A$33,O20)&gt;0,1,0)</f>
        <v>1</v>
      </c>
      <c r="R20" s="7">
        <f>IF(COUNTIF(Lookup_Stations!$A$2:$A$33,P20)&gt;0,1,0)</f>
        <v>1</v>
      </c>
      <c r="S20" s="7">
        <f>IF(OR(AND(Q20=1,NOT(EXACT(Raw_Bookings!F20,O20))),AND(R20=1,NOT(EXACT(Raw_Bookings!G20,P20)))),1,0)</f>
        <v>0</v>
      </c>
      <c r="T20" s="7">
        <f>IF(OR(Q20=0,R20=0),1,0)</f>
        <v>0</v>
      </c>
      <c r="U20" s="7">
        <f>IF(TRIM(Raw_Bookings!E20&amp;"")="",1,0)</f>
        <v>0</v>
      </c>
      <c r="V20" s="7" t="str">
        <f>IF(SUMPRODUCT(--(Lookup_Status!$A$2:$A$13=LOWER(TRIM(Raw_Bookings!K20))))=0,"",INDEX(Lookup_Status!$B$2:$B$13,SUMPRODUCT((Lookup_Status!$A$2:$A$13=LOWER(TRIM(Raw_Bookings!K20)))*(ROW(Lookup_Status!$A$2:$A$13)-1))))</f>
        <v>Confirmed</v>
      </c>
      <c r="W20" s="7">
        <f>IF(AND(V20&lt;&gt;"",NOT(EXACT(Raw_Bookings!K20,V20))),1,0)</f>
        <v>0</v>
      </c>
      <c r="X20" s="7">
        <f>IF(V20="",1,0)</f>
        <v>0</v>
      </c>
      <c r="Y20" s="7">
        <f>IF(TRIM(Raw_Bookings!L20&amp;"")="",1,0)</f>
        <v>0</v>
      </c>
      <c r="Z20" s="7">
        <f>IF(AND(ISTEXT(Raw_Bookings!L20),Y20=0),1,0)</f>
        <v>0</v>
      </c>
      <c r="AA20" s="7">
        <f>IF(Z20=1,IFERROR(VALUE(SUBSTITUTE(SUBSTITUTE(SUBSTITUTE(SUBSTITUTE(SUBSTITUTE(UPPER(Raw_Bookings!L20),"RS.",""),"₹",""),",","")," ",""),"INR","")),""),"")</f>
        <v/>
      </c>
      <c r="AB20" s="7">
        <f>IF(AND(Z20=1,ISNUMBER(AA20)),1,0)</f>
        <v>0</v>
      </c>
      <c r="AC20" s="7">
        <f>IF(B20=1,0,IF(NOT(ISNUMBER(Raw_Bookings!J20)),1,IF(Raw_Bookings!J20&lt;&gt;COUNTIFS(Work_Passengers!$B$2:$B$1336,Raw_Bookings!A20,Work_Passengers!$C$2:$C$1336,0),1,0)))</f>
        <v>0</v>
      </c>
    </row>
    <row r="21" spans="1:29">
      <c r="A21" s="7">
        <f>Raw_Bookings!A21</f>
        <v>1006359</v>
      </c>
      <c r="B21" s="7">
        <f>IF(COUNTIF(Raw_Bookings!$A$2:A21,Raw_Bookings!A21)&gt;1,1,0)</f>
        <v>0</v>
      </c>
      <c r="C21" s="7" t="str">
        <f>Raw_Bookings!D21&amp;""</f>
        <v>2024-09-08</v>
      </c>
      <c r="D21" s="7" t="str">
        <f>IF(AND(LEN(C21)=10,MID(C21,5,1)="-",MID(C21,8,1)="-"),"ISO",IF(AND(LEN(C21)=10,MID(C21,3,1)="-",MID(C21,6,1)="-"),"DMY","OTHER"))</f>
        <v>ISO</v>
      </c>
      <c r="E21" s="7">
        <f>IF(D21="ISO",VALUE(LEFT(C21,4)),IF(D21="DMY",VALUE(RIGHT(C21,4)),0))</f>
        <v>2024</v>
      </c>
      <c r="F21" s="7">
        <f>IF(D21="ISO",VALUE(MID(C21,6,2)),IF(D21="DMY",VALUE(MID(C21,4,2)),0))</f>
        <v>9</v>
      </c>
      <c r="G21" s="7">
        <f>IF(D21="ISO",VALUE(RIGHT(C21,2)),IF(D21="DMY",VALUE(LEFT(C21,2)),0))</f>
        <v>8</v>
      </c>
      <c r="H21" s="7">
        <f>IF(AND(D21&lt;&gt;"OTHER",F21&gt;=1,F21&lt;=12,G21&gt;=1,G21&lt;=31),IF(AND(MONTH(DATE(E21,F21,G21))=F21,DAY(DATE(E21,F21,G21))=G21),1,0),0)</f>
        <v>1</v>
      </c>
      <c r="I21" s="7">
        <f>IF(H21=1,DATE(E21,F21,G21),"")</f>
        <v>45543.0</v>
      </c>
      <c r="J21" s="7">
        <f>IF(AND(D21="DMY",H21=1),1,0)</f>
        <v>0</v>
      </c>
      <c r="K21" s="7">
        <f>IF(H21=0,1,0)</f>
        <v>0</v>
      </c>
      <c r="L21" s="7">
        <f>IF(TRIM(Raw_Bookings!I21&amp;"")="",1,0)</f>
        <v>0</v>
      </c>
      <c r="M21" s="7">
        <f>IF(L21=1,"",DATEVALUE(LEFT(Raw_Bookings!I21,10))+TIMEVALUE(MID(Raw_Bookings!I21,12,8)))</f>
        <v>45535.61193287037</v>
      </c>
      <c r="N21" s="7">
        <f>IF(AND(L21=0,H21=1),IF(INT(M21)&gt;I21,1,0),0)</f>
        <v>0</v>
      </c>
      <c r="O21" s="7" t="str">
        <f>UPPER(TRIM(Raw_Bookings!F21))</f>
        <v>MUM</v>
      </c>
      <c r="P21" s="7" t="str">
        <f>UPPER(TRIM(Raw_Bookings!G21))</f>
        <v>BEN</v>
      </c>
      <c r="Q21" s="7">
        <f>IF(COUNTIF(Lookup_Stations!$A$2:$A$33,O21)&gt;0,1,0)</f>
        <v>1</v>
      </c>
      <c r="R21" s="7">
        <f>IF(COUNTIF(Lookup_Stations!$A$2:$A$33,P21)&gt;0,1,0)</f>
        <v>1</v>
      </c>
      <c r="S21" s="7">
        <f>IF(OR(AND(Q21=1,NOT(EXACT(Raw_Bookings!F21,O21))),AND(R21=1,NOT(EXACT(Raw_Bookings!G21,P21)))),1,0)</f>
        <v>0</v>
      </c>
      <c r="T21" s="7">
        <f>IF(OR(Q21=0,R21=0),1,0)</f>
        <v>0</v>
      </c>
      <c r="U21" s="7">
        <f>IF(TRIM(Raw_Bookings!E21&amp;"")="",1,0)</f>
        <v>0</v>
      </c>
      <c r="V21" s="7">
        <f>IF(SUMPRODUCT(--(Lookup_Status!$A$2:$A$13=LOWER(TRIM(Raw_Bookings!K21))))=0,"",INDEX(Lookup_Status!$B$2:$B$13,SUMPRODUCT((Lookup_Status!$A$2:$A$13=LOWER(TRIM(Raw_Bookings!K21)))*(ROW(Lookup_Status!$A$2:$A$13)-1))))</f>
        <v/>
      </c>
      <c r="W21" s="7">
        <f>IF(AND(V21&lt;&gt;"",NOT(EXACT(Raw_Bookings!K21,V21))),1,0)</f>
        <v>0</v>
      </c>
      <c r="X21" s="7">
        <f>IF(V21="",1,0)</f>
        <v>1</v>
      </c>
      <c r="Y21" s="7">
        <f>IF(TRIM(Raw_Bookings!L21&amp;"")="",1,0)</f>
        <v>0</v>
      </c>
      <c r="Z21" s="7">
        <f>IF(AND(ISTEXT(Raw_Bookings!L21),Y21=0),1,0)</f>
        <v>0</v>
      </c>
      <c r="AA21" s="7">
        <f>IF(Z21=1,IFERROR(VALUE(SUBSTITUTE(SUBSTITUTE(SUBSTITUTE(SUBSTITUTE(SUBSTITUTE(UPPER(Raw_Bookings!L21),"RS.",""),"₹",""),",","")," ",""),"INR","")),""),"")</f>
        <v/>
      </c>
      <c r="AB21" s="7">
        <f>IF(AND(Z21=1,ISNUMBER(AA21)),1,0)</f>
        <v>0</v>
      </c>
      <c r="AC21" s="7">
        <f>IF(B21=1,0,IF(NOT(ISNUMBER(Raw_Bookings!J21)),1,IF(Raw_Bookings!J21&lt;&gt;COUNTIFS(Work_Passengers!$B$2:$B$1336,Raw_Bookings!A21,Work_Passengers!$C$2:$C$1336,0),1,0)))</f>
        <v>0</v>
      </c>
    </row>
    <row r="22" spans="1:29">
      <c r="A22" s="7">
        <f>Raw_Bookings!A22</f>
        <v>1006475</v>
      </c>
      <c r="B22" s="7">
        <f>IF(COUNTIF(Raw_Bookings!$A$2:A22,Raw_Bookings!A22)&gt;1,1,0)</f>
        <v>0</v>
      </c>
      <c r="C22" s="7" t="str">
        <f>Raw_Bookings!D22&amp;""</f>
        <v>2024-10-01</v>
      </c>
      <c r="D22" s="7" t="str">
        <f>IF(AND(LEN(C22)=10,MID(C22,5,1)="-",MID(C22,8,1)="-"),"ISO",IF(AND(LEN(C22)=10,MID(C22,3,1)="-",MID(C22,6,1)="-"),"DMY","OTHER"))</f>
        <v>ISO</v>
      </c>
      <c r="E22" s="7">
        <f>IF(D22="ISO",VALUE(LEFT(C22,4)),IF(D22="DMY",VALUE(RIGHT(C22,4)),0))</f>
        <v>2024</v>
      </c>
      <c r="F22" s="7">
        <f>IF(D22="ISO",VALUE(MID(C22,6,2)),IF(D22="DMY",VALUE(MID(C22,4,2)),0))</f>
        <v>10</v>
      </c>
      <c r="G22" s="7">
        <f>IF(D22="ISO",VALUE(RIGHT(C22,2)),IF(D22="DMY",VALUE(LEFT(C22,2)),0))</f>
        <v>1</v>
      </c>
      <c r="H22" s="7">
        <f>IF(AND(D22&lt;&gt;"OTHER",F22&gt;=1,F22&lt;=12,G22&gt;=1,G22&lt;=31),IF(AND(MONTH(DATE(E22,F22,G22))=F22,DAY(DATE(E22,F22,G22))=G22),1,0),0)</f>
        <v>1</v>
      </c>
      <c r="I22" s="7">
        <f>IF(H22=1,DATE(E22,F22,G22),"")</f>
        <v>45566.0</v>
      </c>
      <c r="J22" s="7">
        <f>IF(AND(D22="DMY",H22=1),1,0)</f>
        <v>0</v>
      </c>
      <c r="K22" s="7">
        <f>IF(H22=0,1,0)</f>
        <v>0</v>
      </c>
      <c r="L22" s="7">
        <f>IF(TRIM(Raw_Bookings!I22&amp;"")="",1,0)</f>
        <v>0</v>
      </c>
      <c r="M22" s="7">
        <f>IF(L22=1,"",DATEVALUE(LEFT(Raw_Bookings!I22,10))+TIMEVALUE(MID(Raw_Bookings!I22,12,8)))</f>
        <v>45536.15283564815</v>
      </c>
      <c r="N22" s="7">
        <f>IF(AND(L22=0,H22=1),IF(INT(M22)&gt;I22,1,0),0)</f>
        <v>0</v>
      </c>
      <c r="O22" s="7" t="str">
        <f>UPPER(TRIM(Raw_Bookings!F22))</f>
        <v>BHO</v>
      </c>
      <c r="P22" s="7" t="str">
        <f>UPPER(TRIM(Raw_Bookings!G22))</f>
        <v>JAI</v>
      </c>
      <c r="Q22" s="7">
        <f>IF(COUNTIF(Lookup_Stations!$A$2:$A$33,O22)&gt;0,1,0)</f>
        <v>1</v>
      </c>
      <c r="R22" s="7">
        <f>IF(COUNTIF(Lookup_Stations!$A$2:$A$33,P22)&gt;0,1,0)</f>
        <v>1</v>
      </c>
      <c r="S22" s="7">
        <f>IF(OR(AND(Q22=1,NOT(EXACT(Raw_Bookings!F22,O22))),AND(R22=1,NOT(EXACT(Raw_Bookings!G22,P22)))),1,0)</f>
        <v>0</v>
      </c>
      <c r="T22" s="7">
        <f>IF(OR(Q22=0,R22=0),1,0)</f>
        <v>0</v>
      </c>
      <c r="U22" s="7">
        <f>IF(TRIM(Raw_Bookings!E22&amp;"")="",1,0)</f>
        <v>0</v>
      </c>
      <c r="V22" s="7" t="str">
        <f>IF(SUMPRODUCT(--(Lookup_Status!$A$2:$A$13=LOWER(TRIM(Raw_Bookings!K22))))=0,"",INDEX(Lookup_Status!$B$2:$B$13,SUMPRODUCT((Lookup_Status!$A$2:$A$13=LOWER(TRIM(Raw_Bookings!K22)))*(ROW(Lookup_Status!$A$2:$A$13)-1))))</f>
        <v>Confirmed</v>
      </c>
      <c r="W22" s="7">
        <f>IF(AND(V22&lt;&gt;"",NOT(EXACT(Raw_Bookings!K22,V22))),1,0)</f>
        <v>0</v>
      </c>
      <c r="X22" s="7">
        <f>IF(V22="",1,0)</f>
        <v>0</v>
      </c>
      <c r="Y22" s="7">
        <f>IF(TRIM(Raw_Bookings!L22&amp;"")="",1,0)</f>
        <v>0</v>
      </c>
      <c r="Z22" s="7">
        <f>IF(AND(ISTEXT(Raw_Bookings!L22),Y22=0),1,0)</f>
        <v>0</v>
      </c>
      <c r="AA22" s="7">
        <f>IF(Z22=1,IFERROR(VALUE(SUBSTITUTE(SUBSTITUTE(SUBSTITUTE(SUBSTITUTE(SUBSTITUTE(UPPER(Raw_Bookings!L22),"RS.",""),"₹",""),",","")," ",""),"INR","")),""),"")</f>
        <v/>
      </c>
      <c r="AB22" s="7">
        <f>IF(AND(Z22=1,ISNUMBER(AA22)),1,0)</f>
        <v>0</v>
      </c>
      <c r="AC22" s="7">
        <f>IF(B22=1,0,IF(NOT(ISNUMBER(Raw_Bookings!J22)),1,IF(Raw_Bookings!J22&lt;&gt;COUNTIFS(Work_Passengers!$B$2:$B$1336,Raw_Bookings!A22,Work_Passengers!$C$2:$C$1336,0),1,0)))</f>
        <v>0</v>
      </c>
    </row>
    <row r="23" spans="1:29">
      <c r="A23" s="7">
        <f>Raw_Bookings!A23</f>
        <v>1006678</v>
      </c>
      <c r="B23" s="7">
        <f>IF(COUNTIF(Raw_Bookings!$A$2:A23,Raw_Bookings!A23)&gt;1,1,0)</f>
        <v>0</v>
      </c>
      <c r="C23" s="7" t="str">
        <f>Raw_Bookings!D23&amp;""</f>
        <v>2024-10-21</v>
      </c>
      <c r="D23" s="7" t="str">
        <f>IF(AND(LEN(C23)=10,MID(C23,5,1)="-",MID(C23,8,1)="-"),"ISO",IF(AND(LEN(C23)=10,MID(C23,3,1)="-",MID(C23,6,1)="-"),"DMY","OTHER"))</f>
        <v>ISO</v>
      </c>
      <c r="E23" s="7">
        <f>IF(D23="ISO",VALUE(LEFT(C23,4)),IF(D23="DMY",VALUE(RIGHT(C23,4)),0))</f>
        <v>2024</v>
      </c>
      <c r="F23" s="7">
        <f>IF(D23="ISO",VALUE(MID(C23,6,2)),IF(D23="DMY",VALUE(MID(C23,4,2)),0))</f>
        <v>10</v>
      </c>
      <c r="G23" s="7">
        <f>IF(D23="ISO",VALUE(RIGHT(C23,2)),IF(D23="DMY",VALUE(LEFT(C23,2)),0))</f>
        <v>21</v>
      </c>
      <c r="H23" s="7">
        <f>IF(AND(D23&lt;&gt;"OTHER",F23&gt;=1,F23&lt;=12,G23&gt;=1,G23&lt;=31),IF(AND(MONTH(DATE(E23,F23,G23))=F23,DAY(DATE(E23,F23,G23))=G23),1,0),0)</f>
        <v>1</v>
      </c>
      <c r="I23" s="7">
        <f>IF(H23=1,DATE(E23,F23,G23),"")</f>
        <v>45586.0</v>
      </c>
      <c r="J23" s="7">
        <f>IF(AND(D23="DMY",H23=1),1,0)</f>
        <v>0</v>
      </c>
      <c r="K23" s="7">
        <f>IF(H23=0,1,0)</f>
        <v>0</v>
      </c>
      <c r="L23" s="7">
        <f>IF(TRIM(Raw_Bookings!I23&amp;"")="",1,0)</f>
        <v>0</v>
      </c>
      <c r="M23" s="7">
        <f>IF(L23=1,"",DATEVALUE(LEFT(Raw_Bookings!I23,10))+TIMEVALUE(MID(Raw_Bookings!I23,12,8)))</f>
        <v>45536.912152777775</v>
      </c>
      <c r="N23" s="7">
        <f>IF(AND(L23=0,H23=1),IF(INT(M23)&gt;I23,1,0),0)</f>
        <v>0</v>
      </c>
      <c r="O23" s="7" t="str">
        <f>UPPER(TRIM(Raw_Bookings!F23))</f>
        <v>BHU</v>
      </c>
      <c r="P23" s="7" t="str">
        <f>UPPER(TRIM(Raw_Bookings!G23))</f>
        <v>KOC</v>
      </c>
      <c r="Q23" s="7">
        <f>IF(COUNTIF(Lookup_Stations!$A$2:$A$33,O23)&gt;0,1,0)</f>
        <v>1</v>
      </c>
      <c r="R23" s="7">
        <f>IF(COUNTIF(Lookup_Stations!$A$2:$A$33,P23)&gt;0,1,0)</f>
        <v>1</v>
      </c>
      <c r="S23" s="7">
        <f>IF(OR(AND(Q23=1,NOT(EXACT(Raw_Bookings!F23,O23))),AND(R23=1,NOT(EXACT(Raw_Bookings!G23,P23)))),1,0)</f>
        <v>0</v>
      </c>
      <c r="T23" s="7">
        <f>IF(OR(Q23=0,R23=0),1,0)</f>
        <v>0</v>
      </c>
      <c r="U23" s="7">
        <f>IF(TRIM(Raw_Bookings!E23&amp;"")="",1,0)</f>
        <v>0</v>
      </c>
      <c r="V23" s="7" t="str">
        <f>IF(SUMPRODUCT(--(Lookup_Status!$A$2:$A$13=LOWER(TRIM(Raw_Bookings!K23))))=0,"",INDEX(Lookup_Status!$B$2:$B$13,SUMPRODUCT((Lookup_Status!$A$2:$A$13=LOWER(TRIM(Raw_Bookings!K23)))*(ROW(Lookup_Status!$A$2:$A$13)-1))))</f>
        <v>Confirmed</v>
      </c>
      <c r="W23" s="7">
        <f>IF(AND(V23&lt;&gt;"",NOT(EXACT(Raw_Bookings!K23,V23))),1,0)</f>
        <v>0</v>
      </c>
      <c r="X23" s="7">
        <f>IF(V23="",1,0)</f>
        <v>0</v>
      </c>
      <c r="Y23" s="7">
        <f>IF(TRIM(Raw_Bookings!L23&amp;"")="",1,0)</f>
        <v>0</v>
      </c>
      <c r="Z23" s="7">
        <f>IF(AND(ISTEXT(Raw_Bookings!L23),Y23=0),1,0)</f>
        <v>0</v>
      </c>
      <c r="AA23" s="7">
        <f>IF(Z23=1,IFERROR(VALUE(SUBSTITUTE(SUBSTITUTE(SUBSTITUTE(SUBSTITUTE(SUBSTITUTE(UPPER(Raw_Bookings!L23),"RS.",""),"₹",""),",","")," ",""),"INR","")),""),"")</f>
        <v/>
      </c>
      <c r="AB23" s="7">
        <f>IF(AND(Z23=1,ISNUMBER(AA23)),1,0)</f>
        <v>0</v>
      </c>
      <c r="AC23" s="7">
        <f>IF(B23=1,0,IF(NOT(ISNUMBER(Raw_Bookings!J23)),1,IF(Raw_Bookings!J23&lt;&gt;COUNTIFS(Work_Passengers!$B$2:$B$1336,Raw_Bookings!A23,Work_Passengers!$C$2:$C$1336,0),1,0)))</f>
        <v>0</v>
      </c>
    </row>
    <row r="24" spans="1:29">
      <c r="A24" s="7">
        <f>Raw_Bookings!A24</f>
        <v>1006682</v>
      </c>
      <c r="B24" s="7">
        <f>IF(COUNTIF(Raw_Bookings!$A$2:A24,Raw_Bookings!A24)&gt;1,1,0)</f>
        <v>0</v>
      </c>
      <c r="C24" s="7" t="str">
        <f>Raw_Bookings!D24&amp;""</f>
        <v>2024-09-14</v>
      </c>
      <c r="D24" s="7" t="str">
        <f>IF(AND(LEN(C24)=10,MID(C24,5,1)="-",MID(C24,8,1)="-"),"ISO",IF(AND(LEN(C24)=10,MID(C24,3,1)="-",MID(C24,6,1)="-"),"DMY","OTHER"))</f>
        <v>ISO</v>
      </c>
      <c r="E24" s="7">
        <f>IF(D24="ISO",VALUE(LEFT(C24,4)),IF(D24="DMY",VALUE(RIGHT(C24,4)),0))</f>
        <v>2024</v>
      </c>
      <c r="F24" s="7">
        <f>IF(D24="ISO",VALUE(MID(C24,6,2)),IF(D24="DMY",VALUE(MID(C24,4,2)),0))</f>
        <v>9</v>
      </c>
      <c r="G24" s="7">
        <f>IF(D24="ISO",VALUE(RIGHT(C24,2)),IF(D24="DMY",VALUE(LEFT(C24,2)),0))</f>
        <v>14</v>
      </c>
      <c r="H24" s="7">
        <f>IF(AND(D24&lt;&gt;"OTHER",F24&gt;=1,F24&lt;=12,G24&gt;=1,G24&lt;=31),IF(AND(MONTH(DATE(E24,F24,G24))=F24,DAY(DATE(E24,F24,G24))=G24),1,0),0)</f>
        <v>1</v>
      </c>
      <c r="I24" s="7">
        <f>IF(H24=1,DATE(E24,F24,G24),"")</f>
        <v>45549.0</v>
      </c>
      <c r="J24" s="7">
        <f>IF(AND(D24="DMY",H24=1),1,0)</f>
        <v>0</v>
      </c>
      <c r="K24" s="7">
        <f>IF(H24=0,1,0)</f>
        <v>0</v>
      </c>
      <c r="L24" s="7">
        <f>IF(TRIM(Raw_Bookings!I24&amp;"")="",1,0)</f>
        <v>0</v>
      </c>
      <c r="M24" s="7">
        <f>IF(L24=1,"",DATEVALUE(LEFT(Raw_Bookings!I24,10))+TIMEVALUE(MID(Raw_Bookings!I24,12,8)))</f>
        <v>45536.94667824074</v>
      </c>
      <c r="N24" s="7">
        <f>IF(AND(L24=0,H24=1),IF(INT(M24)&gt;I24,1,0),0)</f>
        <v>0</v>
      </c>
      <c r="O24" s="7" t="str">
        <f>UPPER(TRIM(Raw_Bookings!F24))</f>
        <v>DIB</v>
      </c>
      <c r="P24" s="7" t="str">
        <f>UPPER(TRIM(Raw_Bookings!G24))</f>
        <v>DEL</v>
      </c>
      <c r="Q24" s="7">
        <f>IF(COUNTIF(Lookup_Stations!$A$2:$A$33,O24)&gt;0,1,0)</f>
        <v>1</v>
      </c>
      <c r="R24" s="7">
        <f>IF(COUNTIF(Lookup_Stations!$A$2:$A$33,P24)&gt;0,1,0)</f>
        <v>1</v>
      </c>
      <c r="S24" s="7">
        <f>IF(OR(AND(Q24=1,NOT(EXACT(Raw_Bookings!F24,O24))),AND(R24=1,NOT(EXACT(Raw_Bookings!G24,P24)))),1,0)</f>
        <v>0</v>
      </c>
      <c r="T24" s="7">
        <f>IF(OR(Q24=0,R24=0),1,0)</f>
        <v>0</v>
      </c>
      <c r="U24" s="7">
        <f>IF(TRIM(Raw_Bookings!E24&amp;"")="",1,0)</f>
        <v>0</v>
      </c>
      <c r="V24" s="7" t="str">
        <f>IF(SUMPRODUCT(--(Lookup_Status!$A$2:$A$13=LOWER(TRIM(Raw_Bookings!K24))))=0,"",INDEX(Lookup_Status!$B$2:$B$13,SUMPRODUCT((Lookup_Status!$A$2:$A$13=LOWER(TRIM(Raw_Bookings!K24)))*(ROW(Lookup_Status!$A$2:$A$13)-1))))</f>
        <v>Confirmed</v>
      </c>
      <c r="W24" s="7">
        <f>IF(AND(V24&lt;&gt;"",NOT(EXACT(Raw_Bookings!K24,V24))),1,0)</f>
        <v>0</v>
      </c>
      <c r="X24" s="7">
        <f>IF(V24="",1,0)</f>
        <v>0</v>
      </c>
      <c r="Y24" s="7">
        <f>IF(TRIM(Raw_Bookings!L24&amp;"")="",1,0)</f>
        <v>0</v>
      </c>
      <c r="Z24" s="7">
        <f>IF(AND(ISTEXT(Raw_Bookings!L24),Y24=0),1,0)</f>
        <v>0</v>
      </c>
      <c r="AA24" s="7">
        <f>IF(Z24=1,IFERROR(VALUE(SUBSTITUTE(SUBSTITUTE(SUBSTITUTE(SUBSTITUTE(SUBSTITUTE(UPPER(Raw_Bookings!L24),"RS.",""),"₹",""),",","")," ",""),"INR","")),""),"")</f>
        <v/>
      </c>
      <c r="AB24" s="7">
        <f>IF(AND(Z24=1,ISNUMBER(AA24)),1,0)</f>
        <v>0</v>
      </c>
      <c r="AC24" s="7">
        <f>IF(B24=1,0,IF(NOT(ISNUMBER(Raw_Bookings!J24)),1,IF(Raw_Bookings!J24&lt;&gt;COUNTIFS(Work_Passengers!$B$2:$B$1336,Raw_Bookings!A24,Work_Passengers!$C$2:$C$1336,0),1,0)))</f>
        <v>0</v>
      </c>
    </row>
    <row r="25" spans="1:29">
      <c r="A25" s="7">
        <f>Raw_Bookings!A25</f>
        <v>1006706</v>
      </c>
      <c r="B25" s="7">
        <f>IF(COUNTIF(Raw_Bookings!$A$2:A25,Raw_Bookings!A25)&gt;1,1,0)</f>
        <v>0</v>
      </c>
      <c r="C25" s="7" t="str">
        <f>Raw_Bookings!D25&amp;""</f>
        <v>2024-09-28</v>
      </c>
      <c r="D25" s="7" t="str">
        <f>IF(AND(LEN(C25)=10,MID(C25,5,1)="-",MID(C25,8,1)="-"),"ISO",IF(AND(LEN(C25)=10,MID(C25,3,1)="-",MID(C25,6,1)="-"),"DMY","OTHER"))</f>
        <v>ISO</v>
      </c>
      <c r="E25" s="7">
        <f>IF(D25="ISO",VALUE(LEFT(C25,4)),IF(D25="DMY",VALUE(RIGHT(C25,4)),0))</f>
        <v>2024</v>
      </c>
      <c r="F25" s="7">
        <f>IF(D25="ISO",VALUE(MID(C25,6,2)),IF(D25="DMY",VALUE(MID(C25,4,2)),0))</f>
        <v>9</v>
      </c>
      <c r="G25" s="7">
        <f>IF(D25="ISO",VALUE(RIGHT(C25,2)),IF(D25="DMY",VALUE(LEFT(C25,2)),0))</f>
        <v>28</v>
      </c>
      <c r="H25" s="7">
        <f>IF(AND(D25&lt;&gt;"OTHER",F25&gt;=1,F25&lt;=12,G25&gt;=1,G25&lt;=31),IF(AND(MONTH(DATE(E25,F25,G25))=F25,DAY(DATE(E25,F25,G25))=G25),1,0),0)</f>
        <v>1</v>
      </c>
      <c r="I25" s="7">
        <f>IF(H25=1,DATE(E25,F25,G25),"")</f>
        <v>45563.0</v>
      </c>
      <c r="J25" s="7">
        <f>IF(AND(D25="DMY",H25=1),1,0)</f>
        <v>0</v>
      </c>
      <c r="K25" s="7">
        <f>IF(H25=0,1,0)</f>
        <v>0</v>
      </c>
      <c r="L25" s="7">
        <f>IF(TRIM(Raw_Bookings!I25&amp;"")="",1,0)</f>
        <v>0</v>
      </c>
      <c r="M25" s="7">
        <f>IF(L25=1,"",DATEVALUE(LEFT(Raw_Bookings!I25,10))+TIMEVALUE(MID(Raw_Bookings!I25,12,8)))</f>
        <v>45537.29305555556</v>
      </c>
      <c r="N25" s="7">
        <f>IF(AND(L25=0,H25=1),IF(INT(M25)&gt;I25,1,0),0)</f>
        <v>0</v>
      </c>
      <c r="O25" s="7" t="str">
        <f>UPPER(TRIM(Raw_Bookings!F25))</f>
        <v>KOL</v>
      </c>
      <c r="P25" s="7" t="str">
        <f>UPPER(TRIM(Raw_Bookings!G25))</f>
        <v>HYD</v>
      </c>
      <c r="Q25" s="7">
        <f>IF(COUNTIF(Lookup_Stations!$A$2:$A$33,O25)&gt;0,1,0)</f>
        <v>1</v>
      </c>
      <c r="R25" s="7">
        <f>IF(COUNTIF(Lookup_Stations!$A$2:$A$33,P25)&gt;0,1,0)</f>
        <v>1</v>
      </c>
      <c r="S25" s="7">
        <f>IF(OR(AND(Q25=1,NOT(EXACT(Raw_Bookings!F25,O25))),AND(R25=1,NOT(EXACT(Raw_Bookings!G25,P25)))),1,0)</f>
        <v>0</v>
      </c>
      <c r="T25" s="7">
        <f>IF(OR(Q25=0,R25=0),1,0)</f>
        <v>0</v>
      </c>
      <c r="U25" s="7">
        <f>IF(TRIM(Raw_Bookings!E25&amp;"")="",1,0)</f>
        <v>0</v>
      </c>
      <c r="V25" s="7" t="str">
        <f>IF(SUMPRODUCT(--(Lookup_Status!$A$2:$A$13=LOWER(TRIM(Raw_Bookings!K25))))=0,"",INDEX(Lookup_Status!$B$2:$B$13,SUMPRODUCT((Lookup_Status!$A$2:$A$13=LOWER(TRIM(Raw_Bookings!K25)))*(ROW(Lookup_Status!$A$2:$A$13)-1))))</f>
        <v>Cancelled</v>
      </c>
      <c r="W25" s="7">
        <f>IF(AND(V25&lt;&gt;"",NOT(EXACT(Raw_Bookings!K25,V25))),1,0)</f>
        <v>0</v>
      </c>
      <c r="X25" s="7">
        <f>IF(V25="",1,0)</f>
        <v>0</v>
      </c>
      <c r="Y25" s="7">
        <f>IF(TRIM(Raw_Bookings!L25&amp;"")="",1,0)</f>
        <v>0</v>
      </c>
      <c r="Z25" s="7">
        <f>IF(AND(ISTEXT(Raw_Bookings!L25),Y25=0),1,0)</f>
        <v>0</v>
      </c>
      <c r="AA25" s="7">
        <f>IF(Z25=1,IFERROR(VALUE(SUBSTITUTE(SUBSTITUTE(SUBSTITUTE(SUBSTITUTE(SUBSTITUTE(UPPER(Raw_Bookings!L25),"RS.",""),"₹",""),",","")," ",""),"INR","")),""),"")</f>
        <v/>
      </c>
      <c r="AB25" s="7">
        <f>IF(AND(Z25=1,ISNUMBER(AA25)),1,0)</f>
        <v>0</v>
      </c>
      <c r="AC25" s="7">
        <f>IF(B25=1,0,IF(NOT(ISNUMBER(Raw_Bookings!J25)),1,IF(Raw_Bookings!J25&lt;&gt;COUNTIFS(Work_Passengers!$B$2:$B$1336,Raw_Bookings!A25,Work_Passengers!$C$2:$C$1336,0),1,0)))</f>
        <v>0</v>
      </c>
    </row>
    <row r="26" spans="1:29">
      <c r="A26" s="7">
        <f>Raw_Bookings!A26</f>
        <v>1006886</v>
      </c>
      <c r="B26" s="7">
        <f>IF(COUNTIF(Raw_Bookings!$A$2:A26,Raw_Bookings!A26)&gt;1,1,0)</f>
        <v>0</v>
      </c>
      <c r="C26" s="7" t="str">
        <f>Raw_Bookings!D26&amp;""</f>
        <v>2024-11-04</v>
      </c>
      <c r="D26" s="7" t="str">
        <f>IF(AND(LEN(C26)=10,MID(C26,5,1)="-",MID(C26,8,1)="-"),"ISO",IF(AND(LEN(C26)=10,MID(C26,3,1)="-",MID(C26,6,1)="-"),"DMY","OTHER"))</f>
        <v>ISO</v>
      </c>
      <c r="E26" s="7">
        <f>IF(D26="ISO",VALUE(LEFT(C26,4)),IF(D26="DMY",VALUE(RIGHT(C26,4)),0))</f>
        <v>2024</v>
      </c>
      <c r="F26" s="7">
        <f>IF(D26="ISO",VALUE(MID(C26,6,2)),IF(D26="DMY",VALUE(MID(C26,4,2)),0))</f>
        <v>11</v>
      </c>
      <c r="G26" s="7">
        <f>IF(D26="ISO",VALUE(RIGHT(C26,2)),IF(D26="DMY",VALUE(LEFT(C26,2)),0))</f>
        <v>4</v>
      </c>
      <c r="H26" s="7">
        <f>IF(AND(D26&lt;&gt;"OTHER",F26&gt;=1,F26&lt;=12,G26&gt;=1,G26&lt;=31),IF(AND(MONTH(DATE(E26,F26,G26))=F26,DAY(DATE(E26,F26,G26))=G26),1,0),0)</f>
        <v>1</v>
      </c>
      <c r="I26" s="7">
        <f>IF(H26=1,DATE(E26,F26,G26),"")</f>
        <v>45600.0</v>
      </c>
      <c r="J26" s="7">
        <f>IF(AND(D26="DMY",H26=1),1,0)</f>
        <v>0</v>
      </c>
      <c r="K26" s="7">
        <f>IF(H26=0,1,0)</f>
        <v>0</v>
      </c>
      <c r="L26" s="7">
        <f>IF(TRIM(Raw_Bookings!I26&amp;"")="",1,0)</f>
        <v>0</v>
      </c>
      <c r="M26" s="7">
        <f>IF(L26=1,"",DATEVALUE(LEFT(Raw_Bookings!I26,10))+TIMEVALUE(MID(Raw_Bookings!I26,12,8)))</f>
        <v>45537.84516203704</v>
      </c>
      <c r="N26" s="7">
        <f>IF(AND(L26=0,H26=1),IF(INT(M26)&gt;I26,1,0),0)</f>
        <v>0</v>
      </c>
      <c r="O26" s="7" t="str">
        <f>UPPER(TRIM(Raw_Bookings!F26))</f>
        <v>LUC</v>
      </c>
      <c r="P26" s="7" t="str">
        <f>UPPER(TRIM(Raw_Bookings!G26))</f>
        <v>MUM</v>
      </c>
      <c r="Q26" s="7">
        <f>IF(COUNTIF(Lookup_Stations!$A$2:$A$33,O26)&gt;0,1,0)</f>
        <v>1</v>
      </c>
      <c r="R26" s="7">
        <f>IF(COUNTIF(Lookup_Stations!$A$2:$A$33,P26)&gt;0,1,0)</f>
        <v>1</v>
      </c>
      <c r="S26" s="7">
        <f>IF(OR(AND(Q26=1,NOT(EXACT(Raw_Bookings!F26,O26))),AND(R26=1,NOT(EXACT(Raw_Bookings!G26,P26)))),1,0)</f>
        <v>0</v>
      </c>
      <c r="T26" s="7">
        <f>IF(OR(Q26=0,R26=0),1,0)</f>
        <v>0</v>
      </c>
      <c r="U26" s="7">
        <f>IF(TRIM(Raw_Bookings!E26&amp;"")="",1,0)</f>
        <v>0</v>
      </c>
      <c r="V26" s="7" t="str">
        <f>IF(SUMPRODUCT(--(Lookup_Status!$A$2:$A$13=LOWER(TRIM(Raw_Bookings!K26))))=0,"",INDEX(Lookup_Status!$B$2:$B$13,SUMPRODUCT((Lookup_Status!$A$2:$A$13=LOWER(TRIM(Raw_Bookings!K26)))*(ROW(Lookup_Status!$A$2:$A$13)-1))))</f>
        <v>Confirmed</v>
      </c>
      <c r="W26" s="7">
        <f>IF(AND(V26&lt;&gt;"",NOT(EXACT(Raw_Bookings!K26,V26))),1,0)</f>
        <v>0</v>
      </c>
      <c r="X26" s="7">
        <f>IF(V26="",1,0)</f>
        <v>0</v>
      </c>
      <c r="Y26" s="7">
        <f>IF(TRIM(Raw_Bookings!L26&amp;"")="",1,0)</f>
        <v>0</v>
      </c>
      <c r="Z26" s="7">
        <f>IF(AND(ISTEXT(Raw_Bookings!L26),Y26=0),1,0)</f>
        <v>0</v>
      </c>
      <c r="AA26" s="7">
        <f>IF(Z26=1,IFERROR(VALUE(SUBSTITUTE(SUBSTITUTE(SUBSTITUTE(SUBSTITUTE(SUBSTITUTE(UPPER(Raw_Bookings!L26),"RS.",""),"₹",""),",","")," ",""),"INR","")),""),"")</f>
        <v/>
      </c>
      <c r="AB26" s="7">
        <f>IF(AND(Z26=1,ISNUMBER(AA26)),1,0)</f>
        <v>0</v>
      </c>
      <c r="AC26" s="7">
        <f>IF(B26=1,0,IF(NOT(ISNUMBER(Raw_Bookings!J26)),1,IF(Raw_Bookings!J26&lt;&gt;COUNTIFS(Work_Passengers!$B$2:$B$1336,Raw_Bookings!A26,Work_Passengers!$C$2:$C$1336,0),1,0)))</f>
        <v>0</v>
      </c>
    </row>
    <row r="27" spans="1:29">
      <c r="A27" s="7">
        <f>Raw_Bookings!A27</f>
        <v>1007455</v>
      </c>
      <c r="B27" s="7">
        <f>IF(COUNTIF(Raw_Bookings!$A$2:A27,Raw_Bookings!A27)&gt;1,1,0)</f>
        <v>0</v>
      </c>
      <c r="C27" s="7" t="str">
        <f>Raw_Bookings!D27&amp;""</f>
        <v>2024-11-02</v>
      </c>
      <c r="D27" s="7" t="str">
        <f>IF(AND(LEN(C27)=10,MID(C27,5,1)="-",MID(C27,8,1)="-"),"ISO",IF(AND(LEN(C27)=10,MID(C27,3,1)="-",MID(C27,6,1)="-"),"DMY","OTHER"))</f>
        <v>ISO</v>
      </c>
      <c r="E27" s="7">
        <f>IF(D27="ISO",VALUE(LEFT(C27,4)),IF(D27="DMY",VALUE(RIGHT(C27,4)),0))</f>
        <v>2024</v>
      </c>
      <c r="F27" s="7">
        <f>IF(D27="ISO",VALUE(MID(C27,6,2)),IF(D27="DMY",VALUE(MID(C27,4,2)),0))</f>
        <v>11</v>
      </c>
      <c r="G27" s="7">
        <f>IF(D27="ISO",VALUE(RIGHT(C27,2)),IF(D27="DMY",VALUE(LEFT(C27,2)),0))</f>
        <v>2</v>
      </c>
      <c r="H27" s="7">
        <f>IF(AND(D27&lt;&gt;"OTHER",F27&gt;=1,F27&lt;=12,G27&gt;=1,G27&lt;=31),IF(AND(MONTH(DATE(E27,F27,G27))=F27,DAY(DATE(E27,F27,G27))=G27),1,0),0)</f>
        <v>1</v>
      </c>
      <c r="I27" s="7">
        <f>IF(H27=1,DATE(E27,F27,G27),"")</f>
        <v>45598.0</v>
      </c>
      <c r="J27" s="7">
        <f>IF(AND(D27="DMY",H27=1),1,0)</f>
        <v>0</v>
      </c>
      <c r="K27" s="7">
        <f>IF(H27=0,1,0)</f>
        <v>0</v>
      </c>
      <c r="L27" s="7">
        <f>IF(TRIM(Raw_Bookings!I27&amp;"")="",1,0)</f>
        <v>0</v>
      </c>
      <c r="M27" s="7">
        <f>IF(L27=1,"",DATEVALUE(LEFT(Raw_Bookings!I27,10))+TIMEVALUE(MID(Raw_Bookings!I27,12,8)))</f>
        <v>45540.54583333333</v>
      </c>
      <c r="N27" s="7">
        <f>IF(AND(L27=0,H27=1),IF(INT(M27)&gt;I27,1,0),0)</f>
        <v>0</v>
      </c>
      <c r="O27" s="7" t="str">
        <f>UPPER(TRIM(Raw_Bookings!F27))</f>
        <v>PAT</v>
      </c>
      <c r="P27" s="7" t="str">
        <f>UPPER(TRIM(Raw_Bookings!G27))</f>
        <v>VIJ</v>
      </c>
      <c r="Q27" s="7">
        <f>IF(COUNTIF(Lookup_Stations!$A$2:$A$33,O27)&gt;0,1,0)</f>
        <v>1</v>
      </c>
      <c r="R27" s="7">
        <f>IF(COUNTIF(Lookup_Stations!$A$2:$A$33,P27)&gt;0,1,0)</f>
        <v>1</v>
      </c>
      <c r="S27" s="7">
        <f>IF(OR(AND(Q27=1,NOT(EXACT(Raw_Bookings!F27,O27))),AND(R27=1,NOT(EXACT(Raw_Bookings!G27,P27)))),1,0)</f>
        <v>0</v>
      </c>
      <c r="T27" s="7">
        <f>IF(OR(Q27=0,R27=0),1,0)</f>
        <v>0</v>
      </c>
      <c r="U27" s="7">
        <f>IF(TRIM(Raw_Bookings!E27&amp;"")="",1,0)</f>
        <v>0</v>
      </c>
      <c r="V27" s="7" t="str">
        <f>IF(SUMPRODUCT(--(Lookup_Status!$A$2:$A$13=LOWER(TRIM(Raw_Bookings!K27))))=0,"",INDEX(Lookup_Status!$B$2:$B$13,SUMPRODUCT((Lookup_Status!$A$2:$A$13=LOWER(TRIM(Raw_Bookings!K27)))*(ROW(Lookup_Status!$A$2:$A$13)-1))))</f>
        <v>Confirmed</v>
      </c>
      <c r="W27" s="7">
        <f>IF(AND(V27&lt;&gt;"",NOT(EXACT(Raw_Bookings!K27,V27))),1,0)</f>
        <v>0</v>
      </c>
      <c r="X27" s="7">
        <f>IF(V27="",1,0)</f>
        <v>0</v>
      </c>
      <c r="Y27" s="7">
        <f>IF(TRIM(Raw_Bookings!L27&amp;"")="",1,0)</f>
        <v>0</v>
      </c>
      <c r="Z27" s="7">
        <f>IF(AND(ISTEXT(Raw_Bookings!L27),Y27=0),1,0)</f>
        <v>0</v>
      </c>
      <c r="AA27" s="7">
        <f>IF(Z27=1,IFERROR(VALUE(SUBSTITUTE(SUBSTITUTE(SUBSTITUTE(SUBSTITUTE(SUBSTITUTE(UPPER(Raw_Bookings!L27),"RS.",""),"₹",""),",","")," ",""),"INR","")),""),"")</f>
        <v/>
      </c>
      <c r="AB27" s="7">
        <f>IF(AND(Z27=1,ISNUMBER(AA27)),1,0)</f>
        <v>0</v>
      </c>
      <c r="AC27" s="7">
        <f>IF(B27=1,0,IF(NOT(ISNUMBER(Raw_Bookings!J27)),1,IF(Raw_Bookings!J27&lt;&gt;COUNTIFS(Work_Passengers!$B$2:$B$1336,Raw_Bookings!A27,Work_Passengers!$C$2:$C$1336,0),1,0)))</f>
        <v>0</v>
      </c>
    </row>
    <row r="28" spans="1:29">
      <c r="A28" s="7">
        <f>Raw_Bookings!A28</f>
        <v>1007632</v>
      </c>
      <c r="B28" s="7">
        <f>IF(COUNTIF(Raw_Bookings!$A$2:A28,Raw_Bookings!A28)&gt;1,1,0)</f>
        <v>0</v>
      </c>
      <c r="C28" s="7" t="str">
        <f>Raw_Bookings!D28&amp;""</f>
        <v>2024-09-14</v>
      </c>
      <c r="D28" s="7" t="str">
        <f>IF(AND(LEN(C28)=10,MID(C28,5,1)="-",MID(C28,8,1)="-"),"ISO",IF(AND(LEN(C28)=10,MID(C28,3,1)="-",MID(C28,6,1)="-"),"DMY","OTHER"))</f>
        <v>ISO</v>
      </c>
      <c r="E28" s="7">
        <f>IF(D28="ISO",VALUE(LEFT(C28,4)),IF(D28="DMY",VALUE(RIGHT(C28,4)),0))</f>
        <v>2024</v>
      </c>
      <c r="F28" s="7">
        <f>IF(D28="ISO",VALUE(MID(C28,6,2)),IF(D28="DMY",VALUE(MID(C28,4,2)),0))</f>
        <v>9</v>
      </c>
      <c r="G28" s="7">
        <f>IF(D28="ISO",VALUE(RIGHT(C28,2)),IF(D28="DMY",VALUE(LEFT(C28,2)),0))</f>
        <v>14</v>
      </c>
      <c r="H28" s="7">
        <f>IF(AND(D28&lt;&gt;"OTHER",F28&gt;=1,F28&lt;=12,G28&gt;=1,G28&lt;=31),IF(AND(MONTH(DATE(E28,F28,G28))=F28,DAY(DATE(E28,F28,G28))=G28),1,0),0)</f>
        <v>1</v>
      </c>
      <c r="I28" s="7">
        <f>IF(H28=1,DATE(E28,F28,G28),"")</f>
        <v>45549.0</v>
      </c>
      <c r="J28" s="7">
        <f>IF(AND(D28="DMY",H28=1),1,0)</f>
        <v>0</v>
      </c>
      <c r="K28" s="7">
        <f>IF(H28=0,1,0)</f>
        <v>0</v>
      </c>
      <c r="L28" s="7">
        <f>IF(TRIM(Raw_Bookings!I28&amp;"")="",1,0)</f>
        <v>0</v>
      </c>
      <c r="M28" s="7">
        <f>IF(L28=1,"",DATEVALUE(LEFT(Raw_Bookings!I28,10))+TIMEVALUE(MID(Raw_Bookings!I28,12,8)))</f>
        <v>45541.41064814815</v>
      </c>
      <c r="N28" s="7">
        <f>IF(AND(L28=0,H28=1),IF(INT(M28)&gt;I28,1,0),0)</f>
        <v>0</v>
      </c>
      <c r="O28" s="7" t="str">
        <f>UPPER(TRIM(Raw_Bookings!F28))</f>
        <v>DIB</v>
      </c>
      <c r="P28" s="7" t="str">
        <f>UPPER(TRIM(Raw_Bookings!G28))</f>
        <v>DEL</v>
      </c>
      <c r="Q28" s="7">
        <f>IF(COUNTIF(Lookup_Stations!$A$2:$A$33,O28)&gt;0,1,0)</f>
        <v>1</v>
      </c>
      <c r="R28" s="7">
        <f>IF(COUNTIF(Lookup_Stations!$A$2:$A$33,P28)&gt;0,1,0)</f>
        <v>1</v>
      </c>
      <c r="S28" s="7">
        <f>IF(OR(AND(Q28=1,NOT(EXACT(Raw_Bookings!F28,O28))),AND(R28=1,NOT(EXACT(Raw_Bookings!G28,P28)))),1,0)</f>
        <v>0</v>
      </c>
      <c r="T28" s="7">
        <f>IF(OR(Q28=0,R28=0),1,0)</f>
        <v>0</v>
      </c>
      <c r="U28" s="7">
        <f>IF(TRIM(Raw_Bookings!E28&amp;"")="",1,0)</f>
        <v>0</v>
      </c>
      <c r="V28" s="7" t="str">
        <f>IF(SUMPRODUCT(--(Lookup_Status!$A$2:$A$13=LOWER(TRIM(Raw_Bookings!K28))))=0,"",INDEX(Lookup_Status!$B$2:$B$13,SUMPRODUCT((Lookup_Status!$A$2:$A$13=LOWER(TRIM(Raw_Bookings!K28)))*(ROW(Lookup_Status!$A$2:$A$13)-1))))</f>
        <v>Confirmed</v>
      </c>
      <c r="W28" s="7">
        <f>IF(AND(V28&lt;&gt;"",NOT(EXACT(Raw_Bookings!K28,V28))),1,0)</f>
        <v>0</v>
      </c>
      <c r="X28" s="7">
        <f>IF(V28="",1,0)</f>
        <v>0</v>
      </c>
      <c r="Y28" s="7">
        <f>IF(TRIM(Raw_Bookings!L28&amp;"")="",1,0)</f>
        <v>0</v>
      </c>
      <c r="Z28" s="7">
        <f>IF(AND(ISTEXT(Raw_Bookings!L28),Y28=0),1,0)</f>
        <v>0</v>
      </c>
      <c r="AA28" s="7">
        <f>IF(Z28=1,IFERROR(VALUE(SUBSTITUTE(SUBSTITUTE(SUBSTITUTE(SUBSTITUTE(SUBSTITUTE(UPPER(Raw_Bookings!L28),"RS.",""),"₹",""),",","")," ",""),"INR","")),""),"")</f>
        <v/>
      </c>
      <c r="AB28" s="7">
        <f>IF(AND(Z28=1,ISNUMBER(AA28)),1,0)</f>
        <v>0</v>
      </c>
      <c r="AC28" s="7">
        <f>IF(B28=1,0,IF(NOT(ISNUMBER(Raw_Bookings!J28)),1,IF(Raw_Bookings!J28&lt;&gt;COUNTIFS(Work_Passengers!$B$2:$B$1336,Raw_Bookings!A28,Work_Passengers!$C$2:$C$1336,0),1,0)))</f>
        <v>0</v>
      </c>
    </row>
    <row r="29" spans="1:29">
      <c r="A29" s="7">
        <f>Raw_Bookings!A29</f>
        <v>1007669</v>
      </c>
      <c r="B29" s="7">
        <f>IF(COUNTIF(Raw_Bookings!$A$2:A29,Raw_Bookings!A29)&gt;1,1,0)</f>
        <v>0</v>
      </c>
      <c r="C29" s="7" t="str">
        <f>Raw_Bookings!D29&amp;""</f>
        <v>2024-09-30</v>
      </c>
      <c r="D29" s="7" t="str">
        <f>IF(AND(LEN(C29)=10,MID(C29,5,1)="-",MID(C29,8,1)="-"),"ISO",IF(AND(LEN(C29)=10,MID(C29,3,1)="-",MID(C29,6,1)="-"),"DMY","OTHER"))</f>
        <v>ISO</v>
      </c>
      <c r="E29" s="7">
        <f>IF(D29="ISO",VALUE(LEFT(C29,4)),IF(D29="DMY",VALUE(RIGHT(C29,4)),0))</f>
        <v>2024</v>
      </c>
      <c r="F29" s="7">
        <f>IF(D29="ISO",VALUE(MID(C29,6,2)),IF(D29="DMY",VALUE(MID(C29,4,2)),0))</f>
        <v>9</v>
      </c>
      <c r="G29" s="7">
        <f>IF(D29="ISO",VALUE(RIGHT(C29,2)),IF(D29="DMY",VALUE(LEFT(C29,2)),0))</f>
        <v>30</v>
      </c>
      <c r="H29" s="7">
        <f>IF(AND(D29&lt;&gt;"OTHER",F29&gt;=1,F29&lt;=12,G29&gt;=1,G29&lt;=31),IF(AND(MONTH(DATE(E29,F29,G29))=F29,DAY(DATE(E29,F29,G29))=G29),1,0),0)</f>
        <v>1</v>
      </c>
      <c r="I29" s="7">
        <f>IF(H29=1,DATE(E29,F29,G29),"")</f>
        <v>45565.0</v>
      </c>
      <c r="J29" s="7">
        <f>IF(AND(D29="DMY",H29=1),1,0)</f>
        <v>0</v>
      </c>
      <c r="K29" s="7">
        <f>IF(H29=0,1,0)</f>
        <v>0</v>
      </c>
      <c r="L29" s="7">
        <f>IF(TRIM(Raw_Bookings!I29&amp;"")="",1,0)</f>
        <v>0</v>
      </c>
      <c r="M29" s="7">
        <f>IF(L29=1,"",DATEVALUE(LEFT(Raw_Bookings!I29,10))+TIMEVALUE(MID(Raw_Bookings!I29,12,8)))</f>
        <v>45541.56873842593</v>
      </c>
      <c r="N29" s="7">
        <f>IF(AND(L29=0,H29=1),IF(INT(M29)&gt;I29,1,0),0)</f>
        <v>0</v>
      </c>
      <c r="O29" s="7" t="str">
        <f>UPPER(TRIM(Raw_Bookings!F29))</f>
        <v>PUN</v>
      </c>
      <c r="P29" s="7" t="str">
        <f>UPPER(TRIM(Raw_Bookings!G29))</f>
        <v>DEH</v>
      </c>
      <c r="Q29" s="7">
        <f>IF(COUNTIF(Lookup_Stations!$A$2:$A$33,O29)&gt;0,1,0)</f>
        <v>1</v>
      </c>
      <c r="R29" s="7">
        <f>IF(COUNTIF(Lookup_Stations!$A$2:$A$33,P29)&gt;0,1,0)</f>
        <v>1</v>
      </c>
      <c r="S29" s="7">
        <f>IF(OR(AND(Q29=1,NOT(EXACT(Raw_Bookings!F29,O29))),AND(R29=1,NOT(EXACT(Raw_Bookings!G29,P29)))),1,0)</f>
        <v>0</v>
      </c>
      <c r="T29" s="7">
        <f>IF(OR(Q29=0,R29=0),1,0)</f>
        <v>0</v>
      </c>
      <c r="U29" s="7">
        <f>IF(TRIM(Raw_Bookings!E29&amp;"")="",1,0)</f>
        <v>0</v>
      </c>
      <c r="V29" s="7" t="str">
        <f>IF(SUMPRODUCT(--(Lookup_Status!$A$2:$A$13=LOWER(TRIM(Raw_Bookings!K29))))=0,"",INDEX(Lookup_Status!$B$2:$B$13,SUMPRODUCT((Lookup_Status!$A$2:$A$13=LOWER(TRIM(Raw_Bookings!K29)))*(ROW(Lookup_Status!$A$2:$A$13)-1))))</f>
        <v>Confirmed</v>
      </c>
      <c r="W29" s="7">
        <f>IF(AND(V29&lt;&gt;"",NOT(EXACT(Raw_Bookings!K29,V29))),1,0)</f>
        <v>0</v>
      </c>
      <c r="X29" s="7">
        <f>IF(V29="",1,0)</f>
        <v>0</v>
      </c>
      <c r="Y29" s="7">
        <f>IF(TRIM(Raw_Bookings!L29&amp;"")="",1,0)</f>
        <v>0</v>
      </c>
      <c r="Z29" s="7">
        <f>IF(AND(ISTEXT(Raw_Bookings!L29),Y29=0),1,0)</f>
        <v>0</v>
      </c>
      <c r="AA29" s="7">
        <f>IF(Z29=1,IFERROR(VALUE(SUBSTITUTE(SUBSTITUTE(SUBSTITUTE(SUBSTITUTE(SUBSTITUTE(UPPER(Raw_Bookings!L29),"RS.",""),"₹",""),",","")," ",""),"INR","")),""),"")</f>
        <v/>
      </c>
      <c r="AB29" s="7">
        <f>IF(AND(Z29=1,ISNUMBER(AA29)),1,0)</f>
        <v>0</v>
      </c>
      <c r="AC29" s="7">
        <f>IF(B29=1,0,IF(NOT(ISNUMBER(Raw_Bookings!J29)),1,IF(Raw_Bookings!J29&lt;&gt;COUNTIFS(Work_Passengers!$B$2:$B$1336,Raw_Bookings!A29,Work_Passengers!$C$2:$C$1336,0),1,0)))</f>
        <v>0</v>
      </c>
    </row>
    <row r="30" spans="1:29">
      <c r="A30" s="7">
        <f>Raw_Bookings!A30</f>
        <v>1008214</v>
      </c>
      <c r="B30" s="7">
        <f>IF(COUNTIF(Raw_Bookings!$A$2:A30,Raw_Bookings!A30)&gt;1,1,0)</f>
        <v>0</v>
      </c>
      <c r="C30" s="7" t="str">
        <f>Raw_Bookings!D30&amp;""</f>
        <v>2024-10-13</v>
      </c>
      <c r="D30" s="7" t="str">
        <f>IF(AND(LEN(C30)=10,MID(C30,5,1)="-",MID(C30,8,1)="-"),"ISO",IF(AND(LEN(C30)=10,MID(C30,3,1)="-",MID(C30,6,1)="-"),"DMY","OTHER"))</f>
        <v>ISO</v>
      </c>
      <c r="E30" s="7">
        <f>IF(D30="ISO",VALUE(LEFT(C30,4)),IF(D30="DMY",VALUE(RIGHT(C30,4)),0))</f>
        <v>2024</v>
      </c>
      <c r="F30" s="7">
        <f>IF(D30="ISO",VALUE(MID(C30,6,2)),IF(D30="DMY",VALUE(MID(C30,4,2)),0))</f>
        <v>10</v>
      </c>
      <c r="G30" s="7">
        <f>IF(D30="ISO",VALUE(RIGHT(C30,2)),IF(D30="DMY",VALUE(LEFT(C30,2)),0))</f>
        <v>13</v>
      </c>
      <c r="H30" s="7">
        <f>IF(AND(D30&lt;&gt;"OTHER",F30&gt;=1,F30&lt;=12,G30&gt;=1,G30&lt;=31),IF(AND(MONTH(DATE(E30,F30,G30))=F30,DAY(DATE(E30,F30,G30))=G30),1,0),0)</f>
        <v>1</v>
      </c>
      <c r="I30" s="7">
        <f>IF(H30=1,DATE(E30,F30,G30),"")</f>
        <v>45578.0</v>
      </c>
      <c r="J30" s="7">
        <f>IF(AND(D30="DMY",H30=1),1,0)</f>
        <v>0</v>
      </c>
      <c r="K30" s="7">
        <f>IF(H30=0,1,0)</f>
        <v>0</v>
      </c>
      <c r="L30" s="7">
        <f>IF(TRIM(Raw_Bookings!I30&amp;"")="",1,0)</f>
        <v>0</v>
      </c>
      <c r="M30" s="7">
        <f>IF(L30=1,"",DATEVALUE(LEFT(Raw_Bookings!I30,10))+TIMEVALUE(MID(Raw_Bookings!I30,12,8)))</f>
        <v>45543.90454861111</v>
      </c>
      <c r="N30" s="7">
        <f>IF(AND(L30=0,H30=1),IF(INT(M30)&gt;I30,1,0),0)</f>
        <v>0</v>
      </c>
      <c r="O30" s="7" t="str">
        <f>UPPER(TRIM(Raw_Bookings!F30))</f>
        <v>AHM</v>
      </c>
      <c r="P30" s="7" t="str">
        <f>UPPER(TRIM(Raw_Bookings!G30))</f>
        <v>VAR</v>
      </c>
      <c r="Q30" s="7">
        <f>IF(COUNTIF(Lookup_Stations!$A$2:$A$33,O30)&gt;0,1,0)</f>
        <v>1</v>
      </c>
      <c r="R30" s="7">
        <f>IF(COUNTIF(Lookup_Stations!$A$2:$A$33,P30)&gt;0,1,0)</f>
        <v>1</v>
      </c>
      <c r="S30" s="7">
        <f>IF(OR(AND(Q30=1,NOT(EXACT(Raw_Bookings!F30,O30))),AND(R30=1,NOT(EXACT(Raw_Bookings!G30,P30)))),1,0)</f>
        <v>0</v>
      </c>
      <c r="T30" s="7">
        <f>IF(OR(Q30=0,R30=0),1,0)</f>
        <v>0</v>
      </c>
      <c r="U30" s="7">
        <f>IF(TRIM(Raw_Bookings!E30&amp;"")="",1,0)</f>
        <v>0</v>
      </c>
      <c r="V30" s="7" t="str">
        <f>IF(SUMPRODUCT(--(Lookup_Status!$A$2:$A$13=LOWER(TRIM(Raw_Bookings!K30))))=0,"",INDEX(Lookup_Status!$B$2:$B$13,SUMPRODUCT((Lookup_Status!$A$2:$A$13=LOWER(TRIM(Raw_Bookings!K30)))*(ROW(Lookup_Status!$A$2:$A$13)-1))))</f>
        <v>Confirmed</v>
      </c>
      <c r="W30" s="7">
        <f>IF(AND(V30&lt;&gt;"",NOT(EXACT(Raw_Bookings!K30,V30))),1,0)</f>
        <v>0</v>
      </c>
      <c r="X30" s="7">
        <f>IF(V30="",1,0)</f>
        <v>0</v>
      </c>
      <c r="Y30" s="7">
        <f>IF(TRIM(Raw_Bookings!L30&amp;"")="",1,0)</f>
        <v>0</v>
      </c>
      <c r="Z30" s="7">
        <f>IF(AND(ISTEXT(Raw_Bookings!L30),Y30=0),1,0)</f>
        <v>0</v>
      </c>
      <c r="AA30" s="7">
        <f>IF(Z30=1,IFERROR(VALUE(SUBSTITUTE(SUBSTITUTE(SUBSTITUTE(SUBSTITUTE(SUBSTITUTE(UPPER(Raw_Bookings!L30),"RS.",""),"₹",""),",","")," ",""),"INR","")),""),"")</f>
        <v/>
      </c>
      <c r="AB30" s="7">
        <f>IF(AND(Z30=1,ISNUMBER(AA30)),1,0)</f>
        <v>0</v>
      </c>
      <c r="AC30" s="7">
        <f>IF(B30=1,0,IF(NOT(ISNUMBER(Raw_Bookings!J30)),1,IF(Raw_Bookings!J30&lt;&gt;COUNTIFS(Work_Passengers!$B$2:$B$1336,Raw_Bookings!A30,Work_Passengers!$C$2:$C$1336,0),1,0)))</f>
        <v>0</v>
      </c>
    </row>
    <row r="31" spans="1:29">
      <c r="A31" s="7">
        <f>Raw_Bookings!A31</f>
        <v>1008844</v>
      </c>
      <c r="B31" s="7">
        <f>IF(COUNTIF(Raw_Bookings!$A$2:A31,Raw_Bookings!A31)&gt;1,1,0)</f>
        <v>0</v>
      </c>
      <c r="C31" s="7" t="str">
        <f>Raw_Bookings!D31&amp;""</f>
        <v>2024-10-13</v>
      </c>
      <c r="D31" s="7" t="str">
        <f>IF(AND(LEN(C31)=10,MID(C31,5,1)="-",MID(C31,8,1)="-"),"ISO",IF(AND(LEN(C31)=10,MID(C31,3,1)="-",MID(C31,6,1)="-"),"DMY","OTHER"))</f>
        <v>ISO</v>
      </c>
      <c r="E31" s="7">
        <f>IF(D31="ISO",VALUE(LEFT(C31,4)),IF(D31="DMY",VALUE(RIGHT(C31,4)),0))</f>
        <v>2024</v>
      </c>
      <c r="F31" s="7">
        <f>IF(D31="ISO",VALUE(MID(C31,6,2)),IF(D31="DMY",VALUE(MID(C31,4,2)),0))</f>
        <v>10</v>
      </c>
      <c r="G31" s="7">
        <f>IF(D31="ISO",VALUE(RIGHT(C31,2)),IF(D31="DMY",VALUE(LEFT(C31,2)),0))</f>
        <v>13</v>
      </c>
      <c r="H31" s="7">
        <f>IF(AND(D31&lt;&gt;"OTHER",F31&gt;=1,F31&lt;=12,G31&gt;=1,G31&lt;=31),IF(AND(MONTH(DATE(E31,F31,G31))=F31,DAY(DATE(E31,F31,G31))=G31),1,0),0)</f>
        <v>1</v>
      </c>
      <c r="I31" s="7">
        <f>IF(H31=1,DATE(E31,F31,G31),"")</f>
        <v>45578.0</v>
      </c>
      <c r="J31" s="7">
        <f>IF(AND(D31="DMY",H31=1),1,0)</f>
        <v>0</v>
      </c>
      <c r="K31" s="7">
        <f>IF(H31=0,1,0)</f>
        <v>0</v>
      </c>
      <c r="L31" s="7">
        <f>IF(TRIM(Raw_Bookings!I31&amp;"")="",1,0)</f>
        <v>0</v>
      </c>
      <c r="M31" s="7">
        <f>IF(L31=1,"",DATEVALUE(LEFT(Raw_Bookings!I31,10))+TIMEVALUE(MID(Raw_Bookings!I31,12,8)))</f>
        <v>45546.87253472222</v>
      </c>
      <c r="N31" s="7">
        <f>IF(AND(L31=0,H31=1),IF(INT(M31)&gt;I31,1,0),0)</f>
        <v>0</v>
      </c>
      <c r="O31" s="7" t="str">
        <f>UPPER(TRIM(Raw_Bookings!F31))</f>
        <v>AHM</v>
      </c>
      <c r="P31" s="7" t="str">
        <f>UPPER(TRIM(Raw_Bookings!G31))</f>
        <v>VAR</v>
      </c>
      <c r="Q31" s="7">
        <f>IF(COUNTIF(Lookup_Stations!$A$2:$A$33,O31)&gt;0,1,0)</f>
        <v>1</v>
      </c>
      <c r="R31" s="7">
        <f>IF(COUNTIF(Lookup_Stations!$A$2:$A$33,P31)&gt;0,1,0)</f>
        <v>1</v>
      </c>
      <c r="S31" s="7">
        <f>IF(OR(AND(Q31=1,NOT(EXACT(Raw_Bookings!F31,O31))),AND(R31=1,NOT(EXACT(Raw_Bookings!G31,P31)))),1,0)</f>
        <v>0</v>
      </c>
      <c r="T31" s="7">
        <f>IF(OR(Q31=0,R31=0),1,0)</f>
        <v>0</v>
      </c>
      <c r="U31" s="7">
        <f>IF(TRIM(Raw_Bookings!E31&amp;"")="",1,0)</f>
        <v>0</v>
      </c>
      <c r="V31" s="7" t="str">
        <f>IF(SUMPRODUCT(--(Lookup_Status!$A$2:$A$13=LOWER(TRIM(Raw_Bookings!K31))))=0,"",INDEX(Lookup_Status!$B$2:$B$13,SUMPRODUCT((Lookup_Status!$A$2:$A$13=LOWER(TRIM(Raw_Bookings!K31)))*(ROW(Lookup_Status!$A$2:$A$13)-1))))</f>
        <v>Mixed</v>
      </c>
      <c r="W31" s="7">
        <f>IF(AND(V31&lt;&gt;"",NOT(EXACT(Raw_Bookings!K31,V31))),1,0)</f>
        <v>0</v>
      </c>
      <c r="X31" s="7">
        <f>IF(V31="",1,0)</f>
        <v>0</v>
      </c>
      <c r="Y31" s="7">
        <f>IF(TRIM(Raw_Bookings!L31&amp;"")="",1,0)</f>
        <v>0</v>
      </c>
      <c r="Z31" s="7">
        <f>IF(AND(ISTEXT(Raw_Bookings!L31),Y31=0),1,0)</f>
        <v>0</v>
      </c>
      <c r="AA31" s="7">
        <f>IF(Z31=1,IFERROR(VALUE(SUBSTITUTE(SUBSTITUTE(SUBSTITUTE(SUBSTITUTE(SUBSTITUTE(UPPER(Raw_Bookings!L31),"RS.",""),"₹",""),",","")," ",""),"INR","")),""),"")</f>
        <v/>
      </c>
      <c r="AB31" s="7">
        <f>IF(AND(Z31=1,ISNUMBER(AA31)),1,0)</f>
        <v>0</v>
      </c>
      <c r="AC31" s="7">
        <f>IF(B31=1,0,IF(NOT(ISNUMBER(Raw_Bookings!J31)),1,IF(Raw_Bookings!J31&lt;&gt;COUNTIFS(Work_Passengers!$B$2:$B$1336,Raw_Bookings!A31,Work_Passengers!$C$2:$C$1336,0),1,0)))</f>
        <v>0</v>
      </c>
    </row>
    <row r="32" spans="1:29">
      <c r="A32" s="7">
        <f>Raw_Bookings!A32</f>
        <v>1008865</v>
      </c>
      <c r="B32" s="7">
        <f>IF(COUNTIF(Raw_Bookings!$A$2:A32,Raw_Bookings!A32)&gt;1,1,0)</f>
        <v>0</v>
      </c>
      <c r="C32" s="7" t="str">
        <f>Raw_Bookings!D32&amp;""</f>
        <v>2024-10-27</v>
      </c>
      <c r="D32" s="7" t="str">
        <f>IF(AND(LEN(C32)=10,MID(C32,5,1)="-",MID(C32,8,1)="-"),"ISO",IF(AND(LEN(C32)=10,MID(C32,3,1)="-",MID(C32,6,1)="-"),"DMY","OTHER"))</f>
        <v>ISO</v>
      </c>
      <c r="E32" s="7">
        <f>IF(D32="ISO",VALUE(LEFT(C32,4)),IF(D32="DMY",VALUE(RIGHT(C32,4)),0))</f>
        <v>2024</v>
      </c>
      <c r="F32" s="7">
        <f>IF(D32="ISO",VALUE(MID(C32,6,2)),IF(D32="DMY",VALUE(MID(C32,4,2)),0))</f>
        <v>10</v>
      </c>
      <c r="G32" s="7">
        <f>IF(D32="ISO",VALUE(RIGHT(C32,2)),IF(D32="DMY",VALUE(LEFT(C32,2)),0))</f>
        <v>27</v>
      </c>
      <c r="H32" s="7">
        <f>IF(AND(D32&lt;&gt;"OTHER",F32&gt;=1,F32&lt;=12,G32&gt;=1,G32&lt;=31),IF(AND(MONTH(DATE(E32,F32,G32))=F32,DAY(DATE(E32,F32,G32))=G32),1,0),0)</f>
        <v>1</v>
      </c>
      <c r="I32" s="7">
        <f>IF(H32=1,DATE(E32,F32,G32),"")</f>
        <v>45592.0</v>
      </c>
      <c r="J32" s="7">
        <f>IF(AND(D32="DMY",H32=1),1,0)</f>
        <v>0</v>
      </c>
      <c r="K32" s="7">
        <f>IF(H32=0,1,0)</f>
        <v>0</v>
      </c>
      <c r="L32" s="7">
        <f>IF(TRIM(Raw_Bookings!I32&amp;"")="",1,0)</f>
        <v>0</v>
      </c>
      <c r="M32" s="7">
        <f>IF(L32=1,"",DATEVALUE(LEFT(Raw_Bookings!I32,10))+TIMEVALUE(MID(Raw_Bookings!I32,12,8)))</f>
        <v>45547.11269675926</v>
      </c>
      <c r="N32" s="7">
        <f>IF(AND(L32=0,H32=1),IF(INT(M32)&gt;I32,1,0),0)</f>
        <v>0</v>
      </c>
      <c r="O32" s="7" t="str">
        <f>UPPER(TRIM(Raw_Bookings!F32))</f>
        <v>LUC</v>
      </c>
      <c r="P32" s="7" t="str">
        <f>UPPER(TRIM(Raw_Bookings!G32))</f>
        <v>MUM</v>
      </c>
      <c r="Q32" s="7">
        <f>IF(COUNTIF(Lookup_Stations!$A$2:$A$33,O32)&gt;0,1,0)</f>
        <v>1</v>
      </c>
      <c r="R32" s="7">
        <f>IF(COUNTIF(Lookup_Stations!$A$2:$A$33,P32)&gt;0,1,0)</f>
        <v>1</v>
      </c>
      <c r="S32" s="7">
        <f>IF(OR(AND(Q32=1,NOT(EXACT(Raw_Bookings!F32,O32))),AND(R32=1,NOT(EXACT(Raw_Bookings!G32,P32)))),1,0)</f>
        <v>0</v>
      </c>
      <c r="T32" s="7">
        <f>IF(OR(Q32=0,R32=0),1,0)</f>
        <v>0</v>
      </c>
      <c r="U32" s="7">
        <f>IF(TRIM(Raw_Bookings!E32&amp;"")="",1,0)</f>
        <v>0</v>
      </c>
      <c r="V32" s="7" t="str">
        <f>IF(SUMPRODUCT(--(Lookup_Status!$A$2:$A$13=LOWER(TRIM(Raw_Bookings!K32))))=0,"",INDEX(Lookup_Status!$B$2:$B$13,SUMPRODUCT((Lookup_Status!$A$2:$A$13=LOWER(TRIM(Raw_Bookings!K32)))*(ROW(Lookup_Status!$A$2:$A$13)-1))))</f>
        <v>Confirmed</v>
      </c>
      <c r="W32" s="7">
        <f>IF(AND(V32&lt;&gt;"",NOT(EXACT(Raw_Bookings!K32,V32))),1,0)</f>
        <v>1</v>
      </c>
      <c r="X32" s="7">
        <f>IF(V32="",1,0)</f>
        <v>0</v>
      </c>
      <c r="Y32" s="7">
        <f>IF(TRIM(Raw_Bookings!L32&amp;"")="",1,0)</f>
        <v>0</v>
      </c>
      <c r="Z32" s="7">
        <f>IF(AND(ISTEXT(Raw_Bookings!L32),Y32=0),1,0)</f>
        <v>0</v>
      </c>
      <c r="AA32" s="7">
        <f>IF(Z32=1,IFERROR(VALUE(SUBSTITUTE(SUBSTITUTE(SUBSTITUTE(SUBSTITUTE(SUBSTITUTE(UPPER(Raw_Bookings!L32),"RS.",""),"₹",""),",","")," ",""),"INR","")),""),"")</f>
        <v/>
      </c>
      <c r="AB32" s="7">
        <f>IF(AND(Z32=1,ISNUMBER(AA32)),1,0)</f>
        <v>0</v>
      </c>
      <c r="AC32" s="7">
        <f>IF(B32=1,0,IF(NOT(ISNUMBER(Raw_Bookings!J32)),1,IF(Raw_Bookings!J32&lt;&gt;COUNTIFS(Work_Passengers!$B$2:$B$1336,Raw_Bookings!A32,Work_Passengers!$C$2:$C$1336,0),1,0)))</f>
        <v>0</v>
      </c>
    </row>
    <row r="33" spans="1:29">
      <c r="A33" s="7">
        <f>Raw_Bookings!A33</f>
        <v>1009096</v>
      </c>
      <c r="B33" s="7">
        <f>IF(COUNTIF(Raw_Bookings!$A$2:A33,Raw_Bookings!A33)&gt;1,1,0)</f>
        <v>0</v>
      </c>
      <c r="C33" s="7" t="str">
        <f>Raw_Bookings!D33&amp;""</f>
        <v>2024-10-01</v>
      </c>
      <c r="D33" s="7" t="str">
        <f>IF(AND(LEN(C33)=10,MID(C33,5,1)="-",MID(C33,8,1)="-"),"ISO",IF(AND(LEN(C33)=10,MID(C33,3,1)="-",MID(C33,6,1)="-"),"DMY","OTHER"))</f>
        <v>ISO</v>
      </c>
      <c r="E33" s="7">
        <f>IF(D33="ISO",VALUE(LEFT(C33,4)),IF(D33="DMY",VALUE(RIGHT(C33,4)),0))</f>
        <v>2024</v>
      </c>
      <c r="F33" s="7">
        <f>IF(D33="ISO",VALUE(MID(C33,6,2)),IF(D33="DMY",VALUE(MID(C33,4,2)),0))</f>
        <v>10</v>
      </c>
      <c r="G33" s="7">
        <f>IF(D33="ISO",VALUE(RIGHT(C33,2)),IF(D33="DMY",VALUE(LEFT(C33,2)),0))</f>
        <v>1</v>
      </c>
      <c r="H33" s="7">
        <f>IF(AND(D33&lt;&gt;"OTHER",F33&gt;=1,F33&lt;=12,G33&gt;=1,G33&lt;=31),IF(AND(MONTH(DATE(E33,F33,G33))=F33,DAY(DATE(E33,F33,G33))=G33),1,0),0)</f>
        <v>1</v>
      </c>
      <c r="I33" s="7">
        <f>IF(H33=1,DATE(E33,F33,G33),"")</f>
        <v>45566.0</v>
      </c>
      <c r="J33" s="7">
        <f>IF(AND(D33="DMY",H33=1),1,0)</f>
        <v>0</v>
      </c>
      <c r="K33" s="7">
        <f>IF(H33=0,1,0)</f>
        <v>0</v>
      </c>
      <c r="L33" s="7">
        <f>IF(TRIM(Raw_Bookings!I33&amp;"")="",1,0)</f>
        <v>0</v>
      </c>
      <c r="M33" s="7">
        <f>IF(L33=1,"",DATEVALUE(LEFT(Raw_Bookings!I33,10))+TIMEVALUE(MID(Raw_Bookings!I33,12,8)))</f>
        <v>45548.104525462964</v>
      </c>
      <c r="N33" s="7">
        <f>IF(AND(L33=0,H33=1),IF(INT(M33)&gt;I33,1,0),0)</f>
        <v>0</v>
      </c>
      <c r="O33" s="7" t="str">
        <f>UPPER(TRIM(Raw_Bookings!F33))</f>
        <v>PUN</v>
      </c>
      <c r="P33" s="7" t="str">
        <f>UPPER(TRIM(Raw_Bookings!G33))</f>
        <v>DEH</v>
      </c>
      <c r="Q33" s="7">
        <f>IF(COUNTIF(Lookup_Stations!$A$2:$A$33,O33)&gt;0,1,0)</f>
        <v>1</v>
      </c>
      <c r="R33" s="7">
        <f>IF(COUNTIF(Lookup_Stations!$A$2:$A$33,P33)&gt;0,1,0)</f>
        <v>1</v>
      </c>
      <c r="S33" s="7">
        <f>IF(OR(AND(Q33=1,NOT(EXACT(Raw_Bookings!F33,O33))),AND(R33=1,NOT(EXACT(Raw_Bookings!G33,P33)))),1,0)</f>
        <v>0</v>
      </c>
      <c r="T33" s="7">
        <f>IF(OR(Q33=0,R33=0),1,0)</f>
        <v>0</v>
      </c>
      <c r="U33" s="7">
        <f>IF(TRIM(Raw_Bookings!E33&amp;"")="",1,0)</f>
        <v>0</v>
      </c>
      <c r="V33" s="7" t="str">
        <f>IF(SUMPRODUCT(--(Lookup_Status!$A$2:$A$13=LOWER(TRIM(Raw_Bookings!K33))))=0,"",INDEX(Lookup_Status!$B$2:$B$13,SUMPRODUCT((Lookup_Status!$A$2:$A$13=LOWER(TRIM(Raw_Bookings!K33)))*(ROW(Lookup_Status!$A$2:$A$13)-1))))</f>
        <v>Confirmed</v>
      </c>
      <c r="W33" s="7">
        <f>IF(AND(V33&lt;&gt;"",NOT(EXACT(Raw_Bookings!K33,V33))),1,0)</f>
        <v>0</v>
      </c>
      <c r="X33" s="7">
        <f>IF(V33="",1,0)</f>
        <v>0</v>
      </c>
      <c r="Y33" s="7">
        <f>IF(TRIM(Raw_Bookings!L33&amp;"")="",1,0)</f>
        <v>0</v>
      </c>
      <c r="Z33" s="7">
        <f>IF(AND(ISTEXT(Raw_Bookings!L33),Y33=0),1,0)</f>
        <v>0</v>
      </c>
      <c r="AA33" s="7">
        <f>IF(Z33=1,IFERROR(VALUE(SUBSTITUTE(SUBSTITUTE(SUBSTITUTE(SUBSTITUTE(SUBSTITUTE(UPPER(Raw_Bookings!L33),"RS.",""),"₹",""),",","")," ",""),"INR","")),""),"")</f>
        <v/>
      </c>
      <c r="AB33" s="7">
        <f>IF(AND(Z33=1,ISNUMBER(AA33)),1,0)</f>
        <v>0</v>
      </c>
      <c r="AC33" s="7">
        <f>IF(B33=1,0,IF(NOT(ISNUMBER(Raw_Bookings!J33)),1,IF(Raw_Bookings!J33&lt;&gt;COUNTIFS(Work_Passengers!$B$2:$B$1336,Raw_Bookings!A33,Work_Passengers!$C$2:$C$1336,0),1,0)))</f>
        <v>0</v>
      </c>
    </row>
    <row r="34" spans="1:29">
      <c r="A34" s="7">
        <f>Raw_Bookings!A34</f>
        <v>1010912</v>
      </c>
      <c r="B34" s="7">
        <f>IF(COUNTIF(Raw_Bookings!$A$2:A34,Raw_Bookings!A34)&gt;1,1,0)</f>
        <v>0</v>
      </c>
      <c r="C34" s="7" t="str">
        <f>Raw_Bookings!D34&amp;""</f>
        <v>2024-09-28</v>
      </c>
      <c r="D34" s="7" t="str">
        <f>IF(AND(LEN(C34)=10,MID(C34,5,1)="-",MID(C34,8,1)="-"),"ISO",IF(AND(LEN(C34)=10,MID(C34,3,1)="-",MID(C34,6,1)="-"),"DMY","OTHER"))</f>
        <v>ISO</v>
      </c>
      <c r="E34" s="7">
        <f>IF(D34="ISO",VALUE(LEFT(C34,4)),IF(D34="DMY",VALUE(RIGHT(C34,4)),0))</f>
        <v>2024</v>
      </c>
      <c r="F34" s="7">
        <f>IF(D34="ISO",VALUE(MID(C34,6,2)),IF(D34="DMY",VALUE(MID(C34,4,2)),0))</f>
        <v>9</v>
      </c>
      <c r="G34" s="7">
        <f>IF(D34="ISO",VALUE(RIGHT(C34,2)),IF(D34="DMY",VALUE(LEFT(C34,2)),0))</f>
        <v>28</v>
      </c>
      <c r="H34" s="7">
        <f>IF(AND(D34&lt;&gt;"OTHER",F34&gt;=1,F34&lt;=12,G34&gt;=1,G34&lt;=31),IF(AND(MONTH(DATE(E34,F34,G34))=F34,DAY(DATE(E34,F34,G34))=G34),1,0),0)</f>
        <v>1</v>
      </c>
      <c r="I34" s="7">
        <f>IF(H34=1,DATE(E34,F34,G34),"")</f>
        <v>45563.0</v>
      </c>
      <c r="J34" s="7">
        <f>IF(AND(D34="DMY",H34=1),1,0)</f>
        <v>0</v>
      </c>
      <c r="K34" s="7">
        <f>IF(H34=0,1,0)</f>
        <v>0</v>
      </c>
      <c r="L34" s="7">
        <f>IF(TRIM(Raw_Bookings!I34&amp;"")="",1,0)</f>
        <v>0</v>
      </c>
      <c r="M34" s="7">
        <f>IF(L34=1,"",DATEVALUE(LEFT(Raw_Bookings!I34,10))+TIMEVALUE(MID(Raw_Bookings!I34,12,8)))</f>
        <v>45555.74883101852</v>
      </c>
      <c r="N34" s="7">
        <f>IF(AND(L34=0,H34=1),IF(INT(M34)&gt;I34,1,0),0)</f>
        <v>0</v>
      </c>
      <c r="O34" s="7" t="str">
        <f>UPPER(TRIM(Raw_Bookings!F34))</f>
        <v>KOL</v>
      </c>
      <c r="P34" s="7" t="str">
        <f>UPPER(TRIM(Raw_Bookings!G34))</f>
        <v>HYD</v>
      </c>
      <c r="Q34" s="7">
        <f>IF(COUNTIF(Lookup_Stations!$A$2:$A$33,O34)&gt;0,1,0)</f>
        <v>1</v>
      </c>
      <c r="R34" s="7">
        <f>IF(COUNTIF(Lookup_Stations!$A$2:$A$33,P34)&gt;0,1,0)</f>
        <v>1</v>
      </c>
      <c r="S34" s="7">
        <f>IF(OR(AND(Q34=1,NOT(EXACT(Raw_Bookings!F34,O34))),AND(R34=1,NOT(EXACT(Raw_Bookings!G34,P34)))),1,0)</f>
        <v>0</v>
      </c>
      <c r="T34" s="7">
        <f>IF(OR(Q34=0,R34=0),1,0)</f>
        <v>0</v>
      </c>
      <c r="U34" s="7">
        <f>IF(TRIM(Raw_Bookings!E34&amp;"")="",1,0)</f>
        <v>1</v>
      </c>
      <c r="V34" s="7" t="str">
        <f>IF(SUMPRODUCT(--(Lookup_Status!$A$2:$A$13=LOWER(TRIM(Raw_Bookings!K34))))=0,"",INDEX(Lookup_Status!$B$2:$B$13,SUMPRODUCT((Lookup_Status!$A$2:$A$13=LOWER(TRIM(Raw_Bookings!K34)))*(ROW(Lookup_Status!$A$2:$A$13)-1))))</f>
        <v>Waitlisted</v>
      </c>
      <c r="W34" s="7">
        <f>IF(AND(V34&lt;&gt;"",NOT(EXACT(Raw_Bookings!K34,V34))),1,0)</f>
        <v>0</v>
      </c>
      <c r="X34" s="7">
        <f>IF(V34="",1,0)</f>
        <v>0</v>
      </c>
      <c r="Y34" s="7">
        <f>IF(TRIM(Raw_Bookings!L34&amp;"")="",1,0)</f>
        <v>0</v>
      </c>
      <c r="Z34" s="7">
        <f>IF(AND(ISTEXT(Raw_Bookings!L34),Y34=0),1,0)</f>
        <v>0</v>
      </c>
      <c r="AA34" s="7">
        <f>IF(Z34=1,IFERROR(VALUE(SUBSTITUTE(SUBSTITUTE(SUBSTITUTE(SUBSTITUTE(SUBSTITUTE(UPPER(Raw_Bookings!L34),"RS.",""),"₹",""),",","")," ",""),"INR","")),""),"")</f>
        <v/>
      </c>
      <c r="AB34" s="7">
        <f>IF(AND(Z34=1,ISNUMBER(AA34)),1,0)</f>
        <v>0</v>
      </c>
      <c r="AC34" s="7">
        <f>IF(B34=1,0,IF(NOT(ISNUMBER(Raw_Bookings!J34)),1,IF(Raw_Bookings!J34&lt;&gt;COUNTIFS(Work_Passengers!$B$2:$B$1336,Raw_Bookings!A34,Work_Passengers!$C$2:$C$1336,0),1,0)))</f>
        <v>0</v>
      </c>
    </row>
    <row r="35" spans="1:29">
      <c r="A35" s="7">
        <f>Raw_Bookings!A35</f>
        <v>1011314</v>
      </c>
      <c r="B35" s="7">
        <f>IF(COUNTIF(Raw_Bookings!$A$2:A35,Raw_Bookings!A35)&gt;1,1,0)</f>
        <v>0</v>
      </c>
      <c r="C35" s="7" t="str">
        <f>Raw_Bookings!D35&amp;""</f>
        <v>2025-01-07</v>
      </c>
      <c r="D35" s="7" t="str">
        <f>IF(AND(LEN(C35)=10,MID(C35,5,1)="-",MID(C35,8,1)="-"),"ISO",IF(AND(LEN(C35)=10,MID(C35,3,1)="-",MID(C35,6,1)="-"),"DMY","OTHER"))</f>
        <v>ISO</v>
      </c>
      <c r="E35" s="7">
        <f>IF(D35="ISO",VALUE(LEFT(C35,4)),IF(D35="DMY",VALUE(RIGHT(C35,4)),0))</f>
        <v>2025</v>
      </c>
      <c r="F35" s="7">
        <f>IF(D35="ISO",VALUE(MID(C35,6,2)),IF(D35="DMY",VALUE(MID(C35,4,2)),0))</f>
        <v>1</v>
      </c>
      <c r="G35" s="7">
        <f>IF(D35="ISO",VALUE(RIGHT(C35,2)),IF(D35="DMY",VALUE(LEFT(C35,2)),0))</f>
        <v>7</v>
      </c>
      <c r="H35" s="7">
        <f>IF(AND(D35&lt;&gt;"OTHER",F35&gt;=1,F35&lt;=12,G35&gt;=1,G35&lt;=31),IF(AND(MONTH(DATE(E35,F35,G35))=F35,DAY(DATE(E35,F35,G35))=G35),1,0),0)</f>
        <v>1</v>
      </c>
      <c r="I35" s="7">
        <f>IF(H35=1,DATE(E35,F35,G35),"")</f>
        <v>45664.0</v>
      </c>
      <c r="J35" s="7">
        <f>IF(AND(D35="DMY",H35=1),1,0)</f>
        <v>0</v>
      </c>
      <c r="K35" s="7">
        <f>IF(H35=0,1,0)</f>
        <v>0</v>
      </c>
      <c r="L35" s="7">
        <f>IF(TRIM(Raw_Bookings!I35&amp;"")="",1,0)</f>
        <v>0</v>
      </c>
      <c r="M35" s="7">
        <f>IF(L35=1,"",DATEVALUE(LEFT(Raw_Bookings!I35,10))+TIMEVALUE(MID(Raw_Bookings!I35,12,8)))</f>
        <v>45557.389398148145</v>
      </c>
      <c r="N35" s="7">
        <f>IF(AND(L35=0,H35=1),IF(INT(M35)&gt;I35,1,0),0)</f>
        <v>0</v>
      </c>
      <c r="O35" s="7" t="str">
        <f>UPPER(TRIM(Raw_Bookings!F35))</f>
        <v>MUM</v>
      </c>
      <c r="P35" s="7" t="str">
        <f>UPPER(TRIM(Raw_Bookings!G35))</f>
        <v>BEN</v>
      </c>
      <c r="Q35" s="7">
        <f>IF(COUNTIF(Lookup_Stations!$A$2:$A$33,O35)&gt;0,1,0)</f>
        <v>1</v>
      </c>
      <c r="R35" s="7">
        <f>IF(COUNTIF(Lookup_Stations!$A$2:$A$33,P35)&gt;0,1,0)</f>
        <v>1</v>
      </c>
      <c r="S35" s="7">
        <f>IF(OR(AND(Q35=1,NOT(EXACT(Raw_Bookings!F35,O35))),AND(R35=1,NOT(EXACT(Raw_Bookings!G35,P35)))),1,0)</f>
        <v>0</v>
      </c>
      <c r="T35" s="7">
        <f>IF(OR(Q35=0,R35=0),1,0)</f>
        <v>0</v>
      </c>
      <c r="U35" s="7">
        <f>IF(TRIM(Raw_Bookings!E35&amp;"")="",1,0)</f>
        <v>0</v>
      </c>
      <c r="V35" s="7" t="str">
        <f>IF(SUMPRODUCT(--(Lookup_Status!$A$2:$A$13=LOWER(TRIM(Raw_Bookings!K35))))=0,"",INDEX(Lookup_Status!$B$2:$B$13,SUMPRODUCT((Lookup_Status!$A$2:$A$13=LOWER(TRIM(Raw_Bookings!K35)))*(ROW(Lookup_Status!$A$2:$A$13)-1))))</f>
        <v>Cancelled</v>
      </c>
      <c r="W35" s="7">
        <f>IF(AND(V35&lt;&gt;"",NOT(EXACT(Raw_Bookings!K35,V35))),1,0)</f>
        <v>0</v>
      </c>
      <c r="X35" s="7">
        <f>IF(V35="",1,0)</f>
        <v>0</v>
      </c>
      <c r="Y35" s="7">
        <f>IF(TRIM(Raw_Bookings!L35&amp;"")="",1,0)</f>
        <v>0</v>
      </c>
      <c r="Z35" s="7">
        <f>IF(AND(ISTEXT(Raw_Bookings!L35),Y35=0),1,0)</f>
        <v>0</v>
      </c>
      <c r="AA35" s="7">
        <f>IF(Z35=1,IFERROR(VALUE(SUBSTITUTE(SUBSTITUTE(SUBSTITUTE(SUBSTITUTE(SUBSTITUTE(UPPER(Raw_Bookings!L35),"RS.",""),"₹",""),",","")," ",""),"INR","")),""),"")</f>
        <v/>
      </c>
      <c r="AB35" s="7">
        <f>IF(AND(Z35=1,ISNUMBER(AA35)),1,0)</f>
        <v>0</v>
      </c>
      <c r="AC35" s="7">
        <f>IF(B35=1,0,IF(NOT(ISNUMBER(Raw_Bookings!J35)),1,IF(Raw_Bookings!J35&lt;&gt;COUNTIFS(Work_Passengers!$B$2:$B$1336,Raw_Bookings!A35,Work_Passengers!$C$2:$C$1336,0),1,0)))</f>
        <v>0</v>
      </c>
    </row>
    <row r="36" spans="1:29">
      <c r="A36" s="7">
        <f>Raw_Bookings!A36</f>
        <v>1011658</v>
      </c>
      <c r="B36" s="7">
        <f>IF(COUNTIF(Raw_Bookings!$A$2:A36,Raw_Bookings!A36)&gt;1,1,0)</f>
        <v>0</v>
      </c>
      <c r="C36" s="7" t="str">
        <f>Raw_Bookings!D36&amp;""</f>
        <v>2024-10-31</v>
      </c>
      <c r="D36" s="7" t="str">
        <f>IF(AND(LEN(C36)=10,MID(C36,5,1)="-",MID(C36,8,1)="-"),"ISO",IF(AND(LEN(C36)=10,MID(C36,3,1)="-",MID(C36,6,1)="-"),"DMY","OTHER"))</f>
        <v>ISO</v>
      </c>
      <c r="E36" s="7">
        <f>IF(D36="ISO",VALUE(LEFT(C36,4)),IF(D36="DMY",VALUE(RIGHT(C36,4)),0))</f>
        <v>2024</v>
      </c>
      <c r="F36" s="7">
        <f>IF(D36="ISO",VALUE(MID(C36,6,2)),IF(D36="DMY",VALUE(MID(C36,4,2)),0))</f>
        <v>10</v>
      </c>
      <c r="G36" s="7">
        <f>IF(D36="ISO",VALUE(RIGHT(C36,2)),IF(D36="DMY",VALUE(LEFT(C36,2)),0))</f>
        <v>31</v>
      </c>
      <c r="H36" s="7">
        <f>IF(AND(D36&lt;&gt;"OTHER",F36&gt;=1,F36&lt;=12,G36&gt;=1,G36&lt;=31),IF(AND(MONTH(DATE(E36,F36,G36))=F36,DAY(DATE(E36,F36,G36))=G36),1,0),0)</f>
        <v>1</v>
      </c>
      <c r="I36" s="7">
        <f>IF(H36=1,DATE(E36,F36,G36),"")</f>
        <v>45596.0</v>
      </c>
      <c r="J36" s="7">
        <f>IF(AND(D36="DMY",H36=1),1,0)</f>
        <v>0</v>
      </c>
      <c r="K36" s="7">
        <f>IF(H36=0,1,0)</f>
        <v>0</v>
      </c>
      <c r="L36" s="7">
        <f>IF(TRIM(Raw_Bookings!I36&amp;"")="",1,0)</f>
        <v>0</v>
      </c>
      <c r="M36" s="7">
        <f>IF(L36=1,"",DATEVALUE(LEFT(Raw_Bookings!I36,10))+TIMEVALUE(MID(Raw_Bookings!I36,12,8)))</f>
        <v>45558.70318287037</v>
      </c>
      <c r="N36" s="7">
        <f>IF(AND(L36=0,H36=1),IF(INT(M36)&gt;I36,1,0),0)</f>
        <v>0</v>
      </c>
      <c r="O36" s="7" t="str">
        <f>UPPER(TRIM(Raw_Bookings!F36))</f>
        <v>DEL</v>
      </c>
      <c r="P36" s="7" t="str">
        <f>UPPER(TRIM(Raw_Bookings!G36))</f>
        <v>MAU</v>
      </c>
      <c r="Q36" s="7">
        <f>IF(COUNTIF(Lookup_Stations!$A$2:$A$33,O36)&gt;0,1,0)</f>
        <v>1</v>
      </c>
      <c r="R36" s="7">
        <f>IF(COUNTIF(Lookup_Stations!$A$2:$A$33,P36)&gt;0,1,0)</f>
        <v>1</v>
      </c>
      <c r="S36" s="7">
        <f>IF(OR(AND(Q36=1,NOT(EXACT(Raw_Bookings!F36,O36))),AND(R36=1,NOT(EXACT(Raw_Bookings!G36,P36)))),1,0)</f>
        <v>0</v>
      </c>
      <c r="T36" s="7">
        <f>IF(OR(Q36=0,R36=0),1,0)</f>
        <v>0</v>
      </c>
      <c r="U36" s="7">
        <f>IF(TRIM(Raw_Bookings!E36&amp;"")="",1,0)</f>
        <v>0</v>
      </c>
      <c r="V36" s="7" t="str">
        <f>IF(SUMPRODUCT(--(Lookup_Status!$A$2:$A$13=LOWER(TRIM(Raw_Bookings!K36))))=0,"",INDEX(Lookup_Status!$B$2:$B$13,SUMPRODUCT((Lookup_Status!$A$2:$A$13=LOWER(TRIM(Raw_Bookings!K36)))*(ROW(Lookup_Status!$A$2:$A$13)-1))))</f>
        <v>Confirmed</v>
      </c>
      <c r="W36" s="7">
        <f>IF(AND(V36&lt;&gt;"",NOT(EXACT(Raw_Bookings!K36,V36))),1,0)</f>
        <v>0</v>
      </c>
      <c r="X36" s="7">
        <f>IF(V36="",1,0)</f>
        <v>0</v>
      </c>
      <c r="Y36" s="7">
        <f>IF(TRIM(Raw_Bookings!L36&amp;"")="",1,0)</f>
        <v>1</v>
      </c>
      <c r="Z36" s="7">
        <f>IF(AND(ISTEXT(Raw_Bookings!L36),Y36=0),1,0)</f>
        <v>0</v>
      </c>
      <c r="AA36" s="7">
        <f>IF(Z36=1,IFERROR(VALUE(SUBSTITUTE(SUBSTITUTE(SUBSTITUTE(SUBSTITUTE(SUBSTITUTE(UPPER(Raw_Bookings!L36),"RS.",""),"₹",""),",","")," ",""),"INR","")),""),"")</f>
        <v/>
      </c>
      <c r="AB36" s="7">
        <f>IF(AND(Z36=1,ISNUMBER(AA36)),1,0)</f>
        <v>0</v>
      </c>
      <c r="AC36" s="7">
        <f>IF(B36=1,0,IF(NOT(ISNUMBER(Raw_Bookings!J36)),1,IF(Raw_Bookings!J36&lt;&gt;COUNTIFS(Work_Passengers!$B$2:$B$1336,Raw_Bookings!A36,Work_Passengers!$C$2:$C$1336,0),1,0)))</f>
        <v>0</v>
      </c>
    </row>
    <row r="37" spans="1:29">
      <c r="A37" s="7">
        <f>Raw_Bookings!A37</f>
        <v>1011942</v>
      </c>
      <c r="B37" s="7">
        <f>IF(COUNTIF(Raw_Bookings!$A$2:A37,Raw_Bookings!A37)&gt;1,1,0)</f>
        <v>0</v>
      </c>
      <c r="C37" s="7" t="str">
        <f>Raw_Bookings!D37&amp;""</f>
        <v>2024-09-25</v>
      </c>
      <c r="D37" s="7" t="str">
        <f>IF(AND(LEN(C37)=10,MID(C37,5,1)="-",MID(C37,8,1)="-"),"ISO",IF(AND(LEN(C37)=10,MID(C37,3,1)="-",MID(C37,6,1)="-"),"DMY","OTHER"))</f>
        <v>ISO</v>
      </c>
      <c r="E37" s="7">
        <f>IF(D37="ISO",VALUE(LEFT(C37,4)),IF(D37="DMY",VALUE(RIGHT(C37,4)),0))</f>
        <v>2024</v>
      </c>
      <c r="F37" s="7">
        <f>IF(D37="ISO",VALUE(MID(C37,6,2)),IF(D37="DMY",VALUE(MID(C37,4,2)),0))</f>
        <v>9</v>
      </c>
      <c r="G37" s="7">
        <f>IF(D37="ISO",VALUE(RIGHT(C37,2)),IF(D37="DMY",VALUE(LEFT(C37,2)),0))</f>
        <v>25</v>
      </c>
      <c r="H37" s="7">
        <f>IF(AND(D37&lt;&gt;"OTHER",F37&gt;=1,F37&lt;=12,G37&gt;=1,G37&lt;=31),IF(AND(MONTH(DATE(E37,F37,G37))=F37,DAY(DATE(E37,F37,G37))=G37),1,0),0)</f>
        <v>1</v>
      </c>
      <c r="I37" s="7">
        <f>IF(H37=1,DATE(E37,F37,G37),"")</f>
        <v>45560.0</v>
      </c>
      <c r="J37" s="7">
        <f>IF(AND(D37="DMY",H37=1),1,0)</f>
        <v>0</v>
      </c>
      <c r="K37" s="7">
        <f>IF(H37=0,1,0)</f>
        <v>0</v>
      </c>
      <c r="L37" s="7">
        <f>IF(TRIM(Raw_Bookings!I37&amp;"")="",1,0)</f>
        <v>0</v>
      </c>
      <c r="M37" s="7">
        <f>IF(L37=1,"",DATEVALUE(LEFT(Raw_Bookings!I37,10))+TIMEVALUE(MID(Raw_Bookings!I37,12,8)))</f>
        <v>45559.868935185186</v>
      </c>
      <c r="N37" s="7">
        <f>IF(AND(L37=0,H37=1),IF(INT(M37)&gt;I37,1,0),0)</f>
        <v>0</v>
      </c>
      <c r="O37" s="7" t="str">
        <f>UPPER(TRIM(Raw_Bookings!F37))</f>
        <v>CHA</v>
      </c>
      <c r="P37" s="7" t="str">
        <f>UPPER(TRIM(Raw_Bookings!G37))</f>
        <v>VIS</v>
      </c>
      <c r="Q37" s="7">
        <f>IF(COUNTIF(Lookup_Stations!$A$2:$A$33,O37)&gt;0,1,0)</f>
        <v>1</v>
      </c>
      <c r="R37" s="7">
        <f>IF(COUNTIF(Lookup_Stations!$A$2:$A$33,P37)&gt;0,1,0)</f>
        <v>1</v>
      </c>
      <c r="S37" s="7">
        <f>IF(OR(AND(Q37=1,NOT(EXACT(Raw_Bookings!F37,O37))),AND(R37=1,NOT(EXACT(Raw_Bookings!G37,P37)))),1,0)</f>
        <v>0</v>
      </c>
      <c r="T37" s="7">
        <f>IF(OR(Q37=0,R37=0),1,0)</f>
        <v>0</v>
      </c>
      <c r="U37" s="7">
        <f>IF(TRIM(Raw_Bookings!E37&amp;"")="",1,0)</f>
        <v>0</v>
      </c>
      <c r="V37" s="7">
        <f>IF(SUMPRODUCT(--(Lookup_Status!$A$2:$A$13=LOWER(TRIM(Raw_Bookings!K37))))=0,"",INDEX(Lookup_Status!$B$2:$B$13,SUMPRODUCT((Lookup_Status!$A$2:$A$13=LOWER(TRIM(Raw_Bookings!K37)))*(ROW(Lookup_Status!$A$2:$A$13)-1))))</f>
        <v/>
      </c>
      <c r="W37" s="7">
        <f>IF(AND(V37&lt;&gt;"",NOT(EXACT(Raw_Bookings!K37,V37))),1,0)</f>
        <v>0</v>
      </c>
      <c r="X37" s="7">
        <f>IF(V37="",1,0)</f>
        <v>1</v>
      </c>
      <c r="Y37" s="7">
        <f>IF(TRIM(Raw_Bookings!L37&amp;"")="",1,0)</f>
        <v>0</v>
      </c>
      <c r="Z37" s="7">
        <f>IF(AND(ISTEXT(Raw_Bookings!L37),Y37=0),1,0)</f>
        <v>0</v>
      </c>
      <c r="AA37" s="7">
        <f>IF(Z37=1,IFERROR(VALUE(SUBSTITUTE(SUBSTITUTE(SUBSTITUTE(SUBSTITUTE(SUBSTITUTE(UPPER(Raw_Bookings!L37),"RS.",""),"₹",""),",","")," ",""),"INR","")),""),"")</f>
        <v/>
      </c>
      <c r="AB37" s="7">
        <f>IF(AND(Z37=1,ISNUMBER(AA37)),1,0)</f>
        <v>0</v>
      </c>
      <c r="AC37" s="7">
        <f>IF(B37=1,0,IF(NOT(ISNUMBER(Raw_Bookings!J37)),1,IF(Raw_Bookings!J37&lt;&gt;COUNTIFS(Work_Passengers!$B$2:$B$1336,Raw_Bookings!A37,Work_Passengers!$C$2:$C$1336,0),1,0)))</f>
        <v>0</v>
      </c>
    </row>
    <row r="38" spans="1:29">
      <c r="A38" s="7">
        <f>Raw_Bookings!A38</f>
        <v>1012042</v>
      </c>
      <c r="B38" s="7">
        <f>IF(COUNTIF(Raw_Bookings!$A$2:A38,Raw_Bookings!A38)&gt;1,1,0)</f>
        <v>0</v>
      </c>
      <c r="C38" s="7" t="str">
        <f>Raw_Bookings!D38&amp;""</f>
        <v>2024-12-07</v>
      </c>
      <c r="D38" s="7" t="str">
        <f>IF(AND(LEN(C38)=10,MID(C38,5,1)="-",MID(C38,8,1)="-"),"ISO",IF(AND(LEN(C38)=10,MID(C38,3,1)="-",MID(C38,6,1)="-"),"DMY","OTHER"))</f>
        <v>ISO</v>
      </c>
      <c r="E38" s="7">
        <f>IF(D38="ISO",VALUE(LEFT(C38,4)),IF(D38="DMY",VALUE(RIGHT(C38,4)),0))</f>
        <v>2024</v>
      </c>
      <c r="F38" s="7">
        <f>IF(D38="ISO",VALUE(MID(C38,6,2)),IF(D38="DMY",VALUE(MID(C38,4,2)),0))</f>
        <v>12</v>
      </c>
      <c r="G38" s="7">
        <f>IF(D38="ISO",VALUE(RIGHT(C38,2)),IF(D38="DMY",VALUE(LEFT(C38,2)),0))</f>
        <v>7</v>
      </c>
      <c r="H38" s="7">
        <f>IF(AND(D38&lt;&gt;"OTHER",F38&gt;=1,F38&lt;=12,G38&gt;=1,G38&lt;=31),IF(AND(MONTH(DATE(E38,F38,G38))=F38,DAY(DATE(E38,F38,G38))=G38),1,0),0)</f>
        <v>1</v>
      </c>
      <c r="I38" s="7">
        <f>IF(H38=1,DATE(E38,F38,G38),"")</f>
        <v>45633.0</v>
      </c>
      <c r="J38" s="7">
        <f>IF(AND(D38="DMY",H38=1),1,0)</f>
        <v>0</v>
      </c>
      <c r="K38" s="7">
        <f>IF(H38=0,1,0)</f>
        <v>0</v>
      </c>
      <c r="L38" s="7">
        <f>IF(TRIM(Raw_Bookings!I38&amp;"")="",1,0)</f>
        <v>0</v>
      </c>
      <c r="M38" s="7">
        <f>IF(L38=1,"",DATEVALUE(LEFT(Raw_Bookings!I38,10))+TIMEVALUE(MID(Raw_Bookings!I38,12,8)))</f>
        <v>45560.4690625</v>
      </c>
      <c r="N38" s="7">
        <f>IF(AND(L38=0,H38=1),IF(INT(M38)&gt;I38,1,0),0)</f>
        <v>0</v>
      </c>
      <c r="O38" s="7" t="str">
        <f>UPPER(TRIM(Raw_Bookings!F38))</f>
        <v>DEL</v>
      </c>
      <c r="P38" s="7" t="str">
        <f>UPPER(TRIM(Raw_Bookings!G38))</f>
        <v>DIB</v>
      </c>
      <c r="Q38" s="7">
        <f>IF(COUNTIF(Lookup_Stations!$A$2:$A$33,O38)&gt;0,1,0)</f>
        <v>1</v>
      </c>
      <c r="R38" s="7">
        <f>IF(COUNTIF(Lookup_Stations!$A$2:$A$33,P38)&gt;0,1,0)</f>
        <v>1</v>
      </c>
      <c r="S38" s="7">
        <f>IF(OR(AND(Q38=1,NOT(EXACT(Raw_Bookings!F38,O38))),AND(R38=1,NOT(EXACT(Raw_Bookings!G38,P38)))),1,0)</f>
        <v>0</v>
      </c>
      <c r="T38" s="7">
        <f>IF(OR(Q38=0,R38=0),1,0)</f>
        <v>0</v>
      </c>
      <c r="U38" s="7">
        <f>IF(TRIM(Raw_Bookings!E38&amp;"")="",1,0)</f>
        <v>1</v>
      </c>
      <c r="V38" s="7" t="str">
        <f>IF(SUMPRODUCT(--(Lookup_Status!$A$2:$A$13=LOWER(TRIM(Raw_Bookings!K38))))=0,"",INDEX(Lookup_Status!$B$2:$B$13,SUMPRODUCT((Lookup_Status!$A$2:$A$13=LOWER(TRIM(Raw_Bookings!K38)))*(ROW(Lookup_Status!$A$2:$A$13)-1))))</f>
        <v>Confirmed</v>
      </c>
      <c r="W38" s="7">
        <f>IF(AND(V38&lt;&gt;"",NOT(EXACT(Raw_Bookings!K38,V38))),1,0)</f>
        <v>0</v>
      </c>
      <c r="X38" s="7">
        <f>IF(V38="",1,0)</f>
        <v>0</v>
      </c>
      <c r="Y38" s="7">
        <f>IF(TRIM(Raw_Bookings!L38&amp;"")="",1,0)</f>
        <v>0</v>
      </c>
      <c r="Z38" s="7">
        <f>IF(AND(ISTEXT(Raw_Bookings!L38),Y38=0),1,0)</f>
        <v>0</v>
      </c>
      <c r="AA38" s="7">
        <f>IF(Z38=1,IFERROR(VALUE(SUBSTITUTE(SUBSTITUTE(SUBSTITUTE(SUBSTITUTE(SUBSTITUTE(UPPER(Raw_Bookings!L38),"RS.",""),"₹",""),",","")," ",""),"INR","")),""),"")</f>
        <v/>
      </c>
      <c r="AB38" s="7">
        <f>IF(AND(Z38=1,ISNUMBER(AA38)),1,0)</f>
        <v>0</v>
      </c>
      <c r="AC38" s="7">
        <f>IF(B38=1,0,IF(NOT(ISNUMBER(Raw_Bookings!J38)),1,IF(Raw_Bookings!J38&lt;&gt;COUNTIFS(Work_Passengers!$B$2:$B$1336,Raw_Bookings!A38,Work_Passengers!$C$2:$C$1336,0),1,0)))</f>
        <v>0</v>
      </c>
    </row>
    <row r="39" spans="1:29">
      <c r="A39" s="7">
        <f>Raw_Bookings!A39</f>
        <v>1012374</v>
      </c>
      <c r="B39" s="7">
        <f>IF(COUNTIF(Raw_Bookings!$A$2:A39,Raw_Bookings!A39)&gt;1,1,0)</f>
        <v>0</v>
      </c>
      <c r="C39" s="7" t="str">
        <f>Raw_Bookings!D39&amp;""</f>
        <v>2024-10-29</v>
      </c>
      <c r="D39" s="7" t="str">
        <f>IF(AND(LEN(C39)=10,MID(C39,5,1)="-",MID(C39,8,1)="-"),"ISO",IF(AND(LEN(C39)=10,MID(C39,3,1)="-",MID(C39,6,1)="-"),"DMY","OTHER"))</f>
        <v>ISO</v>
      </c>
      <c r="E39" s="7">
        <f>IF(D39="ISO",VALUE(LEFT(C39,4)),IF(D39="DMY",VALUE(RIGHT(C39,4)),0))</f>
        <v>2024</v>
      </c>
      <c r="F39" s="7">
        <f>IF(D39="ISO",VALUE(MID(C39,6,2)),IF(D39="DMY",VALUE(MID(C39,4,2)),0))</f>
        <v>10</v>
      </c>
      <c r="G39" s="7">
        <f>IF(D39="ISO",VALUE(RIGHT(C39,2)),IF(D39="DMY",VALUE(LEFT(C39,2)),0))</f>
        <v>29</v>
      </c>
      <c r="H39" s="7">
        <f>IF(AND(D39&lt;&gt;"OTHER",F39&gt;=1,F39&lt;=12,G39&gt;=1,G39&lt;=31),IF(AND(MONTH(DATE(E39,F39,G39))=F39,DAY(DATE(E39,F39,G39))=G39),1,0),0)</f>
        <v>1</v>
      </c>
      <c r="I39" s="7">
        <f>IF(H39=1,DATE(E39,F39,G39),"")</f>
        <v>45594.0</v>
      </c>
      <c r="J39" s="7">
        <f>IF(AND(D39="DMY",H39=1),1,0)</f>
        <v>0</v>
      </c>
      <c r="K39" s="7">
        <f>IF(H39=0,1,0)</f>
        <v>0</v>
      </c>
      <c r="L39" s="7">
        <f>IF(TRIM(Raw_Bookings!I39&amp;"")="",1,0)</f>
        <v>0</v>
      </c>
      <c r="M39" s="7">
        <f>IF(L39=1,"",DATEVALUE(LEFT(Raw_Bookings!I39,10))+TIMEVALUE(MID(Raw_Bookings!I39,12,8)))</f>
        <v>45561.78152777778</v>
      </c>
      <c r="N39" s="7">
        <f>IF(AND(L39=0,H39=1),IF(INT(M39)&gt;I39,1,0),0)</f>
        <v>0</v>
      </c>
      <c r="O39" s="7" t="str">
        <f>UPPER(TRIM(Raw_Bookings!F39))</f>
        <v>IND</v>
      </c>
      <c r="P39" s="7" t="str">
        <f>UPPER(TRIM(Raw_Bookings!G39))</f>
        <v>AMR</v>
      </c>
      <c r="Q39" s="7">
        <f>IF(COUNTIF(Lookup_Stations!$A$2:$A$33,O39)&gt;0,1,0)</f>
        <v>1</v>
      </c>
      <c r="R39" s="7">
        <f>IF(COUNTIF(Lookup_Stations!$A$2:$A$33,P39)&gt;0,1,0)</f>
        <v>1</v>
      </c>
      <c r="S39" s="7">
        <f>IF(OR(AND(Q39=1,NOT(EXACT(Raw_Bookings!F39,O39))),AND(R39=1,NOT(EXACT(Raw_Bookings!G39,P39)))),1,0)</f>
        <v>0</v>
      </c>
      <c r="T39" s="7">
        <f>IF(OR(Q39=0,R39=0),1,0)</f>
        <v>0</v>
      </c>
      <c r="U39" s="7">
        <f>IF(TRIM(Raw_Bookings!E39&amp;"")="",1,0)</f>
        <v>0</v>
      </c>
      <c r="V39" s="7" t="str">
        <f>IF(SUMPRODUCT(--(Lookup_Status!$A$2:$A$13=LOWER(TRIM(Raw_Bookings!K39))))=0,"",INDEX(Lookup_Status!$B$2:$B$13,SUMPRODUCT((Lookup_Status!$A$2:$A$13=LOWER(TRIM(Raw_Bookings!K39)))*(ROW(Lookup_Status!$A$2:$A$13)-1))))</f>
        <v>Cancelled</v>
      </c>
      <c r="W39" s="7">
        <f>IF(AND(V39&lt;&gt;"",NOT(EXACT(Raw_Bookings!K39,V39))),1,0)</f>
        <v>0</v>
      </c>
      <c r="X39" s="7">
        <f>IF(V39="",1,0)</f>
        <v>0</v>
      </c>
      <c r="Y39" s="7">
        <f>IF(TRIM(Raw_Bookings!L39&amp;"")="",1,0)</f>
        <v>0</v>
      </c>
      <c r="Z39" s="7">
        <f>IF(AND(ISTEXT(Raw_Bookings!L39),Y39=0),1,0)</f>
        <v>0</v>
      </c>
      <c r="AA39" s="7">
        <f>IF(Z39=1,IFERROR(VALUE(SUBSTITUTE(SUBSTITUTE(SUBSTITUTE(SUBSTITUTE(SUBSTITUTE(UPPER(Raw_Bookings!L39),"RS.",""),"₹",""),",","")," ",""),"INR","")),""),"")</f>
        <v/>
      </c>
      <c r="AB39" s="7">
        <f>IF(AND(Z39=1,ISNUMBER(AA39)),1,0)</f>
        <v>0</v>
      </c>
      <c r="AC39" s="7">
        <f>IF(B39=1,0,IF(NOT(ISNUMBER(Raw_Bookings!J39)),1,IF(Raw_Bookings!J39&lt;&gt;COUNTIFS(Work_Passengers!$B$2:$B$1336,Raw_Bookings!A39,Work_Passengers!$C$2:$C$1336,0),1,0)))</f>
        <v>0</v>
      </c>
    </row>
    <row r="40" spans="1:29">
      <c r="A40" s="7">
        <f>Raw_Bookings!A40</f>
        <v>1012464</v>
      </c>
      <c r="B40" s="7">
        <f>IF(COUNTIF(Raw_Bookings!$A$2:A40,Raw_Bookings!A40)&gt;1,1,0)</f>
        <v>0</v>
      </c>
      <c r="C40" s="7" t="str">
        <f>Raw_Bookings!D40&amp;""</f>
        <v>2024-09-28</v>
      </c>
      <c r="D40" s="7" t="str">
        <f>IF(AND(LEN(C40)=10,MID(C40,5,1)="-",MID(C40,8,1)="-"),"ISO",IF(AND(LEN(C40)=10,MID(C40,3,1)="-",MID(C40,6,1)="-"),"DMY","OTHER"))</f>
        <v>ISO</v>
      </c>
      <c r="E40" s="7">
        <f>IF(D40="ISO",VALUE(LEFT(C40,4)),IF(D40="DMY",VALUE(RIGHT(C40,4)),0))</f>
        <v>2024</v>
      </c>
      <c r="F40" s="7">
        <f>IF(D40="ISO",VALUE(MID(C40,6,2)),IF(D40="DMY",VALUE(MID(C40,4,2)),0))</f>
        <v>9</v>
      </c>
      <c r="G40" s="7">
        <f>IF(D40="ISO",VALUE(RIGHT(C40,2)),IF(D40="DMY",VALUE(LEFT(C40,2)),0))</f>
        <v>28</v>
      </c>
      <c r="H40" s="7">
        <f>IF(AND(D40&lt;&gt;"OTHER",F40&gt;=1,F40&lt;=12,G40&gt;=1,G40&lt;=31),IF(AND(MONTH(DATE(E40,F40,G40))=F40,DAY(DATE(E40,F40,G40))=G40),1,0),0)</f>
        <v>1</v>
      </c>
      <c r="I40" s="7">
        <f>IF(H40=1,DATE(E40,F40,G40),"")</f>
        <v>45563.0</v>
      </c>
      <c r="J40" s="7">
        <f>IF(AND(D40="DMY",H40=1),1,0)</f>
        <v>0</v>
      </c>
      <c r="K40" s="7">
        <f>IF(H40=0,1,0)</f>
        <v>0</v>
      </c>
      <c r="L40" s="7">
        <f>IF(TRIM(Raw_Bookings!I40&amp;"")="",1,0)</f>
        <v>0</v>
      </c>
      <c r="M40" s="7">
        <f>IF(L40=1,"",DATEVALUE(LEFT(Raw_Bookings!I40,10))+TIMEVALUE(MID(Raw_Bookings!I40,12,8)))</f>
        <v>45562.27722222222</v>
      </c>
      <c r="N40" s="7">
        <f>IF(AND(L40=0,H40=1),IF(INT(M40)&gt;I40,1,0),0)</f>
        <v>0</v>
      </c>
      <c r="O40" s="7" t="str">
        <f>UPPER(TRIM(Raw_Bookings!F40))</f>
        <v>KOL</v>
      </c>
      <c r="P40" s="7" t="str">
        <f>UPPER(TRIM(Raw_Bookings!G40))</f>
        <v>HYD</v>
      </c>
      <c r="Q40" s="7">
        <f>IF(COUNTIF(Lookup_Stations!$A$2:$A$33,O40)&gt;0,1,0)</f>
        <v>1</v>
      </c>
      <c r="R40" s="7">
        <f>IF(COUNTIF(Lookup_Stations!$A$2:$A$33,P40)&gt;0,1,0)</f>
        <v>1</v>
      </c>
      <c r="S40" s="7">
        <f>IF(OR(AND(Q40=1,NOT(EXACT(Raw_Bookings!F40,O40))),AND(R40=1,NOT(EXACT(Raw_Bookings!G40,P40)))),1,0)</f>
        <v>0</v>
      </c>
      <c r="T40" s="7">
        <f>IF(OR(Q40=0,R40=0),1,0)</f>
        <v>0</v>
      </c>
      <c r="U40" s="7">
        <f>IF(TRIM(Raw_Bookings!E40&amp;"")="",1,0)</f>
        <v>0</v>
      </c>
      <c r="V40" s="7" t="str">
        <f>IF(SUMPRODUCT(--(Lookup_Status!$A$2:$A$13=LOWER(TRIM(Raw_Bookings!K40))))=0,"",INDEX(Lookup_Status!$B$2:$B$13,SUMPRODUCT((Lookup_Status!$A$2:$A$13=LOWER(TRIM(Raw_Bookings!K40)))*(ROW(Lookup_Status!$A$2:$A$13)-1))))</f>
        <v>RAC</v>
      </c>
      <c r="W40" s="7">
        <f>IF(AND(V40&lt;&gt;"",NOT(EXACT(Raw_Bookings!K40,V40))),1,0)</f>
        <v>0</v>
      </c>
      <c r="X40" s="7">
        <f>IF(V40="",1,0)</f>
        <v>0</v>
      </c>
      <c r="Y40" s="7">
        <f>IF(TRIM(Raw_Bookings!L40&amp;"")="",1,0)</f>
        <v>0</v>
      </c>
      <c r="Z40" s="7">
        <f>IF(AND(ISTEXT(Raw_Bookings!L40),Y40=0),1,0)</f>
        <v>0</v>
      </c>
      <c r="AA40" s="7">
        <f>IF(Z40=1,IFERROR(VALUE(SUBSTITUTE(SUBSTITUTE(SUBSTITUTE(SUBSTITUTE(SUBSTITUTE(UPPER(Raw_Bookings!L40),"RS.",""),"₹",""),",","")," ",""),"INR","")),""),"")</f>
        <v/>
      </c>
      <c r="AB40" s="7">
        <f>IF(AND(Z40=1,ISNUMBER(AA40)),1,0)</f>
        <v>0</v>
      </c>
      <c r="AC40" s="7">
        <f>IF(B40=1,0,IF(NOT(ISNUMBER(Raw_Bookings!J40)),1,IF(Raw_Bookings!J40&lt;&gt;COUNTIFS(Work_Passengers!$B$2:$B$1336,Raw_Bookings!A40,Work_Passengers!$C$2:$C$1336,0),1,0)))</f>
        <v>0</v>
      </c>
    </row>
    <row r="41" spans="1:29">
      <c r="A41" s="7">
        <f>Raw_Bookings!A41</f>
        <v>1012655</v>
      </c>
      <c r="B41" s="7">
        <f>IF(COUNTIF(Raw_Bookings!$A$2:A41,Raw_Bookings!A41)&gt;1,1,0)</f>
        <v>0</v>
      </c>
      <c r="C41" s="7" t="str">
        <f>Raw_Bookings!D41&amp;""</f>
        <v>2024-10-06</v>
      </c>
      <c r="D41" s="7" t="str">
        <f>IF(AND(LEN(C41)=10,MID(C41,5,1)="-",MID(C41,8,1)="-"),"ISO",IF(AND(LEN(C41)=10,MID(C41,3,1)="-",MID(C41,6,1)="-"),"DMY","OTHER"))</f>
        <v>ISO</v>
      </c>
      <c r="E41" s="7">
        <f>IF(D41="ISO",VALUE(LEFT(C41,4)),IF(D41="DMY",VALUE(RIGHT(C41,4)),0))</f>
        <v>2024</v>
      </c>
      <c r="F41" s="7">
        <f>IF(D41="ISO",VALUE(MID(C41,6,2)),IF(D41="DMY",VALUE(MID(C41,4,2)),0))</f>
        <v>10</v>
      </c>
      <c r="G41" s="7">
        <f>IF(D41="ISO",VALUE(RIGHT(C41,2)),IF(D41="DMY",VALUE(LEFT(C41,2)),0))</f>
        <v>6</v>
      </c>
      <c r="H41" s="7">
        <f>IF(AND(D41&lt;&gt;"OTHER",F41&gt;=1,F41&lt;=12,G41&gt;=1,G41&lt;=31),IF(AND(MONTH(DATE(E41,F41,G41))=F41,DAY(DATE(E41,F41,G41))=G41),1,0),0)</f>
        <v>1</v>
      </c>
      <c r="I41" s="7">
        <f>IF(H41=1,DATE(E41,F41,G41),"")</f>
        <v>45571.0</v>
      </c>
      <c r="J41" s="7">
        <f>IF(AND(D41="DMY",H41=1),1,0)</f>
        <v>0</v>
      </c>
      <c r="K41" s="7">
        <f>IF(H41=0,1,0)</f>
        <v>0</v>
      </c>
      <c r="L41" s="7">
        <f>IF(TRIM(Raw_Bookings!I41&amp;"")="",1,0)</f>
        <v>0</v>
      </c>
      <c r="M41" s="7">
        <f>IF(L41=1,"",DATEVALUE(LEFT(Raw_Bookings!I41,10))+TIMEVALUE(MID(Raw_Bookings!I41,12,8)))</f>
        <v>45562.87472222222</v>
      </c>
      <c r="N41" s="7">
        <f>IF(AND(L41=0,H41=1),IF(INT(M41)&gt;I41,1,0),0)</f>
        <v>0</v>
      </c>
      <c r="O41" s="7" t="str">
        <f>UPPER(TRIM(Raw_Bookings!F41))</f>
        <v>CHE</v>
      </c>
      <c r="P41" s="7" t="str">
        <f>UPPER(TRIM(Raw_Bookings!G41))</f>
        <v>AHM</v>
      </c>
      <c r="Q41" s="7">
        <f>IF(COUNTIF(Lookup_Stations!$A$2:$A$33,O41)&gt;0,1,0)</f>
        <v>1</v>
      </c>
      <c r="R41" s="7">
        <f>IF(COUNTIF(Lookup_Stations!$A$2:$A$33,P41)&gt;0,1,0)</f>
        <v>1</v>
      </c>
      <c r="S41" s="7">
        <f>IF(OR(AND(Q41=1,NOT(EXACT(Raw_Bookings!F41,O41))),AND(R41=1,NOT(EXACT(Raw_Bookings!G41,P41)))),1,0)</f>
        <v>0</v>
      </c>
      <c r="T41" s="7">
        <f>IF(OR(Q41=0,R41=0),1,0)</f>
        <v>0</v>
      </c>
      <c r="U41" s="7">
        <f>IF(TRIM(Raw_Bookings!E41&amp;"")="",1,0)</f>
        <v>0</v>
      </c>
      <c r="V41" s="7" t="str">
        <f>IF(SUMPRODUCT(--(Lookup_Status!$A$2:$A$13=LOWER(TRIM(Raw_Bookings!K41))))=0,"",INDEX(Lookup_Status!$B$2:$B$13,SUMPRODUCT((Lookup_Status!$A$2:$A$13=LOWER(TRIM(Raw_Bookings!K41)))*(ROW(Lookup_Status!$A$2:$A$13)-1))))</f>
        <v>Confirmed</v>
      </c>
      <c r="W41" s="7">
        <f>IF(AND(V41&lt;&gt;"",NOT(EXACT(Raw_Bookings!K41,V41))),1,0)</f>
        <v>0</v>
      </c>
      <c r="X41" s="7">
        <f>IF(V41="",1,0)</f>
        <v>0</v>
      </c>
      <c r="Y41" s="7">
        <f>IF(TRIM(Raw_Bookings!L41&amp;"")="",1,0)</f>
        <v>0</v>
      </c>
      <c r="Z41" s="7">
        <f>IF(AND(ISTEXT(Raw_Bookings!L41),Y41=0),1,0)</f>
        <v>0</v>
      </c>
      <c r="AA41" s="7">
        <f>IF(Z41=1,IFERROR(VALUE(SUBSTITUTE(SUBSTITUTE(SUBSTITUTE(SUBSTITUTE(SUBSTITUTE(UPPER(Raw_Bookings!L41),"RS.",""),"₹",""),",","")," ",""),"INR","")),""),"")</f>
        <v/>
      </c>
      <c r="AB41" s="7">
        <f>IF(AND(Z41=1,ISNUMBER(AA41)),1,0)</f>
        <v>0</v>
      </c>
      <c r="AC41" s="7">
        <f>IF(B41=1,0,IF(NOT(ISNUMBER(Raw_Bookings!J41)),1,IF(Raw_Bookings!J41&lt;&gt;COUNTIFS(Work_Passengers!$B$2:$B$1336,Raw_Bookings!A41,Work_Passengers!$C$2:$C$1336,0),1,0)))</f>
        <v>0</v>
      </c>
    </row>
    <row r="42" spans="1:29">
      <c r="A42" s="7">
        <f>Raw_Bookings!A42</f>
        <v>1012794</v>
      </c>
      <c r="B42" s="7">
        <f>IF(COUNTIF(Raw_Bookings!$A$2:A42,Raw_Bookings!A42)&gt;1,1,0)</f>
        <v>0</v>
      </c>
      <c r="C42" s="7" t="str">
        <f>Raw_Bookings!D42&amp;""</f>
        <v>2024-10-13</v>
      </c>
      <c r="D42" s="7" t="str">
        <f>IF(AND(LEN(C42)=10,MID(C42,5,1)="-",MID(C42,8,1)="-"),"ISO",IF(AND(LEN(C42)=10,MID(C42,3,1)="-",MID(C42,6,1)="-"),"DMY","OTHER"))</f>
        <v>ISO</v>
      </c>
      <c r="E42" s="7">
        <f>IF(D42="ISO",VALUE(LEFT(C42,4)),IF(D42="DMY",VALUE(RIGHT(C42,4)),0))</f>
        <v>2024</v>
      </c>
      <c r="F42" s="7">
        <f>IF(D42="ISO",VALUE(MID(C42,6,2)),IF(D42="DMY",VALUE(MID(C42,4,2)),0))</f>
        <v>10</v>
      </c>
      <c r="G42" s="7">
        <f>IF(D42="ISO",VALUE(RIGHT(C42,2)),IF(D42="DMY",VALUE(LEFT(C42,2)),0))</f>
        <v>13</v>
      </c>
      <c r="H42" s="7">
        <f>IF(AND(D42&lt;&gt;"OTHER",F42&gt;=1,F42&lt;=12,G42&gt;=1,G42&lt;=31),IF(AND(MONTH(DATE(E42,F42,G42))=F42,DAY(DATE(E42,F42,G42))=G42),1,0),0)</f>
        <v>1</v>
      </c>
      <c r="I42" s="7">
        <f>IF(H42=1,DATE(E42,F42,G42),"")</f>
        <v>45578.0</v>
      </c>
      <c r="J42" s="7">
        <f>IF(AND(D42="DMY",H42=1),1,0)</f>
        <v>0</v>
      </c>
      <c r="K42" s="7">
        <f>IF(H42=0,1,0)</f>
        <v>0</v>
      </c>
      <c r="L42" s="7">
        <f>IF(TRIM(Raw_Bookings!I42&amp;"")="",1,0)</f>
        <v>0</v>
      </c>
      <c r="M42" s="7">
        <f>IF(L42=1,"",DATEVALUE(LEFT(Raw_Bookings!I42,10))+TIMEVALUE(MID(Raw_Bookings!I42,12,8)))</f>
        <v>45563.580196759256</v>
      </c>
      <c r="N42" s="7">
        <f>IF(AND(L42=0,H42=1),IF(INT(M42)&gt;I42,1,0),0)</f>
        <v>0</v>
      </c>
      <c r="O42" s="7" t="str">
        <f>UPPER(TRIM(Raw_Bookings!F42))</f>
        <v>RAI</v>
      </c>
      <c r="P42" s="7" t="str">
        <f>UPPER(TRIM(Raw_Bookings!G42))</f>
        <v>JAI</v>
      </c>
      <c r="Q42" s="7">
        <f>IF(COUNTIF(Lookup_Stations!$A$2:$A$33,O42)&gt;0,1,0)</f>
        <v>1</v>
      </c>
      <c r="R42" s="7">
        <f>IF(COUNTIF(Lookup_Stations!$A$2:$A$33,P42)&gt;0,1,0)</f>
        <v>1</v>
      </c>
      <c r="S42" s="7">
        <f>IF(OR(AND(Q42=1,NOT(EXACT(Raw_Bookings!F42,O42))),AND(R42=1,NOT(EXACT(Raw_Bookings!G42,P42)))),1,0)</f>
        <v>0</v>
      </c>
      <c r="T42" s="7">
        <f>IF(OR(Q42=0,R42=0),1,0)</f>
        <v>0</v>
      </c>
      <c r="U42" s="7">
        <f>IF(TRIM(Raw_Bookings!E42&amp;"")="",1,0)</f>
        <v>0</v>
      </c>
      <c r="V42" s="7" t="str">
        <f>IF(SUMPRODUCT(--(Lookup_Status!$A$2:$A$13=LOWER(TRIM(Raw_Bookings!K42))))=0,"",INDEX(Lookup_Status!$B$2:$B$13,SUMPRODUCT((Lookup_Status!$A$2:$A$13=LOWER(TRIM(Raw_Bookings!K42)))*(ROW(Lookup_Status!$A$2:$A$13)-1))))</f>
        <v>Confirmed</v>
      </c>
      <c r="W42" s="7">
        <f>IF(AND(V42&lt;&gt;"",NOT(EXACT(Raw_Bookings!K42,V42))),1,0)</f>
        <v>0</v>
      </c>
      <c r="X42" s="7">
        <f>IF(V42="",1,0)</f>
        <v>0</v>
      </c>
      <c r="Y42" s="7">
        <f>IF(TRIM(Raw_Bookings!L42&amp;"")="",1,0)</f>
        <v>0</v>
      </c>
      <c r="Z42" s="7">
        <f>IF(AND(ISTEXT(Raw_Bookings!L42),Y42=0),1,0)</f>
        <v>0</v>
      </c>
      <c r="AA42" s="7">
        <f>IF(Z42=1,IFERROR(VALUE(SUBSTITUTE(SUBSTITUTE(SUBSTITUTE(SUBSTITUTE(SUBSTITUTE(UPPER(Raw_Bookings!L42),"RS.",""),"₹",""),",","")," ",""),"INR","")),""),"")</f>
        <v/>
      </c>
      <c r="AB42" s="7">
        <f>IF(AND(Z42=1,ISNUMBER(AA42)),1,0)</f>
        <v>0</v>
      </c>
      <c r="AC42" s="7">
        <f>IF(B42=1,0,IF(NOT(ISNUMBER(Raw_Bookings!J42)),1,IF(Raw_Bookings!J42&lt;&gt;COUNTIFS(Work_Passengers!$B$2:$B$1336,Raw_Bookings!A42,Work_Passengers!$C$2:$C$1336,0),1,0)))</f>
        <v>0</v>
      </c>
    </row>
    <row r="43" spans="1:29">
      <c r="A43" s="7">
        <f>Raw_Bookings!A43</f>
        <v>1013233</v>
      </c>
      <c r="B43" s="7">
        <f>IF(COUNTIF(Raw_Bookings!$A$2:A43,Raw_Bookings!A43)&gt;1,1,0)</f>
        <v>0</v>
      </c>
      <c r="C43" s="7" t="str">
        <f>Raw_Bookings!D43&amp;""</f>
        <v>2024-10-15</v>
      </c>
      <c r="D43" s="7" t="str">
        <f>IF(AND(LEN(C43)=10,MID(C43,5,1)="-",MID(C43,8,1)="-"),"ISO",IF(AND(LEN(C43)=10,MID(C43,3,1)="-",MID(C43,6,1)="-"),"DMY","OTHER"))</f>
        <v>ISO</v>
      </c>
      <c r="E43" s="7">
        <f>IF(D43="ISO",VALUE(LEFT(C43,4)),IF(D43="DMY",VALUE(RIGHT(C43,4)),0))</f>
        <v>2024</v>
      </c>
      <c r="F43" s="7">
        <f>IF(D43="ISO",VALUE(MID(C43,6,2)),IF(D43="DMY",VALUE(MID(C43,4,2)),0))</f>
        <v>10</v>
      </c>
      <c r="G43" s="7">
        <f>IF(D43="ISO",VALUE(RIGHT(C43,2)),IF(D43="DMY",VALUE(LEFT(C43,2)),0))</f>
        <v>15</v>
      </c>
      <c r="H43" s="7">
        <f>IF(AND(D43&lt;&gt;"OTHER",F43&gt;=1,F43&lt;=12,G43&gt;=1,G43&lt;=31),IF(AND(MONTH(DATE(E43,F43,G43))=F43,DAY(DATE(E43,F43,G43))=G43),1,0),0)</f>
        <v>1</v>
      </c>
      <c r="I43" s="7">
        <f>IF(H43=1,DATE(E43,F43,G43),"")</f>
        <v>45580.0</v>
      </c>
      <c r="J43" s="7">
        <f>IF(AND(D43="DMY",H43=1),1,0)</f>
        <v>0</v>
      </c>
      <c r="K43" s="7">
        <f>IF(H43=0,1,0)</f>
        <v>0</v>
      </c>
      <c r="L43" s="7">
        <f>IF(TRIM(Raw_Bookings!I43&amp;"")="",1,0)</f>
        <v>0</v>
      </c>
      <c r="M43" s="7">
        <f>IF(L43=1,"",DATEVALUE(LEFT(Raw_Bookings!I43,10))+TIMEVALUE(MID(Raw_Bookings!I43,12,8)))</f>
        <v>45565.41900462963</v>
      </c>
      <c r="N43" s="7">
        <f>IF(AND(L43=0,H43=1),IF(INT(M43)&gt;I43,1,0),0)</f>
        <v>0</v>
      </c>
      <c r="O43" s="7" t="str">
        <f>UPPER(TRIM(Raw_Bookings!F43))</f>
        <v>MUM</v>
      </c>
      <c r="P43" s="7" t="str">
        <f>UPPER(TRIM(Raw_Bookings!G43))</f>
        <v>BEN</v>
      </c>
      <c r="Q43" s="7">
        <f>IF(COUNTIF(Lookup_Stations!$A$2:$A$33,O43)&gt;0,1,0)</f>
        <v>1</v>
      </c>
      <c r="R43" s="7">
        <f>IF(COUNTIF(Lookup_Stations!$A$2:$A$33,P43)&gt;0,1,0)</f>
        <v>1</v>
      </c>
      <c r="S43" s="7">
        <f>IF(OR(AND(Q43=1,NOT(EXACT(Raw_Bookings!F43,O43))),AND(R43=1,NOT(EXACT(Raw_Bookings!G43,P43)))),1,0)</f>
        <v>0</v>
      </c>
      <c r="T43" s="7">
        <f>IF(OR(Q43=0,R43=0),1,0)</f>
        <v>0</v>
      </c>
      <c r="U43" s="7">
        <f>IF(TRIM(Raw_Bookings!E43&amp;"")="",1,0)</f>
        <v>1</v>
      </c>
      <c r="V43" s="7" t="str">
        <f>IF(SUMPRODUCT(--(Lookup_Status!$A$2:$A$13=LOWER(TRIM(Raw_Bookings!K43))))=0,"",INDEX(Lookup_Status!$B$2:$B$13,SUMPRODUCT((Lookup_Status!$A$2:$A$13=LOWER(TRIM(Raw_Bookings!K43)))*(ROW(Lookup_Status!$A$2:$A$13)-1))))</f>
        <v>Cancelled</v>
      </c>
      <c r="W43" s="7">
        <f>IF(AND(V43&lt;&gt;"",NOT(EXACT(Raw_Bookings!K43,V43))),1,0)</f>
        <v>0</v>
      </c>
      <c r="X43" s="7">
        <f>IF(V43="",1,0)</f>
        <v>0</v>
      </c>
      <c r="Y43" s="7">
        <f>IF(TRIM(Raw_Bookings!L43&amp;"")="",1,0)</f>
        <v>0</v>
      </c>
      <c r="Z43" s="7">
        <f>IF(AND(ISTEXT(Raw_Bookings!L43),Y43=0),1,0)</f>
        <v>0</v>
      </c>
      <c r="AA43" s="7">
        <f>IF(Z43=1,IFERROR(VALUE(SUBSTITUTE(SUBSTITUTE(SUBSTITUTE(SUBSTITUTE(SUBSTITUTE(UPPER(Raw_Bookings!L43),"RS.",""),"₹",""),",","")," ",""),"INR","")),""),"")</f>
        <v/>
      </c>
      <c r="AB43" s="7">
        <f>IF(AND(Z43=1,ISNUMBER(AA43)),1,0)</f>
        <v>0</v>
      </c>
      <c r="AC43" s="7">
        <f>IF(B43=1,0,IF(NOT(ISNUMBER(Raw_Bookings!J43)),1,IF(Raw_Bookings!J43&lt;&gt;COUNTIFS(Work_Passengers!$B$2:$B$1336,Raw_Bookings!A43,Work_Passengers!$C$2:$C$1336,0),1,0)))</f>
        <v>0</v>
      </c>
    </row>
    <row r="44" spans="1:29">
      <c r="A44" s="7">
        <f>Raw_Bookings!A44</f>
        <v>1013270</v>
      </c>
      <c r="B44" s="7">
        <f>IF(COUNTIF(Raw_Bookings!$A$2:A44,Raw_Bookings!A44)&gt;1,1,0)</f>
        <v>0</v>
      </c>
      <c r="C44" s="7" t="str">
        <f>Raw_Bookings!D44&amp;""</f>
        <v>2024-10-23</v>
      </c>
      <c r="D44" s="7" t="str">
        <f>IF(AND(LEN(C44)=10,MID(C44,5,1)="-",MID(C44,8,1)="-"),"ISO",IF(AND(LEN(C44)=10,MID(C44,3,1)="-",MID(C44,6,1)="-"),"DMY","OTHER"))</f>
        <v>ISO</v>
      </c>
      <c r="E44" s="7">
        <f>IF(D44="ISO",VALUE(LEFT(C44,4)),IF(D44="DMY",VALUE(RIGHT(C44,4)),0))</f>
        <v>2024</v>
      </c>
      <c r="F44" s="7">
        <f>IF(D44="ISO",VALUE(MID(C44,6,2)),IF(D44="DMY",VALUE(MID(C44,4,2)),0))</f>
        <v>10</v>
      </c>
      <c r="G44" s="7">
        <f>IF(D44="ISO",VALUE(RIGHT(C44,2)),IF(D44="DMY",VALUE(LEFT(C44,2)),0))</f>
        <v>23</v>
      </c>
      <c r="H44" s="7">
        <f>IF(AND(D44&lt;&gt;"OTHER",F44&gt;=1,F44&lt;=12,G44&gt;=1,G44&lt;=31),IF(AND(MONTH(DATE(E44,F44,G44))=F44,DAY(DATE(E44,F44,G44))=G44),1,0),0)</f>
        <v>1</v>
      </c>
      <c r="I44" s="7">
        <f>IF(H44=1,DATE(E44,F44,G44),"")</f>
        <v>45588.0</v>
      </c>
      <c r="J44" s="7">
        <f>IF(AND(D44="DMY",H44=1),1,0)</f>
        <v>0</v>
      </c>
      <c r="K44" s="7">
        <f>IF(H44=0,1,0)</f>
        <v>0</v>
      </c>
      <c r="L44" s="7">
        <f>IF(TRIM(Raw_Bookings!I44&amp;"")="",1,0)</f>
        <v>0</v>
      </c>
      <c r="M44" s="7">
        <f>IF(L44=1,"",DATEVALUE(LEFT(Raw_Bookings!I44,10))+TIMEVALUE(MID(Raw_Bookings!I44,12,8)))</f>
        <v>45565.54722222222</v>
      </c>
      <c r="N44" s="7">
        <f>IF(AND(L44=0,H44=1),IF(INT(M44)&gt;I44,1,0),0)</f>
        <v>0</v>
      </c>
      <c r="O44" s="7" t="str">
        <f>UPPER(TRIM(Raw_Bookings!F44))</f>
        <v>KOL</v>
      </c>
      <c r="P44" s="7" t="str">
        <f>UPPER(TRIM(Raw_Bookings!G44))</f>
        <v>HYD</v>
      </c>
      <c r="Q44" s="7">
        <f>IF(COUNTIF(Lookup_Stations!$A$2:$A$33,O44)&gt;0,1,0)</f>
        <v>1</v>
      </c>
      <c r="R44" s="7">
        <f>IF(COUNTIF(Lookup_Stations!$A$2:$A$33,P44)&gt;0,1,0)</f>
        <v>1</v>
      </c>
      <c r="S44" s="7">
        <f>IF(OR(AND(Q44=1,NOT(EXACT(Raw_Bookings!F44,O44))),AND(R44=1,NOT(EXACT(Raw_Bookings!G44,P44)))),1,0)</f>
        <v>0</v>
      </c>
      <c r="T44" s="7">
        <f>IF(OR(Q44=0,R44=0),1,0)</f>
        <v>0</v>
      </c>
      <c r="U44" s="7">
        <f>IF(TRIM(Raw_Bookings!E44&amp;"")="",1,0)</f>
        <v>0</v>
      </c>
      <c r="V44" s="7" t="str">
        <f>IF(SUMPRODUCT(--(Lookup_Status!$A$2:$A$13=LOWER(TRIM(Raw_Bookings!K44))))=0,"",INDEX(Lookup_Status!$B$2:$B$13,SUMPRODUCT((Lookup_Status!$A$2:$A$13=LOWER(TRIM(Raw_Bookings!K44)))*(ROW(Lookup_Status!$A$2:$A$13)-1))))</f>
        <v>Cancelled</v>
      </c>
      <c r="W44" s="7">
        <f>IF(AND(V44&lt;&gt;"",NOT(EXACT(Raw_Bookings!K44,V44))),1,0)</f>
        <v>0</v>
      </c>
      <c r="X44" s="7">
        <f>IF(V44="",1,0)</f>
        <v>0</v>
      </c>
      <c r="Y44" s="7">
        <f>IF(TRIM(Raw_Bookings!L44&amp;"")="",1,0)</f>
        <v>0</v>
      </c>
      <c r="Z44" s="7">
        <f>IF(AND(ISTEXT(Raw_Bookings!L44),Y44=0),1,0)</f>
        <v>0</v>
      </c>
      <c r="AA44" s="7">
        <f>IF(Z44=1,IFERROR(VALUE(SUBSTITUTE(SUBSTITUTE(SUBSTITUTE(SUBSTITUTE(SUBSTITUTE(UPPER(Raw_Bookings!L44),"RS.",""),"₹",""),",","")," ",""),"INR","")),""),"")</f>
        <v/>
      </c>
      <c r="AB44" s="7">
        <f>IF(AND(Z44=1,ISNUMBER(AA44)),1,0)</f>
        <v>0</v>
      </c>
      <c r="AC44" s="7">
        <f>IF(B44=1,0,IF(NOT(ISNUMBER(Raw_Bookings!J44)),1,IF(Raw_Bookings!J44&lt;&gt;COUNTIFS(Work_Passengers!$B$2:$B$1336,Raw_Bookings!A44,Work_Passengers!$C$2:$C$1336,0),1,0)))</f>
        <v>0</v>
      </c>
    </row>
    <row r="45" spans="1:29">
      <c r="A45" s="7">
        <f>Raw_Bookings!A45</f>
        <v>1013494</v>
      </c>
      <c r="B45" s="7">
        <f>IF(COUNTIF(Raw_Bookings!$A$2:A45,Raw_Bookings!A45)&gt;1,1,0)</f>
        <v>0</v>
      </c>
      <c r="C45" s="7" t="str">
        <f>Raw_Bookings!D45&amp;""</f>
        <v>2024-11-10</v>
      </c>
      <c r="D45" s="7" t="str">
        <f>IF(AND(LEN(C45)=10,MID(C45,5,1)="-",MID(C45,8,1)="-"),"ISO",IF(AND(LEN(C45)=10,MID(C45,3,1)="-",MID(C45,6,1)="-"),"DMY","OTHER"))</f>
        <v>ISO</v>
      </c>
      <c r="E45" s="7">
        <f>IF(D45="ISO",VALUE(LEFT(C45,4)),IF(D45="DMY",VALUE(RIGHT(C45,4)),0))</f>
        <v>2024</v>
      </c>
      <c r="F45" s="7">
        <f>IF(D45="ISO",VALUE(MID(C45,6,2)),IF(D45="DMY",VALUE(MID(C45,4,2)),0))</f>
        <v>11</v>
      </c>
      <c r="G45" s="7">
        <f>IF(D45="ISO",VALUE(RIGHT(C45,2)),IF(D45="DMY",VALUE(LEFT(C45,2)),0))</f>
        <v>10</v>
      </c>
      <c r="H45" s="7">
        <f>IF(AND(D45&lt;&gt;"OTHER",F45&gt;=1,F45&lt;=12,G45&gt;=1,G45&lt;=31),IF(AND(MONTH(DATE(E45,F45,G45))=F45,DAY(DATE(E45,F45,G45))=G45),1,0),0)</f>
        <v>1</v>
      </c>
      <c r="I45" s="7">
        <f>IF(H45=1,DATE(E45,F45,G45),"")</f>
        <v>45606.0</v>
      </c>
      <c r="J45" s="7">
        <f>IF(AND(D45="DMY",H45=1),1,0)</f>
        <v>0</v>
      </c>
      <c r="K45" s="7">
        <f>IF(H45=0,1,0)</f>
        <v>0</v>
      </c>
      <c r="L45" s="7">
        <f>IF(TRIM(Raw_Bookings!I45&amp;"")="",1,0)</f>
        <v>0</v>
      </c>
      <c r="M45" s="7">
        <f>IF(L45=1,"",DATEVALUE(LEFT(Raw_Bookings!I45,10))+TIMEVALUE(MID(Raw_Bookings!I45,12,8)))</f>
        <v>45566.44048611111</v>
      </c>
      <c r="N45" s="7">
        <f>IF(AND(L45=0,H45=1),IF(INT(M45)&gt;I45,1,0),0)</f>
        <v>0</v>
      </c>
      <c r="O45" s="7" t="str">
        <f>UPPER(TRIM(Raw_Bookings!F45))</f>
        <v>AMR</v>
      </c>
      <c r="P45" s="7" t="str">
        <f>UPPER(TRIM(Raw_Bookings!G45))</f>
        <v>IND</v>
      </c>
      <c r="Q45" s="7">
        <f>IF(COUNTIF(Lookup_Stations!$A$2:$A$33,O45)&gt;0,1,0)</f>
        <v>1</v>
      </c>
      <c r="R45" s="7">
        <f>IF(COUNTIF(Lookup_Stations!$A$2:$A$33,P45)&gt;0,1,0)</f>
        <v>1</v>
      </c>
      <c r="S45" s="7">
        <f>IF(OR(AND(Q45=1,NOT(EXACT(Raw_Bookings!F45,O45))),AND(R45=1,NOT(EXACT(Raw_Bookings!G45,P45)))),1,0)</f>
        <v>0</v>
      </c>
      <c r="T45" s="7">
        <f>IF(OR(Q45=0,R45=0),1,0)</f>
        <v>0</v>
      </c>
      <c r="U45" s="7">
        <f>IF(TRIM(Raw_Bookings!E45&amp;"")="",1,0)</f>
        <v>0</v>
      </c>
      <c r="V45" s="7" t="str">
        <f>IF(SUMPRODUCT(--(Lookup_Status!$A$2:$A$13=LOWER(TRIM(Raw_Bookings!K45))))=0,"",INDEX(Lookup_Status!$B$2:$B$13,SUMPRODUCT((Lookup_Status!$A$2:$A$13=LOWER(TRIM(Raw_Bookings!K45)))*(ROW(Lookup_Status!$A$2:$A$13)-1))))</f>
        <v>Confirmed</v>
      </c>
      <c r="W45" s="7">
        <f>IF(AND(V45&lt;&gt;"",NOT(EXACT(Raw_Bookings!K45,V45))),1,0)</f>
        <v>0</v>
      </c>
      <c r="X45" s="7">
        <f>IF(V45="",1,0)</f>
        <v>0</v>
      </c>
      <c r="Y45" s="7">
        <f>IF(TRIM(Raw_Bookings!L45&amp;"")="",1,0)</f>
        <v>0</v>
      </c>
      <c r="Z45" s="7">
        <f>IF(AND(ISTEXT(Raw_Bookings!L45),Y45=0),1,0)</f>
        <v>0</v>
      </c>
      <c r="AA45" s="7">
        <f>IF(Z45=1,IFERROR(VALUE(SUBSTITUTE(SUBSTITUTE(SUBSTITUTE(SUBSTITUTE(SUBSTITUTE(UPPER(Raw_Bookings!L45),"RS.",""),"₹",""),",","")," ",""),"INR","")),""),"")</f>
        <v/>
      </c>
      <c r="AB45" s="7">
        <f>IF(AND(Z45=1,ISNUMBER(AA45)),1,0)</f>
        <v>0</v>
      </c>
      <c r="AC45" s="7">
        <f>IF(B45=1,0,IF(NOT(ISNUMBER(Raw_Bookings!J45)),1,IF(Raw_Bookings!J45&lt;&gt;COUNTIFS(Work_Passengers!$B$2:$B$1336,Raw_Bookings!A45,Work_Passengers!$C$2:$C$1336,0),1,0)))</f>
        <v>0</v>
      </c>
    </row>
    <row r="46" spans="1:29">
      <c r="A46" s="7">
        <f>Raw_Bookings!A46</f>
        <v>1013497</v>
      </c>
      <c r="B46" s="7">
        <f>IF(COUNTIF(Raw_Bookings!$A$2:A46,Raw_Bookings!A46)&gt;1,1,0)</f>
        <v>0</v>
      </c>
      <c r="C46" s="7" t="str">
        <f>Raw_Bookings!D46&amp;""</f>
        <v>2024-11-12</v>
      </c>
      <c r="D46" s="7" t="str">
        <f>IF(AND(LEN(C46)=10,MID(C46,5,1)="-",MID(C46,8,1)="-"),"ISO",IF(AND(LEN(C46)=10,MID(C46,3,1)="-",MID(C46,6,1)="-"),"DMY","OTHER"))</f>
        <v>ISO</v>
      </c>
      <c r="E46" s="7">
        <f>IF(D46="ISO",VALUE(LEFT(C46,4)),IF(D46="DMY",VALUE(RIGHT(C46,4)),0))</f>
        <v>2024</v>
      </c>
      <c r="F46" s="7">
        <f>IF(D46="ISO",VALUE(MID(C46,6,2)),IF(D46="DMY",VALUE(MID(C46,4,2)),0))</f>
        <v>11</v>
      </c>
      <c r="G46" s="7">
        <f>IF(D46="ISO",VALUE(RIGHT(C46,2)),IF(D46="DMY",VALUE(LEFT(C46,2)),0))</f>
        <v>12</v>
      </c>
      <c r="H46" s="7">
        <f>IF(AND(D46&lt;&gt;"OTHER",F46&gt;=1,F46&lt;=12,G46&gt;=1,G46&lt;=31),IF(AND(MONTH(DATE(E46,F46,G46))=F46,DAY(DATE(E46,F46,G46))=G46),1,0),0)</f>
        <v>1</v>
      </c>
      <c r="I46" s="7">
        <f>IF(H46=1,DATE(E46,F46,G46),"")</f>
        <v>45608.0</v>
      </c>
      <c r="J46" s="7">
        <f>IF(AND(D46="DMY",H46=1),1,0)</f>
        <v>0</v>
      </c>
      <c r="K46" s="7">
        <f>IF(H46=0,1,0)</f>
        <v>0</v>
      </c>
      <c r="L46" s="7">
        <f>IF(TRIM(Raw_Bookings!I46&amp;"")="",1,0)</f>
        <v>0</v>
      </c>
      <c r="M46" s="7">
        <f>IF(L46=1,"",DATEVALUE(LEFT(Raw_Bookings!I46,10))+TIMEVALUE(MID(Raw_Bookings!I46,12,8)))</f>
        <v>45566.44924768519</v>
      </c>
      <c r="N46" s="7">
        <f>IF(AND(L46=0,H46=1),IF(INT(M46)&gt;I46,1,0),0)</f>
        <v>0</v>
      </c>
      <c r="O46" s="7" t="str">
        <f>UPPER(TRIM(Raw_Bookings!F46))</f>
        <v>AHM</v>
      </c>
      <c r="P46" s="7" t="str">
        <f>UPPER(TRIM(Raw_Bookings!G46))</f>
        <v>CHE</v>
      </c>
      <c r="Q46" s="7">
        <f>IF(COUNTIF(Lookup_Stations!$A$2:$A$33,O46)&gt;0,1,0)</f>
        <v>1</v>
      </c>
      <c r="R46" s="7">
        <f>IF(COUNTIF(Lookup_Stations!$A$2:$A$33,P46)&gt;0,1,0)</f>
        <v>1</v>
      </c>
      <c r="S46" s="7">
        <f>IF(OR(AND(Q46=1,NOT(EXACT(Raw_Bookings!F46,O46))),AND(R46=1,NOT(EXACT(Raw_Bookings!G46,P46)))),1,0)</f>
        <v>0</v>
      </c>
      <c r="T46" s="7">
        <f>IF(OR(Q46=0,R46=0),1,0)</f>
        <v>0</v>
      </c>
      <c r="U46" s="7">
        <f>IF(TRIM(Raw_Bookings!E46&amp;"")="",1,0)</f>
        <v>0</v>
      </c>
      <c r="V46" s="7" t="str">
        <f>IF(SUMPRODUCT(--(Lookup_Status!$A$2:$A$13=LOWER(TRIM(Raw_Bookings!K46))))=0,"",INDEX(Lookup_Status!$B$2:$B$13,SUMPRODUCT((Lookup_Status!$A$2:$A$13=LOWER(TRIM(Raw_Bookings!K46)))*(ROW(Lookup_Status!$A$2:$A$13)-1))))</f>
        <v>Mixed</v>
      </c>
      <c r="W46" s="7">
        <f>IF(AND(V46&lt;&gt;"",NOT(EXACT(Raw_Bookings!K46,V46))),1,0)</f>
        <v>0</v>
      </c>
      <c r="X46" s="7">
        <f>IF(V46="",1,0)</f>
        <v>0</v>
      </c>
      <c r="Y46" s="7">
        <f>IF(TRIM(Raw_Bookings!L46&amp;"")="",1,0)</f>
        <v>0</v>
      </c>
      <c r="Z46" s="7">
        <f>IF(AND(ISTEXT(Raw_Bookings!L46),Y46=0),1,0)</f>
        <v>0</v>
      </c>
      <c r="AA46" s="7">
        <f>IF(Z46=1,IFERROR(VALUE(SUBSTITUTE(SUBSTITUTE(SUBSTITUTE(SUBSTITUTE(SUBSTITUTE(UPPER(Raw_Bookings!L46),"RS.",""),"₹",""),",","")," ",""),"INR","")),""),"")</f>
        <v/>
      </c>
      <c r="AB46" s="7">
        <f>IF(AND(Z46=1,ISNUMBER(AA46)),1,0)</f>
        <v>0</v>
      </c>
      <c r="AC46" s="7">
        <f>IF(B46=1,0,IF(NOT(ISNUMBER(Raw_Bookings!J46)),1,IF(Raw_Bookings!J46&lt;&gt;COUNTIFS(Work_Passengers!$B$2:$B$1336,Raw_Bookings!A46,Work_Passengers!$C$2:$C$1336,0),1,0)))</f>
        <v>0</v>
      </c>
    </row>
    <row r="47" spans="1:29">
      <c r="A47" s="7">
        <f>Raw_Bookings!A47</f>
        <v>1013731</v>
      </c>
      <c r="B47" s="7">
        <f>IF(COUNTIF(Raw_Bookings!$A$2:A47,Raw_Bookings!A47)&gt;1,1,0)</f>
        <v>0</v>
      </c>
      <c r="C47" s="7" t="str">
        <f>Raw_Bookings!D47&amp;""</f>
        <v>2024-11-02</v>
      </c>
      <c r="D47" s="7" t="str">
        <f>IF(AND(LEN(C47)=10,MID(C47,5,1)="-",MID(C47,8,1)="-"),"ISO",IF(AND(LEN(C47)=10,MID(C47,3,1)="-",MID(C47,6,1)="-"),"DMY","OTHER"))</f>
        <v>ISO</v>
      </c>
      <c r="E47" s="7">
        <f>IF(D47="ISO",VALUE(LEFT(C47,4)),IF(D47="DMY",VALUE(RIGHT(C47,4)),0))</f>
        <v>2024</v>
      </c>
      <c r="F47" s="7">
        <f>IF(D47="ISO",VALUE(MID(C47,6,2)),IF(D47="DMY",VALUE(MID(C47,4,2)),0))</f>
        <v>11</v>
      </c>
      <c r="G47" s="7">
        <f>IF(D47="ISO",VALUE(RIGHT(C47,2)),IF(D47="DMY",VALUE(LEFT(C47,2)),0))</f>
        <v>2</v>
      </c>
      <c r="H47" s="7">
        <f>IF(AND(D47&lt;&gt;"OTHER",F47&gt;=1,F47&lt;=12,G47&gt;=1,G47&lt;=31),IF(AND(MONTH(DATE(E47,F47,G47))=F47,DAY(DATE(E47,F47,G47))=G47),1,0),0)</f>
        <v>1</v>
      </c>
      <c r="I47" s="7">
        <f>IF(H47=1,DATE(E47,F47,G47),"")</f>
        <v>45598.0</v>
      </c>
      <c r="J47" s="7">
        <f>IF(AND(D47="DMY",H47=1),1,0)</f>
        <v>0</v>
      </c>
      <c r="K47" s="7">
        <f>IF(H47=0,1,0)</f>
        <v>0</v>
      </c>
      <c r="L47" s="7">
        <f>IF(TRIM(Raw_Bookings!I47&amp;"")="",1,0)</f>
        <v>0</v>
      </c>
      <c r="M47" s="7">
        <f>IF(L47=1,"",DATEVALUE(LEFT(Raw_Bookings!I47,10))+TIMEVALUE(MID(Raw_Bookings!I47,12,8)))</f>
        <v>45567.481469907405</v>
      </c>
      <c r="N47" s="7">
        <f>IF(AND(L47=0,H47=1),IF(INT(M47)&gt;I47,1,0),0)</f>
        <v>0</v>
      </c>
      <c r="O47" s="7" t="str">
        <f>UPPER(TRIM(Raw_Bookings!F47))</f>
        <v>DIB</v>
      </c>
      <c r="P47" s="7" t="str">
        <f>UPPER(TRIM(Raw_Bookings!G47))</f>
        <v>DEL</v>
      </c>
      <c r="Q47" s="7">
        <f>IF(COUNTIF(Lookup_Stations!$A$2:$A$33,O47)&gt;0,1,0)</f>
        <v>1</v>
      </c>
      <c r="R47" s="7">
        <f>IF(COUNTIF(Lookup_Stations!$A$2:$A$33,P47)&gt;0,1,0)</f>
        <v>1</v>
      </c>
      <c r="S47" s="7">
        <f>IF(OR(AND(Q47=1,NOT(EXACT(Raw_Bookings!F47,O47))),AND(R47=1,NOT(EXACT(Raw_Bookings!G47,P47)))),1,0)</f>
        <v>0</v>
      </c>
      <c r="T47" s="7">
        <f>IF(OR(Q47=0,R47=0),1,0)</f>
        <v>0</v>
      </c>
      <c r="U47" s="7">
        <f>IF(TRIM(Raw_Bookings!E47&amp;"")="",1,0)</f>
        <v>0</v>
      </c>
      <c r="V47" s="7" t="str">
        <f>IF(SUMPRODUCT(--(Lookup_Status!$A$2:$A$13=LOWER(TRIM(Raw_Bookings!K47))))=0,"",INDEX(Lookup_Status!$B$2:$B$13,SUMPRODUCT((Lookup_Status!$A$2:$A$13=LOWER(TRIM(Raw_Bookings!K47)))*(ROW(Lookup_Status!$A$2:$A$13)-1))))</f>
        <v>Confirmed</v>
      </c>
      <c r="W47" s="7">
        <f>IF(AND(V47&lt;&gt;"",NOT(EXACT(Raw_Bookings!K47,V47))),1,0)</f>
        <v>0</v>
      </c>
      <c r="X47" s="7">
        <f>IF(V47="",1,0)</f>
        <v>0</v>
      </c>
      <c r="Y47" s="7">
        <f>IF(TRIM(Raw_Bookings!L47&amp;"")="",1,0)</f>
        <v>0</v>
      </c>
      <c r="Z47" s="7">
        <f>IF(AND(ISTEXT(Raw_Bookings!L47),Y47=0),1,0)</f>
        <v>0</v>
      </c>
      <c r="AA47" s="7">
        <f>IF(Z47=1,IFERROR(VALUE(SUBSTITUTE(SUBSTITUTE(SUBSTITUTE(SUBSTITUTE(SUBSTITUTE(UPPER(Raw_Bookings!L47),"RS.",""),"₹",""),",","")," ",""),"INR","")),""),"")</f>
        <v/>
      </c>
      <c r="AB47" s="7">
        <f>IF(AND(Z47=1,ISNUMBER(AA47)),1,0)</f>
        <v>0</v>
      </c>
      <c r="AC47" s="7">
        <f>IF(B47=1,0,IF(NOT(ISNUMBER(Raw_Bookings!J47)),1,IF(Raw_Bookings!J47&lt;&gt;COUNTIFS(Work_Passengers!$B$2:$B$1336,Raw_Bookings!A47,Work_Passengers!$C$2:$C$1336,0),1,0)))</f>
        <v>0</v>
      </c>
    </row>
    <row r="48" spans="1:29">
      <c r="A48" s="7">
        <f>Raw_Bookings!A48</f>
        <v>1013942</v>
      </c>
      <c r="B48" s="7">
        <f>IF(COUNTIF(Raw_Bookings!$A$2:A48,Raw_Bookings!A48)&gt;1,1,0)</f>
        <v>0</v>
      </c>
      <c r="C48" s="7" t="str">
        <f>Raw_Bookings!D48&amp;""</f>
        <v>2024-11-02</v>
      </c>
      <c r="D48" s="7" t="str">
        <f>IF(AND(LEN(C48)=10,MID(C48,5,1)="-",MID(C48,8,1)="-"),"ISO",IF(AND(LEN(C48)=10,MID(C48,3,1)="-",MID(C48,6,1)="-"),"DMY","OTHER"))</f>
        <v>ISO</v>
      </c>
      <c r="E48" s="7">
        <f>IF(D48="ISO",VALUE(LEFT(C48,4)),IF(D48="DMY",VALUE(RIGHT(C48,4)),0))</f>
        <v>2024</v>
      </c>
      <c r="F48" s="7">
        <f>IF(D48="ISO",VALUE(MID(C48,6,2)),IF(D48="DMY",VALUE(MID(C48,4,2)),0))</f>
        <v>11</v>
      </c>
      <c r="G48" s="7">
        <f>IF(D48="ISO",VALUE(RIGHT(C48,2)),IF(D48="DMY",VALUE(LEFT(C48,2)),0))</f>
        <v>2</v>
      </c>
      <c r="H48" s="7">
        <f>IF(AND(D48&lt;&gt;"OTHER",F48&gt;=1,F48&lt;=12,G48&gt;=1,G48&lt;=31),IF(AND(MONTH(DATE(E48,F48,G48))=F48,DAY(DATE(E48,F48,G48))=G48),1,0),0)</f>
        <v>1</v>
      </c>
      <c r="I48" s="7">
        <f>IF(H48=1,DATE(E48,F48,G48),"")</f>
        <v>45598.0</v>
      </c>
      <c r="J48" s="7">
        <f>IF(AND(D48="DMY",H48=1),1,0)</f>
        <v>0</v>
      </c>
      <c r="K48" s="7">
        <f>IF(H48=0,1,0)</f>
        <v>0</v>
      </c>
      <c r="L48" s="7">
        <f>IF(TRIM(Raw_Bookings!I48&amp;"")="",1,0)</f>
        <v>0</v>
      </c>
      <c r="M48" s="7">
        <f>IF(L48=1,"",DATEVALUE(LEFT(Raw_Bookings!I48,10))+TIMEVALUE(MID(Raw_Bookings!I48,12,8)))</f>
        <v>45568.395578703705</v>
      </c>
      <c r="N48" s="7">
        <f>IF(AND(L48=0,H48=1),IF(INT(M48)&gt;I48,1,0),0)</f>
        <v>0</v>
      </c>
      <c r="O48" s="7" t="str">
        <f>UPPER(TRIM(Raw_Bookings!F48))</f>
        <v>PAT</v>
      </c>
      <c r="P48" s="7" t="str">
        <f>UPPER(TRIM(Raw_Bookings!G48))</f>
        <v>VIJ</v>
      </c>
      <c r="Q48" s="7">
        <f>IF(COUNTIF(Lookup_Stations!$A$2:$A$33,O48)&gt;0,1,0)</f>
        <v>1</v>
      </c>
      <c r="R48" s="7">
        <f>IF(COUNTIF(Lookup_Stations!$A$2:$A$33,P48)&gt;0,1,0)</f>
        <v>1</v>
      </c>
      <c r="S48" s="7">
        <f>IF(OR(AND(Q48=1,NOT(EXACT(Raw_Bookings!F48,O48))),AND(R48=1,NOT(EXACT(Raw_Bookings!G48,P48)))),1,0)</f>
        <v>0</v>
      </c>
      <c r="T48" s="7">
        <f>IF(OR(Q48=0,R48=0),1,0)</f>
        <v>0</v>
      </c>
      <c r="U48" s="7">
        <f>IF(TRIM(Raw_Bookings!E48&amp;"")="",1,0)</f>
        <v>0</v>
      </c>
      <c r="V48" s="7" t="str">
        <f>IF(SUMPRODUCT(--(Lookup_Status!$A$2:$A$13=LOWER(TRIM(Raw_Bookings!K48))))=0,"",INDEX(Lookup_Status!$B$2:$B$13,SUMPRODUCT((Lookup_Status!$A$2:$A$13=LOWER(TRIM(Raw_Bookings!K48)))*(ROW(Lookup_Status!$A$2:$A$13)-1))))</f>
        <v>Confirmed</v>
      </c>
      <c r="W48" s="7">
        <f>IF(AND(V48&lt;&gt;"",NOT(EXACT(Raw_Bookings!K48,V48))),1,0)</f>
        <v>0</v>
      </c>
      <c r="X48" s="7">
        <f>IF(V48="",1,0)</f>
        <v>0</v>
      </c>
      <c r="Y48" s="7">
        <f>IF(TRIM(Raw_Bookings!L48&amp;"")="",1,0)</f>
        <v>0</v>
      </c>
      <c r="Z48" s="7">
        <f>IF(AND(ISTEXT(Raw_Bookings!L48),Y48=0),1,0)</f>
        <v>0</v>
      </c>
      <c r="AA48" s="7">
        <f>IF(Z48=1,IFERROR(VALUE(SUBSTITUTE(SUBSTITUTE(SUBSTITUTE(SUBSTITUTE(SUBSTITUTE(UPPER(Raw_Bookings!L48),"RS.",""),"₹",""),",","")," ",""),"INR","")),""),"")</f>
        <v/>
      </c>
      <c r="AB48" s="7">
        <f>IF(AND(Z48=1,ISNUMBER(AA48)),1,0)</f>
        <v>0</v>
      </c>
      <c r="AC48" s="7">
        <f>IF(B48=1,0,IF(NOT(ISNUMBER(Raw_Bookings!J48)),1,IF(Raw_Bookings!J48&lt;&gt;COUNTIFS(Work_Passengers!$B$2:$B$1336,Raw_Bookings!A48,Work_Passengers!$C$2:$C$1336,0),1,0)))</f>
        <v>0</v>
      </c>
    </row>
    <row r="49" spans="1:29">
      <c r="A49" s="7">
        <f>Raw_Bookings!A49</f>
        <v>1014041</v>
      </c>
      <c r="B49" s="7">
        <f>IF(COUNTIF(Raw_Bookings!$A$2:A49,Raw_Bookings!A49)&gt;1,1,0)</f>
        <v>0</v>
      </c>
      <c r="C49" s="7" t="str">
        <f>Raw_Bookings!D49&amp;""</f>
        <v>2024-10-10</v>
      </c>
      <c r="D49" s="7" t="str">
        <f>IF(AND(LEN(C49)=10,MID(C49,5,1)="-",MID(C49,8,1)="-"),"ISO",IF(AND(LEN(C49)=10,MID(C49,3,1)="-",MID(C49,6,1)="-"),"DMY","OTHER"))</f>
        <v>ISO</v>
      </c>
      <c r="E49" s="7">
        <f>IF(D49="ISO",VALUE(LEFT(C49,4)),IF(D49="DMY",VALUE(RIGHT(C49,4)),0))</f>
        <v>2024</v>
      </c>
      <c r="F49" s="7">
        <f>IF(D49="ISO",VALUE(MID(C49,6,2)),IF(D49="DMY",VALUE(MID(C49,4,2)),0))</f>
        <v>10</v>
      </c>
      <c r="G49" s="7">
        <f>IF(D49="ISO",VALUE(RIGHT(C49,2)),IF(D49="DMY",VALUE(LEFT(C49,2)),0))</f>
        <v>10</v>
      </c>
      <c r="H49" s="7">
        <f>IF(AND(D49&lt;&gt;"OTHER",F49&gt;=1,F49&lt;=12,G49&gt;=1,G49&lt;=31),IF(AND(MONTH(DATE(E49,F49,G49))=F49,DAY(DATE(E49,F49,G49))=G49),1,0),0)</f>
        <v>1</v>
      </c>
      <c r="I49" s="7">
        <f>IF(H49=1,DATE(E49,F49,G49),"")</f>
        <v>45575.0</v>
      </c>
      <c r="J49" s="7">
        <f>IF(AND(D49="DMY",H49=1),1,0)</f>
        <v>0</v>
      </c>
      <c r="K49" s="7">
        <f>IF(H49=0,1,0)</f>
        <v>0</v>
      </c>
      <c r="L49" s="7">
        <f>IF(TRIM(Raw_Bookings!I49&amp;"")="",1,0)</f>
        <v>0</v>
      </c>
      <c r="M49" s="7">
        <f>IF(L49=1,"",DATEVALUE(LEFT(Raw_Bookings!I49,10))+TIMEVALUE(MID(Raw_Bookings!I49,12,8)))</f>
        <v>45568.70232638889</v>
      </c>
      <c r="N49" s="7">
        <f>IF(AND(L49=0,H49=1),IF(INT(M49)&gt;I49,1,0),0)</f>
        <v>0</v>
      </c>
      <c r="O49" s="7" t="str">
        <f>UPPER(TRIM(Raw_Bookings!F49))</f>
        <v>VIS</v>
      </c>
      <c r="P49" s="7" t="str">
        <f>UPPER(TRIM(Raw_Bookings!G49))</f>
        <v>CHA</v>
      </c>
      <c r="Q49" s="7">
        <f>IF(COUNTIF(Lookup_Stations!$A$2:$A$33,O49)&gt;0,1,0)</f>
        <v>1</v>
      </c>
      <c r="R49" s="7">
        <f>IF(COUNTIF(Lookup_Stations!$A$2:$A$33,P49)&gt;0,1,0)</f>
        <v>1</v>
      </c>
      <c r="S49" s="7">
        <f>IF(OR(AND(Q49=1,NOT(EXACT(Raw_Bookings!F49,O49))),AND(R49=1,NOT(EXACT(Raw_Bookings!G49,P49)))),1,0)</f>
        <v>0</v>
      </c>
      <c r="T49" s="7">
        <f>IF(OR(Q49=0,R49=0),1,0)</f>
        <v>0</v>
      </c>
      <c r="U49" s="7">
        <f>IF(TRIM(Raw_Bookings!E49&amp;"")="",1,0)</f>
        <v>0</v>
      </c>
      <c r="V49" s="7" t="str">
        <f>IF(SUMPRODUCT(--(Lookup_Status!$A$2:$A$13=LOWER(TRIM(Raw_Bookings!K49))))=0,"",INDEX(Lookup_Status!$B$2:$B$13,SUMPRODUCT((Lookup_Status!$A$2:$A$13=LOWER(TRIM(Raw_Bookings!K49)))*(ROW(Lookup_Status!$A$2:$A$13)-1))))</f>
        <v>Cancelled</v>
      </c>
      <c r="W49" s="7">
        <f>IF(AND(V49&lt;&gt;"",NOT(EXACT(Raw_Bookings!K49,V49))),1,0)</f>
        <v>0</v>
      </c>
      <c r="X49" s="7">
        <f>IF(V49="",1,0)</f>
        <v>0</v>
      </c>
      <c r="Y49" s="7">
        <f>IF(TRIM(Raw_Bookings!L49&amp;"")="",1,0)</f>
        <v>0</v>
      </c>
      <c r="Z49" s="7">
        <f>IF(AND(ISTEXT(Raw_Bookings!L49),Y49=0),1,0)</f>
        <v>0</v>
      </c>
      <c r="AA49" s="7">
        <f>IF(Z49=1,IFERROR(VALUE(SUBSTITUTE(SUBSTITUTE(SUBSTITUTE(SUBSTITUTE(SUBSTITUTE(UPPER(Raw_Bookings!L49),"RS.",""),"₹",""),",","")," ",""),"INR","")),""),"")</f>
        <v/>
      </c>
      <c r="AB49" s="7">
        <f>IF(AND(Z49=1,ISNUMBER(AA49)),1,0)</f>
        <v>0</v>
      </c>
      <c r="AC49" s="7">
        <f>IF(B49=1,0,IF(NOT(ISNUMBER(Raw_Bookings!J49)),1,IF(Raw_Bookings!J49&lt;&gt;COUNTIFS(Work_Passengers!$B$2:$B$1336,Raw_Bookings!A49,Work_Passengers!$C$2:$C$1336,0),1,0)))</f>
        <v>0</v>
      </c>
    </row>
    <row r="50" spans="1:29">
      <c r="A50" s="7">
        <f>Raw_Bookings!A50</f>
        <v>1015068</v>
      </c>
      <c r="B50" s="7">
        <f>IF(COUNTIF(Raw_Bookings!$A$2:A50,Raw_Bookings!A50)&gt;1,1,0)</f>
        <v>0</v>
      </c>
      <c r="C50" s="7" t="str">
        <f>Raw_Bookings!D50&amp;""</f>
        <v>2024-12-21</v>
      </c>
      <c r="D50" s="7" t="str">
        <f>IF(AND(LEN(C50)=10,MID(C50,5,1)="-",MID(C50,8,1)="-"),"ISO",IF(AND(LEN(C50)=10,MID(C50,3,1)="-",MID(C50,6,1)="-"),"DMY","OTHER"))</f>
        <v>ISO</v>
      </c>
      <c r="E50" s="7">
        <f>IF(D50="ISO",VALUE(LEFT(C50,4)),IF(D50="DMY",VALUE(RIGHT(C50,4)),0))</f>
        <v>2024</v>
      </c>
      <c r="F50" s="7">
        <f>IF(D50="ISO",VALUE(MID(C50,6,2)),IF(D50="DMY",VALUE(MID(C50,4,2)),0))</f>
        <v>12</v>
      </c>
      <c r="G50" s="7">
        <f>IF(D50="ISO",VALUE(RIGHT(C50,2)),IF(D50="DMY",VALUE(LEFT(C50,2)),0))</f>
        <v>21</v>
      </c>
      <c r="H50" s="7">
        <f>IF(AND(D50&lt;&gt;"OTHER",F50&gt;=1,F50&lt;=12,G50&gt;=1,G50&lt;=31),IF(AND(MONTH(DATE(E50,F50,G50))=F50,DAY(DATE(E50,F50,G50))=G50),1,0),0)</f>
        <v>1</v>
      </c>
      <c r="I50" s="7">
        <f>IF(H50=1,DATE(E50,F50,G50),"")</f>
        <v>45647.0</v>
      </c>
      <c r="J50" s="7">
        <f>IF(AND(D50="DMY",H50=1),1,0)</f>
        <v>0</v>
      </c>
      <c r="K50" s="7">
        <f>IF(H50=0,1,0)</f>
        <v>0</v>
      </c>
      <c r="L50" s="7">
        <f>IF(TRIM(Raw_Bookings!I50&amp;"")="",1,0)</f>
        <v>0</v>
      </c>
      <c r="M50" s="7">
        <f>IF(L50=1,"",DATEVALUE(LEFT(Raw_Bookings!I50,10))+TIMEVALUE(MID(Raw_Bookings!I50,12,8)))</f>
        <v>45572.72356481481</v>
      </c>
      <c r="N50" s="7">
        <f>IF(AND(L50=0,H50=1),IF(INT(M50)&gt;I50,1,0),0)</f>
        <v>0</v>
      </c>
      <c r="O50" s="7" t="str">
        <f>UPPER(TRIM(Raw_Bookings!F50))</f>
        <v>AMR</v>
      </c>
      <c r="P50" s="7" t="str">
        <f>UPPER(TRIM(Raw_Bookings!G50))</f>
        <v>IND</v>
      </c>
      <c r="Q50" s="7">
        <f>IF(COUNTIF(Lookup_Stations!$A$2:$A$33,O50)&gt;0,1,0)</f>
        <v>1</v>
      </c>
      <c r="R50" s="7">
        <f>IF(COUNTIF(Lookup_Stations!$A$2:$A$33,P50)&gt;0,1,0)</f>
        <v>1</v>
      </c>
      <c r="S50" s="7">
        <f>IF(OR(AND(Q50=1,NOT(EXACT(Raw_Bookings!F50,O50))),AND(R50=1,NOT(EXACT(Raw_Bookings!G50,P50)))),1,0)</f>
        <v>0</v>
      </c>
      <c r="T50" s="7">
        <f>IF(OR(Q50=0,R50=0),1,0)</f>
        <v>0</v>
      </c>
      <c r="U50" s="7">
        <f>IF(TRIM(Raw_Bookings!E50&amp;"")="",1,0)</f>
        <v>0</v>
      </c>
      <c r="V50" s="7" t="str">
        <f>IF(SUMPRODUCT(--(Lookup_Status!$A$2:$A$13=LOWER(TRIM(Raw_Bookings!K50))))=0,"",INDEX(Lookup_Status!$B$2:$B$13,SUMPRODUCT((Lookup_Status!$A$2:$A$13=LOWER(TRIM(Raw_Bookings!K50)))*(ROW(Lookup_Status!$A$2:$A$13)-1))))</f>
        <v>Confirmed</v>
      </c>
      <c r="W50" s="7">
        <f>IF(AND(V50&lt;&gt;"",NOT(EXACT(Raw_Bookings!K50,V50))),1,0)</f>
        <v>0</v>
      </c>
      <c r="X50" s="7">
        <f>IF(V50="",1,0)</f>
        <v>0</v>
      </c>
      <c r="Y50" s="7">
        <f>IF(TRIM(Raw_Bookings!L50&amp;"")="",1,0)</f>
        <v>0</v>
      </c>
      <c r="Z50" s="7">
        <f>IF(AND(ISTEXT(Raw_Bookings!L50),Y50=0),1,0)</f>
        <v>0</v>
      </c>
      <c r="AA50" s="7">
        <f>IF(Z50=1,IFERROR(VALUE(SUBSTITUTE(SUBSTITUTE(SUBSTITUTE(SUBSTITUTE(SUBSTITUTE(UPPER(Raw_Bookings!L50),"RS.",""),"₹",""),",","")," ",""),"INR","")),""),"")</f>
        <v/>
      </c>
      <c r="AB50" s="7">
        <f>IF(AND(Z50=1,ISNUMBER(AA50)),1,0)</f>
        <v>0</v>
      </c>
      <c r="AC50" s="7">
        <f>IF(B50=1,0,IF(NOT(ISNUMBER(Raw_Bookings!J50)),1,IF(Raw_Bookings!J50&lt;&gt;COUNTIFS(Work_Passengers!$B$2:$B$1336,Raw_Bookings!A50,Work_Passengers!$C$2:$C$1336,0),1,0)))</f>
        <v>0</v>
      </c>
    </row>
    <row r="51" spans="1:29">
      <c r="A51" s="7">
        <f>Raw_Bookings!A51</f>
        <v>1015189</v>
      </c>
      <c r="B51" s="7">
        <f>IF(COUNTIF(Raw_Bookings!$A$2:A51,Raw_Bookings!A51)&gt;1,1,0)</f>
        <v>0</v>
      </c>
      <c r="C51" s="7" t="str">
        <f>Raw_Bookings!D51&amp;""</f>
        <v>2024-10-25</v>
      </c>
      <c r="D51" s="7" t="str">
        <f>IF(AND(LEN(C51)=10,MID(C51,5,1)="-",MID(C51,8,1)="-"),"ISO",IF(AND(LEN(C51)=10,MID(C51,3,1)="-",MID(C51,6,1)="-"),"DMY","OTHER"))</f>
        <v>ISO</v>
      </c>
      <c r="E51" s="7">
        <f>IF(D51="ISO",VALUE(LEFT(C51,4)),IF(D51="DMY",VALUE(RIGHT(C51,4)),0))</f>
        <v>2024</v>
      </c>
      <c r="F51" s="7">
        <f>IF(D51="ISO",VALUE(MID(C51,6,2)),IF(D51="DMY",VALUE(MID(C51,4,2)),0))</f>
        <v>10</v>
      </c>
      <c r="G51" s="7">
        <f>IF(D51="ISO",VALUE(RIGHT(C51,2)),IF(D51="DMY",VALUE(LEFT(C51,2)),0))</f>
        <v>25</v>
      </c>
      <c r="H51" s="7">
        <f>IF(AND(D51&lt;&gt;"OTHER",F51&gt;=1,F51&lt;=12,G51&gt;=1,G51&lt;=31),IF(AND(MONTH(DATE(E51,F51,G51))=F51,DAY(DATE(E51,F51,G51))=G51),1,0),0)</f>
        <v>1</v>
      </c>
      <c r="I51" s="7">
        <f>IF(H51=1,DATE(E51,F51,G51),"")</f>
        <v>45590.0</v>
      </c>
      <c r="J51" s="7">
        <f>IF(AND(D51="DMY",H51=1),1,0)</f>
        <v>0</v>
      </c>
      <c r="K51" s="7">
        <f>IF(H51=0,1,0)</f>
        <v>0</v>
      </c>
      <c r="L51" s="7">
        <f>IF(TRIM(Raw_Bookings!I51&amp;"")="",1,0)</f>
        <v>0</v>
      </c>
      <c r="M51" s="7">
        <f>IF(L51=1,"",DATEVALUE(LEFT(Raw_Bookings!I51,10))+TIMEVALUE(MID(Raw_Bookings!I51,12,8)))</f>
        <v>45573.302407407406</v>
      </c>
      <c r="N51" s="7">
        <f>IF(AND(L51=0,H51=1),IF(INT(M51)&gt;I51,1,0),0)</f>
        <v>0</v>
      </c>
      <c r="O51" s="7" t="str">
        <f>UPPER(TRIM(Raw_Bookings!F51))</f>
        <v>THI</v>
      </c>
      <c r="P51" s="7" t="str">
        <f>UPPER(TRIM(Raw_Bookings!G51))</f>
        <v>NAG</v>
      </c>
      <c r="Q51" s="7">
        <f>IF(COUNTIF(Lookup_Stations!$A$2:$A$33,O51)&gt;0,1,0)</f>
        <v>1</v>
      </c>
      <c r="R51" s="7">
        <f>IF(COUNTIF(Lookup_Stations!$A$2:$A$33,P51)&gt;0,1,0)</f>
        <v>1</v>
      </c>
      <c r="S51" s="7">
        <f>IF(OR(AND(Q51=1,NOT(EXACT(Raw_Bookings!F51,O51))),AND(R51=1,NOT(EXACT(Raw_Bookings!G51,P51)))),1,0)</f>
        <v>0</v>
      </c>
      <c r="T51" s="7">
        <f>IF(OR(Q51=0,R51=0),1,0)</f>
        <v>0</v>
      </c>
      <c r="U51" s="7">
        <f>IF(TRIM(Raw_Bookings!E51&amp;"")="",1,0)</f>
        <v>0</v>
      </c>
      <c r="V51" s="7" t="str">
        <f>IF(SUMPRODUCT(--(Lookup_Status!$A$2:$A$13=LOWER(TRIM(Raw_Bookings!K51))))=0,"",INDEX(Lookup_Status!$B$2:$B$13,SUMPRODUCT((Lookup_Status!$A$2:$A$13=LOWER(TRIM(Raw_Bookings!K51)))*(ROW(Lookup_Status!$A$2:$A$13)-1))))</f>
        <v>Confirmed</v>
      </c>
      <c r="W51" s="7">
        <f>IF(AND(V51&lt;&gt;"",NOT(EXACT(Raw_Bookings!K51,V51))),1,0)</f>
        <v>0</v>
      </c>
      <c r="X51" s="7">
        <f>IF(V51="",1,0)</f>
        <v>0</v>
      </c>
      <c r="Y51" s="7">
        <f>IF(TRIM(Raw_Bookings!L51&amp;"")="",1,0)</f>
        <v>0</v>
      </c>
      <c r="Z51" s="7">
        <f>IF(AND(ISTEXT(Raw_Bookings!L51),Y51=0),1,0)</f>
        <v>0</v>
      </c>
      <c r="AA51" s="7">
        <f>IF(Z51=1,IFERROR(VALUE(SUBSTITUTE(SUBSTITUTE(SUBSTITUTE(SUBSTITUTE(SUBSTITUTE(UPPER(Raw_Bookings!L51),"RS.",""),"₹",""),",","")," ",""),"INR","")),""),"")</f>
        <v/>
      </c>
      <c r="AB51" s="7">
        <f>IF(AND(Z51=1,ISNUMBER(AA51)),1,0)</f>
        <v>0</v>
      </c>
      <c r="AC51" s="7">
        <f>IF(B51=1,0,IF(NOT(ISNUMBER(Raw_Bookings!J51)),1,IF(Raw_Bookings!J51&lt;&gt;COUNTIFS(Work_Passengers!$B$2:$B$1336,Raw_Bookings!A51,Work_Passengers!$C$2:$C$1336,0),1,0)))</f>
        <v>0</v>
      </c>
    </row>
    <row r="52" spans="1:29">
      <c r="A52" s="7">
        <f>Raw_Bookings!A52</f>
        <v>1015275</v>
      </c>
      <c r="B52" s="7">
        <f>IF(COUNTIF(Raw_Bookings!$A$2:A52,Raw_Bookings!A52)&gt;1,1,0)</f>
        <v>0</v>
      </c>
      <c r="C52" s="7" t="str">
        <f>Raw_Bookings!D52&amp;""</f>
        <v>2024-12-18</v>
      </c>
      <c r="D52" s="7" t="str">
        <f>IF(AND(LEN(C52)=10,MID(C52,5,1)="-",MID(C52,8,1)="-"),"ISO",IF(AND(LEN(C52)=10,MID(C52,3,1)="-",MID(C52,6,1)="-"),"DMY","OTHER"))</f>
        <v>ISO</v>
      </c>
      <c r="E52" s="7">
        <f>IF(D52="ISO",VALUE(LEFT(C52,4)),IF(D52="DMY",VALUE(RIGHT(C52,4)),0))</f>
        <v>2024</v>
      </c>
      <c r="F52" s="7">
        <f>IF(D52="ISO",VALUE(MID(C52,6,2)),IF(D52="DMY",VALUE(MID(C52,4,2)),0))</f>
        <v>12</v>
      </c>
      <c r="G52" s="7">
        <f>IF(D52="ISO",VALUE(RIGHT(C52,2)),IF(D52="DMY",VALUE(LEFT(C52,2)),0))</f>
        <v>18</v>
      </c>
      <c r="H52" s="7">
        <f>IF(AND(D52&lt;&gt;"OTHER",F52&gt;=1,F52&lt;=12,G52&gt;=1,G52&lt;=31),IF(AND(MONTH(DATE(E52,F52,G52))=F52,DAY(DATE(E52,F52,G52))=G52),1,0),0)</f>
        <v>1</v>
      </c>
      <c r="I52" s="7">
        <f>IF(H52=1,DATE(E52,F52,G52),"")</f>
        <v>45644.0</v>
      </c>
      <c r="J52" s="7">
        <f>IF(AND(D52="DMY",H52=1),1,0)</f>
        <v>0</v>
      </c>
      <c r="K52" s="7">
        <f>IF(H52=0,1,0)</f>
        <v>0</v>
      </c>
      <c r="L52" s="7">
        <f>IF(TRIM(Raw_Bookings!I52&amp;"")="",1,0)</f>
        <v>0</v>
      </c>
      <c r="M52" s="7">
        <f>IF(L52=1,"",DATEVALUE(LEFT(Raw_Bookings!I52,10))+TIMEVALUE(MID(Raw_Bookings!I52,12,8)))</f>
        <v>45573.50445601852</v>
      </c>
      <c r="N52" s="7">
        <f>IF(AND(L52=0,H52=1),IF(INT(M52)&gt;I52,1,0),0)</f>
        <v>0</v>
      </c>
      <c r="O52" s="7" t="str">
        <f>UPPER(TRIM(Raw_Bookings!F52))</f>
        <v>MAU</v>
      </c>
      <c r="P52" s="7" t="str">
        <f>UPPER(TRIM(Raw_Bookings!G52))</f>
        <v>DEL</v>
      </c>
      <c r="Q52" s="7">
        <f>IF(COUNTIF(Lookup_Stations!$A$2:$A$33,O52)&gt;0,1,0)</f>
        <v>1</v>
      </c>
      <c r="R52" s="7">
        <f>IF(COUNTIF(Lookup_Stations!$A$2:$A$33,P52)&gt;0,1,0)</f>
        <v>1</v>
      </c>
      <c r="S52" s="7">
        <f>IF(OR(AND(Q52=1,NOT(EXACT(Raw_Bookings!F52,O52))),AND(R52=1,NOT(EXACT(Raw_Bookings!G52,P52)))),1,0)</f>
        <v>0</v>
      </c>
      <c r="T52" s="7">
        <f>IF(OR(Q52=0,R52=0),1,0)</f>
        <v>0</v>
      </c>
      <c r="U52" s="7">
        <f>IF(TRIM(Raw_Bookings!E52&amp;"")="",1,0)</f>
        <v>0</v>
      </c>
      <c r="V52" s="7" t="str">
        <f>IF(SUMPRODUCT(--(Lookup_Status!$A$2:$A$13=LOWER(TRIM(Raw_Bookings!K52))))=0,"",INDEX(Lookup_Status!$B$2:$B$13,SUMPRODUCT((Lookup_Status!$A$2:$A$13=LOWER(TRIM(Raw_Bookings!K52)))*(ROW(Lookup_Status!$A$2:$A$13)-1))))</f>
        <v>Cancelled</v>
      </c>
      <c r="W52" s="7">
        <f>IF(AND(V52&lt;&gt;"",NOT(EXACT(Raw_Bookings!K52,V52))),1,0)</f>
        <v>0</v>
      </c>
      <c r="X52" s="7">
        <f>IF(V52="",1,0)</f>
        <v>0</v>
      </c>
      <c r="Y52" s="7">
        <f>IF(TRIM(Raw_Bookings!L52&amp;"")="",1,0)</f>
        <v>0</v>
      </c>
      <c r="Z52" s="7">
        <f>IF(AND(ISTEXT(Raw_Bookings!L52),Y52=0),1,0)</f>
        <v>0</v>
      </c>
      <c r="AA52" s="7">
        <f>IF(Z52=1,IFERROR(VALUE(SUBSTITUTE(SUBSTITUTE(SUBSTITUTE(SUBSTITUTE(SUBSTITUTE(UPPER(Raw_Bookings!L52),"RS.",""),"₹",""),",","")," ",""),"INR","")),""),"")</f>
        <v/>
      </c>
      <c r="AB52" s="7">
        <f>IF(AND(Z52=1,ISNUMBER(AA52)),1,0)</f>
        <v>0</v>
      </c>
      <c r="AC52" s="7">
        <f>IF(B52=1,0,IF(NOT(ISNUMBER(Raw_Bookings!J52)),1,IF(Raw_Bookings!J52&lt;&gt;COUNTIFS(Work_Passengers!$B$2:$B$1336,Raw_Bookings!A52,Work_Passengers!$C$2:$C$1336,0),1,0)))</f>
        <v>0</v>
      </c>
    </row>
    <row r="53" spans="1:29">
      <c r="A53" s="7">
        <f>Raw_Bookings!A53</f>
        <v>1015447</v>
      </c>
      <c r="B53" s="7">
        <f>IF(COUNTIF(Raw_Bookings!$A$2:A53,Raw_Bookings!A53)&gt;1,1,0)</f>
        <v>0</v>
      </c>
      <c r="C53" s="7" t="str">
        <f>Raw_Bookings!D53&amp;""</f>
        <v>2024-10-10</v>
      </c>
      <c r="D53" s="7" t="str">
        <f>IF(AND(LEN(C53)=10,MID(C53,5,1)="-",MID(C53,8,1)="-"),"ISO",IF(AND(LEN(C53)=10,MID(C53,3,1)="-",MID(C53,6,1)="-"),"DMY","OTHER"))</f>
        <v>ISO</v>
      </c>
      <c r="E53" s="7">
        <f>IF(D53="ISO",VALUE(LEFT(C53,4)),IF(D53="DMY",VALUE(RIGHT(C53,4)),0))</f>
        <v>2024</v>
      </c>
      <c r="F53" s="7">
        <f>IF(D53="ISO",VALUE(MID(C53,6,2)),IF(D53="DMY",VALUE(MID(C53,4,2)),0))</f>
        <v>10</v>
      </c>
      <c r="G53" s="7">
        <f>IF(D53="ISO",VALUE(RIGHT(C53,2)),IF(D53="DMY",VALUE(LEFT(C53,2)),0))</f>
        <v>10</v>
      </c>
      <c r="H53" s="7">
        <f>IF(AND(D53&lt;&gt;"OTHER",F53&gt;=1,F53&lt;=12,G53&gt;=1,G53&lt;=31),IF(AND(MONTH(DATE(E53,F53,G53))=F53,DAY(DATE(E53,F53,G53))=G53),1,0),0)</f>
        <v>1</v>
      </c>
      <c r="I53" s="7">
        <f>IF(H53=1,DATE(E53,F53,G53),"")</f>
        <v>45575.0</v>
      </c>
      <c r="J53" s="7">
        <f>IF(AND(D53="DMY",H53=1),1,0)</f>
        <v>0</v>
      </c>
      <c r="K53" s="7">
        <f>IF(H53=0,1,0)</f>
        <v>0</v>
      </c>
      <c r="L53" s="7">
        <f>IF(TRIM(Raw_Bookings!I53&amp;"")="",1,0)</f>
        <v>0</v>
      </c>
      <c r="M53" s="7">
        <f>IF(L53=1,"",DATEVALUE(LEFT(Raw_Bookings!I53,10))+TIMEVALUE(MID(Raw_Bookings!I53,12,8)))</f>
        <v>45574.245416666665</v>
      </c>
      <c r="N53" s="7">
        <f>IF(AND(L53=0,H53=1),IF(INT(M53)&gt;I53,1,0),0)</f>
        <v>0</v>
      </c>
      <c r="O53" s="7" t="str">
        <f>UPPER(TRIM(Raw_Bookings!F53))</f>
        <v>VIS</v>
      </c>
      <c r="P53" s="7" t="str">
        <f>UPPER(TRIM(Raw_Bookings!G53))</f>
        <v>CHA</v>
      </c>
      <c r="Q53" s="7">
        <f>IF(COUNTIF(Lookup_Stations!$A$2:$A$33,O53)&gt;0,1,0)</f>
        <v>1</v>
      </c>
      <c r="R53" s="7">
        <f>IF(COUNTIF(Lookup_Stations!$A$2:$A$33,P53)&gt;0,1,0)</f>
        <v>1</v>
      </c>
      <c r="S53" s="7">
        <f>IF(OR(AND(Q53=1,NOT(EXACT(Raw_Bookings!F53,O53))),AND(R53=1,NOT(EXACT(Raw_Bookings!G53,P53)))),1,0)</f>
        <v>0</v>
      </c>
      <c r="T53" s="7">
        <f>IF(OR(Q53=0,R53=0),1,0)</f>
        <v>0</v>
      </c>
      <c r="U53" s="7">
        <f>IF(TRIM(Raw_Bookings!E53&amp;"")="",1,0)</f>
        <v>0</v>
      </c>
      <c r="V53" s="7" t="str">
        <f>IF(SUMPRODUCT(--(Lookup_Status!$A$2:$A$13=LOWER(TRIM(Raw_Bookings!K53))))=0,"",INDEX(Lookup_Status!$B$2:$B$13,SUMPRODUCT((Lookup_Status!$A$2:$A$13=LOWER(TRIM(Raw_Bookings!K53)))*(ROW(Lookup_Status!$A$2:$A$13)-1))))</f>
        <v>Mixed</v>
      </c>
      <c r="W53" s="7">
        <f>IF(AND(V53&lt;&gt;"",NOT(EXACT(Raw_Bookings!K53,V53))),1,0)</f>
        <v>0</v>
      </c>
      <c r="X53" s="7">
        <f>IF(V53="",1,0)</f>
        <v>0</v>
      </c>
      <c r="Y53" s="7">
        <f>IF(TRIM(Raw_Bookings!L53&amp;"")="",1,0)</f>
        <v>0</v>
      </c>
      <c r="Z53" s="7">
        <f>IF(AND(ISTEXT(Raw_Bookings!L53),Y53=0),1,0)</f>
        <v>0</v>
      </c>
      <c r="AA53" s="7">
        <f>IF(Z53=1,IFERROR(VALUE(SUBSTITUTE(SUBSTITUTE(SUBSTITUTE(SUBSTITUTE(SUBSTITUTE(UPPER(Raw_Bookings!L53),"RS.",""),"₹",""),",","")," ",""),"INR","")),""),"")</f>
        <v/>
      </c>
      <c r="AB53" s="7">
        <f>IF(AND(Z53=1,ISNUMBER(AA53)),1,0)</f>
        <v>0</v>
      </c>
      <c r="AC53" s="7">
        <f>IF(B53=1,0,IF(NOT(ISNUMBER(Raw_Bookings!J53)),1,IF(Raw_Bookings!J53&lt;&gt;COUNTIFS(Work_Passengers!$B$2:$B$1336,Raw_Bookings!A53,Work_Passengers!$C$2:$C$1336,0),1,0)))</f>
        <v>0</v>
      </c>
    </row>
    <row r="54" spans="1:29">
      <c r="A54" s="7">
        <f>Raw_Bookings!A54</f>
        <v>1015771</v>
      </c>
      <c r="B54" s="7">
        <f>IF(COUNTIF(Raw_Bookings!$A$2:A54,Raw_Bookings!A54)&gt;1,1,0)</f>
        <v>0</v>
      </c>
      <c r="C54" s="7" t="str">
        <f>Raw_Bookings!D54&amp;""</f>
        <v>2025-01-29</v>
      </c>
      <c r="D54" s="7" t="str">
        <f>IF(AND(LEN(C54)=10,MID(C54,5,1)="-",MID(C54,8,1)="-"),"ISO",IF(AND(LEN(C54)=10,MID(C54,3,1)="-",MID(C54,6,1)="-"),"DMY","OTHER"))</f>
        <v>ISO</v>
      </c>
      <c r="E54" s="7">
        <f>IF(D54="ISO",VALUE(LEFT(C54,4)),IF(D54="DMY",VALUE(RIGHT(C54,4)),0))</f>
        <v>2025</v>
      </c>
      <c r="F54" s="7">
        <f>IF(D54="ISO",VALUE(MID(C54,6,2)),IF(D54="DMY",VALUE(MID(C54,4,2)),0))</f>
        <v>1</v>
      </c>
      <c r="G54" s="7">
        <f>IF(D54="ISO",VALUE(RIGHT(C54,2)),IF(D54="DMY",VALUE(LEFT(C54,2)),0))</f>
        <v>29</v>
      </c>
      <c r="H54" s="7">
        <f>IF(AND(D54&lt;&gt;"OTHER",F54&gt;=1,F54&lt;=12,G54&gt;=1,G54&lt;=31),IF(AND(MONTH(DATE(E54,F54,G54))=F54,DAY(DATE(E54,F54,G54))=G54),1,0),0)</f>
        <v>1</v>
      </c>
      <c r="I54" s="7">
        <f>IF(H54=1,DATE(E54,F54,G54),"")</f>
        <v>45686.0</v>
      </c>
      <c r="J54" s="7">
        <f>IF(AND(D54="DMY",H54=1),1,0)</f>
        <v>0</v>
      </c>
      <c r="K54" s="7">
        <f>IF(H54=0,1,0)</f>
        <v>0</v>
      </c>
      <c r="L54" s="7">
        <f>IF(TRIM(Raw_Bookings!I54&amp;"")="",1,0)</f>
        <v>0</v>
      </c>
      <c r="M54" s="7">
        <f>IF(L54=1,"",DATEVALUE(LEFT(Raw_Bookings!I54,10))+TIMEVALUE(MID(Raw_Bookings!I54,12,8)))</f>
        <v>45575.38422453704</v>
      </c>
      <c r="N54" s="7">
        <f>IF(AND(L54=0,H54=1),IF(INT(M54)&gt;I54,1,0),0)</f>
        <v>0</v>
      </c>
      <c r="O54" s="7" t="str">
        <f>UPPER(TRIM(Raw_Bookings!F54))</f>
        <v>VIS</v>
      </c>
      <c r="P54" s="7" t="str">
        <f>UPPER(TRIM(Raw_Bookings!G54))</f>
        <v>CHA</v>
      </c>
      <c r="Q54" s="7">
        <f>IF(COUNTIF(Lookup_Stations!$A$2:$A$33,O54)&gt;0,1,0)</f>
        <v>1</v>
      </c>
      <c r="R54" s="7">
        <f>IF(COUNTIF(Lookup_Stations!$A$2:$A$33,P54)&gt;0,1,0)</f>
        <v>1</v>
      </c>
      <c r="S54" s="7">
        <f>IF(OR(AND(Q54=1,NOT(EXACT(Raw_Bookings!F54,O54))),AND(R54=1,NOT(EXACT(Raw_Bookings!G54,P54)))),1,0)</f>
        <v>0</v>
      </c>
      <c r="T54" s="7">
        <f>IF(OR(Q54=0,R54=0),1,0)</f>
        <v>0</v>
      </c>
      <c r="U54" s="7">
        <f>IF(TRIM(Raw_Bookings!E54&amp;"")="",1,0)</f>
        <v>0</v>
      </c>
      <c r="V54" s="7" t="str">
        <f>IF(SUMPRODUCT(--(Lookup_Status!$A$2:$A$13=LOWER(TRIM(Raw_Bookings!K54))))=0,"",INDEX(Lookup_Status!$B$2:$B$13,SUMPRODUCT((Lookup_Status!$A$2:$A$13=LOWER(TRIM(Raw_Bookings!K54)))*(ROW(Lookup_Status!$A$2:$A$13)-1))))</f>
        <v>Confirmed</v>
      </c>
      <c r="W54" s="7">
        <f>IF(AND(V54&lt;&gt;"",NOT(EXACT(Raw_Bookings!K54,V54))),1,0)</f>
        <v>0</v>
      </c>
      <c r="X54" s="7">
        <f>IF(V54="",1,0)</f>
        <v>0</v>
      </c>
      <c r="Y54" s="7">
        <f>IF(TRIM(Raw_Bookings!L54&amp;"")="",1,0)</f>
        <v>0</v>
      </c>
      <c r="Z54" s="7">
        <f>IF(AND(ISTEXT(Raw_Bookings!L54),Y54=0),1,0)</f>
        <v>0</v>
      </c>
      <c r="AA54" s="7">
        <f>IF(Z54=1,IFERROR(VALUE(SUBSTITUTE(SUBSTITUTE(SUBSTITUTE(SUBSTITUTE(SUBSTITUTE(UPPER(Raw_Bookings!L54),"RS.",""),"₹",""),",","")," ",""),"INR","")),""),"")</f>
        <v/>
      </c>
      <c r="AB54" s="7">
        <f>IF(AND(Z54=1,ISNUMBER(AA54)),1,0)</f>
        <v>0</v>
      </c>
      <c r="AC54" s="7">
        <f>IF(B54=1,0,IF(NOT(ISNUMBER(Raw_Bookings!J54)),1,IF(Raw_Bookings!J54&lt;&gt;COUNTIFS(Work_Passengers!$B$2:$B$1336,Raw_Bookings!A54,Work_Passengers!$C$2:$C$1336,0),1,0)))</f>
        <v>1</v>
      </c>
    </row>
    <row r="55" spans="1:29">
      <c r="A55" s="7">
        <f>Raw_Bookings!A55</f>
        <v>1015789</v>
      </c>
      <c r="B55" s="7">
        <f>IF(COUNTIF(Raw_Bookings!$A$2:A55,Raw_Bookings!A55)&gt;1,1,0)</f>
        <v>0</v>
      </c>
      <c r="C55" s="7" t="str">
        <f>Raw_Bookings!D55&amp;""</f>
        <v>2024-10-13</v>
      </c>
      <c r="D55" s="7" t="str">
        <f>IF(AND(LEN(C55)=10,MID(C55,5,1)="-",MID(C55,8,1)="-"),"ISO",IF(AND(LEN(C55)=10,MID(C55,3,1)="-",MID(C55,6,1)="-"),"DMY","OTHER"))</f>
        <v>ISO</v>
      </c>
      <c r="E55" s="7">
        <f>IF(D55="ISO",VALUE(LEFT(C55,4)),IF(D55="DMY",VALUE(RIGHT(C55,4)),0))</f>
        <v>2024</v>
      </c>
      <c r="F55" s="7">
        <f>IF(D55="ISO",VALUE(MID(C55,6,2)),IF(D55="DMY",VALUE(MID(C55,4,2)),0))</f>
        <v>10</v>
      </c>
      <c r="G55" s="7">
        <f>IF(D55="ISO",VALUE(RIGHT(C55,2)),IF(D55="DMY",VALUE(LEFT(C55,2)),0))</f>
        <v>13</v>
      </c>
      <c r="H55" s="7">
        <f>IF(AND(D55&lt;&gt;"OTHER",F55&gt;=1,F55&lt;=12,G55&gt;=1,G55&lt;=31),IF(AND(MONTH(DATE(E55,F55,G55))=F55,DAY(DATE(E55,F55,G55))=G55),1,0),0)</f>
        <v>1</v>
      </c>
      <c r="I55" s="7">
        <f>IF(H55=1,DATE(E55,F55,G55),"")</f>
        <v>45578.0</v>
      </c>
      <c r="J55" s="7">
        <f>IF(AND(D55="DMY",H55=1),1,0)</f>
        <v>0</v>
      </c>
      <c r="K55" s="7">
        <f>IF(H55=0,1,0)</f>
        <v>0</v>
      </c>
      <c r="L55" s="7">
        <f>IF(TRIM(Raw_Bookings!I55&amp;"")="",1,0)</f>
        <v>0</v>
      </c>
      <c r="M55" s="7">
        <f>IF(L55=1,"",DATEVALUE(LEFT(Raw_Bookings!I55,10))+TIMEVALUE(MID(Raw_Bookings!I55,12,8)))</f>
        <v>45575.4259375</v>
      </c>
      <c r="N55" s="7">
        <f>IF(AND(L55=0,H55=1),IF(INT(M55)&gt;I55,1,0),0)</f>
        <v>0</v>
      </c>
      <c r="O55" s="7" t="str">
        <f>UPPER(TRIM(Raw_Bookings!F55))</f>
        <v>RAI</v>
      </c>
      <c r="P55" s="7" t="str">
        <f>UPPER(TRIM(Raw_Bookings!G55))</f>
        <v>JAI</v>
      </c>
      <c r="Q55" s="7">
        <f>IF(COUNTIF(Lookup_Stations!$A$2:$A$33,O55)&gt;0,1,0)</f>
        <v>1</v>
      </c>
      <c r="R55" s="7">
        <f>IF(COUNTIF(Lookup_Stations!$A$2:$A$33,P55)&gt;0,1,0)</f>
        <v>1</v>
      </c>
      <c r="S55" s="7">
        <f>IF(OR(AND(Q55=1,NOT(EXACT(Raw_Bookings!F55,O55))),AND(R55=1,NOT(EXACT(Raw_Bookings!G55,P55)))),1,0)</f>
        <v>0</v>
      </c>
      <c r="T55" s="7">
        <f>IF(OR(Q55=0,R55=0),1,0)</f>
        <v>0</v>
      </c>
      <c r="U55" s="7">
        <f>IF(TRIM(Raw_Bookings!E55&amp;"")="",1,0)</f>
        <v>0</v>
      </c>
      <c r="V55" s="7" t="str">
        <f>IF(SUMPRODUCT(--(Lookup_Status!$A$2:$A$13=LOWER(TRIM(Raw_Bookings!K55))))=0,"",INDEX(Lookup_Status!$B$2:$B$13,SUMPRODUCT((Lookup_Status!$A$2:$A$13=LOWER(TRIM(Raw_Bookings!K55)))*(ROW(Lookup_Status!$A$2:$A$13)-1))))</f>
        <v>Confirmed</v>
      </c>
      <c r="W55" s="7">
        <f>IF(AND(V55&lt;&gt;"",NOT(EXACT(Raw_Bookings!K55,V55))),1,0)</f>
        <v>0</v>
      </c>
      <c r="X55" s="7">
        <f>IF(V55="",1,0)</f>
        <v>0</v>
      </c>
      <c r="Y55" s="7">
        <f>IF(TRIM(Raw_Bookings!L55&amp;"")="",1,0)</f>
        <v>0</v>
      </c>
      <c r="Z55" s="7">
        <f>IF(AND(ISTEXT(Raw_Bookings!L55),Y55=0),1,0)</f>
        <v>0</v>
      </c>
      <c r="AA55" s="7">
        <f>IF(Z55=1,IFERROR(VALUE(SUBSTITUTE(SUBSTITUTE(SUBSTITUTE(SUBSTITUTE(SUBSTITUTE(UPPER(Raw_Bookings!L55),"RS.",""),"₹",""),",","")," ",""),"INR","")),""),"")</f>
        <v/>
      </c>
      <c r="AB55" s="7">
        <f>IF(AND(Z55=1,ISNUMBER(AA55)),1,0)</f>
        <v>0</v>
      </c>
      <c r="AC55" s="7">
        <f>IF(B55=1,0,IF(NOT(ISNUMBER(Raw_Bookings!J55)),1,IF(Raw_Bookings!J55&lt;&gt;COUNTIFS(Work_Passengers!$B$2:$B$1336,Raw_Bookings!A55,Work_Passengers!$C$2:$C$1336,0),1,0)))</f>
        <v>0</v>
      </c>
    </row>
    <row r="56" spans="1:29">
      <c r="A56" s="7">
        <f>Raw_Bookings!A56</f>
        <v>1015827</v>
      </c>
      <c r="B56" s="7">
        <f>IF(COUNTIF(Raw_Bookings!$A$2:A56,Raw_Bookings!A56)&gt;1,1,0)</f>
        <v>0</v>
      </c>
      <c r="C56" s="7" t="str">
        <f>Raw_Bookings!D56&amp;""</f>
        <v>2024-10-17</v>
      </c>
      <c r="D56" s="7" t="str">
        <f>IF(AND(LEN(C56)=10,MID(C56,5,1)="-",MID(C56,8,1)="-"),"ISO",IF(AND(LEN(C56)=10,MID(C56,3,1)="-",MID(C56,6,1)="-"),"DMY","OTHER"))</f>
        <v>ISO</v>
      </c>
      <c r="E56" s="7">
        <f>IF(D56="ISO",VALUE(LEFT(C56,4)),IF(D56="DMY",VALUE(RIGHT(C56,4)),0))</f>
        <v>2024</v>
      </c>
      <c r="F56" s="7">
        <f>IF(D56="ISO",VALUE(MID(C56,6,2)),IF(D56="DMY",VALUE(MID(C56,4,2)),0))</f>
        <v>10</v>
      </c>
      <c r="G56" s="7">
        <f>IF(D56="ISO",VALUE(RIGHT(C56,2)),IF(D56="DMY",VALUE(LEFT(C56,2)),0))</f>
        <v>17</v>
      </c>
      <c r="H56" s="7">
        <f>IF(AND(D56&lt;&gt;"OTHER",F56&gt;=1,F56&lt;=12,G56&gt;=1,G56&lt;=31),IF(AND(MONTH(DATE(E56,F56,G56))=F56,DAY(DATE(E56,F56,G56))=G56),1,0),0)</f>
        <v>1</v>
      </c>
      <c r="I56" s="7">
        <f>IF(H56=1,DATE(E56,F56,G56),"")</f>
        <v>45582.0</v>
      </c>
      <c r="J56" s="7">
        <f>IF(AND(D56="DMY",H56=1),1,0)</f>
        <v>0</v>
      </c>
      <c r="K56" s="7">
        <f>IF(H56=0,1,0)</f>
        <v>0</v>
      </c>
      <c r="L56" s="7">
        <f>IF(TRIM(Raw_Bookings!I56&amp;"")="",1,0)</f>
        <v>0</v>
      </c>
      <c r="M56" s="7">
        <f>IF(L56=1,"",DATEVALUE(LEFT(Raw_Bookings!I56,10))+TIMEVALUE(MID(Raw_Bookings!I56,12,8)))</f>
        <v>45575.56170138889</v>
      </c>
      <c r="N56" s="7">
        <f>IF(AND(L56=0,H56=1),IF(INT(M56)&gt;I56,1,0),0)</f>
        <v>0</v>
      </c>
      <c r="O56" s="7" t="str">
        <f>UPPER(TRIM(Raw_Bookings!F56))</f>
        <v>VAR</v>
      </c>
      <c r="P56" s="7" t="str">
        <f>UPPER(TRIM(Raw_Bookings!G56))</f>
        <v>AHM</v>
      </c>
      <c r="Q56" s="7">
        <f>IF(COUNTIF(Lookup_Stations!$A$2:$A$33,O56)&gt;0,1,0)</f>
        <v>1</v>
      </c>
      <c r="R56" s="7">
        <f>IF(COUNTIF(Lookup_Stations!$A$2:$A$33,P56)&gt;0,1,0)</f>
        <v>1</v>
      </c>
      <c r="S56" s="7">
        <f>IF(OR(AND(Q56=1,NOT(EXACT(Raw_Bookings!F56,O56))),AND(R56=1,NOT(EXACT(Raw_Bookings!G56,P56)))),1,0)</f>
        <v>0</v>
      </c>
      <c r="T56" s="7">
        <f>IF(OR(Q56=0,R56=0),1,0)</f>
        <v>0</v>
      </c>
      <c r="U56" s="7">
        <f>IF(TRIM(Raw_Bookings!E56&amp;"")="",1,0)</f>
        <v>0</v>
      </c>
      <c r="V56" s="7" t="str">
        <f>IF(SUMPRODUCT(--(Lookup_Status!$A$2:$A$13=LOWER(TRIM(Raw_Bookings!K56))))=0,"",INDEX(Lookup_Status!$B$2:$B$13,SUMPRODUCT((Lookup_Status!$A$2:$A$13=LOWER(TRIM(Raw_Bookings!K56)))*(ROW(Lookup_Status!$A$2:$A$13)-1))))</f>
        <v>Confirmed</v>
      </c>
      <c r="W56" s="7">
        <f>IF(AND(V56&lt;&gt;"",NOT(EXACT(Raw_Bookings!K56,V56))),1,0)</f>
        <v>0</v>
      </c>
      <c r="X56" s="7">
        <f>IF(V56="",1,0)</f>
        <v>0</v>
      </c>
      <c r="Y56" s="7">
        <f>IF(TRIM(Raw_Bookings!L56&amp;"")="",1,0)</f>
        <v>0</v>
      </c>
      <c r="Z56" s="7">
        <f>IF(AND(ISTEXT(Raw_Bookings!L56),Y56=0),1,0)</f>
        <v>0</v>
      </c>
      <c r="AA56" s="7">
        <f>IF(Z56=1,IFERROR(VALUE(SUBSTITUTE(SUBSTITUTE(SUBSTITUTE(SUBSTITUTE(SUBSTITUTE(UPPER(Raw_Bookings!L56),"RS.",""),"₹",""),",","")," ",""),"INR","")),""),"")</f>
        <v/>
      </c>
      <c r="AB56" s="7">
        <f>IF(AND(Z56=1,ISNUMBER(AA56)),1,0)</f>
        <v>0</v>
      </c>
      <c r="AC56" s="7">
        <f>IF(B56=1,0,IF(NOT(ISNUMBER(Raw_Bookings!J56)),1,IF(Raw_Bookings!J56&lt;&gt;COUNTIFS(Work_Passengers!$B$2:$B$1336,Raw_Bookings!A56,Work_Passengers!$C$2:$C$1336,0),1,0)))</f>
        <v>0</v>
      </c>
    </row>
    <row r="57" spans="1:29">
      <c r="A57" s="7">
        <f>Raw_Bookings!A57</f>
        <v>1016727</v>
      </c>
      <c r="B57" s="7">
        <f>IF(COUNTIF(Raw_Bookings!$A$2:A57,Raw_Bookings!A57)&gt;1,1,0)</f>
        <v>0</v>
      </c>
      <c r="C57" s="7" t="str">
        <f>Raw_Bookings!D57&amp;""</f>
        <v>2024-11-04</v>
      </c>
      <c r="D57" s="7" t="str">
        <f>IF(AND(LEN(C57)=10,MID(C57,5,1)="-",MID(C57,8,1)="-"),"ISO",IF(AND(LEN(C57)=10,MID(C57,3,1)="-",MID(C57,6,1)="-"),"DMY","OTHER"))</f>
        <v>ISO</v>
      </c>
      <c r="E57" s="7">
        <f>IF(D57="ISO",VALUE(LEFT(C57,4)),IF(D57="DMY",VALUE(RIGHT(C57,4)),0))</f>
        <v>2024</v>
      </c>
      <c r="F57" s="7">
        <f>IF(D57="ISO",VALUE(MID(C57,6,2)),IF(D57="DMY",VALUE(MID(C57,4,2)),0))</f>
        <v>11</v>
      </c>
      <c r="G57" s="7">
        <f>IF(D57="ISO",VALUE(RIGHT(C57,2)),IF(D57="DMY",VALUE(LEFT(C57,2)),0))</f>
        <v>4</v>
      </c>
      <c r="H57" s="7">
        <f>IF(AND(D57&lt;&gt;"OTHER",F57&gt;=1,F57&lt;=12,G57&gt;=1,G57&lt;=31),IF(AND(MONTH(DATE(E57,F57,G57))=F57,DAY(DATE(E57,F57,G57))=G57),1,0),0)</f>
        <v>1</v>
      </c>
      <c r="I57" s="7">
        <f>IF(H57=1,DATE(E57,F57,G57),"")</f>
        <v>45600.0</v>
      </c>
      <c r="J57" s="7">
        <f>IF(AND(D57="DMY",H57=1),1,0)</f>
        <v>0</v>
      </c>
      <c r="K57" s="7">
        <f>IF(H57=0,1,0)</f>
        <v>0</v>
      </c>
      <c r="L57" s="7">
        <f>IF(TRIM(Raw_Bookings!I57&amp;"")="",1,0)</f>
        <v>0</v>
      </c>
      <c r="M57" s="7">
        <f>IF(L57=1,"",DATEVALUE(LEFT(Raw_Bookings!I57,10))+TIMEVALUE(MID(Raw_Bookings!I57,12,8)))</f>
        <v>45578.58775462963</v>
      </c>
      <c r="N57" s="7">
        <f>IF(AND(L57=0,H57=1),IF(INT(M57)&gt;I57,1,0),0)</f>
        <v>0</v>
      </c>
      <c r="O57" s="7" t="str">
        <f>UPPER(TRIM(Raw_Bookings!F57))</f>
        <v>LUC</v>
      </c>
      <c r="P57" s="7" t="str">
        <f>UPPER(TRIM(Raw_Bookings!G57))</f>
        <v>MUM</v>
      </c>
      <c r="Q57" s="7">
        <f>IF(COUNTIF(Lookup_Stations!$A$2:$A$33,O57)&gt;0,1,0)</f>
        <v>1</v>
      </c>
      <c r="R57" s="7">
        <f>IF(COUNTIF(Lookup_Stations!$A$2:$A$33,P57)&gt;0,1,0)</f>
        <v>1</v>
      </c>
      <c r="S57" s="7">
        <f>IF(OR(AND(Q57=1,NOT(EXACT(Raw_Bookings!F57,O57))),AND(R57=1,NOT(EXACT(Raw_Bookings!G57,P57)))),1,0)</f>
        <v>0</v>
      </c>
      <c r="T57" s="7">
        <f>IF(OR(Q57=0,R57=0),1,0)</f>
        <v>0</v>
      </c>
      <c r="U57" s="7">
        <f>IF(TRIM(Raw_Bookings!E57&amp;"")="",1,0)</f>
        <v>0</v>
      </c>
      <c r="V57" s="7" t="str">
        <f>IF(SUMPRODUCT(--(Lookup_Status!$A$2:$A$13=LOWER(TRIM(Raw_Bookings!K57))))=0,"",INDEX(Lookup_Status!$B$2:$B$13,SUMPRODUCT((Lookup_Status!$A$2:$A$13=LOWER(TRIM(Raw_Bookings!K57)))*(ROW(Lookup_Status!$A$2:$A$13)-1))))</f>
        <v>Confirmed</v>
      </c>
      <c r="W57" s="7">
        <f>IF(AND(V57&lt;&gt;"",NOT(EXACT(Raw_Bookings!K57,V57))),1,0)</f>
        <v>0</v>
      </c>
      <c r="X57" s="7">
        <f>IF(V57="",1,0)</f>
        <v>0</v>
      </c>
      <c r="Y57" s="7">
        <f>IF(TRIM(Raw_Bookings!L57&amp;"")="",1,0)</f>
        <v>0</v>
      </c>
      <c r="Z57" s="7">
        <f>IF(AND(ISTEXT(Raw_Bookings!L57),Y57=0),1,0)</f>
        <v>0</v>
      </c>
      <c r="AA57" s="7">
        <f>IF(Z57=1,IFERROR(VALUE(SUBSTITUTE(SUBSTITUTE(SUBSTITUTE(SUBSTITUTE(SUBSTITUTE(UPPER(Raw_Bookings!L57),"RS.",""),"₹",""),",","")," ",""),"INR","")),""),"")</f>
        <v/>
      </c>
      <c r="AB57" s="7">
        <f>IF(AND(Z57=1,ISNUMBER(AA57)),1,0)</f>
        <v>0</v>
      </c>
      <c r="AC57" s="7">
        <f>IF(B57=1,0,IF(NOT(ISNUMBER(Raw_Bookings!J57)),1,IF(Raw_Bookings!J57&lt;&gt;COUNTIFS(Work_Passengers!$B$2:$B$1336,Raw_Bookings!A57,Work_Passengers!$C$2:$C$1336,0),1,0)))</f>
        <v>0</v>
      </c>
    </row>
    <row r="58" spans="1:29">
      <c r="A58" s="7">
        <f>Raw_Bookings!A58</f>
        <v>1016823</v>
      </c>
      <c r="B58" s="7">
        <f>IF(COUNTIF(Raw_Bookings!$A$2:A58,Raw_Bookings!A58)&gt;1,1,0)</f>
        <v>0</v>
      </c>
      <c r="C58" s="7" t="str">
        <f>Raw_Bookings!D58&amp;""</f>
        <v>2024-11-05</v>
      </c>
      <c r="D58" s="7" t="str">
        <f>IF(AND(LEN(C58)=10,MID(C58,5,1)="-",MID(C58,8,1)="-"),"ISO",IF(AND(LEN(C58)=10,MID(C58,3,1)="-",MID(C58,6,1)="-"),"DMY","OTHER"))</f>
        <v>ISO</v>
      </c>
      <c r="E58" s="7">
        <f>IF(D58="ISO",VALUE(LEFT(C58,4)),IF(D58="DMY",VALUE(RIGHT(C58,4)),0))</f>
        <v>2024</v>
      </c>
      <c r="F58" s="7">
        <f>IF(D58="ISO",VALUE(MID(C58,6,2)),IF(D58="DMY",VALUE(MID(C58,4,2)),0))</f>
        <v>11</v>
      </c>
      <c r="G58" s="7">
        <f>IF(D58="ISO",VALUE(RIGHT(C58,2)),IF(D58="DMY",VALUE(LEFT(C58,2)),0))</f>
        <v>5</v>
      </c>
      <c r="H58" s="7">
        <f>IF(AND(D58&lt;&gt;"OTHER",F58&gt;=1,F58&lt;=12,G58&gt;=1,G58&lt;=31),IF(AND(MONTH(DATE(E58,F58,G58))=F58,DAY(DATE(E58,F58,G58))=G58),1,0),0)</f>
        <v>1</v>
      </c>
      <c r="I58" s="7">
        <f>IF(H58=1,DATE(E58,F58,G58),"")</f>
        <v>45601.0</v>
      </c>
      <c r="J58" s="7">
        <f>IF(AND(D58="DMY",H58=1),1,0)</f>
        <v>0</v>
      </c>
      <c r="K58" s="7">
        <f>IF(H58=0,1,0)</f>
        <v>0</v>
      </c>
      <c r="L58" s="7">
        <f>IF(TRIM(Raw_Bookings!I58&amp;"")="",1,0)</f>
        <v>0</v>
      </c>
      <c r="M58" s="7">
        <f>IF(L58=1,"",DATEVALUE(LEFT(Raw_Bookings!I58,10))+TIMEVALUE(MID(Raw_Bookings!I58,12,8)))</f>
        <v>45578.83155092593</v>
      </c>
      <c r="N58" s="7">
        <f>IF(AND(L58=0,H58=1),IF(INT(M58)&gt;I58,1,0),0)</f>
        <v>0</v>
      </c>
      <c r="O58" s="7" t="str">
        <f>UPPER(TRIM(Raw_Bookings!F58))</f>
        <v>COI</v>
      </c>
      <c r="P58" s="7" t="str">
        <f>UPPER(TRIM(Raw_Bookings!G58))</f>
        <v>RAN</v>
      </c>
      <c r="Q58" s="7">
        <f>IF(COUNTIF(Lookup_Stations!$A$2:$A$33,O58)&gt;0,1,0)</f>
        <v>1</v>
      </c>
      <c r="R58" s="7">
        <f>IF(COUNTIF(Lookup_Stations!$A$2:$A$33,P58)&gt;0,1,0)</f>
        <v>1</v>
      </c>
      <c r="S58" s="7">
        <f>IF(OR(AND(Q58=1,NOT(EXACT(Raw_Bookings!F58,O58))),AND(R58=1,NOT(EXACT(Raw_Bookings!G58,P58)))),1,0)</f>
        <v>0</v>
      </c>
      <c r="T58" s="7">
        <f>IF(OR(Q58=0,R58=0),1,0)</f>
        <v>0</v>
      </c>
      <c r="U58" s="7">
        <f>IF(TRIM(Raw_Bookings!E58&amp;"")="",1,0)</f>
        <v>0</v>
      </c>
      <c r="V58" s="7" t="str">
        <f>IF(SUMPRODUCT(--(Lookup_Status!$A$2:$A$13=LOWER(TRIM(Raw_Bookings!K58))))=0,"",INDEX(Lookup_Status!$B$2:$B$13,SUMPRODUCT((Lookup_Status!$A$2:$A$13=LOWER(TRIM(Raw_Bookings!K58)))*(ROW(Lookup_Status!$A$2:$A$13)-1))))</f>
        <v>Confirmed</v>
      </c>
      <c r="W58" s="7">
        <f>IF(AND(V58&lt;&gt;"",NOT(EXACT(Raw_Bookings!K58,V58))),1,0)</f>
        <v>0</v>
      </c>
      <c r="X58" s="7">
        <f>IF(V58="",1,0)</f>
        <v>0</v>
      </c>
      <c r="Y58" s="7">
        <f>IF(TRIM(Raw_Bookings!L58&amp;"")="",1,0)</f>
        <v>0</v>
      </c>
      <c r="Z58" s="7">
        <f>IF(AND(ISTEXT(Raw_Bookings!L58),Y58=0),1,0)</f>
        <v>0</v>
      </c>
      <c r="AA58" s="7">
        <f>IF(Z58=1,IFERROR(VALUE(SUBSTITUTE(SUBSTITUTE(SUBSTITUTE(SUBSTITUTE(SUBSTITUTE(UPPER(Raw_Bookings!L58),"RS.",""),"₹",""),",","")," ",""),"INR","")),""),"")</f>
        <v/>
      </c>
      <c r="AB58" s="7">
        <f>IF(AND(Z58=1,ISNUMBER(AA58)),1,0)</f>
        <v>0</v>
      </c>
      <c r="AC58" s="7">
        <f>IF(B58=1,0,IF(NOT(ISNUMBER(Raw_Bookings!J58)),1,IF(Raw_Bookings!J58&lt;&gt;COUNTIFS(Work_Passengers!$B$2:$B$1336,Raw_Bookings!A58,Work_Passengers!$C$2:$C$1336,0),1,0)))</f>
        <v>0</v>
      </c>
    </row>
    <row r="59" spans="1:29">
      <c r="A59" s="7">
        <f>Raw_Bookings!A59</f>
        <v>1017132</v>
      </c>
      <c r="B59" s="7">
        <f>IF(COUNTIF(Raw_Bookings!$A$2:A59,Raw_Bookings!A59)&gt;1,1,0)</f>
        <v>0</v>
      </c>
      <c r="C59" s="7" t="str">
        <f>Raw_Bookings!D59&amp;""</f>
        <v>2024-11-25</v>
      </c>
      <c r="D59" s="7" t="str">
        <f>IF(AND(LEN(C59)=10,MID(C59,5,1)="-",MID(C59,8,1)="-"),"ISO",IF(AND(LEN(C59)=10,MID(C59,3,1)="-",MID(C59,6,1)="-"),"DMY","OTHER"))</f>
        <v>ISO</v>
      </c>
      <c r="E59" s="7">
        <f>IF(D59="ISO",VALUE(LEFT(C59,4)),IF(D59="DMY",VALUE(RIGHT(C59,4)),0))</f>
        <v>2024</v>
      </c>
      <c r="F59" s="7">
        <f>IF(D59="ISO",VALUE(MID(C59,6,2)),IF(D59="DMY",VALUE(MID(C59,4,2)),0))</f>
        <v>11</v>
      </c>
      <c r="G59" s="7">
        <f>IF(D59="ISO",VALUE(RIGHT(C59,2)),IF(D59="DMY",VALUE(LEFT(C59,2)),0))</f>
        <v>25</v>
      </c>
      <c r="H59" s="7">
        <f>IF(AND(D59&lt;&gt;"OTHER",F59&gt;=1,F59&lt;=12,G59&gt;=1,G59&lt;=31),IF(AND(MONTH(DATE(E59,F59,G59))=F59,DAY(DATE(E59,F59,G59))=G59),1,0),0)</f>
        <v>1</v>
      </c>
      <c r="I59" s="7">
        <f>IF(H59=1,DATE(E59,F59,G59),"")</f>
        <v>45621.0</v>
      </c>
      <c r="J59" s="7">
        <f>IF(AND(D59="DMY",H59=1),1,0)</f>
        <v>0</v>
      </c>
      <c r="K59" s="7">
        <f>IF(H59=0,1,0)</f>
        <v>0</v>
      </c>
      <c r="L59" s="7">
        <f>IF(TRIM(Raw_Bookings!I59&amp;"")="",1,0)</f>
        <v>0</v>
      </c>
      <c r="M59" s="7">
        <f>IF(L59=1,"",DATEVALUE(LEFT(Raw_Bookings!I59,10))+TIMEVALUE(MID(Raw_Bookings!I59,12,8)))</f>
        <v>45579.94372685185</v>
      </c>
      <c r="N59" s="7">
        <f>IF(AND(L59=0,H59=1),IF(INT(M59)&gt;I59,1,0),0)</f>
        <v>0</v>
      </c>
      <c r="O59" s="7" t="str">
        <f>UPPER(TRIM(Raw_Bookings!F59))</f>
        <v>KOL</v>
      </c>
      <c r="P59" s="7" t="str">
        <f>UPPER(TRIM(Raw_Bookings!G59))</f>
        <v>HYD</v>
      </c>
      <c r="Q59" s="7">
        <f>IF(COUNTIF(Lookup_Stations!$A$2:$A$33,O59)&gt;0,1,0)</f>
        <v>1</v>
      </c>
      <c r="R59" s="7">
        <f>IF(COUNTIF(Lookup_Stations!$A$2:$A$33,P59)&gt;0,1,0)</f>
        <v>1</v>
      </c>
      <c r="S59" s="7">
        <f>IF(OR(AND(Q59=1,NOT(EXACT(Raw_Bookings!F59,O59))),AND(R59=1,NOT(EXACT(Raw_Bookings!G59,P59)))),1,0)</f>
        <v>0</v>
      </c>
      <c r="T59" s="7">
        <f>IF(OR(Q59=0,R59=0),1,0)</f>
        <v>0</v>
      </c>
      <c r="U59" s="7">
        <f>IF(TRIM(Raw_Bookings!E59&amp;"")="",1,0)</f>
        <v>0</v>
      </c>
      <c r="V59" s="7" t="str">
        <f>IF(SUMPRODUCT(--(Lookup_Status!$A$2:$A$13=LOWER(TRIM(Raw_Bookings!K59))))=0,"",INDEX(Lookup_Status!$B$2:$B$13,SUMPRODUCT((Lookup_Status!$A$2:$A$13=LOWER(TRIM(Raw_Bookings!K59)))*(ROW(Lookup_Status!$A$2:$A$13)-1))))</f>
        <v>Confirmed</v>
      </c>
      <c r="W59" s="7">
        <f>IF(AND(V59&lt;&gt;"",NOT(EXACT(Raw_Bookings!K59,V59))),1,0)</f>
        <v>0</v>
      </c>
      <c r="X59" s="7">
        <f>IF(V59="",1,0)</f>
        <v>0</v>
      </c>
      <c r="Y59" s="7">
        <f>IF(TRIM(Raw_Bookings!L59&amp;"")="",1,0)</f>
        <v>0</v>
      </c>
      <c r="Z59" s="7">
        <f>IF(AND(ISTEXT(Raw_Bookings!L59),Y59=0),1,0)</f>
        <v>0</v>
      </c>
      <c r="AA59" s="7">
        <f>IF(Z59=1,IFERROR(VALUE(SUBSTITUTE(SUBSTITUTE(SUBSTITUTE(SUBSTITUTE(SUBSTITUTE(UPPER(Raw_Bookings!L59),"RS.",""),"₹",""),",","")," ",""),"INR","")),""),"")</f>
        <v/>
      </c>
      <c r="AB59" s="7">
        <f>IF(AND(Z59=1,ISNUMBER(AA59)),1,0)</f>
        <v>0</v>
      </c>
      <c r="AC59" s="7">
        <f>IF(B59=1,0,IF(NOT(ISNUMBER(Raw_Bookings!J59)),1,IF(Raw_Bookings!J59&lt;&gt;COUNTIFS(Work_Passengers!$B$2:$B$1336,Raw_Bookings!A59,Work_Passengers!$C$2:$C$1336,0),1,0)))</f>
        <v>0</v>
      </c>
    </row>
    <row r="60" spans="1:29">
      <c r="A60" s="7">
        <f>Raw_Bookings!A60</f>
        <v>1017303</v>
      </c>
      <c r="B60" s="7">
        <f>IF(COUNTIF(Raw_Bookings!$A$2:A60,Raw_Bookings!A60)&gt;1,1,0)</f>
        <v>0</v>
      </c>
      <c r="C60" s="7" t="str">
        <f>Raw_Bookings!D60&amp;""</f>
        <v>2024-10-21</v>
      </c>
      <c r="D60" s="7" t="str">
        <f>IF(AND(LEN(C60)=10,MID(C60,5,1)="-",MID(C60,8,1)="-"),"ISO",IF(AND(LEN(C60)=10,MID(C60,3,1)="-",MID(C60,6,1)="-"),"DMY","OTHER"))</f>
        <v>ISO</v>
      </c>
      <c r="E60" s="7">
        <f>IF(D60="ISO",VALUE(LEFT(C60,4)),IF(D60="DMY",VALUE(RIGHT(C60,4)),0))</f>
        <v>2024</v>
      </c>
      <c r="F60" s="7">
        <f>IF(D60="ISO",VALUE(MID(C60,6,2)),IF(D60="DMY",VALUE(MID(C60,4,2)),0))</f>
        <v>10</v>
      </c>
      <c r="G60" s="7">
        <f>IF(D60="ISO",VALUE(RIGHT(C60,2)),IF(D60="DMY",VALUE(LEFT(C60,2)),0))</f>
        <v>21</v>
      </c>
      <c r="H60" s="7">
        <f>IF(AND(D60&lt;&gt;"OTHER",F60&gt;=1,F60&lt;=12,G60&gt;=1,G60&lt;=31),IF(AND(MONTH(DATE(E60,F60,G60))=F60,DAY(DATE(E60,F60,G60))=G60),1,0),0)</f>
        <v>1</v>
      </c>
      <c r="I60" s="7">
        <f>IF(H60=1,DATE(E60,F60,G60),"")</f>
        <v>45586.0</v>
      </c>
      <c r="J60" s="7">
        <f>IF(AND(D60="DMY",H60=1),1,0)</f>
        <v>0</v>
      </c>
      <c r="K60" s="7">
        <f>IF(H60=0,1,0)</f>
        <v>0</v>
      </c>
      <c r="L60" s="7">
        <f>IF(TRIM(Raw_Bookings!I60&amp;"")="",1,0)</f>
        <v>0</v>
      </c>
      <c r="M60" s="7">
        <f>IF(L60=1,"",DATEVALUE(LEFT(Raw_Bookings!I60,10))+TIMEVALUE(MID(Raw_Bookings!I60,12,8)))</f>
        <v>45580.70869212963</v>
      </c>
      <c r="N60" s="7">
        <f>IF(AND(L60=0,H60=1),IF(INT(M60)&gt;I60,1,0),0)</f>
        <v>0</v>
      </c>
      <c r="O60" s="7" t="str">
        <f>UPPER(TRIM(Raw_Bookings!F60))</f>
        <v>BHU</v>
      </c>
      <c r="P60" s="7" t="str">
        <f>UPPER(TRIM(Raw_Bookings!G60))</f>
        <v>KOC</v>
      </c>
      <c r="Q60" s="7">
        <f>IF(COUNTIF(Lookup_Stations!$A$2:$A$33,O60)&gt;0,1,0)</f>
        <v>1</v>
      </c>
      <c r="R60" s="7">
        <f>IF(COUNTIF(Lookup_Stations!$A$2:$A$33,P60)&gt;0,1,0)</f>
        <v>1</v>
      </c>
      <c r="S60" s="7">
        <f>IF(OR(AND(Q60=1,NOT(EXACT(Raw_Bookings!F60,O60))),AND(R60=1,NOT(EXACT(Raw_Bookings!G60,P60)))),1,0)</f>
        <v>0</v>
      </c>
      <c r="T60" s="7">
        <f>IF(OR(Q60=0,R60=0),1,0)</f>
        <v>0</v>
      </c>
      <c r="U60" s="7">
        <f>IF(TRIM(Raw_Bookings!E60&amp;"")="",1,0)</f>
        <v>0</v>
      </c>
      <c r="V60" s="7" t="str">
        <f>IF(SUMPRODUCT(--(Lookup_Status!$A$2:$A$13=LOWER(TRIM(Raw_Bookings!K60))))=0,"",INDEX(Lookup_Status!$B$2:$B$13,SUMPRODUCT((Lookup_Status!$A$2:$A$13=LOWER(TRIM(Raw_Bookings!K60)))*(ROW(Lookup_Status!$A$2:$A$13)-1))))</f>
        <v>Confirmed</v>
      </c>
      <c r="W60" s="7">
        <f>IF(AND(V60&lt;&gt;"",NOT(EXACT(Raw_Bookings!K60,V60))),1,0)</f>
        <v>0</v>
      </c>
      <c r="X60" s="7">
        <f>IF(V60="",1,0)</f>
        <v>0</v>
      </c>
      <c r="Y60" s="7">
        <f>IF(TRIM(Raw_Bookings!L60&amp;"")="",1,0)</f>
        <v>0</v>
      </c>
      <c r="Z60" s="7">
        <f>IF(AND(ISTEXT(Raw_Bookings!L60),Y60=0),1,0)</f>
        <v>0</v>
      </c>
      <c r="AA60" s="7">
        <f>IF(Z60=1,IFERROR(VALUE(SUBSTITUTE(SUBSTITUTE(SUBSTITUTE(SUBSTITUTE(SUBSTITUTE(UPPER(Raw_Bookings!L60),"RS.",""),"₹",""),",","")," ",""),"INR","")),""),"")</f>
        <v/>
      </c>
      <c r="AB60" s="7">
        <f>IF(AND(Z60=1,ISNUMBER(AA60)),1,0)</f>
        <v>0</v>
      </c>
      <c r="AC60" s="7">
        <f>IF(B60=1,0,IF(NOT(ISNUMBER(Raw_Bookings!J60)),1,IF(Raw_Bookings!J60&lt;&gt;COUNTIFS(Work_Passengers!$B$2:$B$1336,Raw_Bookings!A60,Work_Passengers!$C$2:$C$1336,0),1,0)))</f>
        <v>0</v>
      </c>
    </row>
    <row r="61" spans="1:29">
      <c r="A61" s="7">
        <f>Raw_Bookings!A61</f>
        <v>1017459</v>
      </c>
      <c r="B61" s="7">
        <f>IF(COUNTIF(Raw_Bookings!$A$2:A61,Raw_Bookings!A61)&gt;1,1,0)</f>
        <v>0</v>
      </c>
      <c r="C61" s="7" t="str">
        <f>Raw_Bookings!D61&amp;""</f>
        <v>2024-12-07</v>
      </c>
      <c r="D61" s="7" t="str">
        <f>IF(AND(LEN(C61)=10,MID(C61,5,1)="-",MID(C61,8,1)="-"),"ISO",IF(AND(LEN(C61)=10,MID(C61,3,1)="-",MID(C61,6,1)="-"),"DMY","OTHER"))</f>
        <v>ISO</v>
      </c>
      <c r="E61" s="7">
        <f>IF(D61="ISO",VALUE(LEFT(C61,4)),IF(D61="DMY",VALUE(RIGHT(C61,4)),0))</f>
        <v>2024</v>
      </c>
      <c r="F61" s="7">
        <f>IF(D61="ISO",VALUE(MID(C61,6,2)),IF(D61="DMY",VALUE(MID(C61,4,2)),0))</f>
        <v>12</v>
      </c>
      <c r="G61" s="7">
        <f>IF(D61="ISO",VALUE(RIGHT(C61,2)),IF(D61="DMY",VALUE(LEFT(C61,2)),0))</f>
        <v>7</v>
      </c>
      <c r="H61" s="7">
        <f>IF(AND(D61&lt;&gt;"OTHER",F61&gt;=1,F61&lt;=12,G61&gt;=1,G61&lt;=31),IF(AND(MONTH(DATE(E61,F61,G61))=F61,DAY(DATE(E61,F61,G61))=G61),1,0),0)</f>
        <v>1</v>
      </c>
      <c r="I61" s="7">
        <f>IF(H61=1,DATE(E61,F61,G61),"")</f>
        <v>45633.0</v>
      </c>
      <c r="J61" s="7">
        <f>IF(AND(D61="DMY",H61=1),1,0)</f>
        <v>0</v>
      </c>
      <c r="K61" s="7">
        <f>IF(H61=0,1,0)</f>
        <v>0</v>
      </c>
      <c r="L61" s="7">
        <f>IF(TRIM(Raw_Bookings!I61&amp;"")="",1,0)</f>
        <v>0</v>
      </c>
      <c r="M61" s="7">
        <f>IF(L61=1,"",DATEVALUE(LEFT(Raw_Bookings!I61,10))+TIMEVALUE(MID(Raw_Bookings!I61,12,8)))</f>
        <v>45581.39875</v>
      </c>
      <c r="N61" s="7">
        <f>IF(AND(L61=0,H61=1),IF(INT(M61)&gt;I61,1,0),0)</f>
        <v>0</v>
      </c>
      <c r="O61" s="7" t="str">
        <f>UPPER(TRIM(Raw_Bookings!F61))</f>
        <v>BEN</v>
      </c>
      <c r="P61" s="7" t="str">
        <f>UPPER(TRIM(Raw_Bookings!G61))</f>
        <v>JOD</v>
      </c>
      <c r="Q61" s="7">
        <f>IF(COUNTIF(Lookup_Stations!$A$2:$A$33,O61)&gt;0,1,0)</f>
        <v>1</v>
      </c>
      <c r="R61" s="7">
        <f>IF(COUNTIF(Lookup_Stations!$A$2:$A$33,P61)&gt;0,1,0)</f>
        <v>1</v>
      </c>
      <c r="S61" s="7">
        <f>IF(OR(AND(Q61=1,NOT(EXACT(Raw_Bookings!F61,O61))),AND(R61=1,NOT(EXACT(Raw_Bookings!G61,P61)))),1,0)</f>
        <v>0</v>
      </c>
      <c r="T61" s="7">
        <f>IF(OR(Q61=0,R61=0),1,0)</f>
        <v>0</v>
      </c>
      <c r="U61" s="7">
        <f>IF(TRIM(Raw_Bookings!E61&amp;"")="",1,0)</f>
        <v>0</v>
      </c>
      <c r="V61" s="7" t="str">
        <f>IF(SUMPRODUCT(--(Lookup_Status!$A$2:$A$13=LOWER(TRIM(Raw_Bookings!K61))))=0,"",INDEX(Lookup_Status!$B$2:$B$13,SUMPRODUCT((Lookup_Status!$A$2:$A$13=LOWER(TRIM(Raw_Bookings!K61)))*(ROW(Lookup_Status!$A$2:$A$13)-1))))</f>
        <v>Confirmed</v>
      </c>
      <c r="W61" s="7">
        <f>IF(AND(V61&lt;&gt;"",NOT(EXACT(Raw_Bookings!K61,V61))),1,0)</f>
        <v>0</v>
      </c>
      <c r="X61" s="7">
        <f>IF(V61="",1,0)</f>
        <v>0</v>
      </c>
      <c r="Y61" s="7">
        <f>IF(TRIM(Raw_Bookings!L61&amp;"")="",1,0)</f>
        <v>0</v>
      </c>
      <c r="Z61" s="7">
        <f>IF(AND(ISTEXT(Raw_Bookings!L61),Y61=0),1,0)</f>
        <v>1</v>
      </c>
      <c r="AA61" s="7">
        <f>IF(Z61=1,IFERROR(VALUE(SUBSTITUTE(SUBSTITUTE(SUBSTITUTE(SUBSTITUTE(SUBSTITUTE(UPPER(Raw_Bookings!L61),"RS.",""),"₹",""),",","")," ",""),"INR","")),""),"")</f>
        <v/>
      </c>
      <c r="AB61" s="7">
        <f>IF(AND(Z61=1,ISNUMBER(AA61)),1,0)</f>
        <v>0</v>
      </c>
      <c r="AC61" s="7">
        <f>IF(B61=1,0,IF(NOT(ISNUMBER(Raw_Bookings!J61)),1,IF(Raw_Bookings!J61&lt;&gt;COUNTIFS(Work_Passengers!$B$2:$B$1336,Raw_Bookings!A61,Work_Passengers!$C$2:$C$1336,0),1,0)))</f>
        <v>0</v>
      </c>
    </row>
    <row r="62" spans="1:29">
      <c r="A62" s="7">
        <f>Raw_Bookings!A62</f>
        <v>1017579</v>
      </c>
      <c r="B62" s="7">
        <f>IF(COUNTIF(Raw_Bookings!$A$2:A62,Raw_Bookings!A62)&gt;1,1,0)</f>
        <v>0</v>
      </c>
      <c r="C62" s="7" t="str">
        <f>Raw_Bookings!D62&amp;""</f>
        <v>2024-10-23</v>
      </c>
      <c r="D62" s="7" t="str">
        <f>IF(AND(LEN(C62)=10,MID(C62,5,1)="-",MID(C62,8,1)="-"),"ISO",IF(AND(LEN(C62)=10,MID(C62,3,1)="-",MID(C62,6,1)="-"),"DMY","OTHER"))</f>
        <v>ISO</v>
      </c>
      <c r="E62" s="7">
        <f>IF(D62="ISO",VALUE(LEFT(C62,4)),IF(D62="DMY",VALUE(RIGHT(C62,4)),0))</f>
        <v>2024</v>
      </c>
      <c r="F62" s="7">
        <f>IF(D62="ISO",VALUE(MID(C62,6,2)),IF(D62="DMY",VALUE(MID(C62,4,2)),0))</f>
        <v>10</v>
      </c>
      <c r="G62" s="7">
        <f>IF(D62="ISO",VALUE(RIGHT(C62,2)),IF(D62="DMY",VALUE(LEFT(C62,2)),0))</f>
        <v>23</v>
      </c>
      <c r="H62" s="7">
        <f>IF(AND(D62&lt;&gt;"OTHER",F62&gt;=1,F62&lt;=12,G62&gt;=1,G62&lt;=31),IF(AND(MONTH(DATE(E62,F62,G62))=F62,DAY(DATE(E62,F62,G62))=G62),1,0),0)</f>
        <v>1</v>
      </c>
      <c r="I62" s="7">
        <f>IF(H62=1,DATE(E62,F62,G62),"")</f>
        <v>45588.0</v>
      </c>
      <c r="J62" s="7">
        <f>IF(AND(D62="DMY",H62=1),1,0)</f>
        <v>0</v>
      </c>
      <c r="K62" s="7">
        <f>IF(H62=0,1,0)</f>
        <v>0</v>
      </c>
      <c r="L62" s="7">
        <f>IF(TRIM(Raw_Bookings!I62&amp;"")="",1,0)</f>
        <v>0</v>
      </c>
      <c r="M62" s="7">
        <f>IF(L62=1,"",DATEVALUE(LEFT(Raw_Bookings!I62,10))+TIMEVALUE(MID(Raw_Bookings!I62,12,8)))</f>
        <v>45581.78016203704</v>
      </c>
      <c r="N62" s="7">
        <f>IF(AND(L62=0,H62=1),IF(INT(M62)&gt;I62,1,0),0)</f>
        <v>0</v>
      </c>
      <c r="O62" s="7" t="str">
        <f>UPPER(TRIM(Raw_Bookings!F62))</f>
        <v>LUC</v>
      </c>
      <c r="P62" s="7" t="str">
        <f>UPPER(TRIM(Raw_Bookings!G62))</f>
        <v>MUM</v>
      </c>
      <c r="Q62" s="7">
        <f>IF(COUNTIF(Lookup_Stations!$A$2:$A$33,O62)&gt;0,1,0)</f>
        <v>1</v>
      </c>
      <c r="R62" s="7">
        <f>IF(COUNTIF(Lookup_Stations!$A$2:$A$33,P62)&gt;0,1,0)</f>
        <v>1</v>
      </c>
      <c r="S62" s="7">
        <f>IF(OR(AND(Q62=1,NOT(EXACT(Raw_Bookings!F62,O62))),AND(R62=1,NOT(EXACT(Raw_Bookings!G62,P62)))),1,0)</f>
        <v>0</v>
      </c>
      <c r="T62" s="7">
        <f>IF(OR(Q62=0,R62=0),1,0)</f>
        <v>0</v>
      </c>
      <c r="U62" s="7">
        <f>IF(TRIM(Raw_Bookings!E62&amp;"")="",1,0)</f>
        <v>0</v>
      </c>
      <c r="V62" s="7" t="str">
        <f>IF(SUMPRODUCT(--(Lookup_Status!$A$2:$A$13=LOWER(TRIM(Raw_Bookings!K62))))=0,"",INDEX(Lookup_Status!$B$2:$B$13,SUMPRODUCT((Lookup_Status!$A$2:$A$13=LOWER(TRIM(Raw_Bookings!K62)))*(ROW(Lookup_Status!$A$2:$A$13)-1))))</f>
        <v>Confirmed</v>
      </c>
      <c r="W62" s="7">
        <f>IF(AND(V62&lt;&gt;"",NOT(EXACT(Raw_Bookings!K62,V62))),1,0)</f>
        <v>0</v>
      </c>
      <c r="X62" s="7">
        <f>IF(V62="",1,0)</f>
        <v>0</v>
      </c>
      <c r="Y62" s="7">
        <f>IF(TRIM(Raw_Bookings!L62&amp;"")="",1,0)</f>
        <v>0</v>
      </c>
      <c r="Z62" s="7">
        <f>IF(AND(ISTEXT(Raw_Bookings!L62),Y62=0),1,0)</f>
        <v>0</v>
      </c>
      <c r="AA62" s="7">
        <f>IF(Z62=1,IFERROR(VALUE(SUBSTITUTE(SUBSTITUTE(SUBSTITUTE(SUBSTITUTE(SUBSTITUTE(UPPER(Raw_Bookings!L62),"RS.",""),"₹",""),",","")," ",""),"INR","")),""),"")</f>
        <v/>
      </c>
      <c r="AB62" s="7">
        <f>IF(AND(Z62=1,ISNUMBER(AA62)),1,0)</f>
        <v>0</v>
      </c>
      <c r="AC62" s="7">
        <f>IF(B62=1,0,IF(NOT(ISNUMBER(Raw_Bookings!J62)),1,IF(Raw_Bookings!J62&lt;&gt;COUNTIFS(Work_Passengers!$B$2:$B$1336,Raw_Bookings!A62,Work_Passengers!$C$2:$C$1336,0),1,0)))</f>
        <v>0</v>
      </c>
    </row>
    <row r="63" spans="1:29">
      <c r="A63" s="7">
        <f>Raw_Bookings!A63</f>
        <v>1017595</v>
      </c>
      <c r="B63" s="7">
        <f>IF(COUNTIF(Raw_Bookings!$A$2:A63,Raw_Bookings!A63)&gt;1,1,0)</f>
        <v>0</v>
      </c>
      <c r="C63" s="7" t="str">
        <f>Raw_Bookings!D63&amp;""</f>
        <v>2024-12-04</v>
      </c>
      <c r="D63" s="7" t="str">
        <f>IF(AND(LEN(C63)=10,MID(C63,5,1)="-",MID(C63,8,1)="-"),"ISO",IF(AND(LEN(C63)=10,MID(C63,3,1)="-",MID(C63,6,1)="-"),"DMY","OTHER"))</f>
        <v>ISO</v>
      </c>
      <c r="E63" s="7">
        <f>IF(D63="ISO",VALUE(LEFT(C63,4)),IF(D63="DMY",VALUE(RIGHT(C63,4)),0))</f>
        <v>2024</v>
      </c>
      <c r="F63" s="7">
        <f>IF(D63="ISO",VALUE(MID(C63,6,2)),IF(D63="DMY",VALUE(MID(C63,4,2)),0))</f>
        <v>12</v>
      </c>
      <c r="G63" s="7">
        <f>IF(D63="ISO",VALUE(RIGHT(C63,2)),IF(D63="DMY",VALUE(LEFT(C63,2)),0))</f>
        <v>4</v>
      </c>
      <c r="H63" s="7">
        <f>IF(AND(D63&lt;&gt;"OTHER",F63&gt;=1,F63&lt;=12,G63&gt;=1,G63&lt;=31),IF(AND(MONTH(DATE(E63,F63,G63))=F63,DAY(DATE(E63,F63,G63))=G63),1,0),0)</f>
        <v>1</v>
      </c>
      <c r="I63" s="7">
        <f>IF(H63=1,DATE(E63,F63,G63),"")</f>
        <v>45630.0</v>
      </c>
      <c r="J63" s="7">
        <f>IF(AND(D63="DMY",H63=1),1,0)</f>
        <v>0</v>
      </c>
      <c r="K63" s="7">
        <f>IF(H63=0,1,0)</f>
        <v>0</v>
      </c>
      <c r="L63" s="7">
        <f>IF(TRIM(Raw_Bookings!I63&amp;"")="",1,0)</f>
        <v>0</v>
      </c>
      <c r="M63" s="7">
        <f>IF(L63=1,"",DATEVALUE(LEFT(Raw_Bookings!I63,10))+TIMEVALUE(MID(Raw_Bookings!I63,12,8)))</f>
        <v>45581.83184027778</v>
      </c>
      <c r="N63" s="7">
        <f>IF(AND(L63=0,H63=1),IF(INT(M63)&gt;I63,1,0),0)</f>
        <v>0</v>
      </c>
      <c r="O63" s="7" t="str">
        <f>UPPER(TRIM(Raw_Bookings!F63))</f>
        <v>RAI</v>
      </c>
      <c r="P63" s="7" t="str">
        <f>UPPER(TRIM(Raw_Bookings!G63))</f>
        <v>JAI</v>
      </c>
      <c r="Q63" s="7">
        <f>IF(COUNTIF(Lookup_Stations!$A$2:$A$33,O63)&gt;0,1,0)</f>
        <v>1</v>
      </c>
      <c r="R63" s="7">
        <f>IF(COUNTIF(Lookup_Stations!$A$2:$A$33,P63)&gt;0,1,0)</f>
        <v>1</v>
      </c>
      <c r="S63" s="7">
        <f>IF(OR(AND(Q63=1,NOT(EXACT(Raw_Bookings!F63,O63))),AND(R63=1,NOT(EXACT(Raw_Bookings!G63,P63)))),1,0)</f>
        <v>1</v>
      </c>
      <c r="T63" s="7">
        <f>IF(OR(Q63=0,R63=0),1,0)</f>
        <v>0</v>
      </c>
      <c r="U63" s="7">
        <f>IF(TRIM(Raw_Bookings!E63&amp;"")="",1,0)</f>
        <v>0</v>
      </c>
      <c r="V63" s="7" t="str">
        <f>IF(SUMPRODUCT(--(Lookup_Status!$A$2:$A$13=LOWER(TRIM(Raw_Bookings!K63))))=0,"",INDEX(Lookup_Status!$B$2:$B$13,SUMPRODUCT((Lookup_Status!$A$2:$A$13=LOWER(TRIM(Raw_Bookings!K63)))*(ROW(Lookup_Status!$A$2:$A$13)-1))))</f>
        <v>Confirmed</v>
      </c>
      <c r="W63" s="7">
        <f>IF(AND(V63&lt;&gt;"",NOT(EXACT(Raw_Bookings!K63,V63))),1,0)</f>
        <v>0</v>
      </c>
      <c r="X63" s="7">
        <f>IF(V63="",1,0)</f>
        <v>0</v>
      </c>
      <c r="Y63" s="7">
        <f>IF(TRIM(Raw_Bookings!L63&amp;"")="",1,0)</f>
        <v>0</v>
      </c>
      <c r="Z63" s="7">
        <f>IF(AND(ISTEXT(Raw_Bookings!L63),Y63=0),1,0)</f>
        <v>0</v>
      </c>
      <c r="AA63" s="7">
        <f>IF(Z63=1,IFERROR(VALUE(SUBSTITUTE(SUBSTITUTE(SUBSTITUTE(SUBSTITUTE(SUBSTITUTE(UPPER(Raw_Bookings!L63),"RS.",""),"₹",""),",","")," ",""),"INR","")),""),"")</f>
        <v/>
      </c>
      <c r="AB63" s="7">
        <f>IF(AND(Z63=1,ISNUMBER(AA63)),1,0)</f>
        <v>0</v>
      </c>
      <c r="AC63" s="7">
        <f>IF(B63=1,0,IF(NOT(ISNUMBER(Raw_Bookings!J63)),1,IF(Raw_Bookings!J63&lt;&gt;COUNTIFS(Work_Passengers!$B$2:$B$1336,Raw_Bookings!A63,Work_Passengers!$C$2:$C$1336,0),1,0)))</f>
        <v>0</v>
      </c>
    </row>
    <row r="64" spans="1:29">
      <c r="A64" s="7">
        <f>Raw_Bookings!A64</f>
        <v>1018391</v>
      </c>
      <c r="B64" s="7">
        <f>IF(COUNTIF(Raw_Bookings!$A$2:A64,Raw_Bookings!A64)&gt;1,1,0)</f>
        <v>0</v>
      </c>
      <c r="C64" s="7" t="str">
        <f>Raw_Bookings!D64&amp;""</f>
        <v>2024-11-15</v>
      </c>
      <c r="D64" s="7" t="str">
        <f>IF(AND(LEN(C64)=10,MID(C64,5,1)="-",MID(C64,8,1)="-"),"ISO",IF(AND(LEN(C64)=10,MID(C64,3,1)="-",MID(C64,6,1)="-"),"DMY","OTHER"))</f>
        <v>ISO</v>
      </c>
      <c r="E64" s="7">
        <f>IF(D64="ISO",VALUE(LEFT(C64,4)),IF(D64="DMY",VALUE(RIGHT(C64,4)),0))</f>
        <v>2024</v>
      </c>
      <c r="F64" s="7">
        <f>IF(D64="ISO",VALUE(MID(C64,6,2)),IF(D64="DMY",VALUE(MID(C64,4,2)),0))</f>
        <v>11</v>
      </c>
      <c r="G64" s="7">
        <f>IF(D64="ISO",VALUE(RIGHT(C64,2)),IF(D64="DMY",VALUE(LEFT(C64,2)),0))</f>
        <v>15</v>
      </c>
      <c r="H64" s="7">
        <f>IF(AND(D64&lt;&gt;"OTHER",F64&gt;=1,F64&lt;=12,G64&gt;=1,G64&lt;=31),IF(AND(MONTH(DATE(E64,F64,G64))=F64,DAY(DATE(E64,F64,G64))=G64),1,0),0)</f>
        <v>1</v>
      </c>
      <c r="I64" s="7">
        <f>IF(H64=1,DATE(E64,F64,G64),"")</f>
        <v>45611.0</v>
      </c>
      <c r="J64" s="7">
        <f>IF(AND(D64="DMY",H64=1),1,0)</f>
        <v>0</v>
      </c>
      <c r="K64" s="7">
        <f>IF(H64=0,1,0)</f>
        <v>0</v>
      </c>
      <c r="L64" s="7">
        <f>IF(TRIM(Raw_Bookings!I64&amp;"")="",1,0)</f>
        <v>0</v>
      </c>
      <c r="M64" s="7">
        <f>IF(L64=1,"",DATEVALUE(LEFT(Raw_Bookings!I64,10))+TIMEVALUE(MID(Raw_Bookings!I64,12,8)))</f>
        <v>45584.86072916666</v>
      </c>
      <c r="N64" s="7">
        <f>IF(AND(L64=0,H64=1),IF(INT(M64)&gt;I64,1,0),0)</f>
        <v>0</v>
      </c>
      <c r="O64" s="7" t="str">
        <f>UPPER(TRIM(Raw_Bookings!F64))</f>
        <v>MUM</v>
      </c>
      <c r="P64" s="7" t="str">
        <f>UPPER(TRIM(Raw_Bookings!G64))</f>
        <v>LUC</v>
      </c>
      <c r="Q64" s="7">
        <f>IF(COUNTIF(Lookup_Stations!$A$2:$A$33,O64)&gt;0,1,0)</f>
        <v>1</v>
      </c>
      <c r="R64" s="7">
        <f>IF(COUNTIF(Lookup_Stations!$A$2:$A$33,P64)&gt;0,1,0)</f>
        <v>1</v>
      </c>
      <c r="S64" s="7">
        <f>IF(OR(AND(Q64=1,NOT(EXACT(Raw_Bookings!F64,O64))),AND(R64=1,NOT(EXACT(Raw_Bookings!G64,P64)))),1,0)</f>
        <v>0</v>
      </c>
      <c r="T64" s="7">
        <f>IF(OR(Q64=0,R64=0),1,0)</f>
        <v>0</v>
      </c>
      <c r="U64" s="7">
        <f>IF(TRIM(Raw_Bookings!E64&amp;"")="",1,0)</f>
        <v>0</v>
      </c>
      <c r="V64" s="7" t="str">
        <f>IF(SUMPRODUCT(--(Lookup_Status!$A$2:$A$13=LOWER(TRIM(Raw_Bookings!K64))))=0,"",INDEX(Lookup_Status!$B$2:$B$13,SUMPRODUCT((Lookup_Status!$A$2:$A$13=LOWER(TRIM(Raw_Bookings!K64)))*(ROW(Lookup_Status!$A$2:$A$13)-1))))</f>
        <v>Confirmed</v>
      </c>
      <c r="W64" s="7">
        <f>IF(AND(V64&lt;&gt;"",NOT(EXACT(Raw_Bookings!K64,V64))),1,0)</f>
        <v>0</v>
      </c>
      <c r="X64" s="7">
        <f>IF(V64="",1,0)</f>
        <v>0</v>
      </c>
      <c r="Y64" s="7">
        <f>IF(TRIM(Raw_Bookings!L64&amp;"")="",1,0)</f>
        <v>0</v>
      </c>
      <c r="Z64" s="7">
        <f>IF(AND(ISTEXT(Raw_Bookings!L64),Y64=0),1,0)</f>
        <v>0</v>
      </c>
      <c r="AA64" s="7">
        <f>IF(Z64=1,IFERROR(VALUE(SUBSTITUTE(SUBSTITUTE(SUBSTITUTE(SUBSTITUTE(SUBSTITUTE(UPPER(Raw_Bookings!L64),"RS.",""),"₹",""),",","")," ",""),"INR","")),""),"")</f>
        <v/>
      </c>
      <c r="AB64" s="7">
        <f>IF(AND(Z64=1,ISNUMBER(AA64)),1,0)</f>
        <v>0</v>
      </c>
      <c r="AC64" s="7">
        <f>IF(B64=1,0,IF(NOT(ISNUMBER(Raw_Bookings!J64)),1,IF(Raw_Bookings!J64&lt;&gt;COUNTIFS(Work_Passengers!$B$2:$B$1336,Raw_Bookings!A64,Work_Passengers!$C$2:$C$1336,0),1,0)))</f>
        <v>0</v>
      </c>
    </row>
    <row r="65" spans="1:29">
      <c r="A65" s="7">
        <f>Raw_Bookings!A65</f>
        <v>1019199</v>
      </c>
      <c r="B65" s="7">
        <f>IF(COUNTIF(Raw_Bookings!$A$2:A65,Raw_Bookings!A65)&gt;1,1,0)</f>
        <v>0</v>
      </c>
      <c r="C65" s="7" t="str">
        <f>Raw_Bookings!D65&amp;""</f>
        <v>2024-11-03</v>
      </c>
      <c r="D65" s="7" t="str">
        <f>IF(AND(LEN(C65)=10,MID(C65,5,1)="-",MID(C65,8,1)="-"),"ISO",IF(AND(LEN(C65)=10,MID(C65,3,1)="-",MID(C65,6,1)="-"),"DMY","OTHER"))</f>
        <v>ISO</v>
      </c>
      <c r="E65" s="7">
        <f>IF(D65="ISO",VALUE(LEFT(C65,4)),IF(D65="DMY",VALUE(RIGHT(C65,4)),0))</f>
        <v>2024</v>
      </c>
      <c r="F65" s="7">
        <f>IF(D65="ISO",VALUE(MID(C65,6,2)),IF(D65="DMY",VALUE(MID(C65,4,2)),0))</f>
        <v>11</v>
      </c>
      <c r="G65" s="7">
        <f>IF(D65="ISO",VALUE(RIGHT(C65,2)),IF(D65="DMY",VALUE(LEFT(C65,2)),0))</f>
        <v>3</v>
      </c>
      <c r="H65" s="7">
        <f>IF(AND(D65&lt;&gt;"OTHER",F65&gt;=1,F65&lt;=12,G65&gt;=1,G65&lt;=31),IF(AND(MONTH(DATE(E65,F65,G65))=F65,DAY(DATE(E65,F65,G65))=G65),1,0),0)</f>
        <v>1</v>
      </c>
      <c r="I65" s="7">
        <f>IF(H65=1,DATE(E65,F65,G65),"")</f>
        <v>45599.0</v>
      </c>
      <c r="J65" s="7">
        <f>IF(AND(D65="DMY",H65=1),1,0)</f>
        <v>0</v>
      </c>
      <c r="K65" s="7">
        <f>IF(H65=0,1,0)</f>
        <v>0</v>
      </c>
      <c r="L65" s="7">
        <f>IF(TRIM(Raw_Bookings!I65&amp;"")="",1,0)</f>
        <v>0</v>
      </c>
      <c r="M65" s="7">
        <f>IF(L65=1,"",DATEVALUE(LEFT(Raw_Bookings!I65,10))+TIMEVALUE(MID(Raw_Bookings!I65,12,8)))</f>
        <v>45587.57730324074</v>
      </c>
      <c r="N65" s="7">
        <f>IF(AND(L65=0,H65=1),IF(INT(M65)&gt;I65,1,0),0)</f>
        <v>0</v>
      </c>
      <c r="O65" s="7" t="str">
        <f>UPPER(TRIM(Raw_Bookings!F65))</f>
        <v>MAU</v>
      </c>
      <c r="P65" s="7" t="str">
        <f>UPPER(TRIM(Raw_Bookings!G65))</f>
        <v>DEL</v>
      </c>
      <c r="Q65" s="7">
        <f>IF(COUNTIF(Lookup_Stations!$A$2:$A$33,O65)&gt;0,1,0)</f>
        <v>1</v>
      </c>
      <c r="R65" s="7">
        <f>IF(COUNTIF(Lookup_Stations!$A$2:$A$33,P65)&gt;0,1,0)</f>
        <v>1</v>
      </c>
      <c r="S65" s="7">
        <f>IF(OR(AND(Q65=1,NOT(EXACT(Raw_Bookings!F65,O65))),AND(R65=1,NOT(EXACT(Raw_Bookings!G65,P65)))),1,0)</f>
        <v>0</v>
      </c>
      <c r="T65" s="7">
        <f>IF(OR(Q65=0,R65=0),1,0)</f>
        <v>0</v>
      </c>
      <c r="U65" s="7">
        <f>IF(TRIM(Raw_Bookings!E65&amp;"")="",1,0)</f>
        <v>0</v>
      </c>
      <c r="V65" s="7" t="str">
        <f>IF(SUMPRODUCT(--(Lookup_Status!$A$2:$A$13=LOWER(TRIM(Raw_Bookings!K65))))=0,"",INDEX(Lookup_Status!$B$2:$B$13,SUMPRODUCT((Lookup_Status!$A$2:$A$13=LOWER(TRIM(Raw_Bookings!K65)))*(ROW(Lookup_Status!$A$2:$A$13)-1))))</f>
        <v>Waitlisted</v>
      </c>
      <c r="W65" s="7">
        <f>IF(AND(V65&lt;&gt;"",NOT(EXACT(Raw_Bookings!K65,V65))),1,0)</f>
        <v>0</v>
      </c>
      <c r="X65" s="7">
        <f>IF(V65="",1,0)</f>
        <v>0</v>
      </c>
      <c r="Y65" s="7">
        <f>IF(TRIM(Raw_Bookings!L65&amp;"")="",1,0)</f>
        <v>0</v>
      </c>
      <c r="Z65" s="7">
        <f>IF(AND(ISTEXT(Raw_Bookings!L65),Y65=0),1,0)</f>
        <v>0</v>
      </c>
      <c r="AA65" s="7">
        <f>IF(Z65=1,IFERROR(VALUE(SUBSTITUTE(SUBSTITUTE(SUBSTITUTE(SUBSTITUTE(SUBSTITUTE(UPPER(Raw_Bookings!L65),"RS.",""),"₹",""),",","")," ",""),"INR","")),""),"")</f>
        <v/>
      </c>
      <c r="AB65" s="7">
        <f>IF(AND(Z65=1,ISNUMBER(AA65)),1,0)</f>
        <v>0</v>
      </c>
      <c r="AC65" s="7">
        <f>IF(B65=1,0,IF(NOT(ISNUMBER(Raw_Bookings!J65)),1,IF(Raw_Bookings!J65&lt;&gt;COUNTIFS(Work_Passengers!$B$2:$B$1336,Raw_Bookings!A65,Work_Passengers!$C$2:$C$1336,0),1,0)))</f>
        <v>0</v>
      </c>
    </row>
    <row r="66" spans="1:29">
      <c r="A66" s="7">
        <f>Raw_Bookings!A66</f>
        <v>1019981</v>
      </c>
      <c r="B66" s="7">
        <f>IF(COUNTIF(Raw_Bookings!$A$2:A66,Raw_Bookings!A66)&gt;1,1,0)</f>
        <v>0</v>
      </c>
      <c r="C66" s="7" t="str">
        <f>Raw_Bookings!D66&amp;""</f>
        <v>2024-10-25</v>
      </c>
      <c r="D66" s="7" t="str">
        <f>IF(AND(LEN(C66)=10,MID(C66,5,1)="-",MID(C66,8,1)="-"),"ISO",IF(AND(LEN(C66)=10,MID(C66,3,1)="-",MID(C66,6,1)="-"),"DMY","OTHER"))</f>
        <v>ISO</v>
      </c>
      <c r="E66" s="7">
        <f>IF(D66="ISO",VALUE(LEFT(C66,4)),IF(D66="DMY",VALUE(RIGHT(C66,4)),0))</f>
        <v>2024</v>
      </c>
      <c r="F66" s="7">
        <f>IF(D66="ISO",VALUE(MID(C66,6,2)),IF(D66="DMY",VALUE(MID(C66,4,2)),0))</f>
        <v>10</v>
      </c>
      <c r="G66" s="7">
        <f>IF(D66="ISO",VALUE(RIGHT(C66,2)),IF(D66="DMY",VALUE(LEFT(C66,2)),0))</f>
        <v>25</v>
      </c>
      <c r="H66" s="7">
        <f>IF(AND(D66&lt;&gt;"OTHER",F66&gt;=1,F66&lt;=12,G66&gt;=1,G66&lt;=31),IF(AND(MONTH(DATE(E66,F66,G66))=F66,DAY(DATE(E66,F66,G66))=G66),1,0),0)</f>
        <v>1</v>
      </c>
      <c r="I66" s="7">
        <f>IF(H66=1,DATE(E66,F66,G66),"")</f>
        <v>45590.0</v>
      </c>
      <c r="J66" s="7">
        <f>IF(AND(D66="DMY",H66=1),1,0)</f>
        <v>0</v>
      </c>
      <c r="K66" s="7">
        <f>IF(H66=0,1,0)</f>
        <v>0</v>
      </c>
      <c r="L66" s="7">
        <f>IF(TRIM(Raw_Bookings!I66&amp;"")="",1,0)</f>
        <v>0</v>
      </c>
      <c r="M66" s="7">
        <f>IF(L66=1,"",DATEVALUE(LEFT(Raw_Bookings!I66,10))+TIMEVALUE(MID(Raw_Bookings!I66,12,8)))</f>
        <v>45589.96892361111</v>
      </c>
      <c r="N66" s="7">
        <f>IF(AND(L66=0,H66=1),IF(INT(M66)&gt;I66,1,0),0)</f>
        <v>0</v>
      </c>
      <c r="O66" s="7" t="str">
        <f>UPPER(TRIM(Raw_Bookings!F66))</f>
        <v>THI</v>
      </c>
      <c r="P66" s="7" t="str">
        <f>UPPER(TRIM(Raw_Bookings!G66))</f>
        <v>NAG</v>
      </c>
      <c r="Q66" s="7">
        <f>IF(COUNTIF(Lookup_Stations!$A$2:$A$33,O66)&gt;0,1,0)</f>
        <v>1</v>
      </c>
      <c r="R66" s="7">
        <f>IF(COUNTIF(Lookup_Stations!$A$2:$A$33,P66)&gt;0,1,0)</f>
        <v>1</v>
      </c>
      <c r="S66" s="7">
        <f>IF(OR(AND(Q66=1,NOT(EXACT(Raw_Bookings!F66,O66))),AND(R66=1,NOT(EXACT(Raw_Bookings!G66,P66)))),1,0)</f>
        <v>0</v>
      </c>
      <c r="T66" s="7">
        <f>IF(OR(Q66=0,R66=0),1,0)</f>
        <v>0</v>
      </c>
      <c r="U66" s="7">
        <f>IF(TRIM(Raw_Bookings!E66&amp;"")="",1,0)</f>
        <v>0</v>
      </c>
      <c r="V66" s="7" t="str">
        <f>IF(SUMPRODUCT(--(Lookup_Status!$A$2:$A$13=LOWER(TRIM(Raw_Bookings!K66))))=0,"",INDEX(Lookup_Status!$B$2:$B$13,SUMPRODUCT((Lookup_Status!$A$2:$A$13=LOWER(TRIM(Raw_Bookings!K66)))*(ROW(Lookup_Status!$A$2:$A$13)-1))))</f>
        <v>Confirmed</v>
      </c>
      <c r="W66" s="7">
        <f>IF(AND(V66&lt;&gt;"",NOT(EXACT(Raw_Bookings!K66,V66))),1,0)</f>
        <v>0</v>
      </c>
      <c r="X66" s="7">
        <f>IF(V66="",1,0)</f>
        <v>0</v>
      </c>
      <c r="Y66" s="7">
        <f>IF(TRIM(Raw_Bookings!L66&amp;"")="",1,0)</f>
        <v>0</v>
      </c>
      <c r="Z66" s="7">
        <f>IF(AND(ISTEXT(Raw_Bookings!L66),Y66=0),1,0)</f>
        <v>0</v>
      </c>
      <c r="AA66" s="7">
        <f>IF(Z66=1,IFERROR(VALUE(SUBSTITUTE(SUBSTITUTE(SUBSTITUTE(SUBSTITUTE(SUBSTITUTE(UPPER(Raw_Bookings!L66),"RS.",""),"₹",""),",","")," ",""),"INR","")),""),"")</f>
        <v/>
      </c>
      <c r="AB66" s="7">
        <f>IF(AND(Z66=1,ISNUMBER(AA66)),1,0)</f>
        <v>0</v>
      </c>
      <c r="AC66" s="7">
        <f>IF(B66=1,0,IF(NOT(ISNUMBER(Raw_Bookings!J66)),1,IF(Raw_Bookings!J66&lt;&gt;COUNTIFS(Work_Passengers!$B$2:$B$1336,Raw_Bookings!A66,Work_Passengers!$C$2:$C$1336,0),1,0)))</f>
        <v>0</v>
      </c>
    </row>
    <row r="67" spans="1:29">
      <c r="A67" s="7">
        <f>Raw_Bookings!A67</f>
        <v>1020492</v>
      </c>
      <c r="B67" s="7">
        <f>IF(COUNTIF(Raw_Bookings!$A$2:A67,Raw_Bookings!A67)&gt;1,1,0)</f>
        <v>0</v>
      </c>
      <c r="C67" s="7" t="str">
        <f>Raw_Bookings!D67&amp;""</f>
        <v>2024-10-30</v>
      </c>
      <c r="D67" s="7" t="str">
        <f>IF(AND(LEN(C67)=10,MID(C67,5,1)="-",MID(C67,8,1)="-"),"ISO",IF(AND(LEN(C67)=10,MID(C67,3,1)="-",MID(C67,6,1)="-"),"DMY","OTHER"))</f>
        <v>ISO</v>
      </c>
      <c r="E67" s="7">
        <f>IF(D67="ISO",VALUE(LEFT(C67,4)),IF(D67="DMY",VALUE(RIGHT(C67,4)),0))</f>
        <v>2024</v>
      </c>
      <c r="F67" s="7">
        <f>IF(D67="ISO",VALUE(MID(C67,6,2)),IF(D67="DMY",VALUE(MID(C67,4,2)),0))</f>
        <v>10</v>
      </c>
      <c r="G67" s="7">
        <f>IF(D67="ISO",VALUE(RIGHT(C67,2)),IF(D67="DMY",VALUE(LEFT(C67,2)),0))</f>
        <v>30</v>
      </c>
      <c r="H67" s="7">
        <f>IF(AND(D67&lt;&gt;"OTHER",F67&gt;=1,F67&lt;=12,G67&gt;=1,G67&lt;=31),IF(AND(MONTH(DATE(E67,F67,G67))=F67,DAY(DATE(E67,F67,G67))=G67),1,0),0)</f>
        <v>1</v>
      </c>
      <c r="I67" s="7">
        <f>IF(H67=1,DATE(E67,F67,G67),"")</f>
        <v>45595.0</v>
      </c>
      <c r="J67" s="7">
        <f>IF(AND(D67="DMY",H67=1),1,0)</f>
        <v>0</v>
      </c>
      <c r="K67" s="7">
        <f>IF(H67=0,1,0)</f>
        <v>0</v>
      </c>
      <c r="L67" s="7">
        <f>IF(TRIM(Raw_Bookings!I67&amp;"")="",1,0)</f>
        <v>0</v>
      </c>
      <c r="M67" s="7">
        <f>IF(L67=1,"",DATEVALUE(LEFT(Raw_Bookings!I67,10))+TIMEVALUE(MID(Raw_Bookings!I67,12,8)))</f>
        <v>45591.84324074074</v>
      </c>
      <c r="N67" s="7">
        <f>IF(AND(L67=0,H67=1),IF(INT(M67)&gt;I67,1,0),0)</f>
        <v>0</v>
      </c>
      <c r="O67" s="7" t="str">
        <f>UPPER(TRIM(Raw_Bookings!F67))</f>
        <v>AHM</v>
      </c>
      <c r="P67" s="7" t="str">
        <f>UPPER(TRIM(Raw_Bookings!G67))</f>
        <v>CHE</v>
      </c>
      <c r="Q67" s="7">
        <f>IF(COUNTIF(Lookup_Stations!$A$2:$A$33,O67)&gt;0,1,0)</f>
        <v>1</v>
      </c>
      <c r="R67" s="7">
        <f>IF(COUNTIF(Lookup_Stations!$A$2:$A$33,P67)&gt;0,1,0)</f>
        <v>1</v>
      </c>
      <c r="S67" s="7">
        <f>IF(OR(AND(Q67=1,NOT(EXACT(Raw_Bookings!F67,O67))),AND(R67=1,NOT(EXACT(Raw_Bookings!G67,P67)))),1,0)</f>
        <v>0</v>
      </c>
      <c r="T67" s="7">
        <f>IF(OR(Q67=0,R67=0),1,0)</f>
        <v>0</v>
      </c>
      <c r="U67" s="7">
        <f>IF(TRIM(Raw_Bookings!E67&amp;"")="",1,0)</f>
        <v>0</v>
      </c>
      <c r="V67" s="7" t="str">
        <f>IF(SUMPRODUCT(--(Lookup_Status!$A$2:$A$13=LOWER(TRIM(Raw_Bookings!K67))))=0,"",INDEX(Lookup_Status!$B$2:$B$13,SUMPRODUCT((Lookup_Status!$A$2:$A$13=LOWER(TRIM(Raw_Bookings!K67)))*(ROW(Lookup_Status!$A$2:$A$13)-1))))</f>
        <v>RAC</v>
      </c>
      <c r="W67" s="7">
        <f>IF(AND(V67&lt;&gt;"",NOT(EXACT(Raw_Bookings!K67,V67))),1,0)</f>
        <v>0</v>
      </c>
      <c r="X67" s="7">
        <f>IF(V67="",1,0)</f>
        <v>0</v>
      </c>
      <c r="Y67" s="7">
        <f>IF(TRIM(Raw_Bookings!L67&amp;"")="",1,0)</f>
        <v>0</v>
      </c>
      <c r="Z67" s="7">
        <f>IF(AND(ISTEXT(Raw_Bookings!L67),Y67=0),1,0)</f>
        <v>0</v>
      </c>
      <c r="AA67" s="7">
        <f>IF(Z67=1,IFERROR(VALUE(SUBSTITUTE(SUBSTITUTE(SUBSTITUTE(SUBSTITUTE(SUBSTITUTE(UPPER(Raw_Bookings!L67),"RS.",""),"₹",""),",","")," ",""),"INR","")),""),"")</f>
        <v/>
      </c>
      <c r="AB67" s="7">
        <f>IF(AND(Z67=1,ISNUMBER(AA67)),1,0)</f>
        <v>0</v>
      </c>
      <c r="AC67" s="7">
        <f>IF(B67=1,0,IF(NOT(ISNUMBER(Raw_Bookings!J67)),1,IF(Raw_Bookings!J67&lt;&gt;COUNTIFS(Work_Passengers!$B$2:$B$1336,Raw_Bookings!A67,Work_Passengers!$C$2:$C$1336,0),1,0)))</f>
        <v>0</v>
      </c>
    </row>
    <row r="68" spans="1:29">
      <c r="A68" s="7">
        <f>Raw_Bookings!A68</f>
        <v>1020992</v>
      </c>
      <c r="B68" s="7">
        <f>IF(COUNTIF(Raw_Bookings!$A$2:A68,Raw_Bookings!A68)&gt;1,1,0)</f>
        <v>0</v>
      </c>
      <c r="C68" s="7" t="str">
        <f>Raw_Bookings!D68&amp;""</f>
        <v>2024-11-25</v>
      </c>
      <c r="D68" s="7" t="str">
        <f>IF(AND(LEN(C68)=10,MID(C68,5,1)="-",MID(C68,8,1)="-"),"ISO",IF(AND(LEN(C68)=10,MID(C68,3,1)="-",MID(C68,6,1)="-"),"DMY","OTHER"))</f>
        <v>ISO</v>
      </c>
      <c r="E68" s="7">
        <f>IF(D68="ISO",VALUE(LEFT(C68,4)),IF(D68="DMY",VALUE(RIGHT(C68,4)),0))</f>
        <v>2024</v>
      </c>
      <c r="F68" s="7">
        <f>IF(D68="ISO",VALUE(MID(C68,6,2)),IF(D68="DMY",VALUE(MID(C68,4,2)),0))</f>
        <v>11</v>
      </c>
      <c r="G68" s="7">
        <f>IF(D68="ISO",VALUE(RIGHT(C68,2)),IF(D68="DMY",VALUE(LEFT(C68,2)),0))</f>
        <v>25</v>
      </c>
      <c r="H68" s="7">
        <f>IF(AND(D68&lt;&gt;"OTHER",F68&gt;=1,F68&lt;=12,G68&gt;=1,G68&lt;=31),IF(AND(MONTH(DATE(E68,F68,G68))=F68,DAY(DATE(E68,F68,G68))=G68),1,0),0)</f>
        <v>1</v>
      </c>
      <c r="I68" s="7">
        <f>IF(H68=1,DATE(E68,F68,G68),"")</f>
        <v>45621.0</v>
      </c>
      <c r="J68" s="7">
        <f>IF(AND(D68="DMY",H68=1),1,0)</f>
        <v>0</v>
      </c>
      <c r="K68" s="7">
        <f>IF(H68=0,1,0)</f>
        <v>0</v>
      </c>
      <c r="L68" s="7">
        <f>IF(TRIM(Raw_Bookings!I68&amp;"")="",1,0)</f>
        <v>0</v>
      </c>
      <c r="M68" s="7">
        <f>IF(L68=1,"",DATEVALUE(LEFT(Raw_Bookings!I68,10))+TIMEVALUE(MID(Raw_Bookings!I68,12,8)))</f>
        <v>45593.62594907408</v>
      </c>
      <c r="N68" s="7">
        <f>IF(AND(L68=0,H68=1),IF(INT(M68)&gt;I68,1,0),0)</f>
        <v>0</v>
      </c>
      <c r="O68" s="7" t="str">
        <f>UPPER(TRIM(Raw_Bookings!F68))</f>
        <v>KOL</v>
      </c>
      <c r="P68" s="7" t="str">
        <f>UPPER(TRIM(Raw_Bookings!G68))</f>
        <v>HYD</v>
      </c>
      <c r="Q68" s="7">
        <f>IF(COUNTIF(Lookup_Stations!$A$2:$A$33,O68)&gt;0,1,0)</f>
        <v>1</v>
      </c>
      <c r="R68" s="7">
        <f>IF(COUNTIF(Lookup_Stations!$A$2:$A$33,P68)&gt;0,1,0)</f>
        <v>1</v>
      </c>
      <c r="S68" s="7">
        <f>IF(OR(AND(Q68=1,NOT(EXACT(Raw_Bookings!F68,O68))),AND(R68=1,NOT(EXACT(Raw_Bookings!G68,P68)))),1,0)</f>
        <v>0</v>
      </c>
      <c r="T68" s="7">
        <f>IF(OR(Q68=0,R68=0),1,0)</f>
        <v>0</v>
      </c>
      <c r="U68" s="7">
        <f>IF(TRIM(Raw_Bookings!E68&amp;"")="",1,0)</f>
        <v>0</v>
      </c>
      <c r="V68" s="7" t="str">
        <f>IF(SUMPRODUCT(--(Lookup_Status!$A$2:$A$13=LOWER(TRIM(Raw_Bookings!K68))))=0,"",INDEX(Lookup_Status!$B$2:$B$13,SUMPRODUCT((Lookup_Status!$A$2:$A$13=LOWER(TRIM(Raw_Bookings!K68)))*(ROW(Lookup_Status!$A$2:$A$13)-1))))</f>
        <v>Confirmed</v>
      </c>
      <c r="W68" s="7">
        <f>IF(AND(V68&lt;&gt;"",NOT(EXACT(Raw_Bookings!K68,V68))),1,0)</f>
        <v>0</v>
      </c>
      <c r="X68" s="7">
        <f>IF(V68="",1,0)</f>
        <v>0</v>
      </c>
      <c r="Y68" s="7">
        <f>IF(TRIM(Raw_Bookings!L68&amp;"")="",1,0)</f>
        <v>0</v>
      </c>
      <c r="Z68" s="7">
        <f>IF(AND(ISTEXT(Raw_Bookings!L68),Y68=0),1,0)</f>
        <v>0</v>
      </c>
      <c r="AA68" s="7">
        <f>IF(Z68=1,IFERROR(VALUE(SUBSTITUTE(SUBSTITUTE(SUBSTITUTE(SUBSTITUTE(SUBSTITUTE(UPPER(Raw_Bookings!L68),"RS.",""),"₹",""),",","")," ",""),"INR","")),""),"")</f>
        <v/>
      </c>
      <c r="AB68" s="7">
        <f>IF(AND(Z68=1,ISNUMBER(AA68)),1,0)</f>
        <v>0</v>
      </c>
      <c r="AC68" s="7">
        <f>IF(B68=1,0,IF(NOT(ISNUMBER(Raw_Bookings!J68)),1,IF(Raw_Bookings!J68&lt;&gt;COUNTIFS(Work_Passengers!$B$2:$B$1336,Raw_Bookings!A68,Work_Passengers!$C$2:$C$1336,0),1,0)))</f>
        <v>0</v>
      </c>
    </row>
    <row r="69" spans="1:29">
      <c r="A69" s="7">
        <f>Raw_Bookings!A69</f>
        <v>1021010</v>
      </c>
      <c r="B69" s="7">
        <f>IF(COUNTIF(Raw_Bookings!$A$2:A69,Raw_Bookings!A69)&gt;1,1,0)</f>
        <v>0</v>
      </c>
      <c r="C69" s="7" t="str">
        <f>Raw_Bookings!D69&amp;""</f>
        <v>2024-11-24</v>
      </c>
      <c r="D69" s="7" t="str">
        <f>IF(AND(LEN(C69)=10,MID(C69,5,1)="-",MID(C69,8,1)="-"),"ISO",IF(AND(LEN(C69)=10,MID(C69,3,1)="-",MID(C69,6,1)="-"),"DMY","OTHER"))</f>
        <v>ISO</v>
      </c>
      <c r="E69" s="7">
        <f>IF(D69="ISO",VALUE(LEFT(C69,4)),IF(D69="DMY",VALUE(RIGHT(C69,4)),0))</f>
        <v>2024</v>
      </c>
      <c r="F69" s="7">
        <f>IF(D69="ISO",VALUE(MID(C69,6,2)),IF(D69="DMY",VALUE(MID(C69,4,2)),0))</f>
        <v>11</v>
      </c>
      <c r="G69" s="7">
        <f>IF(D69="ISO",VALUE(RIGHT(C69,2)),IF(D69="DMY",VALUE(LEFT(C69,2)),0))</f>
        <v>24</v>
      </c>
      <c r="H69" s="7">
        <f>IF(AND(D69&lt;&gt;"OTHER",F69&gt;=1,F69&lt;=12,G69&gt;=1,G69&lt;=31),IF(AND(MONTH(DATE(E69,F69,G69))=F69,DAY(DATE(E69,F69,G69))=G69),1,0),0)</f>
        <v>1</v>
      </c>
      <c r="I69" s="7">
        <f>IF(H69=1,DATE(E69,F69,G69),"")</f>
        <v>45620.0</v>
      </c>
      <c r="J69" s="7">
        <f>IF(AND(D69="DMY",H69=1),1,0)</f>
        <v>0</v>
      </c>
      <c r="K69" s="7">
        <f>IF(H69=0,1,0)</f>
        <v>0</v>
      </c>
      <c r="L69" s="7">
        <f>IF(TRIM(Raw_Bookings!I69&amp;"")="",1,0)</f>
        <v>0</v>
      </c>
      <c r="M69" s="7">
        <f>IF(L69=1,"",DATEVALUE(LEFT(Raw_Bookings!I69,10))+TIMEVALUE(MID(Raw_Bookings!I69,12,8)))</f>
        <v>45593.67424768519</v>
      </c>
      <c r="N69" s="7">
        <f>IF(AND(L69=0,H69=1),IF(INT(M69)&gt;I69,1,0),0)</f>
        <v>0</v>
      </c>
      <c r="O69" s="7" t="str">
        <f>UPPER(TRIM(Raw_Bookings!F69))</f>
        <v>KOL</v>
      </c>
      <c r="P69" s="7" t="str">
        <f>UPPER(TRIM(Raw_Bookings!G69))</f>
        <v>HYD</v>
      </c>
      <c r="Q69" s="7">
        <f>IF(COUNTIF(Lookup_Stations!$A$2:$A$33,O69)&gt;0,1,0)</f>
        <v>1</v>
      </c>
      <c r="R69" s="7">
        <f>IF(COUNTIF(Lookup_Stations!$A$2:$A$33,P69)&gt;0,1,0)</f>
        <v>1</v>
      </c>
      <c r="S69" s="7">
        <f>IF(OR(AND(Q69=1,NOT(EXACT(Raw_Bookings!F69,O69))),AND(R69=1,NOT(EXACT(Raw_Bookings!G69,P69)))),1,0)</f>
        <v>0</v>
      </c>
      <c r="T69" s="7">
        <f>IF(OR(Q69=0,R69=0),1,0)</f>
        <v>0</v>
      </c>
      <c r="U69" s="7">
        <f>IF(TRIM(Raw_Bookings!E69&amp;"")="",1,0)</f>
        <v>0</v>
      </c>
      <c r="V69" s="7" t="str">
        <f>IF(SUMPRODUCT(--(Lookup_Status!$A$2:$A$13=LOWER(TRIM(Raw_Bookings!K69))))=0,"",INDEX(Lookup_Status!$B$2:$B$13,SUMPRODUCT((Lookup_Status!$A$2:$A$13=LOWER(TRIM(Raw_Bookings!K69)))*(ROW(Lookup_Status!$A$2:$A$13)-1))))</f>
        <v>Cancelled</v>
      </c>
      <c r="W69" s="7">
        <f>IF(AND(V69&lt;&gt;"",NOT(EXACT(Raw_Bookings!K69,V69))),1,0)</f>
        <v>0</v>
      </c>
      <c r="X69" s="7">
        <f>IF(V69="",1,0)</f>
        <v>0</v>
      </c>
      <c r="Y69" s="7">
        <f>IF(TRIM(Raw_Bookings!L69&amp;"")="",1,0)</f>
        <v>0</v>
      </c>
      <c r="Z69" s="7">
        <f>IF(AND(ISTEXT(Raw_Bookings!L69),Y69=0),1,0)</f>
        <v>0</v>
      </c>
      <c r="AA69" s="7">
        <f>IF(Z69=1,IFERROR(VALUE(SUBSTITUTE(SUBSTITUTE(SUBSTITUTE(SUBSTITUTE(SUBSTITUTE(UPPER(Raw_Bookings!L69),"RS.",""),"₹",""),",","")," ",""),"INR","")),""),"")</f>
        <v/>
      </c>
      <c r="AB69" s="7">
        <f>IF(AND(Z69=1,ISNUMBER(AA69)),1,0)</f>
        <v>0</v>
      </c>
      <c r="AC69" s="7">
        <f>IF(B69=1,0,IF(NOT(ISNUMBER(Raw_Bookings!J69)),1,IF(Raw_Bookings!J69&lt;&gt;COUNTIFS(Work_Passengers!$B$2:$B$1336,Raw_Bookings!A69,Work_Passengers!$C$2:$C$1336,0),1,0)))</f>
        <v>0</v>
      </c>
    </row>
    <row r="70" spans="1:29">
      <c r="A70" s="7">
        <f>Raw_Bookings!A70</f>
        <v>1021072</v>
      </c>
      <c r="B70" s="7">
        <f>IF(COUNTIF(Raw_Bookings!$A$2:A70,Raw_Bookings!A70)&gt;1,1,0)</f>
        <v>0</v>
      </c>
      <c r="C70" s="7" t="str">
        <f>Raw_Bookings!D70&amp;""</f>
        <v>2024-11-25</v>
      </c>
      <c r="D70" s="7" t="str">
        <f>IF(AND(LEN(C70)=10,MID(C70,5,1)="-",MID(C70,8,1)="-"),"ISO",IF(AND(LEN(C70)=10,MID(C70,3,1)="-",MID(C70,6,1)="-"),"DMY","OTHER"))</f>
        <v>ISO</v>
      </c>
      <c r="E70" s="7">
        <f>IF(D70="ISO",VALUE(LEFT(C70,4)),IF(D70="DMY",VALUE(RIGHT(C70,4)),0))</f>
        <v>2024</v>
      </c>
      <c r="F70" s="7">
        <f>IF(D70="ISO",VALUE(MID(C70,6,2)),IF(D70="DMY",VALUE(MID(C70,4,2)),0))</f>
        <v>11</v>
      </c>
      <c r="G70" s="7">
        <f>IF(D70="ISO",VALUE(RIGHT(C70,2)),IF(D70="DMY",VALUE(LEFT(C70,2)),0))</f>
        <v>25</v>
      </c>
      <c r="H70" s="7">
        <f>IF(AND(D70&lt;&gt;"OTHER",F70&gt;=1,F70&lt;=12,G70&gt;=1,G70&lt;=31),IF(AND(MONTH(DATE(E70,F70,G70))=F70,DAY(DATE(E70,F70,G70))=G70),1,0),0)</f>
        <v>1</v>
      </c>
      <c r="I70" s="7">
        <f>IF(H70=1,DATE(E70,F70,G70),"")</f>
        <v>45621.0</v>
      </c>
      <c r="J70" s="7">
        <f>IF(AND(D70="DMY",H70=1),1,0)</f>
        <v>0</v>
      </c>
      <c r="K70" s="7">
        <f>IF(H70=0,1,0)</f>
        <v>0</v>
      </c>
      <c r="L70" s="7">
        <f>IF(TRIM(Raw_Bookings!I70&amp;"")="",1,0)</f>
        <v>0</v>
      </c>
      <c r="M70" s="7">
        <f>IF(L70=1,"",DATEVALUE(LEFT(Raw_Bookings!I70,10))+TIMEVALUE(MID(Raw_Bookings!I70,12,8)))</f>
        <v>45593.79215277778</v>
      </c>
      <c r="N70" s="7">
        <f>IF(AND(L70=0,H70=1),IF(INT(M70)&gt;I70,1,0),0)</f>
        <v>0</v>
      </c>
      <c r="O70" s="7" t="str">
        <f>UPPER(TRIM(Raw_Bookings!F70))</f>
        <v>KOL</v>
      </c>
      <c r="P70" s="7" t="str">
        <f>UPPER(TRIM(Raw_Bookings!G70))</f>
        <v>HYD</v>
      </c>
      <c r="Q70" s="7">
        <f>IF(COUNTIF(Lookup_Stations!$A$2:$A$33,O70)&gt;0,1,0)</f>
        <v>1</v>
      </c>
      <c r="R70" s="7">
        <f>IF(COUNTIF(Lookup_Stations!$A$2:$A$33,P70)&gt;0,1,0)</f>
        <v>1</v>
      </c>
      <c r="S70" s="7">
        <f>IF(OR(AND(Q70=1,NOT(EXACT(Raw_Bookings!F70,O70))),AND(R70=1,NOT(EXACT(Raw_Bookings!G70,P70)))),1,0)</f>
        <v>0</v>
      </c>
      <c r="T70" s="7">
        <f>IF(OR(Q70=0,R70=0),1,0)</f>
        <v>0</v>
      </c>
      <c r="U70" s="7">
        <f>IF(TRIM(Raw_Bookings!E70&amp;"")="",1,0)</f>
        <v>0</v>
      </c>
      <c r="V70" s="7" t="str">
        <f>IF(SUMPRODUCT(--(Lookup_Status!$A$2:$A$13=LOWER(TRIM(Raw_Bookings!K70))))=0,"",INDEX(Lookup_Status!$B$2:$B$13,SUMPRODUCT((Lookup_Status!$A$2:$A$13=LOWER(TRIM(Raw_Bookings!K70)))*(ROW(Lookup_Status!$A$2:$A$13)-1))))</f>
        <v>Confirmed</v>
      </c>
      <c r="W70" s="7">
        <f>IF(AND(V70&lt;&gt;"",NOT(EXACT(Raw_Bookings!K70,V70))),1,0)</f>
        <v>0</v>
      </c>
      <c r="X70" s="7">
        <f>IF(V70="",1,0)</f>
        <v>0</v>
      </c>
      <c r="Y70" s="7">
        <f>IF(TRIM(Raw_Bookings!L70&amp;"")="",1,0)</f>
        <v>0</v>
      </c>
      <c r="Z70" s="7">
        <f>IF(AND(ISTEXT(Raw_Bookings!L70),Y70=0),1,0)</f>
        <v>0</v>
      </c>
      <c r="AA70" s="7">
        <f>IF(Z70=1,IFERROR(VALUE(SUBSTITUTE(SUBSTITUTE(SUBSTITUTE(SUBSTITUTE(SUBSTITUTE(UPPER(Raw_Bookings!L70),"RS.",""),"₹",""),",","")," ",""),"INR","")),""),"")</f>
        <v/>
      </c>
      <c r="AB70" s="7">
        <f>IF(AND(Z70=1,ISNUMBER(AA70)),1,0)</f>
        <v>0</v>
      </c>
      <c r="AC70" s="7">
        <f>IF(B70=1,0,IF(NOT(ISNUMBER(Raw_Bookings!J70)),1,IF(Raw_Bookings!J70&lt;&gt;COUNTIFS(Work_Passengers!$B$2:$B$1336,Raw_Bookings!A70,Work_Passengers!$C$2:$C$1336,0),1,0)))</f>
        <v>0</v>
      </c>
    </row>
    <row r="71" spans="1:29">
      <c r="A71" s="7">
        <f>Raw_Bookings!A71</f>
        <v>1021441</v>
      </c>
      <c r="B71" s="7">
        <f>IF(COUNTIF(Raw_Bookings!$A$2:A71,Raw_Bookings!A71)&gt;1,1,0)</f>
        <v>0</v>
      </c>
      <c r="C71" s="7" t="str">
        <f>Raw_Bookings!D71&amp;""</f>
        <v>2024-11-18</v>
      </c>
      <c r="D71" s="7" t="str">
        <f>IF(AND(LEN(C71)=10,MID(C71,5,1)="-",MID(C71,8,1)="-"),"ISO",IF(AND(LEN(C71)=10,MID(C71,3,1)="-",MID(C71,6,1)="-"),"DMY","OTHER"))</f>
        <v>ISO</v>
      </c>
      <c r="E71" s="7">
        <f>IF(D71="ISO",VALUE(LEFT(C71,4)),IF(D71="DMY",VALUE(RIGHT(C71,4)),0))</f>
        <v>2024</v>
      </c>
      <c r="F71" s="7">
        <f>IF(D71="ISO",VALUE(MID(C71,6,2)),IF(D71="DMY",VALUE(MID(C71,4,2)),0))</f>
        <v>11</v>
      </c>
      <c r="G71" s="7">
        <f>IF(D71="ISO",VALUE(RIGHT(C71,2)),IF(D71="DMY",VALUE(LEFT(C71,2)),0))</f>
        <v>18</v>
      </c>
      <c r="H71" s="7">
        <f>IF(AND(D71&lt;&gt;"OTHER",F71&gt;=1,F71&lt;=12,G71&gt;=1,G71&lt;=31),IF(AND(MONTH(DATE(E71,F71,G71))=F71,DAY(DATE(E71,F71,G71))=G71),1,0),0)</f>
        <v>1</v>
      </c>
      <c r="I71" s="7">
        <f>IF(H71=1,DATE(E71,F71,G71),"")</f>
        <v>45614.0</v>
      </c>
      <c r="J71" s="7">
        <f>IF(AND(D71="DMY",H71=1),1,0)</f>
        <v>0</v>
      </c>
      <c r="K71" s="7">
        <f>IF(H71=0,1,0)</f>
        <v>0</v>
      </c>
      <c r="L71" s="7">
        <f>IF(TRIM(Raw_Bookings!I71&amp;"")="",1,0)</f>
        <v>0</v>
      </c>
      <c r="M71" s="7">
        <f>IF(L71=1,"",DATEVALUE(LEFT(Raw_Bookings!I71,10))+TIMEVALUE(MID(Raw_Bookings!I71,12,8)))</f>
        <v>45595.131944444445</v>
      </c>
      <c r="N71" s="7">
        <f>IF(AND(L71=0,H71=1),IF(INT(M71)&gt;I71,1,0),0)</f>
        <v>0</v>
      </c>
      <c r="O71" s="7" t="str">
        <f>UPPER(TRIM(Raw_Bookings!F71))</f>
        <v>BEN</v>
      </c>
      <c r="P71" s="7" t="str">
        <f>UPPER(TRIM(Raw_Bookings!G71))</f>
        <v>MUM</v>
      </c>
      <c r="Q71" s="7">
        <f>IF(COUNTIF(Lookup_Stations!$A$2:$A$33,O71)&gt;0,1,0)</f>
        <v>1</v>
      </c>
      <c r="R71" s="7">
        <f>IF(COUNTIF(Lookup_Stations!$A$2:$A$33,P71)&gt;0,1,0)</f>
        <v>1</v>
      </c>
      <c r="S71" s="7">
        <f>IF(OR(AND(Q71=1,NOT(EXACT(Raw_Bookings!F71,O71))),AND(R71=1,NOT(EXACT(Raw_Bookings!G71,P71)))),1,0)</f>
        <v>0</v>
      </c>
      <c r="T71" s="7">
        <f>IF(OR(Q71=0,R71=0),1,0)</f>
        <v>0</v>
      </c>
      <c r="U71" s="7">
        <f>IF(TRIM(Raw_Bookings!E71&amp;"")="",1,0)</f>
        <v>0</v>
      </c>
      <c r="V71" s="7" t="str">
        <f>IF(SUMPRODUCT(--(Lookup_Status!$A$2:$A$13=LOWER(TRIM(Raw_Bookings!K71))))=0,"",INDEX(Lookup_Status!$B$2:$B$13,SUMPRODUCT((Lookup_Status!$A$2:$A$13=LOWER(TRIM(Raw_Bookings!K71)))*(ROW(Lookup_Status!$A$2:$A$13)-1))))</f>
        <v>Confirmed</v>
      </c>
      <c r="W71" s="7">
        <f>IF(AND(V71&lt;&gt;"",NOT(EXACT(Raw_Bookings!K71,V71))),1,0)</f>
        <v>0</v>
      </c>
      <c r="X71" s="7">
        <f>IF(V71="",1,0)</f>
        <v>0</v>
      </c>
      <c r="Y71" s="7">
        <f>IF(TRIM(Raw_Bookings!L71&amp;"")="",1,0)</f>
        <v>0</v>
      </c>
      <c r="Z71" s="7">
        <f>IF(AND(ISTEXT(Raw_Bookings!L71),Y71=0),1,0)</f>
        <v>0</v>
      </c>
      <c r="AA71" s="7">
        <f>IF(Z71=1,IFERROR(VALUE(SUBSTITUTE(SUBSTITUTE(SUBSTITUTE(SUBSTITUTE(SUBSTITUTE(UPPER(Raw_Bookings!L71),"RS.",""),"₹",""),",","")," ",""),"INR","")),""),"")</f>
        <v/>
      </c>
      <c r="AB71" s="7">
        <f>IF(AND(Z71=1,ISNUMBER(AA71)),1,0)</f>
        <v>0</v>
      </c>
      <c r="AC71" s="7">
        <f>IF(B71=1,0,IF(NOT(ISNUMBER(Raw_Bookings!J71)),1,IF(Raw_Bookings!J71&lt;&gt;COUNTIFS(Work_Passengers!$B$2:$B$1336,Raw_Bookings!A71,Work_Passengers!$C$2:$C$1336,0),1,0)))</f>
        <v>0</v>
      </c>
    </row>
    <row r="72" spans="1:29">
      <c r="A72" s="7">
        <f>Raw_Bookings!A72</f>
        <v>1021854</v>
      </c>
      <c r="B72" s="7">
        <f>IF(COUNTIF(Raw_Bookings!$A$2:A72,Raw_Bookings!A72)&gt;1,1,0)</f>
        <v>0</v>
      </c>
      <c r="C72" s="7" t="str">
        <f>Raw_Bookings!D72&amp;""</f>
        <v>2024-11-02</v>
      </c>
      <c r="D72" s="7" t="str">
        <f>IF(AND(LEN(C72)=10,MID(C72,5,1)="-",MID(C72,8,1)="-"),"ISO",IF(AND(LEN(C72)=10,MID(C72,3,1)="-",MID(C72,6,1)="-"),"DMY","OTHER"))</f>
        <v>ISO</v>
      </c>
      <c r="E72" s="7">
        <f>IF(D72="ISO",VALUE(LEFT(C72,4)),IF(D72="DMY",VALUE(RIGHT(C72,4)),0))</f>
        <v>2024</v>
      </c>
      <c r="F72" s="7">
        <f>IF(D72="ISO",VALUE(MID(C72,6,2)),IF(D72="DMY",VALUE(MID(C72,4,2)),0))</f>
        <v>11</v>
      </c>
      <c r="G72" s="7">
        <f>IF(D72="ISO",VALUE(RIGHT(C72,2)),IF(D72="DMY",VALUE(LEFT(C72,2)),0))</f>
        <v>2</v>
      </c>
      <c r="H72" s="7">
        <f>IF(AND(D72&lt;&gt;"OTHER",F72&gt;=1,F72&lt;=12,G72&gt;=1,G72&lt;=31),IF(AND(MONTH(DATE(E72,F72,G72))=F72,DAY(DATE(E72,F72,G72))=G72),1,0),0)</f>
        <v>1</v>
      </c>
      <c r="I72" s="7">
        <f>IF(H72=1,DATE(E72,F72,G72),"")</f>
        <v>45598.0</v>
      </c>
      <c r="J72" s="7">
        <f>IF(AND(D72="DMY",H72=1),1,0)</f>
        <v>0</v>
      </c>
      <c r="K72" s="7">
        <f>IF(H72=0,1,0)</f>
        <v>0</v>
      </c>
      <c r="L72" s="7">
        <f>IF(TRIM(Raw_Bookings!I72&amp;"")="",1,0)</f>
        <v>0</v>
      </c>
      <c r="M72" s="7">
        <f>IF(L72=1,"",DATEVALUE(LEFT(Raw_Bookings!I72,10))+TIMEVALUE(MID(Raw_Bookings!I72,12,8)))</f>
        <v>45596.55517361111</v>
      </c>
      <c r="N72" s="7">
        <f>IF(AND(L72=0,H72=1),IF(INT(M72)&gt;I72,1,0),0)</f>
        <v>0</v>
      </c>
      <c r="O72" s="7" t="str">
        <f>UPPER(TRIM(Raw_Bookings!F72))</f>
        <v>DIB</v>
      </c>
      <c r="P72" s="7" t="str">
        <f>UPPER(TRIM(Raw_Bookings!G72))</f>
        <v>DEL</v>
      </c>
      <c r="Q72" s="7">
        <f>IF(COUNTIF(Lookup_Stations!$A$2:$A$33,O72)&gt;0,1,0)</f>
        <v>1</v>
      </c>
      <c r="R72" s="7">
        <f>IF(COUNTIF(Lookup_Stations!$A$2:$A$33,P72)&gt;0,1,0)</f>
        <v>1</v>
      </c>
      <c r="S72" s="7">
        <f>IF(OR(AND(Q72=1,NOT(EXACT(Raw_Bookings!F72,O72))),AND(R72=1,NOT(EXACT(Raw_Bookings!G72,P72)))),1,0)</f>
        <v>0</v>
      </c>
      <c r="T72" s="7">
        <f>IF(OR(Q72=0,R72=0),1,0)</f>
        <v>0</v>
      </c>
      <c r="U72" s="7">
        <f>IF(TRIM(Raw_Bookings!E72&amp;"")="",1,0)</f>
        <v>0</v>
      </c>
      <c r="V72" s="7" t="str">
        <f>IF(SUMPRODUCT(--(Lookup_Status!$A$2:$A$13=LOWER(TRIM(Raw_Bookings!K72))))=0,"",INDEX(Lookup_Status!$B$2:$B$13,SUMPRODUCT((Lookup_Status!$A$2:$A$13=LOWER(TRIM(Raw_Bookings!K72)))*(ROW(Lookup_Status!$A$2:$A$13)-1))))</f>
        <v>Confirmed</v>
      </c>
      <c r="W72" s="7">
        <f>IF(AND(V72&lt;&gt;"",NOT(EXACT(Raw_Bookings!K72,V72))),1,0)</f>
        <v>0</v>
      </c>
      <c r="X72" s="7">
        <f>IF(V72="",1,0)</f>
        <v>0</v>
      </c>
      <c r="Y72" s="7">
        <f>IF(TRIM(Raw_Bookings!L72&amp;"")="",1,0)</f>
        <v>0</v>
      </c>
      <c r="Z72" s="7">
        <f>IF(AND(ISTEXT(Raw_Bookings!L72),Y72=0),1,0)</f>
        <v>0</v>
      </c>
      <c r="AA72" s="7">
        <f>IF(Z72=1,IFERROR(VALUE(SUBSTITUTE(SUBSTITUTE(SUBSTITUTE(SUBSTITUTE(SUBSTITUTE(UPPER(Raw_Bookings!L72),"RS.",""),"₹",""),",","")," ",""),"INR","")),""),"")</f>
        <v/>
      </c>
      <c r="AB72" s="7">
        <f>IF(AND(Z72=1,ISNUMBER(AA72)),1,0)</f>
        <v>0</v>
      </c>
      <c r="AC72" s="7">
        <f>IF(B72=1,0,IF(NOT(ISNUMBER(Raw_Bookings!J72)),1,IF(Raw_Bookings!J72&lt;&gt;COUNTIFS(Work_Passengers!$B$2:$B$1336,Raw_Bookings!A72,Work_Passengers!$C$2:$C$1336,0),1,0)))</f>
        <v>0</v>
      </c>
    </row>
    <row r="73" spans="1:29">
      <c r="A73" s="7">
        <f>Raw_Bookings!A73</f>
        <v>1021946</v>
      </c>
      <c r="B73" s="7">
        <f>IF(COUNTIF(Raw_Bookings!$A$2:A73,Raw_Bookings!A73)&gt;1,1,0)</f>
        <v>0</v>
      </c>
      <c r="C73" s="7" t="str">
        <f>Raw_Bookings!D73&amp;""</f>
        <v>2024-11-06</v>
      </c>
      <c r="D73" s="7" t="str">
        <f>IF(AND(LEN(C73)=10,MID(C73,5,1)="-",MID(C73,8,1)="-"),"ISO",IF(AND(LEN(C73)=10,MID(C73,3,1)="-",MID(C73,6,1)="-"),"DMY","OTHER"))</f>
        <v>ISO</v>
      </c>
      <c r="E73" s="7">
        <f>IF(D73="ISO",VALUE(LEFT(C73,4)),IF(D73="DMY",VALUE(RIGHT(C73,4)),0))</f>
        <v>2024</v>
      </c>
      <c r="F73" s="7">
        <f>IF(D73="ISO",VALUE(MID(C73,6,2)),IF(D73="DMY",VALUE(MID(C73,4,2)),0))</f>
        <v>11</v>
      </c>
      <c r="G73" s="7">
        <f>IF(D73="ISO",VALUE(RIGHT(C73,2)),IF(D73="DMY",VALUE(LEFT(C73,2)),0))</f>
        <v>6</v>
      </c>
      <c r="H73" s="7">
        <f>IF(AND(D73&lt;&gt;"OTHER",F73&gt;=1,F73&lt;=12,G73&gt;=1,G73&lt;=31),IF(AND(MONTH(DATE(E73,F73,G73))=F73,DAY(DATE(E73,F73,G73))=G73),1,0),0)</f>
        <v>1</v>
      </c>
      <c r="I73" s="7">
        <f>IF(H73=1,DATE(E73,F73,G73),"")</f>
        <v>45602.0</v>
      </c>
      <c r="J73" s="7">
        <f>IF(AND(D73="DMY",H73=1),1,0)</f>
        <v>0</v>
      </c>
      <c r="K73" s="7">
        <f>IF(H73=0,1,0)</f>
        <v>0</v>
      </c>
      <c r="L73" s="7">
        <f>IF(TRIM(Raw_Bookings!I73&amp;"")="",1,0)</f>
        <v>0</v>
      </c>
      <c r="M73" s="7">
        <f>IF(L73=1,"",DATEVALUE(LEFT(Raw_Bookings!I73,10))+TIMEVALUE(MID(Raw_Bookings!I73,12,8)))</f>
        <v>45596.854317129626</v>
      </c>
      <c r="N73" s="7">
        <f>IF(AND(L73=0,H73=1),IF(INT(M73)&gt;I73,1,0),0)</f>
        <v>0</v>
      </c>
      <c r="O73" s="7" t="str">
        <f>UPPER(TRIM(Raw_Bookings!F73))</f>
        <v>NAG</v>
      </c>
      <c r="P73" s="7" t="str">
        <f>UPPER(TRIM(Raw_Bookings!G73))</f>
        <v>THI</v>
      </c>
      <c r="Q73" s="7">
        <f>IF(COUNTIF(Lookup_Stations!$A$2:$A$33,O73)&gt;0,1,0)</f>
        <v>1</v>
      </c>
      <c r="R73" s="7">
        <f>IF(COUNTIF(Lookup_Stations!$A$2:$A$33,P73)&gt;0,1,0)</f>
        <v>1</v>
      </c>
      <c r="S73" s="7">
        <f>IF(OR(AND(Q73=1,NOT(EXACT(Raw_Bookings!F73,O73))),AND(R73=1,NOT(EXACT(Raw_Bookings!G73,P73)))),1,0)</f>
        <v>0</v>
      </c>
      <c r="T73" s="7">
        <f>IF(OR(Q73=0,R73=0),1,0)</f>
        <v>0</v>
      </c>
      <c r="U73" s="7">
        <f>IF(TRIM(Raw_Bookings!E73&amp;"")="",1,0)</f>
        <v>0</v>
      </c>
      <c r="V73" s="7" t="str">
        <f>IF(SUMPRODUCT(--(Lookup_Status!$A$2:$A$13=LOWER(TRIM(Raw_Bookings!K73))))=0,"",INDEX(Lookup_Status!$B$2:$B$13,SUMPRODUCT((Lookup_Status!$A$2:$A$13=LOWER(TRIM(Raw_Bookings!K73)))*(ROW(Lookup_Status!$A$2:$A$13)-1))))</f>
        <v>Cancelled</v>
      </c>
      <c r="W73" s="7">
        <f>IF(AND(V73&lt;&gt;"",NOT(EXACT(Raw_Bookings!K73,V73))),1,0)</f>
        <v>0</v>
      </c>
      <c r="X73" s="7">
        <f>IF(V73="",1,0)</f>
        <v>0</v>
      </c>
      <c r="Y73" s="7">
        <f>IF(TRIM(Raw_Bookings!L73&amp;"")="",1,0)</f>
        <v>0</v>
      </c>
      <c r="Z73" s="7">
        <f>IF(AND(ISTEXT(Raw_Bookings!L73),Y73=0),1,0)</f>
        <v>0</v>
      </c>
      <c r="AA73" s="7">
        <f>IF(Z73=1,IFERROR(VALUE(SUBSTITUTE(SUBSTITUTE(SUBSTITUTE(SUBSTITUTE(SUBSTITUTE(UPPER(Raw_Bookings!L73),"RS.",""),"₹",""),",","")," ",""),"INR","")),""),"")</f>
        <v/>
      </c>
      <c r="AB73" s="7">
        <f>IF(AND(Z73=1,ISNUMBER(AA73)),1,0)</f>
        <v>0</v>
      </c>
      <c r="AC73" s="7">
        <f>IF(B73=1,0,IF(NOT(ISNUMBER(Raw_Bookings!J73)),1,IF(Raw_Bookings!J73&lt;&gt;COUNTIFS(Work_Passengers!$B$2:$B$1336,Raw_Bookings!A73,Work_Passengers!$C$2:$C$1336,0),1,0)))</f>
        <v>0</v>
      </c>
    </row>
    <row r="74" spans="1:29">
      <c r="A74" s="7">
        <f>Raw_Bookings!A74</f>
        <v>1022190</v>
      </c>
      <c r="B74" s="7">
        <f>IF(COUNTIF(Raw_Bookings!$A$2:A74,Raw_Bookings!A74)&gt;1,1,0)</f>
        <v>0</v>
      </c>
      <c r="C74" s="7" t="str">
        <f>Raw_Bookings!D74&amp;""</f>
        <v>2024-11-04</v>
      </c>
      <c r="D74" s="7" t="str">
        <f>IF(AND(LEN(C74)=10,MID(C74,5,1)="-",MID(C74,8,1)="-"),"ISO",IF(AND(LEN(C74)=10,MID(C74,3,1)="-",MID(C74,6,1)="-"),"DMY","OTHER"))</f>
        <v>ISO</v>
      </c>
      <c r="E74" s="7">
        <f>IF(D74="ISO",VALUE(LEFT(C74,4)),IF(D74="DMY",VALUE(RIGHT(C74,4)),0))</f>
        <v>2024</v>
      </c>
      <c r="F74" s="7">
        <f>IF(D74="ISO",VALUE(MID(C74,6,2)),IF(D74="DMY",VALUE(MID(C74,4,2)),0))</f>
        <v>11</v>
      </c>
      <c r="G74" s="7">
        <f>IF(D74="ISO",VALUE(RIGHT(C74,2)),IF(D74="DMY",VALUE(LEFT(C74,2)),0))</f>
        <v>4</v>
      </c>
      <c r="H74" s="7">
        <f>IF(AND(D74&lt;&gt;"OTHER",F74&gt;=1,F74&lt;=12,G74&gt;=1,G74&lt;=31),IF(AND(MONTH(DATE(E74,F74,G74))=F74,DAY(DATE(E74,F74,G74))=G74),1,0),0)</f>
        <v>1</v>
      </c>
      <c r="I74" s="7">
        <f>IF(H74=1,DATE(E74,F74,G74),"")</f>
        <v>45600.0</v>
      </c>
      <c r="J74" s="7">
        <f>IF(AND(D74="DMY",H74=1),1,0)</f>
        <v>0</v>
      </c>
      <c r="K74" s="7">
        <f>IF(H74=0,1,0)</f>
        <v>0</v>
      </c>
      <c r="L74" s="7">
        <f>IF(TRIM(Raw_Bookings!I74&amp;"")="",1,0)</f>
        <v>0</v>
      </c>
      <c r="M74" s="7">
        <f>IF(L74=1,"",DATEVALUE(LEFT(Raw_Bookings!I74,10))+TIMEVALUE(MID(Raw_Bookings!I74,12,8)))</f>
        <v>45597.785104166665</v>
      </c>
      <c r="N74" s="7">
        <f>IF(AND(L74=0,H74=1),IF(INT(M74)&gt;I74,1,0),0)</f>
        <v>0</v>
      </c>
      <c r="O74" s="7" t="str">
        <f>UPPER(TRIM(Raw_Bookings!F74))</f>
        <v>LUC</v>
      </c>
      <c r="P74" s="7" t="str">
        <f>UPPER(TRIM(Raw_Bookings!G74))</f>
        <v>MUM</v>
      </c>
      <c r="Q74" s="7">
        <f>IF(COUNTIF(Lookup_Stations!$A$2:$A$33,O74)&gt;0,1,0)</f>
        <v>1</v>
      </c>
      <c r="R74" s="7">
        <f>IF(COUNTIF(Lookup_Stations!$A$2:$A$33,P74)&gt;0,1,0)</f>
        <v>1</v>
      </c>
      <c r="S74" s="7">
        <f>IF(OR(AND(Q74=1,NOT(EXACT(Raw_Bookings!F74,O74))),AND(R74=1,NOT(EXACT(Raw_Bookings!G74,P74)))),1,0)</f>
        <v>0</v>
      </c>
      <c r="T74" s="7">
        <f>IF(OR(Q74=0,R74=0),1,0)</f>
        <v>0</v>
      </c>
      <c r="U74" s="7">
        <f>IF(TRIM(Raw_Bookings!E74&amp;"")="",1,0)</f>
        <v>0</v>
      </c>
      <c r="V74" s="7" t="str">
        <f>IF(SUMPRODUCT(--(Lookup_Status!$A$2:$A$13=LOWER(TRIM(Raw_Bookings!K74))))=0,"",INDEX(Lookup_Status!$B$2:$B$13,SUMPRODUCT((Lookup_Status!$A$2:$A$13=LOWER(TRIM(Raw_Bookings!K74)))*(ROW(Lookup_Status!$A$2:$A$13)-1))))</f>
        <v>Waitlisted</v>
      </c>
      <c r="W74" s="7">
        <f>IF(AND(V74&lt;&gt;"",NOT(EXACT(Raw_Bookings!K74,V74))),1,0)</f>
        <v>0</v>
      </c>
      <c r="X74" s="7">
        <f>IF(V74="",1,0)</f>
        <v>0</v>
      </c>
      <c r="Y74" s="7">
        <f>IF(TRIM(Raw_Bookings!L74&amp;"")="",1,0)</f>
        <v>0</v>
      </c>
      <c r="Z74" s="7">
        <f>IF(AND(ISTEXT(Raw_Bookings!L74),Y74=0),1,0)</f>
        <v>0</v>
      </c>
      <c r="AA74" s="7">
        <f>IF(Z74=1,IFERROR(VALUE(SUBSTITUTE(SUBSTITUTE(SUBSTITUTE(SUBSTITUTE(SUBSTITUTE(UPPER(Raw_Bookings!L74),"RS.",""),"₹",""),",","")," ",""),"INR","")),""),"")</f>
        <v/>
      </c>
      <c r="AB74" s="7">
        <f>IF(AND(Z74=1,ISNUMBER(AA74)),1,0)</f>
        <v>0</v>
      </c>
      <c r="AC74" s="7">
        <f>IF(B74=1,0,IF(NOT(ISNUMBER(Raw_Bookings!J74)),1,IF(Raw_Bookings!J74&lt;&gt;COUNTIFS(Work_Passengers!$B$2:$B$1336,Raw_Bookings!A74,Work_Passengers!$C$2:$C$1336,0),1,0)))</f>
        <v>0</v>
      </c>
    </row>
    <row r="75" spans="1:29">
      <c r="A75" s="7">
        <f>Raw_Bookings!A75</f>
        <v>1022407</v>
      </c>
      <c r="B75" s="7">
        <f>IF(COUNTIF(Raw_Bookings!$A$2:A75,Raw_Bookings!A75)&gt;1,1,0)</f>
        <v>0</v>
      </c>
      <c r="C75" s="7" t="str">
        <f>Raw_Bookings!D75&amp;""</f>
        <v>12-11-2024</v>
      </c>
      <c r="D75" s="7" t="str">
        <f>IF(AND(LEN(C75)=10,MID(C75,5,1)="-",MID(C75,8,1)="-"),"ISO",IF(AND(LEN(C75)=10,MID(C75,3,1)="-",MID(C75,6,1)="-"),"DMY","OTHER"))</f>
        <v>DMY</v>
      </c>
      <c r="E75" s="7">
        <f>IF(D75="ISO",VALUE(LEFT(C75,4)),IF(D75="DMY",VALUE(RIGHT(C75,4)),0))</f>
        <v>2024</v>
      </c>
      <c r="F75" s="7">
        <f>IF(D75="ISO",VALUE(MID(C75,6,2)),IF(D75="DMY",VALUE(MID(C75,4,2)),0))</f>
        <v>11</v>
      </c>
      <c r="G75" s="7">
        <f>IF(D75="ISO",VALUE(RIGHT(C75,2)),IF(D75="DMY",VALUE(LEFT(C75,2)),0))</f>
        <v>12</v>
      </c>
      <c r="H75" s="7">
        <f>IF(AND(D75&lt;&gt;"OTHER",F75&gt;=1,F75&lt;=12,G75&gt;=1,G75&lt;=31),IF(AND(MONTH(DATE(E75,F75,G75))=F75,DAY(DATE(E75,F75,G75))=G75),1,0),0)</f>
        <v>1</v>
      </c>
      <c r="I75" s="7">
        <f>IF(H75=1,DATE(E75,F75,G75),"")</f>
        <v>45608.0</v>
      </c>
      <c r="J75" s="7">
        <f>IF(AND(D75="DMY",H75=1),1,0)</f>
        <v>1</v>
      </c>
      <c r="K75" s="7">
        <f>IF(H75=0,1,0)</f>
        <v>0</v>
      </c>
      <c r="L75" s="7">
        <f>IF(TRIM(Raw_Bookings!I75&amp;"")="",1,0)</f>
        <v>0</v>
      </c>
      <c r="M75" s="7">
        <f>IF(L75=1,"",DATEVALUE(LEFT(Raw_Bookings!I75,10))+TIMEVALUE(MID(Raw_Bookings!I75,12,8)))</f>
        <v>45598.696863425925</v>
      </c>
      <c r="N75" s="7">
        <f>IF(AND(L75=0,H75=1),IF(INT(M75)&gt;I75,1,0),0)</f>
        <v>0</v>
      </c>
      <c r="O75" s="7" t="str">
        <f>UPPER(TRIM(Raw_Bookings!F75))</f>
        <v>VIJ</v>
      </c>
      <c r="P75" s="7" t="str">
        <f>UPPER(TRIM(Raw_Bookings!G75))</f>
        <v>PAT</v>
      </c>
      <c r="Q75" s="7">
        <f>IF(COUNTIF(Lookup_Stations!$A$2:$A$33,O75)&gt;0,1,0)</f>
        <v>1</v>
      </c>
      <c r="R75" s="7">
        <f>IF(COUNTIF(Lookup_Stations!$A$2:$A$33,P75)&gt;0,1,0)</f>
        <v>1</v>
      </c>
      <c r="S75" s="7">
        <f>IF(OR(AND(Q75=1,NOT(EXACT(Raw_Bookings!F75,O75))),AND(R75=1,NOT(EXACT(Raw_Bookings!G75,P75)))),1,0)</f>
        <v>0</v>
      </c>
      <c r="T75" s="7">
        <f>IF(OR(Q75=0,R75=0),1,0)</f>
        <v>0</v>
      </c>
      <c r="U75" s="7">
        <f>IF(TRIM(Raw_Bookings!E75&amp;"")="",1,0)</f>
        <v>0</v>
      </c>
      <c r="V75" s="7" t="str">
        <f>IF(SUMPRODUCT(--(Lookup_Status!$A$2:$A$13=LOWER(TRIM(Raw_Bookings!K75))))=0,"",INDEX(Lookup_Status!$B$2:$B$13,SUMPRODUCT((Lookup_Status!$A$2:$A$13=LOWER(TRIM(Raw_Bookings!K75)))*(ROW(Lookup_Status!$A$2:$A$13)-1))))</f>
        <v>Confirmed</v>
      </c>
      <c r="W75" s="7">
        <f>IF(AND(V75&lt;&gt;"",NOT(EXACT(Raw_Bookings!K75,V75))),1,0)</f>
        <v>0</v>
      </c>
      <c r="X75" s="7">
        <f>IF(V75="",1,0)</f>
        <v>0</v>
      </c>
      <c r="Y75" s="7">
        <f>IF(TRIM(Raw_Bookings!L75&amp;"")="",1,0)</f>
        <v>0</v>
      </c>
      <c r="Z75" s="7">
        <f>IF(AND(ISTEXT(Raw_Bookings!L75),Y75=0),1,0)</f>
        <v>0</v>
      </c>
      <c r="AA75" s="7">
        <f>IF(Z75=1,IFERROR(VALUE(SUBSTITUTE(SUBSTITUTE(SUBSTITUTE(SUBSTITUTE(SUBSTITUTE(UPPER(Raw_Bookings!L75),"RS.",""),"₹",""),",","")," ",""),"INR","")),""),"")</f>
        <v/>
      </c>
      <c r="AB75" s="7">
        <f>IF(AND(Z75=1,ISNUMBER(AA75)),1,0)</f>
        <v>0</v>
      </c>
      <c r="AC75" s="7">
        <f>IF(B75=1,0,IF(NOT(ISNUMBER(Raw_Bookings!J75)),1,IF(Raw_Bookings!J75&lt;&gt;COUNTIFS(Work_Passengers!$B$2:$B$1336,Raw_Bookings!A75,Work_Passengers!$C$2:$C$1336,0),1,0)))</f>
        <v>0</v>
      </c>
    </row>
    <row r="76" spans="1:29">
      <c r="A76" s="7">
        <f>Raw_Bookings!A76</f>
        <v>1022690</v>
      </c>
      <c r="B76" s="7">
        <f>IF(COUNTIF(Raw_Bookings!$A$2:A76,Raw_Bookings!A76)&gt;1,1,0)</f>
        <v>0</v>
      </c>
      <c r="C76" s="7" t="str">
        <f>Raw_Bookings!D76&amp;""</f>
        <v>2024-11-13</v>
      </c>
      <c r="D76" s="7" t="str">
        <f>IF(AND(LEN(C76)=10,MID(C76,5,1)="-",MID(C76,8,1)="-"),"ISO",IF(AND(LEN(C76)=10,MID(C76,3,1)="-",MID(C76,6,1)="-"),"DMY","OTHER"))</f>
        <v>ISO</v>
      </c>
      <c r="E76" s="7">
        <f>IF(D76="ISO",VALUE(LEFT(C76,4)),IF(D76="DMY",VALUE(RIGHT(C76,4)),0))</f>
        <v>2024</v>
      </c>
      <c r="F76" s="7">
        <f>IF(D76="ISO",VALUE(MID(C76,6,2)),IF(D76="DMY",VALUE(MID(C76,4,2)),0))</f>
        <v>11</v>
      </c>
      <c r="G76" s="7">
        <f>IF(D76="ISO",VALUE(RIGHT(C76,2)),IF(D76="DMY",VALUE(LEFT(C76,2)),0))</f>
        <v>13</v>
      </c>
      <c r="H76" s="7">
        <f>IF(AND(D76&lt;&gt;"OTHER",F76&gt;=1,F76&lt;=12,G76&gt;=1,G76&lt;=31),IF(AND(MONTH(DATE(E76,F76,G76))=F76,DAY(DATE(E76,F76,G76))=G76),1,0),0)</f>
        <v>1</v>
      </c>
      <c r="I76" s="7">
        <f>IF(H76=1,DATE(E76,F76,G76),"")</f>
        <v>45609.0</v>
      </c>
      <c r="J76" s="7">
        <f>IF(AND(D76="DMY",H76=1),1,0)</f>
        <v>0</v>
      </c>
      <c r="K76" s="7">
        <f>IF(H76=0,1,0)</f>
        <v>0</v>
      </c>
      <c r="L76" s="7">
        <f>IF(TRIM(Raw_Bookings!I76&amp;"")="",1,0)</f>
        <v>0</v>
      </c>
      <c r="M76" s="7">
        <f>IF(L76=1,"",DATEVALUE(LEFT(Raw_Bookings!I76,10))+TIMEVALUE(MID(Raw_Bookings!I76,12,8)))</f>
        <v>45599.7578125</v>
      </c>
      <c r="N76" s="7">
        <f>IF(AND(L76=0,H76=1),IF(INT(M76)&gt;I76,1,0),0)</f>
        <v>0</v>
      </c>
      <c r="O76" s="7" t="str">
        <f>UPPER(TRIM(Raw_Bookings!F76))</f>
        <v>BEN</v>
      </c>
      <c r="P76" s="7" t="str">
        <f>UPPER(TRIM(Raw_Bookings!G76))</f>
        <v>MUM</v>
      </c>
      <c r="Q76" s="7">
        <f>IF(COUNTIF(Lookup_Stations!$A$2:$A$33,O76)&gt;0,1,0)</f>
        <v>1</v>
      </c>
      <c r="R76" s="7">
        <f>IF(COUNTIF(Lookup_Stations!$A$2:$A$33,P76)&gt;0,1,0)</f>
        <v>1</v>
      </c>
      <c r="S76" s="7">
        <f>IF(OR(AND(Q76=1,NOT(EXACT(Raw_Bookings!F76,O76))),AND(R76=1,NOT(EXACT(Raw_Bookings!G76,P76)))),1,0)</f>
        <v>0</v>
      </c>
      <c r="T76" s="7">
        <f>IF(OR(Q76=0,R76=0),1,0)</f>
        <v>0</v>
      </c>
      <c r="U76" s="7">
        <f>IF(TRIM(Raw_Bookings!E76&amp;"")="",1,0)</f>
        <v>0</v>
      </c>
      <c r="V76" s="7" t="str">
        <f>IF(SUMPRODUCT(--(Lookup_Status!$A$2:$A$13=LOWER(TRIM(Raw_Bookings!K76))))=0,"",INDEX(Lookup_Status!$B$2:$B$13,SUMPRODUCT((Lookup_Status!$A$2:$A$13=LOWER(TRIM(Raw_Bookings!K76)))*(ROW(Lookup_Status!$A$2:$A$13)-1))))</f>
        <v>RAC</v>
      </c>
      <c r="W76" s="7">
        <f>IF(AND(V76&lt;&gt;"",NOT(EXACT(Raw_Bookings!K76,V76))),1,0)</f>
        <v>0</v>
      </c>
      <c r="X76" s="7">
        <f>IF(V76="",1,0)</f>
        <v>0</v>
      </c>
      <c r="Y76" s="7">
        <f>IF(TRIM(Raw_Bookings!L76&amp;"")="",1,0)</f>
        <v>0</v>
      </c>
      <c r="Z76" s="7">
        <f>IF(AND(ISTEXT(Raw_Bookings!L76),Y76=0),1,0)</f>
        <v>0</v>
      </c>
      <c r="AA76" s="7">
        <f>IF(Z76=1,IFERROR(VALUE(SUBSTITUTE(SUBSTITUTE(SUBSTITUTE(SUBSTITUTE(SUBSTITUTE(UPPER(Raw_Bookings!L76),"RS.",""),"₹",""),",","")," ",""),"INR","")),""),"")</f>
        <v/>
      </c>
      <c r="AB76" s="7">
        <f>IF(AND(Z76=1,ISNUMBER(AA76)),1,0)</f>
        <v>0</v>
      </c>
      <c r="AC76" s="7">
        <f>IF(B76=1,0,IF(NOT(ISNUMBER(Raw_Bookings!J76)),1,IF(Raw_Bookings!J76&lt;&gt;COUNTIFS(Work_Passengers!$B$2:$B$1336,Raw_Bookings!A76,Work_Passengers!$C$2:$C$1336,0),1,0)))</f>
        <v>0</v>
      </c>
    </row>
    <row r="77" spans="1:29">
      <c r="A77" s="7">
        <f>Raw_Bookings!A77</f>
        <v>1022972</v>
      </c>
      <c r="B77" s="7">
        <f>IF(COUNTIF(Raw_Bookings!$A$2:A77,Raw_Bookings!A77)&gt;1,1,0)</f>
        <v>0</v>
      </c>
      <c r="C77" s="7" t="str">
        <f>Raw_Bookings!D77&amp;""</f>
        <v>2024-11-06</v>
      </c>
      <c r="D77" s="7" t="str">
        <f>IF(AND(LEN(C77)=10,MID(C77,5,1)="-",MID(C77,8,1)="-"),"ISO",IF(AND(LEN(C77)=10,MID(C77,3,1)="-",MID(C77,6,1)="-"),"DMY","OTHER"))</f>
        <v>ISO</v>
      </c>
      <c r="E77" s="7">
        <f>IF(D77="ISO",VALUE(LEFT(C77,4)),IF(D77="DMY",VALUE(RIGHT(C77,4)),0))</f>
        <v>2024</v>
      </c>
      <c r="F77" s="7">
        <f>IF(D77="ISO",VALUE(MID(C77,6,2)),IF(D77="DMY",VALUE(MID(C77,4,2)),0))</f>
        <v>11</v>
      </c>
      <c r="G77" s="7">
        <f>IF(D77="ISO",VALUE(RIGHT(C77,2)),IF(D77="DMY",VALUE(LEFT(C77,2)),0))</f>
        <v>6</v>
      </c>
      <c r="H77" s="7">
        <f>IF(AND(D77&lt;&gt;"OTHER",F77&gt;=1,F77&lt;=12,G77&gt;=1,G77&lt;=31),IF(AND(MONTH(DATE(E77,F77,G77))=F77,DAY(DATE(E77,F77,G77))=G77),1,0),0)</f>
        <v>1</v>
      </c>
      <c r="I77" s="7">
        <f>IF(H77=1,DATE(E77,F77,G77),"")</f>
        <v>45602.0</v>
      </c>
      <c r="J77" s="7">
        <f>IF(AND(D77="DMY",H77=1),1,0)</f>
        <v>0</v>
      </c>
      <c r="K77" s="7">
        <f>IF(H77=0,1,0)</f>
        <v>0</v>
      </c>
      <c r="L77" s="7">
        <f>IF(TRIM(Raw_Bookings!I77&amp;"")="",1,0)</f>
        <v>0</v>
      </c>
      <c r="M77" s="7">
        <f>IF(L77=1,"",DATEVALUE(LEFT(Raw_Bookings!I77,10))+TIMEVALUE(MID(Raw_Bookings!I77,12,8)))</f>
        <v>45600.81203703704</v>
      </c>
      <c r="N77" s="7">
        <f>IF(AND(L77=0,H77=1),IF(INT(M77)&gt;I77,1,0),0)</f>
        <v>0</v>
      </c>
      <c r="O77" s="7" t="str">
        <f>UPPER(TRIM(Raw_Bookings!F77))</f>
        <v>MUM</v>
      </c>
      <c r="P77" s="7" t="str">
        <f>UPPER(TRIM(Raw_Bookings!G77))</f>
        <v>LUC</v>
      </c>
      <c r="Q77" s="7">
        <f>IF(COUNTIF(Lookup_Stations!$A$2:$A$33,O77)&gt;0,1,0)</f>
        <v>1</v>
      </c>
      <c r="R77" s="7">
        <f>IF(COUNTIF(Lookup_Stations!$A$2:$A$33,P77)&gt;0,1,0)</f>
        <v>1</v>
      </c>
      <c r="S77" s="7">
        <f>IF(OR(AND(Q77=1,NOT(EXACT(Raw_Bookings!F77,O77))),AND(R77=1,NOT(EXACT(Raw_Bookings!G77,P77)))),1,0)</f>
        <v>0</v>
      </c>
      <c r="T77" s="7">
        <f>IF(OR(Q77=0,R77=0),1,0)</f>
        <v>0</v>
      </c>
      <c r="U77" s="7">
        <f>IF(TRIM(Raw_Bookings!E77&amp;"")="",1,0)</f>
        <v>0</v>
      </c>
      <c r="V77" s="7">
        <f>IF(SUMPRODUCT(--(Lookup_Status!$A$2:$A$13=LOWER(TRIM(Raw_Bookings!K77))))=0,"",INDEX(Lookup_Status!$B$2:$B$13,SUMPRODUCT((Lookup_Status!$A$2:$A$13=LOWER(TRIM(Raw_Bookings!K77)))*(ROW(Lookup_Status!$A$2:$A$13)-1))))</f>
        <v/>
      </c>
      <c r="W77" s="7">
        <f>IF(AND(V77&lt;&gt;"",NOT(EXACT(Raw_Bookings!K77,V77))),1,0)</f>
        <v>0</v>
      </c>
      <c r="X77" s="7">
        <f>IF(V77="",1,0)</f>
        <v>1</v>
      </c>
      <c r="Y77" s="7">
        <f>IF(TRIM(Raw_Bookings!L77&amp;"")="",1,0)</f>
        <v>0</v>
      </c>
      <c r="Z77" s="7">
        <f>IF(AND(ISTEXT(Raw_Bookings!L77),Y77=0),1,0)</f>
        <v>0</v>
      </c>
      <c r="AA77" s="7">
        <f>IF(Z77=1,IFERROR(VALUE(SUBSTITUTE(SUBSTITUTE(SUBSTITUTE(SUBSTITUTE(SUBSTITUTE(UPPER(Raw_Bookings!L77),"RS.",""),"₹",""),",","")," ",""),"INR","")),""),"")</f>
        <v/>
      </c>
      <c r="AB77" s="7">
        <f>IF(AND(Z77=1,ISNUMBER(AA77)),1,0)</f>
        <v>0</v>
      </c>
      <c r="AC77" s="7">
        <f>IF(B77=1,0,IF(NOT(ISNUMBER(Raw_Bookings!J77)),1,IF(Raw_Bookings!J77&lt;&gt;COUNTIFS(Work_Passengers!$B$2:$B$1336,Raw_Bookings!A77,Work_Passengers!$C$2:$C$1336,0),1,0)))</f>
        <v>0</v>
      </c>
    </row>
    <row r="78" spans="1:29">
      <c r="A78" s="7">
        <f>Raw_Bookings!A78</f>
        <v>1023016</v>
      </c>
      <c r="B78" s="7">
        <f>IF(COUNTIF(Raw_Bookings!$A$2:A78,Raw_Bookings!A78)&gt;1,1,0)</f>
        <v>0</v>
      </c>
      <c r="C78" s="7" t="str">
        <f>Raw_Bookings!D78&amp;""</f>
        <v>2024-12-29</v>
      </c>
      <c r="D78" s="7" t="str">
        <f>IF(AND(LEN(C78)=10,MID(C78,5,1)="-",MID(C78,8,1)="-"),"ISO",IF(AND(LEN(C78)=10,MID(C78,3,1)="-",MID(C78,6,1)="-"),"DMY","OTHER"))</f>
        <v>ISO</v>
      </c>
      <c r="E78" s="7">
        <f>IF(D78="ISO",VALUE(LEFT(C78,4)),IF(D78="DMY",VALUE(RIGHT(C78,4)),0))</f>
        <v>2024</v>
      </c>
      <c r="F78" s="7">
        <f>IF(D78="ISO",VALUE(MID(C78,6,2)),IF(D78="DMY",VALUE(MID(C78,4,2)),0))</f>
        <v>12</v>
      </c>
      <c r="G78" s="7">
        <f>IF(D78="ISO",VALUE(RIGHT(C78,2)),IF(D78="DMY",VALUE(LEFT(C78,2)),0))</f>
        <v>29</v>
      </c>
      <c r="H78" s="7">
        <f>IF(AND(D78&lt;&gt;"OTHER",F78&gt;=1,F78&lt;=12,G78&gt;=1,G78&lt;=31),IF(AND(MONTH(DATE(E78,F78,G78))=F78,DAY(DATE(E78,F78,G78))=G78),1,0),0)</f>
        <v>1</v>
      </c>
      <c r="I78" s="7">
        <f>IF(H78=1,DATE(E78,F78,G78),"")</f>
        <v>45655.0</v>
      </c>
      <c r="J78" s="7">
        <f>IF(AND(D78="DMY",H78=1),1,0)</f>
        <v>0</v>
      </c>
      <c r="K78" s="7">
        <f>IF(H78=0,1,0)</f>
        <v>0</v>
      </c>
      <c r="L78" s="7">
        <f>IF(TRIM(Raw_Bookings!I78&amp;"")="",1,0)</f>
        <v>0</v>
      </c>
      <c r="M78" s="7">
        <f>IF(L78=1,"",DATEVALUE(LEFT(Raw_Bookings!I78,10))+TIMEVALUE(MID(Raw_Bookings!I78,12,8)))</f>
        <v>45600.91778935185</v>
      </c>
      <c r="N78" s="7">
        <f>IF(AND(L78=0,H78=1),IF(INT(M78)&gt;I78,1,0),0)</f>
        <v>0</v>
      </c>
      <c r="O78" s="7" t="str">
        <f>UPPER(TRIM(Raw_Bookings!F78))</f>
        <v>MUM</v>
      </c>
      <c r="P78" s="7" t="str">
        <f>UPPER(TRIM(Raw_Bookings!G78))</f>
        <v>LUC</v>
      </c>
      <c r="Q78" s="7">
        <f>IF(COUNTIF(Lookup_Stations!$A$2:$A$33,O78)&gt;0,1,0)</f>
        <v>1</v>
      </c>
      <c r="R78" s="7">
        <f>IF(COUNTIF(Lookup_Stations!$A$2:$A$33,P78)&gt;0,1,0)</f>
        <v>1</v>
      </c>
      <c r="S78" s="7">
        <f>IF(OR(AND(Q78=1,NOT(EXACT(Raw_Bookings!F78,O78))),AND(R78=1,NOT(EXACT(Raw_Bookings!G78,P78)))),1,0)</f>
        <v>0</v>
      </c>
      <c r="T78" s="7">
        <f>IF(OR(Q78=0,R78=0),1,0)</f>
        <v>0</v>
      </c>
      <c r="U78" s="7">
        <f>IF(TRIM(Raw_Bookings!E78&amp;"")="",1,0)</f>
        <v>0</v>
      </c>
      <c r="V78" s="7" t="str">
        <f>IF(SUMPRODUCT(--(Lookup_Status!$A$2:$A$13=LOWER(TRIM(Raw_Bookings!K78))))=0,"",INDEX(Lookup_Status!$B$2:$B$13,SUMPRODUCT((Lookup_Status!$A$2:$A$13=LOWER(TRIM(Raw_Bookings!K78)))*(ROW(Lookup_Status!$A$2:$A$13)-1))))</f>
        <v>Cancelled</v>
      </c>
      <c r="W78" s="7">
        <f>IF(AND(V78&lt;&gt;"",NOT(EXACT(Raw_Bookings!K78,V78))),1,0)</f>
        <v>0</v>
      </c>
      <c r="X78" s="7">
        <f>IF(V78="",1,0)</f>
        <v>0</v>
      </c>
      <c r="Y78" s="7">
        <f>IF(TRIM(Raw_Bookings!L78&amp;"")="",1,0)</f>
        <v>0</v>
      </c>
      <c r="Z78" s="7">
        <f>IF(AND(ISTEXT(Raw_Bookings!L78),Y78=0),1,0)</f>
        <v>0</v>
      </c>
      <c r="AA78" s="7">
        <f>IF(Z78=1,IFERROR(VALUE(SUBSTITUTE(SUBSTITUTE(SUBSTITUTE(SUBSTITUTE(SUBSTITUTE(UPPER(Raw_Bookings!L78),"RS.",""),"₹",""),",","")," ",""),"INR","")),""),"")</f>
        <v/>
      </c>
      <c r="AB78" s="7">
        <f>IF(AND(Z78=1,ISNUMBER(AA78)),1,0)</f>
        <v>0</v>
      </c>
      <c r="AC78" s="7">
        <f>IF(B78=1,0,IF(NOT(ISNUMBER(Raw_Bookings!J78)),1,IF(Raw_Bookings!J78&lt;&gt;COUNTIFS(Work_Passengers!$B$2:$B$1336,Raw_Bookings!A78,Work_Passengers!$C$2:$C$1336,0),1,0)))</f>
        <v>0</v>
      </c>
    </row>
    <row r="79" spans="1:29">
      <c r="A79" s="7">
        <f>Raw_Bookings!A79</f>
        <v>1024071</v>
      </c>
      <c r="B79" s="7">
        <f>IF(COUNTIF(Raw_Bookings!$A$2:A79,Raw_Bookings!A79)&gt;1,1,0)</f>
        <v>0</v>
      </c>
      <c r="C79" s="7" t="str">
        <f>Raw_Bookings!D79&amp;""</f>
        <v>2024-12-04</v>
      </c>
      <c r="D79" s="7" t="str">
        <f>IF(AND(LEN(C79)=10,MID(C79,5,1)="-",MID(C79,8,1)="-"),"ISO",IF(AND(LEN(C79)=10,MID(C79,3,1)="-",MID(C79,6,1)="-"),"DMY","OTHER"))</f>
        <v>ISO</v>
      </c>
      <c r="E79" s="7">
        <f>IF(D79="ISO",VALUE(LEFT(C79,4)),IF(D79="DMY",VALUE(RIGHT(C79,4)),0))</f>
        <v>2024</v>
      </c>
      <c r="F79" s="7">
        <f>IF(D79="ISO",VALUE(MID(C79,6,2)),IF(D79="DMY",VALUE(MID(C79,4,2)),0))</f>
        <v>12</v>
      </c>
      <c r="G79" s="7">
        <f>IF(D79="ISO",VALUE(RIGHT(C79,2)),IF(D79="DMY",VALUE(LEFT(C79,2)),0))</f>
        <v>4</v>
      </c>
      <c r="H79" s="7">
        <f>IF(AND(D79&lt;&gt;"OTHER",F79&gt;=1,F79&lt;=12,G79&gt;=1,G79&lt;=31),IF(AND(MONTH(DATE(E79,F79,G79))=F79,DAY(DATE(E79,F79,G79))=G79),1,0),0)</f>
        <v>1</v>
      </c>
      <c r="I79" s="7">
        <f>IF(H79=1,DATE(E79,F79,G79),"")</f>
        <v>45630.0</v>
      </c>
      <c r="J79" s="7">
        <f>IF(AND(D79="DMY",H79=1),1,0)</f>
        <v>0</v>
      </c>
      <c r="K79" s="7">
        <f>IF(H79=0,1,0)</f>
        <v>0</v>
      </c>
      <c r="L79" s="7">
        <f>IF(TRIM(Raw_Bookings!I79&amp;"")="",1,0)</f>
        <v>0</v>
      </c>
      <c r="M79" s="7">
        <f>IF(L79=1,"",DATEVALUE(LEFT(Raw_Bookings!I79,10))+TIMEVALUE(MID(Raw_Bookings!I79,12,8)))</f>
        <v>45605.46192129629</v>
      </c>
      <c r="N79" s="7">
        <f>IF(AND(L79=0,H79=1),IF(INT(M79)&gt;I79,1,0),0)</f>
        <v>0</v>
      </c>
      <c r="O79" s="7" t="str">
        <f>UPPER(TRIM(Raw_Bookings!F79))</f>
        <v>RAI</v>
      </c>
      <c r="P79" s="7" t="str">
        <f>UPPER(TRIM(Raw_Bookings!G79))</f>
        <v>JAI</v>
      </c>
      <c r="Q79" s="7">
        <f>IF(COUNTIF(Lookup_Stations!$A$2:$A$33,O79)&gt;0,1,0)</f>
        <v>1</v>
      </c>
      <c r="R79" s="7">
        <f>IF(COUNTIF(Lookup_Stations!$A$2:$A$33,P79)&gt;0,1,0)</f>
        <v>1</v>
      </c>
      <c r="S79" s="7">
        <f>IF(OR(AND(Q79=1,NOT(EXACT(Raw_Bookings!F79,O79))),AND(R79=1,NOT(EXACT(Raw_Bookings!G79,P79)))),1,0)</f>
        <v>0</v>
      </c>
      <c r="T79" s="7">
        <f>IF(OR(Q79=0,R79=0),1,0)</f>
        <v>0</v>
      </c>
      <c r="U79" s="7">
        <f>IF(TRIM(Raw_Bookings!E79&amp;"")="",1,0)</f>
        <v>0</v>
      </c>
      <c r="V79" s="7" t="str">
        <f>IF(SUMPRODUCT(--(Lookup_Status!$A$2:$A$13=LOWER(TRIM(Raw_Bookings!K79))))=0,"",INDEX(Lookup_Status!$B$2:$B$13,SUMPRODUCT((Lookup_Status!$A$2:$A$13=LOWER(TRIM(Raw_Bookings!K79)))*(ROW(Lookup_Status!$A$2:$A$13)-1))))</f>
        <v>Confirmed</v>
      </c>
      <c r="W79" s="7">
        <f>IF(AND(V79&lt;&gt;"",NOT(EXACT(Raw_Bookings!K79,V79))),1,0)</f>
        <v>0</v>
      </c>
      <c r="X79" s="7">
        <f>IF(V79="",1,0)</f>
        <v>0</v>
      </c>
      <c r="Y79" s="7">
        <f>IF(TRIM(Raw_Bookings!L79&amp;"")="",1,0)</f>
        <v>0</v>
      </c>
      <c r="Z79" s="7">
        <f>IF(AND(ISTEXT(Raw_Bookings!L79),Y79=0),1,0)</f>
        <v>0</v>
      </c>
      <c r="AA79" s="7">
        <f>IF(Z79=1,IFERROR(VALUE(SUBSTITUTE(SUBSTITUTE(SUBSTITUTE(SUBSTITUTE(SUBSTITUTE(UPPER(Raw_Bookings!L79),"RS.",""),"₹",""),",","")," ",""),"INR","")),""),"")</f>
        <v/>
      </c>
      <c r="AB79" s="7">
        <f>IF(AND(Z79=1,ISNUMBER(AA79)),1,0)</f>
        <v>0</v>
      </c>
      <c r="AC79" s="7">
        <f>IF(B79=1,0,IF(NOT(ISNUMBER(Raw_Bookings!J79)),1,IF(Raw_Bookings!J79&lt;&gt;COUNTIFS(Work_Passengers!$B$2:$B$1336,Raw_Bookings!A79,Work_Passengers!$C$2:$C$1336,0),1,0)))</f>
        <v>0</v>
      </c>
    </row>
    <row r="80" spans="1:29">
      <c r="A80" s="7">
        <f>Raw_Bookings!A80</f>
        <v>1024249</v>
      </c>
      <c r="B80" s="7">
        <f>IF(COUNTIF(Raw_Bookings!$A$2:A80,Raw_Bookings!A80)&gt;1,1,0)</f>
        <v>0</v>
      </c>
      <c r="C80" s="7" t="str">
        <f>Raw_Bookings!D80&amp;""</f>
        <v>2024-12-15</v>
      </c>
      <c r="D80" s="7" t="str">
        <f>IF(AND(LEN(C80)=10,MID(C80,5,1)="-",MID(C80,8,1)="-"),"ISO",IF(AND(LEN(C80)=10,MID(C80,3,1)="-",MID(C80,6,1)="-"),"DMY","OTHER"))</f>
        <v>ISO</v>
      </c>
      <c r="E80" s="7">
        <f>IF(D80="ISO",VALUE(LEFT(C80,4)),IF(D80="DMY",VALUE(RIGHT(C80,4)),0))</f>
        <v>2024</v>
      </c>
      <c r="F80" s="7">
        <f>IF(D80="ISO",VALUE(MID(C80,6,2)),IF(D80="DMY",VALUE(MID(C80,4,2)),0))</f>
        <v>12</v>
      </c>
      <c r="G80" s="7">
        <f>IF(D80="ISO",VALUE(RIGHT(C80,2)),IF(D80="DMY",VALUE(LEFT(C80,2)),0))</f>
        <v>15</v>
      </c>
      <c r="H80" s="7">
        <f>IF(AND(D80&lt;&gt;"OTHER",F80&gt;=1,F80&lt;=12,G80&gt;=1,G80&lt;=31),IF(AND(MONTH(DATE(E80,F80,G80))=F80,DAY(DATE(E80,F80,G80))=G80),1,0),0)</f>
        <v>1</v>
      </c>
      <c r="I80" s="7">
        <f>IF(H80=1,DATE(E80,F80,G80),"")</f>
        <v>45641.0</v>
      </c>
      <c r="J80" s="7">
        <f>IF(AND(D80="DMY",H80=1),1,0)</f>
        <v>0</v>
      </c>
      <c r="K80" s="7">
        <f>IF(H80=0,1,0)</f>
        <v>0</v>
      </c>
      <c r="L80" s="7">
        <f>IF(TRIM(Raw_Bookings!I80&amp;"")="",1,0)</f>
        <v>0</v>
      </c>
      <c r="M80" s="7">
        <f>IF(L80=1,"",DATEVALUE(LEFT(Raw_Bookings!I80,10))+TIMEVALUE(MID(Raw_Bookings!I80,12,8)))</f>
        <v>45606.2590162037</v>
      </c>
      <c r="N80" s="7">
        <f>IF(AND(L80=0,H80=1),IF(INT(M80)&gt;I80,1,0),0)</f>
        <v>0</v>
      </c>
      <c r="O80" s="7" t="str">
        <f>UPPER(TRIM(Raw_Bookings!F80))</f>
        <v>THI</v>
      </c>
      <c r="P80" s="7" t="str">
        <f>UPPER(TRIM(Raw_Bookings!G80))</f>
        <v>NAG</v>
      </c>
      <c r="Q80" s="7">
        <f>IF(COUNTIF(Lookup_Stations!$A$2:$A$33,O80)&gt;0,1,0)</f>
        <v>1</v>
      </c>
      <c r="R80" s="7">
        <f>IF(COUNTIF(Lookup_Stations!$A$2:$A$33,P80)&gt;0,1,0)</f>
        <v>1</v>
      </c>
      <c r="S80" s="7">
        <f>IF(OR(AND(Q80=1,NOT(EXACT(Raw_Bookings!F80,O80))),AND(R80=1,NOT(EXACT(Raw_Bookings!G80,P80)))),1,0)</f>
        <v>0</v>
      </c>
      <c r="T80" s="7">
        <f>IF(OR(Q80=0,R80=0),1,0)</f>
        <v>0</v>
      </c>
      <c r="U80" s="7">
        <f>IF(TRIM(Raw_Bookings!E80&amp;"")="",1,0)</f>
        <v>0</v>
      </c>
      <c r="V80" s="7" t="str">
        <f>IF(SUMPRODUCT(--(Lookup_Status!$A$2:$A$13=LOWER(TRIM(Raw_Bookings!K80))))=0,"",INDEX(Lookup_Status!$B$2:$B$13,SUMPRODUCT((Lookup_Status!$A$2:$A$13=LOWER(TRIM(Raw_Bookings!K80)))*(ROW(Lookup_Status!$A$2:$A$13)-1))))</f>
        <v>Confirmed</v>
      </c>
      <c r="W80" s="7">
        <f>IF(AND(V80&lt;&gt;"",NOT(EXACT(Raw_Bookings!K80,V80))),1,0)</f>
        <v>0</v>
      </c>
      <c r="X80" s="7">
        <f>IF(V80="",1,0)</f>
        <v>0</v>
      </c>
      <c r="Y80" s="7">
        <f>IF(TRIM(Raw_Bookings!L80&amp;"")="",1,0)</f>
        <v>0</v>
      </c>
      <c r="Z80" s="7">
        <f>IF(AND(ISTEXT(Raw_Bookings!L80),Y80=0),1,0)</f>
        <v>0</v>
      </c>
      <c r="AA80" s="7">
        <f>IF(Z80=1,IFERROR(VALUE(SUBSTITUTE(SUBSTITUTE(SUBSTITUTE(SUBSTITUTE(SUBSTITUTE(UPPER(Raw_Bookings!L80),"RS.",""),"₹",""),",","")," ",""),"INR","")),""),"")</f>
        <v/>
      </c>
      <c r="AB80" s="7">
        <f>IF(AND(Z80=1,ISNUMBER(AA80)),1,0)</f>
        <v>0</v>
      </c>
      <c r="AC80" s="7">
        <f>IF(B80=1,0,IF(NOT(ISNUMBER(Raw_Bookings!J80)),1,IF(Raw_Bookings!J80&lt;&gt;COUNTIFS(Work_Passengers!$B$2:$B$1336,Raw_Bookings!A80,Work_Passengers!$C$2:$C$1336,0),1,0)))</f>
        <v>0</v>
      </c>
    </row>
    <row r="81" spans="1:29">
      <c r="A81" s="7">
        <f>Raw_Bookings!A81</f>
        <v>1024488</v>
      </c>
      <c r="B81" s="7">
        <f>IF(COUNTIF(Raw_Bookings!$A$2:A81,Raw_Bookings!A81)&gt;1,1,0)</f>
        <v>0</v>
      </c>
      <c r="C81" s="7" t="str">
        <f>Raw_Bookings!D81&amp;""</f>
        <v>2024-11-17</v>
      </c>
      <c r="D81" s="7" t="str">
        <f>IF(AND(LEN(C81)=10,MID(C81,5,1)="-",MID(C81,8,1)="-"),"ISO",IF(AND(LEN(C81)=10,MID(C81,3,1)="-",MID(C81,6,1)="-"),"DMY","OTHER"))</f>
        <v>ISO</v>
      </c>
      <c r="E81" s="7">
        <f>IF(D81="ISO",VALUE(LEFT(C81,4)),IF(D81="DMY",VALUE(RIGHT(C81,4)),0))</f>
        <v>2024</v>
      </c>
      <c r="F81" s="7">
        <f>IF(D81="ISO",VALUE(MID(C81,6,2)),IF(D81="DMY",VALUE(MID(C81,4,2)),0))</f>
        <v>11</v>
      </c>
      <c r="G81" s="7">
        <f>IF(D81="ISO",VALUE(RIGHT(C81,2)),IF(D81="DMY",VALUE(LEFT(C81,2)),0))</f>
        <v>17</v>
      </c>
      <c r="H81" s="7">
        <f>IF(AND(D81&lt;&gt;"OTHER",F81&gt;=1,F81&lt;=12,G81&gt;=1,G81&lt;=31),IF(AND(MONTH(DATE(E81,F81,G81))=F81,DAY(DATE(E81,F81,G81))=G81),1,0),0)</f>
        <v>1</v>
      </c>
      <c r="I81" s="7">
        <f>IF(H81=1,DATE(E81,F81,G81),"")</f>
        <v>45613.0</v>
      </c>
      <c r="J81" s="7">
        <f>IF(AND(D81="DMY",H81=1),1,0)</f>
        <v>0</v>
      </c>
      <c r="K81" s="7">
        <f>IF(H81=0,1,0)</f>
        <v>0</v>
      </c>
      <c r="L81" s="7">
        <f>IF(TRIM(Raw_Bookings!I81&amp;"")="",1,0)</f>
        <v>0</v>
      </c>
      <c r="M81" s="7">
        <f>IF(L81=1,"",DATEVALUE(LEFT(Raw_Bookings!I81,10))+TIMEVALUE(MID(Raw_Bookings!I81,12,8)))</f>
        <v>45606.979467592595</v>
      </c>
      <c r="N81" s="7">
        <f>IF(AND(L81=0,H81=1),IF(INT(M81)&gt;I81,1,0),0)</f>
        <v>0</v>
      </c>
      <c r="O81" s="7" t="str">
        <f>UPPER(TRIM(Raw_Bookings!F81))</f>
        <v>BHU</v>
      </c>
      <c r="P81" s="7" t="str">
        <f>UPPER(TRIM(Raw_Bookings!G81))</f>
        <v>KOC</v>
      </c>
      <c r="Q81" s="7">
        <f>IF(COUNTIF(Lookup_Stations!$A$2:$A$33,O81)&gt;0,1,0)</f>
        <v>1</v>
      </c>
      <c r="R81" s="7">
        <f>IF(COUNTIF(Lookup_Stations!$A$2:$A$33,P81)&gt;0,1,0)</f>
        <v>1</v>
      </c>
      <c r="S81" s="7">
        <f>IF(OR(AND(Q81=1,NOT(EXACT(Raw_Bookings!F81,O81))),AND(R81=1,NOT(EXACT(Raw_Bookings!G81,P81)))),1,0)</f>
        <v>0</v>
      </c>
      <c r="T81" s="7">
        <f>IF(OR(Q81=0,R81=0),1,0)</f>
        <v>0</v>
      </c>
      <c r="U81" s="7">
        <f>IF(TRIM(Raw_Bookings!E81&amp;"")="",1,0)</f>
        <v>0</v>
      </c>
      <c r="V81" s="7" t="str">
        <f>IF(SUMPRODUCT(--(Lookup_Status!$A$2:$A$13=LOWER(TRIM(Raw_Bookings!K81))))=0,"",INDEX(Lookup_Status!$B$2:$B$13,SUMPRODUCT((Lookup_Status!$A$2:$A$13=LOWER(TRIM(Raw_Bookings!K81)))*(ROW(Lookup_Status!$A$2:$A$13)-1))))</f>
        <v>Confirmed</v>
      </c>
      <c r="W81" s="7">
        <f>IF(AND(V81&lt;&gt;"",NOT(EXACT(Raw_Bookings!K81,V81))),1,0)</f>
        <v>0</v>
      </c>
      <c r="X81" s="7">
        <f>IF(V81="",1,0)</f>
        <v>0</v>
      </c>
      <c r="Y81" s="7">
        <f>IF(TRIM(Raw_Bookings!L81&amp;"")="",1,0)</f>
        <v>0</v>
      </c>
      <c r="Z81" s="7">
        <f>IF(AND(ISTEXT(Raw_Bookings!L81),Y81=0),1,0)</f>
        <v>0</v>
      </c>
      <c r="AA81" s="7">
        <f>IF(Z81=1,IFERROR(VALUE(SUBSTITUTE(SUBSTITUTE(SUBSTITUTE(SUBSTITUTE(SUBSTITUTE(UPPER(Raw_Bookings!L81),"RS.",""),"₹",""),",","")," ",""),"INR","")),""),"")</f>
        <v/>
      </c>
      <c r="AB81" s="7">
        <f>IF(AND(Z81=1,ISNUMBER(AA81)),1,0)</f>
        <v>0</v>
      </c>
      <c r="AC81" s="7">
        <f>IF(B81=1,0,IF(NOT(ISNUMBER(Raw_Bookings!J81)),1,IF(Raw_Bookings!J81&lt;&gt;COUNTIFS(Work_Passengers!$B$2:$B$1336,Raw_Bookings!A81,Work_Passengers!$C$2:$C$1336,0),1,0)))</f>
        <v>0</v>
      </c>
    </row>
    <row r="82" spans="1:29">
      <c r="A82" s="7">
        <f>Raw_Bookings!A82</f>
        <v>1025070</v>
      </c>
      <c r="B82" s="7">
        <f>IF(COUNTIF(Raw_Bookings!$A$2:A82,Raw_Bookings!A82)&gt;1,1,0)</f>
        <v>0</v>
      </c>
      <c r="C82" s="7" t="str">
        <f>Raw_Bookings!D82&amp;""</f>
        <v>2024-12-24</v>
      </c>
      <c r="D82" s="7" t="str">
        <f>IF(AND(LEN(C82)=10,MID(C82,5,1)="-",MID(C82,8,1)="-"),"ISO",IF(AND(LEN(C82)=10,MID(C82,3,1)="-",MID(C82,6,1)="-"),"DMY","OTHER"))</f>
        <v>ISO</v>
      </c>
      <c r="E82" s="7">
        <f>IF(D82="ISO",VALUE(LEFT(C82,4)),IF(D82="DMY",VALUE(RIGHT(C82,4)),0))</f>
        <v>2024</v>
      </c>
      <c r="F82" s="7">
        <f>IF(D82="ISO",VALUE(MID(C82,6,2)),IF(D82="DMY",VALUE(MID(C82,4,2)),0))</f>
        <v>12</v>
      </c>
      <c r="G82" s="7">
        <f>IF(D82="ISO",VALUE(RIGHT(C82,2)),IF(D82="DMY",VALUE(LEFT(C82,2)),0))</f>
        <v>24</v>
      </c>
      <c r="H82" s="7">
        <f>IF(AND(D82&lt;&gt;"OTHER",F82&gt;=1,F82&lt;=12,G82&gt;=1,G82&lt;=31),IF(AND(MONTH(DATE(E82,F82,G82))=F82,DAY(DATE(E82,F82,G82))=G82),1,0),0)</f>
        <v>1</v>
      </c>
      <c r="I82" s="7">
        <f>IF(H82=1,DATE(E82,F82,G82),"")</f>
        <v>45650.0</v>
      </c>
      <c r="J82" s="7">
        <f>IF(AND(D82="DMY",H82=1),1,0)</f>
        <v>0</v>
      </c>
      <c r="K82" s="7">
        <f>IF(H82=0,1,0)</f>
        <v>0</v>
      </c>
      <c r="L82" s="7">
        <f>IF(TRIM(Raw_Bookings!I82&amp;"")="",1,0)</f>
        <v>0</v>
      </c>
      <c r="M82" s="7">
        <f>IF(L82=1,"",DATEVALUE(LEFT(Raw_Bookings!I82,10))+TIMEVALUE(MID(Raw_Bookings!I82,12,8)))</f>
        <v>45609.45686342593</v>
      </c>
      <c r="N82" s="7">
        <f>IF(AND(L82=0,H82=1),IF(INT(M82)&gt;I82,1,0),0)</f>
        <v>0</v>
      </c>
      <c r="O82" s="7" t="str">
        <f>UPPER(TRIM(Raw_Bookings!F82))</f>
        <v>RAN</v>
      </c>
      <c r="P82" s="7" t="str">
        <f>UPPER(TRIM(Raw_Bookings!G82))</f>
        <v>COI</v>
      </c>
      <c r="Q82" s="7">
        <f>IF(COUNTIF(Lookup_Stations!$A$2:$A$33,O82)&gt;0,1,0)</f>
        <v>1</v>
      </c>
      <c r="R82" s="7">
        <f>IF(COUNTIF(Lookup_Stations!$A$2:$A$33,P82)&gt;0,1,0)</f>
        <v>1</v>
      </c>
      <c r="S82" s="7">
        <f>IF(OR(AND(Q82=1,NOT(EXACT(Raw_Bookings!F82,O82))),AND(R82=1,NOT(EXACT(Raw_Bookings!G82,P82)))),1,0)</f>
        <v>0</v>
      </c>
      <c r="T82" s="7">
        <f>IF(OR(Q82=0,R82=0),1,0)</f>
        <v>0</v>
      </c>
      <c r="U82" s="7">
        <f>IF(TRIM(Raw_Bookings!E82&amp;"")="",1,0)</f>
        <v>0</v>
      </c>
      <c r="V82" s="7" t="str">
        <f>IF(SUMPRODUCT(--(Lookup_Status!$A$2:$A$13=LOWER(TRIM(Raw_Bookings!K82))))=0,"",INDEX(Lookup_Status!$B$2:$B$13,SUMPRODUCT((Lookup_Status!$A$2:$A$13=LOWER(TRIM(Raw_Bookings!K82)))*(ROW(Lookup_Status!$A$2:$A$13)-1))))</f>
        <v>Confirmed</v>
      </c>
      <c r="W82" s="7">
        <f>IF(AND(V82&lt;&gt;"",NOT(EXACT(Raw_Bookings!K82,V82))),1,0)</f>
        <v>0</v>
      </c>
      <c r="X82" s="7">
        <f>IF(V82="",1,0)</f>
        <v>0</v>
      </c>
      <c r="Y82" s="7">
        <f>IF(TRIM(Raw_Bookings!L82&amp;"")="",1,0)</f>
        <v>0</v>
      </c>
      <c r="Z82" s="7">
        <f>IF(AND(ISTEXT(Raw_Bookings!L82),Y82=0),1,0)</f>
        <v>0</v>
      </c>
      <c r="AA82" s="7">
        <f>IF(Z82=1,IFERROR(VALUE(SUBSTITUTE(SUBSTITUTE(SUBSTITUTE(SUBSTITUTE(SUBSTITUTE(UPPER(Raw_Bookings!L82),"RS.",""),"₹",""),",","")," ",""),"INR","")),""),"")</f>
        <v/>
      </c>
      <c r="AB82" s="7">
        <f>IF(AND(Z82=1,ISNUMBER(AA82)),1,0)</f>
        <v>0</v>
      </c>
      <c r="AC82" s="7">
        <f>IF(B82=1,0,IF(NOT(ISNUMBER(Raw_Bookings!J82)),1,IF(Raw_Bookings!J82&lt;&gt;COUNTIFS(Work_Passengers!$B$2:$B$1336,Raw_Bookings!A82,Work_Passengers!$C$2:$C$1336,0),1,0)))</f>
        <v>0</v>
      </c>
    </row>
    <row r="83" spans="1:29">
      <c r="A83" s="7">
        <f>Raw_Bookings!A83</f>
        <v>1025466</v>
      </c>
      <c r="B83" s="7">
        <f>IF(COUNTIF(Raw_Bookings!$A$2:A83,Raw_Bookings!A83)&gt;1,1,0)</f>
        <v>0</v>
      </c>
      <c r="C83" s="7" t="str">
        <f>Raw_Bookings!D83&amp;""</f>
        <v>2024-11-24</v>
      </c>
      <c r="D83" s="7" t="str">
        <f>IF(AND(LEN(C83)=10,MID(C83,5,1)="-",MID(C83,8,1)="-"),"ISO",IF(AND(LEN(C83)=10,MID(C83,3,1)="-",MID(C83,6,1)="-"),"DMY","OTHER"))</f>
        <v>ISO</v>
      </c>
      <c r="E83" s="7">
        <f>IF(D83="ISO",VALUE(LEFT(C83,4)),IF(D83="DMY",VALUE(RIGHT(C83,4)),0))</f>
        <v>2024</v>
      </c>
      <c r="F83" s="7">
        <f>IF(D83="ISO",VALUE(MID(C83,6,2)),IF(D83="DMY",VALUE(MID(C83,4,2)),0))</f>
        <v>11</v>
      </c>
      <c r="G83" s="7">
        <f>IF(D83="ISO",VALUE(RIGHT(C83,2)),IF(D83="DMY",VALUE(LEFT(C83,2)),0))</f>
        <v>24</v>
      </c>
      <c r="H83" s="7">
        <f>IF(AND(D83&lt;&gt;"OTHER",F83&gt;=1,F83&lt;=12,G83&gt;=1,G83&lt;=31),IF(AND(MONTH(DATE(E83,F83,G83))=F83,DAY(DATE(E83,F83,G83))=G83),1,0),0)</f>
        <v>1</v>
      </c>
      <c r="I83" s="7">
        <f>IF(H83=1,DATE(E83,F83,G83),"")</f>
        <v>45620.0</v>
      </c>
      <c r="J83" s="7">
        <f>IF(AND(D83="DMY",H83=1),1,0)</f>
        <v>0</v>
      </c>
      <c r="K83" s="7">
        <f>IF(H83=0,1,0)</f>
        <v>0</v>
      </c>
      <c r="L83" s="7">
        <f>IF(TRIM(Raw_Bookings!I83&amp;"")="",1,0)</f>
        <v>0</v>
      </c>
      <c r="M83" s="7">
        <f>IF(L83=1,"",DATEVALUE(LEFT(Raw_Bookings!I83,10))+TIMEVALUE(MID(Raw_Bookings!I83,12,8)))</f>
        <v>45610.970243055555</v>
      </c>
      <c r="N83" s="7">
        <f>IF(AND(L83=0,H83=1),IF(INT(M83)&gt;I83,1,0),0)</f>
        <v>0</v>
      </c>
      <c r="O83" s="7" t="str">
        <f>UPPER(TRIM(Raw_Bookings!F83))</f>
        <v>KOL</v>
      </c>
      <c r="P83" s="7" t="str">
        <f>UPPER(TRIM(Raw_Bookings!G83))</f>
        <v>HYD</v>
      </c>
      <c r="Q83" s="7">
        <f>IF(COUNTIF(Lookup_Stations!$A$2:$A$33,O83)&gt;0,1,0)</f>
        <v>1</v>
      </c>
      <c r="R83" s="7">
        <f>IF(COUNTIF(Lookup_Stations!$A$2:$A$33,P83)&gt;0,1,0)</f>
        <v>1</v>
      </c>
      <c r="S83" s="7">
        <f>IF(OR(AND(Q83=1,NOT(EXACT(Raw_Bookings!F83,O83))),AND(R83=1,NOT(EXACT(Raw_Bookings!G83,P83)))),1,0)</f>
        <v>0</v>
      </c>
      <c r="T83" s="7">
        <f>IF(OR(Q83=0,R83=0),1,0)</f>
        <v>0</v>
      </c>
      <c r="U83" s="7">
        <f>IF(TRIM(Raw_Bookings!E83&amp;"")="",1,0)</f>
        <v>0</v>
      </c>
      <c r="V83" s="7" t="str">
        <f>IF(SUMPRODUCT(--(Lookup_Status!$A$2:$A$13=LOWER(TRIM(Raw_Bookings!K83))))=0,"",INDEX(Lookup_Status!$B$2:$B$13,SUMPRODUCT((Lookup_Status!$A$2:$A$13=LOWER(TRIM(Raw_Bookings!K83)))*(ROW(Lookup_Status!$A$2:$A$13)-1))))</f>
        <v>Confirmed</v>
      </c>
      <c r="W83" s="7">
        <f>IF(AND(V83&lt;&gt;"",NOT(EXACT(Raw_Bookings!K83,V83))),1,0)</f>
        <v>0</v>
      </c>
      <c r="X83" s="7">
        <f>IF(V83="",1,0)</f>
        <v>0</v>
      </c>
      <c r="Y83" s="7">
        <f>IF(TRIM(Raw_Bookings!L83&amp;"")="",1,0)</f>
        <v>0</v>
      </c>
      <c r="Z83" s="7">
        <f>IF(AND(ISTEXT(Raw_Bookings!L83),Y83=0),1,0)</f>
        <v>0</v>
      </c>
      <c r="AA83" s="7">
        <f>IF(Z83=1,IFERROR(VALUE(SUBSTITUTE(SUBSTITUTE(SUBSTITUTE(SUBSTITUTE(SUBSTITUTE(UPPER(Raw_Bookings!L83),"RS.",""),"₹",""),",","")," ",""),"INR","")),""),"")</f>
        <v/>
      </c>
      <c r="AB83" s="7">
        <f>IF(AND(Z83=1,ISNUMBER(AA83)),1,0)</f>
        <v>0</v>
      </c>
      <c r="AC83" s="7">
        <f>IF(B83=1,0,IF(NOT(ISNUMBER(Raw_Bookings!J83)),1,IF(Raw_Bookings!J83&lt;&gt;COUNTIFS(Work_Passengers!$B$2:$B$1336,Raw_Bookings!A83,Work_Passengers!$C$2:$C$1336,0),1,0)))</f>
        <v>0</v>
      </c>
    </row>
    <row r="84" spans="1:29">
      <c r="A84" s="7">
        <f>Raw_Bookings!A84</f>
        <v>1025907</v>
      </c>
      <c r="B84" s="7">
        <f>IF(COUNTIF(Raw_Bookings!$A$2:A84,Raw_Bookings!A84)&gt;1,1,0)</f>
        <v>0</v>
      </c>
      <c r="C84" s="7" t="str">
        <f>Raw_Bookings!D84&amp;""</f>
        <v>2024-12-05</v>
      </c>
      <c r="D84" s="7" t="str">
        <f>IF(AND(LEN(C84)=10,MID(C84,5,1)="-",MID(C84,8,1)="-"),"ISO",IF(AND(LEN(C84)=10,MID(C84,3,1)="-",MID(C84,6,1)="-"),"DMY","OTHER"))</f>
        <v>ISO</v>
      </c>
      <c r="E84" s="7">
        <f>IF(D84="ISO",VALUE(LEFT(C84,4)),IF(D84="DMY",VALUE(RIGHT(C84,4)),0))</f>
        <v>2024</v>
      </c>
      <c r="F84" s="7">
        <f>IF(D84="ISO",VALUE(MID(C84,6,2)),IF(D84="DMY",VALUE(MID(C84,4,2)),0))</f>
        <v>12</v>
      </c>
      <c r="G84" s="7">
        <f>IF(D84="ISO",VALUE(RIGHT(C84,2)),IF(D84="DMY",VALUE(LEFT(C84,2)),0))</f>
        <v>5</v>
      </c>
      <c r="H84" s="7">
        <f>IF(AND(D84&lt;&gt;"OTHER",F84&gt;=1,F84&lt;=12,G84&gt;=1,G84&lt;=31),IF(AND(MONTH(DATE(E84,F84,G84))=F84,DAY(DATE(E84,F84,G84))=G84),1,0),0)</f>
        <v>1</v>
      </c>
      <c r="I84" s="7">
        <f>IF(H84=1,DATE(E84,F84,G84),"")</f>
        <v>45631.0</v>
      </c>
      <c r="J84" s="7">
        <f>IF(AND(D84="DMY",H84=1),1,0)</f>
        <v>0</v>
      </c>
      <c r="K84" s="7">
        <f>IF(H84=0,1,0)</f>
        <v>0</v>
      </c>
      <c r="L84" s="7">
        <f>IF(TRIM(Raw_Bookings!I84&amp;"")="",1,0)</f>
        <v>0</v>
      </c>
      <c r="M84" s="7">
        <f>IF(L84=1,"",DATEVALUE(LEFT(Raw_Bookings!I84,10))+TIMEVALUE(MID(Raw_Bookings!I84,12,8)))</f>
        <v>45612.767118055555</v>
      </c>
      <c r="N84" s="7">
        <f>IF(AND(L84=0,H84=1),IF(INT(M84)&gt;I84,1,0),0)</f>
        <v>0</v>
      </c>
      <c r="O84" s="7" t="str">
        <f>UPPER(TRIM(Raw_Bookings!F84))</f>
        <v>AHM</v>
      </c>
      <c r="P84" s="7" t="str">
        <f>UPPER(TRIM(Raw_Bookings!G84))</f>
        <v>VAR</v>
      </c>
      <c r="Q84" s="7">
        <f>IF(COUNTIF(Lookup_Stations!$A$2:$A$33,O84)&gt;0,1,0)</f>
        <v>1</v>
      </c>
      <c r="R84" s="7">
        <f>IF(COUNTIF(Lookup_Stations!$A$2:$A$33,P84)&gt;0,1,0)</f>
        <v>1</v>
      </c>
      <c r="S84" s="7">
        <f>IF(OR(AND(Q84=1,NOT(EXACT(Raw_Bookings!F84,O84))),AND(R84=1,NOT(EXACT(Raw_Bookings!G84,P84)))),1,0)</f>
        <v>0</v>
      </c>
      <c r="T84" s="7">
        <f>IF(OR(Q84=0,R84=0),1,0)</f>
        <v>0</v>
      </c>
      <c r="U84" s="7">
        <f>IF(TRIM(Raw_Bookings!E84&amp;"")="",1,0)</f>
        <v>0</v>
      </c>
      <c r="V84" s="7" t="str">
        <f>IF(SUMPRODUCT(--(Lookup_Status!$A$2:$A$13=LOWER(TRIM(Raw_Bookings!K84))))=0,"",INDEX(Lookup_Status!$B$2:$B$13,SUMPRODUCT((Lookup_Status!$A$2:$A$13=LOWER(TRIM(Raw_Bookings!K84)))*(ROW(Lookup_Status!$A$2:$A$13)-1))))</f>
        <v>Confirmed</v>
      </c>
      <c r="W84" s="7">
        <f>IF(AND(V84&lt;&gt;"",NOT(EXACT(Raw_Bookings!K84,V84))),1,0)</f>
        <v>0</v>
      </c>
      <c r="X84" s="7">
        <f>IF(V84="",1,0)</f>
        <v>0</v>
      </c>
      <c r="Y84" s="7">
        <f>IF(TRIM(Raw_Bookings!L84&amp;"")="",1,0)</f>
        <v>0</v>
      </c>
      <c r="Z84" s="7">
        <f>IF(AND(ISTEXT(Raw_Bookings!L84),Y84=0),1,0)</f>
        <v>0</v>
      </c>
      <c r="AA84" s="7">
        <f>IF(Z84=1,IFERROR(VALUE(SUBSTITUTE(SUBSTITUTE(SUBSTITUTE(SUBSTITUTE(SUBSTITUTE(UPPER(Raw_Bookings!L84),"RS.",""),"₹",""),",","")," ",""),"INR","")),""),"")</f>
        <v/>
      </c>
      <c r="AB84" s="7">
        <f>IF(AND(Z84=1,ISNUMBER(AA84)),1,0)</f>
        <v>0</v>
      </c>
      <c r="AC84" s="7">
        <f>IF(B84=1,0,IF(NOT(ISNUMBER(Raw_Bookings!J84)),1,IF(Raw_Bookings!J84&lt;&gt;COUNTIFS(Work_Passengers!$B$2:$B$1336,Raw_Bookings!A84,Work_Passengers!$C$2:$C$1336,0),1,0)))</f>
        <v>0</v>
      </c>
    </row>
    <row r="85" spans="1:29">
      <c r="A85" s="7">
        <f>Raw_Bookings!A85</f>
        <v>1026016</v>
      </c>
      <c r="B85" s="7">
        <f>IF(COUNTIF(Raw_Bookings!$A$2:A85,Raw_Bookings!A85)&gt;1,1,0)</f>
        <v>0</v>
      </c>
      <c r="C85" s="7" t="str">
        <f>Raw_Bookings!D85&amp;""</f>
        <v>2024-11-18</v>
      </c>
      <c r="D85" s="7" t="str">
        <f>IF(AND(LEN(C85)=10,MID(C85,5,1)="-",MID(C85,8,1)="-"),"ISO",IF(AND(LEN(C85)=10,MID(C85,3,1)="-",MID(C85,6,1)="-"),"DMY","OTHER"))</f>
        <v>ISO</v>
      </c>
      <c r="E85" s="7">
        <f>IF(D85="ISO",VALUE(LEFT(C85,4)),IF(D85="DMY",VALUE(RIGHT(C85,4)),0))</f>
        <v>2024</v>
      </c>
      <c r="F85" s="7">
        <f>IF(D85="ISO",VALUE(MID(C85,6,2)),IF(D85="DMY",VALUE(MID(C85,4,2)),0))</f>
        <v>11</v>
      </c>
      <c r="G85" s="7">
        <f>IF(D85="ISO",VALUE(RIGHT(C85,2)),IF(D85="DMY",VALUE(LEFT(C85,2)),0))</f>
        <v>18</v>
      </c>
      <c r="H85" s="7">
        <f>IF(AND(D85&lt;&gt;"OTHER",F85&gt;=1,F85&lt;=12,G85&gt;=1,G85&lt;=31),IF(AND(MONTH(DATE(E85,F85,G85))=F85,DAY(DATE(E85,F85,G85))=G85),1,0),0)</f>
        <v>1</v>
      </c>
      <c r="I85" s="7">
        <f>IF(H85=1,DATE(E85,F85,G85),"")</f>
        <v>45614.0</v>
      </c>
      <c r="J85" s="7">
        <f>IF(AND(D85="DMY",H85=1),1,0)</f>
        <v>0</v>
      </c>
      <c r="K85" s="7">
        <f>IF(H85=0,1,0)</f>
        <v>0</v>
      </c>
      <c r="L85" s="7">
        <f>IF(TRIM(Raw_Bookings!I85&amp;"")="",1,0)</f>
        <v>0</v>
      </c>
      <c r="M85" s="7">
        <f>IF(L85=1,"",DATEVALUE(LEFT(Raw_Bookings!I85,10))+TIMEVALUE(MID(Raw_Bookings!I85,12,8)))</f>
        <v>45613.32912037037</v>
      </c>
      <c r="N85" s="7">
        <f>IF(AND(L85=0,H85=1),IF(INT(M85)&gt;I85,1,0),0)</f>
        <v>0</v>
      </c>
      <c r="O85" s="7" t="str">
        <f>UPPER(TRIM(Raw_Bookings!F85))</f>
        <v>BEN</v>
      </c>
      <c r="P85" s="7" t="str">
        <f>UPPER(TRIM(Raw_Bookings!G85))</f>
        <v>MUM</v>
      </c>
      <c r="Q85" s="7">
        <f>IF(COUNTIF(Lookup_Stations!$A$2:$A$33,O85)&gt;0,1,0)</f>
        <v>1</v>
      </c>
      <c r="R85" s="7">
        <f>IF(COUNTIF(Lookup_Stations!$A$2:$A$33,P85)&gt;0,1,0)</f>
        <v>1</v>
      </c>
      <c r="S85" s="7">
        <f>IF(OR(AND(Q85=1,NOT(EXACT(Raw_Bookings!F85,O85))),AND(R85=1,NOT(EXACT(Raw_Bookings!G85,P85)))),1,0)</f>
        <v>0</v>
      </c>
      <c r="T85" s="7">
        <f>IF(OR(Q85=0,R85=0),1,0)</f>
        <v>0</v>
      </c>
      <c r="U85" s="7">
        <f>IF(TRIM(Raw_Bookings!E85&amp;"")="",1,0)</f>
        <v>0</v>
      </c>
      <c r="V85" s="7" t="str">
        <f>IF(SUMPRODUCT(--(Lookup_Status!$A$2:$A$13=LOWER(TRIM(Raw_Bookings!K85))))=0,"",INDEX(Lookup_Status!$B$2:$B$13,SUMPRODUCT((Lookup_Status!$A$2:$A$13=LOWER(TRIM(Raw_Bookings!K85)))*(ROW(Lookup_Status!$A$2:$A$13)-1))))</f>
        <v>Waitlisted</v>
      </c>
      <c r="W85" s="7">
        <f>IF(AND(V85&lt;&gt;"",NOT(EXACT(Raw_Bookings!K85,V85))),1,0)</f>
        <v>0</v>
      </c>
      <c r="X85" s="7">
        <f>IF(V85="",1,0)</f>
        <v>0</v>
      </c>
      <c r="Y85" s="7">
        <f>IF(TRIM(Raw_Bookings!L85&amp;"")="",1,0)</f>
        <v>0</v>
      </c>
      <c r="Z85" s="7">
        <f>IF(AND(ISTEXT(Raw_Bookings!L85),Y85=0),1,0)</f>
        <v>0</v>
      </c>
      <c r="AA85" s="7">
        <f>IF(Z85=1,IFERROR(VALUE(SUBSTITUTE(SUBSTITUTE(SUBSTITUTE(SUBSTITUTE(SUBSTITUTE(UPPER(Raw_Bookings!L85),"RS.",""),"₹",""),",","")," ",""),"INR","")),""),"")</f>
        <v/>
      </c>
      <c r="AB85" s="7">
        <f>IF(AND(Z85=1,ISNUMBER(AA85)),1,0)</f>
        <v>0</v>
      </c>
      <c r="AC85" s="7">
        <f>IF(B85=1,0,IF(NOT(ISNUMBER(Raw_Bookings!J85)),1,IF(Raw_Bookings!J85&lt;&gt;COUNTIFS(Work_Passengers!$B$2:$B$1336,Raw_Bookings!A85,Work_Passengers!$C$2:$C$1336,0),1,0)))</f>
        <v>0</v>
      </c>
    </row>
    <row r="86" spans="1:29">
      <c r="A86" s="7">
        <f>Raw_Bookings!A86</f>
        <v>1026503</v>
      </c>
      <c r="B86" s="7">
        <f>IF(COUNTIF(Raw_Bookings!$A$2:A86,Raw_Bookings!A86)&gt;1,1,0)</f>
        <v>0</v>
      </c>
      <c r="C86" s="7" t="str">
        <f>Raw_Bookings!D86&amp;""</f>
        <v>2024-12-26</v>
      </c>
      <c r="D86" s="7" t="str">
        <f>IF(AND(LEN(C86)=10,MID(C86,5,1)="-",MID(C86,8,1)="-"),"ISO",IF(AND(LEN(C86)=10,MID(C86,3,1)="-",MID(C86,6,1)="-"),"DMY","OTHER"))</f>
        <v>ISO</v>
      </c>
      <c r="E86" s="7">
        <f>IF(D86="ISO",VALUE(LEFT(C86,4)),IF(D86="DMY",VALUE(RIGHT(C86,4)),0))</f>
        <v>2024</v>
      </c>
      <c r="F86" s="7">
        <f>IF(D86="ISO",VALUE(MID(C86,6,2)),IF(D86="DMY",VALUE(MID(C86,4,2)),0))</f>
        <v>12</v>
      </c>
      <c r="G86" s="7">
        <f>IF(D86="ISO",VALUE(RIGHT(C86,2)),IF(D86="DMY",VALUE(LEFT(C86,2)),0))</f>
        <v>26</v>
      </c>
      <c r="H86" s="7">
        <f>IF(AND(D86&lt;&gt;"OTHER",F86&gt;=1,F86&lt;=12,G86&gt;=1,G86&lt;=31),IF(AND(MONTH(DATE(E86,F86,G86))=F86,DAY(DATE(E86,F86,G86))=G86),1,0),0)</f>
        <v>1</v>
      </c>
      <c r="I86" s="7">
        <f>IF(H86=1,DATE(E86,F86,G86),"")</f>
        <v>45652.0</v>
      </c>
      <c r="J86" s="7">
        <f>IF(AND(D86="DMY",H86=1),1,0)</f>
        <v>0</v>
      </c>
      <c r="K86" s="7">
        <f>IF(H86=0,1,0)</f>
        <v>0</v>
      </c>
      <c r="L86" s="7">
        <f>IF(TRIM(Raw_Bookings!I86&amp;"")="",1,0)</f>
        <v>0</v>
      </c>
      <c r="M86" s="7">
        <f>IF(L86=1,"",DATEVALUE(LEFT(Raw_Bookings!I86,10))+TIMEVALUE(MID(Raw_Bookings!I86,12,8)))</f>
        <v>45615.37180555556</v>
      </c>
      <c r="N86" s="7">
        <f>IF(AND(L86=0,H86=1),IF(INT(M86)&gt;I86,1,0),0)</f>
        <v>0</v>
      </c>
      <c r="O86" s="7" t="str">
        <f>UPPER(TRIM(Raw_Bookings!F86))</f>
        <v>JOD</v>
      </c>
      <c r="P86" s="7" t="str">
        <f>UPPER(TRIM(Raw_Bookings!G86))</f>
        <v>BEN</v>
      </c>
      <c r="Q86" s="7">
        <f>IF(COUNTIF(Lookup_Stations!$A$2:$A$33,O86)&gt;0,1,0)</f>
        <v>1</v>
      </c>
      <c r="R86" s="7">
        <f>IF(COUNTIF(Lookup_Stations!$A$2:$A$33,P86)&gt;0,1,0)</f>
        <v>1</v>
      </c>
      <c r="S86" s="7">
        <f>IF(OR(AND(Q86=1,NOT(EXACT(Raw_Bookings!F86,O86))),AND(R86=1,NOT(EXACT(Raw_Bookings!G86,P86)))),1,0)</f>
        <v>0</v>
      </c>
      <c r="T86" s="7">
        <f>IF(OR(Q86=0,R86=0),1,0)</f>
        <v>0</v>
      </c>
      <c r="U86" s="7">
        <f>IF(TRIM(Raw_Bookings!E86&amp;"")="",1,0)</f>
        <v>0</v>
      </c>
      <c r="V86" s="7" t="str">
        <f>IF(SUMPRODUCT(--(Lookup_Status!$A$2:$A$13=LOWER(TRIM(Raw_Bookings!K86))))=0,"",INDEX(Lookup_Status!$B$2:$B$13,SUMPRODUCT((Lookup_Status!$A$2:$A$13=LOWER(TRIM(Raw_Bookings!K86)))*(ROW(Lookup_Status!$A$2:$A$13)-1))))</f>
        <v>Confirmed</v>
      </c>
      <c r="W86" s="7">
        <f>IF(AND(V86&lt;&gt;"",NOT(EXACT(Raw_Bookings!K86,V86))),1,0)</f>
        <v>0</v>
      </c>
      <c r="X86" s="7">
        <f>IF(V86="",1,0)</f>
        <v>0</v>
      </c>
      <c r="Y86" s="7">
        <f>IF(TRIM(Raw_Bookings!L86&amp;"")="",1,0)</f>
        <v>0</v>
      </c>
      <c r="Z86" s="7">
        <f>IF(AND(ISTEXT(Raw_Bookings!L86),Y86=0),1,0)</f>
        <v>0</v>
      </c>
      <c r="AA86" s="7">
        <f>IF(Z86=1,IFERROR(VALUE(SUBSTITUTE(SUBSTITUTE(SUBSTITUTE(SUBSTITUTE(SUBSTITUTE(UPPER(Raw_Bookings!L86),"RS.",""),"₹",""),",","")," ",""),"INR","")),""),"")</f>
        <v/>
      </c>
      <c r="AB86" s="7">
        <f>IF(AND(Z86=1,ISNUMBER(AA86)),1,0)</f>
        <v>0</v>
      </c>
      <c r="AC86" s="7">
        <f>IF(B86=1,0,IF(NOT(ISNUMBER(Raw_Bookings!J86)),1,IF(Raw_Bookings!J86&lt;&gt;COUNTIFS(Work_Passengers!$B$2:$B$1336,Raw_Bookings!A86,Work_Passengers!$C$2:$C$1336,0),1,0)))</f>
        <v>0</v>
      </c>
    </row>
    <row r="87" spans="1:29">
      <c r="A87" s="7">
        <f>Raw_Bookings!A87</f>
        <v>1026767</v>
      </c>
      <c r="B87" s="7">
        <f>IF(COUNTIF(Raw_Bookings!$A$2:A87,Raw_Bookings!A87)&gt;1,1,0)</f>
        <v>0</v>
      </c>
      <c r="C87" s="7" t="str">
        <f>Raw_Bookings!D87&amp;""</f>
        <v>2024-11-25</v>
      </c>
      <c r="D87" s="7" t="str">
        <f>IF(AND(LEN(C87)=10,MID(C87,5,1)="-",MID(C87,8,1)="-"),"ISO",IF(AND(LEN(C87)=10,MID(C87,3,1)="-",MID(C87,6,1)="-"),"DMY","OTHER"))</f>
        <v>ISO</v>
      </c>
      <c r="E87" s="7">
        <f>IF(D87="ISO",VALUE(LEFT(C87,4)),IF(D87="DMY",VALUE(RIGHT(C87,4)),0))</f>
        <v>2024</v>
      </c>
      <c r="F87" s="7">
        <f>IF(D87="ISO",VALUE(MID(C87,6,2)),IF(D87="DMY",VALUE(MID(C87,4,2)),0))</f>
        <v>11</v>
      </c>
      <c r="G87" s="7">
        <f>IF(D87="ISO",VALUE(RIGHT(C87,2)),IF(D87="DMY",VALUE(LEFT(C87,2)),0))</f>
        <v>25</v>
      </c>
      <c r="H87" s="7">
        <f>IF(AND(D87&lt;&gt;"OTHER",F87&gt;=1,F87&lt;=12,G87&gt;=1,G87&lt;=31),IF(AND(MONTH(DATE(E87,F87,G87))=F87,DAY(DATE(E87,F87,G87))=G87),1,0),0)</f>
        <v>1</v>
      </c>
      <c r="I87" s="7">
        <f>IF(H87=1,DATE(E87,F87,G87),"")</f>
        <v>45621.0</v>
      </c>
      <c r="J87" s="7">
        <f>IF(AND(D87="DMY",H87=1),1,0)</f>
        <v>0</v>
      </c>
      <c r="K87" s="7">
        <f>IF(H87=0,1,0)</f>
        <v>0</v>
      </c>
      <c r="L87" s="7">
        <f>IF(TRIM(Raw_Bookings!I87&amp;"")="",1,0)</f>
        <v>0</v>
      </c>
      <c r="M87" s="7">
        <f>IF(L87=1,"",DATEVALUE(LEFT(Raw_Bookings!I87,10))+TIMEVALUE(MID(Raw_Bookings!I87,12,8)))</f>
        <v>45616.49730324074</v>
      </c>
      <c r="N87" s="7">
        <f>IF(AND(L87=0,H87=1),IF(INT(M87)&gt;I87,1,0),0)</f>
        <v>0</v>
      </c>
      <c r="O87" s="7" t="str">
        <f>UPPER(TRIM(Raw_Bookings!F87))</f>
        <v>KOL</v>
      </c>
      <c r="P87" s="7" t="str">
        <f>UPPER(TRIM(Raw_Bookings!G87))</f>
        <v>HYD</v>
      </c>
      <c r="Q87" s="7">
        <f>IF(COUNTIF(Lookup_Stations!$A$2:$A$33,O87)&gt;0,1,0)</f>
        <v>1</v>
      </c>
      <c r="R87" s="7">
        <f>IF(COUNTIF(Lookup_Stations!$A$2:$A$33,P87)&gt;0,1,0)</f>
        <v>1</v>
      </c>
      <c r="S87" s="7">
        <f>IF(OR(AND(Q87=1,NOT(EXACT(Raw_Bookings!F87,O87))),AND(R87=1,NOT(EXACT(Raw_Bookings!G87,P87)))),1,0)</f>
        <v>0</v>
      </c>
      <c r="T87" s="7">
        <f>IF(OR(Q87=0,R87=0),1,0)</f>
        <v>0</v>
      </c>
      <c r="U87" s="7">
        <f>IF(TRIM(Raw_Bookings!E87&amp;"")="",1,0)</f>
        <v>0</v>
      </c>
      <c r="V87" s="7" t="str">
        <f>IF(SUMPRODUCT(--(Lookup_Status!$A$2:$A$13=LOWER(TRIM(Raw_Bookings!K87))))=0,"",INDEX(Lookup_Status!$B$2:$B$13,SUMPRODUCT((Lookup_Status!$A$2:$A$13=LOWER(TRIM(Raw_Bookings!K87)))*(ROW(Lookup_Status!$A$2:$A$13)-1))))</f>
        <v>Confirmed</v>
      </c>
      <c r="W87" s="7">
        <f>IF(AND(V87&lt;&gt;"",NOT(EXACT(Raw_Bookings!K87,V87))),1,0)</f>
        <v>0</v>
      </c>
      <c r="X87" s="7">
        <f>IF(V87="",1,0)</f>
        <v>0</v>
      </c>
      <c r="Y87" s="7">
        <f>IF(TRIM(Raw_Bookings!L87&amp;"")="",1,0)</f>
        <v>0</v>
      </c>
      <c r="Z87" s="7">
        <f>IF(AND(ISTEXT(Raw_Bookings!L87),Y87=0),1,0)</f>
        <v>0</v>
      </c>
      <c r="AA87" s="7">
        <f>IF(Z87=1,IFERROR(VALUE(SUBSTITUTE(SUBSTITUTE(SUBSTITUTE(SUBSTITUTE(SUBSTITUTE(UPPER(Raw_Bookings!L87),"RS.",""),"₹",""),",","")," ",""),"INR","")),""),"")</f>
        <v/>
      </c>
      <c r="AB87" s="7">
        <f>IF(AND(Z87=1,ISNUMBER(AA87)),1,0)</f>
        <v>0</v>
      </c>
      <c r="AC87" s="7">
        <f>IF(B87=1,0,IF(NOT(ISNUMBER(Raw_Bookings!J87)),1,IF(Raw_Bookings!J87&lt;&gt;COUNTIFS(Work_Passengers!$B$2:$B$1336,Raw_Bookings!A87,Work_Passengers!$C$2:$C$1336,0),1,0)))</f>
        <v>0</v>
      </c>
    </row>
    <row r="88" spans="1:29">
      <c r="A88" s="7">
        <f>Raw_Bookings!A88</f>
        <v>1026783</v>
      </c>
      <c r="B88" s="7">
        <f>IF(COUNTIF(Raw_Bookings!$A$2:A88,Raw_Bookings!A88)&gt;1,1,0)</f>
        <v>0</v>
      </c>
      <c r="C88" s="7" t="str">
        <f>Raw_Bookings!D88&amp;""</f>
        <v>2025-01-07</v>
      </c>
      <c r="D88" s="7" t="str">
        <f>IF(AND(LEN(C88)=10,MID(C88,5,1)="-",MID(C88,8,1)="-"),"ISO",IF(AND(LEN(C88)=10,MID(C88,3,1)="-",MID(C88,6,1)="-"),"DMY","OTHER"))</f>
        <v>ISO</v>
      </c>
      <c r="E88" s="7">
        <f>IF(D88="ISO",VALUE(LEFT(C88,4)),IF(D88="DMY",VALUE(RIGHT(C88,4)),0))</f>
        <v>2025</v>
      </c>
      <c r="F88" s="7">
        <f>IF(D88="ISO",VALUE(MID(C88,6,2)),IF(D88="DMY",VALUE(MID(C88,4,2)),0))</f>
        <v>1</v>
      </c>
      <c r="G88" s="7">
        <f>IF(D88="ISO",VALUE(RIGHT(C88,2)),IF(D88="DMY",VALUE(LEFT(C88,2)),0))</f>
        <v>7</v>
      </c>
      <c r="H88" s="7">
        <f>IF(AND(D88&lt;&gt;"OTHER",F88&gt;=1,F88&lt;=12,G88&gt;=1,G88&lt;=31),IF(AND(MONTH(DATE(E88,F88,G88))=F88,DAY(DATE(E88,F88,G88))=G88),1,0),0)</f>
        <v>1</v>
      </c>
      <c r="I88" s="7">
        <f>IF(H88=1,DATE(E88,F88,G88),"")</f>
        <v>45664.0</v>
      </c>
      <c r="J88" s="7">
        <f>IF(AND(D88="DMY",H88=1),1,0)</f>
        <v>0</v>
      </c>
      <c r="K88" s="7">
        <f>IF(H88=0,1,0)</f>
        <v>0</v>
      </c>
      <c r="L88" s="7">
        <f>IF(TRIM(Raw_Bookings!I88&amp;"")="",1,0)</f>
        <v>1</v>
      </c>
      <c r="M88" s="7">
        <f>IF(L88=1,"",DATEVALUE(LEFT(Raw_Bookings!I88,10))+TIMEVALUE(MID(Raw_Bookings!I88,12,8)))</f>
        <v/>
      </c>
      <c r="N88" s="7">
        <f>IF(AND(L88=0,H88=1),IF(INT(M88)&gt;I88,1,0),0)</f>
        <v>0</v>
      </c>
      <c r="O88" s="7" t="str">
        <f>UPPER(TRIM(Raw_Bookings!F88))</f>
        <v>MUM</v>
      </c>
      <c r="P88" s="7" t="str">
        <f>UPPER(TRIM(Raw_Bookings!G88))</f>
        <v>BEN</v>
      </c>
      <c r="Q88" s="7">
        <f>IF(COUNTIF(Lookup_Stations!$A$2:$A$33,O88)&gt;0,1,0)</f>
        <v>1</v>
      </c>
      <c r="R88" s="7">
        <f>IF(COUNTIF(Lookup_Stations!$A$2:$A$33,P88)&gt;0,1,0)</f>
        <v>1</v>
      </c>
      <c r="S88" s="7">
        <f>IF(OR(AND(Q88=1,NOT(EXACT(Raw_Bookings!F88,O88))),AND(R88=1,NOT(EXACT(Raw_Bookings!G88,P88)))),1,0)</f>
        <v>0</v>
      </c>
      <c r="T88" s="7">
        <f>IF(OR(Q88=0,R88=0),1,0)</f>
        <v>0</v>
      </c>
      <c r="U88" s="7">
        <f>IF(TRIM(Raw_Bookings!E88&amp;"")="",1,0)</f>
        <v>0</v>
      </c>
      <c r="V88" s="7" t="str">
        <f>IF(SUMPRODUCT(--(Lookup_Status!$A$2:$A$13=LOWER(TRIM(Raw_Bookings!K88))))=0,"",INDEX(Lookup_Status!$B$2:$B$13,SUMPRODUCT((Lookup_Status!$A$2:$A$13=LOWER(TRIM(Raw_Bookings!K88)))*(ROW(Lookup_Status!$A$2:$A$13)-1))))</f>
        <v>Confirmed</v>
      </c>
      <c r="W88" s="7">
        <f>IF(AND(V88&lt;&gt;"",NOT(EXACT(Raw_Bookings!K88,V88))),1,0)</f>
        <v>0</v>
      </c>
      <c r="X88" s="7">
        <f>IF(V88="",1,0)</f>
        <v>0</v>
      </c>
      <c r="Y88" s="7">
        <f>IF(TRIM(Raw_Bookings!L88&amp;"")="",1,0)</f>
        <v>0</v>
      </c>
      <c r="Z88" s="7">
        <f>IF(AND(ISTEXT(Raw_Bookings!L88),Y88=0),1,0)</f>
        <v>0</v>
      </c>
      <c r="AA88" s="7">
        <f>IF(Z88=1,IFERROR(VALUE(SUBSTITUTE(SUBSTITUTE(SUBSTITUTE(SUBSTITUTE(SUBSTITUTE(UPPER(Raw_Bookings!L88),"RS.",""),"₹",""),",","")," ",""),"INR","")),""),"")</f>
        <v/>
      </c>
      <c r="AB88" s="7">
        <f>IF(AND(Z88=1,ISNUMBER(AA88)),1,0)</f>
        <v>0</v>
      </c>
      <c r="AC88" s="7">
        <f>IF(B88=1,0,IF(NOT(ISNUMBER(Raw_Bookings!J88)),1,IF(Raw_Bookings!J88&lt;&gt;COUNTIFS(Work_Passengers!$B$2:$B$1336,Raw_Bookings!A88,Work_Passengers!$C$2:$C$1336,0),1,0)))</f>
        <v>0</v>
      </c>
    </row>
    <row r="89" spans="1:29">
      <c r="A89" s="7">
        <f>Raw_Bookings!A89</f>
        <v>1026979</v>
      </c>
      <c r="B89" s="7">
        <f>IF(COUNTIF(Raw_Bookings!$A$2:A89,Raw_Bookings!A89)&gt;1,1,0)</f>
        <v>0</v>
      </c>
      <c r="C89" s="7" t="str">
        <f>Raw_Bookings!D89&amp;""</f>
        <v>2024-12-04</v>
      </c>
      <c r="D89" s="7" t="str">
        <f>IF(AND(LEN(C89)=10,MID(C89,5,1)="-",MID(C89,8,1)="-"),"ISO",IF(AND(LEN(C89)=10,MID(C89,3,1)="-",MID(C89,6,1)="-"),"DMY","OTHER"))</f>
        <v>ISO</v>
      </c>
      <c r="E89" s="7">
        <f>IF(D89="ISO",VALUE(LEFT(C89,4)),IF(D89="DMY",VALUE(RIGHT(C89,4)),0))</f>
        <v>2024</v>
      </c>
      <c r="F89" s="7">
        <f>IF(D89="ISO",VALUE(MID(C89,6,2)),IF(D89="DMY",VALUE(MID(C89,4,2)),0))</f>
        <v>12</v>
      </c>
      <c r="G89" s="7">
        <f>IF(D89="ISO",VALUE(RIGHT(C89,2)),IF(D89="DMY",VALUE(LEFT(C89,2)),0))</f>
        <v>4</v>
      </c>
      <c r="H89" s="7">
        <f>IF(AND(D89&lt;&gt;"OTHER",F89&gt;=1,F89&lt;=12,G89&gt;=1,G89&lt;=31),IF(AND(MONTH(DATE(E89,F89,G89))=F89,DAY(DATE(E89,F89,G89))=G89),1,0),0)</f>
        <v>1</v>
      </c>
      <c r="I89" s="7">
        <f>IF(H89=1,DATE(E89,F89,G89),"")</f>
        <v>45630.0</v>
      </c>
      <c r="J89" s="7">
        <f>IF(AND(D89="DMY",H89=1),1,0)</f>
        <v>0</v>
      </c>
      <c r="K89" s="7">
        <f>IF(H89=0,1,0)</f>
        <v>0</v>
      </c>
      <c r="L89" s="7">
        <f>IF(TRIM(Raw_Bookings!I89&amp;"")="",1,0)</f>
        <v>0</v>
      </c>
      <c r="M89" s="7">
        <f>IF(L89=1,"",DATEVALUE(LEFT(Raw_Bookings!I89,10))+TIMEVALUE(MID(Raw_Bookings!I89,12,8)))</f>
        <v>45617.51605324074</v>
      </c>
      <c r="N89" s="7">
        <f>IF(AND(L89=0,H89=1),IF(INT(M89)&gt;I89,1,0),0)</f>
        <v>0</v>
      </c>
      <c r="O89" s="7" t="str">
        <f>UPPER(TRIM(Raw_Bookings!F89))</f>
        <v>RAI</v>
      </c>
      <c r="P89" s="7" t="str">
        <f>UPPER(TRIM(Raw_Bookings!G89))</f>
        <v>JAI</v>
      </c>
      <c r="Q89" s="7">
        <f>IF(COUNTIF(Lookup_Stations!$A$2:$A$33,O89)&gt;0,1,0)</f>
        <v>1</v>
      </c>
      <c r="R89" s="7">
        <f>IF(COUNTIF(Lookup_Stations!$A$2:$A$33,P89)&gt;0,1,0)</f>
        <v>1</v>
      </c>
      <c r="S89" s="7">
        <f>IF(OR(AND(Q89=1,NOT(EXACT(Raw_Bookings!F89,O89))),AND(R89=1,NOT(EXACT(Raw_Bookings!G89,P89)))),1,0)</f>
        <v>0</v>
      </c>
      <c r="T89" s="7">
        <f>IF(OR(Q89=0,R89=0),1,0)</f>
        <v>0</v>
      </c>
      <c r="U89" s="7">
        <f>IF(TRIM(Raw_Bookings!E89&amp;"")="",1,0)</f>
        <v>0</v>
      </c>
      <c r="V89" s="7" t="str">
        <f>IF(SUMPRODUCT(--(Lookup_Status!$A$2:$A$13=LOWER(TRIM(Raw_Bookings!K89))))=0,"",INDEX(Lookup_Status!$B$2:$B$13,SUMPRODUCT((Lookup_Status!$A$2:$A$13=LOWER(TRIM(Raw_Bookings!K89)))*(ROW(Lookup_Status!$A$2:$A$13)-1))))</f>
        <v>Confirmed</v>
      </c>
      <c r="W89" s="7">
        <f>IF(AND(V89&lt;&gt;"",NOT(EXACT(Raw_Bookings!K89,V89))),1,0)</f>
        <v>0</v>
      </c>
      <c r="X89" s="7">
        <f>IF(V89="",1,0)</f>
        <v>0</v>
      </c>
      <c r="Y89" s="7">
        <f>IF(TRIM(Raw_Bookings!L89&amp;"")="",1,0)</f>
        <v>0</v>
      </c>
      <c r="Z89" s="7">
        <f>IF(AND(ISTEXT(Raw_Bookings!L89),Y89=0),1,0)</f>
        <v>0</v>
      </c>
      <c r="AA89" s="7">
        <f>IF(Z89=1,IFERROR(VALUE(SUBSTITUTE(SUBSTITUTE(SUBSTITUTE(SUBSTITUTE(SUBSTITUTE(UPPER(Raw_Bookings!L89),"RS.",""),"₹",""),",","")," ",""),"INR","")),""),"")</f>
        <v/>
      </c>
      <c r="AB89" s="7">
        <f>IF(AND(Z89=1,ISNUMBER(AA89)),1,0)</f>
        <v>0</v>
      </c>
      <c r="AC89" s="7">
        <f>IF(B89=1,0,IF(NOT(ISNUMBER(Raw_Bookings!J89)),1,IF(Raw_Bookings!J89&lt;&gt;COUNTIFS(Work_Passengers!$B$2:$B$1336,Raw_Bookings!A89,Work_Passengers!$C$2:$C$1336,0),1,0)))</f>
        <v>0</v>
      </c>
    </row>
    <row r="90" spans="1:29">
      <c r="A90" s="7">
        <f>Raw_Bookings!A90</f>
        <v>1027209</v>
      </c>
      <c r="B90" s="7">
        <f>IF(COUNTIF(Raw_Bookings!$A$2:A90,Raw_Bookings!A90)&gt;1,1,0)</f>
        <v>0</v>
      </c>
      <c r="C90" s="7" t="str">
        <f>Raw_Bookings!D90&amp;""</f>
        <v>2024-12-04</v>
      </c>
      <c r="D90" s="7" t="str">
        <f>IF(AND(LEN(C90)=10,MID(C90,5,1)="-",MID(C90,8,1)="-"),"ISO",IF(AND(LEN(C90)=10,MID(C90,3,1)="-",MID(C90,6,1)="-"),"DMY","OTHER"))</f>
        <v>ISO</v>
      </c>
      <c r="E90" s="7">
        <f>IF(D90="ISO",VALUE(LEFT(C90,4)),IF(D90="DMY",VALUE(RIGHT(C90,4)),0))</f>
        <v>2024</v>
      </c>
      <c r="F90" s="7">
        <f>IF(D90="ISO",VALUE(MID(C90,6,2)),IF(D90="DMY",VALUE(MID(C90,4,2)),0))</f>
        <v>12</v>
      </c>
      <c r="G90" s="7">
        <f>IF(D90="ISO",VALUE(RIGHT(C90,2)),IF(D90="DMY",VALUE(LEFT(C90,2)),0))</f>
        <v>4</v>
      </c>
      <c r="H90" s="7">
        <f>IF(AND(D90&lt;&gt;"OTHER",F90&gt;=1,F90&lt;=12,G90&gt;=1,G90&lt;=31),IF(AND(MONTH(DATE(E90,F90,G90))=F90,DAY(DATE(E90,F90,G90))=G90),1,0),0)</f>
        <v>1</v>
      </c>
      <c r="I90" s="7">
        <f>IF(H90=1,DATE(E90,F90,G90),"")</f>
        <v>45630.0</v>
      </c>
      <c r="J90" s="7">
        <f>IF(AND(D90="DMY",H90=1),1,0)</f>
        <v>0</v>
      </c>
      <c r="K90" s="7">
        <f>IF(H90=0,1,0)</f>
        <v>0</v>
      </c>
      <c r="L90" s="7">
        <f>IF(TRIM(Raw_Bookings!I90&amp;"")="",1,0)</f>
        <v>0</v>
      </c>
      <c r="M90" s="7">
        <f>IF(L90=1,"",DATEVALUE(LEFT(Raw_Bookings!I90,10))+TIMEVALUE(MID(Raw_Bookings!I90,12,8)))</f>
        <v>45618.52751157407</v>
      </c>
      <c r="N90" s="7">
        <f>IF(AND(L90=0,H90=1),IF(INT(M90)&gt;I90,1,0),0)</f>
        <v>0</v>
      </c>
      <c r="O90" s="7" t="str">
        <f>UPPER(TRIM(Raw_Bookings!F90))</f>
        <v>VIS</v>
      </c>
      <c r="P90" s="7" t="str">
        <f>UPPER(TRIM(Raw_Bookings!G90))</f>
        <v>CHA</v>
      </c>
      <c r="Q90" s="7">
        <f>IF(COUNTIF(Lookup_Stations!$A$2:$A$33,O90)&gt;0,1,0)</f>
        <v>1</v>
      </c>
      <c r="R90" s="7">
        <f>IF(COUNTIF(Lookup_Stations!$A$2:$A$33,P90)&gt;0,1,0)</f>
        <v>1</v>
      </c>
      <c r="S90" s="7">
        <f>IF(OR(AND(Q90=1,NOT(EXACT(Raw_Bookings!F90,O90))),AND(R90=1,NOT(EXACT(Raw_Bookings!G90,P90)))),1,0)</f>
        <v>0</v>
      </c>
      <c r="T90" s="7">
        <f>IF(OR(Q90=0,R90=0),1,0)</f>
        <v>0</v>
      </c>
      <c r="U90" s="7">
        <f>IF(TRIM(Raw_Bookings!E90&amp;"")="",1,0)</f>
        <v>0</v>
      </c>
      <c r="V90" s="7" t="str">
        <f>IF(SUMPRODUCT(--(Lookup_Status!$A$2:$A$13=LOWER(TRIM(Raw_Bookings!K90))))=0,"",INDEX(Lookup_Status!$B$2:$B$13,SUMPRODUCT((Lookup_Status!$A$2:$A$13=LOWER(TRIM(Raw_Bookings!K90)))*(ROW(Lookup_Status!$A$2:$A$13)-1))))</f>
        <v>Confirmed</v>
      </c>
      <c r="W90" s="7">
        <f>IF(AND(V90&lt;&gt;"",NOT(EXACT(Raw_Bookings!K90,V90))),1,0)</f>
        <v>0</v>
      </c>
      <c r="X90" s="7">
        <f>IF(V90="",1,0)</f>
        <v>0</v>
      </c>
      <c r="Y90" s="7">
        <f>IF(TRIM(Raw_Bookings!L90&amp;"")="",1,0)</f>
        <v>0</v>
      </c>
      <c r="Z90" s="7">
        <f>IF(AND(ISTEXT(Raw_Bookings!L90),Y90=0),1,0)</f>
        <v>0</v>
      </c>
      <c r="AA90" s="7">
        <f>IF(Z90=1,IFERROR(VALUE(SUBSTITUTE(SUBSTITUTE(SUBSTITUTE(SUBSTITUTE(SUBSTITUTE(UPPER(Raw_Bookings!L90),"RS.",""),"₹",""),",","")," ",""),"INR","")),""),"")</f>
        <v/>
      </c>
      <c r="AB90" s="7">
        <f>IF(AND(Z90=1,ISNUMBER(AA90)),1,0)</f>
        <v>0</v>
      </c>
      <c r="AC90" s="7">
        <f>IF(B90=1,0,IF(NOT(ISNUMBER(Raw_Bookings!J90)),1,IF(Raw_Bookings!J90&lt;&gt;COUNTIFS(Work_Passengers!$B$2:$B$1336,Raw_Bookings!A90,Work_Passengers!$C$2:$C$1336,0),1,0)))</f>
        <v>0</v>
      </c>
    </row>
    <row r="91" spans="1:29">
      <c r="A91" s="7">
        <f>Raw_Bookings!A91</f>
        <v>1028041</v>
      </c>
      <c r="B91" s="7">
        <f>IF(COUNTIF(Raw_Bookings!$A$2:A91,Raw_Bookings!A91)&gt;1,1,0)</f>
        <v>0</v>
      </c>
      <c r="C91" s="7" t="str">
        <f>Raw_Bookings!D91&amp;""</f>
        <v>2025-01-08</v>
      </c>
      <c r="D91" s="7" t="str">
        <f>IF(AND(LEN(C91)=10,MID(C91,5,1)="-",MID(C91,8,1)="-"),"ISO",IF(AND(LEN(C91)=10,MID(C91,3,1)="-",MID(C91,6,1)="-"),"DMY","OTHER"))</f>
        <v>ISO</v>
      </c>
      <c r="E91" s="7">
        <f>IF(D91="ISO",VALUE(LEFT(C91,4)),IF(D91="DMY",VALUE(RIGHT(C91,4)),0))</f>
        <v>2025</v>
      </c>
      <c r="F91" s="7">
        <f>IF(D91="ISO",VALUE(MID(C91,6,2)),IF(D91="DMY",VALUE(MID(C91,4,2)),0))</f>
        <v>1</v>
      </c>
      <c r="G91" s="7">
        <f>IF(D91="ISO",VALUE(RIGHT(C91,2)),IF(D91="DMY",VALUE(LEFT(C91,2)),0))</f>
        <v>8</v>
      </c>
      <c r="H91" s="7">
        <f>IF(AND(D91&lt;&gt;"OTHER",F91&gt;=1,F91&lt;=12,G91&gt;=1,G91&lt;=31),IF(AND(MONTH(DATE(E91,F91,G91))=F91,DAY(DATE(E91,F91,G91))=G91),1,0),0)</f>
        <v>1</v>
      </c>
      <c r="I91" s="7">
        <f>IF(H91=1,DATE(E91,F91,G91),"")</f>
        <v>45665.0</v>
      </c>
      <c r="J91" s="7">
        <f>IF(AND(D91="DMY",H91=1),1,0)</f>
        <v>0</v>
      </c>
      <c r="K91" s="7">
        <f>IF(H91=0,1,0)</f>
        <v>0</v>
      </c>
      <c r="L91" s="7">
        <f>IF(TRIM(Raw_Bookings!I91&amp;"")="",1,0)</f>
        <v>0</v>
      </c>
      <c r="M91" s="7">
        <f>IF(L91=1,"",DATEVALUE(LEFT(Raw_Bookings!I91,10))+TIMEVALUE(MID(Raw_Bookings!I91,12,8)))</f>
        <v>45621.78802083333</v>
      </c>
      <c r="N91" s="7">
        <f>IF(AND(L91=0,H91=1),IF(INT(M91)&gt;I91,1,0),0)</f>
        <v>0</v>
      </c>
      <c r="O91" s="7" t="str">
        <f>UPPER(TRIM(Raw_Bookings!F91))</f>
        <v>AHM</v>
      </c>
      <c r="P91" s="7" t="str">
        <f>UPPER(TRIM(Raw_Bookings!G91))</f>
        <v>VAR</v>
      </c>
      <c r="Q91" s="7">
        <f>IF(COUNTIF(Lookup_Stations!$A$2:$A$33,O91)&gt;0,1,0)</f>
        <v>1</v>
      </c>
      <c r="R91" s="7">
        <f>IF(COUNTIF(Lookup_Stations!$A$2:$A$33,P91)&gt;0,1,0)</f>
        <v>1</v>
      </c>
      <c r="S91" s="7">
        <f>IF(OR(AND(Q91=1,NOT(EXACT(Raw_Bookings!F91,O91))),AND(R91=1,NOT(EXACT(Raw_Bookings!G91,P91)))),1,0)</f>
        <v>0</v>
      </c>
      <c r="T91" s="7">
        <f>IF(OR(Q91=0,R91=0),1,0)</f>
        <v>0</v>
      </c>
      <c r="U91" s="7">
        <f>IF(TRIM(Raw_Bookings!E91&amp;"")="",1,0)</f>
        <v>0</v>
      </c>
      <c r="V91" s="7" t="str">
        <f>IF(SUMPRODUCT(--(Lookup_Status!$A$2:$A$13=LOWER(TRIM(Raw_Bookings!K91))))=0,"",INDEX(Lookup_Status!$B$2:$B$13,SUMPRODUCT((Lookup_Status!$A$2:$A$13=LOWER(TRIM(Raw_Bookings!K91)))*(ROW(Lookup_Status!$A$2:$A$13)-1))))</f>
        <v>Confirmed</v>
      </c>
      <c r="W91" s="7">
        <f>IF(AND(V91&lt;&gt;"",NOT(EXACT(Raw_Bookings!K91,V91))),1,0)</f>
        <v>0</v>
      </c>
      <c r="X91" s="7">
        <f>IF(V91="",1,0)</f>
        <v>0</v>
      </c>
      <c r="Y91" s="7">
        <f>IF(TRIM(Raw_Bookings!L91&amp;"")="",1,0)</f>
        <v>0</v>
      </c>
      <c r="Z91" s="7">
        <f>IF(AND(ISTEXT(Raw_Bookings!L91),Y91=0),1,0)</f>
        <v>0</v>
      </c>
      <c r="AA91" s="7">
        <f>IF(Z91=1,IFERROR(VALUE(SUBSTITUTE(SUBSTITUTE(SUBSTITUTE(SUBSTITUTE(SUBSTITUTE(UPPER(Raw_Bookings!L91),"RS.",""),"₹",""),",","")," ",""),"INR","")),""),"")</f>
        <v/>
      </c>
      <c r="AB91" s="7">
        <f>IF(AND(Z91=1,ISNUMBER(AA91)),1,0)</f>
        <v>0</v>
      </c>
      <c r="AC91" s="7">
        <f>IF(B91=1,0,IF(NOT(ISNUMBER(Raw_Bookings!J91)),1,IF(Raw_Bookings!J91&lt;&gt;COUNTIFS(Work_Passengers!$B$2:$B$1336,Raw_Bookings!A91,Work_Passengers!$C$2:$C$1336,0),1,0)))</f>
        <v>0</v>
      </c>
    </row>
    <row r="92" spans="1:29">
      <c r="A92" s="7">
        <f>Raw_Bookings!A92</f>
        <v>1028506</v>
      </c>
      <c r="B92" s="7">
        <f>IF(COUNTIF(Raw_Bookings!$A$2:A92,Raw_Bookings!A92)&gt;1,1,0)</f>
        <v>0</v>
      </c>
      <c r="C92" s="7" t="str">
        <f>Raw_Bookings!D92&amp;""</f>
        <v>2024-12-28</v>
      </c>
      <c r="D92" s="7" t="str">
        <f>IF(AND(LEN(C92)=10,MID(C92,5,1)="-",MID(C92,8,1)="-"),"ISO",IF(AND(LEN(C92)=10,MID(C92,3,1)="-",MID(C92,6,1)="-"),"DMY","OTHER"))</f>
        <v>ISO</v>
      </c>
      <c r="E92" s="7">
        <f>IF(D92="ISO",VALUE(LEFT(C92,4)),IF(D92="DMY",VALUE(RIGHT(C92,4)),0))</f>
        <v>2024</v>
      </c>
      <c r="F92" s="7">
        <f>IF(D92="ISO",VALUE(MID(C92,6,2)),IF(D92="DMY",VALUE(MID(C92,4,2)),0))</f>
        <v>12</v>
      </c>
      <c r="G92" s="7">
        <f>IF(D92="ISO",VALUE(RIGHT(C92,2)),IF(D92="DMY",VALUE(LEFT(C92,2)),0))</f>
        <v>28</v>
      </c>
      <c r="H92" s="7">
        <f>IF(AND(D92&lt;&gt;"OTHER",F92&gt;=1,F92&lt;=12,G92&gt;=1,G92&lt;=31),IF(AND(MONTH(DATE(E92,F92,G92))=F92,DAY(DATE(E92,F92,G92))=G92),1,0),0)</f>
        <v>1</v>
      </c>
      <c r="I92" s="7">
        <f>IF(H92=1,DATE(E92,F92,G92),"")</f>
        <v>45654.0</v>
      </c>
      <c r="J92" s="7">
        <f>IF(AND(D92="DMY",H92=1),1,0)</f>
        <v>0</v>
      </c>
      <c r="K92" s="7">
        <f>IF(H92=0,1,0)</f>
        <v>0</v>
      </c>
      <c r="L92" s="7">
        <f>IF(TRIM(Raw_Bookings!I92&amp;"")="",1,0)</f>
        <v>0</v>
      </c>
      <c r="M92" s="7">
        <f>IF(L92=1,"",DATEVALUE(LEFT(Raw_Bookings!I92,10))+TIMEVALUE(MID(Raw_Bookings!I92,12,8)))</f>
        <v>45623.82268518519</v>
      </c>
      <c r="N92" s="7">
        <f>IF(AND(L92=0,H92=1),IF(INT(M92)&gt;I92,1,0),0)</f>
        <v>0</v>
      </c>
      <c r="O92" s="7" t="str">
        <f>UPPER(TRIM(Raw_Bookings!F92))</f>
        <v>GUW</v>
      </c>
      <c r="P92" s="7" t="str">
        <f>UPPER(TRIM(Raw_Bookings!G92))</f>
        <v>BHO</v>
      </c>
      <c r="Q92" s="7">
        <f>IF(COUNTIF(Lookup_Stations!$A$2:$A$33,O92)&gt;0,1,0)</f>
        <v>1</v>
      </c>
      <c r="R92" s="7">
        <f>IF(COUNTIF(Lookup_Stations!$A$2:$A$33,P92)&gt;0,1,0)</f>
        <v>1</v>
      </c>
      <c r="S92" s="7">
        <f>IF(OR(AND(Q92=1,NOT(EXACT(Raw_Bookings!F92,O92))),AND(R92=1,NOT(EXACT(Raw_Bookings!G92,P92)))),1,0)</f>
        <v>0</v>
      </c>
      <c r="T92" s="7">
        <f>IF(OR(Q92=0,R92=0),1,0)</f>
        <v>0</v>
      </c>
      <c r="U92" s="7">
        <f>IF(TRIM(Raw_Bookings!E92&amp;"")="",1,0)</f>
        <v>0</v>
      </c>
      <c r="V92" s="7" t="str">
        <f>IF(SUMPRODUCT(--(Lookup_Status!$A$2:$A$13=LOWER(TRIM(Raw_Bookings!K92))))=0,"",INDEX(Lookup_Status!$B$2:$B$13,SUMPRODUCT((Lookup_Status!$A$2:$A$13=LOWER(TRIM(Raw_Bookings!K92)))*(ROW(Lookup_Status!$A$2:$A$13)-1))))</f>
        <v>Confirmed</v>
      </c>
      <c r="W92" s="7">
        <f>IF(AND(V92&lt;&gt;"",NOT(EXACT(Raw_Bookings!K92,V92))),1,0)</f>
        <v>1</v>
      </c>
      <c r="X92" s="7">
        <f>IF(V92="",1,0)</f>
        <v>0</v>
      </c>
      <c r="Y92" s="7">
        <f>IF(TRIM(Raw_Bookings!L92&amp;"")="",1,0)</f>
        <v>0</v>
      </c>
      <c r="Z92" s="7">
        <f>IF(AND(ISTEXT(Raw_Bookings!L92),Y92=0),1,0)</f>
        <v>0</v>
      </c>
      <c r="AA92" s="7">
        <f>IF(Z92=1,IFERROR(VALUE(SUBSTITUTE(SUBSTITUTE(SUBSTITUTE(SUBSTITUTE(SUBSTITUTE(UPPER(Raw_Bookings!L92),"RS.",""),"₹",""),",","")," ",""),"INR","")),""),"")</f>
        <v/>
      </c>
      <c r="AB92" s="7">
        <f>IF(AND(Z92=1,ISNUMBER(AA92)),1,0)</f>
        <v>0</v>
      </c>
      <c r="AC92" s="7">
        <f>IF(B92=1,0,IF(NOT(ISNUMBER(Raw_Bookings!J92)),1,IF(Raw_Bookings!J92&lt;&gt;COUNTIFS(Work_Passengers!$B$2:$B$1336,Raw_Bookings!A92,Work_Passengers!$C$2:$C$1336,0),1,0)))</f>
        <v>0</v>
      </c>
    </row>
    <row r="93" spans="1:29">
      <c r="A93" s="7">
        <f>Raw_Bookings!A93</f>
        <v>1028750</v>
      </c>
      <c r="B93" s="7">
        <f>IF(COUNTIF(Raw_Bookings!$A$2:A93,Raw_Bookings!A93)&gt;1,1,0)</f>
        <v>0</v>
      </c>
      <c r="C93" s="7" t="str">
        <f>Raw_Bookings!D93&amp;""</f>
        <v>2024-12-10</v>
      </c>
      <c r="D93" s="7" t="str">
        <f>IF(AND(LEN(C93)=10,MID(C93,5,1)="-",MID(C93,8,1)="-"),"ISO",IF(AND(LEN(C93)=10,MID(C93,3,1)="-",MID(C93,6,1)="-"),"DMY","OTHER"))</f>
        <v>ISO</v>
      </c>
      <c r="E93" s="7">
        <f>IF(D93="ISO",VALUE(LEFT(C93,4)),IF(D93="DMY",VALUE(RIGHT(C93,4)),0))</f>
        <v>2024</v>
      </c>
      <c r="F93" s="7">
        <f>IF(D93="ISO",VALUE(MID(C93,6,2)),IF(D93="DMY",VALUE(MID(C93,4,2)),0))</f>
        <v>12</v>
      </c>
      <c r="G93" s="7">
        <f>IF(D93="ISO",VALUE(RIGHT(C93,2)),IF(D93="DMY",VALUE(LEFT(C93,2)),0))</f>
        <v>10</v>
      </c>
      <c r="H93" s="7">
        <f>IF(AND(D93&lt;&gt;"OTHER",F93&gt;=1,F93&lt;=12,G93&gt;=1,G93&lt;=31),IF(AND(MONTH(DATE(E93,F93,G93))=F93,DAY(DATE(E93,F93,G93))=G93),1,0),0)</f>
        <v>1</v>
      </c>
      <c r="I93" s="7">
        <f>IF(H93=1,DATE(E93,F93,G93),"")</f>
        <v>45636.0</v>
      </c>
      <c r="J93" s="7">
        <f>IF(AND(D93="DMY",H93=1),1,0)</f>
        <v>0</v>
      </c>
      <c r="K93" s="7">
        <f>IF(H93=0,1,0)</f>
        <v>0</v>
      </c>
      <c r="L93" s="7">
        <f>IF(TRIM(Raw_Bookings!I93&amp;"")="",1,0)</f>
        <v>0</v>
      </c>
      <c r="M93" s="7">
        <f>IF(L93=1,"",DATEVALUE(LEFT(Raw_Bookings!I93,10))+TIMEVALUE(MID(Raw_Bookings!I93,12,8)))</f>
        <v>45624.854895833334</v>
      </c>
      <c r="N93" s="7">
        <f>IF(AND(L93=0,H93=1),IF(INT(M93)&gt;I93,1,0),0)</f>
        <v>0</v>
      </c>
      <c r="O93" s="7" t="str">
        <f>UPPER(TRIM(Raw_Bookings!F93))</f>
        <v>NAG</v>
      </c>
      <c r="P93" s="7" t="str">
        <f>UPPER(TRIM(Raw_Bookings!G93))</f>
        <v>THI</v>
      </c>
      <c r="Q93" s="7">
        <f>IF(COUNTIF(Lookup_Stations!$A$2:$A$33,O93)&gt;0,1,0)</f>
        <v>1</v>
      </c>
      <c r="R93" s="7">
        <f>IF(COUNTIF(Lookup_Stations!$A$2:$A$33,P93)&gt;0,1,0)</f>
        <v>1</v>
      </c>
      <c r="S93" s="7">
        <f>IF(OR(AND(Q93=1,NOT(EXACT(Raw_Bookings!F93,O93))),AND(R93=1,NOT(EXACT(Raw_Bookings!G93,P93)))),1,0)</f>
        <v>0</v>
      </c>
      <c r="T93" s="7">
        <f>IF(OR(Q93=0,R93=0),1,0)</f>
        <v>0</v>
      </c>
      <c r="U93" s="7">
        <f>IF(TRIM(Raw_Bookings!E93&amp;"")="",1,0)</f>
        <v>0</v>
      </c>
      <c r="V93" s="7" t="str">
        <f>IF(SUMPRODUCT(--(Lookup_Status!$A$2:$A$13=LOWER(TRIM(Raw_Bookings!K93))))=0,"",INDEX(Lookup_Status!$B$2:$B$13,SUMPRODUCT((Lookup_Status!$A$2:$A$13=LOWER(TRIM(Raw_Bookings!K93)))*(ROW(Lookup_Status!$A$2:$A$13)-1))))</f>
        <v>Cancelled</v>
      </c>
      <c r="W93" s="7">
        <f>IF(AND(V93&lt;&gt;"",NOT(EXACT(Raw_Bookings!K93,V93))),1,0)</f>
        <v>0</v>
      </c>
      <c r="X93" s="7">
        <f>IF(V93="",1,0)</f>
        <v>0</v>
      </c>
      <c r="Y93" s="7">
        <f>IF(TRIM(Raw_Bookings!L93&amp;"")="",1,0)</f>
        <v>0</v>
      </c>
      <c r="Z93" s="7">
        <f>IF(AND(ISTEXT(Raw_Bookings!L93),Y93=0),1,0)</f>
        <v>0</v>
      </c>
      <c r="AA93" s="7">
        <f>IF(Z93=1,IFERROR(VALUE(SUBSTITUTE(SUBSTITUTE(SUBSTITUTE(SUBSTITUTE(SUBSTITUTE(UPPER(Raw_Bookings!L93),"RS.",""),"₹",""),",","")," ",""),"INR","")),""),"")</f>
        <v/>
      </c>
      <c r="AB93" s="7">
        <f>IF(AND(Z93=1,ISNUMBER(AA93)),1,0)</f>
        <v>0</v>
      </c>
      <c r="AC93" s="7">
        <f>IF(B93=1,0,IF(NOT(ISNUMBER(Raw_Bookings!J93)),1,IF(Raw_Bookings!J93&lt;&gt;COUNTIFS(Work_Passengers!$B$2:$B$1336,Raw_Bookings!A93,Work_Passengers!$C$2:$C$1336,0),1,0)))</f>
        <v>0</v>
      </c>
    </row>
    <row r="94" spans="1:29">
      <c r="A94" s="7">
        <f>Raw_Bookings!A94</f>
        <v>1029155</v>
      </c>
      <c r="B94" s="7">
        <f>IF(COUNTIF(Raw_Bookings!$A$2:A94,Raw_Bookings!A94)&gt;1,1,0)</f>
        <v>0</v>
      </c>
      <c r="C94" s="7" t="str">
        <f>Raw_Bookings!D94&amp;""</f>
        <v>2024-12-24</v>
      </c>
      <c r="D94" s="7" t="str">
        <f>IF(AND(LEN(C94)=10,MID(C94,5,1)="-",MID(C94,8,1)="-"),"ISO",IF(AND(LEN(C94)=10,MID(C94,3,1)="-",MID(C94,6,1)="-"),"DMY","OTHER"))</f>
        <v>ISO</v>
      </c>
      <c r="E94" s="7">
        <f>IF(D94="ISO",VALUE(LEFT(C94,4)),IF(D94="DMY",VALUE(RIGHT(C94,4)),0))</f>
        <v>2024</v>
      </c>
      <c r="F94" s="7">
        <f>IF(D94="ISO",VALUE(MID(C94,6,2)),IF(D94="DMY",VALUE(MID(C94,4,2)),0))</f>
        <v>12</v>
      </c>
      <c r="G94" s="7">
        <f>IF(D94="ISO",VALUE(RIGHT(C94,2)),IF(D94="DMY",VALUE(LEFT(C94,2)),0))</f>
        <v>24</v>
      </c>
      <c r="H94" s="7">
        <f>IF(AND(D94&lt;&gt;"OTHER",F94&gt;=1,F94&lt;=12,G94&gt;=1,G94&lt;=31),IF(AND(MONTH(DATE(E94,F94,G94))=F94,DAY(DATE(E94,F94,G94))=G94),1,0),0)</f>
        <v>1</v>
      </c>
      <c r="I94" s="7">
        <f>IF(H94=1,DATE(E94,F94,G94),"")</f>
        <v>45650.0</v>
      </c>
      <c r="J94" s="7">
        <f>IF(AND(D94="DMY",H94=1),1,0)</f>
        <v>0</v>
      </c>
      <c r="K94" s="7">
        <f>IF(H94=0,1,0)</f>
        <v>0</v>
      </c>
      <c r="L94" s="7">
        <f>IF(TRIM(Raw_Bookings!I94&amp;"")="",1,0)</f>
        <v>0</v>
      </c>
      <c r="M94" s="7">
        <f>IF(L94=1,"",DATEVALUE(LEFT(Raw_Bookings!I94,10))+TIMEVALUE(MID(Raw_Bookings!I94,12,8)))</f>
        <v>45626.69934027778</v>
      </c>
      <c r="N94" s="7">
        <f>IF(AND(L94=0,H94=1),IF(INT(M94)&gt;I94,1,0),0)</f>
        <v>0</v>
      </c>
      <c r="O94" s="7" t="str">
        <f>UPPER(TRIM(Raw_Bookings!F94))</f>
        <v>MUM</v>
      </c>
      <c r="P94" s="7" t="str">
        <f>UPPER(TRIM(Raw_Bookings!G94))</f>
        <v>BEN</v>
      </c>
      <c r="Q94" s="7">
        <f>IF(COUNTIF(Lookup_Stations!$A$2:$A$33,O94)&gt;0,1,0)</f>
        <v>1</v>
      </c>
      <c r="R94" s="7">
        <f>IF(COUNTIF(Lookup_Stations!$A$2:$A$33,P94)&gt;0,1,0)</f>
        <v>1</v>
      </c>
      <c r="S94" s="7">
        <f>IF(OR(AND(Q94=1,NOT(EXACT(Raw_Bookings!F94,O94))),AND(R94=1,NOT(EXACT(Raw_Bookings!G94,P94)))),1,0)</f>
        <v>0</v>
      </c>
      <c r="T94" s="7">
        <f>IF(OR(Q94=0,R94=0),1,0)</f>
        <v>0</v>
      </c>
      <c r="U94" s="7">
        <f>IF(TRIM(Raw_Bookings!E94&amp;"")="",1,0)</f>
        <v>0</v>
      </c>
      <c r="V94" s="7" t="str">
        <f>IF(SUMPRODUCT(--(Lookup_Status!$A$2:$A$13=LOWER(TRIM(Raw_Bookings!K94))))=0,"",INDEX(Lookup_Status!$B$2:$B$13,SUMPRODUCT((Lookup_Status!$A$2:$A$13=LOWER(TRIM(Raw_Bookings!K94)))*(ROW(Lookup_Status!$A$2:$A$13)-1))))</f>
        <v>Confirmed</v>
      </c>
      <c r="W94" s="7">
        <f>IF(AND(V94&lt;&gt;"",NOT(EXACT(Raw_Bookings!K94,V94))),1,0)</f>
        <v>0</v>
      </c>
      <c r="X94" s="7">
        <f>IF(V94="",1,0)</f>
        <v>0</v>
      </c>
      <c r="Y94" s="7">
        <f>IF(TRIM(Raw_Bookings!L94&amp;"")="",1,0)</f>
        <v>0</v>
      </c>
      <c r="Z94" s="7">
        <f>IF(AND(ISTEXT(Raw_Bookings!L94),Y94=0),1,0)</f>
        <v>0</v>
      </c>
      <c r="AA94" s="7">
        <f>IF(Z94=1,IFERROR(VALUE(SUBSTITUTE(SUBSTITUTE(SUBSTITUTE(SUBSTITUTE(SUBSTITUTE(UPPER(Raw_Bookings!L94),"RS.",""),"₹",""),",","")," ",""),"INR","")),""),"")</f>
        <v/>
      </c>
      <c r="AB94" s="7">
        <f>IF(AND(Z94=1,ISNUMBER(AA94)),1,0)</f>
        <v>0</v>
      </c>
      <c r="AC94" s="7">
        <f>IF(B94=1,0,IF(NOT(ISNUMBER(Raw_Bookings!J94)),1,IF(Raw_Bookings!J94&lt;&gt;COUNTIFS(Work_Passengers!$B$2:$B$1336,Raw_Bookings!A94,Work_Passengers!$C$2:$C$1336,0),1,0)))</f>
        <v>0</v>
      </c>
    </row>
    <row r="95" spans="1:29">
      <c r="A95" s="7">
        <f>Raw_Bookings!A95</f>
        <v>1029181</v>
      </c>
      <c r="B95" s="7">
        <f>IF(COUNTIF(Raw_Bookings!$A$2:A95,Raw_Bookings!A95)&gt;1,1,0)</f>
        <v>0</v>
      </c>
      <c r="C95" s="7" t="str">
        <f>Raw_Bookings!D95&amp;""</f>
        <v>2025-01-26</v>
      </c>
      <c r="D95" s="7" t="str">
        <f>IF(AND(LEN(C95)=10,MID(C95,5,1)="-",MID(C95,8,1)="-"),"ISO",IF(AND(LEN(C95)=10,MID(C95,3,1)="-",MID(C95,6,1)="-"),"DMY","OTHER"))</f>
        <v>ISO</v>
      </c>
      <c r="E95" s="7">
        <f>IF(D95="ISO",VALUE(LEFT(C95,4)),IF(D95="DMY",VALUE(RIGHT(C95,4)),0))</f>
        <v>2025</v>
      </c>
      <c r="F95" s="7">
        <f>IF(D95="ISO",VALUE(MID(C95,6,2)),IF(D95="DMY",VALUE(MID(C95,4,2)),0))</f>
        <v>1</v>
      </c>
      <c r="G95" s="7">
        <f>IF(D95="ISO",VALUE(RIGHT(C95,2)),IF(D95="DMY",VALUE(LEFT(C95,2)),0))</f>
        <v>26</v>
      </c>
      <c r="H95" s="7">
        <f>IF(AND(D95&lt;&gt;"OTHER",F95&gt;=1,F95&lt;=12,G95&gt;=1,G95&lt;=31),IF(AND(MONTH(DATE(E95,F95,G95))=F95,DAY(DATE(E95,F95,G95))=G95),1,0),0)</f>
        <v>1</v>
      </c>
      <c r="I95" s="7">
        <f>IF(H95=1,DATE(E95,F95,G95),"")</f>
        <v>45683.0</v>
      </c>
      <c r="J95" s="7">
        <f>IF(AND(D95="DMY",H95=1),1,0)</f>
        <v>0</v>
      </c>
      <c r="K95" s="7">
        <f>IF(H95=0,1,0)</f>
        <v>0</v>
      </c>
      <c r="L95" s="7">
        <f>IF(TRIM(Raw_Bookings!I95&amp;"")="",1,0)</f>
        <v>0</v>
      </c>
      <c r="M95" s="7">
        <f>IF(L95=1,"",DATEVALUE(LEFT(Raw_Bookings!I95,10))+TIMEVALUE(MID(Raw_Bookings!I95,12,8)))</f>
        <v>45626.786828703705</v>
      </c>
      <c r="N95" s="7">
        <f>IF(AND(L95=0,H95=1),IF(INT(M95)&gt;I95,1,0),0)</f>
        <v>0</v>
      </c>
      <c r="O95" s="7" t="str">
        <f>UPPER(TRIM(Raw_Bookings!F95))</f>
        <v>SUR</v>
      </c>
      <c r="P95" s="7" t="str">
        <f>UPPER(TRIM(Raw_Bookings!G95))</f>
        <v>VAR</v>
      </c>
      <c r="Q95" s="7">
        <f>IF(COUNTIF(Lookup_Stations!$A$2:$A$33,O95)&gt;0,1,0)</f>
        <v>1</v>
      </c>
      <c r="R95" s="7">
        <f>IF(COUNTIF(Lookup_Stations!$A$2:$A$33,P95)&gt;0,1,0)</f>
        <v>1</v>
      </c>
      <c r="S95" s="7">
        <f>IF(OR(AND(Q95=1,NOT(EXACT(Raw_Bookings!F95,O95))),AND(R95=1,NOT(EXACT(Raw_Bookings!G95,P95)))),1,0)</f>
        <v>0</v>
      </c>
      <c r="T95" s="7">
        <f>IF(OR(Q95=0,R95=0),1,0)</f>
        <v>0</v>
      </c>
      <c r="U95" s="7">
        <f>IF(TRIM(Raw_Bookings!E95&amp;"")="",1,0)</f>
        <v>0</v>
      </c>
      <c r="V95" s="7" t="str">
        <f>IF(SUMPRODUCT(--(Lookup_Status!$A$2:$A$13=LOWER(TRIM(Raw_Bookings!K95))))=0,"",INDEX(Lookup_Status!$B$2:$B$13,SUMPRODUCT((Lookup_Status!$A$2:$A$13=LOWER(TRIM(Raw_Bookings!K95)))*(ROW(Lookup_Status!$A$2:$A$13)-1))))</f>
        <v>Confirmed</v>
      </c>
      <c r="W95" s="7">
        <f>IF(AND(V95&lt;&gt;"",NOT(EXACT(Raw_Bookings!K95,V95))),1,0)</f>
        <v>0</v>
      </c>
      <c r="X95" s="7">
        <f>IF(V95="",1,0)</f>
        <v>0</v>
      </c>
      <c r="Y95" s="7">
        <f>IF(TRIM(Raw_Bookings!L95&amp;"")="",1,0)</f>
        <v>0</v>
      </c>
      <c r="Z95" s="7">
        <f>IF(AND(ISTEXT(Raw_Bookings!L95),Y95=0),1,0)</f>
        <v>0</v>
      </c>
      <c r="AA95" s="7">
        <f>IF(Z95=1,IFERROR(VALUE(SUBSTITUTE(SUBSTITUTE(SUBSTITUTE(SUBSTITUTE(SUBSTITUTE(UPPER(Raw_Bookings!L95),"RS.",""),"₹",""),",","")," ",""),"INR","")),""),"")</f>
        <v/>
      </c>
      <c r="AB95" s="7">
        <f>IF(AND(Z95=1,ISNUMBER(AA95)),1,0)</f>
        <v>0</v>
      </c>
      <c r="AC95" s="7">
        <f>IF(B95=1,0,IF(NOT(ISNUMBER(Raw_Bookings!J95)),1,IF(Raw_Bookings!J95&lt;&gt;COUNTIFS(Work_Passengers!$B$2:$B$1336,Raw_Bookings!A95,Work_Passengers!$C$2:$C$1336,0),1,0)))</f>
        <v>0</v>
      </c>
    </row>
    <row r="96" spans="1:29">
      <c r="A96" s="7">
        <f>Raw_Bookings!A96</f>
        <v>1029353</v>
      </c>
      <c r="B96" s="7">
        <f>IF(COUNTIF(Raw_Bookings!$A$2:A96,Raw_Bookings!A96)&gt;1,1,0)</f>
        <v>0</v>
      </c>
      <c r="C96" s="7" t="str">
        <f>Raw_Bookings!D96&amp;""</f>
        <v>2024-12-04</v>
      </c>
      <c r="D96" s="7" t="str">
        <f>IF(AND(LEN(C96)=10,MID(C96,5,1)="-",MID(C96,8,1)="-"),"ISO",IF(AND(LEN(C96)=10,MID(C96,3,1)="-",MID(C96,6,1)="-"),"DMY","OTHER"))</f>
        <v>ISO</v>
      </c>
      <c r="E96" s="7">
        <f>IF(D96="ISO",VALUE(LEFT(C96,4)),IF(D96="DMY",VALUE(RIGHT(C96,4)),0))</f>
        <v>2024</v>
      </c>
      <c r="F96" s="7">
        <f>IF(D96="ISO",VALUE(MID(C96,6,2)),IF(D96="DMY",VALUE(MID(C96,4,2)),0))</f>
        <v>12</v>
      </c>
      <c r="G96" s="7">
        <f>IF(D96="ISO",VALUE(RIGHT(C96,2)),IF(D96="DMY",VALUE(LEFT(C96,2)),0))</f>
        <v>4</v>
      </c>
      <c r="H96" s="7">
        <f>IF(AND(D96&lt;&gt;"OTHER",F96&gt;=1,F96&lt;=12,G96&gt;=1,G96&lt;=31),IF(AND(MONTH(DATE(E96,F96,G96))=F96,DAY(DATE(E96,F96,G96))=G96),1,0),0)</f>
        <v>1</v>
      </c>
      <c r="I96" s="7">
        <f>IF(H96=1,DATE(E96,F96,G96),"")</f>
        <v>45630.0</v>
      </c>
      <c r="J96" s="7">
        <f>IF(AND(D96="DMY",H96=1),1,0)</f>
        <v>0</v>
      </c>
      <c r="K96" s="7">
        <f>IF(H96=0,1,0)</f>
        <v>0</v>
      </c>
      <c r="L96" s="7">
        <f>IF(TRIM(Raw_Bookings!I96&amp;"")="",1,0)</f>
        <v>0</v>
      </c>
      <c r="M96" s="7">
        <f>IF(L96=1,"",DATEVALUE(LEFT(Raw_Bookings!I96,10))+TIMEVALUE(MID(Raw_Bookings!I96,12,8)))</f>
        <v>45627.55447916667</v>
      </c>
      <c r="N96" s="7">
        <f>IF(AND(L96=0,H96=1),IF(INT(M96)&gt;I96,1,0),0)</f>
        <v>0</v>
      </c>
      <c r="O96" s="7" t="str">
        <f>UPPER(TRIM(Raw_Bookings!F96))</f>
        <v>RAI</v>
      </c>
      <c r="P96" s="7" t="str">
        <f>UPPER(TRIM(Raw_Bookings!G96))</f>
        <v>JAI</v>
      </c>
      <c r="Q96" s="7">
        <f>IF(COUNTIF(Lookup_Stations!$A$2:$A$33,O96)&gt;0,1,0)</f>
        <v>1</v>
      </c>
      <c r="R96" s="7">
        <f>IF(COUNTIF(Lookup_Stations!$A$2:$A$33,P96)&gt;0,1,0)</f>
        <v>1</v>
      </c>
      <c r="S96" s="7">
        <f>IF(OR(AND(Q96=1,NOT(EXACT(Raw_Bookings!F96,O96))),AND(R96=1,NOT(EXACT(Raw_Bookings!G96,P96)))),1,0)</f>
        <v>0</v>
      </c>
      <c r="T96" s="7">
        <f>IF(OR(Q96=0,R96=0),1,0)</f>
        <v>0</v>
      </c>
      <c r="U96" s="7">
        <f>IF(TRIM(Raw_Bookings!E96&amp;"")="",1,0)</f>
        <v>0</v>
      </c>
      <c r="V96" s="7" t="str">
        <f>IF(SUMPRODUCT(--(Lookup_Status!$A$2:$A$13=LOWER(TRIM(Raw_Bookings!K96))))=0,"",INDEX(Lookup_Status!$B$2:$B$13,SUMPRODUCT((Lookup_Status!$A$2:$A$13=LOWER(TRIM(Raw_Bookings!K96)))*(ROW(Lookup_Status!$A$2:$A$13)-1))))</f>
        <v>Confirmed</v>
      </c>
      <c r="W96" s="7">
        <f>IF(AND(V96&lt;&gt;"",NOT(EXACT(Raw_Bookings!K96,V96))),1,0)</f>
        <v>0</v>
      </c>
      <c r="X96" s="7">
        <f>IF(V96="",1,0)</f>
        <v>0</v>
      </c>
      <c r="Y96" s="7">
        <f>IF(TRIM(Raw_Bookings!L96&amp;"")="",1,0)</f>
        <v>0</v>
      </c>
      <c r="Z96" s="7">
        <f>IF(AND(ISTEXT(Raw_Bookings!L96),Y96=0),1,0)</f>
        <v>0</v>
      </c>
      <c r="AA96" s="7">
        <f>IF(Z96=1,IFERROR(VALUE(SUBSTITUTE(SUBSTITUTE(SUBSTITUTE(SUBSTITUTE(SUBSTITUTE(UPPER(Raw_Bookings!L96),"RS.",""),"₹",""),",","")," ",""),"INR","")),""),"")</f>
        <v/>
      </c>
      <c r="AB96" s="7">
        <f>IF(AND(Z96=1,ISNUMBER(AA96)),1,0)</f>
        <v>0</v>
      </c>
      <c r="AC96" s="7">
        <f>IF(B96=1,0,IF(NOT(ISNUMBER(Raw_Bookings!J96)),1,IF(Raw_Bookings!J96&lt;&gt;COUNTIFS(Work_Passengers!$B$2:$B$1336,Raw_Bookings!A96,Work_Passengers!$C$2:$C$1336,0),1,0)))</f>
        <v>0</v>
      </c>
    </row>
    <row r="97" spans="1:29">
      <c r="A97" s="7">
        <f>Raw_Bookings!A97</f>
        <v>1029548</v>
      </c>
      <c r="B97" s="7">
        <f>IF(COUNTIF(Raw_Bookings!$A$2:A97,Raw_Bookings!A97)&gt;1,1,0)</f>
        <v>0</v>
      </c>
      <c r="C97" s="7" t="str">
        <f>Raw_Bookings!D97&amp;""</f>
        <v>2024-12-04</v>
      </c>
      <c r="D97" s="7" t="str">
        <f>IF(AND(LEN(C97)=10,MID(C97,5,1)="-",MID(C97,8,1)="-"),"ISO",IF(AND(LEN(C97)=10,MID(C97,3,1)="-",MID(C97,6,1)="-"),"DMY","OTHER"))</f>
        <v>ISO</v>
      </c>
      <c r="E97" s="7">
        <f>IF(D97="ISO",VALUE(LEFT(C97,4)),IF(D97="DMY",VALUE(RIGHT(C97,4)),0))</f>
        <v>2024</v>
      </c>
      <c r="F97" s="7">
        <f>IF(D97="ISO",VALUE(MID(C97,6,2)),IF(D97="DMY",VALUE(MID(C97,4,2)),0))</f>
        <v>12</v>
      </c>
      <c r="G97" s="7">
        <f>IF(D97="ISO",VALUE(RIGHT(C97,2)),IF(D97="DMY",VALUE(LEFT(C97,2)),0))</f>
        <v>4</v>
      </c>
      <c r="H97" s="7">
        <f>IF(AND(D97&lt;&gt;"OTHER",F97&gt;=1,F97&lt;=12,G97&gt;=1,G97&lt;=31),IF(AND(MONTH(DATE(E97,F97,G97))=F97,DAY(DATE(E97,F97,G97))=G97),1,0),0)</f>
        <v>1</v>
      </c>
      <c r="I97" s="7">
        <f>IF(H97=1,DATE(E97,F97,G97),"")</f>
        <v>45630.0</v>
      </c>
      <c r="J97" s="7">
        <f>IF(AND(D97="DMY",H97=1),1,0)</f>
        <v>0</v>
      </c>
      <c r="K97" s="7">
        <f>IF(H97=0,1,0)</f>
        <v>0</v>
      </c>
      <c r="L97" s="7">
        <f>IF(TRIM(Raw_Bookings!I97&amp;"")="",1,0)</f>
        <v>0</v>
      </c>
      <c r="M97" s="7">
        <f>IF(L97=1,"",DATEVALUE(LEFT(Raw_Bookings!I97,10))+TIMEVALUE(MID(Raw_Bookings!I97,12,8)))</f>
        <v>45628.279502314814</v>
      </c>
      <c r="N97" s="7">
        <f>IF(AND(L97=0,H97=1),IF(INT(M97)&gt;I97,1,0),0)</f>
        <v>0</v>
      </c>
      <c r="O97" s="7" t="str">
        <f>UPPER(TRIM(Raw_Bookings!F97))</f>
        <v>VIS</v>
      </c>
      <c r="P97" s="7" t="str">
        <f>UPPER(TRIM(Raw_Bookings!G97))</f>
        <v>CHA</v>
      </c>
      <c r="Q97" s="7">
        <f>IF(COUNTIF(Lookup_Stations!$A$2:$A$33,O97)&gt;0,1,0)</f>
        <v>1</v>
      </c>
      <c r="R97" s="7">
        <f>IF(COUNTIF(Lookup_Stations!$A$2:$A$33,P97)&gt;0,1,0)</f>
        <v>1</v>
      </c>
      <c r="S97" s="7">
        <f>IF(OR(AND(Q97=1,NOT(EXACT(Raw_Bookings!F97,O97))),AND(R97=1,NOT(EXACT(Raw_Bookings!G97,P97)))),1,0)</f>
        <v>0</v>
      </c>
      <c r="T97" s="7">
        <f>IF(OR(Q97=0,R97=0),1,0)</f>
        <v>0</v>
      </c>
      <c r="U97" s="7">
        <f>IF(TRIM(Raw_Bookings!E97&amp;"")="",1,0)</f>
        <v>0</v>
      </c>
      <c r="V97" s="7" t="str">
        <f>IF(SUMPRODUCT(--(Lookup_Status!$A$2:$A$13=LOWER(TRIM(Raw_Bookings!K97))))=0,"",INDEX(Lookup_Status!$B$2:$B$13,SUMPRODUCT((Lookup_Status!$A$2:$A$13=LOWER(TRIM(Raw_Bookings!K97)))*(ROW(Lookup_Status!$A$2:$A$13)-1))))</f>
        <v>Confirmed</v>
      </c>
      <c r="W97" s="7">
        <f>IF(AND(V97&lt;&gt;"",NOT(EXACT(Raw_Bookings!K97,V97))),1,0)</f>
        <v>0</v>
      </c>
      <c r="X97" s="7">
        <f>IF(V97="",1,0)</f>
        <v>0</v>
      </c>
      <c r="Y97" s="7">
        <f>IF(TRIM(Raw_Bookings!L97&amp;"")="",1,0)</f>
        <v>0</v>
      </c>
      <c r="Z97" s="7">
        <f>IF(AND(ISTEXT(Raw_Bookings!L97),Y97=0),1,0)</f>
        <v>0</v>
      </c>
      <c r="AA97" s="7">
        <f>IF(Z97=1,IFERROR(VALUE(SUBSTITUTE(SUBSTITUTE(SUBSTITUTE(SUBSTITUTE(SUBSTITUTE(UPPER(Raw_Bookings!L97),"RS.",""),"₹",""),",","")," ",""),"INR","")),""),"")</f>
        <v/>
      </c>
      <c r="AB97" s="7">
        <f>IF(AND(Z97=1,ISNUMBER(AA97)),1,0)</f>
        <v>0</v>
      </c>
      <c r="AC97" s="7">
        <f>IF(B97=1,0,IF(NOT(ISNUMBER(Raw_Bookings!J97)),1,IF(Raw_Bookings!J97&lt;&gt;COUNTIFS(Work_Passengers!$B$2:$B$1336,Raw_Bookings!A97,Work_Passengers!$C$2:$C$1336,0),1,0)))</f>
        <v>0</v>
      </c>
    </row>
    <row r="98" spans="1:29">
      <c r="A98" s="7">
        <f>Raw_Bookings!A98</f>
        <v>1029590</v>
      </c>
      <c r="B98" s="7">
        <f>IF(COUNTIF(Raw_Bookings!$A$2:A98,Raw_Bookings!A98)&gt;1,1,0)</f>
        <v>0</v>
      </c>
      <c r="C98" s="7" t="str">
        <f>Raw_Bookings!D98&amp;""</f>
        <v>2025-02-02</v>
      </c>
      <c r="D98" s="7" t="str">
        <f>IF(AND(LEN(C98)=10,MID(C98,5,1)="-",MID(C98,8,1)="-"),"ISO",IF(AND(LEN(C98)=10,MID(C98,3,1)="-",MID(C98,6,1)="-"),"DMY","OTHER"))</f>
        <v>ISO</v>
      </c>
      <c r="E98" s="7">
        <f>IF(D98="ISO",VALUE(LEFT(C98,4)),IF(D98="DMY",VALUE(RIGHT(C98,4)),0))</f>
        <v>2025</v>
      </c>
      <c r="F98" s="7">
        <f>IF(D98="ISO",VALUE(MID(C98,6,2)),IF(D98="DMY",VALUE(MID(C98,4,2)),0))</f>
        <v>2</v>
      </c>
      <c r="G98" s="7">
        <f>IF(D98="ISO",VALUE(RIGHT(C98,2)),IF(D98="DMY",VALUE(LEFT(C98,2)),0))</f>
        <v>2</v>
      </c>
      <c r="H98" s="7">
        <f>IF(AND(D98&lt;&gt;"OTHER",F98&gt;=1,F98&lt;=12,G98&gt;=1,G98&lt;=31),IF(AND(MONTH(DATE(E98,F98,G98))=F98,DAY(DATE(E98,F98,G98))=G98),1,0),0)</f>
        <v>1</v>
      </c>
      <c r="I98" s="7">
        <f>IF(H98=1,DATE(E98,F98,G98),"")</f>
        <v>45690.0</v>
      </c>
      <c r="J98" s="7">
        <f>IF(AND(D98="DMY",H98=1),1,0)</f>
        <v>0</v>
      </c>
      <c r="K98" s="7">
        <f>IF(H98=0,1,0)</f>
        <v>0</v>
      </c>
      <c r="L98" s="7">
        <f>IF(TRIM(Raw_Bookings!I98&amp;"")="",1,0)</f>
        <v>0</v>
      </c>
      <c r="M98" s="7">
        <f>IF(L98=1,"",DATEVALUE(LEFT(Raw_Bookings!I98,10))+TIMEVALUE(MID(Raw_Bookings!I98,12,8)))</f>
        <v>45628.39833333333</v>
      </c>
      <c r="N98" s="7">
        <f>IF(AND(L98=0,H98=1),IF(INT(M98)&gt;I98,1,0),0)</f>
        <v>0</v>
      </c>
      <c r="O98" s="7" t="str">
        <f>UPPER(TRIM(Raw_Bookings!F98))</f>
        <v>MUM</v>
      </c>
      <c r="P98" s="7" t="str">
        <f>UPPER(TRIM(Raw_Bookings!G98))</f>
        <v>LUC</v>
      </c>
      <c r="Q98" s="7">
        <f>IF(COUNTIF(Lookup_Stations!$A$2:$A$33,O98)&gt;0,1,0)</f>
        <v>1</v>
      </c>
      <c r="R98" s="7">
        <f>IF(COUNTIF(Lookup_Stations!$A$2:$A$33,P98)&gt;0,1,0)</f>
        <v>1</v>
      </c>
      <c r="S98" s="7">
        <f>IF(OR(AND(Q98=1,NOT(EXACT(Raw_Bookings!F98,O98))),AND(R98=1,NOT(EXACT(Raw_Bookings!G98,P98)))),1,0)</f>
        <v>0</v>
      </c>
      <c r="T98" s="7">
        <f>IF(OR(Q98=0,R98=0),1,0)</f>
        <v>0</v>
      </c>
      <c r="U98" s="7">
        <f>IF(TRIM(Raw_Bookings!E98&amp;"")="",1,0)</f>
        <v>0</v>
      </c>
      <c r="V98" s="7" t="str">
        <f>IF(SUMPRODUCT(--(Lookup_Status!$A$2:$A$13=LOWER(TRIM(Raw_Bookings!K98))))=0,"",INDEX(Lookup_Status!$B$2:$B$13,SUMPRODUCT((Lookup_Status!$A$2:$A$13=LOWER(TRIM(Raw_Bookings!K98)))*(ROW(Lookup_Status!$A$2:$A$13)-1))))</f>
        <v>Confirmed</v>
      </c>
      <c r="W98" s="7">
        <f>IF(AND(V98&lt;&gt;"",NOT(EXACT(Raw_Bookings!K98,V98))),1,0)</f>
        <v>0</v>
      </c>
      <c r="X98" s="7">
        <f>IF(V98="",1,0)</f>
        <v>0</v>
      </c>
      <c r="Y98" s="7">
        <f>IF(TRIM(Raw_Bookings!L98&amp;"")="",1,0)</f>
        <v>0</v>
      </c>
      <c r="Z98" s="7">
        <f>IF(AND(ISTEXT(Raw_Bookings!L98),Y98=0),1,0)</f>
        <v>0</v>
      </c>
      <c r="AA98" s="7">
        <f>IF(Z98=1,IFERROR(VALUE(SUBSTITUTE(SUBSTITUTE(SUBSTITUTE(SUBSTITUTE(SUBSTITUTE(UPPER(Raw_Bookings!L98),"RS.",""),"₹",""),",","")," ",""),"INR","")),""),"")</f>
        <v/>
      </c>
      <c r="AB98" s="7">
        <f>IF(AND(Z98=1,ISNUMBER(AA98)),1,0)</f>
        <v>0</v>
      </c>
      <c r="AC98" s="7">
        <f>IF(B98=1,0,IF(NOT(ISNUMBER(Raw_Bookings!J98)),1,IF(Raw_Bookings!J98&lt;&gt;COUNTIFS(Work_Passengers!$B$2:$B$1336,Raw_Bookings!A98,Work_Passengers!$C$2:$C$1336,0),1,0)))</f>
        <v>0</v>
      </c>
    </row>
    <row r="99" spans="1:29">
      <c r="A99" s="7">
        <f>Raw_Bookings!A99</f>
        <v>1029993</v>
      </c>
      <c r="B99" s="7">
        <f>IF(COUNTIF(Raw_Bookings!$A$2:A99,Raw_Bookings!A99)&gt;1,1,0)</f>
        <v>0</v>
      </c>
      <c r="C99" s="7" t="str">
        <f>Raw_Bookings!D99&amp;""</f>
        <v>2025-02-19</v>
      </c>
      <c r="D99" s="7" t="str">
        <f>IF(AND(LEN(C99)=10,MID(C99,5,1)="-",MID(C99,8,1)="-"),"ISO",IF(AND(LEN(C99)=10,MID(C99,3,1)="-",MID(C99,6,1)="-"),"DMY","OTHER"))</f>
        <v>ISO</v>
      </c>
      <c r="E99" s="7">
        <f>IF(D99="ISO",VALUE(LEFT(C99,4)),IF(D99="DMY",VALUE(RIGHT(C99,4)),0))</f>
        <v>2025</v>
      </c>
      <c r="F99" s="7">
        <f>IF(D99="ISO",VALUE(MID(C99,6,2)),IF(D99="DMY",VALUE(MID(C99,4,2)),0))</f>
        <v>2</v>
      </c>
      <c r="G99" s="7">
        <f>IF(D99="ISO",VALUE(RIGHT(C99,2)),IF(D99="DMY",VALUE(LEFT(C99,2)),0))</f>
        <v>19</v>
      </c>
      <c r="H99" s="7">
        <f>IF(AND(D99&lt;&gt;"OTHER",F99&gt;=1,F99&lt;=12,G99&gt;=1,G99&lt;=31),IF(AND(MONTH(DATE(E99,F99,G99))=F99,DAY(DATE(E99,F99,G99))=G99),1,0),0)</f>
        <v>1</v>
      </c>
      <c r="I99" s="7">
        <f>IF(H99=1,DATE(E99,F99,G99),"")</f>
        <v>45707.0</v>
      </c>
      <c r="J99" s="7">
        <f>IF(AND(D99="DMY",H99=1),1,0)</f>
        <v>0</v>
      </c>
      <c r="K99" s="7">
        <f>IF(H99=0,1,0)</f>
        <v>0</v>
      </c>
      <c r="L99" s="7">
        <f>IF(TRIM(Raw_Bookings!I99&amp;"")="",1,0)</f>
        <v>0</v>
      </c>
      <c r="M99" s="7">
        <f>IF(L99=1,"",DATEVALUE(LEFT(Raw_Bookings!I99,10))+TIMEVALUE(MID(Raw_Bookings!I99,12,8)))</f>
        <v>45629.79315972222</v>
      </c>
      <c r="N99" s="7">
        <f>IF(AND(L99=0,H99=1),IF(INT(M99)&gt;I99,1,0),0)</f>
        <v>0</v>
      </c>
      <c r="O99" s="7" t="str">
        <f>UPPER(TRIM(Raw_Bookings!F99))</f>
        <v>DIB</v>
      </c>
      <c r="P99" s="7" t="str">
        <f>UPPER(TRIM(Raw_Bookings!G99))</f>
        <v>DEL</v>
      </c>
      <c r="Q99" s="7">
        <f>IF(COUNTIF(Lookup_Stations!$A$2:$A$33,O99)&gt;0,1,0)</f>
        <v>1</v>
      </c>
      <c r="R99" s="7">
        <f>IF(COUNTIF(Lookup_Stations!$A$2:$A$33,P99)&gt;0,1,0)</f>
        <v>1</v>
      </c>
      <c r="S99" s="7">
        <f>IF(OR(AND(Q99=1,NOT(EXACT(Raw_Bookings!F99,O99))),AND(R99=1,NOT(EXACT(Raw_Bookings!G99,P99)))),1,0)</f>
        <v>0</v>
      </c>
      <c r="T99" s="7">
        <f>IF(OR(Q99=0,R99=0),1,0)</f>
        <v>0</v>
      </c>
      <c r="U99" s="7">
        <f>IF(TRIM(Raw_Bookings!E99&amp;"")="",1,0)</f>
        <v>0</v>
      </c>
      <c r="V99" s="7" t="str">
        <f>IF(SUMPRODUCT(--(Lookup_Status!$A$2:$A$13=LOWER(TRIM(Raw_Bookings!K99))))=0,"",INDEX(Lookup_Status!$B$2:$B$13,SUMPRODUCT((Lookup_Status!$A$2:$A$13=LOWER(TRIM(Raw_Bookings!K99)))*(ROW(Lookup_Status!$A$2:$A$13)-1))))</f>
        <v>Cancelled</v>
      </c>
      <c r="W99" s="7">
        <f>IF(AND(V99&lt;&gt;"",NOT(EXACT(Raw_Bookings!K99,V99))),1,0)</f>
        <v>0</v>
      </c>
      <c r="X99" s="7">
        <f>IF(V99="",1,0)</f>
        <v>0</v>
      </c>
      <c r="Y99" s="7">
        <f>IF(TRIM(Raw_Bookings!L99&amp;"")="",1,0)</f>
        <v>0</v>
      </c>
      <c r="Z99" s="7">
        <f>IF(AND(ISTEXT(Raw_Bookings!L99),Y99=0),1,0)</f>
        <v>0</v>
      </c>
      <c r="AA99" s="7">
        <f>IF(Z99=1,IFERROR(VALUE(SUBSTITUTE(SUBSTITUTE(SUBSTITUTE(SUBSTITUTE(SUBSTITUTE(UPPER(Raw_Bookings!L99),"RS.",""),"₹",""),",","")," ",""),"INR","")),""),"")</f>
        <v/>
      </c>
      <c r="AB99" s="7">
        <f>IF(AND(Z99=1,ISNUMBER(AA99)),1,0)</f>
        <v>0</v>
      </c>
      <c r="AC99" s="7">
        <f>IF(B99=1,0,IF(NOT(ISNUMBER(Raw_Bookings!J99)),1,IF(Raw_Bookings!J99&lt;&gt;COUNTIFS(Work_Passengers!$B$2:$B$1336,Raw_Bookings!A99,Work_Passengers!$C$2:$C$1336,0),1,0)))</f>
        <v>0</v>
      </c>
    </row>
    <row r="100" spans="1:29">
      <c r="A100" s="7">
        <f>Raw_Bookings!A100</f>
        <v>1030387</v>
      </c>
      <c r="B100" s="7">
        <f>IF(COUNTIF(Raw_Bookings!$A$2:A100,Raw_Bookings!A100)&gt;1,1,0)</f>
        <v>0</v>
      </c>
      <c r="C100" s="7" t="str">
        <f>Raw_Bookings!D100&amp;""</f>
        <v>2024-12-20</v>
      </c>
      <c r="D100" s="7" t="str">
        <f>IF(AND(LEN(C100)=10,MID(C100,5,1)="-",MID(C100,8,1)="-"),"ISO",IF(AND(LEN(C100)=10,MID(C100,3,1)="-",MID(C100,6,1)="-"),"DMY","OTHER"))</f>
        <v>ISO</v>
      </c>
      <c r="E100" s="7">
        <f>IF(D100="ISO",VALUE(LEFT(C100,4)),IF(D100="DMY",VALUE(RIGHT(C100,4)),0))</f>
        <v>2024</v>
      </c>
      <c r="F100" s="7">
        <f>IF(D100="ISO",VALUE(MID(C100,6,2)),IF(D100="DMY",VALUE(MID(C100,4,2)),0))</f>
        <v>12</v>
      </c>
      <c r="G100" s="7">
        <f>IF(D100="ISO",VALUE(RIGHT(C100,2)),IF(D100="DMY",VALUE(LEFT(C100,2)),0))</f>
        <v>20</v>
      </c>
      <c r="H100" s="7">
        <f>IF(AND(D100&lt;&gt;"OTHER",F100&gt;=1,F100&lt;=12,G100&gt;=1,G100&lt;=31),IF(AND(MONTH(DATE(E100,F100,G100))=F100,DAY(DATE(E100,F100,G100))=G100),1,0),0)</f>
        <v>1</v>
      </c>
      <c r="I100" s="7">
        <f>IF(H100=1,DATE(E100,F100,G100),"")</f>
        <v>45646.0</v>
      </c>
      <c r="J100" s="7">
        <f>IF(AND(D100="DMY",H100=1),1,0)</f>
        <v>0</v>
      </c>
      <c r="K100" s="7">
        <f>IF(H100=0,1,0)</f>
        <v>0</v>
      </c>
      <c r="L100" s="7">
        <f>IF(TRIM(Raw_Bookings!I100&amp;"")="",1,0)</f>
        <v>0</v>
      </c>
      <c r="M100" s="7">
        <f>IF(L100=1,"",DATEVALUE(LEFT(Raw_Bookings!I100,10))+TIMEVALUE(MID(Raw_Bookings!I100,12,8)))</f>
        <v>45631.33871527778</v>
      </c>
      <c r="N100" s="7">
        <f>IF(AND(L100=0,H100=1),IF(INT(M100)&gt;I100,1,0),0)</f>
        <v>0</v>
      </c>
      <c r="O100" s="7" t="str">
        <f>UPPER(TRIM(Raw_Bookings!F100))</f>
        <v>LUC</v>
      </c>
      <c r="P100" s="7" t="str">
        <f>UPPER(TRIM(Raw_Bookings!G100))</f>
        <v>MUM</v>
      </c>
      <c r="Q100" s="7">
        <f>IF(COUNTIF(Lookup_Stations!$A$2:$A$33,O100)&gt;0,1,0)</f>
        <v>1</v>
      </c>
      <c r="R100" s="7">
        <f>IF(COUNTIF(Lookup_Stations!$A$2:$A$33,P100)&gt;0,1,0)</f>
        <v>1</v>
      </c>
      <c r="S100" s="7">
        <f>IF(OR(AND(Q100=1,NOT(EXACT(Raw_Bookings!F100,O100))),AND(R100=1,NOT(EXACT(Raw_Bookings!G100,P100)))),1,0)</f>
        <v>0</v>
      </c>
      <c r="T100" s="7">
        <f>IF(OR(Q100=0,R100=0),1,0)</f>
        <v>0</v>
      </c>
      <c r="U100" s="7">
        <f>IF(TRIM(Raw_Bookings!E100&amp;"")="",1,0)</f>
        <v>0</v>
      </c>
      <c r="V100" s="7" t="str">
        <f>IF(SUMPRODUCT(--(Lookup_Status!$A$2:$A$13=LOWER(TRIM(Raw_Bookings!K100))))=0,"",INDEX(Lookup_Status!$B$2:$B$13,SUMPRODUCT((Lookup_Status!$A$2:$A$13=LOWER(TRIM(Raw_Bookings!K100)))*(ROW(Lookup_Status!$A$2:$A$13)-1))))</f>
        <v>Confirmed</v>
      </c>
      <c r="W100" s="7">
        <f>IF(AND(V100&lt;&gt;"",NOT(EXACT(Raw_Bookings!K100,V100))),1,0)</f>
        <v>0</v>
      </c>
      <c r="X100" s="7">
        <f>IF(V100="",1,0)</f>
        <v>0</v>
      </c>
      <c r="Y100" s="7">
        <f>IF(TRIM(Raw_Bookings!L100&amp;"")="",1,0)</f>
        <v>0</v>
      </c>
      <c r="Z100" s="7">
        <f>IF(AND(ISTEXT(Raw_Bookings!L100),Y100=0),1,0)</f>
        <v>0</v>
      </c>
      <c r="AA100" s="7">
        <f>IF(Z100=1,IFERROR(VALUE(SUBSTITUTE(SUBSTITUTE(SUBSTITUTE(SUBSTITUTE(SUBSTITUTE(UPPER(Raw_Bookings!L100),"RS.",""),"₹",""),",","")," ",""),"INR","")),""),"")</f>
        <v/>
      </c>
      <c r="AB100" s="7">
        <f>IF(AND(Z100=1,ISNUMBER(AA100)),1,0)</f>
        <v>0</v>
      </c>
      <c r="AC100" s="7">
        <f>IF(B100=1,0,IF(NOT(ISNUMBER(Raw_Bookings!J100)),1,IF(Raw_Bookings!J100&lt;&gt;COUNTIFS(Work_Passengers!$B$2:$B$1336,Raw_Bookings!A100,Work_Passengers!$C$2:$C$1336,0),1,0)))</f>
        <v>0</v>
      </c>
    </row>
    <row r="101" spans="1:29">
      <c r="A101" s="7">
        <f>Raw_Bookings!A101</f>
        <v>1031206</v>
      </c>
      <c r="B101" s="7">
        <f>IF(COUNTIF(Raw_Bookings!$A$2:A101,Raw_Bookings!A101)&gt;1,1,0)</f>
        <v>0</v>
      </c>
      <c r="C101" s="7" t="str">
        <f>Raw_Bookings!D101&amp;""</f>
        <v>2024-12-17</v>
      </c>
      <c r="D101" s="7" t="str">
        <f>IF(AND(LEN(C101)=10,MID(C101,5,1)="-",MID(C101,8,1)="-"),"ISO",IF(AND(LEN(C101)=10,MID(C101,3,1)="-",MID(C101,6,1)="-"),"DMY","OTHER"))</f>
        <v>ISO</v>
      </c>
      <c r="E101" s="7">
        <f>IF(D101="ISO",VALUE(LEFT(C101,4)),IF(D101="DMY",VALUE(RIGHT(C101,4)),0))</f>
        <v>2024</v>
      </c>
      <c r="F101" s="7">
        <f>IF(D101="ISO",VALUE(MID(C101,6,2)),IF(D101="DMY",VALUE(MID(C101,4,2)),0))</f>
        <v>12</v>
      </c>
      <c r="G101" s="7">
        <f>IF(D101="ISO",VALUE(RIGHT(C101,2)),IF(D101="DMY",VALUE(LEFT(C101,2)),0))</f>
        <v>17</v>
      </c>
      <c r="H101" s="7">
        <f>IF(AND(D101&lt;&gt;"OTHER",F101&gt;=1,F101&lt;=12,G101&gt;=1,G101&lt;=31),IF(AND(MONTH(DATE(E101,F101,G101))=F101,DAY(DATE(E101,F101,G101))=G101),1,0),0)</f>
        <v>1</v>
      </c>
      <c r="I101" s="7">
        <f>IF(H101=1,DATE(E101,F101,G101),"")</f>
        <v>45643.0</v>
      </c>
      <c r="J101" s="7">
        <f>IF(AND(D101="DMY",H101=1),1,0)</f>
        <v>0</v>
      </c>
      <c r="K101" s="7">
        <f>IF(H101=0,1,0)</f>
        <v>0</v>
      </c>
      <c r="L101" s="7">
        <f>IF(TRIM(Raw_Bookings!I101&amp;"")="",1,0)</f>
        <v>0</v>
      </c>
      <c r="M101" s="7">
        <f>IF(L101=1,"",DATEVALUE(LEFT(Raw_Bookings!I101,10))+TIMEVALUE(MID(Raw_Bookings!I101,12,8)))</f>
        <v>45634.70607638889</v>
      </c>
      <c r="N101" s="7">
        <f>IF(AND(L101=0,H101=1),IF(INT(M101)&gt;I101,1,0),0)</f>
        <v>0</v>
      </c>
      <c r="O101" s="7" t="str">
        <f>UPPER(TRIM(Raw_Bookings!F101))</f>
        <v>MAU</v>
      </c>
      <c r="P101" s="7" t="str">
        <f>UPPER(TRIM(Raw_Bookings!G101))</f>
        <v>DEL</v>
      </c>
      <c r="Q101" s="7">
        <f>IF(COUNTIF(Lookup_Stations!$A$2:$A$33,O101)&gt;0,1,0)</f>
        <v>1</v>
      </c>
      <c r="R101" s="7">
        <f>IF(COUNTIF(Lookup_Stations!$A$2:$A$33,P101)&gt;0,1,0)</f>
        <v>1</v>
      </c>
      <c r="S101" s="7">
        <f>IF(OR(AND(Q101=1,NOT(EXACT(Raw_Bookings!F101,O101))),AND(R101=1,NOT(EXACT(Raw_Bookings!G101,P101)))),1,0)</f>
        <v>0</v>
      </c>
      <c r="T101" s="7">
        <f>IF(OR(Q101=0,R101=0),1,0)</f>
        <v>0</v>
      </c>
      <c r="U101" s="7">
        <f>IF(TRIM(Raw_Bookings!E101&amp;"")="",1,0)</f>
        <v>0</v>
      </c>
      <c r="V101" s="7" t="str">
        <f>IF(SUMPRODUCT(--(Lookup_Status!$A$2:$A$13=LOWER(TRIM(Raw_Bookings!K101))))=0,"",INDEX(Lookup_Status!$B$2:$B$13,SUMPRODUCT((Lookup_Status!$A$2:$A$13=LOWER(TRIM(Raw_Bookings!K101)))*(ROW(Lookup_Status!$A$2:$A$13)-1))))</f>
        <v>Cancelled</v>
      </c>
      <c r="W101" s="7">
        <f>IF(AND(V101&lt;&gt;"",NOT(EXACT(Raw_Bookings!K101,V101))),1,0)</f>
        <v>0</v>
      </c>
      <c r="X101" s="7">
        <f>IF(V101="",1,0)</f>
        <v>0</v>
      </c>
      <c r="Y101" s="7">
        <f>IF(TRIM(Raw_Bookings!L101&amp;"")="",1,0)</f>
        <v>0</v>
      </c>
      <c r="Z101" s="7">
        <f>IF(AND(ISTEXT(Raw_Bookings!L101),Y101=0),1,0)</f>
        <v>0</v>
      </c>
      <c r="AA101" s="7">
        <f>IF(Z101=1,IFERROR(VALUE(SUBSTITUTE(SUBSTITUTE(SUBSTITUTE(SUBSTITUTE(SUBSTITUTE(UPPER(Raw_Bookings!L101),"RS.",""),"₹",""),",","")," ",""),"INR","")),""),"")</f>
        <v/>
      </c>
      <c r="AB101" s="7">
        <f>IF(AND(Z101=1,ISNUMBER(AA101)),1,0)</f>
        <v>0</v>
      </c>
      <c r="AC101" s="7">
        <f>IF(B101=1,0,IF(NOT(ISNUMBER(Raw_Bookings!J101)),1,IF(Raw_Bookings!J101&lt;&gt;COUNTIFS(Work_Passengers!$B$2:$B$1336,Raw_Bookings!A101,Work_Passengers!$C$2:$C$1336,0),1,0)))</f>
        <v>0</v>
      </c>
    </row>
    <row r="102" spans="1:29">
      <c r="A102" s="7">
        <f>Raw_Bookings!A102</f>
        <v>1031770</v>
      </c>
      <c r="B102" s="7">
        <f>IF(COUNTIF(Raw_Bookings!$A$2:A102,Raw_Bookings!A102)&gt;1,1,0)</f>
        <v>0</v>
      </c>
      <c r="C102" s="7" t="str">
        <f>Raw_Bookings!D102&amp;""</f>
        <v>2024-12-28</v>
      </c>
      <c r="D102" s="7" t="str">
        <f>IF(AND(LEN(C102)=10,MID(C102,5,1)="-",MID(C102,8,1)="-"),"ISO",IF(AND(LEN(C102)=10,MID(C102,3,1)="-",MID(C102,6,1)="-"),"DMY","OTHER"))</f>
        <v>ISO</v>
      </c>
      <c r="E102" s="7">
        <f>IF(D102="ISO",VALUE(LEFT(C102,4)),IF(D102="DMY",VALUE(RIGHT(C102,4)),0))</f>
        <v>2024</v>
      </c>
      <c r="F102" s="7">
        <f>IF(D102="ISO",VALUE(MID(C102,6,2)),IF(D102="DMY",VALUE(MID(C102,4,2)),0))</f>
        <v>12</v>
      </c>
      <c r="G102" s="7">
        <f>IF(D102="ISO",VALUE(RIGHT(C102,2)),IF(D102="DMY",VALUE(LEFT(C102,2)),0))</f>
        <v>28</v>
      </c>
      <c r="H102" s="7">
        <f>IF(AND(D102&lt;&gt;"OTHER",F102&gt;=1,F102&lt;=12,G102&gt;=1,G102&lt;=31),IF(AND(MONTH(DATE(E102,F102,G102))=F102,DAY(DATE(E102,F102,G102))=G102),1,0),0)</f>
        <v>1</v>
      </c>
      <c r="I102" s="7">
        <f>IF(H102=1,DATE(E102,F102,G102),"")</f>
        <v>45654.0</v>
      </c>
      <c r="J102" s="7">
        <f>IF(AND(D102="DMY",H102=1),1,0)</f>
        <v>0</v>
      </c>
      <c r="K102" s="7">
        <f>IF(H102=0,1,0)</f>
        <v>0</v>
      </c>
      <c r="L102" s="7">
        <f>IF(TRIM(Raw_Bookings!I102&amp;"")="",1,0)</f>
        <v>0</v>
      </c>
      <c r="M102" s="7">
        <f>IF(L102=1,"",DATEVALUE(LEFT(Raw_Bookings!I102,10))+TIMEVALUE(MID(Raw_Bookings!I102,12,8)))</f>
        <v>45636.85260416667</v>
      </c>
      <c r="N102" s="7">
        <f>IF(AND(L102=0,H102=1),IF(INT(M102)&gt;I102,1,0),0)</f>
        <v>0</v>
      </c>
      <c r="O102" s="7" t="str">
        <f>UPPER(TRIM(Raw_Bookings!F102))</f>
        <v>DEH</v>
      </c>
      <c r="P102" s="7" t="str">
        <f>UPPER(TRIM(Raw_Bookings!G102))</f>
        <v>PUN</v>
      </c>
      <c r="Q102" s="7">
        <f>IF(COUNTIF(Lookup_Stations!$A$2:$A$33,O102)&gt;0,1,0)</f>
        <v>1</v>
      </c>
      <c r="R102" s="7">
        <f>IF(COUNTIF(Lookup_Stations!$A$2:$A$33,P102)&gt;0,1,0)</f>
        <v>1</v>
      </c>
      <c r="S102" s="7">
        <f>IF(OR(AND(Q102=1,NOT(EXACT(Raw_Bookings!F102,O102))),AND(R102=1,NOT(EXACT(Raw_Bookings!G102,P102)))),1,0)</f>
        <v>0</v>
      </c>
      <c r="T102" s="7">
        <f>IF(OR(Q102=0,R102=0),1,0)</f>
        <v>0</v>
      </c>
      <c r="U102" s="7">
        <f>IF(TRIM(Raw_Bookings!E102&amp;"")="",1,0)</f>
        <v>0</v>
      </c>
      <c r="V102" s="7" t="str">
        <f>IF(SUMPRODUCT(--(Lookup_Status!$A$2:$A$13=LOWER(TRIM(Raw_Bookings!K102))))=0,"",INDEX(Lookup_Status!$B$2:$B$13,SUMPRODUCT((Lookup_Status!$A$2:$A$13=LOWER(TRIM(Raw_Bookings!K102)))*(ROW(Lookup_Status!$A$2:$A$13)-1))))</f>
        <v>Confirmed</v>
      </c>
      <c r="W102" s="7">
        <f>IF(AND(V102&lt;&gt;"",NOT(EXACT(Raw_Bookings!K102,V102))),1,0)</f>
        <v>0</v>
      </c>
      <c r="X102" s="7">
        <f>IF(V102="",1,0)</f>
        <v>0</v>
      </c>
      <c r="Y102" s="7">
        <f>IF(TRIM(Raw_Bookings!L102&amp;"")="",1,0)</f>
        <v>0</v>
      </c>
      <c r="Z102" s="7">
        <f>IF(AND(ISTEXT(Raw_Bookings!L102),Y102=0),1,0)</f>
        <v>0</v>
      </c>
      <c r="AA102" s="7">
        <f>IF(Z102=1,IFERROR(VALUE(SUBSTITUTE(SUBSTITUTE(SUBSTITUTE(SUBSTITUTE(SUBSTITUTE(UPPER(Raw_Bookings!L102),"RS.",""),"₹",""),",","")," ",""),"INR","")),""),"")</f>
        <v/>
      </c>
      <c r="AB102" s="7">
        <f>IF(AND(Z102=1,ISNUMBER(AA102)),1,0)</f>
        <v>0</v>
      </c>
      <c r="AC102" s="7">
        <f>IF(B102=1,0,IF(NOT(ISNUMBER(Raw_Bookings!J102)),1,IF(Raw_Bookings!J102&lt;&gt;COUNTIFS(Work_Passengers!$B$2:$B$1336,Raw_Bookings!A102,Work_Passengers!$C$2:$C$1336,0),1,0)))</f>
        <v>0</v>
      </c>
    </row>
    <row r="103" spans="1:29">
      <c r="A103" s="7">
        <f>Raw_Bookings!A103</f>
        <v>1032006</v>
      </c>
      <c r="B103" s="7">
        <f>IF(COUNTIF(Raw_Bookings!$A$2:A103,Raw_Bookings!A103)&gt;1,1,0)</f>
        <v>0</v>
      </c>
      <c r="C103" s="7" t="str">
        <f>Raw_Bookings!D103&amp;""</f>
        <v>2025-01-26</v>
      </c>
      <c r="D103" s="7" t="str">
        <f>IF(AND(LEN(C103)=10,MID(C103,5,1)="-",MID(C103,8,1)="-"),"ISO",IF(AND(LEN(C103)=10,MID(C103,3,1)="-",MID(C103,6,1)="-"),"DMY","OTHER"))</f>
        <v>ISO</v>
      </c>
      <c r="E103" s="7">
        <f>IF(D103="ISO",VALUE(LEFT(C103,4)),IF(D103="DMY",VALUE(RIGHT(C103,4)),0))</f>
        <v>2025</v>
      </c>
      <c r="F103" s="7">
        <f>IF(D103="ISO",VALUE(MID(C103,6,2)),IF(D103="DMY",VALUE(MID(C103,4,2)),0))</f>
        <v>1</v>
      </c>
      <c r="G103" s="7">
        <f>IF(D103="ISO",VALUE(RIGHT(C103,2)),IF(D103="DMY",VALUE(LEFT(C103,2)),0))</f>
        <v>26</v>
      </c>
      <c r="H103" s="7">
        <f>IF(AND(D103&lt;&gt;"OTHER",F103&gt;=1,F103&lt;=12,G103&gt;=1,G103&lt;=31),IF(AND(MONTH(DATE(E103,F103,G103))=F103,DAY(DATE(E103,F103,G103))=G103),1,0),0)</f>
        <v>1</v>
      </c>
      <c r="I103" s="7">
        <f>IF(H103=1,DATE(E103,F103,G103),"")</f>
        <v>45683.0</v>
      </c>
      <c r="J103" s="7">
        <f>IF(AND(D103="DMY",H103=1),1,0)</f>
        <v>0</v>
      </c>
      <c r="K103" s="7">
        <f>IF(H103=0,1,0)</f>
        <v>0</v>
      </c>
      <c r="L103" s="7">
        <f>IF(TRIM(Raw_Bookings!I103&amp;"")="",1,0)</f>
        <v>0</v>
      </c>
      <c r="M103" s="7">
        <f>IF(L103=1,"",DATEVALUE(LEFT(Raw_Bookings!I103,10))+TIMEVALUE(MID(Raw_Bookings!I103,12,8)))</f>
        <v>45637.94971064815</v>
      </c>
      <c r="N103" s="7">
        <f>IF(AND(L103=0,H103=1),IF(INT(M103)&gt;I103,1,0),0)</f>
        <v>0</v>
      </c>
      <c r="O103" s="7" t="str">
        <f>UPPER(TRIM(Raw_Bookings!F103))</f>
        <v>SUR</v>
      </c>
      <c r="P103" s="7" t="str">
        <f>UPPER(TRIM(Raw_Bookings!G103))</f>
        <v>VAR</v>
      </c>
      <c r="Q103" s="7">
        <f>IF(COUNTIF(Lookup_Stations!$A$2:$A$33,O103)&gt;0,1,0)</f>
        <v>1</v>
      </c>
      <c r="R103" s="7">
        <f>IF(COUNTIF(Lookup_Stations!$A$2:$A$33,P103)&gt;0,1,0)</f>
        <v>1</v>
      </c>
      <c r="S103" s="7">
        <f>IF(OR(AND(Q103=1,NOT(EXACT(Raw_Bookings!F103,O103))),AND(R103=1,NOT(EXACT(Raw_Bookings!G103,P103)))),1,0)</f>
        <v>0</v>
      </c>
      <c r="T103" s="7">
        <f>IF(OR(Q103=0,R103=0),1,0)</f>
        <v>0</v>
      </c>
      <c r="U103" s="7">
        <f>IF(TRIM(Raw_Bookings!E103&amp;"")="",1,0)</f>
        <v>0</v>
      </c>
      <c r="V103" s="7" t="str">
        <f>IF(SUMPRODUCT(--(Lookup_Status!$A$2:$A$13=LOWER(TRIM(Raw_Bookings!K103))))=0,"",INDEX(Lookup_Status!$B$2:$B$13,SUMPRODUCT((Lookup_Status!$A$2:$A$13=LOWER(TRIM(Raw_Bookings!K103)))*(ROW(Lookup_Status!$A$2:$A$13)-1))))</f>
        <v>Confirmed</v>
      </c>
      <c r="W103" s="7">
        <f>IF(AND(V103&lt;&gt;"",NOT(EXACT(Raw_Bookings!K103,V103))),1,0)</f>
        <v>0</v>
      </c>
      <c r="X103" s="7">
        <f>IF(V103="",1,0)</f>
        <v>0</v>
      </c>
      <c r="Y103" s="7">
        <f>IF(TRIM(Raw_Bookings!L103&amp;"")="",1,0)</f>
        <v>0</v>
      </c>
      <c r="Z103" s="7">
        <f>IF(AND(ISTEXT(Raw_Bookings!L103),Y103=0),1,0)</f>
        <v>0</v>
      </c>
      <c r="AA103" s="7">
        <f>IF(Z103=1,IFERROR(VALUE(SUBSTITUTE(SUBSTITUTE(SUBSTITUTE(SUBSTITUTE(SUBSTITUTE(UPPER(Raw_Bookings!L103),"RS.",""),"₹",""),",","")," ",""),"INR","")),""),"")</f>
        <v/>
      </c>
      <c r="AB103" s="7">
        <f>IF(AND(Z103=1,ISNUMBER(AA103)),1,0)</f>
        <v>0</v>
      </c>
      <c r="AC103" s="7">
        <f>IF(B103=1,0,IF(NOT(ISNUMBER(Raw_Bookings!J103)),1,IF(Raw_Bookings!J103&lt;&gt;COUNTIFS(Work_Passengers!$B$2:$B$1336,Raw_Bookings!A103,Work_Passengers!$C$2:$C$1336,0),1,0)))</f>
        <v>0</v>
      </c>
    </row>
    <row r="104" spans="1:29">
      <c r="A104" s="7">
        <f>Raw_Bookings!A104</f>
        <v>1032070</v>
      </c>
      <c r="B104" s="7">
        <f>IF(COUNTIF(Raw_Bookings!$A$2:A104,Raw_Bookings!A104)&gt;1,1,0)</f>
        <v>0</v>
      </c>
      <c r="C104" s="7" t="str">
        <f>Raw_Bookings!D104&amp;""</f>
        <v>22-12-2024</v>
      </c>
      <c r="D104" s="7" t="str">
        <f>IF(AND(LEN(C104)=10,MID(C104,5,1)="-",MID(C104,8,1)="-"),"ISO",IF(AND(LEN(C104)=10,MID(C104,3,1)="-",MID(C104,6,1)="-"),"DMY","OTHER"))</f>
        <v>DMY</v>
      </c>
      <c r="E104" s="7">
        <f>IF(D104="ISO",VALUE(LEFT(C104,4)),IF(D104="DMY",VALUE(RIGHT(C104,4)),0))</f>
        <v>2024</v>
      </c>
      <c r="F104" s="7">
        <f>IF(D104="ISO",VALUE(MID(C104,6,2)),IF(D104="DMY",VALUE(MID(C104,4,2)),0))</f>
        <v>12</v>
      </c>
      <c r="G104" s="7">
        <f>IF(D104="ISO",VALUE(RIGHT(C104,2)),IF(D104="DMY",VALUE(LEFT(C104,2)),0))</f>
        <v>22</v>
      </c>
      <c r="H104" s="7">
        <f>IF(AND(D104&lt;&gt;"OTHER",F104&gt;=1,F104&lt;=12,G104&gt;=1,G104&lt;=31),IF(AND(MONTH(DATE(E104,F104,G104))=F104,DAY(DATE(E104,F104,G104))=G104),1,0),0)</f>
        <v>1</v>
      </c>
      <c r="I104" s="7">
        <f>IF(H104=1,DATE(E104,F104,G104),"")</f>
        <v>45648.0</v>
      </c>
      <c r="J104" s="7">
        <f>IF(AND(D104="DMY",H104=1),1,0)</f>
        <v>1</v>
      </c>
      <c r="K104" s="7">
        <f>IF(H104=0,1,0)</f>
        <v>0</v>
      </c>
      <c r="L104" s="7">
        <f>IF(TRIM(Raw_Bookings!I104&amp;"")="",1,0)</f>
        <v>0</v>
      </c>
      <c r="M104" s="7">
        <f>IF(L104=1,"",DATEVALUE(LEFT(Raw_Bookings!I104,10))+TIMEVALUE(MID(Raw_Bookings!I104,12,8)))</f>
        <v>45638.3969212963</v>
      </c>
      <c r="N104" s="7">
        <f>IF(AND(L104=0,H104=1),IF(INT(M104)&gt;I104,1,0),0)</f>
        <v>0</v>
      </c>
      <c r="O104" s="7" t="str">
        <f>UPPER(TRIM(Raw_Bookings!F104))</f>
        <v>DEL</v>
      </c>
      <c r="P104" s="7" t="str">
        <f>UPPER(TRIM(Raw_Bookings!G104))</f>
        <v>MAU</v>
      </c>
      <c r="Q104" s="7">
        <f>IF(COUNTIF(Lookup_Stations!$A$2:$A$33,O104)&gt;0,1,0)</f>
        <v>1</v>
      </c>
      <c r="R104" s="7">
        <f>IF(COUNTIF(Lookup_Stations!$A$2:$A$33,P104)&gt;0,1,0)</f>
        <v>1</v>
      </c>
      <c r="S104" s="7">
        <f>IF(OR(AND(Q104=1,NOT(EXACT(Raw_Bookings!F104,O104))),AND(R104=1,NOT(EXACT(Raw_Bookings!G104,P104)))),1,0)</f>
        <v>0</v>
      </c>
      <c r="T104" s="7">
        <f>IF(OR(Q104=0,R104=0),1,0)</f>
        <v>0</v>
      </c>
      <c r="U104" s="7">
        <f>IF(TRIM(Raw_Bookings!E104&amp;"")="",1,0)</f>
        <v>0</v>
      </c>
      <c r="V104" s="7" t="str">
        <f>IF(SUMPRODUCT(--(Lookup_Status!$A$2:$A$13=LOWER(TRIM(Raw_Bookings!K104))))=0,"",INDEX(Lookup_Status!$B$2:$B$13,SUMPRODUCT((Lookup_Status!$A$2:$A$13=LOWER(TRIM(Raw_Bookings!K104)))*(ROW(Lookup_Status!$A$2:$A$13)-1))))</f>
        <v>Confirmed</v>
      </c>
      <c r="W104" s="7">
        <f>IF(AND(V104&lt;&gt;"",NOT(EXACT(Raw_Bookings!K104,V104))),1,0)</f>
        <v>0</v>
      </c>
      <c r="X104" s="7">
        <f>IF(V104="",1,0)</f>
        <v>0</v>
      </c>
      <c r="Y104" s="7">
        <f>IF(TRIM(Raw_Bookings!L104&amp;"")="",1,0)</f>
        <v>0</v>
      </c>
      <c r="Z104" s="7">
        <f>IF(AND(ISTEXT(Raw_Bookings!L104),Y104=0),1,0)</f>
        <v>0</v>
      </c>
      <c r="AA104" s="7">
        <f>IF(Z104=1,IFERROR(VALUE(SUBSTITUTE(SUBSTITUTE(SUBSTITUTE(SUBSTITUTE(SUBSTITUTE(UPPER(Raw_Bookings!L104),"RS.",""),"₹",""),",","")," ",""),"INR","")),""),"")</f>
        <v/>
      </c>
      <c r="AB104" s="7">
        <f>IF(AND(Z104=1,ISNUMBER(AA104)),1,0)</f>
        <v>0</v>
      </c>
      <c r="AC104" s="7">
        <f>IF(B104=1,0,IF(NOT(ISNUMBER(Raw_Bookings!J104)),1,IF(Raw_Bookings!J104&lt;&gt;COUNTIFS(Work_Passengers!$B$2:$B$1336,Raw_Bookings!A104,Work_Passengers!$C$2:$C$1336,0),1,0)))</f>
        <v>0</v>
      </c>
    </row>
    <row r="105" spans="1:29">
      <c r="A105" s="7">
        <f>Raw_Bookings!A105</f>
        <v>1032096</v>
      </c>
      <c r="B105" s="7">
        <f>IF(COUNTIF(Raw_Bookings!$A$2:A105,Raw_Bookings!A105)&gt;1,1,0)</f>
        <v>0</v>
      </c>
      <c r="C105" s="7" t="str">
        <f>Raw_Bookings!D105&amp;""</f>
        <v>2025-01-07</v>
      </c>
      <c r="D105" s="7" t="str">
        <f>IF(AND(LEN(C105)=10,MID(C105,5,1)="-",MID(C105,8,1)="-"),"ISO",IF(AND(LEN(C105)=10,MID(C105,3,1)="-",MID(C105,6,1)="-"),"DMY","OTHER"))</f>
        <v>ISO</v>
      </c>
      <c r="E105" s="7">
        <f>IF(D105="ISO",VALUE(LEFT(C105,4)),IF(D105="DMY",VALUE(RIGHT(C105,4)),0))</f>
        <v>2025</v>
      </c>
      <c r="F105" s="7">
        <f>IF(D105="ISO",VALUE(MID(C105,6,2)),IF(D105="DMY",VALUE(MID(C105,4,2)),0))</f>
        <v>1</v>
      </c>
      <c r="G105" s="7">
        <f>IF(D105="ISO",VALUE(RIGHT(C105,2)),IF(D105="DMY",VALUE(LEFT(C105,2)),0))</f>
        <v>7</v>
      </c>
      <c r="H105" s="7">
        <f>IF(AND(D105&lt;&gt;"OTHER",F105&gt;=1,F105&lt;=12,G105&gt;=1,G105&lt;=31),IF(AND(MONTH(DATE(E105,F105,G105))=F105,DAY(DATE(E105,F105,G105))=G105),1,0),0)</f>
        <v>1</v>
      </c>
      <c r="I105" s="7">
        <f>IF(H105=1,DATE(E105,F105,G105),"")</f>
        <v>45664.0</v>
      </c>
      <c r="J105" s="7">
        <f>IF(AND(D105="DMY",H105=1),1,0)</f>
        <v>0</v>
      </c>
      <c r="K105" s="7">
        <f>IF(H105=0,1,0)</f>
        <v>0</v>
      </c>
      <c r="L105" s="7">
        <f>IF(TRIM(Raw_Bookings!I105&amp;"")="",1,0)</f>
        <v>0</v>
      </c>
      <c r="M105" s="7">
        <f>IF(L105=1,"",DATEVALUE(LEFT(Raw_Bookings!I105,10))+TIMEVALUE(MID(Raw_Bookings!I105,12,8)))</f>
        <v>45638.46475694444</v>
      </c>
      <c r="N105" s="7">
        <f>IF(AND(L105=0,H105=1),IF(INT(M105)&gt;I105,1,0),0)</f>
        <v>0</v>
      </c>
      <c r="O105" s="7" t="str">
        <f>UPPER(TRIM(Raw_Bookings!F105))</f>
        <v>COI</v>
      </c>
      <c r="P105" s="7" t="str">
        <f>UPPER(TRIM(Raw_Bookings!G105))</f>
        <v>RAN</v>
      </c>
      <c r="Q105" s="7">
        <f>IF(COUNTIF(Lookup_Stations!$A$2:$A$33,O105)&gt;0,1,0)</f>
        <v>1</v>
      </c>
      <c r="R105" s="7">
        <f>IF(COUNTIF(Lookup_Stations!$A$2:$A$33,P105)&gt;0,1,0)</f>
        <v>1</v>
      </c>
      <c r="S105" s="7">
        <f>IF(OR(AND(Q105=1,NOT(EXACT(Raw_Bookings!F105,O105))),AND(R105=1,NOT(EXACT(Raw_Bookings!G105,P105)))),1,0)</f>
        <v>0</v>
      </c>
      <c r="T105" s="7">
        <f>IF(OR(Q105=0,R105=0),1,0)</f>
        <v>0</v>
      </c>
      <c r="U105" s="7">
        <f>IF(TRIM(Raw_Bookings!E105&amp;"")="",1,0)</f>
        <v>0</v>
      </c>
      <c r="V105" s="7" t="str">
        <f>IF(SUMPRODUCT(--(Lookup_Status!$A$2:$A$13=LOWER(TRIM(Raw_Bookings!K105))))=0,"",INDEX(Lookup_Status!$B$2:$B$13,SUMPRODUCT((Lookup_Status!$A$2:$A$13=LOWER(TRIM(Raw_Bookings!K105)))*(ROW(Lookup_Status!$A$2:$A$13)-1))))</f>
        <v>Confirmed</v>
      </c>
      <c r="W105" s="7">
        <f>IF(AND(V105&lt;&gt;"",NOT(EXACT(Raw_Bookings!K105,V105))),1,0)</f>
        <v>0</v>
      </c>
      <c r="X105" s="7">
        <f>IF(V105="",1,0)</f>
        <v>0</v>
      </c>
      <c r="Y105" s="7">
        <f>IF(TRIM(Raw_Bookings!L105&amp;"")="",1,0)</f>
        <v>0</v>
      </c>
      <c r="Z105" s="7">
        <f>IF(AND(ISTEXT(Raw_Bookings!L105),Y105=0),1,0)</f>
        <v>0</v>
      </c>
      <c r="AA105" s="7">
        <f>IF(Z105=1,IFERROR(VALUE(SUBSTITUTE(SUBSTITUTE(SUBSTITUTE(SUBSTITUTE(SUBSTITUTE(UPPER(Raw_Bookings!L105),"RS.",""),"₹",""),",","")," ",""),"INR","")),""),"")</f>
        <v/>
      </c>
      <c r="AB105" s="7">
        <f>IF(AND(Z105=1,ISNUMBER(AA105)),1,0)</f>
        <v>0</v>
      </c>
      <c r="AC105" s="7">
        <f>IF(B105=1,0,IF(NOT(ISNUMBER(Raw_Bookings!J105)),1,IF(Raw_Bookings!J105&lt;&gt;COUNTIFS(Work_Passengers!$B$2:$B$1336,Raw_Bookings!A105,Work_Passengers!$C$2:$C$1336,0),1,0)))</f>
        <v>0</v>
      </c>
    </row>
    <row r="106" spans="1:29">
      <c r="A106" s="7">
        <f>Raw_Bookings!A106</f>
        <v>1032311</v>
      </c>
      <c r="B106" s="7">
        <f>IF(COUNTIF(Raw_Bookings!$A$2:A106,Raw_Bookings!A106)&gt;1,1,0)</f>
        <v>0</v>
      </c>
      <c r="C106" s="7" t="str">
        <f>Raw_Bookings!D106&amp;""</f>
        <v>2025-01-24</v>
      </c>
      <c r="D106" s="7" t="str">
        <f>IF(AND(LEN(C106)=10,MID(C106,5,1)="-",MID(C106,8,1)="-"),"ISO",IF(AND(LEN(C106)=10,MID(C106,3,1)="-",MID(C106,6,1)="-"),"DMY","OTHER"))</f>
        <v>ISO</v>
      </c>
      <c r="E106" s="7">
        <f>IF(D106="ISO",VALUE(LEFT(C106,4)),IF(D106="DMY",VALUE(RIGHT(C106,4)),0))</f>
        <v>2025</v>
      </c>
      <c r="F106" s="7">
        <f>IF(D106="ISO",VALUE(MID(C106,6,2)),IF(D106="DMY",VALUE(MID(C106,4,2)),0))</f>
        <v>1</v>
      </c>
      <c r="G106" s="7">
        <f>IF(D106="ISO",VALUE(RIGHT(C106,2)),IF(D106="DMY",VALUE(LEFT(C106,2)),0))</f>
        <v>24</v>
      </c>
      <c r="H106" s="7">
        <f>IF(AND(D106&lt;&gt;"OTHER",F106&gt;=1,F106&lt;=12,G106&gt;=1,G106&lt;=31),IF(AND(MONTH(DATE(E106,F106,G106))=F106,DAY(DATE(E106,F106,G106))=G106),1,0),0)</f>
        <v>1</v>
      </c>
      <c r="I106" s="7">
        <f>IF(H106=1,DATE(E106,F106,G106),"")</f>
        <v>45681.0</v>
      </c>
      <c r="J106" s="7">
        <f>IF(AND(D106="DMY",H106=1),1,0)</f>
        <v>0</v>
      </c>
      <c r="K106" s="7">
        <f>IF(H106=0,1,0)</f>
        <v>0</v>
      </c>
      <c r="L106" s="7">
        <f>IF(TRIM(Raw_Bookings!I106&amp;"")="",1,0)</f>
        <v>0</v>
      </c>
      <c r="M106" s="7">
        <f>IF(L106=1,"",DATEVALUE(LEFT(Raw_Bookings!I106,10))+TIMEVALUE(MID(Raw_Bookings!I106,12,8)))</f>
        <v>45639.37372685185</v>
      </c>
      <c r="N106" s="7">
        <f>IF(AND(L106=0,H106=1),IF(INT(M106)&gt;I106,1,0),0)</f>
        <v>0</v>
      </c>
      <c r="O106" s="7" t="str">
        <f>UPPER(TRIM(Raw_Bookings!F106))</f>
        <v>HYD</v>
      </c>
      <c r="P106" s="7" t="str">
        <f>UPPER(TRIM(Raw_Bookings!G106))</f>
        <v>N/A</v>
      </c>
      <c r="Q106" s="7">
        <f>IF(COUNTIF(Lookup_Stations!$A$2:$A$33,O106)&gt;0,1,0)</f>
        <v>1</v>
      </c>
      <c r="R106" s="7">
        <f>IF(COUNTIF(Lookup_Stations!$A$2:$A$33,P106)&gt;0,1,0)</f>
        <v>0</v>
      </c>
      <c r="S106" s="7">
        <f>IF(OR(AND(Q106=1,NOT(EXACT(Raw_Bookings!F106,O106))),AND(R106=1,NOT(EXACT(Raw_Bookings!G106,P106)))),1,0)</f>
        <v>0</v>
      </c>
      <c r="T106" s="7">
        <f>IF(OR(Q106=0,R106=0),1,0)</f>
        <v>1</v>
      </c>
      <c r="U106" s="7">
        <f>IF(TRIM(Raw_Bookings!E106&amp;"")="",1,0)</f>
        <v>0</v>
      </c>
      <c r="V106" s="7" t="str">
        <f>IF(SUMPRODUCT(--(Lookup_Status!$A$2:$A$13=LOWER(TRIM(Raw_Bookings!K106))))=0,"",INDEX(Lookup_Status!$B$2:$B$13,SUMPRODUCT((Lookup_Status!$A$2:$A$13=LOWER(TRIM(Raw_Bookings!K106)))*(ROW(Lookup_Status!$A$2:$A$13)-1))))</f>
        <v>Confirmed</v>
      </c>
      <c r="W106" s="7">
        <f>IF(AND(V106&lt;&gt;"",NOT(EXACT(Raw_Bookings!K106,V106))),1,0)</f>
        <v>0</v>
      </c>
      <c r="X106" s="7">
        <f>IF(V106="",1,0)</f>
        <v>0</v>
      </c>
      <c r="Y106" s="7">
        <f>IF(TRIM(Raw_Bookings!L106&amp;"")="",1,0)</f>
        <v>0</v>
      </c>
      <c r="Z106" s="7">
        <f>IF(AND(ISTEXT(Raw_Bookings!L106),Y106=0),1,0)</f>
        <v>0</v>
      </c>
      <c r="AA106" s="7">
        <f>IF(Z106=1,IFERROR(VALUE(SUBSTITUTE(SUBSTITUTE(SUBSTITUTE(SUBSTITUTE(SUBSTITUTE(UPPER(Raw_Bookings!L106),"RS.",""),"₹",""),",","")," ",""),"INR","")),""),"")</f>
        <v/>
      </c>
      <c r="AB106" s="7">
        <f>IF(AND(Z106=1,ISNUMBER(AA106)),1,0)</f>
        <v>0</v>
      </c>
      <c r="AC106" s="7">
        <f>IF(B106=1,0,IF(NOT(ISNUMBER(Raw_Bookings!J106)),1,IF(Raw_Bookings!J106&lt;&gt;COUNTIFS(Work_Passengers!$B$2:$B$1336,Raw_Bookings!A106,Work_Passengers!$C$2:$C$1336,0),1,0)))</f>
        <v>0</v>
      </c>
    </row>
    <row r="107" spans="1:29">
      <c r="A107" s="7">
        <f>Raw_Bookings!A107</f>
        <v>1032683</v>
      </c>
      <c r="B107" s="7">
        <f>IF(COUNTIF(Raw_Bookings!$A$2:A107,Raw_Bookings!A107)&gt;1,1,0)</f>
        <v>0</v>
      </c>
      <c r="C107" s="7" t="str">
        <f>Raw_Bookings!D107&amp;""</f>
        <v>2025-01-01</v>
      </c>
      <c r="D107" s="7" t="str">
        <f>IF(AND(LEN(C107)=10,MID(C107,5,1)="-",MID(C107,8,1)="-"),"ISO",IF(AND(LEN(C107)=10,MID(C107,3,1)="-",MID(C107,6,1)="-"),"DMY","OTHER"))</f>
        <v>ISO</v>
      </c>
      <c r="E107" s="7">
        <f>IF(D107="ISO",VALUE(LEFT(C107,4)),IF(D107="DMY",VALUE(RIGHT(C107,4)),0))</f>
        <v>2025</v>
      </c>
      <c r="F107" s="7">
        <f>IF(D107="ISO",VALUE(MID(C107,6,2)),IF(D107="DMY",VALUE(MID(C107,4,2)),0))</f>
        <v>1</v>
      </c>
      <c r="G107" s="7">
        <f>IF(D107="ISO",VALUE(RIGHT(C107,2)),IF(D107="DMY",VALUE(LEFT(C107,2)),0))</f>
        <v>1</v>
      </c>
      <c r="H107" s="7">
        <f>IF(AND(D107&lt;&gt;"OTHER",F107&gt;=1,F107&lt;=12,G107&gt;=1,G107&lt;=31),IF(AND(MONTH(DATE(E107,F107,G107))=F107,DAY(DATE(E107,F107,G107))=G107),1,0),0)</f>
        <v>1</v>
      </c>
      <c r="I107" s="7">
        <f>IF(H107=1,DATE(E107,F107,G107),"")</f>
        <v>45658.0</v>
      </c>
      <c r="J107" s="7">
        <f>IF(AND(D107="DMY",H107=1),1,0)</f>
        <v>0</v>
      </c>
      <c r="K107" s="7">
        <f>IF(H107=0,1,0)</f>
        <v>0</v>
      </c>
      <c r="L107" s="7">
        <f>IF(TRIM(Raw_Bookings!I107&amp;"")="",1,0)</f>
        <v>0</v>
      </c>
      <c r="M107" s="7">
        <f>IF(L107=1,"",DATEVALUE(LEFT(Raw_Bookings!I107,10))+TIMEVALUE(MID(Raw_Bookings!I107,12,8)))</f>
        <v>45640.62482638889</v>
      </c>
      <c r="N107" s="7">
        <f>IF(AND(L107=0,H107=1),IF(INT(M107)&gt;I107,1,0),0)</f>
        <v>0</v>
      </c>
      <c r="O107" s="7" t="str">
        <f>UPPER(TRIM(Raw_Bookings!F107))</f>
        <v>JAI</v>
      </c>
      <c r="P107" s="7" t="str">
        <f>UPPER(TRIM(Raw_Bookings!G107))</f>
        <v>RAI</v>
      </c>
      <c r="Q107" s="7">
        <f>IF(COUNTIF(Lookup_Stations!$A$2:$A$33,O107)&gt;0,1,0)</f>
        <v>1</v>
      </c>
      <c r="R107" s="7">
        <f>IF(COUNTIF(Lookup_Stations!$A$2:$A$33,P107)&gt;0,1,0)</f>
        <v>1</v>
      </c>
      <c r="S107" s="7">
        <f>IF(OR(AND(Q107=1,NOT(EXACT(Raw_Bookings!F107,O107))),AND(R107=1,NOT(EXACT(Raw_Bookings!G107,P107)))),1,0)</f>
        <v>0</v>
      </c>
      <c r="T107" s="7">
        <f>IF(OR(Q107=0,R107=0),1,0)</f>
        <v>0</v>
      </c>
      <c r="U107" s="7">
        <f>IF(TRIM(Raw_Bookings!E107&amp;"")="",1,0)</f>
        <v>0</v>
      </c>
      <c r="V107" s="7" t="str">
        <f>IF(SUMPRODUCT(--(Lookup_Status!$A$2:$A$13=LOWER(TRIM(Raw_Bookings!K107))))=0,"",INDEX(Lookup_Status!$B$2:$B$13,SUMPRODUCT((Lookup_Status!$A$2:$A$13=LOWER(TRIM(Raw_Bookings!K107)))*(ROW(Lookup_Status!$A$2:$A$13)-1))))</f>
        <v>Confirmed</v>
      </c>
      <c r="W107" s="7">
        <f>IF(AND(V107&lt;&gt;"",NOT(EXACT(Raw_Bookings!K107,V107))),1,0)</f>
        <v>0</v>
      </c>
      <c r="X107" s="7">
        <f>IF(V107="",1,0)</f>
        <v>0</v>
      </c>
      <c r="Y107" s="7">
        <f>IF(TRIM(Raw_Bookings!L107&amp;"")="",1,0)</f>
        <v>0</v>
      </c>
      <c r="Z107" s="7">
        <f>IF(AND(ISTEXT(Raw_Bookings!L107),Y107=0),1,0)</f>
        <v>0</v>
      </c>
      <c r="AA107" s="7">
        <f>IF(Z107=1,IFERROR(VALUE(SUBSTITUTE(SUBSTITUTE(SUBSTITUTE(SUBSTITUTE(SUBSTITUTE(UPPER(Raw_Bookings!L107),"RS.",""),"₹",""),",","")," ",""),"INR","")),""),"")</f>
        <v/>
      </c>
      <c r="AB107" s="7">
        <f>IF(AND(Z107=1,ISNUMBER(AA107)),1,0)</f>
        <v>0</v>
      </c>
      <c r="AC107" s="7">
        <f>IF(B107=1,0,IF(NOT(ISNUMBER(Raw_Bookings!J107)),1,IF(Raw_Bookings!J107&lt;&gt;COUNTIFS(Work_Passengers!$B$2:$B$1336,Raw_Bookings!A107,Work_Passengers!$C$2:$C$1336,0),1,0)))</f>
        <v>0</v>
      </c>
    </row>
    <row r="108" spans="1:29">
      <c r="A108" s="7">
        <f>Raw_Bookings!A108</f>
        <v>1032751</v>
      </c>
      <c r="B108" s="7">
        <f>IF(COUNTIF(Raw_Bookings!$A$2:A108,Raw_Bookings!A108)&gt;1,1,0)</f>
        <v>0</v>
      </c>
      <c r="C108" s="7" t="str">
        <f>Raw_Bookings!D108&amp;""</f>
        <v>2025-01-03</v>
      </c>
      <c r="D108" s="7" t="str">
        <f>IF(AND(LEN(C108)=10,MID(C108,5,1)="-",MID(C108,8,1)="-"),"ISO",IF(AND(LEN(C108)=10,MID(C108,3,1)="-",MID(C108,6,1)="-"),"DMY","OTHER"))</f>
        <v>ISO</v>
      </c>
      <c r="E108" s="7">
        <f>IF(D108="ISO",VALUE(LEFT(C108,4)),IF(D108="DMY",VALUE(RIGHT(C108,4)),0))</f>
        <v>2025</v>
      </c>
      <c r="F108" s="7">
        <f>IF(D108="ISO",VALUE(MID(C108,6,2)),IF(D108="DMY",VALUE(MID(C108,4,2)),0))</f>
        <v>1</v>
      </c>
      <c r="G108" s="7">
        <f>IF(D108="ISO",VALUE(RIGHT(C108,2)),IF(D108="DMY",VALUE(LEFT(C108,2)),0))</f>
        <v>3</v>
      </c>
      <c r="H108" s="7">
        <f>IF(AND(D108&lt;&gt;"OTHER",F108&gt;=1,F108&lt;=12,G108&gt;=1,G108&lt;=31),IF(AND(MONTH(DATE(E108,F108,G108))=F108,DAY(DATE(E108,F108,G108))=G108),1,0),0)</f>
        <v>1</v>
      </c>
      <c r="I108" s="7">
        <f>IF(H108=1,DATE(E108,F108,G108),"")</f>
        <v>45660.0</v>
      </c>
      <c r="J108" s="7">
        <f>IF(AND(D108="DMY",H108=1),1,0)</f>
        <v>0</v>
      </c>
      <c r="K108" s="7">
        <f>IF(H108=0,1,0)</f>
        <v>0</v>
      </c>
      <c r="L108" s="7">
        <f>IF(TRIM(Raw_Bookings!I108&amp;"")="",1,0)</f>
        <v>0</v>
      </c>
      <c r="M108" s="7">
        <f>IF(L108=1,"",DATEVALUE(LEFT(Raw_Bookings!I108,10))+TIMEVALUE(MID(Raw_Bookings!I108,12,8)))</f>
        <v>45640.7865625</v>
      </c>
      <c r="N108" s="7">
        <f>IF(AND(L108=0,H108=1),IF(INT(M108)&gt;I108,1,0),0)</f>
        <v>0</v>
      </c>
      <c r="O108" s="7" t="str">
        <f>UPPER(TRIM(Raw_Bookings!F108))</f>
        <v>BEN</v>
      </c>
      <c r="P108" s="7" t="str">
        <f>UPPER(TRIM(Raw_Bookings!G108))</f>
        <v>JOD</v>
      </c>
      <c r="Q108" s="7">
        <f>IF(COUNTIF(Lookup_Stations!$A$2:$A$33,O108)&gt;0,1,0)</f>
        <v>1</v>
      </c>
      <c r="R108" s="7">
        <f>IF(COUNTIF(Lookup_Stations!$A$2:$A$33,P108)&gt;0,1,0)</f>
        <v>1</v>
      </c>
      <c r="S108" s="7">
        <f>IF(OR(AND(Q108=1,NOT(EXACT(Raw_Bookings!F108,O108))),AND(R108=1,NOT(EXACT(Raw_Bookings!G108,P108)))),1,0)</f>
        <v>0</v>
      </c>
      <c r="T108" s="7">
        <f>IF(OR(Q108=0,R108=0),1,0)</f>
        <v>0</v>
      </c>
      <c r="U108" s="7">
        <f>IF(TRIM(Raw_Bookings!E108&amp;"")="",1,0)</f>
        <v>0</v>
      </c>
      <c r="V108" s="7" t="str">
        <f>IF(SUMPRODUCT(--(Lookup_Status!$A$2:$A$13=LOWER(TRIM(Raw_Bookings!K108))))=0,"",INDEX(Lookup_Status!$B$2:$B$13,SUMPRODUCT((Lookup_Status!$A$2:$A$13=LOWER(TRIM(Raw_Bookings!K108)))*(ROW(Lookup_Status!$A$2:$A$13)-1))))</f>
        <v>Cancelled</v>
      </c>
      <c r="W108" s="7">
        <f>IF(AND(V108&lt;&gt;"",NOT(EXACT(Raw_Bookings!K108,V108))),1,0)</f>
        <v>0</v>
      </c>
      <c r="X108" s="7">
        <f>IF(V108="",1,0)</f>
        <v>0</v>
      </c>
      <c r="Y108" s="7">
        <f>IF(TRIM(Raw_Bookings!L108&amp;"")="",1,0)</f>
        <v>0</v>
      </c>
      <c r="Z108" s="7">
        <f>IF(AND(ISTEXT(Raw_Bookings!L108),Y108=0),1,0)</f>
        <v>0</v>
      </c>
      <c r="AA108" s="7">
        <f>IF(Z108=1,IFERROR(VALUE(SUBSTITUTE(SUBSTITUTE(SUBSTITUTE(SUBSTITUTE(SUBSTITUTE(UPPER(Raw_Bookings!L108),"RS.",""),"₹",""),",","")," ",""),"INR","")),""),"")</f>
        <v/>
      </c>
      <c r="AB108" s="7">
        <f>IF(AND(Z108=1,ISNUMBER(AA108)),1,0)</f>
        <v>0</v>
      </c>
      <c r="AC108" s="7">
        <f>IF(B108=1,0,IF(NOT(ISNUMBER(Raw_Bookings!J108)),1,IF(Raw_Bookings!J108&lt;&gt;COUNTIFS(Work_Passengers!$B$2:$B$1336,Raw_Bookings!A108,Work_Passengers!$C$2:$C$1336,0),1,0)))</f>
        <v>0</v>
      </c>
    </row>
    <row r="109" spans="1:29">
      <c r="A109" s="7">
        <f>Raw_Bookings!A109</f>
        <v>1032942</v>
      </c>
      <c r="B109" s="7">
        <f>IF(COUNTIF(Raw_Bookings!$A$2:A109,Raw_Bookings!A109)&gt;1,1,0)</f>
        <v>0</v>
      </c>
      <c r="C109" s="7" t="str">
        <f>Raw_Bookings!D109&amp;""</f>
        <v>2025-03-04</v>
      </c>
      <c r="D109" s="7" t="str">
        <f>IF(AND(LEN(C109)=10,MID(C109,5,1)="-",MID(C109,8,1)="-"),"ISO",IF(AND(LEN(C109)=10,MID(C109,3,1)="-",MID(C109,6,1)="-"),"DMY","OTHER"))</f>
        <v>ISO</v>
      </c>
      <c r="E109" s="7">
        <f>IF(D109="ISO",VALUE(LEFT(C109,4)),IF(D109="DMY",VALUE(RIGHT(C109,4)),0))</f>
        <v>2025</v>
      </c>
      <c r="F109" s="7">
        <f>IF(D109="ISO",VALUE(MID(C109,6,2)),IF(D109="DMY",VALUE(MID(C109,4,2)),0))</f>
        <v>3</v>
      </c>
      <c r="G109" s="7">
        <f>IF(D109="ISO",VALUE(RIGHT(C109,2)),IF(D109="DMY",VALUE(LEFT(C109,2)),0))</f>
        <v>4</v>
      </c>
      <c r="H109" s="7">
        <f>IF(AND(D109&lt;&gt;"OTHER",F109&gt;=1,F109&lt;=12,G109&gt;=1,G109&lt;=31),IF(AND(MONTH(DATE(E109,F109,G109))=F109,DAY(DATE(E109,F109,G109))=G109),1,0),0)</f>
        <v>1</v>
      </c>
      <c r="I109" s="7">
        <f>IF(H109=1,DATE(E109,F109,G109),"")</f>
        <v>45720.0</v>
      </c>
      <c r="J109" s="7">
        <f>IF(AND(D109="DMY",H109=1),1,0)</f>
        <v>0</v>
      </c>
      <c r="K109" s="7">
        <f>IF(H109=0,1,0)</f>
        <v>0</v>
      </c>
      <c r="L109" s="7">
        <f>IF(TRIM(Raw_Bookings!I109&amp;"")="",1,0)</f>
        <v>0</v>
      </c>
      <c r="M109" s="7">
        <f>IF(L109=1,"",DATEVALUE(LEFT(Raw_Bookings!I109,10))+TIMEVALUE(MID(Raw_Bookings!I109,12,8)))</f>
        <v>45641.58059027778</v>
      </c>
      <c r="N109" s="7">
        <f>IF(AND(L109=0,H109=1),IF(INT(M109)&gt;I109,1,0),0)</f>
        <v>0</v>
      </c>
      <c r="O109" s="7" t="str">
        <f>UPPER(TRIM(Raw_Bookings!F109))</f>
        <v>BEN</v>
      </c>
      <c r="P109" s="7" t="str">
        <f>UPPER(TRIM(Raw_Bookings!G109))</f>
        <v>MUM</v>
      </c>
      <c r="Q109" s="7">
        <f>IF(COUNTIF(Lookup_Stations!$A$2:$A$33,O109)&gt;0,1,0)</f>
        <v>1</v>
      </c>
      <c r="R109" s="7">
        <f>IF(COUNTIF(Lookup_Stations!$A$2:$A$33,P109)&gt;0,1,0)</f>
        <v>1</v>
      </c>
      <c r="S109" s="7">
        <f>IF(OR(AND(Q109=1,NOT(EXACT(Raw_Bookings!F109,O109))),AND(R109=1,NOT(EXACT(Raw_Bookings!G109,P109)))),1,0)</f>
        <v>0</v>
      </c>
      <c r="T109" s="7">
        <f>IF(OR(Q109=0,R109=0),1,0)</f>
        <v>0</v>
      </c>
      <c r="U109" s="7">
        <f>IF(TRIM(Raw_Bookings!E109&amp;"")="",1,0)</f>
        <v>0</v>
      </c>
      <c r="V109" s="7" t="str">
        <f>IF(SUMPRODUCT(--(Lookup_Status!$A$2:$A$13=LOWER(TRIM(Raw_Bookings!K109))))=0,"",INDEX(Lookup_Status!$B$2:$B$13,SUMPRODUCT((Lookup_Status!$A$2:$A$13=LOWER(TRIM(Raw_Bookings!K109)))*(ROW(Lookup_Status!$A$2:$A$13)-1))))</f>
        <v>Cancelled</v>
      </c>
      <c r="W109" s="7">
        <f>IF(AND(V109&lt;&gt;"",NOT(EXACT(Raw_Bookings!K109,V109))),1,0)</f>
        <v>0</v>
      </c>
      <c r="X109" s="7">
        <f>IF(V109="",1,0)</f>
        <v>0</v>
      </c>
      <c r="Y109" s="7">
        <f>IF(TRIM(Raw_Bookings!L109&amp;"")="",1,0)</f>
        <v>0</v>
      </c>
      <c r="Z109" s="7">
        <f>IF(AND(ISTEXT(Raw_Bookings!L109),Y109=0),1,0)</f>
        <v>0</v>
      </c>
      <c r="AA109" s="7">
        <f>IF(Z109=1,IFERROR(VALUE(SUBSTITUTE(SUBSTITUTE(SUBSTITUTE(SUBSTITUTE(SUBSTITUTE(UPPER(Raw_Bookings!L109),"RS.",""),"₹",""),",","")," ",""),"INR","")),""),"")</f>
        <v/>
      </c>
      <c r="AB109" s="7">
        <f>IF(AND(Z109=1,ISNUMBER(AA109)),1,0)</f>
        <v>0</v>
      </c>
      <c r="AC109" s="7">
        <f>IF(B109=1,0,IF(NOT(ISNUMBER(Raw_Bookings!J109)),1,IF(Raw_Bookings!J109&lt;&gt;COUNTIFS(Work_Passengers!$B$2:$B$1336,Raw_Bookings!A109,Work_Passengers!$C$2:$C$1336,0),1,0)))</f>
        <v>0</v>
      </c>
    </row>
    <row r="110" spans="1:29">
      <c r="A110" s="7">
        <f>Raw_Bookings!A110</f>
        <v>1033170</v>
      </c>
      <c r="B110" s="7">
        <f>IF(COUNTIF(Raw_Bookings!$A$2:A110,Raw_Bookings!A110)&gt;1,1,0)</f>
        <v>0</v>
      </c>
      <c r="C110" s="7" t="str">
        <f>Raw_Bookings!D110&amp;""</f>
        <v>2025-02-10</v>
      </c>
      <c r="D110" s="7" t="str">
        <f>IF(AND(LEN(C110)=10,MID(C110,5,1)="-",MID(C110,8,1)="-"),"ISO",IF(AND(LEN(C110)=10,MID(C110,3,1)="-",MID(C110,6,1)="-"),"DMY","OTHER"))</f>
        <v>ISO</v>
      </c>
      <c r="E110" s="7">
        <f>IF(D110="ISO",VALUE(LEFT(C110,4)),IF(D110="DMY",VALUE(RIGHT(C110,4)),0))</f>
        <v>2025</v>
      </c>
      <c r="F110" s="7">
        <f>IF(D110="ISO",VALUE(MID(C110,6,2)),IF(D110="DMY",VALUE(MID(C110,4,2)),0))</f>
        <v>2</v>
      </c>
      <c r="G110" s="7">
        <f>IF(D110="ISO",VALUE(RIGHT(C110,2)),IF(D110="DMY",VALUE(LEFT(C110,2)),0))</f>
        <v>10</v>
      </c>
      <c r="H110" s="7">
        <f>IF(AND(D110&lt;&gt;"OTHER",F110&gt;=1,F110&lt;=12,G110&gt;=1,G110&lt;=31),IF(AND(MONTH(DATE(E110,F110,G110))=F110,DAY(DATE(E110,F110,G110))=G110),1,0),0)</f>
        <v>1</v>
      </c>
      <c r="I110" s="7">
        <f>IF(H110=1,DATE(E110,F110,G110),"")</f>
        <v>45698.0</v>
      </c>
      <c r="J110" s="7">
        <f>IF(AND(D110="DMY",H110=1),1,0)</f>
        <v>0</v>
      </c>
      <c r="K110" s="7">
        <f>IF(H110=0,1,0)</f>
        <v>0</v>
      </c>
      <c r="L110" s="7">
        <f>IF(TRIM(Raw_Bookings!I110&amp;"")="",1,0)</f>
        <v>0</v>
      </c>
      <c r="M110" s="7">
        <f>IF(L110=1,"",DATEVALUE(LEFT(Raw_Bookings!I110,10))+TIMEVALUE(MID(Raw_Bookings!I110,12,8)))</f>
        <v>45642.511400462965</v>
      </c>
      <c r="N110" s="7">
        <f>IF(AND(L110=0,H110=1),IF(INT(M110)&gt;I110,1,0),0)</f>
        <v>0</v>
      </c>
      <c r="O110" s="7" t="str">
        <f>UPPER(TRIM(Raw_Bookings!F110))</f>
        <v>BEN</v>
      </c>
      <c r="P110" s="7" t="str">
        <f>UPPER(TRIM(Raw_Bookings!G110))</f>
        <v>MUM</v>
      </c>
      <c r="Q110" s="7">
        <f>IF(COUNTIF(Lookup_Stations!$A$2:$A$33,O110)&gt;0,1,0)</f>
        <v>1</v>
      </c>
      <c r="R110" s="7">
        <f>IF(COUNTIF(Lookup_Stations!$A$2:$A$33,P110)&gt;0,1,0)</f>
        <v>1</v>
      </c>
      <c r="S110" s="7">
        <f>IF(OR(AND(Q110=1,NOT(EXACT(Raw_Bookings!F110,O110))),AND(R110=1,NOT(EXACT(Raw_Bookings!G110,P110)))),1,0)</f>
        <v>0</v>
      </c>
      <c r="T110" s="7">
        <f>IF(OR(Q110=0,R110=0),1,0)</f>
        <v>0</v>
      </c>
      <c r="U110" s="7">
        <f>IF(TRIM(Raw_Bookings!E110&amp;"")="",1,0)</f>
        <v>0</v>
      </c>
      <c r="V110" s="7" t="str">
        <f>IF(SUMPRODUCT(--(Lookup_Status!$A$2:$A$13=LOWER(TRIM(Raw_Bookings!K110))))=0,"",INDEX(Lookup_Status!$B$2:$B$13,SUMPRODUCT((Lookup_Status!$A$2:$A$13=LOWER(TRIM(Raw_Bookings!K110)))*(ROW(Lookup_Status!$A$2:$A$13)-1))))</f>
        <v>Confirmed</v>
      </c>
      <c r="W110" s="7">
        <f>IF(AND(V110&lt;&gt;"",NOT(EXACT(Raw_Bookings!K110,V110))),1,0)</f>
        <v>0</v>
      </c>
      <c r="X110" s="7">
        <f>IF(V110="",1,0)</f>
        <v>0</v>
      </c>
      <c r="Y110" s="7">
        <f>IF(TRIM(Raw_Bookings!L110&amp;"")="",1,0)</f>
        <v>0</v>
      </c>
      <c r="Z110" s="7">
        <f>IF(AND(ISTEXT(Raw_Bookings!L110),Y110=0),1,0)</f>
        <v>0</v>
      </c>
      <c r="AA110" s="7">
        <f>IF(Z110=1,IFERROR(VALUE(SUBSTITUTE(SUBSTITUTE(SUBSTITUTE(SUBSTITUTE(SUBSTITUTE(UPPER(Raw_Bookings!L110),"RS.",""),"₹",""),",","")," ",""),"INR","")),""),"")</f>
        <v/>
      </c>
      <c r="AB110" s="7">
        <f>IF(AND(Z110=1,ISNUMBER(AA110)),1,0)</f>
        <v>0</v>
      </c>
      <c r="AC110" s="7">
        <f>IF(B110=1,0,IF(NOT(ISNUMBER(Raw_Bookings!J110)),1,IF(Raw_Bookings!J110&lt;&gt;COUNTIFS(Work_Passengers!$B$2:$B$1336,Raw_Bookings!A110,Work_Passengers!$C$2:$C$1336,0),1,0)))</f>
        <v>0</v>
      </c>
    </row>
    <row r="111" spans="1:29">
      <c r="A111" s="7">
        <f>Raw_Bookings!A111</f>
        <v>1033359</v>
      </c>
      <c r="B111" s="7">
        <f>IF(COUNTIF(Raw_Bookings!$A$2:A111,Raw_Bookings!A111)&gt;1,1,0)</f>
        <v>0</v>
      </c>
      <c r="C111" s="7" t="str">
        <f>Raw_Bookings!D111&amp;""</f>
        <v>2025-03-08</v>
      </c>
      <c r="D111" s="7" t="str">
        <f>IF(AND(LEN(C111)=10,MID(C111,5,1)="-",MID(C111,8,1)="-"),"ISO",IF(AND(LEN(C111)=10,MID(C111,3,1)="-",MID(C111,6,1)="-"),"DMY","OTHER"))</f>
        <v>ISO</v>
      </c>
      <c r="E111" s="7">
        <f>IF(D111="ISO",VALUE(LEFT(C111,4)),IF(D111="DMY",VALUE(RIGHT(C111,4)),0))</f>
        <v>2025</v>
      </c>
      <c r="F111" s="7">
        <f>IF(D111="ISO",VALUE(MID(C111,6,2)),IF(D111="DMY",VALUE(MID(C111,4,2)),0))</f>
        <v>3</v>
      </c>
      <c r="G111" s="7">
        <f>IF(D111="ISO",VALUE(RIGHT(C111,2)),IF(D111="DMY",VALUE(LEFT(C111,2)),0))</f>
        <v>8</v>
      </c>
      <c r="H111" s="7">
        <f>IF(AND(D111&lt;&gt;"OTHER",F111&gt;=1,F111&lt;=12,G111&gt;=1,G111&lt;=31),IF(AND(MONTH(DATE(E111,F111,G111))=F111,DAY(DATE(E111,F111,G111))=G111),1,0),0)</f>
        <v>1</v>
      </c>
      <c r="I111" s="7">
        <f>IF(H111=1,DATE(E111,F111,G111),"")</f>
        <v>45724.0</v>
      </c>
      <c r="J111" s="7">
        <f>IF(AND(D111="DMY",H111=1),1,0)</f>
        <v>0</v>
      </c>
      <c r="K111" s="7">
        <f>IF(H111=0,1,0)</f>
        <v>0</v>
      </c>
      <c r="L111" s="7">
        <f>IF(TRIM(Raw_Bookings!I111&amp;"")="",1,0)</f>
        <v>0</v>
      </c>
      <c r="M111" s="7">
        <f>IF(L111=1,"",DATEVALUE(LEFT(Raw_Bookings!I111,10))+TIMEVALUE(MID(Raw_Bookings!I111,12,8)))</f>
        <v>45643.271782407406</v>
      </c>
      <c r="N111" s="7">
        <f>IF(AND(L111=0,H111=1),IF(INT(M111)&gt;I111,1,0),0)</f>
        <v>0</v>
      </c>
      <c r="O111" s="7" t="str">
        <f>UPPER(TRIM(Raw_Bookings!F111))</f>
        <v>PAT</v>
      </c>
      <c r="P111" s="7" t="str">
        <f>UPPER(TRIM(Raw_Bookings!G111))</f>
        <v>VIJ</v>
      </c>
      <c r="Q111" s="7">
        <f>IF(COUNTIF(Lookup_Stations!$A$2:$A$33,O111)&gt;0,1,0)</f>
        <v>1</v>
      </c>
      <c r="R111" s="7">
        <f>IF(COUNTIF(Lookup_Stations!$A$2:$A$33,P111)&gt;0,1,0)</f>
        <v>1</v>
      </c>
      <c r="S111" s="7">
        <f>IF(OR(AND(Q111=1,NOT(EXACT(Raw_Bookings!F111,O111))),AND(R111=1,NOT(EXACT(Raw_Bookings!G111,P111)))),1,0)</f>
        <v>0</v>
      </c>
      <c r="T111" s="7">
        <f>IF(OR(Q111=0,R111=0),1,0)</f>
        <v>0</v>
      </c>
      <c r="U111" s="7">
        <f>IF(TRIM(Raw_Bookings!E111&amp;"")="",1,0)</f>
        <v>0</v>
      </c>
      <c r="V111" s="7" t="str">
        <f>IF(SUMPRODUCT(--(Lookup_Status!$A$2:$A$13=LOWER(TRIM(Raw_Bookings!K111))))=0,"",INDEX(Lookup_Status!$B$2:$B$13,SUMPRODUCT((Lookup_Status!$A$2:$A$13=LOWER(TRIM(Raw_Bookings!K111)))*(ROW(Lookup_Status!$A$2:$A$13)-1))))</f>
        <v>Confirmed</v>
      </c>
      <c r="W111" s="7">
        <f>IF(AND(V111&lt;&gt;"",NOT(EXACT(Raw_Bookings!K111,V111))),1,0)</f>
        <v>0</v>
      </c>
      <c r="X111" s="7">
        <f>IF(V111="",1,0)</f>
        <v>0</v>
      </c>
      <c r="Y111" s="7">
        <f>IF(TRIM(Raw_Bookings!L111&amp;"")="",1,0)</f>
        <v>0</v>
      </c>
      <c r="Z111" s="7">
        <f>IF(AND(ISTEXT(Raw_Bookings!L111),Y111=0),1,0)</f>
        <v>0</v>
      </c>
      <c r="AA111" s="7">
        <f>IF(Z111=1,IFERROR(VALUE(SUBSTITUTE(SUBSTITUTE(SUBSTITUTE(SUBSTITUTE(SUBSTITUTE(UPPER(Raw_Bookings!L111),"RS.",""),"₹",""),",","")," ",""),"INR","")),""),"")</f>
        <v/>
      </c>
      <c r="AB111" s="7">
        <f>IF(AND(Z111=1,ISNUMBER(AA111)),1,0)</f>
        <v>0</v>
      </c>
      <c r="AC111" s="7">
        <f>IF(B111=1,0,IF(NOT(ISNUMBER(Raw_Bookings!J111)),1,IF(Raw_Bookings!J111&lt;&gt;COUNTIFS(Work_Passengers!$B$2:$B$1336,Raw_Bookings!A111,Work_Passengers!$C$2:$C$1336,0),1,0)))</f>
        <v>0</v>
      </c>
    </row>
    <row r="112" spans="1:29">
      <c r="A112" s="7">
        <f>Raw_Bookings!A112</f>
        <v>1033617</v>
      </c>
      <c r="B112" s="7">
        <f>IF(COUNTIF(Raw_Bookings!$A$2:A112,Raw_Bookings!A112)&gt;1,1,0)</f>
        <v>0</v>
      </c>
      <c r="C112" s="7" t="str">
        <f>Raw_Bookings!D112&amp;""</f>
        <v>2025-01-03</v>
      </c>
      <c r="D112" s="7" t="str">
        <f>IF(AND(LEN(C112)=10,MID(C112,5,1)="-",MID(C112,8,1)="-"),"ISO",IF(AND(LEN(C112)=10,MID(C112,3,1)="-",MID(C112,6,1)="-"),"DMY","OTHER"))</f>
        <v>ISO</v>
      </c>
      <c r="E112" s="7">
        <f>IF(D112="ISO",VALUE(LEFT(C112,4)),IF(D112="DMY",VALUE(RIGHT(C112,4)),0))</f>
        <v>2025</v>
      </c>
      <c r="F112" s="7">
        <f>IF(D112="ISO",VALUE(MID(C112,6,2)),IF(D112="DMY",VALUE(MID(C112,4,2)),0))</f>
        <v>1</v>
      </c>
      <c r="G112" s="7">
        <f>IF(D112="ISO",VALUE(RIGHT(C112,2)),IF(D112="DMY",VALUE(LEFT(C112,2)),0))</f>
        <v>3</v>
      </c>
      <c r="H112" s="7">
        <f>IF(AND(D112&lt;&gt;"OTHER",F112&gt;=1,F112&lt;=12,G112&gt;=1,G112&lt;=31),IF(AND(MONTH(DATE(E112,F112,G112))=F112,DAY(DATE(E112,F112,G112))=G112),1,0),0)</f>
        <v>1</v>
      </c>
      <c r="I112" s="7">
        <f>IF(H112=1,DATE(E112,F112,G112),"")</f>
        <v>45660.0</v>
      </c>
      <c r="J112" s="7">
        <f>IF(AND(D112="DMY",H112=1),1,0)</f>
        <v>0</v>
      </c>
      <c r="K112" s="7">
        <f>IF(H112=0,1,0)</f>
        <v>0</v>
      </c>
      <c r="L112" s="7">
        <f>IF(TRIM(Raw_Bookings!I112&amp;"")="",1,0)</f>
        <v>0</v>
      </c>
      <c r="M112" s="7">
        <f>IF(L112=1,"",DATEVALUE(LEFT(Raw_Bookings!I112,10))+TIMEVALUE(MID(Raw_Bookings!I112,12,8)))</f>
        <v>45644.2809837963</v>
      </c>
      <c r="N112" s="7">
        <f>IF(AND(L112=0,H112=1),IF(INT(M112)&gt;I112,1,0),0)</f>
        <v>0</v>
      </c>
      <c r="O112" s="7" t="str">
        <f>UPPER(TRIM(Raw_Bookings!F112))</f>
        <v>JAI</v>
      </c>
      <c r="P112" s="7" t="str">
        <f>UPPER(TRIM(Raw_Bookings!G112))</f>
        <v>BHO</v>
      </c>
      <c r="Q112" s="7">
        <f>IF(COUNTIF(Lookup_Stations!$A$2:$A$33,O112)&gt;0,1,0)</f>
        <v>1</v>
      </c>
      <c r="R112" s="7">
        <f>IF(COUNTIF(Lookup_Stations!$A$2:$A$33,P112)&gt;0,1,0)</f>
        <v>1</v>
      </c>
      <c r="S112" s="7">
        <f>IF(OR(AND(Q112=1,NOT(EXACT(Raw_Bookings!F112,O112))),AND(R112=1,NOT(EXACT(Raw_Bookings!G112,P112)))),1,0)</f>
        <v>0</v>
      </c>
      <c r="T112" s="7">
        <f>IF(OR(Q112=0,R112=0),1,0)</f>
        <v>0</v>
      </c>
      <c r="U112" s="7">
        <f>IF(TRIM(Raw_Bookings!E112&amp;"")="",1,0)</f>
        <v>0</v>
      </c>
      <c r="V112" s="7" t="str">
        <f>IF(SUMPRODUCT(--(Lookup_Status!$A$2:$A$13=LOWER(TRIM(Raw_Bookings!K112))))=0,"",INDEX(Lookup_Status!$B$2:$B$13,SUMPRODUCT((Lookup_Status!$A$2:$A$13=LOWER(TRIM(Raw_Bookings!K112)))*(ROW(Lookup_Status!$A$2:$A$13)-1))))</f>
        <v>Confirmed</v>
      </c>
      <c r="W112" s="7">
        <f>IF(AND(V112&lt;&gt;"",NOT(EXACT(Raw_Bookings!K112,V112))),1,0)</f>
        <v>0</v>
      </c>
      <c r="X112" s="7">
        <f>IF(V112="",1,0)</f>
        <v>0</v>
      </c>
      <c r="Y112" s="7">
        <f>IF(TRIM(Raw_Bookings!L112&amp;"")="",1,0)</f>
        <v>0</v>
      </c>
      <c r="Z112" s="7">
        <f>IF(AND(ISTEXT(Raw_Bookings!L112),Y112=0),1,0)</f>
        <v>0</v>
      </c>
      <c r="AA112" s="7">
        <f>IF(Z112=1,IFERROR(VALUE(SUBSTITUTE(SUBSTITUTE(SUBSTITUTE(SUBSTITUTE(SUBSTITUTE(UPPER(Raw_Bookings!L112),"RS.",""),"₹",""),",","")," ",""),"INR","")),""),"")</f>
        <v/>
      </c>
      <c r="AB112" s="7">
        <f>IF(AND(Z112=1,ISNUMBER(AA112)),1,0)</f>
        <v>0</v>
      </c>
      <c r="AC112" s="7">
        <f>IF(B112=1,0,IF(NOT(ISNUMBER(Raw_Bookings!J112)),1,IF(Raw_Bookings!J112&lt;&gt;COUNTIFS(Work_Passengers!$B$2:$B$1336,Raw_Bookings!A112,Work_Passengers!$C$2:$C$1336,0),1,0)))</f>
        <v>0</v>
      </c>
    </row>
    <row r="113" spans="1:29">
      <c r="A113" s="7">
        <f>Raw_Bookings!A113</f>
        <v>1033662</v>
      </c>
      <c r="B113" s="7">
        <f>IF(COUNTIF(Raw_Bookings!$A$2:A113,Raw_Bookings!A113)&gt;1,1,0)</f>
        <v>0</v>
      </c>
      <c r="C113" s="7" t="str">
        <f>Raw_Bookings!D113&amp;""</f>
        <v>2025-04-04</v>
      </c>
      <c r="D113" s="7" t="str">
        <f>IF(AND(LEN(C113)=10,MID(C113,5,1)="-",MID(C113,8,1)="-"),"ISO",IF(AND(LEN(C113)=10,MID(C113,3,1)="-",MID(C113,6,1)="-"),"DMY","OTHER"))</f>
        <v>ISO</v>
      </c>
      <c r="E113" s="7">
        <f>IF(D113="ISO",VALUE(LEFT(C113,4)),IF(D113="DMY",VALUE(RIGHT(C113,4)),0))</f>
        <v>2025</v>
      </c>
      <c r="F113" s="7">
        <f>IF(D113="ISO",VALUE(MID(C113,6,2)),IF(D113="DMY",VALUE(MID(C113,4,2)),0))</f>
        <v>4</v>
      </c>
      <c r="G113" s="7">
        <f>IF(D113="ISO",VALUE(RIGHT(C113,2)),IF(D113="DMY",VALUE(LEFT(C113,2)),0))</f>
        <v>4</v>
      </c>
      <c r="H113" s="7">
        <f>IF(AND(D113&lt;&gt;"OTHER",F113&gt;=1,F113&lt;=12,G113&gt;=1,G113&lt;=31),IF(AND(MONTH(DATE(E113,F113,G113))=F113,DAY(DATE(E113,F113,G113))=G113),1,0),0)</f>
        <v>1</v>
      </c>
      <c r="I113" s="7">
        <f>IF(H113=1,DATE(E113,F113,G113),"")</f>
        <v>45751.0</v>
      </c>
      <c r="J113" s="7">
        <f>IF(AND(D113="DMY",H113=1),1,0)</f>
        <v>0</v>
      </c>
      <c r="K113" s="7">
        <f>IF(H113=0,1,0)</f>
        <v>0</v>
      </c>
      <c r="L113" s="7">
        <f>IF(TRIM(Raw_Bookings!I113&amp;"")="",1,0)</f>
        <v>0</v>
      </c>
      <c r="M113" s="7">
        <f>IF(L113=1,"",DATEVALUE(LEFT(Raw_Bookings!I113,10))+TIMEVALUE(MID(Raw_Bookings!I113,12,8)))</f>
        <v>45644.42239583333</v>
      </c>
      <c r="N113" s="7">
        <f>IF(AND(L113=0,H113=1),IF(INT(M113)&gt;I113,1,0),0)</f>
        <v>0</v>
      </c>
      <c r="O113" s="7" t="str">
        <f>UPPER(TRIM(Raw_Bookings!F113))</f>
        <v>VIJ</v>
      </c>
      <c r="P113" s="7" t="str">
        <f>UPPER(TRIM(Raw_Bookings!G113))</f>
        <v>PAT</v>
      </c>
      <c r="Q113" s="7">
        <f>IF(COUNTIF(Lookup_Stations!$A$2:$A$33,O113)&gt;0,1,0)</f>
        <v>1</v>
      </c>
      <c r="R113" s="7">
        <f>IF(COUNTIF(Lookup_Stations!$A$2:$A$33,P113)&gt;0,1,0)</f>
        <v>1</v>
      </c>
      <c r="S113" s="7">
        <f>IF(OR(AND(Q113=1,NOT(EXACT(Raw_Bookings!F113,O113))),AND(R113=1,NOT(EXACT(Raw_Bookings!G113,P113)))),1,0)</f>
        <v>0</v>
      </c>
      <c r="T113" s="7">
        <f>IF(OR(Q113=0,R113=0),1,0)</f>
        <v>0</v>
      </c>
      <c r="U113" s="7">
        <f>IF(TRIM(Raw_Bookings!E113&amp;"")="",1,0)</f>
        <v>0</v>
      </c>
      <c r="V113" s="7" t="str">
        <f>IF(SUMPRODUCT(--(Lookup_Status!$A$2:$A$13=LOWER(TRIM(Raw_Bookings!K113))))=0,"",INDEX(Lookup_Status!$B$2:$B$13,SUMPRODUCT((Lookup_Status!$A$2:$A$13=LOWER(TRIM(Raw_Bookings!K113)))*(ROW(Lookup_Status!$A$2:$A$13)-1))))</f>
        <v>Confirmed</v>
      </c>
      <c r="W113" s="7">
        <f>IF(AND(V113&lt;&gt;"",NOT(EXACT(Raw_Bookings!K113,V113))),1,0)</f>
        <v>0</v>
      </c>
      <c r="X113" s="7">
        <f>IF(V113="",1,0)</f>
        <v>0</v>
      </c>
      <c r="Y113" s="7">
        <f>IF(TRIM(Raw_Bookings!L113&amp;"")="",1,0)</f>
        <v>0</v>
      </c>
      <c r="Z113" s="7">
        <f>IF(AND(ISTEXT(Raw_Bookings!L113),Y113=0),1,0)</f>
        <v>0</v>
      </c>
      <c r="AA113" s="7">
        <f>IF(Z113=1,IFERROR(VALUE(SUBSTITUTE(SUBSTITUTE(SUBSTITUTE(SUBSTITUTE(SUBSTITUTE(UPPER(Raw_Bookings!L113),"RS.",""),"₹",""),",","")," ",""),"INR","")),""),"")</f>
        <v/>
      </c>
      <c r="AB113" s="7">
        <f>IF(AND(Z113=1,ISNUMBER(AA113)),1,0)</f>
        <v>0</v>
      </c>
      <c r="AC113" s="7">
        <f>IF(B113=1,0,IF(NOT(ISNUMBER(Raw_Bookings!J113)),1,IF(Raw_Bookings!J113&lt;&gt;COUNTIFS(Work_Passengers!$B$2:$B$1336,Raw_Bookings!A113,Work_Passengers!$C$2:$C$1336,0),1,0)))</f>
        <v>0</v>
      </c>
    </row>
    <row r="114" spans="1:29">
      <c r="A114" s="7">
        <f>Raw_Bookings!A114</f>
        <v>1033852</v>
      </c>
      <c r="B114" s="7">
        <f>IF(COUNTIF(Raw_Bookings!$A$2:A114,Raw_Bookings!A114)&gt;1,1,0)</f>
        <v>0</v>
      </c>
      <c r="C114" s="7" t="str">
        <f>Raw_Bookings!D114&amp;""</f>
        <v>2024-12-26</v>
      </c>
      <c r="D114" s="7" t="str">
        <f>IF(AND(LEN(C114)=10,MID(C114,5,1)="-",MID(C114,8,1)="-"),"ISO",IF(AND(LEN(C114)=10,MID(C114,3,1)="-",MID(C114,6,1)="-"),"DMY","OTHER"))</f>
        <v>ISO</v>
      </c>
      <c r="E114" s="7">
        <f>IF(D114="ISO",VALUE(LEFT(C114,4)),IF(D114="DMY",VALUE(RIGHT(C114,4)),0))</f>
        <v>2024</v>
      </c>
      <c r="F114" s="7">
        <f>IF(D114="ISO",VALUE(MID(C114,6,2)),IF(D114="DMY",VALUE(MID(C114,4,2)),0))</f>
        <v>12</v>
      </c>
      <c r="G114" s="7">
        <f>IF(D114="ISO",VALUE(RIGHT(C114,2)),IF(D114="DMY",VALUE(LEFT(C114,2)),0))</f>
        <v>26</v>
      </c>
      <c r="H114" s="7">
        <f>IF(AND(D114&lt;&gt;"OTHER",F114&gt;=1,F114&lt;=12,G114&gt;=1,G114&lt;=31),IF(AND(MONTH(DATE(E114,F114,G114))=F114,DAY(DATE(E114,F114,G114))=G114),1,0),0)</f>
        <v>1</v>
      </c>
      <c r="I114" s="7">
        <f>IF(H114=1,DATE(E114,F114,G114),"")</f>
        <v>45652.0</v>
      </c>
      <c r="J114" s="7">
        <f>IF(AND(D114="DMY",H114=1),1,0)</f>
        <v>0</v>
      </c>
      <c r="K114" s="7">
        <f>IF(H114=0,1,0)</f>
        <v>0</v>
      </c>
      <c r="L114" s="7">
        <f>IF(TRIM(Raw_Bookings!I114&amp;"")="",1,0)</f>
        <v>0</v>
      </c>
      <c r="M114" s="7">
        <f>IF(L114=1,"",DATEVALUE(LEFT(Raw_Bookings!I114,10))+TIMEVALUE(MID(Raw_Bookings!I114,12,8)))</f>
        <v>45644.8930787037</v>
      </c>
      <c r="N114" s="7">
        <f>IF(AND(L114=0,H114=1),IF(INT(M114)&gt;I114,1,0),0)</f>
        <v>0</v>
      </c>
      <c r="O114" s="7" t="str">
        <f>UPPER(TRIM(Raw_Bookings!F114))</f>
        <v>JOD</v>
      </c>
      <c r="P114" s="7" t="str">
        <f>UPPER(TRIM(Raw_Bookings!G114))</f>
        <v>BEN</v>
      </c>
      <c r="Q114" s="7">
        <f>IF(COUNTIF(Lookup_Stations!$A$2:$A$33,O114)&gt;0,1,0)</f>
        <v>1</v>
      </c>
      <c r="R114" s="7">
        <f>IF(COUNTIF(Lookup_Stations!$A$2:$A$33,P114)&gt;0,1,0)</f>
        <v>1</v>
      </c>
      <c r="S114" s="7">
        <f>IF(OR(AND(Q114=1,NOT(EXACT(Raw_Bookings!F114,O114))),AND(R114=1,NOT(EXACT(Raw_Bookings!G114,P114)))),1,0)</f>
        <v>0</v>
      </c>
      <c r="T114" s="7">
        <f>IF(OR(Q114=0,R114=0),1,0)</f>
        <v>0</v>
      </c>
      <c r="U114" s="7">
        <f>IF(TRIM(Raw_Bookings!E114&amp;"")="",1,0)</f>
        <v>0</v>
      </c>
      <c r="V114" s="7" t="str">
        <f>IF(SUMPRODUCT(--(Lookup_Status!$A$2:$A$13=LOWER(TRIM(Raw_Bookings!K114))))=0,"",INDEX(Lookup_Status!$B$2:$B$13,SUMPRODUCT((Lookup_Status!$A$2:$A$13=LOWER(TRIM(Raw_Bookings!K114)))*(ROW(Lookup_Status!$A$2:$A$13)-1))))</f>
        <v>RAC</v>
      </c>
      <c r="W114" s="7">
        <f>IF(AND(V114&lt;&gt;"",NOT(EXACT(Raw_Bookings!K114,V114))),1,0)</f>
        <v>0</v>
      </c>
      <c r="X114" s="7">
        <f>IF(V114="",1,0)</f>
        <v>0</v>
      </c>
      <c r="Y114" s="7">
        <f>IF(TRIM(Raw_Bookings!L114&amp;"")="",1,0)</f>
        <v>0</v>
      </c>
      <c r="Z114" s="7">
        <f>IF(AND(ISTEXT(Raw_Bookings!L114),Y114=0),1,0)</f>
        <v>0</v>
      </c>
      <c r="AA114" s="7">
        <f>IF(Z114=1,IFERROR(VALUE(SUBSTITUTE(SUBSTITUTE(SUBSTITUTE(SUBSTITUTE(SUBSTITUTE(UPPER(Raw_Bookings!L114),"RS.",""),"₹",""),",","")," ",""),"INR","")),""),"")</f>
        <v/>
      </c>
      <c r="AB114" s="7">
        <f>IF(AND(Z114=1,ISNUMBER(AA114)),1,0)</f>
        <v>0</v>
      </c>
      <c r="AC114" s="7">
        <f>IF(B114=1,0,IF(NOT(ISNUMBER(Raw_Bookings!J114)),1,IF(Raw_Bookings!J114&lt;&gt;COUNTIFS(Work_Passengers!$B$2:$B$1336,Raw_Bookings!A114,Work_Passengers!$C$2:$C$1336,0),1,0)))</f>
        <v>0</v>
      </c>
    </row>
    <row r="115" spans="1:29">
      <c r="A115" s="7">
        <f>Raw_Bookings!A115</f>
        <v>1033943</v>
      </c>
      <c r="B115" s="7">
        <f>IF(COUNTIF(Raw_Bookings!$A$2:A115,Raw_Bookings!A115)&gt;1,1,0)</f>
        <v>0</v>
      </c>
      <c r="C115" s="7" t="str">
        <f>Raw_Bookings!D115&amp;""</f>
        <v>2024-12-26</v>
      </c>
      <c r="D115" s="7" t="str">
        <f>IF(AND(LEN(C115)=10,MID(C115,5,1)="-",MID(C115,8,1)="-"),"ISO",IF(AND(LEN(C115)=10,MID(C115,3,1)="-",MID(C115,6,1)="-"),"DMY","OTHER"))</f>
        <v>ISO</v>
      </c>
      <c r="E115" s="7">
        <f>IF(D115="ISO",VALUE(LEFT(C115,4)),IF(D115="DMY",VALUE(RIGHT(C115,4)),0))</f>
        <v>2024</v>
      </c>
      <c r="F115" s="7">
        <f>IF(D115="ISO",VALUE(MID(C115,6,2)),IF(D115="DMY",VALUE(MID(C115,4,2)),0))</f>
        <v>12</v>
      </c>
      <c r="G115" s="7">
        <f>IF(D115="ISO",VALUE(RIGHT(C115,2)),IF(D115="DMY",VALUE(LEFT(C115,2)),0))</f>
        <v>26</v>
      </c>
      <c r="H115" s="7">
        <f>IF(AND(D115&lt;&gt;"OTHER",F115&gt;=1,F115&lt;=12,G115&gt;=1,G115&lt;=31),IF(AND(MONTH(DATE(E115,F115,G115))=F115,DAY(DATE(E115,F115,G115))=G115),1,0),0)</f>
        <v>1</v>
      </c>
      <c r="I115" s="7">
        <f>IF(H115=1,DATE(E115,F115,G115),"")</f>
        <v>45652.0</v>
      </c>
      <c r="J115" s="7">
        <f>IF(AND(D115="DMY",H115=1),1,0)</f>
        <v>0</v>
      </c>
      <c r="K115" s="7">
        <f>IF(H115=0,1,0)</f>
        <v>0</v>
      </c>
      <c r="L115" s="7">
        <f>IF(TRIM(Raw_Bookings!I115&amp;"")="",1,0)</f>
        <v>0</v>
      </c>
      <c r="M115" s="7">
        <f>IF(L115=1,"",DATEVALUE(LEFT(Raw_Bookings!I115,10))+TIMEVALUE(MID(Raw_Bookings!I115,12,8)))</f>
        <v>45645.44318287037</v>
      </c>
      <c r="N115" s="7">
        <f>IF(AND(L115=0,H115=1),IF(INT(M115)&gt;I115,1,0),0)</f>
        <v>0</v>
      </c>
      <c r="O115" s="7" t="str">
        <f>UPPER(TRIM(Raw_Bookings!F115))</f>
        <v>JOD</v>
      </c>
      <c r="P115" s="7" t="str">
        <f>UPPER(TRIM(Raw_Bookings!G115))</f>
        <v>BEN</v>
      </c>
      <c r="Q115" s="7">
        <f>IF(COUNTIF(Lookup_Stations!$A$2:$A$33,O115)&gt;0,1,0)</f>
        <v>1</v>
      </c>
      <c r="R115" s="7">
        <f>IF(COUNTIF(Lookup_Stations!$A$2:$A$33,P115)&gt;0,1,0)</f>
        <v>1</v>
      </c>
      <c r="S115" s="7">
        <f>IF(OR(AND(Q115=1,NOT(EXACT(Raw_Bookings!F115,O115))),AND(R115=1,NOT(EXACT(Raw_Bookings!G115,P115)))),1,0)</f>
        <v>0</v>
      </c>
      <c r="T115" s="7">
        <f>IF(OR(Q115=0,R115=0),1,0)</f>
        <v>0</v>
      </c>
      <c r="U115" s="7">
        <f>IF(TRIM(Raw_Bookings!E115&amp;"")="",1,0)</f>
        <v>0</v>
      </c>
      <c r="V115" s="7" t="str">
        <f>IF(SUMPRODUCT(--(Lookup_Status!$A$2:$A$13=LOWER(TRIM(Raw_Bookings!K115))))=0,"",INDEX(Lookup_Status!$B$2:$B$13,SUMPRODUCT((Lookup_Status!$A$2:$A$13=LOWER(TRIM(Raw_Bookings!K115)))*(ROW(Lookup_Status!$A$2:$A$13)-1))))</f>
        <v>Cancelled</v>
      </c>
      <c r="W115" s="7">
        <f>IF(AND(V115&lt;&gt;"",NOT(EXACT(Raw_Bookings!K115,V115))),1,0)</f>
        <v>0</v>
      </c>
      <c r="X115" s="7">
        <f>IF(V115="",1,0)</f>
        <v>0</v>
      </c>
      <c r="Y115" s="7">
        <f>IF(TRIM(Raw_Bookings!L115&amp;"")="",1,0)</f>
        <v>0</v>
      </c>
      <c r="Z115" s="7">
        <f>IF(AND(ISTEXT(Raw_Bookings!L115),Y115=0),1,0)</f>
        <v>0</v>
      </c>
      <c r="AA115" s="7">
        <f>IF(Z115=1,IFERROR(VALUE(SUBSTITUTE(SUBSTITUTE(SUBSTITUTE(SUBSTITUTE(SUBSTITUTE(UPPER(Raw_Bookings!L115),"RS.",""),"₹",""),",","")," ",""),"INR","")),""),"")</f>
        <v/>
      </c>
      <c r="AB115" s="7">
        <f>IF(AND(Z115=1,ISNUMBER(AA115)),1,0)</f>
        <v>0</v>
      </c>
      <c r="AC115" s="7">
        <f>IF(B115=1,0,IF(NOT(ISNUMBER(Raw_Bookings!J115)),1,IF(Raw_Bookings!J115&lt;&gt;COUNTIFS(Work_Passengers!$B$2:$B$1336,Raw_Bookings!A115,Work_Passengers!$C$2:$C$1336,0),1,0)))</f>
        <v>0</v>
      </c>
    </row>
    <row r="116" spans="1:29">
      <c r="A116" s="7">
        <f>Raw_Bookings!A116</f>
        <v>1033952</v>
      </c>
      <c r="B116" s="7">
        <f>IF(COUNTIF(Raw_Bookings!$A$2:A116,Raw_Bookings!A116)&gt;1,1,0)</f>
        <v>0</v>
      </c>
      <c r="C116" s="7" t="str">
        <f>Raw_Bookings!D116&amp;""</f>
        <v>2025-01-28</v>
      </c>
      <c r="D116" s="7" t="str">
        <f>IF(AND(LEN(C116)=10,MID(C116,5,1)="-",MID(C116,8,1)="-"),"ISO",IF(AND(LEN(C116)=10,MID(C116,3,1)="-",MID(C116,6,1)="-"),"DMY","OTHER"))</f>
        <v>ISO</v>
      </c>
      <c r="E116" s="7">
        <f>IF(D116="ISO",VALUE(LEFT(C116,4)),IF(D116="DMY",VALUE(RIGHT(C116,4)),0))</f>
        <v>2025</v>
      </c>
      <c r="F116" s="7">
        <f>IF(D116="ISO",VALUE(MID(C116,6,2)),IF(D116="DMY",VALUE(MID(C116,4,2)),0))</f>
        <v>1</v>
      </c>
      <c r="G116" s="7">
        <f>IF(D116="ISO",VALUE(RIGHT(C116,2)),IF(D116="DMY",VALUE(LEFT(C116,2)),0))</f>
        <v>28</v>
      </c>
      <c r="H116" s="7">
        <f>IF(AND(D116&lt;&gt;"OTHER",F116&gt;=1,F116&lt;=12,G116&gt;=1,G116&lt;=31),IF(AND(MONTH(DATE(E116,F116,G116))=F116,DAY(DATE(E116,F116,G116))=G116),1,0),0)</f>
        <v>1</v>
      </c>
      <c r="I116" s="7">
        <f>IF(H116=1,DATE(E116,F116,G116),"")</f>
        <v>45685.0</v>
      </c>
      <c r="J116" s="7">
        <f>IF(AND(D116="DMY",H116=1),1,0)</f>
        <v>0</v>
      </c>
      <c r="K116" s="7">
        <f>IF(H116=0,1,0)</f>
        <v>0</v>
      </c>
      <c r="L116" s="7">
        <f>IF(TRIM(Raw_Bookings!I116&amp;"")="",1,0)</f>
        <v>0</v>
      </c>
      <c r="M116" s="7">
        <f>IF(L116=1,"",DATEVALUE(LEFT(Raw_Bookings!I116,10))+TIMEVALUE(MID(Raw_Bookings!I116,12,8)))</f>
        <v>45645.46917824074</v>
      </c>
      <c r="N116" s="7">
        <f>IF(AND(L116=0,H116=1),IF(INT(M116)&gt;I116,1,0),0)</f>
        <v>0</v>
      </c>
      <c r="O116" s="7" t="str">
        <f>UPPER(TRIM(Raw_Bookings!F116))</f>
        <v>MAU</v>
      </c>
      <c r="P116" s="7" t="str">
        <f>UPPER(TRIM(Raw_Bookings!G116))</f>
        <v>DEL</v>
      </c>
      <c r="Q116" s="7">
        <f>IF(COUNTIF(Lookup_Stations!$A$2:$A$33,O116)&gt;0,1,0)</f>
        <v>1</v>
      </c>
      <c r="R116" s="7">
        <f>IF(COUNTIF(Lookup_Stations!$A$2:$A$33,P116)&gt;0,1,0)</f>
        <v>1</v>
      </c>
      <c r="S116" s="7">
        <f>IF(OR(AND(Q116=1,NOT(EXACT(Raw_Bookings!F116,O116))),AND(R116=1,NOT(EXACT(Raw_Bookings!G116,P116)))),1,0)</f>
        <v>0</v>
      </c>
      <c r="T116" s="7">
        <f>IF(OR(Q116=0,R116=0),1,0)</f>
        <v>0</v>
      </c>
      <c r="U116" s="7">
        <f>IF(TRIM(Raw_Bookings!E116&amp;"")="",1,0)</f>
        <v>0</v>
      </c>
      <c r="V116" s="7" t="str">
        <f>IF(SUMPRODUCT(--(Lookup_Status!$A$2:$A$13=LOWER(TRIM(Raw_Bookings!K116))))=0,"",INDEX(Lookup_Status!$B$2:$B$13,SUMPRODUCT((Lookup_Status!$A$2:$A$13=LOWER(TRIM(Raw_Bookings!K116)))*(ROW(Lookup_Status!$A$2:$A$13)-1))))</f>
        <v>Confirmed</v>
      </c>
      <c r="W116" s="7">
        <f>IF(AND(V116&lt;&gt;"",NOT(EXACT(Raw_Bookings!K116,V116))),1,0)</f>
        <v>0</v>
      </c>
      <c r="X116" s="7">
        <f>IF(V116="",1,0)</f>
        <v>0</v>
      </c>
      <c r="Y116" s="7">
        <f>IF(TRIM(Raw_Bookings!L116&amp;"")="",1,0)</f>
        <v>0</v>
      </c>
      <c r="Z116" s="7">
        <f>IF(AND(ISTEXT(Raw_Bookings!L116),Y116=0),1,0)</f>
        <v>0</v>
      </c>
      <c r="AA116" s="7">
        <f>IF(Z116=1,IFERROR(VALUE(SUBSTITUTE(SUBSTITUTE(SUBSTITUTE(SUBSTITUTE(SUBSTITUTE(UPPER(Raw_Bookings!L116),"RS.",""),"₹",""),",","")," ",""),"INR","")),""),"")</f>
        <v/>
      </c>
      <c r="AB116" s="7">
        <f>IF(AND(Z116=1,ISNUMBER(AA116)),1,0)</f>
        <v>0</v>
      </c>
      <c r="AC116" s="7">
        <f>IF(B116=1,0,IF(NOT(ISNUMBER(Raw_Bookings!J116)),1,IF(Raw_Bookings!J116&lt;&gt;COUNTIFS(Work_Passengers!$B$2:$B$1336,Raw_Bookings!A116,Work_Passengers!$C$2:$C$1336,0),1,0)))</f>
        <v>0</v>
      </c>
    </row>
    <row r="117" spans="1:29">
      <c r="A117" s="7">
        <f>Raw_Bookings!A117</f>
        <v>1034717</v>
      </c>
      <c r="B117" s="7">
        <f>IF(COUNTIF(Raw_Bookings!$A$2:A117,Raw_Bookings!A117)&gt;1,1,0)</f>
        <v>0</v>
      </c>
      <c r="C117" s="7" t="str">
        <f>Raw_Bookings!D117&amp;""</f>
        <v>2025-02-19</v>
      </c>
      <c r="D117" s="7" t="str">
        <f>IF(AND(LEN(C117)=10,MID(C117,5,1)="-",MID(C117,8,1)="-"),"ISO",IF(AND(LEN(C117)=10,MID(C117,3,1)="-",MID(C117,6,1)="-"),"DMY","OTHER"))</f>
        <v>ISO</v>
      </c>
      <c r="E117" s="7">
        <f>IF(D117="ISO",VALUE(LEFT(C117,4)),IF(D117="DMY",VALUE(RIGHT(C117,4)),0))</f>
        <v>2025</v>
      </c>
      <c r="F117" s="7">
        <f>IF(D117="ISO",VALUE(MID(C117,6,2)),IF(D117="DMY",VALUE(MID(C117,4,2)),0))</f>
        <v>2</v>
      </c>
      <c r="G117" s="7">
        <f>IF(D117="ISO",VALUE(RIGHT(C117,2)),IF(D117="DMY",VALUE(LEFT(C117,2)),0))</f>
        <v>19</v>
      </c>
      <c r="H117" s="7">
        <f>IF(AND(D117&lt;&gt;"OTHER",F117&gt;=1,F117&lt;=12,G117&gt;=1,G117&lt;=31),IF(AND(MONTH(DATE(E117,F117,G117))=F117,DAY(DATE(E117,F117,G117))=G117),1,0),0)</f>
        <v>1</v>
      </c>
      <c r="I117" s="7">
        <f>IF(H117=1,DATE(E117,F117,G117),"")</f>
        <v>45707.0</v>
      </c>
      <c r="J117" s="7">
        <f>IF(AND(D117="DMY",H117=1),1,0)</f>
        <v>0</v>
      </c>
      <c r="K117" s="7">
        <f>IF(H117=0,1,0)</f>
        <v>0</v>
      </c>
      <c r="L117" s="7">
        <f>IF(TRIM(Raw_Bookings!I117&amp;"")="",1,0)</f>
        <v>0</v>
      </c>
      <c r="M117" s="7">
        <f>IF(L117=1,"",DATEVALUE(LEFT(Raw_Bookings!I117,10))+TIMEVALUE(MID(Raw_Bookings!I117,12,8)))</f>
        <v>45648.49141203704</v>
      </c>
      <c r="N117" s="7">
        <f>IF(AND(L117=0,H117=1),IF(INT(M117)&gt;I117,1,0),0)</f>
        <v>0</v>
      </c>
      <c r="O117" s="7" t="str">
        <f>UPPER(TRIM(Raw_Bookings!F117))</f>
        <v>HYD</v>
      </c>
      <c r="P117" s="7" t="str">
        <f>UPPER(TRIM(Raw_Bookings!G117))</f>
        <v>KOL</v>
      </c>
      <c r="Q117" s="7">
        <f>IF(COUNTIF(Lookup_Stations!$A$2:$A$33,O117)&gt;0,1,0)</f>
        <v>1</v>
      </c>
      <c r="R117" s="7">
        <f>IF(COUNTIF(Lookup_Stations!$A$2:$A$33,P117)&gt;0,1,0)</f>
        <v>1</v>
      </c>
      <c r="S117" s="7">
        <f>IF(OR(AND(Q117=1,NOT(EXACT(Raw_Bookings!F117,O117))),AND(R117=1,NOT(EXACT(Raw_Bookings!G117,P117)))),1,0)</f>
        <v>0</v>
      </c>
      <c r="T117" s="7">
        <f>IF(OR(Q117=0,R117=0),1,0)</f>
        <v>0</v>
      </c>
      <c r="U117" s="7">
        <f>IF(TRIM(Raw_Bookings!E117&amp;"")="",1,0)</f>
        <v>0</v>
      </c>
      <c r="V117" s="7" t="str">
        <f>IF(SUMPRODUCT(--(Lookup_Status!$A$2:$A$13=LOWER(TRIM(Raw_Bookings!K117))))=0,"",INDEX(Lookup_Status!$B$2:$B$13,SUMPRODUCT((Lookup_Status!$A$2:$A$13=LOWER(TRIM(Raw_Bookings!K117)))*(ROW(Lookup_Status!$A$2:$A$13)-1))))</f>
        <v>Confirmed</v>
      </c>
      <c r="W117" s="7">
        <f>IF(AND(V117&lt;&gt;"",NOT(EXACT(Raw_Bookings!K117,V117))),1,0)</f>
        <v>0</v>
      </c>
      <c r="X117" s="7">
        <f>IF(V117="",1,0)</f>
        <v>0</v>
      </c>
      <c r="Y117" s="7">
        <f>IF(TRIM(Raw_Bookings!L117&amp;"")="",1,0)</f>
        <v>0</v>
      </c>
      <c r="Z117" s="7">
        <f>IF(AND(ISTEXT(Raw_Bookings!L117),Y117=0),1,0)</f>
        <v>0</v>
      </c>
      <c r="AA117" s="7">
        <f>IF(Z117=1,IFERROR(VALUE(SUBSTITUTE(SUBSTITUTE(SUBSTITUTE(SUBSTITUTE(SUBSTITUTE(UPPER(Raw_Bookings!L117),"RS.",""),"₹",""),",","")," ",""),"INR","")),""),"")</f>
        <v/>
      </c>
      <c r="AB117" s="7">
        <f>IF(AND(Z117=1,ISNUMBER(AA117)),1,0)</f>
        <v>0</v>
      </c>
      <c r="AC117" s="7">
        <f>IF(B117=1,0,IF(NOT(ISNUMBER(Raw_Bookings!J117)),1,IF(Raw_Bookings!J117&lt;&gt;COUNTIFS(Work_Passengers!$B$2:$B$1336,Raw_Bookings!A117,Work_Passengers!$C$2:$C$1336,0),1,0)))</f>
        <v>0</v>
      </c>
    </row>
    <row r="118" spans="1:29">
      <c r="A118" s="7">
        <f>Raw_Bookings!A118</f>
        <v>1035233</v>
      </c>
      <c r="B118" s="7">
        <f>IF(COUNTIF(Raw_Bookings!$A$2:A118,Raw_Bookings!A118)&gt;1,1,0)</f>
        <v>0</v>
      </c>
      <c r="C118" s="7" t="str">
        <f>Raw_Bookings!D118&amp;""</f>
        <v>2025-01-20</v>
      </c>
      <c r="D118" s="7" t="str">
        <f>IF(AND(LEN(C118)=10,MID(C118,5,1)="-",MID(C118,8,1)="-"),"ISO",IF(AND(LEN(C118)=10,MID(C118,3,1)="-",MID(C118,6,1)="-"),"DMY","OTHER"))</f>
        <v>ISO</v>
      </c>
      <c r="E118" s="7">
        <f>IF(D118="ISO",VALUE(LEFT(C118,4)),IF(D118="DMY",VALUE(RIGHT(C118,4)),0))</f>
        <v>2025</v>
      </c>
      <c r="F118" s="7">
        <f>IF(D118="ISO",VALUE(MID(C118,6,2)),IF(D118="DMY",VALUE(MID(C118,4,2)),0))</f>
        <v>1</v>
      </c>
      <c r="G118" s="7">
        <f>IF(D118="ISO",VALUE(RIGHT(C118,2)),IF(D118="DMY",VALUE(LEFT(C118,2)),0))</f>
        <v>20</v>
      </c>
      <c r="H118" s="7">
        <f>IF(AND(D118&lt;&gt;"OTHER",F118&gt;=1,F118&lt;=12,G118&gt;=1,G118&lt;=31),IF(AND(MONTH(DATE(E118,F118,G118))=F118,DAY(DATE(E118,F118,G118))=G118),1,0),0)</f>
        <v>1</v>
      </c>
      <c r="I118" s="7">
        <f>IF(H118=1,DATE(E118,F118,G118),"")</f>
        <v>45677.0</v>
      </c>
      <c r="J118" s="7">
        <f>IF(AND(D118="DMY",H118=1),1,0)</f>
        <v>0</v>
      </c>
      <c r="K118" s="7">
        <f>IF(H118=0,1,0)</f>
        <v>0</v>
      </c>
      <c r="L118" s="7">
        <f>IF(TRIM(Raw_Bookings!I118&amp;"")="",1,0)</f>
        <v>0</v>
      </c>
      <c r="M118" s="7">
        <f>IF(L118=1,"",DATEVALUE(LEFT(Raw_Bookings!I118,10))+TIMEVALUE(MID(Raw_Bookings!I118,12,8)))</f>
        <v>45650.351018518515</v>
      </c>
      <c r="N118" s="7">
        <f>IF(AND(L118=0,H118=1),IF(INT(M118)&gt;I118,1,0),0)</f>
        <v>0</v>
      </c>
      <c r="O118" s="7" t="str">
        <f>UPPER(TRIM(Raw_Bookings!F118))</f>
        <v>BEN</v>
      </c>
      <c r="P118" s="7" t="str">
        <f>UPPER(TRIM(Raw_Bookings!G118))</f>
        <v>MUM</v>
      </c>
      <c r="Q118" s="7">
        <f>IF(COUNTIF(Lookup_Stations!$A$2:$A$33,O118)&gt;0,1,0)</f>
        <v>1</v>
      </c>
      <c r="R118" s="7">
        <f>IF(COUNTIF(Lookup_Stations!$A$2:$A$33,P118)&gt;0,1,0)</f>
        <v>1</v>
      </c>
      <c r="S118" s="7">
        <f>IF(OR(AND(Q118=1,NOT(EXACT(Raw_Bookings!F118,O118))),AND(R118=1,NOT(EXACT(Raw_Bookings!G118,P118)))),1,0)</f>
        <v>0</v>
      </c>
      <c r="T118" s="7">
        <f>IF(OR(Q118=0,R118=0),1,0)</f>
        <v>0</v>
      </c>
      <c r="U118" s="7">
        <f>IF(TRIM(Raw_Bookings!E118&amp;"")="",1,0)</f>
        <v>0</v>
      </c>
      <c r="V118" s="7" t="str">
        <f>IF(SUMPRODUCT(--(Lookup_Status!$A$2:$A$13=LOWER(TRIM(Raw_Bookings!K118))))=0,"",INDEX(Lookup_Status!$B$2:$B$13,SUMPRODUCT((Lookup_Status!$A$2:$A$13=LOWER(TRIM(Raw_Bookings!K118)))*(ROW(Lookup_Status!$A$2:$A$13)-1))))</f>
        <v>Confirmed</v>
      </c>
      <c r="W118" s="7">
        <f>IF(AND(V118&lt;&gt;"",NOT(EXACT(Raw_Bookings!K118,V118))),1,0)</f>
        <v>0</v>
      </c>
      <c r="X118" s="7">
        <f>IF(V118="",1,0)</f>
        <v>0</v>
      </c>
      <c r="Y118" s="7">
        <f>IF(TRIM(Raw_Bookings!L118&amp;"")="",1,0)</f>
        <v>0</v>
      </c>
      <c r="Z118" s="7">
        <f>IF(AND(ISTEXT(Raw_Bookings!L118),Y118=0),1,0)</f>
        <v>0</v>
      </c>
      <c r="AA118" s="7">
        <f>IF(Z118=1,IFERROR(VALUE(SUBSTITUTE(SUBSTITUTE(SUBSTITUTE(SUBSTITUTE(SUBSTITUTE(UPPER(Raw_Bookings!L118),"RS.",""),"₹",""),",","")," ",""),"INR","")),""),"")</f>
        <v/>
      </c>
      <c r="AB118" s="7">
        <f>IF(AND(Z118=1,ISNUMBER(AA118)),1,0)</f>
        <v>0</v>
      </c>
      <c r="AC118" s="7">
        <f>IF(B118=1,0,IF(NOT(ISNUMBER(Raw_Bookings!J118)),1,IF(Raw_Bookings!J118&lt;&gt;COUNTIFS(Work_Passengers!$B$2:$B$1336,Raw_Bookings!A118,Work_Passengers!$C$2:$C$1336,0),1,0)))</f>
        <v>0</v>
      </c>
    </row>
    <row r="119" spans="1:29">
      <c r="A119" s="7">
        <f>Raw_Bookings!A119</f>
        <v>1035543</v>
      </c>
      <c r="B119" s="7">
        <f>IF(COUNTIF(Raw_Bookings!$A$2:A119,Raw_Bookings!A119)&gt;1,1,0)</f>
        <v>0</v>
      </c>
      <c r="C119" s="7" t="str">
        <f>Raw_Bookings!D119&amp;""</f>
        <v>2024-12-28</v>
      </c>
      <c r="D119" s="7" t="str">
        <f>IF(AND(LEN(C119)=10,MID(C119,5,1)="-",MID(C119,8,1)="-"),"ISO",IF(AND(LEN(C119)=10,MID(C119,3,1)="-",MID(C119,6,1)="-"),"DMY","OTHER"))</f>
        <v>ISO</v>
      </c>
      <c r="E119" s="7">
        <f>IF(D119="ISO",VALUE(LEFT(C119,4)),IF(D119="DMY",VALUE(RIGHT(C119,4)),0))</f>
        <v>2024</v>
      </c>
      <c r="F119" s="7">
        <f>IF(D119="ISO",VALUE(MID(C119,6,2)),IF(D119="DMY",VALUE(MID(C119,4,2)),0))</f>
        <v>12</v>
      </c>
      <c r="G119" s="7">
        <f>IF(D119="ISO",VALUE(RIGHT(C119,2)),IF(D119="DMY",VALUE(LEFT(C119,2)),0))</f>
        <v>28</v>
      </c>
      <c r="H119" s="7">
        <f>IF(AND(D119&lt;&gt;"OTHER",F119&gt;=1,F119&lt;=12,G119&gt;=1,G119&lt;=31),IF(AND(MONTH(DATE(E119,F119,G119))=F119,DAY(DATE(E119,F119,G119))=G119),1,0),0)</f>
        <v>1</v>
      </c>
      <c r="I119" s="7">
        <f>IF(H119=1,DATE(E119,F119,G119),"")</f>
        <v>45654.0</v>
      </c>
      <c r="J119" s="7">
        <f>IF(AND(D119="DMY",H119=1),1,0)</f>
        <v>0</v>
      </c>
      <c r="K119" s="7">
        <f>IF(H119=0,1,0)</f>
        <v>0</v>
      </c>
      <c r="L119" s="7">
        <f>IF(TRIM(Raw_Bookings!I119&amp;"")="",1,0)</f>
        <v>0</v>
      </c>
      <c r="M119" s="7">
        <f>IF(L119=1,"",DATEVALUE(LEFT(Raw_Bookings!I119,10))+TIMEVALUE(MID(Raw_Bookings!I119,12,8)))</f>
        <v>45651.49028935185</v>
      </c>
      <c r="N119" s="7">
        <f>IF(AND(L119=0,H119=1),IF(INT(M119)&gt;I119,1,0),0)</f>
        <v>0</v>
      </c>
      <c r="O119" s="7" t="str">
        <f>UPPER(TRIM(Raw_Bookings!F119))</f>
        <v>GUW</v>
      </c>
      <c r="P119" s="7" t="str">
        <f>UPPER(TRIM(Raw_Bookings!G119))</f>
        <v>BHO</v>
      </c>
      <c r="Q119" s="7">
        <f>IF(COUNTIF(Lookup_Stations!$A$2:$A$33,O119)&gt;0,1,0)</f>
        <v>1</v>
      </c>
      <c r="R119" s="7">
        <f>IF(COUNTIF(Lookup_Stations!$A$2:$A$33,P119)&gt;0,1,0)</f>
        <v>1</v>
      </c>
      <c r="S119" s="7">
        <f>IF(OR(AND(Q119=1,NOT(EXACT(Raw_Bookings!F119,O119))),AND(R119=1,NOT(EXACT(Raw_Bookings!G119,P119)))),1,0)</f>
        <v>0</v>
      </c>
      <c r="T119" s="7">
        <f>IF(OR(Q119=0,R119=0),1,0)</f>
        <v>0</v>
      </c>
      <c r="U119" s="7">
        <f>IF(TRIM(Raw_Bookings!E119&amp;"")="",1,0)</f>
        <v>0</v>
      </c>
      <c r="V119" s="7" t="str">
        <f>IF(SUMPRODUCT(--(Lookup_Status!$A$2:$A$13=LOWER(TRIM(Raw_Bookings!K119))))=0,"",INDEX(Lookup_Status!$B$2:$B$13,SUMPRODUCT((Lookup_Status!$A$2:$A$13=LOWER(TRIM(Raw_Bookings!K119)))*(ROW(Lookup_Status!$A$2:$A$13)-1))))</f>
        <v>Confirmed</v>
      </c>
      <c r="W119" s="7">
        <f>IF(AND(V119&lt;&gt;"",NOT(EXACT(Raw_Bookings!K119,V119))),1,0)</f>
        <v>0</v>
      </c>
      <c r="X119" s="7">
        <f>IF(V119="",1,0)</f>
        <v>0</v>
      </c>
      <c r="Y119" s="7">
        <f>IF(TRIM(Raw_Bookings!L119&amp;"")="",1,0)</f>
        <v>0</v>
      </c>
      <c r="Z119" s="7">
        <f>IF(AND(ISTEXT(Raw_Bookings!L119),Y119=0),1,0)</f>
        <v>0</v>
      </c>
      <c r="AA119" s="7">
        <f>IF(Z119=1,IFERROR(VALUE(SUBSTITUTE(SUBSTITUTE(SUBSTITUTE(SUBSTITUTE(SUBSTITUTE(UPPER(Raw_Bookings!L119),"RS.",""),"₹",""),",","")," ",""),"INR","")),""),"")</f>
        <v/>
      </c>
      <c r="AB119" s="7">
        <f>IF(AND(Z119=1,ISNUMBER(AA119)),1,0)</f>
        <v>0</v>
      </c>
      <c r="AC119" s="7">
        <f>IF(B119=1,0,IF(NOT(ISNUMBER(Raw_Bookings!J119)),1,IF(Raw_Bookings!J119&lt;&gt;COUNTIFS(Work_Passengers!$B$2:$B$1336,Raw_Bookings!A119,Work_Passengers!$C$2:$C$1336,0),1,0)))</f>
        <v>0</v>
      </c>
    </row>
    <row r="120" spans="1:29">
      <c r="A120" s="7">
        <f>Raw_Bookings!A120</f>
        <v>1036026</v>
      </c>
      <c r="B120" s="7">
        <f>IF(COUNTIF(Raw_Bookings!$A$2:A120,Raw_Bookings!A120)&gt;1,1,0)</f>
        <v>0</v>
      </c>
      <c r="C120" s="7" t="str">
        <f>Raw_Bookings!D120&amp;""</f>
        <v>2025-01-28</v>
      </c>
      <c r="D120" s="7" t="str">
        <f>IF(AND(LEN(C120)=10,MID(C120,5,1)="-",MID(C120,8,1)="-"),"ISO",IF(AND(LEN(C120)=10,MID(C120,3,1)="-",MID(C120,6,1)="-"),"DMY","OTHER"))</f>
        <v>ISO</v>
      </c>
      <c r="E120" s="7">
        <f>IF(D120="ISO",VALUE(LEFT(C120,4)),IF(D120="DMY",VALUE(RIGHT(C120,4)),0))</f>
        <v>2025</v>
      </c>
      <c r="F120" s="7">
        <f>IF(D120="ISO",VALUE(MID(C120,6,2)),IF(D120="DMY",VALUE(MID(C120,4,2)),0))</f>
        <v>1</v>
      </c>
      <c r="G120" s="7">
        <f>IF(D120="ISO",VALUE(RIGHT(C120,2)),IF(D120="DMY",VALUE(LEFT(C120,2)),0))</f>
        <v>28</v>
      </c>
      <c r="H120" s="7">
        <f>IF(AND(D120&lt;&gt;"OTHER",F120&gt;=1,F120&lt;=12,G120&gt;=1,G120&lt;=31),IF(AND(MONTH(DATE(E120,F120,G120))=F120,DAY(DATE(E120,F120,G120))=G120),1,0),0)</f>
        <v>1</v>
      </c>
      <c r="I120" s="7">
        <f>IF(H120=1,DATE(E120,F120,G120),"")</f>
        <v>45685.0</v>
      </c>
      <c r="J120" s="7">
        <f>IF(AND(D120="DMY",H120=1),1,0)</f>
        <v>0</v>
      </c>
      <c r="K120" s="7">
        <f>IF(H120=0,1,0)</f>
        <v>0</v>
      </c>
      <c r="L120" s="7">
        <f>IF(TRIM(Raw_Bookings!I120&amp;"")="",1,0)</f>
        <v>0</v>
      </c>
      <c r="M120" s="7">
        <f>IF(L120=1,"",DATEVALUE(LEFT(Raw_Bookings!I120,10))+TIMEVALUE(MID(Raw_Bookings!I120,12,8)))</f>
        <v>45653.410474537035</v>
      </c>
      <c r="N120" s="7">
        <f>IF(AND(L120=0,H120=1),IF(INT(M120)&gt;I120,1,0),0)</f>
        <v>0</v>
      </c>
      <c r="O120" s="7" t="str">
        <f>UPPER(TRIM(Raw_Bookings!F120))</f>
        <v>MAU</v>
      </c>
      <c r="P120" s="7" t="str">
        <f>UPPER(TRIM(Raw_Bookings!G120))</f>
        <v>DEL</v>
      </c>
      <c r="Q120" s="7">
        <f>IF(COUNTIF(Lookup_Stations!$A$2:$A$33,O120)&gt;0,1,0)</f>
        <v>1</v>
      </c>
      <c r="R120" s="7">
        <f>IF(COUNTIF(Lookup_Stations!$A$2:$A$33,P120)&gt;0,1,0)</f>
        <v>1</v>
      </c>
      <c r="S120" s="7">
        <f>IF(OR(AND(Q120=1,NOT(EXACT(Raw_Bookings!F120,O120))),AND(R120=1,NOT(EXACT(Raw_Bookings!G120,P120)))),1,0)</f>
        <v>0</v>
      </c>
      <c r="T120" s="7">
        <f>IF(OR(Q120=0,R120=0),1,0)</f>
        <v>0</v>
      </c>
      <c r="U120" s="7">
        <f>IF(TRIM(Raw_Bookings!E120&amp;"")="",1,0)</f>
        <v>0</v>
      </c>
      <c r="V120" s="7" t="str">
        <f>IF(SUMPRODUCT(--(Lookup_Status!$A$2:$A$13=LOWER(TRIM(Raw_Bookings!K120))))=0,"",INDEX(Lookup_Status!$B$2:$B$13,SUMPRODUCT((Lookup_Status!$A$2:$A$13=LOWER(TRIM(Raw_Bookings!K120)))*(ROW(Lookup_Status!$A$2:$A$13)-1))))</f>
        <v>Cancelled</v>
      </c>
      <c r="W120" s="7">
        <f>IF(AND(V120&lt;&gt;"",NOT(EXACT(Raw_Bookings!K120,V120))),1,0)</f>
        <v>0</v>
      </c>
      <c r="X120" s="7">
        <f>IF(V120="",1,0)</f>
        <v>0</v>
      </c>
      <c r="Y120" s="7">
        <f>IF(TRIM(Raw_Bookings!L120&amp;"")="",1,0)</f>
        <v>0</v>
      </c>
      <c r="Z120" s="7">
        <f>IF(AND(ISTEXT(Raw_Bookings!L120),Y120=0),1,0)</f>
        <v>0</v>
      </c>
      <c r="AA120" s="7">
        <f>IF(Z120=1,IFERROR(VALUE(SUBSTITUTE(SUBSTITUTE(SUBSTITUTE(SUBSTITUTE(SUBSTITUTE(UPPER(Raw_Bookings!L120),"RS.",""),"₹",""),",","")," ",""),"INR","")),""),"")</f>
        <v/>
      </c>
      <c r="AB120" s="7">
        <f>IF(AND(Z120=1,ISNUMBER(AA120)),1,0)</f>
        <v>0</v>
      </c>
      <c r="AC120" s="7">
        <f>IF(B120=1,0,IF(NOT(ISNUMBER(Raw_Bookings!J120)),1,IF(Raw_Bookings!J120&lt;&gt;COUNTIFS(Work_Passengers!$B$2:$B$1336,Raw_Bookings!A120,Work_Passengers!$C$2:$C$1336,0),1,0)))</f>
        <v>0</v>
      </c>
    </row>
    <row r="121" spans="1:29">
      <c r="A121" s="7">
        <f>Raw_Bookings!A121</f>
        <v>1036697</v>
      </c>
      <c r="B121" s="7">
        <f>IF(COUNTIF(Raw_Bookings!$A$2:A121,Raw_Bookings!A121)&gt;1,1,0)</f>
        <v>0</v>
      </c>
      <c r="C121" s="7" t="str">
        <f>Raw_Bookings!D121&amp;""</f>
        <v>2025-04-13</v>
      </c>
      <c r="D121" s="7" t="str">
        <f>IF(AND(LEN(C121)=10,MID(C121,5,1)="-",MID(C121,8,1)="-"),"ISO",IF(AND(LEN(C121)=10,MID(C121,3,1)="-",MID(C121,6,1)="-"),"DMY","OTHER"))</f>
        <v>ISO</v>
      </c>
      <c r="E121" s="7">
        <f>IF(D121="ISO",VALUE(LEFT(C121,4)),IF(D121="DMY",VALUE(RIGHT(C121,4)),0))</f>
        <v>2025</v>
      </c>
      <c r="F121" s="7">
        <f>IF(D121="ISO",VALUE(MID(C121,6,2)),IF(D121="DMY",VALUE(MID(C121,4,2)),0))</f>
        <v>4</v>
      </c>
      <c r="G121" s="7">
        <f>IF(D121="ISO",VALUE(RIGHT(C121,2)),IF(D121="DMY",VALUE(LEFT(C121,2)),0))</f>
        <v>13</v>
      </c>
      <c r="H121" s="7">
        <f>IF(AND(D121&lt;&gt;"OTHER",F121&gt;=1,F121&lt;=12,G121&gt;=1,G121&lt;=31),IF(AND(MONTH(DATE(E121,F121,G121))=F121,DAY(DATE(E121,F121,G121))=G121),1,0),0)</f>
        <v>1</v>
      </c>
      <c r="I121" s="7">
        <f>IF(H121=1,DATE(E121,F121,G121),"")</f>
        <v>45760.0</v>
      </c>
      <c r="J121" s="7">
        <f>IF(AND(D121="DMY",H121=1),1,0)</f>
        <v>0</v>
      </c>
      <c r="K121" s="7">
        <f>IF(H121=0,1,0)</f>
        <v>0</v>
      </c>
      <c r="L121" s="7">
        <f>IF(TRIM(Raw_Bookings!I121&amp;"")="",1,0)</f>
        <v>0</v>
      </c>
      <c r="M121" s="7">
        <f>IF(L121=1,"",DATEVALUE(LEFT(Raw_Bookings!I121,10))+TIMEVALUE(MID(Raw_Bookings!I121,12,8)))</f>
        <v>45655.83252314815</v>
      </c>
      <c r="N121" s="7">
        <f>IF(AND(L121=0,H121=1),IF(INT(M121)&gt;I121,1,0),0)</f>
        <v>0</v>
      </c>
      <c r="O121" s="7" t="str">
        <f>UPPER(TRIM(Raw_Bookings!F121))</f>
        <v>MUM</v>
      </c>
      <c r="P121" s="7" t="str">
        <f>UPPER(TRIM(Raw_Bookings!G121))</f>
        <v>LUC</v>
      </c>
      <c r="Q121" s="7">
        <f>IF(COUNTIF(Lookup_Stations!$A$2:$A$33,O121)&gt;0,1,0)</f>
        <v>1</v>
      </c>
      <c r="R121" s="7">
        <f>IF(COUNTIF(Lookup_Stations!$A$2:$A$33,P121)&gt;0,1,0)</f>
        <v>1</v>
      </c>
      <c r="S121" s="7">
        <f>IF(OR(AND(Q121=1,NOT(EXACT(Raw_Bookings!F121,O121))),AND(R121=1,NOT(EXACT(Raw_Bookings!G121,P121)))),1,0)</f>
        <v>0</v>
      </c>
      <c r="T121" s="7">
        <f>IF(OR(Q121=0,R121=0),1,0)</f>
        <v>0</v>
      </c>
      <c r="U121" s="7">
        <f>IF(TRIM(Raw_Bookings!E121&amp;"")="",1,0)</f>
        <v>0</v>
      </c>
      <c r="V121" s="7" t="str">
        <f>IF(SUMPRODUCT(--(Lookup_Status!$A$2:$A$13=LOWER(TRIM(Raw_Bookings!K121))))=0,"",INDEX(Lookup_Status!$B$2:$B$13,SUMPRODUCT((Lookup_Status!$A$2:$A$13=LOWER(TRIM(Raw_Bookings!K121)))*(ROW(Lookup_Status!$A$2:$A$13)-1))))</f>
        <v>Confirmed</v>
      </c>
      <c r="W121" s="7">
        <f>IF(AND(V121&lt;&gt;"",NOT(EXACT(Raw_Bookings!K121,V121))),1,0)</f>
        <v>0</v>
      </c>
      <c r="X121" s="7">
        <f>IF(V121="",1,0)</f>
        <v>0</v>
      </c>
      <c r="Y121" s="7">
        <f>IF(TRIM(Raw_Bookings!L121&amp;"")="",1,0)</f>
        <v>1</v>
      </c>
      <c r="Z121" s="7">
        <f>IF(AND(ISTEXT(Raw_Bookings!L121),Y121=0),1,0)</f>
        <v>0</v>
      </c>
      <c r="AA121" s="7">
        <f>IF(Z121=1,IFERROR(VALUE(SUBSTITUTE(SUBSTITUTE(SUBSTITUTE(SUBSTITUTE(SUBSTITUTE(UPPER(Raw_Bookings!L121),"RS.",""),"₹",""),",","")," ",""),"INR","")),""),"")</f>
        <v/>
      </c>
      <c r="AB121" s="7">
        <f>IF(AND(Z121=1,ISNUMBER(AA121)),1,0)</f>
        <v>0</v>
      </c>
      <c r="AC121" s="7">
        <f>IF(B121=1,0,IF(NOT(ISNUMBER(Raw_Bookings!J121)),1,IF(Raw_Bookings!J121&lt;&gt;COUNTIFS(Work_Passengers!$B$2:$B$1336,Raw_Bookings!A121,Work_Passengers!$C$2:$C$1336,0),1,0)))</f>
        <v>0</v>
      </c>
    </row>
    <row r="122" spans="1:29">
      <c r="A122" s="7">
        <f>Raw_Bookings!A122</f>
        <v>1036960</v>
      </c>
      <c r="B122" s="7">
        <f>IF(COUNTIF(Raw_Bookings!$A$2:A122,Raw_Bookings!A122)&gt;1,1,0)</f>
        <v>0</v>
      </c>
      <c r="C122" s="7" t="str">
        <f>Raw_Bookings!D122&amp;""</f>
        <v>2025-04-22</v>
      </c>
      <c r="D122" s="7" t="str">
        <f>IF(AND(LEN(C122)=10,MID(C122,5,1)="-",MID(C122,8,1)="-"),"ISO",IF(AND(LEN(C122)=10,MID(C122,3,1)="-",MID(C122,6,1)="-"),"DMY","OTHER"))</f>
        <v>ISO</v>
      </c>
      <c r="E122" s="7">
        <f>IF(D122="ISO",VALUE(LEFT(C122,4)),IF(D122="DMY",VALUE(RIGHT(C122,4)),0))</f>
        <v>2025</v>
      </c>
      <c r="F122" s="7">
        <f>IF(D122="ISO",VALUE(MID(C122,6,2)),IF(D122="DMY",VALUE(MID(C122,4,2)),0))</f>
        <v>4</v>
      </c>
      <c r="G122" s="7">
        <f>IF(D122="ISO",VALUE(RIGHT(C122,2)),IF(D122="DMY",VALUE(LEFT(C122,2)),0))</f>
        <v>22</v>
      </c>
      <c r="H122" s="7">
        <f>IF(AND(D122&lt;&gt;"OTHER",F122&gt;=1,F122&lt;=12,G122&gt;=1,G122&lt;=31),IF(AND(MONTH(DATE(E122,F122,G122))=F122,DAY(DATE(E122,F122,G122))=G122),1,0),0)</f>
        <v>1</v>
      </c>
      <c r="I122" s="7">
        <f>IF(H122=1,DATE(E122,F122,G122),"")</f>
        <v>45769.0</v>
      </c>
      <c r="J122" s="7">
        <f>IF(AND(D122="DMY",H122=1),1,0)</f>
        <v>0</v>
      </c>
      <c r="K122" s="7">
        <f>IF(H122=0,1,0)</f>
        <v>0</v>
      </c>
      <c r="L122" s="7">
        <f>IF(TRIM(Raw_Bookings!I122&amp;"")="",1,0)</f>
        <v>0</v>
      </c>
      <c r="M122" s="7">
        <f>IF(L122=1,"",DATEVALUE(LEFT(Raw_Bookings!I122,10))+TIMEVALUE(MID(Raw_Bookings!I122,12,8)))</f>
        <v>45656.81554398148</v>
      </c>
      <c r="N122" s="7">
        <f>IF(AND(L122=0,H122=1),IF(INT(M122)&gt;I122,1,0),0)</f>
        <v>0</v>
      </c>
      <c r="O122" s="7" t="str">
        <f>UPPER(TRIM(Raw_Bookings!F122))</f>
        <v>MUM</v>
      </c>
      <c r="P122" s="7" t="str">
        <f>UPPER(TRIM(Raw_Bookings!G122))</f>
        <v>BEN</v>
      </c>
      <c r="Q122" s="7">
        <f>IF(COUNTIF(Lookup_Stations!$A$2:$A$33,O122)&gt;0,1,0)</f>
        <v>1</v>
      </c>
      <c r="R122" s="7">
        <f>IF(COUNTIF(Lookup_Stations!$A$2:$A$33,P122)&gt;0,1,0)</f>
        <v>1</v>
      </c>
      <c r="S122" s="7">
        <f>IF(OR(AND(Q122=1,NOT(EXACT(Raw_Bookings!F122,O122))),AND(R122=1,NOT(EXACT(Raw_Bookings!G122,P122)))),1,0)</f>
        <v>0</v>
      </c>
      <c r="T122" s="7">
        <f>IF(OR(Q122=0,R122=0),1,0)</f>
        <v>0</v>
      </c>
      <c r="U122" s="7">
        <f>IF(TRIM(Raw_Bookings!E122&amp;"")="",1,0)</f>
        <v>0</v>
      </c>
      <c r="V122" s="7" t="str">
        <f>IF(SUMPRODUCT(--(Lookup_Status!$A$2:$A$13=LOWER(TRIM(Raw_Bookings!K122))))=0,"",INDEX(Lookup_Status!$B$2:$B$13,SUMPRODUCT((Lookup_Status!$A$2:$A$13=LOWER(TRIM(Raw_Bookings!K122)))*(ROW(Lookup_Status!$A$2:$A$13)-1))))</f>
        <v>Confirmed</v>
      </c>
      <c r="W122" s="7">
        <f>IF(AND(V122&lt;&gt;"",NOT(EXACT(Raw_Bookings!K122,V122))),1,0)</f>
        <v>0</v>
      </c>
      <c r="X122" s="7">
        <f>IF(V122="",1,0)</f>
        <v>0</v>
      </c>
      <c r="Y122" s="7">
        <f>IF(TRIM(Raw_Bookings!L122&amp;"")="",1,0)</f>
        <v>0</v>
      </c>
      <c r="Z122" s="7">
        <f>IF(AND(ISTEXT(Raw_Bookings!L122),Y122=0),1,0)</f>
        <v>0</v>
      </c>
      <c r="AA122" s="7">
        <f>IF(Z122=1,IFERROR(VALUE(SUBSTITUTE(SUBSTITUTE(SUBSTITUTE(SUBSTITUTE(SUBSTITUTE(UPPER(Raw_Bookings!L122),"RS.",""),"₹",""),",","")," ",""),"INR","")),""),"")</f>
        <v/>
      </c>
      <c r="AB122" s="7">
        <f>IF(AND(Z122=1,ISNUMBER(AA122)),1,0)</f>
        <v>0</v>
      </c>
      <c r="AC122" s="7">
        <f>IF(B122=1,0,IF(NOT(ISNUMBER(Raw_Bookings!J122)),1,IF(Raw_Bookings!J122&lt;&gt;COUNTIFS(Work_Passengers!$B$2:$B$1336,Raw_Bookings!A122,Work_Passengers!$C$2:$C$1336,0),1,0)))</f>
        <v>0</v>
      </c>
    </row>
    <row r="123" spans="1:29">
      <c r="A123" s="7">
        <f>Raw_Bookings!A123</f>
        <v>1036967</v>
      </c>
      <c r="B123" s="7">
        <f>IF(COUNTIF(Raw_Bookings!$A$2:A123,Raw_Bookings!A123)&gt;1,1,0)</f>
        <v>0</v>
      </c>
      <c r="C123" s="7" t="str">
        <f>Raw_Bookings!D123&amp;""</f>
        <v>2025-01-01</v>
      </c>
      <c r="D123" s="7" t="str">
        <f>IF(AND(LEN(C123)=10,MID(C123,5,1)="-",MID(C123,8,1)="-"),"ISO",IF(AND(LEN(C123)=10,MID(C123,3,1)="-",MID(C123,6,1)="-"),"DMY","OTHER"))</f>
        <v>ISO</v>
      </c>
      <c r="E123" s="7">
        <f>IF(D123="ISO",VALUE(LEFT(C123,4)),IF(D123="DMY",VALUE(RIGHT(C123,4)),0))</f>
        <v>2025</v>
      </c>
      <c r="F123" s="7">
        <f>IF(D123="ISO",VALUE(MID(C123,6,2)),IF(D123="DMY",VALUE(MID(C123,4,2)),0))</f>
        <v>1</v>
      </c>
      <c r="G123" s="7">
        <f>IF(D123="ISO",VALUE(RIGHT(C123,2)),IF(D123="DMY",VALUE(LEFT(C123,2)),0))</f>
        <v>1</v>
      </c>
      <c r="H123" s="7">
        <f>IF(AND(D123&lt;&gt;"OTHER",F123&gt;=1,F123&lt;=12,G123&gt;=1,G123&lt;=31),IF(AND(MONTH(DATE(E123,F123,G123))=F123,DAY(DATE(E123,F123,G123))=G123),1,0),0)</f>
        <v>1</v>
      </c>
      <c r="I123" s="7">
        <f>IF(H123=1,DATE(E123,F123,G123),"")</f>
        <v>45658.0</v>
      </c>
      <c r="J123" s="7">
        <f>IF(AND(D123="DMY",H123=1),1,0)</f>
        <v>0</v>
      </c>
      <c r="K123" s="7">
        <f>IF(H123=0,1,0)</f>
        <v>0</v>
      </c>
      <c r="L123" s="7">
        <f>IF(TRIM(Raw_Bookings!I123&amp;"")="",1,0)</f>
        <v>0</v>
      </c>
      <c r="M123" s="7">
        <f>IF(L123=1,"",DATEVALUE(LEFT(Raw_Bookings!I123,10))+TIMEVALUE(MID(Raw_Bookings!I123,12,8)))</f>
        <v>45656.832291666666</v>
      </c>
      <c r="N123" s="7">
        <f>IF(AND(L123=0,H123=1),IF(INT(M123)&gt;I123,1,0),0)</f>
        <v>0</v>
      </c>
      <c r="O123" s="7" t="str">
        <f>UPPER(TRIM(Raw_Bookings!F123))</f>
        <v>MAU</v>
      </c>
      <c r="P123" s="7" t="str">
        <f>UPPER(TRIM(Raw_Bookings!G123))</f>
        <v>DEL</v>
      </c>
      <c r="Q123" s="7">
        <f>IF(COUNTIF(Lookup_Stations!$A$2:$A$33,O123)&gt;0,1,0)</f>
        <v>1</v>
      </c>
      <c r="R123" s="7">
        <f>IF(COUNTIF(Lookup_Stations!$A$2:$A$33,P123)&gt;0,1,0)</f>
        <v>1</v>
      </c>
      <c r="S123" s="7">
        <f>IF(OR(AND(Q123=1,NOT(EXACT(Raw_Bookings!F123,O123))),AND(R123=1,NOT(EXACT(Raw_Bookings!G123,P123)))),1,0)</f>
        <v>0</v>
      </c>
      <c r="T123" s="7">
        <f>IF(OR(Q123=0,R123=0),1,0)</f>
        <v>0</v>
      </c>
      <c r="U123" s="7">
        <f>IF(TRIM(Raw_Bookings!E123&amp;"")="",1,0)</f>
        <v>0</v>
      </c>
      <c r="V123" s="7" t="str">
        <f>IF(SUMPRODUCT(--(Lookup_Status!$A$2:$A$13=LOWER(TRIM(Raw_Bookings!K123))))=0,"",INDEX(Lookup_Status!$B$2:$B$13,SUMPRODUCT((Lookup_Status!$A$2:$A$13=LOWER(TRIM(Raw_Bookings!K123)))*(ROW(Lookup_Status!$A$2:$A$13)-1))))</f>
        <v>Waitlisted</v>
      </c>
      <c r="W123" s="7">
        <f>IF(AND(V123&lt;&gt;"",NOT(EXACT(Raw_Bookings!K123,V123))),1,0)</f>
        <v>0</v>
      </c>
      <c r="X123" s="7">
        <f>IF(V123="",1,0)</f>
        <v>0</v>
      </c>
      <c r="Y123" s="7">
        <f>IF(TRIM(Raw_Bookings!L123&amp;"")="",1,0)</f>
        <v>0</v>
      </c>
      <c r="Z123" s="7">
        <f>IF(AND(ISTEXT(Raw_Bookings!L123),Y123=0),1,0)</f>
        <v>0</v>
      </c>
      <c r="AA123" s="7">
        <f>IF(Z123=1,IFERROR(VALUE(SUBSTITUTE(SUBSTITUTE(SUBSTITUTE(SUBSTITUTE(SUBSTITUTE(UPPER(Raw_Bookings!L123),"RS.",""),"₹",""),",","")," ",""),"INR","")),""),"")</f>
        <v/>
      </c>
      <c r="AB123" s="7">
        <f>IF(AND(Z123=1,ISNUMBER(AA123)),1,0)</f>
        <v>0</v>
      </c>
      <c r="AC123" s="7">
        <f>IF(B123=1,0,IF(NOT(ISNUMBER(Raw_Bookings!J123)),1,IF(Raw_Bookings!J123&lt;&gt;COUNTIFS(Work_Passengers!$B$2:$B$1336,Raw_Bookings!A123,Work_Passengers!$C$2:$C$1336,0),1,0)))</f>
        <v>0</v>
      </c>
    </row>
    <row r="124" spans="1:29">
      <c r="A124" s="7">
        <f>Raw_Bookings!A124</f>
        <v>1037102</v>
      </c>
      <c r="B124" s="7">
        <f>IF(COUNTIF(Raw_Bookings!$A$2:A124,Raw_Bookings!A124)&gt;1,1,0)</f>
        <v>0</v>
      </c>
      <c r="C124" s="7" t="str">
        <f>Raw_Bookings!D124&amp;""</f>
        <v>2025-01-18</v>
      </c>
      <c r="D124" s="7" t="str">
        <f>IF(AND(LEN(C124)=10,MID(C124,5,1)="-",MID(C124,8,1)="-"),"ISO",IF(AND(LEN(C124)=10,MID(C124,3,1)="-",MID(C124,6,1)="-"),"DMY","OTHER"))</f>
        <v>ISO</v>
      </c>
      <c r="E124" s="7">
        <f>IF(D124="ISO",VALUE(LEFT(C124,4)),IF(D124="DMY",VALUE(RIGHT(C124,4)),0))</f>
        <v>2025</v>
      </c>
      <c r="F124" s="7">
        <f>IF(D124="ISO",VALUE(MID(C124,6,2)),IF(D124="DMY",VALUE(MID(C124,4,2)),0))</f>
        <v>1</v>
      </c>
      <c r="G124" s="7">
        <f>IF(D124="ISO",VALUE(RIGHT(C124,2)),IF(D124="DMY",VALUE(LEFT(C124,2)),0))</f>
        <v>18</v>
      </c>
      <c r="H124" s="7">
        <f>IF(AND(D124&lt;&gt;"OTHER",F124&gt;=1,F124&lt;=12,G124&gt;=1,G124&lt;=31),IF(AND(MONTH(DATE(E124,F124,G124))=F124,DAY(DATE(E124,F124,G124))=G124),1,0),0)</f>
        <v>1</v>
      </c>
      <c r="I124" s="7">
        <f>IF(H124=1,DATE(E124,F124,G124),"")</f>
        <v>45675.0</v>
      </c>
      <c r="J124" s="7">
        <f>IF(AND(D124="DMY",H124=1),1,0)</f>
        <v>0</v>
      </c>
      <c r="K124" s="7">
        <f>IF(H124=0,1,0)</f>
        <v>0</v>
      </c>
      <c r="L124" s="7">
        <f>IF(TRIM(Raw_Bookings!I124&amp;"")="",1,0)</f>
        <v>0</v>
      </c>
      <c r="M124" s="7">
        <f>IF(L124=1,"",DATEVALUE(LEFT(Raw_Bookings!I124,10))+TIMEVALUE(MID(Raw_Bookings!I124,12,8)))</f>
        <v>45657.45130787037</v>
      </c>
      <c r="N124" s="7">
        <f>IF(AND(L124=0,H124=1),IF(INT(M124)&gt;I124,1,0),0)</f>
        <v>0</v>
      </c>
      <c r="O124" s="7" t="str">
        <f>UPPER(TRIM(Raw_Bookings!F124))</f>
        <v>GUW</v>
      </c>
      <c r="P124" s="7" t="str">
        <f>UPPER(TRIM(Raw_Bookings!G124))</f>
        <v>BHO</v>
      </c>
      <c r="Q124" s="7">
        <f>IF(COUNTIF(Lookup_Stations!$A$2:$A$33,O124)&gt;0,1,0)</f>
        <v>1</v>
      </c>
      <c r="R124" s="7">
        <f>IF(COUNTIF(Lookup_Stations!$A$2:$A$33,P124)&gt;0,1,0)</f>
        <v>1</v>
      </c>
      <c r="S124" s="7">
        <f>IF(OR(AND(Q124=1,NOT(EXACT(Raw_Bookings!F124,O124))),AND(R124=1,NOT(EXACT(Raw_Bookings!G124,P124)))),1,0)</f>
        <v>0</v>
      </c>
      <c r="T124" s="7">
        <f>IF(OR(Q124=0,R124=0),1,0)</f>
        <v>0</v>
      </c>
      <c r="U124" s="7">
        <f>IF(TRIM(Raw_Bookings!E124&amp;"")="",1,0)</f>
        <v>0</v>
      </c>
      <c r="V124" s="7" t="str">
        <f>IF(SUMPRODUCT(--(Lookup_Status!$A$2:$A$13=LOWER(TRIM(Raw_Bookings!K124))))=0,"",INDEX(Lookup_Status!$B$2:$B$13,SUMPRODUCT((Lookup_Status!$A$2:$A$13=LOWER(TRIM(Raw_Bookings!K124)))*(ROW(Lookup_Status!$A$2:$A$13)-1))))</f>
        <v>Confirmed</v>
      </c>
      <c r="W124" s="7">
        <f>IF(AND(V124&lt;&gt;"",NOT(EXACT(Raw_Bookings!K124,V124))),1,0)</f>
        <v>0</v>
      </c>
      <c r="X124" s="7">
        <f>IF(V124="",1,0)</f>
        <v>0</v>
      </c>
      <c r="Y124" s="7">
        <f>IF(TRIM(Raw_Bookings!L124&amp;"")="",1,0)</f>
        <v>0</v>
      </c>
      <c r="Z124" s="7">
        <f>IF(AND(ISTEXT(Raw_Bookings!L124),Y124=0),1,0)</f>
        <v>0</v>
      </c>
      <c r="AA124" s="7">
        <f>IF(Z124=1,IFERROR(VALUE(SUBSTITUTE(SUBSTITUTE(SUBSTITUTE(SUBSTITUTE(SUBSTITUTE(UPPER(Raw_Bookings!L124),"RS.",""),"₹",""),",","")," ",""),"INR","")),""),"")</f>
        <v/>
      </c>
      <c r="AB124" s="7">
        <f>IF(AND(Z124=1,ISNUMBER(AA124)),1,0)</f>
        <v>0</v>
      </c>
      <c r="AC124" s="7">
        <f>IF(B124=1,0,IF(NOT(ISNUMBER(Raw_Bookings!J124)),1,IF(Raw_Bookings!J124&lt;&gt;COUNTIFS(Work_Passengers!$B$2:$B$1336,Raw_Bookings!A124,Work_Passengers!$C$2:$C$1336,0),1,0)))</f>
        <v>0</v>
      </c>
    </row>
    <row r="125" spans="1:29">
      <c r="A125" s="7">
        <f>Raw_Bookings!A125</f>
        <v>1037781</v>
      </c>
      <c r="B125" s="7">
        <f>IF(COUNTIF(Raw_Bookings!$A$2:A125,Raw_Bookings!A125)&gt;1,1,0)</f>
        <v>0</v>
      </c>
      <c r="C125" s="7" t="str">
        <f>Raw_Bookings!D125&amp;""</f>
        <v>2025-02-15</v>
      </c>
      <c r="D125" s="7" t="str">
        <f>IF(AND(LEN(C125)=10,MID(C125,5,1)="-",MID(C125,8,1)="-"),"ISO",IF(AND(LEN(C125)=10,MID(C125,3,1)="-",MID(C125,6,1)="-"),"DMY","OTHER"))</f>
        <v>ISO</v>
      </c>
      <c r="E125" s="7">
        <f>IF(D125="ISO",VALUE(LEFT(C125,4)),IF(D125="DMY",VALUE(RIGHT(C125,4)),0))</f>
        <v>2025</v>
      </c>
      <c r="F125" s="7">
        <f>IF(D125="ISO",VALUE(MID(C125,6,2)),IF(D125="DMY",VALUE(MID(C125,4,2)),0))</f>
        <v>2</v>
      </c>
      <c r="G125" s="7">
        <f>IF(D125="ISO",VALUE(RIGHT(C125,2)),IF(D125="DMY",VALUE(LEFT(C125,2)),0))</f>
        <v>15</v>
      </c>
      <c r="H125" s="7">
        <f>IF(AND(D125&lt;&gt;"OTHER",F125&gt;=1,F125&lt;=12,G125&gt;=1,G125&lt;=31),IF(AND(MONTH(DATE(E125,F125,G125))=F125,DAY(DATE(E125,F125,G125))=G125),1,0),0)</f>
        <v>1</v>
      </c>
      <c r="I125" s="7">
        <f>IF(H125=1,DATE(E125,F125,G125),"")</f>
        <v>45703.0</v>
      </c>
      <c r="J125" s="7">
        <f>IF(AND(D125="DMY",H125=1),1,0)</f>
        <v>0</v>
      </c>
      <c r="K125" s="7">
        <f>IF(H125=0,1,0)</f>
        <v>0</v>
      </c>
      <c r="L125" s="7">
        <f>IF(TRIM(Raw_Bookings!I125&amp;"")="",1,0)</f>
        <v>0</v>
      </c>
      <c r="M125" s="7">
        <f>IF(L125=1,"",DATEVALUE(LEFT(Raw_Bookings!I125,10))+TIMEVALUE(MID(Raw_Bookings!I125,12,8)))</f>
        <v>45707.375</v>
      </c>
      <c r="N125" s="7">
        <f>IF(AND(L125=0,H125=1),IF(INT(M125)&gt;I125,1,0),0)</f>
        <v>1</v>
      </c>
      <c r="O125" s="7" t="str">
        <f>UPPER(TRIM(Raw_Bookings!F125))</f>
        <v>CHE</v>
      </c>
      <c r="P125" s="7" t="str">
        <f>UPPER(TRIM(Raw_Bookings!G125))</f>
        <v>AHM</v>
      </c>
      <c r="Q125" s="7">
        <f>IF(COUNTIF(Lookup_Stations!$A$2:$A$33,O125)&gt;0,1,0)</f>
        <v>1</v>
      </c>
      <c r="R125" s="7">
        <f>IF(COUNTIF(Lookup_Stations!$A$2:$A$33,P125)&gt;0,1,0)</f>
        <v>1</v>
      </c>
      <c r="S125" s="7">
        <f>IF(OR(AND(Q125=1,NOT(EXACT(Raw_Bookings!F125,O125))),AND(R125=1,NOT(EXACT(Raw_Bookings!G125,P125)))),1,0)</f>
        <v>0</v>
      </c>
      <c r="T125" s="7">
        <f>IF(OR(Q125=0,R125=0),1,0)</f>
        <v>0</v>
      </c>
      <c r="U125" s="7">
        <f>IF(TRIM(Raw_Bookings!E125&amp;"")="",1,0)</f>
        <v>0</v>
      </c>
      <c r="V125" s="7" t="str">
        <f>IF(SUMPRODUCT(--(Lookup_Status!$A$2:$A$13=LOWER(TRIM(Raw_Bookings!K125))))=0,"",INDEX(Lookup_Status!$B$2:$B$13,SUMPRODUCT((Lookup_Status!$A$2:$A$13=LOWER(TRIM(Raw_Bookings!K125)))*(ROW(Lookup_Status!$A$2:$A$13)-1))))</f>
        <v>Confirmed</v>
      </c>
      <c r="W125" s="7">
        <f>IF(AND(V125&lt;&gt;"",NOT(EXACT(Raw_Bookings!K125,V125))),1,0)</f>
        <v>0</v>
      </c>
      <c r="X125" s="7">
        <f>IF(V125="",1,0)</f>
        <v>0</v>
      </c>
      <c r="Y125" s="7">
        <f>IF(TRIM(Raw_Bookings!L125&amp;"")="",1,0)</f>
        <v>0</v>
      </c>
      <c r="Z125" s="7">
        <f>IF(AND(ISTEXT(Raw_Bookings!L125),Y125=0),1,0)</f>
        <v>0</v>
      </c>
      <c r="AA125" s="7">
        <f>IF(Z125=1,IFERROR(VALUE(SUBSTITUTE(SUBSTITUTE(SUBSTITUTE(SUBSTITUTE(SUBSTITUTE(UPPER(Raw_Bookings!L125),"RS.",""),"₹",""),",","")," ",""),"INR","")),""),"")</f>
        <v/>
      </c>
      <c r="AB125" s="7">
        <f>IF(AND(Z125=1,ISNUMBER(AA125)),1,0)</f>
        <v>0</v>
      </c>
      <c r="AC125" s="7">
        <f>IF(B125=1,0,IF(NOT(ISNUMBER(Raw_Bookings!J125)),1,IF(Raw_Bookings!J125&lt;&gt;COUNTIFS(Work_Passengers!$B$2:$B$1336,Raw_Bookings!A125,Work_Passengers!$C$2:$C$1336,0),1,0)))</f>
        <v>0</v>
      </c>
    </row>
    <row r="126" spans="1:29">
      <c r="A126" s="7">
        <f>Raw_Bookings!A126</f>
        <v>1037976</v>
      </c>
      <c r="B126" s="7">
        <f>IF(COUNTIF(Raw_Bookings!$A$2:A126,Raw_Bookings!A126)&gt;1,1,0)</f>
        <v>0</v>
      </c>
      <c r="C126" s="7" t="str">
        <f>Raw_Bookings!D126&amp;""</f>
        <v>2025-03-04</v>
      </c>
      <c r="D126" s="7" t="str">
        <f>IF(AND(LEN(C126)=10,MID(C126,5,1)="-",MID(C126,8,1)="-"),"ISO",IF(AND(LEN(C126)=10,MID(C126,3,1)="-",MID(C126,6,1)="-"),"DMY","OTHER"))</f>
        <v>ISO</v>
      </c>
      <c r="E126" s="7">
        <f>IF(D126="ISO",VALUE(LEFT(C126,4)),IF(D126="DMY",VALUE(RIGHT(C126,4)),0))</f>
        <v>2025</v>
      </c>
      <c r="F126" s="7">
        <f>IF(D126="ISO",VALUE(MID(C126,6,2)),IF(D126="DMY",VALUE(MID(C126,4,2)),0))</f>
        <v>3</v>
      </c>
      <c r="G126" s="7">
        <f>IF(D126="ISO",VALUE(RIGHT(C126,2)),IF(D126="DMY",VALUE(LEFT(C126,2)),0))</f>
        <v>4</v>
      </c>
      <c r="H126" s="7">
        <f>IF(AND(D126&lt;&gt;"OTHER",F126&gt;=1,F126&lt;=12,G126&gt;=1,G126&lt;=31),IF(AND(MONTH(DATE(E126,F126,G126))=F126,DAY(DATE(E126,F126,G126))=G126),1,0),0)</f>
        <v>1</v>
      </c>
      <c r="I126" s="7">
        <f>IF(H126=1,DATE(E126,F126,G126),"")</f>
        <v>45720.0</v>
      </c>
      <c r="J126" s="7">
        <f>IF(AND(D126="DMY",H126=1),1,0)</f>
        <v>0</v>
      </c>
      <c r="K126" s="7">
        <f>IF(H126=0,1,0)</f>
        <v>0</v>
      </c>
      <c r="L126" s="7">
        <f>IF(TRIM(Raw_Bookings!I126&amp;"")="",1,0)</f>
        <v>0</v>
      </c>
      <c r="M126" s="7">
        <f>IF(L126=1,"",DATEVALUE(LEFT(Raw_Bookings!I126,10))+TIMEVALUE(MID(Raw_Bookings!I126,12,8)))</f>
        <v>45660.72041666666</v>
      </c>
      <c r="N126" s="7">
        <f>IF(AND(L126=0,H126=1),IF(INT(M126)&gt;I126,1,0),0)</f>
        <v>0</v>
      </c>
      <c r="O126" s="7" t="str">
        <f>UPPER(TRIM(Raw_Bookings!F126))</f>
        <v>MAU</v>
      </c>
      <c r="P126" s="7" t="str">
        <f>UPPER(TRIM(Raw_Bookings!G126))</f>
        <v>DEL</v>
      </c>
      <c r="Q126" s="7">
        <f>IF(COUNTIF(Lookup_Stations!$A$2:$A$33,O126)&gt;0,1,0)</f>
        <v>1</v>
      </c>
      <c r="R126" s="7">
        <f>IF(COUNTIF(Lookup_Stations!$A$2:$A$33,P126)&gt;0,1,0)</f>
        <v>1</v>
      </c>
      <c r="S126" s="7">
        <f>IF(OR(AND(Q126=1,NOT(EXACT(Raw_Bookings!F126,O126))),AND(R126=1,NOT(EXACT(Raw_Bookings!G126,P126)))),1,0)</f>
        <v>0</v>
      </c>
      <c r="T126" s="7">
        <f>IF(OR(Q126=0,R126=0),1,0)</f>
        <v>0</v>
      </c>
      <c r="U126" s="7">
        <f>IF(TRIM(Raw_Bookings!E126&amp;"")="",1,0)</f>
        <v>0</v>
      </c>
      <c r="V126" s="7" t="str">
        <f>IF(SUMPRODUCT(--(Lookup_Status!$A$2:$A$13=LOWER(TRIM(Raw_Bookings!K126))))=0,"",INDEX(Lookup_Status!$B$2:$B$13,SUMPRODUCT((Lookup_Status!$A$2:$A$13=LOWER(TRIM(Raw_Bookings!K126)))*(ROW(Lookup_Status!$A$2:$A$13)-1))))</f>
        <v>Confirmed</v>
      </c>
      <c r="W126" s="7">
        <f>IF(AND(V126&lt;&gt;"",NOT(EXACT(Raw_Bookings!K126,V126))),1,0)</f>
        <v>0</v>
      </c>
      <c r="X126" s="7">
        <f>IF(V126="",1,0)</f>
        <v>0</v>
      </c>
      <c r="Y126" s="7">
        <f>IF(TRIM(Raw_Bookings!L126&amp;"")="",1,0)</f>
        <v>0</v>
      </c>
      <c r="Z126" s="7">
        <f>IF(AND(ISTEXT(Raw_Bookings!L126),Y126=0),1,0)</f>
        <v>0</v>
      </c>
      <c r="AA126" s="7">
        <f>IF(Z126=1,IFERROR(VALUE(SUBSTITUTE(SUBSTITUTE(SUBSTITUTE(SUBSTITUTE(SUBSTITUTE(UPPER(Raw_Bookings!L126),"RS.",""),"₹",""),",","")," ",""),"INR","")),""),"")</f>
        <v/>
      </c>
      <c r="AB126" s="7">
        <f>IF(AND(Z126=1,ISNUMBER(AA126)),1,0)</f>
        <v>0</v>
      </c>
      <c r="AC126" s="7">
        <f>IF(B126=1,0,IF(NOT(ISNUMBER(Raw_Bookings!J126)),1,IF(Raw_Bookings!J126&lt;&gt;COUNTIFS(Work_Passengers!$B$2:$B$1336,Raw_Bookings!A126,Work_Passengers!$C$2:$C$1336,0),1,0)))</f>
        <v>0</v>
      </c>
    </row>
    <row r="127" spans="1:29">
      <c r="A127" s="7">
        <f>Raw_Bookings!A127</f>
        <v>1038246</v>
      </c>
      <c r="B127" s="7">
        <f>IF(COUNTIF(Raw_Bookings!$A$2:A127,Raw_Bookings!A127)&gt;1,1,0)</f>
        <v>0</v>
      </c>
      <c r="C127" s="7" t="str">
        <f>Raw_Bookings!D127&amp;""</f>
        <v>2025-01-19</v>
      </c>
      <c r="D127" s="7" t="str">
        <f>IF(AND(LEN(C127)=10,MID(C127,5,1)="-",MID(C127,8,1)="-"),"ISO",IF(AND(LEN(C127)=10,MID(C127,3,1)="-",MID(C127,6,1)="-"),"DMY","OTHER"))</f>
        <v>ISO</v>
      </c>
      <c r="E127" s="7">
        <f>IF(D127="ISO",VALUE(LEFT(C127,4)),IF(D127="DMY",VALUE(RIGHT(C127,4)),0))</f>
        <v>2025</v>
      </c>
      <c r="F127" s="7">
        <f>IF(D127="ISO",VALUE(MID(C127,6,2)),IF(D127="DMY",VALUE(MID(C127,4,2)),0))</f>
        <v>1</v>
      </c>
      <c r="G127" s="7">
        <f>IF(D127="ISO",VALUE(RIGHT(C127,2)),IF(D127="DMY",VALUE(LEFT(C127,2)),0))</f>
        <v>19</v>
      </c>
      <c r="H127" s="7">
        <f>IF(AND(D127&lt;&gt;"OTHER",F127&gt;=1,F127&lt;=12,G127&gt;=1,G127&lt;=31),IF(AND(MONTH(DATE(E127,F127,G127))=F127,DAY(DATE(E127,F127,G127))=G127),1,0),0)</f>
        <v>1</v>
      </c>
      <c r="I127" s="7">
        <f>IF(H127=1,DATE(E127,F127,G127),"")</f>
        <v>45676.0</v>
      </c>
      <c r="J127" s="7">
        <f>IF(AND(D127="DMY",H127=1),1,0)</f>
        <v>0</v>
      </c>
      <c r="K127" s="7">
        <f>IF(H127=0,1,0)</f>
        <v>0</v>
      </c>
      <c r="L127" s="7">
        <f>IF(TRIM(Raw_Bookings!I127&amp;"")="",1,0)</f>
        <v>0</v>
      </c>
      <c r="M127" s="7">
        <f>IF(L127=1,"",DATEVALUE(LEFT(Raw_Bookings!I127,10))+TIMEVALUE(MID(Raw_Bookings!I127,12,8)))</f>
        <v>45661.8390162037</v>
      </c>
      <c r="N127" s="7">
        <f>IF(AND(L127=0,H127=1),IF(INT(M127)&gt;I127,1,0),0)</f>
        <v>0</v>
      </c>
      <c r="O127" s="7" t="str">
        <f>UPPER(TRIM(Raw_Bookings!F127))</f>
        <v>KOL</v>
      </c>
      <c r="P127" s="7" t="str">
        <f>UPPER(TRIM(Raw_Bookings!G127))</f>
        <v>HYD</v>
      </c>
      <c r="Q127" s="7">
        <f>IF(COUNTIF(Lookup_Stations!$A$2:$A$33,O127)&gt;0,1,0)</f>
        <v>1</v>
      </c>
      <c r="R127" s="7">
        <f>IF(COUNTIF(Lookup_Stations!$A$2:$A$33,P127)&gt;0,1,0)</f>
        <v>1</v>
      </c>
      <c r="S127" s="7">
        <f>IF(OR(AND(Q127=1,NOT(EXACT(Raw_Bookings!F127,O127))),AND(R127=1,NOT(EXACT(Raw_Bookings!G127,P127)))),1,0)</f>
        <v>0</v>
      </c>
      <c r="T127" s="7">
        <f>IF(OR(Q127=0,R127=0),1,0)</f>
        <v>0</v>
      </c>
      <c r="U127" s="7">
        <f>IF(TRIM(Raw_Bookings!E127&amp;"")="",1,0)</f>
        <v>0</v>
      </c>
      <c r="V127" s="7" t="str">
        <f>IF(SUMPRODUCT(--(Lookup_Status!$A$2:$A$13=LOWER(TRIM(Raw_Bookings!K127))))=0,"",INDEX(Lookup_Status!$B$2:$B$13,SUMPRODUCT((Lookup_Status!$A$2:$A$13=LOWER(TRIM(Raw_Bookings!K127)))*(ROW(Lookup_Status!$A$2:$A$13)-1))))</f>
        <v>Cancelled</v>
      </c>
      <c r="W127" s="7">
        <f>IF(AND(V127&lt;&gt;"",NOT(EXACT(Raw_Bookings!K127,V127))),1,0)</f>
        <v>0</v>
      </c>
      <c r="X127" s="7">
        <f>IF(V127="",1,0)</f>
        <v>0</v>
      </c>
      <c r="Y127" s="7">
        <f>IF(TRIM(Raw_Bookings!L127&amp;"")="",1,0)</f>
        <v>0</v>
      </c>
      <c r="Z127" s="7">
        <f>IF(AND(ISTEXT(Raw_Bookings!L127),Y127=0),1,0)</f>
        <v>0</v>
      </c>
      <c r="AA127" s="7">
        <f>IF(Z127=1,IFERROR(VALUE(SUBSTITUTE(SUBSTITUTE(SUBSTITUTE(SUBSTITUTE(SUBSTITUTE(UPPER(Raw_Bookings!L127),"RS.",""),"₹",""),",","")," ",""),"INR","")),""),"")</f>
        <v/>
      </c>
      <c r="AB127" s="7">
        <f>IF(AND(Z127=1,ISNUMBER(AA127)),1,0)</f>
        <v>0</v>
      </c>
      <c r="AC127" s="7">
        <f>IF(B127=1,0,IF(NOT(ISNUMBER(Raw_Bookings!J127)),1,IF(Raw_Bookings!J127&lt;&gt;COUNTIFS(Work_Passengers!$B$2:$B$1336,Raw_Bookings!A127,Work_Passengers!$C$2:$C$1336,0),1,0)))</f>
        <v>1</v>
      </c>
    </row>
    <row r="128" spans="1:29">
      <c r="A128" s="7">
        <f>Raw_Bookings!A128</f>
        <v>1038289</v>
      </c>
      <c r="B128" s="7">
        <f>IF(COUNTIF(Raw_Bookings!$A$2:A128,Raw_Bookings!A128)&gt;1,1,0)</f>
        <v>0</v>
      </c>
      <c r="C128" s="7" t="str">
        <f>Raw_Bookings!D128&amp;""</f>
        <v>2025-01-15</v>
      </c>
      <c r="D128" s="7" t="str">
        <f>IF(AND(LEN(C128)=10,MID(C128,5,1)="-",MID(C128,8,1)="-"),"ISO",IF(AND(LEN(C128)=10,MID(C128,3,1)="-",MID(C128,6,1)="-"),"DMY","OTHER"))</f>
        <v>ISO</v>
      </c>
      <c r="E128" s="7">
        <f>IF(D128="ISO",VALUE(LEFT(C128,4)),IF(D128="DMY",VALUE(RIGHT(C128,4)),0))</f>
        <v>2025</v>
      </c>
      <c r="F128" s="7">
        <f>IF(D128="ISO",VALUE(MID(C128,6,2)),IF(D128="DMY",VALUE(MID(C128,4,2)),0))</f>
        <v>1</v>
      </c>
      <c r="G128" s="7">
        <f>IF(D128="ISO",VALUE(RIGHT(C128,2)),IF(D128="DMY",VALUE(LEFT(C128,2)),0))</f>
        <v>15</v>
      </c>
      <c r="H128" s="7">
        <f>IF(AND(D128&lt;&gt;"OTHER",F128&gt;=1,F128&lt;=12,G128&gt;=1,G128&lt;=31),IF(AND(MONTH(DATE(E128,F128,G128))=F128,DAY(DATE(E128,F128,G128))=G128),1,0),0)</f>
        <v>1</v>
      </c>
      <c r="I128" s="7">
        <f>IF(H128=1,DATE(E128,F128,G128),"")</f>
        <v>45672.0</v>
      </c>
      <c r="J128" s="7">
        <f>IF(AND(D128="DMY",H128=1),1,0)</f>
        <v>0</v>
      </c>
      <c r="K128" s="7">
        <f>IF(H128=0,1,0)</f>
        <v>0</v>
      </c>
      <c r="L128" s="7">
        <f>IF(TRIM(Raw_Bookings!I128&amp;"")="",1,0)</f>
        <v>0</v>
      </c>
      <c r="M128" s="7">
        <f>IF(L128=1,"",DATEVALUE(LEFT(Raw_Bookings!I128,10))+TIMEVALUE(MID(Raw_Bookings!I128,12,8)))</f>
        <v>45662.075578703705</v>
      </c>
      <c r="N128" s="7">
        <f>IF(AND(L128=0,H128=1),IF(INT(M128)&gt;I128,1,0),0)</f>
        <v>0</v>
      </c>
      <c r="O128" s="7" t="str">
        <f>UPPER(TRIM(Raw_Bookings!F128))</f>
        <v>DEL</v>
      </c>
      <c r="P128" s="7" t="str">
        <f>UPPER(TRIM(Raw_Bookings!G128))</f>
        <v>DIB</v>
      </c>
      <c r="Q128" s="7">
        <f>IF(COUNTIF(Lookup_Stations!$A$2:$A$33,O128)&gt;0,1,0)</f>
        <v>1</v>
      </c>
      <c r="R128" s="7">
        <f>IF(COUNTIF(Lookup_Stations!$A$2:$A$33,P128)&gt;0,1,0)</f>
        <v>1</v>
      </c>
      <c r="S128" s="7">
        <f>IF(OR(AND(Q128=1,NOT(EXACT(Raw_Bookings!F128,O128))),AND(R128=1,NOT(EXACT(Raw_Bookings!G128,P128)))),1,0)</f>
        <v>0</v>
      </c>
      <c r="T128" s="7">
        <f>IF(OR(Q128=0,R128=0),1,0)</f>
        <v>0</v>
      </c>
      <c r="U128" s="7">
        <f>IF(TRIM(Raw_Bookings!E128&amp;"")="",1,0)</f>
        <v>0</v>
      </c>
      <c r="V128" s="7" t="str">
        <f>IF(SUMPRODUCT(--(Lookup_Status!$A$2:$A$13=LOWER(TRIM(Raw_Bookings!K128))))=0,"",INDEX(Lookup_Status!$B$2:$B$13,SUMPRODUCT((Lookup_Status!$A$2:$A$13=LOWER(TRIM(Raw_Bookings!K128)))*(ROW(Lookup_Status!$A$2:$A$13)-1))))</f>
        <v>Confirmed</v>
      </c>
      <c r="W128" s="7">
        <f>IF(AND(V128&lt;&gt;"",NOT(EXACT(Raw_Bookings!K128,V128))),1,0)</f>
        <v>0</v>
      </c>
      <c r="X128" s="7">
        <f>IF(V128="",1,0)</f>
        <v>0</v>
      </c>
      <c r="Y128" s="7">
        <f>IF(TRIM(Raw_Bookings!L128&amp;"")="",1,0)</f>
        <v>0</v>
      </c>
      <c r="Z128" s="7">
        <f>IF(AND(ISTEXT(Raw_Bookings!L128),Y128=0),1,0)</f>
        <v>0</v>
      </c>
      <c r="AA128" s="7">
        <f>IF(Z128=1,IFERROR(VALUE(SUBSTITUTE(SUBSTITUTE(SUBSTITUTE(SUBSTITUTE(SUBSTITUTE(UPPER(Raw_Bookings!L128),"RS.",""),"₹",""),",","")," ",""),"INR","")),""),"")</f>
        <v/>
      </c>
      <c r="AB128" s="7">
        <f>IF(AND(Z128=1,ISNUMBER(AA128)),1,0)</f>
        <v>0</v>
      </c>
      <c r="AC128" s="7">
        <f>IF(B128=1,0,IF(NOT(ISNUMBER(Raw_Bookings!J128)),1,IF(Raw_Bookings!J128&lt;&gt;COUNTIFS(Work_Passengers!$B$2:$B$1336,Raw_Bookings!A128,Work_Passengers!$C$2:$C$1336,0),1,0)))</f>
        <v>0</v>
      </c>
    </row>
    <row r="129" spans="1:29">
      <c r="A129" s="7">
        <f>Raw_Bookings!A129</f>
        <v>1038662</v>
      </c>
      <c r="B129" s="7">
        <f>IF(COUNTIF(Raw_Bookings!$A$2:A129,Raw_Bookings!A129)&gt;1,1,0)</f>
        <v>0</v>
      </c>
      <c r="C129" s="7" t="str">
        <f>Raw_Bookings!D129&amp;""</f>
        <v>2025-01-29</v>
      </c>
      <c r="D129" s="7" t="str">
        <f>IF(AND(LEN(C129)=10,MID(C129,5,1)="-",MID(C129,8,1)="-"),"ISO",IF(AND(LEN(C129)=10,MID(C129,3,1)="-",MID(C129,6,1)="-"),"DMY","OTHER"))</f>
        <v>ISO</v>
      </c>
      <c r="E129" s="7">
        <f>IF(D129="ISO",VALUE(LEFT(C129,4)),IF(D129="DMY",VALUE(RIGHT(C129,4)),0))</f>
        <v>2025</v>
      </c>
      <c r="F129" s="7">
        <f>IF(D129="ISO",VALUE(MID(C129,6,2)),IF(D129="DMY",VALUE(MID(C129,4,2)),0))</f>
        <v>1</v>
      </c>
      <c r="G129" s="7">
        <f>IF(D129="ISO",VALUE(RIGHT(C129,2)),IF(D129="DMY",VALUE(LEFT(C129,2)),0))</f>
        <v>29</v>
      </c>
      <c r="H129" s="7">
        <f>IF(AND(D129&lt;&gt;"OTHER",F129&gt;=1,F129&lt;=12,G129&gt;=1,G129&lt;=31),IF(AND(MONTH(DATE(E129,F129,G129))=F129,DAY(DATE(E129,F129,G129))=G129),1,0),0)</f>
        <v>1</v>
      </c>
      <c r="I129" s="7">
        <f>IF(H129=1,DATE(E129,F129,G129),"")</f>
        <v>45686.0</v>
      </c>
      <c r="J129" s="7">
        <f>IF(AND(D129="DMY",H129=1),1,0)</f>
        <v>0</v>
      </c>
      <c r="K129" s="7">
        <f>IF(H129=0,1,0)</f>
        <v>0</v>
      </c>
      <c r="L129" s="7">
        <f>IF(TRIM(Raw_Bookings!I129&amp;"")="",1,0)</f>
        <v>0</v>
      </c>
      <c r="M129" s="7">
        <f>IF(L129=1,"",DATEVALUE(LEFT(Raw_Bookings!I129,10))+TIMEVALUE(MID(Raw_Bookings!I129,12,8)))</f>
        <v>45663.56668981481</v>
      </c>
      <c r="N129" s="7">
        <f>IF(AND(L129=0,H129=1),IF(INT(M129)&gt;I129,1,0),0)</f>
        <v>0</v>
      </c>
      <c r="O129" s="7" t="str">
        <f>UPPER(TRIM(Raw_Bookings!F129))</f>
        <v>VIS</v>
      </c>
      <c r="P129" s="7" t="str">
        <f>UPPER(TRIM(Raw_Bookings!G129))</f>
        <v>CHA</v>
      </c>
      <c r="Q129" s="7">
        <f>IF(COUNTIF(Lookup_Stations!$A$2:$A$33,O129)&gt;0,1,0)</f>
        <v>1</v>
      </c>
      <c r="R129" s="7">
        <f>IF(COUNTIF(Lookup_Stations!$A$2:$A$33,P129)&gt;0,1,0)</f>
        <v>1</v>
      </c>
      <c r="S129" s="7">
        <f>IF(OR(AND(Q129=1,NOT(EXACT(Raw_Bookings!F129,O129))),AND(R129=1,NOT(EXACT(Raw_Bookings!G129,P129)))),1,0)</f>
        <v>0</v>
      </c>
      <c r="T129" s="7">
        <f>IF(OR(Q129=0,R129=0),1,0)</f>
        <v>0</v>
      </c>
      <c r="U129" s="7">
        <f>IF(TRIM(Raw_Bookings!E129&amp;"")="",1,0)</f>
        <v>0</v>
      </c>
      <c r="V129" s="7" t="str">
        <f>IF(SUMPRODUCT(--(Lookup_Status!$A$2:$A$13=LOWER(TRIM(Raw_Bookings!K129))))=0,"",INDEX(Lookup_Status!$B$2:$B$13,SUMPRODUCT((Lookup_Status!$A$2:$A$13=LOWER(TRIM(Raw_Bookings!K129)))*(ROW(Lookup_Status!$A$2:$A$13)-1))))</f>
        <v>Confirmed</v>
      </c>
      <c r="W129" s="7">
        <f>IF(AND(V129&lt;&gt;"",NOT(EXACT(Raw_Bookings!K129,V129))),1,0)</f>
        <v>0</v>
      </c>
      <c r="X129" s="7">
        <f>IF(V129="",1,0)</f>
        <v>0</v>
      </c>
      <c r="Y129" s="7">
        <f>IF(TRIM(Raw_Bookings!L129&amp;"")="",1,0)</f>
        <v>0</v>
      </c>
      <c r="Z129" s="7">
        <f>IF(AND(ISTEXT(Raw_Bookings!L129),Y129=0),1,0)</f>
        <v>0</v>
      </c>
      <c r="AA129" s="7">
        <f>IF(Z129=1,IFERROR(VALUE(SUBSTITUTE(SUBSTITUTE(SUBSTITUTE(SUBSTITUTE(SUBSTITUTE(UPPER(Raw_Bookings!L129),"RS.",""),"₹",""),",","")," ",""),"INR","")),""),"")</f>
        <v/>
      </c>
      <c r="AB129" s="7">
        <f>IF(AND(Z129=1,ISNUMBER(AA129)),1,0)</f>
        <v>0</v>
      </c>
      <c r="AC129" s="7">
        <f>IF(B129=1,0,IF(NOT(ISNUMBER(Raw_Bookings!J129)),1,IF(Raw_Bookings!J129&lt;&gt;COUNTIFS(Work_Passengers!$B$2:$B$1336,Raw_Bookings!A129,Work_Passengers!$C$2:$C$1336,0),1,0)))</f>
        <v>0</v>
      </c>
    </row>
    <row r="130" spans="1:29">
      <c r="A130" s="7">
        <f>Raw_Bookings!A130</f>
        <v>1038708</v>
      </c>
      <c r="B130" s="7">
        <f>IF(COUNTIF(Raw_Bookings!$A$2:A130,Raw_Bookings!A130)&gt;1,1,0)</f>
        <v>0</v>
      </c>
      <c r="C130" s="7" t="str">
        <f>Raw_Bookings!D130&amp;""</f>
        <v>2025-02-23</v>
      </c>
      <c r="D130" s="7" t="str">
        <f>IF(AND(LEN(C130)=10,MID(C130,5,1)="-",MID(C130,8,1)="-"),"ISO",IF(AND(LEN(C130)=10,MID(C130,3,1)="-",MID(C130,6,1)="-"),"DMY","OTHER"))</f>
        <v>ISO</v>
      </c>
      <c r="E130" s="7">
        <f>IF(D130="ISO",VALUE(LEFT(C130,4)),IF(D130="DMY",VALUE(RIGHT(C130,4)),0))</f>
        <v>2025</v>
      </c>
      <c r="F130" s="7">
        <f>IF(D130="ISO",VALUE(MID(C130,6,2)),IF(D130="DMY",VALUE(MID(C130,4,2)),0))</f>
        <v>2</v>
      </c>
      <c r="G130" s="7">
        <f>IF(D130="ISO",VALUE(RIGHT(C130,2)),IF(D130="DMY",VALUE(LEFT(C130,2)),0))</f>
        <v>23</v>
      </c>
      <c r="H130" s="7">
        <f>IF(AND(D130&lt;&gt;"OTHER",F130&gt;=1,F130&lt;=12,G130&gt;=1,G130&lt;=31),IF(AND(MONTH(DATE(E130,F130,G130))=F130,DAY(DATE(E130,F130,G130))=G130),1,0),0)</f>
        <v>1</v>
      </c>
      <c r="I130" s="7">
        <f>IF(H130=1,DATE(E130,F130,G130),"")</f>
        <v>45711.0</v>
      </c>
      <c r="J130" s="7">
        <f>IF(AND(D130="DMY",H130=1),1,0)</f>
        <v>0</v>
      </c>
      <c r="K130" s="7">
        <f>IF(H130=0,1,0)</f>
        <v>0</v>
      </c>
      <c r="L130" s="7">
        <f>IF(TRIM(Raw_Bookings!I130&amp;"")="",1,0)</f>
        <v>0</v>
      </c>
      <c r="M130" s="7">
        <f>IF(L130=1,"",DATEVALUE(LEFT(Raw_Bookings!I130,10))+TIMEVALUE(MID(Raw_Bookings!I130,12,8)))</f>
        <v>45663.70253472222</v>
      </c>
      <c r="N130" s="7">
        <f>IF(AND(L130=0,H130=1),IF(INT(M130)&gt;I130,1,0),0)</f>
        <v>0</v>
      </c>
      <c r="O130" s="7" t="str">
        <f>UPPER(TRIM(Raw_Bookings!F130))</f>
        <v>MUM</v>
      </c>
      <c r="P130" s="7" t="str">
        <f>UPPER(TRIM(Raw_Bookings!G130))</f>
        <v>BEN</v>
      </c>
      <c r="Q130" s="7">
        <f>IF(COUNTIF(Lookup_Stations!$A$2:$A$33,O130)&gt;0,1,0)</f>
        <v>1</v>
      </c>
      <c r="R130" s="7">
        <f>IF(COUNTIF(Lookup_Stations!$A$2:$A$33,P130)&gt;0,1,0)</f>
        <v>1</v>
      </c>
      <c r="S130" s="7">
        <f>IF(OR(AND(Q130=1,NOT(EXACT(Raw_Bookings!F130,O130))),AND(R130=1,NOT(EXACT(Raw_Bookings!G130,P130)))),1,0)</f>
        <v>0</v>
      </c>
      <c r="T130" s="7">
        <f>IF(OR(Q130=0,R130=0),1,0)</f>
        <v>0</v>
      </c>
      <c r="U130" s="7">
        <f>IF(TRIM(Raw_Bookings!E130&amp;"")="",1,0)</f>
        <v>0</v>
      </c>
      <c r="V130" s="7" t="str">
        <f>IF(SUMPRODUCT(--(Lookup_Status!$A$2:$A$13=LOWER(TRIM(Raw_Bookings!K130))))=0,"",INDEX(Lookup_Status!$B$2:$B$13,SUMPRODUCT((Lookup_Status!$A$2:$A$13=LOWER(TRIM(Raw_Bookings!K130)))*(ROW(Lookup_Status!$A$2:$A$13)-1))))</f>
        <v>Cancelled</v>
      </c>
      <c r="W130" s="7">
        <f>IF(AND(V130&lt;&gt;"",NOT(EXACT(Raw_Bookings!K130,V130))),1,0)</f>
        <v>0</v>
      </c>
      <c r="X130" s="7">
        <f>IF(V130="",1,0)</f>
        <v>0</v>
      </c>
      <c r="Y130" s="7">
        <f>IF(TRIM(Raw_Bookings!L130&amp;"")="",1,0)</f>
        <v>0</v>
      </c>
      <c r="Z130" s="7">
        <f>IF(AND(ISTEXT(Raw_Bookings!L130),Y130=0),1,0)</f>
        <v>0</v>
      </c>
      <c r="AA130" s="7">
        <f>IF(Z130=1,IFERROR(VALUE(SUBSTITUTE(SUBSTITUTE(SUBSTITUTE(SUBSTITUTE(SUBSTITUTE(UPPER(Raw_Bookings!L130),"RS.",""),"₹",""),",","")," ",""),"INR","")),""),"")</f>
        <v/>
      </c>
      <c r="AB130" s="7">
        <f>IF(AND(Z130=1,ISNUMBER(AA130)),1,0)</f>
        <v>0</v>
      </c>
      <c r="AC130" s="7">
        <f>IF(B130=1,0,IF(NOT(ISNUMBER(Raw_Bookings!J130)),1,IF(Raw_Bookings!J130&lt;&gt;COUNTIFS(Work_Passengers!$B$2:$B$1336,Raw_Bookings!A130,Work_Passengers!$C$2:$C$1336,0),1,0)))</f>
        <v>0</v>
      </c>
    </row>
    <row r="131" spans="1:29">
      <c r="A131" s="7">
        <f>Raw_Bookings!A131</f>
        <v>1038813</v>
      </c>
      <c r="B131" s="7">
        <f>IF(COUNTIF(Raw_Bookings!$A$2:A131,Raw_Bookings!A131)&gt;1,1,0)</f>
        <v>0</v>
      </c>
      <c r="C131" s="7" t="str">
        <f>Raw_Bookings!D131&amp;""</f>
        <v>2025-01-07</v>
      </c>
      <c r="D131" s="7" t="str">
        <f>IF(AND(LEN(C131)=10,MID(C131,5,1)="-",MID(C131,8,1)="-"),"ISO",IF(AND(LEN(C131)=10,MID(C131,3,1)="-",MID(C131,6,1)="-"),"DMY","OTHER"))</f>
        <v>ISO</v>
      </c>
      <c r="E131" s="7">
        <f>IF(D131="ISO",VALUE(LEFT(C131,4)),IF(D131="DMY",VALUE(RIGHT(C131,4)),0))</f>
        <v>2025</v>
      </c>
      <c r="F131" s="7">
        <f>IF(D131="ISO",VALUE(MID(C131,6,2)),IF(D131="DMY",VALUE(MID(C131,4,2)),0))</f>
        <v>1</v>
      </c>
      <c r="G131" s="7">
        <f>IF(D131="ISO",VALUE(RIGHT(C131,2)),IF(D131="DMY",VALUE(LEFT(C131,2)),0))</f>
        <v>7</v>
      </c>
      <c r="H131" s="7">
        <f>IF(AND(D131&lt;&gt;"OTHER",F131&gt;=1,F131&lt;=12,G131&gt;=1,G131&lt;=31),IF(AND(MONTH(DATE(E131,F131,G131))=F131,DAY(DATE(E131,F131,G131))=G131),1,0),0)</f>
        <v>1</v>
      </c>
      <c r="I131" s="7">
        <f>IF(H131=1,DATE(E131,F131,G131),"")</f>
        <v>45664.0</v>
      </c>
      <c r="J131" s="7">
        <f>IF(AND(D131="DMY",H131=1),1,0)</f>
        <v>0</v>
      </c>
      <c r="K131" s="7">
        <f>IF(H131=0,1,0)</f>
        <v>0</v>
      </c>
      <c r="L131" s="7">
        <f>IF(TRIM(Raw_Bookings!I131&amp;"")="",1,0)</f>
        <v>0</v>
      </c>
      <c r="M131" s="7">
        <f>IF(L131=1,"",DATEVALUE(LEFT(Raw_Bookings!I131,10))+TIMEVALUE(MID(Raw_Bookings!I131,12,8)))</f>
        <v>45663.93247685185</v>
      </c>
      <c r="N131" s="7">
        <f>IF(AND(L131=0,H131=1),IF(INT(M131)&gt;I131,1,0),0)</f>
        <v>0</v>
      </c>
      <c r="O131" s="7" t="str">
        <f>UPPER(TRIM(Raw_Bookings!F131))</f>
        <v>MUM</v>
      </c>
      <c r="P131" s="7" t="str">
        <f>UPPER(TRIM(Raw_Bookings!G131))</f>
        <v>BEN</v>
      </c>
      <c r="Q131" s="7">
        <f>IF(COUNTIF(Lookup_Stations!$A$2:$A$33,O131)&gt;0,1,0)</f>
        <v>1</v>
      </c>
      <c r="R131" s="7">
        <f>IF(COUNTIF(Lookup_Stations!$A$2:$A$33,P131)&gt;0,1,0)</f>
        <v>1</v>
      </c>
      <c r="S131" s="7">
        <f>IF(OR(AND(Q131=1,NOT(EXACT(Raw_Bookings!F131,O131))),AND(R131=1,NOT(EXACT(Raw_Bookings!G131,P131)))),1,0)</f>
        <v>1</v>
      </c>
      <c r="T131" s="7">
        <f>IF(OR(Q131=0,R131=0),1,0)</f>
        <v>0</v>
      </c>
      <c r="U131" s="7">
        <f>IF(TRIM(Raw_Bookings!E131&amp;"")="",1,0)</f>
        <v>0</v>
      </c>
      <c r="V131" s="7" t="str">
        <f>IF(SUMPRODUCT(--(Lookup_Status!$A$2:$A$13=LOWER(TRIM(Raw_Bookings!K131))))=0,"",INDEX(Lookup_Status!$B$2:$B$13,SUMPRODUCT((Lookup_Status!$A$2:$A$13=LOWER(TRIM(Raw_Bookings!K131)))*(ROW(Lookup_Status!$A$2:$A$13)-1))))</f>
        <v>Cancelled</v>
      </c>
      <c r="W131" s="7">
        <f>IF(AND(V131&lt;&gt;"",NOT(EXACT(Raw_Bookings!K131,V131))),1,0)</f>
        <v>0</v>
      </c>
      <c r="X131" s="7">
        <f>IF(V131="",1,0)</f>
        <v>0</v>
      </c>
      <c r="Y131" s="7">
        <f>IF(TRIM(Raw_Bookings!L131&amp;"")="",1,0)</f>
        <v>0</v>
      </c>
      <c r="Z131" s="7">
        <f>IF(AND(ISTEXT(Raw_Bookings!L131),Y131=0),1,0)</f>
        <v>0</v>
      </c>
      <c r="AA131" s="7">
        <f>IF(Z131=1,IFERROR(VALUE(SUBSTITUTE(SUBSTITUTE(SUBSTITUTE(SUBSTITUTE(SUBSTITUTE(UPPER(Raw_Bookings!L131),"RS.",""),"₹",""),",","")," ",""),"INR","")),""),"")</f>
        <v/>
      </c>
      <c r="AB131" s="7">
        <f>IF(AND(Z131=1,ISNUMBER(AA131)),1,0)</f>
        <v>0</v>
      </c>
      <c r="AC131" s="7">
        <f>IF(B131=1,0,IF(NOT(ISNUMBER(Raw_Bookings!J131)),1,IF(Raw_Bookings!J131&lt;&gt;COUNTIFS(Work_Passengers!$B$2:$B$1336,Raw_Bookings!A131,Work_Passengers!$C$2:$C$1336,0),1,0)))</f>
        <v>0</v>
      </c>
    </row>
    <row r="132" spans="1:29">
      <c r="A132" s="7">
        <f>Raw_Bookings!A132</f>
        <v>1041015</v>
      </c>
      <c r="B132" s="7">
        <f>IF(COUNTIF(Raw_Bookings!$A$2:A132,Raw_Bookings!A132)&gt;1,1,0)</f>
        <v>0</v>
      </c>
      <c r="C132" s="7" t="str">
        <f>Raw_Bookings!D132&amp;""</f>
        <v>2025-04-24</v>
      </c>
      <c r="D132" s="7" t="str">
        <f>IF(AND(LEN(C132)=10,MID(C132,5,1)="-",MID(C132,8,1)="-"),"ISO",IF(AND(LEN(C132)=10,MID(C132,3,1)="-",MID(C132,6,1)="-"),"DMY","OTHER"))</f>
        <v>ISO</v>
      </c>
      <c r="E132" s="7">
        <f>IF(D132="ISO",VALUE(LEFT(C132,4)),IF(D132="DMY",VALUE(RIGHT(C132,4)),0))</f>
        <v>2025</v>
      </c>
      <c r="F132" s="7">
        <f>IF(D132="ISO",VALUE(MID(C132,6,2)),IF(D132="DMY",VALUE(MID(C132,4,2)),0))</f>
        <v>4</v>
      </c>
      <c r="G132" s="7">
        <f>IF(D132="ISO",VALUE(RIGHT(C132,2)),IF(D132="DMY",VALUE(LEFT(C132,2)),0))</f>
        <v>24</v>
      </c>
      <c r="H132" s="7">
        <f>IF(AND(D132&lt;&gt;"OTHER",F132&gt;=1,F132&lt;=12,G132&gt;=1,G132&lt;=31),IF(AND(MONTH(DATE(E132,F132,G132))=F132,DAY(DATE(E132,F132,G132))=G132),1,0),0)</f>
        <v>1</v>
      </c>
      <c r="I132" s="7">
        <f>IF(H132=1,DATE(E132,F132,G132),"")</f>
        <v>45771.0</v>
      </c>
      <c r="J132" s="7">
        <f>IF(AND(D132="DMY",H132=1),1,0)</f>
        <v>0</v>
      </c>
      <c r="K132" s="7">
        <f>IF(H132=0,1,0)</f>
        <v>0</v>
      </c>
      <c r="L132" s="7">
        <f>IF(TRIM(Raw_Bookings!I132&amp;"")="",1,0)</f>
        <v>0</v>
      </c>
      <c r="M132" s="7">
        <f>IF(L132=1,"",DATEVALUE(LEFT(Raw_Bookings!I132,10))+TIMEVALUE(MID(Raw_Bookings!I132,12,8)))</f>
        <v>45673.379791666666</v>
      </c>
      <c r="N132" s="7">
        <f>IF(AND(L132=0,H132=1),IF(INT(M132)&gt;I132,1,0),0)</f>
        <v>0</v>
      </c>
      <c r="O132" s="7" t="str">
        <f>UPPER(TRIM(Raw_Bookings!F132))</f>
        <v>DIB</v>
      </c>
      <c r="P132" s="7" t="str">
        <f>UPPER(TRIM(Raw_Bookings!G132))</f>
        <v>DEL</v>
      </c>
      <c r="Q132" s="7">
        <f>IF(COUNTIF(Lookup_Stations!$A$2:$A$33,O132)&gt;0,1,0)</f>
        <v>1</v>
      </c>
      <c r="R132" s="7">
        <f>IF(COUNTIF(Lookup_Stations!$A$2:$A$33,P132)&gt;0,1,0)</f>
        <v>1</v>
      </c>
      <c r="S132" s="7">
        <f>IF(OR(AND(Q132=1,NOT(EXACT(Raw_Bookings!F132,O132))),AND(R132=1,NOT(EXACT(Raw_Bookings!G132,P132)))),1,0)</f>
        <v>0</v>
      </c>
      <c r="T132" s="7">
        <f>IF(OR(Q132=0,R132=0),1,0)</f>
        <v>0</v>
      </c>
      <c r="U132" s="7">
        <f>IF(TRIM(Raw_Bookings!E132&amp;"")="",1,0)</f>
        <v>0</v>
      </c>
      <c r="V132" s="7" t="str">
        <f>IF(SUMPRODUCT(--(Lookup_Status!$A$2:$A$13=LOWER(TRIM(Raw_Bookings!K132))))=0,"",INDEX(Lookup_Status!$B$2:$B$13,SUMPRODUCT((Lookup_Status!$A$2:$A$13=LOWER(TRIM(Raw_Bookings!K132)))*(ROW(Lookup_Status!$A$2:$A$13)-1))))</f>
        <v>Confirmed</v>
      </c>
      <c r="W132" s="7">
        <f>IF(AND(V132&lt;&gt;"",NOT(EXACT(Raw_Bookings!K132,V132))),1,0)</f>
        <v>0</v>
      </c>
      <c r="X132" s="7">
        <f>IF(V132="",1,0)</f>
        <v>0</v>
      </c>
      <c r="Y132" s="7">
        <f>IF(TRIM(Raw_Bookings!L132&amp;"")="",1,0)</f>
        <v>1</v>
      </c>
      <c r="Z132" s="7">
        <f>IF(AND(ISTEXT(Raw_Bookings!L132),Y132=0),1,0)</f>
        <v>0</v>
      </c>
      <c r="AA132" s="7">
        <f>IF(Z132=1,IFERROR(VALUE(SUBSTITUTE(SUBSTITUTE(SUBSTITUTE(SUBSTITUTE(SUBSTITUTE(UPPER(Raw_Bookings!L132),"RS.",""),"₹",""),",","")," ",""),"INR","")),""),"")</f>
        <v/>
      </c>
      <c r="AB132" s="7">
        <f>IF(AND(Z132=1,ISNUMBER(AA132)),1,0)</f>
        <v>0</v>
      </c>
      <c r="AC132" s="7">
        <f>IF(B132=1,0,IF(NOT(ISNUMBER(Raw_Bookings!J132)),1,IF(Raw_Bookings!J132&lt;&gt;COUNTIFS(Work_Passengers!$B$2:$B$1336,Raw_Bookings!A132,Work_Passengers!$C$2:$C$1336,0),1,0)))</f>
        <v>0</v>
      </c>
    </row>
    <row r="133" spans="1:29">
      <c r="A133" s="7">
        <f>Raw_Bookings!A133</f>
        <v>1041254</v>
      </c>
      <c r="B133" s="7">
        <f>IF(COUNTIF(Raw_Bookings!$A$2:A133,Raw_Bookings!A133)&gt;1,1,0)</f>
        <v>0</v>
      </c>
      <c r="C133" s="7" t="str">
        <f>Raw_Bookings!D133&amp;""</f>
        <v>2025-02-10</v>
      </c>
      <c r="D133" s="7" t="str">
        <f>IF(AND(LEN(C133)=10,MID(C133,5,1)="-",MID(C133,8,1)="-"),"ISO",IF(AND(LEN(C133)=10,MID(C133,3,1)="-",MID(C133,6,1)="-"),"DMY","OTHER"))</f>
        <v>ISO</v>
      </c>
      <c r="E133" s="7">
        <f>IF(D133="ISO",VALUE(LEFT(C133,4)),IF(D133="DMY",VALUE(RIGHT(C133,4)),0))</f>
        <v>2025</v>
      </c>
      <c r="F133" s="7">
        <f>IF(D133="ISO",VALUE(MID(C133,6,2)),IF(D133="DMY",VALUE(MID(C133,4,2)),0))</f>
        <v>2</v>
      </c>
      <c r="G133" s="7">
        <f>IF(D133="ISO",VALUE(RIGHT(C133,2)),IF(D133="DMY",VALUE(LEFT(C133,2)),0))</f>
        <v>10</v>
      </c>
      <c r="H133" s="7">
        <f>IF(AND(D133&lt;&gt;"OTHER",F133&gt;=1,F133&lt;=12,G133&gt;=1,G133&lt;=31),IF(AND(MONTH(DATE(E133,F133,G133))=F133,DAY(DATE(E133,F133,G133))=G133),1,0),0)</f>
        <v>1</v>
      </c>
      <c r="I133" s="7">
        <f>IF(H133=1,DATE(E133,F133,G133),"")</f>
        <v>45698.0</v>
      </c>
      <c r="J133" s="7">
        <f>IF(AND(D133="DMY",H133=1),1,0)</f>
        <v>0</v>
      </c>
      <c r="K133" s="7">
        <f>IF(H133=0,1,0)</f>
        <v>0</v>
      </c>
      <c r="L133" s="7">
        <f>IF(TRIM(Raw_Bookings!I133&amp;"")="",1,0)</f>
        <v>0</v>
      </c>
      <c r="M133" s="7">
        <f>IF(L133=1,"",DATEVALUE(LEFT(Raw_Bookings!I133,10))+TIMEVALUE(MID(Raw_Bookings!I133,12,8)))</f>
        <v>45674.30615740741</v>
      </c>
      <c r="N133" s="7">
        <f>IF(AND(L133=0,H133=1),IF(INT(M133)&gt;I133,1,0),0)</f>
        <v>0</v>
      </c>
      <c r="O133" s="7" t="str">
        <f>UPPER(TRIM(Raw_Bookings!F133))</f>
        <v>BHO</v>
      </c>
      <c r="P133" s="7" t="str">
        <f>UPPER(TRIM(Raw_Bookings!G133))</f>
        <v>GUW</v>
      </c>
      <c r="Q133" s="7">
        <f>IF(COUNTIF(Lookup_Stations!$A$2:$A$33,O133)&gt;0,1,0)</f>
        <v>1</v>
      </c>
      <c r="R133" s="7">
        <f>IF(COUNTIF(Lookup_Stations!$A$2:$A$33,P133)&gt;0,1,0)</f>
        <v>1</v>
      </c>
      <c r="S133" s="7">
        <f>IF(OR(AND(Q133=1,NOT(EXACT(Raw_Bookings!F133,O133))),AND(R133=1,NOT(EXACT(Raw_Bookings!G133,P133)))),1,0)</f>
        <v>0</v>
      </c>
      <c r="T133" s="7">
        <f>IF(OR(Q133=0,R133=0),1,0)</f>
        <v>0</v>
      </c>
      <c r="U133" s="7">
        <f>IF(TRIM(Raw_Bookings!E133&amp;"")="",1,0)</f>
        <v>0</v>
      </c>
      <c r="V133" s="7" t="str">
        <f>IF(SUMPRODUCT(--(Lookup_Status!$A$2:$A$13=LOWER(TRIM(Raw_Bookings!K133))))=0,"",INDEX(Lookup_Status!$B$2:$B$13,SUMPRODUCT((Lookup_Status!$A$2:$A$13=LOWER(TRIM(Raw_Bookings!K133)))*(ROW(Lookup_Status!$A$2:$A$13)-1))))</f>
        <v>Confirmed</v>
      </c>
      <c r="W133" s="7">
        <f>IF(AND(V133&lt;&gt;"",NOT(EXACT(Raw_Bookings!K133,V133))),1,0)</f>
        <v>0</v>
      </c>
      <c r="X133" s="7">
        <f>IF(V133="",1,0)</f>
        <v>0</v>
      </c>
      <c r="Y133" s="7">
        <f>IF(TRIM(Raw_Bookings!L133&amp;"")="",1,0)</f>
        <v>0</v>
      </c>
      <c r="Z133" s="7">
        <f>IF(AND(ISTEXT(Raw_Bookings!L133),Y133=0),1,0)</f>
        <v>0</v>
      </c>
      <c r="AA133" s="7">
        <f>IF(Z133=1,IFERROR(VALUE(SUBSTITUTE(SUBSTITUTE(SUBSTITUTE(SUBSTITUTE(SUBSTITUTE(UPPER(Raw_Bookings!L133),"RS.",""),"₹",""),",","")," ",""),"INR","")),""),"")</f>
        <v/>
      </c>
      <c r="AB133" s="7">
        <f>IF(AND(Z133=1,ISNUMBER(AA133)),1,0)</f>
        <v>0</v>
      </c>
      <c r="AC133" s="7">
        <f>IF(B133=1,0,IF(NOT(ISNUMBER(Raw_Bookings!J133)),1,IF(Raw_Bookings!J133&lt;&gt;COUNTIFS(Work_Passengers!$B$2:$B$1336,Raw_Bookings!A133,Work_Passengers!$C$2:$C$1336,0),1,0)))</f>
        <v>0</v>
      </c>
    </row>
    <row r="134" spans="1:29">
      <c r="A134" s="7">
        <f>Raw_Bookings!A134</f>
        <v>1041316</v>
      </c>
      <c r="B134" s="7">
        <f>IF(COUNTIF(Raw_Bookings!$A$2:A134,Raw_Bookings!A134)&gt;1,1,0)</f>
        <v>0</v>
      </c>
      <c r="C134" s="7" t="str">
        <f>Raw_Bookings!D134&amp;""</f>
        <v>2025-01-19</v>
      </c>
      <c r="D134" s="7" t="str">
        <f>IF(AND(LEN(C134)=10,MID(C134,5,1)="-",MID(C134,8,1)="-"),"ISO",IF(AND(LEN(C134)=10,MID(C134,3,1)="-",MID(C134,6,1)="-"),"DMY","OTHER"))</f>
        <v>ISO</v>
      </c>
      <c r="E134" s="7">
        <f>IF(D134="ISO",VALUE(LEFT(C134,4)),IF(D134="DMY",VALUE(RIGHT(C134,4)),0))</f>
        <v>2025</v>
      </c>
      <c r="F134" s="7">
        <f>IF(D134="ISO",VALUE(MID(C134,6,2)),IF(D134="DMY",VALUE(MID(C134,4,2)),0))</f>
        <v>1</v>
      </c>
      <c r="G134" s="7">
        <f>IF(D134="ISO",VALUE(RIGHT(C134,2)),IF(D134="DMY",VALUE(LEFT(C134,2)),0))</f>
        <v>19</v>
      </c>
      <c r="H134" s="7">
        <f>IF(AND(D134&lt;&gt;"OTHER",F134&gt;=1,F134&lt;=12,G134&gt;=1,G134&lt;=31),IF(AND(MONTH(DATE(E134,F134,G134))=F134,DAY(DATE(E134,F134,G134))=G134),1,0),0)</f>
        <v>1</v>
      </c>
      <c r="I134" s="7">
        <f>IF(H134=1,DATE(E134,F134,G134),"")</f>
        <v>45676.0</v>
      </c>
      <c r="J134" s="7">
        <f>IF(AND(D134="DMY",H134=1),1,0)</f>
        <v>0</v>
      </c>
      <c r="K134" s="7">
        <f>IF(H134=0,1,0)</f>
        <v>0</v>
      </c>
      <c r="L134" s="7">
        <f>IF(TRIM(Raw_Bookings!I134&amp;"")="",1,0)</f>
        <v>0</v>
      </c>
      <c r="M134" s="7">
        <f>IF(L134=1,"",DATEVALUE(LEFT(Raw_Bookings!I134,10))+TIMEVALUE(MID(Raw_Bookings!I134,12,8)))</f>
        <v>45674.44359953704</v>
      </c>
      <c r="N134" s="7">
        <f>IF(AND(L134=0,H134=1),IF(INT(M134)&gt;I134,1,0),0)</f>
        <v>0</v>
      </c>
      <c r="O134" s="7" t="str">
        <f>UPPER(TRIM(Raw_Bookings!F134))</f>
        <v>KOL</v>
      </c>
      <c r="P134" s="7" t="str">
        <f>UPPER(TRIM(Raw_Bookings!G134))</f>
        <v>HYD</v>
      </c>
      <c r="Q134" s="7">
        <f>IF(COUNTIF(Lookup_Stations!$A$2:$A$33,O134)&gt;0,1,0)</f>
        <v>1</v>
      </c>
      <c r="R134" s="7">
        <f>IF(COUNTIF(Lookup_Stations!$A$2:$A$33,P134)&gt;0,1,0)</f>
        <v>1</v>
      </c>
      <c r="S134" s="7">
        <f>IF(OR(AND(Q134=1,NOT(EXACT(Raw_Bookings!F134,O134))),AND(R134=1,NOT(EXACT(Raw_Bookings!G134,P134)))),1,0)</f>
        <v>0</v>
      </c>
      <c r="T134" s="7">
        <f>IF(OR(Q134=0,R134=0),1,0)</f>
        <v>0</v>
      </c>
      <c r="U134" s="7">
        <f>IF(TRIM(Raw_Bookings!E134&amp;"")="",1,0)</f>
        <v>0</v>
      </c>
      <c r="V134" s="7" t="str">
        <f>IF(SUMPRODUCT(--(Lookup_Status!$A$2:$A$13=LOWER(TRIM(Raw_Bookings!K134))))=0,"",INDEX(Lookup_Status!$B$2:$B$13,SUMPRODUCT((Lookup_Status!$A$2:$A$13=LOWER(TRIM(Raw_Bookings!K134)))*(ROW(Lookup_Status!$A$2:$A$13)-1))))</f>
        <v>RAC</v>
      </c>
      <c r="W134" s="7">
        <f>IF(AND(V134&lt;&gt;"",NOT(EXACT(Raw_Bookings!K134,V134))),1,0)</f>
        <v>0</v>
      </c>
      <c r="X134" s="7">
        <f>IF(V134="",1,0)</f>
        <v>0</v>
      </c>
      <c r="Y134" s="7">
        <f>IF(TRIM(Raw_Bookings!L134&amp;"")="",1,0)</f>
        <v>0</v>
      </c>
      <c r="Z134" s="7">
        <f>IF(AND(ISTEXT(Raw_Bookings!L134),Y134=0),1,0)</f>
        <v>0</v>
      </c>
      <c r="AA134" s="7">
        <f>IF(Z134=1,IFERROR(VALUE(SUBSTITUTE(SUBSTITUTE(SUBSTITUTE(SUBSTITUTE(SUBSTITUTE(UPPER(Raw_Bookings!L134),"RS.",""),"₹",""),",","")," ",""),"INR","")),""),"")</f>
        <v/>
      </c>
      <c r="AB134" s="7">
        <f>IF(AND(Z134=1,ISNUMBER(AA134)),1,0)</f>
        <v>0</v>
      </c>
      <c r="AC134" s="7">
        <f>IF(B134=1,0,IF(NOT(ISNUMBER(Raw_Bookings!J134)),1,IF(Raw_Bookings!J134&lt;&gt;COUNTIFS(Work_Passengers!$B$2:$B$1336,Raw_Bookings!A134,Work_Passengers!$C$2:$C$1336,0),1,0)))</f>
        <v>0</v>
      </c>
    </row>
    <row r="135" spans="1:29">
      <c r="A135" s="7">
        <f>Raw_Bookings!A135</f>
        <v>1041842</v>
      </c>
      <c r="B135" s="7">
        <f>IF(COUNTIF(Raw_Bookings!$A$2:A135,Raw_Bookings!A135)&gt;1,1,0)</f>
        <v>0</v>
      </c>
      <c r="C135" s="7" t="str">
        <f>Raw_Bookings!D135&amp;""</f>
        <v>2025-02-05</v>
      </c>
      <c r="D135" s="7" t="str">
        <f>IF(AND(LEN(C135)=10,MID(C135,5,1)="-",MID(C135,8,1)="-"),"ISO",IF(AND(LEN(C135)=10,MID(C135,3,1)="-",MID(C135,6,1)="-"),"DMY","OTHER"))</f>
        <v>ISO</v>
      </c>
      <c r="E135" s="7">
        <f>IF(D135="ISO",VALUE(LEFT(C135,4)),IF(D135="DMY",VALUE(RIGHT(C135,4)),0))</f>
        <v>2025</v>
      </c>
      <c r="F135" s="7">
        <f>IF(D135="ISO",VALUE(MID(C135,6,2)),IF(D135="DMY",VALUE(MID(C135,4,2)),0))</f>
        <v>2</v>
      </c>
      <c r="G135" s="7">
        <f>IF(D135="ISO",VALUE(RIGHT(C135,2)),IF(D135="DMY",VALUE(LEFT(C135,2)),0))</f>
        <v>5</v>
      </c>
      <c r="H135" s="7">
        <f>IF(AND(D135&lt;&gt;"OTHER",F135&gt;=1,F135&lt;=12,G135&gt;=1,G135&lt;=31),IF(AND(MONTH(DATE(E135,F135,G135))=F135,DAY(DATE(E135,F135,G135))=G135),1,0),0)</f>
        <v>1</v>
      </c>
      <c r="I135" s="7">
        <f>IF(H135=1,DATE(E135,F135,G135),"")</f>
        <v>45693.0</v>
      </c>
      <c r="J135" s="7">
        <f>IF(AND(D135="DMY",H135=1),1,0)</f>
        <v>0</v>
      </c>
      <c r="K135" s="7">
        <f>IF(H135=0,1,0)</f>
        <v>0</v>
      </c>
      <c r="L135" s="7">
        <f>IF(TRIM(Raw_Bookings!I135&amp;"")="",1,0)</f>
        <v>0</v>
      </c>
      <c r="M135" s="7">
        <f>IF(L135=1,"",DATEVALUE(LEFT(Raw_Bookings!I135,10))+TIMEVALUE(MID(Raw_Bookings!I135,12,8)))</f>
        <v>45676.35219907408</v>
      </c>
      <c r="N135" s="7">
        <f>IF(AND(L135=0,H135=1),IF(INT(M135)&gt;I135,1,0),0)</f>
        <v>0</v>
      </c>
      <c r="O135" s="7" t="str">
        <f>UPPER(TRIM(Raw_Bookings!F135))</f>
        <v>MAU</v>
      </c>
      <c r="P135" s="7" t="str">
        <f>UPPER(TRIM(Raw_Bookings!G135))</f>
        <v>DEL</v>
      </c>
      <c r="Q135" s="7">
        <f>IF(COUNTIF(Lookup_Stations!$A$2:$A$33,O135)&gt;0,1,0)</f>
        <v>1</v>
      </c>
      <c r="R135" s="7">
        <f>IF(COUNTIF(Lookup_Stations!$A$2:$A$33,P135)&gt;0,1,0)</f>
        <v>1</v>
      </c>
      <c r="S135" s="7">
        <f>IF(OR(AND(Q135=1,NOT(EXACT(Raw_Bookings!F135,O135))),AND(R135=1,NOT(EXACT(Raw_Bookings!G135,P135)))),1,0)</f>
        <v>0</v>
      </c>
      <c r="T135" s="7">
        <f>IF(OR(Q135=0,R135=0),1,0)</f>
        <v>0</v>
      </c>
      <c r="U135" s="7">
        <f>IF(TRIM(Raw_Bookings!E135&amp;"")="",1,0)</f>
        <v>0</v>
      </c>
      <c r="V135" s="7" t="str">
        <f>IF(SUMPRODUCT(--(Lookup_Status!$A$2:$A$13=LOWER(TRIM(Raw_Bookings!K135))))=0,"",INDEX(Lookup_Status!$B$2:$B$13,SUMPRODUCT((Lookup_Status!$A$2:$A$13=LOWER(TRIM(Raw_Bookings!K135)))*(ROW(Lookup_Status!$A$2:$A$13)-1))))</f>
        <v>Confirmed</v>
      </c>
      <c r="W135" s="7">
        <f>IF(AND(V135&lt;&gt;"",NOT(EXACT(Raw_Bookings!K135,V135))),1,0)</f>
        <v>0</v>
      </c>
      <c r="X135" s="7">
        <f>IF(V135="",1,0)</f>
        <v>0</v>
      </c>
      <c r="Y135" s="7">
        <f>IF(TRIM(Raw_Bookings!L135&amp;"")="",1,0)</f>
        <v>0</v>
      </c>
      <c r="Z135" s="7">
        <f>IF(AND(ISTEXT(Raw_Bookings!L135),Y135=0),1,0)</f>
        <v>0</v>
      </c>
      <c r="AA135" s="7">
        <f>IF(Z135=1,IFERROR(VALUE(SUBSTITUTE(SUBSTITUTE(SUBSTITUTE(SUBSTITUTE(SUBSTITUTE(UPPER(Raw_Bookings!L135),"RS.",""),"₹",""),",","")," ",""),"INR","")),""),"")</f>
        <v/>
      </c>
      <c r="AB135" s="7">
        <f>IF(AND(Z135=1,ISNUMBER(AA135)),1,0)</f>
        <v>0</v>
      </c>
      <c r="AC135" s="7">
        <f>IF(B135=1,0,IF(NOT(ISNUMBER(Raw_Bookings!J135)),1,IF(Raw_Bookings!J135&lt;&gt;COUNTIFS(Work_Passengers!$B$2:$B$1336,Raw_Bookings!A135,Work_Passengers!$C$2:$C$1336,0),1,0)))</f>
        <v>1</v>
      </c>
    </row>
    <row r="136" spans="1:29">
      <c r="A136" s="7">
        <f>Raw_Bookings!A136</f>
        <v>1042485</v>
      </c>
      <c r="B136" s="7">
        <f>IF(COUNTIF(Raw_Bookings!$A$2:A136,Raw_Bookings!A136)&gt;1,1,0)</f>
        <v>0</v>
      </c>
      <c r="C136" s="7" t="str">
        <f>Raw_Bookings!D136&amp;""</f>
        <v>2025-03-11</v>
      </c>
      <c r="D136" s="7" t="str">
        <f>IF(AND(LEN(C136)=10,MID(C136,5,1)="-",MID(C136,8,1)="-"),"ISO",IF(AND(LEN(C136)=10,MID(C136,3,1)="-",MID(C136,6,1)="-"),"DMY","OTHER"))</f>
        <v>ISO</v>
      </c>
      <c r="E136" s="7">
        <f>IF(D136="ISO",VALUE(LEFT(C136,4)),IF(D136="DMY",VALUE(RIGHT(C136,4)),0))</f>
        <v>2025</v>
      </c>
      <c r="F136" s="7">
        <f>IF(D136="ISO",VALUE(MID(C136,6,2)),IF(D136="DMY",VALUE(MID(C136,4,2)),0))</f>
        <v>3</v>
      </c>
      <c r="G136" s="7">
        <f>IF(D136="ISO",VALUE(RIGHT(C136,2)),IF(D136="DMY",VALUE(LEFT(C136,2)),0))</f>
        <v>11</v>
      </c>
      <c r="H136" s="7">
        <f>IF(AND(D136&lt;&gt;"OTHER",F136&gt;=1,F136&lt;=12,G136&gt;=1,G136&lt;=31),IF(AND(MONTH(DATE(E136,F136,G136))=F136,DAY(DATE(E136,F136,G136))=G136),1,0),0)</f>
        <v>1</v>
      </c>
      <c r="I136" s="7">
        <f>IF(H136=1,DATE(E136,F136,G136),"")</f>
        <v>45727.0</v>
      </c>
      <c r="J136" s="7">
        <f>IF(AND(D136="DMY",H136=1),1,0)</f>
        <v>0</v>
      </c>
      <c r="K136" s="7">
        <f>IF(H136=0,1,0)</f>
        <v>0</v>
      </c>
      <c r="L136" s="7">
        <f>IF(TRIM(Raw_Bookings!I136&amp;"")="",1,0)</f>
        <v>0</v>
      </c>
      <c r="M136" s="7">
        <f>IF(L136=1,"",DATEVALUE(LEFT(Raw_Bookings!I136,10))+TIMEVALUE(MID(Raw_Bookings!I136,12,8)))</f>
        <v>45678.589583333334</v>
      </c>
      <c r="N136" s="7">
        <f>IF(AND(L136=0,H136=1),IF(INT(M136)&gt;I136,1,0),0)</f>
        <v>0</v>
      </c>
      <c r="O136" s="7" t="str">
        <f>UPPER(TRIM(Raw_Bookings!F136))</f>
        <v>MUM</v>
      </c>
      <c r="P136" s="7" t="str">
        <f>UPPER(TRIM(Raw_Bookings!G136))</f>
        <v>BEN</v>
      </c>
      <c r="Q136" s="7">
        <f>IF(COUNTIF(Lookup_Stations!$A$2:$A$33,O136)&gt;0,1,0)</f>
        <v>1</v>
      </c>
      <c r="R136" s="7">
        <f>IF(COUNTIF(Lookup_Stations!$A$2:$A$33,P136)&gt;0,1,0)</f>
        <v>1</v>
      </c>
      <c r="S136" s="7">
        <f>IF(OR(AND(Q136=1,NOT(EXACT(Raw_Bookings!F136,O136))),AND(R136=1,NOT(EXACT(Raw_Bookings!G136,P136)))),1,0)</f>
        <v>0</v>
      </c>
      <c r="T136" s="7">
        <f>IF(OR(Q136=0,R136=0),1,0)</f>
        <v>0</v>
      </c>
      <c r="U136" s="7">
        <f>IF(TRIM(Raw_Bookings!E136&amp;"")="",1,0)</f>
        <v>0</v>
      </c>
      <c r="V136" s="7" t="str">
        <f>IF(SUMPRODUCT(--(Lookup_Status!$A$2:$A$13=LOWER(TRIM(Raw_Bookings!K136))))=0,"",INDEX(Lookup_Status!$B$2:$B$13,SUMPRODUCT((Lookup_Status!$A$2:$A$13=LOWER(TRIM(Raw_Bookings!K136)))*(ROW(Lookup_Status!$A$2:$A$13)-1))))</f>
        <v>Confirmed</v>
      </c>
      <c r="W136" s="7">
        <f>IF(AND(V136&lt;&gt;"",NOT(EXACT(Raw_Bookings!K136,V136))),1,0)</f>
        <v>0</v>
      </c>
      <c r="X136" s="7">
        <f>IF(V136="",1,0)</f>
        <v>0</v>
      </c>
      <c r="Y136" s="7">
        <f>IF(TRIM(Raw_Bookings!L136&amp;"")="",1,0)</f>
        <v>0</v>
      </c>
      <c r="Z136" s="7">
        <f>IF(AND(ISTEXT(Raw_Bookings!L136),Y136=0),1,0)</f>
        <v>0</v>
      </c>
      <c r="AA136" s="7">
        <f>IF(Z136=1,IFERROR(VALUE(SUBSTITUTE(SUBSTITUTE(SUBSTITUTE(SUBSTITUTE(SUBSTITUTE(UPPER(Raw_Bookings!L136),"RS.",""),"₹",""),",","")," ",""),"INR","")),""),"")</f>
        <v/>
      </c>
      <c r="AB136" s="7">
        <f>IF(AND(Z136=1,ISNUMBER(AA136)),1,0)</f>
        <v>0</v>
      </c>
      <c r="AC136" s="7">
        <f>IF(B136=1,0,IF(NOT(ISNUMBER(Raw_Bookings!J136)),1,IF(Raw_Bookings!J136&lt;&gt;COUNTIFS(Work_Passengers!$B$2:$B$1336,Raw_Bookings!A136,Work_Passengers!$C$2:$C$1336,0),1,0)))</f>
        <v>0</v>
      </c>
    </row>
    <row r="137" spans="1:29">
      <c r="A137" s="7">
        <f>Raw_Bookings!A137</f>
        <v>1042637</v>
      </c>
      <c r="B137" s="7">
        <f>IF(COUNTIF(Raw_Bookings!$A$2:A137,Raw_Bookings!A137)&gt;1,1,0)</f>
        <v>0</v>
      </c>
      <c r="C137" s="7" t="str">
        <f>Raw_Bookings!D137&amp;""</f>
        <v>2025-01-24</v>
      </c>
      <c r="D137" s="7" t="str">
        <f>IF(AND(LEN(C137)=10,MID(C137,5,1)="-",MID(C137,8,1)="-"),"ISO",IF(AND(LEN(C137)=10,MID(C137,3,1)="-",MID(C137,6,1)="-"),"DMY","OTHER"))</f>
        <v>ISO</v>
      </c>
      <c r="E137" s="7">
        <f>IF(D137="ISO",VALUE(LEFT(C137,4)),IF(D137="DMY",VALUE(RIGHT(C137,4)),0))</f>
        <v>2025</v>
      </c>
      <c r="F137" s="7">
        <f>IF(D137="ISO",VALUE(MID(C137,6,2)),IF(D137="DMY",VALUE(MID(C137,4,2)),0))</f>
        <v>1</v>
      </c>
      <c r="G137" s="7">
        <f>IF(D137="ISO",VALUE(RIGHT(C137,2)),IF(D137="DMY",VALUE(LEFT(C137,2)),0))</f>
        <v>24</v>
      </c>
      <c r="H137" s="7">
        <f>IF(AND(D137&lt;&gt;"OTHER",F137&gt;=1,F137&lt;=12,G137&gt;=1,G137&lt;=31),IF(AND(MONTH(DATE(E137,F137,G137))=F137,DAY(DATE(E137,F137,G137))=G137),1,0),0)</f>
        <v>1</v>
      </c>
      <c r="I137" s="7">
        <f>IF(H137=1,DATE(E137,F137,G137),"")</f>
        <v>45681.0</v>
      </c>
      <c r="J137" s="7">
        <f>IF(AND(D137="DMY",H137=1),1,0)</f>
        <v>0</v>
      </c>
      <c r="K137" s="7">
        <f>IF(H137=0,1,0)</f>
        <v>0</v>
      </c>
      <c r="L137" s="7">
        <f>IF(TRIM(Raw_Bookings!I137&amp;"")="",1,0)</f>
        <v>0</v>
      </c>
      <c r="M137" s="7">
        <f>IF(L137=1,"",DATEVALUE(LEFT(Raw_Bookings!I137,10))+TIMEVALUE(MID(Raw_Bookings!I137,12,8)))</f>
        <v>45679.22767361111</v>
      </c>
      <c r="N137" s="7">
        <f>IF(AND(L137=0,H137=1),IF(INT(M137)&gt;I137,1,0),0)</f>
        <v>0</v>
      </c>
      <c r="O137" s="7" t="str">
        <f>UPPER(TRIM(Raw_Bookings!F137))</f>
        <v>HYD</v>
      </c>
      <c r="P137" s="7" t="str">
        <f>UPPER(TRIM(Raw_Bookings!G137))</f>
        <v>KOL</v>
      </c>
      <c r="Q137" s="7">
        <f>IF(COUNTIF(Lookup_Stations!$A$2:$A$33,O137)&gt;0,1,0)</f>
        <v>1</v>
      </c>
      <c r="R137" s="7">
        <f>IF(COUNTIF(Lookup_Stations!$A$2:$A$33,P137)&gt;0,1,0)</f>
        <v>1</v>
      </c>
      <c r="S137" s="7">
        <f>IF(OR(AND(Q137=1,NOT(EXACT(Raw_Bookings!F137,O137))),AND(R137=1,NOT(EXACT(Raw_Bookings!G137,P137)))),1,0)</f>
        <v>0</v>
      </c>
      <c r="T137" s="7">
        <f>IF(OR(Q137=0,R137=0),1,0)</f>
        <v>0</v>
      </c>
      <c r="U137" s="7">
        <f>IF(TRIM(Raw_Bookings!E137&amp;"")="",1,0)</f>
        <v>0</v>
      </c>
      <c r="V137" s="7" t="str">
        <f>IF(SUMPRODUCT(--(Lookup_Status!$A$2:$A$13=LOWER(TRIM(Raw_Bookings!K137))))=0,"",INDEX(Lookup_Status!$B$2:$B$13,SUMPRODUCT((Lookup_Status!$A$2:$A$13=LOWER(TRIM(Raw_Bookings!K137)))*(ROW(Lookup_Status!$A$2:$A$13)-1))))</f>
        <v>Confirmed</v>
      </c>
      <c r="W137" s="7">
        <f>IF(AND(V137&lt;&gt;"",NOT(EXACT(Raw_Bookings!K137,V137))),1,0)</f>
        <v>0</v>
      </c>
      <c r="X137" s="7">
        <f>IF(V137="",1,0)</f>
        <v>0</v>
      </c>
      <c r="Y137" s="7">
        <f>IF(TRIM(Raw_Bookings!L137&amp;"")="",1,0)</f>
        <v>0</v>
      </c>
      <c r="Z137" s="7">
        <f>IF(AND(ISTEXT(Raw_Bookings!L137),Y137=0),1,0)</f>
        <v>0</v>
      </c>
      <c r="AA137" s="7">
        <f>IF(Z137=1,IFERROR(VALUE(SUBSTITUTE(SUBSTITUTE(SUBSTITUTE(SUBSTITUTE(SUBSTITUTE(UPPER(Raw_Bookings!L137),"RS.",""),"₹",""),",","")," ",""),"INR","")),""),"")</f>
        <v/>
      </c>
      <c r="AB137" s="7">
        <f>IF(AND(Z137=1,ISNUMBER(AA137)),1,0)</f>
        <v>0</v>
      </c>
      <c r="AC137" s="7">
        <f>IF(B137=1,0,IF(NOT(ISNUMBER(Raw_Bookings!J137)),1,IF(Raw_Bookings!J137&lt;&gt;COUNTIFS(Work_Passengers!$B$2:$B$1336,Raw_Bookings!A137,Work_Passengers!$C$2:$C$1336,0),1,0)))</f>
        <v>0</v>
      </c>
    </row>
    <row r="138" spans="1:29">
      <c r="A138" s="7">
        <f>Raw_Bookings!A138</f>
        <v>1043064</v>
      </c>
      <c r="B138" s="7">
        <f>IF(COUNTIF(Raw_Bookings!$A$2:A138,Raw_Bookings!A138)&gt;1,1,0)</f>
        <v>0</v>
      </c>
      <c r="C138" s="7" t="str">
        <f>Raw_Bookings!D138&amp;""</f>
        <v>2025-01-27</v>
      </c>
      <c r="D138" s="7" t="str">
        <f>IF(AND(LEN(C138)=10,MID(C138,5,1)="-",MID(C138,8,1)="-"),"ISO",IF(AND(LEN(C138)=10,MID(C138,3,1)="-",MID(C138,6,1)="-"),"DMY","OTHER"))</f>
        <v>ISO</v>
      </c>
      <c r="E138" s="7">
        <f>IF(D138="ISO",VALUE(LEFT(C138,4)),IF(D138="DMY",VALUE(RIGHT(C138,4)),0))</f>
        <v>2025</v>
      </c>
      <c r="F138" s="7">
        <f>IF(D138="ISO",VALUE(MID(C138,6,2)),IF(D138="DMY",VALUE(MID(C138,4,2)),0))</f>
        <v>1</v>
      </c>
      <c r="G138" s="7">
        <f>IF(D138="ISO",VALUE(RIGHT(C138,2)),IF(D138="DMY",VALUE(LEFT(C138,2)),0))</f>
        <v>27</v>
      </c>
      <c r="H138" s="7">
        <f>IF(AND(D138&lt;&gt;"OTHER",F138&gt;=1,F138&lt;=12,G138&gt;=1,G138&lt;=31),IF(AND(MONTH(DATE(E138,F138,G138))=F138,DAY(DATE(E138,F138,G138))=G138),1,0),0)</f>
        <v>1</v>
      </c>
      <c r="I138" s="7">
        <f>IF(H138=1,DATE(E138,F138,G138),"")</f>
        <v>45684.0</v>
      </c>
      <c r="J138" s="7">
        <f>IF(AND(D138="DMY",H138=1),1,0)</f>
        <v>0</v>
      </c>
      <c r="K138" s="7">
        <f>IF(H138=0,1,0)</f>
        <v>0</v>
      </c>
      <c r="L138" s="7">
        <f>IF(TRIM(Raw_Bookings!I138&amp;"")="",1,0)</f>
        <v>0</v>
      </c>
      <c r="M138" s="7">
        <f>IF(L138=1,"",DATEVALUE(LEFT(Raw_Bookings!I138,10))+TIMEVALUE(MID(Raw_Bookings!I138,12,8)))</f>
        <v>45680.72766203704</v>
      </c>
      <c r="N138" s="7">
        <f>IF(AND(L138=0,H138=1),IF(INT(M138)&gt;I138,1,0),0)</f>
        <v>0</v>
      </c>
      <c r="O138" s="7" t="str">
        <f>UPPER(TRIM(Raw_Bookings!F138))</f>
        <v>AHM</v>
      </c>
      <c r="P138" s="7" t="str">
        <f>UPPER(TRIM(Raw_Bookings!G138))</f>
        <v>CHE</v>
      </c>
      <c r="Q138" s="7">
        <f>IF(COUNTIF(Lookup_Stations!$A$2:$A$33,O138)&gt;0,1,0)</f>
        <v>1</v>
      </c>
      <c r="R138" s="7">
        <f>IF(COUNTIF(Lookup_Stations!$A$2:$A$33,P138)&gt;0,1,0)</f>
        <v>1</v>
      </c>
      <c r="S138" s="7">
        <f>IF(OR(AND(Q138=1,NOT(EXACT(Raw_Bookings!F138,O138))),AND(R138=1,NOT(EXACT(Raw_Bookings!G138,P138)))),1,0)</f>
        <v>0</v>
      </c>
      <c r="T138" s="7">
        <f>IF(OR(Q138=0,R138=0),1,0)</f>
        <v>0</v>
      </c>
      <c r="U138" s="7">
        <f>IF(TRIM(Raw_Bookings!E138&amp;"")="",1,0)</f>
        <v>0</v>
      </c>
      <c r="V138" s="7" t="str">
        <f>IF(SUMPRODUCT(--(Lookup_Status!$A$2:$A$13=LOWER(TRIM(Raw_Bookings!K138))))=0,"",INDEX(Lookup_Status!$B$2:$B$13,SUMPRODUCT((Lookup_Status!$A$2:$A$13=LOWER(TRIM(Raw_Bookings!K138)))*(ROW(Lookup_Status!$A$2:$A$13)-1))))</f>
        <v>Confirmed</v>
      </c>
      <c r="W138" s="7">
        <f>IF(AND(V138&lt;&gt;"",NOT(EXACT(Raw_Bookings!K138,V138))),1,0)</f>
        <v>0</v>
      </c>
      <c r="X138" s="7">
        <f>IF(V138="",1,0)</f>
        <v>0</v>
      </c>
      <c r="Y138" s="7">
        <f>IF(TRIM(Raw_Bookings!L138&amp;"")="",1,0)</f>
        <v>0</v>
      </c>
      <c r="Z138" s="7">
        <f>IF(AND(ISTEXT(Raw_Bookings!L138),Y138=0),1,0)</f>
        <v>0</v>
      </c>
      <c r="AA138" s="7">
        <f>IF(Z138=1,IFERROR(VALUE(SUBSTITUTE(SUBSTITUTE(SUBSTITUTE(SUBSTITUTE(SUBSTITUTE(UPPER(Raw_Bookings!L138),"RS.",""),"₹",""),",","")," ",""),"INR","")),""),"")</f>
        <v/>
      </c>
      <c r="AB138" s="7">
        <f>IF(AND(Z138=1,ISNUMBER(AA138)),1,0)</f>
        <v>0</v>
      </c>
      <c r="AC138" s="7">
        <f>IF(B138=1,0,IF(NOT(ISNUMBER(Raw_Bookings!J138)),1,IF(Raw_Bookings!J138&lt;&gt;COUNTIFS(Work_Passengers!$B$2:$B$1336,Raw_Bookings!A138,Work_Passengers!$C$2:$C$1336,0),1,0)))</f>
        <v>0</v>
      </c>
    </row>
    <row r="139" spans="1:29">
      <c r="A139" s="7">
        <f>Raw_Bookings!A139</f>
        <v>1043917</v>
      </c>
      <c r="B139" s="7">
        <f>IF(COUNTIF(Raw_Bookings!$A$2:A139,Raw_Bookings!A139)&gt;1,1,0)</f>
        <v>0</v>
      </c>
      <c r="C139" s="7" t="str">
        <f>Raw_Bookings!D139&amp;""</f>
        <v>2025-02-19</v>
      </c>
      <c r="D139" s="7" t="str">
        <f>IF(AND(LEN(C139)=10,MID(C139,5,1)="-",MID(C139,8,1)="-"),"ISO",IF(AND(LEN(C139)=10,MID(C139,3,1)="-",MID(C139,6,1)="-"),"DMY","OTHER"))</f>
        <v>ISO</v>
      </c>
      <c r="E139" s="7">
        <f>IF(D139="ISO",VALUE(LEFT(C139,4)),IF(D139="DMY",VALUE(RIGHT(C139,4)),0))</f>
        <v>2025</v>
      </c>
      <c r="F139" s="7">
        <f>IF(D139="ISO",VALUE(MID(C139,6,2)),IF(D139="DMY",VALUE(MID(C139,4,2)),0))</f>
        <v>2</v>
      </c>
      <c r="G139" s="7">
        <f>IF(D139="ISO",VALUE(RIGHT(C139,2)),IF(D139="DMY",VALUE(LEFT(C139,2)),0))</f>
        <v>19</v>
      </c>
      <c r="H139" s="7">
        <f>IF(AND(D139&lt;&gt;"OTHER",F139&gt;=1,F139&lt;=12,G139&gt;=1,G139&lt;=31),IF(AND(MONTH(DATE(E139,F139,G139))=F139,DAY(DATE(E139,F139,G139))=G139),1,0),0)</f>
        <v>1</v>
      </c>
      <c r="I139" s="7">
        <f>IF(H139=1,DATE(E139,F139,G139),"")</f>
        <v>45707.0</v>
      </c>
      <c r="J139" s="7">
        <f>IF(AND(D139="DMY",H139=1),1,0)</f>
        <v>0</v>
      </c>
      <c r="K139" s="7">
        <f>IF(H139=0,1,0)</f>
        <v>0</v>
      </c>
      <c r="L139" s="7">
        <f>IF(TRIM(Raw_Bookings!I139&amp;"")="",1,0)</f>
        <v>0</v>
      </c>
      <c r="M139" s="7">
        <f>IF(L139=1,"",DATEVALUE(LEFT(Raw_Bookings!I139,10))+TIMEVALUE(MID(Raw_Bookings!I139,12,8)))</f>
        <v>45683.55074074074</v>
      </c>
      <c r="N139" s="7">
        <f>IF(AND(L139=0,H139=1),IF(INT(M139)&gt;I139,1,0),0)</f>
        <v>0</v>
      </c>
      <c r="O139" s="7" t="str">
        <f>UPPER(TRIM(Raw_Bookings!F139))</f>
        <v>BEN</v>
      </c>
      <c r="P139" s="7" t="str">
        <f>UPPER(TRIM(Raw_Bookings!G139))</f>
        <v>MUM</v>
      </c>
      <c r="Q139" s="7">
        <f>IF(COUNTIF(Lookup_Stations!$A$2:$A$33,O139)&gt;0,1,0)</f>
        <v>1</v>
      </c>
      <c r="R139" s="7">
        <f>IF(COUNTIF(Lookup_Stations!$A$2:$A$33,P139)&gt;0,1,0)</f>
        <v>1</v>
      </c>
      <c r="S139" s="7">
        <f>IF(OR(AND(Q139=1,NOT(EXACT(Raw_Bookings!F139,O139))),AND(R139=1,NOT(EXACT(Raw_Bookings!G139,P139)))),1,0)</f>
        <v>0</v>
      </c>
      <c r="T139" s="7">
        <f>IF(OR(Q139=0,R139=0),1,0)</f>
        <v>0</v>
      </c>
      <c r="U139" s="7">
        <f>IF(TRIM(Raw_Bookings!E139&amp;"")="",1,0)</f>
        <v>0</v>
      </c>
      <c r="V139" s="7" t="str">
        <f>IF(SUMPRODUCT(--(Lookup_Status!$A$2:$A$13=LOWER(TRIM(Raw_Bookings!K139))))=0,"",INDEX(Lookup_Status!$B$2:$B$13,SUMPRODUCT((Lookup_Status!$A$2:$A$13=LOWER(TRIM(Raw_Bookings!K139)))*(ROW(Lookup_Status!$A$2:$A$13)-1))))</f>
        <v>Confirmed</v>
      </c>
      <c r="W139" s="7">
        <f>IF(AND(V139&lt;&gt;"",NOT(EXACT(Raw_Bookings!K139,V139))),1,0)</f>
        <v>0</v>
      </c>
      <c r="X139" s="7">
        <f>IF(V139="",1,0)</f>
        <v>0</v>
      </c>
      <c r="Y139" s="7">
        <f>IF(TRIM(Raw_Bookings!L139&amp;"")="",1,0)</f>
        <v>0</v>
      </c>
      <c r="Z139" s="7">
        <f>IF(AND(ISTEXT(Raw_Bookings!L139),Y139=0),1,0)</f>
        <v>0</v>
      </c>
      <c r="AA139" s="7">
        <f>IF(Z139=1,IFERROR(VALUE(SUBSTITUTE(SUBSTITUTE(SUBSTITUTE(SUBSTITUTE(SUBSTITUTE(UPPER(Raw_Bookings!L139),"RS.",""),"₹",""),",","")," ",""),"INR","")),""),"")</f>
        <v/>
      </c>
      <c r="AB139" s="7">
        <f>IF(AND(Z139=1,ISNUMBER(AA139)),1,0)</f>
        <v>0</v>
      </c>
      <c r="AC139" s="7">
        <f>IF(B139=1,0,IF(NOT(ISNUMBER(Raw_Bookings!J139)),1,IF(Raw_Bookings!J139&lt;&gt;COUNTIFS(Work_Passengers!$B$2:$B$1336,Raw_Bookings!A139,Work_Passengers!$C$2:$C$1336,0),1,0)))</f>
        <v>0</v>
      </c>
    </row>
    <row r="140" spans="1:29">
      <c r="A140" s="7">
        <f>Raw_Bookings!A140</f>
        <v>1044066</v>
      </c>
      <c r="B140" s="7">
        <f>IF(COUNTIF(Raw_Bookings!$A$2:A140,Raw_Bookings!A140)&gt;1,1,0)</f>
        <v>0</v>
      </c>
      <c r="C140" s="7" t="str">
        <f>Raw_Bookings!D140&amp;""</f>
        <v>2025-04-06</v>
      </c>
      <c r="D140" s="7" t="str">
        <f>IF(AND(LEN(C140)=10,MID(C140,5,1)="-",MID(C140,8,1)="-"),"ISO",IF(AND(LEN(C140)=10,MID(C140,3,1)="-",MID(C140,6,1)="-"),"DMY","OTHER"))</f>
        <v>ISO</v>
      </c>
      <c r="E140" s="7">
        <f>IF(D140="ISO",VALUE(LEFT(C140,4)),IF(D140="DMY",VALUE(RIGHT(C140,4)),0))</f>
        <v>2025</v>
      </c>
      <c r="F140" s="7">
        <f>IF(D140="ISO",VALUE(MID(C140,6,2)),IF(D140="DMY",VALUE(MID(C140,4,2)),0))</f>
        <v>4</v>
      </c>
      <c r="G140" s="7">
        <f>IF(D140="ISO",VALUE(RIGHT(C140,2)),IF(D140="DMY",VALUE(LEFT(C140,2)),0))</f>
        <v>6</v>
      </c>
      <c r="H140" s="7">
        <f>IF(AND(D140&lt;&gt;"OTHER",F140&gt;=1,F140&lt;=12,G140&gt;=1,G140&lt;=31),IF(AND(MONTH(DATE(E140,F140,G140))=F140,DAY(DATE(E140,F140,G140))=G140),1,0),0)</f>
        <v>1</v>
      </c>
      <c r="I140" s="7">
        <f>IF(H140=1,DATE(E140,F140,G140),"")</f>
        <v>45753.0</v>
      </c>
      <c r="J140" s="7">
        <f>IF(AND(D140="DMY",H140=1),1,0)</f>
        <v>0</v>
      </c>
      <c r="K140" s="7">
        <f>IF(H140=0,1,0)</f>
        <v>0</v>
      </c>
      <c r="L140" s="7">
        <f>IF(TRIM(Raw_Bookings!I140&amp;"")="",1,0)</f>
        <v>0</v>
      </c>
      <c r="M140" s="7">
        <f>IF(L140=1,"",DATEVALUE(LEFT(Raw_Bookings!I140,10))+TIMEVALUE(MID(Raw_Bookings!I140,12,8)))</f>
        <v>45683.87168981481</v>
      </c>
      <c r="N140" s="7">
        <f>IF(AND(L140=0,H140=1),IF(INT(M140)&gt;I140,1,0),0)</f>
        <v>0</v>
      </c>
      <c r="O140" s="7" t="str">
        <f>UPPER(TRIM(Raw_Bookings!F140))</f>
        <v>AMR</v>
      </c>
      <c r="P140" s="7" t="str">
        <f>UPPER(TRIM(Raw_Bookings!G140))</f>
        <v>IND</v>
      </c>
      <c r="Q140" s="7">
        <f>IF(COUNTIF(Lookup_Stations!$A$2:$A$33,O140)&gt;0,1,0)</f>
        <v>1</v>
      </c>
      <c r="R140" s="7">
        <f>IF(COUNTIF(Lookup_Stations!$A$2:$A$33,P140)&gt;0,1,0)</f>
        <v>1</v>
      </c>
      <c r="S140" s="7">
        <f>IF(OR(AND(Q140=1,NOT(EXACT(Raw_Bookings!F140,O140))),AND(R140=1,NOT(EXACT(Raw_Bookings!G140,P140)))),1,0)</f>
        <v>0</v>
      </c>
      <c r="T140" s="7">
        <f>IF(OR(Q140=0,R140=0),1,0)</f>
        <v>0</v>
      </c>
      <c r="U140" s="7">
        <f>IF(TRIM(Raw_Bookings!E140&amp;"")="",1,0)</f>
        <v>0</v>
      </c>
      <c r="V140" s="7" t="str">
        <f>IF(SUMPRODUCT(--(Lookup_Status!$A$2:$A$13=LOWER(TRIM(Raw_Bookings!K140))))=0,"",INDEX(Lookup_Status!$B$2:$B$13,SUMPRODUCT((Lookup_Status!$A$2:$A$13=LOWER(TRIM(Raw_Bookings!K140)))*(ROW(Lookup_Status!$A$2:$A$13)-1))))</f>
        <v>Cancelled</v>
      </c>
      <c r="W140" s="7">
        <f>IF(AND(V140&lt;&gt;"",NOT(EXACT(Raw_Bookings!K140,V140))),1,0)</f>
        <v>0</v>
      </c>
      <c r="X140" s="7">
        <f>IF(V140="",1,0)</f>
        <v>0</v>
      </c>
      <c r="Y140" s="7">
        <f>IF(TRIM(Raw_Bookings!L140&amp;"")="",1,0)</f>
        <v>0</v>
      </c>
      <c r="Z140" s="7">
        <f>IF(AND(ISTEXT(Raw_Bookings!L140),Y140=0),1,0)</f>
        <v>0</v>
      </c>
      <c r="AA140" s="7">
        <f>IF(Z140=1,IFERROR(VALUE(SUBSTITUTE(SUBSTITUTE(SUBSTITUTE(SUBSTITUTE(SUBSTITUTE(UPPER(Raw_Bookings!L140),"RS.",""),"₹",""),",","")," ",""),"INR","")),""),"")</f>
        <v/>
      </c>
      <c r="AB140" s="7">
        <f>IF(AND(Z140=1,ISNUMBER(AA140)),1,0)</f>
        <v>0</v>
      </c>
      <c r="AC140" s="7">
        <f>IF(B140=1,0,IF(NOT(ISNUMBER(Raw_Bookings!J140)),1,IF(Raw_Bookings!J140&lt;&gt;COUNTIFS(Work_Passengers!$B$2:$B$1336,Raw_Bookings!A140,Work_Passengers!$C$2:$C$1336,0),1,0)))</f>
        <v>0</v>
      </c>
    </row>
    <row r="141" spans="1:29">
      <c r="A141" s="7">
        <f>Raw_Bookings!A141</f>
        <v>1044512</v>
      </c>
      <c r="B141" s="7">
        <f>IF(COUNTIF(Raw_Bookings!$A$2:A141,Raw_Bookings!A141)&gt;1,1,0)</f>
        <v>0</v>
      </c>
      <c r="C141" s="7" t="str">
        <f>Raw_Bookings!D141&amp;""</f>
        <v>2025-05-16</v>
      </c>
      <c r="D141" s="7" t="str">
        <f>IF(AND(LEN(C141)=10,MID(C141,5,1)="-",MID(C141,8,1)="-"),"ISO",IF(AND(LEN(C141)=10,MID(C141,3,1)="-",MID(C141,6,1)="-"),"DMY","OTHER"))</f>
        <v>ISO</v>
      </c>
      <c r="E141" s="7">
        <f>IF(D141="ISO",VALUE(LEFT(C141,4)),IF(D141="DMY",VALUE(RIGHT(C141,4)),0))</f>
        <v>2025</v>
      </c>
      <c r="F141" s="7">
        <f>IF(D141="ISO",VALUE(MID(C141,6,2)),IF(D141="DMY",VALUE(MID(C141,4,2)),0))</f>
        <v>5</v>
      </c>
      <c r="G141" s="7">
        <f>IF(D141="ISO",VALUE(RIGHT(C141,2)),IF(D141="DMY",VALUE(LEFT(C141,2)),0))</f>
        <v>16</v>
      </c>
      <c r="H141" s="7">
        <f>IF(AND(D141&lt;&gt;"OTHER",F141&gt;=1,F141&lt;=12,G141&gt;=1,G141&lt;=31),IF(AND(MONTH(DATE(E141,F141,G141))=F141,DAY(DATE(E141,F141,G141))=G141),1,0),0)</f>
        <v>1</v>
      </c>
      <c r="I141" s="7">
        <f>IF(H141=1,DATE(E141,F141,G141),"")</f>
        <v>45793.0</v>
      </c>
      <c r="J141" s="7">
        <f>IF(AND(D141="DMY",H141=1),1,0)</f>
        <v>0</v>
      </c>
      <c r="K141" s="7">
        <f>IF(H141=0,1,0)</f>
        <v>0</v>
      </c>
      <c r="L141" s="7">
        <f>IF(TRIM(Raw_Bookings!I141&amp;"")="",1,0)</f>
        <v>0</v>
      </c>
      <c r="M141" s="7">
        <f>IF(L141=1,"",DATEVALUE(LEFT(Raw_Bookings!I141,10))+TIMEVALUE(MID(Raw_Bookings!I141,12,8)))</f>
        <v>45685.71079861111</v>
      </c>
      <c r="N141" s="7">
        <f>IF(AND(L141=0,H141=1),IF(INT(M141)&gt;I141,1,0),0)</f>
        <v>0</v>
      </c>
      <c r="O141" s="7" t="str">
        <f>UPPER(TRIM(Raw_Bookings!F141))</f>
        <v>HYD</v>
      </c>
      <c r="P141" s="7" t="str">
        <f>UPPER(TRIM(Raw_Bookings!G141))</f>
        <v>KOL</v>
      </c>
      <c r="Q141" s="7">
        <f>IF(COUNTIF(Lookup_Stations!$A$2:$A$33,O141)&gt;0,1,0)</f>
        <v>1</v>
      </c>
      <c r="R141" s="7">
        <f>IF(COUNTIF(Lookup_Stations!$A$2:$A$33,P141)&gt;0,1,0)</f>
        <v>1</v>
      </c>
      <c r="S141" s="7">
        <f>IF(OR(AND(Q141=1,NOT(EXACT(Raw_Bookings!F141,O141))),AND(R141=1,NOT(EXACT(Raw_Bookings!G141,P141)))),1,0)</f>
        <v>0</v>
      </c>
      <c r="T141" s="7">
        <f>IF(OR(Q141=0,R141=0),1,0)</f>
        <v>0</v>
      </c>
      <c r="U141" s="7">
        <f>IF(TRIM(Raw_Bookings!E141&amp;"")="",1,0)</f>
        <v>0</v>
      </c>
      <c r="V141" s="7" t="str">
        <f>IF(SUMPRODUCT(--(Lookup_Status!$A$2:$A$13=LOWER(TRIM(Raw_Bookings!K141))))=0,"",INDEX(Lookup_Status!$B$2:$B$13,SUMPRODUCT((Lookup_Status!$A$2:$A$13=LOWER(TRIM(Raw_Bookings!K141)))*(ROW(Lookup_Status!$A$2:$A$13)-1))))</f>
        <v>Confirmed</v>
      </c>
      <c r="W141" s="7">
        <f>IF(AND(V141&lt;&gt;"",NOT(EXACT(Raw_Bookings!K141,V141))),1,0)</f>
        <v>0</v>
      </c>
      <c r="X141" s="7">
        <f>IF(V141="",1,0)</f>
        <v>0</v>
      </c>
      <c r="Y141" s="7">
        <f>IF(TRIM(Raw_Bookings!L141&amp;"")="",1,0)</f>
        <v>0</v>
      </c>
      <c r="Z141" s="7">
        <f>IF(AND(ISTEXT(Raw_Bookings!L141),Y141=0),1,0)</f>
        <v>0</v>
      </c>
      <c r="AA141" s="7">
        <f>IF(Z141=1,IFERROR(VALUE(SUBSTITUTE(SUBSTITUTE(SUBSTITUTE(SUBSTITUTE(SUBSTITUTE(UPPER(Raw_Bookings!L141),"RS.",""),"₹",""),",","")," ",""),"INR","")),""),"")</f>
        <v/>
      </c>
      <c r="AB141" s="7">
        <f>IF(AND(Z141=1,ISNUMBER(AA141)),1,0)</f>
        <v>0</v>
      </c>
      <c r="AC141" s="7">
        <f>IF(B141=1,0,IF(NOT(ISNUMBER(Raw_Bookings!J141)),1,IF(Raw_Bookings!J141&lt;&gt;COUNTIFS(Work_Passengers!$B$2:$B$1336,Raw_Bookings!A141,Work_Passengers!$C$2:$C$1336,0),1,0)))</f>
        <v>0</v>
      </c>
    </row>
    <row r="142" spans="1:29">
      <c r="A142" s="7">
        <f>Raw_Bookings!A142</f>
        <v>1046011</v>
      </c>
      <c r="B142" s="7">
        <f>IF(COUNTIF(Raw_Bookings!$A$2:A142,Raw_Bookings!A142)&gt;1,1,0)</f>
        <v>0</v>
      </c>
      <c r="C142" s="7" t="str">
        <f>Raw_Bookings!D142&amp;""</f>
        <v>2025-02-24</v>
      </c>
      <c r="D142" s="7" t="str">
        <f>IF(AND(LEN(C142)=10,MID(C142,5,1)="-",MID(C142,8,1)="-"),"ISO",IF(AND(LEN(C142)=10,MID(C142,3,1)="-",MID(C142,6,1)="-"),"DMY","OTHER"))</f>
        <v>ISO</v>
      </c>
      <c r="E142" s="7">
        <f>IF(D142="ISO",VALUE(LEFT(C142,4)),IF(D142="DMY",VALUE(RIGHT(C142,4)),0))</f>
        <v>2025</v>
      </c>
      <c r="F142" s="7">
        <f>IF(D142="ISO",VALUE(MID(C142,6,2)),IF(D142="DMY",VALUE(MID(C142,4,2)),0))</f>
        <v>2</v>
      </c>
      <c r="G142" s="7">
        <f>IF(D142="ISO",VALUE(RIGHT(C142,2)),IF(D142="DMY",VALUE(LEFT(C142,2)),0))</f>
        <v>24</v>
      </c>
      <c r="H142" s="7">
        <f>IF(AND(D142&lt;&gt;"OTHER",F142&gt;=1,F142&lt;=12,G142&gt;=1,G142&lt;=31),IF(AND(MONTH(DATE(E142,F142,G142))=F142,DAY(DATE(E142,F142,G142))=G142),1,0),0)</f>
        <v>1</v>
      </c>
      <c r="I142" s="7">
        <f>IF(H142=1,DATE(E142,F142,G142),"")</f>
        <v>45712.0</v>
      </c>
      <c r="J142" s="7">
        <f>IF(AND(D142="DMY",H142=1),1,0)</f>
        <v>0</v>
      </c>
      <c r="K142" s="7">
        <f>IF(H142=0,1,0)</f>
        <v>0</v>
      </c>
      <c r="L142" s="7">
        <f>IF(TRIM(Raw_Bookings!I142&amp;"")="",1,0)</f>
        <v>0</v>
      </c>
      <c r="M142" s="7">
        <f>IF(L142=1,"",DATEVALUE(LEFT(Raw_Bookings!I142,10))+TIMEVALUE(MID(Raw_Bookings!I142,12,8)))</f>
        <v>45691.430763888886</v>
      </c>
      <c r="N142" s="7">
        <f>IF(AND(L142=0,H142=1),IF(INT(M142)&gt;I142,1,0),0)</f>
        <v>0</v>
      </c>
      <c r="O142" s="7" t="str">
        <f>UPPER(TRIM(Raw_Bookings!F142))</f>
        <v>HYD</v>
      </c>
      <c r="P142" s="7" t="str">
        <f>UPPER(TRIM(Raw_Bookings!G142))</f>
        <v>KOL</v>
      </c>
      <c r="Q142" s="7">
        <f>IF(COUNTIF(Lookup_Stations!$A$2:$A$33,O142)&gt;0,1,0)</f>
        <v>1</v>
      </c>
      <c r="R142" s="7">
        <f>IF(COUNTIF(Lookup_Stations!$A$2:$A$33,P142)&gt;0,1,0)</f>
        <v>1</v>
      </c>
      <c r="S142" s="7">
        <f>IF(OR(AND(Q142=1,NOT(EXACT(Raw_Bookings!F142,O142))),AND(R142=1,NOT(EXACT(Raw_Bookings!G142,P142)))),1,0)</f>
        <v>0</v>
      </c>
      <c r="T142" s="7">
        <f>IF(OR(Q142=0,R142=0),1,0)</f>
        <v>0</v>
      </c>
      <c r="U142" s="7">
        <f>IF(TRIM(Raw_Bookings!E142&amp;"")="",1,0)</f>
        <v>0</v>
      </c>
      <c r="V142" s="7" t="str">
        <f>IF(SUMPRODUCT(--(Lookup_Status!$A$2:$A$13=LOWER(TRIM(Raw_Bookings!K142))))=0,"",INDEX(Lookup_Status!$B$2:$B$13,SUMPRODUCT((Lookup_Status!$A$2:$A$13=LOWER(TRIM(Raw_Bookings!K142)))*(ROW(Lookup_Status!$A$2:$A$13)-1))))</f>
        <v>Cancelled</v>
      </c>
      <c r="W142" s="7">
        <f>IF(AND(V142&lt;&gt;"",NOT(EXACT(Raw_Bookings!K142,V142))),1,0)</f>
        <v>0</v>
      </c>
      <c r="X142" s="7">
        <f>IF(V142="",1,0)</f>
        <v>0</v>
      </c>
      <c r="Y142" s="7">
        <f>IF(TRIM(Raw_Bookings!L142&amp;"")="",1,0)</f>
        <v>0</v>
      </c>
      <c r="Z142" s="7">
        <f>IF(AND(ISTEXT(Raw_Bookings!L142),Y142=0),1,0)</f>
        <v>0</v>
      </c>
      <c r="AA142" s="7">
        <f>IF(Z142=1,IFERROR(VALUE(SUBSTITUTE(SUBSTITUTE(SUBSTITUTE(SUBSTITUTE(SUBSTITUTE(UPPER(Raw_Bookings!L142),"RS.",""),"₹",""),",","")," ",""),"INR","")),""),"")</f>
        <v/>
      </c>
      <c r="AB142" s="7">
        <f>IF(AND(Z142=1,ISNUMBER(AA142)),1,0)</f>
        <v>0</v>
      </c>
      <c r="AC142" s="7">
        <f>IF(B142=1,0,IF(NOT(ISNUMBER(Raw_Bookings!J142)),1,IF(Raw_Bookings!J142&lt;&gt;COUNTIFS(Work_Passengers!$B$2:$B$1336,Raw_Bookings!A142,Work_Passengers!$C$2:$C$1336,0),1,0)))</f>
        <v>0</v>
      </c>
    </row>
    <row r="143" spans="1:29">
      <c r="A143" s="7">
        <f>Raw_Bookings!A143</f>
        <v>1046029</v>
      </c>
      <c r="B143" s="7">
        <f>IF(COUNTIF(Raw_Bookings!$A$2:A143,Raw_Bookings!A143)&gt;1,1,0)</f>
        <v>0</v>
      </c>
      <c r="C143" s="7" t="str">
        <f>Raw_Bookings!D143&amp;""</f>
        <v>2025-03-05</v>
      </c>
      <c r="D143" s="7" t="str">
        <f>IF(AND(LEN(C143)=10,MID(C143,5,1)="-",MID(C143,8,1)="-"),"ISO",IF(AND(LEN(C143)=10,MID(C143,3,1)="-",MID(C143,6,1)="-"),"DMY","OTHER"))</f>
        <v>ISO</v>
      </c>
      <c r="E143" s="7">
        <f>IF(D143="ISO",VALUE(LEFT(C143,4)),IF(D143="DMY",VALUE(RIGHT(C143,4)),0))</f>
        <v>2025</v>
      </c>
      <c r="F143" s="7">
        <f>IF(D143="ISO",VALUE(MID(C143,6,2)),IF(D143="DMY",VALUE(MID(C143,4,2)),0))</f>
        <v>3</v>
      </c>
      <c r="G143" s="7">
        <f>IF(D143="ISO",VALUE(RIGHT(C143,2)),IF(D143="DMY",VALUE(LEFT(C143,2)),0))</f>
        <v>5</v>
      </c>
      <c r="H143" s="7">
        <f>IF(AND(D143&lt;&gt;"OTHER",F143&gt;=1,F143&lt;=12,G143&gt;=1,G143&lt;=31),IF(AND(MONTH(DATE(E143,F143,G143))=F143,DAY(DATE(E143,F143,G143))=G143),1,0),0)</f>
        <v>1</v>
      </c>
      <c r="I143" s="7">
        <f>IF(H143=1,DATE(E143,F143,G143),"")</f>
        <v>45721.0</v>
      </c>
      <c r="J143" s="7">
        <f>IF(AND(D143="DMY",H143=1),1,0)</f>
        <v>0</v>
      </c>
      <c r="K143" s="7">
        <f>IF(H143=0,1,0)</f>
        <v>0</v>
      </c>
      <c r="L143" s="7">
        <f>IF(TRIM(Raw_Bookings!I143&amp;"")="",1,0)</f>
        <v>0</v>
      </c>
      <c r="M143" s="7">
        <f>IF(L143=1,"",DATEVALUE(LEFT(Raw_Bookings!I143,10))+TIMEVALUE(MID(Raw_Bookings!I143,12,8)))</f>
        <v>45691.48981481481</v>
      </c>
      <c r="N143" s="7">
        <f>IF(AND(L143=0,H143=1),IF(INT(M143)&gt;I143,1,0),0)</f>
        <v>0</v>
      </c>
      <c r="O143" s="7" t="str">
        <f>UPPER(TRIM(Raw_Bookings!F143))</f>
        <v>LUC</v>
      </c>
      <c r="P143" s="7" t="str">
        <f>UPPER(TRIM(Raw_Bookings!G143))</f>
        <v>MUM</v>
      </c>
      <c r="Q143" s="7">
        <f>IF(COUNTIF(Lookup_Stations!$A$2:$A$33,O143)&gt;0,1,0)</f>
        <v>1</v>
      </c>
      <c r="R143" s="7">
        <f>IF(COUNTIF(Lookup_Stations!$A$2:$A$33,P143)&gt;0,1,0)</f>
        <v>1</v>
      </c>
      <c r="S143" s="7">
        <f>IF(OR(AND(Q143=1,NOT(EXACT(Raw_Bookings!F143,O143))),AND(R143=1,NOT(EXACT(Raw_Bookings!G143,P143)))),1,0)</f>
        <v>0</v>
      </c>
      <c r="T143" s="7">
        <f>IF(OR(Q143=0,R143=0),1,0)</f>
        <v>0</v>
      </c>
      <c r="U143" s="7">
        <f>IF(TRIM(Raw_Bookings!E143&amp;"")="",1,0)</f>
        <v>0</v>
      </c>
      <c r="V143" s="7" t="str">
        <f>IF(SUMPRODUCT(--(Lookup_Status!$A$2:$A$13=LOWER(TRIM(Raw_Bookings!K143))))=0,"",INDEX(Lookup_Status!$B$2:$B$13,SUMPRODUCT((Lookup_Status!$A$2:$A$13=LOWER(TRIM(Raw_Bookings!K143)))*(ROW(Lookup_Status!$A$2:$A$13)-1))))</f>
        <v>Confirmed</v>
      </c>
      <c r="W143" s="7">
        <f>IF(AND(V143&lt;&gt;"",NOT(EXACT(Raw_Bookings!K143,V143))),1,0)</f>
        <v>0</v>
      </c>
      <c r="X143" s="7">
        <f>IF(V143="",1,0)</f>
        <v>0</v>
      </c>
      <c r="Y143" s="7">
        <f>IF(TRIM(Raw_Bookings!L143&amp;"")="",1,0)</f>
        <v>1</v>
      </c>
      <c r="Z143" s="7">
        <f>IF(AND(ISTEXT(Raw_Bookings!L143),Y143=0),1,0)</f>
        <v>0</v>
      </c>
      <c r="AA143" s="7">
        <f>IF(Z143=1,IFERROR(VALUE(SUBSTITUTE(SUBSTITUTE(SUBSTITUTE(SUBSTITUTE(SUBSTITUTE(UPPER(Raw_Bookings!L143),"RS.",""),"₹",""),",","")," ",""),"INR","")),""),"")</f>
        <v/>
      </c>
      <c r="AB143" s="7">
        <f>IF(AND(Z143=1,ISNUMBER(AA143)),1,0)</f>
        <v>0</v>
      </c>
      <c r="AC143" s="7">
        <f>IF(B143=1,0,IF(NOT(ISNUMBER(Raw_Bookings!J143)),1,IF(Raw_Bookings!J143&lt;&gt;COUNTIFS(Work_Passengers!$B$2:$B$1336,Raw_Bookings!A143,Work_Passengers!$C$2:$C$1336,0),1,0)))</f>
        <v>0</v>
      </c>
    </row>
    <row r="144" spans="1:29">
      <c r="A144" s="7">
        <f>Raw_Bookings!A144</f>
        <v>1046157</v>
      </c>
      <c r="B144" s="7">
        <f>IF(COUNTIF(Raw_Bookings!$A$2:A144,Raw_Bookings!A144)&gt;1,1,0)</f>
        <v>0</v>
      </c>
      <c r="C144" s="7" t="str">
        <f>Raw_Bookings!D144&amp;""</f>
        <v>2025-03-08</v>
      </c>
      <c r="D144" s="7" t="str">
        <f>IF(AND(LEN(C144)=10,MID(C144,5,1)="-",MID(C144,8,1)="-"),"ISO",IF(AND(LEN(C144)=10,MID(C144,3,1)="-",MID(C144,6,1)="-"),"DMY","OTHER"))</f>
        <v>ISO</v>
      </c>
      <c r="E144" s="7">
        <f>IF(D144="ISO",VALUE(LEFT(C144,4)),IF(D144="DMY",VALUE(RIGHT(C144,4)),0))</f>
        <v>2025</v>
      </c>
      <c r="F144" s="7">
        <f>IF(D144="ISO",VALUE(MID(C144,6,2)),IF(D144="DMY",VALUE(MID(C144,4,2)),0))</f>
        <v>3</v>
      </c>
      <c r="G144" s="7">
        <f>IF(D144="ISO",VALUE(RIGHT(C144,2)),IF(D144="DMY",VALUE(LEFT(C144,2)),0))</f>
        <v>8</v>
      </c>
      <c r="H144" s="7">
        <f>IF(AND(D144&lt;&gt;"OTHER",F144&gt;=1,F144&lt;=12,G144&gt;=1,G144&lt;=31),IF(AND(MONTH(DATE(E144,F144,G144))=F144,DAY(DATE(E144,F144,G144))=G144),1,0),0)</f>
        <v>1</v>
      </c>
      <c r="I144" s="7">
        <f>IF(H144=1,DATE(E144,F144,G144),"")</f>
        <v>45724.0</v>
      </c>
      <c r="J144" s="7">
        <f>IF(AND(D144="DMY",H144=1),1,0)</f>
        <v>0</v>
      </c>
      <c r="K144" s="7">
        <f>IF(H144=0,1,0)</f>
        <v>0</v>
      </c>
      <c r="L144" s="7">
        <f>IF(TRIM(Raw_Bookings!I144&amp;"")="",1,0)</f>
        <v>0</v>
      </c>
      <c r="M144" s="7">
        <f>IF(L144=1,"",DATEVALUE(LEFT(Raw_Bookings!I144,10))+TIMEVALUE(MID(Raw_Bookings!I144,12,8)))</f>
        <v>45691.82618055555</v>
      </c>
      <c r="N144" s="7">
        <f>IF(AND(L144=0,H144=1),IF(INT(M144)&gt;I144,1,0),0)</f>
        <v>0</v>
      </c>
      <c r="O144" s="7" t="str">
        <f>UPPER(TRIM(Raw_Bookings!F144))</f>
        <v>MAU</v>
      </c>
      <c r="P144" s="7" t="str">
        <f>UPPER(TRIM(Raw_Bookings!G144))</f>
        <v>MAD</v>
      </c>
      <c r="Q144" s="7">
        <f>IF(COUNTIF(Lookup_Stations!$A$2:$A$33,O144)&gt;0,1,0)</f>
        <v>1</v>
      </c>
      <c r="R144" s="7">
        <f>IF(COUNTIF(Lookup_Stations!$A$2:$A$33,P144)&gt;0,1,0)</f>
        <v>1</v>
      </c>
      <c r="S144" s="7">
        <f>IF(OR(AND(Q144=1,NOT(EXACT(Raw_Bookings!F144,O144))),AND(R144=1,NOT(EXACT(Raw_Bookings!G144,P144)))),1,0)</f>
        <v>0</v>
      </c>
      <c r="T144" s="7">
        <f>IF(OR(Q144=0,R144=0),1,0)</f>
        <v>0</v>
      </c>
      <c r="U144" s="7">
        <f>IF(TRIM(Raw_Bookings!E144&amp;"")="",1,0)</f>
        <v>0</v>
      </c>
      <c r="V144" s="7" t="str">
        <f>IF(SUMPRODUCT(--(Lookup_Status!$A$2:$A$13=LOWER(TRIM(Raw_Bookings!K144))))=0,"",INDEX(Lookup_Status!$B$2:$B$13,SUMPRODUCT((Lookup_Status!$A$2:$A$13=LOWER(TRIM(Raw_Bookings!K144)))*(ROW(Lookup_Status!$A$2:$A$13)-1))))</f>
        <v>Confirmed</v>
      </c>
      <c r="W144" s="7">
        <f>IF(AND(V144&lt;&gt;"",NOT(EXACT(Raw_Bookings!K144,V144))),1,0)</f>
        <v>0</v>
      </c>
      <c r="X144" s="7">
        <f>IF(V144="",1,0)</f>
        <v>0</v>
      </c>
      <c r="Y144" s="7">
        <f>IF(TRIM(Raw_Bookings!L144&amp;"")="",1,0)</f>
        <v>0</v>
      </c>
      <c r="Z144" s="7">
        <f>IF(AND(ISTEXT(Raw_Bookings!L144),Y144=0),1,0)</f>
        <v>0</v>
      </c>
      <c r="AA144" s="7">
        <f>IF(Z144=1,IFERROR(VALUE(SUBSTITUTE(SUBSTITUTE(SUBSTITUTE(SUBSTITUTE(SUBSTITUTE(UPPER(Raw_Bookings!L144),"RS.",""),"₹",""),",","")," ",""),"INR","")),""),"")</f>
        <v/>
      </c>
      <c r="AB144" s="7">
        <f>IF(AND(Z144=1,ISNUMBER(AA144)),1,0)</f>
        <v>0</v>
      </c>
      <c r="AC144" s="7">
        <f>IF(B144=1,0,IF(NOT(ISNUMBER(Raw_Bookings!J144)),1,IF(Raw_Bookings!J144&lt;&gt;COUNTIFS(Work_Passengers!$B$2:$B$1336,Raw_Bookings!A144,Work_Passengers!$C$2:$C$1336,0),1,0)))</f>
        <v>0</v>
      </c>
    </row>
    <row r="145" spans="1:29">
      <c r="A145" s="7">
        <f>Raw_Bookings!A145</f>
        <v>1046198</v>
      </c>
      <c r="B145" s="7">
        <f>IF(COUNTIF(Raw_Bookings!$A$2:A145,Raw_Bookings!A145)&gt;1,1,0)</f>
        <v>0</v>
      </c>
      <c r="C145" s="7" t="str">
        <f>Raw_Bookings!D145&amp;""</f>
        <v>2025-02-19</v>
      </c>
      <c r="D145" s="7" t="str">
        <f>IF(AND(LEN(C145)=10,MID(C145,5,1)="-",MID(C145,8,1)="-"),"ISO",IF(AND(LEN(C145)=10,MID(C145,3,1)="-",MID(C145,6,1)="-"),"DMY","OTHER"))</f>
        <v>ISO</v>
      </c>
      <c r="E145" s="7">
        <f>IF(D145="ISO",VALUE(LEFT(C145,4)),IF(D145="DMY",VALUE(RIGHT(C145,4)),0))</f>
        <v>2025</v>
      </c>
      <c r="F145" s="7">
        <f>IF(D145="ISO",VALUE(MID(C145,6,2)),IF(D145="DMY",VALUE(MID(C145,4,2)),0))</f>
        <v>2</v>
      </c>
      <c r="G145" s="7">
        <f>IF(D145="ISO",VALUE(RIGHT(C145,2)),IF(D145="DMY",VALUE(LEFT(C145,2)),0))</f>
        <v>19</v>
      </c>
      <c r="H145" s="7">
        <f>IF(AND(D145&lt;&gt;"OTHER",F145&gt;=1,F145&lt;=12,G145&gt;=1,G145&lt;=31),IF(AND(MONTH(DATE(E145,F145,G145))=F145,DAY(DATE(E145,F145,G145))=G145),1,0),0)</f>
        <v>1</v>
      </c>
      <c r="I145" s="7">
        <f>IF(H145=1,DATE(E145,F145,G145),"")</f>
        <v>45707.0</v>
      </c>
      <c r="J145" s="7">
        <f>IF(AND(D145="DMY",H145=1),1,0)</f>
        <v>0</v>
      </c>
      <c r="K145" s="7">
        <f>IF(H145=0,1,0)</f>
        <v>0</v>
      </c>
      <c r="L145" s="7">
        <f>IF(TRIM(Raw_Bookings!I145&amp;"")="",1,0)</f>
        <v>0</v>
      </c>
      <c r="M145" s="7">
        <f>IF(L145=1,"",DATEVALUE(LEFT(Raw_Bookings!I145,10))+TIMEVALUE(MID(Raw_Bookings!I145,12,8)))</f>
        <v>45691.90791666666</v>
      </c>
      <c r="N145" s="7">
        <f>IF(AND(L145=0,H145=1),IF(INT(M145)&gt;I145,1,0),0)</f>
        <v>0</v>
      </c>
      <c r="O145" s="7" t="str">
        <f>UPPER(TRIM(Raw_Bookings!F145))</f>
        <v>BEN</v>
      </c>
      <c r="P145" s="7" t="str">
        <f>UPPER(TRIM(Raw_Bookings!G145))</f>
        <v>MUM</v>
      </c>
      <c r="Q145" s="7">
        <f>IF(COUNTIF(Lookup_Stations!$A$2:$A$33,O145)&gt;0,1,0)</f>
        <v>1</v>
      </c>
      <c r="R145" s="7">
        <f>IF(COUNTIF(Lookup_Stations!$A$2:$A$33,P145)&gt;0,1,0)</f>
        <v>1</v>
      </c>
      <c r="S145" s="7">
        <f>IF(OR(AND(Q145=1,NOT(EXACT(Raw_Bookings!F145,O145))),AND(R145=1,NOT(EXACT(Raw_Bookings!G145,P145)))),1,0)</f>
        <v>0</v>
      </c>
      <c r="T145" s="7">
        <f>IF(OR(Q145=0,R145=0),1,0)</f>
        <v>0</v>
      </c>
      <c r="U145" s="7">
        <f>IF(TRIM(Raw_Bookings!E145&amp;"")="",1,0)</f>
        <v>0</v>
      </c>
      <c r="V145" s="7" t="str">
        <f>IF(SUMPRODUCT(--(Lookup_Status!$A$2:$A$13=LOWER(TRIM(Raw_Bookings!K145))))=0,"",INDEX(Lookup_Status!$B$2:$B$13,SUMPRODUCT((Lookup_Status!$A$2:$A$13=LOWER(TRIM(Raw_Bookings!K145)))*(ROW(Lookup_Status!$A$2:$A$13)-1))))</f>
        <v>Confirmed</v>
      </c>
      <c r="W145" s="7">
        <f>IF(AND(V145&lt;&gt;"",NOT(EXACT(Raw_Bookings!K145,V145))),1,0)</f>
        <v>0</v>
      </c>
      <c r="X145" s="7">
        <f>IF(V145="",1,0)</f>
        <v>0</v>
      </c>
      <c r="Y145" s="7">
        <f>IF(TRIM(Raw_Bookings!L145&amp;"")="",1,0)</f>
        <v>0</v>
      </c>
      <c r="Z145" s="7">
        <f>IF(AND(ISTEXT(Raw_Bookings!L145),Y145=0),1,0)</f>
        <v>0</v>
      </c>
      <c r="AA145" s="7">
        <f>IF(Z145=1,IFERROR(VALUE(SUBSTITUTE(SUBSTITUTE(SUBSTITUTE(SUBSTITUTE(SUBSTITUTE(UPPER(Raw_Bookings!L145),"RS.",""),"₹",""),",","")," ",""),"INR","")),""),"")</f>
        <v/>
      </c>
      <c r="AB145" s="7">
        <f>IF(AND(Z145=1,ISNUMBER(AA145)),1,0)</f>
        <v>0</v>
      </c>
      <c r="AC145" s="7">
        <f>IF(B145=1,0,IF(NOT(ISNUMBER(Raw_Bookings!J145)),1,IF(Raw_Bookings!J145&lt;&gt;COUNTIFS(Work_Passengers!$B$2:$B$1336,Raw_Bookings!A145,Work_Passengers!$C$2:$C$1336,0),1,0)))</f>
        <v>0</v>
      </c>
    </row>
    <row r="146" spans="1:29">
      <c r="A146" s="7">
        <f>Raw_Bookings!A146</f>
        <v>1046233</v>
      </c>
      <c r="B146" s="7">
        <f>IF(COUNTIF(Raw_Bookings!$A$2:A146,Raw_Bookings!A146)&gt;1,1,0)</f>
        <v>0</v>
      </c>
      <c r="C146" s="7" t="str">
        <f>Raw_Bookings!D146&amp;""</f>
        <v>2025-02-18</v>
      </c>
      <c r="D146" s="7" t="str">
        <f>IF(AND(LEN(C146)=10,MID(C146,5,1)="-",MID(C146,8,1)="-"),"ISO",IF(AND(LEN(C146)=10,MID(C146,3,1)="-",MID(C146,6,1)="-"),"DMY","OTHER"))</f>
        <v>ISO</v>
      </c>
      <c r="E146" s="7">
        <f>IF(D146="ISO",VALUE(LEFT(C146,4)),IF(D146="DMY",VALUE(RIGHT(C146,4)),0))</f>
        <v>2025</v>
      </c>
      <c r="F146" s="7">
        <f>IF(D146="ISO",VALUE(MID(C146,6,2)),IF(D146="DMY",VALUE(MID(C146,4,2)),0))</f>
        <v>2</v>
      </c>
      <c r="G146" s="7">
        <f>IF(D146="ISO",VALUE(RIGHT(C146,2)),IF(D146="DMY",VALUE(LEFT(C146,2)),0))</f>
        <v>18</v>
      </c>
      <c r="H146" s="7">
        <f>IF(AND(D146&lt;&gt;"OTHER",F146&gt;=1,F146&lt;=12,G146&gt;=1,G146&lt;=31),IF(AND(MONTH(DATE(E146,F146,G146))=F146,DAY(DATE(E146,F146,G146))=G146),1,0),0)</f>
        <v>1</v>
      </c>
      <c r="I146" s="7">
        <f>IF(H146=1,DATE(E146,F146,G146),"")</f>
        <v>45706.0</v>
      </c>
      <c r="J146" s="7">
        <f>IF(AND(D146="DMY",H146=1),1,0)</f>
        <v>0</v>
      </c>
      <c r="K146" s="7">
        <f>IF(H146=0,1,0)</f>
        <v>0</v>
      </c>
      <c r="L146" s="7">
        <f>IF(TRIM(Raw_Bookings!I146&amp;"")="",1,0)</f>
        <v>0</v>
      </c>
      <c r="M146" s="7">
        <f>IF(L146=1,"",DATEVALUE(LEFT(Raw_Bookings!I146,10))+TIMEVALUE(MID(Raw_Bookings!I146,12,8)))</f>
        <v>45692.171064814815</v>
      </c>
      <c r="N146" s="7">
        <f>IF(AND(L146=0,H146=1),IF(INT(M146)&gt;I146,1,0),0)</f>
        <v>0</v>
      </c>
      <c r="O146" s="7" t="str">
        <f>UPPER(TRIM(Raw_Bookings!F146))</f>
        <v>VAR</v>
      </c>
      <c r="P146" s="7" t="str">
        <f>UPPER(TRIM(Raw_Bookings!G146))</f>
        <v>AHM</v>
      </c>
      <c r="Q146" s="7">
        <f>IF(COUNTIF(Lookup_Stations!$A$2:$A$33,O146)&gt;0,1,0)</f>
        <v>1</v>
      </c>
      <c r="R146" s="7">
        <f>IF(COUNTIF(Lookup_Stations!$A$2:$A$33,P146)&gt;0,1,0)</f>
        <v>1</v>
      </c>
      <c r="S146" s="7">
        <f>IF(OR(AND(Q146=1,NOT(EXACT(Raw_Bookings!F146,O146))),AND(R146=1,NOT(EXACT(Raw_Bookings!G146,P146)))),1,0)</f>
        <v>1</v>
      </c>
      <c r="T146" s="7">
        <f>IF(OR(Q146=0,R146=0),1,0)</f>
        <v>0</v>
      </c>
      <c r="U146" s="7">
        <f>IF(TRIM(Raw_Bookings!E146&amp;"")="",1,0)</f>
        <v>0</v>
      </c>
      <c r="V146" s="7" t="str">
        <f>IF(SUMPRODUCT(--(Lookup_Status!$A$2:$A$13=LOWER(TRIM(Raw_Bookings!K146))))=0,"",INDEX(Lookup_Status!$B$2:$B$13,SUMPRODUCT((Lookup_Status!$A$2:$A$13=LOWER(TRIM(Raw_Bookings!K146)))*(ROW(Lookup_Status!$A$2:$A$13)-1))))</f>
        <v>Confirmed</v>
      </c>
      <c r="W146" s="7">
        <f>IF(AND(V146&lt;&gt;"",NOT(EXACT(Raw_Bookings!K146,V146))),1,0)</f>
        <v>0</v>
      </c>
      <c r="X146" s="7">
        <f>IF(V146="",1,0)</f>
        <v>0</v>
      </c>
      <c r="Y146" s="7">
        <f>IF(TRIM(Raw_Bookings!L146&amp;"")="",1,0)</f>
        <v>0</v>
      </c>
      <c r="Z146" s="7">
        <f>IF(AND(ISTEXT(Raw_Bookings!L146),Y146=0),1,0)</f>
        <v>0</v>
      </c>
      <c r="AA146" s="7">
        <f>IF(Z146=1,IFERROR(VALUE(SUBSTITUTE(SUBSTITUTE(SUBSTITUTE(SUBSTITUTE(SUBSTITUTE(UPPER(Raw_Bookings!L146),"RS.",""),"₹",""),",","")," ",""),"INR","")),""),"")</f>
        <v/>
      </c>
      <c r="AB146" s="7">
        <f>IF(AND(Z146=1,ISNUMBER(AA146)),1,0)</f>
        <v>0</v>
      </c>
      <c r="AC146" s="7">
        <f>IF(B146=1,0,IF(NOT(ISNUMBER(Raw_Bookings!J146)),1,IF(Raw_Bookings!J146&lt;&gt;COUNTIFS(Work_Passengers!$B$2:$B$1336,Raw_Bookings!A146,Work_Passengers!$C$2:$C$1336,0),1,0)))</f>
        <v>0</v>
      </c>
    </row>
    <row r="147" spans="1:29">
      <c r="A147" s="7">
        <f>Raw_Bookings!A147</f>
        <v>1046536</v>
      </c>
      <c r="B147" s="7">
        <f>IF(COUNTIF(Raw_Bookings!$A$2:A147,Raw_Bookings!A147)&gt;1,1,0)</f>
        <v>0</v>
      </c>
      <c r="C147" s="7" t="str">
        <f>Raw_Bookings!D147&amp;""</f>
        <v>2025-03-11</v>
      </c>
      <c r="D147" s="7" t="str">
        <f>IF(AND(LEN(C147)=10,MID(C147,5,1)="-",MID(C147,8,1)="-"),"ISO",IF(AND(LEN(C147)=10,MID(C147,3,1)="-",MID(C147,6,1)="-"),"DMY","OTHER"))</f>
        <v>ISO</v>
      </c>
      <c r="E147" s="7">
        <f>IF(D147="ISO",VALUE(LEFT(C147,4)),IF(D147="DMY",VALUE(RIGHT(C147,4)),0))</f>
        <v>2025</v>
      </c>
      <c r="F147" s="7">
        <f>IF(D147="ISO",VALUE(MID(C147,6,2)),IF(D147="DMY",VALUE(MID(C147,4,2)),0))</f>
        <v>3</v>
      </c>
      <c r="G147" s="7">
        <f>IF(D147="ISO",VALUE(RIGHT(C147,2)),IF(D147="DMY",VALUE(LEFT(C147,2)),0))</f>
        <v>11</v>
      </c>
      <c r="H147" s="7">
        <f>IF(AND(D147&lt;&gt;"OTHER",F147&gt;=1,F147&lt;=12,G147&gt;=1,G147&lt;=31),IF(AND(MONTH(DATE(E147,F147,G147))=F147,DAY(DATE(E147,F147,G147))=G147),1,0),0)</f>
        <v>1</v>
      </c>
      <c r="I147" s="7">
        <f>IF(H147=1,DATE(E147,F147,G147),"")</f>
        <v>45727.0</v>
      </c>
      <c r="J147" s="7">
        <f>IF(AND(D147="DMY",H147=1),1,0)</f>
        <v>0</v>
      </c>
      <c r="K147" s="7">
        <f>IF(H147=0,1,0)</f>
        <v>0</v>
      </c>
      <c r="L147" s="7">
        <f>IF(TRIM(Raw_Bookings!I147&amp;"")="",1,0)</f>
        <v>0</v>
      </c>
      <c r="M147" s="7">
        <f>IF(L147=1,"",DATEVALUE(LEFT(Raw_Bookings!I147,10))+TIMEVALUE(MID(Raw_Bookings!I147,12,8)))</f>
        <v>45693.27216435185</v>
      </c>
      <c r="N147" s="7">
        <f>IF(AND(L147=0,H147=1),IF(INT(M147)&gt;I147,1,0),0)</f>
        <v>0</v>
      </c>
      <c r="O147" s="7" t="str">
        <f>UPPER(TRIM(Raw_Bookings!F147))</f>
        <v>MUM</v>
      </c>
      <c r="P147" s="7" t="str">
        <f>UPPER(TRIM(Raw_Bookings!G147))</f>
        <v>BEN</v>
      </c>
      <c r="Q147" s="7">
        <f>IF(COUNTIF(Lookup_Stations!$A$2:$A$33,O147)&gt;0,1,0)</f>
        <v>1</v>
      </c>
      <c r="R147" s="7">
        <f>IF(COUNTIF(Lookup_Stations!$A$2:$A$33,P147)&gt;0,1,0)</f>
        <v>1</v>
      </c>
      <c r="S147" s="7">
        <f>IF(OR(AND(Q147=1,NOT(EXACT(Raw_Bookings!F147,O147))),AND(R147=1,NOT(EXACT(Raw_Bookings!G147,P147)))),1,0)</f>
        <v>0</v>
      </c>
      <c r="T147" s="7">
        <f>IF(OR(Q147=0,R147=0),1,0)</f>
        <v>0</v>
      </c>
      <c r="U147" s="7">
        <f>IF(TRIM(Raw_Bookings!E147&amp;"")="",1,0)</f>
        <v>0</v>
      </c>
      <c r="V147" s="7" t="str">
        <f>IF(SUMPRODUCT(--(Lookup_Status!$A$2:$A$13=LOWER(TRIM(Raw_Bookings!K147))))=0,"",INDEX(Lookup_Status!$B$2:$B$13,SUMPRODUCT((Lookup_Status!$A$2:$A$13=LOWER(TRIM(Raw_Bookings!K147)))*(ROW(Lookup_Status!$A$2:$A$13)-1))))</f>
        <v>Confirmed</v>
      </c>
      <c r="W147" s="7">
        <f>IF(AND(V147&lt;&gt;"",NOT(EXACT(Raw_Bookings!K147,V147))),1,0)</f>
        <v>0</v>
      </c>
      <c r="X147" s="7">
        <f>IF(V147="",1,0)</f>
        <v>0</v>
      </c>
      <c r="Y147" s="7">
        <f>IF(TRIM(Raw_Bookings!L147&amp;"")="",1,0)</f>
        <v>0</v>
      </c>
      <c r="Z147" s="7">
        <f>IF(AND(ISTEXT(Raw_Bookings!L147),Y147=0),1,0)</f>
        <v>0</v>
      </c>
      <c r="AA147" s="7">
        <f>IF(Z147=1,IFERROR(VALUE(SUBSTITUTE(SUBSTITUTE(SUBSTITUTE(SUBSTITUTE(SUBSTITUTE(UPPER(Raw_Bookings!L147),"RS.",""),"₹",""),",","")," ",""),"INR","")),""),"")</f>
        <v/>
      </c>
      <c r="AB147" s="7">
        <f>IF(AND(Z147=1,ISNUMBER(AA147)),1,0)</f>
        <v>0</v>
      </c>
      <c r="AC147" s="7">
        <f>IF(B147=1,0,IF(NOT(ISNUMBER(Raw_Bookings!J147)),1,IF(Raw_Bookings!J147&lt;&gt;COUNTIFS(Work_Passengers!$B$2:$B$1336,Raw_Bookings!A147,Work_Passengers!$C$2:$C$1336,0),1,0)))</f>
        <v>0</v>
      </c>
    </row>
    <row r="148" spans="1:29">
      <c r="A148" s="7">
        <f>Raw_Bookings!A148</f>
        <v>1047713</v>
      </c>
      <c r="B148" s="7">
        <f>IF(COUNTIF(Raw_Bookings!$A$2:A148,Raw_Bookings!A148)&gt;1,1,0)</f>
        <v>0</v>
      </c>
      <c r="C148" s="7" t="str">
        <f>Raw_Bookings!D148&amp;""</f>
        <v>2025-03-24</v>
      </c>
      <c r="D148" s="7" t="str">
        <f>IF(AND(LEN(C148)=10,MID(C148,5,1)="-",MID(C148,8,1)="-"),"ISO",IF(AND(LEN(C148)=10,MID(C148,3,1)="-",MID(C148,6,1)="-"),"DMY","OTHER"))</f>
        <v>ISO</v>
      </c>
      <c r="E148" s="7">
        <f>IF(D148="ISO",VALUE(LEFT(C148,4)),IF(D148="DMY",VALUE(RIGHT(C148,4)),0))</f>
        <v>2025</v>
      </c>
      <c r="F148" s="7">
        <f>IF(D148="ISO",VALUE(MID(C148,6,2)),IF(D148="DMY",VALUE(MID(C148,4,2)),0))</f>
        <v>3</v>
      </c>
      <c r="G148" s="7">
        <f>IF(D148="ISO",VALUE(RIGHT(C148,2)),IF(D148="DMY",VALUE(LEFT(C148,2)),0))</f>
        <v>24</v>
      </c>
      <c r="H148" s="7">
        <f>IF(AND(D148&lt;&gt;"OTHER",F148&gt;=1,F148&lt;=12,G148&gt;=1,G148&lt;=31),IF(AND(MONTH(DATE(E148,F148,G148))=F148,DAY(DATE(E148,F148,G148))=G148),1,0),0)</f>
        <v>1</v>
      </c>
      <c r="I148" s="7">
        <f>IF(H148=1,DATE(E148,F148,G148),"")</f>
        <v>45740.0</v>
      </c>
      <c r="J148" s="7">
        <f>IF(AND(D148="DMY",H148=1),1,0)</f>
        <v>0</v>
      </c>
      <c r="K148" s="7">
        <f>IF(H148=0,1,0)</f>
        <v>0</v>
      </c>
      <c r="L148" s="7">
        <f>IF(TRIM(Raw_Bookings!I148&amp;"")="",1,0)</f>
        <v>0</v>
      </c>
      <c r="M148" s="7">
        <f>IF(L148=1,"",DATEVALUE(LEFT(Raw_Bookings!I148,10))+TIMEVALUE(MID(Raw_Bookings!I148,12,8)))</f>
        <v>45697.339641203704</v>
      </c>
      <c r="N148" s="7">
        <f>IF(AND(L148=0,H148=1),IF(INT(M148)&gt;I148,1,0),0)</f>
        <v>0</v>
      </c>
      <c r="O148" s="7" t="str">
        <f>UPPER(TRIM(Raw_Bookings!F148))</f>
        <v>CHE</v>
      </c>
      <c r="P148" s="7" t="str">
        <f>UPPER(TRIM(Raw_Bookings!G148))</f>
        <v>AHM</v>
      </c>
      <c r="Q148" s="7">
        <f>IF(COUNTIF(Lookup_Stations!$A$2:$A$33,O148)&gt;0,1,0)</f>
        <v>1</v>
      </c>
      <c r="R148" s="7">
        <f>IF(COUNTIF(Lookup_Stations!$A$2:$A$33,P148)&gt;0,1,0)</f>
        <v>1</v>
      </c>
      <c r="S148" s="7">
        <f>IF(OR(AND(Q148=1,NOT(EXACT(Raw_Bookings!F148,O148))),AND(R148=1,NOT(EXACT(Raw_Bookings!G148,P148)))),1,0)</f>
        <v>0</v>
      </c>
      <c r="T148" s="7">
        <f>IF(OR(Q148=0,R148=0),1,0)</f>
        <v>0</v>
      </c>
      <c r="U148" s="7">
        <f>IF(TRIM(Raw_Bookings!E148&amp;"")="",1,0)</f>
        <v>0</v>
      </c>
      <c r="V148" s="7" t="str">
        <f>IF(SUMPRODUCT(--(Lookup_Status!$A$2:$A$13=LOWER(TRIM(Raw_Bookings!K148))))=0,"",INDEX(Lookup_Status!$B$2:$B$13,SUMPRODUCT((Lookup_Status!$A$2:$A$13=LOWER(TRIM(Raw_Bookings!K148)))*(ROW(Lookup_Status!$A$2:$A$13)-1))))</f>
        <v>Confirmed</v>
      </c>
      <c r="W148" s="7">
        <f>IF(AND(V148&lt;&gt;"",NOT(EXACT(Raw_Bookings!K148,V148))),1,0)</f>
        <v>0</v>
      </c>
      <c r="X148" s="7">
        <f>IF(V148="",1,0)</f>
        <v>0</v>
      </c>
      <c r="Y148" s="7">
        <f>IF(TRIM(Raw_Bookings!L148&amp;"")="",1,0)</f>
        <v>0</v>
      </c>
      <c r="Z148" s="7">
        <f>IF(AND(ISTEXT(Raw_Bookings!L148),Y148=0),1,0)</f>
        <v>0</v>
      </c>
      <c r="AA148" s="7">
        <f>IF(Z148=1,IFERROR(VALUE(SUBSTITUTE(SUBSTITUTE(SUBSTITUTE(SUBSTITUTE(SUBSTITUTE(UPPER(Raw_Bookings!L148),"RS.",""),"₹",""),",","")," ",""),"INR","")),""),"")</f>
        <v/>
      </c>
      <c r="AB148" s="7">
        <f>IF(AND(Z148=1,ISNUMBER(AA148)),1,0)</f>
        <v>0</v>
      </c>
      <c r="AC148" s="7">
        <f>IF(B148=1,0,IF(NOT(ISNUMBER(Raw_Bookings!J148)),1,IF(Raw_Bookings!J148&lt;&gt;COUNTIFS(Work_Passengers!$B$2:$B$1336,Raw_Bookings!A148,Work_Passengers!$C$2:$C$1336,0),1,0)))</f>
        <v>0</v>
      </c>
    </row>
    <row r="149" spans="1:29">
      <c r="A149" s="7">
        <f>Raw_Bookings!A149</f>
        <v>1048875</v>
      </c>
      <c r="B149" s="7">
        <f>IF(COUNTIF(Raw_Bookings!$A$2:A149,Raw_Bookings!A149)&gt;1,1,0)</f>
        <v>0</v>
      </c>
      <c r="C149" s="7" t="str">
        <f>Raw_Bookings!D149&amp;""</f>
        <v>2025-03-05</v>
      </c>
      <c r="D149" s="7" t="str">
        <f>IF(AND(LEN(C149)=10,MID(C149,5,1)="-",MID(C149,8,1)="-"),"ISO",IF(AND(LEN(C149)=10,MID(C149,3,1)="-",MID(C149,6,1)="-"),"DMY","OTHER"))</f>
        <v>ISO</v>
      </c>
      <c r="E149" s="7">
        <f>IF(D149="ISO",VALUE(LEFT(C149,4)),IF(D149="DMY",VALUE(RIGHT(C149,4)),0))</f>
        <v>2025</v>
      </c>
      <c r="F149" s="7">
        <f>IF(D149="ISO",VALUE(MID(C149,6,2)),IF(D149="DMY",VALUE(MID(C149,4,2)),0))</f>
        <v>3</v>
      </c>
      <c r="G149" s="7">
        <f>IF(D149="ISO",VALUE(RIGHT(C149,2)),IF(D149="DMY",VALUE(LEFT(C149,2)),0))</f>
        <v>5</v>
      </c>
      <c r="H149" s="7">
        <f>IF(AND(D149&lt;&gt;"OTHER",F149&gt;=1,F149&lt;=12,G149&gt;=1,G149&lt;=31),IF(AND(MONTH(DATE(E149,F149,G149))=F149,DAY(DATE(E149,F149,G149))=G149),1,0),0)</f>
        <v>1</v>
      </c>
      <c r="I149" s="7">
        <f>IF(H149=1,DATE(E149,F149,G149),"")</f>
        <v>45721.0</v>
      </c>
      <c r="J149" s="7">
        <f>IF(AND(D149="DMY",H149=1),1,0)</f>
        <v>0</v>
      </c>
      <c r="K149" s="7">
        <f>IF(H149=0,1,0)</f>
        <v>0</v>
      </c>
      <c r="L149" s="7">
        <f>IF(TRIM(Raw_Bookings!I149&amp;"")="",1,0)</f>
        <v>0</v>
      </c>
      <c r="M149" s="7">
        <f>IF(L149=1,"",DATEVALUE(LEFT(Raw_Bookings!I149,10))+TIMEVALUE(MID(Raw_Bookings!I149,12,8)))</f>
        <v>45700.9158912037</v>
      </c>
      <c r="N149" s="7">
        <f>IF(AND(L149=0,H149=1),IF(INT(M149)&gt;I149,1,0),0)</f>
        <v>0</v>
      </c>
      <c r="O149" s="7" t="str">
        <f>UPPER(TRIM(Raw_Bookings!F149))</f>
        <v>LUC</v>
      </c>
      <c r="P149" s="7" t="str">
        <f>UPPER(TRIM(Raw_Bookings!G149))</f>
        <v>MUM</v>
      </c>
      <c r="Q149" s="7">
        <f>IF(COUNTIF(Lookup_Stations!$A$2:$A$33,O149)&gt;0,1,0)</f>
        <v>1</v>
      </c>
      <c r="R149" s="7">
        <f>IF(COUNTIF(Lookup_Stations!$A$2:$A$33,P149)&gt;0,1,0)</f>
        <v>1</v>
      </c>
      <c r="S149" s="7">
        <f>IF(OR(AND(Q149=1,NOT(EXACT(Raw_Bookings!F149,O149))),AND(R149=1,NOT(EXACT(Raw_Bookings!G149,P149)))),1,0)</f>
        <v>0</v>
      </c>
      <c r="T149" s="7">
        <f>IF(OR(Q149=0,R149=0),1,0)</f>
        <v>0</v>
      </c>
      <c r="U149" s="7">
        <f>IF(TRIM(Raw_Bookings!E149&amp;"")="",1,0)</f>
        <v>0</v>
      </c>
      <c r="V149" s="7" t="str">
        <f>IF(SUMPRODUCT(--(Lookup_Status!$A$2:$A$13=LOWER(TRIM(Raw_Bookings!K149))))=0,"",INDEX(Lookup_Status!$B$2:$B$13,SUMPRODUCT((Lookup_Status!$A$2:$A$13=LOWER(TRIM(Raw_Bookings!K149)))*(ROW(Lookup_Status!$A$2:$A$13)-1))))</f>
        <v>Confirmed</v>
      </c>
      <c r="W149" s="7">
        <f>IF(AND(V149&lt;&gt;"",NOT(EXACT(Raw_Bookings!K149,V149))),1,0)</f>
        <v>0</v>
      </c>
      <c r="X149" s="7">
        <f>IF(V149="",1,0)</f>
        <v>0</v>
      </c>
      <c r="Y149" s="7">
        <f>IF(TRIM(Raw_Bookings!L149&amp;"")="",1,0)</f>
        <v>0</v>
      </c>
      <c r="Z149" s="7">
        <f>IF(AND(ISTEXT(Raw_Bookings!L149),Y149=0),1,0)</f>
        <v>0</v>
      </c>
      <c r="AA149" s="7">
        <f>IF(Z149=1,IFERROR(VALUE(SUBSTITUTE(SUBSTITUTE(SUBSTITUTE(SUBSTITUTE(SUBSTITUTE(UPPER(Raw_Bookings!L149),"RS.",""),"₹",""),",","")," ",""),"INR","")),""),"")</f>
        <v/>
      </c>
      <c r="AB149" s="7">
        <f>IF(AND(Z149=1,ISNUMBER(AA149)),1,0)</f>
        <v>0</v>
      </c>
      <c r="AC149" s="7">
        <f>IF(B149=1,0,IF(NOT(ISNUMBER(Raw_Bookings!J149)),1,IF(Raw_Bookings!J149&lt;&gt;COUNTIFS(Work_Passengers!$B$2:$B$1336,Raw_Bookings!A149,Work_Passengers!$C$2:$C$1336,0),1,0)))</f>
        <v>1</v>
      </c>
    </row>
    <row r="150" spans="1:29">
      <c r="A150" s="7">
        <f>Raw_Bookings!A150</f>
        <v>1048994</v>
      </c>
      <c r="B150" s="7">
        <f>IF(COUNTIF(Raw_Bookings!$A$2:A150,Raw_Bookings!A150)&gt;1,1,0)</f>
        <v>0</v>
      </c>
      <c r="C150" s="7" t="str">
        <f>Raw_Bookings!D150&amp;""</f>
        <v>2025-04-18</v>
      </c>
      <c r="D150" s="7" t="str">
        <f>IF(AND(LEN(C150)=10,MID(C150,5,1)="-",MID(C150,8,1)="-"),"ISO",IF(AND(LEN(C150)=10,MID(C150,3,1)="-",MID(C150,6,1)="-"),"DMY","OTHER"))</f>
        <v>ISO</v>
      </c>
      <c r="E150" s="7">
        <f>IF(D150="ISO",VALUE(LEFT(C150,4)),IF(D150="DMY",VALUE(RIGHT(C150,4)),0))</f>
        <v>2025</v>
      </c>
      <c r="F150" s="7">
        <f>IF(D150="ISO",VALUE(MID(C150,6,2)),IF(D150="DMY",VALUE(MID(C150,4,2)),0))</f>
        <v>4</v>
      </c>
      <c r="G150" s="7">
        <f>IF(D150="ISO",VALUE(RIGHT(C150,2)),IF(D150="DMY",VALUE(LEFT(C150,2)),0))</f>
        <v>18</v>
      </c>
      <c r="H150" s="7">
        <f>IF(AND(D150&lt;&gt;"OTHER",F150&gt;=1,F150&lt;=12,G150&gt;=1,G150&lt;=31),IF(AND(MONTH(DATE(E150,F150,G150))=F150,DAY(DATE(E150,F150,G150))=G150),1,0),0)</f>
        <v>1</v>
      </c>
      <c r="I150" s="7">
        <f>IF(H150=1,DATE(E150,F150,G150),"")</f>
        <v>45765.0</v>
      </c>
      <c r="J150" s="7">
        <f>IF(AND(D150="DMY",H150=1),1,0)</f>
        <v>0</v>
      </c>
      <c r="K150" s="7">
        <f>IF(H150=0,1,0)</f>
        <v>0</v>
      </c>
      <c r="L150" s="7">
        <f>IF(TRIM(Raw_Bookings!I150&amp;"")="",1,0)</f>
        <v>0</v>
      </c>
      <c r="M150" s="7">
        <f>IF(L150=1,"",DATEVALUE(LEFT(Raw_Bookings!I150,10))+TIMEVALUE(MID(Raw_Bookings!I150,12,8)))</f>
        <v>45701.44931712963</v>
      </c>
      <c r="N150" s="7">
        <f>IF(AND(L150=0,H150=1),IF(INT(M150)&gt;I150,1,0),0)</f>
        <v>0</v>
      </c>
      <c r="O150" s="7" t="str">
        <f>UPPER(TRIM(Raw_Bookings!F150))</f>
        <v>LUC</v>
      </c>
      <c r="P150" s="7" t="str">
        <f>UPPER(TRIM(Raw_Bookings!G150))</f>
        <v>MUM</v>
      </c>
      <c r="Q150" s="7">
        <f>IF(COUNTIF(Lookup_Stations!$A$2:$A$33,O150)&gt;0,1,0)</f>
        <v>1</v>
      </c>
      <c r="R150" s="7">
        <f>IF(COUNTIF(Lookup_Stations!$A$2:$A$33,P150)&gt;0,1,0)</f>
        <v>1</v>
      </c>
      <c r="S150" s="7">
        <f>IF(OR(AND(Q150=1,NOT(EXACT(Raw_Bookings!F150,O150))),AND(R150=1,NOT(EXACT(Raw_Bookings!G150,P150)))),1,0)</f>
        <v>0</v>
      </c>
      <c r="T150" s="7">
        <f>IF(OR(Q150=0,R150=0),1,0)</f>
        <v>0</v>
      </c>
      <c r="U150" s="7">
        <f>IF(TRIM(Raw_Bookings!E150&amp;"")="",1,0)</f>
        <v>0</v>
      </c>
      <c r="V150" s="7" t="str">
        <f>IF(SUMPRODUCT(--(Lookup_Status!$A$2:$A$13=LOWER(TRIM(Raw_Bookings!K150))))=0,"",INDEX(Lookup_Status!$B$2:$B$13,SUMPRODUCT((Lookup_Status!$A$2:$A$13=LOWER(TRIM(Raw_Bookings!K150)))*(ROW(Lookup_Status!$A$2:$A$13)-1))))</f>
        <v>Mixed</v>
      </c>
      <c r="W150" s="7">
        <f>IF(AND(V150&lt;&gt;"",NOT(EXACT(Raw_Bookings!K150,V150))),1,0)</f>
        <v>0</v>
      </c>
      <c r="X150" s="7">
        <f>IF(V150="",1,0)</f>
        <v>0</v>
      </c>
      <c r="Y150" s="7">
        <f>IF(TRIM(Raw_Bookings!L150&amp;"")="",1,0)</f>
        <v>0</v>
      </c>
      <c r="Z150" s="7">
        <f>IF(AND(ISTEXT(Raw_Bookings!L150),Y150=0),1,0)</f>
        <v>0</v>
      </c>
      <c r="AA150" s="7">
        <f>IF(Z150=1,IFERROR(VALUE(SUBSTITUTE(SUBSTITUTE(SUBSTITUTE(SUBSTITUTE(SUBSTITUTE(UPPER(Raw_Bookings!L150),"RS.",""),"₹",""),",","")," ",""),"INR","")),""),"")</f>
        <v/>
      </c>
      <c r="AB150" s="7">
        <f>IF(AND(Z150=1,ISNUMBER(AA150)),1,0)</f>
        <v>0</v>
      </c>
      <c r="AC150" s="7">
        <f>IF(B150=1,0,IF(NOT(ISNUMBER(Raw_Bookings!J150)),1,IF(Raw_Bookings!J150&lt;&gt;COUNTIFS(Work_Passengers!$B$2:$B$1336,Raw_Bookings!A150,Work_Passengers!$C$2:$C$1336,0),1,0)))</f>
        <v>0</v>
      </c>
    </row>
    <row r="151" spans="1:29">
      <c r="A151" s="7">
        <f>Raw_Bookings!A151</f>
        <v>1049353</v>
      </c>
      <c r="B151" s="7">
        <f>IF(COUNTIF(Raw_Bookings!$A$2:A151,Raw_Bookings!A151)&gt;1,1,0)</f>
        <v>0</v>
      </c>
      <c r="C151" s="7" t="str">
        <f>Raw_Bookings!D151&amp;""</f>
        <v>2025-02-19</v>
      </c>
      <c r="D151" s="7" t="str">
        <f>IF(AND(LEN(C151)=10,MID(C151,5,1)="-",MID(C151,8,1)="-"),"ISO",IF(AND(LEN(C151)=10,MID(C151,3,1)="-",MID(C151,6,1)="-"),"DMY","OTHER"))</f>
        <v>ISO</v>
      </c>
      <c r="E151" s="7">
        <f>IF(D151="ISO",VALUE(LEFT(C151,4)),IF(D151="DMY",VALUE(RIGHT(C151,4)),0))</f>
        <v>2025</v>
      </c>
      <c r="F151" s="7">
        <f>IF(D151="ISO",VALUE(MID(C151,6,2)),IF(D151="DMY",VALUE(MID(C151,4,2)),0))</f>
        <v>2</v>
      </c>
      <c r="G151" s="7">
        <f>IF(D151="ISO",VALUE(RIGHT(C151,2)),IF(D151="DMY",VALUE(LEFT(C151,2)),0))</f>
        <v>19</v>
      </c>
      <c r="H151" s="7">
        <f>IF(AND(D151&lt;&gt;"OTHER",F151&gt;=1,F151&lt;=12,G151&gt;=1,G151&lt;=31),IF(AND(MONTH(DATE(E151,F151,G151))=F151,DAY(DATE(E151,F151,G151))=G151),1,0),0)</f>
        <v>1</v>
      </c>
      <c r="I151" s="7">
        <f>IF(H151=1,DATE(E151,F151,G151),"")</f>
        <v>45707.0</v>
      </c>
      <c r="J151" s="7">
        <f>IF(AND(D151="DMY",H151=1),1,0)</f>
        <v>0</v>
      </c>
      <c r="K151" s="7">
        <f>IF(H151=0,1,0)</f>
        <v>0</v>
      </c>
      <c r="L151" s="7">
        <f>IF(TRIM(Raw_Bookings!I151&amp;"")="",1,0)</f>
        <v>0</v>
      </c>
      <c r="M151" s="7">
        <f>IF(L151=1,"",DATEVALUE(LEFT(Raw_Bookings!I151,10))+TIMEVALUE(MID(Raw_Bookings!I151,12,8)))</f>
        <v>45702.539618055554</v>
      </c>
      <c r="N151" s="7">
        <f>IF(AND(L151=0,H151=1),IF(INT(M151)&gt;I151,1,0),0)</f>
        <v>0</v>
      </c>
      <c r="O151" s="7" t="str">
        <f>UPPER(TRIM(Raw_Bookings!F151))</f>
        <v>AHM</v>
      </c>
      <c r="P151" s="7" t="str">
        <f>UPPER(TRIM(Raw_Bookings!G151))</f>
        <v>CHE</v>
      </c>
      <c r="Q151" s="7">
        <f>IF(COUNTIF(Lookup_Stations!$A$2:$A$33,O151)&gt;0,1,0)</f>
        <v>1</v>
      </c>
      <c r="R151" s="7">
        <f>IF(COUNTIF(Lookup_Stations!$A$2:$A$33,P151)&gt;0,1,0)</f>
        <v>1</v>
      </c>
      <c r="S151" s="7">
        <f>IF(OR(AND(Q151=1,NOT(EXACT(Raw_Bookings!F151,O151))),AND(R151=1,NOT(EXACT(Raw_Bookings!G151,P151)))),1,0)</f>
        <v>0</v>
      </c>
      <c r="T151" s="7">
        <f>IF(OR(Q151=0,R151=0),1,0)</f>
        <v>0</v>
      </c>
      <c r="U151" s="7">
        <f>IF(TRIM(Raw_Bookings!E151&amp;"")="",1,0)</f>
        <v>0</v>
      </c>
      <c r="V151" s="7" t="str">
        <f>IF(SUMPRODUCT(--(Lookup_Status!$A$2:$A$13=LOWER(TRIM(Raw_Bookings!K151))))=0,"",INDEX(Lookup_Status!$B$2:$B$13,SUMPRODUCT((Lookup_Status!$A$2:$A$13=LOWER(TRIM(Raw_Bookings!K151)))*(ROW(Lookup_Status!$A$2:$A$13)-1))))</f>
        <v>Confirmed</v>
      </c>
      <c r="W151" s="7">
        <f>IF(AND(V151&lt;&gt;"",NOT(EXACT(Raw_Bookings!K151,V151))),1,0)</f>
        <v>0</v>
      </c>
      <c r="X151" s="7">
        <f>IF(V151="",1,0)</f>
        <v>0</v>
      </c>
      <c r="Y151" s="7">
        <f>IF(TRIM(Raw_Bookings!L151&amp;"")="",1,0)</f>
        <v>0</v>
      </c>
      <c r="Z151" s="7">
        <f>IF(AND(ISTEXT(Raw_Bookings!L151),Y151=0),1,0)</f>
        <v>0</v>
      </c>
      <c r="AA151" s="7">
        <f>IF(Z151=1,IFERROR(VALUE(SUBSTITUTE(SUBSTITUTE(SUBSTITUTE(SUBSTITUTE(SUBSTITUTE(UPPER(Raw_Bookings!L151),"RS.",""),"₹",""),",","")," ",""),"INR","")),""),"")</f>
        <v/>
      </c>
      <c r="AB151" s="7">
        <f>IF(AND(Z151=1,ISNUMBER(AA151)),1,0)</f>
        <v>0</v>
      </c>
      <c r="AC151" s="7">
        <f>IF(B151=1,0,IF(NOT(ISNUMBER(Raw_Bookings!J151)),1,IF(Raw_Bookings!J151&lt;&gt;COUNTIFS(Work_Passengers!$B$2:$B$1336,Raw_Bookings!A151,Work_Passengers!$C$2:$C$1336,0),1,0)))</f>
        <v>0</v>
      </c>
    </row>
    <row r="152" spans="1:29">
      <c r="A152" s="7">
        <f>Raw_Bookings!A152</f>
        <v>1050196</v>
      </c>
      <c r="B152" s="7">
        <f>IF(COUNTIF(Raw_Bookings!$A$2:A152,Raw_Bookings!A152)&gt;1,1,0)</f>
        <v>0</v>
      </c>
      <c r="C152" s="7" t="str">
        <f>Raw_Bookings!D152&amp;""</f>
        <v>2025-02-19</v>
      </c>
      <c r="D152" s="7" t="str">
        <f>IF(AND(LEN(C152)=10,MID(C152,5,1)="-",MID(C152,8,1)="-"),"ISO",IF(AND(LEN(C152)=10,MID(C152,3,1)="-",MID(C152,6,1)="-"),"DMY","OTHER"))</f>
        <v>ISO</v>
      </c>
      <c r="E152" s="7">
        <f>IF(D152="ISO",VALUE(LEFT(C152,4)),IF(D152="DMY",VALUE(RIGHT(C152,4)),0))</f>
        <v>2025</v>
      </c>
      <c r="F152" s="7">
        <f>IF(D152="ISO",VALUE(MID(C152,6,2)),IF(D152="DMY",VALUE(MID(C152,4,2)),0))</f>
        <v>2</v>
      </c>
      <c r="G152" s="7">
        <f>IF(D152="ISO",VALUE(RIGHT(C152,2)),IF(D152="DMY",VALUE(LEFT(C152,2)),0))</f>
        <v>19</v>
      </c>
      <c r="H152" s="7">
        <f>IF(AND(D152&lt;&gt;"OTHER",F152&gt;=1,F152&lt;=12,G152&gt;=1,G152&lt;=31),IF(AND(MONTH(DATE(E152,F152,G152))=F152,DAY(DATE(E152,F152,G152))=G152),1,0),0)</f>
        <v>1</v>
      </c>
      <c r="I152" s="7">
        <f>IF(H152=1,DATE(E152,F152,G152),"")</f>
        <v>45707.0</v>
      </c>
      <c r="J152" s="7">
        <f>IF(AND(D152="DMY",H152=1),1,0)</f>
        <v>0</v>
      </c>
      <c r="K152" s="7">
        <f>IF(H152=0,1,0)</f>
        <v>0</v>
      </c>
      <c r="L152" s="7">
        <f>IF(TRIM(Raw_Bookings!I152&amp;"")="",1,0)</f>
        <v>0</v>
      </c>
      <c r="M152" s="7">
        <f>IF(L152=1,"",DATEVALUE(LEFT(Raw_Bookings!I152,10))+TIMEVALUE(MID(Raw_Bookings!I152,12,8)))</f>
        <v>45704.864907407406</v>
      </c>
      <c r="N152" s="7">
        <f>IF(AND(L152=0,H152=1),IF(INT(M152)&gt;I152,1,0),0)</f>
        <v>0</v>
      </c>
      <c r="O152" s="7" t="str">
        <f>UPPER(TRIM(Raw_Bookings!F152))</f>
        <v>HYD</v>
      </c>
      <c r="P152" s="7" t="str">
        <f>UPPER(TRIM(Raw_Bookings!G152))</f>
        <v>KOL</v>
      </c>
      <c r="Q152" s="7">
        <f>IF(COUNTIF(Lookup_Stations!$A$2:$A$33,O152)&gt;0,1,0)</f>
        <v>1</v>
      </c>
      <c r="R152" s="7">
        <f>IF(COUNTIF(Lookup_Stations!$A$2:$A$33,P152)&gt;0,1,0)</f>
        <v>1</v>
      </c>
      <c r="S152" s="7">
        <f>IF(OR(AND(Q152=1,NOT(EXACT(Raw_Bookings!F152,O152))),AND(R152=1,NOT(EXACT(Raw_Bookings!G152,P152)))),1,0)</f>
        <v>0</v>
      </c>
      <c r="T152" s="7">
        <f>IF(OR(Q152=0,R152=0),1,0)</f>
        <v>0</v>
      </c>
      <c r="U152" s="7">
        <f>IF(TRIM(Raw_Bookings!E152&amp;"")="",1,0)</f>
        <v>0</v>
      </c>
      <c r="V152" s="7" t="str">
        <f>IF(SUMPRODUCT(--(Lookup_Status!$A$2:$A$13=LOWER(TRIM(Raw_Bookings!K152))))=0,"",INDEX(Lookup_Status!$B$2:$B$13,SUMPRODUCT((Lookup_Status!$A$2:$A$13=LOWER(TRIM(Raw_Bookings!K152)))*(ROW(Lookup_Status!$A$2:$A$13)-1))))</f>
        <v>Waitlisted</v>
      </c>
      <c r="W152" s="7">
        <f>IF(AND(V152&lt;&gt;"",NOT(EXACT(Raw_Bookings!K152,V152))),1,0)</f>
        <v>0</v>
      </c>
      <c r="X152" s="7">
        <f>IF(V152="",1,0)</f>
        <v>0</v>
      </c>
      <c r="Y152" s="7">
        <f>IF(TRIM(Raw_Bookings!L152&amp;"")="",1,0)</f>
        <v>0</v>
      </c>
      <c r="Z152" s="7">
        <f>IF(AND(ISTEXT(Raw_Bookings!L152),Y152=0),1,0)</f>
        <v>0</v>
      </c>
      <c r="AA152" s="7">
        <f>IF(Z152=1,IFERROR(VALUE(SUBSTITUTE(SUBSTITUTE(SUBSTITUTE(SUBSTITUTE(SUBSTITUTE(UPPER(Raw_Bookings!L152),"RS.",""),"₹",""),",","")," ",""),"INR","")),""),"")</f>
        <v/>
      </c>
      <c r="AB152" s="7">
        <f>IF(AND(Z152=1,ISNUMBER(AA152)),1,0)</f>
        <v>0</v>
      </c>
      <c r="AC152" s="7">
        <f>IF(B152=1,0,IF(NOT(ISNUMBER(Raw_Bookings!J152)),1,IF(Raw_Bookings!J152&lt;&gt;COUNTIFS(Work_Passengers!$B$2:$B$1336,Raw_Bookings!A152,Work_Passengers!$C$2:$C$1336,0),1,0)))</f>
        <v>0</v>
      </c>
    </row>
    <row r="153" spans="1:29">
      <c r="A153" s="7">
        <f>Raw_Bookings!A153</f>
        <v>1050534</v>
      </c>
      <c r="B153" s="7">
        <f>IF(COUNTIF(Raw_Bookings!$A$2:A153,Raw_Bookings!A153)&gt;1,1,0)</f>
        <v>0</v>
      </c>
      <c r="C153" s="7" t="str">
        <f>Raw_Bookings!D153&amp;""</f>
        <v>2025-03-30</v>
      </c>
      <c r="D153" s="7" t="str">
        <f>IF(AND(LEN(C153)=10,MID(C153,5,1)="-",MID(C153,8,1)="-"),"ISO",IF(AND(LEN(C153)=10,MID(C153,3,1)="-",MID(C153,6,1)="-"),"DMY","OTHER"))</f>
        <v>ISO</v>
      </c>
      <c r="E153" s="7">
        <f>IF(D153="ISO",VALUE(LEFT(C153,4)),IF(D153="DMY",VALUE(RIGHT(C153,4)),0))</f>
        <v>2025</v>
      </c>
      <c r="F153" s="7">
        <f>IF(D153="ISO",VALUE(MID(C153,6,2)),IF(D153="DMY",VALUE(MID(C153,4,2)),0))</f>
        <v>3</v>
      </c>
      <c r="G153" s="7">
        <f>IF(D153="ISO",VALUE(RIGHT(C153,2)),IF(D153="DMY",VALUE(LEFT(C153,2)),0))</f>
        <v>30</v>
      </c>
      <c r="H153" s="7">
        <f>IF(AND(D153&lt;&gt;"OTHER",F153&gt;=1,F153&lt;=12,G153&gt;=1,G153&lt;=31),IF(AND(MONTH(DATE(E153,F153,G153))=F153,DAY(DATE(E153,F153,G153))=G153),1,0),0)</f>
        <v>1</v>
      </c>
      <c r="I153" s="7">
        <f>IF(H153=1,DATE(E153,F153,G153),"")</f>
        <v>45746.0</v>
      </c>
      <c r="J153" s="7">
        <f>IF(AND(D153="DMY",H153=1),1,0)</f>
        <v>0</v>
      </c>
      <c r="K153" s="7">
        <f>IF(H153=0,1,0)</f>
        <v>0</v>
      </c>
      <c r="L153" s="7">
        <f>IF(TRIM(Raw_Bookings!I153&amp;"")="",1,0)</f>
        <v>0</v>
      </c>
      <c r="M153" s="7">
        <f>IF(L153=1,"",DATEVALUE(LEFT(Raw_Bookings!I153,10))+TIMEVALUE(MID(Raw_Bookings!I153,12,8)))</f>
        <v>45705.8908912037</v>
      </c>
      <c r="N153" s="7">
        <f>IF(AND(L153=0,H153=1),IF(INT(M153)&gt;I153,1,0),0)</f>
        <v>0</v>
      </c>
      <c r="O153" s="7" t="str">
        <f>UPPER(TRIM(Raw_Bookings!F153))</f>
        <v>VAR</v>
      </c>
      <c r="P153" s="7" t="str">
        <f>UPPER(TRIM(Raw_Bookings!G153))</f>
        <v>SUR</v>
      </c>
      <c r="Q153" s="7">
        <f>IF(COUNTIF(Lookup_Stations!$A$2:$A$33,O153)&gt;0,1,0)</f>
        <v>1</v>
      </c>
      <c r="R153" s="7">
        <f>IF(COUNTIF(Lookup_Stations!$A$2:$A$33,P153)&gt;0,1,0)</f>
        <v>1</v>
      </c>
      <c r="S153" s="7">
        <f>IF(OR(AND(Q153=1,NOT(EXACT(Raw_Bookings!F153,O153))),AND(R153=1,NOT(EXACT(Raw_Bookings!G153,P153)))),1,0)</f>
        <v>0</v>
      </c>
      <c r="T153" s="7">
        <f>IF(OR(Q153=0,R153=0),1,0)</f>
        <v>0</v>
      </c>
      <c r="U153" s="7">
        <f>IF(TRIM(Raw_Bookings!E153&amp;"")="",1,0)</f>
        <v>0</v>
      </c>
      <c r="V153" s="7" t="str">
        <f>IF(SUMPRODUCT(--(Lookup_Status!$A$2:$A$13=LOWER(TRIM(Raw_Bookings!K153))))=0,"",INDEX(Lookup_Status!$B$2:$B$13,SUMPRODUCT((Lookup_Status!$A$2:$A$13=LOWER(TRIM(Raw_Bookings!K153)))*(ROW(Lookup_Status!$A$2:$A$13)-1))))</f>
        <v>Confirmed</v>
      </c>
      <c r="W153" s="7">
        <f>IF(AND(V153&lt;&gt;"",NOT(EXACT(Raw_Bookings!K153,V153))),1,0)</f>
        <v>0</v>
      </c>
      <c r="X153" s="7">
        <f>IF(V153="",1,0)</f>
        <v>0</v>
      </c>
      <c r="Y153" s="7">
        <f>IF(TRIM(Raw_Bookings!L153&amp;"")="",1,0)</f>
        <v>0</v>
      </c>
      <c r="Z153" s="7">
        <f>IF(AND(ISTEXT(Raw_Bookings!L153),Y153=0),1,0)</f>
        <v>0</v>
      </c>
      <c r="AA153" s="7">
        <f>IF(Z153=1,IFERROR(VALUE(SUBSTITUTE(SUBSTITUTE(SUBSTITUTE(SUBSTITUTE(SUBSTITUTE(UPPER(Raw_Bookings!L153),"RS.",""),"₹",""),",","")," ",""),"INR","")),""),"")</f>
        <v/>
      </c>
      <c r="AB153" s="7">
        <f>IF(AND(Z153=1,ISNUMBER(AA153)),1,0)</f>
        <v>0</v>
      </c>
      <c r="AC153" s="7">
        <f>IF(B153=1,0,IF(NOT(ISNUMBER(Raw_Bookings!J153)),1,IF(Raw_Bookings!J153&lt;&gt;COUNTIFS(Work_Passengers!$B$2:$B$1336,Raw_Bookings!A153,Work_Passengers!$C$2:$C$1336,0),1,0)))</f>
        <v>0</v>
      </c>
    </row>
    <row r="154" spans="1:29">
      <c r="A154" s="7">
        <f>Raw_Bookings!A154</f>
        <v>1050575</v>
      </c>
      <c r="B154" s="7">
        <f>IF(COUNTIF(Raw_Bookings!$A$2:A154,Raw_Bookings!A154)&gt;1,1,0)</f>
        <v>0</v>
      </c>
      <c r="C154" s="7" t="str">
        <f>Raw_Bookings!D154&amp;""</f>
        <v>2025-02-19</v>
      </c>
      <c r="D154" s="7" t="str">
        <f>IF(AND(LEN(C154)=10,MID(C154,5,1)="-",MID(C154,8,1)="-"),"ISO",IF(AND(LEN(C154)=10,MID(C154,3,1)="-",MID(C154,6,1)="-"),"DMY","OTHER"))</f>
        <v>ISO</v>
      </c>
      <c r="E154" s="7">
        <f>IF(D154="ISO",VALUE(LEFT(C154,4)),IF(D154="DMY",VALUE(RIGHT(C154,4)),0))</f>
        <v>2025</v>
      </c>
      <c r="F154" s="7">
        <f>IF(D154="ISO",VALUE(MID(C154,6,2)),IF(D154="DMY",VALUE(MID(C154,4,2)),0))</f>
        <v>2</v>
      </c>
      <c r="G154" s="7">
        <f>IF(D154="ISO",VALUE(RIGHT(C154,2)),IF(D154="DMY",VALUE(LEFT(C154,2)),0))</f>
        <v>19</v>
      </c>
      <c r="H154" s="7">
        <f>IF(AND(D154&lt;&gt;"OTHER",F154&gt;=1,F154&lt;=12,G154&gt;=1,G154&lt;=31),IF(AND(MONTH(DATE(E154,F154,G154))=F154,DAY(DATE(E154,F154,G154))=G154),1,0),0)</f>
        <v>1</v>
      </c>
      <c r="I154" s="7">
        <f>IF(H154=1,DATE(E154,F154,G154),"")</f>
        <v>45707.0</v>
      </c>
      <c r="J154" s="7">
        <f>IF(AND(D154="DMY",H154=1),1,0)</f>
        <v>0</v>
      </c>
      <c r="K154" s="7">
        <f>IF(H154=0,1,0)</f>
        <v>0</v>
      </c>
      <c r="L154" s="7">
        <f>IF(TRIM(Raw_Bookings!I154&amp;"")="",1,0)</f>
        <v>0</v>
      </c>
      <c r="M154" s="7">
        <f>IF(L154=1,"",DATEVALUE(LEFT(Raw_Bookings!I154,10))+TIMEVALUE(MID(Raw_Bookings!I154,12,8)))</f>
        <v>45706.26503472222</v>
      </c>
      <c r="N154" s="7">
        <f>IF(AND(L154=0,H154=1),IF(INT(M154)&gt;I154,1,0),0)</f>
        <v>0</v>
      </c>
      <c r="O154" s="7" t="str">
        <f>UPPER(TRIM(Raw_Bookings!F154))</f>
        <v>LUC</v>
      </c>
      <c r="P154" s="7" t="str">
        <f>UPPER(TRIM(Raw_Bookings!G154))</f>
        <v>MUM</v>
      </c>
      <c r="Q154" s="7">
        <f>IF(COUNTIF(Lookup_Stations!$A$2:$A$33,O154)&gt;0,1,0)</f>
        <v>1</v>
      </c>
      <c r="R154" s="7">
        <f>IF(COUNTIF(Lookup_Stations!$A$2:$A$33,P154)&gt;0,1,0)</f>
        <v>1</v>
      </c>
      <c r="S154" s="7">
        <f>IF(OR(AND(Q154=1,NOT(EXACT(Raw_Bookings!F154,O154))),AND(R154=1,NOT(EXACT(Raw_Bookings!G154,P154)))),1,0)</f>
        <v>0</v>
      </c>
      <c r="T154" s="7">
        <f>IF(OR(Q154=0,R154=0),1,0)</f>
        <v>0</v>
      </c>
      <c r="U154" s="7">
        <f>IF(TRIM(Raw_Bookings!E154&amp;"")="",1,0)</f>
        <v>0</v>
      </c>
      <c r="V154" s="7" t="str">
        <f>IF(SUMPRODUCT(--(Lookup_Status!$A$2:$A$13=LOWER(TRIM(Raw_Bookings!K154))))=0,"",INDEX(Lookup_Status!$B$2:$B$13,SUMPRODUCT((Lookup_Status!$A$2:$A$13=LOWER(TRIM(Raw_Bookings!K154)))*(ROW(Lookup_Status!$A$2:$A$13)-1))))</f>
        <v>Cancelled</v>
      </c>
      <c r="W154" s="7">
        <f>IF(AND(V154&lt;&gt;"",NOT(EXACT(Raw_Bookings!K154,V154))),1,0)</f>
        <v>0</v>
      </c>
      <c r="X154" s="7">
        <f>IF(V154="",1,0)</f>
        <v>0</v>
      </c>
      <c r="Y154" s="7">
        <f>IF(TRIM(Raw_Bookings!L154&amp;"")="",1,0)</f>
        <v>0</v>
      </c>
      <c r="Z154" s="7">
        <f>IF(AND(ISTEXT(Raw_Bookings!L154),Y154=0),1,0)</f>
        <v>0</v>
      </c>
      <c r="AA154" s="7">
        <f>IF(Z154=1,IFERROR(VALUE(SUBSTITUTE(SUBSTITUTE(SUBSTITUTE(SUBSTITUTE(SUBSTITUTE(UPPER(Raw_Bookings!L154),"RS.",""),"₹",""),",","")," ",""),"INR","")),""),"")</f>
        <v/>
      </c>
      <c r="AB154" s="7">
        <f>IF(AND(Z154=1,ISNUMBER(AA154)),1,0)</f>
        <v>0</v>
      </c>
      <c r="AC154" s="7">
        <f>IF(B154=1,0,IF(NOT(ISNUMBER(Raw_Bookings!J154)),1,IF(Raw_Bookings!J154&lt;&gt;COUNTIFS(Work_Passengers!$B$2:$B$1336,Raw_Bookings!A154,Work_Passengers!$C$2:$C$1336,0),1,0)))</f>
        <v>0</v>
      </c>
    </row>
    <row r="155" spans="1:29">
      <c r="A155" s="7">
        <f>Raw_Bookings!A155</f>
        <v>1050620</v>
      </c>
      <c r="B155" s="7">
        <f>IF(COUNTIF(Raw_Bookings!$A$2:A155,Raw_Bookings!A155)&gt;1,1,0)</f>
        <v>0</v>
      </c>
      <c r="C155" s="7" t="str">
        <f>Raw_Bookings!D155&amp;""</f>
        <v>2025-02-21</v>
      </c>
      <c r="D155" s="7" t="str">
        <f>IF(AND(LEN(C155)=10,MID(C155,5,1)="-",MID(C155,8,1)="-"),"ISO",IF(AND(LEN(C155)=10,MID(C155,3,1)="-",MID(C155,6,1)="-"),"DMY","OTHER"))</f>
        <v>ISO</v>
      </c>
      <c r="E155" s="7">
        <f>IF(D155="ISO",VALUE(LEFT(C155,4)),IF(D155="DMY",VALUE(RIGHT(C155,4)),0))</f>
        <v>2025</v>
      </c>
      <c r="F155" s="7">
        <f>IF(D155="ISO",VALUE(MID(C155,6,2)),IF(D155="DMY",VALUE(MID(C155,4,2)),0))</f>
        <v>2</v>
      </c>
      <c r="G155" s="7">
        <f>IF(D155="ISO",VALUE(RIGHT(C155,2)),IF(D155="DMY",VALUE(LEFT(C155,2)),0))</f>
        <v>21</v>
      </c>
      <c r="H155" s="7">
        <f>IF(AND(D155&lt;&gt;"OTHER",F155&gt;=1,F155&lt;=12,G155&gt;=1,G155&lt;=31),IF(AND(MONTH(DATE(E155,F155,G155))=F155,DAY(DATE(E155,F155,G155))=G155),1,0),0)</f>
        <v>1</v>
      </c>
      <c r="I155" s="7">
        <f>IF(H155=1,DATE(E155,F155,G155),"")</f>
        <v>45709.0</v>
      </c>
      <c r="J155" s="7">
        <f>IF(AND(D155="DMY",H155=1),1,0)</f>
        <v>0</v>
      </c>
      <c r="K155" s="7">
        <f>IF(H155=0,1,0)</f>
        <v>0</v>
      </c>
      <c r="L155" s="7">
        <f>IF(TRIM(Raw_Bookings!I155&amp;"")="",1,0)</f>
        <v>0</v>
      </c>
      <c r="M155" s="7">
        <f>IF(L155=1,"",DATEVALUE(LEFT(Raw_Bookings!I155,10))+TIMEVALUE(MID(Raw_Bookings!I155,12,8)))</f>
        <v>45706.383680555555</v>
      </c>
      <c r="N155" s="7">
        <f>IF(AND(L155=0,H155=1),IF(INT(M155)&gt;I155,1,0),0)</f>
        <v>0</v>
      </c>
      <c r="O155" s="7" t="str">
        <f>UPPER(TRIM(Raw_Bookings!F155))</f>
        <v>NAG</v>
      </c>
      <c r="P155" s="7" t="str">
        <f>UPPER(TRIM(Raw_Bookings!G155))</f>
        <v>THI</v>
      </c>
      <c r="Q155" s="7">
        <f>IF(COUNTIF(Lookup_Stations!$A$2:$A$33,O155)&gt;0,1,0)</f>
        <v>1</v>
      </c>
      <c r="R155" s="7">
        <f>IF(COUNTIF(Lookup_Stations!$A$2:$A$33,P155)&gt;0,1,0)</f>
        <v>1</v>
      </c>
      <c r="S155" s="7">
        <f>IF(OR(AND(Q155=1,NOT(EXACT(Raw_Bookings!F155,O155))),AND(R155=1,NOT(EXACT(Raw_Bookings!G155,P155)))),1,0)</f>
        <v>0</v>
      </c>
      <c r="T155" s="7">
        <f>IF(OR(Q155=0,R155=0),1,0)</f>
        <v>0</v>
      </c>
      <c r="U155" s="7">
        <f>IF(TRIM(Raw_Bookings!E155&amp;"")="",1,0)</f>
        <v>0</v>
      </c>
      <c r="V155" s="7" t="str">
        <f>IF(SUMPRODUCT(--(Lookup_Status!$A$2:$A$13=LOWER(TRIM(Raw_Bookings!K155))))=0,"",INDEX(Lookup_Status!$B$2:$B$13,SUMPRODUCT((Lookup_Status!$A$2:$A$13=LOWER(TRIM(Raw_Bookings!K155)))*(ROW(Lookup_Status!$A$2:$A$13)-1))))</f>
        <v>Waitlisted</v>
      </c>
      <c r="W155" s="7">
        <f>IF(AND(V155&lt;&gt;"",NOT(EXACT(Raw_Bookings!K155,V155))),1,0)</f>
        <v>0</v>
      </c>
      <c r="X155" s="7">
        <f>IF(V155="",1,0)</f>
        <v>0</v>
      </c>
      <c r="Y155" s="7">
        <f>IF(TRIM(Raw_Bookings!L155&amp;"")="",1,0)</f>
        <v>0</v>
      </c>
      <c r="Z155" s="7">
        <f>IF(AND(ISTEXT(Raw_Bookings!L155),Y155=0),1,0)</f>
        <v>0</v>
      </c>
      <c r="AA155" s="7">
        <f>IF(Z155=1,IFERROR(VALUE(SUBSTITUTE(SUBSTITUTE(SUBSTITUTE(SUBSTITUTE(SUBSTITUTE(UPPER(Raw_Bookings!L155),"RS.",""),"₹",""),",","")," ",""),"INR","")),""),"")</f>
        <v/>
      </c>
      <c r="AB155" s="7">
        <f>IF(AND(Z155=1,ISNUMBER(AA155)),1,0)</f>
        <v>0</v>
      </c>
      <c r="AC155" s="7">
        <f>IF(B155=1,0,IF(NOT(ISNUMBER(Raw_Bookings!J155)),1,IF(Raw_Bookings!J155&lt;&gt;COUNTIFS(Work_Passengers!$B$2:$B$1336,Raw_Bookings!A155,Work_Passengers!$C$2:$C$1336,0),1,0)))</f>
        <v>0</v>
      </c>
    </row>
    <row r="156" spans="1:29">
      <c r="A156" s="7">
        <f>Raw_Bookings!A156</f>
        <v>1050680</v>
      </c>
      <c r="B156" s="7">
        <f>IF(COUNTIF(Raw_Bookings!$A$2:A156,Raw_Bookings!A156)&gt;1,1,0)</f>
        <v>0</v>
      </c>
      <c r="C156" s="7" t="str">
        <f>Raw_Bookings!D156&amp;""</f>
        <v>2025-03-15</v>
      </c>
      <c r="D156" s="7" t="str">
        <f>IF(AND(LEN(C156)=10,MID(C156,5,1)="-",MID(C156,8,1)="-"),"ISO",IF(AND(LEN(C156)=10,MID(C156,3,1)="-",MID(C156,6,1)="-"),"DMY","OTHER"))</f>
        <v>ISO</v>
      </c>
      <c r="E156" s="7">
        <f>IF(D156="ISO",VALUE(LEFT(C156,4)),IF(D156="DMY",VALUE(RIGHT(C156,4)),0))</f>
        <v>2025</v>
      </c>
      <c r="F156" s="7">
        <f>IF(D156="ISO",VALUE(MID(C156,6,2)),IF(D156="DMY",VALUE(MID(C156,4,2)),0))</f>
        <v>3</v>
      </c>
      <c r="G156" s="7">
        <f>IF(D156="ISO",VALUE(RIGHT(C156,2)),IF(D156="DMY",VALUE(LEFT(C156,2)),0))</f>
        <v>15</v>
      </c>
      <c r="H156" s="7">
        <f>IF(AND(D156&lt;&gt;"OTHER",F156&gt;=1,F156&lt;=12,G156&gt;=1,G156&lt;=31),IF(AND(MONTH(DATE(E156,F156,G156))=F156,DAY(DATE(E156,F156,G156))=G156),1,0),0)</f>
        <v>1</v>
      </c>
      <c r="I156" s="7">
        <f>IF(H156=1,DATE(E156,F156,G156),"")</f>
        <v>45731.0</v>
      </c>
      <c r="J156" s="7">
        <f>IF(AND(D156="DMY",H156=1),1,0)</f>
        <v>0</v>
      </c>
      <c r="K156" s="7">
        <f>IF(H156=0,1,0)</f>
        <v>0</v>
      </c>
      <c r="L156" s="7">
        <f>IF(TRIM(Raw_Bookings!I156&amp;"")="",1,0)</f>
        <v>0</v>
      </c>
      <c r="M156" s="7">
        <f>IF(L156=1,"",DATEVALUE(LEFT(Raw_Bookings!I156,10))+TIMEVALUE(MID(Raw_Bookings!I156,12,8)))</f>
        <v>45706.54769675926</v>
      </c>
      <c r="N156" s="7">
        <f>IF(AND(L156=0,H156=1),IF(INT(M156)&gt;I156,1,0),0)</f>
        <v>0</v>
      </c>
      <c r="O156" s="7" t="str">
        <f>UPPER(TRIM(Raw_Bookings!F156))</f>
        <v>DIB</v>
      </c>
      <c r="P156" s="7" t="str">
        <f>UPPER(TRIM(Raw_Bookings!G156))</f>
        <v>DEL</v>
      </c>
      <c r="Q156" s="7">
        <f>IF(COUNTIF(Lookup_Stations!$A$2:$A$33,O156)&gt;0,1,0)</f>
        <v>1</v>
      </c>
      <c r="R156" s="7">
        <f>IF(COUNTIF(Lookup_Stations!$A$2:$A$33,P156)&gt;0,1,0)</f>
        <v>1</v>
      </c>
      <c r="S156" s="7">
        <f>IF(OR(AND(Q156=1,NOT(EXACT(Raw_Bookings!F156,O156))),AND(R156=1,NOT(EXACT(Raw_Bookings!G156,P156)))),1,0)</f>
        <v>0</v>
      </c>
      <c r="T156" s="7">
        <f>IF(OR(Q156=0,R156=0),1,0)</f>
        <v>0</v>
      </c>
      <c r="U156" s="7">
        <f>IF(TRIM(Raw_Bookings!E156&amp;"")="",1,0)</f>
        <v>0</v>
      </c>
      <c r="V156" s="7" t="str">
        <f>IF(SUMPRODUCT(--(Lookup_Status!$A$2:$A$13=LOWER(TRIM(Raw_Bookings!K156))))=0,"",INDEX(Lookup_Status!$B$2:$B$13,SUMPRODUCT((Lookup_Status!$A$2:$A$13=LOWER(TRIM(Raw_Bookings!K156)))*(ROW(Lookup_Status!$A$2:$A$13)-1))))</f>
        <v>Cancelled</v>
      </c>
      <c r="W156" s="7">
        <f>IF(AND(V156&lt;&gt;"",NOT(EXACT(Raw_Bookings!K156,V156))),1,0)</f>
        <v>0</v>
      </c>
      <c r="X156" s="7">
        <f>IF(V156="",1,0)</f>
        <v>0</v>
      </c>
      <c r="Y156" s="7">
        <f>IF(TRIM(Raw_Bookings!L156&amp;"")="",1,0)</f>
        <v>0</v>
      </c>
      <c r="Z156" s="7">
        <f>IF(AND(ISTEXT(Raw_Bookings!L156),Y156=0),1,0)</f>
        <v>0</v>
      </c>
      <c r="AA156" s="7">
        <f>IF(Z156=1,IFERROR(VALUE(SUBSTITUTE(SUBSTITUTE(SUBSTITUTE(SUBSTITUTE(SUBSTITUTE(UPPER(Raw_Bookings!L156),"RS.",""),"₹",""),",","")," ",""),"INR","")),""),"")</f>
        <v/>
      </c>
      <c r="AB156" s="7">
        <f>IF(AND(Z156=1,ISNUMBER(AA156)),1,0)</f>
        <v>0</v>
      </c>
      <c r="AC156" s="7">
        <f>IF(B156=1,0,IF(NOT(ISNUMBER(Raw_Bookings!J156)),1,IF(Raw_Bookings!J156&lt;&gt;COUNTIFS(Work_Passengers!$B$2:$B$1336,Raw_Bookings!A156,Work_Passengers!$C$2:$C$1336,0),1,0)))</f>
        <v>0</v>
      </c>
    </row>
    <row r="157" spans="1:29">
      <c r="A157" s="7">
        <f>Raw_Bookings!A157</f>
        <v>1051001</v>
      </c>
      <c r="B157" s="7">
        <f>IF(COUNTIF(Raw_Bookings!$A$2:A157,Raw_Bookings!A157)&gt;1,1,0)</f>
        <v>0</v>
      </c>
      <c r="C157" s="7" t="str">
        <f>Raw_Bookings!D157&amp;""</f>
        <v>2025-04-16</v>
      </c>
      <c r="D157" s="7" t="str">
        <f>IF(AND(LEN(C157)=10,MID(C157,5,1)="-",MID(C157,8,1)="-"),"ISO",IF(AND(LEN(C157)=10,MID(C157,3,1)="-",MID(C157,6,1)="-"),"DMY","OTHER"))</f>
        <v>ISO</v>
      </c>
      <c r="E157" s="7">
        <f>IF(D157="ISO",VALUE(LEFT(C157,4)),IF(D157="DMY",VALUE(RIGHT(C157,4)),0))</f>
        <v>2025</v>
      </c>
      <c r="F157" s="7">
        <f>IF(D157="ISO",VALUE(MID(C157,6,2)),IF(D157="DMY",VALUE(MID(C157,4,2)),0))</f>
        <v>4</v>
      </c>
      <c r="G157" s="7">
        <f>IF(D157="ISO",VALUE(RIGHT(C157,2)),IF(D157="DMY",VALUE(LEFT(C157,2)),0))</f>
        <v>16</v>
      </c>
      <c r="H157" s="7">
        <f>IF(AND(D157&lt;&gt;"OTHER",F157&gt;=1,F157&lt;=12,G157&gt;=1,G157&lt;=31),IF(AND(MONTH(DATE(E157,F157,G157))=F157,DAY(DATE(E157,F157,G157))=G157),1,0),0)</f>
        <v>1</v>
      </c>
      <c r="I157" s="7">
        <f>IF(H157=1,DATE(E157,F157,G157),"")</f>
        <v>45763.0</v>
      </c>
      <c r="J157" s="7">
        <f>IF(AND(D157="DMY",H157=1),1,0)</f>
        <v>0</v>
      </c>
      <c r="K157" s="7">
        <f>IF(H157=0,1,0)</f>
        <v>0</v>
      </c>
      <c r="L157" s="7">
        <f>IF(TRIM(Raw_Bookings!I157&amp;"")="",1,0)</f>
        <v>0</v>
      </c>
      <c r="M157" s="7">
        <f>IF(L157=1,"",DATEVALUE(LEFT(Raw_Bookings!I157,10))+TIMEVALUE(MID(Raw_Bookings!I157,12,8)))</f>
        <v>45707.510358796295</v>
      </c>
      <c r="N157" s="7">
        <f>IF(AND(L157=0,H157=1),IF(INT(M157)&gt;I157,1,0),0)</f>
        <v>0</v>
      </c>
      <c r="O157" s="7" t="str">
        <f>UPPER(TRIM(Raw_Bookings!F157))</f>
        <v>BEN</v>
      </c>
      <c r="P157" s="7" t="str">
        <f>UPPER(TRIM(Raw_Bookings!G157))</f>
        <v>MUM</v>
      </c>
      <c r="Q157" s="7">
        <f>IF(COUNTIF(Lookup_Stations!$A$2:$A$33,O157)&gt;0,1,0)</f>
        <v>1</v>
      </c>
      <c r="R157" s="7">
        <f>IF(COUNTIF(Lookup_Stations!$A$2:$A$33,P157)&gt;0,1,0)</f>
        <v>1</v>
      </c>
      <c r="S157" s="7">
        <f>IF(OR(AND(Q157=1,NOT(EXACT(Raw_Bookings!F157,O157))),AND(R157=1,NOT(EXACT(Raw_Bookings!G157,P157)))),1,0)</f>
        <v>1</v>
      </c>
      <c r="T157" s="7">
        <f>IF(OR(Q157=0,R157=0),1,0)</f>
        <v>0</v>
      </c>
      <c r="U157" s="7">
        <f>IF(TRIM(Raw_Bookings!E157&amp;"")="",1,0)</f>
        <v>0</v>
      </c>
      <c r="V157" s="7" t="str">
        <f>IF(SUMPRODUCT(--(Lookup_Status!$A$2:$A$13=LOWER(TRIM(Raw_Bookings!K157))))=0,"",INDEX(Lookup_Status!$B$2:$B$13,SUMPRODUCT((Lookup_Status!$A$2:$A$13=LOWER(TRIM(Raw_Bookings!K157)))*(ROW(Lookup_Status!$A$2:$A$13)-1))))</f>
        <v>Confirmed</v>
      </c>
      <c r="W157" s="7">
        <f>IF(AND(V157&lt;&gt;"",NOT(EXACT(Raw_Bookings!K157,V157))),1,0)</f>
        <v>0</v>
      </c>
      <c r="X157" s="7">
        <f>IF(V157="",1,0)</f>
        <v>0</v>
      </c>
      <c r="Y157" s="7">
        <f>IF(TRIM(Raw_Bookings!L157&amp;"")="",1,0)</f>
        <v>0</v>
      </c>
      <c r="Z157" s="7">
        <f>IF(AND(ISTEXT(Raw_Bookings!L157),Y157=0),1,0)</f>
        <v>0</v>
      </c>
      <c r="AA157" s="7">
        <f>IF(Z157=1,IFERROR(VALUE(SUBSTITUTE(SUBSTITUTE(SUBSTITUTE(SUBSTITUTE(SUBSTITUTE(UPPER(Raw_Bookings!L157),"RS.",""),"₹",""),",","")," ",""),"INR","")),""),"")</f>
        <v/>
      </c>
      <c r="AB157" s="7">
        <f>IF(AND(Z157=1,ISNUMBER(AA157)),1,0)</f>
        <v>0</v>
      </c>
      <c r="AC157" s="7">
        <f>IF(B157=1,0,IF(NOT(ISNUMBER(Raw_Bookings!J157)),1,IF(Raw_Bookings!J157&lt;&gt;COUNTIFS(Work_Passengers!$B$2:$B$1336,Raw_Bookings!A157,Work_Passengers!$C$2:$C$1336,0),1,0)))</f>
        <v>0</v>
      </c>
    </row>
    <row r="158" spans="1:29">
      <c r="A158" s="7">
        <f>Raw_Bookings!A158</f>
        <v>1051333</v>
      </c>
      <c r="B158" s="7">
        <f>IF(COUNTIF(Raw_Bookings!$A$2:A158,Raw_Bookings!A158)&gt;1,1,0)</f>
        <v>0</v>
      </c>
      <c r="C158" s="7" t="str">
        <f>Raw_Bookings!D158&amp;""</f>
        <v>2025-02-24</v>
      </c>
      <c r="D158" s="7" t="str">
        <f>IF(AND(LEN(C158)=10,MID(C158,5,1)="-",MID(C158,8,1)="-"),"ISO",IF(AND(LEN(C158)=10,MID(C158,3,1)="-",MID(C158,6,1)="-"),"DMY","OTHER"))</f>
        <v>ISO</v>
      </c>
      <c r="E158" s="7">
        <f>IF(D158="ISO",VALUE(LEFT(C158,4)),IF(D158="DMY",VALUE(RIGHT(C158,4)),0))</f>
        <v>2025</v>
      </c>
      <c r="F158" s="7">
        <f>IF(D158="ISO",VALUE(MID(C158,6,2)),IF(D158="DMY",VALUE(MID(C158,4,2)),0))</f>
        <v>2</v>
      </c>
      <c r="G158" s="7">
        <f>IF(D158="ISO",VALUE(RIGHT(C158,2)),IF(D158="DMY",VALUE(LEFT(C158,2)),0))</f>
        <v>24</v>
      </c>
      <c r="H158" s="7">
        <f>IF(AND(D158&lt;&gt;"OTHER",F158&gt;=1,F158&lt;=12,G158&gt;=1,G158&lt;=31),IF(AND(MONTH(DATE(E158,F158,G158))=F158,DAY(DATE(E158,F158,G158))=G158),1,0),0)</f>
        <v>1</v>
      </c>
      <c r="I158" s="7">
        <f>IF(H158=1,DATE(E158,F158,G158),"")</f>
        <v>45712.0</v>
      </c>
      <c r="J158" s="7">
        <f>IF(AND(D158="DMY",H158=1),1,0)</f>
        <v>0</v>
      </c>
      <c r="K158" s="7">
        <f>IF(H158=0,1,0)</f>
        <v>0</v>
      </c>
      <c r="L158" s="7">
        <f>IF(TRIM(Raw_Bookings!I158&amp;"")="",1,0)</f>
        <v>0</v>
      </c>
      <c r="M158" s="7">
        <f>IF(L158=1,"",DATEVALUE(LEFT(Raw_Bookings!I158,10))+TIMEVALUE(MID(Raw_Bookings!I158,12,8)))</f>
        <v>45708.62237268518</v>
      </c>
      <c r="N158" s="7">
        <f>IF(AND(L158=0,H158=1),IF(INT(M158)&gt;I158,1,0),0)</f>
        <v>0</v>
      </c>
      <c r="O158" s="7" t="str">
        <f>UPPER(TRIM(Raw_Bookings!F158))</f>
        <v>CHE</v>
      </c>
      <c r="P158" s="7" t="str">
        <f>UPPER(TRIM(Raw_Bookings!G158))</f>
        <v>AHM</v>
      </c>
      <c r="Q158" s="7">
        <f>IF(COUNTIF(Lookup_Stations!$A$2:$A$33,O158)&gt;0,1,0)</f>
        <v>1</v>
      </c>
      <c r="R158" s="7">
        <f>IF(COUNTIF(Lookup_Stations!$A$2:$A$33,P158)&gt;0,1,0)</f>
        <v>1</v>
      </c>
      <c r="S158" s="7">
        <f>IF(OR(AND(Q158=1,NOT(EXACT(Raw_Bookings!F158,O158))),AND(R158=1,NOT(EXACT(Raw_Bookings!G158,P158)))),1,0)</f>
        <v>0</v>
      </c>
      <c r="T158" s="7">
        <f>IF(OR(Q158=0,R158=0),1,0)</f>
        <v>0</v>
      </c>
      <c r="U158" s="7">
        <f>IF(TRIM(Raw_Bookings!E158&amp;"")="",1,0)</f>
        <v>0</v>
      </c>
      <c r="V158" s="7" t="str">
        <f>IF(SUMPRODUCT(--(Lookup_Status!$A$2:$A$13=LOWER(TRIM(Raw_Bookings!K158))))=0,"",INDEX(Lookup_Status!$B$2:$B$13,SUMPRODUCT((Lookup_Status!$A$2:$A$13=LOWER(TRIM(Raw_Bookings!K158)))*(ROW(Lookup_Status!$A$2:$A$13)-1))))</f>
        <v>Confirmed</v>
      </c>
      <c r="W158" s="7">
        <f>IF(AND(V158&lt;&gt;"",NOT(EXACT(Raw_Bookings!K158,V158))),1,0)</f>
        <v>0</v>
      </c>
      <c r="X158" s="7">
        <f>IF(V158="",1,0)</f>
        <v>0</v>
      </c>
      <c r="Y158" s="7">
        <f>IF(TRIM(Raw_Bookings!L158&amp;"")="",1,0)</f>
        <v>0</v>
      </c>
      <c r="Z158" s="7">
        <f>IF(AND(ISTEXT(Raw_Bookings!L158),Y158=0),1,0)</f>
        <v>0</v>
      </c>
      <c r="AA158" s="7">
        <f>IF(Z158=1,IFERROR(VALUE(SUBSTITUTE(SUBSTITUTE(SUBSTITUTE(SUBSTITUTE(SUBSTITUTE(UPPER(Raw_Bookings!L158),"RS.",""),"₹",""),",","")," ",""),"INR","")),""),"")</f>
        <v/>
      </c>
      <c r="AB158" s="7">
        <f>IF(AND(Z158=1,ISNUMBER(AA158)),1,0)</f>
        <v>0</v>
      </c>
      <c r="AC158" s="7">
        <f>IF(B158=1,0,IF(NOT(ISNUMBER(Raw_Bookings!J158)),1,IF(Raw_Bookings!J158&lt;&gt;COUNTIFS(Work_Passengers!$B$2:$B$1336,Raw_Bookings!A158,Work_Passengers!$C$2:$C$1336,0),1,0)))</f>
        <v>0</v>
      </c>
    </row>
    <row r="159" spans="1:29">
      <c r="A159" s="7">
        <f>Raw_Bookings!A159</f>
        <v>1051550</v>
      </c>
      <c r="B159" s="7">
        <f>IF(COUNTIF(Raw_Bookings!$A$2:A159,Raw_Bookings!A159)&gt;1,1,0)</f>
        <v>0</v>
      </c>
      <c r="C159" s="7" t="str">
        <f>Raw_Bookings!D159&amp;""</f>
        <v>2025-03-08</v>
      </c>
      <c r="D159" s="7" t="str">
        <f>IF(AND(LEN(C159)=10,MID(C159,5,1)="-",MID(C159,8,1)="-"),"ISO",IF(AND(LEN(C159)=10,MID(C159,3,1)="-",MID(C159,6,1)="-"),"DMY","OTHER"))</f>
        <v>ISO</v>
      </c>
      <c r="E159" s="7">
        <f>IF(D159="ISO",VALUE(LEFT(C159,4)),IF(D159="DMY",VALUE(RIGHT(C159,4)),0))</f>
        <v>2025</v>
      </c>
      <c r="F159" s="7">
        <f>IF(D159="ISO",VALUE(MID(C159,6,2)),IF(D159="DMY",VALUE(MID(C159,4,2)),0))</f>
        <v>3</v>
      </c>
      <c r="G159" s="7">
        <f>IF(D159="ISO",VALUE(RIGHT(C159,2)),IF(D159="DMY",VALUE(LEFT(C159,2)),0))</f>
        <v>8</v>
      </c>
      <c r="H159" s="7">
        <f>IF(AND(D159&lt;&gt;"OTHER",F159&gt;=1,F159&lt;=12,G159&gt;=1,G159&lt;=31),IF(AND(MONTH(DATE(E159,F159,G159))=F159,DAY(DATE(E159,F159,G159))=G159),1,0),0)</f>
        <v>1</v>
      </c>
      <c r="I159" s="7">
        <f>IF(H159=1,DATE(E159,F159,G159),"")</f>
        <v>45724.0</v>
      </c>
      <c r="J159" s="7">
        <f>IF(AND(D159="DMY",H159=1),1,0)</f>
        <v>0</v>
      </c>
      <c r="K159" s="7">
        <f>IF(H159=0,1,0)</f>
        <v>0</v>
      </c>
      <c r="L159" s="7">
        <f>IF(TRIM(Raw_Bookings!I159&amp;"")="",1,0)</f>
        <v>0</v>
      </c>
      <c r="M159" s="7">
        <f>IF(L159=1,"",DATEVALUE(LEFT(Raw_Bookings!I159,10))+TIMEVALUE(MID(Raw_Bookings!I159,12,8)))</f>
        <v>45709.45103009259</v>
      </c>
      <c r="N159" s="7">
        <f>IF(AND(L159=0,H159=1),IF(INT(M159)&gt;I159,1,0),0)</f>
        <v>0</v>
      </c>
      <c r="O159" s="7" t="str">
        <f>UPPER(TRIM(Raw_Bookings!F159))</f>
        <v>BEN</v>
      </c>
      <c r="P159" s="7" t="str">
        <f>UPPER(TRIM(Raw_Bookings!G159))</f>
        <v>JOD</v>
      </c>
      <c r="Q159" s="7">
        <f>IF(COUNTIF(Lookup_Stations!$A$2:$A$33,O159)&gt;0,1,0)</f>
        <v>1</v>
      </c>
      <c r="R159" s="7">
        <f>IF(COUNTIF(Lookup_Stations!$A$2:$A$33,P159)&gt;0,1,0)</f>
        <v>1</v>
      </c>
      <c r="S159" s="7">
        <f>IF(OR(AND(Q159=1,NOT(EXACT(Raw_Bookings!F159,O159))),AND(R159=1,NOT(EXACT(Raw_Bookings!G159,P159)))),1,0)</f>
        <v>0</v>
      </c>
      <c r="T159" s="7">
        <f>IF(OR(Q159=0,R159=0),1,0)</f>
        <v>0</v>
      </c>
      <c r="U159" s="7">
        <f>IF(TRIM(Raw_Bookings!E159&amp;"")="",1,0)</f>
        <v>0</v>
      </c>
      <c r="V159" s="7" t="str">
        <f>IF(SUMPRODUCT(--(Lookup_Status!$A$2:$A$13=LOWER(TRIM(Raw_Bookings!K159))))=0,"",INDEX(Lookup_Status!$B$2:$B$13,SUMPRODUCT((Lookup_Status!$A$2:$A$13=LOWER(TRIM(Raw_Bookings!K159)))*(ROW(Lookup_Status!$A$2:$A$13)-1))))</f>
        <v>Confirmed</v>
      </c>
      <c r="W159" s="7">
        <f>IF(AND(V159&lt;&gt;"",NOT(EXACT(Raw_Bookings!K159,V159))),1,0)</f>
        <v>0</v>
      </c>
      <c r="X159" s="7">
        <f>IF(V159="",1,0)</f>
        <v>0</v>
      </c>
      <c r="Y159" s="7">
        <f>IF(TRIM(Raw_Bookings!L159&amp;"")="",1,0)</f>
        <v>0</v>
      </c>
      <c r="Z159" s="7">
        <f>IF(AND(ISTEXT(Raw_Bookings!L159),Y159=0),1,0)</f>
        <v>0</v>
      </c>
      <c r="AA159" s="7">
        <f>IF(Z159=1,IFERROR(VALUE(SUBSTITUTE(SUBSTITUTE(SUBSTITUTE(SUBSTITUTE(SUBSTITUTE(UPPER(Raw_Bookings!L159),"RS.",""),"₹",""),",","")," ",""),"INR","")),""),"")</f>
        <v/>
      </c>
      <c r="AB159" s="7">
        <f>IF(AND(Z159=1,ISNUMBER(AA159)),1,0)</f>
        <v>0</v>
      </c>
      <c r="AC159" s="7">
        <f>IF(B159=1,0,IF(NOT(ISNUMBER(Raw_Bookings!J159)),1,IF(Raw_Bookings!J159&lt;&gt;COUNTIFS(Work_Passengers!$B$2:$B$1336,Raw_Bookings!A159,Work_Passengers!$C$2:$C$1336,0),1,0)))</f>
        <v>0</v>
      </c>
    </row>
    <row r="160" spans="1:29">
      <c r="A160" s="7">
        <f>Raw_Bookings!A160</f>
        <v>1051773</v>
      </c>
      <c r="B160" s="7">
        <f>IF(COUNTIF(Raw_Bookings!$A$2:A160,Raw_Bookings!A160)&gt;1,1,0)</f>
        <v>0</v>
      </c>
      <c r="C160" s="7" t="str">
        <f>Raw_Bookings!D160&amp;""</f>
        <v>2025-03-12</v>
      </c>
      <c r="D160" s="7" t="str">
        <f>IF(AND(LEN(C160)=10,MID(C160,5,1)="-",MID(C160,8,1)="-"),"ISO",IF(AND(LEN(C160)=10,MID(C160,3,1)="-",MID(C160,6,1)="-"),"DMY","OTHER"))</f>
        <v>ISO</v>
      </c>
      <c r="E160" s="7">
        <f>IF(D160="ISO",VALUE(LEFT(C160,4)),IF(D160="DMY",VALUE(RIGHT(C160,4)),0))</f>
        <v>2025</v>
      </c>
      <c r="F160" s="7">
        <f>IF(D160="ISO",VALUE(MID(C160,6,2)),IF(D160="DMY",VALUE(MID(C160,4,2)),0))</f>
        <v>3</v>
      </c>
      <c r="G160" s="7">
        <f>IF(D160="ISO",VALUE(RIGHT(C160,2)),IF(D160="DMY",VALUE(LEFT(C160,2)),0))</f>
        <v>12</v>
      </c>
      <c r="H160" s="7">
        <f>IF(AND(D160&lt;&gt;"OTHER",F160&gt;=1,F160&lt;=12,G160&gt;=1,G160&lt;=31),IF(AND(MONTH(DATE(E160,F160,G160))=F160,DAY(DATE(E160,F160,G160))=G160),1,0),0)</f>
        <v>1</v>
      </c>
      <c r="I160" s="7">
        <f>IF(H160=1,DATE(E160,F160,G160),"")</f>
        <v>45728.0</v>
      </c>
      <c r="J160" s="7">
        <f>IF(AND(D160="DMY",H160=1),1,0)</f>
        <v>0</v>
      </c>
      <c r="K160" s="7">
        <f>IF(H160=0,1,0)</f>
        <v>0</v>
      </c>
      <c r="L160" s="7">
        <f>IF(TRIM(Raw_Bookings!I160&amp;"")="",1,0)</f>
        <v>0</v>
      </c>
      <c r="M160" s="7">
        <f>IF(L160=1,"",DATEVALUE(LEFT(Raw_Bookings!I160,10))+TIMEVALUE(MID(Raw_Bookings!I160,12,8)))</f>
        <v>45710.069710648146</v>
      </c>
      <c r="N160" s="7">
        <f>IF(AND(L160=0,H160=1),IF(INT(M160)&gt;I160,1,0),0)</f>
        <v>0</v>
      </c>
      <c r="O160" s="7" t="str">
        <f>UPPER(TRIM(Raw_Bookings!F160))</f>
        <v>KOL</v>
      </c>
      <c r="P160" s="7" t="str">
        <f>UPPER(TRIM(Raw_Bookings!G160))</f>
        <v>HYD</v>
      </c>
      <c r="Q160" s="7">
        <f>IF(COUNTIF(Lookup_Stations!$A$2:$A$33,O160)&gt;0,1,0)</f>
        <v>1</v>
      </c>
      <c r="R160" s="7">
        <f>IF(COUNTIF(Lookup_Stations!$A$2:$A$33,P160)&gt;0,1,0)</f>
        <v>1</v>
      </c>
      <c r="S160" s="7">
        <f>IF(OR(AND(Q160=1,NOT(EXACT(Raw_Bookings!F160,O160))),AND(R160=1,NOT(EXACT(Raw_Bookings!G160,P160)))),1,0)</f>
        <v>0</v>
      </c>
      <c r="T160" s="7">
        <f>IF(OR(Q160=0,R160=0),1,0)</f>
        <v>0</v>
      </c>
      <c r="U160" s="7">
        <f>IF(TRIM(Raw_Bookings!E160&amp;"")="",1,0)</f>
        <v>0</v>
      </c>
      <c r="V160" s="7" t="str">
        <f>IF(SUMPRODUCT(--(Lookup_Status!$A$2:$A$13=LOWER(TRIM(Raw_Bookings!K160))))=0,"",INDEX(Lookup_Status!$B$2:$B$13,SUMPRODUCT((Lookup_Status!$A$2:$A$13=LOWER(TRIM(Raw_Bookings!K160)))*(ROW(Lookup_Status!$A$2:$A$13)-1))))</f>
        <v>Confirmed</v>
      </c>
      <c r="W160" s="7">
        <f>IF(AND(V160&lt;&gt;"",NOT(EXACT(Raw_Bookings!K160,V160))),1,0)</f>
        <v>0</v>
      </c>
      <c r="X160" s="7">
        <f>IF(V160="",1,0)</f>
        <v>0</v>
      </c>
      <c r="Y160" s="7">
        <f>IF(TRIM(Raw_Bookings!L160&amp;"")="",1,0)</f>
        <v>0</v>
      </c>
      <c r="Z160" s="7">
        <f>IF(AND(ISTEXT(Raw_Bookings!L160),Y160=0),1,0)</f>
        <v>0</v>
      </c>
      <c r="AA160" s="7">
        <f>IF(Z160=1,IFERROR(VALUE(SUBSTITUTE(SUBSTITUTE(SUBSTITUTE(SUBSTITUTE(SUBSTITUTE(UPPER(Raw_Bookings!L160),"RS.",""),"₹",""),",","")," ",""),"INR","")),""),"")</f>
        <v/>
      </c>
      <c r="AB160" s="7">
        <f>IF(AND(Z160=1,ISNUMBER(AA160)),1,0)</f>
        <v>0</v>
      </c>
      <c r="AC160" s="7">
        <f>IF(B160=1,0,IF(NOT(ISNUMBER(Raw_Bookings!J160)),1,IF(Raw_Bookings!J160&lt;&gt;COUNTIFS(Work_Passengers!$B$2:$B$1336,Raw_Bookings!A160,Work_Passengers!$C$2:$C$1336,0),1,0)))</f>
        <v>0</v>
      </c>
    </row>
    <row r="161" spans="1:29">
      <c r="A161" s="7">
        <f>Raw_Bookings!A161</f>
        <v>1051794</v>
      </c>
      <c r="B161" s="7">
        <f>IF(COUNTIF(Raw_Bookings!$A$2:A161,Raw_Bookings!A161)&gt;1,1,0)</f>
        <v>0</v>
      </c>
      <c r="C161" s="7" t="str">
        <f>Raw_Bookings!D161&amp;""</f>
        <v>2025-03-12</v>
      </c>
      <c r="D161" s="7" t="str">
        <f>IF(AND(LEN(C161)=10,MID(C161,5,1)="-",MID(C161,8,1)="-"),"ISO",IF(AND(LEN(C161)=10,MID(C161,3,1)="-",MID(C161,6,1)="-"),"DMY","OTHER"))</f>
        <v>ISO</v>
      </c>
      <c r="E161" s="7">
        <f>IF(D161="ISO",VALUE(LEFT(C161,4)),IF(D161="DMY",VALUE(RIGHT(C161,4)),0))</f>
        <v>2025</v>
      </c>
      <c r="F161" s="7">
        <f>IF(D161="ISO",VALUE(MID(C161,6,2)),IF(D161="DMY",VALUE(MID(C161,4,2)),0))</f>
        <v>3</v>
      </c>
      <c r="G161" s="7">
        <f>IF(D161="ISO",VALUE(RIGHT(C161,2)),IF(D161="DMY",VALUE(LEFT(C161,2)),0))</f>
        <v>12</v>
      </c>
      <c r="H161" s="7">
        <f>IF(AND(D161&lt;&gt;"OTHER",F161&gt;=1,F161&lt;=12,G161&gt;=1,G161&lt;=31),IF(AND(MONTH(DATE(E161,F161,G161))=F161,DAY(DATE(E161,F161,G161))=G161),1,0),0)</f>
        <v>1</v>
      </c>
      <c r="I161" s="7">
        <f>IF(H161=1,DATE(E161,F161,G161),"")</f>
        <v>45728.0</v>
      </c>
      <c r="J161" s="7">
        <f>IF(AND(D161="DMY",H161=1),1,0)</f>
        <v>0</v>
      </c>
      <c r="K161" s="7">
        <f>IF(H161=0,1,0)</f>
        <v>0</v>
      </c>
      <c r="L161" s="7">
        <f>IF(TRIM(Raw_Bookings!I161&amp;"")="",1,0)</f>
        <v>0</v>
      </c>
      <c r="M161" s="7">
        <f>IF(L161=1,"",DATEVALUE(LEFT(Raw_Bookings!I161,10))+TIMEVALUE(MID(Raw_Bookings!I161,12,8)))</f>
        <v>45710.31715277778</v>
      </c>
      <c r="N161" s="7">
        <f>IF(AND(L161=0,H161=1),IF(INT(M161)&gt;I161,1,0),0)</f>
        <v>0</v>
      </c>
      <c r="O161" s="7" t="str">
        <f>UPPER(TRIM(Raw_Bookings!F161))</f>
        <v>KOL</v>
      </c>
      <c r="P161" s="7" t="str">
        <f>UPPER(TRIM(Raw_Bookings!G161))</f>
        <v>HYD</v>
      </c>
      <c r="Q161" s="7">
        <f>IF(COUNTIF(Lookup_Stations!$A$2:$A$33,O161)&gt;0,1,0)</f>
        <v>1</v>
      </c>
      <c r="R161" s="7">
        <f>IF(COUNTIF(Lookup_Stations!$A$2:$A$33,P161)&gt;0,1,0)</f>
        <v>1</v>
      </c>
      <c r="S161" s="7">
        <f>IF(OR(AND(Q161=1,NOT(EXACT(Raw_Bookings!F161,O161))),AND(R161=1,NOT(EXACT(Raw_Bookings!G161,P161)))),1,0)</f>
        <v>0</v>
      </c>
      <c r="T161" s="7">
        <f>IF(OR(Q161=0,R161=0),1,0)</f>
        <v>0</v>
      </c>
      <c r="U161" s="7">
        <f>IF(TRIM(Raw_Bookings!E161&amp;"")="",1,0)</f>
        <v>0</v>
      </c>
      <c r="V161" s="7" t="str">
        <f>IF(SUMPRODUCT(--(Lookup_Status!$A$2:$A$13=LOWER(TRIM(Raw_Bookings!K161))))=0,"",INDEX(Lookup_Status!$B$2:$B$13,SUMPRODUCT((Lookup_Status!$A$2:$A$13=LOWER(TRIM(Raw_Bookings!K161)))*(ROW(Lookup_Status!$A$2:$A$13)-1))))</f>
        <v>Confirmed</v>
      </c>
      <c r="W161" s="7">
        <f>IF(AND(V161&lt;&gt;"",NOT(EXACT(Raw_Bookings!K161,V161))),1,0)</f>
        <v>0</v>
      </c>
      <c r="X161" s="7">
        <f>IF(V161="",1,0)</f>
        <v>0</v>
      </c>
      <c r="Y161" s="7">
        <f>IF(TRIM(Raw_Bookings!L161&amp;"")="",1,0)</f>
        <v>0</v>
      </c>
      <c r="Z161" s="7">
        <f>IF(AND(ISTEXT(Raw_Bookings!L161),Y161=0),1,0)</f>
        <v>1</v>
      </c>
      <c r="AA161" s="7">
        <f>IF(Z161=1,IFERROR(VALUE(SUBSTITUTE(SUBSTITUTE(SUBSTITUTE(SUBSTITUTE(SUBSTITUTE(UPPER(Raw_Bookings!L161),"RS.",""),"₹",""),",","")," ",""),"INR","")),""),"")</f>
        <v>2470</v>
      </c>
      <c r="AB161" s="7">
        <f>IF(AND(Z161=1,ISNUMBER(AA161)),1,0)</f>
        <v>1</v>
      </c>
      <c r="AC161" s="7">
        <f>IF(B161=1,0,IF(NOT(ISNUMBER(Raw_Bookings!J161)),1,IF(Raw_Bookings!J161&lt;&gt;COUNTIFS(Work_Passengers!$B$2:$B$1336,Raw_Bookings!A161,Work_Passengers!$C$2:$C$1336,0),1,0)))</f>
        <v>0</v>
      </c>
    </row>
    <row r="162" spans="1:29">
      <c r="A162" s="7">
        <f>Raw_Bookings!A162</f>
        <v>1052314</v>
      </c>
      <c r="B162" s="7">
        <f>IF(COUNTIF(Raw_Bookings!$A$2:A162,Raw_Bookings!A162)&gt;1,1,0)</f>
        <v>0</v>
      </c>
      <c r="C162" s="7" t="str">
        <f>Raw_Bookings!D162&amp;""</f>
        <v>2025-03-09</v>
      </c>
      <c r="D162" s="7" t="str">
        <f>IF(AND(LEN(C162)=10,MID(C162,5,1)="-",MID(C162,8,1)="-"),"ISO",IF(AND(LEN(C162)=10,MID(C162,3,1)="-",MID(C162,6,1)="-"),"DMY","OTHER"))</f>
        <v>ISO</v>
      </c>
      <c r="E162" s="7">
        <f>IF(D162="ISO",VALUE(LEFT(C162,4)),IF(D162="DMY",VALUE(RIGHT(C162,4)),0))</f>
        <v>2025</v>
      </c>
      <c r="F162" s="7">
        <f>IF(D162="ISO",VALUE(MID(C162,6,2)),IF(D162="DMY",VALUE(MID(C162,4,2)),0))</f>
        <v>3</v>
      </c>
      <c r="G162" s="7">
        <f>IF(D162="ISO",VALUE(RIGHT(C162,2)),IF(D162="DMY",VALUE(LEFT(C162,2)),0))</f>
        <v>9</v>
      </c>
      <c r="H162" s="7">
        <f>IF(AND(D162&lt;&gt;"OTHER",F162&gt;=1,F162&lt;=12,G162&gt;=1,G162&lt;=31),IF(AND(MONTH(DATE(E162,F162,G162))=F162,DAY(DATE(E162,F162,G162))=G162),1,0),0)</f>
        <v>1</v>
      </c>
      <c r="I162" s="7">
        <f>IF(H162=1,DATE(E162,F162,G162),"")</f>
        <v>45725.0</v>
      </c>
      <c r="J162" s="7">
        <f>IF(AND(D162="DMY",H162=1),1,0)</f>
        <v>0</v>
      </c>
      <c r="K162" s="7">
        <f>IF(H162=0,1,0)</f>
        <v>0</v>
      </c>
      <c r="L162" s="7">
        <f>IF(TRIM(Raw_Bookings!I162&amp;"")="",1,0)</f>
        <v>0</v>
      </c>
      <c r="M162" s="7">
        <f>IF(L162=1,"",DATEVALUE(LEFT(Raw_Bookings!I162,10))+TIMEVALUE(MID(Raw_Bookings!I162,12,8)))</f>
        <v>45711.769895833335</v>
      </c>
      <c r="N162" s="7">
        <f>IF(AND(L162=0,H162=1),IF(INT(M162)&gt;I162,1,0),0)</f>
        <v>0</v>
      </c>
      <c r="O162" s="7" t="str">
        <f>UPPER(TRIM(Raw_Bookings!F162))</f>
        <v>VAR</v>
      </c>
      <c r="P162" s="7" t="str">
        <f>UPPER(TRIM(Raw_Bookings!G162))</f>
        <v>AHM</v>
      </c>
      <c r="Q162" s="7">
        <f>IF(COUNTIF(Lookup_Stations!$A$2:$A$33,O162)&gt;0,1,0)</f>
        <v>1</v>
      </c>
      <c r="R162" s="7">
        <f>IF(COUNTIF(Lookup_Stations!$A$2:$A$33,P162)&gt;0,1,0)</f>
        <v>1</v>
      </c>
      <c r="S162" s="7">
        <f>IF(OR(AND(Q162=1,NOT(EXACT(Raw_Bookings!F162,O162))),AND(R162=1,NOT(EXACT(Raw_Bookings!G162,P162)))),1,0)</f>
        <v>0</v>
      </c>
      <c r="T162" s="7">
        <f>IF(OR(Q162=0,R162=0),1,0)</f>
        <v>0</v>
      </c>
      <c r="U162" s="7">
        <f>IF(TRIM(Raw_Bookings!E162&amp;"")="",1,0)</f>
        <v>0</v>
      </c>
      <c r="V162" s="7" t="str">
        <f>IF(SUMPRODUCT(--(Lookup_Status!$A$2:$A$13=LOWER(TRIM(Raw_Bookings!K162))))=0,"",INDEX(Lookup_Status!$B$2:$B$13,SUMPRODUCT((Lookup_Status!$A$2:$A$13=LOWER(TRIM(Raw_Bookings!K162)))*(ROW(Lookup_Status!$A$2:$A$13)-1))))</f>
        <v>Confirmed</v>
      </c>
      <c r="W162" s="7">
        <f>IF(AND(V162&lt;&gt;"",NOT(EXACT(Raw_Bookings!K162,V162))),1,0)</f>
        <v>0</v>
      </c>
      <c r="X162" s="7">
        <f>IF(V162="",1,0)</f>
        <v>0</v>
      </c>
      <c r="Y162" s="7">
        <f>IF(TRIM(Raw_Bookings!L162&amp;"")="",1,0)</f>
        <v>0</v>
      </c>
      <c r="Z162" s="7">
        <f>IF(AND(ISTEXT(Raw_Bookings!L162),Y162=0),1,0)</f>
        <v>0</v>
      </c>
      <c r="AA162" s="7">
        <f>IF(Z162=1,IFERROR(VALUE(SUBSTITUTE(SUBSTITUTE(SUBSTITUTE(SUBSTITUTE(SUBSTITUTE(UPPER(Raw_Bookings!L162),"RS.",""),"₹",""),",","")," ",""),"INR","")),""),"")</f>
        <v/>
      </c>
      <c r="AB162" s="7">
        <f>IF(AND(Z162=1,ISNUMBER(AA162)),1,0)</f>
        <v>0</v>
      </c>
      <c r="AC162" s="7">
        <f>IF(B162=1,0,IF(NOT(ISNUMBER(Raw_Bookings!J162)),1,IF(Raw_Bookings!J162&lt;&gt;COUNTIFS(Work_Passengers!$B$2:$B$1336,Raw_Bookings!A162,Work_Passengers!$C$2:$C$1336,0),1,0)))</f>
        <v>0</v>
      </c>
    </row>
    <row r="163" spans="1:29">
      <c r="A163" s="7">
        <f>Raw_Bookings!A163</f>
        <v>1052682</v>
      </c>
      <c r="B163" s="7">
        <f>IF(COUNTIF(Raw_Bookings!$A$2:A163,Raw_Bookings!A163)&gt;1,1,0)</f>
        <v>0</v>
      </c>
      <c r="C163" s="7" t="str">
        <f>Raw_Bookings!D163&amp;""</f>
        <v>2025-03-14</v>
      </c>
      <c r="D163" s="7" t="str">
        <f>IF(AND(LEN(C163)=10,MID(C163,5,1)="-",MID(C163,8,1)="-"),"ISO",IF(AND(LEN(C163)=10,MID(C163,3,1)="-",MID(C163,6,1)="-"),"DMY","OTHER"))</f>
        <v>ISO</v>
      </c>
      <c r="E163" s="7">
        <f>IF(D163="ISO",VALUE(LEFT(C163,4)),IF(D163="DMY",VALUE(RIGHT(C163,4)),0))</f>
        <v>2025</v>
      </c>
      <c r="F163" s="7">
        <f>IF(D163="ISO",VALUE(MID(C163,6,2)),IF(D163="DMY",VALUE(MID(C163,4,2)),0))</f>
        <v>3</v>
      </c>
      <c r="G163" s="7">
        <f>IF(D163="ISO",VALUE(RIGHT(C163,2)),IF(D163="DMY",VALUE(LEFT(C163,2)),0))</f>
        <v>14</v>
      </c>
      <c r="H163" s="7">
        <f>IF(AND(D163&lt;&gt;"OTHER",F163&gt;=1,F163&lt;=12,G163&gt;=1,G163&lt;=31),IF(AND(MONTH(DATE(E163,F163,G163))=F163,DAY(DATE(E163,F163,G163))=G163),1,0),0)</f>
        <v>1</v>
      </c>
      <c r="I163" s="7">
        <f>IF(H163=1,DATE(E163,F163,G163),"")</f>
        <v>45730.0</v>
      </c>
      <c r="J163" s="7">
        <f>IF(AND(D163="DMY",H163=1),1,0)</f>
        <v>0</v>
      </c>
      <c r="K163" s="7">
        <f>IF(H163=0,1,0)</f>
        <v>0</v>
      </c>
      <c r="L163" s="7">
        <f>IF(TRIM(Raw_Bookings!I163&amp;"")="",1,0)</f>
        <v>0</v>
      </c>
      <c r="M163" s="7">
        <f>IF(L163=1,"",DATEVALUE(LEFT(Raw_Bookings!I163,10))+TIMEVALUE(MID(Raw_Bookings!I163,12,8)))</f>
        <v>45712.854421296295</v>
      </c>
      <c r="N163" s="7">
        <f>IF(AND(L163=0,H163=1),IF(INT(M163)&gt;I163,1,0),0)</f>
        <v>0</v>
      </c>
      <c r="O163" s="7" t="str">
        <f>UPPER(TRIM(Raw_Bookings!F163))</f>
        <v>HYD</v>
      </c>
      <c r="P163" s="7" t="str">
        <f>UPPER(TRIM(Raw_Bookings!G163))</f>
        <v>KOL</v>
      </c>
      <c r="Q163" s="7">
        <f>IF(COUNTIF(Lookup_Stations!$A$2:$A$33,O163)&gt;0,1,0)</f>
        <v>1</v>
      </c>
      <c r="R163" s="7">
        <f>IF(COUNTIF(Lookup_Stations!$A$2:$A$33,P163)&gt;0,1,0)</f>
        <v>1</v>
      </c>
      <c r="S163" s="7">
        <f>IF(OR(AND(Q163=1,NOT(EXACT(Raw_Bookings!F163,O163))),AND(R163=1,NOT(EXACT(Raw_Bookings!G163,P163)))),1,0)</f>
        <v>0</v>
      </c>
      <c r="T163" s="7">
        <f>IF(OR(Q163=0,R163=0),1,0)</f>
        <v>0</v>
      </c>
      <c r="U163" s="7">
        <f>IF(TRIM(Raw_Bookings!E163&amp;"")="",1,0)</f>
        <v>0</v>
      </c>
      <c r="V163" s="7" t="str">
        <f>IF(SUMPRODUCT(--(Lookup_Status!$A$2:$A$13=LOWER(TRIM(Raw_Bookings!K163))))=0,"",INDEX(Lookup_Status!$B$2:$B$13,SUMPRODUCT((Lookup_Status!$A$2:$A$13=LOWER(TRIM(Raw_Bookings!K163)))*(ROW(Lookup_Status!$A$2:$A$13)-1))))</f>
        <v>Mixed</v>
      </c>
      <c r="W163" s="7">
        <f>IF(AND(V163&lt;&gt;"",NOT(EXACT(Raw_Bookings!K163,V163))),1,0)</f>
        <v>0</v>
      </c>
      <c r="X163" s="7">
        <f>IF(V163="",1,0)</f>
        <v>0</v>
      </c>
      <c r="Y163" s="7">
        <f>IF(TRIM(Raw_Bookings!L163&amp;"")="",1,0)</f>
        <v>0</v>
      </c>
      <c r="Z163" s="7">
        <f>IF(AND(ISTEXT(Raw_Bookings!L163),Y163=0),1,0)</f>
        <v>0</v>
      </c>
      <c r="AA163" s="7">
        <f>IF(Z163=1,IFERROR(VALUE(SUBSTITUTE(SUBSTITUTE(SUBSTITUTE(SUBSTITUTE(SUBSTITUTE(UPPER(Raw_Bookings!L163),"RS.",""),"₹",""),",","")," ",""),"INR","")),""),"")</f>
        <v/>
      </c>
      <c r="AB163" s="7">
        <f>IF(AND(Z163=1,ISNUMBER(AA163)),1,0)</f>
        <v>0</v>
      </c>
      <c r="AC163" s="7">
        <f>IF(B163=1,0,IF(NOT(ISNUMBER(Raw_Bookings!J163)),1,IF(Raw_Bookings!J163&lt;&gt;COUNTIFS(Work_Passengers!$B$2:$B$1336,Raw_Bookings!A163,Work_Passengers!$C$2:$C$1336,0),1,0)))</f>
        <v>0</v>
      </c>
    </row>
    <row r="164" spans="1:29">
      <c r="A164" s="7">
        <f>Raw_Bookings!A164</f>
        <v>1053583</v>
      </c>
      <c r="B164" s="7">
        <f>IF(COUNTIF(Raw_Bookings!$A$2:A164,Raw_Bookings!A164)&gt;1,1,0)</f>
        <v>0</v>
      </c>
      <c r="C164" s="7" t="str">
        <f>Raw_Bookings!D164&amp;""</f>
        <v>2025-03-09</v>
      </c>
      <c r="D164" s="7" t="str">
        <f>IF(AND(LEN(C164)=10,MID(C164,5,1)="-",MID(C164,8,1)="-"),"ISO",IF(AND(LEN(C164)=10,MID(C164,3,1)="-",MID(C164,6,1)="-"),"DMY","OTHER"))</f>
        <v>ISO</v>
      </c>
      <c r="E164" s="7">
        <f>IF(D164="ISO",VALUE(LEFT(C164,4)),IF(D164="DMY",VALUE(RIGHT(C164,4)),0))</f>
        <v>2025</v>
      </c>
      <c r="F164" s="7">
        <f>IF(D164="ISO",VALUE(MID(C164,6,2)),IF(D164="DMY",VALUE(MID(C164,4,2)),0))</f>
        <v>3</v>
      </c>
      <c r="G164" s="7">
        <f>IF(D164="ISO",VALUE(RIGHT(C164,2)),IF(D164="DMY",VALUE(LEFT(C164,2)),0))</f>
        <v>9</v>
      </c>
      <c r="H164" s="7">
        <f>IF(AND(D164&lt;&gt;"OTHER",F164&gt;=1,F164&lt;=12,G164&gt;=1,G164&lt;=31),IF(AND(MONTH(DATE(E164,F164,G164))=F164,DAY(DATE(E164,F164,G164))=G164),1,0),0)</f>
        <v>1</v>
      </c>
      <c r="I164" s="7">
        <f>IF(H164=1,DATE(E164,F164,G164),"")</f>
        <v>45725.0</v>
      </c>
      <c r="J164" s="7">
        <f>IF(AND(D164="DMY",H164=1),1,0)</f>
        <v>0</v>
      </c>
      <c r="K164" s="7">
        <f>IF(H164=0,1,0)</f>
        <v>0</v>
      </c>
      <c r="L164" s="7">
        <f>IF(TRIM(Raw_Bookings!I164&amp;"")="",1,0)</f>
        <v>0</v>
      </c>
      <c r="M164" s="7">
        <f>IF(L164=1,"",DATEVALUE(LEFT(Raw_Bookings!I164,10))+TIMEVALUE(MID(Raw_Bookings!I164,12,8)))</f>
        <v>45716.08658564815</v>
      </c>
      <c r="N164" s="7">
        <f>IF(AND(L164=0,H164=1),IF(INT(M164)&gt;I164,1,0),0)</f>
        <v>0</v>
      </c>
      <c r="O164" s="7" t="str">
        <f>UPPER(TRIM(Raw_Bookings!F164))</f>
        <v>MUM</v>
      </c>
      <c r="P164" s="7" t="str">
        <f>UPPER(TRIM(Raw_Bookings!G164))</f>
        <v>LUC</v>
      </c>
      <c r="Q164" s="7">
        <f>IF(COUNTIF(Lookup_Stations!$A$2:$A$33,O164)&gt;0,1,0)</f>
        <v>1</v>
      </c>
      <c r="R164" s="7">
        <f>IF(COUNTIF(Lookup_Stations!$A$2:$A$33,P164)&gt;0,1,0)</f>
        <v>1</v>
      </c>
      <c r="S164" s="7">
        <f>IF(OR(AND(Q164=1,NOT(EXACT(Raw_Bookings!F164,O164))),AND(R164=1,NOT(EXACT(Raw_Bookings!G164,P164)))),1,0)</f>
        <v>0</v>
      </c>
      <c r="T164" s="7">
        <f>IF(OR(Q164=0,R164=0),1,0)</f>
        <v>0</v>
      </c>
      <c r="U164" s="7">
        <f>IF(TRIM(Raw_Bookings!E164&amp;"")="",1,0)</f>
        <v>0</v>
      </c>
      <c r="V164" s="7" t="str">
        <f>IF(SUMPRODUCT(--(Lookup_Status!$A$2:$A$13=LOWER(TRIM(Raw_Bookings!K164))))=0,"",INDEX(Lookup_Status!$B$2:$B$13,SUMPRODUCT((Lookup_Status!$A$2:$A$13=LOWER(TRIM(Raw_Bookings!K164)))*(ROW(Lookup_Status!$A$2:$A$13)-1))))</f>
        <v>Confirmed</v>
      </c>
      <c r="W164" s="7">
        <f>IF(AND(V164&lt;&gt;"",NOT(EXACT(Raw_Bookings!K164,V164))),1,0)</f>
        <v>0</v>
      </c>
      <c r="X164" s="7">
        <f>IF(V164="",1,0)</f>
        <v>0</v>
      </c>
      <c r="Y164" s="7">
        <f>IF(TRIM(Raw_Bookings!L164&amp;"")="",1,0)</f>
        <v>0</v>
      </c>
      <c r="Z164" s="7">
        <f>IF(AND(ISTEXT(Raw_Bookings!L164),Y164=0),1,0)</f>
        <v>0</v>
      </c>
      <c r="AA164" s="7">
        <f>IF(Z164=1,IFERROR(VALUE(SUBSTITUTE(SUBSTITUTE(SUBSTITUTE(SUBSTITUTE(SUBSTITUTE(UPPER(Raw_Bookings!L164),"RS.",""),"₹",""),",","")," ",""),"INR","")),""),"")</f>
        <v/>
      </c>
      <c r="AB164" s="7">
        <f>IF(AND(Z164=1,ISNUMBER(AA164)),1,0)</f>
        <v>0</v>
      </c>
      <c r="AC164" s="7">
        <f>IF(B164=1,0,IF(NOT(ISNUMBER(Raw_Bookings!J164)),1,IF(Raw_Bookings!J164&lt;&gt;COUNTIFS(Work_Passengers!$B$2:$B$1336,Raw_Bookings!A164,Work_Passengers!$C$2:$C$1336,0),1,0)))</f>
        <v>0</v>
      </c>
    </row>
    <row r="165" spans="1:29">
      <c r="A165" s="7">
        <f>Raw_Bookings!A165</f>
        <v>1053912</v>
      </c>
      <c r="B165" s="7">
        <f>IF(COUNTIF(Raw_Bookings!$A$2:A165,Raw_Bookings!A165)&gt;1,1,0)</f>
        <v>0</v>
      </c>
      <c r="C165" s="7" t="str">
        <f>Raw_Bookings!D165&amp;""</f>
        <v>2025-03-19</v>
      </c>
      <c r="D165" s="7" t="str">
        <f>IF(AND(LEN(C165)=10,MID(C165,5,1)="-",MID(C165,8,1)="-"),"ISO",IF(AND(LEN(C165)=10,MID(C165,3,1)="-",MID(C165,6,1)="-"),"DMY","OTHER"))</f>
        <v>ISO</v>
      </c>
      <c r="E165" s="7">
        <f>IF(D165="ISO",VALUE(LEFT(C165,4)),IF(D165="DMY",VALUE(RIGHT(C165,4)),0))</f>
        <v>2025</v>
      </c>
      <c r="F165" s="7">
        <f>IF(D165="ISO",VALUE(MID(C165,6,2)),IF(D165="DMY",VALUE(MID(C165,4,2)),0))</f>
        <v>3</v>
      </c>
      <c r="G165" s="7">
        <f>IF(D165="ISO",VALUE(RIGHT(C165,2)),IF(D165="DMY",VALUE(LEFT(C165,2)),0))</f>
        <v>19</v>
      </c>
      <c r="H165" s="7">
        <f>IF(AND(D165&lt;&gt;"OTHER",F165&gt;=1,F165&lt;=12,G165&gt;=1,G165&lt;=31),IF(AND(MONTH(DATE(E165,F165,G165))=F165,DAY(DATE(E165,F165,G165))=G165),1,0),0)</f>
        <v>1</v>
      </c>
      <c r="I165" s="7">
        <f>IF(H165=1,DATE(E165,F165,G165),"")</f>
        <v>45735.0</v>
      </c>
      <c r="J165" s="7">
        <f>IF(AND(D165="DMY",H165=1),1,0)</f>
        <v>0</v>
      </c>
      <c r="K165" s="7">
        <f>IF(H165=0,1,0)</f>
        <v>0</v>
      </c>
      <c r="L165" s="7">
        <f>IF(TRIM(Raw_Bookings!I165&amp;"")="",1,0)</f>
        <v>0</v>
      </c>
      <c r="M165" s="7">
        <f>IF(L165=1,"",DATEVALUE(LEFT(Raw_Bookings!I165,10))+TIMEVALUE(MID(Raw_Bookings!I165,12,8)))</f>
        <v>45717.26736111111</v>
      </c>
      <c r="N165" s="7">
        <f>IF(AND(L165=0,H165=1),IF(INT(M165)&gt;I165,1,0),0)</f>
        <v>0</v>
      </c>
      <c r="O165" s="7" t="str">
        <f>UPPER(TRIM(Raw_Bookings!F165))</f>
        <v>GUW</v>
      </c>
      <c r="P165" s="7" t="str">
        <f>UPPER(TRIM(Raw_Bookings!G165))</f>
        <v>BHO</v>
      </c>
      <c r="Q165" s="7">
        <f>IF(COUNTIF(Lookup_Stations!$A$2:$A$33,O165)&gt;0,1,0)</f>
        <v>1</v>
      </c>
      <c r="R165" s="7">
        <f>IF(COUNTIF(Lookup_Stations!$A$2:$A$33,P165)&gt;0,1,0)</f>
        <v>1</v>
      </c>
      <c r="S165" s="7">
        <f>IF(OR(AND(Q165=1,NOT(EXACT(Raw_Bookings!F165,O165))),AND(R165=1,NOT(EXACT(Raw_Bookings!G165,P165)))),1,0)</f>
        <v>0</v>
      </c>
      <c r="T165" s="7">
        <f>IF(OR(Q165=0,R165=0),1,0)</f>
        <v>0</v>
      </c>
      <c r="U165" s="7">
        <f>IF(TRIM(Raw_Bookings!E165&amp;"")="",1,0)</f>
        <v>0</v>
      </c>
      <c r="V165" s="7" t="str">
        <f>IF(SUMPRODUCT(--(Lookup_Status!$A$2:$A$13=LOWER(TRIM(Raw_Bookings!K165))))=0,"",INDEX(Lookup_Status!$B$2:$B$13,SUMPRODUCT((Lookup_Status!$A$2:$A$13=LOWER(TRIM(Raw_Bookings!K165)))*(ROW(Lookup_Status!$A$2:$A$13)-1))))</f>
        <v>Confirmed</v>
      </c>
      <c r="W165" s="7">
        <f>IF(AND(V165&lt;&gt;"",NOT(EXACT(Raw_Bookings!K165,V165))),1,0)</f>
        <v>0</v>
      </c>
      <c r="X165" s="7">
        <f>IF(V165="",1,0)</f>
        <v>0</v>
      </c>
      <c r="Y165" s="7">
        <f>IF(TRIM(Raw_Bookings!L165&amp;"")="",1,0)</f>
        <v>0</v>
      </c>
      <c r="Z165" s="7">
        <f>IF(AND(ISTEXT(Raw_Bookings!L165),Y165=0),1,0)</f>
        <v>0</v>
      </c>
      <c r="AA165" s="7">
        <f>IF(Z165=1,IFERROR(VALUE(SUBSTITUTE(SUBSTITUTE(SUBSTITUTE(SUBSTITUTE(SUBSTITUTE(UPPER(Raw_Bookings!L165),"RS.",""),"₹",""),",","")," ",""),"INR","")),""),"")</f>
        <v/>
      </c>
      <c r="AB165" s="7">
        <f>IF(AND(Z165=1,ISNUMBER(AA165)),1,0)</f>
        <v>0</v>
      </c>
      <c r="AC165" s="7">
        <f>IF(B165=1,0,IF(NOT(ISNUMBER(Raw_Bookings!J165)),1,IF(Raw_Bookings!J165&lt;&gt;COUNTIFS(Work_Passengers!$B$2:$B$1336,Raw_Bookings!A165,Work_Passengers!$C$2:$C$1336,0),1,0)))</f>
        <v>0</v>
      </c>
    </row>
    <row r="166" spans="1:29">
      <c r="A166" s="7">
        <f>Raw_Bookings!A166</f>
        <v>1054382</v>
      </c>
      <c r="B166" s="7">
        <f>IF(COUNTIF(Raw_Bookings!$A$2:A166,Raw_Bookings!A166)&gt;1,1,0)</f>
        <v>0</v>
      </c>
      <c r="C166" s="7" t="str">
        <f>Raw_Bookings!D166&amp;""</f>
        <v>2025-03-31</v>
      </c>
      <c r="D166" s="7" t="str">
        <f>IF(AND(LEN(C166)=10,MID(C166,5,1)="-",MID(C166,8,1)="-"),"ISO",IF(AND(LEN(C166)=10,MID(C166,3,1)="-",MID(C166,6,1)="-"),"DMY","OTHER"))</f>
        <v>ISO</v>
      </c>
      <c r="E166" s="7">
        <f>IF(D166="ISO",VALUE(LEFT(C166,4)),IF(D166="DMY",VALUE(RIGHT(C166,4)),0))</f>
        <v>2025</v>
      </c>
      <c r="F166" s="7">
        <f>IF(D166="ISO",VALUE(MID(C166,6,2)),IF(D166="DMY",VALUE(MID(C166,4,2)),0))</f>
        <v>3</v>
      </c>
      <c r="G166" s="7">
        <f>IF(D166="ISO",VALUE(RIGHT(C166,2)),IF(D166="DMY",VALUE(LEFT(C166,2)),0))</f>
        <v>31</v>
      </c>
      <c r="H166" s="7">
        <f>IF(AND(D166&lt;&gt;"OTHER",F166&gt;=1,F166&lt;=12,G166&gt;=1,G166&lt;=31),IF(AND(MONTH(DATE(E166,F166,G166))=F166,DAY(DATE(E166,F166,G166))=G166),1,0),0)</f>
        <v>1</v>
      </c>
      <c r="I166" s="7">
        <f>IF(H166=1,DATE(E166,F166,G166),"")</f>
        <v>45747.0</v>
      </c>
      <c r="J166" s="7">
        <f>IF(AND(D166="DMY",H166=1),1,0)</f>
        <v>0</v>
      </c>
      <c r="K166" s="7">
        <f>IF(H166=0,1,0)</f>
        <v>0</v>
      </c>
      <c r="L166" s="7">
        <f>IF(TRIM(Raw_Bookings!I166&amp;"")="",1,0)</f>
        <v>0</v>
      </c>
      <c r="M166" s="7">
        <f>IF(L166=1,"",DATEVALUE(LEFT(Raw_Bookings!I166,10))+TIMEVALUE(MID(Raw_Bookings!I166,12,8)))</f>
        <v>45718.61769675926</v>
      </c>
      <c r="N166" s="7">
        <f>IF(AND(L166=0,H166=1),IF(INT(M166)&gt;I166,1,0),0)</f>
        <v>0</v>
      </c>
      <c r="O166" s="7" t="str">
        <f>UPPER(TRIM(Raw_Bookings!F166))</f>
        <v>AHM</v>
      </c>
      <c r="P166" s="7" t="str">
        <f>UPPER(TRIM(Raw_Bookings!G166))</f>
        <v>VAR</v>
      </c>
      <c r="Q166" s="7">
        <f>IF(COUNTIF(Lookup_Stations!$A$2:$A$33,O166)&gt;0,1,0)</f>
        <v>1</v>
      </c>
      <c r="R166" s="7">
        <f>IF(COUNTIF(Lookup_Stations!$A$2:$A$33,P166)&gt;0,1,0)</f>
        <v>1</v>
      </c>
      <c r="S166" s="7">
        <f>IF(OR(AND(Q166=1,NOT(EXACT(Raw_Bookings!F166,O166))),AND(R166=1,NOT(EXACT(Raw_Bookings!G166,P166)))),1,0)</f>
        <v>0</v>
      </c>
      <c r="T166" s="7">
        <f>IF(OR(Q166=0,R166=0),1,0)</f>
        <v>0</v>
      </c>
      <c r="U166" s="7">
        <f>IF(TRIM(Raw_Bookings!E166&amp;"")="",1,0)</f>
        <v>0</v>
      </c>
      <c r="V166" s="7" t="str">
        <f>IF(SUMPRODUCT(--(Lookup_Status!$A$2:$A$13=LOWER(TRIM(Raw_Bookings!K166))))=0,"",INDEX(Lookup_Status!$B$2:$B$13,SUMPRODUCT((Lookup_Status!$A$2:$A$13=LOWER(TRIM(Raw_Bookings!K166)))*(ROW(Lookup_Status!$A$2:$A$13)-1))))</f>
        <v>Cancelled</v>
      </c>
      <c r="W166" s="7">
        <f>IF(AND(V166&lt;&gt;"",NOT(EXACT(Raw_Bookings!K166,V166))),1,0)</f>
        <v>0</v>
      </c>
      <c r="X166" s="7">
        <f>IF(V166="",1,0)</f>
        <v>0</v>
      </c>
      <c r="Y166" s="7">
        <f>IF(TRIM(Raw_Bookings!L166&amp;"")="",1,0)</f>
        <v>0</v>
      </c>
      <c r="Z166" s="7">
        <f>IF(AND(ISTEXT(Raw_Bookings!L166),Y166=0),1,0)</f>
        <v>0</v>
      </c>
      <c r="AA166" s="7">
        <f>IF(Z166=1,IFERROR(VALUE(SUBSTITUTE(SUBSTITUTE(SUBSTITUTE(SUBSTITUTE(SUBSTITUTE(UPPER(Raw_Bookings!L166),"RS.",""),"₹",""),",","")," ",""),"INR","")),""),"")</f>
        <v/>
      </c>
      <c r="AB166" s="7">
        <f>IF(AND(Z166=1,ISNUMBER(AA166)),1,0)</f>
        <v>0</v>
      </c>
      <c r="AC166" s="7">
        <f>IF(B166=1,0,IF(NOT(ISNUMBER(Raw_Bookings!J166)),1,IF(Raw_Bookings!J166&lt;&gt;COUNTIFS(Work_Passengers!$B$2:$B$1336,Raw_Bookings!A166,Work_Passengers!$C$2:$C$1336,0),1,0)))</f>
        <v>0</v>
      </c>
    </row>
    <row r="167" spans="1:29">
      <c r="A167" s="7">
        <f>Raw_Bookings!A167</f>
        <v>1054902</v>
      </c>
      <c r="B167" s="7">
        <f>IF(COUNTIF(Raw_Bookings!$A$2:A167,Raw_Bookings!A167)&gt;1,1,0)</f>
        <v>0</v>
      </c>
      <c r="C167" s="7" t="str">
        <f>Raw_Bookings!D167&amp;""</f>
        <v>2025-04-24</v>
      </c>
      <c r="D167" s="7" t="str">
        <f>IF(AND(LEN(C167)=10,MID(C167,5,1)="-",MID(C167,8,1)="-"),"ISO",IF(AND(LEN(C167)=10,MID(C167,3,1)="-",MID(C167,6,1)="-"),"DMY","OTHER"))</f>
        <v>ISO</v>
      </c>
      <c r="E167" s="7">
        <f>IF(D167="ISO",VALUE(LEFT(C167,4)),IF(D167="DMY",VALUE(RIGHT(C167,4)),0))</f>
        <v>2025</v>
      </c>
      <c r="F167" s="7">
        <f>IF(D167="ISO",VALUE(MID(C167,6,2)),IF(D167="DMY",VALUE(MID(C167,4,2)),0))</f>
        <v>4</v>
      </c>
      <c r="G167" s="7">
        <f>IF(D167="ISO",VALUE(RIGHT(C167,2)),IF(D167="DMY",VALUE(LEFT(C167,2)),0))</f>
        <v>24</v>
      </c>
      <c r="H167" s="7">
        <f>IF(AND(D167&lt;&gt;"OTHER",F167&gt;=1,F167&lt;=12,G167&gt;=1,G167&lt;=31),IF(AND(MONTH(DATE(E167,F167,G167))=F167,DAY(DATE(E167,F167,G167))=G167),1,0),0)</f>
        <v>1</v>
      </c>
      <c r="I167" s="7">
        <f>IF(H167=1,DATE(E167,F167,G167),"")</f>
        <v>45771.0</v>
      </c>
      <c r="J167" s="7">
        <f>IF(AND(D167="DMY",H167=1),1,0)</f>
        <v>0</v>
      </c>
      <c r="K167" s="7">
        <f>IF(H167=0,1,0)</f>
        <v>0</v>
      </c>
      <c r="L167" s="7">
        <f>IF(TRIM(Raw_Bookings!I167&amp;"")="",1,0)</f>
        <v>0</v>
      </c>
      <c r="M167" s="7">
        <f>IF(L167=1,"",DATEVALUE(LEFT(Raw_Bookings!I167,10))+TIMEVALUE(MID(Raw_Bookings!I167,12,8)))</f>
        <v>45720.31150462963</v>
      </c>
      <c r="N167" s="7">
        <f>IF(AND(L167=0,H167=1),IF(INT(M167)&gt;I167,1,0),0)</f>
        <v>0</v>
      </c>
      <c r="O167" s="7" t="str">
        <f>UPPER(TRIM(Raw_Bookings!F167))</f>
        <v>DIB</v>
      </c>
      <c r="P167" s="7" t="str">
        <f>UPPER(TRIM(Raw_Bookings!G167))</f>
        <v>DEL</v>
      </c>
      <c r="Q167" s="7">
        <f>IF(COUNTIF(Lookup_Stations!$A$2:$A$33,O167)&gt;0,1,0)</f>
        <v>1</v>
      </c>
      <c r="R167" s="7">
        <f>IF(COUNTIF(Lookup_Stations!$A$2:$A$33,P167)&gt;0,1,0)</f>
        <v>1</v>
      </c>
      <c r="S167" s="7">
        <f>IF(OR(AND(Q167=1,NOT(EXACT(Raw_Bookings!F167,O167))),AND(R167=1,NOT(EXACT(Raw_Bookings!G167,P167)))),1,0)</f>
        <v>0</v>
      </c>
      <c r="T167" s="7">
        <f>IF(OR(Q167=0,R167=0),1,0)</f>
        <v>0</v>
      </c>
      <c r="U167" s="7">
        <f>IF(TRIM(Raw_Bookings!E167&amp;"")="",1,0)</f>
        <v>0</v>
      </c>
      <c r="V167" s="7" t="str">
        <f>IF(SUMPRODUCT(--(Lookup_Status!$A$2:$A$13=LOWER(TRIM(Raw_Bookings!K167))))=0,"",INDEX(Lookup_Status!$B$2:$B$13,SUMPRODUCT((Lookup_Status!$A$2:$A$13=LOWER(TRIM(Raw_Bookings!K167)))*(ROW(Lookup_Status!$A$2:$A$13)-1))))</f>
        <v>Confirmed</v>
      </c>
      <c r="W167" s="7">
        <f>IF(AND(V167&lt;&gt;"",NOT(EXACT(Raw_Bookings!K167,V167))),1,0)</f>
        <v>0</v>
      </c>
      <c r="X167" s="7">
        <f>IF(V167="",1,0)</f>
        <v>0</v>
      </c>
      <c r="Y167" s="7">
        <f>IF(TRIM(Raw_Bookings!L167&amp;"")="",1,0)</f>
        <v>0</v>
      </c>
      <c r="Z167" s="7">
        <f>IF(AND(ISTEXT(Raw_Bookings!L167),Y167=0),1,0)</f>
        <v>0</v>
      </c>
      <c r="AA167" s="7">
        <f>IF(Z167=1,IFERROR(VALUE(SUBSTITUTE(SUBSTITUTE(SUBSTITUTE(SUBSTITUTE(SUBSTITUTE(UPPER(Raw_Bookings!L167),"RS.",""),"₹",""),",","")," ",""),"INR","")),""),"")</f>
        <v/>
      </c>
      <c r="AB167" s="7">
        <f>IF(AND(Z167=1,ISNUMBER(AA167)),1,0)</f>
        <v>0</v>
      </c>
      <c r="AC167" s="7">
        <f>IF(B167=1,0,IF(NOT(ISNUMBER(Raw_Bookings!J167)),1,IF(Raw_Bookings!J167&lt;&gt;COUNTIFS(Work_Passengers!$B$2:$B$1336,Raw_Bookings!A167,Work_Passengers!$C$2:$C$1336,0),1,0)))</f>
        <v>0</v>
      </c>
    </row>
    <row r="168" spans="1:29">
      <c r="A168" s="7">
        <f>Raw_Bookings!A168</f>
        <v>1056099</v>
      </c>
      <c r="B168" s="7">
        <f>IF(COUNTIF(Raw_Bookings!$A$2:A168,Raw_Bookings!A168)&gt;1,1,0)</f>
        <v>0</v>
      </c>
      <c r="C168" s="7" t="str">
        <f>Raw_Bookings!D168&amp;""</f>
        <v>2025-06-27</v>
      </c>
      <c r="D168" s="7" t="str">
        <f>IF(AND(LEN(C168)=10,MID(C168,5,1)="-",MID(C168,8,1)="-"),"ISO",IF(AND(LEN(C168)=10,MID(C168,3,1)="-",MID(C168,6,1)="-"),"DMY","OTHER"))</f>
        <v>ISO</v>
      </c>
      <c r="E168" s="7">
        <f>IF(D168="ISO",VALUE(LEFT(C168,4)),IF(D168="DMY",VALUE(RIGHT(C168,4)),0))</f>
        <v>2025</v>
      </c>
      <c r="F168" s="7">
        <f>IF(D168="ISO",VALUE(MID(C168,6,2)),IF(D168="DMY",VALUE(MID(C168,4,2)),0))</f>
        <v>6</v>
      </c>
      <c r="G168" s="7">
        <f>IF(D168="ISO",VALUE(RIGHT(C168,2)),IF(D168="DMY",VALUE(LEFT(C168,2)),0))</f>
        <v>27</v>
      </c>
      <c r="H168" s="7">
        <f>IF(AND(D168&lt;&gt;"OTHER",F168&gt;=1,F168&lt;=12,G168&gt;=1,G168&lt;=31),IF(AND(MONTH(DATE(E168,F168,G168))=F168,DAY(DATE(E168,F168,G168))=G168),1,0),0)</f>
        <v>1</v>
      </c>
      <c r="I168" s="7">
        <f>IF(H168=1,DATE(E168,F168,G168),"")</f>
        <v>45835.0</v>
      </c>
      <c r="J168" s="7">
        <f>IF(AND(D168="DMY",H168=1),1,0)</f>
        <v>0</v>
      </c>
      <c r="K168" s="7">
        <f>IF(H168=0,1,0)</f>
        <v>0</v>
      </c>
      <c r="L168" s="7">
        <f>IF(TRIM(Raw_Bookings!I168&amp;"")="",1,0)</f>
        <v>0</v>
      </c>
      <c r="M168" s="7">
        <f>IF(L168=1,"",DATEVALUE(LEFT(Raw_Bookings!I168,10))+TIMEVALUE(MID(Raw_Bookings!I168,12,8)))</f>
        <v>45723.85028935185</v>
      </c>
      <c r="N168" s="7">
        <f>IF(AND(L168=0,H168=1),IF(INT(M168)&gt;I168,1,0),0)</f>
        <v>0</v>
      </c>
      <c r="O168" s="7" t="str">
        <f>UPPER(TRIM(Raw_Bookings!F168))</f>
        <v>LUC</v>
      </c>
      <c r="P168" s="7" t="str">
        <f>UPPER(TRIM(Raw_Bookings!G168))</f>
        <v>MUM</v>
      </c>
      <c r="Q168" s="7">
        <f>IF(COUNTIF(Lookup_Stations!$A$2:$A$33,O168)&gt;0,1,0)</f>
        <v>1</v>
      </c>
      <c r="R168" s="7">
        <f>IF(COUNTIF(Lookup_Stations!$A$2:$A$33,P168)&gt;0,1,0)</f>
        <v>1</v>
      </c>
      <c r="S168" s="7">
        <f>IF(OR(AND(Q168=1,NOT(EXACT(Raw_Bookings!F168,O168))),AND(R168=1,NOT(EXACT(Raw_Bookings!G168,P168)))),1,0)</f>
        <v>0</v>
      </c>
      <c r="T168" s="7">
        <f>IF(OR(Q168=0,R168=0),1,0)</f>
        <v>0</v>
      </c>
      <c r="U168" s="7">
        <f>IF(TRIM(Raw_Bookings!E168&amp;"")="",1,0)</f>
        <v>0</v>
      </c>
      <c r="V168" s="7" t="str">
        <f>IF(SUMPRODUCT(--(Lookup_Status!$A$2:$A$13=LOWER(TRIM(Raw_Bookings!K168))))=0,"",INDEX(Lookup_Status!$B$2:$B$13,SUMPRODUCT((Lookup_Status!$A$2:$A$13=LOWER(TRIM(Raw_Bookings!K168)))*(ROW(Lookup_Status!$A$2:$A$13)-1))))</f>
        <v>Cancelled</v>
      </c>
      <c r="W168" s="7">
        <f>IF(AND(V168&lt;&gt;"",NOT(EXACT(Raw_Bookings!K168,V168))),1,0)</f>
        <v>0</v>
      </c>
      <c r="X168" s="7">
        <f>IF(V168="",1,0)</f>
        <v>0</v>
      </c>
      <c r="Y168" s="7">
        <f>IF(TRIM(Raw_Bookings!L168&amp;"")="",1,0)</f>
        <v>0</v>
      </c>
      <c r="Z168" s="7">
        <f>IF(AND(ISTEXT(Raw_Bookings!L168),Y168=0),1,0)</f>
        <v>0</v>
      </c>
      <c r="AA168" s="7">
        <f>IF(Z168=1,IFERROR(VALUE(SUBSTITUTE(SUBSTITUTE(SUBSTITUTE(SUBSTITUTE(SUBSTITUTE(UPPER(Raw_Bookings!L168),"RS.",""),"₹",""),",","")," ",""),"INR","")),""),"")</f>
        <v/>
      </c>
      <c r="AB168" s="7">
        <f>IF(AND(Z168=1,ISNUMBER(AA168)),1,0)</f>
        <v>0</v>
      </c>
      <c r="AC168" s="7">
        <f>IF(B168=1,0,IF(NOT(ISNUMBER(Raw_Bookings!J168)),1,IF(Raw_Bookings!J168&lt;&gt;COUNTIFS(Work_Passengers!$B$2:$B$1336,Raw_Bookings!A168,Work_Passengers!$C$2:$C$1336,0),1,0)))</f>
        <v>0</v>
      </c>
    </row>
    <row r="169" spans="1:29">
      <c r="A169" s="7">
        <f>Raw_Bookings!A169</f>
        <v>1056380</v>
      </c>
      <c r="B169" s="7">
        <f>IF(COUNTIF(Raw_Bookings!$A$2:A169,Raw_Bookings!A169)&gt;1,1,0)</f>
        <v>0</v>
      </c>
      <c r="C169" s="7" t="str">
        <f>Raw_Bookings!D169&amp;""</f>
        <v>2025-03-19</v>
      </c>
      <c r="D169" s="7" t="str">
        <f>IF(AND(LEN(C169)=10,MID(C169,5,1)="-",MID(C169,8,1)="-"),"ISO",IF(AND(LEN(C169)=10,MID(C169,3,1)="-",MID(C169,6,1)="-"),"DMY","OTHER"))</f>
        <v>ISO</v>
      </c>
      <c r="E169" s="7">
        <f>IF(D169="ISO",VALUE(LEFT(C169,4)),IF(D169="DMY",VALUE(RIGHT(C169,4)),0))</f>
        <v>2025</v>
      </c>
      <c r="F169" s="7">
        <f>IF(D169="ISO",VALUE(MID(C169,6,2)),IF(D169="DMY",VALUE(MID(C169,4,2)),0))</f>
        <v>3</v>
      </c>
      <c r="G169" s="7">
        <f>IF(D169="ISO",VALUE(RIGHT(C169,2)),IF(D169="DMY",VALUE(LEFT(C169,2)),0))</f>
        <v>19</v>
      </c>
      <c r="H169" s="7">
        <f>IF(AND(D169&lt;&gt;"OTHER",F169&gt;=1,F169&lt;=12,G169&gt;=1,G169&lt;=31),IF(AND(MONTH(DATE(E169,F169,G169))=F169,DAY(DATE(E169,F169,G169))=G169),1,0),0)</f>
        <v>1</v>
      </c>
      <c r="I169" s="7">
        <f>IF(H169=1,DATE(E169,F169,G169),"")</f>
        <v>45735.0</v>
      </c>
      <c r="J169" s="7">
        <f>IF(AND(D169="DMY",H169=1),1,0)</f>
        <v>0</v>
      </c>
      <c r="K169" s="7">
        <f>IF(H169=0,1,0)</f>
        <v>0</v>
      </c>
      <c r="L169" s="7">
        <f>IF(TRIM(Raw_Bookings!I169&amp;"")="",1,0)</f>
        <v>0</v>
      </c>
      <c r="M169" s="7">
        <f>IF(L169=1,"",DATEVALUE(LEFT(Raw_Bookings!I169,10))+TIMEVALUE(MID(Raw_Bookings!I169,12,8)))</f>
        <v>45724.758356481485</v>
      </c>
      <c r="N169" s="7">
        <f>IF(AND(L169=0,H169=1),IF(INT(M169)&gt;I169,1,0),0)</f>
        <v>0</v>
      </c>
      <c r="O169" s="7" t="str">
        <f>UPPER(TRIM(Raw_Bookings!F169))</f>
        <v>VIS</v>
      </c>
      <c r="P169" s="7" t="str">
        <f>UPPER(TRIM(Raw_Bookings!G169))</f>
        <v>CHA</v>
      </c>
      <c r="Q169" s="7">
        <f>IF(COUNTIF(Lookup_Stations!$A$2:$A$33,O169)&gt;0,1,0)</f>
        <v>1</v>
      </c>
      <c r="R169" s="7">
        <f>IF(COUNTIF(Lookup_Stations!$A$2:$A$33,P169)&gt;0,1,0)</f>
        <v>1</v>
      </c>
      <c r="S169" s="7">
        <f>IF(OR(AND(Q169=1,NOT(EXACT(Raw_Bookings!F169,O169))),AND(R169=1,NOT(EXACT(Raw_Bookings!G169,P169)))),1,0)</f>
        <v>0</v>
      </c>
      <c r="T169" s="7">
        <f>IF(OR(Q169=0,R169=0),1,0)</f>
        <v>0</v>
      </c>
      <c r="U169" s="7">
        <f>IF(TRIM(Raw_Bookings!E169&amp;"")="",1,0)</f>
        <v>0</v>
      </c>
      <c r="V169" s="7" t="str">
        <f>IF(SUMPRODUCT(--(Lookup_Status!$A$2:$A$13=LOWER(TRIM(Raw_Bookings!K169))))=0,"",INDEX(Lookup_Status!$B$2:$B$13,SUMPRODUCT((Lookup_Status!$A$2:$A$13=LOWER(TRIM(Raw_Bookings!K169)))*(ROW(Lookup_Status!$A$2:$A$13)-1))))</f>
        <v>Cancelled</v>
      </c>
      <c r="W169" s="7">
        <f>IF(AND(V169&lt;&gt;"",NOT(EXACT(Raw_Bookings!K169,V169))),1,0)</f>
        <v>0</v>
      </c>
      <c r="X169" s="7">
        <f>IF(V169="",1,0)</f>
        <v>0</v>
      </c>
      <c r="Y169" s="7">
        <f>IF(TRIM(Raw_Bookings!L169&amp;"")="",1,0)</f>
        <v>0</v>
      </c>
      <c r="Z169" s="7">
        <f>IF(AND(ISTEXT(Raw_Bookings!L169),Y169=0),1,0)</f>
        <v>0</v>
      </c>
      <c r="AA169" s="7">
        <f>IF(Z169=1,IFERROR(VALUE(SUBSTITUTE(SUBSTITUTE(SUBSTITUTE(SUBSTITUTE(SUBSTITUTE(UPPER(Raw_Bookings!L169),"RS.",""),"₹",""),",","")," ",""),"INR","")),""),"")</f>
        <v/>
      </c>
      <c r="AB169" s="7">
        <f>IF(AND(Z169=1,ISNUMBER(AA169)),1,0)</f>
        <v>0</v>
      </c>
      <c r="AC169" s="7">
        <f>IF(B169=1,0,IF(NOT(ISNUMBER(Raw_Bookings!J169)),1,IF(Raw_Bookings!J169&lt;&gt;COUNTIFS(Work_Passengers!$B$2:$B$1336,Raw_Bookings!A169,Work_Passengers!$C$2:$C$1336,0),1,0)))</f>
        <v>0</v>
      </c>
    </row>
    <row r="170" spans="1:29">
      <c r="A170" s="7">
        <f>Raw_Bookings!A170</f>
        <v>1056639</v>
      </c>
      <c r="B170" s="7">
        <f>IF(COUNTIF(Raw_Bookings!$A$2:A170,Raw_Bookings!A170)&gt;1,1,0)</f>
        <v>0</v>
      </c>
      <c r="C170" s="7" t="str">
        <f>Raw_Bookings!D170&amp;""</f>
        <v>2025-03-09</v>
      </c>
      <c r="D170" s="7" t="str">
        <f>IF(AND(LEN(C170)=10,MID(C170,5,1)="-",MID(C170,8,1)="-"),"ISO",IF(AND(LEN(C170)=10,MID(C170,3,1)="-",MID(C170,6,1)="-"),"DMY","OTHER"))</f>
        <v>ISO</v>
      </c>
      <c r="E170" s="7">
        <f>IF(D170="ISO",VALUE(LEFT(C170,4)),IF(D170="DMY",VALUE(RIGHT(C170,4)),0))</f>
        <v>2025</v>
      </c>
      <c r="F170" s="7">
        <f>IF(D170="ISO",VALUE(MID(C170,6,2)),IF(D170="DMY",VALUE(MID(C170,4,2)),0))</f>
        <v>3</v>
      </c>
      <c r="G170" s="7">
        <f>IF(D170="ISO",VALUE(RIGHT(C170,2)),IF(D170="DMY",VALUE(LEFT(C170,2)),0))</f>
        <v>9</v>
      </c>
      <c r="H170" s="7">
        <f>IF(AND(D170&lt;&gt;"OTHER",F170&gt;=1,F170&lt;=12,G170&gt;=1,G170&lt;=31),IF(AND(MONTH(DATE(E170,F170,G170))=F170,DAY(DATE(E170,F170,G170))=G170),1,0),0)</f>
        <v>1</v>
      </c>
      <c r="I170" s="7">
        <f>IF(H170=1,DATE(E170,F170,G170),"")</f>
        <v>45725.0</v>
      </c>
      <c r="J170" s="7">
        <f>IF(AND(D170="DMY",H170=1),1,0)</f>
        <v>0</v>
      </c>
      <c r="K170" s="7">
        <f>IF(H170=0,1,0)</f>
        <v>0</v>
      </c>
      <c r="L170" s="7">
        <f>IF(TRIM(Raw_Bookings!I170&amp;"")="",1,0)</f>
        <v>0</v>
      </c>
      <c r="M170" s="7">
        <f>IF(L170=1,"",DATEVALUE(LEFT(Raw_Bookings!I170,10))+TIMEVALUE(MID(Raw_Bookings!I170,12,8)))</f>
        <v>45725.56759259259</v>
      </c>
      <c r="N170" s="7">
        <f>IF(AND(L170=0,H170=1),IF(INT(M170)&gt;I170,1,0),0)</f>
        <v>0</v>
      </c>
      <c r="O170" s="7" t="str">
        <f>UPPER(TRIM(Raw_Bookings!F170))</f>
        <v>SUR</v>
      </c>
      <c r="P170" s="7" t="str">
        <f>UPPER(TRIM(Raw_Bookings!G170))</f>
        <v>VAR</v>
      </c>
      <c r="Q170" s="7">
        <f>IF(COUNTIF(Lookup_Stations!$A$2:$A$33,O170)&gt;0,1,0)</f>
        <v>1</v>
      </c>
      <c r="R170" s="7">
        <f>IF(COUNTIF(Lookup_Stations!$A$2:$A$33,P170)&gt;0,1,0)</f>
        <v>1</v>
      </c>
      <c r="S170" s="7">
        <f>IF(OR(AND(Q170=1,NOT(EXACT(Raw_Bookings!F170,O170))),AND(R170=1,NOT(EXACT(Raw_Bookings!G170,P170)))),1,0)</f>
        <v>0</v>
      </c>
      <c r="T170" s="7">
        <f>IF(OR(Q170=0,R170=0),1,0)</f>
        <v>0</v>
      </c>
      <c r="U170" s="7">
        <f>IF(TRIM(Raw_Bookings!E170&amp;"")="",1,0)</f>
        <v>0</v>
      </c>
      <c r="V170" s="7" t="str">
        <f>IF(SUMPRODUCT(--(Lookup_Status!$A$2:$A$13=LOWER(TRIM(Raw_Bookings!K170))))=0,"",INDEX(Lookup_Status!$B$2:$B$13,SUMPRODUCT((Lookup_Status!$A$2:$A$13=LOWER(TRIM(Raw_Bookings!K170)))*(ROW(Lookup_Status!$A$2:$A$13)-1))))</f>
        <v>Confirmed</v>
      </c>
      <c r="W170" s="7">
        <f>IF(AND(V170&lt;&gt;"",NOT(EXACT(Raw_Bookings!K170,V170))),1,0)</f>
        <v>0</v>
      </c>
      <c r="X170" s="7">
        <f>IF(V170="",1,0)</f>
        <v>0</v>
      </c>
      <c r="Y170" s="7">
        <f>IF(TRIM(Raw_Bookings!L170&amp;"")="",1,0)</f>
        <v>0</v>
      </c>
      <c r="Z170" s="7">
        <f>IF(AND(ISTEXT(Raw_Bookings!L170),Y170=0),1,0)</f>
        <v>0</v>
      </c>
      <c r="AA170" s="7">
        <f>IF(Z170=1,IFERROR(VALUE(SUBSTITUTE(SUBSTITUTE(SUBSTITUTE(SUBSTITUTE(SUBSTITUTE(UPPER(Raw_Bookings!L170),"RS.",""),"₹",""),",","")," ",""),"INR","")),""),"")</f>
        <v/>
      </c>
      <c r="AB170" s="7">
        <f>IF(AND(Z170=1,ISNUMBER(AA170)),1,0)</f>
        <v>0</v>
      </c>
      <c r="AC170" s="7">
        <f>IF(B170=1,0,IF(NOT(ISNUMBER(Raw_Bookings!J170)),1,IF(Raw_Bookings!J170&lt;&gt;COUNTIFS(Work_Passengers!$B$2:$B$1336,Raw_Bookings!A170,Work_Passengers!$C$2:$C$1336,0),1,0)))</f>
        <v>0</v>
      </c>
    </row>
    <row r="171" spans="1:29">
      <c r="A171" s="7">
        <f>Raw_Bookings!A171</f>
        <v>1057021</v>
      </c>
      <c r="B171" s="7">
        <f>IF(COUNTIF(Raw_Bookings!$A$2:A171,Raw_Bookings!A171)&gt;1,1,0)</f>
        <v>0</v>
      </c>
      <c r="C171" s="7" t="str">
        <f>Raw_Bookings!D171&amp;""</f>
        <v>2025-04-20</v>
      </c>
      <c r="D171" s="7" t="str">
        <f>IF(AND(LEN(C171)=10,MID(C171,5,1)="-",MID(C171,8,1)="-"),"ISO",IF(AND(LEN(C171)=10,MID(C171,3,1)="-",MID(C171,6,1)="-"),"DMY","OTHER"))</f>
        <v>ISO</v>
      </c>
      <c r="E171" s="7">
        <f>IF(D171="ISO",VALUE(LEFT(C171,4)),IF(D171="DMY",VALUE(RIGHT(C171,4)),0))</f>
        <v>2025</v>
      </c>
      <c r="F171" s="7">
        <f>IF(D171="ISO",VALUE(MID(C171,6,2)),IF(D171="DMY",VALUE(MID(C171,4,2)),0))</f>
        <v>4</v>
      </c>
      <c r="G171" s="7">
        <f>IF(D171="ISO",VALUE(RIGHT(C171,2)),IF(D171="DMY",VALUE(LEFT(C171,2)),0))</f>
        <v>20</v>
      </c>
      <c r="H171" s="7">
        <f>IF(AND(D171&lt;&gt;"OTHER",F171&gt;=1,F171&lt;=12,G171&gt;=1,G171&lt;=31),IF(AND(MONTH(DATE(E171,F171,G171))=F171,DAY(DATE(E171,F171,G171))=G171),1,0),0)</f>
        <v>1</v>
      </c>
      <c r="I171" s="7">
        <f>IF(H171=1,DATE(E171,F171,G171),"")</f>
        <v>45767.0</v>
      </c>
      <c r="J171" s="7">
        <f>IF(AND(D171="DMY",H171=1),1,0)</f>
        <v>0</v>
      </c>
      <c r="K171" s="7">
        <f>IF(H171=0,1,0)</f>
        <v>0</v>
      </c>
      <c r="L171" s="7">
        <f>IF(TRIM(Raw_Bookings!I171&amp;"")="",1,0)</f>
        <v>0</v>
      </c>
      <c r="M171" s="7">
        <f>IF(L171=1,"",DATEVALUE(LEFT(Raw_Bookings!I171,10))+TIMEVALUE(MID(Raw_Bookings!I171,12,8)))</f>
        <v>45726.82662037037</v>
      </c>
      <c r="N171" s="7">
        <f>IF(AND(L171=0,H171=1),IF(INT(M171)&gt;I171,1,0),0)</f>
        <v>0</v>
      </c>
      <c r="O171" s="7" t="str">
        <f>UPPER(TRIM(Raw_Bookings!F171))</f>
        <v>MUM</v>
      </c>
      <c r="P171" s="7" t="str">
        <f>UPPER(TRIM(Raw_Bookings!G171))</f>
        <v>BEN</v>
      </c>
      <c r="Q171" s="7">
        <f>IF(COUNTIF(Lookup_Stations!$A$2:$A$33,O171)&gt;0,1,0)</f>
        <v>1</v>
      </c>
      <c r="R171" s="7">
        <f>IF(COUNTIF(Lookup_Stations!$A$2:$A$33,P171)&gt;0,1,0)</f>
        <v>1</v>
      </c>
      <c r="S171" s="7">
        <f>IF(OR(AND(Q171=1,NOT(EXACT(Raw_Bookings!F171,O171))),AND(R171=1,NOT(EXACT(Raw_Bookings!G171,P171)))),1,0)</f>
        <v>0</v>
      </c>
      <c r="T171" s="7">
        <f>IF(OR(Q171=0,R171=0),1,0)</f>
        <v>0</v>
      </c>
      <c r="U171" s="7">
        <f>IF(TRIM(Raw_Bookings!E171&amp;"")="",1,0)</f>
        <v>0</v>
      </c>
      <c r="V171" s="7" t="str">
        <f>IF(SUMPRODUCT(--(Lookup_Status!$A$2:$A$13=LOWER(TRIM(Raw_Bookings!K171))))=0,"",INDEX(Lookup_Status!$B$2:$B$13,SUMPRODUCT((Lookup_Status!$A$2:$A$13=LOWER(TRIM(Raw_Bookings!K171)))*(ROW(Lookup_Status!$A$2:$A$13)-1))))</f>
        <v>Confirmed</v>
      </c>
      <c r="W171" s="7">
        <f>IF(AND(V171&lt;&gt;"",NOT(EXACT(Raw_Bookings!K171,V171))),1,0)</f>
        <v>0</v>
      </c>
      <c r="X171" s="7">
        <f>IF(V171="",1,0)</f>
        <v>0</v>
      </c>
      <c r="Y171" s="7">
        <f>IF(TRIM(Raw_Bookings!L171&amp;"")="",1,0)</f>
        <v>0</v>
      </c>
      <c r="Z171" s="7">
        <f>IF(AND(ISTEXT(Raw_Bookings!L171),Y171=0),1,0)</f>
        <v>0</v>
      </c>
      <c r="AA171" s="7">
        <f>IF(Z171=1,IFERROR(VALUE(SUBSTITUTE(SUBSTITUTE(SUBSTITUTE(SUBSTITUTE(SUBSTITUTE(UPPER(Raw_Bookings!L171),"RS.",""),"₹",""),",","")," ",""),"INR","")),""),"")</f>
        <v/>
      </c>
      <c r="AB171" s="7">
        <f>IF(AND(Z171=1,ISNUMBER(AA171)),1,0)</f>
        <v>0</v>
      </c>
      <c r="AC171" s="7">
        <f>IF(B171=1,0,IF(NOT(ISNUMBER(Raw_Bookings!J171)),1,IF(Raw_Bookings!J171&lt;&gt;COUNTIFS(Work_Passengers!$B$2:$B$1336,Raw_Bookings!A171,Work_Passengers!$C$2:$C$1336,0),1,0)))</f>
        <v>0</v>
      </c>
    </row>
    <row r="172" spans="1:29">
      <c r="A172" s="7">
        <f>Raw_Bookings!A172</f>
        <v>1057195</v>
      </c>
      <c r="B172" s="7">
        <f>IF(COUNTIF(Raw_Bookings!$A$2:A172,Raw_Bookings!A172)&gt;1,1,0)</f>
        <v>0</v>
      </c>
      <c r="C172" s="7" t="str">
        <f>Raw_Bookings!D172&amp;""</f>
        <v>2025-03-14</v>
      </c>
      <c r="D172" s="7" t="str">
        <f>IF(AND(LEN(C172)=10,MID(C172,5,1)="-",MID(C172,8,1)="-"),"ISO",IF(AND(LEN(C172)=10,MID(C172,3,1)="-",MID(C172,6,1)="-"),"DMY","OTHER"))</f>
        <v>ISO</v>
      </c>
      <c r="E172" s="7">
        <f>IF(D172="ISO",VALUE(LEFT(C172,4)),IF(D172="DMY",VALUE(RIGHT(C172,4)),0))</f>
        <v>2025</v>
      </c>
      <c r="F172" s="7">
        <f>IF(D172="ISO",VALUE(MID(C172,6,2)),IF(D172="DMY",VALUE(MID(C172,4,2)),0))</f>
        <v>3</v>
      </c>
      <c r="G172" s="7">
        <f>IF(D172="ISO",VALUE(RIGHT(C172,2)),IF(D172="DMY",VALUE(LEFT(C172,2)),0))</f>
        <v>14</v>
      </c>
      <c r="H172" s="7">
        <f>IF(AND(D172&lt;&gt;"OTHER",F172&gt;=1,F172&lt;=12,G172&gt;=1,G172&lt;=31),IF(AND(MONTH(DATE(E172,F172,G172))=F172,DAY(DATE(E172,F172,G172))=G172),1,0),0)</f>
        <v>1</v>
      </c>
      <c r="I172" s="7">
        <f>IF(H172=1,DATE(E172,F172,G172),"")</f>
        <v>45730.0</v>
      </c>
      <c r="J172" s="7">
        <f>IF(AND(D172="DMY",H172=1),1,0)</f>
        <v>0</v>
      </c>
      <c r="K172" s="7">
        <f>IF(H172=0,1,0)</f>
        <v>0</v>
      </c>
      <c r="L172" s="7">
        <f>IF(TRIM(Raw_Bookings!I172&amp;"")="",1,0)</f>
        <v>0</v>
      </c>
      <c r="M172" s="7">
        <f>IF(L172=1,"",DATEVALUE(LEFT(Raw_Bookings!I172,10))+TIMEVALUE(MID(Raw_Bookings!I172,12,8)))</f>
        <v>45727.55877314815</v>
      </c>
      <c r="N172" s="7">
        <f>IF(AND(L172=0,H172=1),IF(INT(M172)&gt;I172,1,0),0)</f>
        <v>0</v>
      </c>
      <c r="O172" s="7" t="str">
        <f>UPPER(TRIM(Raw_Bookings!F172))</f>
        <v>HYD</v>
      </c>
      <c r="P172" s="7" t="str">
        <f>UPPER(TRIM(Raw_Bookings!G172))</f>
        <v>KOL</v>
      </c>
      <c r="Q172" s="7">
        <f>IF(COUNTIF(Lookup_Stations!$A$2:$A$33,O172)&gt;0,1,0)</f>
        <v>1</v>
      </c>
      <c r="R172" s="7">
        <f>IF(COUNTIF(Lookup_Stations!$A$2:$A$33,P172)&gt;0,1,0)</f>
        <v>1</v>
      </c>
      <c r="S172" s="7">
        <f>IF(OR(AND(Q172=1,NOT(EXACT(Raw_Bookings!F172,O172))),AND(R172=1,NOT(EXACT(Raw_Bookings!G172,P172)))),1,0)</f>
        <v>0</v>
      </c>
      <c r="T172" s="7">
        <f>IF(OR(Q172=0,R172=0),1,0)</f>
        <v>0</v>
      </c>
      <c r="U172" s="7">
        <f>IF(TRIM(Raw_Bookings!E172&amp;"")="",1,0)</f>
        <v>0</v>
      </c>
      <c r="V172" s="7" t="str">
        <f>IF(SUMPRODUCT(--(Lookup_Status!$A$2:$A$13=LOWER(TRIM(Raw_Bookings!K172))))=0,"",INDEX(Lookup_Status!$B$2:$B$13,SUMPRODUCT((Lookup_Status!$A$2:$A$13=LOWER(TRIM(Raw_Bookings!K172)))*(ROW(Lookup_Status!$A$2:$A$13)-1))))</f>
        <v>Waitlisted</v>
      </c>
      <c r="W172" s="7">
        <f>IF(AND(V172&lt;&gt;"",NOT(EXACT(Raw_Bookings!K172,V172))),1,0)</f>
        <v>0</v>
      </c>
      <c r="X172" s="7">
        <f>IF(V172="",1,0)</f>
        <v>0</v>
      </c>
      <c r="Y172" s="7">
        <f>IF(TRIM(Raw_Bookings!L172&amp;"")="",1,0)</f>
        <v>0</v>
      </c>
      <c r="Z172" s="7">
        <f>IF(AND(ISTEXT(Raw_Bookings!L172),Y172=0),1,0)</f>
        <v>0</v>
      </c>
      <c r="AA172" s="7">
        <f>IF(Z172=1,IFERROR(VALUE(SUBSTITUTE(SUBSTITUTE(SUBSTITUTE(SUBSTITUTE(SUBSTITUTE(UPPER(Raw_Bookings!L172),"RS.",""),"₹",""),",","")," ",""),"INR","")),""),"")</f>
        <v/>
      </c>
      <c r="AB172" s="7">
        <f>IF(AND(Z172=1,ISNUMBER(AA172)),1,0)</f>
        <v>0</v>
      </c>
      <c r="AC172" s="7">
        <f>IF(B172=1,0,IF(NOT(ISNUMBER(Raw_Bookings!J172)),1,IF(Raw_Bookings!J172&lt;&gt;COUNTIFS(Work_Passengers!$B$2:$B$1336,Raw_Bookings!A172,Work_Passengers!$C$2:$C$1336,0),1,0)))</f>
        <v>0</v>
      </c>
    </row>
    <row r="173" spans="1:29">
      <c r="A173" s="7">
        <f>Raw_Bookings!A173</f>
        <v>1057459</v>
      </c>
      <c r="B173" s="7">
        <f>IF(COUNTIF(Raw_Bookings!$A$2:A173,Raw_Bookings!A173)&gt;1,1,0)</f>
        <v>0</v>
      </c>
      <c r="C173" s="7" t="str">
        <f>Raw_Bookings!D173&amp;""</f>
        <v>2025-05-02</v>
      </c>
      <c r="D173" s="7" t="str">
        <f>IF(AND(LEN(C173)=10,MID(C173,5,1)="-",MID(C173,8,1)="-"),"ISO",IF(AND(LEN(C173)=10,MID(C173,3,1)="-",MID(C173,6,1)="-"),"DMY","OTHER"))</f>
        <v>ISO</v>
      </c>
      <c r="E173" s="7">
        <f>IF(D173="ISO",VALUE(LEFT(C173,4)),IF(D173="DMY",VALUE(RIGHT(C173,4)),0))</f>
        <v>2025</v>
      </c>
      <c r="F173" s="7">
        <f>IF(D173="ISO",VALUE(MID(C173,6,2)),IF(D173="DMY",VALUE(MID(C173,4,2)),0))</f>
        <v>5</v>
      </c>
      <c r="G173" s="7">
        <f>IF(D173="ISO",VALUE(RIGHT(C173,2)),IF(D173="DMY",VALUE(LEFT(C173,2)),0))</f>
        <v>2</v>
      </c>
      <c r="H173" s="7">
        <f>IF(AND(D173&lt;&gt;"OTHER",F173&gt;=1,F173&lt;=12,G173&gt;=1,G173&lt;=31),IF(AND(MONTH(DATE(E173,F173,G173))=F173,DAY(DATE(E173,F173,G173))=G173),1,0),0)</f>
        <v>1</v>
      </c>
      <c r="I173" s="7">
        <f>IF(H173=1,DATE(E173,F173,G173),"")</f>
        <v>45779.0</v>
      </c>
      <c r="J173" s="7">
        <f>IF(AND(D173="DMY",H173=1),1,0)</f>
        <v>0</v>
      </c>
      <c r="K173" s="7">
        <f>IF(H173=0,1,0)</f>
        <v>0</v>
      </c>
      <c r="L173" s="7">
        <f>IF(TRIM(Raw_Bookings!I173&amp;"")="",1,0)</f>
        <v>0</v>
      </c>
      <c r="M173" s="7">
        <f>IF(L173=1,"",DATEVALUE(LEFT(Raw_Bookings!I173,10))+TIMEVALUE(MID(Raw_Bookings!I173,12,8)))</f>
        <v>45728.47116898148</v>
      </c>
      <c r="N173" s="7">
        <f>IF(AND(L173=0,H173=1),IF(INT(M173)&gt;I173,1,0),0)</f>
        <v>0</v>
      </c>
      <c r="O173" s="7" t="str">
        <f>UPPER(TRIM(Raw_Bookings!F173))</f>
        <v>JOD</v>
      </c>
      <c r="P173" s="7" t="str">
        <f>UPPER(TRIM(Raw_Bookings!G173))</f>
        <v>BEN</v>
      </c>
      <c r="Q173" s="7">
        <f>IF(COUNTIF(Lookup_Stations!$A$2:$A$33,O173)&gt;0,1,0)</f>
        <v>1</v>
      </c>
      <c r="R173" s="7">
        <f>IF(COUNTIF(Lookup_Stations!$A$2:$A$33,P173)&gt;0,1,0)</f>
        <v>1</v>
      </c>
      <c r="S173" s="7">
        <f>IF(OR(AND(Q173=1,NOT(EXACT(Raw_Bookings!F173,O173))),AND(R173=1,NOT(EXACT(Raw_Bookings!G173,P173)))),1,0)</f>
        <v>0</v>
      </c>
      <c r="T173" s="7">
        <f>IF(OR(Q173=0,R173=0),1,0)</f>
        <v>0</v>
      </c>
      <c r="U173" s="7">
        <f>IF(TRIM(Raw_Bookings!E173&amp;"")="",1,0)</f>
        <v>0</v>
      </c>
      <c r="V173" s="7" t="str">
        <f>IF(SUMPRODUCT(--(Lookup_Status!$A$2:$A$13=LOWER(TRIM(Raw_Bookings!K173))))=0,"",INDEX(Lookup_Status!$B$2:$B$13,SUMPRODUCT((Lookup_Status!$A$2:$A$13=LOWER(TRIM(Raw_Bookings!K173)))*(ROW(Lookup_Status!$A$2:$A$13)-1))))</f>
        <v>Confirmed</v>
      </c>
      <c r="W173" s="7">
        <f>IF(AND(V173&lt;&gt;"",NOT(EXACT(Raw_Bookings!K173,V173))),1,0)</f>
        <v>0</v>
      </c>
      <c r="X173" s="7">
        <f>IF(V173="",1,0)</f>
        <v>0</v>
      </c>
      <c r="Y173" s="7">
        <f>IF(TRIM(Raw_Bookings!L173&amp;"")="",1,0)</f>
        <v>0</v>
      </c>
      <c r="Z173" s="7">
        <f>IF(AND(ISTEXT(Raw_Bookings!L173),Y173=0),1,0)</f>
        <v>0</v>
      </c>
      <c r="AA173" s="7">
        <f>IF(Z173=1,IFERROR(VALUE(SUBSTITUTE(SUBSTITUTE(SUBSTITUTE(SUBSTITUTE(SUBSTITUTE(UPPER(Raw_Bookings!L173),"RS.",""),"₹",""),",","")," ",""),"INR","")),""),"")</f>
        <v/>
      </c>
      <c r="AB173" s="7">
        <f>IF(AND(Z173=1,ISNUMBER(AA173)),1,0)</f>
        <v>0</v>
      </c>
      <c r="AC173" s="7">
        <f>IF(B173=1,0,IF(NOT(ISNUMBER(Raw_Bookings!J173)),1,IF(Raw_Bookings!J173&lt;&gt;COUNTIFS(Work_Passengers!$B$2:$B$1336,Raw_Bookings!A173,Work_Passengers!$C$2:$C$1336,0),1,0)))</f>
        <v>0</v>
      </c>
    </row>
    <row r="174" spans="1:29">
      <c r="A174" s="7">
        <f>Raw_Bookings!A174</f>
        <v>1057808</v>
      </c>
      <c r="B174" s="7">
        <f>IF(COUNTIF(Raw_Bookings!$A$2:A174,Raw_Bookings!A174)&gt;1,1,0)</f>
        <v>0</v>
      </c>
      <c r="C174" s="7" t="str">
        <f>Raw_Bookings!D174&amp;""</f>
        <v>2025-06-21</v>
      </c>
      <c r="D174" s="7" t="str">
        <f>IF(AND(LEN(C174)=10,MID(C174,5,1)="-",MID(C174,8,1)="-"),"ISO",IF(AND(LEN(C174)=10,MID(C174,3,1)="-",MID(C174,6,1)="-"),"DMY","OTHER"))</f>
        <v>ISO</v>
      </c>
      <c r="E174" s="7">
        <f>IF(D174="ISO",VALUE(LEFT(C174,4)),IF(D174="DMY",VALUE(RIGHT(C174,4)),0))</f>
        <v>2025</v>
      </c>
      <c r="F174" s="7">
        <f>IF(D174="ISO",VALUE(MID(C174,6,2)),IF(D174="DMY",VALUE(MID(C174,4,2)),0))</f>
        <v>6</v>
      </c>
      <c r="G174" s="7">
        <f>IF(D174="ISO",VALUE(RIGHT(C174,2)),IF(D174="DMY",VALUE(LEFT(C174,2)),0))</f>
        <v>21</v>
      </c>
      <c r="H174" s="7">
        <f>IF(AND(D174&lt;&gt;"OTHER",F174&gt;=1,F174&lt;=12,G174&gt;=1,G174&lt;=31),IF(AND(MONTH(DATE(E174,F174,G174))=F174,DAY(DATE(E174,F174,G174))=G174),1,0),0)</f>
        <v>1</v>
      </c>
      <c r="I174" s="7">
        <f>IF(H174=1,DATE(E174,F174,G174),"")</f>
        <v>45829.0</v>
      </c>
      <c r="J174" s="7">
        <f>IF(AND(D174="DMY",H174=1),1,0)</f>
        <v>0</v>
      </c>
      <c r="K174" s="7">
        <f>IF(H174=0,1,0)</f>
        <v>0</v>
      </c>
      <c r="L174" s="7">
        <f>IF(TRIM(Raw_Bookings!I174&amp;"")="",1,0)</f>
        <v>0</v>
      </c>
      <c r="M174" s="7">
        <f>IF(L174=1,"",DATEVALUE(LEFT(Raw_Bookings!I174,10))+TIMEVALUE(MID(Raw_Bookings!I174,12,8)))</f>
        <v>45729.718136574076</v>
      </c>
      <c r="N174" s="7">
        <f>IF(AND(L174=0,H174=1),IF(INT(M174)&gt;I174,1,0),0)</f>
        <v>0</v>
      </c>
      <c r="O174" s="7" t="str">
        <f>UPPER(TRIM(Raw_Bookings!F174))</f>
        <v>AHM</v>
      </c>
      <c r="P174" s="7" t="str">
        <f>UPPER(TRIM(Raw_Bookings!G174))</f>
        <v>VAR</v>
      </c>
      <c r="Q174" s="7">
        <f>IF(COUNTIF(Lookup_Stations!$A$2:$A$33,O174)&gt;0,1,0)</f>
        <v>1</v>
      </c>
      <c r="R174" s="7">
        <f>IF(COUNTIF(Lookup_Stations!$A$2:$A$33,P174)&gt;0,1,0)</f>
        <v>1</v>
      </c>
      <c r="S174" s="7">
        <f>IF(OR(AND(Q174=1,NOT(EXACT(Raw_Bookings!F174,O174))),AND(R174=1,NOT(EXACT(Raw_Bookings!G174,P174)))),1,0)</f>
        <v>0</v>
      </c>
      <c r="T174" s="7">
        <f>IF(OR(Q174=0,R174=0),1,0)</f>
        <v>0</v>
      </c>
      <c r="U174" s="7">
        <f>IF(TRIM(Raw_Bookings!E174&amp;"")="",1,0)</f>
        <v>0</v>
      </c>
      <c r="V174" s="7" t="str">
        <f>IF(SUMPRODUCT(--(Lookup_Status!$A$2:$A$13=LOWER(TRIM(Raw_Bookings!K174))))=0,"",INDEX(Lookup_Status!$B$2:$B$13,SUMPRODUCT((Lookup_Status!$A$2:$A$13=LOWER(TRIM(Raw_Bookings!K174)))*(ROW(Lookup_Status!$A$2:$A$13)-1))))</f>
        <v>Confirmed</v>
      </c>
      <c r="W174" s="7">
        <f>IF(AND(V174&lt;&gt;"",NOT(EXACT(Raw_Bookings!K174,V174))),1,0)</f>
        <v>0</v>
      </c>
      <c r="X174" s="7">
        <f>IF(V174="",1,0)</f>
        <v>0</v>
      </c>
      <c r="Y174" s="7">
        <f>IF(TRIM(Raw_Bookings!L174&amp;"")="",1,0)</f>
        <v>0</v>
      </c>
      <c r="Z174" s="7">
        <f>IF(AND(ISTEXT(Raw_Bookings!L174),Y174=0),1,0)</f>
        <v>0</v>
      </c>
      <c r="AA174" s="7">
        <f>IF(Z174=1,IFERROR(VALUE(SUBSTITUTE(SUBSTITUTE(SUBSTITUTE(SUBSTITUTE(SUBSTITUTE(UPPER(Raw_Bookings!L174),"RS.",""),"₹",""),",","")," ",""),"INR","")),""),"")</f>
        <v/>
      </c>
      <c r="AB174" s="7">
        <f>IF(AND(Z174=1,ISNUMBER(AA174)),1,0)</f>
        <v>0</v>
      </c>
      <c r="AC174" s="7">
        <f>IF(B174=1,0,IF(NOT(ISNUMBER(Raw_Bookings!J174)),1,IF(Raw_Bookings!J174&lt;&gt;COUNTIFS(Work_Passengers!$B$2:$B$1336,Raw_Bookings!A174,Work_Passengers!$C$2:$C$1336,0),1,0)))</f>
        <v>0</v>
      </c>
    </row>
    <row r="175" spans="1:29">
      <c r="A175" s="7">
        <f>Raw_Bookings!A175</f>
        <v>1058027</v>
      </c>
      <c r="B175" s="7">
        <f>IF(COUNTIF(Raw_Bookings!$A$2:A175,Raw_Bookings!A175)&gt;1,1,0)</f>
        <v>0</v>
      </c>
      <c r="C175" s="7" t="str">
        <f>Raw_Bookings!D175&amp;""</f>
        <v>2025-04-20</v>
      </c>
      <c r="D175" s="7" t="str">
        <f>IF(AND(LEN(C175)=10,MID(C175,5,1)="-",MID(C175,8,1)="-"),"ISO",IF(AND(LEN(C175)=10,MID(C175,3,1)="-",MID(C175,6,1)="-"),"DMY","OTHER"))</f>
        <v>ISO</v>
      </c>
      <c r="E175" s="7">
        <f>IF(D175="ISO",VALUE(LEFT(C175,4)),IF(D175="DMY",VALUE(RIGHT(C175,4)),0))</f>
        <v>2025</v>
      </c>
      <c r="F175" s="7">
        <f>IF(D175="ISO",VALUE(MID(C175,6,2)),IF(D175="DMY",VALUE(MID(C175,4,2)),0))</f>
        <v>4</v>
      </c>
      <c r="G175" s="7">
        <f>IF(D175="ISO",VALUE(RIGHT(C175,2)),IF(D175="DMY",VALUE(LEFT(C175,2)),0))</f>
        <v>20</v>
      </c>
      <c r="H175" s="7">
        <f>IF(AND(D175&lt;&gt;"OTHER",F175&gt;=1,F175&lt;=12,G175&gt;=1,G175&lt;=31),IF(AND(MONTH(DATE(E175,F175,G175))=F175,DAY(DATE(E175,F175,G175))=G175),1,0),0)</f>
        <v>1</v>
      </c>
      <c r="I175" s="7">
        <f>IF(H175=1,DATE(E175,F175,G175),"")</f>
        <v>45767.0</v>
      </c>
      <c r="J175" s="7">
        <f>IF(AND(D175="DMY",H175=1),1,0)</f>
        <v>0</v>
      </c>
      <c r="K175" s="7">
        <f>IF(H175=0,1,0)</f>
        <v>0</v>
      </c>
      <c r="L175" s="7">
        <f>IF(TRIM(Raw_Bookings!I175&amp;"")="",1,0)</f>
        <v>0</v>
      </c>
      <c r="M175" s="7">
        <f>IF(L175=1,"",DATEVALUE(LEFT(Raw_Bookings!I175,10))+TIMEVALUE(MID(Raw_Bookings!I175,12,8)))</f>
        <v>45730.611909722225</v>
      </c>
      <c r="N175" s="7">
        <f>IF(AND(L175=0,H175=1),IF(INT(M175)&gt;I175,1,0),0)</f>
        <v>0</v>
      </c>
      <c r="O175" s="7" t="str">
        <f>UPPER(TRIM(Raw_Bookings!F175))</f>
        <v>MUM</v>
      </c>
      <c r="P175" s="7" t="str">
        <f>UPPER(TRIM(Raw_Bookings!G175))</f>
        <v>BEN</v>
      </c>
      <c r="Q175" s="7">
        <f>IF(COUNTIF(Lookup_Stations!$A$2:$A$33,O175)&gt;0,1,0)</f>
        <v>1</v>
      </c>
      <c r="R175" s="7">
        <f>IF(COUNTIF(Lookup_Stations!$A$2:$A$33,P175)&gt;0,1,0)</f>
        <v>1</v>
      </c>
      <c r="S175" s="7">
        <f>IF(OR(AND(Q175=1,NOT(EXACT(Raw_Bookings!F175,O175))),AND(R175=1,NOT(EXACT(Raw_Bookings!G175,P175)))),1,0)</f>
        <v>0</v>
      </c>
      <c r="T175" s="7">
        <f>IF(OR(Q175=0,R175=0),1,0)</f>
        <v>0</v>
      </c>
      <c r="U175" s="7">
        <f>IF(TRIM(Raw_Bookings!E175&amp;"")="",1,0)</f>
        <v>0</v>
      </c>
      <c r="V175" s="7" t="str">
        <f>IF(SUMPRODUCT(--(Lookup_Status!$A$2:$A$13=LOWER(TRIM(Raw_Bookings!K175))))=0,"",INDEX(Lookup_Status!$B$2:$B$13,SUMPRODUCT((Lookup_Status!$A$2:$A$13=LOWER(TRIM(Raw_Bookings!K175)))*(ROW(Lookup_Status!$A$2:$A$13)-1))))</f>
        <v>Cancelled</v>
      </c>
      <c r="W175" s="7">
        <f>IF(AND(V175&lt;&gt;"",NOT(EXACT(Raw_Bookings!K175,V175))),1,0)</f>
        <v>0</v>
      </c>
      <c r="X175" s="7">
        <f>IF(V175="",1,0)</f>
        <v>0</v>
      </c>
      <c r="Y175" s="7">
        <f>IF(TRIM(Raw_Bookings!L175&amp;"")="",1,0)</f>
        <v>0</v>
      </c>
      <c r="Z175" s="7">
        <f>IF(AND(ISTEXT(Raw_Bookings!L175),Y175=0),1,0)</f>
        <v>0</v>
      </c>
      <c r="AA175" s="7">
        <f>IF(Z175=1,IFERROR(VALUE(SUBSTITUTE(SUBSTITUTE(SUBSTITUTE(SUBSTITUTE(SUBSTITUTE(UPPER(Raw_Bookings!L175),"RS.",""),"₹",""),",","")," ",""),"INR","")),""),"")</f>
        <v/>
      </c>
      <c r="AB175" s="7">
        <f>IF(AND(Z175=1,ISNUMBER(AA175)),1,0)</f>
        <v>0</v>
      </c>
      <c r="AC175" s="7">
        <f>IF(B175=1,0,IF(NOT(ISNUMBER(Raw_Bookings!J175)),1,IF(Raw_Bookings!J175&lt;&gt;COUNTIFS(Work_Passengers!$B$2:$B$1336,Raw_Bookings!A175,Work_Passengers!$C$2:$C$1336,0),1,0)))</f>
        <v>0</v>
      </c>
    </row>
    <row r="176" spans="1:29">
      <c r="A176" s="7">
        <f>Raw_Bookings!A176</f>
        <v>1058296</v>
      </c>
      <c r="B176" s="7">
        <f>IF(COUNTIF(Raw_Bookings!$A$2:A176,Raw_Bookings!A176)&gt;1,1,0)</f>
        <v>0</v>
      </c>
      <c r="C176" s="7" t="str">
        <f>Raw_Bookings!D176&amp;""</f>
        <v>2025-05-05</v>
      </c>
      <c r="D176" s="7" t="str">
        <f>IF(AND(LEN(C176)=10,MID(C176,5,1)="-",MID(C176,8,1)="-"),"ISO",IF(AND(LEN(C176)=10,MID(C176,3,1)="-",MID(C176,6,1)="-"),"DMY","OTHER"))</f>
        <v>ISO</v>
      </c>
      <c r="E176" s="7">
        <f>IF(D176="ISO",VALUE(LEFT(C176,4)),IF(D176="DMY",VALUE(RIGHT(C176,4)),0))</f>
        <v>2025</v>
      </c>
      <c r="F176" s="7">
        <f>IF(D176="ISO",VALUE(MID(C176,6,2)),IF(D176="DMY",VALUE(MID(C176,4,2)),0))</f>
        <v>5</v>
      </c>
      <c r="G176" s="7">
        <f>IF(D176="ISO",VALUE(RIGHT(C176,2)),IF(D176="DMY",VALUE(LEFT(C176,2)),0))</f>
        <v>5</v>
      </c>
      <c r="H176" s="7">
        <f>IF(AND(D176&lt;&gt;"OTHER",F176&gt;=1,F176&lt;=12,G176&gt;=1,G176&lt;=31),IF(AND(MONTH(DATE(E176,F176,G176))=F176,DAY(DATE(E176,F176,G176))=G176),1,0),0)</f>
        <v>1</v>
      </c>
      <c r="I176" s="7">
        <f>IF(H176=1,DATE(E176,F176,G176),"")</f>
        <v>45782.0</v>
      </c>
      <c r="J176" s="7">
        <f>IF(AND(D176="DMY",H176=1),1,0)</f>
        <v>0</v>
      </c>
      <c r="K176" s="7">
        <f>IF(H176=0,1,0)</f>
        <v>0</v>
      </c>
      <c r="L176" s="7">
        <f>IF(TRIM(Raw_Bookings!I176&amp;"")="",1,0)</f>
        <v>0</v>
      </c>
      <c r="M176" s="7">
        <f>IF(L176=1,"",DATEVALUE(LEFT(Raw_Bookings!I176,10))+TIMEVALUE(MID(Raw_Bookings!I176,12,8)))</f>
        <v>45731.56951388889</v>
      </c>
      <c r="N176" s="7">
        <f>IF(AND(L176=0,H176=1),IF(INT(M176)&gt;I176,1,0),0)</f>
        <v>0</v>
      </c>
      <c r="O176" s="7" t="str">
        <f>UPPER(TRIM(Raw_Bookings!F176))</f>
        <v>KOL</v>
      </c>
      <c r="P176" s="7" t="str">
        <f>UPPER(TRIM(Raw_Bookings!G176))</f>
        <v>HYD</v>
      </c>
      <c r="Q176" s="7">
        <f>IF(COUNTIF(Lookup_Stations!$A$2:$A$33,O176)&gt;0,1,0)</f>
        <v>1</v>
      </c>
      <c r="R176" s="7">
        <f>IF(COUNTIF(Lookup_Stations!$A$2:$A$33,P176)&gt;0,1,0)</f>
        <v>1</v>
      </c>
      <c r="S176" s="7">
        <f>IF(OR(AND(Q176=1,NOT(EXACT(Raw_Bookings!F176,O176))),AND(R176=1,NOT(EXACT(Raw_Bookings!G176,P176)))),1,0)</f>
        <v>0</v>
      </c>
      <c r="T176" s="7">
        <f>IF(OR(Q176=0,R176=0),1,0)</f>
        <v>0</v>
      </c>
      <c r="U176" s="7">
        <f>IF(TRIM(Raw_Bookings!E176&amp;"")="",1,0)</f>
        <v>0</v>
      </c>
      <c r="V176" s="7" t="str">
        <f>IF(SUMPRODUCT(--(Lookup_Status!$A$2:$A$13=LOWER(TRIM(Raw_Bookings!K176))))=0,"",INDEX(Lookup_Status!$B$2:$B$13,SUMPRODUCT((Lookup_Status!$A$2:$A$13=LOWER(TRIM(Raw_Bookings!K176)))*(ROW(Lookup_Status!$A$2:$A$13)-1))))</f>
        <v>Confirmed</v>
      </c>
      <c r="W176" s="7">
        <f>IF(AND(V176&lt;&gt;"",NOT(EXACT(Raw_Bookings!K176,V176))),1,0)</f>
        <v>0</v>
      </c>
      <c r="X176" s="7">
        <f>IF(V176="",1,0)</f>
        <v>0</v>
      </c>
      <c r="Y176" s="7">
        <f>IF(TRIM(Raw_Bookings!L176&amp;"")="",1,0)</f>
        <v>0</v>
      </c>
      <c r="Z176" s="7">
        <f>IF(AND(ISTEXT(Raw_Bookings!L176),Y176=0),1,0)</f>
        <v>0</v>
      </c>
      <c r="AA176" s="7">
        <f>IF(Z176=1,IFERROR(VALUE(SUBSTITUTE(SUBSTITUTE(SUBSTITUTE(SUBSTITUTE(SUBSTITUTE(UPPER(Raw_Bookings!L176),"RS.",""),"₹",""),",","")," ",""),"INR","")),""),"")</f>
        <v/>
      </c>
      <c r="AB176" s="7">
        <f>IF(AND(Z176=1,ISNUMBER(AA176)),1,0)</f>
        <v>0</v>
      </c>
      <c r="AC176" s="7">
        <f>IF(B176=1,0,IF(NOT(ISNUMBER(Raw_Bookings!J176)),1,IF(Raw_Bookings!J176&lt;&gt;COUNTIFS(Work_Passengers!$B$2:$B$1336,Raw_Bookings!A176,Work_Passengers!$C$2:$C$1336,0),1,0)))</f>
        <v>0</v>
      </c>
    </row>
    <row r="177" spans="1:29">
      <c r="A177" s="7">
        <f>Raw_Bookings!A177</f>
        <v>1058903</v>
      </c>
      <c r="B177" s="7">
        <f>IF(COUNTIF(Raw_Bookings!$A$2:A177,Raw_Bookings!A177)&gt;1,1,0)</f>
        <v>0</v>
      </c>
      <c r="C177" s="7" t="str">
        <f>Raw_Bookings!D177&amp;""</f>
        <v>2025-04-13</v>
      </c>
      <c r="D177" s="7" t="str">
        <f>IF(AND(LEN(C177)=10,MID(C177,5,1)="-",MID(C177,8,1)="-"),"ISO",IF(AND(LEN(C177)=10,MID(C177,3,1)="-",MID(C177,6,1)="-"),"DMY","OTHER"))</f>
        <v>ISO</v>
      </c>
      <c r="E177" s="7">
        <f>IF(D177="ISO",VALUE(LEFT(C177,4)),IF(D177="DMY",VALUE(RIGHT(C177,4)),0))</f>
        <v>2025</v>
      </c>
      <c r="F177" s="7">
        <f>IF(D177="ISO",VALUE(MID(C177,6,2)),IF(D177="DMY",VALUE(MID(C177,4,2)),0))</f>
        <v>4</v>
      </c>
      <c r="G177" s="7">
        <f>IF(D177="ISO",VALUE(RIGHT(C177,2)),IF(D177="DMY",VALUE(LEFT(C177,2)),0))</f>
        <v>13</v>
      </c>
      <c r="H177" s="7">
        <f>IF(AND(D177&lt;&gt;"OTHER",F177&gt;=1,F177&lt;=12,G177&gt;=1,G177&lt;=31),IF(AND(MONTH(DATE(E177,F177,G177))=F177,DAY(DATE(E177,F177,G177))=G177),1,0),0)</f>
        <v>1</v>
      </c>
      <c r="I177" s="7">
        <f>IF(H177=1,DATE(E177,F177,G177),"")</f>
        <v>45760.0</v>
      </c>
      <c r="J177" s="7">
        <f>IF(AND(D177="DMY",H177=1),1,0)</f>
        <v>0</v>
      </c>
      <c r="K177" s="7">
        <f>IF(H177=0,1,0)</f>
        <v>0</v>
      </c>
      <c r="L177" s="7">
        <f>IF(TRIM(Raw_Bookings!I177&amp;"")="",1,0)</f>
        <v>0</v>
      </c>
      <c r="M177" s="7">
        <f>IF(L177=1,"",DATEVALUE(LEFT(Raw_Bookings!I177,10))+TIMEVALUE(MID(Raw_Bookings!I177,12,8)))</f>
        <v>45733.638391203705</v>
      </c>
      <c r="N177" s="7">
        <f>IF(AND(L177=0,H177=1),IF(INT(M177)&gt;I177,1,0),0)</f>
        <v>0</v>
      </c>
      <c r="O177" s="7" t="str">
        <f>UPPER(TRIM(Raw_Bookings!F177))</f>
        <v>MUM</v>
      </c>
      <c r="P177" s="7" t="str">
        <f>UPPER(TRIM(Raw_Bookings!G177))</f>
        <v>LUC</v>
      </c>
      <c r="Q177" s="7">
        <f>IF(COUNTIF(Lookup_Stations!$A$2:$A$33,O177)&gt;0,1,0)</f>
        <v>1</v>
      </c>
      <c r="R177" s="7">
        <f>IF(COUNTIF(Lookup_Stations!$A$2:$A$33,P177)&gt;0,1,0)</f>
        <v>1</v>
      </c>
      <c r="S177" s="7">
        <f>IF(OR(AND(Q177=1,NOT(EXACT(Raw_Bookings!F177,O177))),AND(R177=1,NOT(EXACT(Raw_Bookings!G177,P177)))),1,0)</f>
        <v>0</v>
      </c>
      <c r="T177" s="7">
        <f>IF(OR(Q177=0,R177=0),1,0)</f>
        <v>0</v>
      </c>
      <c r="U177" s="7">
        <f>IF(TRIM(Raw_Bookings!E177&amp;"")="",1,0)</f>
        <v>0</v>
      </c>
      <c r="V177" s="7" t="str">
        <f>IF(SUMPRODUCT(--(Lookup_Status!$A$2:$A$13=LOWER(TRIM(Raw_Bookings!K177))))=0,"",INDEX(Lookup_Status!$B$2:$B$13,SUMPRODUCT((Lookup_Status!$A$2:$A$13=LOWER(TRIM(Raw_Bookings!K177)))*(ROW(Lookup_Status!$A$2:$A$13)-1))))</f>
        <v>Confirmed</v>
      </c>
      <c r="W177" s="7">
        <f>IF(AND(V177&lt;&gt;"",NOT(EXACT(Raw_Bookings!K177,V177))),1,0)</f>
        <v>0</v>
      </c>
      <c r="X177" s="7">
        <f>IF(V177="",1,0)</f>
        <v>0</v>
      </c>
      <c r="Y177" s="7">
        <f>IF(TRIM(Raw_Bookings!L177&amp;"")="",1,0)</f>
        <v>0</v>
      </c>
      <c r="Z177" s="7">
        <f>IF(AND(ISTEXT(Raw_Bookings!L177),Y177=0),1,0)</f>
        <v>0</v>
      </c>
      <c r="AA177" s="7">
        <f>IF(Z177=1,IFERROR(VALUE(SUBSTITUTE(SUBSTITUTE(SUBSTITUTE(SUBSTITUTE(SUBSTITUTE(UPPER(Raw_Bookings!L177),"RS.",""),"₹",""),",","")," ",""),"INR","")),""),"")</f>
        <v/>
      </c>
      <c r="AB177" s="7">
        <f>IF(AND(Z177=1,ISNUMBER(AA177)),1,0)</f>
        <v>0</v>
      </c>
      <c r="AC177" s="7">
        <f>IF(B177=1,0,IF(NOT(ISNUMBER(Raw_Bookings!J177)),1,IF(Raw_Bookings!J177&lt;&gt;COUNTIFS(Work_Passengers!$B$2:$B$1336,Raw_Bookings!A177,Work_Passengers!$C$2:$C$1336,0),1,0)))</f>
        <v>0</v>
      </c>
    </row>
    <row r="178" spans="1:29">
      <c r="A178" s="7">
        <f>Raw_Bookings!A178</f>
        <v>1059208</v>
      </c>
      <c r="B178" s="7">
        <f>IF(COUNTIF(Raw_Bookings!$A$2:A178,Raw_Bookings!A178)&gt;1,1,0)</f>
        <v>0</v>
      </c>
      <c r="C178" s="7" t="str">
        <f>Raw_Bookings!D178&amp;""</f>
        <v>2025-04-16</v>
      </c>
      <c r="D178" s="7" t="str">
        <f>IF(AND(LEN(C178)=10,MID(C178,5,1)="-",MID(C178,8,1)="-"),"ISO",IF(AND(LEN(C178)=10,MID(C178,3,1)="-",MID(C178,6,1)="-"),"DMY","OTHER"))</f>
        <v>ISO</v>
      </c>
      <c r="E178" s="7">
        <f>IF(D178="ISO",VALUE(LEFT(C178,4)),IF(D178="DMY",VALUE(RIGHT(C178,4)),0))</f>
        <v>2025</v>
      </c>
      <c r="F178" s="7">
        <f>IF(D178="ISO",VALUE(MID(C178,6,2)),IF(D178="DMY",VALUE(MID(C178,4,2)),0))</f>
        <v>4</v>
      </c>
      <c r="G178" s="7">
        <f>IF(D178="ISO",VALUE(RIGHT(C178,2)),IF(D178="DMY",VALUE(LEFT(C178,2)),0))</f>
        <v>16</v>
      </c>
      <c r="H178" s="7">
        <f>IF(AND(D178&lt;&gt;"OTHER",F178&gt;=1,F178&lt;=12,G178&gt;=1,G178&lt;=31),IF(AND(MONTH(DATE(E178,F178,G178))=F178,DAY(DATE(E178,F178,G178))=G178),1,0),0)</f>
        <v>1</v>
      </c>
      <c r="I178" s="7">
        <f>IF(H178=1,DATE(E178,F178,G178),"")</f>
        <v>45763.0</v>
      </c>
      <c r="J178" s="7">
        <f>IF(AND(D178="DMY",H178=1),1,0)</f>
        <v>0</v>
      </c>
      <c r="K178" s="7">
        <f>IF(H178=0,1,0)</f>
        <v>0</v>
      </c>
      <c r="L178" s="7">
        <f>IF(TRIM(Raw_Bookings!I178&amp;"")="",1,0)</f>
        <v>0</v>
      </c>
      <c r="M178" s="7">
        <f>IF(L178=1,"",DATEVALUE(LEFT(Raw_Bookings!I178,10))+TIMEVALUE(MID(Raw_Bookings!I178,12,8)))</f>
        <v>45734.56761574074</v>
      </c>
      <c r="N178" s="7">
        <f>IF(AND(L178=0,H178=1),IF(INT(M178)&gt;I178,1,0),0)</f>
        <v>0</v>
      </c>
      <c r="O178" s="7" t="str">
        <f>UPPER(TRIM(Raw_Bookings!F178))</f>
        <v>BEN</v>
      </c>
      <c r="P178" s="7" t="str">
        <f>UPPER(TRIM(Raw_Bookings!G178))</f>
        <v>MUM</v>
      </c>
      <c r="Q178" s="7">
        <f>IF(COUNTIF(Lookup_Stations!$A$2:$A$33,O178)&gt;0,1,0)</f>
        <v>1</v>
      </c>
      <c r="R178" s="7">
        <f>IF(COUNTIF(Lookup_Stations!$A$2:$A$33,P178)&gt;0,1,0)</f>
        <v>1</v>
      </c>
      <c r="S178" s="7">
        <f>IF(OR(AND(Q178=1,NOT(EXACT(Raw_Bookings!F178,O178))),AND(R178=1,NOT(EXACT(Raw_Bookings!G178,P178)))),1,0)</f>
        <v>0</v>
      </c>
      <c r="T178" s="7">
        <f>IF(OR(Q178=0,R178=0),1,0)</f>
        <v>0</v>
      </c>
      <c r="U178" s="7">
        <f>IF(TRIM(Raw_Bookings!E178&amp;"")="",1,0)</f>
        <v>0</v>
      </c>
      <c r="V178" s="7" t="str">
        <f>IF(SUMPRODUCT(--(Lookup_Status!$A$2:$A$13=LOWER(TRIM(Raw_Bookings!K178))))=0,"",INDEX(Lookup_Status!$B$2:$B$13,SUMPRODUCT((Lookup_Status!$A$2:$A$13=LOWER(TRIM(Raw_Bookings!K178)))*(ROW(Lookup_Status!$A$2:$A$13)-1))))</f>
        <v>Confirmed</v>
      </c>
      <c r="W178" s="7">
        <f>IF(AND(V178&lt;&gt;"",NOT(EXACT(Raw_Bookings!K178,V178))),1,0)</f>
        <v>0</v>
      </c>
      <c r="X178" s="7">
        <f>IF(V178="",1,0)</f>
        <v>0</v>
      </c>
      <c r="Y178" s="7">
        <f>IF(TRIM(Raw_Bookings!L178&amp;"")="",1,0)</f>
        <v>0</v>
      </c>
      <c r="Z178" s="7">
        <f>IF(AND(ISTEXT(Raw_Bookings!L178),Y178=0),1,0)</f>
        <v>0</v>
      </c>
      <c r="AA178" s="7">
        <f>IF(Z178=1,IFERROR(VALUE(SUBSTITUTE(SUBSTITUTE(SUBSTITUTE(SUBSTITUTE(SUBSTITUTE(UPPER(Raw_Bookings!L178),"RS.",""),"₹",""),",","")," ",""),"INR","")),""),"")</f>
        <v/>
      </c>
      <c r="AB178" s="7">
        <f>IF(AND(Z178=1,ISNUMBER(AA178)),1,0)</f>
        <v>0</v>
      </c>
      <c r="AC178" s="7">
        <f>IF(B178=1,0,IF(NOT(ISNUMBER(Raw_Bookings!J178)),1,IF(Raw_Bookings!J178&lt;&gt;COUNTIFS(Work_Passengers!$B$2:$B$1336,Raw_Bookings!A178,Work_Passengers!$C$2:$C$1336,0),1,0)))</f>
        <v>0</v>
      </c>
    </row>
    <row r="179" spans="1:29">
      <c r="A179" s="7">
        <f>Raw_Bookings!A179</f>
        <v>1059369</v>
      </c>
      <c r="B179" s="7">
        <f>IF(COUNTIF(Raw_Bookings!$A$2:A179,Raw_Bookings!A179)&gt;1,1,0)</f>
        <v>0</v>
      </c>
      <c r="C179" s="7" t="str">
        <f>Raw_Bookings!D179&amp;""</f>
        <v>2025-06-13</v>
      </c>
      <c r="D179" s="7" t="str">
        <f>IF(AND(LEN(C179)=10,MID(C179,5,1)="-",MID(C179,8,1)="-"),"ISO",IF(AND(LEN(C179)=10,MID(C179,3,1)="-",MID(C179,6,1)="-"),"DMY","OTHER"))</f>
        <v>ISO</v>
      </c>
      <c r="E179" s="7">
        <f>IF(D179="ISO",VALUE(LEFT(C179,4)),IF(D179="DMY",VALUE(RIGHT(C179,4)),0))</f>
        <v>2025</v>
      </c>
      <c r="F179" s="7">
        <f>IF(D179="ISO",VALUE(MID(C179,6,2)),IF(D179="DMY",VALUE(MID(C179,4,2)),0))</f>
        <v>6</v>
      </c>
      <c r="G179" s="7">
        <f>IF(D179="ISO",VALUE(RIGHT(C179,2)),IF(D179="DMY",VALUE(LEFT(C179,2)),0))</f>
        <v>13</v>
      </c>
      <c r="H179" s="7">
        <f>IF(AND(D179&lt;&gt;"OTHER",F179&gt;=1,F179&lt;=12,G179&gt;=1,G179&lt;=31),IF(AND(MONTH(DATE(E179,F179,G179))=F179,DAY(DATE(E179,F179,G179))=G179),1,0),0)</f>
        <v>1</v>
      </c>
      <c r="I179" s="7">
        <f>IF(H179=1,DATE(E179,F179,G179),"")</f>
        <v>45821.0</v>
      </c>
      <c r="J179" s="7">
        <f>IF(AND(D179="DMY",H179=1),1,0)</f>
        <v>0</v>
      </c>
      <c r="K179" s="7">
        <f>IF(H179=0,1,0)</f>
        <v>0</v>
      </c>
      <c r="L179" s="7">
        <f>IF(TRIM(Raw_Bookings!I179&amp;"")="",1,0)</f>
        <v>0</v>
      </c>
      <c r="M179" s="7">
        <f>IF(L179=1,"",DATEVALUE(LEFT(Raw_Bookings!I179,10))+TIMEVALUE(MID(Raw_Bookings!I179,12,8)))</f>
        <v>45826.333333333336</v>
      </c>
      <c r="N179" s="7">
        <f>IF(AND(L179=0,H179=1),IF(INT(M179)&gt;I179,1,0),0)</f>
        <v>1</v>
      </c>
      <c r="O179" s="7" t="str">
        <f>UPPER(TRIM(Raw_Bookings!F179))</f>
        <v>CHE</v>
      </c>
      <c r="P179" s="7" t="str">
        <f>UPPER(TRIM(Raw_Bookings!G179))</f>
        <v>AHM</v>
      </c>
      <c r="Q179" s="7">
        <f>IF(COUNTIF(Lookup_Stations!$A$2:$A$33,O179)&gt;0,1,0)</f>
        <v>1</v>
      </c>
      <c r="R179" s="7">
        <f>IF(COUNTIF(Lookup_Stations!$A$2:$A$33,P179)&gt;0,1,0)</f>
        <v>1</v>
      </c>
      <c r="S179" s="7">
        <f>IF(OR(AND(Q179=1,NOT(EXACT(Raw_Bookings!F179,O179))),AND(R179=1,NOT(EXACT(Raw_Bookings!G179,P179)))),1,0)</f>
        <v>0</v>
      </c>
      <c r="T179" s="7">
        <f>IF(OR(Q179=0,R179=0),1,0)</f>
        <v>0</v>
      </c>
      <c r="U179" s="7">
        <f>IF(TRIM(Raw_Bookings!E179&amp;"")="",1,0)</f>
        <v>0</v>
      </c>
      <c r="V179" s="7" t="str">
        <f>IF(SUMPRODUCT(--(Lookup_Status!$A$2:$A$13=LOWER(TRIM(Raw_Bookings!K179))))=0,"",INDEX(Lookup_Status!$B$2:$B$13,SUMPRODUCT((Lookup_Status!$A$2:$A$13=LOWER(TRIM(Raw_Bookings!K179)))*(ROW(Lookup_Status!$A$2:$A$13)-1))))</f>
        <v>Confirmed</v>
      </c>
      <c r="W179" s="7">
        <f>IF(AND(V179&lt;&gt;"",NOT(EXACT(Raw_Bookings!K179,V179))),1,0)</f>
        <v>0</v>
      </c>
      <c r="X179" s="7">
        <f>IF(V179="",1,0)</f>
        <v>0</v>
      </c>
      <c r="Y179" s="7">
        <f>IF(TRIM(Raw_Bookings!L179&amp;"")="",1,0)</f>
        <v>0</v>
      </c>
      <c r="Z179" s="7">
        <f>IF(AND(ISTEXT(Raw_Bookings!L179),Y179=0),1,0)</f>
        <v>0</v>
      </c>
      <c r="AA179" s="7">
        <f>IF(Z179=1,IFERROR(VALUE(SUBSTITUTE(SUBSTITUTE(SUBSTITUTE(SUBSTITUTE(SUBSTITUTE(UPPER(Raw_Bookings!L179),"RS.",""),"₹",""),",","")," ",""),"INR","")),""),"")</f>
        <v/>
      </c>
      <c r="AB179" s="7">
        <f>IF(AND(Z179=1,ISNUMBER(AA179)),1,0)</f>
        <v>0</v>
      </c>
      <c r="AC179" s="7">
        <f>IF(B179=1,0,IF(NOT(ISNUMBER(Raw_Bookings!J179)),1,IF(Raw_Bookings!J179&lt;&gt;COUNTIFS(Work_Passengers!$B$2:$B$1336,Raw_Bookings!A179,Work_Passengers!$C$2:$C$1336,0),1,0)))</f>
        <v>0</v>
      </c>
    </row>
    <row r="180" spans="1:29">
      <c r="A180" s="7">
        <f>Raw_Bookings!A180</f>
        <v>1059807</v>
      </c>
      <c r="B180" s="7">
        <f>IF(COUNTIF(Raw_Bookings!$A$2:A180,Raw_Bookings!A180)&gt;1,1,0)</f>
        <v>0</v>
      </c>
      <c r="C180" s="7" t="str">
        <f>Raw_Bookings!D180&amp;""</f>
        <v>2025-04-17</v>
      </c>
      <c r="D180" s="7" t="str">
        <f>IF(AND(LEN(C180)=10,MID(C180,5,1)="-",MID(C180,8,1)="-"),"ISO",IF(AND(LEN(C180)=10,MID(C180,3,1)="-",MID(C180,6,1)="-"),"DMY","OTHER"))</f>
        <v>ISO</v>
      </c>
      <c r="E180" s="7">
        <f>IF(D180="ISO",VALUE(LEFT(C180,4)),IF(D180="DMY",VALUE(RIGHT(C180,4)),0))</f>
        <v>2025</v>
      </c>
      <c r="F180" s="7">
        <f>IF(D180="ISO",VALUE(MID(C180,6,2)),IF(D180="DMY",VALUE(MID(C180,4,2)),0))</f>
        <v>4</v>
      </c>
      <c r="G180" s="7">
        <f>IF(D180="ISO",VALUE(RIGHT(C180,2)),IF(D180="DMY",VALUE(LEFT(C180,2)),0))</f>
        <v>17</v>
      </c>
      <c r="H180" s="7">
        <f>IF(AND(D180&lt;&gt;"OTHER",F180&gt;=1,F180&lt;=12,G180&gt;=1,G180&lt;=31),IF(AND(MONTH(DATE(E180,F180,G180))=F180,DAY(DATE(E180,F180,G180))=G180),1,0),0)</f>
        <v>1</v>
      </c>
      <c r="I180" s="7">
        <f>IF(H180=1,DATE(E180,F180,G180),"")</f>
        <v>45764.0</v>
      </c>
      <c r="J180" s="7">
        <f>IF(AND(D180="DMY",H180=1),1,0)</f>
        <v>0</v>
      </c>
      <c r="K180" s="7">
        <f>IF(H180=0,1,0)</f>
        <v>0</v>
      </c>
      <c r="L180" s="7">
        <f>IF(TRIM(Raw_Bookings!I180&amp;"")="",1,0)</f>
        <v>0</v>
      </c>
      <c r="M180" s="7">
        <f>IF(L180=1,"",DATEVALUE(LEFT(Raw_Bookings!I180,10))+TIMEVALUE(MID(Raw_Bookings!I180,12,8)))</f>
        <v>45736.57603009259</v>
      </c>
      <c r="N180" s="7">
        <f>IF(AND(L180=0,H180=1),IF(INT(M180)&gt;I180,1,0),0)</f>
        <v>0</v>
      </c>
      <c r="O180" s="7" t="str">
        <f>UPPER(TRIM(Raw_Bookings!F180))</f>
        <v>HYD</v>
      </c>
      <c r="P180" s="7" t="str">
        <f>UPPER(TRIM(Raw_Bookings!G180))</f>
        <v>KOL</v>
      </c>
      <c r="Q180" s="7">
        <f>IF(COUNTIF(Lookup_Stations!$A$2:$A$33,O180)&gt;0,1,0)</f>
        <v>1</v>
      </c>
      <c r="R180" s="7">
        <f>IF(COUNTIF(Lookup_Stations!$A$2:$A$33,P180)&gt;0,1,0)</f>
        <v>1</v>
      </c>
      <c r="S180" s="7">
        <f>IF(OR(AND(Q180=1,NOT(EXACT(Raw_Bookings!F180,O180))),AND(R180=1,NOT(EXACT(Raw_Bookings!G180,P180)))),1,0)</f>
        <v>0</v>
      </c>
      <c r="T180" s="7">
        <f>IF(OR(Q180=0,R180=0),1,0)</f>
        <v>0</v>
      </c>
      <c r="U180" s="7">
        <f>IF(TRIM(Raw_Bookings!E180&amp;"")="",1,0)</f>
        <v>0</v>
      </c>
      <c r="V180" s="7" t="str">
        <f>IF(SUMPRODUCT(--(Lookup_Status!$A$2:$A$13=LOWER(TRIM(Raw_Bookings!K180))))=0,"",INDEX(Lookup_Status!$B$2:$B$13,SUMPRODUCT((Lookup_Status!$A$2:$A$13=LOWER(TRIM(Raw_Bookings!K180)))*(ROW(Lookup_Status!$A$2:$A$13)-1))))</f>
        <v>Confirmed</v>
      </c>
      <c r="W180" s="7">
        <f>IF(AND(V180&lt;&gt;"",NOT(EXACT(Raw_Bookings!K180,V180))),1,0)</f>
        <v>0</v>
      </c>
      <c r="X180" s="7">
        <f>IF(V180="",1,0)</f>
        <v>0</v>
      </c>
      <c r="Y180" s="7">
        <f>IF(TRIM(Raw_Bookings!L180&amp;"")="",1,0)</f>
        <v>0</v>
      </c>
      <c r="Z180" s="7">
        <f>IF(AND(ISTEXT(Raw_Bookings!L180),Y180=0),1,0)</f>
        <v>0</v>
      </c>
      <c r="AA180" s="7">
        <f>IF(Z180=1,IFERROR(VALUE(SUBSTITUTE(SUBSTITUTE(SUBSTITUTE(SUBSTITUTE(SUBSTITUTE(UPPER(Raw_Bookings!L180),"RS.",""),"₹",""),",","")," ",""),"INR","")),""),"")</f>
        <v/>
      </c>
      <c r="AB180" s="7">
        <f>IF(AND(Z180=1,ISNUMBER(AA180)),1,0)</f>
        <v>0</v>
      </c>
      <c r="AC180" s="7">
        <f>IF(B180=1,0,IF(NOT(ISNUMBER(Raw_Bookings!J180)),1,IF(Raw_Bookings!J180&lt;&gt;COUNTIFS(Work_Passengers!$B$2:$B$1336,Raw_Bookings!A180,Work_Passengers!$C$2:$C$1336,0),1,0)))</f>
        <v>0</v>
      </c>
    </row>
    <row r="181" spans="1:29">
      <c r="A181" s="7">
        <f>Raw_Bookings!A181</f>
        <v>1060211</v>
      </c>
      <c r="B181" s="7">
        <f>IF(COUNTIF(Raw_Bookings!$A$2:A181,Raw_Bookings!A181)&gt;1,1,0)</f>
        <v>0</v>
      </c>
      <c r="C181" s="7" t="str">
        <f>Raw_Bookings!D181&amp;""</f>
        <v>2025-03-31</v>
      </c>
      <c r="D181" s="7" t="str">
        <f>IF(AND(LEN(C181)=10,MID(C181,5,1)="-",MID(C181,8,1)="-"),"ISO",IF(AND(LEN(C181)=10,MID(C181,3,1)="-",MID(C181,6,1)="-"),"DMY","OTHER"))</f>
        <v>ISO</v>
      </c>
      <c r="E181" s="7">
        <f>IF(D181="ISO",VALUE(LEFT(C181,4)),IF(D181="DMY",VALUE(RIGHT(C181,4)),0))</f>
        <v>2025</v>
      </c>
      <c r="F181" s="7">
        <f>IF(D181="ISO",VALUE(MID(C181,6,2)),IF(D181="DMY",VALUE(MID(C181,4,2)),0))</f>
        <v>3</v>
      </c>
      <c r="G181" s="7">
        <f>IF(D181="ISO",VALUE(RIGHT(C181,2)),IF(D181="DMY",VALUE(LEFT(C181,2)),0))</f>
        <v>31</v>
      </c>
      <c r="H181" s="7">
        <f>IF(AND(D181&lt;&gt;"OTHER",F181&gt;=1,F181&lt;=12,G181&gt;=1,G181&lt;=31),IF(AND(MONTH(DATE(E181,F181,G181))=F181,DAY(DATE(E181,F181,G181))=G181),1,0),0)</f>
        <v>1</v>
      </c>
      <c r="I181" s="7">
        <f>IF(H181=1,DATE(E181,F181,G181),"")</f>
        <v>45747.0</v>
      </c>
      <c r="J181" s="7">
        <f>IF(AND(D181="DMY",H181=1),1,0)</f>
        <v>0</v>
      </c>
      <c r="K181" s="7">
        <f>IF(H181=0,1,0)</f>
        <v>0</v>
      </c>
      <c r="L181" s="7">
        <f>IF(TRIM(Raw_Bookings!I181&amp;"")="",1,0)</f>
        <v>0</v>
      </c>
      <c r="M181" s="7">
        <f>IF(L181=1,"",DATEVALUE(LEFT(Raw_Bookings!I181,10))+TIMEVALUE(MID(Raw_Bookings!I181,12,8)))</f>
        <v>45737.83673611111</v>
      </c>
      <c r="N181" s="7">
        <f>IF(AND(L181=0,H181=1),IF(INT(M181)&gt;I181,1,0),0)</f>
        <v>0</v>
      </c>
      <c r="O181" s="7" t="str">
        <f>UPPER(TRIM(Raw_Bookings!F181))</f>
        <v>AHM</v>
      </c>
      <c r="P181" s="7" t="str">
        <f>UPPER(TRIM(Raw_Bookings!G181))</f>
        <v>VAR</v>
      </c>
      <c r="Q181" s="7">
        <f>IF(COUNTIF(Lookup_Stations!$A$2:$A$33,O181)&gt;0,1,0)</f>
        <v>1</v>
      </c>
      <c r="R181" s="7">
        <f>IF(COUNTIF(Lookup_Stations!$A$2:$A$33,P181)&gt;0,1,0)</f>
        <v>1</v>
      </c>
      <c r="S181" s="7">
        <f>IF(OR(AND(Q181=1,NOT(EXACT(Raw_Bookings!F181,O181))),AND(R181=1,NOT(EXACT(Raw_Bookings!G181,P181)))),1,0)</f>
        <v>0</v>
      </c>
      <c r="T181" s="7">
        <f>IF(OR(Q181=0,R181=0),1,0)</f>
        <v>0</v>
      </c>
      <c r="U181" s="7">
        <f>IF(TRIM(Raw_Bookings!E181&amp;"")="",1,0)</f>
        <v>0</v>
      </c>
      <c r="V181" s="7" t="str">
        <f>IF(SUMPRODUCT(--(Lookup_Status!$A$2:$A$13=LOWER(TRIM(Raw_Bookings!K181))))=0,"",INDEX(Lookup_Status!$B$2:$B$13,SUMPRODUCT((Lookup_Status!$A$2:$A$13=LOWER(TRIM(Raw_Bookings!K181)))*(ROW(Lookup_Status!$A$2:$A$13)-1))))</f>
        <v>Cancelled</v>
      </c>
      <c r="W181" s="7">
        <f>IF(AND(V181&lt;&gt;"",NOT(EXACT(Raw_Bookings!K181,V181))),1,0)</f>
        <v>0</v>
      </c>
      <c r="X181" s="7">
        <f>IF(V181="",1,0)</f>
        <v>0</v>
      </c>
      <c r="Y181" s="7">
        <f>IF(TRIM(Raw_Bookings!L181&amp;"")="",1,0)</f>
        <v>0</v>
      </c>
      <c r="Z181" s="7">
        <f>IF(AND(ISTEXT(Raw_Bookings!L181),Y181=0),1,0)</f>
        <v>0</v>
      </c>
      <c r="AA181" s="7">
        <f>IF(Z181=1,IFERROR(VALUE(SUBSTITUTE(SUBSTITUTE(SUBSTITUTE(SUBSTITUTE(SUBSTITUTE(UPPER(Raw_Bookings!L181),"RS.",""),"₹",""),",","")," ",""),"INR","")),""),"")</f>
        <v/>
      </c>
      <c r="AB181" s="7">
        <f>IF(AND(Z181=1,ISNUMBER(AA181)),1,0)</f>
        <v>0</v>
      </c>
      <c r="AC181" s="7">
        <f>IF(B181=1,0,IF(NOT(ISNUMBER(Raw_Bookings!J181)),1,IF(Raw_Bookings!J181&lt;&gt;COUNTIFS(Work_Passengers!$B$2:$B$1336,Raw_Bookings!A181,Work_Passengers!$C$2:$C$1336,0),1,0)))</f>
        <v>0</v>
      </c>
    </row>
    <row r="182" spans="1:29">
      <c r="A182" s="7">
        <f>Raw_Bookings!A182</f>
        <v>1060349</v>
      </c>
      <c r="B182" s="7">
        <f>IF(COUNTIF(Raw_Bookings!$A$2:A182,Raw_Bookings!A182)&gt;1,1,0)</f>
        <v>0</v>
      </c>
      <c r="C182" s="7" t="str">
        <f>Raw_Bookings!D182&amp;""</f>
        <v>2025-04-17</v>
      </c>
      <c r="D182" s="7" t="str">
        <f>IF(AND(LEN(C182)=10,MID(C182,5,1)="-",MID(C182,8,1)="-"),"ISO",IF(AND(LEN(C182)=10,MID(C182,3,1)="-",MID(C182,6,1)="-"),"DMY","OTHER"))</f>
        <v>ISO</v>
      </c>
      <c r="E182" s="7">
        <f>IF(D182="ISO",VALUE(LEFT(C182,4)),IF(D182="DMY",VALUE(RIGHT(C182,4)),0))</f>
        <v>2025</v>
      </c>
      <c r="F182" s="7">
        <f>IF(D182="ISO",VALUE(MID(C182,6,2)),IF(D182="DMY",VALUE(MID(C182,4,2)),0))</f>
        <v>4</v>
      </c>
      <c r="G182" s="7">
        <f>IF(D182="ISO",VALUE(RIGHT(C182,2)),IF(D182="DMY",VALUE(LEFT(C182,2)),0))</f>
        <v>17</v>
      </c>
      <c r="H182" s="7">
        <f>IF(AND(D182&lt;&gt;"OTHER",F182&gt;=1,F182&lt;=12,G182&gt;=1,G182&lt;=31),IF(AND(MONTH(DATE(E182,F182,G182))=F182,DAY(DATE(E182,F182,G182))=G182),1,0),0)</f>
        <v>1</v>
      </c>
      <c r="I182" s="7">
        <f>IF(H182=1,DATE(E182,F182,G182),"")</f>
        <v>45764.0</v>
      </c>
      <c r="J182" s="7">
        <f>IF(AND(D182="DMY",H182=1),1,0)</f>
        <v>0</v>
      </c>
      <c r="K182" s="7">
        <f>IF(H182=0,1,0)</f>
        <v>0</v>
      </c>
      <c r="L182" s="7">
        <f>IF(TRIM(Raw_Bookings!I182&amp;"")="",1,0)</f>
        <v>0</v>
      </c>
      <c r="M182" s="7">
        <f>IF(L182=1,"",DATEVALUE(LEFT(Raw_Bookings!I182,10))+TIMEVALUE(MID(Raw_Bookings!I182,12,8)))</f>
        <v>45738.359444444446</v>
      </c>
      <c r="N182" s="7">
        <f>IF(AND(L182=0,H182=1),IF(INT(M182)&gt;I182,1,0),0)</f>
        <v>0</v>
      </c>
      <c r="O182" s="7" t="str">
        <f>UPPER(TRIM(Raw_Bookings!F182))</f>
        <v>HYD</v>
      </c>
      <c r="P182" s="7" t="str">
        <f>UPPER(TRIM(Raw_Bookings!G182))</f>
        <v>KOL</v>
      </c>
      <c r="Q182" s="7">
        <f>IF(COUNTIF(Lookup_Stations!$A$2:$A$33,O182)&gt;0,1,0)</f>
        <v>1</v>
      </c>
      <c r="R182" s="7">
        <f>IF(COUNTIF(Lookup_Stations!$A$2:$A$33,P182)&gt;0,1,0)</f>
        <v>1</v>
      </c>
      <c r="S182" s="7">
        <f>IF(OR(AND(Q182=1,NOT(EXACT(Raw_Bookings!F182,O182))),AND(R182=1,NOT(EXACT(Raw_Bookings!G182,P182)))),1,0)</f>
        <v>0</v>
      </c>
      <c r="T182" s="7">
        <f>IF(OR(Q182=0,R182=0),1,0)</f>
        <v>0</v>
      </c>
      <c r="U182" s="7">
        <f>IF(TRIM(Raw_Bookings!E182&amp;"")="",1,0)</f>
        <v>0</v>
      </c>
      <c r="V182" s="7" t="str">
        <f>IF(SUMPRODUCT(--(Lookup_Status!$A$2:$A$13=LOWER(TRIM(Raw_Bookings!K182))))=0,"",INDEX(Lookup_Status!$B$2:$B$13,SUMPRODUCT((Lookup_Status!$A$2:$A$13=LOWER(TRIM(Raw_Bookings!K182)))*(ROW(Lookup_Status!$A$2:$A$13)-1))))</f>
        <v>Confirmed</v>
      </c>
      <c r="W182" s="7">
        <f>IF(AND(V182&lt;&gt;"",NOT(EXACT(Raw_Bookings!K182,V182))),1,0)</f>
        <v>0</v>
      </c>
      <c r="X182" s="7">
        <f>IF(V182="",1,0)</f>
        <v>0</v>
      </c>
      <c r="Y182" s="7">
        <f>IF(TRIM(Raw_Bookings!L182&amp;"")="",1,0)</f>
        <v>0</v>
      </c>
      <c r="Z182" s="7">
        <f>IF(AND(ISTEXT(Raw_Bookings!L182),Y182=0),1,0)</f>
        <v>0</v>
      </c>
      <c r="AA182" s="7">
        <f>IF(Z182=1,IFERROR(VALUE(SUBSTITUTE(SUBSTITUTE(SUBSTITUTE(SUBSTITUTE(SUBSTITUTE(UPPER(Raw_Bookings!L182),"RS.",""),"₹",""),",","")," ",""),"INR","")),""),"")</f>
        <v/>
      </c>
      <c r="AB182" s="7">
        <f>IF(AND(Z182=1,ISNUMBER(AA182)),1,0)</f>
        <v>0</v>
      </c>
      <c r="AC182" s="7">
        <f>IF(B182=1,0,IF(NOT(ISNUMBER(Raw_Bookings!J182)),1,IF(Raw_Bookings!J182&lt;&gt;COUNTIFS(Work_Passengers!$B$2:$B$1336,Raw_Bookings!A182,Work_Passengers!$C$2:$C$1336,0),1,0)))</f>
        <v>0</v>
      </c>
    </row>
    <row r="183" spans="1:29">
      <c r="A183" s="7">
        <f>Raw_Bookings!A183</f>
        <v>1060922</v>
      </c>
      <c r="B183" s="7">
        <f>IF(COUNTIF(Raw_Bookings!$A$2:A183,Raw_Bookings!A183)&gt;1,1,0)</f>
        <v>0</v>
      </c>
      <c r="C183" s="7" t="str">
        <f>Raw_Bookings!D183&amp;""</f>
        <v>2025-06-29</v>
      </c>
      <c r="D183" s="7" t="str">
        <f>IF(AND(LEN(C183)=10,MID(C183,5,1)="-",MID(C183,8,1)="-"),"ISO",IF(AND(LEN(C183)=10,MID(C183,3,1)="-",MID(C183,6,1)="-"),"DMY","OTHER"))</f>
        <v>ISO</v>
      </c>
      <c r="E183" s="7">
        <f>IF(D183="ISO",VALUE(LEFT(C183,4)),IF(D183="DMY",VALUE(RIGHT(C183,4)),0))</f>
        <v>2025</v>
      </c>
      <c r="F183" s="7">
        <f>IF(D183="ISO",VALUE(MID(C183,6,2)),IF(D183="DMY",VALUE(MID(C183,4,2)),0))</f>
        <v>6</v>
      </c>
      <c r="G183" s="7">
        <f>IF(D183="ISO",VALUE(RIGHT(C183,2)),IF(D183="DMY",VALUE(LEFT(C183,2)),0))</f>
        <v>29</v>
      </c>
      <c r="H183" s="7">
        <f>IF(AND(D183&lt;&gt;"OTHER",F183&gt;=1,F183&lt;=12,G183&gt;=1,G183&lt;=31),IF(AND(MONTH(DATE(E183,F183,G183))=F183,DAY(DATE(E183,F183,G183))=G183),1,0),0)</f>
        <v>1</v>
      </c>
      <c r="I183" s="7">
        <f>IF(H183=1,DATE(E183,F183,G183),"")</f>
        <v>45837.0</v>
      </c>
      <c r="J183" s="7">
        <f>IF(AND(D183="DMY",H183=1),1,0)</f>
        <v>0</v>
      </c>
      <c r="K183" s="7">
        <f>IF(H183=0,1,0)</f>
        <v>0</v>
      </c>
      <c r="L183" s="7">
        <f>IF(TRIM(Raw_Bookings!I183&amp;"")="",1,0)</f>
        <v>0</v>
      </c>
      <c r="M183" s="7">
        <f>IF(L183=1,"",DATEVALUE(LEFT(Raw_Bookings!I183,10))+TIMEVALUE(MID(Raw_Bookings!I183,12,8)))</f>
        <v>45739.98409722222</v>
      </c>
      <c r="N183" s="7">
        <f>IF(AND(L183=0,H183=1),IF(INT(M183)&gt;I183,1,0),0)</f>
        <v>0</v>
      </c>
      <c r="O183" s="7" t="str">
        <f>UPPER(TRIM(Raw_Bookings!F183))</f>
        <v>LUC</v>
      </c>
      <c r="P183" s="7" t="str">
        <f>UPPER(TRIM(Raw_Bookings!G183))</f>
        <v>MUM</v>
      </c>
      <c r="Q183" s="7">
        <f>IF(COUNTIF(Lookup_Stations!$A$2:$A$33,O183)&gt;0,1,0)</f>
        <v>1</v>
      </c>
      <c r="R183" s="7">
        <f>IF(COUNTIF(Lookup_Stations!$A$2:$A$33,P183)&gt;0,1,0)</f>
        <v>1</v>
      </c>
      <c r="S183" s="7">
        <f>IF(OR(AND(Q183=1,NOT(EXACT(Raw_Bookings!F183,O183))),AND(R183=1,NOT(EXACT(Raw_Bookings!G183,P183)))),1,0)</f>
        <v>0</v>
      </c>
      <c r="T183" s="7">
        <f>IF(OR(Q183=0,R183=0),1,0)</f>
        <v>0</v>
      </c>
      <c r="U183" s="7">
        <f>IF(TRIM(Raw_Bookings!E183&amp;"")="",1,0)</f>
        <v>0</v>
      </c>
      <c r="V183" s="7" t="str">
        <f>IF(SUMPRODUCT(--(Lookup_Status!$A$2:$A$13=LOWER(TRIM(Raw_Bookings!K183))))=0,"",INDEX(Lookup_Status!$B$2:$B$13,SUMPRODUCT((Lookup_Status!$A$2:$A$13=LOWER(TRIM(Raw_Bookings!K183)))*(ROW(Lookup_Status!$A$2:$A$13)-1))))</f>
        <v>Confirmed</v>
      </c>
      <c r="W183" s="7">
        <f>IF(AND(V183&lt;&gt;"",NOT(EXACT(Raw_Bookings!K183,V183))),1,0)</f>
        <v>0</v>
      </c>
      <c r="X183" s="7">
        <f>IF(V183="",1,0)</f>
        <v>0</v>
      </c>
      <c r="Y183" s="7">
        <f>IF(TRIM(Raw_Bookings!L183&amp;"")="",1,0)</f>
        <v>0</v>
      </c>
      <c r="Z183" s="7">
        <f>IF(AND(ISTEXT(Raw_Bookings!L183),Y183=0),1,0)</f>
        <v>0</v>
      </c>
      <c r="AA183" s="7">
        <f>IF(Z183=1,IFERROR(VALUE(SUBSTITUTE(SUBSTITUTE(SUBSTITUTE(SUBSTITUTE(SUBSTITUTE(UPPER(Raw_Bookings!L183),"RS.",""),"₹",""),",","")," ",""),"INR","")),""),"")</f>
        <v/>
      </c>
      <c r="AB183" s="7">
        <f>IF(AND(Z183=1,ISNUMBER(AA183)),1,0)</f>
        <v>0</v>
      </c>
      <c r="AC183" s="7">
        <f>IF(B183=1,0,IF(NOT(ISNUMBER(Raw_Bookings!J183)),1,IF(Raw_Bookings!J183&lt;&gt;COUNTIFS(Work_Passengers!$B$2:$B$1336,Raw_Bookings!A183,Work_Passengers!$C$2:$C$1336,0),1,0)))</f>
        <v>0</v>
      </c>
    </row>
    <row r="184" spans="1:29">
      <c r="A184" s="7">
        <f>Raw_Bookings!A184</f>
        <v>1061363</v>
      </c>
      <c r="B184" s="7">
        <f>IF(COUNTIF(Raw_Bookings!$A$2:A184,Raw_Bookings!A184)&gt;1,1,0)</f>
        <v>0</v>
      </c>
      <c r="C184" s="7" t="str">
        <f>Raw_Bookings!D184&amp;""</f>
        <v>2025-05-02</v>
      </c>
      <c r="D184" s="7" t="str">
        <f>IF(AND(LEN(C184)=10,MID(C184,5,1)="-",MID(C184,8,1)="-"),"ISO",IF(AND(LEN(C184)=10,MID(C184,3,1)="-",MID(C184,6,1)="-"),"DMY","OTHER"))</f>
        <v>ISO</v>
      </c>
      <c r="E184" s="7">
        <f>IF(D184="ISO",VALUE(LEFT(C184,4)),IF(D184="DMY",VALUE(RIGHT(C184,4)),0))</f>
        <v>2025</v>
      </c>
      <c r="F184" s="7">
        <f>IF(D184="ISO",VALUE(MID(C184,6,2)),IF(D184="DMY",VALUE(MID(C184,4,2)),0))</f>
        <v>5</v>
      </c>
      <c r="G184" s="7">
        <f>IF(D184="ISO",VALUE(RIGHT(C184,2)),IF(D184="DMY",VALUE(LEFT(C184,2)),0))</f>
        <v>2</v>
      </c>
      <c r="H184" s="7">
        <f>IF(AND(D184&lt;&gt;"OTHER",F184&gt;=1,F184&lt;=12,G184&gt;=1,G184&lt;=31),IF(AND(MONTH(DATE(E184,F184,G184))=F184,DAY(DATE(E184,F184,G184))=G184),1,0),0)</f>
        <v>1</v>
      </c>
      <c r="I184" s="7">
        <f>IF(H184=1,DATE(E184,F184,G184),"")</f>
        <v>45779.0</v>
      </c>
      <c r="J184" s="7">
        <f>IF(AND(D184="DMY",H184=1),1,0)</f>
        <v>0</v>
      </c>
      <c r="K184" s="7">
        <f>IF(H184=0,1,0)</f>
        <v>0</v>
      </c>
      <c r="L184" s="7">
        <f>IF(TRIM(Raw_Bookings!I184&amp;"")="",1,0)</f>
        <v>0</v>
      </c>
      <c r="M184" s="7">
        <f>IF(L184=1,"",DATEVALUE(LEFT(Raw_Bookings!I184,10))+TIMEVALUE(MID(Raw_Bookings!I184,12,8)))</f>
        <v>45741.51802083333</v>
      </c>
      <c r="N184" s="7">
        <f>IF(AND(L184=0,H184=1),IF(INT(M184)&gt;I184,1,0),0)</f>
        <v>0</v>
      </c>
      <c r="O184" s="7" t="str">
        <f>UPPER(TRIM(Raw_Bookings!F184))</f>
        <v>RAI</v>
      </c>
      <c r="P184" s="7" t="str">
        <f>UPPER(TRIM(Raw_Bookings!G184))</f>
        <v>JAI</v>
      </c>
      <c r="Q184" s="7">
        <f>IF(COUNTIF(Lookup_Stations!$A$2:$A$33,O184)&gt;0,1,0)</f>
        <v>1</v>
      </c>
      <c r="R184" s="7">
        <f>IF(COUNTIF(Lookup_Stations!$A$2:$A$33,P184)&gt;0,1,0)</f>
        <v>1</v>
      </c>
      <c r="S184" s="7">
        <f>IF(OR(AND(Q184=1,NOT(EXACT(Raw_Bookings!F184,O184))),AND(R184=1,NOT(EXACT(Raw_Bookings!G184,P184)))),1,0)</f>
        <v>0</v>
      </c>
      <c r="T184" s="7">
        <f>IF(OR(Q184=0,R184=0),1,0)</f>
        <v>0</v>
      </c>
      <c r="U184" s="7">
        <f>IF(TRIM(Raw_Bookings!E184&amp;"")="",1,0)</f>
        <v>0</v>
      </c>
      <c r="V184" s="7" t="str">
        <f>IF(SUMPRODUCT(--(Lookup_Status!$A$2:$A$13=LOWER(TRIM(Raw_Bookings!K184))))=0,"",INDEX(Lookup_Status!$B$2:$B$13,SUMPRODUCT((Lookup_Status!$A$2:$A$13=LOWER(TRIM(Raw_Bookings!K184)))*(ROW(Lookup_Status!$A$2:$A$13)-1))))</f>
        <v>Confirmed</v>
      </c>
      <c r="W184" s="7">
        <f>IF(AND(V184&lt;&gt;"",NOT(EXACT(Raw_Bookings!K184,V184))),1,0)</f>
        <v>0</v>
      </c>
      <c r="X184" s="7">
        <f>IF(V184="",1,0)</f>
        <v>0</v>
      </c>
      <c r="Y184" s="7">
        <f>IF(TRIM(Raw_Bookings!L184&amp;"")="",1,0)</f>
        <v>0</v>
      </c>
      <c r="Z184" s="7">
        <f>IF(AND(ISTEXT(Raw_Bookings!L184),Y184=0),1,0)</f>
        <v>0</v>
      </c>
      <c r="AA184" s="7">
        <f>IF(Z184=1,IFERROR(VALUE(SUBSTITUTE(SUBSTITUTE(SUBSTITUTE(SUBSTITUTE(SUBSTITUTE(UPPER(Raw_Bookings!L184),"RS.",""),"₹",""),",","")," ",""),"INR","")),""),"")</f>
        <v/>
      </c>
      <c r="AB184" s="7">
        <f>IF(AND(Z184=1,ISNUMBER(AA184)),1,0)</f>
        <v>0</v>
      </c>
      <c r="AC184" s="7">
        <f>IF(B184=1,0,IF(NOT(ISNUMBER(Raw_Bookings!J184)),1,IF(Raw_Bookings!J184&lt;&gt;COUNTIFS(Work_Passengers!$B$2:$B$1336,Raw_Bookings!A184,Work_Passengers!$C$2:$C$1336,0),1,0)))</f>
        <v>0</v>
      </c>
    </row>
    <row r="185" spans="1:29">
      <c r="A185" s="7">
        <f>Raw_Bookings!A185</f>
        <v>1062055</v>
      </c>
      <c r="B185" s="7">
        <f>IF(COUNTIF(Raw_Bookings!$A$2:A185,Raw_Bookings!A185)&gt;1,1,0)</f>
        <v>0</v>
      </c>
      <c r="C185" s="7" t="str">
        <f>Raw_Bookings!D185&amp;""</f>
        <v>2025-05-14</v>
      </c>
      <c r="D185" s="7" t="str">
        <f>IF(AND(LEN(C185)=10,MID(C185,5,1)="-",MID(C185,8,1)="-"),"ISO",IF(AND(LEN(C185)=10,MID(C185,3,1)="-",MID(C185,6,1)="-"),"DMY","OTHER"))</f>
        <v>ISO</v>
      </c>
      <c r="E185" s="7">
        <f>IF(D185="ISO",VALUE(LEFT(C185,4)),IF(D185="DMY",VALUE(RIGHT(C185,4)),0))</f>
        <v>2025</v>
      </c>
      <c r="F185" s="7">
        <f>IF(D185="ISO",VALUE(MID(C185,6,2)),IF(D185="DMY",VALUE(MID(C185,4,2)),0))</f>
        <v>5</v>
      </c>
      <c r="G185" s="7">
        <f>IF(D185="ISO",VALUE(RIGHT(C185,2)),IF(D185="DMY",VALUE(LEFT(C185,2)),0))</f>
        <v>14</v>
      </c>
      <c r="H185" s="7">
        <f>IF(AND(D185&lt;&gt;"OTHER",F185&gt;=1,F185&lt;=12,G185&gt;=1,G185&lt;=31),IF(AND(MONTH(DATE(E185,F185,G185))=F185,DAY(DATE(E185,F185,G185))=G185),1,0),0)</f>
        <v>1</v>
      </c>
      <c r="I185" s="7">
        <f>IF(H185=1,DATE(E185,F185,G185),"")</f>
        <v>45791.0</v>
      </c>
      <c r="J185" s="7">
        <f>IF(AND(D185="DMY",H185=1),1,0)</f>
        <v>0</v>
      </c>
      <c r="K185" s="7">
        <f>IF(H185=0,1,0)</f>
        <v>0</v>
      </c>
      <c r="L185" s="7">
        <f>IF(TRIM(Raw_Bookings!I185&amp;"")="",1,0)</f>
        <v>0</v>
      </c>
      <c r="M185" s="7">
        <f>IF(L185=1,"",DATEVALUE(LEFT(Raw_Bookings!I185,10))+TIMEVALUE(MID(Raw_Bookings!I185,12,8)))</f>
        <v>45743.800474537034</v>
      </c>
      <c r="N185" s="7">
        <f>IF(AND(L185=0,H185=1),IF(INT(M185)&gt;I185,1,0),0)</f>
        <v>0</v>
      </c>
      <c r="O185" s="7" t="str">
        <f>UPPER(TRIM(Raw_Bookings!F185))</f>
        <v>MAU</v>
      </c>
      <c r="P185" s="7" t="str">
        <f>UPPER(TRIM(Raw_Bookings!G185))</f>
        <v>DEL</v>
      </c>
      <c r="Q185" s="7">
        <f>IF(COUNTIF(Lookup_Stations!$A$2:$A$33,O185)&gt;0,1,0)</f>
        <v>1</v>
      </c>
      <c r="R185" s="7">
        <f>IF(COUNTIF(Lookup_Stations!$A$2:$A$33,P185)&gt;0,1,0)</f>
        <v>1</v>
      </c>
      <c r="S185" s="7">
        <f>IF(OR(AND(Q185=1,NOT(EXACT(Raw_Bookings!F185,O185))),AND(R185=1,NOT(EXACT(Raw_Bookings!G185,P185)))),1,0)</f>
        <v>0</v>
      </c>
      <c r="T185" s="7">
        <f>IF(OR(Q185=0,R185=0),1,0)</f>
        <v>0</v>
      </c>
      <c r="U185" s="7">
        <f>IF(TRIM(Raw_Bookings!E185&amp;"")="",1,0)</f>
        <v>0</v>
      </c>
      <c r="V185" s="7" t="str">
        <f>IF(SUMPRODUCT(--(Lookup_Status!$A$2:$A$13=LOWER(TRIM(Raw_Bookings!K185))))=0,"",INDEX(Lookup_Status!$B$2:$B$13,SUMPRODUCT((Lookup_Status!$A$2:$A$13=LOWER(TRIM(Raw_Bookings!K185)))*(ROW(Lookup_Status!$A$2:$A$13)-1))))</f>
        <v>Cancelled</v>
      </c>
      <c r="W185" s="7">
        <f>IF(AND(V185&lt;&gt;"",NOT(EXACT(Raw_Bookings!K185,V185))),1,0)</f>
        <v>0</v>
      </c>
      <c r="X185" s="7">
        <f>IF(V185="",1,0)</f>
        <v>0</v>
      </c>
      <c r="Y185" s="7">
        <f>IF(TRIM(Raw_Bookings!L185&amp;"")="",1,0)</f>
        <v>0</v>
      </c>
      <c r="Z185" s="7">
        <f>IF(AND(ISTEXT(Raw_Bookings!L185),Y185=0),1,0)</f>
        <v>0</v>
      </c>
      <c r="AA185" s="7">
        <f>IF(Z185=1,IFERROR(VALUE(SUBSTITUTE(SUBSTITUTE(SUBSTITUTE(SUBSTITUTE(SUBSTITUTE(UPPER(Raw_Bookings!L185),"RS.",""),"₹",""),",","")," ",""),"INR","")),""),"")</f>
        <v/>
      </c>
      <c r="AB185" s="7">
        <f>IF(AND(Z185=1,ISNUMBER(AA185)),1,0)</f>
        <v>0</v>
      </c>
      <c r="AC185" s="7">
        <f>IF(B185=1,0,IF(NOT(ISNUMBER(Raw_Bookings!J185)),1,IF(Raw_Bookings!J185&lt;&gt;COUNTIFS(Work_Passengers!$B$2:$B$1336,Raw_Bookings!A185,Work_Passengers!$C$2:$C$1336,0),1,0)))</f>
        <v>0</v>
      </c>
    </row>
    <row r="186" spans="1:29">
      <c r="A186" s="7">
        <f>Raw_Bookings!A186</f>
        <v>1062073</v>
      </c>
      <c r="B186" s="7">
        <f>IF(COUNTIF(Raw_Bookings!$A$2:A186,Raw_Bookings!A186)&gt;1,1,0)</f>
        <v>0</v>
      </c>
      <c r="C186" s="7" t="str">
        <f>Raw_Bookings!D186&amp;""</f>
        <v>2025-05-05</v>
      </c>
      <c r="D186" s="7" t="str">
        <f>IF(AND(LEN(C186)=10,MID(C186,5,1)="-",MID(C186,8,1)="-"),"ISO",IF(AND(LEN(C186)=10,MID(C186,3,1)="-",MID(C186,6,1)="-"),"DMY","OTHER"))</f>
        <v>ISO</v>
      </c>
      <c r="E186" s="7">
        <f>IF(D186="ISO",VALUE(LEFT(C186,4)),IF(D186="DMY",VALUE(RIGHT(C186,4)),0))</f>
        <v>2025</v>
      </c>
      <c r="F186" s="7">
        <f>IF(D186="ISO",VALUE(MID(C186,6,2)),IF(D186="DMY",VALUE(MID(C186,4,2)),0))</f>
        <v>5</v>
      </c>
      <c r="G186" s="7">
        <f>IF(D186="ISO",VALUE(RIGHT(C186,2)),IF(D186="DMY",VALUE(LEFT(C186,2)),0))</f>
        <v>5</v>
      </c>
      <c r="H186" s="7">
        <f>IF(AND(D186&lt;&gt;"OTHER",F186&gt;=1,F186&lt;=12,G186&gt;=1,G186&lt;=31),IF(AND(MONTH(DATE(E186,F186,G186))=F186,DAY(DATE(E186,F186,G186))=G186),1,0),0)</f>
        <v>1</v>
      </c>
      <c r="I186" s="7">
        <f>IF(H186=1,DATE(E186,F186,G186),"")</f>
        <v>45782.0</v>
      </c>
      <c r="J186" s="7">
        <f>IF(AND(D186="DMY",H186=1),1,0)</f>
        <v>0</v>
      </c>
      <c r="K186" s="7">
        <f>IF(H186=0,1,0)</f>
        <v>0</v>
      </c>
      <c r="L186" s="7">
        <f>IF(TRIM(Raw_Bookings!I186&amp;"")="",1,0)</f>
        <v>0</v>
      </c>
      <c r="M186" s="7">
        <f>IF(L186=1,"",DATEVALUE(LEFT(Raw_Bookings!I186,10))+TIMEVALUE(MID(Raw_Bookings!I186,12,8)))</f>
        <v>45743.821226851855</v>
      </c>
      <c r="N186" s="7">
        <f>IF(AND(L186=0,H186=1),IF(INT(M186)&gt;I186,1,0),0)</f>
        <v>0</v>
      </c>
      <c r="O186" s="7" t="str">
        <f>UPPER(TRIM(Raw_Bookings!F186))</f>
        <v>KOL</v>
      </c>
      <c r="P186" s="7" t="str">
        <f>UPPER(TRIM(Raw_Bookings!G186))</f>
        <v>HYD</v>
      </c>
      <c r="Q186" s="7">
        <f>IF(COUNTIF(Lookup_Stations!$A$2:$A$33,O186)&gt;0,1,0)</f>
        <v>1</v>
      </c>
      <c r="R186" s="7">
        <f>IF(COUNTIF(Lookup_Stations!$A$2:$A$33,P186)&gt;0,1,0)</f>
        <v>1</v>
      </c>
      <c r="S186" s="7">
        <f>IF(OR(AND(Q186=1,NOT(EXACT(Raw_Bookings!F186,O186))),AND(R186=1,NOT(EXACT(Raw_Bookings!G186,P186)))),1,0)</f>
        <v>0</v>
      </c>
      <c r="T186" s="7">
        <f>IF(OR(Q186=0,R186=0),1,0)</f>
        <v>0</v>
      </c>
      <c r="U186" s="7">
        <f>IF(TRIM(Raw_Bookings!E186&amp;"")="",1,0)</f>
        <v>0</v>
      </c>
      <c r="V186" s="7" t="str">
        <f>IF(SUMPRODUCT(--(Lookup_Status!$A$2:$A$13=LOWER(TRIM(Raw_Bookings!K186))))=0,"",INDEX(Lookup_Status!$B$2:$B$13,SUMPRODUCT((Lookup_Status!$A$2:$A$13=LOWER(TRIM(Raw_Bookings!K186)))*(ROW(Lookup_Status!$A$2:$A$13)-1))))</f>
        <v>Confirmed</v>
      </c>
      <c r="W186" s="7">
        <f>IF(AND(V186&lt;&gt;"",NOT(EXACT(Raw_Bookings!K186,V186))),1,0)</f>
        <v>0</v>
      </c>
      <c r="X186" s="7">
        <f>IF(V186="",1,0)</f>
        <v>0</v>
      </c>
      <c r="Y186" s="7">
        <f>IF(TRIM(Raw_Bookings!L186&amp;"")="",1,0)</f>
        <v>0</v>
      </c>
      <c r="Z186" s="7">
        <f>IF(AND(ISTEXT(Raw_Bookings!L186),Y186=0),1,0)</f>
        <v>0</v>
      </c>
      <c r="AA186" s="7">
        <f>IF(Z186=1,IFERROR(VALUE(SUBSTITUTE(SUBSTITUTE(SUBSTITUTE(SUBSTITUTE(SUBSTITUTE(UPPER(Raw_Bookings!L186),"RS.",""),"₹",""),",","")," ",""),"INR","")),""),"")</f>
        <v/>
      </c>
      <c r="AB186" s="7">
        <f>IF(AND(Z186=1,ISNUMBER(AA186)),1,0)</f>
        <v>0</v>
      </c>
      <c r="AC186" s="7">
        <f>IF(B186=1,0,IF(NOT(ISNUMBER(Raw_Bookings!J186)),1,IF(Raw_Bookings!J186&lt;&gt;COUNTIFS(Work_Passengers!$B$2:$B$1336,Raw_Bookings!A186,Work_Passengers!$C$2:$C$1336,0),1,0)))</f>
        <v>0</v>
      </c>
    </row>
    <row r="187" spans="1:29">
      <c r="A187" s="7">
        <f>Raw_Bookings!A187</f>
        <v>1062167</v>
      </c>
      <c r="B187" s="7">
        <f>IF(COUNTIF(Raw_Bookings!$A$2:A187,Raw_Bookings!A187)&gt;1,1,0)</f>
        <v>0</v>
      </c>
      <c r="C187" s="7" t="str">
        <f>Raw_Bookings!D187&amp;""</f>
        <v>2025-06-23</v>
      </c>
      <c r="D187" s="7" t="str">
        <f>IF(AND(LEN(C187)=10,MID(C187,5,1)="-",MID(C187,8,1)="-"),"ISO",IF(AND(LEN(C187)=10,MID(C187,3,1)="-",MID(C187,6,1)="-"),"DMY","OTHER"))</f>
        <v>ISO</v>
      </c>
      <c r="E187" s="7">
        <f>IF(D187="ISO",VALUE(LEFT(C187,4)),IF(D187="DMY",VALUE(RIGHT(C187,4)),0))</f>
        <v>2025</v>
      </c>
      <c r="F187" s="7">
        <f>IF(D187="ISO",VALUE(MID(C187,6,2)),IF(D187="DMY",VALUE(MID(C187,4,2)),0))</f>
        <v>6</v>
      </c>
      <c r="G187" s="7">
        <f>IF(D187="ISO",VALUE(RIGHT(C187,2)),IF(D187="DMY",VALUE(LEFT(C187,2)),0))</f>
        <v>23</v>
      </c>
      <c r="H187" s="7">
        <f>IF(AND(D187&lt;&gt;"OTHER",F187&gt;=1,F187&lt;=12,G187&gt;=1,G187&lt;=31),IF(AND(MONTH(DATE(E187,F187,G187))=F187,DAY(DATE(E187,F187,G187))=G187),1,0),0)</f>
        <v>1</v>
      </c>
      <c r="I187" s="7">
        <f>IF(H187=1,DATE(E187,F187,G187),"")</f>
        <v>45831.0</v>
      </c>
      <c r="J187" s="7">
        <f>IF(AND(D187="DMY",H187=1),1,0)</f>
        <v>0</v>
      </c>
      <c r="K187" s="7">
        <f>IF(H187=0,1,0)</f>
        <v>0</v>
      </c>
      <c r="L187" s="7">
        <f>IF(TRIM(Raw_Bookings!I187&amp;"")="",1,0)</f>
        <v>0</v>
      </c>
      <c r="M187" s="7">
        <f>IF(L187=1,"",DATEVALUE(LEFT(Raw_Bookings!I187,10))+TIMEVALUE(MID(Raw_Bookings!I187,12,8)))</f>
        <v>45744.307754629626</v>
      </c>
      <c r="N187" s="7">
        <f>IF(AND(L187=0,H187=1),IF(INT(M187)&gt;I187,1,0),0)</f>
        <v>0</v>
      </c>
      <c r="O187" s="7" t="str">
        <f>UPPER(TRIM(Raw_Bookings!F187))</f>
        <v>HYD</v>
      </c>
      <c r="P187" s="7" t="str">
        <f>UPPER(TRIM(Raw_Bookings!G187))</f>
        <v>KOL</v>
      </c>
      <c r="Q187" s="7">
        <f>IF(COUNTIF(Lookup_Stations!$A$2:$A$33,O187)&gt;0,1,0)</f>
        <v>1</v>
      </c>
      <c r="R187" s="7">
        <f>IF(COUNTIF(Lookup_Stations!$A$2:$A$33,P187)&gt;0,1,0)</f>
        <v>1</v>
      </c>
      <c r="S187" s="7">
        <f>IF(OR(AND(Q187=1,NOT(EXACT(Raw_Bookings!F187,O187))),AND(R187=1,NOT(EXACT(Raw_Bookings!G187,P187)))),1,0)</f>
        <v>0</v>
      </c>
      <c r="T187" s="7">
        <f>IF(OR(Q187=0,R187=0),1,0)</f>
        <v>0</v>
      </c>
      <c r="U187" s="7">
        <f>IF(TRIM(Raw_Bookings!E187&amp;"")="",1,0)</f>
        <v>0</v>
      </c>
      <c r="V187" s="7" t="str">
        <f>IF(SUMPRODUCT(--(Lookup_Status!$A$2:$A$13=LOWER(TRIM(Raw_Bookings!K187))))=0,"",INDEX(Lookup_Status!$B$2:$B$13,SUMPRODUCT((Lookup_Status!$A$2:$A$13=LOWER(TRIM(Raw_Bookings!K187)))*(ROW(Lookup_Status!$A$2:$A$13)-1))))</f>
        <v>Confirmed</v>
      </c>
      <c r="W187" s="7">
        <f>IF(AND(V187&lt;&gt;"",NOT(EXACT(Raw_Bookings!K187,V187))),1,0)</f>
        <v>0</v>
      </c>
      <c r="X187" s="7">
        <f>IF(V187="",1,0)</f>
        <v>0</v>
      </c>
      <c r="Y187" s="7">
        <f>IF(TRIM(Raw_Bookings!L187&amp;"")="",1,0)</f>
        <v>0</v>
      </c>
      <c r="Z187" s="7">
        <f>IF(AND(ISTEXT(Raw_Bookings!L187),Y187=0),1,0)</f>
        <v>0</v>
      </c>
      <c r="AA187" s="7">
        <f>IF(Z187=1,IFERROR(VALUE(SUBSTITUTE(SUBSTITUTE(SUBSTITUTE(SUBSTITUTE(SUBSTITUTE(UPPER(Raw_Bookings!L187),"RS.",""),"₹",""),",","")," ",""),"INR","")),""),"")</f>
        <v/>
      </c>
      <c r="AB187" s="7">
        <f>IF(AND(Z187=1,ISNUMBER(AA187)),1,0)</f>
        <v>0</v>
      </c>
      <c r="AC187" s="7">
        <f>IF(B187=1,0,IF(NOT(ISNUMBER(Raw_Bookings!J187)),1,IF(Raw_Bookings!J187&lt;&gt;COUNTIFS(Work_Passengers!$B$2:$B$1336,Raw_Bookings!A187,Work_Passengers!$C$2:$C$1336,0),1,0)))</f>
        <v>0</v>
      </c>
    </row>
    <row r="188" spans="1:29">
      <c r="A188" s="7">
        <f>Raw_Bookings!A188</f>
        <v>1062180</v>
      </c>
      <c r="B188" s="7">
        <f>IF(COUNTIF(Raw_Bookings!$A$2:A188,Raw_Bookings!A188)&gt;1,1,0)</f>
        <v>0</v>
      </c>
      <c r="C188" s="7" t="str">
        <f>Raw_Bookings!D188&amp;""</f>
        <v>2025-05-05</v>
      </c>
      <c r="D188" s="7" t="str">
        <f>IF(AND(LEN(C188)=10,MID(C188,5,1)="-",MID(C188,8,1)="-"),"ISO",IF(AND(LEN(C188)=10,MID(C188,3,1)="-",MID(C188,6,1)="-"),"DMY","OTHER"))</f>
        <v>ISO</v>
      </c>
      <c r="E188" s="7">
        <f>IF(D188="ISO",VALUE(LEFT(C188,4)),IF(D188="DMY",VALUE(RIGHT(C188,4)),0))</f>
        <v>2025</v>
      </c>
      <c r="F188" s="7">
        <f>IF(D188="ISO",VALUE(MID(C188,6,2)),IF(D188="DMY",VALUE(MID(C188,4,2)),0))</f>
        <v>5</v>
      </c>
      <c r="G188" s="7">
        <f>IF(D188="ISO",VALUE(RIGHT(C188,2)),IF(D188="DMY",VALUE(LEFT(C188,2)),0))</f>
        <v>5</v>
      </c>
      <c r="H188" s="7">
        <f>IF(AND(D188&lt;&gt;"OTHER",F188&gt;=1,F188&lt;=12,G188&gt;=1,G188&lt;=31),IF(AND(MONTH(DATE(E188,F188,G188))=F188,DAY(DATE(E188,F188,G188))=G188),1,0),0)</f>
        <v>1</v>
      </c>
      <c r="I188" s="7">
        <f>IF(H188=1,DATE(E188,F188,G188),"")</f>
        <v>45782.0</v>
      </c>
      <c r="J188" s="7">
        <f>IF(AND(D188="DMY",H188=1),1,0)</f>
        <v>0</v>
      </c>
      <c r="K188" s="7">
        <f>IF(H188=0,1,0)</f>
        <v>0</v>
      </c>
      <c r="L188" s="7">
        <f>IF(TRIM(Raw_Bookings!I188&amp;"")="",1,0)</f>
        <v>0</v>
      </c>
      <c r="M188" s="7">
        <f>IF(L188=1,"",DATEVALUE(LEFT(Raw_Bookings!I188,10))+TIMEVALUE(MID(Raw_Bookings!I188,12,8)))</f>
        <v>45744.34153935185</v>
      </c>
      <c r="N188" s="7">
        <f>IF(AND(L188=0,H188=1),IF(INT(M188)&gt;I188,1,0),0)</f>
        <v>0</v>
      </c>
      <c r="O188" s="7" t="str">
        <f>UPPER(TRIM(Raw_Bookings!F188))</f>
        <v>KOL</v>
      </c>
      <c r="P188" s="7" t="str">
        <f>UPPER(TRIM(Raw_Bookings!G188))</f>
        <v>HYD</v>
      </c>
      <c r="Q188" s="7">
        <f>IF(COUNTIF(Lookup_Stations!$A$2:$A$33,O188)&gt;0,1,0)</f>
        <v>1</v>
      </c>
      <c r="R188" s="7">
        <f>IF(COUNTIF(Lookup_Stations!$A$2:$A$33,P188)&gt;0,1,0)</f>
        <v>1</v>
      </c>
      <c r="S188" s="7">
        <f>IF(OR(AND(Q188=1,NOT(EXACT(Raw_Bookings!F188,O188))),AND(R188=1,NOT(EXACT(Raw_Bookings!G188,P188)))),1,0)</f>
        <v>0</v>
      </c>
      <c r="T188" s="7">
        <f>IF(OR(Q188=0,R188=0),1,0)</f>
        <v>0</v>
      </c>
      <c r="U188" s="7">
        <f>IF(TRIM(Raw_Bookings!E188&amp;"")="",1,0)</f>
        <v>0</v>
      </c>
      <c r="V188" s="7" t="str">
        <f>IF(SUMPRODUCT(--(Lookup_Status!$A$2:$A$13=LOWER(TRIM(Raw_Bookings!K188))))=0,"",INDEX(Lookup_Status!$B$2:$B$13,SUMPRODUCT((Lookup_Status!$A$2:$A$13=LOWER(TRIM(Raw_Bookings!K188)))*(ROW(Lookup_Status!$A$2:$A$13)-1))))</f>
        <v>Confirmed</v>
      </c>
      <c r="W188" s="7">
        <f>IF(AND(V188&lt;&gt;"",NOT(EXACT(Raw_Bookings!K188,V188))),1,0)</f>
        <v>0</v>
      </c>
      <c r="X188" s="7">
        <f>IF(V188="",1,0)</f>
        <v>0</v>
      </c>
      <c r="Y188" s="7">
        <f>IF(TRIM(Raw_Bookings!L188&amp;"")="",1,0)</f>
        <v>0</v>
      </c>
      <c r="Z188" s="7">
        <f>IF(AND(ISTEXT(Raw_Bookings!L188),Y188=0),1,0)</f>
        <v>0</v>
      </c>
      <c r="AA188" s="7">
        <f>IF(Z188=1,IFERROR(VALUE(SUBSTITUTE(SUBSTITUTE(SUBSTITUTE(SUBSTITUTE(SUBSTITUTE(UPPER(Raw_Bookings!L188),"RS.",""),"₹",""),",","")," ",""),"INR","")),""),"")</f>
        <v/>
      </c>
      <c r="AB188" s="7">
        <f>IF(AND(Z188=1,ISNUMBER(AA188)),1,0)</f>
        <v>0</v>
      </c>
      <c r="AC188" s="7">
        <f>IF(B188=1,0,IF(NOT(ISNUMBER(Raw_Bookings!J188)),1,IF(Raw_Bookings!J188&lt;&gt;COUNTIFS(Work_Passengers!$B$2:$B$1336,Raw_Bookings!A188,Work_Passengers!$C$2:$C$1336,0),1,0)))</f>
        <v>0</v>
      </c>
    </row>
    <row r="189" spans="1:29">
      <c r="A189" s="7">
        <f>Raw_Bookings!A189</f>
        <v>1062244</v>
      </c>
      <c r="B189" s="7">
        <f>IF(COUNTIF(Raw_Bookings!$A$2:A189,Raw_Bookings!A189)&gt;1,1,0)</f>
        <v>0</v>
      </c>
      <c r="C189" s="7" t="str">
        <f>Raw_Bookings!D189&amp;""</f>
        <v>2025-05-14</v>
      </c>
      <c r="D189" s="7" t="str">
        <f>IF(AND(LEN(C189)=10,MID(C189,5,1)="-",MID(C189,8,1)="-"),"ISO",IF(AND(LEN(C189)=10,MID(C189,3,1)="-",MID(C189,6,1)="-"),"DMY","OTHER"))</f>
        <v>ISO</v>
      </c>
      <c r="E189" s="7">
        <f>IF(D189="ISO",VALUE(LEFT(C189,4)),IF(D189="DMY",VALUE(RIGHT(C189,4)),0))</f>
        <v>2025</v>
      </c>
      <c r="F189" s="7">
        <f>IF(D189="ISO",VALUE(MID(C189,6,2)),IF(D189="DMY",VALUE(MID(C189,4,2)),0))</f>
        <v>5</v>
      </c>
      <c r="G189" s="7">
        <f>IF(D189="ISO",VALUE(RIGHT(C189,2)),IF(D189="DMY",VALUE(LEFT(C189,2)),0))</f>
        <v>14</v>
      </c>
      <c r="H189" s="7">
        <f>IF(AND(D189&lt;&gt;"OTHER",F189&gt;=1,F189&lt;=12,G189&gt;=1,G189&lt;=31),IF(AND(MONTH(DATE(E189,F189,G189))=F189,DAY(DATE(E189,F189,G189))=G189),1,0),0)</f>
        <v>1</v>
      </c>
      <c r="I189" s="7">
        <f>IF(H189=1,DATE(E189,F189,G189),"")</f>
        <v>45791.0</v>
      </c>
      <c r="J189" s="7">
        <f>IF(AND(D189="DMY",H189=1),1,0)</f>
        <v>0</v>
      </c>
      <c r="K189" s="7">
        <f>IF(H189=0,1,0)</f>
        <v>0</v>
      </c>
      <c r="L189" s="7">
        <f>IF(TRIM(Raw_Bookings!I189&amp;"")="",1,0)</f>
        <v>0</v>
      </c>
      <c r="M189" s="7">
        <f>IF(L189=1,"",DATEVALUE(LEFT(Raw_Bookings!I189,10))+TIMEVALUE(MID(Raw_Bookings!I189,12,8)))</f>
        <v>45744.486712962964</v>
      </c>
      <c r="N189" s="7">
        <f>IF(AND(L189=0,H189=1),IF(INT(M189)&gt;I189,1,0),0)</f>
        <v>0</v>
      </c>
      <c r="O189" s="7" t="str">
        <f>UPPER(TRIM(Raw_Bookings!F189))</f>
        <v>BEN</v>
      </c>
      <c r="P189" s="7" t="str">
        <f>UPPER(TRIM(Raw_Bookings!G189))</f>
        <v>MUM</v>
      </c>
      <c r="Q189" s="7">
        <f>IF(COUNTIF(Lookup_Stations!$A$2:$A$33,O189)&gt;0,1,0)</f>
        <v>1</v>
      </c>
      <c r="R189" s="7">
        <f>IF(COUNTIF(Lookup_Stations!$A$2:$A$33,P189)&gt;0,1,0)</f>
        <v>1</v>
      </c>
      <c r="S189" s="7">
        <f>IF(OR(AND(Q189=1,NOT(EXACT(Raw_Bookings!F189,O189))),AND(R189=1,NOT(EXACT(Raw_Bookings!G189,P189)))),1,0)</f>
        <v>0</v>
      </c>
      <c r="T189" s="7">
        <f>IF(OR(Q189=0,R189=0),1,0)</f>
        <v>0</v>
      </c>
      <c r="U189" s="7">
        <f>IF(TRIM(Raw_Bookings!E189&amp;"")="",1,0)</f>
        <v>0</v>
      </c>
      <c r="V189" s="7" t="str">
        <f>IF(SUMPRODUCT(--(Lookup_Status!$A$2:$A$13=LOWER(TRIM(Raw_Bookings!K189))))=0,"",INDEX(Lookup_Status!$B$2:$B$13,SUMPRODUCT((Lookup_Status!$A$2:$A$13=LOWER(TRIM(Raw_Bookings!K189)))*(ROW(Lookup_Status!$A$2:$A$13)-1))))</f>
        <v>Confirmed</v>
      </c>
      <c r="W189" s="7">
        <f>IF(AND(V189&lt;&gt;"",NOT(EXACT(Raw_Bookings!K189,V189))),1,0)</f>
        <v>0</v>
      </c>
      <c r="X189" s="7">
        <f>IF(V189="",1,0)</f>
        <v>0</v>
      </c>
      <c r="Y189" s="7">
        <f>IF(TRIM(Raw_Bookings!L189&amp;"")="",1,0)</f>
        <v>0</v>
      </c>
      <c r="Z189" s="7">
        <f>IF(AND(ISTEXT(Raw_Bookings!L189),Y189=0),1,0)</f>
        <v>0</v>
      </c>
      <c r="AA189" s="7">
        <f>IF(Z189=1,IFERROR(VALUE(SUBSTITUTE(SUBSTITUTE(SUBSTITUTE(SUBSTITUTE(SUBSTITUTE(UPPER(Raw_Bookings!L189),"RS.",""),"₹",""),",","")," ",""),"INR","")),""),"")</f>
        <v/>
      </c>
      <c r="AB189" s="7">
        <f>IF(AND(Z189=1,ISNUMBER(AA189)),1,0)</f>
        <v>0</v>
      </c>
      <c r="AC189" s="7">
        <f>IF(B189=1,0,IF(NOT(ISNUMBER(Raw_Bookings!J189)),1,IF(Raw_Bookings!J189&lt;&gt;COUNTIFS(Work_Passengers!$B$2:$B$1336,Raw_Bookings!A189,Work_Passengers!$C$2:$C$1336,0),1,0)))</f>
        <v>0</v>
      </c>
    </row>
    <row r="190" spans="1:29">
      <c r="A190" s="7">
        <f>Raw_Bookings!A190</f>
        <v>1062277</v>
      </c>
      <c r="B190" s="7">
        <f>IF(COUNTIF(Raw_Bookings!$A$2:A190,Raw_Bookings!A190)&gt;1,1,0)</f>
        <v>0</v>
      </c>
      <c r="C190" s="7" t="str">
        <f>Raw_Bookings!D190&amp;""</f>
        <v>2025-13-05</v>
      </c>
      <c r="D190" s="7" t="str">
        <f>IF(AND(LEN(C190)=10,MID(C190,5,1)="-",MID(C190,8,1)="-"),"ISO",IF(AND(LEN(C190)=10,MID(C190,3,1)="-",MID(C190,6,1)="-"),"DMY","OTHER"))</f>
        <v>ISO</v>
      </c>
      <c r="E190" s="7">
        <f>IF(D190="ISO",VALUE(LEFT(C190,4)),IF(D190="DMY",VALUE(RIGHT(C190,4)),0))</f>
        <v>2025</v>
      </c>
      <c r="F190" s="7">
        <f>IF(D190="ISO",VALUE(MID(C190,6,2)),IF(D190="DMY",VALUE(MID(C190,4,2)),0))</f>
        <v>13</v>
      </c>
      <c r="G190" s="7">
        <f>IF(D190="ISO",VALUE(RIGHT(C190,2)),IF(D190="DMY",VALUE(LEFT(C190,2)),0))</f>
        <v>5</v>
      </c>
      <c r="H190" s="7">
        <f>IF(AND(D190&lt;&gt;"OTHER",F190&gt;=1,F190&lt;=12,G190&gt;=1,G190&lt;=31),IF(AND(MONTH(DATE(E190,F190,G190))=F190,DAY(DATE(E190,F190,G190))=G190),1,0),0)</f>
        <v>0</v>
      </c>
      <c r="I190" s="7">
        <f>IF(H190=1,DATE(E190,F190,G190),"")</f>
        <v/>
      </c>
      <c r="J190" s="7">
        <f>IF(AND(D190="DMY",H190=1),1,0)</f>
        <v>0</v>
      </c>
      <c r="K190" s="7">
        <f>IF(H190=0,1,0)</f>
        <v>1</v>
      </c>
      <c r="L190" s="7">
        <f>IF(TRIM(Raw_Bookings!I190&amp;"")="",1,0)</f>
        <v>0</v>
      </c>
      <c r="M190" s="7">
        <f>IF(L190=1,"",DATEVALUE(LEFT(Raw_Bookings!I190,10))+TIMEVALUE(MID(Raw_Bookings!I190,12,8)))</f>
        <v>45744.55625</v>
      </c>
      <c r="N190" s="7">
        <f>IF(AND(L190=0,H190=1),IF(INT(M190)&gt;I190,1,0),0)</f>
        <v>0</v>
      </c>
      <c r="O190" s="7" t="str">
        <f>UPPER(TRIM(Raw_Bookings!F190))</f>
        <v>VIS</v>
      </c>
      <c r="P190" s="7" t="str">
        <f>UPPER(TRIM(Raw_Bookings!G190))</f>
        <v>CHA</v>
      </c>
      <c r="Q190" s="7">
        <f>IF(COUNTIF(Lookup_Stations!$A$2:$A$33,O190)&gt;0,1,0)</f>
        <v>1</v>
      </c>
      <c r="R190" s="7">
        <f>IF(COUNTIF(Lookup_Stations!$A$2:$A$33,P190)&gt;0,1,0)</f>
        <v>1</v>
      </c>
      <c r="S190" s="7">
        <f>IF(OR(AND(Q190=1,NOT(EXACT(Raw_Bookings!F190,O190))),AND(R190=1,NOT(EXACT(Raw_Bookings!G190,P190)))),1,0)</f>
        <v>0</v>
      </c>
      <c r="T190" s="7">
        <f>IF(OR(Q190=0,R190=0),1,0)</f>
        <v>0</v>
      </c>
      <c r="U190" s="7">
        <f>IF(TRIM(Raw_Bookings!E190&amp;"")="",1,0)</f>
        <v>0</v>
      </c>
      <c r="V190" s="7" t="str">
        <f>IF(SUMPRODUCT(--(Lookup_Status!$A$2:$A$13=LOWER(TRIM(Raw_Bookings!K190))))=0,"",INDEX(Lookup_Status!$B$2:$B$13,SUMPRODUCT((Lookup_Status!$A$2:$A$13=LOWER(TRIM(Raw_Bookings!K190)))*(ROW(Lookup_Status!$A$2:$A$13)-1))))</f>
        <v>Confirmed</v>
      </c>
      <c r="W190" s="7">
        <f>IF(AND(V190&lt;&gt;"",NOT(EXACT(Raw_Bookings!K190,V190))),1,0)</f>
        <v>0</v>
      </c>
      <c r="X190" s="7">
        <f>IF(V190="",1,0)</f>
        <v>0</v>
      </c>
      <c r="Y190" s="7">
        <f>IF(TRIM(Raw_Bookings!L190&amp;"")="",1,0)</f>
        <v>0</v>
      </c>
      <c r="Z190" s="7">
        <f>IF(AND(ISTEXT(Raw_Bookings!L190),Y190=0),1,0)</f>
        <v>0</v>
      </c>
      <c r="AA190" s="7">
        <f>IF(Z190=1,IFERROR(VALUE(SUBSTITUTE(SUBSTITUTE(SUBSTITUTE(SUBSTITUTE(SUBSTITUTE(UPPER(Raw_Bookings!L190),"RS.",""),"₹",""),",","")," ",""),"INR","")),""),"")</f>
        <v/>
      </c>
      <c r="AB190" s="7">
        <f>IF(AND(Z190=1,ISNUMBER(AA190)),1,0)</f>
        <v>0</v>
      </c>
      <c r="AC190" s="7">
        <f>IF(B190=1,0,IF(NOT(ISNUMBER(Raw_Bookings!J190)),1,IF(Raw_Bookings!J190&lt;&gt;COUNTIFS(Work_Passengers!$B$2:$B$1336,Raw_Bookings!A190,Work_Passengers!$C$2:$C$1336,0),1,0)))</f>
        <v>0</v>
      </c>
    </row>
    <row r="191" spans="1:29">
      <c r="A191" s="7">
        <f>Raw_Bookings!A191</f>
        <v>1062319</v>
      </c>
      <c r="B191" s="7">
        <f>IF(COUNTIF(Raw_Bookings!$A$2:A191,Raw_Bookings!A191)&gt;1,1,0)</f>
        <v>0</v>
      </c>
      <c r="C191" s="7" t="str">
        <f>Raw_Bookings!D191&amp;""</f>
        <v>2025-07-02</v>
      </c>
      <c r="D191" s="7" t="str">
        <f>IF(AND(LEN(C191)=10,MID(C191,5,1)="-",MID(C191,8,1)="-"),"ISO",IF(AND(LEN(C191)=10,MID(C191,3,1)="-",MID(C191,6,1)="-"),"DMY","OTHER"))</f>
        <v>ISO</v>
      </c>
      <c r="E191" s="7">
        <f>IF(D191="ISO",VALUE(LEFT(C191,4)),IF(D191="DMY",VALUE(RIGHT(C191,4)),0))</f>
        <v>2025</v>
      </c>
      <c r="F191" s="7">
        <f>IF(D191="ISO",VALUE(MID(C191,6,2)),IF(D191="DMY",VALUE(MID(C191,4,2)),0))</f>
        <v>7</v>
      </c>
      <c r="G191" s="7">
        <f>IF(D191="ISO",VALUE(RIGHT(C191,2)),IF(D191="DMY",VALUE(LEFT(C191,2)),0))</f>
        <v>2</v>
      </c>
      <c r="H191" s="7">
        <f>IF(AND(D191&lt;&gt;"OTHER",F191&gt;=1,F191&lt;=12,G191&gt;=1,G191&lt;=31),IF(AND(MONTH(DATE(E191,F191,G191))=F191,DAY(DATE(E191,F191,G191))=G191),1,0),0)</f>
        <v>1</v>
      </c>
      <c r="I191" s="7">
        <f>IF(H191=1,DATE(E191,F191,G191),"")</f>
        <v>45840.0</v>
      </c>
      <c r="J191" s="7">
        <f>IF(AND(D191="DMY",H191=1),1,0)</f>
        <v>0</v>
      </c>
      <c r="K191" s="7">
        <f>IF(H191=0,1,0)</f>
        <v>0</v>
      </c>
      <c r="L191" s="7">
        <f>IF(TRIM(Raw_Bookings!I191&amp;"")="",1,0)</f>
        <v>0</v>
      </c>
      <c r="M191" s="7">
        <f>IF(L191=1,"",DATEVALUE(LEFT(Raw_Bookings!I191,10))+TIMEVALUE(MID(Raw_Bookings!I191,12,8)))</f>
        <v>45744.67070601852</v>
      </c>
      <c r="N191" s="7">
        <f>IF(AND(L191=0,H191=1),IF(INT(M191)&gt;I191,1,0),0)</f>
        <v>0</v>
      </c>
      <c r="O191" s="7" t="str">
        <f>UPPER(TRIM(Raw_Bookings!F191))</f>
        <v>RAN</v>
      </c>
      <c r="P191" s="7" t="str">
        <f>UPPER(TRIM(Raw_Bookings!G191))</f>
        <v>COI</v>
      </c>
      <c r="Q191" s="7">
        <f>IF(COUNTIF(Lookup_Stations!$A$2:$A$33,O191)&gt;0,1,0)</f>
        <v>1</v>
      </c>
      <c r="R191" s="7">
        <f>IF(COUNTIF(Lookup_Stations!$A$2:$A$33,P191)&gt;0,1,0)</f>
        <v>1</v>
      </c>
      <c r="S191" s="7">
        <f>IF(OR(AND(Q191=1,NOT(EXACT(Raw_Bookings!F191,O191))),AND(R191=1,NOT(EXACT(Raw_Bookings!G191,P191)))),1,0)</f>
        <v>0</v>
      </c>
      <c r="T191" s="7">
        <f>IF(OR(Q191=0,R191=0),1,0)</f>
        <v>0</v>
      </c>
      <c r="U191" s="7">
        <f>IF(TRIM(Raw_Bookings!E191&amp;"")="",1,0)</f>
        <v>0</v>
      </c>
      <c r="V191" s="7" t="str">
        <f>IF(SUMPRODUCT(--(Lookup_Status!$A$2:$A$13=LOWER(TRIM(Raw_Bookings!K191))))=0,"",INDEX(Lookup_Status!$B$2:$B$13,SUMPRODUCT((Lookup_Status!$A$2:$A$13=LOWER(TRIM(Raw_Bookings!K191)))*(ROW(Lookup_Status!$A$2:$A$13)-1))))</f>
        <v>Confirmed</v>
      </c>
      <c r="W191" s="7">
        <f>IF(AND(V191&lt;&gt;"",NOT(EXACT(Raw_Bookings!K191,V191))),1,0)</f>
        <v>0</v>
      </c>
      <c r="X191" s="7">
        <f>IF(V191="",1,0)</f>
        <v>0</v>
      </c>
      <c r="Y191" s="7">
        <f>IF(TRIM(Raw_Bookings!L191&amp;"")="",1,0)</f>
        <v>0</v>
      </c>
      <c r="Z191" s="7">
        <f>IF(AND(ISTEXT(Raw_Bookings!L191),Y191=0),1,0)</f>
        <v>0</v>
      </c>
      <c r="AA191" s="7">
        <f>IF(Z191=1,IFERROR(VALUE(SUBSTITUTE(SUBSTITUTE(SUBSTITUTE(SUBSTITUTE(SUBSTITUTE(UPPER(Raw_Bookings!L191),"RS.",""),"₹",""),",","")," ",""),"INR","")),""),"")</f>
        <v/>
      </c>
      <c r="AB191" s="7">
        <f>IF(AND(Z191=1,ISNUMBER(AA191)),1,0)</f>
        <v>0</v>
      </c>
      <c r="AC191" s="7">
        <f>IF(B191=1,0,IF(NOT(ISNUMBER(Raw_Bookings!J191)),1,IF(Raw_Bookings!J191&lt;&gt;COUNTIFS(Work_Passengers!$B$2:$B$1336,Raw_Bookings!A191,Work_Passengers!$C$2:$C$1336,0),1,0)))</f>
        <v>0</v>
      </c>
    </row>
    <row r="192" spans="1:29">
      <c r="A192" s="7">
        <f>Raw_Bookings!A192</f>
        <v>1062784</v>
      </c>
      <c r="B192" s="7">
        <f>IF(COUNTIF(Raw_Bookings!$A$2:A192,Raw_Bookings!A192)&gt;1,1,0)</f>
        <v>0</v>
      </c>
      <c r="C192" s="7" t="str">
        <f>Raw_Bookings!D192&amp;""</f>
        <v>2025-04-20</v>
      </c>
      <c r="D192" s="7" t="str">
        <f>IF(AND(LEN(C192)=10,MID(C192,5,1)="-",MID(C192,8,1)="-"),"ISO",IF(AND(LEN(C192)=10,MID(C192,3,1)="-",MID(C192,6,1)="-"),"DMY","OTHER"))</f>
        <v>ISO</v>
      </c>
      <c r="E192" s="7">
        <f>IF(D192="ISO",VALUE(LEFT(C192,4)),IF(D192="DMY",VALUE(RIGHT(C192,4)),0))</f>
        <v>2025</v>
      </c>
      <c r="F192" s="7">
        <f>IF(D192="ISO",VALUE(MID(C192,6,2)),IF(D192="DMY",VALUE(MID(C192,4,2)),0))</f>
        <v>4</v>
      </c>
      <c r="G192" s="7">
        <f>IF(D192="ISO",VALUE(RIGHT(C192,2)),IF(D192="DMY",VALUE(LEFT(C192,2)),0))</f>
        <v>20</v>
      </c>
      <c r="H192" s="7">
        <f>IF(AND(D192&lt;&gt;"OTHER",F192&gt;=1,F192&lt;=12,G192&gt;=1,G192&lt;=31),IF(AND(MONTH(DATE(E192,F192,G192))=F192,DAY(DATE(E192,F192,G192))=G192),1,0),0)</f>
        <v>1</v>
      </c>
      <c r="I192" s="7">
        <f>IF(H192=1,DATE(E192,F192,G192),"")</f>
        <v>45767.0</v>
      </c>
      <c r="J192" s="7">
        <f>IF(AND(D192="DMY",H192=1),1,0)</f>
        <v>0</v>
      </c>
      <c r="K192" s="7">
        <f>IF(H192=0,1,0)</f>
        <v>0</v>
      </c>
      <c r="L192" s="7">
        <f>IF(TRIM(Raw_Bookings!I192&amp;"")="",1,0)</f>
        <v>0</v>
      </c>
      <c r="M192" s="7">
        <f>IF(L192=1,"",DATEVALUE(LEFT(Raw_Bookings!I192,10))+TIMEVALUE(MID(Raw_Bookings!I192,12,8)))</f>
        <v>45746.22715277778</v>
      </c>
      <c r="N192" s="7">
        <f>IF(AND(L192=0,H192=1),IF(INT(M192)&gt;I192,1,0),0)</f>
        <v>0</v>
      </c>
      <c r="O192" s="7" t="str">
        <f>UPPER(TRIM(Raw_Bookings!F192))</f>
        <v>MUM</v>
      </c>
      <c r="P192" s="7" t="str">
        <f>UPPER(TRIM(Raw_Bookings!G192))</f>
        <v>BEN</v>
      </c>
      <c r="Q192" s="7">
        <f>IF(COUNTIF(Lookup_Stations!$A$2:$A$33,O192)&gt;0,1,0)</f>
        <v>1</v>
      </c>
      <c r="R192" s="7">
        <f>IF(COUNTIF(Lookup_Stations!$A$2:$A$33,P192)&gt;0,1,0)</f>
        <v>1</v>
      </c>
      <c r="S192" s="7">
        <f>IF(OR(AND(Q192=1,NOT(EXACT(Raw_Bookings!F192,O192))),AND(R192=1,NOT(EXACT(Raw_Bookings!G192,P192)))),1,0)</f>
        <v>0</v>
      </c>
      <c r="T192" s="7">
        <f>IF(OR(Q192=0,R192=0),1,0)</f>
        <v>0</v>
      </c>
      <c r="U192" s="7">
        <f>IF(TRIM(Raw_Bookings!E192&amp;"")="",1,0)</f>
        <v>0</v>
      </c>
      <c r="V192" s="7" t="str">
        <f>IF(SUMPRODUCT(--(Lookup_Status!$A$2:$A$13=LOWER(TRIM(Raw_Bookings!K192))))=0,"",INDEX(Lookup_Status!$B$2:$B$13,SUMPRODUCT((Lookup_Status!$A$2:$A$13=LOWER(TRIM(Raw_Bookings!K192)))*(ROW(Lookup_Status!$A$2:$A$13)-1))))</f>
        <v>Confirmed</v>
      </c>
      <c r="W192" s="7">
        <f>IF(AND(V192&lt;&gt;"",NOT(EXACT(Raw_Bookings!K192,V192))),1,0)</f>
        <v>0</v>
      </c>
      <c r="X192" s="7">
        <f>IF(V192="",1,0)</f>
        <v>0</v>
      </c>
      <c r="Y192" s="7">
        <f>IF(TRIM(Raw_Bookings!L192&amp;"")="",1,0)</f>
        <v>0</v>
      </c>
      <c r="Z192" s="7">
        <f>IF(AND(ISTEXT(Raw_Bookings!L192),Y192=0),1,0)</f>
        <v>0</v>
      </c>
      <c r="AA192" s="7">
        <f>IF(Z192=1,IFERROR(VALUE(SUBSTITUTE(SUBSTITUTE(SUBSTITUTE(SUBSTITUTE(SUBSTITUTE(UPPER(Raw_Bookings!L192),"RS.",""),"₹",""),",","")," ",""),"INR","")),""),"")</f>
        <v/>
      </c>
      <c r="AB192" s="7">
        <f>IF(AND(Z192=1,ISNUMBER(AA192)),1,0)</f>
        <v>0</v>
      </c>
      <c r="AC192" s="7">
        <f>IF(B192=1,0,IF(NOT(ISNUMBER(Raw_Bookings!J192)),1,IF(Raw_Bookings!J192&lt;&gt;COUNTIFS(Work_Passengers!$B$2:$B$1336,Raw_Bookings!A192,Work_Passengers!$C$2:$C$1336,0),1,0)))</f>
        <v>0</v>
      </c>
    </row>
    <row r="193" spans="1:29">
      <c r="A193" s="7">
        <f>Raw_Bookings!A193</f>
        <v>1062812</v>
      </c>
      <c r="B193" s="7">
        <f>IF(COUNTIF(Raw_Bookings!$A$2:A193,Raw_Bookings!A193)&gt;1,1,0)</f>
        <v>0</v>
      </c>
      <c r="C193" s="7" t="str">
        <f>Raw_Bookings!D193&amp;""</f>
        <v>2025-04-04</v>
      </c>
      <c r="D193" s="7" t="str">
        <f>IF(AND(LEN(C193)=10,MID(C193,5,1)="-",MID(C193,8,1)="-"),"ISO",IF(AND(LEN(C193)=10,MID(C193,3,1)="-",MID(C193,6,1)="-"),"DMY","OTHER"))</f>
        <v>ISO</v>
      </c>
      <c r="E193" s="7">
        <f>IF(D193="ISO",VALUE(LEFT(C193,4)),IF(D193="DMY",VALUE(RIGHT(C193,4)),0))</f>
        <v>2025</v>
      </c>
      <c r="F193" s="7">
        <f>IF(D193="ISO",VALUE(MID(C193,6,2)),IF(D193="DMY",VALUE(MID(C193,4,2)),0))</f>
        <v>4</v>
      </c>
      <c r="G193" s="7">
        <f>IF(D193="ISO",VALUE(RIGHT(C193,2)),IF(D193="DMY",VALUE(LEFT(C193,2)),0))</f>
        <v>4</v>
      </c>
      <c r="H193" s="7">
        <f>IF(AND(D193&lt;&gt;"OTHER",F193&gt;=1,F193&lt;=12,G193&gt;=1,G193&lt;=31),IF(AND(MONTH(DATE(E193,F193,G193))=F193,DAY(DATE(E193,F193,G193))=G193),1,0),0)</f>
        <v>1</v>
      </c>
      <c r="I193" s="7">
        <f>IF(H193=1,DATE(E193,F193,G193),"")</f>
        <v>45751.0</v>
      </c>
      <c r="J193" s="7">
        <f>IF(AND(D193="DMY",H193=1),1,0)</f>
        <v>0</v>
      </c>
      <c r="K193" s="7">
        <f>IF(H193=0,1,0)</f>
        <v>0</v>
      </c>
      <c r="L193" s="7">
        <f>IF(TRIM(Raw_Bookings!I193&amp;"")="",1,0)</f>
        <v>0</v>
      </c>
      <c r="M193" s="7">
        <f>IF(L193=1,"",DATEVALUE(LEFT(Raw_Bookings!I193,10))+TIMEVALUE(MID(Raw_Bookings!I193,12,8)))</f>
        <v>45746.320497685185</v>
      </c>
      <c r="N193" s="7">
        <f>IF(AND(L193=0,H193=1),IF(INT(M193)&gt;I193,1,0),0)</f>
        <v>0</v>
      </c>
      <c r="O193" s="7" t="str">
        <f>UPPER(TRIM(Raw_Bookings!F193))</f>
        <v>VIJ</v>
      </c>
      <c r="P193" s="7" t="str">
        <f>UPPER(TRIM(Raw_Bookings!G193))</f>
        <v>PAT</v>
      </c>
      <c r="Q193" s="7">
        <f>IF(COUNTIF(Lookup_Stations!$A$2:$A$33,O193)&gt;0,1,0)</f>
        <v>1</v>
      </c>
      <c r="R193" s="7">
        <f>IF(COUNTIF(Lookup_Stations!$A$2:$A$33,P193)&gt;0,1,0)</f>
        <v>1</v>
      </c>
      <c r="S193" s="7">
        <f>IF(OR(AND(Q193=1,NOT(EXACT(Raw_Bookings!F193,O193))),AND(R193=1,NOT(EXACT(Raw_Bookings!G193,P193)))),1,0)</f>
        <v>0</v>
      </c>
      <c r="T193" s="7">
        <f>IF(OR(Q193=0,R193=0),1,0)</f>
        <v>0</v>
      </c>
      <c r="U193" s="7">
        <f>IF(TRIM(Raw_Bookings!E193&amp;"")="",1,0)</f>
        <v>0</v>
      </c>
      <c r="V193" s="7" t="str">
        <f>IF(SUMPRODUCT(--(Lookup_Status!$A$2:$A$13=LOWER(TRIM(Raw_Bookings!K193))))=0,"",INDEX(Lookup_Status!$B$2:$B$13,SUMPRODUCT((Lookup_Status!$A$2:$A$13=LOWER(TRIM(Raw_Bookings!K193)))*(ROW(Lookup_Status!$A$2:$A$13)-1))))</f>
        <v>RAC</v>
      </c>
      <c r="W193" s="7">
        <f>IF(AND(V193&lt;&gt;"",NOT(EXACT(Raw_Bookings!K193,V193))),1,0)</f>
        <v>0</v>
      </c>
      <c r="X193" s="7">
        <f>IF(V193="",1,0)</f>
        <v>0</v>
      </c>
      <c r="Y193" s="7">
        <f>IF(TRIM(Raw_Bookings!L193&amp;"")="",1,0)</f>
        <v>0</v>
      </c>
      <c r="Z193" s="7">
        <f>IF(AND(ISTEXT(Raw_Bookings!L193),Y193=0),1,0)</f>
        <v>0</v>
      </c>
      <c r="AA193" s="7">
        <f>IF(Z193=1,IFERROR(VALUE(SUBSTITUTE(SUBSTITUTE(SUBSTITUTE(SUBSTITUTE(SUBSTITUTE(UPPER(Raw_Bookings!L193),"RS.",""),"₹",""),",","")," ",""),"INR","")),""),"")</f>
        <v/>
      </c>
      <c r="AB193" s="7">
        <f>IF(AND(Z193=1,ISNUMBER(AA193)),1,0)</f>
        <v>0</v>
      </c>
      <c r="AC193" s="7">
        <f>IF(B193=1,0,IF(NOT(ISNUMBER(Raw_Bookings!J193)),1,IF(Raw_Bookings!J193&lt;&gt;COUNTIFS(Work_Passengers!$B$2:$B$1336,Raw_Bookings!A193,Work_Passengers!$C$2:$C$1336,0),1,0)))</f>
        <v>0</v>
      </c>
    </row>
    <row r="194" spans="1:29">
      <c r="A194" s="7">
        <f>Raw_Bookings!A194</f>
        <v>1063280</v>
      </c>
      <c r="B194" s="7">
        <f>IF(COUNTIF(Raw_Bookings!$A$2:A194,Raw_Bookings!A194)&gt;1,1,0)</f>
        <v>0</v>
      </c>
      <c r="C194" s="7" t="str">
        <f>Raw_Bookings!D194&amp;""</f>
        <v>2025-04-26</v>
      </c>
      <c r="D194" s="7" t="str">
        <f>IF(AND(LEN(C194)=10,MID(C194,5,1)="-",MID(C194,8,1)="-"),"ISO",IF(AND(LEN(C194)=10,MID(C194,3,1)="-",MID(C194,6,1)="-"),"DMY","OTHER"))</f>
        <v>ISO</v>
      </c>
      <c r="E194" s="7">
        <f>IF(D194="ISO",VALUE(LEFT(C194,4)),IF(D194="DMY",VALUE(RIGHT(C194,4)),0))</f>
        <v>2025</v>
      </c>
      <c r="F194" s="7">
        <f>IF(D194="ISO",VALUE(MID(C194,6,2)),IF(D194="DMY",VALUE(MID(C194,4,2)),0))</f>
        <v>4</v>
      </c>
      <c r="G194" s="7">
        <f>IF(D194="ISO",VALUE(RIGHT(C194,2)),IF(D194="DMY",VALUE(LEFT(C194,2)),0))</f>
        <v>26</v>
      </c>
      <c r="H194" s="7">
        <f>IF(AND(D194&lt;&gt;"OTHER",F194&gt;=1,F194&lt;=12,G194&gt;=1,G194&lt;=31),IF(AND(MONTH(DATE(E194,F194,G194))=F194,DAY(DATE(E194,F194,G194))=G194),1,0),0)</f>
        <v>1</v>
      </c>
      <c r="I194" s="7">
        <f>IF(H194=1,DATE(E194,F194,G194),"")</f>
        <v>45773.0</v>
      </c>
      <c r="J194" s="7">
        <f>IF(AND(D194="DMY",H194=1),1,0)</f>
        <v>0</v>
      </c>
      <c r="K194" s="7">
        <f>IF(H194=0,1,0)</f>
        <v>0</v>
      </c>
      <c r="L194" s="7">
        <f>IF(TRIM(Raw_Bookings!I194&amp;"")="",1,0)</f>
        <v>0</v>
      </c>
      <c r="M194" s="7">
        <f>IF(L194=1,"",DATEVALUE(LEFT(Raw_Bookings!I194,10))+TIMEVALUE(MID(Raw_Bookings!I194,12,8)))</f>
        <v>45747.696921296294</v>
      </c>
      <c r="N194" s="7">
        <f>IF(AND(L194=0,H194=1),IF(INT(M194)&gt;I194,1,0),0)</f>
        <v>0</v>
      </c>
      <c r="O194" s="7" t="str">
        <f>UPPER(TRIM(Raw_Bookings!F194))</f>
        <v>VAR</v>
      </c>
      <c r="P194" s="7" t="str">
        <f>UPPER(TRIM(Raw_Bookings!G194))</f>
        <v>AHM</v>
      </c>
      <c r="Q194" s="7">
        <f>IF(COUNTIF(Lookup_Stations!$A$2:$A$33,O194)&gt;0,1,0)</f>
        <v>1</v>
      </c>
      <c r="R194" s="7">
        <f>IF(COUNTIF(Lookup_Stations!$A$2:$A$33,P194)&gt;0,1,0)</f>
        <v>1</v>
      </c>
      <c r="S194" s="7">
        <f>IF(OR(AND(Q194=1,NOT(EXACT(Raw_Bookings!F194,O194))),AND(R194=1,NOT(EXACT(Raw_Bookings!G194,P194)))),1,0)</f>
        <v>0</v>
      </c>
      <c r="T194" s="7">
        <f>IF(OR(Q194=0,R194=0),1,0)</f>
        <v>0</v>
      </c>
      <c r="U194" s="7">
        <f>IF(TRIM(Raw_Bookings!E194&amp;"")="",1,0)</f>
        <v>0</v>
      </c>
      <c r="V194" s="7" t="str">
        <f>IF(SUMPRODUCT(--(Lookup_Status!$A$2:$A$13=LOWER(TRIM(Raw_Bookings!K194))))=0,"",INDEX(Lookup_Status!$B$2:$B$13,SUMPRODUCT((Lookup_Status!$A$2:$A$13=LOWER(TRIM(Raw_Bookings!K194)))*(ROW(Lookup_Status!$A$2:$A$13)-1))))</f>
        <v>Confirmed</v>
      </c>
      <c r="W194" s="7">
        <f>IF(AND(V194&lt;&gt;"",NOT(EXACT(Raw_Bookings!K194,V194))),1,0)</f>
        <v>0</v>
      </c>
      <c r="X194" s="7">
        <f>IF(V194="",1,0)</f>
        <v>0</v>
      </c>
      <c r="Y194" s="7">
        <f>IF(TRIM(Raw_Bookings!L194&amp;"")="",1,0)</f>
        <v>0</v>
      </c>
      <c r="Z194" s="7">
        <f>IF(AND(ISTEXT(Raw_Bookings!L194),Y194=0),1,0)</f>
        <v>0</v>
      </c>
      <c r="AA194" s="7">
        <f>IF(Z194=1,IFERROR(VALUE(SUBSTITUTE(SUBSTITUTE(SUBSTITUTE(SUBSTITUTE(SUBSTITUTE(UPPER(Raw_Bookings!L194),"RS.",""),"₹",""),",","")," ",""),"INR","")),""),"")</f>
        <v/>
      </c>
      <c r="AB194" s="7">
        <f>IF(AND(Z194=1,ISNUMBER(AA194)),1,0)</f>
        <v>0</v>
      </c>
      <c r="AC194" s="7">
        <f>IF(B194=1,0,IF(NOT(ISNUMBER(Raw_Bookings!J194)),1,IF(Raw_Bookings!J194&lt;&gt;COUNTIFS(Work_Passengers!$B$2:$B$1336,Raw_Bookings!A194,Work_Passengers!$C$2:$C$1336,0),1,0)))</f>
        <v>0</v>
      </c>
    </row>
    <row r="195" spans="1:29">
      <c r="A195" s="7">
        <f>Raw_Bookings!A195</f>
        <v>1063693</v>
      </c>
      <c r="B195" s="7">
        <f>IF(COUNTIF(Raw_Bookings!$A$2:A195,Raw_Bookings!A195)&gt;1,1,0)</f>
        <v>0</v>
      </c>
      <c r="C195" s="7" t="str">
        <f>Raw_Bookings!D195&amp;""</f>
        <v>2025-04-02</v>
      </c>
      <c r="D195" s="7" t="str">
        <f>IF(AND(LEN(C195)=10,MID(C195,5,1)="-",MID(C195,8,1)="-"),"ISO",IF(AND(LEN(C195)=10,MID(C195,3,1)="-",MID(C195,6,1)="-"),"DMY","OTHER"))</f>
        <v>ISO</v>
      </c>
      <c r="E195" s="7">
        <f>IF(D195="ISO",VALUE(LEFT(C195,4)),IF(D195="DMY",VALUE(RIGHT(C195,4)),0))</f>
        <v>2025</v>
      </c>
      <c r="F195" s="7">
        <f>IF(D195="ISO",VALUE(MID(C195,6,2)),IF(D195="DMY",VALUE(MID(C195,4,2)),0))</f>
        <v>4</v>
      </c>
      <c r="G195" s="7">
        <f>IF(D195="ISO",VALUE(RIGHT(C195,2)),IF(D195="DMY",VALUE(LEFT(C195,2)),0))</f>
        <v>2</v>
      </c>
      <c r="H195" s="7">
        <f>IF(AND(D195&lt;&gt;"OTHER",F195&gt;=1,F195&lt;=12,G195&gt;=1,G195&lt;=31),IF(AND(MONTH(DATE(E195,F195,G195))=F195,DAY(DATE(E195,F195,G195))=G195),1,0),0)</f>
        <v>1</v>
      </c>
      <c r="I195" s="7">
        <f>IF(H195=1,DATE(E195,F195,G195),"")</f>
        <v>45749.0</v>
      </c>
      <c r="J195" s="7">
        <f>IF(AND(D195="DMY",H195=1),1,0)</f>
        <v>0</v>
      </c>
      <c r="K195" s="7">
        <f>IF(H195=0,1,0)</f>
        <v>0</v>
      </c>
      <c r="L195" s="7">
        <f>IF(TRIM(Raw_Bookings!I195&amp;"")="",1,0)</f>
        <v>0</v>
      </c>
      <c r="M195" s="7">
        <f>IF(L195=1,"",DATEVALUE(LEFT(Raw_Bookings!I195,10))+TIMEVALUE(MID(Raw_Bookings!I195,12,8)))</f>
        <v>45748.8269212963</v>
      </c>
      <c r="N195" s="7">
        <f>IF(AND(L195=0,H195=1),IF(INT(M195)&gt;I195,1,0),0)</f>
        <v>0</v>
      </c>
      <c r="O195" s="7" t="str">
        <f>UPPER(TRIM(Raw_Bookings!F195))</f>
        <v>VIS</v>
      </c>
      <c r="P195" s="7" t="str">
        <f>UPPER(TRIM(Raw_Bookings!G195))</f>
        <v>CHA</v>
      </c>
      <c r="Q195" s="7">
        <f>IF(COUNTIF(Lookup_Stations!$A$2:$A$33,O195)&gt;0,1,0)</f>
        <v>1</v>
      </c>
      <c r="R195" s="7">
        <f>IF(COUNTIF(Lookup_Stations!$A$2:$A$33,P195)&gt;0,1,0)</f>
        <v>1</v>
      </c>
      <c r="S195" s="7">
        <f>IF(OR(AND(Q195=1,NOT(EXACT(Raw_Bookings!F195,O195))),AND(R195=1,NOT(EXACT(Raw_Bookings!G195,P195)))),1,0)</f>
        <v>0</v>
      </c>
      <c r="T195" s="7">
        <f>IF(OR(Q195=0,R195=0),1,0)</f>
        <v>0</v>
      </c>
      <c r="U195" s="7">
        <f>IF(TRIM(Raw_Bookings!E195&amp;"")="",1,0)</f>
        <v>0</v>
      </c>
      <c r="V195" s="7" t="str">
        <f>IF(SUMPRODUCT(--(Lookup_Status!$A$2:$A$13=LOWER(TRIM(Raw_Bookings!K195))))=0,"",INDEX(Lookup_Status!$B$2:$B$13,SUMPRODUCT((Lookup_Status!$A$2:$A$13=LOWER(TRIM(Raw_Bookings!K195)))*(ROW(Lookup_Status!$A$2:$A$13)-1))))</f>
        <v>Confirmed</v>
      </c>
      <c r="W195" s="7">
        <f>IF(AND(V195&lt;&gt;"",NOT(EXACT(Raw_Bookings!K195,V195))),1,0)</f>
        <v>0</v>
      </c>
      <c r="X195" s="7">
        <f>IF(V195="",1,0)</f>
        <v>0</v>
      </c>
      <c r="Y195" s="7">
        <f>IF(TRIM(Raw_Bookings!L195&amp;"")="",1,0)</f>
        <v>0</v>
      </c>
      <c r="Z195" s="7">
        <f>IF(AND(ISTEXT(Raw_Bookings!L195),Y195=0),1,0)</f>
        <v>0</v>
      </c>
      <c r="AA195" s="7">
        <f>IF(Z195=1,IFERROR(VALUE(SUBSTITUTE(SUBSTITUTE(SUBSTITUTE(SUBSTITUTE(SUBSTITUTE(UPPER(Raw_Bookings!L195),"RS.",""),"₹",""),",","")," ",""),"INR","")),""),"")</f>
        <v/>
      </c>
      <c r="AB195" s="7">
        <f>IF(AND(Z195=1,ISNUMBER(AA195)),1,0)</f>
        <v>0</v>
      </c>
      <c r="AC195" s="7">
        <f>IF(B195=1,0,IF(NOT(ISNUMBER(Raw_Bookings!J195)),1,IF(Raw_Bookings!J195&lt;&gt;COUNTIFS(Work_Passengers!$B$2:$B$1336,Raw_Bookings!A195,Work_Passengers!$C$2:$C$1336,0),1,0)))</f>
        <v>0</v>
      </c>
    </row>
    <row r="196" spans="1:29">
      <c r="A196" s="7">
        <f>Raw_Bookings!A196</f>
        <v>1064376</v>
      </c>
      <c r="B196" s="7">
        <f>IF(COUNTIF(Raw_Bookings!$A$2:A196,Raw_Bookings!A196)&gt;1,1,0)</f>
        <v>0</v>
      </c>
      <c r="C196" s="7" t="str">
        <f>Raw_Bookings!D196&amp;""</f>
        <v>2025-05-24</v>
      </c>
      <c r="D196" s="7" t="str">
        <f>IF(AND(LEN(C196)=10,MID(C196,5,1)="-",MID(C196,8,1)="-"),"ISO",IF(AND(LEN(C196)=10,MID(C196,3,1)="-",MID(C196,6,1)="-"),"DMY","OTHER"))</f>
        <v>ISO</v>
      </c>
      <c r="E196" s="7">
        <f>IF(D196="ISO",VALUE(LEFT(C196,4)),IF(D196="DMY",VALUE(RIGHT(C196,4)),0))</f>
        <v>2025</v>
      </c>
      <c r="F196" s="7">
        <f>IF(D196="ISO",VALUE(MID(C196,6,2)),IF(D196="DMY",VALUE(MID(C196,4,2)),0))</f>
        <v>5</v>
      </c>
      <c r="G196" s="7">
        <f>IF(D196="ISO",VALUE(RIGHT(C196,2)),IF(D196="DMY",VALUE(LEFT(C196,2)),0))</f>
        <v>24</v>
      </c>
      <c r="H196" s="7">
        <f>IF(AND(D196&lt;&gt;"OTHER",F196&gt;=1,F196&lt;=12,G196&gt;=1,G196&lt;=31),IF(AND(MONTH(DATE(E196,F196,G196))=F196,DAY(DATE(E196,F196,G196))=G196),1,0),0)</f>
        <v>1</v>
      </c>
      <c r="I196" s="7">
        <f>IF(H196=1,DATE(E196,F196,G196),"")</f>
        <v>45801.0</v>
      </c>
      <c r="J196" s="7">
        <f>IF(AND(D196="DMY",H196=1),1,0)</f>
        <v>0</v>
      </c>
      <c r="K196" s="7">
        <f>IF(H196=0,1,0)</f>
        <v>0</v>
      </c>
      <c r="L196" s="7">
        <f>IF(TRIM(Raw_Bookings!I196&amp;"")="",1,0)</f>
        <v>0</v>
      </c>
      <c r="M196" s="7">
        <f>IF(L196=1,"",DATEVALUE(LEFT(Raw_Bookings!I196,10))+TIMEVALUE(MID(Raw_Bookings!I196,12,8)))</f>
        <v>45751.36797453704</v>
      </c>
      <c r="N196" s="7">
        <f>IF(AND(L196=0,H196=1),IF(INT(M196)&gt;I196,1,0),0)</f>
        <v>0</v>
      </c>
      <c r="O196" s="7" t="str">
        <f>UPPER(TRIM(Raw_Bookings!F196))</f>
        <v>DIB</v>
      </c>
      <c r="P196" s="7" t="str">
        <f>UPPER(TRIM(Raw_Bookings!G196))</f>
        <v>DEL</v>
      </c>
      <c r="Q196" s="7">
        <f>IF(COUNTIF(Lookup_Stations!$A$2:$A$33,O196)&gt;0,1,0)</f>
        <v>1</v>
      </c>
      <c r="R196" s="7">
        <f>IF(COUNTIF(Lookup_Stations!$A$2:$A$33,P196)&gt;0,1,0)</f>
        <v>1</v>
      </c>
      <c r="S196" s="7">
        <f>IF(OR(AND(Q196=1,NOT(EXACT(Raw_Bookings!F196,O196))),AND(R196=1,NOT(EXACT(Raw_Bookings!G196,P196)))),1,0)</f>
        <v>0</v>
      </c>
      <c r="T196" s="7">
        <f>IF(OR(Q196=0,R196=0),1,0)</f>
        <v>0</v>
      </c>
      <c r="U196" s="7">
        <f>IF(TRIM(Raw_Bookings!E196&amp;"")="",1,0)</f>
        <v>0</v>
      </c>
      <c r="V196" s="7" t="str">
        <f>IF(SUMPRODUCT(--(Lookup_Status!$A$2:$A$13=LOWER(TRIM(Raw_Bookings!K196))))=0,"",INDEX(Lookup_Status!$B$2:$B$13,SUMPRODUCT((Lookup_Status!$A$2:$A$13=LOWER(TRIM(Raw_Bookings!K196)))*(ROW(Lookup_Status!$A$2:$A$13)-1))))</f>
        <v>Confirmed</v>
      </c>
      <c r="W196" s="7">
        <f>IF(AND(V196&lt;&gt;"",NOT(EXACT(Raw_Bookings!K196,V196))),1,0)</f>
        <v>0</v>
      </c>
      <c r="X196" s="7">
        <f>IF(V196="",1,0)</f>
        <v>0</v>
      </c>
      <c r="Y196" s="7">
        <f>IF(TRIM(Raw_Bookings!L196&amp;"")="",1,0)</f>
        <v>0</v>
      </c>
      <c r="Z196" s="7">
        <f>IF(AND(ISTEXT(Raw_Bookings!L196),Y196=0),1,0)</f>
        <v>0</v>
      </c>
      <c r="AA196" s="7">
        <f>IF(Z196=1,IFERROR(VALUE(SUBSTITUTE(SUBSTITUTE(SUBSTITUTE(SUBSTITUTE(SUBSTITUTE(UPPER(Raw_Bookings!L196),"RS.",""),"₹",""),",","")," ",""),"INR","")),""),"")</f>
        <v/>
      </c>
      <c r="AB196" s="7">
        <f>IF(AND(Z196=1,ISNUMBER(AA196)),1,0)</f>
        <v>0</v>
      </c>
      <c r="AC196" s="7">
        <f>IF(B196=1,0,IF(NOT(ISNUMBER(Raw_Bookings!J196)),1,IF(Raw_Bookings!J196&lt;&gt;COUNTIFS(Work_Passengers!$B$2:$B$1336,Raw_Bookings!A196,Work_Passengers!$C$2:$C$1336,0),1,0)))</f>
        <v>0</v>
      </c>
    </row>
    <row r="197" spans="1:29">
      <c r="A197" s="7">
        <f>Raw_Bookings!A197</f>
        <v>1064925</v>
      </c>
      <c r="B197" s="7">
        <f>IF(COUNTIF(Raw_Bookings!$A$2:A197,Raw_Bookings!A197)&gt;1,1,0)</f>
        <v>0</v>
      </c>
      <c r="C197" s="7" t="str">
        <f>Raw_Bookings!D197&amp;""</f>
        <v>2025-06-09</v>
      </c>
      <c r="D197" s="7" t="str">
        <f>IF(AND(LEN(C197)=10,MID(C197,5,1)="-",MID(C197,8,1)="-"),"ISO",IF(AND(LEN(C197)=10,MID(C197,3,1)="-",MID(C197,6,1)="-"),"DMY","OTHER"))</f>
        <v>ISO</v>
      </c>
      <c r="E197" s="7">
        <f>IF(D197="ISO",VALUE(LEFT(C197,4)),IF(D197="DMY",VALUE(RIGHT(C197,4)),0))</f>
        <v>2025</v>
      </c>
      <c r="F197" s="7">
        <f>IF(D197="ISO",VALUE(MID(C197,6,2)),IF(D197="DMY",VALUE(MID(C197,4,2)),0))</f>
        <v>6</v>
      </c>
      <c r="G197" s="7">
        <f>IF(D197="ISO",VALUE(RIGHT(C197,2)),IF(D197="DMY",VALUE(LEFT(C197,2)),0))</f>
        <v>9</v>
      </c>
      <c r="H197" s="7">
        <f>IF(AND(D197&lt;&gt;"OTHER",F197&gt;=1,F197&lt;=12,G197&gt;=1,G197&lt;=31),IF(AND(MONTH(DATE(E197,F197,G197))=F197,DAY(DATE(E197,F197,G197))=G197),1,0),0)</f>
        <v>1</v>
      </c>
      <c r="I197" s="7">
        <f>IF(H197=1,DATE(E197,F197,G197),"")</f>
        <v>45817.0</v>
      </c>
      <c r="J197" s="7">
        <f>IF(AND(D197="DMY",H197=1),1,0)</f>
        <v>0</v>
      </c>
      <c r="K197" s="7">
        <f>IF(H197=0,1,0)</f>
        <v>0</v>
      </c>
      <c r="L197" s="7">
        <f>IF(TRIM(Raw_Bookings!I197&amp;"")="",1,0)</f>
        <v>0</v>
      </c>
      <c r="M197" s="7">
        <f>IF(L197=1,"",DATEVALUE(LEFT(Raw_Bookings!I197,10))+TIMEVALUE(MID(Raw_Bookings!I197,12,8)))</f>
        <v>45753.336643518516</v>
      </c>
      <c r="N197" s="7">
        <f>IF(AND(L197=0,H197=1),IF(INT(M197)&gt;I197,1,0),0)</f>
        <v>0</v>
      </c>
      <c r="O197" s="7" t="str">
        <f>UPPER(TRIM(Raw_Bookings!F197))</f>
        <v>MAD</v>
      </c>
      <c r="P197" s="7" t="str">
        <f>UPPER(TRIM(Raw_Bookings!G197))</f>
        <v>MAU</v>
      </c>
      <c r="Q197" s="7">
        <f>IF(COUNTIF(Lookup_Stations!$A$2:$A$33,O197)&gt;0,1,0)</f>
        <v>1</v>
      </c>
      <c r="R197" s="7">
        <f>IF(COUNTIF(Lookup_Stations!$A$2:$A$33,P197)&gt;0,1,0)</f>
        <v>1</v>
      </c>
      <c r="S197" s="7">
        <f>IF(OR(AND(Q197=1,NOT(EXACT(Raw_Bookings!F197,O197))),AND(R197=1,NOT(EXACT(Raw_Bookings!G197,P197)))),1,0)</f>
        <v>0</v>
      </c>
      <c r="T197" s="7">
        <f>IF(OR(Q197=0,R197=0),1,0)</f>
        <v>0</v>
      </c>
      <c r="U197" s="7">
        <f>IF(TRIM(Raw_Bookings!E197&amp;"")="",1,0)</f>
        <v>0</v>
      </c>
      <c r="V197" s="7" t="str">
        <f>IF(SUMPRODUCT(--(Lookup_Status!$A$2:$A$13=LOWER(TRIM(Raw_Bookings!K197))))=0,"",INDEX(Lookup_Status!$B$2:$B$13,SUMPRODUCT((Lookup_Status!$A$2:$A$13=LOWER(TRIM(Raw_Bookings!K197)))*(ROW(Lookup_Status!$A$2:$A$13)-1))))</f>
        <v>Confirmed</v>
      </c>
      <c r="W197" s="7">
        <f>IF(AND(V197&lt;&gt;"",NOT(EXACT(Raw_Bookings!K197,V197))),1,0)</f>
        <v>0</v>
      </c>
      <c r="X197" s="7">
        <f>IF(V197="",1,0)</f>
        <v>0</v>
      </c>
      <c r="Y197" s="7">
        <f>IF(TRIM(Raw_Bookings!L197&amp;"")="",1,0)</f>
        <v>0</v>
      </c>
      <c r="Z197" s="7">
        <f>IF(AND(ISTEXT(Raw_Bookings!L197),Y197=0),1,0)</f>
        <v>0</v>
      </c>
      <c r="AA197" s="7">
        <f>IF(Z197=1,IFERROR(VALUE(SUBSTITUTE(SUBSTITUTE(SUBSTITUTE(SUBSTITUTE(SUBSTITUTE(UPPER(Raw_Bookings!L197),"RS.",""),"₹",""),",","")," ",""),"INR","")),""),"")</f>
        <v/>
      </c>
      <c r="AB197" s="7">
        <f>IF(AND(Z197=1,ISNUMBER(AA197)),1,0)</f>
        <v>0</v>
      </c>
      <c r="AC197" s="7">
        <f>IF(B197=1,0,IF(NOT(ISNUMBER(Raw_Bookings!J197)),1,IF(Raw_Bookings!J197&lt;&gt;COUNTIFS(Work_Passengers!$B$2:$B$1336,Raw_Bookings!A197,Work_Passengers!$C$2:$C$1336,0),1,0)))</f>
        <v>0</v>
      </c>
    </row>
    <row r="198" spans="1:29">
      <c r="A198" s="7">
        <f>Raw_Bookings!A198</f>
        <v>1065300</v>
      </c>
      <c r="B198" s="7">
        <f>IF(COUNTIF(Raw_Bookings!$A$2:A198,Raw_Bookings!A198)&gt;1,1,0)</f>
        <v>0</v>
      </c>
      <c r="C198" s="7" t="str">
        <f>Raw_Bookings!D198&amp;""</f>
        <v>2025-06-04</v>
      </c>
      <c r="D198" s="7" t="str">
        <f>IF(AND(LEN(C198)=10,MID(C198,5,1)="-",MID(C198,8,1)="-"),"ISO",IF(AND(LEN(C198)=10,MID(C198,3,1)="-",MID(C198,6,1)="-"),"DMY","OTHER"))</f>
        <v>ISO</v>
      </c>
      <c r="E198" s="7">
        <f>IF(D198="ISO",VALUE(LEFT(C198,4)),IF(D198="DMY",VALUE(RIGHT(C198,4)),0))</f>
        <v>2025</v>
      </c>
      <c r="F198" s="7">
        <f>IF(D198="ISO",VALUE(MID(C198,6,2)),IF(D198="DMY",VALUE(MID(C198,4,2)),0))</f>
        <v>6</v>
      </c>
      <c r="G198" s="7">
        <f>IF(D198="ISO",VALUE(RIGHT(C198,2)),IF(D198="DMY",VALUE(LEFT(C198,2)),0))</f>
        <v>4</v>
      </c>
      <c r="H198" s="7">
        <f>IF(AND(D198&lt;&gt;"OTHER",F198&gt;=1,F198&lt;=12,G198&gt;=1,G198&lt;=31),IF(AND(MONTH(DATE(E198,F198,G198))=F198,DAY(DATE(E198,F198,G198))=G198),1,0),0)</f>
        <v>1</v>
      </c>
      <c r="I198" s="7">
        <f>IF(H198=1,DATE(E198,F198,G198),"")</f>
        <v>45812.0</v>
      </c>
      <c r="J198" s="7">
        <f>IF(AND(D198="DMY",H198=1),1,0)</f>
        <v>0</v>
      </c>
      <c r="K198" s="7">
        <f>IF(H198=0,1,0)</f>
        <v>0</v>
      </c>
      <c r="L198" s="7">
        <f>IF(TRIM(Raw_Bookings!I198&amp;"")="",1,0)</f>
        <v>0</v>
      </c>
      <c r="M198" s="7">
        <f>IF(L198=1,"",DATEVALUE(LEFT(Raw_Bookings!I198,10))+TIMEVALUE(MID(Raw_Bookings!I198,12,8)))</f>
        <v>45754.45925925926</v>
      </c>
      <c r="N198" s="7">
        <f>IF(AND(L198=0,H198=1),IF(INT(M198)&gt;I198,1,0),0)</f>
        <v>0</v>
      </c>
      <c r="O198" s="7" t="str">
        <f>UPPER(TRIM(Raw_Bookings!F198))</f>
        <v>DEL</v>
      </c>
      <c r="P198" s="7" t="str">
        <f>UPPER(TRIM(Raw_Bookings!G198))</f>
        <v>DIB</v>
      </c>
      <c r="Q198" s="7">
        <f>IF(COUNTIF(Lookup_Stations!$A$2:$A$33,O198)&gt;0,1,0)</f>
        <v>1</v>
      </c>
      <c r="R198" s="7">
        <f>IF(COUNTIF(Lookup_Stations!$A$2:$A$33,P198)&gt;0,1,0)</f>
        <v>1</v>
      </c>
      <c r="S198" s="7">
        <f>IF(OR(AND(Q198=1,NOT(EXACT(Raw_Bookings!F198,O198))),AND(R198=1,NOT(EXACT(Raw_Bookings!G198,P198)))),1,0)</f>
        <v>0</v>
      </c>
      <c r="T198" s="7">
        <f>IF(OR(Q198=0,R198=0),1,0)</f>
        <v>0</v>
      </c>
      <c r="U198" s="7">
        <f>IF(TRIM(Raw_Bookings!E198&amp;"")="",1,0)</f>
        <v>0</v>
      </c>
      <c r="V198" s="7" t="str">
        <f>IF(SUMPRODUCT(--(Lookup_Status!$A$2:$A$13=LOWER(TRIM(Raw_Bookings!K198))))=0,"",INDEX(Lookup_Status!$B$2:$B$13,SUMPRODUCT((Lookup_Status!$A$2:$A$13=LOWER(TRIM(Raw_Bookings!K198)))*(ROW(Lookup_Status!$A$2:$A$13)-1))))</f>
        <v>Confirmed</v>
      </c>
      <c r="W198" s="7">
        <f>IF(AND(V198&lt;&gt;"",NOT(EXACT(Raw_Bookings!K198,V198))),1,0)</f>
        <v>0</v>
      </c>
      <c r="X198" s="7">
        <f>IF(V198="",1,0)</f>
        <v>0</v>
      </c>
      <c r="Y198" s="7">
        <f>IF(TRIM(Raw_Bookings!L198&amp;"")="",1,0)</f>
        <v>0</v>
      </c>
      <c r="Z198" s="7">
        <f>IF(AND(ISTEXT(Raw_Bookings!L198),Y198=0),1,0)</f>
        <v>0</v>
      </c>
      <c r="AA198" s="7">
        <f>IF(Z198=1,IFERROR(VALUE(SUBSTITUTE(SUBSTITUTE(SUBSTITUTE(SUBSTITUTE(SUBSTITUTE(UPPER(Raw_Bookings!L198),"RS.",""),"₹",""),",","")," ",""),"INR","")),""),"")</f>
        <v/>
      </c>
      <c r="AB198" s="7">
        <f>IF(AND(Z198=1,ISNUMBER(AA198)),1,0)</f>
        <v>0</v>
      </c>
      <c r="AC198" s="7">
        <f>IF(B198=1,0,IF(NOT(ISNUMBER(Raw_Bookings!J198)),1,IF(Raw_Bookings!J198&lt;&gt;COUNTIFS(Work_Passengers!$B$2:$B$1336,Raw_Bookings!A198,Work_Passengers!$C$2:$C$1336,0),1,0)))</f>
        <v>0</v>
      </c>
    </row>
    <row r="199" spans="1:29">
      <c r="A199" s="7">
        <f>Raw_Bookings!A199</f>
        <v>1065560</v>
      </c>
      <c r="B199" s="7">
        <f>IF(COUNTIF(Raw_Bookings!$A$2:A199,Raw_Bookings!A199)&gt;1,1,0)</f>
        <v>0</v>
      </c>
      <c r="C199" s="7" t="str">
        <f>Raw_Bookings!D199&amp;""</f>
        <v>2025-04-11</v>
      </c>
      <c r="D199" s="7" t="str">
        <f>IF(AND(LEN(C199)=10,MID(C199,5,1)="-",MID(C199,8,1)="-"),"ISO",IF(AND(LEN(C199)=10,MID(C199,3,1)="-",MID(C199,6,1)="-"),"DMY","OTHER"))</f>
        <v>ISO</v>
      </c>
      <c r="E199" s="7">
        <f>IF(D199="ISO",VALUE(LEFT(C199,4)),IF(D199="DMY",VALUE(RIGHT(C199,4)),0))</f>
        <v>2025</v>
      </c>
      <c r="F199" s="7">
        <f>IF(D199="ISO",VALUE(MID(C199,6,2)),IF(D199="DMY",VALUE(MID(C199,4,2)),0))</f>
        <v>4</v>
      </c>
      <c r="G199" s="7">
        <f>IF(D199="ISO",VALUE(RIGHT(C199,2)),IF(D199="DMY",VALUE(LEFT(C199,2)),0))</f>
        <v>11</v>
      </c>
      <c r="H199" s="7">
        <f>IF(AND(D199&lt;&gt;"OTHER",F199&gt;=1,F199&lt;=12,G199&gt;=1,G199&lt;=31),IF(AND(MONTH(DATE(E199,F199,G199))=F199,DAY(DATE(E199,F199,G199))=G199),1,0),0)</f>
        <v>1</v>
      </c>
      <c r="I199" s="7">
        <f>IF(H199=1,DATE(E199,F199,G199),"")</f>
        <v>45758.0</v>
      </c>
      <c r="J199" s="7">
        <f>IF(AND(D199="DMY",H199=1),1,0)</f>
        <v>0</v>
      </c>
      <c r="K199" s="7">
        <f>IF(H199=0,1,0)</f>
        <v>0</v>
      </c>
      <c r="L199" s="7">
        <f>IF(TRIM(Raw_Bookings!I199&amp;"")="",1,0)</f>
        <v>0</v>
      </c>
      <c r="M199" s="7">
        <f>IF(L199=1,"",DATEVALUE(LEFT(Raw_Bookings!I199,10))+TIMEVALUE(MID(Raw_Bookings!I199,12,8)))</f>
        <v>45755.37137731481</v>
      </c>
      <c r="N199" s="7">
        <f>IF(AND(L199=0,H199=1),IF(INT(M199)&gt;I199,1,0),0)</f>
        <v>0</v>
      </c>
      <c r="O199" s="7" t="str">
        <f>UPPER(TRIM(Raw_Bookings!F199))</f>
        <v>RAI</v>
      </c>
      <c r="P199" s="7" t="str">
        <f>UPPER(TRIM(Raw_Bookings!G199))</f>
        <v>JAI</v>
      </c>
      <c r="Q199" s="7">
        <f>IF(COUNTIF(Lookup_Stations!$A$2:$A$33,O199)&gt;0,1,0)</f>
        <v>1</v>
      </c>
      <c r="R199" s="7">
        <f>IF(COUNTIF(Lookup_Stations!$A$2:$A$33,P199)&gt;0,1,0)</f>
        <v>1</v>
      </c>
      <c r="S199" s="7">
        <f>IF(OR(AND(Q199=1,NOT(EXACT(Raw_Bookings!F199,O199))),AND(R199=1,NOT(EXACT(Raw_Bookings!G199,P199)))),1,0)</f>
        <v>0</v>
      </c>
      <c r="T199" s="7">
        <f>IF(OR(Q199=0,R199=0),1,0)</f>
        <v>0</v>
      </c>
      <c r="U199" s="7">
        <f>IF(TRIM(Raw_Bookings!E199&amp;"")="",1,0)</f>
        <v>0</v>
      </c>
      <c r="V199" s="7" t="str">
        <f>IF(SUMPRODUCT(--(Lookup_Status!$A$2:$A$13=LOWER(TRIM(Raw_Bookings!K199))))=0,"",INDEX(Lookup_Status!$B$2:$B$13,SUMPRODUCT((Lookup_Status!$A$2:$A$13=LOWER(TRIM(Raw_Bookings!K199)))*(ROW(Lookup_Status!$A$2:$A$13)-1))))</f>
        <v>Confirmed</v>
      </c>
      <c r="W199" s="7">
        <f>IF(AND(V199&lt;&gt;"",NOT(EXACT(Raw_Bookings!K199,V199))),1,0)</f>
        <v>0</v>
      </c>
      <c r="X199" s="7">
        <f>IF(V199="",1,0)</f>
        <v>0</v>
      </c>
      <c r="Y199" s="7">
        <f>IF(TRIM(Raw_Bookings!L199&amp;"")="",1,0)</f>
        <v>0</v>
      </c>
      <c r="Z199" s="7">
        <f>IF(AND(ISTEXT(Raw_Bookings!L199),Y199=0),1,0)</f>
        <v>0</v>
      </c>
      <c r="AA199" s="7">
        <f>IF(Z199=1,IFERROR(VALUE(SUBSTITUTE(SUBSTITUTE(SUBSTITUTE(SUBSTITUTE(SUBSTITUTE(UPPER(Raw_Bookings!L199),"RS.",""),"₹",""),",","")," ",""),"INR","")),""),"")</f>
        <v/>
      </c>
      <c r="AB199" s="7">
        <f>IF(AND(Z199=1,ISNUMBER(AA199)),1,0)</f>
        <v>0</v>
      </c>
      <c r="AC199" s="7">
        <f>IF(B199=1,0,IF(NOT(ISNUMBER(Raw_Bookings!J199)),1,IF(Raw_Bookings!J199&lt;&gt;COUNTIFS(Work_Passengers!$B$2:$B$1336,Raw_Bookings!A199,Work_Passengers!$C$2:$C$1336,0),1,0)))</f>
        <v>0</v>
      </c>
    </row>
    <row r="200" spans="1:29">
      <c r="A200" s="7">
        <f>Raw_Bookings!A200</f>
        <v>1066087</v>
      </c>
      <c r="B200" s="7">
        <f>IF(COUNTIF(Raw_Bookings!$A$2:A200,Raw_Bookings!A200)&gt;1,1,0)</f>
        <v>0</v>
      </c>
      <c r="C200" s="7" t="str">
        <f>Raw_Bookings!D200&amp;""</f>
        <v>2025-04-20</v>
      </c>
      <c r="D200" s="7" t="str">
        <f>IF(AND(LEN(C200)=10,MID(C200,5,1)="-",MID(C200,8,1)="-"),"ISO",IF(AND(LEN(C200)=10,MID(C200,3,1)="-",MID(C200,6,1)="-"),"DMY","OTHER"))</f>
        <v>ISO</v>
      </c>
      <c r="E200" s="7">
        <f>IF(D200="ISO",VALUE(LEFT(C200,4)),IF(D200="DMY",VALUE(RIGHT(C200,4)),0))</f>
        <v>2025</v>
      </c>
      <c r="F200" s="7">
        <f>IF(D200="ISO",VALUE(MID(C200,6,2)),IF(D200="DMY",VALUE(MID(C200,4,2)),0))</f>
        <v>4</v>
      </c>
      <c r="G200" s="7">
        <f>IF(D200="ISO",VALUE(RIGHT(C200,2)),IF(D200="DMY",VALUE(LEFT(C200,2)),0))</f>
        <v>20</v>
      </c>
      <c r="H200" s="7">
        <f>IF(AND(D200&lt;&gt;"OTHER",F200&gt;=1,F200&lt;=12,G200&gt;=1,G200&lt;=31),IF(AND(MONTH(DATE(E200,F200,G200))=F200,DAY(DATE(E200,F200,G200))=G200),1,0),0)</f>
        <v>1</v>
      </c>
      <c r="I200" s="7">
        <f>IF(H200=1,DATE(E200,F200,G200),"")</f>
        <v>45767.0</v>
      </c>
      <c r="J200" s="7">
        <f>IF(AND(D200="DMY",H200=1),1,0)</f>
        <v>0</v>
      </c>
      <c r="K200" s="7">
        <f>IF(H200=0,1,0)</f>
        <v>0</v>
      </c>
      <c r="L200" s="7">
        <f>IF(TRIM(Raw_Bookings!I200&amp;"")="",1,0)</f>
        <v>0</v>
      </c>
      <c r="M200" s="7">
        <f>IF(L200=1,"",DATEVALUE(LEFT(Raw_Bookings!I200,10))+TIMEVALUE(MID(Raw_Bookings!I200,12,8)))</f>
        <v>45756.874930555554</v>
      </c>
      <c r="N200" s="7">
        <f>IF(AND(L200=0,H200=1),IF(INT(M200)&gt;I200,1,0),0)</f>
        <v>0</v>
      </c>
      <c r="O200" s="7" t="str">
        <f>UPPER(TRIM(Raw_Bookings!F200))</f>
        <v>MUM</v>
      </c>
      <c r="P200" s="7" t="str">
        <f>UPPER(TRIM(Raw_Bookings!G200))</f>
        <v>BEN</v>
      </c>
      <c r="Q200" s="7">
        <f>IF(COUNTIF(Lookup_Stations!$A$2:$A$33,O200)&gt;0,1,0)</f>
        <v>1</v>
      </c>
      <c r="R200" s="7">
        <f>IF(COUNTIF(Lookup_Stations!$A$2:$A$33,P200)&gt;0,1,0)</f>
        <v>1</v>
      </c>
      <c r="S200" s="7">
        <f>IF(OR(AND(Q200=1,NOT(EXACT(Raw_Bookings!F200,O200))),AND(R200=1,NOT(EXACT(Raw_Bookings!G200,P200)))),1,0)</f>
        <v>0</v>
      </c>
      <c r="T200" s="7">
        <f>IF(OR(Q200=0,R200=0),1,0)</f>
        <v>0</v>
      </c>
      <c r="U200" s="7">
        <f>IF(TRIM(Raw_Bookings!E200&amp;"")="",1,0)</f>
        <v>0</v>
      </c>
      <c r="V200" s="7" t="str">
        <f>IF(SUMPRODUCT(--(Lookup_Status!$A$2:$A$13=LOWER(TRIM(Raw_Bookings!K200))))=0,"",INDEX(Lookup_Status!$B$2:$B$13,SUMPRODUCT((Lookup_Status!$A$2:$A$13=LOWER(TRIM(Raw_Bookings!K200)))*(ROW(Lookup_Status!$A$2:$A$13)-1))))</f>
        <v>Confirmed</v>
      </c>
      <c r="W200" s="7">
        <f>IF(AND(V200&lt;&gt;"",NOT(EXACT(Raw_Bookings!K200,V200))),1,0)</f>
        <v>0</v>
      </c>
      <c r="X200" s="7">
        <f>IF(V200="",1,0)</f>
        <v>0</v>
      </c>
      <c r="Y200" s="7">
        <f>IF(TRIM(Raw_Bookings!L200&amp;"")="",1,0)</f>
        <v>0</v>
      </c>
      <c r="Z200" s="7">
        <f>IF(AND(ISTEXT(Raw_Bookings!L200),Y200=0),1,0)</f>
        <v>0</v>
      </c>
      <c r="AA200" s="7">
        <f>IF(Z200=1,IFERROR(VALUE(SUBSTITUTE(SUBSTITUTE(SUBSTITUTE(SUBSTITUTE(SUBSTITUTE(UPPER(Raw_Bookings!L200),"RS.",""),"₹",""),",","")," ",""),"INR","")),""),"")</f>
        <v/>
      </c>
      <c r="AB200" s="7">
        <f>IF(AND(Z200=1,ISNUMBER(AA200)),1,0)</f>
        <v>0</v>
      </c>
      <c r="AC200" s="7">
        <f>IF(B200=1,0,IF(NOT(ISNUMBER(Raw_Bookings!J200)),1,IF(Raw_Bookings!J200&lt;&gt;COUNTIFS(Work_Passengers!$B$2:$B$1336,Raw_Bookings!A200,Work_Passengers!$C$2:$C$1336,0),1,0)))</f>
        <v>0</v>
      </c>
    </row>
    <row r="201" spans="1:29">
      <c r="A201" s="7">
        <f>Raw_Bookings!A201</f>
        <v>1066182</v>
      </c>
      <c r="B201" s="7">
        <f>IF(COUNTIF(Raw_Bookings!$A$2:A201,Raw_Bookings!A201)&gt;1,1,0)</f>
        <v>0</v>
      </c>
      <c r="C201" s="7" t="str">
        <f>Raw_Bookings!D201&amp;""</f>
        <v>25-05-2025</v>
      </c>
      <c r="D201" s="7" t="str">
        <f>IF(AND(LEN(C201)=10,MID(C201,5,1)="-",MID(C201,8,1)="-"),"ISO",IF(AND(LEN(C201)=10,MID(C201,3,1)="-",MID(C201,6,1)="-"),"DMY","OTHER"))</f>
        <v>DMY</v>
      </c>
      <c r="E201" s="7">
        <f>IF(D201="ISO",VALUE(LEFT(C201,4)),IF(D201="DMY",VALUE(RIGHT(C201,4)),0))</f>
        <v>2025</v>
      </c>
      <c r="F201" s="7">
        <f>IF(D201="ISO",VALUE(MID(C201,6,2)),IF(D201="DMY",VALUE(MID(C201,4,2)),0))</f>
        <v>5</v>
      </c>
      <c r="G201" s="7">
        <f>IF(D201="ISO",VALUE(RIGHT(C201,2)),IF(D201="DMY",VALUE(LEFT(C201,2)),0))</f>
        <v>25</v>
      </c>
      <c r="H201" s="7">
        <f>IF(AND(D201&lt;&gt;"OTHER",F201&gt;=1,F201&lt;=12,G201&gt;=1,G201&lt;=31),IF(AND(MONTH(DATE(E201,F201,G201))=F201,DAY(DATE(E201,F201,G201))=G201),1,0),0)</f>
        <v>1</v>
      </c>
      <c r="I201" s="7">
        <f>IF(H201=1,DATE(E201,F201,G201),"")</f>
        <v>45802.0</v>
      </c>
      <c r="J201" s="7">
        <f>IF(AND(D201="DMY",H201=1),1,0)</f>
        <v>1</v>
      </c>
      <c r="K201" s="7">
        <f>IF(H201=0,1,0)</f>
        <v>0</v>
      </c>
      <c r="L201" s="7">
        <f>IF(TRIM(Raw_Bookings!I201&amp;"")="",1,0)</f>
        <v>0</v>
      </c>
      <c r="M201" s="7">
        <f>IF(L201=1,"",DATEVALUE(LEFT(Raw_Bookings!I201,10))+TIMEVALUE(MID(Raw_Bookings!I201,12,8)))</f>
        <v>45757.36844907407</v>
      </c>
      <c r="N201" s="7">
        <f>IF(AND(L201=0,H201=1),IF(INT(M201)&gt;I201,1,0),0)</f>
        <v>0</v>
      </c>
      <c r="O201" s="7" t="str">
        <f>UPPER(TRIM(Raw_Bookings!F201))</f>
        <v>VAR</v>
      </c>
      <c r="P201" s="7" t="str">
        <f>UPPER(TRIM(Raw_Bookings!G201))</f>
        <v>AHM</v>
      </c>
      <c r="Q201" s="7">
        <f>IF(COUNTIF(Lookup_Stations!$A$2:$A$33,O201)&gt;0,1,0)</f>
        <v>1</v>
      </c>
      <c r="R201" s="7">
        <f>IF(COUNTIF(Lookup_Stations!$A$2:$A$33,P201)&gt;0,1,0)</f>
        <v>1</v>
      </c>
      <c r="S201" s="7">
        <f>IF(OR(AND(Q201=1,NOT(EXACT(Raw_Bookings!F201,O201))),AND(R201=1,NOT(EXACT(Raw_Bookings!G201,P201)))),1,0)</f>
        <v>0</v>
      </c>
      <c r="T201" s="7">
        <f>IF(OR(Q201=0,R201=0),1,0)</f>
        <v>0</v>
      </c>
      <c r="U201" s="7">
        <f>IF(TRIM(Raw_Bookings!E201&amp;"")="",1,0)</f>
        <v>0</v>
      </c>
      <c r="V201" s="7" t="str">
        <f>IF(SUMPRODUCT(--(Lookup_Status!$A$2:$A$13=LOWER(TRIM(Raw_Bookings!K201))))=0,"",INDEX(Lookup_Status!$B$2:$B$13,SUMPRODUCT((Lookup_Status!$A$2:$A$13=LOWER(TRIM(Raw_Bookings!K201)))*(ROW(Lookup_Status!$A$2:$A$13)-1))))</f>
        <v>Confirmed</v>
      </c>
      <c r="W201" s="7">
        <f>IF(AND(V201&lt;&gt;"",NOT(EXACT(Raw_Bookings!K201,V201))),1,0)</f>
        <v>0</v>
      </c>
      <c r="X201" s="7">
        <f>IF(V201="",1,0)</f>
        <v>0</v>
      </c>
      <c r="Y201" s="7">
        <f>IF(TRIM(Raw_Bookings!L201&amp;"")="",1,0)</f>
        <v>0</v>
      </c>
      <c r="Z201" s="7">
        <f>IF(AND(ISTEXT(Raw_Bookings!L201),Y201=0),1,0)</f>
        <v>0</v>
      </c>
      <c r="AA201" s="7">
        <f>IF(Z201=1,IFERROR(VALUE(SUBSTITUTE(SUBSTITUTE(SUBSTITUTE(SUBSTITUTE(SUBSTITUTE(UPPER(Raw_Bookings!L201),"RS.",""),"₹",""),",","")," ",""),"INR","")),""),"")</f>
        <v/>
      </c>
      <c r="AB201" s="7">
        <f>IF(AND(Z201=1,ISNUMBER(AA201)),1,0)</f>
        <v>0</v>
      </c>
      <c r="AC201" s="7">
        <f>IF(B201=1,0,IF(NOT(ISNUMBER(Raw_Bookings!J201)),1,IF(Raw_Bookings!J201&lt;&gt;COUNTIFS(Work_Passengers!$B$2:$B$1336,Raw_Bookings!A201,Work_Passengers!$C$2:$C$1336,0),1,0)))</f>
        <v>0</v>
      </c>
    </row>
    <row r="202" spans="1:29">
      <c r="A202" s="7">
        <f>Raw_Bookings!A202</f>
        <v>1066186</v>
      </c>
      <c r="B202" s="7">
        <f>IF(COUNTIF(Raw_Bookings!$A$2:A202,Raw_Bookings!A202)&gt;1,1,0)</f>
        <v>0</v>
      </c>
      <c r="C202" s="7" t="str">
        <f>Raw_Bookings!D202&amp;""</f>
        <v>2025-04-14</v>
      </c>
      <c r="D202" s="7" t="str">
        <f>IF(AND(LEN(C202)=10,MID(C202,5,1)="-",MID(C202,8,1)="-"),"ISO",IF(AND(LEN(C202)=10,MID(C202,3,1)="-",MID(C202,6,1)="-"),"DMY","OTHER"))</f>
        <v>ISO</v>
      </c>
      <c r="E202" s="7">
        <f>IF(D202="ISO",VALUE(LEFT(C202,4)),IF(D202="DMY",VALUE(RIGHT(C202,4)),0))</f>
        <v>2025</v>
      </c>
      <c r="F202" s="7">
        <f>IF(D202="ISO",VALUE(MID(C202,6,2)),IF(D202="DMY",VALUE(MID(C202,4,2)),0))</f>
        <v>4</v>
      </c>
      <c r="G202" s="7">
        <f>IF(D202="ISO",VALUE(RIGHT(C202,2)),IF(D202="DMY",VALUE(LEFT(C202,2)),0))</f>
        <v>14</v>
      </c>
      <c r="H202" s="7">
        <f>IF(AND(D202&lt;&gt;"OTHER",F202&gt;=1,F202&lt;=12,G202&gt;=1,G202&lt;=31),IF(AND(MONTH(DATE(E202,F202,G202))=F202,DAY(DATE(E202,F202,G202))=G202),1,0),0)</f>
        <v>1</v>
      </c>
      <c r="I202" s="7">
        <f>IF(H202=1,DATE(E202,F202,G202),"")</f>
        <v>45761.0</v>
      </c>
      <c r="J202" s="7">
        <f>IF(AND(D202="DMY",H202=1),1,0)</f>
        <v>0</v>
      </c>
      <c r="K202" s="7">
        <f>IF(H202=0,1,0)</f>
        <v>0</v>
      </c>
      <c r="L202" s="7">
        <f>IF(TRIM(Raw_Bookings!I202&amp;"")="",1,0)</f>
        <v>0</v>
      </c>
      <c r="M202" s="7">
        <f>IF(L202=1,"",DATEVALUE(LEFT(Raw_Bookings!I202,10))+TIMEVALUE(MID(Raw_Bookings!I202,12,8)))</f>
        <v>45757.3825462963</v>
      </c>
      <c r="N202" s="7">
        <f>IF(AND(L202=0,H202=1),IF(INT(M202)&gt;I202,1,0),0)</f>
        <v>0</v>
      </c>
      <c r="O202" s="7" t="str">
        <f>UPPER(TRIM(Raw_Bookings!F202))</f>
        <v>CHE</v>
      </c>
      <c r="P202" s="7" t="str">
        <f>UPPER(TRIM(Raw_Bookings!G202))</f>
        <v>AHM</v>
      </c>
      <c r="Q202" s="7">
        <f>IF(COUNTIF(Lookup_Stations!$A$2:$A$33,O202)&gt;0,1,0)</f>
        <v>1</v>
      </c>
      <c r="R202" s="7">
        <f>IF(COUNTIF(Lookup_Stations!$A$2:$A$33,P202)&gt;0,1,0)</f>
        <v>1</v>
      </c>
      <c r="S202" s="7">
        <f>IF(OR(AND(Q202=1,NOT(EXACT(Raw_Bookings!F202,O202))),AND(R202=1,NOT(EXACT(Raw_Bookings!G202,P202)))),1,0)</f>
        <v>0</v>
      </c>
      <c r="T202" s="7">
        <f>IF(OR(Q202=0,R202=0),1,0)</f>
        <v>0</v>
      </c>
      <c r="U202" s="7">
        <f>IF(TRIM(Raw_Bookings!E202&amp;"")="",1,0)</f>
        <v>0</v>
      </c>
      <c r="V202" s="7" t="str">
        <f>IF(SUMPRODUCT(--(Lookup_Status!$A$2:$A$13=LOWER(TRIM(Raw_Bookings!K202))))=0,"",INDEX(Lookup_Status!$B$2:$B$13,SUMPRODUCT((Lookup_Status!$A$2:$A$13=LOWER(TRIM(Raw_Bookings!K202)))*(ROW(Lookup_Status!$A$2:$A$13)-1))))</f>
        <v>Confirmed</v>
      </c>
      <c r="W202" s="7">
        <f>IF(AND(V202&lt;&gt;"",NOT(EXACT(Raw_Bookings!K202,V202))),1,0)</f>
        <v>0</v>
      </c>
      <c r="X202" s="7">
        <f>IF(V202="",1,0)</f>
        <v>0</v>
      </c>
      <c r="Y202" s="7">
        <f>IF(TRIM(Raw_Bookings!L202&amp;"")="",1,0)</f>
        <v>0</v>
      </c>
      <c r="Z202" s="7">
        <f>IF(AND(ISTEXT(Raw_Bookings!L202),Y202=0),1,0)</f>
        <v>0</v>
      </c>
      <c r="AA202" s="7">
        <f>IF(Z202=1,IFERROR(VALUE(SUBSTITUTE(SUBSTITUTE(SUBSTITUTE(SUBSTITUTE(SUBSTITUTE(UPPER(Raw_Bookings!L202),"RS.",""),"₹",""),",","")," ",""),"INR","")),""),"")</f>
        <v/>
      </c>
      <c r="AB202" s="7">
        <f>IF(AND(Z202=1,ISNUMBER(AA202)),1,0)</f>
        <v>0</v>
      </c>
      <c r="AC202" s="7">
        <f>IF(B202=1,0,IF(NOT(ISNUMBER(Raw_Bookings!J202)),1,IF(Raw_Bookings!J202&lt;&gt;COUNTIFS(Work_Passengers!$B$2:$B$1336,Raw_Bookings!A202,Work_Passengers!$C$2:$C$1336,0),1,0)))</f>
        <v>0</v>
      </c>
    </row>
    <row r="203" spans="1:29">
      <c r="A203" s="7">
        <f>Raw_Bookings!A203</f>
        <v>1066440</v>
      </c>
      <c r="B203" s="7">
        <f>IF(COUNTIF(Raw_Bookings!$A$2:A203,Raw_Bookings!A203)&gt;1,1,0)</f>
        <v>0</v>
      </c>
      <c r="C203" s="7" t="str">
        <f>Raw_Bookings!D203&amp;""</f>
        <v>2025-05-28</v>
      </c>
      <c r="D203" s="7" t="str">
        <f>IF(AND(LEN(C203)=10,MID(C203,5,1)="-",MID(C203,8,1)="-"),"ISO",IF(AND(LEN(C203)=10,MID(C203,3,1)="-",MID(C203,6,1)="-"),"DMY","OTHER"))</f>
        <v>ISO</v>
      </c>
      <c r="E203" s="7">
        <f>IF(D203="ISO",VALUE(LEFT(C203,4)),IF(D203="DMY",VALUE(RIGHT(C203,4)),0))</f>
        <v>2025</v>
      </c>
      <c r="F203" s="7">
        <f>IF(D203="ISO",VALUE(MID(C203,6,2)),IF(D203="DMY",VALUE(MID(C203,4,2)),0))</f>
        <v>5</v>
      </c>
      <c r="G203" s="7">
        <f>IF(D203="ISO",VALUE(RIGHT(C203,2)),IF(D203="DMY",VALUE(LEFT(C203,2)),0))</f>
        <v>28</v>
      </c>
      <c r="H203" s="7">
        <f>IF(AND(D203&lt;&gt;"OTHER",F203&gt;=1,F203&lt;=12,G203&gt;=1,G203&lt;=31),IF(AND(MONTH(DATE(E203,F203,G203))=F203,DAY(DATE(E203,F203,G203))=G203),1,0),0)</f>
        <v>1</v>
      </c>
      <c r="I203" s="7">
        <f>IF(H203=1,DATE(E203,F203,G203),"")</f>
        <v>45805.0</v>
      </c>
      <c r="J203" s="7">
        <f>IF(AND(D203="DMY",H203=1),1,0)</f>
        <v>0</v>
      </c>
      <c r="K203" s="7">
        <f>IF(H203=0,1,0)</f>
        <v>0</v>
      </c>
      <c r="L203" s="7">
        <f>IF(TRIM(Raw_Bookings!I203&amp;"")="",1,0)</f>
        <v>0</v>
      </c>
      <c r="M203" s="7">
        <f>IF(L203=1,"",DATEVALUE(LEFT(Raw_Bookings!I203,10))+TIMEVALUE(MID(Raw_Bookings!I203,12,8)))</f>
        <v>45758.252650462964</v>
      </c>
      <c r="N203" s="7">
        <f>IF(AND(L203=0,H203=1),IF(INT(M203)&gt;I203,1,0),0)</f>
        <v>0</v>
      </c>
      <c r="O203" s="7" t="str">
        <f>UPPER(TRIM(Raw_Bookings!F203))</f>
        <v>MAU</v>
      </c>
      <c r="P203" s="7" t="str">
        <f>UPPER(TRIM(Raw_Bookings!G203))</f>
        <v>MAD</v>
      </c>
      <c r="Q203" s="7">
        <f>IF(COUNTIF(Lookup_Stations!$A$2:$A$33,O203)&gt;0,1,0)</f>
        <v>1</v>
      </c>
      <c r="R203" s="7">
        <f>IF(COUNTIF(Lookup_Stations!$A$2:$A$33,P203)&gt;0,1,0)</f>
        <v>1</v>
      </c>
      <c r="S203" s="7">
        <f>IF(OR(AND(Q203=1,NOT(EXACT(Raw_Bookings!F203,O203))),AND(R203=1,NOT(EXACT(Raw_Bookings!G203,P203)))),1,0)</f>
        <v>0</v>
      </c>
      <c r="T203" s="7">
        <f>IF(OR(Q203=0,R203=0),1,0)</f>
        <v>0</v>
      </c>
      <c r="U203" s="7">
        <f>IF(TRIM(Raw_Bookings!E203&amp;"")="",1,0)</f>
        <v>0</v>
      </c>
      <c r="V203" s="7" t="str">
        <f>IF(SUMPRODUCT(--(Lookup_Status!$A$2:$A$13=LOWER(TRIM(Raw_Bookings!K203))))=0,"",INDEX(Lookup_Status!$B$2:$B$13,SUMPRODUCT((Lookup_Status!$A$2:$A$13=LOWER(TRIM(Raw_Bookings!K203)))*(ROW(Lookup_Status!$A$2:$A$13)-1))))</f>
        <v>Confirmed</v>
      </c>
      <c r="W203" s="7">
        <f>IF(AND(V203&lt;&gt;"",NOT(EXACT(Raw_Bookings!K203,V203))),1,0)</f>
        <v>0</v>
      </c>
      <c r="X203" s="7">
        <f>IF(V203="",1,0)</f>
        <v>0</v>
      </c>
      <c r="Y203" s="7">
        <f>IF(TRIM(Raw_Bookings!L203&amp;"")="",1,0)</f>
        <v>0</v>
      </c>
      <c r="Z203" s="7">
        <f>IF(AND(ISTEXT(Raw_Bookings!L203),Y203=0),1,0)</f>
        <v>0</v>
      </c>
      <c r="AA203" s="7">
        <f>IF(Z203=1,IFERROR(VALUE(SUBSTITUTE(SUBSTITUTE(SUBSTITUTE(SUBSTITUTE(SUBSTITUTE(UPPER(Raw_Bookings!L203),"RS.",""),"₹",""),",","")," ",""),"INR","")),""),"")</f>
        <v/>
      </c>
      <c r="AB203" s="7">
        <f>IF(AND(Z203=1,ISNUMBER(AA203)),1,0)</f>
        <v>0</v>
      </c>
      <c r="AC203" s="7">
        <f>IF(B203=1,0,IF(NOT(ISNUMBER(Raw_Bookings!J203)),1,IF(Raw_Bookings!J203&lt;&gt;COUNTIFS(Work_Passengers!$B$2:$B$1336,Raw_Bookings!A203,Work_Passengers!$C$2:$C$1336,0),1,0)))</f>
        <v>0</v>
      </c>
    </row>
    <row r="204" spans="1:29">
      <c r="A204" s="7">
        <f>Raw_Bookings!A204</f>
        <v>1066636</v>
      </c>
      <c r="B204" s="7">
        <f>IF(COUNTIF(Raw_Bookings!$A$2:A204,Raw_Bookings!A204)&gt;1,1,0)</f>
        <v>0</v>
      </c>
      <c r="C204" s="7" t="str">
        <f>Raw_Bookings!D204&amp;""</f>
        <v>2025-04-25</v>
      </c>
      <c r="D204" s="7" t="str">
        <f>IF(AND(LEN(C204)=10,MID(C204,5,1)="-",MID(C204,8,1)="-"),"ISO",IF(AND(LEN(C204)=10,MID(C204,3,1)="-",MID(C204,6,1)="-"),"DMY","OTHER"))</f>
        <v>ISO</v>
      </c>
      <c r="E204" s="7">
        <f>IF(D204="ISO",VALUE(LEFT(C204,4)),IF(D204="DMY",VALUE(RIGHT(C204,4)),0))</f>
        <v>2025</v>
      </c>
      <c r="F204" s="7">
        <f>IF(D204="ISO",VALUE(MID(C204,6,2)),IF(D204="DMY",VALUE(MID(C204,4,2)),0))</f>
        <v>4</v>
      </c>
      <c r="G204" s="7">
        <f>IF(D204="ISO",VALUE(RIGHT(C204,2)),IF(D204="DMY",VALUE(LEFT(C204,2)),0))</f>
        <v>25</v>
      </c>
      <c r="H204" s="7">
        <f>IF(AND(D204&lt;&gt;"OTHER",F204&gt;=1,F204&lt;=12,G204&gt;=1,G204&lt;=31),IF(AND(MONTH(DATE(E204,F204,G204))=F204,DAY(DATE(E204,F204,G204))=G204),1,0),0)</f>
        <v>1</v>
      </c>
      <c r="I204" s="7">
        <f>IF(H204=1,DATE(E204,F204,G204),"")</f>
        <v>45772.0</v>
      </c>
      <c r="J204" s="7">
        <f>IF(AND(D204="DMY",H204=1),1,0)</f>
        <v>0</v>
      </c>
      <c r="K204" s="7">
        <f>IF(H204=0,1,0)</f>
        <v>0</v>
      </c>
      <c r="L204" s="7">
        <f>IF(TRIM(Raw_Bookings!I204&amp;"")="",1,0)</f>
        <v>0</v>
      </c>
      <c r="M204" s="7">
        <f>IF(L204=1,"",DATEVALUE(LEFT(Raw_Bookings!I204,10))+TIMEVALUE(MID(Raw_Bookings!I204,12,8)))</f>
        <v>45758.78611111111</v>
      </c>
      <c r="N204" s="7">
        <f>IF(AND(L204=0,H204=1),IF(INT(M204)&gt;I204,1,0),0)</f>
        <v>0</v>
      </c>
      <c r="O204" s="7" t="str">
        <f>UPPER(TRIM(Raw_Bookings!F204))</f>
        <v>THI</v>
      </c>
      <c r="P204" s="7" t="str">
        <f>UPPER(TRIM(Raw_Bookings!G204))</f>
        <v>NAG</v>
      </c>
      <c r="Q204" s="7">
        <f>IF(COUNTIF(Lookup_Stations!$A$2:$A$33,O204)&gt;0,1,0)</f>
        <v>1</v>
      </c>
      <c r="R204" s="7">
        <f>IF(COUNTIF(Lookup_Stations!$A$2:$A$33,P204)&gt;0,1,0)</f>
        <v>1</v>
      </c>
      <c r="S204" s="7">
        <f>IF(OR(AND(Q204=1,NOT(EXACT(Raw_Bookings!F204,O204))),AND(R204=1,NOT(EXACT(Raw_Bookings!G204,P204)))),1,0)</f>
        <v>0</v>
      </c>
      <c r="T204" s="7">
        <f>IF(OR(Q204=0,R204=0),1,0)</f>
        <v>0</v>
      </c>
      <c r="U204" s="7">
        <f>IF(TRIM(Raw_Bookings!E204&amp;"")="",1,0)</f>
        <v>0</v>
      </c>
      <c r="V204" s="7" t="str">
        <f>IF(SUMPRODUCT(--(Lookup_Status!$A$2:$A$13=LOWER(TRIM(Raw_Bookings!K204))))=0,"",INDEX(Lookup_Status!$B$2:$B$13,SUMPRODUCT((Lookup_Status!$A$2:$A$13=LOWER(TRIM(Raw_Bookings!K204)))*(ROW(Lookup_Status!$A$2:$A$13)-1))))</f>
        <v>Confirmed</v>
      </c>
      <c r="W204" s="7">
        <f>IF(AND(V204&lt;&gt;"",NOT(EXACT(Raw_Bookings!K204,V204))),1,0)</f>
        <v>0</v>
      </c>
      <c r="X204" s="7">
        <f>IF(V204="",1,0)</f>
        <v>0</v>
      </c>
      <c r="Y204" s="7">
        <f>IF(TRIM(Raw_Bookings!L204&amp;"")="",1,0)</f>
        <v>0</v>
      </c>
      <c r="Z204" s="7">
        <f>IF(AND(ISTEXT(Raw_Bookings!L204),Y204=0),1,0)</f>
        <v>0</v>
      </c>
      <c r="AA204" s="7">
        <f>IF(Z204=1,IFERROR(VALUE(SUBSTITUTE(SUBSTITUTE(SUBSTITUTE(SUBSTITUTE(SUBSTITUTE(UPPER(Raw_Bookings!L204),"RS.",""),"₹",""),",","")," ",""),"INR","")),""),"")</f>
        <v/>
      </c>
      <c r="AB204" s="7">
        <f>IF(AND(Z204=1,ISNUMBER(AA204)),1,0)</f>
        <v>0</v>
      </c>
      <c r="AC204" s="7">
        <f>IF(B204=1,0,IF(NOT(ISNUMBER(Raw_Bookings!J204)),1,IF(Raw_Bookings!J204&lt;&gt;COUNTIFS(Work_Passengers!$B$2:$B$1336,Raw_Bookings!A204,Work_Passengers!$C$2:$C$1336,0),1,0)))</f>
        <v>0</v>
      </c>
    </row>
    <row r="205" spans="1:29">
      <c r="A205" s="7">
        <f>Raw_Bookings!A205</f>
        <v>1067932</v>
      </c>
      <c r="B205" s="7">
        <f>IF(COUNTIF(Raw_Bookings!$A$2:A205,Raw_Bookings!A205)&gt;1,1,0)</f>
        <v>0</v>
      </c>
      <c r="C205" s="7" t="str">
        <f>Raw_Bookings!D205&amp;""</f>
        <v>2025-04-27</v>
      </c>
      <c r="D205" s="7" t="str">
        <f>IF(AND(LEN(C205)=10,MID(C205,5,1)="-",MID(C205,8,1)="-"),"ISO",IF(AND(LEN(C205)=10,MID(C205,3,1)="-",MID(C205,6,1)="-"),"DMY","OTHER"))</f>
        <v>ISO</v>
      </c>
      <c r="E205" s="7">
        <f>IF(D205="ISO",VALUE(LEFT(C205,4)),IF(D205="DMY",VALUE(RIGHT(C205,4)),0))</f>
        <v>2025</v>
      </c>
      <c r="F205" s="7">
        <f>IF(D205="ISO",VALUE(MID(C205,6,2)),IF(D205="DMY",VALUE(MID(C205,4,2)),0))</f>
        <v>4</v>
      </c>
      <c r="G205" s="7">
        <f>IF(D205="ISO",VALUE(RIGHT(C205,2)),IF(D205="DMY",VALUE(LEFT(C205,2)),0))</f>
        <v>27</v>
      </c>
      <c r="H205" s="7">
        <f>IF(AND(D205&lt;&gt;"OTHER",F205&gt;=1,F205&lt;=12,G205&gt;=1,G205&lt;=31),IF(AND(MONTH(DATE(E205,F205,G205))=F205,DAY(DATE(E205,F205,G205))=G205),1,0),0)</f>
        <v>1</v>
      </c>
      <c r="I205" s="7">
        <f>IF(H205=1,DATE(E205,F205,G205),"")</f>
        <v>45774.0</v>
      </c>
      <c r="J205" s="7">
        <f>IF(AND(D205="DMY",H205=1),1,0)</f>
        <v>0</v>
      </c>
      <c r="K205" s="7">
        <f>IF(H205=0,1,0)</f>
        <v>0</v>
      </c>
      <c r="L205" s="7">
        <f>IF(TRIM(Raw_Bookings!I205&amp;"")="",1,0)</f>
        <v>0</v>
      </c>
      <c r="M205" s="7">
        <f>IF(L205=1,"",DATEVALUE(LEFT(Raw_Bookings!I205,10))+TIMEVALUE(MID(Raw_Bookings!I205,12,8)))</f>
        <v>45762.784166666665</v>
      </c>
      <c r="N205" s="7">
        <f>IF(AND(L205=0,H205=1),IF(INT(M205)&gt;I205,1,0),0)</f>
        <v>0</v>
      </c>
      <c r="O205" s="7" t="str">
        <f>UPPER(TRIM(Raw_Bookings!F205))</f>
        <v>DEL</v>
      </c>
      <c r="P205" s="7" t="str">
        <f>UPPER(TRIM(Raw_Bookings!G205))</f>
        <v>MAU</v>
      </c>
      <c r="Q205" s="7">
        <f>IF(COUNTIF(Lookup_Stations!$A$2:$A$33,O205)&gt;0,1,0)</f>
        <v>1</v>
      </c>
      <c r="R205" s="7">
        <f>IF(COUNTIF(Lookup_Stations!$A$2:$A$33,P205)&gt;0,1,0)</f>
        <v>1</v>
      </c>
      <c r="S205" s="7">
        <f>IF(OR(AND(Q205=1,NOT(EXACT(Raw_Bookings!F205,O205))),AND(R205=1,NOT(EXACT(Raw_Bookings!G205,P205)))),1,0)</f>
        <v>0</v>
      </c>
      <c r="T205" s="7">
        <f>IF(OR(Q205=0,R205=0),1,0)</f>
        <v>0</v>
      </c>
      <c r="U205" s="7">
        <f>IF(TRIM(Raw_Bookings!E205&amp;"")="",1,0)</f>
        <v>0</v>
      </c>
      <c r="V205" s="7" t="str">
        <f>IF(SUMPRODUCT(--(Lookup_Status!$A$2:$A$13=LOWER(TRIM(Raw_Bookings!K205))))=0,"",INDEX(Lookup_Status!$B$2:$B$13,SUMPRODUCT((Lookup_Status!$A$2:$A$13=LOWER(TRIM(Raw_Bookings!K205)))*(ROW(Lookup_Status!$A$2:$A$13)-1))))</f>
        <v>Confirmed</v>
      </c>
      <c r="W205" s="7">
        <f>IF(AND(V205&lt;&gt;"",NOT(EXACT(Raw_Bookings!K205,V205))),1,0)</f>
        <v>0</v>
      </c>
      <c r="X205" s="7">
        <f>IF(V205="",1,0)</f>
        <v>0</v>
      </c>
      <c r="Y205" s="7">
        <f>IF(TRIM(Raw_Bookings!L205&amp;"")="",1,0)</f>
        <v>0</v>
      </c>
      <c r="Z205" s="7">
        <f>IF(AND(ISTEXT(Raw_Bookings!L205),Y205=0),1,0)</f>
        <v>0</v>
      </c>
      <c r="AA205" s="7">
        <f>IF(Z205=1,IFERROR(VALUE(SUBSTITUTE(SUBSTITUTE(SUBSTITUTE(SUBSTITUTE(SUBSTITUTE(UPPER(Raw_Bookings!L205),"RS.",""),"₹",""),",","")," ",""),"INR","")),""),"")</f>
        <v/>
      </c>
      <c r="AB205" s="7">
        <f>IF(AND(Z205=1,ISNUMBER(AA205)),1,0)</f>
        <v>0</v>
      </c>
      <c r="AC205" s="7">
        <f>IF(B205=1,0,IF(NOT(ISNUMBER(Raw_Bookings!J205)),1,IF(Raw_Bookings!J205&lt;&gt;COUNTIFS(Work_Passengers!$B$2:$B$1336,Raw_Bookings!A205,Work_Passengers!$C$2:$C$1336,0),1,0)))</f>
        <v>0</v>
      </c>
    </row>
    <row r="206" spans="1:29">
      <c r="A206" s="7">
        <f>Raw_Bookings!A206</f>
        <v>1068175</v>
      </c>
      <c r="B206" s="7">
        <f>IF(COUNTIF(Raw_Bookings!$A$2:A206,Raw_Bookings!A206)&gt;1,1,0)</f>
        <v>0</v>
      </c>
      <c r="C206" s="7" t="str">
        <f>Raw_Bookings!D206&amp;""</f>
        <v>2025-04-26</v>
      </c>
      <c r="D206" s="7" t="str">
        <f>IF(AND(LEN(C206)=10,MID(C206,5,1)="-",MID(C206,8,1)="-"),"ISO",IF(AND(LEN(C206)=10,MID(C206,3,1)="-",MID(C206,6,1)="-"),"DMY","OTHER"))</f>
        <v>ISO</v>
      </c>
      <c r="E206" s="7">
        <f>IF(D206="ISO",VALUE(LEFT(C206,4)),IF(D206="DMY",VALUE(RIGHT(C206,4)),0))</f>
        <v>2025</v>
      </c>
      <c r="F206" s="7">
        <f>IF(D206="ISO",VALUE(MID(C206,6,2)),IF(D206="DMY",VALUE(MID(C206,4,2)),0))</f>
        <v>4</v>
      </c>
      <c r="G206" s="7">
        <f>IF(D206="ISO",VALUE(RIGHT(C206,2)),IF(D206="DMY",VALUE(LEFT(C206,2)),0))</f>
        <v>26</v>
      </c>
      <c r="H206" s="7">
        <f>IF(AND(D206&lt;&gt;"OTHER",F206&gt;=1,F206&lt;=12,G206&gt;=1,G206&lt;=31),IF(AND(MONTH(DATE(E206,F206,G206))=F206,DAY(DATE(E206,F206,G206))=G206),1,0),0)</f>
        <v>1</v>
      </c>
      <c r="I206" s="7">
        <f>IF(H206=1,DATE(E206,F206,G206),"")</f>
        <v>45773.0</v>
      </c>
      <c r="J206" s="7">
        <f>IF(AND(D206="DMY",H206=1),1,0)</f>
        <v>0</v>
      </c>
      <c r="K206" s="7">
        <f>IF(H206=0,1,0)</f>
        <v>0</v>
      </c>
      <c r="L206" s="7">
        <f>IF(TRIM(Raw_Bookings!I206&amp;"")="",1,0)</f>
        <v>0</v>
      </c>
      <c r="M206" s="7">
        <f>IF(L206=1,"",DATEVALUE(LEFT(Raw_Bookings!I206,10))+TIMEVALUE(MID(Raw_Bookings!I206,12,8)))</f>
        <v>45763.53021990741</v>
      </c>
      <c r="N206" s="7">
        <f>IF(AND(L206=0,H206=1),IF(INT(M206)&gt;I206,1,0),0)</f>
        <v>0</v>
      </c>
      <c r="O206" s="7" t="str">
        <f>UPPER(TRIM(Raw_Bookings!F206))</f>
        <v>JAI</v>
      </c>
      <c r="P206" s="7" t="str">
        <f>UPPER(TRIM(Raw_Bookings!G206))</f>
        <v>BHO</v>
      </c>
      <c r="Q206" s="7">
        <f>IF(COUNTIF(Lookup_Stations!$A$2:$A$33,O206)&gt;0,1,0)</f>
        <v>1</v>
      </c>
      <c r="R206" s="7">
        <f>IF(COUNTIF(Lookup_Stations!$A$2:$A$33,P206)&gt;0,1,0)</f>
        <v>1</v>
      </c>
      <c r="S206" s="7">
        <f>IF(OR(AND(Q206=1,NOT(EXACT(Raw_Bookings!F206,O206))),AND(R206=1,NOT(EXACT(Raw_Bookings!G206,P206)))),1,0)</f>
        <v>0</v>
      </c>
      <c r="T206" s="7">
        <f>IF(OR(Q206=0,R206=0),1,0)</f>
        <v>0</v>
      </c>
      <c r="U206" s="7">
        <f>IF(TRIM(Raw_Bookings!E206&amp;"")="",1,0)</f>
        <v>0</v>
      </c>
      <c r="V206" s="7" t="str">
        <f>IF(SUMPRODUCT(--(Lookup_Status!$A$2:$A$13=LOWER(TRIM(Raw_Bookings!K206))))=0,"",INDEX(Lookup_Status!$B$2:$B$13,SUMPRODUCT((Lookup_Status!$A$2:$A$13=LOWER(TRIM(Raw_Bookings!K206)))*(ROW(Lookup_Status!$A$2:$A$13)-1))))</f>
        <v>Confirmed</v>
      </c>
      <c r="W206" s="7">
        <f>IF(AND(V206&lt;&gt;"",NOT(EXACT(Raw_Bookings!K206,V206))),1,0)</f>
        <v>0</v>
      </c>
      <c r="X206" s="7">
        <f>IF(V206="",1,0)</f>
        <v>0</v>
      </c>
      <c r="Y206" s="7">
        <f>IF(TRIM(Raw_Bookings!L206&amp;"")="",1,0)</f>
        <v>0</v>
      </c>
      <c r="Z206" s="7">
        <f>IF(AND(ISTEXT(Raw_Bookings!L206),Y206=0),1,0)</f>
        <v>0</v>
      </c>
      <c r="AA206" s="7">
        <f>IF(Z206=1,IFERROR(VALUE(SUBSTITUTE(SUBSTITUTE(SUBSTITUTE(SUBSTITUTE(SUBSTITUTE(UPPER(Raw_Bookings!L206),"RS.",""),"₹",""),",","")," ",""),"INR","")),""),"")</f>
        <v/>
      </c>
      <c r="AB206" s="7">
        <f>IF(AND(Z206=1,ISNUMBER(AA206)),1,0)</f>
        <v>0</v>
      </c>
      <c r="AC206" s="7">
        <f>IF(B206=1,0,IF(NOT(ISNUMBER(Raw_Bookings!J206)),1,IF(Raw_Bookings!J206&lt;&gt;COUNTIFS(Work_Passengers!$B$2:$B$1336,Raw_Bookings!A206,Work_Passengers!$C$2:$C$1336,0),1,0)))</f>
        <v>0</v>
      </c>
    </row>
    <row r="207" spans="1:29">
      <c r="A207" s="7">
        <f>Raw_Bookings!A207</f>
        <v>1068289</v>
      </c>
      <c r="B207" s="7">
        <f>IF(COUNTIF(Raw_Bookings!$A$2:A207,Raw_Bookings!A207)&gt;1,1,0)</f>
        <v>0</v>
      </c>
      <c r="C207" s="7" t="str">
        <f>Raw_Bookings!D207&amp;""</f>
        <v>2025-04-20</v>
      </c>
      <c r="D207" s="7" t="str">
        <f>IF(AND(LEN(C207)=10,MID(C207,5,1)="-",MID(C207,8,1)="-"),"ISO",IF(AND(LEN(C207)=10,MID(C207,3,1)="-",MID(C207,6,1)="-"),"DMY","OTHER"))</f>
        <v>ISO</v>
      </c>
      <c r="E207" s="7">
        <f>IF(D207="ISO",VALUE(LEFT(C207,4)),IF(D207="DMY",VALUE(RIGHT(C207,4)),0))</f>
        <v>2025</v>
      </c>
      <c r="F207" s="7">
        <f>IF(D207="ISO",VALUE(MID(C207,6,2)),IF(D207="DMY",VALUE(MID(C207,4,2)),0))</f>
        <v>4</v>
      </c>
      <c r="G207" s="7">
        <f>IF(D207="ISO",VALUE(RIGHT(C207,2)),IF(D207="DMY",VALUE(LEFT(C207,2)),0))</f>
        <v>20</v>
      </c>
      <c r="H207" s="7">
        <f>IF(AND(D207&lt;&gt;"OTHER",F207&gt;=1,F207&lt;=12,G207&gt;=1,G207&lt;=31),IF(AND(MONTH(DATE(E207,F207,G207))=F207,DAY(DATE(E207,F207,G207))=G207),1,0),0)</f>
        <v>1</v>
      </c>
      <c r="I207" s="7">
        <f>IF(H207=1,DATE(E207,F207,G207),"")</f>
        <v>45767.0</v>
      </c>
      <c r="J207" s="7">
        <f>IF(AND(D207="DMY",H207=1),1,0)</f>
        <v>0</v>
      </c>
      <c r="K207" s="7">
        <f>IF(H207=0,1,0)</f>
        <v>0</v>
      </c>
      <c r="L207" s="7">
        <f>IF(TRIM(Raw_Bookings!I207&amp;"")="",1,0)</f>
        <v>0</v>
      </c>
      <c r="M207" s="7">
        <f>IF(L207=1,"",DATEVALUE(LEFT(Raw_Bookings!I207,10))+TIMEVALUE(MID(Raw_Bookings!I207,12,8)))</f>
        <v>45763.762824074074</v>
      </c>
      <c r="N207" s="7">
        <f>IF(AND(L207=0,H207=1),IF(INT(M207)&gt;I207,1,0),0)</f>
        <v>0</v>
      </c>
      <c r="O207" s="7" t="str">
        <f>UPPER(TRIM(Raw_Bookings!F207))</f>
        <v>MUM</v>
      </c>
      <c r="P207" s="7" t="str">
        <f>UPPER(TRIM(Raw_Bookings!G207))</f>
        <v>BEN</v>
      </c>
      <c r="Q207" s="7">
        <f>IF(COUNTIF(Lookup_Stations!$A$2:$A$33,O207)&gt;0,1,0)</f>
        <v>1</v>
      </c>
      <c r="R207" s="7">
        <f>IF(COUNTIF(Lookup_Stations!$A$2:$A$33,P207)&gt;0,1,0)</f>
        <v>1</v>
      </c>
      <c r="S207" s="7">
        <f>IF(OR(AND(Q207=1,NOT(EXACT(Raw_Bookings!F207,O207))),AND(R207=1,NOT(EXACT(Raw_Bookings!G207,P207)))),1,0)</f>
        <v>0</v>
      </c>
      <c r="T207" s="7">
        <f>IF(OR(Q207=0,R207=0),1,0)</f>
        <v>0</v>
      </c>
      <c r="U207" s="7">
        <f>IF(TRIM(Raw_Bookings!E207&amp;"")="",1,0)</f>
        <v>0</v>
      </c>
      <c r="V207" s="7" t="str">
        <f>IF(SUMPRODUCT(--(Lookup_Status!$A$2:$A$13=LOWER(TRIM(Raw_Bookings!K207))))=0,"",INDEX(Lookup_Status!$B$2:$B$13,SUMPRODUCT((Lookup_Status!$A$2:$A$13=LOWER(TRIM(Raw_Bookings!K207)))*(ROW(Lookup_Status!$A$2:$A$13)-1))))</f>
        <v>Waitlisted</v>
      </c>
      <c r="W207" s="7">
        <f>IF(AND(V207&lt;&gt;"",NOT(EXACT(Raw_Bookings!K207,V207))),1,0)</f>
        <v>0</v>
      </c>
      <c r="X207" s="7">
        <f>IF(V207="",1,0)</f>
        <v>0</v>
      </c>
      <c r="Y207" s="7">
        <f>IF(TRIM(Raw_Bookings!L207&amp;"")="",1,0)</f>
        <v>0</v>
      </c>
      <c r="Z207" s="7">
        <f>IF(AND(ISTEXT(Raw_Bookings!L207),Y207=0),1,0)</f>
        <v>0</v>
      </c>
      <c r="AA207" s="7">
        <f>IF(Z207=1,IFERROR(VALUE(SUBSTITUTE(SUBSTITUTE(SUBSTITUTE(SUBSTITUTE(SUBSTITUTE(UPPER(Raw_Bookings!L207),"RS.",""),"₹",""),",","")," ",""),"INR","")),""),"")</f>
        <v/>
      </c>
      <c r="AB207" s="7">
        <f>IF(AND(Z207=1,ISNUMBER(AA207)),1,0)</f>
        <v>0</v>
      </c>
      <c r="AC207" s="7">
        <f>IF(B207=1,0,IF(NOT(ISNUMBER(Raw_Bookings!J207)),1,IF(Raw_Bookings!J207&lt;&gt;COUNTIFS(Work_Passengers!$B$2:$B$1336,Raw_Bookings!A207,Work_Passengers!$C$2:$C$1336,0),1,0)))</f>
        <v>0</v>
      </c>
    </row>
    <row r="208" spans="1:29">
      <c r="A208" s="7">
        <f>Raw_Bookings!A208</f>
        <v>1068745</v>
      </c>
      <c r="B208" s="7">
        <f>IF(COUNTIF(Raw_Bookings!$A$2:A208,Raw_Bookings!A208)&gt;1,1,0)</f>
        <v>0</v>
      </c>
      <c r="C208" s="7" t="str">
        <f>Raw_Bookings!D208&amp;""</f>
        <v>2025-04-20</v>
      </c>
      <c r="D208" s="7" t="str">
        <f>IF(AND(LEN(C208)=10,MID(C208,5,1)="-",MID(C208,8,1)="-"),"ISO",IF(AND(LEN(C208)=10,MID(C208,3,1)="-",MID(C208,6,1)="-"),"DMY","OTHER"))</f>
        <v>ISO</v>
      </c>
      <c r="E208" s="7">
        <f>IF(D208="ISO",VALUE(LEFT(C208,4)),IF(D208="DMY",VALUE(RIGHT(C208,4)),0))</f>
        <v>2025</v>
      </c>
      <c r="F208" s="7">
        <f>IF(D208="ISO",VALUE(MID(C208,6,2)),IF(D208="DMY",VALUE(MID(C208,4,2)),0))</f>
        <v>4</v>
      </c>
      <c r="G208" s="7">
        <f>IF(D208="ISO",VALUE(RIGHT(C208,2)),IF(D208="DMY",VALUE(LEFT(C208,2)),0))</f>
        <v>20</v>
      </c>
      <c r="H208" s="7">
        <f>IF(AND(D208&lt;&gt;"OTHER",F208&gt;=1,F208&lt;=12,G208&gt;=1,G208&lt;=31),IF(AND(MONTH(DATE(E208,F208,G208))=F208,DAY(DATE(E208,F208,G208))=G208),1,0),0)</f>
        <v>1</v>
      </c>
      <c r="I208" s="7">
        <f>IF(H208=1,DATE(E208,F208,G208),"")</f>
        <v>45767.0</v>
      </c>
      <c r="J208" s="7">
        <f>IF(AND(D208="DMY",H208=1),1,0)</f>
        <v>0</v>
      </c>
      <c r="K208" s="7">
        <f>IF(H208=0,1,0)</f>
        <v>0</v>
      </c>
      <c r="L208" s="7">
        <f>IF(TRIM(Raw_Bookings!I208&amp;"")="",1,0)</f>
        <v>0</v>
      </c>
      <c r="M208" s="7">
        <f>IF(L208=1,"",DATEVALUE(LEFT(Raw_Bookings!I208,10))+TIMEVALUE(MID(Raw_Bookings!I208,12,8)))</f>
        <v>45764.99229166667</v>
      </c>
      <c r="N208" s="7">
        <f>IF(AND(L208=0,H208=1),IF(INT(M208)&gt;I208,1,0),0)</f>
        <v>0</v>
      </c>
      <c r="O208" s="7" t="str">
        <f>UPPER(TRIM(Raw_Bookings!F208))</f>
        <v>MUM</v>
      </c>
      <c r="P208" s="7" t="str">
        <f>UPPER(TRIM(Raw_Bookings!G208))</f>
        <v>BEN</v>
      </c>
      <c r="Q208" s="7">
        <f>IF(COUNTIF(Lookup_Stations!$A$2:$A$33,O208)&gt;0,1,0)</f>
        <v>1</v>
      </c>
      <c r="R208" s="7">
        <f>IF(COUNTIF(Lookup_Stations!$A$2:$A$33,P208)&gt;0,1,0)</f>
        <v>1</v>
      </c>
      <c r="S208" s="7">
        <f>IF(OR(AND(Q208=1,NOT(EXACT(Raw_Bookings!F208,O208))),AND(R208=1,NOT(EXACT(Raw_Bookings!G208,P208)))),1,0)</f>
        <v>0</v>
      </c>
      <c r="T208" s="7">
        <f>IF(OR(Q208=0,R208=0),1,0)</f>
        <v>0</v>
      </c>
      <c r="U208" s="7">
        <f>IF(TRIM(Raw_Bookings!E208&amp;"")="",1,0)</f>
        <v>0</v>
      </c>
      <c r="V208" s="7" t="str">
        <f>IF(SUMPRODUCT(--(Lookup_Status!$A$2:$A$13=LOWER(TRIM(Raw_Bookings!K208))))=0,"",INDEX(Lookup_Status!$B$2:$B$13,SUMPRODUCT((Lookup_Status!$A$2:$A$13=LOWER(TRIM(Raw_Bookings!K208)))*(ROW(Lookup_Status!$A$2:$A$13)-1))))</f>
        <v>Waitlisted</v>
      </c>
      <c r="W208" s="7">
        <f>IF(AND(V208&lt;&gt;"",NOT(EXACT(Raw_Bookings!K208,V208))),1,0)</f>
        <v>0</v>
      </c>
      <c r="X208" s="7">
        <f>IF(V208="",1,0)</f>
        <v>0</v>
      </c>
      <c r="Y208" s="7">
        <f>IF(TRIM(Raw_Bookings!L208&amp;"")="",1,0)</f>
        <v>0</v>
      </c>
      <c r="Z208" s="7">
        <f>IF(AND(ISTEXT(Raw_Bookings!L208),Y208=0),1,0)</f>
        <v>0</v>
      </c>
      <c r="AA208" s="7">
        <f>IF(Z208=1,IFERROR(VALUE(SUBSTITUTE(SUBSTITUTE(SUBSTITUTE(SUBSTITUTE(SUBSTITUTE(UPPER(Raw_Bookings!L208),"RS.",""),"₹",""),",","")," ",""),"INR","")),""),"")</f>
        <v/>
      </c>
      <c r="AB208" s="7">
        <f>IF(AND(Z208=1,ISNUMBER(AA208)),1,0)</f>
        <v>0</v>
      </c>
      <c r="AC208" s="7">
        <f>IF(B208=1,0,IF(NOT(ISNUMBER(Raw_Bookings!J208)),1,IF(Raw_Bookings!J208&lt;&gt;COUNTIFS(Work_Passengers!$B$2:$B$1336,Raw_Bookings!A208,Work_Passengers!$C$2:$C$1336,0),1,0)))</f>
        <v>0</v>
      </c>
    </row>
    <row r="209" spans="1:29">
      <c r="A209" s="7">
        <f>Raw_Bookings!A209</f>
        <v>1069008</v>
      </c>
      <c r="B209" s="7">
        <f>IF(COUNTIF(Raw_Bookings!$A$2:A209,Raw_Bookings!A209)&gt;1,1,0)</f>
        <v>0</v>
      </c>
      <c r="C209" s="7" t="str">
        <f>Raw_Bookings!D209&amp;""</f>
        <v>2025-04-22</v>
      </c>
      <c r="D209" s="7" t="str">
        <f>IF(AND(LEN(C209)=10,MID(C209,5,1)="-",MID(C209,8,1)="-"),"ISO",IF(AND(LEN(C209)=10,MID(C209,3,1)="-",MID(C209,6,1)="-"),"DMY","OTHER"))</f>
        <v>ISO</v>
      </c>
      <c r="E209" s="7">
        <f>IF(D209="ISO",VALUE(LEFT(C209,4)),IF(D209="DMY",VALUE(RIGHT(C209,4)),0))</f>
        <v>2025</v>
      </c>
      <c r="F209" s="7">
        <f>IF(D209="ISO",VALUE(MID(C209,6,2)),IF(D209="DMY",VALUE(MID(C209,4,2)),0))</f>
        <v>4</v>
      </c>
      <c r="G209" s="7">
        <f>IF(D209="ISO",VALUE(RIGHT(C209,2)),IF(D209="DMY",VALUE(LEFT(C209,2)),0))</f>
        <v>22</v>
      </c>
      <c r="H209" s="7">
        <f>IF(AND(D209&lt;&gt;"OTHER",F209&gt;=1,F209&lt;=12,G209&gt;=1,G209&lt;=31),IF(AND(MONTH(DATE(E209,F209,G209))=F209,DAY(DATE(E209,F209,G209))=G209),1,0),0)</f>
        <v>1</v>
      </c>
      <c r="I209" s="7">
        <f>IF(H209=1,DATE(E209,F209,G209),"")</f>
        <v>45769.0</v>
      </c>
      <c r="J209" s="7">
        <f>IF(AND(D209="DMY",H209=1),1,0)</f>
        <v>0</v>
      </c>
      <c r="K209" s="7">
        <f>IF(H209=0,1,0)</f>
        <v>0</v>
      </c>
      <c r="L209" s="7">
        <f>IF(TRIM(Raw_Bookings!I209&amp;"")="",1,0)</f>
        <v>0</v>
      </c>
      <c r="M209" s="7">
        <f>IF(L209=1,"",DATEVALUE(LEFT(Raw_Bookings!I209,10))+TIMEVALUE(MID(Raw_Bookings!I209,12,8)))</f>
        <v>45765.83480324074</v>
      </c>
      <c r="N209" s="7">
        <f>IF(AND(L209=0,H209=1),IF(INT(M209)&gt;I209,1,0),0)</f>
        <v>0</v>
      </c>
      <c r="O209" s="7" t="str">
        <f>UPPER(TRIM(Raw_Bookings!F209))</f>
        <v>MUM</v>
      </c>
      <c r="P209" s="7" t="str">
        <f>UPPER(TRIM(Raw_Bookings!G209))</f>
        <v>BEN</v>
      </c>
      <c r="Q209" s="7">
        <f>IF(COUNTIF(Lookup_Stations!$A$2:$A$33,O209)&gt;0,1,0)</f>
        <v>1</v>
      </c>
      <c r="R209" s="7">
        <f>IF(COUNTIF(Lookup_Stations!$A$2:$A$33,P209)&gt;0,1,0)</f>
        <v>1</v>
      </c>
      <c r="S209" s="7">
        <f>IF(OR(AND(Q209=1,NOT(EXACT(Raw_Bookings!F209,O209))),AND(R209=1,NOT(EXACT(Raw_Bookings!G209,P209)))),1,0)</f>
        <v>0</v>
      </c>
      <c r="T209" s="7">
        <f>IF(OR(Q209=0,R209=0),1,0)</f>
        <v>0</v>
      </c>
      <c r="U209" s="7">
        <f>IF(TRIM(Raw_Bookings!E209&amp;"")="",1,0)</f>
        <v>0</v>
      </c>
      <c r="V209" s="7" t="str">
        <f>IF(SUMPRODUCT(--(Lookup_Status!$A$2:$A$13=LOWER(TRIM(Raw_Bookings!K209))))=0,"",INDEX(Lookup_Status!$B$2:$B$13,SUMPRODUCT((Lookup_Status!$A$2:$A$13=LOWER(TRIM(Raw_Bookings!K209)))*(ROW(Lookup_Status!$A$2:$A$13)-1))))</f>
        <v>Waitlisted</v>
      </c>
      <c r="W209" s="7">
        <f>IF(AND(V209&lt;&gt;"",NOT(EXACT(Raw_Bookings!K209,V209))),1,0)</f>
        <v>0</v>
      </c>
      <c r="X209" s="7">
        <f>IF(V209="",1,0)</f>
        <v>0</v>
      </c>
      <c r="Y209" s="7">
        <f>IF(TRIM(Raw_Bookings!L209&amp;"")="",1,0)</f>
        <v>0</v>
      </c>
      <c r="Z209" s="7">
        <f>IF(AND(ISTEXT(Raw_Bookings!L209),Y209=0),1,0)</f>
        <v>0</v>
      </c>
      <c r="AA209" s="7">
        <f>IF(Z209=1,IFERROR(VALUE(SUBSTITUTE(SUBSTITUTE(SUBSTITUTE(SUBSTITUTE(SUBSTITUTE(UPPER(Raw_Bookings!L209),"RS.",""),"₹",""),",","")," ",""),"INR","")),""),"")</f>
        <v/>
      </c>
      <c r="AB209" s="7">
        <f>IF(AND(Z209=1,ISNUMBER(AA209)),1,0)</f>
        <v>0</v>
      </c>
      <c r="AC209" s="7">
        <f>IF(B209=1,0,IF(NOT(ISNUMBER(Raw_Bookings!J209)),1,IF(Raw_Bookings!J209&lt;&gt;COUNTIFS(Work_Passengers!$B$2:$B$1336,Raw_Bookings!A209,Work_Passengers!$C$2:$C$1336,0),1,0)))</f>
        <v>0</v>
      </c>
    </row>
    <row r="210" spans="1:29">
      <c r="A210" s="7">
        <f>Raw_Bookings!A210</f>
        <v>1069152</v>
      </c>
      <c r="B210" s="7">
        <f>IF(COUNTIF(Raw_Bookings!$A$2:A210,Raw_Bookings!A210)&gt;1,1,0)</f>
        <v>0</v>
      </c>
      <c r="C210" s="7" t="str">
        <f>Raw_Bookings!D210&amp;""</f>
        <v>2025-04-25</v>
      </c>
      <c r="D210" s="7" t="str">
        <f>IF(AND(LEN(C210)=10,MID(C210,5,1)="-",MID(C210,8,1)="-"),"ISO",IF(AND(LEN(C210)=10,MID(C210,3,1)="-",MID(C210,6,1)="-"),"DMY","OTHER"))</f>
        <v>ISO</v>
      </c>
      <c r="E210" s="7">
        <f>IF(D210="ISO",VALUE(LEFT(C210,4)),IF(D210="DMY",VALUE(RIGHT(C210,4)),0))</f>
        <v>2025</v>
      </c>
      <c r="F210" s="7">
        <f>IF(D210="ISO",VALUE(MID(C210,6,2)),IF(D210="DMY",VALUE(MID(C210,4,2)),0))</f>
        <v>4</v>
      </c>
      <c r="G210" s="7">
        <f>IF(D210="ISO",VALUE(RIGHT(C210,2)),IF(D210="DMY",VALUE(LEFT(C210,2)),0))</f>
        <v>25</v>
      </c>
      <c r="H210" s="7">
        <f>IF(AND(D210&lt;&gt;"OTHER",F210&gt;=1,F210&lt;=12,G210&gt;=1,G210&lt;=31),IF(AND(MONTH(DATE(E210,F210,G210))=F210,DAY(DATE(E210,F210,G210))=G210),1,0),0)</f>
        <v>1</v>
      </c>
      <c r="I210" s="7">
        <f>IF(H210=1,DATE(E210,F210,G210),"")</f>
        <v>45772.0</v>
      </c>
      <c r="J210" s="7">
        <f>IF(AND(D210="DMY",H210=1),1,0)</f>
        <v>0</v>
      </c>
      <c r="K210" s="7">
        <f>IF(H210=0,1,0)</f>
        <v>0</v>
      </c>
      <c r="L210" s="7">
        <f>IF(TRIM(Raw_Bookings!I210&amp;"")="",1,0)</f>
        <v>0</v>
      </c>
      <c r="M210" s="7">
        <f>IF(L210=1,"",DATEVALUE(LEFT(Raw_Bookings!I210,10))+TIMEVALUE(MID(Raw_Bookings!I210,12,8)))</f>
        <v>45766.38353009259</v>
      </c>
      <c r="N210" s="7">
        <f>IF(AND(L210=0,H210=1),IF(INT(M210)&gt;I210,1,0),0)</f>
        <v>0</v>
      </c>
      <c r="O210" s="7" t="str">
        <f>UPPER(TRIM(Raw_Bookings!F210))</f>
        <v>MAU</v>
      </c>
      <c r="P210" s="7" t="str">
        <f>UPPER(TRIM(Raw_Bookings!G210))</f>
        <v>DEL</v>
      </c>
      <c r="Q210" s="7">
        <f>IF(COUNTIF(Lookup_Stations!$A$2:$A$33,O210)&gt;0,1,0)</f>
        <v>1</v>
      </c>
      <c r="R210" s="7">
        <f>IF(COUNTIF(Lookup_Stations!$A$2:$A$33,P210)&gt;0,1,0)</f>
        <v>1</v>
      </c>
      <c r="S210" s="7">
        <f>IF(OR(AND(Q210=1,NOT(EXACT(Raw_Bookings!F210,O210))),AND(R210=1,NOT(EXACT(Raw_Bookings!G210,P210)))),1,0)</f>
        <v>0</v>
      </c>
      <c r="T210" s="7">
        <f>IF(OR(Q210=0,R210=0),1,0)</f>
        <v>0</v>
      </c>
      <c r="U210" s="7">
        <f>IF(TRIM(Raw_Bookings!E210&amp;"")="",1,0)</f>
        <v>0</v>
      </c>
      <c r="V210" s="7" t="str">
        <f>IF(SUMPRODUCT(--(Lookup_Status!$A$2:$A$13=LOWER(TRIM(Raw_Bookings!K210))))=0,"",INDEX(Lookup_Status!$B$2:$B$13,SUMPRODUCT((Lookup_Status!$A$2:$A$13=LOWER(TRIM(Raw_Bookings!K210)))*(ROW(Lookup_Status!$A$2:$A$13)-1))))</f>
        <v>Waitlisted</v>
      </c>
      <c r="W210" s="7">
        <f>IF(AND(V210&lt;&gt;"",NOT(EXACT(Raw_Bookings!K210,V210))),1,0)</f>
        <v>0</v>
      </c>
      <c r="X210" s="7">
        <f>IF(V210="",1,0)</f>
        <v>0</v>
      </c>
      <c r="Y210" s="7">
        <f>IF(TRIM(Raw_Bookings!L210&amp;"")="",1,0)</f>
        <v>0</v>
      </c>
      <c r="Z210" s="7">
        <f>IF(AND(ISTEXT(Raw_Bookings!L210),Y210=0),1,0)</f>
        <v>0</v>
      </c>
      <c r="AA210" s="7">
        <f>IF(Z210=1,IFERROR(VALUE(SUBSTITUTE(SUBSTITUTE(SUBSTITUTE(SUBSTITUTE(SUBSTITUTE(UPPER(Raw_Bookings!L210),"RS.",""),"₹",""),",","")," ",""),"INR","")),""),"")</f>
        <v/>
      </c>
      <c r="AB210" s="7">
        <f>IF(AND(Z210=1,ISNUMBER(AA210)),1,0)</f>
        <v>0</v>
      </c>
      <c r="AC210" s="7">
        <f>IF(B210=1,0,IF(NOT(ISNUMBER(Raw_Bookings!J210)),1,IF(Raw_Bookings!J210&lt;&gt;COUNTIFS(Work_Passengers!$B$2:$B$1336,Raw_Bookings!A210,Work_Passengers!$C$2:$C$1336,0),1,0)))</f>
        <v>0</v>
      </c>
    </row>
    <row r="211" spans="1:29">
      <c r="A211" s="7">
        <f>Raw_Bookings!A211</f>
        <v>1069896</v>
      </c>
      <c r="B211" s="7">
        <f>IF(COUNTIF(Raw_Bookings!$A$2:A211,Raw_Bookings!A211)&gt;1,1,0)</f>
        <v>0</v>
      </c>
      <c r="C211" s="7" t="str">
        <f>Raw_Bookings!D211&amp;""</f>
        <v>2025-05-16</v>
      </c>
      <c r="D211" s="7" t="str">
        <f>IF(AND(LEN(C211)=10,MID(C211,5,1)="-",MID(C211,8,1)="-"),"ISO",IF(AND(LEN(C211)=10,MID(C211,3,1)="-",MID(C211,6,1)="-"),"DMY","OTHER"))</f>
        <v>ISO</v>
      </c>
      <c r="E211" s="7">
        <f>IF(D211="ISO",VALUE(LEFT(C211,4)),IF(D211="DMY",VALUE(RIGHT(C211,4)),0))</f>
        <v>2025</v>
      </c>
      <c r="F211" s="7">
        <f>IF(D211="ISO",VALUE(MID(C211,6,2)),IF(D211="DMY",VALUE(MID(C211,4,2)),0))</f>
        <v>5</v>
      </c>
      <c r="G211" s="7">
        <f>IF(D211="ISO",VALUE(RIGHT(C211,2)),IF(D211="DMY",VALUE(LEFT(C211,2)),0))</f>
        <v>16</v>
      </c>
      <c r="H211" s="7">
        <f>IF(AND(D211&lt;&gt;"OTHER",F211&gt;=1,F211&lt;=12,G211&gt;=1,G211&lt;=31),IF(AND(MONTH(DATE(E211,F211,G211))=F211,DAY(DATE(E211,F211,G211))=G211),1,0),0)</f>
        <v>1</v>
      </c>
      <c r="I211" s="7">
        <f>IF(H211=1,DATE(E211,F211,G211),"")</f>
        <v>45793.0</v>
      </c>
      <c r="J211" s="7">
        <f>IF(AND(D211="DMY",H211=1),1,0)</f>
        <v>0</v>
      </c>
      <c r="K211" s="7">
        <f>IF(H211=0,1,0)</f>
        <v>0</v>
      </c>
      <c r="L211" s="7">
        <f>IF(TRIM(Raw_Bookings!I211&amp;"")="",1,0)</f>
        <v>0</v>
      </c>
      <c r="M211" s="7">
        <f>IF(L211=1,"",DATEVALUE(LEFT(Raw_Bookings!I211,10))+TIMEVALUE(MID(Raw_Bookings!I211,12,8)))</f>
        <v>45768.62766203703</v>
      </c>
      <c r="N211" s="7">
        <f>IF(AND(L211=0,H211=1),IF(INT(M211)&gt;I211,1,0),0)</f>
        <v>0</v>
      </c>
      <c r="O211" s="7" t="str">
        <f>UPPER(TRIM(Raw_Bookings!F211))</f>
        <v>VIS</v>
      </c>
      <c r="P211" s="7" t="str">
        <f>UPPER(TRIM(Raw_Bookings!G211))</f>
        <v>CHA</v>
      </c>
      <c r="Q211" s="7">
        <f>IF(COUNTIF(Lookup_Stations!$A$2:$A$33,O211)&gt;0,1,0)</f>
        <v>1</v>
      </c>
      <c r="R211" s="7">
        <f>IF(COUNTIF(Lookup_Stations!$A$2:$A$33,P211)&gt;0,1,0)</f>
        <v>1</v>
      </c>
      <c r="S211" s="7">
        <f>IF(OR(AND(Q211=1,NOT(EXACT(Raw_Bookings!F211,O211))),AND(R211=1,NOT(EXACT(Raw_Bookings!G211,P211)))),1,0)</f>
        <v>0</v>
      </c>
      <c r="T211" s="7">
        <f>IF(OR(Q211=0,R211=0),1,0)</f>
        <v>0</v>
      </c>
      <c r="U211" s="7">
        <f>IF(TRIM(Raw_Bookings!E211&amp;"")="",1,0)</f>
        <v>0</v>
      </c>
      <c r="V211" s="7" t="str">
        <f>IF(SUMPRODUCT(--(Lookup_Status!$A$2:$A$13=LOWER(TRIM(Raw_Bookings!K211))))=0,"",INDEX(Lookup_Status!$B$2:$B$13,SUMPRODUCT((Lookup_Status!$A$2:$A$13=LOWER(TRIM(Raw_Bookings!K211)))*(ROW(Lookup_Status!$A$2:$A$13)-1))))</f>
        <v>Confirmed</v>
      </c>
      <c r="W211" s="7">
        <f>IF(AND(V211&lt;&gt;"",NOT(EXACT(Raw_Bookings!K211,V211))),1,0)</f>
        <v>0</v>
      </c>
      <c r="X211" s="7">
        <f>IF(V211="",1,0)</f>
        <v>0</v>
      </c>
      <c r="Y211" s="7">
        <f>IF(TRIM(Raw_Bookings!L211&amp;"")="",1,0)</f>
        <v>0</v>
      </c>
      <c r="Z211" s="7">
        <f>IF(AND(ISTEXT(Raw_Bookings!L211),Y211=0),1,0)</f>
        <v>0</v>
      </c>
      <c r="AA211" s="7">
        <f>IF(Z211=1,IFERROR(VALUE(SUBSTITUTE(SUBSTITUTE(SUBSTITUTE(SUBSTITUTE(SUBSTITUTE(UPPER(Raw_Bookings!L211),"RS.",""),"₹",""),",","")," ",""),"INR","")),""),"")</f>
        <v/>
      </c>
      <c r="AB211" s="7">
        <f>IF(AND(Z211=1,ISNUMBER(AA211)),1,0)</f>
        <v>0</v>
      </c>
      <c r="AC211" s="7">
        <f>IF(B211=1,0,IF(NOT(ISNUMBER(Raw_Bookings!J211)),1,IF(Raw_Bookings!J211&lt;&gt;COUNTIFS(Work_Passengers!$B$2:$B$1336,Raw_Bookings!A211,Work_Passengers!$C$2:$C$1336,0),1,0)))</f>
        <v>0</v>
      </c>
    </row>
    <row r="212" spans="1:29">
      <c r="A212" s="7">
        <f>Raw_Bookings!A212</f>
        <v>1069898</v>
      </c>
      <c r="B212" s="7">
        <f>IF(COUNTIF(Raw_Bookings!$A$2:A212,Raw_Bookings!A212)&gt;1,1,0)</f>
        <v>0</v>
      </c>
      <c r="C212" s="7" t="str">
        <f>Raw_Bookings!D212&amp;""</f>
        <v>2025-06-02</v>
      </c>
      <c r="D212" s="7" t="str">
        <f>IF(AND(LEN(C212)=10,MID(C212,5,1)="-",MID(C212,8,1)="-"),"ISO",IF(AND(LEN(C212)=10,MID(C212,3,1)="-",MID(C212,6,1)="-"),"DMY","OTHER"))</f>
        <v>ISO</v>
      </c>
      <c r="E212" s="7">
        <f>IF(D212="ISO",VALUE(LEFT(C212,4)),IF(D212="DMY",VALUE(RIGHT(C212,4)),0))</f>
        <v>2025</v>
      </c>
      <c r="F212" s="7">
        <f>IF(D212="ISO",VALUE(MID(C212,6,2)),IF(D212="DMY",VALUE(MID(C212,4,2)),0))</f>
        <v>6</v>
      </c>
      <c r="G212" s="7">
        <f>IF(D212="ISO",VALUE(RIGHT(C212,2)),IF(D212="DMY",VALUE(LEFT(C212,2)),0))</f>
        <v>2</v>
      </c>
      <c r="H212" s="7">
        <f>IF(AND(D212&lt;&gt;"OTHER",F212&gt;=1,F212&lt;=12,G212&gt;=1,G212&lt;=31),IF(AND(MONTH(DATE(E212,F212,G212))=F212,DAY(DATE(E212,F212,G212))=G212),1,0),0)</f>
        <v>1</v>
      </c>
      <c r="I212" s="7">
        <f>IF(H212=1,DATE(E212,F212,G212),"")</f>
        <v>45810.0</v>
      </c>
      <c r="J212" s="7">
        <f>IF(AND(D212="DMY",H212=1),1,0)</f>
        <v>0</v>
      </c>
      <c r="K212" s="7">
        <f>IF(H212=0,1,0)</f>
        <v>0</v>
      </c>
      <c r="L212" s="7">
        <f>IF(TRIM(Raw_Bookings!I212&amp;"")="",1,0)</f>
        <v>0</v>
      </c>
      <c r="M212" s="7">
        <f>IF(L212=1,"",DATEVALUE(LEFT(Raw_Bookings!I212,10))+TIMEVALUE(MID(Raw_Bookings!I212,12,8)))</f>
        <v>45768.629907407405</v>
      </c>
      <c r="N212" s="7">
        <f>IF(AND(L212=0,H212=1),IF(INT(M212)&gt;I212,1,0),0)</f>
        <v>0</v>
      </c>
      <c r="O212" s="7" t="str">
        <f>UPPER(TRIM(Raw_Bookings!F212))</f>
        <v>KOC</v>
      </c>
      <c r="P212" s="7" t="str">
        <f>UPPER(TRIM(Raw_Bookings!G212))</f>
        <v>BHU</v>
      </c>
      <c r="Q212" s="7">
        <f>IF(COUNTIF(Lookup_Stations!$A$2:$A$33,O212)&gt;0,1,0)</f>
        <v>1</v>
      </c>
      <c r="R212" s="7">
        <f>IF(COUNTIF(Lookup_Stations!$A$2:$A$33,P212)&gt;0,1,0)</f>
        <v>1</v>
      </c>
      <c r="S212" s="7">
        <f>IF(OR(AND(Q212=1,NOT(EXACT(Raw_Bookings!F212,O212))),AND(R212=1,NOT(EXACT(Raw_Bookings!G212,P212)))),1,0)</f>
        <v>0</v>
      </c>
      <c r="T212" s="7">
        <f>IF(OR(Q212=0,R212=0),1,0)</f>
        <v>0</v>
      </c>
      <c r="U212" s="7">
        <f>IF(TRIM(Raw_Bookings!E212&amp;"")="",1,0)</f>
        <v>0</v>
      </c>
      <c r="V212" s="7" t="str">
        <f>IF(SUMPRODUCT(--(Lookup_Status!$A$2:$A$13=LOWER(TRIM(Raw_Bookings!K212))))=0,"",INDEX(Lookup_Status!$B$2:$B$13,SUMPRODUCT((Lookup_Status!$A$2:$A$13=LOWER(TRIM(Raw_Bookings!K212)))*(ROW(Lookup_Status!$A$2:$A$13)-1))))</f>
        <v>Confirmed</v>
      </c>
      <c r="W212" s="7">
        <f>IF(AND(V212&lt;&gt;"",NOT(EXACT(Raw_Bookings!K212,V212))),1,0)</f>
        <v>0</v>
      </c>
      <c r="X212" s="7">
        <f>IF(V212="",1,0)</f>
        <v>0</v>
      </c>
      <c r="Y212" s="7">
        <f>IF(TRIM(Raw_Bookings!L212&amp;"")="",1,0)</f>
        <v>0</v>
      </c>
      <c r="Z212" s="7">
        <f>IF(AND(ISTEXT(Raw_Bookings!L212),Y212=0),1,0)</f>
        <v>0</v>
      </c>
      <c r="AA212" s="7">
        <f>IF(Z212=1,IFERROR(VALUE(SUBSTITUTE(SUBSTITUTE(SUBSTITUTE(SUBSTITUTE(SUBSTITUTE(UPPER(Raw_Bookings!L212),"RS.",""),"₹",""),",","")," ",""),"INR","")),""),"")</f>
        <v/>
      </c>
      <c r="AB212" s="7">
        <f>IF(AND(Z212=1,ISNUMBER(AA212)),1,0)</f>
        <v>0</v>
      </c>
      <c r="AC212" s="7">
        <f>IF(B212=1,0,IF(NOT(ISNUMBER(Raw_Bookings!J212)),1,IF(Raw_Bookings!J212&lt;&gt;COUNTIFS(Work_Passengers!$B$2:$B$1336,Raw_Bookings!A212,Work_Passengers!$C$2:$C$1336,0),1,0)))</f>
        <v>0</v>
      </c>
    </row>
    <row r="213" spans="1:29">
      <c r="A213" s="7">
        <f>Raw_Bookings!A213</f>
        <v>1070044</v>
      </c>
      <c r="B213" s="7">
        <f>IF(COUNTIF(Raw_Bookings!$A$2:A213,Raw_Bookings!A213)&gt;1,1,0)</f>
        <v>0</v>
      </c>
      <c r="C213" s="7" t="str">
        <f>Raw_Bookings!D213&amp;""</f>
        <v>2025-05-05</v>
      </c>
      <c r="D213" s="7" t="str">
        <f>IF(AND(LEN(C213)=10,MID(C213,5,1)="-",MID(C213,8,1)="-"),"ISO",IF(AND(LEN(C213)=10,MID(C213,3,1)="-",MID(C213,6,1)="-"),"DMY","OTHER"))</f>
        <v>ISO</v>
      </c>
      <c r="E213" s="7">
        <f>IF(D213="ISO",VALUE(LEFT(C213,4)),IF(D213="DMY",VALUE(RIGHT(C213,4)),0))</f>
        <v>2025</v>
      </c>
      <c r="F213" s="7">
        <f>IF(D213="ISO",VALUE(MID(C213,6,2)),IF(D213="DMY",VALUE(MID(C213,4,2)),0))</f>
        <v>5</v>
      </c>
      <c r="G213" s="7">
        <f>IF(D213="ISO",VALUE(RIGHT(C213,2)),IF(D213="DMY",VALUE(LEFT(C213,2)),0))</f>
        <v>5</v>
      </c>
      <c r="H213" s="7">
        <f>IF(AND(D213&lt;&gt;"OTHER",F213&gt;=1,F213&lt;=12,G213&gt;=1,G213&lt;=31),IF(AND(MONTH(DATE(E213,F213,G213))=F213,DAY(DATE(E213,F213,G213))=G213),1,0),0)</f>
        <v>1</v>
      </c>
      <c r="I213" s="7">
        <f>IF(H213=1,DATE(E213,F213,G213),"")</f>
        <v>45782.0</v>
      </c>
      <c r="J213" s="7">
        <f>IF(AND(D213="DMY",H213=1),1,0)</f>
        <v>0</v>
      </c>
      <c r="K213" s="7">
        <f>IF(H213=0,1,0)</f>
        <v>0</v>
      </c>
      <c r="L213" s="7">
        <f>IF(TRIM(Raw_Bookings!I213&amp;"")="",1,0)</f>
        <v>0</v>
      </c>
      <c r="M213" s="7">
        <f>IF(L213=1,"",DATEVALUE(LEFT(Raw_Bookings!I213,10))+TIMEVALUE(MID(Raw_Bookings!I213,12,8)))</f>
        <v>45769.02023148148</v>
      </c>
      <c r="N213" s="7">
        <f>IF(AND(L213=0,H213=1),IF(INT(M213)&gt;I213,1,0),0)</f>
        <v>0</v>
      </c>
      <c r="O213" s="7" t="str">
        <f>UPPER(TRIM(Raw_Bookings!F213))</f>
        <v>KOL</v>
      </c>
      <c r="P213" s="7" t="str">
        <f>UPPER(TRIM(Raw_Bookings!G213))</f>
        <v>HYD</v>
      </c>
      <c r="Q213" s="7">
        <f>IF(COUNTIF(Lookup_Stations!$A$2:$A$33,O213)&gt;0,1,0)</f>
        <v>1</v>
      </c>
      <c r="R213" s="7">
        <f>IF(COUNTIF(Lookup_Stations!$A$2:$A$33,P213)&gt;0,1,0)</f>
        <v>1</v>
      </c>
      <c r="S213" s="7">
        <f>IF(OR(AND(Q213=1,NOT(EXACT(Raw_Bookings!F213,O213))),AND(R213=1,NOT(EXACT(Raw_Bookings!G213,P213)))),1,0)</f>
        <v>0</v>
      </c>
      <c r="T213" s="7">
        <f>IF(OR(Q213=0,R213=0),1,0)</f>
        <v>0</v>
      </c>
      <c r="U213" s="7">
        <f>IF(TRIM(Raw_Bookings!E213&amp;"")="",1,0)</f>
        <v>0</v>
      </c>
      <c r="V213" s="7" t="str">
        <f>IF(SUMPRODUCT(--(Lookup_Status!$A$2:$A$13=LOWER(TRIM(Raw_Bookings!K213))))=0,"",INDEX(Lookup_Status!$B$2:$B$13,SUMPRODUCT((Lookup_Status!$A$2:$A$13=LOWER(TRIM(Raw_Bookings!K213)))*(ROW(Lookup_Status!$A$2:$A$13)-1))))</f>
        <v>Cancelled</v>
      </c>
      <c r="W213" s="7">
        <f>IF(AND(V213&lt;&gt;"",NOT(EXACT(Raw_Bookings!K213,V213))),1,0)</f>
        <v>0</v>
      </c>
      <c r="X213" s="7">
        <f>IF(V213="",1,0)</f>
        <v>0</v>
      </c>
      <c r="Y213" s="7">
        <f>IF(TRIM(Raw_Bookings!L213&amp;"")="",1,0)</f>
        <v>0</v>
      </c>
      <c r="Z213" s="7">
        <f>IF(AND(ISTEXT(Raw_Bookings!L213),Y213=0),1,0)</f>
        <v>0</v>
      </c>
      <c r="AA213" s="7">
        <f>IF(Z213=1,IFERROR(VALUE(SUBSTITUTE(SUBSTITUTE(SUBSTITUTE(SUBSTITUTE(SUBSTITUTE(UPPER(Raw_Bookings!L213),"RS.",""),"₹",""),",","")," ",""),"INR","")),""),"")</f>
        <v/>
      </c>
      <c r="AB213" s="7">
        <f>IF(AND(Z213=1,ISNUMBER(AA213)),1,0)</f>
        <v>0</v>
      </c>
      <c r="AC213" s="7">
        <f>IF(B213=1,0,IF(NOT(ISNUMBER(Raw_Bookings!J213)),1,IF(Raw_Bookings!J213&lt;&gt;COUNTIFS(Work_Passengers!$B$2:$B$1336,Raw_Bookings!A213,Work_Passengers!$C$2:$C$1336,0),1,0)))</f>
        <v>0</v>
      </c>
    </row>
    <row r="214" spans="1:29">
      <c r="A214" s="7">
        <f>Raw_Bookings!A214</f>
        <v>1070048</v>
      </c>
      <c r="B214" s="7">
        <f>IF(COUNTIF(Raw_Bookings!$A$2:A214,Raw_Bookings!A214)&gt;1,1,0)</f>
        <v>0</v>
      </c>
      <c r="C214" s="7" t="str">
        <f>Raw_Bookings!D214&amp;""</f>
        <v>2025-06-09</v>
      </c>
      <c r="D214" s="7" t="str">
        <f>IF(AND(LEN(C214)=10,MID(C214,5,1)="-",MID(C214,8,1)="-"),"ISO",IF(AND(LEN(C214)=10,MID(C214,3,1)="-",MID(C214,6,1)="-"),"DMY","OTHER"))</f>
        <v>ISO</v>
      </c>
      <c r="E214" s="7">
        <f>IF(D214="ISO",VALUE(LEFT(C214,4)),IF(D214="DMY",VALUE(RIGHT(C214,4)),0))</f>
        <v>2025</v>
      </c>
      <c r="F214" s="7">
        <f>IF(D214="ISO",VALUE(MID(C214,6,2)),IF(D214="DMY",VALUE(MID(C214,4,2)),0))</f>
        <v>6</v>
      </c>
      <c r="G214" s="7">
        <f>IF(D214="ISO",VALUE(RIGHT(C214,2)),IF(D214="DMY",VALUE(LEFT(C214,2)),0))</f>
        <v>9</v>
      </c>
      <c r="H214" s="7">
        <f>IF(AND(D214&lt;&gt;"OTHER",F214&gt;=1,F214&lt;=12,G214&gt;=1,G214&lt;=31),IF(AND(MONTH(DATE(E214,F214,G214))=F214,DAY(DATE(E214,F214,G214))=G214),1,0),0)</f>
        <v>1</v>
      </c>
      <c r="I214" s="7">
        <f>IF(H214=1,DATE(E214,F214,G214),"")</f>
        <v>45817.0</v>
      </c>
      <c r="J214" s="7">
        <f>IF(AND(D214="DMY",H214=1),1,0)</f>
        <v>0</v>
      </c>
      <c r="K214" s="7">
        <f>IF(H214=0,1,0)</f>
        <v>0</v>
      </c>
      <c r="L214" s="7">
        <f>IF(TRIM(Raw_Bookings!I214&amp;"")="",1,0)</f>
        <v>0</v>
      </c>
      <c r="M214" s="7">
        <f>IF(L214=1,"",DATEVALUE(LEFT(Raw_Bookings!I214,10))+TIMEVALUE(MID(Raw_Bookings!I214,12,8)))</f>
        <v>45769.085625</v>
      </c>
      <c r="N214" s="7">
        <f>IF(AND(L214=0,H214=1),IF(INT(M214)&gt;I214,1,0),0)</f>
        <v>0</v>
      </c>
      <c r="O214" s="7" t="str">
        <f>UPPER(TRIM(Raw_Bookings!F214))</f>
        <v>KOL</v>
      </c>
      <c r="P214" s="7" t="str">
        <f>UPPER(TRIM(Raw_Bookings!G214))</f>
        <v>HYD</v>
      </c>
      <c r="Q214" s="7">
        <f>IF(COUNTIF(Lookup_Stations!$A$2:$A$33,O214)&gt;0,1,0)</f>
        <v>1</v>
      </c>
      <c r="R214" s="7">
        <f>IF(COUNTIF(Lookup_Stations!$A$2:$A$33,P214)&gt;0,1,0)</f>
        <v>1</v>
      </c>
      <c r="S214" s="7">
        <f>IF(OR(AND(Q214=1,NOT(EXACT(Raw_Bookings!F214,O214))),AND(R214=1,NOT(EXACT(Raw_Bookings!G214,P214)))),1,0)</f>
        <v>0</v>
      </c>
      <c r="T214" s="7">
        <f>IF(OR(Q214=0,R214=0),1,0)</f>
        <v>0</v>
      </c>
      <c r="U214" s="7">
        <f>IF(TRIM(Raw_Bookings!E214&amp;"")="",1,0)</f>
        <v>0</v>
      </c>
      <c r="V214" s="7" t="str">
        <f>IF(SUMPRODUCT(--(Lookup_Status!$A$2:$A$13=LOWER(TRIM(Raw_Bookings!K214))))=0,"",INDEX(Lookup_Status!$B$2:$B$13,SUMPRODUCT((Lookup_Status!$A$2:$A$13=LOWER(TRIM(Raw_Bookings!K214)))*(ROW(Lookup_Status!$A$2:$A$13)-1))))</f>
        <v>Confirmed</v>
      </c>
      <c r="W214" s="7">
        <f>IF(AND(V214&lt;&gt;"",NOT(EXACT(Raw_Bookings!K214,V214))),1,0)</f>
        <v>0</v>
      </c>
      <c r="X214" s="7">
        <f>IF(V214="",1,0)</f>
        <v>0</v>
      </c>
      <c r="Y214" s="7">
        <f>IF(TRIM(Raw_Bookings!L214&amp;"")="",1,0)</f>
        <v>0</v>
      </c>
      <c r="Z214" s="7">
        <f>IF(AND(ISTEXT(Raw_Bookings!L214),Y214=0),1,0)</f>
        <v>0</v>
      </c>
      <c r="AA214" s="7">
        <f>IF(Z214=1,IFERROR(VALUE(SUBSTITUTE(SUBSTITUTE(SUBSTITUTE(SUBSTITUTE(SUBSTITUTE(UPPER(Raw_Bookings!L214),"RS.",""),"₹",""),",","")," ",""),"INR","")),""),"")</f>
        <v/>
      </c>
      <c r="AB214" s="7">
        <f>IF(AND(Z214=1,ISNUMBER(AA214)),1,0)</f>
        <v>0</v>
      </c>
      <c r="AC214" s="7">
        <f>IF(B214=1,0,IF(NOT(ISNUMBER(Raw_Bookings!J214)),1,IF(Raw_Bookings!J214&lt;&gt;COUNTIFS(Work_Passengers!$B$2:$B$1336,Raw_Bookings!A214,Work_Passengers!$C$2:$C$1336,0),1,0)))</f>
        <v>0</v>
      </c>
    </row>
    <row r="215" spans="1:29">
      <c r="A215" s="7">
        <f>Raw_Bookings!A215</f>
        <v>1071085</v>
      </c>
      <c r="B215" s="7">
        <f>IF(COUNTIF(Raw_Bookings!$A$2:A215,Raw_Bookings!A215)&gt;1,1,0)</f>
        <v>0</v>
      </c>
      <c r="C215" s="7" t="str">
        <f>Raw_Bookings!D215&amp;""</f>
        <v>2025-05-16</v>
      </c>
      <c r="D215" s="7" t="str">
        <f>IF(AND(LEN(C215)=10,MID(C215,5,1)="-",MID(C215,8,1)="-"),"ISO",IF(AND(LEN(C215)=10,MID(C215,3,1)="-",MID(C215,6,1)="-"),"DMY","OTHER"))</f>
        <v>ISO</v>
      </c>
      <c r="E215" s="7">
        <f>IF(D215="ISO",VALUE(LEFT(C215,4)),IF(D215="DMY",VALUE(RIGHT(C215,4)),0))</f>
        <v>2025</v>
      </c>
      <c r="F215" s="7">
        <f>IF(D215="ISO",VALUE(MID(C215,6,2)),IF(D215="DMY",VALUE(MID(C215,4,2)),0))</f>
        <v>5</v>
      </c>
      <c r="G215" s="7">
        <f>IF(D215="ISO",VALUE(RIGHT(C215,2)),IF(D215="DMY",VALUE(LEFT(C215,2)),0))</f>
        <v>16</v>
      </c>
      <c r="H215" s="7">
        <f>IF(AND(D215&lt;&gt;"OTHER",F215&gt;=1,F215&lt;=12,G215&gt;=1,G215&lt;=31),IF(AND(MONTH(DATE(E215,F215,G215))=F215,DAY(DATE(E215,F215,G215))=G215),1,0),0)</f>
        <v>1</v>
      </c>
      <c r="I215" s="7">
        <f>IF(H215=1,DATE(E215,F215,G215),"")</f>
        <v>45793.0</v>
      </c>
      <c r="J215" s="7">
        <f>IF(AND(D215="DMY",H215=1),1,0)</f>
        <v>0</v>
      </c>
      <c r="K215" s="7">
        <f>IF(H215=0,1,0)</f>
        <v>0</v>
      </c>
      <c r="L215" s="7">
        <f>IF(TRIM(Raw_Bookings!I215&amp;"")="",1,0)</f>
        <v>0</v>
      </c>
      <c r="M215" s="7">
        <f>IF(L215=1,"",DATEVALUE(LEFT(Raw_Bookings!I215,10))+TIMEVALUE(MID(Raw_Bookings!I215,12,8)))</f>
        <v>45772.438101851854</v>
      </c>
      <c r="N215" s="7">
        <f>IF(AND(L215=0,H215=1),IF(INT(M215)&gt;I215,1,0),0)</f>
        <v>0</v>
      </c>
      <c r="O215" s="7" t="str">
        <f>UPPER(TRIM(Raw_Bookings!F215))</f>
        <v>THI</v>
      </c>
      <c r="P215" s="7" t="str">
        <f>UPPER(TRIM(Raw_Bookings!G215))</f>
        <v>NAG</v>
      </c>
      <c r="Q215" s="7">
        <f>IF(COUNTIF(Lookup_Stations!$A$2:$A$33,O215)&gt;0,1,0)</f>
        <v>1</v>
      </c>
      <c r="R215" s="7">
        <f>IF(COUNTIF(Lookup_Stations!$A$2:$A$33,P215)&gt;0,1,0)</f>
        <v>1</v>
      </c>
      <c r="S215" s="7">
        <f>IF(OR(AND(Q215=1,NOT(EXACT(Raw_Bookings!F215,O215))),AND(R215=1,NOT(EXACT(Raw_Bookings!G215,P215)))),1,0)</f>
        <v>0</v>
      </c>
      <c r="T215" s="7">
        <f>IF(OR(Q215=0,R215=0),1,0)</f>
        <v>0</v>
      </c>
      <c r="U215" s="7">
        <f>IF(TRIM(Raw_Bookings!E215&amp;"")="",1,0)</f>
        <v>0</v>
      </c>
      <c r="V215" s="7" t="str">
        <f>IF(SUMPRODUCT(--(Lookup_Status!$A$2:$A$13=LOWER(TRIM(Raw_Bookings!K215))))=0,"",INDEX(Lookup_Status!$B$2:$B$13,SUMPRODUCT((Lookup_Status!$A$2:$A$13=LOWER(TRIM(Raw_Bookings!K215)))*(ROW(Lookup_Status!$A$2:$A$13)-1))))</f>
        <v>Confirmed</v>
      </c>
      <c r="W215" s="7">
        <f>IF(AND(V215&lt;&gt;"",NOT(EXACT(Raw_Bookings!K215,V215))),1,0)</f>
        <v>1</v>
      </c>
      <c r="X215" s="7">
        <f>IF(V215="",1,0)</f>
        <v>0</v>
      </c>
      <c r="Y215" s="7">
        <f>IF(TRIM(Raw_Bookings!L215&amp;"")="",1,0)</f>
        <v>0</v>
      </c>
      <c r="Z215" s="7">
        <f>IF(AND(ISTEXT(Raw_Bookings!L215),Y215=0),1,0)</f>
        <v>0</v>
      </c>
      <c r="AA215" s="7">
        <f>IF(Z215=1,IFERROR(VALUE(SUBSTITUTE(SUBSTITUTE(SUBSTITUTE(SUBSTITUTE(SUBSTITUTE(UPPER(Raw_Bookings!L215),"RS.",""),"₹",""),",","")," ",""),"INR","")),""),"")</f>
        <v/>
      </c>
      <c r="AB215" s="7">
        <f>IF(AND(Z215=1,ISNUMBER(AA215)),1,0)</f>
        <v>0</v>
      </c>
      <c r="AC215" s="7">
        <f>IF(B215=1,0,IF(NOT(ISNUMBER(Raw_Bookings!J215)),1,IF(Raw_Bookings!J215&lt;&gt;COUNTIFS(Work_Passengers!$B$2:$B$1336,Raw_Bookings!A215,Work_Passengers!$C$2:$C$1336,0),1,0)))</f>
        <v>0</v>
      </c>
    </row>
    <row r="216" spans="1:29">
      <c r="A216" s="7">
        <f>Raw_Bookings!A216</f>
        <v>1071462</v>
      </c>
      <c r="B216" s="7">
        <f>IF(COUNTIF(Raw_Bookings!$A$2:A216,Raw_Bookings!A216)&gt;1,1,0)</f>
        <v>0</v>
      </c>
      <c r="C216" s="7" t="str">
        <f>Raw_Bookings!D216&amp;""</f>
        <v>2025-05-16</v>
      </c>
      <c r="D216" s="7" t="str">
        <f>IF(AND(LEN(C216)=10,MID(C216,5,1)="-",MID(C216,8,1)="-"),"ISO",IF(AND(LEN(C216)=10,MID(C216,3,1)="-",MID(C216,6,1)="-"),"DMY","OTHER"))</f>
        <v>ISO</v>
      </c>
      <c r="E216" s="7">
        <f>IF(D216="ISO",VALUE(LEFT(C216,4)),IF(D216="DMY",VALUE(RIGHT(C216,4)),0))</f>
        <v>2025</v>
      </c>
      <c r="F216" s="7">
        <f>IF(D216="ISO",VALUE(MID(C216,6,2)),IF(D216="DMY",VALUE(MID(C216,4,2)),0))</f>
        <v>5</v>
      </c>
      <c r="G216" s="7">
        <f>IF(D216="ISO",VALUE(RIGHT(C216,2)),IF(D216="DMY",VALUE(LEFT(C216,2)),0))</f>
        <v>16</v>
      </c>
      <c r="H216" s="7">
        <f>IF(AND(D216&lt;&gt;"OTHER",F216&gt;=1,F216&lt;=12,G216&gt;=1,G216&lt;=31),IF(AND(MONTH(DATE(E216,F216,G216))=F216,DAY(DATE(E216,F216,G216))=G216),1,0),0)</f>
        <v>1</v>
      </c>
      <c r="I216" s="7">
        <f>IF(H216=1,DATE(E216,F216,G216),"")</f>
        <v>45793.0</v>
      </c>
      <c r="J216" s="7">
        <f>IF(AND(D216="DMY",H216=1),1,0)</f>
        <v>0</v>
      </c>
      <c r="K216" s="7">
        <f>IF(H216=0,1,0)</f>
        <v>0</v>
      </c>
      <c r="L216" s="7">
        <f>IF(TRIM(Raw_Bookings!I216&amp;"")="",1,0)</f>
        <v>0</v>
      </c>
      <c r="M216" s="7">
        <f>IF(L216=1,"",DATEVALUE(LEFT(Raw_Bookings!I216,10))+TIMEVALUE(MID(Raw_Bookings!I216,12,8)))</f>
        <v>45773.66488425926</v>
      </c>
      <c r="N216" s="7">
        <f>IF(AND(L216=0,H216=1),IF(INT(M216)&gt;I216,1,0),0)</f>
        <v>0</v>
      </c>
      <c r="O216" s="7" t="str">
        <f>UPPER(TRIM(Raw_Bookings!F216))</f>
        <v>HYD</v>
      </c>
      <c r="P216" s="7" t="str">
        <f>UPPER(TRIM(Raw_Bookings!G216))</f>
        <v>KOL</v>
      </c>
      <c r="Q216" s="7">
        <f>IF(COUNTIF(Lookup_Stations!$A$2:$A$33,O216)&gt;0,1,0)</f>
        <v>1</v>
      </c>
      <c r="R216" s="7">
        <f>IF(COUNTIF(Lookup_Stations!$A$2:$A$33,P216)&gt;0,1,0)</f>
        <v>1</v>
      </c>
      <c r="S216" s="7">
        <f>IF(OR(AND(Q216=1,NOT(EXACT(Raw_Bookings!F216,O216))),AND(R216=1,NOT(EXACT(Raw_Bookings!G216,P216)))),1,0)</f>
        <v>0</v>
      </c>
      <c r="T216" s="7">
        <f>IF(OR(Q216=0,R216=0),1,0)</f>
        <v>0</v>
      </c>
      <c r="U216" s="7">
        <f>IF(TRIM(Raw_Bookings!E216&amp;"")="",1,0)</f>
        <v>0</v>
      </c>
      <c r="V216" s="7" t="str">
        <f>IF(SUMPRODUCT(--(Lookup_Status!$A$2:$A$13=LOWER(TRIM(Raw_Bookings!K216))))=0,"",INDEX(Lookup_Status!$B$2:$B$13,SUMPRODUCT((Lookup_Status!$A$2:$A$13=LOWER(TRIM(Raw_Bookings!K216)))*(ROW(Lookup_Status!$A$2:$A$13)-1))))</f>
        <v>Confirmed</v>
      </c>
      <c r="W216" s="7">
        <f>IF(AND(V216&lt;&gt;"",NOT(EXACT(Raw_Bookings!K216,V216))),1,0)</f>
        <v>0</v>
      </c>
      <c r="X216" s="7">
        <f>IF(V216="",1,0)</f>
        <v>0</v>
      </c>
      <c r="Y216" s="7">
        <f>IF(TRIM(Raw_Bookings!L216&amp;"")="",1,0)</f>
        <v>0</v>
      </c>
      <c r="Z216" s="7">
        <f>IF(AND(ISTEXT(Raw_Bookings!L216),Y216=0),1,0)</f>
        <v>0</v>
      </c>
      <c r="AA216" s="7">
        <f>IF(Z216=1,IFERROR(VALUE(SUBSTITUTE(SUBSTITUTE(SUBSTITUTE(SUBSTITUTE(SUBSTITUTE(UPPER(Raw_Bookings!L216),"RS.",""),"₹",""),",","")," ",""),"INR","")),""),"")</f>
        <v/>
      </c>
      <c r="AB216" s="7">
        <f>IF(AND(Z216=1,ISNUMBER(AA216)),1,0)</f>
        <v>0</v>
      </c>
      <c r="AC216" s="7">
        <f>IF(B216=1,0,IF(NOT(ISNUMBER(Raw_Bookings!J216)),1,IF(Raw_Bookings!J216&lt;&gt;COUNTIFS(Work_Passengers!$B$2:$B$1336,Raw_Bookings!A216,Work_Passengers!$C$2:$C$1336,0),1,0)))</f>
        <v>0</v>
      </c>
    </row>
    <row r="217" spans="1:29">
      <c r="A217" s="7">
        <f>Raw_Bookings!A217</f>
        <v>1071732</v>
      </c>
      <c r="B217" s="7">
        <f>IF(COUNTIF(Raw_Bookings!$A$2:A217,Raw_Bookings!A217)&gt;1,1,0)</f>
        <v>0</v>
      </c>
      <c r="C217" s="7" t="str">
        <f>Raw_Bookings!D217&amp;""</f>
        <v>2025-05-06</v>
      </c>
      <c r="D217" s="7" t="str">
        <f>IF(AND(LEN(C217)=10,MID(C217,5,1)="-",MID(C217,8,1)="-"),"ISO",IF(AND(LEN(C217)=10,MID(C217,3,1)="-",MID(C217,6,1)="-"),"DMY","OTHER"))</f>
        <v>ISO</v>
      </c>
      <c r="E217" s="7">
        <f>IF(D217="ISO",VALUE(LEFT(C217,4)),IF(D217="DMY",VALUE(RIGHT(C217,4)),0))</f>
        <v>2025</v>
      </c>
      <c r="F217" s="7">
        <f>IF(D217="ISO",VALUE(MID(C217,6,2)),IF(D217="DMY",VALUE(MID(C217,4,2)),0))</f>
        <v>5</v>
      </c>
      <c r="G217" s="7">
        <f>IF(D217="ISO",VALUE(RIGHT(C217,2)),IF(D217="DMY",VALUE(LEFT(C217,2)),0))</f>
        <v>6</v>
      </c>
      <c r="H217" s="7">
        <f>IF(AND(D217&lt;&gt;"OTHER",F217&gt;=1,F217&lt;=12,G217&gt;=1,G217&lt;=31),IF(AND(MONTH(DATE(E217,F217,G217))=F217,DAY(DATE(E217,F217,G217))=G217),1,0),0)</f>
        <v>1</v>
      </c>
      <c r="I217" s="7">
        <f>IF(H217=1,DATE(E217,F217,G217),"")</f>
        <v>45783.0</v>
      </c>
      <c r="J217" s="7">
        <f>IF(AND(D217="DMY",H217=1),1,0)</f>
        <v>0</v>
      </c>
      <c r="K217" s="7">
        <f>IF(H217=0,1,0)</f>
        <v>0</v>
      </c>
      <c r="L217" s="7">
        <f>IF(TRIM(Raw_Bookings!I217&amp;"")="",1,0)</f>
        <v>0</v>
      </c>
      <c r="M217" s="7">
        <f>IF(L217=1,"",DATEVALUE(LEFT(Raw_Bookings!I217,10))+TIMEVALUE(MID(Raw_Bookings!I217,12,8)))</f>
        <v>45774.53841435185</v>
      </c>
      <c r="N217" s="7">
        <f>IF(AND(L217=0,H217=1),IF(INT(M217)&gt;I217,1,0),0)</f>
        <v>0</v>
      </c>
      <c r="O217" s="7" t="str">
        <f>UPPER(TRIM(Raw_Bookings!F217))</f>
        <v>BHO</v>
      </c>
      <c r="P217" s="7" t="str">
        <f>UPPER(TRIM(Raw_Bookings!G217))</f>
        <v>JAI</v>
      </c>
      <c r="Q217" s="7">
        <f>IF(COUNTIF(Lookup_Stations!$A$2:$A$33,O217)&gt;0,1,0)</f>
        <v>1</v>
      </c>
      <c r="R217" s="7">
        <f>IF(COUNTIF(Lookup_Stations!$A$2:$A$33,P217)&gt;0,1,0)</f>
        <v>1</v>
      </c>
      <c r="S217" s="7">
        <f>IF(OR(AND(Q217=1,NOT(EXACT(Raw_Bookings!F217,O217))),AND(R217=1,NOT(EXACT(Raw_Bookings!G217,P217)))),1,0)</f>
        <v>0</v>
      </c>
      <c r="T217" s="7">
        <f>IF(OR(Q217=0,R217=0),1,0)</f>
        <v>0</v>
      </c>
      <c r="U217" s="7">
        <f>IF(TRIM(Raw_Bookings!E217&amp;"")="",1,0)</f>
        <v>0</v>
      </c>
      <c r="V217" s="7" t="str">
        <f>IF(SUMPRODUCT(--(Lookup_Status!$A$2:$A$13=LOWER(TRIM(Raw_Bookings!K217))))=0,"",INDEX(Lookup_Status!$B$2:$B$13,SUMPRODUCT((Lookup_Status!$A$2:$A$13=LOWER(TRIM(Raw_Bookings!K217)))*(ROW(Lookup_Status!$A$2:$A$13)-1))))</f>
        <v>Confirmed</v>
      </c>
      <c r="W217" s="7">
        <f>IF(AND(V217&lt;&gt;"",NOT(EXACT(Raw_Bookings!K217,V217))),1,0)</f>
        <v>0</v>
      </c>
      <c r="X217" s="7">
        <f>IF(V217="",1,0)</f>
        <v>0</v>
      </c>
      <c r="Y217" s="7">
        <f>IF(TRIM(Raw_Bookings!L217&amp;"")="",1,0)</f>
        <v>0</v>
      </c>
      <c r="Z217" s="7">
        <f>IF(AND(ISTEXT(Raw_Bookings!L217),Y217=0),1,0)</f>
        <v>0</v>
      </c>
      <c r="AA217" s="7">
        <f>IF(Z217=1,IFERROR(VALUE(SUBSTITUTE(SUBSTITUTE(SUBSTITUTE(SUBSTITUTE(SUBSTITUTE(UPPER(Raw_Bookings!L217),"RS.",""),"₹",""),",","")," ",""),"INR","")),""),"")</f>
        <v/>
      </c>
      <c r="AB217" s="7">
        <f>IF(AND(Z217=1,ISNUMBER(AA217)),1,0)</f>
        <v>0</v>
      </c>
      <c r="AC217" s="7">
        <f>IF(B217=1,0,IF(NOT(ISNUMBER(Raw_Bookings!J217)),1,IF(Raw_Bookings!J217&lt;&gt;COUNTIFS(Work_Passengers!$B$2:$B$1336,Raw_Bookings!A217,Work_Passengers!$C$2:$C$1336,0),1,0)))</f>
        <v>0</v>
      </c>
    </row>
    <row r="218" spans="1:29">
      <c r="A218" s="7">
        <f>Raw_Bookings!A218</f>
        <v>1071944</v>
      </c>
      <c r="B218" s="7">
        <f>IF(COUNTIF(Raw_Bookings!$A$2:A218,Raw_Bookings!A218)&gt;1,1,0)</f>
        <v>0</v>
      </c>
      <c r="C218" s="7" t="str">
        <f>Raw_Bookings!D218&amp;""</f>
        <v>2025-05-06</v>
      </c>
      <c r="D218" s="7" t="str">
        <f>IF(AND(LEN(C218)=10,MID(C218,5,1)="-",MID(C218,8,1)="-"),"ISO",IF(AND(LEN(C218)=10,MID(C218,3,1)="-",MID(C218,6,1)="-"),"DMY","OTHER"))</f>
        <v>ISO</v>
      </c>
      <c r="E218" s="7">
        <f>IF(D218="ISO",VALUE(LEFT(C218,4)),IF(D218="DMY",VALUE(RIGHT(C218,4)),0))</f>
        <v>2025</v>
      </c>
      <c r="F218" s="7">
        <f>IF(D218="ISO",VALUE(MID(C218,6,2)),IF(D218="DMY",VALUE(MID(C218,4,2)),0))</f>
        <v>5</v>
      </c>
      <c r="G218" s="7">
        <f>IF(D218="ISO",VALUE(RIGHT(C218,2)),IF(D218="DMY",VALUE(LEFT(C218,2)),0))</f>
        <v>6</v>
      </c>
      <c r="H218" s="7">
        <f>IF(AND(D218&lt;&gt;"OTHER",F218&gt;=1,F218&lt;=12,G218&gt;=1,G218&lt;=31),IF(AND(MONTH(DATE(E218,F218,G218))=F218,DAY(DATE(E218,F218,G218))=G218),1,0),0)</f>
        <v>1</v>
      </c>
      <c r="I218" s="7">
        <f>IF(H218=1,DATE(E218,F218,G218),"")</f>
        <v>45783.0</v>
      </c>
      <c r="J218" s="7">
        <f>IF(AND(D218="DMY",H218=1),1,0)</f>
        <v>0</v>
      </c>
      <c r="K218" s="7">
        <f>IF(H218=0,1,0)</f>
        <v>0</v>
      </c>
      <c r="L218" s="7">
        <f>IF(TRIM(Raw_Bookings!I218&amp;"")="",1,0)</f>
        <v>0</v>
      </c>
      <c r="M218" s="7">
        <f>IF(L218=1,"",DATEVALUE(LEFT(Raw_Bookings!I218,10))+TIMEVALUE(MID(Raw_Bookings!I218,12,8)))</f>
        <v>45775.357152777775</v>
      </c>
      <c r="N218" s="7">
        <f>IF(AND(L218=0,H218=1),IF(INT(M218)&gt;I218,1,0),0)</f>
        <v>0</v>
      </c>
      <c r="O218" s="7" t="str">
        <f>UPPER(TRIM(Raw_Bookings!F218))</f>
        <v>COI</v>
      </c>
      <c r="P218" s="7" t="str">
        <f>UPPER(TRIM(Raw_Bookings!G218))</f>
        <v>RAN</v>
      </c>
      <c r="Q218" s="7">
        <f>IF(COUNTIF(Lookup_Stations!$A$2:$A$33,O218)&gt;0,1,0)</f>
        <v>1</v>
      </c>
      <c r="R218" s="7">
        <f>IF(COUNTIF(Lookup_Stations!$A$2:$A$33,P218)&gt;0,1,0)</f>
        <v>1</v>
      </c>
      <c r="S218" s="7">
        <f>IF(OR(AND(Q218=1,NOT(EXACT(Raw_Bookings!F218,O218))),AND(R218=1,NOT(EXACT(Raw_Bookings!G218,P218)))),1,0)</f>
        <v>0</v>
      </c>
      <c r="T218" s="7">
        <f>IF(OR(Q218=0,R218=0),1,0)</f>
        <v>0</v>
      </c>
      <c r="U218" s="7">
        <f>IF(TRIM(Raw_Bookings!E218&amp;"")="",1,0)</f>
        <v>0</v>
      </c>
      <c r="V218" s="7" t="str">
        <f>IF(SUMPRODUCT(--(Lookup_Status!$A$2:$A$13=LOWER(TRIM(Raw_Bookings!K218))))=0,"",INDEX(Lookup_Status!$B$2:$B$13,SUMPRODUCT((Lookup_Status!$A$2:$A$13=LOWER(TRIM(Raw_Bookings!K218)))*(ROW(Lookup_Status!$A$2:$A$13)-1))))</f>
        <v>Confirmed</v>
      </c>
      <c r="W218" s="7">
        <f>IF(AND(V218&lt;&gt;"",NOT(EXACT(Raw_Bookings!K218,V218))),1,0)</f>
        <v>0</v>
      </c>
      <c r="X218" s="7">
        <f>IF(V218="",1,0)</f>
        <v>0</v>
      </c>
      <c r="Y218" s="7">
        <f>IF(TRIM(Raw_Bookings!L218&amp;"")="",1,0)</f>
        <v>0</v>
      </c>
      <c r="Z218" s="7">
        <f>IF(AND(ISTEXT(Raw_Bookings!L218),Y218=0),1,0)</f>
        <v>0</v>
      </c>
      <c r="AA218" s="7">
        <f>IF(Z218=1,IFERROR(VALUE(SUBSTITUTE(SUBSTITUTE(SUBSTITUTE(SUBSTITUTE(SUBSTITUTE(UPPER(Raw_Bookings!L218),"RS.",""),"₹",""),",","")," ",""),"INR","")),""),"")</f>
        <v/>
      </c>
      <c r="AB218" s="7">
        <f>IF(AND(Z218=1,ISNUMBER(AA218)),1,0)</f>
        <v>0</v>
      </c>
      <c r="AC218" s="7">
        <f>IF(B218=1,0,IF(NOT(ISNUMBER(Raw_Bookings!J218)),1,IF(Raw_Bookings!J218&lt;&gt;COUNTIFS(Work_Passengers!$B$2:$B$1336,Raw_Bookings!A218,Work_Passengers!$C$2:$C$1336,0),1,0)))</f>
        <v>0</v>
      </c>
    </row>
    <row r="219" spans="1:29">
      <c r="A219" s="7">
        <f>Raw_Bookings!A219</f>
        <v>1072013</v>
      </c>
      <c r="B219" s="7">
        <f>IF(COUNTIF(Raw_Bookings!$A$2:A219,Raw_Bookings!A219)&gt;1,1,0)</f>
        <v>0</v>
      </c>
      <c r="C219" s="7" t="str">
        <f>Raw_Bookings!D219&amp;""</f>
        <v>2025-05-14</v>
      </c>
      <c r="D219" s="7" t="str">
        <f>IF(AND(LEN(C219)=10,MID(C219,5,1)="-",MID(C219,8,1)="-"),"ISO",IF(AND(LEN(C219)=10,MID(C219,3,1)="-",MID(C219,6,1)="-"),"DMY","OTHER"))</f>
        <v>ISO</v>
      </c>
      <c r="E219" s="7">
        <f>IF(D219="ISO",VALUE(LEFT(C219,4)),IF(D219="DMY",VALUE(RIGHT(C219,4)),0))</f>
        <v>2025</v>
      </c>
      <c r="F219" s="7">
        <f>IF(D219="ISO",VALUE(MID(C219,6,2)),IF(D219="DMY",VALUE(MID(C219,4,2)),0))</f>
        <v>5</v>
      </c>
      <c r="G219" s="7">
        <f>IF(D219="ISO",VALUE(RIGHT(C219,2)),IF(D219="DMY",VALUE(LEFT(C219,2)),0))</f>
        <v>14</v>
      </c>
      <c r="H219" s="7">
        <f>IF(AND(D219&lt;&gt;"OTHER",F219&gt;=1,F219&lt;=12,G219&gt;=1,G219&lt;=31),IF(AND(MONTH(DATE(E219,F219,G219))=F219,DAY(DATE(E219,F219,G219))=G219),1,0),0)</f>
        <v>1</v>
      </c>
      <c r="I219" s="7">
        <f>IF(H219=1,DATE(E219,F219,G219),"")</f>
        <v>45791.0</v>
      </c>
      <c r="J219" s="7">
        <f>IF(AND(D219="DMY",H219=1),1,0)</f>
        <v>0</v>
      </c>
      <c r="K219" s="7">
        <f>IF(H219=0,1,0)</f>
        <v>0</v>
      </c>
      <c r="L219" s="7">
        <f>IF(TRIM(Raw_Bookings!I219&amp;"")="",1,0)</f>
        <v>0</v>
      </c>
      <c r="M219" s="7">
        <f>IF(L219=1,"",DATEVALUE(LEFT(Raw_Bookings!I219,10))+TIMEVALUE(MID(Raw_Bookings!I219,12,8)))</f>
        <v>45775.49569444444</v>
      </c>
      <c r="N219" s="7">
        <f>IF(AND(L219=0,H219=1),IF(INT(M219)&gt;I219,1,0),0)</f>
        <v>0</v>
      </c>
      <c r="O219" s="7" t="str">
        <f>UPPER(TRIM(Raw_Bookings!F219))</f>
        <v>MAU</v>
      </c>
      <c r="P219" s="7" t="str">
        <f>UPPER(TRIM(Raw_Bookings!G219))</f>
        <v>DEL</v>
      </c>
      <c r="Q219" s="7">
        <f>IF(COUNTIF(Lookup_Stations!$A$2:$A$33,O219)&gt;0,1,0)</f>
        <v>1</v>
      </c>
      <c r="R219" s="7">
        <f>IF(COUNTIF(Lookup_Stations!$A$2:$A$33,P219)&gt;0,1,0)</f>
        <v>1</v>
      </c>
      <c r="S219" s="7">
        <f>IF(OR(AND(Q219=1,NOT(EXACT(Raw_Bookings!F219,O219))),AND(R219=1,NOT(EXACT(Raw_Bookings!G219,P219)))),1,0)</f>
        <v>0</v>
      </c>
      <c r="T219" s="7">
        <f>IF(OR(Q219=0,R219=0),1,0)</f>
        <v>0</v>
      </c>
      <c r="U219" s="7">
        <f>IF(TRIM(Raw_Bookings!E219&amp;"")="",1,0)</f>
        <v>0</v>
      </c>
      <c r="V219" s="7" t="str">
        <f>IF(SUMPRODUCT(--(Lookup_Status!$A$2:$A$13=LOWER(TRIM(Raw_Bookings!K219))))=0,"",INDEX(Lookup_Status!$B$2:$B$13,SUMPRODUCT((Lookup_Status!$A$2:$A$13=LOWER(TRIM(Raw_Bookings!K219)))*(ROW(Lookup_Status!$A$2:$A$13)-1))))</f>
        <v>Confirmed</v>
      </c>
      <c r="W219" s="7">
        <f>IF(AND(V219&lt;&gt;"",NOT(EXACT(Raw_Bookings!K219,V219))),1,0)</f>
        <v>0</v>
      </c>
      <c r="X219" s="7">
        <f>IF(V219="",1,0)</f>
        <v>0</v>
      </c>
      <c r="Y219" s="7">
        <f>IF(TRIM(Raw_Bookings!L219&amp;"")="",1,0)</f>
        <v>0</v>
      </c>
      <c r="Z219" s="7">
        <f>IF(AND(ISTEXT(Raw_Bookings!L219),Y219=0),1,0)</f>
        <v>0</v>
      </c>
      <c r="AA219" s="7">
        <f>IF(Z219=1,IFERROR(VALUE(SUBSTITUTE(SUBSTITUTE(SUBSTITUTE(SUBSTITUTE(SUBSTITUTE(UPPER(Raw_Bookings!L219),"RS.",""),"₹",""),",","")," ",""),"INR","")),""),"")</f>
        <v/>
      </c>
      <c r="AB219" s="7">
        <f>IF(AND(Z219=1,ISNUMBER(AA219)),1,0)</f>
        <v>0</v>
      </c>
      <c r="AC219" s="7">
        <f>IF(B219=1,0,IF(NOT(ISNUMBER(Raw_Bookings!J219)),1,IF(Raw_Bookings!J219&lt;&gt;COUNTIFS(Work_Passengers!$B$2:$B$1336,Raw_Bookings!A219,Work_Passengers!$C$2:$C$1336,0),1,0)))</f>
        <v>0</v>
      </c>
    </row>
    <row r="220" spans="1:29">
      <c r="A220" s="7">
        <f>Raw_Bookings!A220</f>
        <v>1072140</v>
      </c>
      <c r="B220" s="7">
        <f>IF(COUNTIF(Raw_Bookings!$A$2:A220,Raw_Bookings!A220)&gt;1,1,0)</f>
        <v>0</v>
      </c>
      <c r="C220" s="7" t="str">
        <f>Raw_Bookings!D220&amp;""</f>
        <v>2025-04-29</v>
      </c>
      <c r="D220" s="7" t="str">
        <f>IF(AND(LEN(C220)=10,MID(C220,5,1)="-",MID(C220,8,1)="-"),"ISO",IF(AND(LEN(C220)=10,MID(C220,3,1)="-",MID(C220,6,1)="-"),"DMY","OTHER"))</f>
        <v>ISO</v>
      </c>
      <c r="E220" s="7">
        <f>IF(D220="ISO",VALUE(LEFT(C220,4)),IF(D220="DMY",VALUE(RIGHT(C220,4)),0))</f>
        <v>2025</v>
      </c>
      <c r="F220" s="7">
        <f>IF(D220="ISO",VALUE(MID(C220,6,2)),IF(D220="DMY",VALUE(MID(C220,4,2)),0))</f>
        <v>4</v>
      </c>
      <c r="G220" s="7">
        <f>IF(D220="ISO",VALUE(RIGHT(C220,2)),IF(D220="DMY",VALUE(LEFT(C220,2)),0))</f>
        <v>29</v>
      </c>
      <c r="H220" s="7">
        <f>IF(AND(D220&lt;&gt;"OTHER",F220&gt;=1,F220&lt;=12,G220&gt;=1,G220&lt;=31),IF(AND(MONTH(DATE(E220,F220,G220))=F220,DAY(DATE(E220,F220,G220))=G220),1,0),0)</f>
        <v>1</v>
      </c>
      <c r="I220" s="7">
        <f>IF(H220=1,DATE(E220,F220,G220),"")</f>
        <v>45776.0</v>
      </c>
      <c r="J220" s="7">
        <f>IF(AND(D220="DMY",H220=1),1,0)</f>
        <v>0</v>
      </c>
      <c r="K220" s="7">
        <f>IF(H220=0,1,0)</f>
        <v>0</v>
      </c>
      <c r="L220" s="7">
        <f>IF(TRIM(Raw_Bookings!I220&amp;"")="",1,0)</f>
        <v>0</v>
      </c>
      <c r="M220" s="7">
        <f>IF(L220=1,"",DATEVALUE(LEFT(Raw_Bookings!I220,10))+TIMEVALUE(MID(Raw_Bookings!I220,12,8)))</f>
        <v>45775.83424768518</v>
      </c>
      <c r="N220" s="7">
        <f>IF(AND(L220=0,H220=1),IF(INT(M220)&gt;I220,1,0),0)</f>
        <v>0</v>
      </c>
      <c r="O220" s="7" t="str">
        <f>UPPER(TRIM(Raw_Bookings!F220))</f>
        <v>AHM</v>
      </c>
      <c r="P220" s="7" t="str">
        <f>UPPER(TRIM(Raw_Bookings!G220))</f>
        <v>CHE</v>
      </c>
      <c r="Q220" s="7">
        <f>IF(COUNTIF(Lookup_Stations!$A$2:$A$33,O220)&gt;0,1,0)</f>
        <v>1</v>
      </c>
      <c r="R220" s="7">
        <f>IF(COUNTIF(Lookup_Stations!$A$2:$A$33,P220)&gt;0,1,0)</f>
        <v>1</v>
      </c>
      <c r="S220" s="7">
        <f>IF(OR(AND(Q220=1,NOT(EXACT(Raw_Bookings!F220,O220))),AND(R220=1,NOT(EXACT(Raw_Bookings!G220,P220)))),1,0)</f>
        <v>0</v>
      </c>
      <c r="T220" s="7">
        <f>IF(OR(Q220=0,R220=0),1,0)</f>
        <v>0</v>
      </c>
      <c r="U220" s="7">
        <f>IF(TRIM(Raw_Bookings!E220&amp;"")="",1,0)</f>
        <v>0</v>
      </c>
      <c r="V220" s="7" t="str">
        <f>IF(SUMPRODUCT(--(Lookup_Status!$A$2:$A$13=LOWER(TRIM(Raw_Bookings!K220))))=0,"",INDEX(Lookup_Status!$B$2:$B$13,SUMPRODUCT((Lookup_Status!$A$2:$A$13=LOWER(TRIM(Raw_Bookings!K220)))*(ROW(Lookup_Status!$A$2:$A$13)-1))))</f>
        <v>Confirmed</v>
      </c>
      <c r="W220" s="7">
        <f>IF(AND(V220&lt;&gt;"",NOT(EXACT(Raw_Bookings!K220,V220))),1,0)</f>
        <v>0</v>
      </c>
      <c r="X220" s="7">
        <f>IF(V220="",1,0)</f>
        <v>0</v>
      </c>
      <c r="Y220" s="7">
        <f>IF(TRIM(Raw_Bookings!L220&amp;"")="",1,0)</f>
        <v>0</v>
      </c>
      <c r="Z220" s="7">
        <f>IF(AND(ISTEXT(Raw_Bookings!L220),Y220=0),1,0)</f>
        <v>0</v>
      </c>
      <c r="AA220" s="7">
        <f>IF(Z220=1,IFERROR(VALUE(SUBSTITUTE(SUBSTITUTE(SUBSTITUTE(SUBSTITUTE(SUBSTITUTE(UPPER(Raw_Bookings!L220),"RS.",""),"₹",""),",","")," ",""),"INR","")),""),"")</f>
        <v/>
      </c>
      <c r="AB220" s="7">
        <f>IF(AND(Z220=1,ISNUMBER(AA220)),1,0)</f>
        <v>0</v>
      </c>
      <c r="AC220" s="7">
        <f>IF(B220=1,0,IF(NOT(ISNUMBER(Raw_Bookings!J220)),1,IF(Raw_Bookings!J220&lt;&gt;COUNTIFS(Work_Passengers!$B$2:$B$1336,Raw_Bookings!A220,Work_Passengers!$C$2:$C$1336,0),1,0)))</f>
        <v>0</v>
      </c>
    </row>
    <row r="221" spans="1:29">
      <c r="A221" s="7">
        <f>Raw_Bookings!A221</f>
        <v>1072851</v>
      </c>
      <c r="B221" s="7">
        <f>IF(COUNTIF(Raw_Bookings!$A$2:A221,Raw_Bookings!A221)&gt;1,1,0)</f>
        <v>0</v>
      </c>
      <c r="C221" s="7" t="str">
        <f>Raw_Bookings!D221&amp;""</f>
        <v>2025-07-07</v>
      </c>
      <c r="D221" s="7" t="str">
        <f>IF(AND(LEN(C221)=10,MID(C221,5,1)="-",MID(C221,8,1)="-"),"ISO",IF(AND(LEN(C221)=10,MID(C221,3,1)="-",MID(C221,6,1)="-"),"DMY","OTHER"))</f>
        <v>ISO</v>
      </c>
      <c r="E221" s="7">
        <f>IF(D221="ISO",VALUE(LEFT(C221,4)),IF(D221="DMY",VALUE(RIGHT(C221,4)),0))</f>
        <v>2025</v>
      </c>
      <c r="F221" s="7">
        <f>IF(D221="ISO",VALUE(MID(C221,6,2)),IF(D221="DMY",VALUE(MID(C221,4,2)),0))</f>
        <v>7</v>
      </c>
      <c r="G221" s="7">
        <f>IF(D221="ISO",VALUE(RIGHT(C221,2)),IF(D221="DMY",VALUE(LEFT(C221,2)),0))</f>
        <v>7</v>
      </c>
      <c r="H221" s="7">
        <f>IF(AND(D221&lt;&gt;"OTHER",F221&gt;=1,F221&lt;=12,G221&gt;=1,G221&lt;=31),IF(AND(MONTH(DATE(E221,F221,G221))=F221,DAY(DATE(E221,F221,G221))=G221),1,0),0)</f>
        <v>1</v>
      </c>
      <c r="I221" s="7">
        <f>IF(H221=1,DATE(E221,F221,G221),"")</f>
        <v>45845.0</v>
      </c>
      <c r="J221" s="7">
        <f>IF(AND(D221="DMY",H221=1),1,0)</f>
        <v>0</v>
      </c>
      <c r="K221" s="7">
        <f>IF(H221=0,1,0)</f>
        <v>0</v>
      </c>
      <c r="L221" s="7">
        <f>IF(TRIM(Raw_Bookings!I221&amp;"")="",1,0)</f>
        <v>0</v>
      </c>
      <c r="M221" s="7">
        <f>IF(L221=1,"",DATEVALUE(LEFT(Raw_Bookings!I221,10))+TIMEVALUE(MID(Raw_Bookings!I221,12,8)))</f>
        <v>45778.41112268518</v>
      </c>
      <c r="N221" s="7">
        <f>IF(AND(L221=0,H221=1),IF(INT(M221)&gt;I221,1,0),0)</f>
        <v>0</v>
      </c>
      <c r="O221" s="7" t="str">
        <f>UPPER(TRIM(Raw_Bookings!F221))</f>
        <v>HYD</v>
      </c>
      <c r="P221" s="7" t="str">
        <f>UPPER(TRIM(Raw_Bookings!G221))</f>
        <v>KOL</v>
      </c>
      <c r="Q221" s="7">
        <f>IF(COUNTIF(Lookup_Stations!$A$2:$A$33,O221)&gt;0,1,0)</f>
        <v>1</v>
      </c>
      <c r="R221" s="7">
        <f>IF(COUNTIF(Lookup_Stations!$A$2:$A$33,P221)&gt;0,1,0)</f>
        <v>1</v>
      </c>
      <c r="S221" s="7">
        <f>IF(OR(AND(Q221=1,NOT(EXACT(Raw_Bookings!F221,O221))),AND(R221=1,NOT(EXACT(Raw_Bookings!G221,P221)))),1,0)</f>
        <v>1</v>
      </c>
      <c r="T221" s="7">
        <f>IF(OR(Q221=0,R221=0),1,0)</f>
        <v>0</v>
      </c>
      <c r="U221" s="7">
        <f>IF(TRIM(Raw_Bookings!E221&amp;"")="",1,0)</f>
        <v>0</v>
      </c>
      <c r="V221" s="7" t="str">
        <f>IF(SUMPRODUCT(--(Lookup_Status!$A$2:$A$13=LOWER(TRIM(Raw_Bookings!K221))))=0,"",INDEX(Lookup_Status!$B$2:$B$13,SUMPRODUCT((Lookup_Status!$A$2:$A$13=LOWER(TRIM(Raw_Bookings!K221)))*(ROW(Lookup_Status!$A$2:$A$13)-1))))</f>
        <v>Confirmed</v>
      </c>
      <c r="W221" s="7">
        <f>IF(AND(V221&lt;&gt;"",NOT(EXACT(Raw_Bookings!K221,V221))),1,0)</f>
        <v>0</v>
      </c>
      <c r="X221" s="7">
        <f>IF(V221="",1,0)</f>
        <v>0</v>
      </c>
      <c r="Y221" s="7">
        <f>IF(TRIM(Raw_Bookings!L221&amp;"")="",1,0)</f>
        <v>0</v>
      </c>
      <c r="Z221" s="7">
        <f>IF(AND(ISTEXT(Raw_Bookings!L221),Y221=0),1,0)</f>
        <v>0</v>
      </c>
      <c r="AA221" s="7">
        <f>IF(Z221=1,IFERROR(VALUE(SUBSTITUTE(SUBSTITUTE(SUBSTITUTE(SUBSTITUTE(SUBSTITUTE(UPPER(Raw_Bookings!L221),"RS.",""),"₹",""),",","")," ",""),"INR","")),""),"")</f>
        <v/>
      </c>
      <c r="AB221" s="7">
        <f>IF(AND(Z221=1,ISNUMBER(AA221)),1,0)</f>
        <v>0</v>
      </c>
      <c r="AC221" s="7">
        <f>IF(B221=1,0,IF(NOT(ISNUMBER(Raw_Bookings!J221)),1,IF(Raw_Bookings!J221&lt;&gt;COUNTIFS(Work_Passengers!$B$2:$B$1336,Raw_Bookings!A221,Work_Passengers!$C$2:$C$1336,0),1,0)))</f>
        <v>0</v>
      </c>
    </row>
    <row r="222" spans="1:29">
      <c r="A222" s="7">
        <f>Raw_Bookings!A222</f>
        <v>1073017</v>
      </c>
      <c r="B222" s="7">
        <f>IF(COUNTIF(Raw_Bookings!$A$2:A222,Raw_Bookings!A222)&gt;1,1,0)</f>
        <v>0</v>
      </c>
      <c r="C222" s="7" t="str">
        <f>Raw_Bookings!D222&amp;""</f>
        <v>2025-05-27</v>
      </c>
      <c r="D222" s="7" t="str">
        <f>IF(AND(LEN(C222)=10,MID(C222,5,1)="-",MID(C222,8,1)="-"),"ISO",IF(AND(LEN(C222)=10,MID(C222,3,1)="-",MID(C222,6,1)="-"),"DMY","OTHER"))</f>
        <v>ISO</v>
      </c>
      <c r="E222" s="7">
        <f>IF(D222="ISO",VALUE(LEFT(C222,4)),IF(D222="DMY",VALUE(RIGHT(C222,4)),0))</f>
        <v>2025</v>
      </c>
      <c r="F222" s="7">
        <f>IF(D222="ISO",VALUE(MID(C222,6,2)),IF(D222="DMY",VALUE(MID(C222,4,2)),0))</f>
        <v>5</v>
      </c>
      <c r="G222" s="7">
        <f>IF(D222="ISO",VALUE(RIGHT(C222,2)),IF(D222="DMY",VALUE(LEFT(C222,2)),0))</f>
        <v>27</v>
      </c>
      <c r="H222" s="7">
        <f>IF(AND(D222&lt;&gt;"OTHER",F222&gt;=1,F222&lt;=12,G222&gt;=1,G222&lt;=31),IF(AND(MONTH(DATE(E222,F222,G222))=F222,DAY(DATE(E222,F222,G222))=G222),1,0),0)</f>
        <v>1</v>
      </c>
      <c r="I222" s="7">
        <f>IF(H222=1,DATE(E222,F222,G222),"")</f>
        <v>45804.0</v>
      </c>
      <c r="J222" s="7">
        <f>IF(AND(D222="DMY",H222=1),1,0)</f>
        <v>0</v>
      </c>
      <c r="K222" s="7">
        <f>IF(H222=0,1,0)</f>
        <v>0</v>
      </c>
      <c r="L222" s="7">
        <f>IF(TRIM(Raw_Bookings!I222&amp;"")="",1,0)</f>
        <v>0</v>
      </c>
      <c r="M222" s="7">
        <f>IF(L222=1,"",DATEVALUE(LEFT(Raw_Bookings!I222,10))+TIMEVALUE(MID(Raw_Bookings!I222,12,8)))</f>
        <v>45778.796805555554</v>
      </c>
      <c r="N222" s="7">
        <f>IF(AND(L222=0,H222=1),IF(INT(M222)&gt;I222,1,0),0)</f>
        <v>0</v>
      </c>
      <c r="O222" s="7" t="str">
        <f>UPPER(TRIM(Raw_Bookings!F222))</f>
        <v>AMR</v>
      </c>
      <c r="P222" s="7" t="str">
        <f>UPPER(TRIM(Raw_Bookings!G222))</f>
        <v>IND</v>
      </c>
      <c r="Q222" s="7">
        <f>IF(COUNTIF(Lookup_Stations!$A$2:$A$33,O222)&gt;0,1,0)</f>
        <v>1</v>
      </c>
      <c r="R222" s="7">
        <f>IF(COUNTIF(Lookup_Stations!$A$2:$A$33,P222)&gt;0,1,0)</f>
        <v>1</v>
      </c>
      <c r="S222" s="7">
        <f>IF(OR(AND(Q222=1,NOT(EXACT(Raw_Bookings!F222,O222))),AND(R222=1,NOT(EXACT(Raw_Bookings!G222,P222)))),1,0)</f>
        <v>0</v>
      </c>
      <c r="T222" s="7">
        <f>IF(OR(Q222=0,R222=0),1,0)</f>
        <v>0</v>
      </c>
      <c r="U222" s="7">
        <f>IF(TRIM(Raw_Bookings!E222&amp;"")="",1,0)</f>
        <v>0</v>
      </c>
      <c r="V222" s="7" t="str">
        <f>IF(SUMPRODUCT(--(Lookup_Status!$A$2:$A$13=LOWER(TRIM(Raw_Bookings!K222))))=0,"",INDEX(Lookup_Status!$B$2:$B$13,SUMPRODUCT((Lookup_Status!$A$2:$A$13=LOWER(TRIM(Raw_Bookings!K222)))*(ROW(Lookup_Status!$A$2:$A$13)-1))))</f>
        <v>Confirmed</v>
      </c>
      <c r="W222" s="7">
        <f>IF(AND(V222&lt;&gt;"",NOT(EXACT(Raw_Bookings!K222,V222))),1,0)</f>
        <v>0</v>
      </c>
      <c r="X222" s="7">
        <f>IF(V222="",1,0)</f>
        <v>0</v>
      </c>
      <c r="Y222" s="7">
        <f>IF(TRIM(Raw_Bookings!L222&amp;"")="",1,0)</f>
        <v>0</v>
      </c>
      <c r="Z222" s="7">
        <f>IF(AND(ISTEXT(Raw_Bookings!L222),Y222=0),1,0)</f>
        <v>0</v>
      </c>
      <c r="AA222" s="7">
        <f>IF(Z222=1,IFERROR(VALUE(SUBSTITUTE(SUBSTITUTE(SUBSTITUTE(SUBSTITUTE(SUBSTITUTE(UPPER(Raw_Bookings!L222),"RS.",""),"₹",""),",","")," ",""),"INR","")),""),"")</f>
        <v/>
      </c>
      <c r="AB222" s="7">
        <f>IF(AND(Z222=1,ISNUMBER(AA222)),1,0)</f>
        <v>0</v>
      </c>
      <c r="AC222" s="7">
        <f>IF(B222=1,0,IF(NOT(ISNUMBER(Raw_Bookings!J222)),1,IF(Raw_Bookings!J222&lt;&gt;COUNTIFS(Work_Passengers!$B$2:$B$1336,Raw_Bookings!A222,Work_Passengers!$C$2:$C$1336,0),1,0)))</f>
        <v>0</v>
      </c>
    </row>
    <row r="223" spans="1:29">
      <c r="A223" s="7">
        <f>Raw_Bookings!A223</f>
        <v>1073259</v>
      </c>
      <c r="B223" s="7">
        <f>IF(COUNTIF(Raw_Bookings!$A$2:A223,Raw_Bookings!A223)&gt;1,1,0)</f>
        <v>0</v>
      </c>
      <c r="C223" s="7" t="str">
        <f>Raw_Bookings!D223&amp;""</f>
        <v>2025-05-14</v>
      </c>
      <c r="D223" s="7" t="str">
        <f>IF(AND(LEN(C223)=10,MID(C223,5,1)="-",MID(C223,8,1)="-"),"ISO",IF(AND(LEN(C223)=10,MID(C223,3,1)="-",MID(C223,6,1)="-"),"DMY","OTHER"))</f>
        <v>ISO</v>
      </c>
      <c r="E223" s="7">
        <f>IF(D223="ISO",VALUE(LEFT(C223,4)),IF(D223="DMY",VALUE(RIGHT(C223,4)),0))</f>
        <v>2025</v>
      </c>
      <c r="F223" s="7">
        <f>IF(D223="ISO",VALUE(MID(C223,6,2)),IF(D223="DMY",VALUE(MID(C223,4,2)),0))</f>
        <v>5</v>
      </c>
      <c r="G223" s="7">
        <f>IF(D223="ISO",VALUE(RIGHT(C223,2)),IF(D223="DMY",VALUE(LEFT(C223,2)),0))</f>
        <v>14</v>
      </c>
      <c r="H223" s="7">
        <f>IF(AND(D223&lt;&gt;"OTHER",F223&gt;=1,F223&lt;=12,G223&gt;=1,G223&lt;=31),IF(AND(MONTH(DATE(E223,F223,G223))=F223,DAY(DATE(E223,F223,G223))=G223),1,0),0)</f>
        <v>1</v>
      </c>
      <c r="I223" s="7">
        <f>IF(H223=1,DATE(E223,F223,G223),"")</f>
        <v>45791.0</v>
      </c>
      <c r="J223" s="7">
        <f>IF(AND(D223="DMY",H223=1),1,0)</f>
        <v>0</v>
      </c>
      <c r="K223" s="7">
        <f>IF(H223=0,1,0)</f>
        <v>0</v>
      </c>
      <c r="L223" s="7">
        <f>IF(TRIM(Raw_Bookings!I223&amp;"")="",1,0)</f>
        <v>0</v>
      </c>
      <c r="M223" s="7">
        <f>IF(L223=1,"",DATEVALUE(LEFT(Raw_Bookings!I223,10))+TIMEVALUE(MID(Raw_Bookings!I223,12,8)))</f>
        <v>45779.649560185186</v>
      </c>
      <c r="N223" s="7">
        <f>IF(AND(L223=0,H223=1),IF(INT(M223)&gt;I223,1,0),0)</f>
        <v>0</v>
      </c>
      <c r="O223" s="7" t="str">
        <f>UPPER(TRIM(Raw_Bookings!F223))</f>
        <v>GUW</v>
      </c>
      <c r="P223" s="7" t="str">
        <f>UPPER(TRIM(Raw_Bookings!G223))</f>
        <v>BHO</v>
      </c>
      <c r="Q223" s="7">
        <f>IF(COUNTIF(Lookup_Stations!$A$2:$A$33,O223)&gt;0,1,0)</f>
        <v>1</v>
      </c>
      <c r="R223" s="7">
        <f>IF(COUNTIF(Lookup_Stations!$A$2:$A$33,P223)&gt;0,1,0)</f>
        <v>1</v>
      </c>
      <c r="S223" s="7">
        <f>IF(OR(AND(Q223=1,NOT(EXACT(Raw_Bookings!F223,O223))),AND(R223=1,NOT(EXACT(Raw_Bookings!G223,P223)))),1,0)</f>
        <v>0</v>
      </c>
      <c r="T223" s="7">
        <f>IF(OR(Q223=0,R223=0),1,0)</f>
        <v>0</v>
      </c>
      <c r="U223" s="7">
        <f>IF(TRIM(Raw_Bookings!E223&amp;"")="",1,0)</f>
        <v>0</v>
      </c>
      <c r="V223" s="7" t="str">
        <f>IF(SUMPRODUCT(--(Lookup_Status!$A$2:$A$13=LOWER(TRIM(Raw_Bookings!K223))))=0,"",INDEX(Lookup_Status!$B$2:$B$13,SUMPRODUCT((Lookup_Status!$A$2:$A$13=LOWER(TRIM(Raw_Bookings!K223)))*(ROW(Lookup_Status!$A$2:$A$13)-1))))</f>
        <v>Confirmed</v>
      </c>
      <c r="W223" s="7">
        <f>IF(AND(V223&lt;&gt;"",NOT(EXACT(Raw_Bookings!K223,V223))),1,0)</f>
        <v>0</v>
      </c>
      <c r="X223" s="7">
        <f>IF(V223="",1,0)</f>
        <v>0</v>
      </c>
      <c r="Y223" s="7">
        <f>IF(TRIM(Raw_Bookings!L223&amp;"")="",1,0)</f>
        <v>0</v>
      </c>
      <c r="Z223" s="7">
        <f>IF(AND(ISTEXT(Raw_Bookings!L223),Y223=0),1,0)</f>
        <v>0</v>
      </c>
      <c r="AA223" s="7">
        <f>IF(Z223=1,IFERROR(VALUE(SUBSTITUTE(SUBSTITUTE(SUBSTITUTE(SUBSTITUTE(SUBSTITUTE(UPPER(Raw_Bookings!L223),"RS.",""),"₹",""),",","")," ",""),"INR","")),""),"")</f>
        <v/>
      </c>
      <c r="AB223" s="7">
        <f>IF(AND(Z223=1,ISNUMBER(AA223)),1,0)</f>
        <v>0</v>
      </c>
      <c r="AC223" s="7">
        <f>IF(B223=1,0,IF(NOT(ISNUMBER(Raw_Bookings!J223)),1,IF(Raw_Bookings!J223&lt;&gt;COUNTIFS(Work_Passengers!$B$2:$B$1336,Raw_Bookings!A223,Work_Passengers!$C$2:$C$1336,0),1,0)))</f>
        <v>0</v>
      </c>
    </row>
    <row r="224" spans="1:29">
      <c r="A224" s="7">
        <f>Raw_Bookings!A224</f>
        <v>1073449</v>
      </c>
      <c r="B224" s="7">
        <f>IF(COUNTIF(Raw_Bookings!$A$2:A224,Raw_Bookings!A224)&gt;1,1,0)</f>
        <v>0</v>
      </c>
      <c r="C224" s="7" t="str">
        <f>Raw_Bookings!D224&amp;""</f>
        <v>2025-05-16</v>
      </c>
      <c r="D224" s="7" t="str">
        <f>IF(AND(LEN(C224)=10,MID(C224,5,1)="-",MID(C224,8,1)="-"),"ISO",IF(AND(LEN(C224)=10,MID(C224,3,1)="-",MID(C224,6,1)="-"),"DMY","OTHER"))</f>
        <v>ISO</v>
      </c>
      <c r="E224" s="7">
        <f>IF(D224="ISO",VALUE(LEFT(C224,4)),IF(D224="DMY",VALUE(RIGHT(C224,4)),0))</f>
        <v>2025</v>
      </c>
      <c r="F224" s="7">
        <f>IF(D224="ISO",VALUE(MID(C224,6,2)),IF(D224="DMY",VALUE(MID(C224,4,2)),0))</f>
        <v>5</v>
      </c>
      <c r="G224" s="7">
        <f>IF(D224="ISO",VALUE(RIGHT(C224,2)),IF(D224="DMY",VALUE(LEFT(C224,2)),0))</f>
        <v>16</v>
      </c>
      <c r="H224" s="7">
        <f>IF(AND(D224&lt;&gt;"OTHER",F224&gt;=1,F224&lt;=12,G224&gt;=1,G224&lt;=31),IF(AND(MONTH(DATE(E224,F224,G224))=F224,DAY(DATE(E224,F224,G224))=G224),1,0),0)</f>
        <v>1</v>
      </c>
      <c r="I224" s="7">
        <f>IF(H224=1,DATE(E224,F224,G224),"")</f>
        <v>45793.0</v>
      </c>
      <c r="J224" s="7">
        <f>IF(AND(D224="DMY",H224=1),1,0)</f>
        <v>0</v>
      </c>
      <c r="K224" s="7">
        <f>IF(H224=0,1,0)</f>
        <v>0</v>
      </c>
      <c r="L224" s="7">
        <f>IF(TRIM(Raw_Bookings!I224&amp;"")="",1,0)</f>
        <v>0</v>
      </c>
      <c r="M224" s="7">
        <f>IF(L224=1,"",DATEVALUE(LEFT(Raw_Bookings!I224,10))+TIMEVALUE(MID(Raw_Bookings!I224,12,8)))</f>
        <v>45780.33578703704</v>
      </c>
      <c r="N224" s="7">
        <f>IF(AND(L224=0,H224=1),IF(INT(M224)&gt;I224,1,0),0)</f>
        <v>0</v>
      </c>
      <c r="O224" s="7" t="str">
        <f>UPPER(TRIM(Raw_Bookings!F224))</f>
        <v>HYD</v>
      </c>
      <c r="P224" s="7" t="str">
        <f>UPPER(TRIM(Raw_Bookings!G224))</f>
        <v>KOL</v>
      </c>
      <c r="Q224" s="7">
        <f>IF(COUNTIF(Lookup_Stations!$A$2:$A$33,O224)&gt;0,1,0)</f>
        <v>1</v>
      </c>
      <c r="R224" s="7">
        <f>IF(COUNTIF(Lookup_Stations!$A$2:$A$33,P224)&gt;0,1,0)</f>
        <v>1</v>
      </c>
      <c r="S224" s="7">
        <f>IF(OR(AND(Q224=1,NOT(EXACT(Raw_Bookings!F224,O224))),AND(R224=1,NOT(EXACT(Raw_Bookings!G224,P224)))),1,0)</f>
        <v>0</v>
      </c>
      <c r="T224" s="7">
        <f>IF(OR(Q224=0,R224=0),1,0)</f>
        <v>0</v>
      </c>
      <c r="U224" s="7">
        <f>IF(TRIM(Raw_Bookings!E224&amp;"")="",1,0)</f>
        <v>0</v>
      </c>
      <c r="V224" s="7" t="str">
        <f>IF(SUMPRODUCT(--(Lookup_Status!$A$2:$A$13=LOWER(TRIM(Raw_Bookings!K224))))=0,"",INDEX(Lookup_Status!$B$2:$B$13,SUMPRODUCT((Lookup_Status!$A$2:$A$13=LOWER(TRIM(Raw_Bookings!K224)))*(ROW(Lookup_Status!$A$2:$A$13)-1))))</f>
        <v>Confirmed</v>
      </c>
      <c r="W224" s="7">
        <f>IF(AND(V224&lt;&gt;"",NOT(EXACT(Raw_Bookings!K224,V224))),1,0)</f>
        <v>0</v>
      </c>
      <c r="X224" s="7">
        <f>IF(V224="",1,0)</f>
        <v>0</v>
      </c>
      <c r="Y224" s="7">
        <f>IF(TRIM(Raw_Bookings!L224&amp;"")="",1,0)</f>
        <v>0</v>
      </c>
      <c r="Z224" s="7">
        <f>IF(AND(ISTEXT(Raw_Bookings!L224),Y224=0),1,0)</f>
        <v>0</v>
      </c>
      <c r="AA224" s="7">
        <f>IF(Z224=1,IFERROR(VALUE(SUBSTITUTE(SUBSTITUTE(SUBSTITUTE(SUBSTITUTE(SUBSTITUTE(UPPER(Raw_Bookings!L224),"RS.",""),"₹",""),",","")," ",""),"INR","")),""),"")</f>
        <v/>
      </c>
      <c r="AB224" s="7">
        <f>IF(AND(Z224=1,ISNUMBER(AA224)),1,0)</f>
        <v>0</v>
      </c>
      <c r="AC224" s="7">
        <f>IF(B224=1,0,IF(NOT(ISNUMBER(Raw_Bookings!J224)),1,IF(Raw_Bookings!J224&lt;&gt;COUNTIFS(Work_Passengers!$B$2:$B$1336,Raw_Bookings!A224,Work_Passengers!$C$2:$C$1336,0),1,0)))</f>
        <v>0</v>
      </c>
    </row>
    <row r="225" spans="1:29">
      <c r="A225" s="7">
        <f>Raw_Bookings!A225</f>
        <v>1073530</v>
      </c>
      <c r="B225" s="7">
        <f>IF(COUNTIF(Raw_Bookings!$A$2:A225,Raw_Bookings!A225)&gt;1,1,0)</f>
        <v>0</v>
      </c>
      <c r="C225" s="7" t="str">
        <f>Raw_Bookings!D225&amp;""</f>
        <v>2025-05-05</v>
      </c>
      <c r="D225" s="7" t="str">
        <f>IF(AND(LEN(C225)=10,MID(C225,5,1)="-",MID(C225,8,1)="-"),"ISO",IF(AND(LEN(C225)=10,MID(C225,3,1)="-",MID(C225,6,1)="-"),"DMY","OTHER"))</f>
        <v>ISO</v>
      </c>
      <c r="E225" s="7">
        <f>IF(D225="ISO",VALUE(LEFT(C225,4)),IF(D225="DMY",VALUE(RIGHT(C225,4)),0))</f>
        <v>2025</v>
      </c>
      <c r="F225" s="7">
        <f>IF(D225="ISO",VALUE(MID(C225,6,2)),IF(D225="DMY",VALUE(MID(C225,4,2)),0))</f>
        <v>5</v>
      </c>
      <c r="G225" s="7">
        <f>IF(D225="ISO",VALUE(RIGHT(C225,2)),IF(D225="DMY",VALUE(LEFT(C225,2)),0))</f>
        <v>5</v>
      </c>
      <c r="H225" s="7">
        <f>IF(AND(D225&lt;&gt;"OTHER",F225&gt;=1,F225&lt;=12,G225&gt;=1,G225&lt;=31),IF(AND(MONTH(DATE(E225,F225,G225))=F225,DAY(DATE(E225,F225,G225))=G225),1,0),0)</f>
        <v>1</v>
      </c>
      <c r="I225" s="7">
        <f>IF(H225=1,DATE(E225,F225,G225),"")</f>
        <v>45782.0</v>
      </c>
      <c r="J225" s="7">
        <f>IF(AND(D225="DMY",H225=1),1,0)</f>
        <v>0</v>
      </c>
      <c r="K225" s="7">
        <f>IF(H225=0,1,0)</f>
        <v>0</v>
      </c>
      <c r="L225" s="7">
        <f>IF(TRIM(Raw_Bookings!I225&amp;"")="",1,0)</f>
        <v>0</v>
      </c>
      <c r="M225" s="7">
        <f>IF(L225=1,"",DATEVALUE(LEFT(Raw_Bookings!I225,10))+TIMEVALUE(MID(Raw_Bookings!I225,12,8)))</f>
        <v>45780.51184027778</v>
      </c>
      <c r="N225" s="7">
        <f>IF(AND(L225=0,H225=1),IF(INT(M225)&gt;I225,1,0),0)</f>
        <v>0</v>
      </c>
      <c r="O225" s="7" t="str">
        <f>UPPER(TRIM(Raw_Bookings!F225))</f>
        <v>KOL</v>
      </c>
      <c r="P225" s="7" t="str">
        <f>UPPER(TRIM(Raw_Bookings!G225))</f>
        <v>HYD</v>
      </c>
      <c r="Q225" s="7">
        <f>IF(COUNTIF(Lookup_Stations!$A$2:$A$33,O225)&gt;0,1,0)</f>
        <v>1</v>
      </c>
      <c r="R225" s="7">
        <f>IF(COUNTIF(Lookup_Stations!$A$2:$A$33,P225)&gt;0,1,0)</f>
        <v>1</v>
      </c>
      <c r="S225" s="7">
        <f>IF(OR(AND(Q225=1,NOT(EXACT(Raw_Bookings!F225,O225))),AND(R225=1,NOT(EXACT(Raw_Bookings!G225,P225)))),1,0)</f>
        <v>0</v>
      </c>
      <c r="T225" s="7">
        <f>IF(OR(Q225=0,R225=0),1,0)</f>
        <v>0</v>
      </c>
      <c r="U225" s="7">
        <f>IF(TRIM(Raw_Bookings!E225&amp;"")="",1,0)</f>
        <v>0</v>
      </c>
      <c r="V225" s="7" t="str">
        <f>IF(SUMPRODUCT(--(Lookup_Status!$A$2:$A$13=LOWER(TRIM(Raw_Bookings!K225))))=0,"",INDEX(Lookup_Status!$B$2:$B$13,SUMPRODUCT((Lookup_Status!$A$2:$A$13=LOWER(TRIM(Raw_Bookings!K225)))*(ROW(Lookup_Status!$A$2:$A$13)-1))))</f>
        <v>Mixed</v>
      </c>
      <c r="W225" s="7">
        <f>IF(AND(V225&lt;&gt;"",NOT(EXACT(Raw_Bookings!K225,V225))),1,0)</f>
        <v>0</v>
      </c>
      <c r="X225" s="7">
        <f>IF(V225="",1,0)</f>
        <v>0</v>
      </c>
      <c r="Y225" s="7">
        <f>IF(TRIM(Raw_Bookings!L225&amp;"")="",1,0)</f>
        <v>0</v>
      </c>
      <c r="Z225" s="7">
        <f>IF(AND(ISTEXT(Raw_Bookings!L225),Y225=0),1,0)</f>
        <v>0</v>
      </c>
      <c r="AA225" s="7">
        <f>IF(Z225=1,IFERROR(VALUE(SUBSTITUTE(SUBSTITUTE(SUBSTITUTE(SUBSTITUTE(SUBSTITUTE(UPPER(Raw_Bookings!L225),"RS.",""),"₹",""),",","")," ",""),"INR","")),""),"")</f>
        <v/>
      </c>
      <c r="AB225" s="7">
        <f>IF(AND(Z225=1,ISNUMBER(AA225)),1,0)</f>
        <v>0</v>
      </c>
      <c r="AC225" s="7">
        <f>IF(B225=1,0,IF(NOT(ISNUMBER(Raw_Bookings!J225)),1,IF(Raw_Bookings!J225&lt;&gt;COUNTIFS(Work_Passengers!$B$2:$B$1336,Raw_Bookings!A225,Work_Passengers!$C$2:$C$1336,0),1,0)))</f>
        <v>0</v>
      </c>
    </row>
    <row r="226" spans="1:29">
      <c r="A226" s="7">
        <f>Raw_Bookings!A226</f>
        <v>1074131</v>
      </c>
      <c r="B226" s="7">
        <f>IF(COUNTIF(Raw_Bookings!$A$2:A226,Raw_Bookings!A226)&gt;1,1,0)</f>
        <v>0</v>
      </c>
      <c r="C226" s="7" t="str">
        <f>Raw_Bookings!D226&amp;""</f>
        <v>2025-05-12</v>
      </c>
      <c r="D226" s="7" t="str">
        <f>IF(AND(LEN(C226)=10,MID(C226,5,1)="-",MID(C226,8,1)="-"),"ISO",IF(AND(LEN(C226)=10,MID(C226,3,1)="-",MID(C226,6,1)="-"),"DMY","OTHER"))</f>
        <v>ISO</v>
      </c>
      <c r="E226" s="7">
        <f>IF(D226="ISO",VALUE(LEFT(C226,4)),IF(D226="DMY",VALUE(RIGHT(C226,4)),0))</f>
        <v>2025</v>
      </c>
      <c r="F226" s="7">
        <f>IF(D226="ISO",VALUE(MID(C226,6,2)),IF(D226="DMY",VALUE(MID(C226,4,2)),0))</f>
        <v>5</v>
      </c>
      <c r="G226" s="7">
        <f>IF(D226="ISO",VALUE(RIGHT(C226,2)),IF(D226="DMY",VALUE(LEFT(C226,2)),0))</f>
        <v>12</v>
      </c>
      <c r="H226" s="7">
        <f>IF(AND(D226&lt;&gt;"OTHER",F226&gt;=1,F226&lt;=12,G226&gt;=1,G226&lt;=31),IF(AND(MONTH(DATE(E226,F226,G226))=F226,DAY(DATE(E226,F226,G226))=G226),1,0),0)</f>
        <v>1</v>
      </c>
      <c r="I226" s="7">
        <f>IF(H226=1,DATE(E226,F226,G226),"")</f>
        <v>45789.0</v>
      </c>
      <c r="J226" s="7">
        <f>IF(AND(D226="DMY",H226=1),1,0)</f>
        <v>0</v>
      </c>
      <c r="K226" s="7">
        <f>IF(H226=0,1,0)</f>
        <v>0</v>
      </c>
      <c r="L226" s="7">
        <f>IF(TRIM(Raw_Bookings!I226&amp;"")="",1,0)</f>
        <v>0</v>
      </c>
      <c r="M226" s="7">
        <f>IF(L226=1,"",DATEVALUE(LEFT(Raw_Bookings!I226,10))+TIMEVALUE(MID(Raw_Bookings!I226,12,8)))</f>
        <v>45782.45618055556</v>
      </c>
      <c r="N226" s="7">
        <f>IF(AND(L226=0,H226=1),IF(INT(M226)&gt;I226,1,0),0)</f>
        <v>0</v>
      </c>
      <c r="O226" s="7" t="str">
        <f>UPPER(TRIM(Raw_Bookings!F226))</f>
        <v>HYD</v>
      </c>
      <c r="P226" s="7" t="str">
        <f>UPPER(TRIM(Raw_Bookings!G226))</f>
        <v>KOL</v>
      </c>
      <c r="Q226" s="7">
        <f>IF(COUNTIF(Lookup_Stations!$A$2:$A$33,O226)&gt;0,1,0)</f>
        <v>1</v>
      </c>
      <c r="R226" s="7">
        <f>IF(COUNTIF(Lookup_Stations!$A$2:$A$33,P226)&gt;0,1,0)</f>
        <v>1</v>
      </c>
      <c r="S226" s="7">
        <f>IF(OR(AND(Q226=1,NOT(EXACT(Raw_Bookings!F226,O226))),AND(R226=1,NOT(EXACT(Raw_Bookings!G226,P226)))),1,0)</f>
        <v>0</v>
      </c>
      <c r="T226" s="7">
        <f>IF(OR(Q226=0,R226=0),1,0)</f>
        <v>0</v>
      </c>
      <c r="U226" s="7">
        <f>IF(TRIM(Raw_Bookings!E226&amp;"")="",1,0)</f>
        <v>0</v>
      </c>
      <c r="V226" s="7" t="str">
        <f>IF(SUMPRODUCT(--(Lookup_Status!$A$2:$A$13=LOWER(TRIM(Raw_Bookings!K226))))=0,"",INDEX(Lookup_Status!$B$2:$B$13,SUMPRODUCT((Lookup_Status!$A$2:$A$13=LOWER(TRIM(Raw_Bookings!K226)))*(ROW(Lookup_Status!$A$2:$A$13)-1))))</f>
        <v>Confirmed</v>
      </c>
      <c r="W226" s="7">
        <f>IF(AND(V226&lt;&gt;"",NOT(EXACT(Raw_Bookings!K226,V226))),1,0)</f>
        <v>0</v>
      </c>
      <c r="X226" s="7">
        <f>IF(V226="",1,0)</f>
        <v>0</v>
      </c>
      <c r="Y226" s="7">
        <f>IF(TRIM(Raw_Bookings!L226&amp;"")="",1,0)</f>
        <v>0</v>
      </c>
      <c r="Z226" s="7">
        <f>IF(AND(ISTEXT(Raw_Bookings!L226),Y226=0),1,0)</f>
        <v>0</v>
      </c>
      <c r="AA226" s="7">
        <f>IF(Z226=1,IFERROR(VALUE(SUBSTITUTE(SUBSTITUTE(SUBSTITUTE(SUBSTITUTE(SUBSTITUTE(UPPER(Raw_Bookings!L226),"RS.",""),"₹",""),",","")," ",""),"INR","")),""),"")</f>
        <v/>
      </c>
      <c r="AB226" s="7">
        <f>IF(AND(Z226=1,ISNUMBER(AA226)),1,0)</f>
        <v>0</v>
      </c>
      <c r="AC226" s="7">
        <f>IF(B226=1,0,IF(NOT(ISNUMBER(Raw_Bookings!J226)),1,IF(Raw_Bookings!J226&lt;&gt;COUNTIFS(Work_Passengers!$B$2:$B$1336,Raw_Bookings!A226,Work_Passengers!$C$2:$C$1336,0),1,0)))</f>
        <v>0</v>
      </c>
    </row>
    <row r="227" spans="1:29">
      <c r="A227" s="7">
        <f>Raw_Bookings!A227</f>
        <v>1074365</v>
      </c>
      <c r="B227" s="7">
        <f>IF(COUNTIF(Raw_Bookings!$A$2:A227,Raw_Bookings!A227)&gt;1,1,0)</f>
        <v>0</v>
      </c>
      <c r="C227" s="7" t="str">
        <f>Raw_Bookings!D227&amp;""</f>
        <v>2025-06-27</v>
      </c>
      <c r="D227" s="7" t="str">
        <f>IF(AND(LEN(C227)=10,MID(C227,5,1)="-",MID(C227,8,1)="-"),"ISO",IF(AND(LEN(C227)=10,MID(C227,3,1)="-",MID(C227,6,1)="-"),"DMY","OTHER"))</f>
        <v>ISO</v>
      </c>
      <c r="E227" s="7">
        <f>IF(D227="ISO",VALUE(LEFT(C227,4)),IF(D227="DMY",VALUE(RIGHT(C227,4)),0))</f>
        <v>2025</v>
      </c>
      <c r="F227" s="7">
        <f>IF(D227="ISO",VALUE(MID(C227,6,2)),IF(D227="DMY",VALUE(MID(C227,4,2)),0))</f>
        <v>6</v>
      </c>
      <c r="G227" s="7">
        <f>IF(D227="ISO",VALUE(RIGHT(C227,2)),IF(D227="DMY",VALUE(LEFT(C227,2)),0))</f>
        <v>27</v>
      </c>
      <c r="H227" s="7">
        <f>IF(AND(D227&lt;&gt;"OTHER",F227&gt;=1,F227&lt;=12,G227&gt;=1,G227&lt;=31),IF(AND(MONTH(DATE(E227,F227,G227))=F227,DAY(DATE(E227,F227,G227))=G227),1,0),0)</f>
        <v>1</v>
      </c>
      <c r="I227" s="7">
        <f>IF(H227=1,DATE(E227,F227,G227),"")</f>
        <v>45835.0</v>
      </c>
      <c r="J227" s="7">
        <f>IF(AND(D227="DMY",H227=1),1,0)</f>
        <v>0</v>
      </c>
      <c r="K227" s="7">
        <f>IF(H227=0,1,0)</f>
        <v>0</v>
      </c>
      <c r="L227" s="7">
        <f>IF(TRIM(Raw_Bookings!I227&amp;"")="",1,0)</f>
        <v>0</v>
      </c>
      <c r="M227" s="7">
        <f>IF(L227=1,"",DATEVALUE(LEFT(Raw_Bookings!I227,10))+TIMEVALUE(MID(Raw_Bookings!I227,12,8)))</f>
        <v>45783.2975</v>
      </c>
      <c r="N227" s="7">
        <f>IF(AND(L227=0,H227=1),IF(INT(M227)&gt;I227,1,0),0)</f>
        <v>0</v>
      </c>
      <c r="O227" s="7" t="str">
        <f>UPPER(TRIM(Raw_Bookings!F227))</f>
        <v>LUC</v>
      </c>
      <c r="P227" s="7" t="str">
        <f>UPPER(TRIM(Raw_Bookings!G227))</f>
        <v>MUM</v>
      </c>
      <c r="Q227" s="7">
        <f>IF(COUNTIF(Lookup_Stations!$A$2:$A$33,O227)&gt;0,1,0)</f>
        <v>1</v>
      </c>
      <c r="R227" s="7">
        <f>IF(COUNTIF(Lookup_Stations!$A$2:$A$33,P227)&gt;0,1,0)</f>
        <v>1</v>
      </c>
      <c r="S227" s="7">
        <f>IF(OR(AND(Q227=1,NOT(EXACT(Raw_Bookings!F227,O227))),AND(R227=1,NOT(EXACT(Raw_Bookings!G227,P227)))),1,0)</f>
        <v>0</v>
      </c>
      <c r="T227" s="7">
        <f>IF(OR(Q227=0,R227=0),1,0)</f>
        <v>0</v>
      </c>
      <c r="U227" s="7">
        <f>IF(TRIM(Raw_Bookings!E227&amp;"")="",1,0)</f>
        <v>0</v>
      </c>
      <c r="V227" s="7" t="str">
        <f>IF(SUMPRODUCT(--(Lookup_Status!$A$2:$A$13=LOWER(TRIM(Raw_Bookings!K227))))=0,"",INDEX(Lookup_Status!$B$2:$B$13,SUMPRODUCT((Lookup_Status!$A$2:$A$13=LOWER(TRIM(Raw_Bookings!K227)))*(ROW(Lookup_Status!$A$2:$A$13)-1))))</f>
        <v>Confirmed</v>
      </c>
      <c r="W227" s="7">
        <f>IF(AND(V227&lt;&gt;"",NOT(EXACT(Raw_Bookings!K227,V227))),1,0)</f>
        <v>0</v>
      </c>
      <c r="X227" s="7">
        <f>IF(V227="",1,0)</f>
        <v>0</v>
      </c>
      <c r="Y227" s="7">
        <f>IF(TRIM(Raw_Bookings!L227&amp;"")="",1,0)</f>
        <v>0</v>
      </c>
      <c r="Z227" s="7">
        <f>IF(AND(ISTEXT(Raw_Bookings!L227),Y227=0),1,0)</f>
        <v>0</v>
      </c>
      <c r="AA227" s="7">
        <f>IF(Z227=1,IFERROR(VALUE(SUBSTITUTE(SUBSTITUTE(SUBSTITUTE(SUBSTITUTE(SUBSTITUTE(UPPER(Raw_Bookings!L227),"RS.",""),"₹",""),",","")," ",""),"INR","")),""),"")</f>
        <v/>
      </c>
      <c r="AB227" s="7">
        <f>IF(AND(Z227=1,ISNUMBER(AA227)),1,0)</f>
        <v>0</v>
      </c>
      <c r="AC227" s="7">
        <f>IF(B227=1,0,IF(NOT(ISNUMBER(Raw_Bookings!J227)),1,IF(Raw_Bookings!J227&lt;&gt;COUNTIFS(Work_Passengers!$B$2:$B$1336,Raw_Bookings!A227,Work_Passengers!$C$2:$C$1336,0),1,0)))</f>
        <v>0</v>
      </c>
    </row>
    <row r="228" spans="1:29">
      <c r="A228" s="7">
        <f>Raw_Bookings!A228</f>
        <v>1074639</v>
      </c>
      <c r="B228" s="7">
        <f>IF(COUNTIF(Raw_Bookings!$A$2:A228,Raw_Bookings!A228)&gt;1,1,0)</f>
        <v>0</v>
      </c>
      <c r="C228" s="7" t="str">
        <f>Raw_Bookings!D228&amp;""</f>
        <v>2025-07-16</v>
      </c>
      <c r="D228" s="7" t="str">
        <f>IF(AND(LEN(C228)=10,MID(C228,5,1)="-",MID(C228,8,1)="-"),"ISO",IF(AND(LEN(C228)=10,MID(C228,3,1)="-",MID(C228,6,1)="-"),"DMY","OTHER"))</f>
        <v>ISO</v>
      </c>
      <c r="E228" s="7">
        <f>IF(D228="ISO",VALUE(LEFT(C228,4)),IF(D228="DMY",VALUE(RIGHT(C228,4)),0))</f>
        <v>2025</v>
      </c>
      <c r="F228" s="7">
        <f>IF(D228="ISO",VALUE(MID(C228,6,2)),IF(D228="DMY",VALUE(MID(C228,4,2)),0))</f>
        <v>7</v>
      </c>
      <c r="G228" s="7">
        <f>IF(D228="ISO",VALUE(RIGHT(C228,2)),IF(D228="DMY",VALUE(LEFT(C228,2)),0))</f>
        <v>16</v>
      </c>
      <c r="H228" s="7">
        <f>IF(AND(D228&lt;&gt;"OTHER",F228&gt;=1,F228&lt;=12,G228&gt;=1,G228&lt;=31),IF(AND(MONTH(DATE(E228,F228,G228))=F228,DAY(DATE(E228,F228,G228))=G228),1,0),0)</f>
        <v>1</v>
      </c>
      <c r="I228" s="7">
        <f>IF(H228=1,DATE(E228,F228,G228),"")</f>
        <v>45854.0</v>
      </c>
      <c r="J228" s="7">
        <f>IF(AND(D228="DMY",H228=1),1,0)</f>
        <v>0</v>
      </c>
      <c r="K228" s="7">
        <f>IF(H228=0,1,0)</f>
        <v>0</v>
      </c>
      <c r="L228" s="7">
        <f>IF(TRIM(Raw_Bookings!I228&amp;"")="",1,0)</f>
        <v>0</v>
      </c>
      <c r="M228" s="7">
        <f>IF(L228=1,"",DATEVALUE(LEFT(Raw_Bookings!I228,10))+TIMEVALUE(MID(Raw_Bookings!I228,12,8)))</f>
        <v>45784.25802083333</v>
      </c>
      <c r="N228" s="7">
        <f>IF(AND(L228=0,H228=1),IF(INT(M228)&gt;I228,1,0),0)</f>
        <v>0</v>
      </c>
      <c r="O228" s="7" t="str">
        <f>UPPER(TRIM(Raw_Bookings!F228))</f>
        <v>NAG</v>
      </c>
      <c r="P228" s="7" t="str">
        <f>UPPER(TRIM(Raw_Bookings!G228))</f>
        <v>THI</v>
      </c>
      <c r="Q228" s="7">
        <f>IF(COUNTIF(Lookup_Stations!$A$2:$A$33,O228)&gt;0,1,0)</f>
        <v>1</v>
      </c>
      <c r="R228" s="7">
        <f>IF(COUNTIF(Lookup_Stations!$A$2:$A$33,P228)&gt;0,1,0)</f>
        <v>1</v>
      </c>
      <c r="S228" s="7">
        <f>IF(OR(AND(Q228=1,NOT(EXACT(Raw_Bookings!F228,O228))),AND(R228=1,NOT(EXACT(Raw_Bookings!G228,P228)))),1,0)</f>
        <v>0</v>
      </c>
      <c r="T228" s="7">
        <f>IF(OR(Q228=0,R228=0),1,0)</f>
        <v>0</v>
      </c>
      <c r="U228" s="7">
        <f>IF(TRIM(Raw_Bookings!E228&amp;"")="",1,0)</f>
        <v>0</v>
      </c>
      <c r="V228" s="7" t="str">
        <f>IF(SUMPRODUCT(--(Lookup_Status!$A$2:$A$13=LOWER(TRIM(Raw_Bookings!K228))))=0,"",INDEX(Lookup_Status!$B$2:$B$13,SUMPRODUCT((Lookup_Status!$A$2:$A$13=LOWER(TRIM(Raw_Bookings!K228)))*(ROW(Lookup_Status!$A$2:$A$13)-1))))</f>
        <v>Confirmed</v>
      </c>
      <c r="W228" s="7">
        <f>IF(AND(V228&lt;&gt;"",NOT(EXACT(Raw_Bookings!K228,V228))),1,0)</f>
        <v>0</v>
      </c>
      <c r="X228" s="7">
        <f>IF(V228="",1,0)</f>
        <v>0</v>
      </c>
      <c r="Y228" s="7">
        <f>IF(TRIM(Raw_Bookings!L228&amp;"")="",1,0)</f>
        <v>0</v>
      </c>
      <c r="Z228" s="7">
        <f>IF(AND(ISTEXT(Raw_Bookings!L228),Y228=0),1,0)</f>
        <v>0</v>
      </c>
      <c r="AA228" s="7">
        <f>IF(Z228=1,IFERROR(VALUE(SUBSTITUTE(SUBSTITUTE(SUBSTITUTE(SUBSTITUTE(SUBSTITUTE(UPPER(Raw_Bookings!L228),"RS.",""),"₹",""),",","")," ",""),"INR","")),""),"")</f>
        <v/>
      </c>
      <c r="AB228" s="7">
        <f>IF(AND(Z228=1,ISNUMBER(AA228)),1,0)</f>
        <v>0</v>
      </c>
      <c r="AC228" s="7">
        <f>IF(B228=1,0,IF(NOT(ISNUMBER(Raw_Bookings!J228)),1,IF(Raw_Bookings!J228&lt;&gt;COUNTIFS(Work_Passengers!$B$2:$B$1336,Raw_Bookings!A228,Work_Passengers!$C$2:$C$1336,0),1,0)))</f>
        <v>0</v>
      </c>
    </row>
    <row r="229" spans="1:29">
      <c r="A229" s="7">
        <f>Raw_Bookings!A229</f>
        <v>1074677</v>
      </c>
      <c r="B229" s="7">
        <f>IF(COUNTIF(Raw_Bookings!$A$2:A229,Raw_Bookings!A229)&gt;1,1,0)</f>
        <v>0</v>
      </c>
      <c r="C229" s="7" t="str">
        <f>Raw_Bookings!D229&amp;""</f>
        <v>2025-05-27</v>
      </c>
      <c r="D229" s="7" t="str">
        <f>IF(AND(LEN(C229)=10,MID(C229,5,1)="-",MID(C229,8,1)="-"),"ISO",IF(AND(LEN(C229)=10,MID(C229,3,1)="-",MID(C229,6,1)="-"),"DMY","OTHER"))</f>
        <v>ISO</v>
      </c>
      <c r="E229" s="7">
        <f>IF(D229="ISO",VALUE(LEFT(C229,4)),IF(D229="DMY",VALUE(RIGHT(C229,4)),0))</f>
        <v>2025</v>
      </c>
      <c r="F229" s="7">
        <f>IF(D229="ISO",VALUE(MID(C229,6,2)),IF(D229="DMY",VALUE(MID(C229,4,2)),0))</f>
        <v>5</v>
      </c>
      <c r="G229" s="7">
        <f>IF(D229="ISO",VALUE(RIGHT(C229,2)),IF(D229="DMY",VALUE(LEFT(C229,2)),0))</f>
        <v>27</v>
      </c>
      <c r="H229" s="7">
        <f>IF(AND(D229&lt;&gt;"OTHER",F229&gt;=1,F229&lt;=12,G229&gt;=1,G229&lt;=31),IF(AND(MONTH(DATE(E229,F229,G229))=F229,DAY(DATE(E229,F229,G229))=G229),1,0),0)</f>
        <v>1</v>
      </c>
      <c r="I229" s="7">
        <f>IF(H229=1,DATE(E229,F229,G229),"")</f>
        <v>45804.0</v>
      </c>
      <c r="J229" s="7">
        <f>IF(AND(D229="DMY",H229=1),1,0)</f>
        <v>0</v>
      </c>
      <c r="K229" s="7">
        <f>IF(H229=0,1,0)</f>
        <v>0</v>
      </c>
      <c r="L229" s="7">
        <f>IF(TRIM(Raw_Bookings!I229&amp;"")="",1,0)</f>
        <v>0</v>
      </c>
      <c r="M229" s="7">
        <f>IF(L229=1,"",DATEVALUE(LEFT(Raw_Bookings!I229,10))+TIMEVALUE(MID(Raw_Bookings!I229,12,8)))</f>
        <v>45784.40157407407</v>
      </c>
      <c r="N229" s="7">
        <f>IF(AND(L229=0,H229=1),IF(INT(M229)&gt;I229,1,0),0)</f>
        <v>0</v>
      </c>
      <c r="O229" s="7" t="str">
        <f>UPPER(TRIM(Raw_Bookings!F229))</f>
        <v>MUM</v>
      </c>
      <c r="P229" s="7" t="str">
        <f>UPPER(TRIM(Raw_Bookings!G229))</f>
        <v>BEN</v>
      </c>
      <c r="Q229" s="7">
        <f>IF(COUNTIF(Lookup_Stations!$A$2:$A$33,O229)&gt;0,1,0)</f>
        <v>1</v>
      </c>
      <c r="R229" s="7">
        <f>IF(COUNTIF(Lookup_Stations!$A$2:$A$33,P229)&gt;0,1,0)</f>
        <v>1</v>
      </c>
      <c r="S229" s="7">
        <f>IF(OR(AND(Q229=1,NOT(EXACT(Raw_Bookings!F229,O229))),AND(R229=1,NOT(EXACT(Raw_Bookings!G229,P229)))),1,0)</f>
        <v>0</v>
      </c>
      <c r="T229" s="7">
        <f>IF(OR(Q229=0,R229=0),1,0)</f>
        <v>0</v>
      </c>
      <c r="U229" s="7">
        <f>IF(TRIM(Raw_Bookings!E229&amp;"")="",1,0)</f>
        <v>0</v>
      </c>
      <c r="V229" s="7" t="str">
        <f>IF(SUMPRODUCT(--(Lookup_Status!$A$2:$A$13=LOWER(TRIM(Raw_Bookings!K229))))=0,"",INDEX(Lookup_Status!$B$2:$B$13,SUMPRODUCT((Lookup_Status!$A$2:$A$13=LOWER(TRIM(Raw_Bookings!K229)))*(ROW(Lookup_Status!$A$2:$A$13)-1))))</f>
        <v>Confirmed</v>
      </c>
      <c r="W229" s="7">
        <f>IF(AND(V229&lt;&gt;"",NOT(EXACT(Raw_Bookings!K229,V229))),1,0)</f>
        <v>0</v>
      </c>
      <c r="X229" s="7">
        <f>IF(V229="",1,0)</f>
        <v>0</v>
      </c>
      <c r="Y229" s="7">
        <f>IF(TRIM(Raw_Bookings!L229&amp;"")="",1,0)</f>
        <v>0</v>
      </c>
      <c r="Z229" s="7">
        <f>IF(AND(ISTEXT(Raw_Bookings!L229),Y229=0),1,0)</f>
        <v>0</v>
      </c>
      <c r="AA229" s="7">
        <f>IF(Z229=1,IFERROR(VALUE(SUBSTITUTE(SUBSTITUTE(SUBSTITUTE(SUBSTITUTE(SUBSTITUTE(UPPER(Raw_Bookings!L229),"RS.",""),"₹",""),",","")," ",""),"INR","")),""),"")</f>
        <v/>
      </c>
      <c r="AB229" s="7">
        <f>IF(AND(Z229=1,ISNUMBER(AA229)),1,0)</f>
        <v>0</v>
      </c>
      <c r="AC229" s="7">
        <f>IF(B229=1,0,IF(NOT(ISNUMBER(Raw_Bookings!J229)),1,IF(Raw_Bookings!J229&lt;&gt;COUNTIFS(Work_Passengers!$B$2:$B$1336,Raw_Bookings!A229,Work_Passengers!$C$2:$C$1336,0),1,0)))</f>
        <v>0</v>
      </c>
    </row>
    <row r="230" spans="1:29">
      <c r="A230" s="7">
        <f>Raw_Bookings!A230</f>
        <v>1074958</v>
      </c>
      <c r="B230" s="7">
        <f>IF(COUNTIF(Raw_Bookings!$A$2:A230,Raw_Bookings!A230)&gt;1,1,0)</f>
        <v>0</v>
      </c>
      <c r="C230" s="7" t="str">
        <f>Raw_Bookings!D230&amp;""</f>
        <v>2025-07-04</v>
      </c>
      <c r="D230" s="7" t="str">
        <f>IF(AND(LEN(C230)=10,MID(C230,5,1)="-",MID(C230,8,1)="-"),"ISO",IF(AND(LEN(C230)=10,MID(C230,3,1)="-",MID(C230,6,1)="-"),"DMY","OTHER"))</f>
        <v>ISO</v>
      </c>
      <c r="E230" s="7">
        <f>IF(D230="ISO",VALUE(LEFT(C230,4)),IF(D230="DMY",VALUE(RIGHT(C230,4)),0))</f>
        <v>2025</v>
      </c>
      <c r="F230" s="7">
        <f>IF(D230="ISO",VALUE(MID(C230,6,2)),IF(D230="DMY",VALUE(MID(C230,4,2)),0))</f>
        <v>7</v>
      </c>
      <c r="G230" s="7">
        <f>IF(D230="ISO",VALUE(RIGHT(C230,2)),IF(D230="DMY",VALUE(LEFT(C230,2)),0))</f>
        <v>4</v>
      </c>
      <c r="H230" s="7">
        <f>IF(AND(D230&lt;&gt;"OTHER",F230&gt;=1,F230&lt;=12,G230&gt;=1,G230&lt;=31),IF(AND(MONTH(DATE(E230,F230,G230))=F230,DAY(DATE(E230,F230,G230))=G230),1,0),0)</f>
        <v>1</v>
      </c>
      <c r="I230" s="7">
        <f>IF(H230=1,DATE(E230,F230,G230),"")</f>
        <v>45842.0</v>
      </c>
      <c r="J230" s="7">
        <f>IF(AND(D230="DMY",H230=1),1,0)</f>
        <v>0</v>
      </c>
      <c r="K230" s="7">
        <f>IF(H230=0,1,0)</f>
        <v>0</v>
      </c>
      <c r="L230" s="7">
        <f>IF(TRIM(Raw_Bookings!I230&amp;"")="",1,0)</f>
        <v>0</v>
      </c>
      <c r="M230" s="7">
        <f>IF(L230=1,"",DATEVALUE(LEFT(Raw_Bookings!I230,10))+TIMEVALUE(MID(Raw_Bookings!I230,12,8)))</f>
        <v>45785.395787037036</v>
      </c>
      <c r="N230" s="7">
        <f>IF(AND(L230=0,H230=1),IF(INT(M230)&gt;I230,1,0),0)</f>
        <v>0</v>
      </c>
      <c r="O230" s="7" t="str">
        <f>UPPER(TRIM(Raw_Bookings!F230))</f>
        <v>PUN</v>
      </c>
      <c r="P230" s="7" t="str">
        <f>UPPER(TRIM(Raw_Bookings!G230))</f>
        <v>DEH</v>
      </c>
      <c r="Q230" s="7">
        <f>IF(COUNTIF(Lookup_Stations!$A$2:$A$33,O230)&gt;0,1,0)</f>
        <v>1</v>
      </c>
      <c r="R230" s="7">
        <f>IF(COUNTIF(Lookup_Stations!$A$2:$A$33,P230)&gt;0,1,0)</f>
        <v>1</v>
      </c>
      <c r="S230" s="7">
        <f>IF(OR(AND(Q230=1,NOT(EXACT(Raw_Bookings!F230,O230))),AND(R230=1,NOT(EXACT(Raw_Bookings!G230,P230)))),1,0)</f>
        <v>0</v>
      </c>
      <c r="T230" s="7">
        <f>IF(OR(Q230=0,R230=0),1,0)</f>
        <v>0</v>
      </c>
      <c r="U230" s="7">
        <f>IF(TRIM(Raw_Bookings!E230&amp;"")="",1,0)</f>
        <v>0</v>
      </c>
      <c r="V230" s="7" t="str">
        <f>IF(SUMPRODUCT(--(Lookup_Status!$A$2:$A$13=LOWER(TRIM(Raw_Bookings!K230))))=0,"",INDEX(Lookup_Status!$B$2:$B$13,SUMPRODUCT((Lookup_Status!$A$2:$A$13=LOWER(TRIM(Raw_Bookings!K230)))*(ROW(Lookup_Status!$A$2:$A$13)-1))))</f>
        <v>Confirmed</v>
      </c>
      <c r="W230" s="7">
        <f>IF(AND(V230&lt;&gt;"",NOT(EXACT(Raw_Bookings!K230,V230))),1,0)</f>
        <v>0</v>
      </c>
      <c r="X230" s="7">
        <f>IF(V230="",1,0)</f>
        <v>0</v>
      </c>
      <c r="Y230" s="7">
        <f>IF(TRIM(Raw_Bookings!L230&amp;"")="",1,0)</f>
        <v>0</v>
      </c>
      <c r="Z230" s="7">
        <f>IF(AND(ISTEXT(Raw_Bookings!L230),Y230=0),1,0)</f>
        <v>0</v>
      </c>
      <c r="AA230" s="7">
        <f>IF(Z230=1,IFERROR(VALUE(SUBSTITUTE(SUBSTITUTE(SUBSTITUTE(SUBSTITUTE(SUBSTITUTE(UPPER(Raw_Bookings!L230),"RS.",""),"₹",""),",","")," ",""),"INR","")),""),"")</f>
        <v/>
      </c>
      <c r="AB230" s="7">
        <f>IF(AND(Z230=1,ISNUMBER(AA230)),1,0)</f>
        <v>0</v>
      </c>
      <c r="AC230" s="7">
        <f>IF(B230=1,0,IF(NOT(ISNUMBER(Raw_Bookings!J230)),1,IF(Raw_Bookings!J230&lt;&gt;COUNTIFS(Work_Passengers!$B$2:$B$1336,Raw_Bookings!A230,Work_Passengers!$C$2:$C$1336,0),1,0)))</f>
        <v>0</v>
      </c>
    </row>
    <row r="231" spans="1:29">
      <c r="A231" s="7">
        <f>Raw_Bookings!A231</f>
        <v>1075134</v>
      </c>
      <c r="B231" s="7">
        <f>IF(COUNTIF(Raw_Bookings!$A$2:A231,Raw_Bookings!A231)&gt;1,1,0)</f>
        <v>0</v>
      </c>
      <c r="C231" s="7" t="str">
        <f>Raw_Bookings!D231&amp;""</f>
        <v>2025-06-04</v>
      </c>
      <c r="D231" s="7" t="str">
        <f>IF(AND(LEN(C231)=10,MID(C231,5,1)="-",MID(C231,8,1)="-"),"ISO",IF(AND(LEN(C231)=10,MID(C231,3,1)="-",MID(C231,6,1)="-"),"DMY","OTHER"))</f>
        <v>ISO</v>
      </c>
      <c r="E231" s="7">
        <f>IF(D231="ISO",VALUE(LEFT(C231,4)),IF(D231="DMY",VALUE(RIGHT(C231,4)),0))</f>
        <v>2025</v>
      </c>
      <c r="F231" s="7">
        <f>IF(D231="ISO",VALUE(MID(C231,6,2)),IF(D231="DMY",VALUE(MID(C231,4,2)),0))</f>
        <v>6</v>
      </c>
      <c r="G231" s="7">
        <f>IF(D231="ISO",VALUE(RIGHT(C231,2)),IF(D231="DMY",VALUE(LEFT(C231,2)),0))</f>
        <v>4</v>
      </c>
      <c r="H231" s="7">
        <f>IF(AND(D231&lt;&gt;"OTHER",F231&gt;=1,F231&lt;=12,G231&gt;=1,G231&lt;=31),IF(AND(MONTH(DATE(E231,F231,G231))=F231,DAY(DATE(E231,F231,G231))=G231),1,0),0)</f>
        <v>1</v>
      </c>
      <c r="I231" s="7">
        <f>IF(H231=1,DATE(E231,F231,G231),"")</f>
        <v>45812.0</v>
      </c>
      <c r="J231" s="7">
        <f>IF(AND(D231="DMY",H231=1),1,0)</f>
        <v>0</v>
      </c>
      <c r="K231" s="7">
        <f>IF(H231=0,1,0)</f>
        <v>0</v>
      </c>
      <c r="L231" s="7">
        <f>IF(TRIM(Raw_Bookings!I231&amp;"")="",1,0)</f>
        <v>0</v>
      </c>
      <c r="M231" s="7">
        <f>IF(L231=1,"",DATEVALUE(LEFT(Raw_Bookings!I231,10))+TIMEVALUE(MID(Raw_Bookings!I231,12,8)))</f>
        <v>45785.84284722222</v>
      </c>
      <c r="N231" s="7">
        <f>IF(AND(L231=0,H231=1),IF(INT(M231)&gt;I231,1,0),0)</f>
        <v>0</v>
      </c>
      <c r="O231" s="7" t="str">
        <f>UPPER(TRIM(Raw_Bookings!F231))</f>
        <v>DEL</v>
      </c>
      <c r="P231" s="7" t="str">
        <f>UPPER(TRIM(Raw_Bookings!G231))</f>
        <v>DIB</v>
      </c>
      <c r="Q231" s="7">
        <f>IF(COUNTIF(Lookup_Stations!$A$2:$A$33,O231)&gt;0,1,0)</f>
        <v>1</v>
      </c>
      <c r="R231" s="7">
        <f>IF(COUNTIF(Lookup_Stations!$A$2:$A$33,P231)&gt;0,1,0)</f>
        <v>1</v>
      </c>
      <c r="S231" s="7">
        <f>IF(OR(AND(Q231=1,NOT(EXACT(Raw_Bookings!F231,O231))),AND(R231=1,NOT(EXACT(Raw_Bookings!G231,P231)))),1,0)</f>
        <v>0</v>
      </c>
      <c r="T231" s="7">
        <f>IF(OR(Q231=0,R231=0),1,0)</f>
        <v>0</v>
      </c>
      <c r="U231" s="7">
        <f>IF(TRIM(Raw_Bookings!E231&amp;"")="",1,0)</f>
        <v>0</v>
      </c>
      <c r="V231" s="7" t="str">
        <f>IF(SUMPRODUCT(--(Lookup_Status!$A$2:$A$13=LOWER(TRIM(Raw_Bookings!K231))))=0,"",INDEX(Lookup_Status!$B$2:$B$13,SUMPRODUCT((Lookup_Status!$A$2:$A$13=LOWER(TRIM(Raw_Bookings!K231)))*(ROW(Lookup_Status!$A$2:$A$13)-1))))</f>
        <v>Confirmed</v>
      </c>
      <c r="W231" s="7">
        <f>IF(AND(V231&lt;&gt;"",NOT(EXACT(Raw_Bookings!K231,V231))),1,0)</f>
        <v>0</v>
      </c>
      <c r="X231" s="7">
        <f>IF(V231="",1,0)</f>
        <v>0</v>
      </c>
      <c r="Y231" s="7">
        <f>IF(TRIM(Raw_Bookings!L231&amp;"")="",1,0)</f>
        <v>0</v>
      </c>
      <c r="Z231" s="7">
        <f>IF(AND(ISTEXT(Raw_Bookings!L231),Y231=0),1,0)</f>
        <v>0</v>
      </c>
      <c r="AA231" s="7">
        <f>IF(Z231=1,IFERROR(VALUE(SUBSTITUTE(SUBSTITUTE(SUBSTITUTE(SUBSTITUTE(SUBSTITUTE(UPPER(Raw_Bookings!L231),"RS.",""),"₹",""),",","")," ",""),"INR","")),""),"")</f>
        <v/>
      </c>
      <c r="AB231" s="7">
        <f>IF(AND(Z231=1,ISNUMBER(AA231)),1,0)</f>
        <v>0</v>
      </c>
      <c r="AC231" s="7">
        <f>IF(B231=1,0,IF(NOT(ISNUMBER(Raw_Bookings!J231)),1,IF(Raw_Bookings!J231&lt;&gt;COUNTIFS(Work_Passengers!$B$2:$B$1336,Raw_Bookings!A231,Work_Passengers!$C$2:$C$1336,0),1,0)))</f>
        <v>0</v>
      </c>
    </row>
    <row r="232" spans="1:29">
      <c r="A232" s="7">
        <f>Raw_Bookings!A232</f>
        <v>1075804</v>
      </c>
      <c r="B232" s="7">
        <f>IF(COUNTIF(Raw_Bookings!$A$2:A232,Raw_Bookings!A232)&gt;1,1,0)</f>
        <v>0</v>
      </c>
      <c r="C232" s="7" t="str">
        <f>Raw_Bookings!D232&amp;""</f>
        <v>2025-05-14</v>
      </c>
      <c r="D232" s="7" t="str">
        <f>IF(AND(LEN(C232)=10,MID(C232,5,1)="-",MID(C232,8,1)="-"),"ISO",IF(AND(LEN(C232)=10,MID(C232,3,1)="-",MID(C232,6,1)="-"),"DMY","OTHER"))</f>
        <v>ISO</v>
      </c>
      <c r="E232" s="7">
        <f>IF(D232="ISO",VALUE(LEFT(C232,4)),IF(D232="DMY",VALUE(RIGHT(C232,4)),0))</f>
        <v>2025</v>
      </c>
      <c r="F232" s="7">
        <f>IF(D232="ISO",VALUE(MID(C232,6,2)),IF(D232="DMY",VALUE(MID(C232,4,2)),0))</f>
        <v>5</v>
      </c>
      <c r="G232" s="7">
        <f>IF(D232="ISO",VALUE(RIGHT(C232,2)),IF(D232="DMY",VALUE(LEFT(C232,2)),0))</f>
        <v>14</v>
      </c>
      <c r="H232" s="7">
        <f>IF(AND(D232&lt;&gt;"OTHER",F232&gt;=1,F232&lt;=12,G232&gt;=1,G232&lt;=31),IF(AND(MONTH(DATE(E232,F232,G232))=F232,DAY(DATE(E232,F232,G232))=G232),1,0),0)</f>
        <v>1</v>
      </c>
      <c r="I232" s="7">
        <f>IF(H232=1,DATE(E232,F232,G232),"")</f>
        <v>45791.0</v>
      </c>
      <c r="J232" s="7">
        <f>IF(AND(D232="DMY",H232=1),1,0)</f>
        <v>0</v>
      </c>
      <c r="K232" s="7">
        <f>IF(H232=0,1,0)</f>
        <v>0</v>
      </c>
      <c r="L232" s="7">
        <f>IF(TRIM(Raw_Bookings!I232&amp;"")="",1,0)</f>
        <v>0</v>
      </c>
      <c r="M232" s="7">
        <f>IF(L232=1,"",DATEVALUE(LEFT(Raw_Bookings!I232,10))+TIMEVALUE(MID(Raw_Bookings!I232,12,8)))</f>
        <v>45788.297951388886</v>
      </c>
      <c r="N232" s="7">
        <f>IF(AND(L232=0,H232=1),IF(INT(M232)&gt;I232,1,0),0)</f>
        <v>0</v>
      </c>
      <c r="O232" s="7" t="str">
        <f>UPPER(TRIM(Raw_Bookings!F232))</f>
        <v>GUW</v>
      </c>
      <c r="P232" s="7" t="str">
        <f>UPPER(TRIM(Raw_Bookings!G232))</f>
        <v>BHO</v>
      </c>
      <c r="Q232" s="7">
        <f>IF(COUNTIF(Lookup_Stations!$A$2:$A$33,O232)&gt;0,1,0)</f>
        <v>1</v>
      </c>
      <c r="R232" s="7">
        <f>IF(COUNTIF(Lookup_Stations!$A$2:$A$33,P232)&gt;0,1,0)</f>
        <v>1</v>
      </c>
      <c r="S232" s="7">
        <f>IF(OR(AND(Q232=1,NOT(EXACT(Raw_Bookings!F232,O232))),AND(R232=1,NOT(EXACT(Raw_Bookings!G232,P232)))),1,0)</f>
        <v>0</v>
      </c>
      <c r="T232" s="7">
        <f>IF(OR(Q232=0,R232=0),1,0)</f>
        <v>0</v>
      </c>
      <c r="U232" s="7">
        <f>IF(TRIM(Raw_Bookings!E232&amp;"")="",1,0)</f>
        <v>0</v>
      </c>
      <c r="V232" s="7" t="str">
        <f>IF(SUMPRODUCT(--(Lookup_Status!$A$2:$A$13=LOWER(TRIM(Raw_Bookings!K232))))=0,"",INDEX(Lookup_Status!$B$2:$B$13,SUMPRODUCT((Lookup_Status!$A$2:$A$13=LOWER(TRIM(Raw_Bookings!K232)))*(ROW(Lookup_Status!$A$2:$A$13)-1))))</f>
        <v>Confirmed</v>
      </c>
      <c r="W232" s="7">
        <f>IF(AND(V232&lt;&gt;"",NOT(EXACT(Raw_Bookings!K232,V232))),1,0)</f>
        <v>0</v>
      </c>
      <c r="X232" s="7">
        <f>IF(V232="",1,0)</f>
        <v>0</v>
      </c>
      <c r="Y232" s="7">
        <f>IF(TRIM(Raw_Bookings!L232&amp;"")="",1,0)</f>
        <v>0</v>
      </c>
      <c r="Z232" s="7">
        <f>IF(AND(ISTEXT(Raw_Bookings!L232),Y232=0),1,0)</f>
        <v>0</v>
      </c>
      <c r="AA232" s="7">
        <f>IF(Z232=1,IFERROR(VALUE(SUBSTITUTE(SUBSTITUTE(SUBSTITUTE(SUBSTITUTE(SUBSTITUTE(UPPER(Raw_Bookings!L232),"RS.",""),"₹",""),",","")," ",""),"INR","")),""),"")</f>
        <v/>
      </c>
      <c r="AB232" s="7">
        <f>IF(AND(Z232=1,ISNUMBER(AA232)),1,0)</f>
        <v>0</v>
      </c>
      <c r="AC232" s="7">
        <f>IF(B232=1,0,IF(NOT(ISNUMBER(Raw_Bookings!J232)),1,IF(Raw_Bookings!J232&lt;&gt;COUNTIFS(Work_Passengers!$B$2:$B$1336,Raw_Bookings!A232,Work_Passengers!$C$2:$C$1336,0),1,0)))</f>
        <v>0</v>
      </c>
    </row>
    <row r="233" spans="1:29">
      <c r="A233" s="7">
        <f>Raw_Bookings!A233</f>
        <v>1076154</v>
      </c>
      <c r="B233" s="7">
        <f>IF(COUNTIF(Raw_Bookings!$A$2:A233,Raw_Bookings!A233)&gt;1,1,0)</f>
        <v>0</v>
      </c>
      <c r="C233" s="7" t="str">
        <f>Raw_Bookings!D233&amp;""</f>
        <v>2025-05-13</v>
      </c>
      <c r="D233" s="7" t="str">
        <f>IF(AND(LEN(C233)=10,MID(C233,5,1)="-",MID(C233,8,1)="-"),"ISO",IF(AND(LEN(C233)=10,MID(C233,3,1)="-",MID(C233,6,1)="-"),"DMY","OTHER"))</f>
        <v>ISO</v>
      </c>
      <c r="E233" s="7">
        <f>IF(D233="ISO",VALUE(LEFT(C233,4)),IF(D233="DMY",VALUE(RIGHT(C233,4)),0))</f>
        <v>2025</v>
      </c>
      <c r="F233" s="7">
        <f>IF(D233="ISO",VALUE(MID(C233,6,2)),IF(D233="DMY",VALUE(MID(C233,4,2)),0))</f>
        <v>5</v>
      </c>
      <c r="G233" s="7">
        <f>IF(D233="ISO",VALUE(RIGHT(C233,2)),IF(D233="DMY",VALUE(LEFT(C233,2)),0))</f>
        <v>13</v>
      </c>
      <c r="H233" s="7">
        <f>IF(AND(D233&lt;&gt;"OTHER",F233&gt;=1,F233&lt;=12,G233&gt;=1,G233&lt;=31),IF(AND(MONTH(DATE(E233,F233,G233))=F233,DAY(DATE(E233,F233,G233))=G233),1,0),0)</f>
        <v>1</v>
      </c>
      <c r="I233" s="7">
        <f>IF(H233=1,DATE(E233,F233,G233),"")</f>
        <v>45790.0</v>
      </c>
      <c r="J233" s="7">
        <f>IF(AND(D233="DMY",H233=1),1,0)</f>
        <v>0</v>
      </c>
      <c r="K233" s="7">
        <f>IF(H233=0,1,0)</f>
        <v>0</v>
      </c>
      <c r="L233" s="7">
        <f>IF(TRIM(Raw_Bookings!I233&amp;"")="",1,0)</f>
        <v>0</v>
      </c>
      <c r="M233" s="7">
        <f>IF(L233=1,"",DATEVALUE(LEFT(Raw_Bookings!I233,10))+TIMEVALUE(MID(Raw_Bookings!I233,12,8)))</f>
        <v>45789.34539351852</v>
      </c>
      <c r="N233" s="7">
        <f>IF(AND(L233=0,H233=1),IF(INT(M233)&gt;I233,1,0),0)</f>
        <v>0</v>
      </c>
      <c r="O233" s="7" t="str">
        <f>UPPER(TRIM(Raw_Bookings!F233))</f>
        <v>MUM</v>
      </c>
      <c r="P233" s="7" t="str">
        <f>UPPER(TRIM(Raw_Bookings!G233))</f>
        <v>LUC</v>
      </c>
      <c r="Q233" s="7">
        <f>IF(COUNTIF(Lookup_Stations!$A$2:$A$33,O233)&gt;0,1,0)</f>
        <v>1</v>
      </c>
      <c r="R233" s="7">
        <f>IF(COUNTIF(Lookup_Stations!$A$2:$A$33,P233)&gt;0,1,0)</f>
        <v>1</v>
      </c>
      <c r="S233" s="7">
        <f>IF(OR(AND(Q233=1,NOT(EXACT(Raw_Bookings!F233,O233))),AND(R233=1,NOT(EXACT(Raw_Bookings!G233,P233)))),1,0)</f>
        <v>0</v>
      </c>
      <c r="T233" s="7">
        <f>IF(OR(Q233=0,R233=0),1,0)</f>
        <v>0</v>
      </c>
      <c r="U233" s="7">
        <f>IF(TRIM(Raw_Bookings!E233&amp;"")="",1,0)</f>
        <v>0</v>
      </c>
      <c r="V233" s="7" t="str">
        <f>IF(SUMPRODUCT(--(Lookup_Status!$A$2:$A$13=LOWER(TRIM(Raw_Bookings!K233))))=0,"",INDEX(Lookup_Status!$B$2:$B$13,SUMPRODUCT((Lookup_Status!$A$2:$A$13=LOWER(TRIM(Raw_Bookings!K233)))*(ROW(Lookup_Status!$A$2:$A$13)-1))))</f>
        <v>Waitlisted</v>
      </c>
      <c r="W233" s="7">
        <f>IF(AND(V233&lt;&gt;"",NOT(EXACT(Raw_Bookings!K233,V233))),1,0)</f>
        <v>0</v>
      </c>
      <c r="X233" s="7">
        <f>IF(V233="",1,0)</f>
        <v>0</v>
      </c>
      <c r="Y233" s="7">
        <f>IF(TRIM(Raw_Bookings!L233&amp;"")="",1,0)</f>
        <v>0</v>
      </c>
      <c r="Z233" s="7">
        <f>IF(AND(ISTEXT(Raw_Bookings!L233),Y233=0),1,0)</f>
        <v>0</v>
      </c>
      <c r="AA233" s="7">
        <f>IF(Z233=1,IFERROR(VALUE(SUBSTITUTE(SUBSTITUTE(SUBSTITUTE(SUBSTITUTE(SUBSTITUTE(UPPER(Raw_Bookings!L233),"RS.",""),"₹",""),",","")," ",""),"INR","")),""),"")</f>
        <v/>
      </c>
      <c r="AB233" s="7">
        <f>IF(AND(Z233=1,ISNUMBER(AA233)),1,0)</f>
        <v>0</v>
      </c>
      <c r="AC233" s="7">
        <f>IF(B233=1,0,IF(NOT(ISNUMBER(Raw_Bookings!J233)),1,IF(Raw_Bookings!J233&lt;&gt;COUNTIFS(Work_Passengers!$B$2:$B$1336,Raw_Bookings!A233,Work_Passengers!$C$2:$C$1336,0),1,0)))</f>
        <v>0</v>
      </c>
    </row>
    <row r="234" spans="1:29">
      <c r="A234" s="7">
        <f>Raw_Bookings!A234</f>
        <v>1076507</v>
      </c>
      <c r="B234" s="7">
        <f>IF(COUNTIF(Raw_Bookings!$A$2:A234,Raw_Bookings!A234)&gt;1,1,0)</f>
        <v>0</v>
      </c>
      <c r="C234" s="7" t="str">
        <f>Raw_Bookings!D234&amp;""</f>
        <v>2025-05-16</v>
      </c>
      <c r="D234" s="7" t="str">
        <f>IF(AND(LEN(C234)=10,MID(C234,5,1)="-",MID(C234,8,1)="-"),"ISO",IF(AND(LEN(C234)=10,MID(C234,3,1)="-",MID(C234,6,1)="-"),"DMY","OTHER"))</f>
        <v>ISO</v>
      </c>
      <c r="E234" s="7">
        <f>IF(D234="ISO",VALUE(LEFT(C234,4)),IF(D234="DMY",VALUE(RIGHT(C234,4)),0))</f>
        <v>2025</v>
      </c>
      <c r="F234" s="7">
        <f>IF(D234="ISO",VALUE(MID(C234,6,2)),IF(D234="DMY",VALUE(MID(C234,4,2)),0))</f>
        <v>5</v>
      </c>
      <c r="G234" s="7">
        <f>IF(D234="ISO",VALUE(RIGHT(C234,2)),IF(D234="DMY",VALUE(LEFT(C234,2)),0))</f>
        <v>16</v>
      </c>
      <c r="H234" s="7">
        <f>IF(AND(D234&lt;&gt;"OTHER",F234&gt;=1,F234&lt;=12,G234&gt;=1,G234&lt;=31),IF(AND(MONTH(DATE(E234,F234,G234))=F234,DAY(DATE(E234,F234,G234))=G234),1,0),0)</f>
        <v>1</v>
      </c>
      <c r="I234" s="7">
        <f>IF(H234=1,DATE(E234,F234,G234),"")</f>
        <v>45793.0</v>
      </c>
      <c r="J234" s="7">
        <f>IF(AND(D234="DMY",H234=1),1,0)</f>
        <v>0</v>
      </c>
      <c r="K234" s="7">
        <f>IF(H234=0,1,0)</f>
        <v>0</v>
      </c>
      <c r="L234" s="7">
        <f>IF(TRIM(Raw_Bookings!I234&amp;"")="",1,0)</f>
        <v>0</v>
      </c>
      <c r="M234" s="7">
        <f>IF(L234=1,"",DATEVALUE(LEFT(Raw_Bookings!I234,10))+TIMEVALUE(MID(Raw_Bookings!I234,12,8)))</f>
        <v>45790.388865740744</v>
      </c>
      <c r="N234" s="7">
        <f>IF(AND(L234=0,H234=1),IF(INT(M234)&gt;I234,1,0),0)</f>
        <v>0</v>
      </c>
      <c r="O234" s="7" t="str">
        <f>UPPER(TRIM(Raw_Bookings!F234))</f>
        <v>AHM</v>
      </c>
      <c r="P234" s="7" t="str">
        <f>UPPER(TRIM(Raw_Bookings!G234))</f>
        <v>CHE</v>
      </c>
      <c r="Q234" s="7">
        <f>IF(COUNTIF(Lookup_Stations!$A$2:$A$33,O234)&gt;0,1,0)</f>
        <v>1</v>
      </c>
      <c r="R234" s="7">
        <f>IF(COUNTIF(Lookup_Stations!$A$2:$A$33,P234)&gt;0,1,0)</f>
        <v>1</v>
      </c>
      <c r="S234" s="7">
        <f>IF(OR(AND(Q234=1,NOT(EXACT(Raw_Bookings!F234,O234))),AND(R234=1,NOT(EXACT(Raw_Bookings!G234,P234)))),1,0)</f>
        <v>0</v>
      </c>
      <c r="T234" s="7">
        <f>IF(OR(Q234=0,R234=0),1,0)</f>
        <v>0</v>
      </c>
      <c r="U234" s="7">
        <f>IF(TRIM(Raw_Bookings!E234&amp;"")="",1,0)</f>
        <v>0</v>
      </c>
      <c r="V234" s="7" t="str">
        <f>IF(SUMPRODUCT(--(Lookup_Status!$A$2:$A$13=LOWER(TRIM(Raw_Bookings!K234))))=0,"",INDEX(Lookup_Status!$B$2:$B$13,SUMPRODUCT((Lookup_Status!$A$2:$A$13=LOWER(TRIM(Raw_Bookings!K234)))*(ROW(Lookup_Status!$A$2:$A$13)-1))))</f>
        <v>RAC</v>
      </c>
      <c r="W234" s="7">
        <f>IF(AND(V234&lt;&gt;"",NOT(EXACT(Raw_Bookings!K234,V234))),1,0)</f>
        <v>0</v>
      </c>
      <c r="X234" s="7">
        <f>IF(V234="",1,0)</f>
        <v>0</v>
      </c>
      <c r="Y234" s="7">
        <f>IF(TRIM(Raw_Bookings!L234&amp;"")="",1,0)</f>
        <v>0</v>
      </c>
      <c r="Z234" s="7">
        <f>IF(AND(ISTEXT(Raw_Bookings!L234),Y234=0),1,0)</f>
        <v>0</v>
      </c>
      <c r="AA234" s="7">
        <f>IF(Z234=1,IFERROR(VALUE(SUBSTITUTE(SUBSTITUTE(SUBSTITUTE(SUBSTITUTE(SUBSTITUTE(UPPER(Raw_Bookings!L234),"RS.",""),"₹",""),",","")," ",""),"INR","")),""),"")</f>
        <v/>
      </c>
      <c r="AB234" s="7">
        <f>IF(AND(Z234=1,ISNUMBER(AA234)),1,0)</f>
        <v>0</v>
      </c>
      <c r="AC234" s="7">
        <f>IF(B234=1,0,IF(NOT(ISNUMBER(Raw_Bookings!J234)),1,IF(Raw_Bookings!J234&lt;&gt;COUNTIFS(Work_Passengers!$B$2:$B$1336,Raw_Bookings!A234,Work_Passengers!$C$2:$C$1336,0),1,0)))</f>
        <v>0</v>
      </c>
    </row>
    <row r="235" spans="1:29">
      <c r="A235" s="7">
        <f>Raw_Bookings!A235</f>
        <v>1076665</v>
      </c>
      <c r="B235" s="7">
        <f>IF(COUNTIF(Raw_Bookings!$A$2:A235,Raw_Bookings!A235)&gt;1,1,0)</f>
        <v>0</v>
      </c>
      <c r="C235" s="7" t="str">
        <f>Raw_Bookings!D235&amp;""</f>
        <v>2025-05-16</v>
      </c>
      <c r="D235" s="7" t="str">
        <f>IF(AND(LEN(C235)=10,MID(C235,5,1)="-",MID(C235,8,1)="-"),"ISO",IF(AND(LEN(C235)=10,MID(C235,3,1)="-",MID(C235,6,1)="-"),"DMY","OTHER"))</f>
        <v>ISO</v>
      </c>
      <c r="E235" s="7">
        <f>IF(D235="ISO",VALUE(LEFT(C235,4)),IF(D235="DMY",VALUE(RIGHT(C235,4)),0))</f>
        <v>2025</v>
      </c>
      <c r="F235" s="7">
        <f>IF(D235="ISO",VALUE(MID(C235,6,2)),IF(D235="DMY",VALUE(MID(C235,4,2)),0))</f>
        <v>5</v>
      </c>
      <c r="G235" s="7">
        <f>IF(D235="ISO",VALUE(RIGHT(C235,2)),IF(D235="DMY",VALUE(LEFT(C235,2)),0))</f>
        <v>16</v>
      </c>
      <c r="H235" s="7">
        <f>IF(AND(D235&lt;&gt;"OTHER",F235&gt;=1,F235&lt;=12,G235&gt;=1,G235&lt;=31),IF(AND(MONTH(DATE(E235,F235,G235))=F235,DAY(DATE(E235,F235,G235))=G235),1,0),0)</f>
        <v>1</v>
      </c>
      <c r="I235" s="7">
        <f>IF(H235=1,DATE(E235,F235,G235),"")</f>
        <v>45793.0</v>
      </c>
      <c r="J235" s="7">
        <f>IF(AND(D235="DMY",H235=1),1,0)</f>
        <v>0</v>
      </c>
      <c r="K235" s="7">
        <f>IF(H235=0,1,0)</f>
        <v>0</v>
      </c>
      <c r="L235" s="7">
        <f>IF(TRIM(Raw_Bookings!I235&amp;"")="",1,0)</f>
        <v>0</v>
      </c>
      <c r="M235" s="7">
        <f>IF(L235=1,"",DATEVALUE(LEFT(Raw_Bookings!I235,10))+TIMEVALUE(MID(Raw_Bookings!I235,12,8)))</f>
        <v>45790.75523148148</v>
      </c>
      <c r="N235" s="7">
        <f>IF(AND(L235=0,H235=1),IF(INT(M235)&gt;I235,1,0),0)</f>
        <v>0</v>
      </c>
      <c r="O235" s="7" t="str">
        <f>UPPER(TRIM(Raw_Bookings!F235))</f>
        <v>VIS</v>
      </c>
      <c r="P235" s="7" t="str">
        <f>UPPER(TRIM(Raw_Bookings!G235))</f>
        <v>CHA</v>
      </c>
      <c r="Q235" s="7">
        <f>IF(COUNTIF(Lookup_Stations!$A$2:$A$33,O235)&gt;0,1,0)</f>
        <v>1</v>
      </c>
      <c r="R235" s="7">
        <f>IF(COUNTIF(Lookup_Stations!$A$2:$A$33,P235)&gt;0,1,0)</f>
        <v>1</v>
      </c>
      <c r="S235" s="7">
        <f>IF(OR(AND(Q235=1,NOT(EXACT(Raw_Bookings!F235,O235))),AND(R235=1,NOT(EXACT(Raw_Bookings!G235,P235)))),1,0)</f>
        <v>0</v>
      </c>
      <c r="T235" s="7">
        <f>IF(OR(Q235=0,R235=0),1,0)</f>
        <v>0</v>
      </c>
      <c r="U235" s="7">
        <f>IF(TRIM(Raw_Bookings!E235&amp;"")="",1,0)</f>
        <v>0</v>
      </c>
      <c r="V235" s="7" t="str">
        <f>IF(SUMPRODUCT(--(Lookup_Status!$A$2:$A$13=LOWER(TRIM(Raw_Bookings!K235))))=0,"",INDEX(Lookup_Status!$B$2:$B$13,SUMPRODUCT((Lookup_Status!$A$2:$A$13=LOWER(TRIM(Raw_Bookings!K235)))*(ROW(Lookup_Status!$A$2:$A$13)-1))))</f>
        <v>Waitlisted</v>
      </c>
      <c r="W235" s="7">
        <f>IF(AND(V235&lt;&gt;"",NOT(EXACT(Raw_Bookings!K235,V235))),1,0)</f>
        <v>0</v>
      </c>
      <c r="X235" s="7">
        <f>IF(V235="",1,0)</f>
        <v>0</v>
      </c>
      <c r="Y235" s="7">
        <f>IF(TRIM(Raw_Bookings!L235&amp;"")="",1,0)</f>
        <v>0</v>
      </c>
      <c r="Z235" s="7">
        <f>IF(AND(ISTEXT(Raw_Bookings!L235),Y235=0),1,0)</f>
        <v>0</v>
      </c>
      <c r="AA235" s="7">
        <f>IF(Z235=1,IFERROR(VALUE(SUBSTITUTE(SUBSTITUTE(SUBSTITUTE(SUBSTITUTE(SUBSTITUTE(UPPER(Raw_Bookings!L235),"RS.",""),"₹",""),",","")," ",""),"INR","")),""),"")</f>
        <v/>
      </c>
      <c r="AB235" s="7">
        <f>IF(AND(Z235=1,ISNUMBER(AA235)),1,0)</f>
        <v>0</v>
      </c>
      <c r="AC235" s="7">
        <f>IF(B235=1,0,IF(NOT(ISNUMBER(Raw_Bookings!J235)),1,IF(Raw_Bookings!J235&lt;&gt;COUNTIFS(Work_Passengers!$B$2:$B$1336,Raw_Bookings!A235,Work_Passengers!$C$2:$C$1336,0),1,0)))</f>
        <v>0</v>
      </c>
    </row>
    <row r="236" spans="1:29">
      <c r="A236" s="7">
        <f>Raw_Bookings!A236</f>
        <v>1076797</v>
      </c>
      <c r="B236" s="7">
        <f>IF(COUNTIF(Raw_Bookings!$A$2:A236,Raw_Bookings!A236)&gt;1,1,0)</f>
        <v>0</v>
      </c>
      <c r="C236" s="7" t="str">
        <f>Raw_Bookings!D236&amp;""</f>
        <v>2025-05-26</v>
      </c>
      <c r="D236" s="7" t="str">
        <f>IF(AND(LEN(C236)=10,MID(C236,5,1)="-",MID(C236,8,1)="-"),"ISO",IF(AND(LEN(C236)=10,MID(C236,3,1)="-",MID(C236,6,1)="-"),"DMY","OTHER"))</f>
        <v>ISO</v>
      </c>
      <c r="E236" s="7">
        <f>IF(D236="ISO",VALUE(LEFT(C236,4)),IF(D236="DMY",VALUE(RIGHT(C236,4)),0))</f>
        <v>2025</v>
      </c>
      <c r="F236" s="7">
        <f>IF(D236="ISO",VALUE(MID(C236,6,2)),IF(D236="DMY",VALUE(MID(C236,4,2)),0))</f>
        <v>5</v>
      </c>
      <c r="G236" s="7">
        <f>IF(D236="ISO",VALUE(RIGHT(C236,2)),IF(D236="DMY",VALUE(LEFT(C236,2)),0))</f>
        <v>26</v>
      </c>
      <c r="H236" s="7">
        <f>IF(AND(D236&lt;&gt;"OTHER",F236&gt;=1,F236&lt;=12,G236&gt;=1,G236&lt;=31),IF(AND(MONTH(DATE(E236,F236,G236))=F236,DAY(DATE(E236,F236,G236))=G236),1,0),0)</f>
        <v>1</v>
      </c>
      <c r="I236" s="7">
        <f>IF(H236=1,DATE(E236,F236,G236),"")</f>
        <v>45803.0</v>
      </c>
      <c r="J236" s="7">
        <f>IF(AND(D236="DMY",H236=1),1,0)</f>
        <v>0</v>
      </c>
      <c r="K236" s="7">
        <f>IF(H236=0,1,0)</f>
        <v>0</v>
      </c>
      <c r="L236" s="7">
        <f>IF(TRIM(Raw_Bookings!I236&amp;"")="",1,0)</f>
        <v>0</v>
      </c>
      <c r="M236" s="7">
        <f>IF(L236=1,"",DATEVALUE(LEFT(Raw_Bookings!I236,10))+TIMEVALUE(MID(Raw_Bookings!I236,12,8)))</f>
        <v>45791.304085648146</v>
      </c>
      <c r="N236" s="7">
        <f>IF(AND(L236=0,H236=1),IF(INT(M236)&gt;I236,1,0),0)</f>
        <v>0</v>
      </c>
      <c r="O236" s="7" t="str">
        <f>UPPER(TRIM(Raw_Bookings!F236))</f>
        <v>AHM</v>
      </c>
      <c r="P236" s="7" t="str">
        <f>UPPER(TRIM(Raw_Bookings!G236))</f>
        <v>VAR</v>
      </c>
      <c r="Q236" s="7">
        <f>IF(COUNTIF(Lookup_Stations!$A$2:$A$33,O236)&gt;0,1,0)</f>
        <v>1</v>
      </c>
      <c r="R236" s="7">
        <f>IF(COUNTIF(Lookup_Stations!$A$2:$A$33,P236)&gt;0,1,0)</f>
        <v>1</v>
      </c>
      <c r="S236" s="7">
        <f>IF(OR(AND(Q236=1,NOT(EXACT(Raw_Bookings!F236,O236))),AND(R236=1,NOT(EXACT(Raw_Bookings!G236,P236)))),1,0)</f>
        <v>0</v>
      </c>
      <c r="T236" s="7">
        <f>IF(OR(Q236=0,R236=0),1,0)</f>
        <v>0</v>
      </c>
      <c r="U236" s="7">
        <f>IF(TRIM(Raw_Bookings!E236&amp;"")="",1,0)</f>
        <v>0</v>
      </c>
      <c r="V236" s="7" t="str">
        <f>IF(SUMPRODUCT(--(Lookup_Status!$A$2:$A$13=LOWER(TRIM(Raw_Bookings!K236))))=0,"",INDEX(Lookup_Status!$B$2:$B$13,SUMPRODUCT((Lookup_Status!$A$2:$A$13=LOWER(TRIM(Raw_Bookings!K236)))*(ROW(Lookup_Status!$A$2:$A$13)-1))))</f>
        <v>RAC</v>
      </c>
      <c r="W236" s="7">
        <f>IF(AND(V236&lt;&gt;"",NOT(EXACT(Raw_Bookings!K236,V236))),1,0)</f>
        <v>0</v>
      </c>
      <c r="X236" s="7">
        <f>IF(V236="",1,0)</f>
        <v>0</v>
      </c>
      <c r="Y236" s="7">
        <f>IF(TRIM(Raw_Bookings!L236&amp;"")="",1,0)</f>
        <v>0</v>
      </c>
      <c r="Z236" s="7">
        <f>IF(AND(ISTEXT(Raw_Bookings!L236),Y236=0),1,0)</f>
        <v>0</v>
      </c>
      <c r="AA236" s="7">
        <f>IF(Z236=1,IFERROR(VALUE(SUBSTITUTE(SUBSTITUTE(SUBSTITUTE(SUBSTITUTE(SUBSTITUTE(UPPER(Raw_Bookings!L236),"RS.",""),"₹",""),",","")," ",""),"INR","")),""),"")</f>
        <v/>
      </c>
      <c r="AB236" s="7">
        <f>IF(AND(Z236=1,ISNUMBER(AA236)),1,0)</f>
        <v>0</v>
      </c>
      <c r="AC236" s="7">
        <f>IF(B236=1,0,IF(NOT(ISNUMBER(Raw_Bookings!J236)),1,IF(Raw_Bookings!J236&lt;&gt;COUNTIFS(Work_Passengers!$B$2:$B$1336,Raw_Bookings!A236,Work_Passengers!$C$2:$C$1336,0),1,0)))</f>
        <v>0</v>
      </c>
    </row>
    <row r="237" spans="1:29">
      <c r="A237" s="7">
        <f>Raw_Bookings!A237</f>
        <v>1076911</v>
      </c>
      <c r="B237" s="7">
        <f>IF(COUNTIF(Raw_Bookings!$A$2:A237,Raw_Bookings!A237)&gt;1,1,0)</f>
        <v>0</v>
      </c>
      <c r="C237" s="7" t="str">
        <f>Raw_Bookings!D237&amp;""</f>
        <v>2025-07-06</v>
      </c>
      <c r="D237" s="7" t="str">
        <f>IF(AND(LEN(C237)=10,MID(C237,5,1)="-",MID(C237,8,1)="-"),"ISO",IF(AND(LEN(C237)=10,MID(C237,3,1)="-",MID(C237,6,1)="-"),"DMY","OTHER"))</f>
        <v>ISO</v>
      </c>
      <c r="E237" s="7">
        <f>IF(D237="ISO",VALUE(LEFT(C237,4)),IF(D237="DMY",VALUE(RIGHT(C237,4)),0))</f>
        <v>2025</v>
      </c>
      <c r="F237" s="7">
        <f>IF(D237="ISO",VALUE(MID(C237,6,2)),IF(D237="DMY",VALUE(MID(C237,4,2)),0))</f>
        <v>7</v>
      </c>
      <c r="G237" s="7">
        <f>IF(D237="ISO",VALUE(RIGHT(C237,2)),IF(D237="DMY",VALUE(LEFT(C237,2)),0))</f>
        <v>6</v>
      </c>
      <c r="H237" s="7">
        <f>IF(AND(D237&lt;&gt;"OTHER",F237&gt;=1,F237&lt;=12,G237&gt;=1,G237&lt;=31),IF(AND(MONTH(DATE(E237,F237,G237))=F237,DAY(DATE(E237,F237,G237))=G237),1,0),0)</f>
        <v>1</v>
      </c>
      <c r="I237" s="7">
        <f>IF(H237=1,DATE(E237,F237,G237),"")</f>
        <v>45844.0</v>
      </c>
      <c r="J237" s="7">
        <f>IF(AND(D237="DMY",H237=1),1,0)</f>
        <v>0</v>
      </c>
      <c r="K237" s="7">
        <f>IF(H237=0,1,0)</f>
        <v>0</v>
      </c>
      <c r="L237" s="7">
        <f>IF(TRIM(Raw_Bookings!I237&amp;"")="",1,0)</f>
        <v>0</v>
      </c>
      <c r="M237" s="7">
        <f>IF(L237=1,"",DATEVALUE(LEFT(Raw_Bookings!I237,10))+TIMEVALUE(MID(Raw_Bookings!I237,12,8)))</f>
        <v>45791.61849537037</v>
      </c>
      <c r="N237" s="7">
        <f>IF(AND(L237=0,H237=1),IF(INT(M237)&gt;I237,1,0),0)</f>
        <v>0</v>
      </c>
      <c r="O237" s="7" t="str">
        <f>UPPER(TRIM(Raw_Bookings!F237))</f>
        <v>VIS</v>
      </c>
      <c r="P237" s="7" t="str">
        <f>UPPER(TRIM(Raw_Bookings!G237))</f>
        <v>CHA</v>
      </c>
      <c r="Q237" s="7">
        <f>IF(COUNTIF(Lookup_Stations!$A$2:$A$33,O237)&gt;0,1,0)</f>
        <v>1</v>
      </c>
      <c r="R237" s="7">
        <f>IF(COUNTIF(Lookup_Stations!$A$2:$A$33,P237)&gt;0,1,0)</f>
        <v>1</v>
      </c>
      <c r="S237" s="7">
        <f>IF(OR(AND(Q237=1,NOT(EXACT(Raw_Bookings!F237,O237))),AND(R237=1,NOT(EXACT(Raw_Bookings!G237,P237)))),1,0)</f>
        <v>0</v>
      </c>
      <c r="T237" s="7">
        <f>IF(OR(Q237=0,R237=0),1,0)</f>
        <v>0</v>
      </c>
      <c r="U237" s="7">
        <f>IF(TRIM(Raw_Bookings!E237&amp;"")="",1,0)</f>
        <v>0</v>
      </c>
      <c r="V237" s="7" t="str">
        <f>IF(SUMPRODUCT(--(Lookup_Status!$A$2:$A$13=LOWER(TRIM(Raw_Bookings!K237))))=0,"",INDEX(Lookup_Status!$B$2:$B$13,SUMPRODUCT((Lookup_Status!$A$2:$A$13=LOWER(TRIM(Raw_Bookings!K237)))*(ROW(Lookup_Status!$A$2:$A$13)-1))))</f>
        <v>Confirmed</v>
      </c>
      <c r="W237" s="7">
        <f>IF(AND(V237&lt;&gt;"",NOT(EXACT(Raw_Bookings!K237,V237))),1,0)</f>
        <v>0</v>
      </c>
      <c r="X237" s="7">
        <f>IF(V237="",1,0)</f>
        <v>0</v>
      </c>
      <c r="Y237" s="7">
        <f>IF(TRIM(Raw_Bookings!L237&amp;"")="",1,0)</f>
        <v>0</v>
      </c>
      <c r="Z237" s="7">
        <f>IF(AND(ISTEXT(Raw_Bookings!L237),Y237=0),1,0)</f>
        <v>0</v>
      </c>
      <c r="AA237" s="7">
        <f>IF(Z237=1,IFERROR(VALUE(SUBSTITUTE(SUBSTITUTE(SUBSTITUTE(SUBSTITUTE(SUBSTITUTE(UPPER(Raw_Bookings!L237),"RS.",""),"₹",""),",","")," ",""),"INR","")),""),"")</f>
        <v/>
      </c>
      <c r="AB237" s="7">
        <f>IF(AND(Z237=1,ISNUMBER(AA237)),1,0)</f>
        <v>0</v>
      </c>
      <c r="AC237" s="7">
        <f>IF(B237=1,0,IF(NOT(ISNUMBER(Raw_Bookings!J237)),1,IF(Raw_Bookings!J237&lt;&gt;COUNTIFS(Work_Passengers!$B$2:$B$1336,Raw_Bookings!A237,Work_Passengers!$C$2:$C$1336,0),1,0)))</f>
        <v>0</v>
      </c>
    </row>
    <row r="238" spans="1:29">
      <c r="A238" s="7">
        <f>Raw_Bookings!A238</f>
        <v>1077889</v>
      </c>
      <c r="B238" s="7">
        <f>IF(COUNTIF(Raw_Bookings!$A$2:A238,Raw_Bookings!A238)&gt;1,1,0)</f>
        <v>0</v>
      </c>
      <c r="C238" s="7" t="str">
        <f>Raw_Bookings!D238&amp;""</f>
        <v>2025-05-26</v>
      </c>
      <c r="D238" s="7" t="str">
        <f>IF(AND(LEN(C238)=10,MID(C238,5,1)="-",MID(C238,8,1)="-"),"ISO",IF(AND(LEN(C238)=10,MID(C238,3,1)="-",MID(C238,6,1)="-"),"DMY","OTHER"))</f>
        <v>ISO</v>
      </c>
      <c r="E238" s="7">
        <f>IF(D238="ISO",VALUE(LEFT(C238,4)),IF(D238="DMY",VALUE(RIGHT(C238,4)),0))</f>
        <v>2025</v>
      </c>
      <c r="F238" s="7">
        <f>IF(D238="ISO",VALUE(MID(C238,6,2)),IF(D238="DMY",VALUE(MID(C238,4,2)),0))</f>
        <v>5</v>
      </c>
      <c r="G238" s="7">
        <f>IF(D238="ISO",VALUE(RIGHT(C238,2)),IF(D238="DMY",VALUE(LEFT(C238,2)),0))</f>
        <v>26</v>
      </c>
      <c r="H238" s="7">
        <f>IF(AND(D238&lt;&gt;"OTHER",F238&gt;=1,F238&lt;=12,G238&gt;=1,G238&lt;=31),IF(AND(MONTH(DATE(E238,F238,G238))=F238,DAY(DATE(E238,F238,G238))=G238),1,0),0)</f>
        <v>1</v>
      </c>
      <c r="I238" s="7">
        <f>IF(H238=1,DATE(E238,F238,G238),"")</f>
        <v>45803.0</v>
      </c>
      <c r="J238" s="7">
        <f>IF(AND(D238="DMY",H238=1),1,0)</f>
        <v>0</v>
      </c>
      <c r="K238" s="7">
        <f>IF(H238=0,1,0)</f>
        <v>0</v>
      </c>
      <c r="L238" s="7">
        <f>IF(TRIM(Raw_Bookings!I238&amp;"")="",1,0)</f>
        <v>0</v>
      </c>
      <c r="M238" s="7">
        <f>IF(L238=1,"",DATEVALUE(LEFT(Raw_Bookings!I238,10))+TIMEVALUE(MID(Raw_Bookings!I238,12,8)))</f>
        <v>45795.307071759256</v>
      </c>
      <c r="N238" s="7">
        <f>IF(AND(L238=0,H238=1),IF(INT(M238)&gt;I238,1,0),0)</f>
        <v>0</v>
      </c>
      <c r="O238" s="7" t="str">
        <f>UPPER(TRIM(Raw_Bookings!F238))</f>
        <v>DEH</v>
      </c>
      <c r="P238" s="7" t="str">
        <f>UPPER(TRIM(Raw_Bookings!G238))</f>
        <v>PUN</v>
      </c>
      <c r="Q238" s="7">
        <f>IF(COUNTIF(Lookup_Stations!$A$2:$A$33,O238)&gt;0,1,0)</f>
        <v>1</v>
      </c>
      <c r="R238" s="7">
        <f>IF(COUNTIF(Lookup_Stations!$A$2:$A$33,P238)&gt;0,1,0)</f>
        <v>1</v>
      </c>
      <c r="S238" s="7">
        <f>IF(OR(AND(Q238=1,NOT(EXACT(Raw_Bookings!F238,O238))),AND(R238=1,NOT(EXACT(Raw_Bookings!G238,P238)))),1,0)</f>
        <v>0</v>
      </c>
      <c r="T238" s="7">
        <f>IF(OR(Q238=0,R238=0),1,0)</f>
        <v>0</v>
      </c>
      <c r="U238" s="7">
        <f>IF(TRIM(Raw_Bookings!E238&amp;"")="",1,0)</f>
        <v>0</v>
      </c>
      <c r="V238" s="7" t="str">
        <f>IF(SUMPRODUCT(--(Lookup_Status!$A$2:$A$13=LOWER(TRIM(Raw_Bookings!K238))))=0,"",INDEX(Lookup_Status!$B$2:$B$13,SUMPRODUCT((Lookup_Status!$A$2:$A$13=LOWER(TRIM(Raw_Bookings!K238)))*(ROW(Lookup_Status!$A$2:$A$13)-1))))</f>
        <v>Confirmed</v>
      </c>
      <c r="W238" s="7">
        <f>IF(AND(V238&lt;&gt;"",NOT(EXACT(Raw_Bookings!K238,V238))),1,0)</f>
        <v>0</v>
      </c>
      <c r="X238" s="7">
        <f>IF(V238="",1,0)</f>
        <v>0</v>
      </c>
      <c r="Y238" s="7">
        <f>IF(TRIM(Raw_Bookings!L238&amp;"")="",1,0)</f>
        <v>0</v>
      </c>
      <c r="Z238" s="7">
        <f>IF(AND(ISTEXT(Raw_Bookings!L238),Y238=0),1,0)</f>
        <v>0</v>
      </c>
      <c r="AA238" s="7">
        <f>IF(Z238=1,IFERROR(VALUE(SUBSTITUTE(SUBSTITUTE(SUBSTITUTE(SUBSTITUTE(SUBSTITUTE(UPPER(Raw_Bookings!L238),"RS.",""),"₹",""),",","")," ",""),"INR","")),""),"")</f>
        <v/>
      </c>
      <c r="AB238" s="7">
        <f>IF(AND(Z238=1,ISNUMBER(AA238)),1,0)</f>
        <v>0</v>
      </c>
      <c r="AC238" s="7">
        <f>IF(B238=1,0,IF(NOT(ISNUMBER(Raw_Bookings!J238)),1,IF(Raw_Bookings!J238&lt;&gt;COUNTIFS(Work_Passengers!$B$2:$B$1336,Raw_Bookings!A238,Work_Passengers!$C$2:$C$1336,0),1,0)))</f>
        <v>0</v>
      </c>
    </row>
    <row r="239" spans="1:29">
      <c r="A239" s="7">
        <f>Raw_Bookings!A239</f>
        <v>1077975</v>
      </c>
      <c r="B239" s="7">
        <f>IF(COUNTIF(Raw_Bookings!$A$2:A239,Raw_Bookings!A239)&gt;1,1,0)</f>
        <v>0</v>
      </c>
      <c r="C239" s="7" t="str">
        <f>Raw_Bookings!D239&amp;""</f>
        <v>2025-05-26</v>
      </c>
      <c r="D239" s="7" t="str">
        <f>IF(AND(LEN(C239)=10,MID(C239,5,1)="-",MID(C239,8,1)="-"),"ISO",IF(AND(LEN(C239)=10,MID(C239,3,1)="-",MID(C239,6,1)="-"),"DMY","OTHER"))</f>
        <v>ISO</v>
      </c>
      <c r="E239" s="7">
        <f>IF(D239="ISO",VALUE(LEFT(C239,4)),IF(D239="DMY",VALUE(RIGHT(C239,4)),0))</f>
        <v>2025</v>
      </c>
      <c r="F239" s="7">
        <f>IF(D239="ISO",VALUE(MID(C239,6,2)),IF(D239="DMY",VALUE(MID(C239,4,2)),0))</f>
        <v>5</v>
      </c>
      <c r="G239" s="7">
        <f>IF(D239="ISO",VALUE(RIGHT(C239,2)),IF(D239="DMY",VALUE(LEFT(C239,2)),0))</f>
        <v>26</v>
      </c>
      <c r="H239" s="7">
        <f>IF(AND(D239&lt;&gt;"OTHER",F239&gt;=1,F239&lt;=12,G239&gt;=1,G239&lt;=31),IF(AND(MONTH(DATE(E239,F239,G239))=F239,DAY(DATE(E239,F239,G239))=G239),1,0),0)</f>
        <v>1</v>
      </c>
      <c r="I239" s="7">
        <f>IF(H239=1,DATE(E239,F239,G239),"")</f>
        <v>45803.0</v>
      </c>
      <c r="J239" s="7">
        <f>IF(AND(D239="DMY",H239=1),1,0)</f>
        <v>0</v>
      </c>
      <c r="K239" s="7">
        <f>IF(H239=0,1,0)</f>
        <v>0</v>
      </c>
      <c r="L239" s="7">
        <f>IF(TRIM(Raw_Bookings!I239&amp;"")="",1,0)</f>
        <v>0</v>
      </c>
      <c r="M239" s="7">
        <f>IF(L239=1,"",DATEVALUE(LEFT(Raw_Bookings!I239,10))+TIMEVALUE(MID(Raw_Bookings!I239,12,8)))</f>
        <v>45795.59673611111</v>
      </c>
      <c r="N239" s="7">
        <f>IF(AND(L239=0,H239=1),IF(INT(M239)&gt;I239,1,0),0)</f>
        <v>0</v>
      </c>
      <c r="O239" s="7" t="str">
        <f>UPPER(TRIM(Raw_Bookings!F239))</f>
        <v>AHM</v>
      </c>
      <c r="P239" s="7" t="str">
        <f>UPPER(TRIM(Raw_Bookings!G239))</f>
        <v>VAR</v>
      </c>
      <c r="Q239" s="7">
        <f>IF(COUNTIF(Lookup_Stations!$A$2:$A$33,O239)&gt;0,1,0)</f>
        <v>1</v>
      </c>
      <c r="R239" s="7">
        <f>IF(COUNTIF(Lookup_Stations!$A$2:$A$33,P239)&gt;0,1,0)</f>
        <v>1</v>
      </c>
      <c r="S239" s="7">
        <f>IF(OR(AND(Q239=1,NOT(EXACT(Raw_Bookings!F239,O239))),AND(R239=1,NOT(EXACT(Raw_Bookings!G239,P239)))),1,0)</f>
        <v>0</v>
      </c>
      <c r="T239" s="7">
        <f>IF(OR(Q239=0,R239=0),1,0)</f>
        <v>0</v>
      </c>
      <c r="U239" s="7">
        <f>IF(TRIM(Raw_Bookings!E239&amp;"")="",1,0)</f>
        <v>0</v>
      </c>
      <c r="V239" s="7" t="str">
        <f>IF(SUMPRODUCT(--(Lookup_Status!$A$2:$A$13=LOWER(TRIM(Raw_Bookings!K239))))=0,"",INDEX(Lookup_Status!$B$2:$B$13,SUMPRODUCT((Lookup_Status!$A$2:$A$13=LOWER(TRIM(Raw_Bookings!K239)))*(ROW(Lookup_Status!$A$2:$A$13)-1))))</f>
        <v>Waitlisted</v>
      </c>
      <c r="W239" s="7">
        <f>IF(AND(V239&lt;&gt;"",NOT(EXACT(Raw_Bookings!K239,V239))),1,0)</f>
        <v>0</v>
      </c>
      <c r="X239" s="7">
        <f>IF(V239="",1,0)</f>
        <v>0</v>
      </c>
      <c r="Y239" s="7">
        <f>IF(TRIM(Raw_Bookings!L239&amp;"")="",1,0)</f>
        <v>0</v>
      </c>
      <c r="Z239" s="7">
        <f>IF(AND(ISTEXT(Raw_Bookings!L239),Y239=0),1,0)</f>
        <v>0</v>
      </c>
      <c r="AA239" s="7">
        <f>IF(Z239=1,IFERROR(VALUE(SUBSTITUTE(SUBSTITUTE(SUBSTITUTE(SUBSTITUTE(SUBSTITUTE(UPPER(Raw_Bookings!L239),"RS.",""),"₹",""),",","")," ",""),"INR","")),""),"")</f>
        <v/>
      </c>
      <c r="AB239" s="7">
        <f>IF(AND(Z239=1,ISNUMBER(AA239)),1,0)</f>
        <v>0</v>
      </c>
      <c r="AC239" s="7">
        <f>IF(B239=1,0,IF(NOT(ISNUMBER(Raw_Bookings!J239)),1,IF(Raw_Bookings!J239&lt;&gt;COUNTIFS(Work_Passengers!$B$2:$B$1336,Raw_Bookings!A239,Work_Passengers!$C$2:$C$1336,0),1,0)))</f>
        <v>0</v>
      </c>
    </row>
    <row r="240" spans="1:29">
      <c r="A240" s="7">
        <f>Raw_Bookings!A240</f>
        <v>1078000</v>
      </c>
      <c r="B240" s="7">
        <f>IF(COUNTIF(Raw_Bookings!$A$2:A240,Raw_Bookings!A240)&gt;1,1,0)</f>
        <v>0</v>
      </c>
      <c r="C240" s="7" t="str">
        <f>Raw_Bookings!D240&amp;""</f>
        <v>2025-06-09</v>
      </c>
      <c r="D240" s="7" t="str">
        <f>IF(AND(LEN(C240)=10,MID(C240,5,1)="-",MID(C240,8,1)="-"),"ISO",IF(AND(LEN(C240)=10,MID(C240,3,1)="-",MID(C240,6,1)="-"),"DMY","OTHER"))</f>
        <v>ISO</v>
      </c>
      <c r="E240" s="7">
        <f>IF(D240="ISO",VALUE(LEFT(C240,4)),IF(D240="DMY",VALUE(RIGHT(C240,4)),0))</f>
        <v>2025</v>
      </c>
      <c r="F240" s="7">
        <f>IF(D240="ISO",VALUE(MID(C240,6,2)),IF(D240="DMY",VALUE(MID(C240,4,2)),0))</f>
        <v>6</v>
      </c>
      <c r="G240" s="7">
        <f>IF(D240="ISO",VALUE(RIGHT(C240,2)),IF(D240="DMY",VALUE(LEFT(C240,2)),0))</f>
        <v>9</v>
      </c>
      <c r="H240" s="7">
        <f>IF(AND(D240&lt;&gt;"OTHER",F240&gt;=1,F240&lt;=12,G240&gt;=1,G240&lt;=31),IF(AND(MONTH(DATE(E240,F240,G240))=F240,DAY(DATE(E240,F240,G240))=G240),1,0),0)</f>
        <v>1</v>
      </c>
      <c r="I240" s="7">
        <f>IF(H240=1,DATE(E240,F240,G240),"")</f>
        <v>45817.0</v>
      </c>
      <c r="J240" s="7">
        <f>IF(AND(D240="DMY",H240=1),1,0)</f>
        <v>0</v>
      </c>
      <c r="K240" s="7">
        <f>IF(H240=0,1,0)</f>
        <v>0</v>
      </c>
      <c r="L240" s="7">
        <f>IF(TRIM(Raw_Bookings!I240&amp;"")="",1,0)</f>
        <v>0</v>
      </c>
      <c r="M240" s="7">
        <f>IF(L240=1,"",DATEVALUE(LEFT(Raw_Bookings!I240,10))+TIMEVALUE(MID(Raw_Bookings!I240,12,8)))</f>
        <v>45795.64859953704</v>
      </c>
      <c r="N240" s="7">
        <f>IF(AND(L240=0,H240=1),IF(INT(M240)&gt;I240,1,0),0)</f>
        <v>0</v>
      </c>
      <c r="O240" s="7" t="str">
        <f>UPPER(TRIM(Raw_Bookings!F240))</f>
        <v>KOL</v>
      </c>
      <c r="P240" s="7" t="str">
        <f>UPPER(TRIM(Raw_Bookings!G240))</f>
        <v>HYD</v>
      </c>
      <c r="Q240" s="7">
        <f>IF(COUNTIF(Lookup_Stations!$A$2:$A$33,O240)&gt;0,1,0)</f>
        <v>1</v>
      </c>
      <c r="R240" s="7">
        <f>IF(COUNTIF(Lookup_Stations!$A$2:$A$33,P240)&gt;0,1,0)</f>
        <v>1</v>
      </c>
      <c r="S240" s="7">
        <f>IF(OR(AND(Q240=1,NOT(EXACT(Raw_Bookings!F240,O240))),AND(R240=1,NOT(EXACT(Raw_Bookings!G240,P240)))),1,0)</f>
        <v>0</v>
      </c>
      <c r="T240" s="7">
        <f>IF(OR(Q240=0,R240=0),1,0)</f>
        <v>0</v>
      </c>
      <c r="U240" s="7">
        <f>IF(TRIM(Raw_Bookings!E240&amp;"")="",1,0)</f>
        <v>0</v>
      </c>
      <c r="V240" s="7" t="str">
        <f>IF(SUMPRODUCT(--(Lookup_Status!$A$2:$A$13=LOWER(TRIM(Raw_Bookings!K240))))=0,"",INDEX(Lookup_Status!$B$2:$B$13,SUMPRODUCT((Lookup_Status!$A$2:$A$13=LOWER(TRIM(Raw_Bookings!K240)))*(ROW(Lookup_Status!$A$2:$A$13)-1))))</f>
        <v>RAC</v>
      </c>
      <c r="W240" s="7">
        <f>IF(AND(V240&lt;&gt;"",NOT(EXACT(Raw_Bookings!K240,V240))),1,0)</f>
        <v>0</v>
      </c>
      <c r="X240" s="7">
        <f>IF(V240="",1,0)</f>
        <v>0</v>
      </c>
      <c r="Y240" s="7">
        <f>IF(TRIM(Raw_Bookings!L240&amp;"")="",1,0)</f>
        <v>0</v>
      </c>
      <c r="Z240" s="7">
        <f>IF(AND(ISTEXT(Raw_Bookings!L240),Y240=0),1,0)</f>
        <v>0</v>
      </c>
      <c r="AA240" s="7">
        <f>IF(Z240=1,IFERROR(VALUE(SUBSTITUTE(SUBSTITUTE(SUBSTITUTE(SUBSTITUTE(SUBSTITUTE(UPPER(Raw_Bookings!L240),"RS.",""),"₹",""),",","")," ",""),"INR","")),""),"")</f>
        <v/>
      </c>
      <c r="AB240" s="7">
        <f>IF(AND(Z240=1,ISNUMBER(AA240)),1,0)</f>
        <v>0</v>
      </c>
      <c r="AC240" s="7">
        <f>IF(B240=1,0,IF(NOT(ISNUMBER(Raw_Bookings!J240)),1,IF(Raw_Bookings!J240&lt;&gt;COUNTIFS(Work_Passengers!$B$2:$B$1336,Raw_Bookings!A240,Work_Passengers!$C$2:$C$1336,0),1,0)))</f>
        <v>0</v>
      </c>
    </row>
    <row r="241" spans="1:29">
      <c r="A241" s="7">
        <f>Raw_Bookings!A241</f>
        <v>1078035</v>
      </c>
      <c r="B241" s="7">
        <f>IF(COUNTIF(Raw_Bookings!$A$2:A241,Raw_Bookings!A241)&gt;1,1,0)</f>
        <v>0</v>
      </c>
      <c r="C241" s="7" t="str">
        <f>Raw_Bookings!D241&amp;""</f>
        <v>2025-09-15</v>
      </c>
      <c r="D241" s="7" t="str">
        <f>IF(AND(LEN(C241)=10,MID(C241,5,1)="-",MID(C241,8,1)="-"),"ISO",IF(AND(LEN(C241)=10,MID(C241,3,1)="-",MID(C241,6,1)="-"),"DMY","OTHER"))</f>
        <v>ISO</v>
      </c>
      <c r="E241" s="7">
        <f>IF(D241="ISO",VALUE(LEFT(C241,4)),IF(D241="DMY",VALUE(RIGHT(C241,4)),0))</f>
        <v>2025</v>
      </c>
      <c r="F241" s="7">
        <f>IF(D241="ISO",VALUE(MID(C241,6,2)),IF(D241="DMY",VALUE(MID(C241,4,2)),0))</f>
        <v>9</v>
      </c>
      <c r="G241" s="7">
        <f>IF(D241="ISO",VALUE(RIGHT(C241,2)),IF(D241="DMY",VALUE(LEFT(C241,2)),0))</f>
        <v>15</v>
      </c>
      <c r="H241" s="7">
        <f>IF(AND(D241&lt;&gt;"OTHER",F241&gt;=1,F241&lt;=12,G241&gt;=1,G241&lt;=31),IF(AND(MONTH(DATE(E241,F241,G241))=F241,DAY(DATE(E241,F241,G241))=G241),1,0),0)</f>
        <v>1</v>
      </c>
      <c r="I241" s="7">
        <f>IF(H241=1,DATE(E241,F241,G241),"")</f>
        <v>45915.0</v>
      </c>
      <c r="J241" s="7">
        <f>IF(AND(D241="DMY",H241=1),1,0)</f>
        <v>0</v>
      </c>
      <c r="K241" s="7">
        <f>IF(H241=0,1,0)</f>
        <v>0</v>
      </c>
      <c r="L241" s="7">
        <f>IF(TRIM(Raw_Bookings!I241&amp;"")="",1,0)</f>
        <v>0</v>
      </c>
      <c r="M241" s="7">
        <f>IF(L241=1,"",DATEVALUE(LEFT(Raw_Bookings!I241,10))+TIMEVALUE(MID(Raw_Bookings!I241,12,8)))</f>
        <v>45795.741747685184</v>
      </c>
      <c r="N241" s="7">
        <f>IF(AND(L241=0,H241=1),IF(INT(M241)&gt;I241,1,0),0)</f>
        <v>0</v>
      </c>
      <c r="O241" s="7" t="str">
        <f>UPPER(TRIM(Raw_Bookings!F241))</f>
        <v>LUC</v>
      </c>
      <c r="P241" s="7" t="str">
        <f>UPPER(TRIM(Raw_Bookings!G241))</f>
        <v>MUM</v>
      </c>
      <c r="Q241" s="7">
        <f>IF(COUNTIF(Lookup_Stations!$A$2:$A$33,O241)&gt;0,1,0)</f>
        <v>1</v>
      </c>
      <c r="R241" s="7">
        <f>IF(COUNTIF(Lookup_Stations!$A$2:$A$33,P241)&gt;0,1,0)</f>
        <v>1</v>
      </c>
      <c r="S241" s="7">
        <f>IF(OR(AND(Q241=1,NOT(EXACT(Raw_Bookings!F241,O241))),AND(R241=1,NOT(EXACT(Raw_Bookings!G241,P241)))),1,0)</f>
        <v>0</v>
      </c>
      <c r="T241" s="7">
        <f>IF(OR(Q241=0,R241=0),1,0)</f>
        <v>0</v>
      </c>
      <c r="U241" s="7">
        <f>IF(TRIM(Raw_Bookings!E241&amp;"")="",1,0)</f>
        <v>0</v>
      </c>
      <c r="V241" s="7" t="str">
        <f>IF(SUMPRODUCT(--(Lookup_Status!$A$2:$A$13=LOWER(TRIM(Raw_Bookings!K241))))=0,"",INDEX(Lookup_Status!$B$2:$B$13,SUMPRODUCT((Lookup_Status!$A$2:$A$13=LOWER(TRIM(Raw_Bookings!K241)))*(ROW(Lookup_Status!$A$2:$A$13)-1))))</f>
        <v>Confirmed</v>
      </c>
      <c r="W241" s="7">
        <f>IF(AND(V241&lt;&gt;"",NOT(EXACT(Raw_Bookings!K241,V241))),1,0)</f>
        <v>0</v>
      </c>
      <c r="X241" s="7">
        <f>IF(V241="",1,0)</f>
        <v>0</v>
      </c>
      <c r="Y241" s="7">
        <f>IF(TRIM(Raw_Bookings!L241&amp;"")="",1,0)</f>
        <v>1</v>
      </c>
      <c r="Z241" s="7">
        <f>IF(AND(ISTEXT(Raw_Bookings!L241),Y241=0),1,0)</f>
        <v>0</v>
      </c>
      <c r="AA241" s="7">
        <f>IF(Z241=1,IFERROR(VALUE(SUBSTITUTE(SUBSTITUTE(SUBSTITUTE(SUBSTITUTE(SUBSTITUTE(UPPER(Raw_Bookings!L241),"RS.",""),"₹",""),",","")," ",""),"INR","")),""),"")</f>
        <v/>
      </c>
      <c r="AB241" s="7">
        <f>IF(AND(Z241=1,ISNUMBER(AA241)),1,0)</f>
        <v>0</v>
      </c>
      <c r="AC241" s="7">
        <f>IF(B241=1,0,IF(NOT(ISNUMBER(Raw_Bookings!J241)),1,IF(Raw_Bookings!J241&lt;&gt;COUNTIFS(Work_Passengers!$B$2:$B$1336,Raw_Bookings!A241,Work_Passengers!$C$2:$C$1336,0),1,0)))</f>
        <v>0</v>
      </c>
    </row>
    <row r="242" spans="1:29">
      <c r="A242" s="7">
        <f>Raw_Bookings!A242</f>
        <v>1078216</v>
      </c>
      <c r="B242" s="7">
        <f>IF(COUNTIF(Raw_Bookings!$A$2:A242,Raw_Bookings!A242)&gt;1,1,0)</f>
        <v>0</v>
      </c>
      <c r="C242" s="7" t="str">
        <f>Raw_Bookings!D242&amp;""</f>
        <v>2025-05-19</v>
      </c>
      <c r="D242" s="7" t="str">
        <f>IF(AND(LEN(C242)=10,MID(C242,5,1)="-",MID(C242,8,1)="-"),"ISO",IF(AND(LEN(C242)=10,MID(C242,3,1)="-",MID(C242,6,1)="-"),"DMY","OTHER"))</f>
        <v>ISO</v>
      </c>
      <c r="E242" s="7">
        <f>IF(D242="ISO",VALUE(LEFT(C242,4)),IF(D242="DMY",VALUE(RIGHT(C242,4)),0))</f>
        <v>2025</v>
      </c>
      <c r="F242" s="7">
        <f>IF(D242="ISO",VALUE(MID(C242,6,2)),IF(D242="DMY",VALUE(MID(C242,4,2)),0))</f>
        <v>5</v>
      </c>
      <c r="G242" s="7">
        <f>IF(D242="ISO",VALUE(RIGHT(C242,2)),IF(D242="DMY",VALUE(LEFT(C242,2)),0))</f>
        <v>19</v>
      </c>
      <c r="H242" s="7">
        <f>IF(AND(D242&lt;&gt;"OTHER",F242&gt;=1,F242&lt;=12,G242&gt;=1,G242&lt;=31),IF(AND(MONTH(DATE(E242,F242,G242))=F242,DAY(DATE(E242,F242,G242))=G242),1,0),0)</f>
        <v>1</v>
      </c>
      <c r="I242" s="7">
        <f>IF(H242=1,DATE(E242,F242,G242),"")</f>
        <v>45796.0</v>
      </c>
      <c r="J242" s="7">
        <f>IF(AND(D242="DMY",H242=1),1,0)</f>
        <v>0</v>
      </c>
      <c r="K242" s="7">
        <f>IF(H242=0,1,0)</f>
        <v>0</v>
      </c>
      <c r="L242" s="7">
        <f>IF(TRIM(Raw_Bookings!I242&amp;"")="",1,0)</f>
        <v>0</v>
      </c>
      <c r="M242" s="7">
        <f>IF(L242=1,"",DATEVALUE(LEFT(Raw_Bookings!I242,10))+TIMEVALUE(MID(Raw_Bookings!I242,12,8)))</f>
        <v>45796.43667824074</v>
      </c>
      <c r="N242" s="7">
        <f>IF(AND(L242=0,H242=1),IF(INT(M242)&gt;I242,1,0),0)</f>
        <v>0</v>
      </c>
      <c r="O242" s="7" t="str">
        <f>UPPER(TRIM(Raw_Bookings!F242))</f>
        <v>BHO</v>
      </c>
      <c r="P242" s="7" t="str">
        <f>UPPER(TRIM(Raw_Bookings!G242))</f>
        <v>GUW</v>
      </c>
      <c r="Q242" s="7">
        <f>IF(COUNTIF(Lookup_Stations!$A$2:$A$33,O242)&gt;0,1,0)</f>
        <v>1</v>
      </c>
      <c r="R242" s="7">
        <f>IF(COUNTIF(Lookup_Stations!$A$2:$A$33,P242)&gt;0,1,0)</f>
        <v>1</v>
      </c>
      <c r="S242" s="7">
        <f>IF(OR(AND(Q242=1,NOT(EXACT(Raw_Bookings!F242,O242))),AND(R242=1,NOT(EXACT(Raw_Bookings!G242,P242)))),1,0)</f>
        <v>0</v>
      </c>
      <c r="T242" s="7">
        <f>IF(OR(Q242=0,R242=0),1,0)</f>
        <v>0</v>
      </c>
      <c r="U242" s="7">
        <f>IF(TRIM(Raw_Bookings!E242&amp;"")="",1,0)</f>
        <v>0</v>
      </c>
      <c r="V242" s="7" t="str">
        <f>IF(SUMPRODUCT(--(Lookup_Status!$A$2:$A$13=LOWER(TRIM(Raw_Bookings!K242))))=0,"",INDEX(Lookup_Status!$B$2:$B$13,SUMPRODUCT((Lookup_Status!$A$2:$A$13=LOWER(TRIM(Raw_Bookings!K242)))*(ROW(Lookup_Status!$A$2:$A$13)-1))))</f>
        <v>Confirmed</v>
      </c>
      <c r="W242" s="7">
        <f>IF(AND(V242&lt;&gt;"",NOT(EXACT(Raw_Bookings!K242,V242))),1,0)</f>
        <v>0</v>
      </c>
      <c r="X242" s="7">
        <f>IF(V242="",1,0)</f>
        <v>0</v>
      </c>
      <c r="Y242" s="7">
        <f>IF(TRIM(Raw_Bookings!L242&amp;"")="",1,0)</f>
        <v>0</v>
      </c>
      <c r="Z242" s="7">
        <f>IF(AND(ISTEXT(Raw_Bookings!L242),Y242=0),1,0)</f>
        <v>0</v>
      </c>
      <c r="AA242" s="7">
        <f>IF(Z242=1,IFERROR(VALUE(SUBSTITUTE(SUBSTITUTE(SUBSTITUTE(SUBSTITUTE(SUBSTITUTE(UPPER(Raw_Bookings!L242),"RS.",""),"₹",""),",","")," ",""),"INR","")),""),"")</f>
        <v/>
      </c>
      <c r="AB242" s="7">
        <f>IF(AND(Z242=1,ISNUMBER(AA242)),1,0)</f>
        <v>0</v>
      </c>
      <c r="AC242" s="7">
        <f>IF(B242=1,0,IF(NOT(ISNUMBER(Raw_Bookings!J242)),1,IF(Raw_Bookings!J242&lt;&gt;COUNTIFS(Work_Passengers!$B$2:$B$1336,Raw_Bookings!A242,Work_Passengers!$C$2:$C$1336,0),1,0)))</f>
        <v>0</v>
      </c>
    </row>
    <row r="243" spans="1:29">
      <c r="A243" s="7">
        <f>Raw_Bookings!A243</f>
        <v>1078604</v>
      </c>
      <c r="B243" s="7">
        <f>IF(COUNTIF(Raw_Bookings!$A$2:A243,Raw_Bookings!A243)&gt;1,1,0)</f>
        <v>0</v>
      </c>
      <c r="C243" s="7" t="str">
        <f>Raw_Bookings!D243&amp;""</f>
        <v>2025-06-09</v>
      </c>
      <c r="D243" s="7" t="str">
        <f>IF(AND(LEN(C243)=10,MID(C243,5,1)="-",MID(C243,8,1)="-"),"ISO",IF(AND(LEN(C243)=10,MID(C243,3,1)="-",MID(C243,6,1)="-"),"DMY","OTHER"))</f>
        <v>ISO</v>
      </c>
      <c r="E243" s="7">
        <f>IF(D243="ISO",VALUE(LEFT(C243,4)),IF(D243="DMY",VALUE(RIGHT(C243,4)),0))</f>
        <v>2025</v>
      </c>
      <c r="F243" s="7">
        <f>IF(D243="ISO",VALUE(MID(C243,6,2)),IF(D243="DMY",VALUE(MID(C243,4,2)),0))</f>
        <v>6</v>
      </c>
      <c r="G243" s="7">
        <f>IF(D243="ISO",VALUE(RIGHT(C243,2)),IF(D243="DMY",VALUE(LEFT(C243,2)),0))</f>
        <v>9</v>
      </c>
      <c r="H243" s="7">
        <f>IF(AND(D243&lt;&gt;"OTHER",F243&gt;=1,F243&lt;=12,G243&gt;=1,G243&lt;=31),IF(AND(MONTH(DATE(E243,F243,G243))=F243,DAY(DATE(E243,F243,G243))=G243),1,0),0)</f>
        <v>1</v>
      </c>
      <c r="I243" s="7">
        <f>IF(H243=1,DATE(E243,F243,G243),"")</f>
        <v>45817.0</v>
      </c>
      <c r="J243" s="7">
        <f>IF(AND(D243="DMY",H243=1),1,0)</f>
        <v>0</v>
      </c>
      <c r="K243" s="7">
        <f>IF(H243=0,1,0)</f>
        <v>0</v>
      </c>
      <c r="L243" s="7">
        <f>IF(TRIM(Raw_Bookings!I243&amp;"")="",1,0)</f>
        <v>0</v>
      </c>
      <c r="M243" s="7">
        <f>IF(L243=1,"",DATEVALUE(LEFT(Raw_Bookings!I243,10))+TIMEVALUE(MID(Raw_Bookings!I243,12,8)))</f>
        <v>45797.82655092593</v>
      </c>
      <c r="N243" s="7">
        <f>IF(AND(L243=0,H243=1),IF(INT(M243)&gt;I243,1,0),0)</f>
        <v>0</v>
      </c>
      <c r="O243" s="7" t="str">
        <f>UPPER(TRIM(Raw_Bookings!F243))</f>
        <v>KOL</v>
      </c>
      <c r="P243" s="7" t="str">
        <f>UPPER(TRIM(Raw_Bookings!G243))</f>
        <v>HYD</v>
      </c>
      <c r="Q243" s="7">
        <f>IF(COUNTIF(Lookup_Stations!$A$2:$A$33,O243)&gt;0,1,0)</f>
        <v>1</v>
      </c>
      <c r="R243" s="7">
        <f>IF(COUNTIF(Lookup_Stations!$A$2:$A$33,P243)&gt;0,1,0)</f>
        <v>1</v>
      </c>
      <c r="S243" s="7">
        <f>IF(OR(AND(Q243=1,NOT(EXACT(Raw_Bookings!F243,O243))),AND(R243=1,NOT(EXACT(Raw_Bookings!G243,P243)))),1,0)</f>
        <v>0</v>
      </c>
      <c r="T243" s="7">
        <f>IF(OR(Q243=0,R243=0),1,0)</f>
        <v>0</v>
      </c>
      <c r="U243" s="7">
        <f>IF(TRIM(Raw_Bookings!E243&amp;"")="",1,0)</f>
        <v>0</v>
      </c>
      <c r="V243" s="7" t="str">
        <f>IF(SUMPRODUCT(--(Lookup_Status!$A$2:$A$13=LOWER(TRIM(Raw_Bookings!K243))))=0,"",INDEX(Lookup_Status!$B$2:$B$13,SUMPRODUCT((Lookup_Status!$A$2:$A$13=LOWER(TRIM(Raw_Bookings!K243)))*(ROW(Lookup_Status!$A$2:$A$13)-1))))</f>
        <v>Confirmed</v>
      </c>
      <c r="W243" s="7">
        <f>IF(AND(V243&lt;&gt;"",NOT(EXACT(Raw_Bookings!K243,V243))),1,0)</f>
        <v>0</v>
      </c>
      <c r="X243" s="7">
        <f>IF(V243="",1,0)</f>
        <v>0</v>
      </c>
      <c r="Y243" s="7">
        <f>IF(TRIM(Raw_Bookings!L243&amp;"")="",1,0)</f>
        <v>0</v>
      </c>
      <c r="Z243" s="7">
        <f>IF(AND(ISTEXT(Raw_Bookings!L243),Y243=0),1,0)</f>
        <v>0</v>
      </c>
      <c r="AA243" s="7">
        <f>IF(Z243=1,IFERROR(VALUE(SUBSTITUTE(SUBSTITUTE(SUBSTITUTE(SUBSTITUTE(SUBSTITUTE(UPPER(Raw_Bookings!L243),"RS.",""),"₹",""),",","")," ",""),"INR","")),""),"")</f>
        <v/>
      </c>
      <c r="AB243" s="7">
        <f>IF(AND(Z243=1,ISNUMBER(AA243)),1,0)</f>
        <v>0</v>
      </c>
      <c r="AC243" s="7">
        <f>IF(B243=1,0,IF(NOT(ISNUMBER(Raw_Bookings!J243)),1,IF(Raw_Bookings!J243&lt;&gt;COUNTIFS(Work_Passengers!$B$2:$B$1336,Raw_Bookings!A243,Work_Passengers!$C$2:$C$1336,0),1,0)))</f>
        <v>0</v>
      </c>
    </row>
    <row r="244" spans="1:29">
      <c r="A244" s="7">
        <f>Raw_Bookings!A244</f>
        <v>1078946</v>
      </c>
      <c r="B244" s="7">
        <f>IF(COUNTIF(Raw_Bookings!$A$2:A244,Raw_Bookings!A244)&gt;1,1,0)</f>
        <v>0</v>
      </c>
      <c r="C244" s="7" t="str">
        <f>Raw_Bookings!D244&amp;""</f>
        <v>2025-07-25</v>
      </c>
      <c r="D244" s="7" t="str">
        <f>IF(AND(LEN(C244)=10,MID(C244,5,1)="-",MID(C244,8,1)="-"),"ISO",IF(AND(LEN(C244)=10,MID(C244,3,1)="-",MID(C244,6,1)="-"),"DMY","OTHER"))</f>
        <v>ISO</v>
      </c>
      <c r="E244" s="7">
        <f>IF(D244="ISO",VALUE(LEFT(C244,4)),IF(D244="DMY",VALUE(RIGHT(C244,4)),0))</f>
        <v>2025</v>
      </c>
      <c r="F244" s="7">
        <f>IF(D244="ISO",VALUE(MID(C244,6,2)),IF(D244="DMY",VALUE(MID(C244,4,2)),0))</f>
        <v>7</v>
      </c>
      <c r="G244" s="7">
        <f>IF(D244="ISO",VALUE(RIGHT(C244,2)),IF(D244="DMY",VALUE(LEFT(C244,2)),0))</f>
        <v>25</v>
      </c>
      <c r="H244" s="7">
        <f>IF(AND(D244&lt;&gt;"OTHER",F244&gt;=1,F244&lt;=12,G244&gt;=1,G244&lt;=31),IF(AND(MONTH(DATE(E244,F244,G244))=F244,DAY(DATE(E244,F244,G244))=G244),1,0),0)</f>
        <v>1</v>
      </c>
      <c r="I244" s="7">
        <f>IF(H244=1,DATE(E244,F244,G244),"")</f>
        <v>45863.0</v>
      </c>
      <c r="J244" s="7">
        <f>IF(AND(D244="DMY",H244=1),1,0)</f>
        <v>0</v>
      </c>
      <c r="K244" s="7">
        <f>IF(H244=0,1,0)</f>
        <v>0</v>
      </c>
      <c r="L244" s="7">
        <f>IF(TRIM(Raw_Bookings!I244&amp;"")="",1,0)</f>
        <v>0</v>
      </c>
      <c r="M244" s="7">
        <f>IF(L244=1,"",DATEVALUE(LEFT(Raw_Bookings!I244,10))+TIMEVALUE(MID(Raw_Bookings!I244,12,8)))</f>
        <v>45799.10254629629</v>
      </c>
      <c r="N244" s="7">
        <f>IF(AND(L244=0,H244=1),IF(INT(M244)&gt;I244,1,0),0)</f>
        <v>0</v>
      </c>
      <c r="O244" s="7" t="str">
        <f>UPPER(TRIM(Raw_Bookings!F244))</f>
        <v>JAI</v>
      </c>
      <c r="P244" s="7" t="str">
        <f>UPPER(TRIM(Raw_Bookings!G244))</f>
        <v>BHO</v>
      </c>
      <c r="Q244" s="7">
        <f>IF(COUNTIF(Lookup_Stations!$A$2:$A$33,O244)&gt;0,1,0)</f>
        <v>1</v>
      </c>
      <c r="R244" s="7">
        <f>IF(COUNTIF(Lookup_Stations!$A$2:$A$33,P244)&gt;0,1,0)</f>
        <v>1</v>
      </c>
      <c r="S244" s="7">
        <f>IF(OR(AND(Q244=1,NOT(EXACT(Raw_Bookings!F244,O244))),AND(R244=1,NOT(EXACT(Raw_Bookings!G244,P244)))),1,0)</f>
        <v>0</v>
      </c>
      <c r="T244" s="7">
        <f>IF(OR(Q244=0,R244=0),1,0)</f>
        <v>0</v>
      </c>
      <c r="U244" s="7">
        <f>IF(TRIM(Raw_Bookings!E244&amp;"")="",1,0)</f>
        <v>0</v>
      </c>
      <c r="V244" s="7" t="str">
        <f>IF(SUMPRODUCT(--(Lookup_Status!$A$2:$A$13=LOWER(TRIM(Raw_Bookings!K244))))=0,"",INDEX(Lookup_Status!$B$2:$B$13,SUMPRODUCT((Lookup_Status!$A$2:$A$13=LOWER(TRIM(Raw_Bookings!K244)))*(ROW(Lookup_Status!$A$2:$A$13)-1))))</f>
        <v>Confirmed</v>
      </c>
      <c r="W244" s="7">
        <f>IF(AND(V244&lt;&gt;"",NOT(EXACT(Raw_Bookings!K244,V244))),1,0)</f>
        <v>0</v>
      </c>
      <c r="X244" s="7">
        <f>IF(V244="",1,0)</f>
        <v>0</v>
      </c>
      <c r="Y244" s="7">
        <f>IF(TRIM(Raw_Bookings!L244&amp;"")="",1,0)</f>
        <v>0</v>
      </c>
      <c r="Z244" s="7">
        <f>IF(AND(ISTEXT(Raw_Bookings!L244),Y244=0),1,0)</f>
        <v>0</v>
      </c>
      <c r="AA244" s="7">
        <f>IF(Z244=1,IFERROR(VALUE(SUBSTITUTE(SUBSTITUTE(SUBSTITUTE(SUBSTITUTE(SUBSTITUTE(UPPER(Raw_Bookings!L244),"RS.",""),"₹",""),",","")," ",""),"INR","")),""),"")</f>
        <v/>
      </c>
      <c r="AB244" s="7">
        <f>IF(AND(Z244=1,ISNUMBER(AA244)),1,0)</f>
        <v>0</v>
      </c>
      <c r="AC244" s="7">
        <f>IF(B244=1,0,IF(NOT(ISNUMBER(Raw_Bookings!J244)),1,IF(Raw_Bookings!J244&lt;&gt;COUNTIFS(Work_Passengers!$B$2:$B$1336,Raw_Bookings!A244,Work_Passengers!$C$2:$C$1336,0),1,0)))</f>
        <v>0</v>
      </c>
    </row>
    <row r="245" spans="1:29">
      <c r="A245" s="7">
        <f>Raw_Bookings!A245</f>
        <v>1079358</v>
      </c>
      <c r="B245" s="7">
        <f>IF(COUNTIF(Raw_Bookings!$A$2:A245,Raw_Bookings!A245)&gt;1,1,0)</f>
        <v>0</v>
      </c>
      <c r="C245" s="7" t="str">
        <f>Raw_Bookings!D245&amp;""</f>
        <v>2025-06-02</v>
      </c>
      <c r="D245" s="7" t="str">
        <f>IF(AND(LEN(C245)=10,MID(C245,5,1)="-",MID(C245,8,1)="-"),"ISO",IF(AND(LEN(C245)=10,MID(C245,3,1)="-",MID(C245,6,1)="-"),"DMY","OTHER"))</f>
        <v>ISO</v>
      </c>
      <c r="E245" s="7">
        <f>IF(D245="ISO",VALUE(LEFT(C245,4)),IF(D245="DMY",VALUE(RIGHT(C245,4)),0))</f>
        <v>2025</v>
      </c>
      <c r="F245" s="7">
        <f>IF(D245="ISO",VALUE(MID(C245,6,2)),IF(D245="DMY",VALUE(MID(C245,4,2)),0))</f>
        <v>6</v>
      </c>
      <c r="G245" s="7">
        <f>IF(D245="ISO",VALUE(RIGHT(C245,2)),IF(D245="DMY",VALUE(LEFT(C245,2)),0))</f>
        <v>2</v>
      </c>
      <c r="H245" s="7">
        <f>IF(AND(D245&lt;&gt;"OTHER",F245&gt;=1,F245&lt;=12,G245&gt;=1,G245&lt;=31),IF(AND(MONTH(DATE(E245,F245,G245))=F245,DAY(DATE(E245,F245,G245))=G245),1,0),0)</f>
        <v>1</v>
      </c>
      <c r="I245" s="7">
        <f>IF(H245=1,DATE(E245,F245,G245),"")</f>
        <v>45810.0</v>
      </c>
      <c r="J245" s="7">
        <f>IF(AND(D245="DMY",H245=1),1,0)</f>
        <v>0</v>
      </c>
      <c r="K245" s="7">
        <f>IF(H245=0,1,0)</f>
        <v>0</v>
      </c>
      <c r="L245" s="7">
        <f>IF(TRIM(Raw_Bookings!I245&amp;"")="",1,0)</f>
        <v>0</v>
      </c>
      <c r="M245" s="7">
        <f>IF(L245=1,"",DATEVALUE(LEFT(Raw_Bookings!I245,10))+TIMEVALUE(MID(Raw_Bookings!I245,12,8)))</f>
        <v>45800.625451388885</v>
      </c>
      <c r="N245" s="7">
        <f>IF(AND(L245=0,H245=1),IF(INT(M245)&gt;I245,1,0),0)</f>
        <v>0</v>
      </c>
      <c r="O245" s="7" t="str">
        <f>UPPER(TRIM(Raw_Bookings!F245))</f>
        <v>KOC</v>
      </c>
      <c r="P245" s="7" t="str">
        <f>UPPER(TRIM(Raw_Bookings!G245))</f>
        <v>BHU</v>
      </c>
      <c r="Q245" s="7">
        <f>IF(COUNTIF(Lookup_Stations!$A$2:$A$33,O245)&gt;0,1,0)</f>
        <v>1</v>
      </c>
      <c r="R245" s="7">
        <f>IF(COUNTIF(Lookup_Stations!$A$2:$A$33,P245)&gt;0,1,0)</f>
        <v>1</v>
      </c>
      <c r="S245" s="7">
        <f>IF(OR(AND(Q245=1,NOT(EXACT(Raw_Bookings!F245,O245))),AND(R245=1,NOT(EXACT(Raw_Bookings!G245,P245)))),1,0)</f>
        <v>0</v>
      </c>
      <c r="T245" s="7">
        <f>IF(OR(Q245=0,R245=0),1,0)</f>
        <v>0</v>
      </c>
      <c r="U245" s="7">
        <f>IF(TRIM(Raw_Bookings!E245&amp;"")="",1,0)</f>
        <v>0</v>
      </c>
      <c r="V245" s="7" t="str">
        <f>IF(SUMPRODUCT(--(Lookup_Status!$A$2:$A$13=LOWER(TRIM(Raw_Bookings!K245))))=0,"",INDEX(Lookup_Status!$B$2:$B$13,SUMPRODUCT((Lookup_Status!$A$2:$A$13=LOWER(TRIM(Raw_Bookings!K245)))*(ROW(Lookup_Status!$A$2:$A$13)-1))))</f>
        <v>Mixed</v>
      </c>
      <c r="W245" s="7">
        <f>IF(AND(V245&lt;&gt;"",NOT(EXACT(Raw_Bookings!K245,V245))),1,0)</f>
        <v>0</v>
      </c>
      <c r="X245" s="7">
        <f>IF(V245="",1,0)</f>
        <v>0</v>
      </c>
      <c r="Y245" s="7">
        <f>IF(TRIM(Raw_Bookings!L245&amp;"")="",1,0)</f>
        <v>0</v>
      </c>
      <c r="Z245" s="7">
        <f>IF(AND(ISTEXT(Raw_Bookings!L245),Y245=0),1,0)</f>
        <v>0</v>
      </c>
      <c r="AA245" s="7">
        <f>IF(Z245=1,IFERROR(VALUE(SUBSTITUTE(SUBSTITUTE(SUBSTITUTE(SUBSTITUTE(SUBSTITUTE(UPPER(Raw_Bookings!L245),"RS.",""),"₹",""),",","")," ",""),"INR","")),""),"")</f>
        <v/>
      </c>
      <c r="AB245" s="7">
        <f>IF(AND(Z245=1,ISNUMBER(AA245)),1,0)</f>
        <v>0</v>
      </c>
      <c r="AC245" s="7">
        <f>IF(B245=1,0,IF(NOT(ISNUMBER(Raw_Bookings!J245)),1,IF(Raw_Bookings!J245&lt;&gt;COUNTIFS(Work_Passengers!$B$2:$B$1336,Raw_Bookings!A245,Work_Passengers!$C$2:$C$1336,0),1,0)))</f>
        <v>0</v>
      </c>
    </row>
    <row r="246" spans="1:29">
      <c r="A246" s="7">
        <f>Raw_Bookings!A246</f>
        <v>1079788</v>
      </c>
      <c r="B246" s="7">
        <f>IF(COUNTIF(Raw_Bookings!$A$2:A246,Raw_Bookings!A246)&gt;1,1,0)</f>
        <v>0</v>
      </c>
      <c r="C246" s="7" t="str">
        <f>Raw_Bookings!D246&amp;""</f>
        <v>2025-06-13</v>
      </c>
      <c r="D246" s="7" t="str">
        <f>IF(AND(LEN(C246)=10,MID(C246,5,1)="-",MID(C246,8,1)="-"),"ISO",IF(AND(LEN(C246)=10,MID(C246,3,1)="-",MID(C246,6,1)="-"),"DMY","OTHER"))</f>
        <v>ISO</v>
      </c>
      <c r="E246" s="7">
        <f>IF(D246="ISO",VALUE(LEFT(C246,4)),IF(D246="DMY",VALUE(RIGHT(C246,4)),0))</f>
        <v>2025</v>
      </c>
      <c r="F246" s="7">
        <f>IF(D246="ISO",VALUE(MID(C246,6,2)),IF(D246="DMY",VALUE(MID(C246,4,2)),0))</f>
        <v>6</v>
      </c>
      <c r="G246" s="7">
        <f>IF(D246="ISO",VALUE(RIGHT(C246,2)),IF(D246="DMY",VALUE(LEFT(C246,2)),0))</f>
        <v>13</v>
      </c>
      <c r="H246" s="7">
        <f>IF(AND(D246&lt;&gt;"OTHER",F246&gt;=1,F246&lt;=12,G246&gt;=1,G246&lt;=31),IF(AND(MONTH(DATE(E246,F246,G246))=F246,DAY(DATE(E246,F246,G246))=G246),1,0),0)</f>
        <v>1</v>
      </c>
      <c r="I246" s="7">
        <f>IF(H246=1,DATE(E246,F246,G246),"")</f>
        <v>45821.0</v>
      </c>
      <c r="J246" s="7">
        <f>IF(AND(D246="DMY",H246=1),1,0)</f>
        <v>0</v>
      </c>
      <c r="K246" s="7">
        <f>IF(H246=0,1,0)</f>
        <v>0</v>
      </c>
      <c r="L246" s="7">
        <f>IF(TRIM(Raw_Bookings!I246&amp;"")="",1,0)</f>
        <v>0</v>
      </c>
      <c r="M246" s="7">
        <f>IF(L246=1,"",DATEVALUE(LEFT(Raw_Bookings!I246,10))+TIMEVALUE(MID(Raw_Bookings!I246,12,8)))</f>
        <v>45801.890081018515</v>
      </c>
      <c r="N246" s="7">
        <f>IF(AND(L246=0,H246=1),IF(INT(M246)&gt;I246,1,0),0)</f>
        <v>0</v>
      </c>
      <c r="O246" s="7" t="str">
        <f>UPPER(TRIM(Raw_Bookings!F246))</f>
        <v>CHE</v>
      </c>
      <c r="P246" s="7" t="str">
        <f>UPPER(TRIM(Raw_Bookings!G246))</f>
        <v>AHM</v>
      </c>
      <c r="Q246" s="7">
        <f>IF(COUNTIF(Lookup_Stations!$A$2:$A$33,O246)&gt;0,1,0)</f>
        <v>1</v>
      </c>
      <c r="R246" s="7">
        <f>IF(COUNTIF(Lookup_Stations!$A$2:$A$33,P246)&gt;0,1,0)</f>
        <v>1</v>
      </c>
      <c r="S246" s="7">
        <f>IF(OR(AND(Q246=1,NOT(EXACT(Raw_Bookings!F246,O246))),AND(R246=1,NOT(EXACT(Raw_Bookings!G246,P246)))),1,0)</f>
        <v>0</v>
      </c>
      <c r="T246" s="7">
        <f>IF(OR(Q246=0,R246=0),1,0)</f>
        <v>0</v>
      </c>
      <c r="U246" s="7">
        <f>IF(TRIM(Raw_Bookings!E246&amp;"")="",1,0)</f>
        <v>0</v>
      </c>
      <c r="V246" s="7" t="str">
        <f>IF(SUMPRODUCT(--(Lookup_Status!$A$2:$A$13=LOWER(TRIM(Raw_Bookings!K246))))=0,"",INDEX(Lookup_Status!$B$2:$B$13,SUMPRODUCT((Lookup_Status!$A$2:$A$13=LOWER(TRIM(Raw_Bookings!K246)))*(ROW(Lookup_Status!$A$2:$A$13)-1))))</f>
        <v>Confirmed</v>
      </c>
      <c r="W246" s="7">
        <f>IF(AND(V246&lt;&gt;"",NOT(EXACT(Raw_Bookings!K246,V246))),1,0)</f>
        <v>0</v>
      </c>
      <c r="X246" s="7">
        <f>IF(V246="",1,0)</f>
        <v>0</v>
      </c>
      <c r="Y246" s="7">
        <f>IF(TRIM(Raw_Bookings!L246&amp;"")="",1,0)</f>
        <v>0</v>
      </c>
      <c r="Z246" s="7">
        <f>IF(AND(ISTEXT(Raw_Bookings!L246),Y246=0),1,0)</f>
        <v>0</v>
      </c>
      <c r="AA246" s="7">
        <f>IF(Z246=1,IFERROR(VALUE(SUBSTITUTE(SUBSTITUTE(SUBSTITUTE(SUBSTITUTE(SUBSTITUTE(UPPER(Raw_Bookings!L246),"RS.",""),"₹",""),",","")," ",""),"INR","")),""),"")</f>
        <v/>
      </c>
      <c r="AB246" s="7">
        <f>IF(AND(Z246=1,ISNUMBER(AA246)),1,0)</f>
        <v>0</v>
      </c>
      <c r="AC246" s="7">
        <f>IF(B246=1,0,IF(NOT(ISNUMBER(Raw_Bookings!J246)),1,IF(Raw_Bookings!J246&lt;&gt;COUNTIFS(Work_Passengers!$B$2:$B$1336,Raw_Bookings!A246,Work_Passengers!$C$2:$C$1336,0),1,0)))</f>
        <v>0</v>
      </c>
    </row>
    <row r="247" spans="1:29">
      <c r="A247" s="7">
        <f>Raw_Bookings!A247</f>
        <v>1079819</v>
      </c>
      <c r="B247" s="7">
        <f>IF(COUNTIF(Raw_Bookings!$A$2:A247,Raw_Bookings!A247)&gt;1,1,0)</f>
        <v>0</v>
      </c>
      <c r="C247" s="7" t="str">
        <f>Raw_Bookings!D247&amp;""</f>
        <v>2025-05-26</v>
      </c>
      <c r="D247" s="7" t="str">
        <f>IF(AND(LEN(C247)=10,MID(C247,5,1)="-",MID(C247,8,1)="-"),"ISO",IF(AND(LEN(C247)=10,MID(C247,3,1)="-",MID(C247,6,1)="-"),"DMY","OTHER"))</f>
        <v>ISO</v>
      </c>
      <c r="E247" s="7">
        <f>IF(D247="ISO",VALUE(LEFT(C247,4)),IF(D247="DMY",VALUE(RIGHT(C247,4)),0))</f>
        <v>2025</v>
      </c>
      <c r="F247" s="7">
        <f>IF(D247="ISO",VALUE(MID(C247,6,2)),IF(D247="DMY",VALUE(MID(C247,4,2)),0))</f>
        <v>5</v>
      </c>
      <c r="G247" s="7">
        <f>IF(D247="ISO",VALUE(RIGHT(C247,2)),IF(D247="DMY",VALUE(LEFT(C247,2)),0))</f>
        <v>26</v>
      </c>
      <c r="H247" s="7">
        <f>IF(AND(D247&lt;&gt;"OTHER",F247&gt;=1,F247&lt;=12,G247&gt;=1,G247&lt;=31),IF(AND(MONTH(DATE(E247,F247,G247))=F247,DAY(DATE(E247,F247,G247))=G247),1,0),0)</f>
        <v>1</v>
      </c>
      <c r="I247" s="7">
        <f>IF(H247=1,DATE(E247,F247,G247),"")</f>
        <v>45803.0</v>
      </c>
      <c r="J247" s="7">
        <f>IF(AND(D247="DMY",H247=1),1,0)</f>
        <v>0</v>
      </c>
      <c r="K247" s="7">
        <f>IF(H247=0,1,0)</f>
        <v>0</v>
      </c>
      <c r="L247" s="7">
        <f>IF(TRIM(Raw_Bookings!I247&amp;"")="",1,0)</f>
        <v>0</v>
      </c>
      <c r="M247" s="7">
        <f>IF(L247=1,"",DATEVALUE(LEFT(Raw_Bookings!I247,10))+TIMEVALUE(MID(Raw_Bookings!I247,12,8)))</f>
        <v>45802.230046296296</v>
      </c>
      <c r="N247" s="7">
        <f>IF(AND(L247=0,H247=1),IF(INT(M247)&gt;I247,1,0),0)</f>
        <v>0</v>
      </c>
      <c r="O247" s="7" t="str">
        <f>UPPER(TRIM(Raw_Bookings!F247))</f>
        <v>DIB</v>
      </c>
      <c r="P247" s="7" t="str">
        <f>UPPER(TRIM(Raw_Bookings!G247))</f>
        <v>DEL</v>
      </c>
      <c r="Q247" s="7">
        <f>IF(COUNTIF(Lookup_Stations!$A$2:$A$33,O247)&gt;0,1,0)</f>
        <v>1</v>
      </c>
      <c r="R247" s="7">
        <f>IF(COUNTIF(Lookup_Stations!$A$2:$A$33,P247)&gt;0,1,0)</f>
        <v>1</v>
      </c>
      <c r="S247" s="7">
        <f>IF(OR(AND(Q247=1,NOT(EXACT(Raw_Bookings!F247,O247))),AND(R247=1,NOT(EXACT(Raw_Bookings!G247,P247)))),1,0)</f>
        <v>0</v>
      </c>
      <c r="T247" s="7">
        <f>IF(OR(Q247=0,R247=0),1,0)</f>
        <v>0</v>
      </c>
      <c r="U247" s="7">
        <f>IF(TRIM(Raw_Bookings!E247&amp;"")="",1,0)</f>
        <v>0</v>
      </c>
      <c r="V247" s="7" t="str">
        <f>IF(SUMPRODUCT(--(Lookup_Status!$A$2:$A$13=LOWER(TRIM(Raw_Bookings!K247))))=0,"",INDEX(Lookup_Status!$B$2:$B$13,SUMPRODUCT((Lookup_Status!$A$2:$A$13=LOWER(TRIM(Raw_Bookings!K247)))*(ROW(Lookup_Status!$A$2:$A$13)-1))))</f>
        <v>Waitlisted</v>
      </c>
      <c r="W247" s="7">
        <f>IF(AND(V247&lt;&gt;"",NOT(EXACT(Raw_Bookings!K247,V247))),1,0)</f>
        <v>0</v>
      </c>
      <c r="X247" s="7">
        <f>IF(V247="",1,0)</f>
        <v>0</v>
      </c>
      <c r="Y247" s="7">
        <f>IF(TRIM(Raw_Bookings!L247&amp;"")="",1,0)</f>
        <v>0</v>
      </c>
      <c r="Z247" s="7">
        <f>IF(AND(ISTEXT(Raw_Bookings!L247),Y247=0),1,0)</f>
        <v>0</v>
      </c>
      <c r="AA247" s="7">
        <f>IF(Z247=1,IFERROR(VALUE(SUBSTITUTE(SUBSTITUTE(SUBSTITUTE(SUBSTITUTE(SUBSTITUTE(UPPER(Raw_Bookings!L247),"RS.",""),"₹",""),",","")," ",""),"INR","")),""),"")</f>
        <v/>
      </c>
      <c r="AB247" s="7">
        <f>IF(AND(Z247=1,ISNUMBER(AA247)),1,0)</f>
        <v>0</v>
      </c>
      <c r="AC247" s="7">
        <f>IF(B247=1,0,IF(NOT(ISNUMBER(Raw_Bookings!J247)),1,IF(Raw_Bookings!J247&lt;&gt;COUNTIFS(Work_Passengers!$B$2:$B$1336,Raw_Bookings!A247,Work_Passengers!$C$2:$C$1336,0),1,0)))</f>
        <v>0</v>
      </c>
    </row>
    <row r="248" spans="1:29">
      <c r="A248" s="7">
        <f>Raw_Bookings!A248</f>
        <v>1080019</v>
      </c>
      <c r="B248" s="7">
        <f>IF(COUNTIF(Raw_Bookings!$A$2:A248,Raw_Bookings!A248)&gt;1,1,0)</f>
        <v>0</v>
      </c>
      <c r="C248" s="7" t="str">
        <f>Raw_Bookings!D248&amp;""</f>
        <v>2025-06-09</v>
      </c>
      <c r="D248" s="7" t="str">
        <f>IF(AND(LEN(C248)=10,MID(C248,5,1)="-",MID(C248,8,1)="-"),"ISO",IF(AND(LEN(C248)=10,MID(C248,3,1)="-",MID(C248,6,1)="-"),"DMY","OTHER"))</f>
        <v>ISO</v>
      </c>
      <c r="E248" s="7">
        <f>IF(D248="ISO",VALUE(LEFT(C248,4)),IF(D248="DMY",VALUE(RIGHT(C248,4)),0))</f>
        <v>2025</v>
      </c>
      <c r="F248" s="7">
        <f>IF(D248="ISO",VALUE(MID(C248,6,2)),IF(D248="DMY",VALUE(MID(C248,4,2)),0))</f>
        <v>6</v>
      </c>
      <c r="G248" s="7">
        <f>IF(D248="ISO",VALUE(RIGHT(C248,2)),IF(D248="DMY",VALUE(LEFT(C248,2)),0))</f>
        <v>9</v>
      </c>
      <c r="H248" s="7">
        <f>IF(AND(D248&lt;&gt;"OTHER",F248&gt;=1,F248&lt;=12,G248&gt;=1,G248&lt;=31),IF(AND(MONTH(DATE(E248,F248,G248))=F248,DAY(DATE(E248,F248,G248))=G248),1,0),0)</f>
        <v>1</v>
      </c>
      <c r="I248" s="7">
        <f>IF(H248=1,DATE(E248,F248,G248),"")</f>
        <v>45817.0</v>
      </c>
      <c r="J248" s="7">
        <f>IF(AND(D248="DMY",H248=1),1,0)</f>
        <v>0</v>
      </c>
      <c r="K248" s="7">
        <f>IF(H248=0,1,0)</f>
        <v>0</v>
      </c>
      <c r="L248" s="7">
        <f>IF(TRIM(Raw_Bookings!I248&amp;"")="",1,0)</f>
        <v>0</v>
      </c>
      <c r="M248" s="7">
        <f>IF(L248=1,"",DATEVALUE(LEFT(Raw_Bookings!I248,10))+TIMEVALUE(MID(Raw_Bookings!I248,12,8)))</f>
        <v>45802.749085648145</v>
      </c>
      <c r="N248" s="7">
        <f>IF(AND(L248=0,H248=1),IF(INT(M248)&gt;I248,1,0),0)</f>
        <v>0</v>
      </c>
      <c r="O248" s="7" t="str">
        <f>UPPER(TRIM(Raw_Bookings!F248))</f>
        <v>KOL</v>
      </c>
      <c r="P248" s="7" t="str">
        <f>UPPER(TRIM(Raw_Bookings!G248))</f>
        <v>HYD</v>
      </c>
      <c r="Q248" s="7">
        <f>IF(COUNTIF(Lookup_Stations!$A$2:$A$33,O248)&gt;0,1,0)</f>
        <v>1</v>
      </c>
      <c r="R248" s="7">
        <f>IF(COUNTIF(Lookup_Stations!$A$2:$A$33,P248)&gt;0,1,0)</f>
        <v>1</v>
      </c>
      <c r="S248" s="7">
        <f>IF(OR(AND(Q248=1,NOT(EXACT(Raw_Bookings!F248,O248))),AND(R248=1,NOT(EXACT(Raw_Bookings!G248,P248)))),1,0)</f>
        <v>0</v>
      </c>
      <c r="T248" s="7">
        <f>IF(OR(Q248=0,R248=0),1,0)</f>
        <v>0</v>
      </c>
      <c r="U248" s="7">
        <f>IF(TRIM(Raw_Bookings!E248&amp;"")="",1,0)</f>
        <v>0</v>
      </c>
      <c r="V248" s="7" t="str">
        <f>IF(SUMPRODUCT(--(Lookup_Status!$A$2:$A$13=LOWER(TRIM(Raw_Bookings!K248))))=0,"",INDEX(Lookup_Status!$B$2:$B$13,SUMPRODUCT((Lookup_Status!$A$2:$A$13=LOWER(TRIM(Raw_Bookings!K248)))*(ROW(Lookup_Status!$A$2:$A$13)-1))))</f>
        <v>Confirmed</v>
      </c>
      <c r="W248" s="7">
        <f>IF(AND(V248&lt;&gt;"",NOT(EXACT(Raw_Bookings!K248,V248))),1,0)</f>
        <v>0</v>
      </c>
      <c r="X248" s="7">
        <f>IF(V248="",1,0)</f>
        <v>0</v>
      </c>
      <c r="Y248" s="7">
        <f>IF(TRIM(Raw_Bookings!L248&amp;"")="",1,0)</f>
        <v>0</v>
      </c>
      <c r="Z248" s="7">
        <f>IF(AND(ISTEXT(Raw_Bookings!L248),Y248=0),1,0)</f>
        <v>0</v>
      </c>
      <c r="AA248" s="7">
        <f>IF(Z248=1,IFERROR(VALUE(SUBSTITUTE(SUBSTITUTE(SUBSTITUTE(SUBSTITUTE(SUBSTITUTE(UPPER(Raw_Bookings!L248),"RS.",""),"₹",""),",","")," ",""),"INR","")),""),"")</f>
        <v/>
      </c>
      <c r="AB248" s="7">
        <f>IF(AND(Z248=1,ISNUMBER(AA248)),1,0)</f>
        <v>0</v>
      </c>
      <c r="AC248" s="7">
        <f>IF(B248=1,0,IF(NOT(ISNUMBER(Raw_Bookings!J248)),1,IF(Raw_Bookings!J248&lt;&gt;COUNTIFS(Work_Passengers!$B$2:$B$1336,Raw_Bookings!A248,Work_Passengers!$C$2:$C$1336,0),1,0)))</f>
        <v>0</v>
      </c>
    </row>
    <row r="249" spans="1:29">
      <c r="A249" s="7">
        <f>Raw_Bookings!A249</f>
        <v>1080555</v>
      </c>
      <c r="B249" s="7">
        <f>IF(COUNTIF(Raw_Bookings!$A$2:A249,Raw_Bookings!A249)&gt;1,1,0)</f>
        <v>0</v>
      </c>
      <c r="C249" s="7" t="str">
        <f>Raw_Bookings!D249&amp;""</f>
        <v>2025-07-21</v>
      </c>
      <c r="D249" s="7" t="str">
        <f>IF(AND(LEN(C249)=10,MID(C249,5,1)="-",MID(C249,8,1)="-"),"ISO",IF(AND(LEN(C249)=10,MID(C249,3,1)="-",MID(C249,6,1)="-"),"DMY","OTHER"))</f>
        <v>ISO</v>
      </c>
      <c r="E249" s="7">
        <f>IF(D249="ISO",VALUE(LEFT(C249,4)),IF(D249="DMY",VALUE(RIGHT(C249,4)),0))</f>
        <v>2025</v>
      </c>
      <c r="F249" s="7">
        <f>IF(D249="ISO",VALUE(MID(C249,6,2)),IF(D249="DMY",VALUE(MID(C249,4,2)),0))</f>
        <v>7</v>
      </c>
      <c r="G249" s="7">
        <f>IF(D249="ISO",VALUE(RIGHT(C249,2)),IF(D249="DMY",VALUE(LEFT(C249,2)),0))</f>
        <v>21</v>
      </c>
      <c r="H249" s="7">
        <f>IF(AND(D249&lt;&gt;"OTHER",F249&gt;=1,F249&lt;=12,G249&gt;=1,G249&lt;=31),IF(AND(MONTH(DATE(E249,F249,G249))=F249,DAY(DATE(E249,F249,G249))=G249),1,0),0)</f>
        <v>1</v>
      </c>
      <c r="I249" s="7">
        <f>IF(H249=1,DATE(E249,F249,G249),"")</f>
        <v>45859.0</v>
      </c>
      <c r="J249" s="7">
        <f>IF(AND(D249="DMY",H249=1),1,0)</f>
        <v>0</v>
      </c>
      <c r="K249" s="7">
        <f>IF(H249=0,1,0)</f>
        <v>0</v>
      </c>
      <c r="L249" s="7">
        <f>IF(TRIM(Raw_Bookings!I249&amp;"")="",1,0)</f>
        <v>0</v>
      </c>
      <c r="M249" s="7">
        <f>IF(L249=1,"",DATEVALUE(LEFT(Raw_Bookings!I249,10))+TIMEVALUE(MID(Raw_Bookings!I249,12,8)))</f>
        <v>45804.6018287037</v>
      </c>
      <c r="N249" s="7">
        <f>IF(AND(L249=0,H249=1),IF(INT(M249)&gt;I249,1,0),0)</f>
        <v>0</v>
      </c>
      <c r="O249" s="7" t="str">
        <f>UPPER(TRIM(Raw_Bookings!F249))</f>
        <v>AHM</v>
      </c>
      <c r="P249" s="7" t="str">
        <f>UPPER(TRIM(Raw_Bookings!G249))</f>
        <v>CHE</v>
      </c>
      <c r="Q249" s="7">
        <f>IF(COUNTIF(Lookup_Stations!$A$2:$A$33,O249)&gt;0,1,0)</f>
        <v>1</v>
      </c>
      <c r="R249" s="7">
        <f>IF(COUNTIF(Lookup_Stations!$A$2:$A$33,P249)&gt;0,1,0)</f>
        <v>1</v>
      </c>
      <c r="S249" s="7">
        <f>IF(OR(AND(Q249=1,NOT(EXACT(Raw_Bookings!F249,O249))),AND(R249=1,NOT(EXACT(Raw_Bookings!G249,P249)))),1,0)</f>
        <v>0</v>
      </c>
      <c r="T249" s="7">
        <f>IF(OR(Q249=0,R249=0),1,0)</f>
        <v>0</v>
      </c>
      <c r="U249" s="7">
        <f>IF(TRIM(Raw_Bookings!E249&amp;"")="",1,0)</f>
        <v>0</v>
      </c>
      <c r="V249" s="7" t="str">
        <f>IF(SUMPRODUCT(--(Lookup_Status!$A$2:$A$13=LOWER(TRIM(Raw_Bookings!K249))))=0,"",INDEX(Lookup_Status!$B$2:$B$13,SUMPRODUCT((Lookup_Status!$A$2:$A$13=LOWER(TRIM(Raw_Bookings!K249)))*(ROW(Lookup_Status!$A$2:$A$13)-1))))</f>
        <v>Confirmed</v>
      </c>
      <c r="W249" s="7">
        <f>IF(AND(V249&lt;&gt;"",NOT(EXACT(Raw_Bookings!K249,V249))),1,0)</f>
        <v>0</v>
      </c>
      <c r="X249" s="7">
        <f>IF(V249="",1,0)</f>
        <v>0</v>
      </c>
      <c r="Y249" s="7">
        <f>IF(TRIM(Raw_Bookings!L249&amp;"")="",1,0)</f>
        <v>0</v>
      </c>
      <c r="Z249" s="7">
        <f>IF(AND(ISTEXT(Raw_Bookings!L249),Y249=0),1,0)</f>
        <v>0</v>
      </c>
      <c r="AA249" s="7">
        <f>IF(Z249=1,IFERROR(VALUE(SUBSTITUTE(SUBSTITUTE(SUBSTITUTE(SUBSTITUTE(SUBSTITUTE(UPPER(Raw_Bookings!L249),"RS.",""),"₹",""),",","")," ",""),"INR","")),""),"")</f>
        <v/>
      </c>
      <c r="AB249" s="7">
        <f>IF(AND(Z249=1,ISNUMBER(AA249)),1,0)</f>
        <v>0</v>
      </c>
      <c r="AC249" s="7">
        <f>IF(B249=1,0,IF(NOT(ISNUMBER(Raw_Bookings!J249)),1,IF(Raw_Bookings!J249&lt;&gt;COUNTIFS(Work_Passengers!$B$2:$B$1336,Raw_Bookings!A249,Work_Passengers!$C$2:$C$1336,0),1,0)))</f>
        <v>0</v>
      </c>
    </row>
    <row r="250" spans="1:29">
      <c r="A250" s="7">
        <f>Raw_Bookings!A250</f>
        <v>1080584</v>
      </c>
      <c r="B250" s="7">
        <f>IF(COUNTIF(Raw_Bookings!$A$2:A250,Raw_Bookings!A250)&gt;1,1,0)</f>
        <v>0</v>
      </c>
      <c r="C250" s="7" t="str">
        <f>Raw_Bookings!D250&amp;""</f>
        <v>2025-06-18</v>
      </c>
      <c r="D250" s="7" t="str">
        <f>IF(AND(LEN(C250)=10,MID(C250,5,1)="-",MID(C250,8,1)="-"),"ISO",IF(AND(LEN(C250)=10,MID(C250,3,1)="-",MID(C250,6,1)="-"),"DMY","OTHER"))</f>
        <v>ISO</v>
      </c>
      <c r="E250" s="7">
        <f>IF(D250="ISO",VALUE(LEFT(C250,4)),IF(D250="DMY",VALUE(RIGHT(C250,4)),0))</f>
        <v>2025</v>
      </c>
      <c r="F250" s="7">
        <f>IF(D250="ISO",VALUE(MID(C250,6,2)),IF(D250="DMY",VALUE(MID(C250,4,2)),0))</f>
        <v>6</v>
      </c>
      <c r="G250" s="7">
        <f>IF(D250="ISO",VALUE(RIGHT(C250,2)),IF(D250="DMY",VALUE(LEFT(C250,2)),0))</f>
        <v>18</v>
      </c>
      <c r="H250" s="7">
        <f>IF(AND(D250&lt;&gt;"OTHER",F250&gt;=1,F250&lt;=12,G250&gt;=1,G250&lt;=31),IF(AND(MONTH(DATE(E250,F250,G250))=F250,DAY(DATE(E250,F250,G250))=G250),1,0),0)</f>
        <v>1</v>
      </c>
      <c r="I250" s="7">
        <f>IF(H250=1,DATE(E250,F250,G250),"")</f>
        <v>45826.0</v>
      </c>
      <c r="J250" s="7">
        <f>IF(AND(D250="DMY",H250=1),1,0)</f>
        <v>0</v>
      </c>
      <c r="K250" s="7">
        <f>IF(H250=0,1,0)</f>
        <v>0</v>
      </c>
      <c r="L250" s="7">
        <f>IF(TRIM(Raw_Bookings!I250&amp;"")="",1,0)</f>
        <v>0</v>
      </c>
      <c r="M250" s="7">
        <f>IF(L250=1,"",DATEVALUE(LEFT(Raw_Bookings!I250,10))+TIMEVALUE(MID(Raw_Bookings!I250,12,8)))</f>
        <v>45804.70953703704</v>
      </c>
      <c r="N250" s="7">
        <f>IF(AND(L250=0,H250=1),IF(INT(M250)&gt;I250,1,0),0)</f>
        <v>0</v>
      </c>
      <c r="O250" s="7" t="str">
        <f>UPPER(TRIM(Raw_Bookings!F250))</f>
        <v>BHU</v>
      </c>
      <c r="P250" s="7" t="str">
        <f>UPPER(TRIM(Raw_Bookings!G250))</f>
        <v>KOC</v>
      </c>
      <c r="Q250" s="7">
        <f>IF(COUNTIF(Lookup_Stations!$A$2:$A$33,O250)&gt;0,1,0)</f>
        <v>1</v>
      </c>
      <c r="R250" s="7">
        <f>IF(COUNTIF(Lookup_Stations!$A$2:$A$33,P250)&gt;0,1,0)</f>
        <v>1</v>
      </c>
      <c r="S250" s="7">
        <f>IF(OR(AND(Q250=1,NOT(EXACT(Raw_Bookings!F250,O250))),AND(R250=1,NOT(EXACT(Raw_Bookings!G250,P250)))),1,0)</f>
        <v>0</v>
      </c>
      <c r="T250" s="7">
        <f>IF(OR(Q250=0,R250=0),1,0)</f>
        <v>0</v>
      </c>
      <c r="U250" s="7">
        <f>IF(TRIM(Raw_Bookings!E250&amp;"")="",1,0)</f>
        <v>0</v>
      </c>
      <c r="V250" s="7" t="str">
        <f>IF(SUMPRODUCT(--(Lookup_Status!$A$2:$A$13=LOWER(TRIM(Raw_Bookings!K250))))=0,"",INDEX(Lookup_Status!$B$2:$B$13,SUMPRODUCT((Lookup_Status!$A$2:$A$13=LOWER(TRIM(Raw_Bookings!K250)))*(ROW(Lookup_Status!$A$2:$A$13)-1))))</f>
        <v>Confirmed</v>
      </c>
      <c r="W250" s="7">
        <f>IF(AND(V250&lt;&gt;"",NOT(EXACT(Raw_Bookings!K250,V250))),1,0)</f>
        <v>0</v>
      </c>
      <c r="X250" s="7">
        <f>IF(V250="",1,0)</f>
        <v>0</v>
      </c>
      <c r="Y250" s="7">
        <f>IF(TRIM(Raw_Bookings!L250&amp;"")="",1,0)</f>
        <v>0</v>
      </c>
      <c r="Z250" s="7">
        <f>IF(AND(ISTEXT(Raw_Bookings!L250),Y250=0),1,0)</f>
        <v>0</v>
      </c>
      <c r="AA250" s="7">
        <f>IF(Z250=1,IFERROR(VALUE(SUBSTITUTE(SUBSTITUTE(SUBSTITUTE(SUBSTITUTE(SUBSTITUTE(UPPER(Raw_Bookings!L250),"RS.",""),"₹",""),",","")," ",""),"INR","")),""),"")</f>
        <v/>
      </c>
      <c r="AB250" s="7">
        <f>IF(AND(Z250=1,ISNUMBER(AA250)),1,0)</f>
        <v>0</v>
      </c>
      <c r="AC250" s="7">
        <f>IF(B250=1,0,IF(NOT(ISNUMBER(Raw_Bookings!J250)),1,IF(Raw_Bookings!J250&lt;&gt;COUNTIFS(Work_Passengers!$B$2:$B$1336,Raw_Bookings!A250,Work_Passengers!$C$2:$C$1336,0),1,0)))</f>
        <v>0</v>
      </c>
    </row>
    <row r="251" spans="1:29">
      <c r="A251" s="7">
        <f>Raw_Bookings!A251</f>
        <v>1080622</v>
      </c>
      <c r="B251" s="7">
        <f>IF(COUNTIF(Raw_Bookings!$A$2:A251,Raw_Bookings!A251)&gt;1,1,0)</f>
        <v>0</v>
      </c>
      <c r="C251" s="7" t="str">
        <f>Raw_Bookings!D251&amp;""</f>
        <v>2025-07-02</v>
      </c>
      <c r="D251" s="7" t="str">
        <f>IF(AND(LEN(C251)=10,MID(C251,5,1)="-",MID(C251,8,1)="-"),"ISO",IF(AND(LEN(C251)=10,MID(C251,3,1)="-",MID(C251,6,1)="-"),"DMY","OTHER"))</f>
        <v>ISO</v>
      </c>
      <c r="E251" s="7">
        <f>IF(D251="ISO",VALUE(LEFT(C251,4)),IF(D251="DMY",VALUE(RIGHT(C251,4)),0))</f>
        <v>2025</v>
      </c>
      <c r="F251" s="7">
        <f>IF(D251="ISO",VALUE(MID(C251,6,2)),IF(D251="DMY",VALUE(MID(C251,4,2)),0))</f>
        <v>7</v>
      </c>
      <c r="G251" s="7">
        <f>IF(D251="ISO",VALUE(RIGHT(C251,2)),IF(D251="DMY",VALUE(LEFT(C251,2)),0))</f>
        <v>2</v>
      </c>
      <c r="H251" s="7">
        <f>IF(AND(D251&lt;&gt;"OTHER",F251&gt;=1,F251&lt;=12,G251&gt;=1,G251&lt;=31),IF(AND(MONTH(DATE(E251,F251,G251))=F251,DAY(DATE(E251,F251,G251))=G251),1,0),0)</f>
        <v>1</v>
      </c>
      <c r="I251" s="7">
        <f>IF(H251=1,DATE(E251,F251,G251),"")</f>
        <v>45840.0</v>
      </c>
      <c r="J251" s="7">
        <f>IF(AND(D251="DMY",H251=1),1,0)</f>
        <v>0</v>
      </c>
      <c r="K251" s="7">
        <f>IF(H251=0,1,0)</f>
        <v>0</v>
      </c>
      <c r="L251" s="7">
        <f>IF(TRIM(Raw_Bookings!I251&amp;"")="",1,0)</f>
        <v>0</v>
      </c>
      <c r="M251" s="7">
        <f>IF(L251=1,"",DATEVALUE(LEFT(Raw_Bookings!I251,10))+TIMEVALUE(MID(Raw_Bookings!I251,12,8)))</f>
        <v>45804.79796296296</v>
      </c>
      <c r="N251" s="7">
        <f>IF(AND(L251=0,H251=1),IF(INT(M251)&gt;I251,1,0),0)</f>
        <v>0</v>
      </c>
      <c r="O251" s="7" t="str">
        <f>UPPER(TRIM(Raw_Bookings!F251))</f>
        <v>RAN</v>
      </c>
      <c r="P251" s="7" t="str">
        <f>UPPER(TRIM(Raw_Bookings!G251))</f>
        <v>COI</v>
      </c>
      <c r="Q251" s="7">
        <f>IF(COUNTIF(Lookup_Stations!$A$2:$A$33,O251)&gt;0,1,0)</f>
        <v>1</v>
      </c>
      <c r="R251" s="7">
        <f>IF(COUNTIF(Lookup_Stations!$A$2:$A$33,P251)&gt;0,1,0)</f>
        <v>1</v>
      </c>
      <c r="S251" s="7">
        <f>IF(OR(AND(Q251=1,NOT(EXACT(Raw_Bookings!F251,O251))),AND(R251=1,NOT(EXACT(Raw_Bookings!G251,P251)))),1,0)</f>
        <v>0</v>
      </c>
      <c r="T251" s="7">
        <f>IF(OR(Q251=0,R251=0),1,0)</f>
        <v>0</v>
      </c>
      <c r="U251" s="7">
        <f>IF(TRIM(Raw_Bookings!E251&amp;"")="",1,0)</f>
        <v>0</v>
      </c>
      <c r="V251" s="7" t="str">
        <f>IF(SUMPRODUCT(--(Lookup_Status!$A$2:$A$13=LOWER(TRIM(Raw_Bookings!K251))))=0,"",INDEX(Lookup_Status!$B$2:$B$13,SUMPRODUCT((Lookup_Status!$A$2:$A$13=LOWER(TRIM(Raw_Bookings!K251)))*(ROW(Lookup_Status!$A$2:$A$13)-1))))</f>
        <v>Confirmed</v>
      </c>
      <c r="W251" s="7">
        <f>IF(AND(V251&lt;&gt;"",NOT(EXACT(Raw_Bookings!K251,V251))),1,0)</f>
        <v>0</v>
      </c>
      <c r="X251" s="7">
        <f>IF(V251="",1,0)</f>
        <v>0</v>
      </c>
      <c r="Y251" s="7">
        <f>IF(TRIM(Raw_Bookings!L251&amp;"")="",1,0)</f>
        <v>0</v>
      </c>
      <c r="Z251" s="7">
        <f>IF(AND(ISTEXT(Raw_Bookings!L251),Y251=0),1,0)</f>
        <v>0</v>
      </c>
      <c r="AA251" s="7">
        <f>IF(Z251=1,IFERROR(VALUE(SUBSTITUTE(SUBSTITUTE(SUBSTITUTE(SUBSTITUTE(SUBSTITUTE(UPPER(Raw_Bookings!L251),"RS.",""),"₹",""),",","")," ",""),"INR","")),""),"")</f>
        <v/>
      </c>
      <c r="AB251" s="7">
        <f>IF(AND(Z251=1,ISNUMBER(AA251)),1,0)</f>
        <v>0</v>
      </c>
      <c r="AC251" s="7">
        <f>IF(B251=1,0,IF(NOT(ISNUMBER(Raw_Bookings!J251)),1,IF(Raw_Bookings!J251&lt;&gt;COUNTIFS(Work_Passengers!$B$2:$B$1336,Raw_Bookings!A251,Work_Passengers!$C$2:$C$1336,0),1,0)))</f>
        <v>0</v>
      </c>
    </row>
    <row r="252" spans="1:29">
      <c r="A252" s="7">
        <f>Raw_Bookings!A252</f>
        <v>1080665</v>
      </c>
      <c r="B252" s="7">
        <f>IF(COUNTIF(Raw_Bookings!$A$2:A252,Raw_Bookings!A252)&gt;1,1,0)</f>
        <v>0</v>
      </c>
      <c r="C252" s="7" t="str">
        <f>Raw_Bookings!D252&amp;""</f>
        <v>2025-06-10</v>
      </c>
      <c r="D252" s="7" t="str">
        <f>IF(AND(LEN(C252)=10,MID(C252,5,1)="-",MID(C252,8,1)="-"),"ISO",IF(AND(LEN(C252)=10,MID(C252,3,1)="-",MID(C252,6,1)="-"),"DMY","OTHER"))</f>
        <v>ISO</v>
      </c>
      <c r="E252" s="7">
        <f>IF(D252="ISO",VALUE(LEFT(C252,4)),IF(D252="DMY",VALUE(RIGHT(C252,4)),0))</f>
        <v>2025</v>
      </c>
      <c r="F252" s="7">
        <f>IF(D252="ISO",VALUE(MID(C252,6,2)),IF(D252="DMY",VALUE(MID(C252,4,2)),0))</f>
        <v>6</v>
      </c>
      <c r="G252" s="7">
        <f>IF(D252="ISO",VALUE(RIGHT(C252,2)),IF(D252="DMY",VALUE(LEFT(C252,2)),0))</f>
        <v>10</v>
      </c>
      <c r="H252" s="7">
        <f>IF(AND(D252&lt;&gt;"OTHER",F252&gt;=1,F252&lt;=12,G252&gt;=1,G252&lt;=31),IF(AND(MONTH(DATE(E252,F252,G252))=F252,DAY(DATE(E252,F252,G252))=G252),1,0),0)</f>
        <v>1</v>
      </c>
      <c r="I252" s="7">
        <f>IF(H252=1,DATE(E252,F252,G252),"")</f>
        <v>45818.0</v>
      </c>
      <c r="J252" s="7">
        <f>IF(AND(D252="DMY",H252=1),1,0)</f>
        <v>0</v>
      </c>
      <c r="K252" s="7">
        <f>IF(H252=0,1,0)</f>
        <v>0</v>
      </c>
      <c r="L252" s="7">
        <f>IF(TRIM(Raw_Bookings!I252&amp;"")="",1,0)</f>
        <v>0</v>
      </c>
      <c r="M252" s="7">
        <f>IF(L252=1,"",DATEVALUE(LEFT(Raw_Bookings!I252,10))+TIMEVALUE(MID(Raw_Bookings!I252,12,8)))</f>
        <v>45804.8983912037</v>
      </c>
      <c r="N252" s="7">
        <f>IF(AND(L252=0,H252=1),IF(INT(M252)&gt;I252,1,0),0)</f>
        <v>0</v>
      </c>
      <c r="O252" s="7" t="str">
        <f>UPPER(TRIM(Raw_Bookings!F252))</f>
        <v>MUM</v>
      </c>
      <c r="P252" s="7" t="str">
        <f>UPPER(TRIM(Raw_Bookings!G252))</f>
        <v>BEN</v>
      </c>
      <c r="Q252" s="7">
        <f>IF(COUNTIF(Lookup_Stations!$A$2:$A$33,O252)&gt;0,1,0)</f>
        <v>1</v>
      </c>
      <c r="R252" s="7">
        <f>IF(COUNTIF(Lookup_Stations!$A$2:$A$33,P252)&gt;0,1,0)</f>
        <v>1</v>
      </c>
      <c r="S252" s="7">
        <f>IF(OR(AND(Q252=1,NOT(EXACT(Raw_Bookings!F252,O252))),AND(R252=1,NOT(EXACT(Raw_Bookings!G252,P252)))),1,0)</f>
        <v>0</v>
      </c>
      <c r="T252" s="7">
        <f>IF(OR(Q252=0,R252=0),1,0)</f>
        <v>0</v>
      </c>
      <c r="U252" s="7">
        <f>IF(TRIM(Raw_Bookings!E252&amp;"")="",1,0)</f>
        <v>0</v>
      </c>
      <c r="V252" s="7" t="str">
        <f>IF(SUMPRODUCT(--(Lookup_Status!$A$2:$A$13=LOWER(TRIM(Raw_Bookings!K252))))=0,"",INDEX(Lookup_Status!$B$2:$B$13,SUMPRODUCT((Lookup_Status!$A$2:$A$13=LOWER(TRIM(Raw_Bookings!K252)))*(ROW(Lookup_Status!$A$2:$A$13)-1))))</f>
        <v>Confirmed</v>
      </c>
      <c r="W252" s="7">
        <f>IF(AND(V252&lt;&gt;"",NOT(EXACT(Raw_Bookings!K252,V252))),1,0)</f>
        <v>0</v>
      </c>
      <c r="X252" s="7">
        <f>IF(V252="",1,0)</f>
        <v>0</v>
      </c>
      <c r="Y252" s="7">
        <f>IF(TRIM(Raw_Bookings!L252&amp;"")="",1,0)</f>
        <v>0</v>
      </c>
      <c r="Z252" s="7">
        <f>IF(AND(ISTEXT(Raw_Bookings!L252),Y252=0),1,0)</f>
        <v>0</v>
      </c>
      <c r="AA252" s="7">
        <f>IF(Z252=1,IFERROR(VALUE(SUBSTITUTE(SUBSTITUTE(SUBSTITUTE(SUBSTITUTE(SUBSTITUTE(UPPER(Raw_Bookings!L252),"RS.",""),"₹",""),",","")," ",""),"INR","")),""),"")</f>
        <v/>
      </c>
      <c r="AB252" s="7">
        <f>IF(AND(Z252=1,ISNUMBER(AA252)),1,0)</f>
        <v>0</v>
      </c>
      <c r="AC252" s="7">
        <f>IF(B252=1,0,IF(NOT(ISNUMBER(Raw_Bookings!J252)),1,IF(Raw_Bookings!J252&lt;&gt;COUNTIFS(Work_Passengers!$B$2:$B$1336,Raw_Bookings!A252,Work_Passengers!$C$2:$C$1336,0),1,0)))</f>
        <v>0</v>
      </c>
    </row>
    <row r="253" spans="1:29">
      <c r="A253" s="7">
        <f>Raw_Bookings!A253</f>
        <v>1080716</v>
      </c>
      <c r="B253" s="7">
        <f>IF(COUNTIF(Raw_Bookings!$A$2:A253,Raw_Bookings!A253)&gt;1,1,0)</f>
        <v>0</v>
      </c>
      <c r="C253" s="7" t="str">
        <f>Raw_Bookings!D253&amp;""</f>
        <v>2025-07-19</v>
      </c>
      <c r="D253" s="7" t="str">
        <f>IF(AND(LEN(C253)=10,MID(C253,5,1)="-",MID(C253,8,1)="-"),"ISO",IF(AND(LEN(C253)=10,MID(C253,3,1)="-",MID(C253,6,1)="-"),"DMY","OTHER"))</f>
        <v>ISO</v>
      </c>
      <c r="E253" s="7">
        <f>IF(D253="ISO",VALUE(LEFT(C253,4)),IF(D253="DMY",VALUE(RIGHT(C253,4)),0))</f>
        <v>2025</v>
      </c>
      <c r="F253" s="7">
        <f>IF(D253="ISO",VALUE(MID(C253,6,2)),IF(D253="DMY",VALUE(MID(C253,4,2)),0))</f>
        <v>7</v>
      </c>
      <c r="G253" s="7">
        <f>IF(D253="ISO",VALUE(RIGHT(C253,2)),IF(D253="DMY",VALUE(LEFT(C253,2)),0))</f>
        <v>19</v>
      </c>
      <c r="H253" s="7">
        <f>IF(AND(D253&lt;&gt;"OTHER",F253&gt;=1,F253&lt;=12,G253&gt;=1,G253&lt;=31),IF(AND(MONTH(DATE(E253,F253,G253))=F253,DAY(DATE(E253,F253,G253))=G253),1,0),0)</f>
        <v>1</v>
      </c>
      <c r="I253" s="7">
        <f>IF(H253=1,DATE(E253,F253,G253),"")</f>
        <v>45857.0</v>
      </c>
      <c r="J253" s="7">
        <f>IF(AND(D253="DMY",H253=1),1,0)</f>
        <v>0</v>
      </c>
      <c r="K253" s="7">
        <f>IF(H253=0,1,0)</f>
        <v>0</v>
      </c>
      <c r="L253" s="7">
        <f>IF(TRIM(Raw_Bookings!I253&amp;"")="",1,0)</f>
        <v>0</v>
      </c>
      <c r="M253" s="7">
        <f>IF(L253=1,"",DATEVALUE(LEFT(Raw_Bookings!I253,10))+TIMEVALUE(MID(Raw_Bookings!I253,12,8)))</f>
        <v>45805.30894675926</v>
      </c>
      <c r="N253" s="7">
        <f>IF(AND(L253=0,H253=1),IF(INT(M253)&gt;I253,1,0),0)</f>
        <v>0</v>
      </c>
      <c r="O253" s="7" t="str">
        <f>UPPER(TRIM(Raw_Bookings!F253))</f>
        <v>KOL</v>
      </c>
      <c r="P253" s="7" t="str">
        <f>UPPER(TRIM(Raw_Bookings!G253))</f>
        <v>HYD</v>
      </c>
      <c r="Q253" s="7">
        <f>IF(COUNTIF(Lookup_Stations!$A$2:$A$33,O253)&gt;0,1,0)</f>
        <v>1</v>
      </c>
      <c r="R253" s="7">
        <f>IF(COUNTIF(Lookup_Stations!$A$2:$A$33,P253)&gt;0,1,0)</f>
        <v>1</v>
      </c>
      <c r="S253" s="7">
        <f>IF(OR(AND(Q253=1,NOT(EXACT(Raw_Bookings!F253,O253))),AND(R253=1,NOT(EXACT(Raw_Bookings!G253,P253)))),1,0)</f>
        <v>0</v>
      </c>
      <c r="T253" s="7">
        <f>IF(OR(Q253=0,R253=0),1,0)</f>
        <v>0</v>
      </c>
      <c r="U253" s="7">
        <f>IF(TRIM(Raw_Bookings!E253&amp;"")="",1,0)</f>
        <v>0</v>
      </c>
      <c r="V253" s="7" t="str">
        <f>IF(SUMPRODUCT(--(Lookup_Status!$A$2:$A$13=LOWER(TRIM(Raw_Bookings!K253))))=0,"",INDEX(Lookup_Status!$B$2:$B$13,SUMPRODUCT((Lookup_Status!$A$2:$A$13=LOWER(TRIM(Raw_Bookings!K253)))*(ROW(Lookup_Status!$A$2:$A$13)-1))))</f>
        <v>Confirmed</v>
      </c>
      <c r="W253" s="7">
        <f>IF(AND(V253&lt;&gt;"",NOT(EXACT(Raw_Bookings!K253,V253))),1,0)</f>
        <v>0</v>
      </c>
      <c r="X253" s="7">
        <f>IF(V253="",1,0)</f>
        <v>0</v>
      </c>
      <c r="Y253" s="7">
        <f>IF(TRIM(Raw_Bookings!L253&amp;"")="",1,0)</f>
        <v>0</v>
      </c>
      <c r="Z253" s="7">
        <f>IF(AND(ISTEXT(Raw_Bookings!L253),Y253=0),1,0)</f>
        <v>0</v>
      </c>
      <c r="AA253" s="7">
        <f>IF(Z253=1,IFERROR(VALUE(SUBSTITUTE(SUBSTITUTE(SUBSTITUTE(SUBSTITUTE(SUBSTITUTE(UPPER(Raw_Bookings!L253),"RS.",""),"₹",""),",","")," ",""),"INR","")),""),"")</f>
        <v/>
      </c>
      <c r="AB253" s="7">
        <f>IF(AND(Z253=1,ISNUMBER(AA253)),1,0)</f>
        <v>0</v>
      </c>
      <c r="AC253" s="7">
        <f>IF(B253=1,0,IF(NOT(ISNUMBER(Raw_Bookings!J253)),1,IF(Raw_Bookings!J253&lt;&gt;COUNTIFS(Work_Passengers!$B$2:$B$1336,Raw_Bookings!A253,Work_Passengers!$C$2:$C$1336,0),1,0)))</f>
        <v>0</v>
      </c>
    </row>
    <row r="254" spans="1:29">
      <c r="A254" s="7">
        <f>Raw_Bookings!A254</f>
        <v>1080854</v>
      </c>
      <c r="B254" s="7">
        <f>IF(COUNTIF(Raw_Bookings!$A$2:A254,Raw_Bookings!A254)&gt;1,1,0)</f>
        <v>0</v>
      </c>
      <c r="C254" s="7" t="str">
        <f>Raw_Bookings!D254&amp;""</f>
        <v>2025-06-13</v>
      </c>
      <c r="D254" s="7" t="str">
        <f>IF(AND(LEN(C254)=10,MID(C254,5,1)="-",MID(C254,8,1)="-"),"ISO",IF(AND(LEN(C254)=10,MID(C254,3,1)="-",MID(C254,6,1)="-"),"DMY","OTHER"))</f>
        <v>ISO</v>
      </c>
      <c r="E254" s="7">
        <f>IF(D254="ISO",VALUE(LEFT(C254,4)),IF(D254="DMY",VALUE(RIGHT(C254,4)),0))</f>
        <v>2025</v>
      </c>
      <c r="F254" s="7">
        <f>IF(D254="ISO",VALUE(MID(C254,6,2)),IF(D254="DMY",VALUE(MID(C254,4,2)),0))</f>
        <v>6</v>
      </c>
      <c r="G254" s="7">
        <f>IF(D254="ISO",VALUE(RIGHT(C254,2)),IF(D254="DMY",VALUE(LEFT(C254,2)),0))</f>
        <v>13</v>
      </c>
      <c r="H254" s="7">
        <f>IF(AND(D254&lt;&gt;"OTHER",F254&gt;=1,F254&lt;=12,G254&gt;=1,G254&lt;=31),IF(AND(MONTH(DATE(E254,F254,G254))=F254,DAY(DATE(E254,F254,G254))=G254),1,0),0)</f>
        <v>1</v>
      </c>
      <c r="I254" s="7">
        <f>IF(H254=1,DATE(E254,F254,G254),"")</f>
        <v>45821.0</v>
      </c>
      <c r="J254" s="7">
        <f>IF(AND(D254="DMY",H254=1),1,0)</f>
        <v>0</v>
      </c>
      <c r="K254" s="7">
        <f>IF(H254=0,1,0)</f>
        <v>0</v>
      </c>
      <c r="L254" s="7">
        <f>IF(TRIM(Raw_Bookings!I254&amp;"")="",1,0)</f>
        <v>0</v>
      </c>
      <c r="M254" s="7">
        <f>IF(L254=1,"",DATEVALUE(LEFT(Raw_Bookings!I254,10))+TIMEVALUE(MID(Raw_Bookings!I254,12,8)))</f>
        <v>45805.719560185185</v>
      </c>
      <c r="N254" s="7">
        <f>IF(AND(L254=0,H254=1),IF(INT(M254)&gt;I254,1,0),0)</f>
        <v>0</v>
      </c>
      <c r="O254" s="7" t="str">
        <f>UPPER(TRIM(Raw_Bookings!F254))</f>
        <v>JAI</v>
      </c>
      <c r="P254" s="7" t="str">
        <f>UPPER(TRIM(Raw_Bookings!G254))</f>
        <v>RAI</v>
      </c>
      <c r="Q254" s="7">
        <f>IF(COUNTIF(Lookup_Stations!$A$2:$A$33,O254)&gt;0,1,0)</f>
        <v>1</v>
      </c>
      <c r="R254" s="7">
        <f>IF(COUNTIF(Lookup_Stations!$A$2:$A$33,P254)&gt;0,1,0)</f>
        <v>1</v>
      </c>
      <c r="S254" s="7">
        <f>IF(OR(AND(Q254=1,NOT(EXACT(Raw_Bookings!F254,O254))),AND(R254=1,NOT(EXACT(Raw_Bookings!G254,P254)))),1,0)</f>
        <v>0</v>
      </c>
      <c r="T254" s="7">
        <f>IF(OR(Q254=0,R254=0),1,0)</f>
        <v>0</v>
      </c>
      <c r="U254" s="7">
        <f>IF(TRIM(Raw_Bookings!E254&amp;"")="",1,0)</f>
        <v>0</v>
      </c>
      <c r="V254" s="7" t="str">
        <f>IF(SUMPRODUCT(--(Lookup_Status!$A$2:$A$13=LOWER(TRIM(Raw_Bookings!K254))))=0,"",INDEX(Lookup_Status!$B$2:$B$13,SUMPRODUCT((Lookup_Status!$A$2:$A$13=LOWER(TRIM(Raw_Bookings!K254)))*(ROW(Lookup_Status!$A$2:$A$13)-1))))</f>
        <v>Confirmed</v>
      </c>
      <c r="W254" s="7">
        <f>IF(AND(V254&lt;&gt;"",NOT(EXACT(Raw_Bookings!K254,V254))),1,0)</f>
        <v>0</v>
      </c>
      <c r="X254" s="7">
        <f>IF(V254="",1,0)</f>
        <v>0</v>
      </c>
      <c r="Y254" s="7">
        <f>IF(TRIM(Raw_Bookings!L254&amp;"")="",1,0)</f>
        <v>0</v>
      </c>
      <c r="Z254" s="7">
        <f>IF(AND(ISTEXT(Raw_Bookings!L254),Y254=0),1,0)</f>
        <v>0</v>
      </c>
      <c r="AA254" s="7">
        <f>IF(Z254=1,IFERROR(VALUE(SUBSTITUTE(SUBSTITUTE(SUBSTITUTE(SUBSTITUTE(SUBSTITUTE(UPPER(Raw_Bookings!L254),"RS.",""),"₹",""),",","")," ",""),"INR","")),""),"")</f>
        <v/>
      </c>
      <c r="AB254" s="7">
        <f>IF(AND(Z254=1,ISNUMBER(AA254)),1,0)</f>
        <v>0</v>
      </c>
      <c r="AC254" s="7">
        <f>IF(B254=1,0,IF(NOT(ISNUMBER(Raw_Bookings!J254)),1,IF(Raw_Bookings!J254&lt;&gt;COUNTIFS(Work_Passengers!$B$2:$B$1336,Raw_Bookings!A254,Work_Passengers!$C$2:$C$1336,0),1,0)))</f>
        <v>0</v>
      </c>
    </row>
    <row r="255" spans="1:29">
      <c r="A255" s="7">
        <f>Raw_Bookings!A255</f>
        <v>1081189</v>
      </c>
      <c r="B255" s="7">
        <f>IF(COUNTIF(Raw_Bookings!$A$2:A255,Raw_Bookings!A255)&gt;1,1,0)</f>
        <v>0</v>
      </c>
      <c r="C255" s="7" t="str">
        <f>Raw_Bookings!D255&amp;""</f>
        <v>2025-06-18</v>
      </c>
      <c r="D255" s="7" t="str">
        <f>IF(AND(LEN(C255)=10,MID(C255,5,1)="-",MID(C255,8,1)="-"),"ISO",IF(AND(LEN(C255)=10,MID(C255,3,1)="-",MID(C255,6,1)="-"),"DMY","OTHER"))</f>
        <v>ISO</v>
      </c>
      <c r="E255" s="7">
        <f>IF(D255="ISO",VALUE(LEFT(C255,4)),IF(D255="DMY",VALUE(RIGHT(C255,4)),0))</f>
        <v>2025</v>
      </c>
      <c r="F255" s="7">
        <f>IF(D255="ISO",VALUE(MID(C255,6,2)),IF(D255="DMY",VALUE(MID(C255,4,2)),0))</f>
        <v>6</v>
      </c>
      <c r="G255" s="7">
        <f>IF(D255="ISO",VALUE(RIGHT(C255,2)),IF(D255="DMY",VALUE(LEFT(C255,2)),0))</f>
        <v>18</v>
      </c>
      <c r="H255" s="7">
        <f>IF(AND(D255&lt;&gt;"OTHER",F255&gt;=1,F255&lt;=12,G255&gt;=1,G255&lt;=31),IF(AND(MONTH(DATE(E255,F255,G255))=F255,DAY(DATE(E255,F255,G255))=G255),1,0),0)</f>
        <v>1</v>
      </c>
      <c r="I255" s="7">
        <f>IF(H255=1,DATE(E255,F255,G255),"")</f>
        <v>45826.0</v>
      </c>
      <c r="J255" s="7">
        <f>IF(AND(D255="DMY",H255=1),1,0)</f>
        <v>0</v>
      </c>
      <c r="K255" s="7">
        <f>IF(H255=0,1,0)</f>
        <v>0</v>
      </c>
      <c r="L255" s="7">
        <f>IF(TRIM(Raw_Bookings!I255&amp;"")="",1,0)</f>
        <v>0</v>
      </c>
      <c r="M255" s="7">
        <f>IF(L255=1,"",DATEVALUE(LEFT(Raw_Bookings!I255,10))+TIMEVALUE(MID(Raw_Bookings!I255,12,8)))</f>
        <v>45806.85836805555</v>
      </c>
      <c r="N255" s="7">
        <f>IF(AND(L255=0,H255=1),IF(INT(M255)&gt;I255,1,0),0)</f>
        <v>0</v>
      </c>
      <c r="O255" s="7" t="str">
        <f>UPPER(TRIM(Raw_Bookings!F255))</f>
        <v>MAU</v>
      </c>
      <c r="P255" s="7" t="str">
        <f>UPPER(TRIM(Raw_Bookings!G255))</f>
        <v>DEL</v>
      </c>
      <c r="Q255" s="7">
        <f>IF(COUNTIF(Lookup_Stations!$A$2:$A$33,O255)&gt;0,1,0)</f>
        <v>1</v>
      </c>
      <c r="R255" s="7">
        <f>IF(COUNTIF(Lookup_Stations!$A$2:$A$33,P255)&gt;0,1,0)</f>
        <v>1</v>
      </c>
      <c r="S255" s="7">
        <f>IF(OR(AND(Q255=1,NOT(EXACT(Raw_Bookings!F255,O255))),AND(R255=1,NOT(EXACT(Raw_Bookings!G255,P255)))),1,0)</f>
        <v>0</v>
      </c>
      <c r="T255" s="7">
        <f>IF(OR(Q255=0,R255=0),1,0)</f>
        <v>0</v>
      </c>
      <c r="U255" s="7">
        <f>IF(TRIM(Raw_Bookings!E255&amp;"")="",1,0)</f>
        <v>0</v>
      </c>
      <c r="V255" s="7" t="str">
        <f>IF(SUMPRODUCT(--(Lookup_Status!$A$2:$A$13=LOWER(TRIM(Raw_Bookings!K255))))=0,"",INDEX(Lookup_Status!$B$2:$B$13,SUMPRODUCT((Lookup_Status!$A$2:$A$13=LOWER(TRIM(Raw_Bookings!K255)))*(ROW(Lookup_Status!$A$2:$A$13)-1))))</f>
        <v>Cancelled</v>
      </c>
      <c r="W255" s="7">
        <f>IF(AND(V255&lt;&gt;"",NOT(EXACT(Raw_Bookings!K255,V255))),1,0)</f>
        <v>0</v>
      </c>
      <c r="X255" s="7">
        <f>IF(V255="",1,0)</f>
        <v>0</v>
      </c>
      <c r="Y255" s="7">
        <f>IF(TRIM(Raw_Bookings!L255&amp;"")="",1,0)</f>
        <v>0</v>
      </c>
      <c r="Z255" s="7">
        <f>IF(AND(ISTEXT(Raw_Bookings!L255),Y255=0),1,0)</f>
        <v>0</v>
      </c>
      <c r="AA255" s="7">
        <f>IF(Z255=1,IFERROR(VALUE(SUBSTITUTE(SUBSTITUTE(SUBSTITUTE(SUBSTITUTE(SUBSTITUTE(UPPER(Raw_Bookings!L255),"RS.",""),"₹",""),",","")," ",""),"INR","")),""),"")</f>
        <v/>
      </c>
      <c r="AB255" s="7">
        <f>IF(AND(Z255=1,ISNUMBER(AA255)),1,0)</f>
        <v>0</v>
      </c>
      <c r="AC255" s="7">
        <f>IF(B255=1,0,IF(NOT(ISNUMBER(Raw_Bookings!J255)),1,IF(Raw_Bookings!J255&lt;&gt;COUNTIFS(Work_Passengers!$B$2:$B$1336,Raw_Bookings!A255,Work_Passengers!$C$2:$C$1336,0),1,0)))</f>
        <v>0</v>
      </c>
    </row>
    <row r="256" spans="1:29">
      <c r="A256" s="7">
        <f>Raw_Bookings!A256</f>
        <v>1081720</v>
      </c>
      <c r="B256" s="7">
        <f>IF(COUNTIF(Raw_Bookings!$A$2:A256,Raw_Bookings!A256)&gt;1,1,0)</f>
        <v>0</v>
      </c>
      <c r="C256" s="7" t="str">
        <f>Raw_Bookings!D256&amp;""</f>
        <v>2025-00-10</v>
      </c>
      <c r="D256" s="7" t="str">
        <f>IF(AND(LEN(C256)=10,MID(C256,5,1)="-",MID(C256,8,1)="-"),"ISO",IF(AND(LEN(C256)=10,MID(C256,3,1)="-",MID(C256,6,1)="-"),"DMY","OTHER"))</f>
        <v>ISO</v>
      </c>
      <c r="E256" s="7">
        <f>IF(D256="ISO",VALUE(LEFT(C256,4)),IF(D256="DMY",VALUE(RIGHT(C256,4)),0))</f>
        <v>2025</v>
      </c>
      <c r="F256" s="7">
        <f>IF(D256="ISO",VALUE(MID(C256,6,2)),IF(D256="DMY",VALUE(MID(C256,4,2)),0))</f>
        <v>0</v>
      </c>
      <c r="G256" s="7">
        <f>IF(D256="ISO",VALUE(RIGHT(C256,2)),IF(D256="DMY",VALUE(LEFT(C256,2)),0))</f>
        <v>10</v>
      </c>
      <c r="H256" s="7">
        <f>IF(AND(D256&lt;&gt;"OTHER",F256&gt;=1,F256&lt;=12,G256&gt;=1,G256&lt;=31),IF(AND(MONTH(DATE(E256,F256,G256))=F256,DAY(DATE(E256,F256,G256))=G256),1,0),0)</f>
        <v>0</v>
      </c>
      <c r="I256" s="7">
        <f>IF(H256=1,DATE(E256,F256,G256),"")</f>
        <v/>
      </c>
      <c r="J256" s="7">
        <f>IF(AND(D256="DMY",H256=1),1,0)</f>
        <v>0</v>
      </c>
      <c r="K256" s="7">
        <f>IF(H256=0,1,0)</f>
        <v>1</v>
      </c>
      <c r="L256" s="7">
        <f>IF(TRIM(Raw_Bookings!I256&amp;"")="",1,0)</f>
        <v>0</v>
      </c>
      <c r="M256" s="7">
        <f>IF(L256=1,"",DATEVALUE(LEFT(Raw_Bookings!I256,10))+TIMEVALUE(MID(Raw_Bookings!I256,12,8)))</f>
        <v>45809.28155092592</v>
      </c>
      <c r="N256" s="7">
        <f>IF(AND(L256=0,H256=1),IF(INT(M256)&gt;I256,1,0),0)</f>
        <v>0</v>
      </c>
      <c r="O256" s="7" t="str">
        <f>UPPER(TRIM(Raw_Bookings!F256))</f>
        <v>DIB</v>
      </c>
      <c r="P256" s="7" t="str">
        <f>UPPER(TRIM(Raw_Bookings!G256))</f>
        <v>DEL</v>
      </c>
      <c r="Q256" s="7">
        <f>IF(COUNTIF(Lookup_Stations!$A$2:$A$33,O256)&gt;0,1,0)</f>
        <v>1</v>
      </c>
      <c r="R256" s="7">
        <f>IF(COUNTIF(Lookup_Stations!$A$2:$A$33,P256)&gt;0,1,0)</f>
        <v>1</v>
      </c>
      <c r="S256" s="7">
        <f>IF(OR(AND(Q256=1,NOT(EXACT(Raw_Bookings!F256,O256))),AND(R256=1,NOT(EXACT(Raw_Bookings!G256,P256)))),1,0)</f>
        <v>0</v>
      </c>
      <c r="T256" s="7">
        <f>IF(OR(Q256=0,R256=0),1,0)</f>
        <v>0</v>
      </c>
      <c r="U256" s="7">
        <f>IF(TRIM(Raw_Bookings!E256&amp;"")="",1,0)</f>
        <v>0</v>
      </c>
      <c r="V256" s="7" t="str">
        <f>IF(SUMPRODUCT(--(Lookup_Status!$A$2:$A$13=LOWER(TRIM(Raw_Bookings!K256))))=0,"",INDEX(Lookup_Status!$B$2:$B$13,SUMPRODUCT((Lookup_Status!$A$2:$A$13=LOWER(TRIM(Raw_Bookings!K256)))*(ROW(Lookup_Status!$A$2:$A$13)-1))))</f>
        <v>Confirmed</v>
      </c>
      <c r="W256" s="7">
        <f>IF(AND(V256&lt;&gt;"",NOT(EXACT(Raw_Bookings!K256,V256))),1,0)</f>
        <v>0</v>
      </c>
      <c r="X256" s="7">
        <f>IF(V256="",1,0)</f>
        <v>0</v>
      </c>
      <c r="Y256" s="7">
        <f>IF(TRIM(Raw_Bookings!L256&amp;"")="",1,0)</f>
        <v>0</v>
      </c>
      <c r="Z256" s="7">
        <f>IF(AND(ISTEXT(Raw_Bookings!L256),Y256=0),1,0)</f>
        <v>0</v>
      </c>
      <c r="AA256" s="7">
        <f>IF(Z256=1,IFERROR(VALUE(SUBSTITUTE(SUBSTITUTE(SUBSTITUTE(SUBSTITUTE(SUBSTITUTE(UPPER(Raw_Bookings!L256),"RS.",""),"₹",""),",","")," ",""),"INR","")),""),"")</f>
        <v/>
      </c>
      <c r="AB256" s="7">
        <f>IF(AND(Z256=1,ISNUMBER(AA256)),1,0)</f>
        <v>0</v>
      </c>
      <c r="AC256" s="7">
        <f>IF(B256=1,0,IF(NOT(ISNUMBER(Raw_Bookings!J256)),1,IF(Raw_Bookings!J256&lt;&gt;COUNTIFS(Work_Passengers!$B$2:$B$1336,Raw_Bookings!A256,Work_Passengers!$C$2:$C$1336,0),1,0)))</f>
        <v>0</v>
      </c>
    </row>
    <row r="257" spans="1:29">
      <c r="A257" s="7">
        <f>Raw_Bookings!A257</f>
        <v>1081876</v>
      </c>
      <c r="B257" s="7">
        <f>IF(COUNTIF(Raw_Bookings!$A$2:A257,Raw_Bookings!A257)&gt;1,1,0)</f>
        <v>0</v>
      </c>
      <c r="C257" s="7" t="str">
        <f>Raw_Bookings!D257&amp;""</f>
        <v>2025-07-19</v>
      </c>
      <c r="D257" s="7" t="str">
        <f>IF(AND(LEN(C257)=10,MID(C257,5,1)="-",MID(C257,8,1)="-"),"ISO",IF(AND(LEN(C257)=10,MID(C257,3,1)="-",MID(C257,6,1)="-"),"DMY","OTHER"))</f>
        <v>ISO</v>
      </c>
      <c r="E257" s="7">
        <f>IF(D257="ISO",VALUE(LEFT(C257,4)),IF(D257="DMY",VALUE(RIGHT(C257,4)),0))</f>
        <v>2025</v>
      </c>
      <c r="F257" s="7">
        <f>IF(D257="ISO",VALUE(MID(C257,6,2)),IF(D257="DMY",VALUE(MID(C257,4,2)),0))</f>
        <v>7</v>
      </c>
      <c r="G257" s="7">
        <f>IF(D257="ISO",VALUE(RIGHT(C257,2)),IF(D257="DMY",VALUE(LEFT(C257,2)),0))</f>
        <v>19</v>
      </c>
      <c r="H257" s="7">
        <f>IF(AND(D257&lt;&gt;"OTHER",F257&gt;=1,F257&lt;=12,G257&gt;=1,G257&lt;=31),IF(AND(MONTH(DATE(E257,F257,G257))=F257,DAY(DATE(E257,F257,G257))=G257),1,0),0)</f>
        <v>1</v>
      </c>
      <c r="I257" s="7">
        <f>IF(H257=1,DATE(E257,F257,G257),"")</f>
        <v>45857.0</v>
      </c>
      <c r="J257" s="7">
        <f>IF(AND(D257="DMY",H257=1),1,0)</f>
        <v>0</v>
      </c>
      <c r="K257" s="7">
        <f>IF(H257=0,1,0)</f>
        <v>0</v>
      </c>
      <c r="L257" s="7">
        <f>IF(TRIM(Raw_Bookings!I257&amp;"")="",1,0)</f>
        <v>0</v>
      </c>
      <c r="M257" s="7">
        <f>IF(L257=1,"",DATEVALUE(LEFT(Raw_Bookings!I257,10))+TIMEVALUE(MID(Raw_Bookings!I257,12,8)))</f>
        <v>45809.71953703704</v>
      </c>
      <c r="N257" s="7">
        <f>IF(AND(L257=0,H257=1),IF(INT(M257)&gt;I257,1,0),0)</f>
        <v>0</v>
      </c>
      <c r="O257" s="7" t="str">
        <f>UPPER(TRIM(Raw_Bookings!F257))</f>
        <v>BHU</v>
      </c>
      <c r="P257" s="7" t="str">
        <f>UPPER(TRIM(Raw_Bookings!G257))</f>
        <v>KOC</v>
      </c>
      <c r="Q257" s="7">
        <f>IF(COUNTIF(Lookup_Stations!$A$2:$A$33,O257)&gt;0,1,0)</f>
        <v>1</v>
      </c>
      <c r="R257" s="7">
        <f>IF(COUNTIF(Lookup_Stations!$A$2:$A$33,P257)&gt;0,1,0)</f>
        <v>1</v>
      </c>
      <c r="S257" s="7">
        <f>IF(OR(AND(Q257=1,NOT(EXACT(Raw_Bookings!F257,O257))),AND(R257=1,NOT(EXACT(Raw_Bookings!G257,P257)))),1,0)</f>
        <v>0</v>
      </c>
      <c r="T257" s="7">
        <f>IF(OR(Q257=0,R257=0),1,0)</f>
        <v>0</v>
      </c>
      <c r="U257" s="7">
        <f>IF(TRIM(Raw_Bookings!E257&amp;"")="",1,0)</f>
        <v>0</v>
      </c>
      <c r="V257" s="7" t="str">
        <f>IF(SUMPRODUCT(--(Lookup_Status!$A$2:$A$13=LOWER(TRIM(Raw_Bookings!K257))))=0,"",INDEX(Lookup_Status!$B$2:$B$13,SUMPRODUCT((Lookup_Status!$A$2:$A$13=LOWER(TRIM(Raw_Bookings!K257)))*(ROW(Lookup_Status!$A$2:$A$13)-1))))</f>
        <v>Confirmed</v>
      </c>
      <c r="W257" s="7">
        <f>IF(AND(V257&lt;&gt;"",NOT(EXACT(Raw_Bookings!K257,V257))),1,0)</f>
        <v>0</v>
      </c>
      <c r="X257" s="7">
        <f>IF(V257="",1,0)</f>
        <v>0</v>
      </c>
      <c r="Y257" s="7">
        <f>IF(TRIM(Raw_Bookings!L257&amp;"")="",1,0)</f>
        <v>0</v>
      </c>
      <c r="Z257" s="7">
        <f>IF(AND(ISTEXT(Raw_Bookings!L257),Y257=0),1,0)</f>
        <v>0</v>
      </c>
      <c r="AA257" s="7">
        <f>IF(Z257=1,IFERROR(VALUE(SUBSTITUTE(SUBSTITUTE(SUBSTITUTE(SUBSTITUTE(SUBSTITUTE(UPPER(Raw_Bookings!L257),"RS.",""),"₹",""),",","")," ",""),"INR","")),""),"")</f>
        <v/>
      </c>
      <c r="AB257" s="7">
        <f>IF(AND(Z257=1,ISNUMBER(AA257)),1,0)</f>
        <v>0</v>
      </c>
      <c r="AC257" s="7">
        <f>IF(B257=1,0,IF(NOT(ISNUMBER(Raw_Bookings!J257)),1,IF(Raw_Bookings!J257&lt;&gt;COUNTIFS(Work_Passengers!$B$2:$B$1336,Raw_Bookings!A257,Work_Passengers!$C$2:$C$1336,0),1,0)))</f>
        <v>0</v>
      </c>
    </row>
    <row r="258" spans="1:29">
      <c r="A258" s="7">
        <f>Raw_Bookings!A258</f>
        <v>1082449</v>
      </c>
      <c r="B258" s="7">
        <f>IF(COUNTIF(Raw_Bookings!$A$2:A258,Raw_Bookings!A258)&gt;1,1,0)</f>
        <v>0</v>
      </c>
      <c r="C258" s="7" t="str">
        <f>Raw_Bookings!D258&amp;""</f>
        <v>2025-06-13</v>
      </c>
      <c r="D258" s="7" t="str">
        <f>IF(AND(LEN(C258)=10,MID(C258,5,1)="-",MID(C258,8,1)="-"),"ISO",IF(AND(LEN(C258)=10,MID(C258,3,1)="-",MID(C258,6,1)="-"),"DMY","OTHER"))</f>
        <v>ISO</v>
      </c>
      <c r="E258" s="7">
        <f>IF(D258="ISO",VALUE(LEFT(C258,4)),IF(D258="DMY",VALUE(RIGHT(C258,4)),0))</f>
        <v>2025</v>
      </c>
      <c r="F258" s="7">
        <f>IF(D258="ISO",VALUE(MID(C258,6,2)),IF(D258="DMY",VALUE(MID(C258,4,2)),0))</f>
        <v>6</v>
      </c>
      <c r="G258" s="7">
        <f>IF(D258="ISO",VALUE(RIGHT(C258,2)),IF(D258="DMY",VALUE(LEFT(C258,2)),0))</f>
        <v>13</v>
      </c>
      <c r="H258" s="7">
        <f>IF(AND(D258&lt;&gt;"OTHER",F258&gt;=1,F258&lt;=12,G258&gt;=1,G258&lt;=31),IF(AND(MONTH(DATE(E258,F258,G258))=F258,DAY(DATE(E258,F258,G258))=G258),1,0),0)</f>
        <v>1</v>
      </c>
      <c r="I258" s="7">
        <f>IF(H258=1,DATE(E258,F258,G258),"")</f>
        <v>45821.0</v>
      </c>
      <c r="J258" s="7">
        <f>IF(AND(D258="DMY",H258=1),1,0)</f>
        <v>0</v>
      </c>
      <c r="K258" s="7">
        <f>IF(H258=0,1,0)</f>
        <v>0</v>
      </c>
      <c r="L258" s="7">
        <f>IF(TRIM(Raw_Bookings!I258&amp;"")="",1,0)</f>
        <v>0</v>
      </c>
      <c r="M258" s="7">
        <f>IF(L258=1,"",DATEVALUE(LEFT(Raw_Bookings!I258,10))+TIMEVALUE(MID(Raw_Bookings!I258,12,8)))</f>
        <v>45811.86787037037</v>
      </c>
      <c r="N258" s="7">
        <f>IF(AND(L258=0,H258=1),IF(INT(M258)&gt;I258,1,0),0)</f>
        <v>0</v>
      </c>
      <c r="O258" s="7" t="str">
        <f>UPPER(TRIM(Raw_Bookings!F258))</f>
        <v>JAI</v>
      </c>
      <c r="P258" s="7" t="str">
        <f>UPPER(TRIM(Raw_Bookings!G258))</f>
        <v>RAI</v>
      </c>
      <c r="Q258" s="7">
        <f>IF(COUNTIF(Lookup_Stations!$A$2:$A$33,O258)&gt;0,1,0)</f>
        <v>1</v>
      </c>
      <c r="R258" s="7">
        <f>IF(COUNTIF(Lookup_Stations!$A$2:$A$33,P258)&gt;0,1,0)</f>
        <v>1</v>
      </c>
      <c r="S258" s="7">
        <f>IF(OR(AND(Q258=1,NOT(EXACT(Raw_Bookings!F258,O258))),AND(R258=1,NOT(EXACT(Raw_Bookings!G258,P258)))),1,0)</f>
        <v>0</v>
      </c>
      <c r="T258" s="7">
        <f>IF(OR(Q258=0,R258=0),1,0)</f>
        <v>0</v>
      </c>
      <c r="U258" s="7">
        <f>IF(TRIM(Raw_Bookings!E258&amp;"")="",1,0)</f>
        <v>0</v>
      </c>
      <c r="V258" s="7" t="str">
        <f>IF(SUMPRODUCT(--(Lookup_Status!$A$2:$A$13=LOWER(TRIM(Raw_Bookings!K258))))=0,"",INDEX(Lookup_Status!$B$2:$B$13,SUMPRODUCT((Lookup_Status!$A$2:$A$13=LOWER(TRIM(Raw_Bookings!K258)))*(ROW(Lookup_Status!$A$2:$A$13)-1))))</f>
        <v>Confirmed</v>
      </c>
      <c r="W258" s="7">
        <f>IF(AND(V258&lt;&gt;"",NOT(EXACT(Raw_Bookings!K258,V258))),1,0)</f>
        <v>0</v>
      </c>
      <c r="X258" s="7">
        <f>IF(V258="",1,0)</f>
        <v>0</v>
      </c>
      <c r="Y258" s="7">
        <f>IF(TRIM(Raw_Bookings!L258&amp;"")="",1,0)</f>
        <v>0</v>
      </c>
      <c r="Z258" s="7">
        <f>IF(AND(ISTEXT(Raw_Bookings!L258),Y258=0),1,0)</f>
        <v>0</v>
      </c>
      <c r="AA258" s="7">
        <f>IF(Z258=1,IFERROR(VALUE(SUBSTITUTE(SUBSTITUTE(SUBSTITUTE(SUBSTITUTE(SUBSTITUTE(UPPER(Raw_Bookings!L258),"RS.",""),"₹",""),",","")," ",""),"INR","")),""),"")</f>
        <v/>
      </c>
      <c r="AB258" s="7">
        <f>IF(AND(Z258=1,ISNUMBER(AA258)),1,0)</f>
        <v>0</v>
      </c>
      <c r="AC258" s="7">
        <f>IF(B258=1,0,IF(NOT(ISNUMBER(Raw_Bookings!J258)),1,IF(Raw_Bookings!J258&lt;&gt;COUNTIFS(Work_Passengers!$B$2:$B$1336,Raw_Bookings!A258,Work_Passengers!$C$2:$C$1336,0),1,0)))</f>
        <v>0</v>
      </c>
    </row>
    <row r="259" spans="1:29">
      <c r="A259" s="7">
        <f>Raw_Bookings!A259</f>
        <v>1083870</v>
      </c>
      <c r="B259" s="7">
        <f>IF(COUNTIF(Raw_Bookings!$A$2:A259,Raw_Bookings!A259)&gt;1,1,0)</f>
        <v>0</v>
      </c>
      <c r="C259" s="7" t="str">
        <f>Raw_Bookings!D259&amp;""</f>
        <v>2025-06-10</v>
      </c>
      <c r="D259" s="7" t="str">
        <f>IF(AND(LEN(C259)=10,MID(C259,5,1)="-",MID(C259,8,1)="-"),"ISO",IF(AND(LEN(C259)=10,MID(C259,3,1)="-",MID(C259,6,1)="-"),"DMY","OTHER"))</f>
        <v>ISO</v>
      </c>
      <c r="E259" s="7">
        <f>IF(D259="ISO",VALUE(LEFT(C259,4)),IF(D259="DMY",VALUE(RIGHT(C259,4)),0))</f>
        <v>2025</v>
      </c>
      <c r="F259" s="7">
        <f>IF(D259="ISO",VALUE(MID(C259,6,2)),IF(D259="DMY",VALUE(MID(C259,4,2)),0))</f>
        <v>6</v>
      </c>
      <c r="G259" s="7">
        <f>IF(D259="ISO",VALUE(RIGHT(C259,2)),IF(D259="DMY",VALUE(LEFT(C259,2)),0))</f>
        <v>10</v>
      </c>
      <c r="H259" s="7">
        <f>IF(AND(D259&lt;&gt;"OTHER",F259&gt;=1,F259&lt;=12,G259&gt;=1,G259&lt;=31),IF(AND(MONTH(DATE(E259,F259,G259))=F259,DAY(DATE(E259,F259,G259))=G259),1,0),0)</f>
        <v>1</v>
      </c>
      <c r="I259" s="7">
        <f>IF(H259=1,DATE(E259,F259,G259),"")</f>
        <v>45818.0</v>
      </c>
      <c r="J259" s="7">
        <f>IF(AND(D259="DMY",H259=1),1,0)</f>
        <v>0</v>
      </c>
      <c r="K259" s="7">
        <f>IF(H259=0,1,0)</f>
        <v>0</v>
      </c>
      <c r="L259" s="7">
        <f>IF(TRIM(Raw_Bookings!I259&amp;"")="",1,0)</f>
        <v>0</v>
      </c>
      <c r="M259" s="7">
        <f>IF(L259=1,"",DATEVALUE(LEFT(Raw_Bookings!I259,10))+TIMEVALUE(MID(Raw_Bookings!I259,12,8)))</f>
        <v>45816.86454861111</v>
      </c>
      <c r="N259" s="7">
        <f>IF(AND(L259=0,H259=1),IF(INT(M259)&gt;I259,1,0),0)</f>
        <v>0</v>
      </c>
      <c r="O259" s="7" t="str">
        <f>UPPER(TRIM(Raw_Bookings!F259))</f>
        <v>BHO</v>
      </c>
      <c r="P259" s="7" t="str">
        <f>UPPER(TRIM(Raw_Bookings!G259))</f>
        <v>JAI</v>
      </c>
      <c r="Q259" s="7">
        <f>IF(COUNTIF(Lookup_Stations!$A$2:$A$33,O259)&gt;0,1,0)</f>
        <v>1</v>
      </c>
      <c r="R259" s="7">
        <f>IF(COUNTIF(Lookup_Stations!$A$2:$A$33,P259)&gt;0,1,0)</f>
        <v>1</v>
      </c>
      <c r="S259" s="7">
        <f>IF(OR(AND(Q259=1,NOT(EXACT(Raw_Bookings!F259,O259))),AND(R259=1,NOT(EXACT(Raw_Bookings!G259,P259)))),1,0)</f>
        <v>0</v>
      </c>
      <c r="T259" s="7">
        <f>IF(OR(Q259=0,R259=0),1,0)</f>
        <v>0</v>
      </c>
      <c r="U259" s="7">
        <f>IF(TRIM(Raw_Bookings!E259&amp;"")="",1,0)</f>
        <v>0</v>
      </c>
      <c r="V259" s="7" t="str">
        <f>IF(SUMPRODUCT(--(Lookup_Status!$A$2:$A$13=LOWER(TRIM(Raw_Bookings!K259))))=0,"",INDEX(Lookup_Status!$B$2:$B$13,SUMPRODUCT((Lookup_Status!$A$2:$A$13=LOWER(TRIM(Raw_Bookings!K259)))*(ROW(Lookup_Status!$A$2:$A$13)-1))))</f>
        <v>Confirmed</v>
      </c>
      <c r="W259" s="7">
        <f>IF(AND(V259&lt;&gt;"",NOT(EXACT(Raw_Bookings!K259,V259))),1,0)</f>
        <v>0</v>
      </c>
      <c r="X259" s="7">
        <f>IF(V259="",1,0)</f>
        <v>0</v>
      </c>
      <c r="Y259" s="7">
        <f>IF(TRIM(Raw_Bookings!L259&amp;"")="",1,0)</f>
        <v>0</v>
      </c>
      <c r="Z259" s="7">
        <f>IF(AND(ISTEXT(Raw_Bookings!L259),Y259=0),1,0)</f>
        <v>0</v>
      </c>
      <c r="AA259" s="7">
        <f>IF(Z259=1,IFERROR(VALUE(SUBSTITUTE(SUBSTITUTE(SUBSTITUTE(SUBSTITUTE(SUBSTITUTE(UPPER(Raw_Bookings!L259),"RS.",""),"₹",""),",","")," ",""),"INR","")),""),"")</f>
        <v/>
      </c>
      <c r="AB259" s="7">
        <f>IF(AND(Z259=1,ISNUMBER(AA259)),1,0)</f>
        <v>0</v>
      </c>
      <c r="AC259" s="7">
        <f>IF(B259=1,0,IF(NOT(ISNUMBER(Raw_Bookings!J259)),1,IF(Raw_Bookings!J259&lt;&gt;COUNTIFS(Work_Passengers!$B$2:$B$1336,Raw_Bookings!A259,Work_Passengers!$C$2:$C$1336,0),1,0)))</f>
        <v>0</v>
      </c>
    </row>
    <row r="260" spans="1:29">
      <c r="A260" s="7">
        <f>Raw_Bookings!A260</f>
        <v>1084581</v>
      </c>
      <c r="B260" s="7">
        <f>IF(COUNTIF(Raw_Bookings!$A$2:A260,Raw_Bookings!A260)&gt;1,1,0)</f>
        <v>0</v>
      </c>
      <c r="C260" s="7" t="str">
        <f>Raw_Bookings!D260&amp;""</f>
        <v>2025-07-09</v>
      </c>
      <c r="D260" s="7" t="str">
        <f>IF(AND(LEN(C260)=10,MID(C260,5,1)="-",MID(C260,8,1)="-"),"ISO",IF(AND(LEN(C260)=10,MID(C260,3,1)="-",MID(C260,6,1)="-"),"DMY","OTHER"))</f>
        <v>ISO</v>
      </c>
      <c r="E260" s="7">
        <f>IF(D260="ISO",VALUE(LEFT(C260,4)),IF(D260="DMY",VALUE(RIGHT(C260,4)),0))</f>
        <v>2025</v>
      </c>
      <c r="F260" s="7">
        <f>IF(D260="ISO",VALUE(MID(C260,6,2)),IF(D260="DMY",VALUE(MID(C260,4,2)),0))</f>
        <v>7</v>
      </c>
      <c r="G260" s="7">
        <f>IF(D260="ISO",VALUE(RIGHT(C260,2)),IF(D260="DMY",VALUE(LEFT(C260,2)),0))</f>
        <v>9</v>
      </c>
      <c r="H260" s="7">
        <f>IF(AND(D260&lt;&gt;"OTHER",F260&gt;=1,F260&lt;=12,G260&gt;=1,G260&lt;=31),IF(AND(MONTH(DATE(E260,F260,G260))=F260,DAY(DATE(E260,F260,G260))=G260),1,0),0)</f>
        <v>1</v>
      </c>
      <c r="I260" s="7">
        <f>IF(H260=1,DATE(E260,F260,G260),"")</f>
        <v>45847.0</v>
      </c>
      <c r="J260" s="7">
        <f>IF(AND(D260="DMY",H260=1),1,0)</f>
        <v>0</v>
      </c>
      <c r="K260" s="7">
        <f>IF(H260=0,1,0)</f>
        <v>0</v>
      </c>
      <c r="L260" s="7">
        <f>IF(TRIM(Raw_Bookings!I260&amp;"")="",1,0)</f>
        <v>0</v>
      </c>
      <c r="M260" s="7">
        <f>IF(L260=1,"",DATEVALUE(LEFT(Raw_Bookings!I260,10))+TIMEVALUE(MID(Raw_Bookings!I260,12,8)))</f>
        <v>45819.607256944444</v>
      </c>
      <c r="N260" s="7">
        <f>IF(AND(L260=0,H260=1),IF(INT(M260)&gt;I260,1,0),0)</f>
        <v>0</v>
      </c>
      <c r="O260" s="7" t="str">
        <f>UPPER(TRIM(Raw_Bookings!F260))</f>
        <v>LUC</v>
      </c>
      <c r="P260" s="7" t="str">
        <f>UPPER(TRIM(Raw_Bookings!G260))</f>
        <v>MUM</v>
      </c>
      <c r="Q260" s="7">
        <f>IF(COUNTIF(Lookup_Stations!$A$2:$A$33,O260)&gt;0,1,0)</f>
        <v>1</v>
      </c>
      <c r="R260" s="7">
        <f>IF(COUNTIF(Lookup_Stations!$A$2:$A$33,P260)&gt;0,1,0)</f>
        <v>1</v>
      </c>
      <c r="S260" s="7">
        <f>IF(OR(AND(Q260=1,NOT(EXACT(Raw_Bookings!F260,O260))),AND(R260=1,NOT(EXACT(Raw_Bookings!G260,P260)))),1,0)</f>
        <v>0</v>
      </c>
      <c r="T260" s="7">
        <f>IF(OR(Q260=0,R260=0),1,0)</f>
        <v>0</v>
      </c>
      <c r="U260" s="7">
        <f>IF(TRIM(Raw_Bookings!E260&amp;"")="",1,0)</f>
        <v>0</v>
      </c>
      <c r="V260" s="7" t="str">
        <f>IF(SUMPRODUCT(--(Lookup_Status!$A$2:$A$13=LOWER(TRIM(Raw_Bookings!K260))))=0,"",INDEX(Lookup_Status!$B$2:$B$13,SUMPRODUCT((Lookup_Status!$A$2:$A$13=LOWER(TRIM(Raw_Bookings!K260)))*(ROW(Lookup_Status!$A$2:$A$13)-1))))</f>
        <v>Confirmed</v>
      </c>
      <c r="W260" s="7">
        <f>IF(AND(V260&lt;&gt;"",NOT(EXACT(Raw_Bookings!K260,V260))),1,0)</f>
        <v>0</v>
      </c>
      <c r="X260" s="7">
        <f>IF(V260="",1,0)</f>
        <v>0</v>
      </c>
      <c r="Y260" s="7">
        <f>IF(TRIM(Raw_Bookings!L260&amp;"")="",1,0)</f>
        <v>0</v>
      </c>
      <c r="Z260" s="7">
        <f>IF(AND(ISTEXT(Raw_Bookings!L260),Y260=0),1,0)</f>
        <v>0</v>
      </c>
      <c r="AA260" s="7">
        <f>IF(Z260=1,IFERROR(VALUE(SUBSTITUTE(SUBSTITUTE(SUBSTITUTE(SUBSTITUTE(SUBSTITUTE(UPPER(Raw_Bookings!L260),"RS.",""),"₹",""),",","")," ",""),"INR","")),""),"")</f>
        <v/>
      </c>
      <c r="AB260" s="7">
        <f>IF(AND(Z260=1,ISNUMBER(AA260)),1,0)</f>
        <v>0</v>
      </c>
      <c r="AC260" s="7">
        <f>IF(B260=1,0,IF(NOT(ISNUMBER(Raw_Bookings!J260)),1,IF(Raw_Bookings!J260&lt;&gt;COUNTIFS(Work_Passengers!$B$2:$B$1336,Raw_Bookings!A260,Work_Passengers!$C$2:$C$1336,0),1,0)))</f>
        <v>0</v>
      </c>
    </row>
    <row r="261" spans="1:29">
      <c r="A261" s="7">
        <f>Raw_Bookings!A261</f>
        <v>1084587</v>
      </c>
      <c r="B261" s="7">
        <f>IF(COUNTIF(Raw_Bookings!$A$2:A261,Raw_Bookings!A261)&gt;1,1,0)</f>
        <v>0</v>
      </c>
      <c r="C261" s="7" t="str">
        <f>Raw_Bookings!D261&amp;""</f>
        <v>2025-06-27</v>
      </c>
      <c r="D261" s="7" t="str">
        <f>IF(AND(LEN(C261)=10,MID(C261,5,1)="-",MID(C261,8,1)="-"),"ISO",IF(AND(LEN(C261)=10,MID(C261,3,1)="-",MID(C261,6,1)="-"),"DMY","OTHER"))</f>
        <v>ISO</v>
      </c>
      <c r="E261" s="7">
        <f>IF(D261="ISO",VALUE(LEFT(C261,4)),IF(D261="DMY",VALUE(RIGHT(C261,4)),0))</f>
        <v>2025</v>
      </c>
      <c r="F261" s="7">
        <f>IF(D261="ISO",VALUE(MID(C261,6,2)),IF(D261="DMY",VALUE(MID(C261,4,2)),0))</f>
        <v>6</v>
      </c>
      <c r="G261" s="7">
        <f>IF(D261="ISO",VALUE(RIGHT(C261,2)),IF(D261="DMY",VALUE(LEFT(C261,2)),0))</f>
        <v>27</v>
      </c>
      <c r="H261" s="7">
        <f>IF(AND(D261&lt;&gt;"OTHER",F261&gt;=1,F261&lt;=12,G261&gt;=1,G261&lt;=31),IF(AND(MONTH(DATE(E261,F261,G261))=F261,DAY(DATE(E261,F261,G261))=G261),1,0),0)</f>
        <v>1</v>
      </c>
      <c r="I261" s="7">
        <f>IF(H261=1,DATE(E261,F261,G261),"")</f>
        <v>45835.0</v>
      </c>
      <c r="J261" s="7">
        <f>IF(AND(D261="DMY",H261=1),1,0)</f>
        <v>0</v>
      </c>
      <c r="K261" s="7">
        <f>IF(H261=0,1,0)</f>
        <v>0</v>
      </c>
      <c r="L261" s="7">
        <f>IF(TRIM(Raw_Bookings!I261&amp;"")="",1,0)</f>
        <v>0</v>
      </c>
      <c r="M261" s="7">
        <f>IF(L261=1,"",DATEVALUE(LEFT(Raw_Bookings!I261,10))+TIMEVALUE(MID(Raw_Bookings!I261,12,8)))</f>
        <v>45819.62856481481</v>
      </c>
      <c r="N261" s="7">
        <f>IF(AND(L261=0,H261=1),IF(INT(M261)&gt;I261,1,0),0)</f>
        <v>0</v>
      </c>
      <c r="O261" s="7" t="str">
        <f>UPPER(TRIM(Raw_Bookings!F261))</f>
        <v>LUC</v>
      </c>
      <c r="P261" s="7" t="str">
        <f>UPPER(TRIM(Raw_Bookings!G261))</f>
        <v>MUM</v>
      </c>
      <c r="Q261" s="7">
        <f>IF(COUNTIF(Lookup_Stations!$A$2:$A$33,O261)&gt;0,1,0)</f>
        <v>1</v>
      </c>
      <c r="R261" s="7">
        <f>IF(COUNTIF(Lookup_Stations!$A$2:$A$33,P261)&gt;0,1,0)</f>
        <v>1</v>
      </c>
      <c r="S261" s="7">
        <f>IF(OR(AND(Q261=1,NOT(EXACT(Raw_Bookings!F261,O261))),AND(R261=1,NOT(EXACT(Raw_Bookings!G261,P261)))),1,0)</f>
        <v>0</v>
      </c>
      <c r="T261" s="7">
        <f>IF(OR(Q261=0,R261=0),1,0)</f>
        <v>0</v>
      </c>
      <c r="U261" s="7">
        <f>IF(TRIM(Raw_Bookings!E261&amp;"")="",1,0)</f>
        <v>0</v>
      </c>
      <c r="V261" s="7" t="str">
        <f>IF(SUMPRODUCT(--(Lookup_Status!$A$2:$A$13=LOWER(TRIM(Raw_Bookings!K261))))=0,"",INDEX(Lookup_Status!$B$2:$B$13,SUMPRODUCT((Lookup_Status!$A$2:$A$13=LOWER(TRIM(Raw_Bookings!K261)))*(ROW(Lookup_Status!$A$2:$A$13)-1))))</f>
        <v>Confirmed</v>
      </c>
      <c r="W261" s="7">
        <f>IF(AND(V261&lt;&gt;"",NOT(EXACT(Raw_Bookings!K261,V261))),1,0)</f>
        <v>0</v>
      </c>
      <c r="X261" s="7">
        <f>IF(V261="",1,0)</f>
        <v>0</v>
      </c>
      <c r="Y261" s="7">
        <f>IF(TRIM(Raw_Bookings!L261&amp;"")="",1,0)</f>
        <v>0</v>
      </c>
      <c r="Z261" s="7">
        <f>IF(AND(ISTEXT(Raw_Bookings!L261),Y261=0),1,0)</f>
        <v>0</v>
      </c>
      <c r="AA261" s="7">
        <f>IF(Z261=1,IFERROR(VALUE(SUBSTITUTE(SUBSTITUTE(SUBSTITUTE(SUBSTITUTE(SUBSTITUTE(UPPER(Raw_Bookings!L261),"RS.",""),"₹",""),",","")," ",""),"INR","")),""),"")</f>
        <v/>
      </c>
      <c r="AB261" s="7">
        <f>IF(AND(Z261=1,ISNUMBER(AA261)),1,0)</f>
        <v>0</v>
      </c>
      <c r="AC261" s="7">
        <f>IF(B261=1,0,IF(NOT(ISNUMBER(Raw_Bookings!J261)),1,IF(Raw_Bookings!J261&lt;&gt;COUNTIFS(Work_Passengers!$B$2:$B$1336,Raw_Bookings!A261,Work_Passengers!$C$2:$C$1336,0),1,0)))</f>
        <v>0</v>
      </c>
    </row>
    <row r="262" spans="1:29">
      <c r="A262" s="7">
        <f>Raw_Bookings!A262</f>
        <v>1084667</v>
      </c>
      <c r="B262" s="7">
        <f>IF(COUNTIF(Raw_Bookings!$A$2:A262,Raw_Bookings!A262)&gt;1,1,0)</f>
        <v>0</v>
      </c>
      <c r="C262" s="7" t="str">
        <f>Raw_Bookings!D262&amp;""</f>
        <v>2025-06-13</v>
      </c>
      <c r="D262" s="7" t="str">
        <f>IF(AND(LEN(C262)=10,MID(C262,5,1)="-",MID(C262,8,1)="-"),"ISO",IF(AND(LEN(C262)=10,MID(C262,3,1)="-",MID(C262,6,1)="-"),"DMY","OTHER"))</f>
        <v>ISO</v>
      </c>
      <c r="E262" s="7">
        <f>IF(D262="ISO",VALUE(LEFT(C262,4)),IF(D262="DMY",VALUE(RIGHT(C262,4)),0))</f>
        <v>2025</v>
      </c>
      <c r="F262" s="7">
        <f>IF(D262="ISO",VALUE(MID(C262,6,2)),IF(D262="DMY",VALUE(MID(C262,4,2)),0))</f>
        <v>6</v>
      </c>
      <c r="G262" s="7">
        <f>IF(D262="ISO",VALUE(RIGHT(C262,2)),IF(D262="DMY",VALUE(LEFT(C262,2)),0))</f>
        <v>13</v>
      </c>
      <c r="H262" s="7">
        <f>IF(AND(D262&lt;&gt;"OTHER",F262&gt;=1,F262&lt;=12,G262&gt;=1,G262&lt;=31),IF(AND(MONTH(DATE(E262,F262,G262))=F262,DAY(DATE(E262,F262,G262))=G262),1,0),0)</f>
        <v>1</v>
      </c>
      <c r="I262" s="7">
        <f>IF(H262=1,DATE(E262,F262,G262),"")</f>
        <v>45821.0</v>
      </c>
      <c r="J262" s="7">
        <f>IF(AND(D262="DMY",H262=1),1,0)</f>
        <v>0</v>
      </c>
      <c r="K262" s="7">
        <f>IF(H262=0,1,0)</f>
        <v>0</v>
      </c>
      <c r="L262" s="7">
        <f>IF(TRIM(Raw_Bookings!I262&amp;"")="",1,0)</f>
        <v>0</v>
      </c>
      <c r="M262" s="7">
        <f>IF(L262=1,"",DATEVALUE(LEFT(Raw_Bookings!I262,10))+TIMEVALUE(MID(Raw_Bookings!I262,12,8)))</f>
        <v>45819.84810185185</v>
      </c>
      <c r="N262" s="7">
        <f>IF(AND(L262=0,H262=1),IF(INT(M262)&gt;I262,1,0),0)</f>
        <v>0</v>
      </c>
      <c r="O262" s="7" t="str">
        <f>UPPER(TRIM(Raw_Bookings!F262))</f>
        <v>VIJ</v>
      </c>
      <c r="P262" s="7" t="str">
        <f>UPPER(TRIM(Raw_Bookings!G262))</f>
        <v>PAT</v>
      </c>
      <c r="Q262" s="7">
        <f>IF(COUNTIF(Lookup_Stations!$A$2:$A$33,O262)&gt;0,1,0)</f>
        <v>1</v>
      </c>
      <c r="R262" s="7">
        <f>IF(COUNTIF(Lookup_Stations!$A$2:$A$33,P262)&gt;0,1,0)</f>
        <v>1</v>
      </c>
      <c r="S262" s="7">
        <f>IF(OR(AND(Q262=1,NOT(EXACT(Raw_Bookings!F262,O262))),AND(R262=1,NOT(EXACT(Raw_Bookings!G262,P262)))),1,0)</f>
        <v>0</v>
      </c>
      <c r="T262" s="7">
        <f>IF(OR(Q262=0,R262=0),1,0)</f>
        <v>0</v>
      </c>
      <c r="U262" s="7">
        <f>IF(TRIM(Raw_Bookings!E262&amp;"")="",1,0)</f>
        <v>0</v>
      </c>
      <c r="V262" s="7" t="str">
        <f>IF(SUMPRODUCT(--(Lookup_Status!$A$2:$A$13=LOWER(TRIM(Raw_Bookings!K262))))=0,"",INDEX(Lookup_Status!$B$2:$B$13,SUMPRODUCT((Lookup_Status!$A$2:$A$13=LOWER(TRIM(Raw_Bookings!K262)))*(ROW(Lookup_Status!$A$2:$A$13)-1))))</f>
        <v>RAC</v>
      </c>
      <c r="W262" s="7">
        <f>IF(AND(V262&lt;&gt;"",NOT(EXACT(Raw_Bookings!K262,V262))),1,0)</f>
        <v>0</v>
      </c>
      <c r="X262" s="7">
        <f>IF(V262="",1,0)</f>
        <v>0</v>
      </c>
      <c r="Y262" s="7">
        <f>IF(TRIM(Raw_Bookings!L262&amp;"")="",1,0)</f>
        <v>0</v>
      </c>
      <c r="Z262" s="7">
        <f>IF(AND(ISTEXT(Raw_Bookings!L262),Y262=0),1,0)</f>
        <v>0</v>
      </c>
      <c r="AA262" s="7">
        <f>IF(Z262=1,IFERROR(VALUE(SUBSTITUTE(SUBSTITUTE(SUBSTITUTE(SUBSTITUTE(SUBSTITUTE(UPPER(Raw_Bookings!L262),"RS.",""),"₹",""),",","")," ",""),"INR","")),""),"")</f>
        <v/>
      </c>
      <c r="AB262" s="7">
        <f>IF(AND(Z262=1,ISNUMBER(AA262)),1,0)</f>
        <v>0</v>
      </c>
      <c r="AC262" s="7">
        <f>IF(B262=1,0,IF(NOT(ISNUMBER(Raw_Bookings!J262)),1,IF(Raw_Bookings!J262&lt;&gt;COUNTIFS(Work_Passengers!$B$2:$B$1336,Raw_Bookings!A262,Work_Passengers!$C$2:$C$1336,0),1,0)))</f>
        <v>0</v>
      </c>
    </row>
    <row r="263" spans="1:29">
      <c r="A263" s="7">
        <f>Raw_Bookings!A263</f>
        <v>1084927</v>
      </c>
      <c r="B263" s="7">
        <f>IF(COUNTIF(Raw_Bookings!$A$2:A263,Raw_Bookings!A263)&gt;1,1,0)</f>
        <v>0</v>
      </c>
      <c r="C263" s="7" t="str">
        <f>Raw_Bookings!D263&amp;""</f>
        <v>2025-06-13</v>
      </c>
      <c r="D263" s="7" t="str">
        <f>IF(AND(LEN(C263)=10,MID(C263,5,1)="-",MID(C263,8,1)="-"),"ISO",IF(AND(LEN(C263)=10,MID(C263,3,1)="-",MID(C263,6,1)="-"),"DMY","OTHER"))</f>
        <v>ISO</v>
      </c>
      <c r="E263" s="7">
        <f>IF(D263="ISO",VALUE(LEFT(C263,4)),IF(D263="DMY",VALUE(RIGHT(C263,4)),0))</f>
        <v>2025</v>
      </c>
      <c r="F263" s="7">
        <f>IF(D263="ISO",VALUE(MID(C263,6,2)),IF(D263="DMY",VALUE(MID(C263,4,2)),0))</f>
        <v>6</v>
      </c>
      <c r="G263" s="7">
        <f>IF(D263="ISO",VALUE(RIGHT(C263,2)),IF(D263="DMY",VALUE(LEFT(C263,2)),0))</f>
        <v>13</v>
      </c>
      <c r="H263" s="7">
        <f>IF(AND(D263&lt;&gt;"OTHER",F263&gt;=1,F263&lt;=12,G263&gt;=1,G263&lt;=31),IF(AND(MONTH(DATE(E263,F263,G263))=F263,DAY(DATE(E263,F263,G263))=G263),1,0),0)</f>
        <v>1</v>
      </c>
      <c r="I263" s="7">
        <f>IF(H263=1,DATE(E263,F263,G263),"")</f>
        <v>45821.0</v>
      </c>
      <c r="J263" s="7">
        <f>IF(AND(D263="DMY",H263=1),1,0)</f>
        <v>0</v>
      </c>
      <c r="K263" s="7">
        <f>IF(H263=0,1,0)</f>
        <v>0</v>
      </c>
      <c r="L263" s="7">
        <f>IF(TRIM(Raw_Bookings!I263&amp;"")="",1,0)</f>
        <v>0</v>
      </c>
      <c r="M263" s="7">
        <f>IF(L263=1,"",DATEVALUE(LEFT(Raw_Bookings!I263,10))+TIMEVALUE(MID(Raw_Bookings!I263,12,8)))</f>
        <v>45820.76766203704</v>
      </c>
      <c r="N263" s="7">
        <f>IF(AND(L263=0,H263=1),IF(INT(M263)&gt;I263,1,0),0)</f>
        <v>0</v>
      </c>
      <c r="O263" s="7" t="str">
        <f>UPPER(TRIM(Raw_Bookings!F263))</f>
        <v>CHE</v>
      </c>
      <c r="P263" s="7" t="str">
        <f>UPPER(TRIM(Raw_Bookings!G263))</f>
        <v>AHM</v>
      </c>
      <c r="Q263" s="7">
        <f>IF(COUNTIF(Lookup_Stations!$A$2:$A$33,O263)&gt;0,1,0)</f>
        <v>1</v>
      </c>
      <c r="R263" s="7">
        <f>IF(COUNTIF(Lookup_Stations!$A$2:$A$33,P263)&gt;0,1,0)</f>
        <v>1</v>
      </c>
      <c r="S263" s="7">
        <f>IF(OR(AND(Q263=1,NOT(EXACT(Raw_Bookings!F263,O263))),AND(R263=1,NOT(EXACT(Raw_Bookings!G263,P263)))),1,0)</f>
        <v>0</v>
      </c>
      <c r="T263" s="7">
        <f>IF(OR(Q263=0,R263=0),1,0)</f>
        <v>0</v>
      </c>
      <c r="U263" s="7">
        <f>IF(TRIM(Raw_Bookings!E263&amp;"")="",1,0)</f>
        <v>0</v>
      </c>
      <c r="V263" s="7" t="str">
        <f>IF(SUMPRODUCT(--(Lookup_Status!$A$2:$A$13=LOWER(TRIM(Raw_Bookings!K263))))=0,"",INDEX(Lookup_Status!$B$2:$B$13,SUMPRODUCT((Lookup_Status!$A$2:$A$13=LOWER(TRIM(Raw_Bookings!K263)))*(ROW(Lookup_Status!$A$2:$A$13)-1))))</f>
        <v>Confirmed</v>
      </c>
      <c r="W263" s="7">
        <f>IF(AND(V263&lt;&gt;"",NOT(EXACT(Raw_Bookings!K263,V263))),1,0)</f>
        <v>0</v>
      </c>
      <c r="X263" s="7">
        <f>IF(V263="",1,0)</f>
        <v>0</v>
      </c>
      <c r="Y263" s="7">
        <f>IF(TRIM(Raw_Bookings!L263&amp;"")="",1,0)</f>
        <v>0</v>
      </c>
      <c r="Z263" s="7">
        <f>IF(AND(ISTEXT(Raw_Bookings!L263),Y263=0),1,0)</f>
        <v>0</v>
      </c>
      <c r="AA263" s="7">
        <f>IF(Z263=1,IFERROR(VALUE(SUBSTITUTE(SUBSTITUTE(SUBSTITUTE(SUBSTITUTE(SUBSTITUTE(UPPER(Raw_Bookings!L263),"RS.",""),"₹",""),",","")," ",""),"INR","")),""),"")</f>
        <v/>
      </c>
      <c r="AB263" s="7">
        <f>IF(AND(Z263=1,ISNUMBER(AA263)),1,0)</f>
        <v>0</v>
      </c>
      <c r="AC263" s="7">
        <f>IF(B263=1,0,IF(NOT(ISNUMBER(Raw_Bookings!J263)),1,IF(Raw_Bookings!J263&lt;&gt;COUNTIFS(Work_Passengers!$B$2:$B$1336,Raw_Bookings!A263,Work_Passengers!$C$2:$C$1336,0),1,0)))</f>
        <v>0</v>
      </c>
    </row>
    <row r="264" spans="1:29">
      <c r="A264" s="7">
        <f>Raw_Bookings!A264</f>
        <v>1085292</v>
      </c>
      <c r="B264" s="7">
        <f>IF(COUNTIF(Raw_Bookings!$A$2:A264,Raw_Bookings!A264)&gt;1,1,0)</f>
        <v>0</v>
      </c>
      <c r="C264" s="7" t="str">
        <f>Raw_Bookings!D264&amp;""</f>
        <v>2025-06-16</v>
      </c>
      <c r="D264" s="7" t="str">
        <f>IF(AND(LEN(C264)=10,MID(C264,5,1)="-",MID(C264,8,1)="-"),"ISO",IF(AND(LEN(C264)=10,MID(C264,3,1)="-",MID(C264,6,1)="-"),"DMY","OTHER"))</f>
        <v>ISO</v>
      </c>
      <c r="E264" s="7">
        <f>IF(D264="ISO",VALUE(LEFT(C264,4)),IF(D264="DMY",VALUE(RIGHT(C264,4)),0))</f>
        <v>2025</v>
      </c>
      <c r="F264" s="7">
        <f>IF(D264="ISO",VALUE(MID(C264,6,2)),IF(D264="DMY",VALUE(MID(C264,4,2)),0))</f>
        <v>6</v>
      </c>
      <c r="G264" s="7">
        <f>IF(D264="ISO",VALUE(RIGHT(C264,2)),IF(D264="DMY",VALUE(LEFT(C264,2)),0))</f>
        <v>16</v>
      </c>
      <c r="H264" s="7">
        <f>IF(AND(D264&lt;&gt;"OTHER",F264&gt;=1,F264&lt;=12,G264&gt;=1,G264&lt;=31),IF(AND(MONTH(DATE(E264,F264,G264))=F264,DAY(DATE(E264,F264,G264))=G264),1,0),0)</f>
        <v>1</v>
      </c>
      <c r="I264" s="7">
        <f>IF(H264=1,DATE(E264,F264,G264),"")</f>
        <v>45824.0</v>
      </c>
      <c r="J264" s="7">
        <f>IF(AND(D264="DMY",H264=1),1,0)</f>
        <v>0</v>
      </c>
      <c r="K264" s="7">
        <f>IF(H264=0,1,0)</f>
        <v>0</v>
      </c>
      <c r="L264" s="7">
        <f>IF(TRIM(Raw_Bookings!I264&amp;"")="",1,0)</f>
        <v>0</v>
      </c>
      <c r="M264" s="7">
        <f>IF(L264=1,"",DATEVALUE(LEFT(Raw_Bookings!I264,10))+TIMEVALUE(MID(Raw_Bookings!I264,12,8)))</f>
        <v>45822.05143518518</v>
      </c>
      <c r="N264" s="7">
        <f>IF(AND(L264=0,H264=1),IF(INT(M264)&gt;I264,1,0),0)</f>
        <v>0</v>
      </c>
      <c r="O264" s="7" t="str">
        <f>UPPER(TRIM(Raw_Bookings!F264))</f>
        <v>DEH</v>
      </c>
      <c r="P264" s="7" t="str">
        <f>UPPER(TRIM(Raw_Bookings!G264))</f>
        <v>PUN</v>
      </c>
      <c r="Q264" s="7">
        <f>IF(COUNTIF(Lookup_Stations!$A$2:$A$33,O264)&gt;0,1,0)</f>
        <v>1</v>
      </c>
      <c r="R264" s="7">
        <f>IF(COUNTIF(Lookup_Stations!$A$2:$A$33,P264)&gt;0,1,0)</f>
        <v>1</v>
      </c>
      <c r="S264" s="7">
        <f>IF(OR(AND(Q264=1,NOT(EXACT(Raw_Bookings!F264,O264))),AND(R264=1,NOT(EXACT(Raw_Bookings!G264,P264)))),1,0)</f>
        <v>0</v>
      </c>
      <c r="T264" s="7">
        <f>IF(OR(Q264=0,R264=0),1,0)</f>
        <v>0</v>
      </c>
      <c r="U264" s="7">
        <f>IF(TRIM(Raw_Bookings!E264&amp;"")="",1,0)</f>
        <v>0</v>
      </c>
      <c r="V264" s="7" t="str">
        <f>IF(SUMPRODUCT(--(Lookup_Status!$A$2:$A$13=LOWER(TRIM(Raw_Bookings!K264))))=0,"",INDEX(Lookup_Status!$B$2:$B$13,SUMPRODUCT((Lookup_Status!$A$2:$A$13=LOWER(TRIM(Raw_Bookings!K264)))*(ROW(Lookup_Status!$A$2:$A$13)-1))))</f>
        <v>Confirmed</v>
      </c>
      <c r="W264" s="7">
        <f>IF(AND(V264&lt;&gt;"",NOT(EXACT(Raw_Bookings!K264,V264))),1,0)</f>
        <v>0</v>
      </c>
      <c r="X264" s="7">
        <f>IF(V264="",1,0)</f>
        <v>0</v>
      </c>
      <c r="Y264" s="7">
        <f>IF(TRIM(Raw_Bookings!L264&amp;"")="",1,0)</f>
        <v>0</v>
      </c>
      <c r="Z264" s="7">
        <f>IF(AND(ISTEXT(Raw_Bookings!L264),Y264=0),1,0)</f>
        <v>0</v>
      </c>
      <c r="AA264" s="7">
        <f>IF(Z264=1,IFERROR(VALUE(SUBSTITUTE(SUBSTITUTE(SUBSTITUTE(SUBSTITUTE(SUBSTITUTE(UPPER(Raw_Bookings!L264),"RS.",""),"₹",""),",","")," ",""),"INR","")),""),"")</f>
        <v/>
      </c>
      <c r="AB264" s="7">
        <f>IF(AND(Z264=1,ISNUMBER(AA264)),1,0)</f>
        <v>0</v>
      </c>
      <c r="AC264" s="7">
        <f>IF(B264=1,0,IF(NOT(ISNUMBER(Raw_Bookings!J264)),1,IF(Raw_Bookings!J264&lt;&gt;COUNTIFS(Work_Passengers!$B$2:$B$1336,Raw_Bookings!A264,Work_Passengers!$C$2:$C$1336,0),1,0)))</f>
        <v>0</v>
      </c>
    </row>
    <row r="265" spans="1:29">
      <c r="A265" s="7">
        <f>Raw_Bookings!A265</f>
        <v>1085418</v>
      </c>
      <c r="B265" s="7">
        <f>IF(COUNTIF(Raw_Bookings!$A$2:A265,Raw_Bookings!A265)&gt;1,1,0)</f>
        <v>0</v>
      </c>
      <c r="C265" s="7" t="str">
        <f>Raw_Bookings!D265&amp;""</f>
        <v>2025-04-31</v>
      </c>
      <c r="D265" s="7" t="str">
        <f>IF(AND(LEN(C265)=10,MID(C265,5,1)="-",MID(C265,8,1)="-"),"ISO",IF(AND(LEN(C265)=10,MID(C265,3,1)="-",MID(C265,6,1)="-"),"DMY","OTHER"))</f>
        <v>ISO</v>
      </c>
      <c r="E265" s="7">
        <f>IF(D265="ISO",VALUE(LEFT(C265,4)),IF(D265="DMY",VALUE(RIGHT(C265,4)),0))</f>
        <v>2025</v>
      </c>
      <c r="F265" s="7">
        <f>IF(D265="ISO",VALUE(MID(C265,6,2)),IF(D265="DMY",VALUE(MID(C265,4,2)),0))</f>
        <v>4</v>
      </c>
      <c r="G265" s="7">
        <f>IF(D265="ISO",VALUE(RIGHT(C265,2)),IF(D265="DMY",VALUE(LEFT(C265,2)),0))</f>
        <v>31</v>
      </c>
      <c r="H265" s="7">
        <f>IF(AND(D265&lt;&gt;"OTHER",F265&gt;=1,F265&lt;=12,G265&gt;=1,G265&lt;=31),IF(AND(MONTH(DATE(E265,F265,G265))=F265,DAY(DATE(E265,F265,G265))=G265),1,0),0)</f>
        <v>0</v>
      </c>
      <c r="I265" s="7">
        <f>IF(H265=1,DATE(E265,F265,G265),"")</f>
        <v/>
      </c>
      <c r="J265" s="7">
        <f>IF(AND(D265="DMY",H265=1),1,0)</f>
        <v>0</v>
      </c>
      <c r="K265" s="7">
        <f>IF(H265=0,1,0)</f>
        <v>1</v>
      </c>
      <c r="L265" s="7">
        <f>IF(TRIM(Raw_Bookings!I265&amp;"")="",1,0)</f>
        <v>0</v>
      </c>
      <c r="M265" s="7">
        <f>IF(L265=1,"",DATEVALUE(LEFT(Raw_Bookings!I265,10))+TIMEVALUE(MID(Raw_Bookings!I265,12,8)))</f>
        <v>45822.70940972222</v>
      </c>
      <c r="N265" s="7">
        <f>IF(AND(L265=0,H265=1),IF(INT(M265)&gt;I265,1,0),0)</f>
        <v>0</v>
      </c>
      <c r="O265" s="7" t="str">
        <f>UPPER(TRIM(Raw_Bookings!F265))</f>
        <v>HYD</v>
      </c>
      <c r="P265" s="7" t="str">
        <f>UPPER(TRIM(Raw_Bookings!G265))</f>
        <v>KOL</v>
      </c>
      <c r="Q265" s="7">
        <f>IF(COUNTIF(Lookup_Stations!$A$2:$A$33,O265)&gt;0,1,0)</f>
        <v>1</v>
      </c>
      <c r="R265" s="7">
        <f>IF(COUNTIF(Lookup_Stations!$A$2:$A$33,P265)&gt;0,1,0)</f>
        <v>1</v>
      </c>
      <c r="S265" s="7">
        <f>IF(OR(AND(Q265=1,NOT(EXACT(Raw_Bookings!F265,O265))),AND(R265=1,NOT(EXACT(Raw_Bookings!G265,P265)))),1,0)</f>
        <v>0</v>
      </c>
      <c r="T265" s="7">
        <f>IF(OR(Q265=0,R265=0),1,0)</f>
        <v>0</v>
      </c>
      <c r="U265" s="7">
        <f>IF(TRIM(Raw_Bookings!E265&amp;"")="",1,0)</f>
        <v>0</v>
      </c>
      <c r="V265" s="7" t="str">
        <f>IF(SUMPRODUCT(--(Lookup_Status!$A$2:$A$13=LOWER(TRIM(Raw_Bookings!K265))))=0,"",INDEX(Lookup_Status!$B$2:$B$13,SUMPRODUCT((Lookup_Status!$A$2:$A$13=LOWER(TRIM(Raw_Bookings!K265)))*(ROW(Lookup_Status!$A$2:$A$13)-1))))</f>
        <v>Confirmed</v>
      </c>
      <c r="W265" s="7">
        <f>IF(AND(V265&lt;&gt;"",NOT(EXACT(Raw_Bookings!K265,V265))),1,0)</f>
        <v>0</v>
      </c>
      <c r="X265" s="7">
        <f>IF(V265="",1,0)</f>
        <v>0</v>
      </c>
      <c r="Y265" s="7">
        <f>IF(TRIM(Raw_Bookings!L265&amp;"")="",1,0)</f>
        <v>0</v>
      </c>
      <c r="Z265" s="7">
        <f>IF(AND(ISTEXT(Raw_Bookings!L265),Y265=0),1,0)</f>
        <v>0</v>
      </c>
      <c r="AA265" s="7">
        <f>IF(Z265=1,IFERROR(VALUE(SUBSTITUTE(SUBSTITUTE(SUBSTITUTE(SUBSTITUTE(SUBSTITUTE(UPPER(Raw_Bookings!L265),"RS.",""),"₹",""),",","")," ",""),"INR","")),""),"")</f>
        <v/>
      </c>
      <c r="AB265" s="7">
        <f>IF(AND(Z265=1,ISNUMBER(AA265)),1,0)</f>
        <v>0</v>
      </c>
      <c r="AC265" s="7">
        <f>IF(B265=1,0,IF(NOT(ISNUMBER(Raw_Bookings!J265)),1,IF(Raw_Bookings!J265&lt;&gt;COUNTIFS(Work_Passengers!$B$2:$B$1336,Raw_Bookings!A265,Work_Passengers!$C$2:$C$1336,0),1,0)))</f>
        <v>0</v>
      </c>
    </row>
    <row r="266" spans="1:29">
      <c r="A266" s="7">
        <f>Raw_Bookings!A266</f>
        <v>1085662</v>
      </c>
      <c r="B266" s="7">
        <f>IF(COUNTIF(Raw_Bookings!$A$2:A266,Raw_Bookings!A266)&gt;1,1,0)</f>
        <v>0</v>
      </c>
      <c r="C266" s="7" t="str">
        <f>Raw_Bookings!D266&amp;""</f>
        <v>2025-06-18</v>
      </c>
      <c r="D266" s="7" t="str">
        <f>IF(AND(LEN(C266)=10,MID(C266,5,1)="-",MID(C266,8,1)="-"),"ISO",IF(AND(LEN(C266)=10,MID(C266,3,1)="-",MID(C266,6,1)="-"),"DMY","OTHER"))</f>
        <v>ISO</v>
      </c>
      <c r="E266" s="7">
        <f>IF(D266="ISO",VALUE(LEFT(C266,4)),IF(D266="DMY",VALUE(RIGHT(C266,4)),0))</f>
        <v>2025</v>
      </c>
      <c r="F266" s="7">
        <f>IF(D266="ISO",VALUE(MID(C266,6,2)),IF(D266="DMY",VALUE(MID(C266,4,2)),0))</f>
        <v>6</v>
      </c>
      <c r="G266" s="7">
        <f>IF(D266="ISO",VALUE(RIGHT(C266,2)),IF(D266="DMY",VALUE(LEFT(C266,2)),0))</f>
        <v>18</v>
      </c>
      <c r="H266" s="7">
        <f>IF(AND(D266&lt;&gt;"OTHER",F266&gt;=1,F266&lt;=12,G266&gt;=1,G266&lt;=31),IF(AND(MONTH(DATE(E266,F266,G266))=F266,DAY(DATE(E266,F266,G266))=G266),1,0),0)</f>
        <v>1</v>
      </c>
      <c r="I266" s="7">
        <f>IF(H266=1,DATE(E266,F266,G266),"")</f>
        <v>45826.0</v>
      </c>
      <c r="J266" s="7">
        <f>IF(AND(D266="DMY",H266=1),1,0)</f>
        <v>0</v>
      </c>
      <c r="K266" s="7">
        <f>IF(H266=0,1,0)</f>
        <v>0</v>
      </c>
      <c r="L266" s="7">
        <f>IF(TRIM(Raw_Bookings!I266&amp;"")="",1,0)</f>
        <v>0</v>
      </c>
      <c r="M266" s="7">
        <f>IF(L266=1,"",DATEVALUE(LEFT(Raw_Bookings!I266,10))+TIMEVALUE(MID(Raw_Bookings!I266,12,8)))</f>
        <v>45823.71020833333</v>
      </c>
      <c r="N266" s="7">
        <f>IF(AND(L266=0,H266=1),IF(INT(M266)&gt;I266,1,0),0)</f>
        <v>0</v>
      </c>
      <c r="O266" s="7" t="str">
        <f>UPPER(TRIM(Raw_Bookings!F266))</f>
        <v>BHU</v>
      </c>
      <c r="P266" s="7" t="str">
        <f>UPPER(TRIM(Raw_Bookings!G266))</f>
        <v>KOC</v>
      </c>
      <c r="Q266" s="7">
        <f>IF(COUNTIF(Lookup_Stations!$A$2:$A$33,O266)&gt;0,1,0)</f>
        <v>1</v>
      </c>
      <c r="R266" s="7">
        <f>IF(COUNTIF(Lookup_Stations!$A$2:$A$33,P266)&gt;0,1,0)</f>
        <v>1</v>
      </c>
      <c r="S266" s="7">
        <f>IF(OR(AND(Q266=1,NOT(EXACT(Raw_Bookings!F266,O266))),AND(R266=1,NOT(EXACT(Raw_Bookings!G266,P266)))),1,0)</f>
        <v>0</v>
      </c>
      <c r="T266" s="7">
        <f>IF(OR(Q266=0,R266=0),1,0)</f>
        <v>0</v>
      </c>
      <c r="U266" s="7">
        <f>IF(TRIM(Raw_Bookings!E266&amp;"")="",1,0)</f>
        <v>0</v>
      </c>
      <c r="V266" s="7" t="str">
        <f>IF(SUMPRODUCT(--(Lookup_Status!$A$2:$A$13=LOWER(TRIM(Raw_Bookings!K266))))=0,"",INDEX(Lookup_Status!$B$2:$B$13,SUMPRODUCT((Lookup_Status!$A$2:$A$13=LOWER(TRIM(Raw_Bookings!K266)))*(ROW(Lookup_Status!$A$2:$A$13)-1))))</f>
        <v>Confirmed</v>
      </c>
      <c r="W266" s="7">
        <f>IF(AND(V266&lt;&gt;"",NOT(EXACT(Raw_Bookings!K266,V266))),1,0)</f>
        <v>0</v>
      </c>
      <c r="X266" s="7">
        <f>IF(V266="",1,0)</f>
        <v>0</v>
      </c>
      <c r="Y266" s="7">
        <f>IF(TRIM(Raw_Bookings!L266&amp;"")="",1,0)</f>
        <v>0</v>
      </c>
      <c r="Z266" s="7">
        <f>IF(AND(ISTEXT(Raw_Bookings!L266),Y266=0),1,0)</f>
        <v>0</v>
      </c>
      <c r="AA266" s="7">
        <f>IF(Z266=1,IFERROR(VALUE(SUBSTITUTE(SUBSTITUTE(SUBSTITUTE(SUBSTITUTE(SUBSTITUTE(UPPER(Raw_Bookings!L266),"RS.",""),"₹",""),",","")," ",""),"INR","")),""),"")</f>
        <v/>
      </c>
      <c r="AB266" s="7">
        <f>IF(AND(Z266=1,ISNUMBER(AA266)),1,0)</f>
        <v>0</v>
      </c>
      <c r="AC266" s="7">
        <f>IF(B266=1,0,IF(NOT(ISNUMBER(Raw_Bookings!J266)),1,IF(Raw_Bookings!J266&lt;&gt;COUNTIFS(Work_Passengers!$B$2:$B$1336,Raw_Bookings!A266,Work_Passengers!$C$2:$C$1336,0),1,0)))</f>
        <v>0</v>
      </c>
    </row>
    <row r="267" spans="1:29">
      <c r="A267" s="7">
        <f>Raw_Bookings!A267</f>
        <v>1087131</v>
      </c>
      <c r="B267" s="7">
        <f>IF(COUNTIF(Raw_Bookings!$A$2:A267,Raw_Bookings!A267)&gt;1,1,0)</f>
        <v>0</v>
      </c>
      <c r="C267" s="7" t="str">
        <f>Raw_Bookings!D267&amp;""</f>
        <v>2025-06-27</v>
      </c>
      <c r="D267" s="7" t="str">
        <f>IF(AND(LEN(C267)=10,MID(C267,5,1)="-",MID(C267,8,1)="-"),"ISO",IF(AND(LEN(C267)=10,MID(C267,3,1)="-",MID(C267,6,1)="-"),"DMY","OTHER"))</f>
        <v>ISO</v>
      </c>
      <c r="E267" s="7">
        <f>IF(D267="ISO",VALUE(LEFT(C267,4)),IF(D267="DMY",VALUE(RIGHT(C267,4)),0))</f>
        <v>2025</v>
      </c>
      <c r="F267" s="7">
        <f>IF(D267="ISO",VALUE(MID(C267,6,2)),IF(D267="DMY",VALUE(MID(C267,4,2)),0))</f>
        <v>6</v>
      </c>
      <c r="G267" s="7">
        <f>IF(D267="ISO",VALUE(RIGHT(C267,2)),IF(D267="DMY",VALUE(LEFT(C267,2)),0))</f>
        <v>27</v>
      </c>
      <c r="H267" s="7">
        <f>IF(AND(D267&lt;&gt;"OTHER",F267&gt;=1,F267&lt;=12,G267&gt;=1,G267&lt;=31),IF(AND(MONTH(DATE(E267,F267,G267))=F267,DAY(DATE(E267,F267,G267))=G267),1,0),0)</f>
        <v>1</v>
      </c>
      <c r="I267" s="7">
        <f>IF(H267=1,DATE(E267,F267,G267),"")</f>
        <v>45835.0</v>
      </c>
      <c r="J267" s="7">
        <f>IF(AND(D267="DMY",H267=1),1,0)</f>
        <v>0</v>
      </c>
      <c r="K267" s="7">
        <f>IF(H267=0,1,0)</f>
        <v>0</v>
      </c>
      <c r="L267" s="7">
        <f>IF(TRIM(Raw_Bookings!I267&amp;"")="",1,0)</f>
        <v>0</v>
      </c>
      <c r="M267" s="7">
        <f>IF(L267=1,"",DATEVALUE(LEFT(Raw_Bookings!I267,10))+TIMEVALUE(MID(Raw_Bookings!I267,12,8)))</f>
        <v>45829.32309027778</v>
      </c>
      <c r="N267" s="7">
        <f>IF(AND(L267=0,H267=1),IF(INT(M267)&gt;I267,1,0),0)</f>
        <v>0</v>
      </c>
      <c r="O267" s="7" t="str">
        <f>UPPER(TRIM(Raw_Bookings!F267))</f>
        <v>LUC</v>
      </c>
      <c r="P267" s="7" t="str">
        <f>UPPER(TRIM(Raw_Bookings!G267))</f>
        <v>MUM</v>
      </c>
      <c r="Q267" s="7">
        <f>IF(COUNTIF(Lookup_Stations!$A$2:$A$33,O267)&gt;0,1,0)</f>
        <v>1</v>
      </c>
      <c r="R267" s="7">
        <f>IF(COUNTIF(Lookup_Stations!$A$2:$A$33,P267)&gt;0,1,0)</f>
        <v>1</v>
      </c>
      <c r="S267" s="7">
        <f>IF(OR(AND(Q267=1,NOT(EXACT(Raw_Bookings!F267,O267))),AND(R267=1,NOT(EXACT(Raw_Bookings!G267,P267)))),1,0)</f>
        <v>0</v>
      </c>
      <c r="T267" s="7">
        <f>IF(OR(Q267=0,R267=0),1,0)</f>
        <v>0</v>
      </c>
      <c r="U267" s="7">
        <f>IF(TRIM(Raw_Bookings!E267&amp;"")="",1,0)</f>
        <v>0</v>
      </c>
      <c r="V267" s="7" t="str">
        <f>IF(SUMPRODUCT(--(Lookup_Status!$A$2:$A$13=LOWER(TRIM(Raw_Bookings!K267))))=0,"",INDEX(Lookup_Status!$B$2:$B$13,SUMPRODUCT((Lookup_Status!$A$2:$A$13=LOWER(TRIM(Raw_Bookings!K267)))*(ROW(Lookup_Status!$A$2:$A$13)-1))))</f>
        <v>Waitlisted</v>
      </c>
      <c r="W267" s="7">
        <f>IF(AND(V267&lt;&gt;"",NOT(EXACT(Raw_Bookings!K267,V267))),1,0)</f>
        <v>0</v>
      </c>
      <c r="X267" s="7">
        <f>IF(V267="",1,0)</f>
        <v>0</v>
      </c>
      <c r="Y267" s="7">
        <f>IF(TRIM(Raw_Bookings!L267&amp;"")="",1,0)</f>
        <v>0</v>
      </c>
      <c r="Z267" s="7">
        <f>IF(AND(ISTEXT(Raw_Bookings!L267),Y267=0),1,0)</f>
        <v>0</v>
      </c>
      <c r="AA267" s="7">
        <f>IF(Z267=1,IFERROR(VALUE(SUBSTITUTE(SUBSTITUTE(SUBSTITUTE(SUBSTITUTE(SUBSTITUTE(UPPER(Raw_Bookings!L267),"RS.",""),"₹",""),",","")," ",""),"INR","")),""),"")</f>
        <v/>
      </c>
      <c r="AB267" s="7">
        <f>IF(AND(Z267=1,ISNUMBER(AA267)),1,0)</f>
        <v>0</v>
      </c>
      <c r="AC267" s="7">
        <f>IF(B267=1,0,IF(NOT(ISNUMBER(Raw_Bookings!J267)),1,IF(Raw_Bookings!J267&lt;&gt;COUNTIFS(Work_Passengers!$B$2:$B$1336,Raw_Bookings!A267,Work_Passengers!$C$2:$C$1336,0),1,0)))</f>
        <v>0</v>
      </c>
    </row>
    <row r="268" spans="1:29">
      <c r="A268" s="7">
        <f>Raw_Bookings!A268</f>
        <v>1087348</v>
      </c>
      <c r="B268" s="7">
        <f>IF(COUNTIF(Raw_Bookings!$A$2:A268,Raw_Bookings!A268)&gt;1,1,0)</f>
        <v>0</v>
      </c>
      <c r="C268" s="7" t="str">
        <f>Raw_Bookings!D268&amp;""</f>
        <v>2025-08-17</v>
      </c>
      <c r="D268" s="7" t="str">
        <f>IF(AND(LEN(C268)=10,MID(C268,5,1)="-",MID(C268,8,1)="-"),"ISO",IF(AND(LEN(C268)=10,MID(C268,3,1)="-",MID(C268,6,1)="-"),"DMY","OTHER"))</f>
        <v>ISO</v>
      </c>
      <c r="E268" s="7">
        <f>IF(D268="ISO",VALUE(LEFT(C268,4)),IF(D268="DMY",VALUE(RIGHT(C268,4)),0))</f>
        <v>2025</v>
      </c>
      <c r="F268" s="7">
        <f>IF(D268="ISO",VALUE(MID(C268,6,2)),IF(D268="DMY",VALUE(MID(C268,4,2)),0))</f>
        <v>8</v>
      </c>
      <c r="G268" s="7">
        <f>IF(D268="ISO",VALUE(RIGHT(C268,2)),IF(D268="DMY",VALUE(LEFT(C268,2)),0))</f>
        <v>17</v>
      </c>
      <c r="H268" s="7">
        <f>IF(AND(D268&lt;&gt;"OTHER",F268&gt;=1,F268&lt;=12,G268&gt;=1,G268&lt;=31),IF(AND(MONTH(DATE(E268,F268,G268))=F268,DAY(DATE(E268,F268,G268))=G268),1,0),0)</f>
        <v>1</v>
      </c>
      <c r="I268" s="7">
        <f>IF(H268=1,DATE(E268,F268,G268),"")</f>
        <v>45886.0</v>
      </c>
      <c r="J268" s="7">
        <f>IF(AND(D268="DMY",H268=1),1,0)</f>
        <v>0</v>
      </c>
      <c r="K268" s="7">
        <f>IF(H268=0,1,0)</f>
        <v>0</v>
      </c>
      <c r="L268" s="7">
        <f>IF(TRIM(Raw_Bookings!I268&amp;"")="",1,0)</f>
        <v>0</v>
      </c>
      <c r="M268" s="7">
        <f>IF(L268=1,"",DATEVALUE(LEFT(Raw_Bookings!I268,10))+TIMEVALUE(MID(Raw_Bookings!I268,12,8)))</f>
        <v>45830.0949537037</v>
      </c>
      <c r="N268" s="7">
        <f>IF(AND(L268=0,H268=1),IF(INT(M268)&gt;I268,1,0),0)</f>
        <v>0</v>
      </c>
      <c r="O268" s="7" t="str">
        <f>UPPER(TRIM(Raw_Bookings!F268))</f>
        <v>SUR</v>
      </c>
      <c r="P268" s="7" t="str">
        <f>UPPER(TRIM(Raw_Bookings!G268))</f>
        <v>VAR</v>
      </c>
      <c r="Q268" s="7">
        <f>IF(COUNTIF(Lookup_Stations!$A$2:$A$33,O268)&gt;0,1,0)</f>
        <v>1</v>
      </c>
      <c r="R268" s="7">
        <f>IF(COUNTIF(Lookup_Stations!$A$2:$A$33,P268)&gt;0,1,0)</f>
        <v>1</v>
      </c>
      <c r="S268" s="7">
        <f>IF(OR(AND(Q268=1,NOT(EXACT(Raw_Bookings!F268,O268))),AND(R268=1,NOT(EXACT(Raw_Bookings!G268,P268)))),1,0)</f>
        <v>0</v>
      </c>
      <c r="T268" s="7">
        <f>IF(OR(Q268=0,R268=0),1,0)</f>
        <v>0</v>
      </c>
      <c r="U268" s="7">
        <f>IF(TRIM(Raw_Bookings!E268&amp;"")="",1,0)</f>
        <v>0</v>
      </c>
      <c r="V268" s="7" t="str">
        <f>IF(SUMPRODUCT(--(Lookup_Status!$A$2:$A$13=LOWER(TRIM(Raw_Bookings!K268))))=0,"",INDEX(Lookup_Status!$B$2:$B$13,SUMPRODUCT((Lookup_Status!$A$2:$A$13=LOWER(TRIM(Raw_Bookings!K268)))*(ROW(Lookup_Status!$A$2:$A$13)-1))))</f>
        <v>Confirmed</v>
      </c>
      <c r="W268" s="7">
        <f>IF(AND(V268&lt;&gt;"",NOT(EXACT(Raw_Bookings!K268,V268))),1,0)</f>
        <v>0</v>
      </c>
      <c r="X268" s="7">
        <f>IF(V268="",1,0)</f>
        <v>0</v>
      </c>
      <c r="Y268" s="7">
        <f>IF(TRIM(Raw_Bookings!L268&amp;"")="",1,0)</f>
        <v>0</v>
      </c>
      <c r="Z268" s="7">
        <f>IF(AND(ISTEXT(Raw_Bookings!L268),Y268=0),1,0)</f>
        <v>0</v>
      </c>
      <c r="AA268" s="7">
        <f>IF(Z268=1,IFERROR(VALUE(SUBSTITUTE(SUBSTITUTE(SUBSTITUTE(SUBSTITUTE(SUBSTITUTE(UPPER(Raw_Bookings!L268),"RS.",""),"₹",""),",","")," ",""),"INR","")),""),"")</f>
        <v/>
      </c>
      <c r="AB268" s="7">
        <f>IF(AND(Z268=1,ISNUMBER(AA268)),1,0)</f>
        <v>0</v>
      </c>
      <c r="AC268" s="7">
        <f>IF(B268=1,0,IF(NOT(ISNUMBER(Raw_Bookings!J268)),1,IF(Raw_Bookings!J268&lt;&gt;COUNTIFS(Work_Passengers!$B$2:$B$1336,Raw_Bookings!A268,Work_Passengers!$C$2:$C$1336,0),1,0)))</f>
        <v>0</v>
      </c>
    </row>
    <row r="269" spans="1:29">
      <c r="A269" s="7">
        <f>Raw_Bookings!A269</f>
        <v>1088056</v>
      </c>
      <c r="B269" s="7">
        <f>IF(COUNTIF(Raw_Bookings!$A$2:A269,Raw_Bookings!A269)&gt;1,1,0)</f>
        <v>0</v>
      </c>
      <c r="C269" s="7" t="str">
        <f>Raw_Bookings!D269&amp;""</f>
        <v>2025-07-16</v>
      </c>
      <c r="D269" s="7" t="str">
        <f>IF(AND(LEN(C269)=10,MID(C269,5,1)="-",MID(C269,8,1)="-"),"ISO",IF(AND(LEN(C269)=10,MID(C269,3,1)="-",MID(C269,6,1)="-"),"DMY","OTHER"))</f>
        <v>ISO</v>
      </c>
      <c r="E269" s="7">
        <f>IF(D269="ISO",VALUE(LEFT(C269,4)),IF(D269="DMY",VALUE(RIGHT(C269,4)),0))</f>
        <v>2025</v>
      </c>
      <c r="F269" s="7">
        <f>IF(D269="ISO",VALUE(MID(C269,6,2)),IF(D269="DMY",VALUE(MID(C269,4,2)),0))</f>
        <v>7</v>
      </c>
      <c r="G269" s="7">
        <f>IF(D269="ISO",VALUE(RIGHT(C269,2)),IF(D269="DMY",VALUE(LEFT(C269,2)),0))</f>
        <v>16</v>
      </c>
      <c r="H269" s="7">
        <f>IF(AND(D269&lt;&gt;"OTHER",F269&gt;=1,F269&lt;=12,G269&gt;=1,G269&lt;=31),IF(AND(MONTH(DATE(E269,F269,G269))=F269,DAY(DATE(E269,F269,G269))=G269),1,0),0)</f>
        <v>1</v>
      </c>
      <c r="I269" s="7">
        <f>IF(H269=1,DATE(E269,F269,G269),"")</f>
        <v>45854.0</v>
      </c>
      <c r="J269" s="7">
        <f>IF(AND(D269="DMY",H269=1),1,0)</f>
        <v>0</v>
      </c>
      <c r="K269" s="7">
        <f>IF(H269=0,1,0)</f>
        <v>0</v>
      </c>
      <c r="L269" s="7">
        <f>IF(TRIM(Raw_Bookings!I269&amp;"")="",1,0)</f>
        <v>0</v>
      </c>
      <c r="M269" s="7">
        <f>IF(L269=1,"",DATEVALUE(LEFT(Raw_Bookings!I269,10))+TIMEVALUE(MID(Raw_Bookings!I269,12,8)))</f>
        <v>45833.18188657407</v>
      </c>
      <c r="N269" s="7">
        <f>IF(AND(L269=0,H269=1),IF(INT(M269)&gt;I269,1,0),0)</f>
        <v>0</v>
      </c>
      <c r="O269" s="7" t="str">
        <f>UPPER(TRIM(Raw_Bookings!F269))</f>
        <v>NAG</v>
      </c>
      <c r="P269" s="7" t="str">
        <f>UPPER(TRIM(Raw_Bookings!G269))</f>
        <v>THI</v>
      </c>
      <c r="Q269" s="7">
        <f>IF(COUNTIF(Lookup_Stations!$A$2:$A$33,O269)&gt;0,1,0)</f>
        <v>1</v>
      </c>
      <c r="R269" s="7">
        <f>IF(COUNTIF(Lookup_Stations!$A$2:$A$33,P269)&gt;0,1,0)</f>
        <v>1</v>
      </c>
      <c r="S269" s="7">
        <f>IF(OR(AND(Q269=1,NOT(EXACT(Raw_Bookings!F269,O269))),AND(R269=1,NOT(EXACT(Raw_Bookings!G269,P269)))),1,0)</f>
        <v>0</v>
      </c>
      <c r="T269" s="7">
        <f>IF(OR(Q269=0,R269=0),1,0)</f>
        <v>0</v>
      </c>
      <c r="U269" s="7">
        <f>IF(TRIM(Raw_Bookings!E269&amp;"")="",1,0)</f>
        <v>1</v>
      </c>
      <c r="V269" s="7" t="str">
        <f>IF(SUMPRODUCT(--(Lookup_Status!$A$2:$A$13=LOWER(TRIM(Raw_Bookings!K269))))=0,"",INDEX(Lookup_Status!$B$2:$B$13,SUMPRODUCT((Lookup_Status!$A$2:$A$13=LOWER(TRIM(Raw_Bookings!K269)))*(ROW(Lookup_Status!$A$2:$A$13)-1))))</f>
        <v>Confirmed</v>
      </c>
      <c r="W269" s="7">
        <f>IF(AND(V269&lt;&gt;"",NOT(EXACT(Raw_Bookings!K269,V269))),1,0)</f>
        <v>0</v>
      </c>
      <c r="X269" s="7">
        <f>IF(V269="",1,0)</f>
        <v>0</v>
      </c>
      <c r="Y269" s="7">
        <f>IF(TRIM(Raw_Bookings!L269&amp;"")="",1,0)</f>
        <v>0</v>
      </c>
      <c r="Z269" s="7">
        <f>IF(AND(ISTEXT(Raw_Bookings!L269),Y269=0),1,0)</f>
        <v>0</v>
      </c>
      <c r="AA269" s="7">
        <f>IF(Z269=1,IFERROR(VALUE(SUBSTITUTE(SUBSTITUTE(SUBSTITUTE(SUBSTITUTE(SUBSTITUTE(UPPER(Raw_Bookings!L269),"RS.",""),"₹",""),",","")," ",""),"INR","")),""),"")</f>
        <v/>
      </c>
      <c r="AB269" s="7">
        <f>IF(AND(Z269=1,ISNUMBER(AA269)),1,0)</f>
        <v>0</v>
      </c>
      <c r="AC269" s="7">
        <f>IF(B269=1,0,IF(NOT(ISNUMBER(Raw_Bookings!J269)),1,IF(Raw_Bookings!J269&lt;&gt;COUNTIFS(Work_Passengers!$B$2:$B$1336,Raw_Bookings!A269,Work_Passengers!$C$2:$C$1336,0),1,0)))</f>
        <v>0</v>
      </c>
    </row>
    <row r="270" spans="1:29">
      <c r="A270" s="7">
        <f>Raw_Bookings!A270</f>
        <v>1089984</v>
      </c>
      <c r="B270" s="7">
        <f>IF(COUNTIF(Raw_Bookings!$A$2:A270,Raw_Bookings!A270)&gt;1,1,0)</f>
        <v>0</v>
      </c>
      <c r="C270" s="7" t="str">
        <f>Raw_Bookings!D270&amp;""</f>
        <v>2025-07-07</v>
      </c>
      <c r="D270" s="7" t="str">
        <f>IF(AND(LEN(C270)=10,MID(C270,5,1)="-",MID(C270,8,1)="-"),"ISO",IF(AND(LEN(C270)=10,MID(C270,3,1)="-",MID(C270,6,1)="-"),"DMY","OTHER"))</f>
        <v>ISO</v>
      </c>
      <c r="E270" s="7">
        <f>IF(D270="ISO",VALUE(LEFT(C270,4)),IF(D270="DMY",VALUE(RIGHT(C270,4)),0))</f>
        <v>2025</v>
      </c>
      <c r="F270" s="7">
        <f>IF(D270="ISO",VALUE(MID(C270,6,2)),IF(D270="DMY",VALUE(MID(C270,4,2)),0))</f>
        <v>7</v>
      </c>
      <c r="G270" s="7">
        <f>IF(D270="ISO",VALUE(RIGHT(C270,2)),IF(D270="DMY",VALUE(LEFT(C270,2)),0))</f>
        <v>7</v>
      </c>
      <c r="H270" s="7">
        <f>IF(AND(D270&lt;&gt;"OTHER",F270&gt;=1,F270&lt;=12,G270&gt;=1,G270&lt;=31),IF(AND(MONTH(DATE(E270,F270,G270))=F270,DAY(DATE(E270,F270,G270))=G270),1,0),0)</f>
        <v>1</v>
      </c>
      <c r="I270" s="7">
        <f>IF(H270=1,DATE(E270,F270,G270),"")</f>
        <v>45845.0</v>
      </c>
      <c r="J270" s="7">
        <f>IF(AND(D270="DMY",H270=1),1,0)</f>
        <v>0</v>
      </c>
      <c r="K270" s="7">
        <f>IF(H270=0,1,0)</f>
        <v>0</v>
      </c>
      <c r="L270" s="7">
        <f>IF(TRIM(Raw_Bookings!I270&amp;"")="",1,0)</f>
        <v>0</v>
      </c>
      <c r="M270" s="7">
        <f>IF(L270=1,"",DATEVALUE(LEFT(Raw_Bookings!I270,10))+TIMEVALUE(MID(Raw_Bookings!I270,12,8)))</f>
        <v>45841.34533564815</v>
      </c>
      <c r="N270" s="7">
        <f>IF(AND(L270=0,H270=1),IF(INT(M270)&gt;I270,1,0),0)</f>
        <v>0</v>
      </c>
      <c r="O270" s="7" t="str">
        <f>UPPER(TRIM(Raw_Bookings!F270))</f>
        <v>HYD</v>
      </c>
      <c r="P270" s="7" t="str">
        <f>UPPER(TRIM(Raw_Bookings!G270))</f>
        <v>KOL</v>
      </c>
      <c r="Q270" s="7">
        <f>IF(COUNTIF(Lookup_Stations!$A$2:$A$33,O270)&gt;0,1,0)</f>
        <v>1</v>
      </c>
      <c r="R270" s="7">
        <f>IF(COUNTIF(Lookup_Stations!$A$2:$A$33,P270)&gt;0,1,0)</f>
        <v>1</v>
      </c>
      <c r="S270" s="7">
        <f>IF(OR(AND(Q270=1,NOT(EXACT(Raw_Bookings!F270,O270))),AND(R270=1,NOT(EXACT(Raw_Bookings!G270,P270)))),1,0)</f>
        <v>0</v>
      </c>
      <c r="T270" s="7">
        <f>IF(OR(Q270=0,R270=0),1,0)</f>
        <v>0</v>
      </c>
      <c r="U270" s="7">
        <f>IF(TRIM(Raw_Bookings!E270&amp;"")="",1,0)</f>
        <v>0</v>
      </c>
      <c r="V270" s="7" t="str">
        <f>IF(SUMPRODUCT(--(Lookup_Status!$A$2:$A$13=LOWER(TRIM(Raw_Bookings!K270))))=0,"",INDEX(Lookup_Status!$B$2:$B$13,SUMPRODUCT((Lookup_Status!$A$2:$A$13=LOWER(TRIM(Raw_Bookings!K270)))*(ROW(Lookup_Status!$A$2:$A$13)-1))))</f>
        <v>Confirmed</v>
      </c>
      <c r="W270" s="7">
        <f>IF(AND(V270&lt;&gt;"",NOT(EXACT(Raw_Bookings!K270,V270))),1,0)</f>
        <v>0</v>
      </c>
      <c r="X270" s="7">
        <f>IF(V270="",1,0)</f>
        <v>0</v>
      </c>
      <c r="Y270" s="7">
        <f>IF(TRIM(Raw_Bookings!L270&amp;"")="",1,0)</f>
        <v>0</v>
      </c>
      <c r="Z270" s="7">
        <f>IF(AND(ISTEXT(Raw_Bookings!L270),Y270=0),1,0)</f>
        <v>0</v>
      </c>
      <c r="AA270" s="7">
        <f>IF(Z270=1,IFERROR(VALUE(SUBSTITUTE(SUBSTITUTE(SUBSTITUTE(SUBSTITUTE(SUBSTITUTE(UPPER(Raw_Bookings!L270),"RS.",""),"₹",""),",","")," ",""),"INR","")),""),"")</f>
        <v/>
      </c>
      <c r="AB270" s="7">
        <f>IF(AND(Z270=1,ISNUMBER(AA270)),1,0)</f>
        <v>0</v>
      </c>
      <c r="AC270" s="7">
        <f>IF(B270=1,0,IF(NOT(ISNUMBER(Raw_Bookings!J270)),1,IF(Raw_Bookings!J270&lt;&gt;COUNTIFS(Work_Passengers!$B$2:$B$1336,Raw_Bookings!A270,Work_Passengers!$C$2:$C$1336,0),1,0)))</f>
        <v>0</v>
      </c>
    </row>
    <row r="271" spans="1:29">
      <c r="A271" s="7">
        <f>Raw_Bookings!A271</f>
        <v>1090224</v>
      </c>
      <c r="B271" s="7">
        <f>IF(COUNTIF(Raw_Bookings!$A$2:A271,Raw_Bookings!A271)&gt;1,1,0)</f>
        <v>0</v>
      </c>
      <c r="C271" s="7" t="str">
        <f>Raw_Bookings!D271&amp;""</f>
        <v>2025-07-06</v>
      </c>
      <c r="D271" s="7" t="str">
        <f>IF(AND(LEN(C271)=10,MID(C271,5,1)="-",MID(C271,8,1)="-"),"ISO",IF(AND(LEN(C271)=10,MID(C271,3,1)="-",MID(C271,6,1)="-"),"DMY","OTHER"))</f>
        <v>ISO</v>
      </c>
      <c r="E271" s="7">
        <f>IF(D271="ISO",VALUE(LEFT(C271,4)),IF(D271="DMY",VALUE(RIGHT(C271,4)),0))</f>
        <v>2025</v>
      </c>
      <c r="F271" s="7">
        <f>IF(D271="ISO",VALUE(MID(C271,6,2)),IF(D271="DMY",VALUE(MID(C271,4,2)),0))</f>
        <v>7</v>
      </c>
      <c r="G271" s="7">
        <f>IF(D271="ISO",VALUE(RIGHT(C271,2)),IF(D271="DMY",VALUE(LEFT(C271,2)),0))</f>
        <v>6</v>
      </c>
      <c r="H271" s="7">
        <f>IF(AND(D271&lt;&gt;"OTHER",F271&gt;=1,F271&lt;=12,G271&gt;=1,G271&lt;=31),IF(AND(MONTH(DATE(E271,F271,G271))=F271,DAY(DATE(E271,F271,G271))=G271),1,0),0)</f>
        <v>1</v>
      </c>
      <c r="I271" s="7">
        <f>IF(H271=1,DATE(E271,F271,G271),"")</f>
        <v>45844.0</v>
      </c>
      <c r="J271" s="7">
        <f>IF(AND(D271="DMY",H271=1),1,0)</f>
        <v>0</v>
      </c>
      <c r="K271" s="7">
        <f>IF(H271=0,1,0)</f>
        <v>0</v>
      </c>
      <c r="L271" s="7">
        <f>IF(TRIM(Raw_Bookings!I271&amp;"")="",1,0)</f>
        <v>0</v>
      </c>
      <c r="M271" s="7">
        <f>IF(L271=1,"",DATEVALUE(LEFT(Raw_Bookings!I271,10))+TIMEVALUE(MID(Raw_Bookings!I271,12,8)))</f>
        <v>45842.36554398148</v>
      </c>
      <c r="N271" s="7">
        <f>IF(AND(L271=0,H271=1),IF(INT(M271)&gt;I271,1,0),0)</f>
        <v>0</v>
      </c>
      <c r="O271" s="7" t="str">
        <f>UPPER(TRIM(Raw_Bookings!F271))</f>
        <v>VIS</v>
      </c>
      <c r="P271" s="7" t="str">
        <f>UPPER(TRIM(Raw_Bookings!G271))</f>
        <v>CHA</v>
      </c>
      <c r="Q271" s="7">
        <f>IF(COUNTIF(Lookup_Stations!$A$2:$A$33,O271)&gt;0,1,0)</f>
        <v>1</v>
      </c>
      <c r="R271" s="7">
        <f>IF(COUNTIF(Lookup_Stations!$A$2:$A$33,P271)&gt;0,1,0)</f>
        <v>1</v>
      </c>
      <c r="S271" s="7">
        <f>IF(OR(AND(Q271=1,NOT(EXACT(Raw_Bookings!F271,O271))),AND(R271=1,NOT(EXACT(Raw_Bookings!G271,P271)))),1,0)</f>
        <v>0</v>
      </c>
      <c r="T271" s="7">
        <f>IF(OR(Q271=0,R271=0),1,0)</f>
        <v>0</v>
      </c>
      <c r="U271" s="7">
        <f>IF(TRIM(Raw_Bookings!E271&amp;"")="",1,0)</f>
        <v>0</v>
      </c>
      <c r="V271" s="7" t="str">
        <f>IF(SUMPRODUCT(--(Lookup_Status!$A$2:$A$13=LOWER(TRIM(Raw_Bookings!K271))))=0,"",INDEX(Lookup_Status!$B$2:$B$13,SUMPRODUCT((Lookup_Status!$A$2:$A$13=LOWER(TRIM(Raw_Bookings!K271)))*(ROW(Lookup_Status!$A$2:$A$13)-1))))</f>
        <v>Confirmed</v>
      </c>
      <c r="W271" s="7">
        <f>IF(AND(V271&lt;&gt;"",NOT(EXACT(Raw_Bookings!K271,V271))),1,0)</f>
        <v>0</v>
      </c>
      <c r="X271" s="7">
        <f>IF(V271="",1,0)</f>
        <v>0</v>
      </c>
      <c r="Y271" s="7">
        <f>IF(TRIM(Raw_Bookings!L271&amp;"")="",1,0)</f>
        <v>0</v>
      </c>
      <c r="Z271" s="7">
        <f>IF(AND(ISTEXT(Raw_Bookings!L271),Y271=0),1,0)</f>
        <v>0</v>
      </c>
      <c r="AA271" s="7">
        <f>IF(Z271=1,IFERROR(VALUE(SUBSTITUTE(SUBSTITUTE(SUBSTITUTE(SUBSTITUTE(SUBSTITUTE(UPPER(Raw_Bookings!L271),"RS.",""),"₹",""),",","")," ",""),"INR","")),""),"")</f>
        <v/>
      </c>
      <c r="AB271" s="7">
        <f>IF(AND(Z271=1,ISNUMBER(AA271)),1,0)</f>
        <v>0</v>
      </c>
      <c r="AC271" s="7">
        <f>IF(B271=1,0,IF(NOT(ISNUMBER(Raw_Bookings!J271)),1,IF(Raw_Bookings!J271&lt;&gt;COUNTIFS(Work_Passengers!$B$2:$B$1336,Raw_Bookings!A271,Work_Passengers!$C$2:$C$1336,0),1,0)))</f>
        <v>0</v>
      </c>
    </row>
    <row r="272" spans="1:29">
      <c r="A272" s="7">
        <f>Raw_Bookings!A272</f>
        <v>1090748</v>
      </c>
      <c r="B272" s="7">
        <f>IF(COUNTIF(Raw_Bookings!$A$2:A272,Raw_Bookings!A272)&gt;1,1,0)</f>
        <v>0</v>
      </c>
      <c r="C272" s="7" t="str">
        <f>Raw_Bookings!D272&amp;""</f>
        <v>2025-07-07</v>
      </c>
      <c r="D272" s="7" t="str">
        <f>IF(AND(LEN(C272)=10,MID(C272,5,1)="-",MID(C272,8,1)="-"),"ISO",IF(AND(LEN(C272)=10,MID(C272,3,1)="-",MID(C272,6,1)="-"),"DMY","OTHER"))</f>
        <v>ISO</v>
      </c>
      <c r="E272" s="7">
        <f>IF(D272="ISO",VALUE(LEFT(C272,4)),IF(D272="DMY",VALUE(RIGHT(C272,4)),0))</f>
        <v>2025</v>
      </c>
      <c r="F272" s="7">
        <f>IF(D272="ISO",VALUE(MID(C272,6,2)),IF(D272="DMY",VALUE(MID(C272,4,2)),0))</f>
        <v>7</v>
      </c>
      <c r="G272" s="7">
        <f>IF(D272="ISO",VALUE(RIGHT(C272,2)),IF(D272="DMY",VALUE(LEFT(C272,2)),0))</f>
        <v>7</v>
      </c>
      <c r="H272" s="7">
        <f>IF(AND(D272&lt;&gt;"OTHER",F272&gt;=1,F272&lt;=12,G272&gt;=1,G272&lt;=31),IF(AND(MONTH(DATE(E272,F272,G272))=F272,DAY(DATE(E272,F272,G272))=G272),1,0),0)</f>
        <v>1</v>
      </c>
      <c r="I272" s="7">
        <f>IF(H272=1,DATE(E272,F272,G272),"")</f>
        <v>45845.0</v>
      </c>
      <c r="J272" s="7">
        <f>IF(AND(D272="DMY",H272=1),1,0)</f>
        <v>0</v>
      </c>
      <c r="K272" s="7">
        <f>IF(H272=0,1,0)</f>
        <v>0</v>
      </c>
      <c r="L272" s="7">
        <f>IF(TRIM(Raw_Bookings!I272&amp;"")="",1,0)</f>
        <v>0</v>
      </c>
      <c r="M272" s="7">
        <f>IF(L272=1,"",DATEVALUE(LEFT(Raw_Bookings!I272,10))+TIMEVALUE(MID(Raw_Bookings!I272,12,8)))</f>
        <v>45844.36252314815</v>
      </c>
      <c r="N272" s="7">
        <f>IF(AND(L272=0,H272=1),IF(INT(M272)&gt;I272,1,0),0)</f>
        <v>0</v>
      </c>
      <c r="O272" s="7" t="str">
        <f>UPPER(TRIM(Raw_Bookings!F272))</f>
        <v>HYD</v>
      </c>
      <c r="P272" s="7" t="str">
        <f>UPPER(TRIM(Raw_Bookings!G272))</f>
        <v>KOL</v>
      </c>
      <c r="Q272" s="7">
        <f>IF(COUNTIF(Lookup_Stations!$A$2:$A$33,O272)&gt;0,1,0)</f>
        <v>1</v>
      </c>
      <c r="R272" s="7">
        <f>IF(COUNTIF(Lookup_Stations!$A$2:$A$33,P272)&gt;0,1,0)</f>
        <v>1</v>
      </c>
      <c r="S272" s="7">
        <f>IF(OR(AND(Q272=1,NOT(EXACT(Raw_Bookings!F272,O272))),AND(R272=1,NOT(EXACT(Raw_Bookings!G272,P272)))),1,0)</f>
        <v>0</v>
      </c>
      <c r="T272" s="7">
        <f>IF(OR(Q272=0,R272=0),1,0)</f>
        <v>0</v>
      </c>
      <c r="U272" s="7">
        <f>IF(TRIM(Raw_Bookings!E272&amp;"")="",1,0)</f>
        <v>0</v>
      </c>
      <c r="V272" s="7" t="str">
        <f>IF(SUMPRODUCT(--(Lookup_Status!$A$2:$A$13=LOWER(TRIM(Raw_Bookings!K272))))=0,"",INDEX(Lookup_Status!$B$2:$B$13,SUMPRODUCT((Lookup_Status!$A$2:$A$13=LOWER(TRIM(Raw_Bookings!K272)))*(ROW(Lookup_Status!$A$2:$A$13)-1))))</f>
        <v>Waitlisted</v>
      </c>
      <c r="W272" s="7">
        <f>IF(AND(V272&lt;&gt;"",NOT(EXACT(Raw_Bookings!K272,V272))),1,0)</f>
        <v>0</v>
      </c>
      <c r="X272" s="7">
        <f>IF(V272="",1,0)</f>
        <v>0</v>
      </c>
      <c r="Y272" s="7">
        <f>IF(TRIM(Raw_Bookings!L272&amp;"")="",1,0)</f>
        <v>0</v>
      </c>
      <c r="Z272" s="7">
        <f>IF(AND(ISTEXT(Raw_Bookings!L272),Y272=0),1,0)</f>
        <v>0</v>
      </c>
      <c r="AA272" s="7">
        <f>IF(Z272=1,IFERROR(VALUE(SUBSTITUTE(SUBSTITUTE(SUBSTITUTE(SUBSTITUTE(SUBSTITUTE(UPPER(Raw_Bookings!L272),"RS.",""),"₹",""),",","")," ",""),"INR","")),""),"")</f>
        <v/>
      </c>
      <c r="AB272" s="7">
        <f>IF(AND(Z272=1,ISNUMBER(AA272)),1,0)</f>
        <v>0</v>
      </c>
      <c r="AC272" s="7">
        <f>IF(B272=1,0,IF(NOT(ISNUMBER(Raw_Bookings!J272)),1,IF(Raw_Bookings!J272&lt;&gt;COUNTIFS(Work_Passengers!$B$2:$B$1336,Raw_Bookings!A272,Work_Passengers!$C$2:$C$1336,0),1,0)))</f>
        <v>0</v>
      </c>
    </row>
    <row r="273" spans="1:29">
      <c r="A273" s="7">
        <f>Raw_Bookings!A273</f>
        <v>1091321</v>
      </c>
      <c r="B273" s="7">
        <f>IF(COUNTIF(Raw_Bookings!$A$2:A273,Raw_Bookings!A273)&gt;1,1,0)</f>
        <v>0</v>
      </c>
      <c r="C273" s="7" t="str">
        <f>Raw_Bookings!D273&amp;""</f>
        <v>2025-07-12</v>
      </c>
      <c r="D273" s="7" t="str">
        <f>IF(AND(LEN(C273)=10,MID(C273,5,1)="-",MID(C273,8,1)="-"),"ISO",IF(AND(LEN(C273)=10,MID(C273,3,1)="-",MID(C273,6,1)="-"),"DMY","OTHER"))</f>
        <v>ISO</v>
      </c>
      <c r="E273" s="7">
        <f>IF(D273="ISO",VALUE(LEFT(C273,4)),IF(D273="DMY",VALUE(RIGHT(C273,4)),0))</f>
        <v>2025</v>
      </c>
      <c r="F273" s="7">
        <f>IF(D273="ISO",VALUE(MID(C273,6,2)),IF(D273="DMY",VALUE(MID(C273,4,2)),0))</f>
        <v>7</v>
      </c>
      <c r="G273" s="7">
        <f>IF(D273="ISO",VALUE(RIGHT(C273,2)),IF(D273="DMY",VALUE(LEFT(C273,2)),0))</f>
        <v>12</v>
      </c>
      <c r="H273" s="7">
        <f>IF(AND(D273&lt;&gt;"OTHER",F273&gt;=1,F273&lt;=12,G273&gt;=1,G273&lt;=31),IF(AND(MONTH(DATE(E273,F273,G273))=F273,DAY(DATE(E273,F273,G273))=G273),1,0),0)</f>
        <v>1</v>
      </c>
      <c r="I273" s="7">
        <f>IF(H273=1,DATE(E273,F273,G273),"")</f>
        <v>45850.0</v>
      </c>
      <c r="J273" s="7">
        <f>IF(AND(D273="DMY",H273=1),1,0)</f>
        <v>0</v>
      </c>
      <c r="K273" s="7">
        <f>IF(H273=0,1,0)</f>
        <v>0</v>
      </c>
      <c r="L273" s="7">
        <f>IF(TRIM(Raw_Bookings!I273&amp;"")="",1,0)</f>
        <v>0</v>
      </c>
      <c r="M273" s="7">
        <f>IF(L273=1,"",DATEVALUE(LEFT(Raw_Bookings!I273,10))+TIMEVALUE(MID(Raw_Bookings!I273,12,8)))</f>
        <v>45846.71295138889</v>
      </c>
      <c r="N273" s="7">
        <f>IF(AND(L273=0,H273=1),IF(INT(M273)&gt;I273,1,0),0)</f>
        <v>0</v>
      </c>
      <c r="O273" s="7" t="str">
        <f>UPPER(TRIM(Raw_Bookings!F273))</f>
        <v>PAT</v>
      </c>
      <c r="P273" s="7" t="str">
        <f>UPPER(TRIM(Raw_Bookings!G273))</f>
        <v>VIJ</v>
      </c>
      <c r="Q273" s="7">
        <f>IF(COUNTIF(Lookup_Stations!$A$2:$A$33,O273)&gt;0,1,0)</f>
        <v>1</v>
      </c>
      <c r="R273" s="7">
        <f>IF(COUNTIF(Lookup_Stations!$A$2:$A$33,P273)&gt;0,1,0)</f>
        <v>1</v>
      </c>
      <c r="S273" s="7">
        <f>IF(OR(AND(Q273=1,NOT(EXACT(Raw_Bookings!F273,O273))),AND(R273=1,NOT(EXACT(Raw_Bookings!G273,P273)))),1,0)</f>
        <v>0</v>
      </c>
      <c r="T273" s="7">
        <f>IF(OR(Q273=0,R273=0),1,0)</f>
        <v>0</v>
      </c>
      <c r="U273" s="7">
        <f>IF(TRIM(Raw_Bookings!E273&amp;"")="",1,0)</f>
        <v>0</v>
      </c>
      <c r="V273" s="7" t="str">
        <f>IF(SUMPRODUCT(--(Lookup_Status!$A$2:$A$13=LOWER(TRIM(Raw_Bookings!K273))))=0,"",INDEX(Lookup_Status!$B$2:$B$13,SUMPRODUCT((Lookup_Status!$A$2:$A$13=LOWER(TRIM(Raw_Bookings!K273)))*(ROW(Lookup_Status!$A$2:$A$13)-1))))</f>
        <v>Confirmed</v>
      </c>
      <c r="W273" s="7">
        <f>IF(AND(V273&lt;&gt;"",NOT(EXACT(Raw_Bookings!K273,V273))),1,0)</f>
        <v>0</v>
      </c>
      <c r="X273" s="7">
        <f>IF(V273="",1,0)</f>
        <v>0</v>
      </c>
      <c r="Y273" s="7">
        <f>IF(TRIM(Raw_Bookings!L273&amp;"")="",1,0)</f>
        <v>0</v>
      </c>
      <c r="Z273" s="7">
        <f>IF(AND(ISTEXT(Raw_Bookings!L273),Y273=0),1,0)</f>
        <v>0</v>
      </c>
      <c r="AA273" s="7">
        <f>IF(Z273=1,IFERROR(VALUE(SUBSTITUTE(SUBSTITUTE(SUBSTITUTE(SUBSTITUTE(SUBSTITUTE(UPPER(Raw_Bookings!L273),"RS.",""),"₹",""),",","")," ",""),"INR","")),""),"")</f>
        <v/>
      </c>
      <c r="AB273" s="7">
        <f>IF(AND(Z273=1,ISNUMBER(AA273)),1,0)</f>
        <v>0</v>
      </c>
      <c r="AC273" s="7">
        <f>IF(B273=1,0,IF(NOT(ISNUMBER(Raw_Bookings!J273)),1,IF(Raw_Bookings!J273&lt;&gt;COUNTIFS(Work_Passengers!$B$2:$B$1336,Raw_Bookings!A273,Work_Passengers!$C$2:$C$1336,0),1,0)))</f>
        <v>0</v>
      </c>
    </row>
    <row r="274" spans="1:29">
      <c r="A274" s="7">
        <f>Raw_Bookings!A274</f>
        <v>1091765</v>
      </c>
      <c r="B274" s="7">
        <f>IF(COUNTIF(Raw_Bookings!$A$2:A274,Raw_Bookings!A274)&gt;1,1,0)</f>
        <v>0</v>
      </c>
      <c r="C274" s="7" t="str">
        <f>Raw_Bookings!D274&amp;""</f>
        <v>2025-08-18</v>
      </c>
      <c r="D274" s="7" t="str">
        <f>IF(AND(LEN(C274)=10,MID(C274,5,1)="-",MID(C274,8,1)="-"),"ISO",IF(AND(LEN(C274)=10,MID(C274,3,1)="-",MID(C274,6,1)="-"),"DMY","OTHER"))</f>
        <v>ISO</v>
      </c>
      <c r="E274" s="7">
        <f>IF(D274="ISO",VALUE(LEFT(C274,4)),IF(D274="DMY",VALUE(RIGHT(C274,4)),0))</f>
        <v>2025</v>
      </c>
      <c r="F274" s="7">
        <f>IF(D274="ISO",VALUE(MID(C274,6,2)),IF(D274="DMY",VALUE(MID(C274,4,2)),0))</f>
        <v>8</v>
      </c>
      <c r="G274" s="7">
        <f>IF(D274="ISO",VALUE(RIGHT(C274,2)),IF(D274="DMY",VALUE(LEFT(C274,2)),0))</f>
        <v>18</v>
      </c>
      <c r="H274" s="7">
        <f>IF(AND(D274&lt;&gt;"OTHER",F274&gt;=1,F274&lt;=12,G274&gt;=1,G274&lt;=31),IF(AND(MONTH(DATE(E274,F274,G274))=F274,DAY(DATE(E274,F274,G274))=G274),1,0),0)</f>
        <v>1</v>
      </c>
      <c r="I274" s="7">
        <f>IF(H274=1,DATE(E274,F274,G274),"")</f>
        <v>45887.0</v>
      </c>
      <c r="J274" s="7">
        <f>IF(AND(D274="DMY",H274=1),1,0)</f>
        <v>0</v>
      </c>
      <c r="K274" s="7">
        <f>IF(H274=0,1,0)</f>
        <v>0</v>
      </c>
      <c r="L274" s="7">
        <f>IF(TRIM(Raw_Bookings!I274&amp;"")="",1,0)</f>
        <v>0</v>
      </c>
      <c r="M274" s="7">
        <f>IF(L274=1,"",DATEVALUE(LEFT(Raw_Bookings!I274,10))+TIMEVALUE(MID(Raw_Bookings!I274,12,8)))</f>
        <v>45848.83128472222</v>
      </c>
      <c r="N274" s="7">
        <f>IF(AND(L274=0,H274=1),IF(INT(M274)&gt;I274,1,0),0)</f>
        <v>0</v>
      </c>
      <c r="O274" s="7" t="str">
        <f>UPPER(TRIM(Raw_Bookings!F274))</f>
        <v>BEN</v>
      </c>
      <c r="P274" s="7" t="str">
        <f>UPPER(TRIM(Raw_Bookings!G274))</f>
        <v>MUM</v>
      </c>
      <c r="Q274" s="7">
        <f>IF(COUNTIF(Lookup_Stations!$A$2:$A$33,O274)&gt;0,1,0)</f>
        <v>1</v>
      </c>
      <c r="R274" s="7">
        <f>IF(COUNTIF(Lookup_Stations!$A$2:$A$33,P274)&gt;0,1,0)</f>
        <v>1</v>
      </c>
      <c r="S274" s="7">
        <f>IF(OR(AND(Q274=1,NOT(EXACT(Raw_Bookings!F274,O274))),AND(R274=1,NOT(EXACT(Raw_Bookings!G274,P274)))),1,0)</f>
        <v>0</v>
      </c>
      <c r="T274" s="7">
        <f>IF(OR(Q274=0,R274=0),1,0)</f>
        <v>0</v>
      </c>
      <c r="U274" s="7">
        <f>IF(TRIM(Raw_Bookings!E274&amp;"")="",1,0)</f>
        <v>0</v>
      </c>
      <c r="V274" s="7" t="str">
        <f>IF(SUMPRODUCT(--(Lookup_Status!$A$2:$A$13=LOWER(TRIM(Raw_Bookings!K274))))=0,"",INDEX(Lookup_Status!$B$2:$B$13,SUMPRODUCT((Lookup_Status!$A$2:$A$13=LOWER(TRIM(Raw_Bookings!K274)))*(ROW(Lookup_Status!$A$2:$A$13)-1))))</f>
        <v>Confirmed</v>
      </c>
      <c r="W274" s="7">
        <f>IF(AND(V274&lt;&gt;"",NOT(EXACT(Raw_Bookings!K274,V274))),1,0)</f>
        <v>0</v>
      </c>
      <c r="X274" s="7">
        <f>IF(V274="",1,0)</f>
        <v>0</v>
      </c>
      <c r="Y274" s="7">
        <f>IF(TRIM(Raw_Bookings!L274&amp;"")="",1,0)</f>
        <v>0</v>
      </c>
      <c r="Z274" s="7">
        <f>IF(AND(ISTEXT(Raw_Bookings!L274),Y274=0),1,0)</f>
        <v>0</v>
      </c>
      <c r="AA274" s="7">
        <f>IF(Z274=1,IFERROR(VALUE(SUBSTITUTE(SUBSTITUTE(SUBSTITUTE(SUBSTITUTE(SUBSTITUTE(UPPER(Raw_Bookings!L274),"RS.",""),"₹",""),",","")," ",""),"INR","")),""),"")</f>
        <v/>
      </c>
      <c r="AB274" s="7">
        <f>IF(AND(Z274=1,ISNUMBER(AA274)),1,0)</f>
        <v>0</v>
      </c>
      <c r="AC274" s="7">
        <f>IF(B274=1,0,IF(NOT(ISNUMBER(Raw_Bookings!J274)),1,IF(Raw_Bookings!J274&lt;&gt;COUNTIFS(Work_Passengers!$B$2:$B$1336,Raw_Bookings!A274,Work_Passengers!$C$2:$C$1336,0),1,0)))</f>
        <v>0</v>
      </c>
    </row>
    <row r="275" spans="1:29">
      <c r="A275" s="7">
        <f>Raw_Bookings!A275</f>
        <v>1091769</v>
      </c>
      <c r="B275" s="7">
        <f>IF(COUNTIF(Raw_Bookings!$A$2:A275,Raw_Bookings!A275)&gt;1,1,0)</f>
        <v>0</v>
      </c>
      <c r="C275" s="7" t="str">
        <f>Raw_Bookings!D275&amp;""</f>
        <v>2025-07-12</v>
      </c>
      <c r="D275" s="7" t="str">
        <f>IF(AND(LEN(C275)=10,MID(C275,5,1)="-",MID(C275,8,1)="-"),"ISO",IF(AND(LEN(C275)=10,MID(C275,3,1)="-",MID(C275,6,1)="-"),"DMY","OTHER"))</f>
        <v>ISO</v>
      </c>
      <c r="E275" s="7">
        <f>IF(D275="ISO",VALUE(LEFT(C275,4)),IF(D275="DMY",VALUE(RIGHT(C275,4)),0))</f>
        <v>2025</v>
      </c>
      <c r="F275" s="7">
        <f>IF(D275="ISO",VALUE(MID(C275,6,2)),IF(D275="DMY",VALUE(MID(C275,4,2)),0))</f>
        <v>7</v>
      </c>
      <c r="G275" s="7">
        <f>IF(D275="ISO",VALUE(RIGHT(C275,2)),IF(D275="DMY",VALUE(LEFT(C275,2)),0))</f>
        <v>12</v>
      </c>
      <c r="H275" s="7">
        <f>IF(AND(D275&lt;&gt;"OTHER",F275&gt;=1,F275&lt;=12,G275&gt;=1,G275&lt;=31),IF(AND(MONTH(DATE(E275,F275,G275))=F275,DAY(DATE(E275,F275,G275))=G275),1,0),0)</f>
        <v>1</v>
      </c>
      <c r="I275" s="7">
        <f>IF(H275=1,DATE(E275,F275,G275),"")</f>
        <v>45850.0</v>
      </c>
      <c r="J275" s="7">
        <f>IF(AND(D275="DMY",H275=1),1,0)</f>
        <v>0</v>
      </c>
      <c r="K275" s="7">
        <f>IF(H275=0,1,0)</f>
        <v>0</v>
      </c>
      <c r="L275" s="7">
        <f>IF(TRIM(Raw_Bookings!I275&amp;"")="",1,0)</f>
        <v>0</v>
      </c>
      <c r="M275" s="7">
        <f>IF(L275=1,"",DATEVALUE(LEFT(Raw_Bookings!I275,10))+TIMEVALUE(MID(Raw_Bookings!I275,12,8)))</f>
        <v>45848.838854166665</v>
      </c>
      <c r="N275" s="7">
        <f>IF(AND(L275=0,H275=1),IF(INT(M275)&gt;I275,1,0),0)</f>
        <v>0</v>
      </c>
      <c r="O275" s="7" t="str">
        <f>UPPER(TRIM(Raw_Bookings!F275))</f>
        <v>PAT</v>
      </c>
      <c r="P275" s="7" t="str">
        <f>UPPER(TRIM(Raw_Bookings!G275))</f>
        <v>VIJ</v>
      </c>
      <c r="Q275" s="7">
        <f>IF(COUNTIF(Lookup_Stations!$A$2:$A$33,O275)&gt;0,1,0)</f>
        <v>1</v>
      </c>
      <c r="R275" s="7">
        <f>IF(COUNTIF(Lookup_Stations!$A$2:$A$33,P275)&gt;0,1,0)</f>
        <v>1</v>
      </c>
      <c r="S275" s="7">
        <f>IF(OR(AND(Q275=1,NOT(EXACT(Raw_Bookings!F275,O275))),AND(R275=1,NOT(EXACT(Raw_Bookings!G275,P275)))),1,0)</f>
        <v>0</v>
      </c>
      <c r="T275" s="7">
        <f>IF(OR(Q275=0,R275=0),1,0)</f>
        <v>0</v>
      </c>
      <c r="U275" s="7">
        <f>IF(TRIM(Raw_Bookings!E275&amp;"")="",1,0)</f>
        <v>0</v>
      </c>
      <c r="V275" s="7" t="str">
        <f>IF(SUMPRODUCT(--(Lookup_Status!$A$2:$A$13=LOWER(TRIM(Raw_Bookings!K275))))=0,"",INDEX(Lookup_Status!$B$2:$B$13,SUMPRODUCT((Lookup_Status!$A$2:$A$13=LOWER(TRIM(Raw_Bookings!K275)))*(ROW(Lookup_Status!$A$2:$A$13)-1))))</f>
        <v>Waitlisted</v>
      </c>
      <c r="W275" s="7">
        <f>IF(AND(V275&lt;&gt;"",NOT(EXACT(Raw_Bookings!K275,V275))),1,0)</f>
        <v>0</v>
      </c>
      <c r="X275" s="7">
        <f>IF(V275="",1,0)</f>
        <v>0</v>
      </c>
      <c r="Y275" s="7">
        <f>IF(TRIM(Raw_Bookings!L275&amp;"")="",1,0)</f>
        <v>0</v>
      </c>
      <c r="Z275" s="7">
        <f>IF(AND(ISTEXT(Raw_Bookings!L275),Y275=0),1,0)</f>
        <v>0</v>
      </c>
      <c r="AA275" s="7">
        <f>IF(Z275=1,IFERROR(VALUE(SUBSTITUTE(SUBSTITUTE(SUBSTITUTE(SUBSTITUTE(SUBSTITUTE(UPPER(Raw_Bookings!L275),"RS.",""),"₹",""),",","")," ",""),"INR","")),""),"")</f>
        <v/>
      </c>
      <c r="AB275" s="7">
        <f>IF(AND(Z275=1,ISNUMBER(AA275)),1,0)</f>
        <v>0</v>
      </c>
      <c r="AC275" s="7">
        <f>IF(B275=1,0,IF(NOT(ISNUMBER(Raw_Bookings!J275)),1,IF(Raw_Bookings!J275&lt;&gt;COUNTIFS(Work_Passengers!$B$2:$B$1336,Raw_Bookings!A275,Work_Passengers!$C$2:$C$1336,0),1,0)))</f>
        <v>0</v>
      </c>
    </row>
    <row r="276" spans="1:29">
      <c r="A276" s="7">
        <f>Raw_Bookings!A276</f>
        <v>1091959</v>
      </c>
      <c r="B276" s="7">
        <f>IF(COUNTIF(Raw_Bookings!$A$2:A276,Raw_Bookings!A276)&gt;1,1,0)</f>
        <v>0</v>
      </c>
      <c r="C276" s="7" t="str">
        <f>Raw_Bookings!D276&amp;""</f>
        <v>2025-07-19</v>
      </c>
      <c r="D276" s="7" t="str">
        <f>IF(AND(LEN(C276)=10,MID(C276,5,1)="-",MID(C276,8,1)="-"),"ISO",IF(AND(LEN(C276)=10,MID(C276,3,1)="-",MID(C276,6,1)="-"),"DMY","OTHER"))</f>
        <v>ISO</v>
      </c>
      <c r="E276" s="7">
        <f>IF(D276="ISO",VALUE(LEFT(C276,4)),IF(D276="DMY",VALUE(RIGHT(C276,4)),0))</f>
        <v>2025</v>
      </c>
      <c r="F276" s="7">
        <f>IF(D276="ISO",VALUE(MID(C276,6,2)),IF(D276="DMY",VALUE(MID(C276,4,2)),0))</f>
        <v>7</v>
      </c>
      <c r="G276" s="7">
        <f>IF(D276="ISO",VALUE(RIGHT(C276,2)),IF(D276="DMY",VALUE(LEFT(C276,2)),0))</f>
        <v>19</v>
      </c>
      <c r="H276" s="7">
        <f>IF(AND(D276&lt;&gt;"OTHER",F276&gt;=1,F276&lt;=12,G276&gt;=1,G276&lt;=31),IF(AND(MONTH(DATE(E276,F276,G276))=F276,DAY(DATE(E276,F276,G276))=G276),1,0),0)</f>
        <v>1</v>
      </c>
      <c r="I276" s="7">
        <f>IF(H276=1,DATE(E276,F276,G276),"")</f>
        <v>45857.0</v>
      </c>
      <c r="J276" s="7">
        <f>IF(AND(D276="DMY",H276=1),1,0)</f>
        <v>0</v>
      </c>
      <c r="K276" s="7">
        <f>IF(H276=0,1,0)</f>
        <v>0</v>
      </c>
      <c r="L276" s="7">
        <f>IF(TRIM(Raw_Bookings!I276&amp;"")="",1,0)</f>
        <v>0</v>
      </c>
      <c r="M276" s="7">
        <f>IF(L276=1,"",DATEVALUE(LEFT(Raw_Bookings!I276,10))+TIMEVALUE(MID(Raw_Bookings!I276,12,8)))</f>
        <v>45849.790555555555</v>
      </c>
      <c r="N276" s="7">
        <f>IF(AND(L276=0,H276=1),IF(INT(M276)&gt;I276,1,0),0)</f>
        <v>0</v>
      </c>
      <c r="O276" s="7" t="str">
        <f>UPPER(TRIM(Raw_Bookings!F276))</f>
        <v>BHU</v>
      </c>
      <c r="P276" s="7" t="str">
        <f>UPPER(TRIM(Raw_Bookings!G276))</f>
        <v>KOC</v>
      </c>
      <c r="Q276" s="7">
        <f>IF(COUNTIF(Lookup_Stations!$A$2:$A$33,O276)&gt;0,1,0)</f>
        <v>1</v>
      </c>
      <c r="R276" s="7">
        <f>IF(COUNTIF(Lookup_Stations!$A$2:$A$33,P276)&gt;0,1,0)</f>
        <v>1</v>
      </c>
      <c r="S276" s="7">
        <f>IF(OR(AND(Q276=1,NOT(EXACT(Raw_Bookings!F276,O276))),AND(R276=1,NOT(EXACT(Raw_Bookings!G276,P276)))),1,0)</f>
        <v>0</v>
      </c>
      <c r="T276" s="7">
        <f>IF(OR(Q276=0,R276=0),1,0)</f>
        <v>0</v>
      </c>
      <c r="U276" s="7">
        <f>IF(TRIM(Raw_Bookings!E276&amp;"")="",1,0)</f>
        <v>0</v>
      </c>
      <c r="V276" s="7" t="str">
        <f>IF(SUMPRODUCT(--(Lookup_Status!$A$2:$A$13=LOWER(TRIM(Raw_Bookings!K276))))=0,"",INDEX(Lookup_Status!$B$2:$B$13,SUMPRODUCT((Lookup_Status!$A$2:$A$13=LOWER(TRIM(Raw_Bookings!K276)))*(ROW(Lookup_Status!$A$2:$A$13)-1))))</f>
        <v>Confirmed</v>
      </c>
      <c r="W276" s="7">
        <f>IF(AND(V276&lt;&gt;"",NOT(EXACT(Raw_Bookings!K276,V276))),1,0)</f>
        <v>0</v>
      </c>
      <c r="X276" s="7">
        <f>IF(V276="",1,0)</f>
        <v>0</v>
      </c>
      <c r="Y276" s="7">
        <f>IF(TRIM(Raw_Bookings!L276&amp;"")="",1,0)</f>
        <v>0</v>
      </c>
      <c r="Z276" s="7">
        <f>IF(AND(ISTEXT(Raw_Bookings!L276),Y276=0),1,0)</f>
        <v>0</v>
      </c>
      <c r="AA276" s="7">
        <f>IF(Z276=1,IFERROR(VALUE(SUBSTITUTE(SUBSTITUTE(SUBSTITUTE(SUBSTITUTE(SUBSTITUTE(UPPER(Raw_Bookings!L276),"RS.",""),"₹",""),",","")," ",""),"INR","")),""),"")</f>
        <v/>
      </c>
      <c r="AB276" s="7">
        <f>IF(AND(Z276=1,ISNUMBER(AA276)),1,0)</f>
        <v>0</v>
      </c>
      <c r="AC276" s="7">
        <f>IF(B276=1,0,IF(NOT(ISNUMBER(Raw_Bookings!J276)),1,IF(Raw_Bookings!J276&lt;&gt;COUNTIFS(Work_Passengers!$B$2:$B$1336,Raw_Bookings!A276,Work_Passengers!$C$2:$C$1336,0),1,0)))</f>
        <v>0</v>
      </c>
    </row>
    <row r="277" spans="1:29">
      <c r="A277" s="7">
        <f>Raw_Bookings!A277</f>
        <v>1092107</v>
      </c>
      <c r="B277" s="7">
        <f>IF(COUNTIF(Raw_Bookings!$A$2:A277,Raw_Bookings!A277)&gt;1,1,0)</f>
        <v>0</v>
      </c>
      <c r="C277" s="7" t="str">
        <f>Raw_Bookings!D277&amp;""</f>
        <v>2025-07-19</v>
      </c>
      <c r="D277" s="7" t="str">
        <f>IF(AND(LEN(C277)=10,MID(C277,5,1)="-",MID(C277,8,1)="-"),"ISO",IF(AND(LEN(C277)=10,MID(C277,3,1)="-",MID(C277,6,1)="-"),"DMY","OTHER"))</f>
        <v>ISO</v>
      </c>
      <c r="E277" s="7">
        <f>IF(D277="ISO",VALUE(LEFT(C277,4)),IF(D277="DMY",VALUE(RIGHT(C277,4)),0))</f>
        <v>2025</v>
      </c>
      <c r="F277" s="7">
        <f>IF(D277="ISO",VALUE(MID(C277,6,2)),IF(D277="DMY",VALUE(MID(C277,4,2)),0))</f>
        <v>7</v>
      </c>
      <c r="G277" s="7">
        <f>IF(D277="ISO",VALUE(RIGHT(C277,2)),IF(D277="DMY",VALUE(LEFT(C277,2)),0))</f>
        <v>19</v>
      </c>
      <c r="H277" s="7">
        <f>IF(AND(D277&lt;&gt;"OTHER",F277&gt;=1,F277&lt;=12,G277&gt;=1,G277&lt;=31),IF(AND(MONTH(DATE(E277,F277,G277))=F277,DAY(DATE(E277,F277,G277))=G277),1,0),0)</f>
        <v>1</v>
      </c>
      <c r="I277" s="7">
        <f>IF(H277=1,DATE(E277,F277,G277),"")</f>
        <v>45857.0</v>
      </c>
      <c r="J277" s="7">
        <f>IF(AND(D277="DMY",H277=1),1,0)</f>
        <v>0</v>
      </c>
      <c r="K277" s="7">
        <f>IF(H277=0,1,0)</f>
        <v>0</v>
      </c>
      <c r="L277" s="7">
        <f>IF(TRIM(Raw_Bookings!I277&amp;"")="",1,0)</f>
        <v>0</v>
      </c>
      <c r="M277" s="7">
        <f>IF(L277=1,"",DATEVALUE(LEFT(Raw_Bookings!I277,10))+TIMEVALUE(MID(Raw_Bookings!I277,12,8)))</f>
        <v>45850.5000462963</v>
      </c>
      <c r="N277" s="7">
        <f>IF(AND(L277=0,H277=1),IF(INT(M277)&gt;I277,1,0),0)</f>
        <v>0</v>
      </c>
      <c r="O277" s="7" t="str">
        <f>UPPER(TRIM(Raw_Bookings!F277))</f>
        <v>BHU</v>
      </c>
      <c r="P277" s="7" t="str">
        <f>UPPER(TRIM(Raw_Bookings!G277))</f>
        <v>KOC</v>
      </c>
      <c r="Q277" s="7">
        <f>IF(COUNTIF(Lookup_Stations!$A$2:$A$33,O277)&gt;0,1,0)</f>
        <v>1</v>
      </c>
      <c r="R277" s="7">
        <f>IF(COUNTIF(Lookup_Stations!$A$2:$A$33,P277)&gt;0,1,0)</f>
        <v>1</v>
      </c>
      <c r="S277" s="7">
        <f>IF(OR(AND(Q277=1,NOT(EXACT(Raw_Bookings!F277,O277))),AND(R277=1,NOT(EXACT(Raw_Bookings!G277,P277)))),1,0)</f>
        <v>0</v>
      </c>
      <c r="T277" s="7">
        <f>IF(OR(Q277=0,R277=0),1,0)</f>
        <v>0</v>
      </c>
      <c r="U277" s="7">
        <f>IF(TRIM(Raw_Bookings!E277&amp;"")="",1,0)</f>
        <v>0</v>
      </c>
      <c r="V277" s="7" t="str">
        <f>IF(SUMPRODUCT(--(Lookup_Status!$A$2:$A$13=LOWER(TRIM(Raw_Bookings!K277))))=0,"",INDEX(Lookup_Status!$B$2:$B$13,SUMPRODUCT((Lookup_Status!$A$2:$A$13=LOWER(TRIM(Raw_Bookings!K277)))*(ROW(Lookup_Status!$A$2:$A$13)-1))))</f>
        <v>Confirmed</v>
      </c>
      <c r="W277" s="7">
        <f>IF(AND(V277&lt;&gt;"",NOT(EXACT(Raw_Bookings!K277,V277))),1,0)</f>
        <v>0</v>
      </c>
      <c r="X277" s="7">
        <f>IF(V277="",1,0)</f>
        <v>0</v>
      </c>
      <c r="Y277" s="7">
        <f>IF(TRIM(Raw_Bookings!L277&amp;"")="",1,0)</f>
        <v>0</v>
      </c>
      <c r="Z277" s="7">
        <f>IF(AND(ISTEXT(Raw_Bookings!L277),Y277=0),1,0)</f>
        <v>0</v>
      </c>
      <c r="AA277" s="7">
        <f>IF(Z277=1,IFERROR(VALUE(SUBSTITUTE(SUBSTITUTE(SUBSTITUTE(SUBSTITUTE(SUBSTITUTE(UPPER(Raw_Bookings!L277),"RS.",""),"₹",""),",","")," ",""),"INR","")),""),"")</f>
        <v/>
      </c>
      <c r="AB277" s="7">
        <f>IF(AND(Z277=1,ISNUMBER(AA277)),1,0)</f>
        <v>0</v>
      </c>
      <c r="AC277" s="7">
        <f>IF(B277=1,0,IF(NOT(ISNUMBER(Raw_Bookings!J277)),1,IF(Raw_Bookings!J277&lt;&gt;COUNTIFS(Work_Passengers!$B$2:$B$1336,Raw_Bookings!A277,Work_Passengers!$C$2:$C$1336,0),1,0)))</f>
        <v>0</v>
      </c>
    </row>
    <row r="278" spans="1:29">
      <c r="A278" s="7">
        <f>Raw_Bookings!A278</f>
        <v>1092320</v>
      </c>
      <c r="B278" s="7">
        <f>IF(COUNTIF(Raw_Bookings!$A$2:A278,Raw_Bookings!A278)&gt;1,1,0)</f>
        <v>0</v>
      </c>
      <c r="C278" s="7" t="str">
        <f>Raw_Bookings!D278&amp;""</f>
        <v>2025-08-24</v>
      </c>
      <c r="D278" s="7" t="str">
        <f>IF(AND(LEN(C278)=10,MID(C278,5,1)="-",MID(C278,8,1)="-"),"ISO",IF(AND(LEN(C278)=10,MID(C278,3,1)="-",MID(C278,6,1)="-"),"DMY","OTHER"))</f>
        <v>ISO</v>
      </c>
      <c r="E278" s="7">
        <f>IF(D278="ISO",VALUE(LEFT(C278,4)),IF(D278="DMY",VALUE(RIGHT(C278,4)),0))</f>
        <v>2025</v>
      </c>
      <c r="F278" s="7">
        <f>IF(D278="ISO",VALUE(MID(C278,6,2)),IF(D278="DMY",VALUE(MID(C278,4,2)),0))</f>
        <v>8</v>
      </c>
      <c r="G278" s="7">
        <f>IF(D278="ISO",VALUE(RIGHT(C278,2)),IF(D278="DMY",VALUE(LEFT(C278,2)),0))</f>
        <v>24</v>
      </c>
      <c r="H278" s="7">
        <f>IF(AND(D278&lt;&gt;"OTHER",F278&gt;=1,F278&lt;=12,G278&gt;=1,G278&lt;=31),IF(AND(MONTH(DATE(E278,F278,G278))=F278,DAY(DATE(E278,F278,G278))=G278),1,0),0)</f>
        <v>1</v>
      </c>
      <c r="I278" s="7">
        <f>IF(H278=1,DATE(E278,F278,G278),"")</f>
        <v>45893.0</v>
      </c>
      <c r="J278" s="7">
        <f>IF(AND(D278="DMY",H278=1),1,0)</f>
        <v>0</v>
      </c>
      <c r="K278" s="7">
        <f>IF(H278=0,1,0)</f>
        <v>0</v>
      </c>
      <c r="L278" s="7">
        <f>IF(TRIM(Raw_Bookings!I278&amp;"")="",1,0)</f>
        <v>0</v>
      </c>
      <c r="M278" s="7">
        <f>IF(L278=1,"",DATEVALUE(LEFT(Raw_Bookings!I278,10))+TIMEVALUE(MID(Raw_Bookings!I278,12,8)))</f>
        <v>45851.41540509259</v>
      </c>
      <c r="N278" s="7">
        <f>IF(AND(L278=0,H278=1),IF(INT(M278)&gt;I278,1,0),0)</f>
        <v>0</v>
      </c>
      <c r="O278" s="7" t="str">
        <f>UPPER(TRIM(Raw_Bookings!F278))</f>
        <v>THI</v>
      </c>
      <c r="P278" s="7" t="str">
        <f>UPPER(TRIM(Raw_Bookings!G278))</f>
        <v>NAG</v>
      </c>
      <c r="Q278" s="7">
        <f>IF(COUNTIF(Lookup_Stations!$A$2:$A$33,O278)&gt;0,1,0)</f>
        <v>1</v>
      </c>
      <c r="R278" s="7">
        <f>IF(COUNTIF(Lookup_Stations!$A$2:$A$33,P278)&gt;0,1,0)</f>
        <v>1</v>
      </c>
      <c r="S278" s="7">
        <f>IF(OR(AND(Q278=1,NOT(EXACT(Raw_Bookings!F278,O278))),AND(R278=1,NOT(EXACT(Raw_Bookings!G278,P278)))),1,0)</f>
        <v>0</v>
      </c>
      <c r="T278" s="7">
        <f>IF(OR(Q278=0,R278=0),1,0)</f>
        <v>0</v>
      </c>
      <c r="U278" s="7">
        <f>IF(TRIM(Raw_Bookings!E278&amp;"")="",1,0)</f>
        <v>0</v>
      </c>
      <c r="V278" s="7" t="str">
        <f>IF(SUMPRODUCT(--(Lookup_Status!$A$2:$A$13=LOWER(TRIM(Raw_Bookings!K278))))=0,"",INDEX(Lookup_Status!$B$2:$B$13,SUMPRODUCT((Lookup_Status!$A$2:$A$13=LOWER(TRIM(Raw_Bookings!K278)))*(ROW(Lookup_Status!$A$2:$A$13)-1))))</f>
        <v>Confirmed</v>
      </c>
      <c r="W278" s="7">
        <f>IF(AND(V278&lt;&gt;"",NOT(EXACT(Raw_Bookings!K278,V278))),1,0)</f>
        <v>0</v>
      </c>
      <c r="X278" s="7">
        <f>IF(V278="",1,0)</f>
        <v>0</v>
      </c>
      <c r="Y278" s="7">
        <f>IF(TRIM(Raw_Bookings!L278&amp;"")="",1,0)</f>
        <v>0</v>
      </c>
      <c r="Z278" s="7">
        <f>IF(AND(ISTEXT(Raw_Bookings!L278),Y278=0),1,0)</f>
        <v>0</v>
      </c>
      <c r="AA278" s="7">
        <f>IF(Z278=1,IFERROR(VALUE(SUBSTITUTE(SUBSTITUTE(SUBSTITUTE(SUBSTITUTE(SUBSTITUTE(UPPER(Raw_Bookings!L278),"RS.",""),"₹",""),",","")," ",""),"INR","")),""),"")</f>
        <v/>
      </c>
      <c r="AB278" s="7">
        <f>IF(AND(Z278=1,ISNUMBER(AA278)),1,0)</f>
        <v>0</v>
      </c>
      <c r="AC278" s="7">
        <f>IF(B278=1,0,IF(NOT(ISNUMBER(Raw_Bookings!J278)),1,IF(Raw_Bookings!J278&lt;&gt;COUNTIFS(Work_Passengers!$B$2:$B$1336,Raw_Bookings!A278,Work_Passengers!$C$2:$C$1336,0),1,0)))</f>
        <v>0</v>
      </c>
    </row>
    <row r="279" spans="1:29">
      <c r="A279" s="7">
        <f>Raw_Bookings!A279</f>
        <v>1092995</v>
      </c>
      <c r="B279" s="7">
        <f>IF(COUNTIF(Raw_Bookings!$A$2:A279,Raw_Bookings!A279)&gt;1,1,0)</f>
        <v>0</v>
      </c>
      <c r="C279" s="7" t="str">
        <f>Raw_Bookings!D279&amp;""</f>
        <v>2025-09-14</v>
      </c>
      <c r="D279" s="7" t="str">
        <f>IF(AND(LEN(C279)=10,MID(C279,5,1)="-",MID(C279,8,1)="-"),"ISO",IF(AND(LEN(C279)=10,MID(C279,3,1)="-",MID(C279,6,1)="-"),"DMY","OTHER"))</f>
        <v>ISO</v>
      </c>
      <c r="E279" s="7">
        <f>IF(D279="ISO",VALUE(LEFT(C279,4)),IF(D279="DMY",VALUE(RIGHT(C279,4)),0))</f>
        <v>2025</v>
      </c>
      <c r="F279" s="7">
        <f>IF(D279="ISO",VALUE(MID(C279,6,2)),IF(D279="DMY",VALUE(MID(C279,4,2)),0))</f>
        <v>9</v>
      </c>
      <c r="G279" s="7">
        <f>IF(D279="ISO",VALUE(RIGHT(C279,2)),IF(D279="DMY",VALUE(LEFT(C279,2)),0))</f>
        <v>14</v>
      </c>
      <c r="H279" s="7">
        <f>IF(AND(D279&lt;&gt;"OTHER",F279&gt;=1,F279&lt;=12,G279&gt;=1,G279&lt;=31),IF(AND(MONTH(DATE(E279,F279,G279))=F279,DAY(DATE(E279,F279,G279))=G279),1,0),0)</f>
        <v>1</v>
      </c>
      <c r="I279" s="7">
        <f>IF(H279=1,DATE(E279,F279,G279),"")</f>
        <v>45914.0</v>
      </c>
      <c r="J279" s="7">
        <f>IF(AND(D279="DMY",H279=1),1,0)</f>
        <v>0</v>
      </c>
      <c r="K279" s="7">
        <f>IF(H279=0,1,0)</f>
        <v>0</v>
      </c>
      <c r="L279" s="7">
        <f>IF(TRIM(Raw_Bookings!I279&amp;"")="",1,0)</f>
        <v>0</v>
      </c>
      <c r="M279" s="7">
        <f>IF(L279=1,"",DATEVALUE(LEFT(Raw_Bookings!I279,10))+TIMEVALUE(MID(Raw_Bookings!I279,12,8)))</f>
        <v>45854.47556712963</v>
      </c>
      <c r="N279" s="7">
        <f>IF(AND(L279=0,H279=1),IF(INT(M279)&gt;I279,1,0),0)</f>
        <v>0</v>
      </c>
      <c r="O279" s="7" t="str">
        <f>UPPER(TRIM(Raw_Bookings!F279))</f>
        <v>MUM</v>
      </c>
      <c r="P279" s="7" t="str">
        <f>UPPER(TRIM(Raw_Bookings!G279))</f>
        <v>LUC</v>
      </c>
      <c r="Q279" s="7">
        <f>IF(COUNTIF(Lookup_Stations!$A$2:$A$33,O279)&gt;0,1,0)</f>
        <v>1</v>
      </c>
      <c r="R279" s="7">
        <f>IF(COUNTIF(Lookup_Stations!$A$2:$A$33,P279)&gt;0,1,0)</f>
        <v>1</v>
      </c>
      <c r="S279" s="7">
        <f>IF(OR(AND(Q279=1,NOT(EXACT(Raw_Bookings!F279,O279))),AND(R279=1,NOT(EXACT(Raw_Bookings!G279,P279)))),1,0)</f>
        <v>0</v>
      </c>
      <c r="T279" s="7">
        <f>IF(OR(Q279=0,R279=0),1,0)</f>
        <v>0</v>
      </c>
      <c r="U279" s="7">
        <f>IF(TRIM(Raw_Bookings!E279&amp;"")="",1,0)</f>
        <v>0</v>
      </c>
      <c r="V279" s="7" t="str">
        <f>IF(SUMPRODUCT(--(Lookup_Status!$A$2:$A$13=LOWER(TRIM(Raw_Bookings!K279))))=0,"",INDEX(Lookup_Status!$B$2:$B$13,SUMPRODUCT((Lookup_Status!$A$2:$A$13=LOWER(TRIM(Raw_Bookings!K279)))*(ROW(Lookup_Status!$A$2:$A$13)-1))))</f>
        <v>Confirmed</v>
      </c>
      <c r="W279" s="7">
        <f>IF(AND(V279&lt;&gt;"",NOT(EXACT(Raw_Bookings!K279,V279))),1,0)</f>
        <v>0</v>
      </c>
      <c r="X279" s="7">
        <f>IF(V279="",1,0)</f>
        <v>0</v>
      </c>
      <c r="Y279" s="7">
        <f>IF(TRIM(Raw_Bookings!L279&amp;"")="",1,0)</f>
        <v>0</v>
      </c>
      <c r="Z279" s="7">
        <f>IF(AND(ISTEXT(Raw_Bookings!L279),Y279=0),1,0)</f>
        <v>0</v>
      </c>
      <c r="AA279" s="7">
        <f>IF(Z279=1,IFERROR(VALUE(SUBSTITUTE(SUBSTITUTE(SUBSTITUTE(SUBSTITUTE(SUBSTITUTE(UPPER(Raw_Bookings!L279),"RS.",""),"₹",""),",","")," ",""),"INR","")),""),"")</f>
        <v/>
      </c>
      <c r="AB279" s="7">
        <f>IF(AND(Z279=1,ISNUMBER(AA279)),1,0)</f>
        <v>0</v>
      </c>
      <c r="AC279" s="7">
        <f>IF(B279=1,0,IF(NOT(ISNUMBER(Raw_Bookings!J279)),1,IF(Raw_Bookings!J279&lt;&gt;COUNTIFS(Work_Passengers!$B$2:$B$1336,Raw_Bookings!A279,Work_Passengers!$C$2:$C$1336,0),1,0)))</f>
        <v>0</v>
      </c>
    </row>
    <row r="280" spans="1:29">
      <c r="A280" s="7">
        <f>Raw_Bookings!A280</f>
        <v>1093380</v>
      </c>
      <c r="B280" s="7">
        <f>IF(COUNTIF(Raw_Bookings!$A$2:A280,Raw_Bookings!A280)&gt;1,1,0)</f>
        <v>0</v>
      </c>
      <c r="C280" s="7" t="str">
        <f>Raw_Bookings!D280&amp;""</f>
        <v>2025-07-21</v>
      </c>
      <c r="D280" s="7" t="str">
        <f>IF(AND(LEN(C280)=10,MID(C280,5,1)="-",MID(C280,8,1)="-"),"ISO",IF(AND(LEN(C280)=10,MID(C280,3,1)="-",MID(C280,6,1)="-"),"DMY","OTHER"))</f>
        <v>ISO</v>
      </c>
      <c r="E280" s="7">
        <f>IF(D280="ISO",VALUE(LEFT(C280,4)),IF(D280="DMY",VALUE(RIGHT(C280,4)),0))</f>
        <v>2025</v>
      </c>
      <c r="F280" s="7">
        <f>IF(D280="ISO",VALUE(MID(C280,6,2)),IF(D280="DMY",VALUE(MID(C280,4,2)),0))</f>
        <v>7</v>
      </c>
      <c r="G280" s="7">
        <f>IF(D280="ISO",VALUE(RIGHT(C280,2)),IF(D280="DMY",VALUE(LEFT(C280,2)),0))</f>
        <v>21</v>
      </c>
      <c r="H280" s="7">
        <f>IF(AND(D280&lt;&gt;"OTHER",F280&gt;=1,F280&lt;=12,G280&gt;=1,G280&lt;=31),IF(AND(MONTH(DATE(E280,F280,G280))=F280,DAY(DATE(E280,F280,G280))=G280),1,0),0)</f>
        <v>1</v>
      </c>
      <c r="I280" s="7">
        <f>IF(H280=1,DATE(E280,F280,G280),"")</f>
        <v>45859.0</v>
      </c>
      <c r="J280" s="7">
        <f>IF(AND(D280="DMY",H280=1),1,0)</f>
        <v>0</v>
      </c>
      <c r="K280" s="7">
        <f>IF(H280=0,1,0)</f>
        <v>0</v>
      </c>
      <c r="L280" s="7">
        <f>IF(TRIM(Raw_Bookings!I280&amp;"")="",1,0)</f>
        <v>0</v>
      </c>
      <c r="M280" s="7">
        <f>IF(L280=1,"",DATEVALUE(LEFT(Raw_Bookings!I280,10))+TIMEVALUE(MID(Raw_Bookings!I280,12,8)))</f>
        <v>45856.28902777778</v>
      </c>
      <c r="N280" s="7">
        <f>IF(AND(L280=0,H280=1),IF(INT(M280)&gt;I280,1,0),0)</f>
        <v>0</v>
      </c>
      <c r="O280" s="7" t="str">
        <f>UPPER(TRIM(Raw_Bookings!F280))</f>
        <v>CHE</v>
      </c>
      <c r="P280" s="7" t="str">
        <f>UPPER(TRIM(Raw_Bookings!G280))</f>
        <v>AHM</v>
      </c>
      <c r="Q280" s="7">
        <f>IF(COUNTIF(Lookup_Stations!$A$2:$A$33,O280)&gt;0,1,0)</f>
        <v>1</v>
      </c>
      <c r="R280" s="7">
        <f>IF(COUNTIF(Lookup_Stations!$A$2:$A$33,P280)&gt;0,1,0)</f>
        <v>1</v>
      </c>
      <c r="S280" s="7">
        <f>IF(OR(AND(Q280=1,NOT(EXACT(Raw_Bookings!F280,O280))),AND(R280=1,NOT(EXACT(Raw_Bookings!G280,P280)))),1,0)</f>
        <v>0</v>
      </c>
      <c r="T280" s="7">
        <f>IF(OR(Q280=0,R280=0),1,0)</f>
        <v>0</v>
      </c>
      <c r="U280" s="7">
        <f>IF(TRIM(Raw_Bookings!E280&amp;"")="",1,0)</f>
        <v>0</v>
      </c>
      <c r="V280" s="7" t="str">
        <f>IF(SUMPRODUCT(--(Lookup_Status!$A$2:$A$13=LOWER(TRIM(Raw_Bookings!K280))))=0,"",INDEX(Lookup_Status!$B$2:$B$13,SUMPRODUCT((Lookup_Status!$A$2:$A$13=LOWER(TRIM(Raw_Bookings!K280)))*(ROW(Lookup_Status!$A$2:$A$13)-1))))</f>
        <v>Confirmed</v>
      </c>
      <c r="W280" s="7">
        <f>IF(AND(V280&lt;&gt;"",NOT(EXACT(Raw_Bookings!K280,V280))),1,0)</f>
        <v>0</v>
      </c>
      <c r="X280" s="7">
        <f>IF(V280="",1,0)</f>
        <v>0</v>
      </c>
      <c r="Y280" s="7">
        <f>IF(TRIM(Raw_Bookings!L280&amp;"")="",1,0)</f>
        <v>0</v>
      </c>
      <c r="Z280" s="7">
        <f>IF(AND(ISTEXT(Raw_Bookings!L280),Y280=0),1,0)</f>
        <v>0</v>
      </c>
      <c r="AA280" s="7">
        <f>IF(Z280=1,IFERROR(VALUE(SUBSTITUTE(SUBSTITUTE(SUBSTITUTE(SUBSTITUTE(SUBSTITUTE(UPPER(Raw_Bookings!L280),"RS.",""),"₹",""),",","")," ",""),"INR","")),""),"")</f>
        <v/>
      </c>
      <c r="AB280" s="7">
        <f>IF(AND(Z280=1,ISNUMBER(AA280)),1,0)</f>
        <v>0</v>
      </c>
      <c r="AC280" s="7">
        <f>IF(B280=1,0,IF(NOT(ISNUMBER(Raw_Bookings!J280)),1,IF(Raw_Bookings!J280&lt;&gt;COUNTIFS(Work_Passengers!$B$2:$B$1336,Raw_Bookings!A280,Work_Passengers!$C$2:$C$1336,0),1,0)))</f>
        <v>0</v>
      </c>
    </row>
    <row r="281" spans="1:29">
      <c r="A281" s="7">
        <f>Raw_Bookings!A281</f>
        <v>1094153</v>
      </c>
      <c r="B281" s="7">
        <f>IF(COUNTIF(Raw_Bookings!$A$2:A281,Raw_Bookings!A281)&gt;1,1,0)</f>
        <v>0</v>
      </c>
      <c r="C281" s="7" t="str">
        <f>Raw_Bookings!D281&amp;""</f>
        <v>2025-07-23</v>
      </c>
      <c r="D281" s="7" t="str">
        <f>IF(AND(LEN(C281)=10,MID(C281,5,1)="-",MID(C281,8,1)="-"),"ISO",IF(AND(LEN(C281)=10,MID(C281,3,1)="-",MID(C281,6,1)="-"),"DMY","OTHER"))</f>
        <v>ISO</v>
      </c>
      <c r="E281" s="7">
        <f>IF(D281="ISO",VALUE(LEFT(C281,4)),IF(D281="DMY",VALUE(RIGHT(C281,4)),0))</f>
        <v>2025</v>
      </c>
      <c r="F281" s="7">
        <f>IF(D281="ISO",VALUE(MID(C281,6,2)),IF(D281="DMY",VALUE(MID(C281,4,2)),0))</f>
        <v>7</v>
      </c>
      <c r="G281" s="7">
        <f>IF(D281="ISO",VALUE(RIGHT(C281,2)),IF(D281="DMY",VALUE(LEFT(C281,2)),0))</f>
        <v>23</v>
      </c>
      <c r="H281" s="7">
        <f>IF(AND(D281&lt;&gt;"OTHER",F281&gt;=1,F281&lt;=12,G281&gt;=1,G281&lt;=31),IF(AND(MONTH(DATE(E281,F281,G281))=F281,DAY(DATE(E281,F281,G281))=G281),1,0),0)</f>
        <v>1</v>
      </c>
      <c r="I281" s="7">
        <f>IF(H281=1,DATE(E281,F281,G281),"")</f>
        <v>45861.0</v>
      </c>
      <c r="J281" s="7">
        <f>IF(AND(D281="DMY",H281=1),1,0)</f>
        <v>0</v>
      </c>
      <c r="K281" s="7">
        <f>IF(H281=0,1,0)</f>
        <v>0</v>
      </c>
      <c r="L281" s="7">
        <f>IF(TRIM(Raw_Bookings!I281&amp;"")="",1,0)</f>
        <v>0</v>
      </c>
      <c r="M281" s="7">
        <f>IF(L281=1,"",DATEVALUE(LEFT(Raw_Bookings!I281,10))+TIMEVALUE(MID(Raw_Bookings!I281,12,8)))</f>
        <v>45859.527662037035</v>
      </c>
      <c r="N281" s="7">
        <f>IF(AND(L281=0,H281=1),IF(INT(M281)&gt;I281,1,0),0)</f>
        <v>0</v>
      </c>
      <c r="O281" s="7" t="str">
        <f>UPPER(TRIM(Raw_Bookings!F281))</f>
        <v>KOC</v>
      </c>
      <c r="P281" s="7" t="str">
        <f>UPPER(TRIM(Raw_Bookings!G281))</f>
        <v>BHU</v>
      </c>
      <c r="Q281" s="7">
        <f>IF(COUNTIF(Lookup_Stations!$A$2:$A$33,O281)&gt;0,1,0)</f>
        <v>1</v>
      </c>
      <c r="R281" s="7">
        <f>IF(COUNTIF(Lookup_Stations!$A$2:$A$33,P281)&gt;0,1,0)</f>
        <v>1</v>
      </c>
      <c r="S281" s="7">
        <f>IF(OR(AND(Q281=1,NOT(EXACT(Raw_Bookings!F281,O281))),AND(R281=1,NOT(EXACT(Raw_Bookings!G281,P281)))),1,0)</f>
        <v>0</v>
      </c>
      <c r="T281" s="7">
        <f>IF(OR(Q281=0,R281=0),1,0)</f>
        <v>0</v>
      </c>
      <c r="U281" s="7">
        <f>IF(TRIM(Raw_Bookings!E281&amp;"")="",1,0)</f>
        <v>0</v>
      </c>
      <c r="V281" s="7" t="str">
        <f>IF(SUMPRODUCT(--(Lookup_Status!$A$2:$A$13=LOWER(TRIM(Raw_Bookings!K281))))=0,"",INDEX(Lookup_Status!$B$2:$B$13,SUMPRODUCT((Lookup_Status!$A$2:$A$13=LOWER(TRIM(Raw_Bookings!K281)))*(ROW(Lookup_Status!$A$2:$A$13)-1))))</f>
        <v>Confirmed</v>
      </c>
      <c r="W281" s="7">
        <f>IF(AND(V281&lt;&gt;"",NOT(EXACT(Raw_Bookings!K281,V281))),1,0)</f>
        <v>0</v>
      </c>
      <c r="X281" s="7">
        <f>IF(V281="",1,0)</f>
        <v>0</v>
      </c>
      <c r="Y281" s="7">
        <f>IF(TRIM(Raw_Bookings!L281&amp;"")="",1,0)</f>
        <v>0</v>
      </c>
      <c r="Z281" s="7">
        <f>IF(AND(ISTEXT(Raw_Bookings!L281),Y281=0),1,0)</f>
        <v>0</v>
      </c>
      <c r="AA281" s="7">
        <f>IF(Z281=1,IFERROR(VALUE(SUBSTITUTE(SUBSTITUTE(SUBSTITUTE(SUBSTITUTE(SUBSTITUTE(UPPER(Raw_Bookings!L281),"RS.",""),"₹",""),",","")," ",""),"INR","")),""),"")</f>
        <v/>
      </c>
      <c r="AB281" s="7">
        <f>IF(AND(Z281=1,ISNUMBER(AA281)),1,0)</f>
        <v>0</v>
      </c>
      <c r="AC281" s="7">
        <f>IF(B281=1,0,IF(NOT(ISNUMBER(Raw_Bookings!J281)),1,IF(Raw_Bookings!J281&lt;&gt;COUNTIFS(Work_Passengers!$B$2:$B$1336,Raw_Bookings!A281,Work_Passengers!$C$2:$C$1336,0),1,0)))</f>
        <v>0</v>
      </c>
    </row>
    <row r="282" spans="1:29">
      <c r="A282" s="7">
        <f>Raw_Bookings!A282</f>
        <v>1095527</v>
      </c>
      <c r="B282" s="7">
        <f>IF(COUNTIF(Raw_Bookings!$A$2:A282,Raw_Bookings!A282)&gt;1,1,0)</f>
        <v>0</v>
      </c>
      <c r="C282" s="7" t="str">
        <f>Raw_Bookings!D282&amp;""</f>
        <v>2025-08-30</v>
      </c>
      <c r="D282" s="7" t="str">
        <f>IF(AND(LEN(C282)=10,MID(C282,5,1)="-",MID(C282,8,1)="-"),"ISO",IF(AND(LEN(C282)=10,MID(C282,3,1)="-",MID(C282,6,1)="-"),"DMY","OTHER"))</f>
        <v>ISO</v>
      </c>
      <c r="E282" s="7">
        <f>IF(D282="ISO",VALUE(LEFT(C282,4)),IF(D282="DMY",VALUE(RIGHT(C282,4)),0))</f>
        <v>2025</v>
      </c>
      <c r="F282" s="7">
        <f>IF(D282="ISO",VALUE(MID(C282,6,2)),IF(D282="DMY",VALUE(MID(C282,4,2)),0))</f>
        <v>8</v>
      </c>
      <c r="G282" s="7">
        <f>IF(D282="ISO",VALUE(RIGHT(C282,2)),IF(D282="DMY",VALUE(LEFT(C282,2)),0))</f>
        <v>30</v>
      </c>
      <c r="H282" s="7">
        <f>IF(AND(D282&lt;&gt;"OTHER",F282&gt;=1,F282&lt;=12,G282&gt;=1,G282&lt;=31),IF(AND(MONTH(DATE(E282,F282,G282))=F282,DAY(DATE(E282,F282,G282))=G282),1,0),0)</f>
        <v>1</v>
      </c>
      <c r="I282" s="7">
        <f>IF(H282=1,DATE(E282,F282,G282),"")</f>
        <v>45899.0</v>
      </c>
      <c r="J282" s="7">
        <f>IF(AND(D282="DMY",H282=1),1,0)</f>
        <v>0</v>
      </c>
      <c r="K282" s="7">
        <f>IF(H282=0,1,0)</f>
        <v>0</v>
      </c>
      <c r="L282" s="7">
        <f>IF(TRIM(Raw_Bookings!I282&amp;"")="",1,0)</f>
        <v>0</v>
      </c>
      <c r="M282" s="7">
        <f>IF(L282=1,"",DATEVALUE(LEFT(Raw_Bookings!I282,10))+TIMEVALUE(MID(Raw_Bookings!I282,12,8)))</f>
        <v>45865.71030092592</v>
      </c>
      <c r="N282" s="7">
        <f>IF(AND(L282=0,H282=1),IF(INT(M282)&gt;I282,1,0),0)</f>
        <v>0</v>
      </c>
      <c r="O282" s="7" t="str">
        <f>UPPER(TRIM(Raw_Bookings!F282))</f>
        <v>BHU</v>
      </c>
      <c r="P282" s="7" t="str">
        <f>UPPER(TRIM(Raw_Bookings!G282))</f>
        <v>KOC</v>
      </c>
      <c r="Q282" s="7">
        <f>IF(COUNTIF(Lookup_Stations!$A$2:$A$33,O282)&gt;0,1,0)</f>
        <v>1</v>
      </c>
      <c r="R282" s="7">
        <f>IF(COUNTIF(Lookup_Stations!$A$2:$A$33,P282)&gt;0,1,0)</f>
        <v>1</v>
      </c>
      <c r="S282" s="7">
        <f>IF(OR(AND(Q282=1,NOT(EXACT(Raw_Bookings!F282,O282))),AND(R282=1,NOT(EXACT(Raw_Bookings!G282,P282)))),1,0)</f>
        <v>0</v>
      </c>
      <c r="T282" s="7">
        <f>IF(OR(Q282=0,R282=0),1,0)</f>
        <v>0</v>
      </c>
      <c r="U282" s="7">
        <f>IF(TRIM(Raw_Bookings!E282&amp;"")="",1,0)</f>
        <v>0</v>
      </c>
      <c r="V282" s="7" t="str">
        <f>IF(SUMPRODUCT(--(Lookup_Status!$A$2:$A$13=LOWER(TRIM(Raw_Bookings!K282))))=0,"",INDEX(Lookup_Status!$B$2:$B$13,SUMPRODUCT((Lookup_Status!$A$2:$A$13=LOWER(TRIM(Raw_Bookings!K282)))*(ROW(Lookup_Status!$A$2:$A$13)-1))))</f>
        <v>Cancelled</v>
      </c>
      <c r="W282" s="7">
        <f>IF(AND(V282&lt;&gt;"",NOT(EXACT(Raw_Bookings!K282,V282))),1,0)</f>
        <v>0</v>
      </c>
      <c r="X282" s="7">
        <f>IF(V282="",1,0)</f>
        <v>0</v>
      </c>
      <c r="Y282" s="7">
        <f>IF(TRIM(Raw_Bookings!L282&amp;"")="",1,0)</f>
        <v>0</v>
      </c>
      <c r="Z282" s="7">
        <f>IF(AND(ISTEXT(Raw_Bookings!L282),Y282=0),1,0)</f>
        <v>0</v>
      </c>
      <c r="AA282" s="7">
        <f>IF(Z282=1,IFERROR(VALUE(SUBSTITUTE(SUBSTITUTE(SUBSTITUTE(SUBSTITUTE(SUBSTITUTE(UPPER(Raw_Bookings!L282),"RS.",""),"₹",""),",","")," ",""),"INR","")),""),"")</f>
        <v/>
      </c>
      <c r="AB282" s="7">
        <f>IF(AND(Z282=1,ISNUMBER(AA282)),1,0)</f>
        <v>0</v>
      </c>
      <c r="AC282" s="7">
        <f>IF(B282=1,0,IF(NOT(ISNUMBER(Raw_Bookings!J282)),1,IF(Raw_Bookings!J282&lt;&gt;COUNTIFS(Work_Passengers!$B$2:$B$1336,Raw_Bookings!A282,Work_Passengers!$C$2:$C$1336,0),1,0)))</f>
        <v>0</v>
      </c>
    </row>
    <row r="283" spans="1:29">
      <c r="A283" s="7">
        <f>Raw_Bookings!A283</f>
        <v>1096099</v>
      </c>
      <c r="B283" s="7">
        <f>IF(COUNTIF(Raw_Bookings!$A$2:A283,Raw_Bookings!A283)&gt;1,1,0)</f>
        <v>0</v>
      </c>
      <c r="C283" s="7" t="str">
        <f>Raw_Bookings!D283&amp;""</f>
        <v>2025-08-12</v>
      </c>
      <c r="D283" s="7" t="str">
        <f>IF(AND(LEN(C283)=10,MID(C283,5,1)="-",MID(C283,8,1)="-"),"ISO",IF(AND(LEN(C283)=10,MID(C283,3,1)="-",MID(C283,6,1)="-"),"DMY","OTHER"))</f>
        <v>ISO</v>
      </c>
      <c r="E283" s="7">
        <f>IF(D283="ISO",VALUE(LEFT(C283,4)),IF(D283="DMY",VALUE(RIGHT(C283,4)),0))</f>
        <v>2025</v>
      </c>
      <c r="F283" s="7">
        <f>IF(D283="ISO",VALUE(MID(C283,6,2)),IF(D283="DMY",VALUE(MID(C283,4,2)),0))</f>
        <v>8</v>
      </c>
      <c r="G283" s="7">
        <f>IF(D283="ISO",VALUE(RIGHT(C283,2)),IF(D283="DMY",VALUE(LEFT(C283,2)),0))</f>
        <v>12</v>
      </c>
      <c r="H283" s="7">
        <f>IF(AND(D283&lt;&gt;"OTHER",F283&gt;=1,F283&lt;=12,G283&gt;=1,G283&lt;=31),IF(AND(MONTH(DATE(E283,F283,G283))=F283,DAY(DATE(E283,F283,G283))=G283),1,0),0)</f>
        <v>1</v>
      </c>
      <c r="I283" s="7">
        <f>IF(H283=1,DATE(E283,F283,G283),"")</f>
        <v>45881.0</v>
      </c>
      <c r="J283" s="7">
        <f>IF(AND(D283="DMY",H283=1),1,0)</f>
        <v>0</v>
      </c>
      <c r="K283" s="7">
        <f>IF(H283=0,1,0)</f>
        <v>0</v>
      </c>
      <c r="L283" s="7">
        <f>IF(TRIM(Raw_Bookings!I283&amp;"")="",1,0)</f>
        <v>0</v>
      </c>
      <c r="M283" s="7">
        <f>IF(L283=1,"",DATEVALUE(LEFT(Raw_Bookings!I283,10))+TIMEVALUE(MID(Raw_Bookings!I283,12,8)))</f>
        <v>45868.59631944444</v>
      </c>
      <c r="N283" s="7">
        <f>IF(AND(L283=0,H283=1),IF(INT(M283)&gt;I283,1,0),0)</f>
        <v>0</v>
      </c>
      <c r="O283" s="7" t="str">
        <f>UPPER(TRIM(Raw_Bookings!F283))</f>
        <v>BEN</v>
      </c>
      <c r="P283" s="7" t="str">
        <f>UPPER(TRIM(Raw_Bookings!G283))</f>
        <v>MUM</v>
      </c>
      <c r="Q283" s="7">
        <f>IF(COUNTIF(Lookup_Stations!$A$2:$A$33,O283)&gt;0,1,0)</f>
        <v>1</v>
      </c>
      <c r="R283" s="7">
        <f>IF(COUNTIF(Lookup_Stations!$A$2:$A$33,P283)&gt;0,1,0)</f>
        <v>1</v>
      </c>
      <c r="S283" s="7">
        <f>IF(OR(AND(Q283=1,NOT(EXACT(Raw_Bookings!F283,O283))),AND(R283=1,NOT(EXACT(Raw_Bookings!G283,P283)))),1,0)</f>
        <v>0</v>
      </c>
      <c r="T283" s="7">
        <f>IF(OR(Q283=0,R283=0),1,0)</f>
        <v>0</v>
      </c>
      <c r="U283" s="7">
        <f>IF(TRIM(Raw_Bookings!E283&amp;"")="",1,0)</f>
        <v>0</v>
      </c>
      <c r="V283" s="7" t="str">
        <f>IF(SUMPRODUCT(--(Lookup_Status!$A$2:$A$13=LOWER(TRIM(Raw_Bookings!K283))))=0,"",INDEX(Lookup_Status!$B$2:$B$13,SUMPRODUCT((Lookup_Status!$A$2:$A$13=LOWER(TRIM(Raw_Bookings!K283)))*(ROW(Lookup_Status!$A$2:$A$13)-1))))</f>
        <v>Confirmed</v>
      </c>
      <c r="W283" s="7">
        <f>IF(AND(V283&lt;&gt;"",NOT(EXACT(Raw_Bookings!K283,V283))),1,0)</f>
        <v>0</v>
      </c>
      <c r="X283" s="7">
        <f>IF(V283="",1,0)</f>
        <v>0</v>
      </c>
      <c r="Y283" s="7">
        <f>IF(TRIM(Raw_Bookings!L283&amp;"")="",1,0)</f>
        <v>0</v>
      </c>
      <c r="Z283" s="7">
        <f>IF(AND(ISTEXT(Raw_Bookings!L283),Y283=0),1,0)</f>
        <v>1</v>
      </c>
      <c r="AA283" s="7">
        <f>IF(Z283=1,IFERROR(VALUE(SUBSTITUTE(SUBSTITUTE(SUBSTITUTE(SUBSTITUTE(SUBSTITUTE(UPPER(Raw_Bookings!L283),"RS.",""),"₹",""),",","")," ",""),"INR","")),""),"")</f>
        <v>1308</v>
      </c>
      <c r="AB283" s="7">
        <f>IF(AND(Z283=1,ISNUMBER(AA283)),1,0)</f>
        <v>1</v>
      </c>
      <c r="AC283" s="7">
        <f>IF(B283=1,0,IF(NOT(ISNUMBER(Raw_Bookings!J283)),1,IF(Raw_Bookings!J283&lt;&gt;COUNTIFS(Work_Passengers!$B$2:$B$1336,Raw_Bookings!A283,Work_Passengers!$C$2:$C$1336,0),1,0)))</f>
        <v>0</v>
      </c>
    </row>
    <row r="284" spans="1:29">
      <c r="A284" s="7">
        <f>Raw_Bookings!A284</f>
        <v>1096350</v>
      </c>
      <c r="B284" s="7">
        <f>IF(COUNTIF(Raw_Bookings!$A$2:A284,Raw_Bookings!A284)&gt;1,1,0)</f>
        <v>0</v>
      </c>
      <c r="C284" s="7" t="str">
        <f>Raw_Bookings!D284&amp;""</f>
        <v>2025-11-10</v>
      </c>
      <c r="D284" s="7" t="str">
        <f>IF(AND(LEN(C284)=10,MID(C284,5,1)="-",MID(C284,8,1)="-"),"ISO",IF(AND(LEN(C284)=10,MID(C284,3,1)="-",MID(C284,6,1)="-"),"DMY","OTHER"))</f>
        <v>ISO</v>
      </c>
      <c r="E284" s="7">
        <f>IF(D284="ISO",VALUE(LEFT(C284,4)),IF(D284="DMY",VALUE(RIGHT(C284,4)),0))</f>
        <v>2025</v>
      </c>
      <c r="F284" s="7">
        <f>IF(D284="ISO",VALUE(MID(C284,6,2)),IF(D284="DMY",VALUE(MID(C284,4,2)),0))</f>
        <v>11</v>
      </c>
      <c r="G284" s="7">
        <f>IF(D284="ISO",VALUE(RIGHT(C284,2)),IF(D284="DMY",VALUE(LEFT(C284,2)),0))</f>
        <v>10</v>
      </c>
      <c r="H284" s="7">
        <f>IF(AND(D284&lt;&gt;"OTHER",F284&gt;=1,F284&lt;=12,G284&gt;=1,G284&lt;=31),IF(AND(MONTH(DATE(E284,F284,G284))=F284,DAY(DATE(E284,F284,G284))=G284),1,0),0)</f>
        <v>1</v>
      </c>
      <c r="I284" s="7">
        <f>IF(H284=1,DATE(E284,F284,G284),"")</f>
        <v>45971.0</v>
      </c>
      <c r="J284" s="7">
        <f>IF(AND(D284="DMY",H284=1),1,0)</f>
        <v>0</v>
      </c>
      <c r="K284" s="7">
        <f>IF(H284=0,1,0)</f>
        <v>0</v>
      </c>
      <c r="L284" s="7">
        <f>IF(TRIM(Raw_Bookings!I284&amp;"")="",1,0)</f>
        <v>0</v>
      </c>
      <c r="M284" s="7">
        <f>IF(L284=1,"",DATEVALUE(LEFT(Raw_Bookings!I284,10))+TIMEVALUE(MID(Raw_Bookings!I284,12,8)))</f>
        <v>45869.71224537037</v>
      </c>
      <c r="N284" s="7">
        <f>IF(AND(L284=0,H284=1),IF(INT(M284)&gt;I284,1,0),0)</f>
        <v>0</v>
      </c>
      <c r="O284" s="7" t="str">
        <f>UPPER(TRIM(Raw_Bookings!F284))</f>
        <v>MAD</v>
      </c>
      <c r="P284" s="7" t="str">
        <f>UPPER(TRIM(Raw_Bookings!G284))</f>
        <v>MAU</v>
      </c>
      <c r="Q284" s="7">
        <f>IF(COUNTIF(Lookup_Stations!$A$2:$A$33,O284)&gt;0,1,0)</f>
        <v>1</v>
      </c>
      <c r="R284" s="7">
        <f>IF(COUNTIF(Lookup_Stations!$A$2:$A$33,P284)&gt;0,1,0)</f>
        <v>1</v>
      </c>
      <c r="S284" s="7">
        <f>IF(OR(AND(Q284=1,NOT(EXACT(Raw_Bookings!F284,O284))),AND(R284=1,NOT(EXACT(Raw_Bookings!G284,P284)))),1,0)</f>
        <v>0</v>
      </c>
      <c r="T284" s="7">
        <f>IF(OR(Q284=0,R284=0),1,0)</f>
        <v>0</v>
      </c>
      <c r="U284" s="7">
        <f>IF(TRIM(Raw_Bookings!E284&amp;"")="",1,0)</f>
        <v>0</v>
      </c>
      <c r="V284" s="7" t="str">
        <f>IF(SUMPRODUCT(--(Lookup_Status!$A$2:$A$13=LOWER(TRIM(Raw_Bookings!K284))))=0,"",INDEX(Lookup_Status!$B$2:$B$13,SUMPRODUCT((Lookup_Status!$A$2:$A$13=LOWER(TRIM(Raw_Bookings!K284)))*(ROW(Lookup_Status!$A$2:$A$13)-1))))</f>
        <v>Cancelled</v>
      </c>
      <c r="W284" s="7">
        <f>IF(AND(V284&lt;&gt;"",NOT(EXACT(Raw_Bookings!K284,V284))),1,0)</f>
        <v>0</v>
      </c>
      <c r="X284" s="7">
        <f>IF(V284="",1,0)</f>
        <v>0</v>
      </c>
      <c r="Y284" s="7">
        <f>IF(TRIM(Raw_Bookings!L284&amp;"")="",1,0)</f>
        <v>0</v>
      </c>
      <c r="Z284" s="7">
        <f>IF(AND(ISTEXT(Raw_Bookings!L284),Y284=0),1,0)</f>
        <v>0</v>
      </c>
      <c r="AA284" s="7">
        <f>IF(Z284=1,IFERROR(VALUE(SUBSTITUTE(SUBSTITUTE(SUBSTITUTE(SUBSTITUTE(SUBSTITUTE(UPPER(Raw_Bookings!L284),"RS.",""),"₹",""),",","")," ",""),"INR","")),""),"")</f>
        <v/>
      </c>
      <c r="AB284" s="7">
        <f>IF(AND(Z284=1,ISNUMBER(AA284)),1,0)</f>
        <v>0</v>
      </c>
      <c r="AC284" s="7">
        <f>IF(B284=1,0,IF(NOT(ISNUMBER(Raw_Bookings!J284)),1,IF(Raw_Bookings!J284&lt;&gt;COUNTIFS(Work_Passengers!$B$2:$B$1336,Raw_Bookings!A284,Work_Passengers!$C$2:$C$1336,0),1,0)))</f>
        <v>0</v>
      </c>
    </row>
    <row r="285" spans="1:29">
      <c r="A285" s="7">
        <f>Raw_Bookings!A285</f>
        <v>1096648</v>
      </c>
      <c r="B285" s="7">
        <f>IF(COUNTIF(Raw_Bookings!$A$2:A285,Raw_Bookings!A285)&gt;1,1,0)</f>
        <v>0</v>
      </c>
      <c r="C285" s="7" t="str">
        <f>Raw_Bookings!D285&amp;""</f>
        <v>2025-10-30</v>
      </c>
      <c r="D285" s="7" t="str">
        <f>IF(AND(LEN(C285)=10,MID(C285,5,1)="-",MID(C285,8,1)="-"),"ISO",IF(AND(LEN(C285)=10,MID(C285,3,1)="-",MID(C285,6,1)="-"),"DMY","OTHER"))</f>
        <v>ISO</v>
      </c>
      <c r="E285" s="7">
        <f>IF(D285="ISO",VALUE(LEFT(C285,4)),IF(D285="DMY",VALUE(RIGHT(C285,4)),0))</f>
        <v>2025</v>
      </c>
      <c r="F285" s="7">
        <f>IF(D285="ISO",VALUE(MID(C285,6,2)),IF(D285="DMY",VALUE(MID(C285,4,2)),0))</f>
        <v>10</v>
      </c>
      <c r="G285" s="7">
        <f>IF(D285="ISO",VALUE(RIGHT(C285,2)),IF(D285="DMY",VALUE(LEFT(C285,2)),0))</f>
        <v>30</v>
      </c>
      <c r="H285" s="7">
        <f>IF(AND(D285&lt;&gt;"OTHER",F285&gt;=1,F285&lt;=12,G285&gt;=1,G285&lt;=31),IF(AND(MONTH(DATE(E285,F285,G285))=F285,DAY(DATE(E285,F285,G285))=G285),1,0),0)</f>
        <v>1</v>
      </c>
      <c r="I285" s="7">
        <f>IF(H285=1,DATE(E285,F285,G285),"")</f>
        <v>45960.0</v>
      </c>
      <c r="J285" s="7">
        <f>IF(AND(D285="DMY",H285=1),1,0)</f>
        <v>0</v>
      </c>
      <c r="K285" s="7">
        <f>IF(H285=0,1,0)</f>
        <v>0</v>
      </c>
      <c r="L285" s="7">
        <f>IF(TRIM(Raw_Bookings!I285&amp;"")="",1,0)</f>
        <v>0</v>
      </c>
      <c r="M285" s="7">
        <f>IF(L285=1,"",DATEVALUE(LEFT(Raw_Bookings!I285,10))+TIMEVALUE(MID(Raw_Bookings!I285,12,8)))</f>
        <v>45870.829780092594</v>
      </c>
      <c r="N285" s="7">
        <f>IF(AND(L285=0,H285=1),IF(INT(M285)&gt;I285,1,0),0)</f>
        <v>0</v>
      </c>
      <c r="O285" s="7" t="str">
        <f>UPPER(TRIM(Raw_Bookings!F285))</f>
        <v>DEL</v>
      </c>
      <c r="P285" s="7" t="str">
        <f>UPPER(TRIM(Raw_Bookings!G285))</f>
        <v>MAU</v>
      </c>
      <c r="Q285" s="7">
        <f>IF(COUNTIF(Lookup_Stations!$A$2:$A$33,O285)&gt;0,1,0)</f>
        <v>1</v>
      </c>
      <c r="R285" s="7">
        <f>IF(COUNTIF(Lookup_Stations!$A$2:$A$33,P285)&gt;0,1,0)</f>
        <v>1</v>
      </c>
      <c r="S285" s="7">
        <f>IF(OR(AND(Q285=1,NOT(EXACT(Raw_Bookings!F285,O285))),AND(R285=1,NOT(EXACT(Raw_Bookings!G285,P285)))),1,0)</f>
        <v>0</v>
      </c>
      <c r="T285" s="7">
        <f>IF(OR(Q285=0,R285=0),1,0)</f>
        <v>0</v>
      </c>
      <c r="U285" s="7">
        <f>IF(TRIM(Raw_Bookings!E285&amp;"")="",1,0)</f>
        <v>0</v>
      </c>
      <c r="V285" s="7" t="str">
        <f>IF(SUMPRODUCT(--(Lookup_Status!$A$2:$A$13=LOWER(TRIM(Raw_Bookings!K285))))=0,"",INDEX(Lookup_Status!$B$2:$B$13,SUMPRODUCT((Lookup_Status!$A$2:$A$13=LOWER(TRIM(Raw_Bookings!K285)))*(ROW(Lookup_Status!$A$2:$A$13)-1))))</f>
        <v>Cancelled</v>
      </c>
      <c r="W285" s="7">
        <f>IF(AND(V285&lt;&gt;"",NOT(EXACT(Raw_Bookings!K285,V285))),1,0)</f>
        <v>0</v>
      </c>
      <c r="X285" s="7">
        <f>IF(V285="",1,0)</f>
        <v>0</v>
      </c>
      <c r="Y285" s="7">
        <f>IF(TRIM(Raw_Bookings!L285&amp;"")="",1,0)</f>
        <v>0</v>
      </c>
      <c r="Z285" s="7">
        <f>IF(AND(ISTEXT(Raw_Bookings!L285),Y285=0),1,0)</f>
        <v>0</v>
      </c>
      <c r="AA285" s="7">
        <f>IF(Z285=1,IFERROR(VALUE(SUBSTITUTE(SUBSTITUTE(SUBSTITUTE(SUBSTITUTE(SUBSTITUTE(UPPER(Raw_Bookings!L285),"RS.",""),"₹",""),",","")," ",""),"INR","")),""),"")</f>
        <v/>
      </c>
      <c r="AB285" s="7">
        <f>IF(AND(Z285=1,ISNUMBER(AA285)),1,0)</f>
        <v>0</v>
      </c>
      <c r="AC285" s="7">
        <f>IF(B285=1,0,IF(NOT(ISNUMBER(Raw_Bookings!J285)),1,IF(Raw_Bookings!J285&lt;&gt;COUNTIFS(Work_Passengers!$B$2:$B$1336,Raw_Bookings!A285,Work_Passengers!$C$2:$C$1336,0),1,0)))</f>
        <v>0</v>
      </c>
    </row>
    <row r="286" spans="1:29">
      <c r="A286" s="7">
        <f>Raw_Bookings!A286</f>
        <v>1097788</v>
      </c>
      <c r="B286" s="7">
        <f>IF(COUNTIF(Raw_Bookings!$A$2:A286,Raw_Bookings!A286)&gt;1,1,0)</f>
        <v>0</v>
      </c>
      <c r="C286" s="7" t="str">
        <f>Raw_Bookings!D286&amp;""</f>
        <v>2025-08-16</v>
      </c>
      <c r="D286" s="7" t="str">
        <f>IF(AND(LEN(C286)=10,MID(C286,5,1)="-",MID(C286,8,1)="-"),"ISO",IF(AND(LEN(C286)=10,MID(C286,3,1)="-",MID(C286,6,1)="-"),"DMY","OTHER"))</f>
        <v>ISO</v>
      </c>
      <c r="E286" s="7">
        <f>IF(D286="ISO",VALUE(LEFT(C286,4)),IF(D286="DMY",VALUE(RIGHT(C286,4)),0))</f>
        <v>2025</v>
      </c>
      <c r="F286" s="7">
        <f>IF(D286="ISO",VALUE(MID(C286,6,2)),IF(D286="DMY",VALUE(MID(C286,4,2)),0))</f>
        <v>8</v>
      </c>
      <c r="G286" s="7">
        <f>IF(D286="ISO",VALUE(RIGHT(C286,2)),IF(D286="DMY",VALUE(LEFT(C286,2)),0))</f>
        <v>16</v>
      </c>
      <c r="H286" s="7">
        <f>IF(AND(D286&lt;&gt;"OTHER",F286&gt;=1,F286&lt;=12,G286&gt;=1,G286&lt;=31),IF(AND(MONTH(DATE(E286,F286,G286))=F286,DAY(DATE(E286,F286,G286))=G286),1,0),0)</f>
        <v>1</v>
      </c>
      <c r="I286" s="7">
        <f>IF(H286=1,DATE(E286,F286,G286),"")</f>
        <v>45885.0</v>
      </c>
      <c r="J286" s="7">
        <f>IF(AND(D286="DMY",H286=1),1,0)</f>
        <v>0</v>
      </c>
      <c r="K286" s="7">
        <f>IF(H286=0,1,0)</f>
        <v>0</v>
      </c>
      <c r="L286" s="7">
        <f>IF(TRIM(Raw_Bookings!I286&amp;"")="",1,0)</f>
        <v>0</v>
      </c>
      <c r="M286" s="7">
        <f>IF(L286=1,"",DATEVALUE(LEFT(Raw_Bookings!I286,10))+TIMEVALUE(MID(Raw_Bookings!I286,12,8)))</f>
        <v>45876.46202546296</v>
      </c>
      <c r="N286" s="7">
        <f>IF(AND(L286=0,H286=1),IF(INT(M286)&gt;I286,1,0),0)</f>
        <v>0</v>
      </c>
      <c r="O286" s="7" t="str">
        <f>UPPER(TRIM(Raw_Bookings!F286))</f>
        <v>JAI</v>
      </c>
      <c r="P286" s="7" t="str">
        <f>UPPER(TRIM(Raw_Bookings!G286))</f>
        <v>BHO</v>
      </c>
      <c r="Q286" s="7">
        <f>IF(COUNTIF(Lookup_Stations!$A$2:$A$33,O286)&gt;0,1,0)</f>
        <v>1</v>
      </c>
      <c r="R286" s="7">
        <f>IF(COUNTIF(Lookup_Stations!$A$2:$A$33,P286)&gt;0,1,0)</f>
        <v>1</v>
      </c>
      <c r="S286" s="7">
        <f>IF(OR(AND(Q286=1,NOT(EXACT(Raw_Bookings!F286,O286))),AND(R286=1,NOT(EXACT(Raw_Bookings!G286,P286)))),1,0)</f>
        <v>0</v>
      </c>
      <c r="T286" s="7">
        <f>IF(OR(Q286=0,R286=0),1,0)</f>
        <v>0</v>
      </c>
      <c r="U286" s="7">
        <f>IF(TRIM(Raw_Bookings!E286&amp;"")="",1,0)</f>
        <v>0</v>
      </c>
      <c r="V286" s="7" t="str">
        <f>IF(SUMPRODUCT(--(Lookup_Status!$A$2:$A$13=LOWER(TRIM(Raw_Bookings!K286))))=0,"",INDEX(Lookup_Status!$B$2:$B$13,SUMPRODUCT((Lookup_Status!$A$2:$A$13=LOWER(TRIM(Raw_Bookings!K286)))*(ROW(Lookup_Status!$A$2:$A$13)-1))))</f>
        <v>Cancelled</v>
      </c>
      <c r="W286" s="7">
        <f>IF(AND(V286&lt;&gt;"",NOT(EXACT(Raw_Bookings!K286,V286))),1,0)</f>
        <v>0</v>
      </c>
      <c r="X286" s="7">
        <f>IF(V286="",1,0)</f>
        <v>0</v>
      </c>
      <c r="Y286" s="7">
        <f>IF(TRIM(Raw_Bookings!L286&amp;"")="",1,0)</f>
        <v>0</v>
      </c>
      <c r="Z286" s="7">
        <f>IF(AND(ISTEXT(Raw_Bookings!L286),Y286=0),1,0)</f>
        <v>0</v>
      </c>
      <c r="AA286" s="7">
        <f>IF(Z286=1,IFERROR(VALUE(SUBSTITUTE(SUBSTITUTE(SUBSTITUTE(SUBSTITUTE(SUBSTITUTE(UPPER(Raw_Bookings!L286),"RS.",""),"₹",""),",","")," ",""),"INR","")),""),"")</f>
        <v/>
      </c>
      <c r="AB286" s="7">
        <f>IF(AND(Z286=1,ISNUMBER(AA286)),1,0)</f>
        <v>0</v>
      </c>
      <c r="AC286" s="7">
        <f>IF(B286=1,0,IF(NOT(ISNUMBER(Raw_Bookings!J286)),1,IF(Raw_Bookings!J286&lt;&gt;COUNTIFS(Work_Passengers!$B$2:$B$1336,Raw_Bookings!A286,Work_Passengers!$C$2:$C$1336,0),1,0)))</f>
        <v>0</v>
      </c>
    </row>
    <row r="287" spans="1:29">
      <c r="A287" s="7">
        <f>Raw_Bookings!A287</f>
        <v>1097941</v>
      </c>
      <c r="B287" s="7">
        <f>IF(COUNTIF(Raw_Bookings!$A$2:A287,Raw_Bookings!A287)&gt;1,1,0)</f>
        <v>0</v>
      </c>
      <c r="C287" s="7" t="str">
        <f>Raw_Bookings!D287&amp;""</f>
        <v>2025-08-15</v>
      </c>
      <c r="D287" s="7" t="str">
        <f>IF(AND(LEN(C287)=10,MID(C287,5,1)="-",MID(C287,8,1)="-"),"ISO",IF(AND(LEN(C287)=10,MID(C287,3,1)="-",MID(C287,6,1)="-"),"DMY","OTHER"))</f>
        <v>ISO</v>
      </c>
      <c r="E287" s="7">
        <f>IF(D287="ISO",VALUE(LEFT(C287,4)),IF(D287="DMY",VALUE(RIGHT(C287,4)),0))</f>
        <v>2025</v>
      </c>
      <c r="F287" s="7">
        <f>IF(D287="ISO",VALUE(MID(C287,6,2)),IF(D287="DMY",VALUE(MID(C287,4,2)),0))</f>
        <v>8</v>
      </c>
      <c r="G287" s="7">
        <f>IF(D287="ISO",VALUE(RIGHT(C287,2)),IF(D287="DMY",VALUE(LEFT(C287,2)),0))</f>
        <v>15</v>
      </c>
      <c r="H287" s="7">
        <f>IF(AND(D287&lt;&gt;"OTHER",F287&gt;=1,F287&lt;=12,G287&gt;=1,G287&lt;=31),IF(AND(MONTH(DATE(E287,F287,G287))=F287,DAY(DATE(E287,F287,G287))=G287),1,0),0)</f>
        <v>1</v>
      </c>
      <c r="I287" s="7">
        <f>IF(H287=1,DATE(E287,F287,G287),"")</f>
        <v>45884.0</v>
      </c>
      <c r="J287" s="7">
        <f>IF(AND(D287="DMY",H287=1),1,0)</f>
        <v>0</v>
      </c>
      <c r="K287" s="7">
        <f>IF(H287=0,1,0)</f>
        <v>0</v>
      </c>
      <c r="L287" s="7">
        <f>IF(TRIM(Raw_Bookings!I287&amp;"")="",1,0)</f>
        <v>0</v>
      </c>
      <c r="M287" s="7">
        <f>IF(L287=1,"",DATEVALUE(LEFT(Raw_Bookings!I287,10))+TIMEVALUE(MID(Raw_Bookings!I287,12,8)))</f>
        <v>45877.30395833333</v>
      </c>
      <c r="N287" s="7">
        <f>IF(AND(L287=0,H287=1),IF(INT(M287)&gt;I287,1,0),0)</f>
        <v>0</v>
      </c>
      <c r="O287" s="7" t="str">
        <f>UPPER(TRIM(Raw_Bookings!F287))</f>
        <v>GUW</v>
      </c>
      <c r="P287" s="7" t="str">
        <f>UPPER(TRIM(Raw_Bookings!G287))</f>
        <v>BHO</v>
      </c>
      <c r="Q287" s="7">
        <f>IF(COUNTIF(Lookup_Stations!$A$2:$A$33,O287)&gt;0,1,0)</f>
        <v>1</v>
      </c>
      <c r="R287" s="7">
        <f>IF(COUNTIF(Lookup_Stations!$A$2:$A$33,P287)&gt;0,1,0)</f>
        <v>1</v>
      </c>
      <c r="S287" s="7">
        <f>IF(OR(AND(Q287=1,NOT(EXACT(Raw_Bookings!F287,O287))),AND(R287=1,NOT(EXACT(Raw_Bookings!G287,P287)))),1,0)</f>
        <v>0</v>
      </c>
      <c r="T287" s="7">
        <f>IF(OR(Q287=0,R287=0),1,0)</f>
        <v>0</v>
      </c>
      <c r="U287" s="7">
        <f>IF(TRIM(Raw_Bookings!E287&amp;"")="",1,0)</f>
        <v>0</v>
      </c>
      <c r="V287" s="7" t="str">
        <f>IF(SUMPRODUCT(--(Lookup_Status!$A$2:$A$13=LOWER(TRIM(Raw_Bookings!K287))))=0,"",INDEX(Lookup_Status!$B$2:$B$13,SUMPRODUCT((Lookup_Status!$A$2:$A$13=LOWER(TRIM(Raw_Bookings!K287)))*(ROW(Lookup_Status!$A$2:$A$13)-1))))</f>
        <v>Confirmed</v>
      </c>
      <c r="W287" s="7">
        <f>IF(AND(V287&lt;&gt;"",NOT(EXACT(Raw_Bookings!K287,V287))),1,0)</f>
        <v>0</v>
      </c>
      <c r="X287" s="7">
        <f>IF(V287="",1,0)</f>
        <v>0</v>
      </c>
      <c r="Y287" s="7">
        <f>IF(TRIM(Raw_Bookings!L287&amp;"")="",1,0)</f>
        <v>0</v>
      </c>
      <c r="Z287" s="7">
        <f>IF(AND(ISTEXT(Raw_Bookings!L287),Y287=0),1,0)</f>
        <v>0</v>
      </c>
      <c r="AA287" s="7">
        <f>IF(Z287=1,IFERROR(VALUE(SUBSTITUTE(SUBSTITUTE(SUBSTITUTE(SUBSTITUTE(SUBSTITUTE(UPPER(Raw_Bookings!L287),"RS.",""),"₹",""),",","")," ",""),"INR","")),""),"")</f>
        <v/>
      </c>
      <c r="AB287" s="7">
        <f>IF(AND(Z287=1,ISNUMBER(AA287)),1,0)</f>
        <v>0</v>
      </c>
      <c r="AC287" s="7">
        <f>IF(B287=1,0,IF(NOT(ISNUMBER(Raw_Bookings!J287)),1,IF(Raw_Bookings!J287&lt;&gt;COUNTIFS(Work_Passengers!$B$2:$B$1336,Raw_Bookings!A287,Work_Passengers!$C$2:$C$1336,0),1,0)))</f>
        <v>0</v>
      </c>
    </row>
    <row r="288" spans="1:29">
      <c r="A288" s="7">
        <f>Raw_Bookings!A288</f>
        <v>1098241</v>
      </c>
      <c r="B288" s="7">
        <f>IF(COUNTIF(Raw_Bookings!$A$2:A288,Raw_Bookings!A288)&gt;1,1,0)</f>
        <v>0</v>
      </c>
      <c r="C288" s="7" t="str">
        <f>Raw_Bookings!D288&amp;""</f>
        <v>2025-11-18</v>
      </c>
      <c r="D288" s="7" t="str">
        <f>IF(AND(LEN(C288)=10,MID(C288,5,1)="-",MID(C288,8,1)="-"),"ISO",IF(AND(LEN(C288)=10,MID(C288,3,1)="-",MID(C288,6,1)="-"),"DMY","OTHER"))</f>
        <v>ISO</v>
      </c>
      <c r="E288" s="7">
        <f>IF(D288="ISO",VALUE(LEFT(C288,4)),IF(D288="DMY",VALUE(RIGHT(C288,4)),0))</f>
        <v>2025</v>
      </c>
      <c r="F288" s="7">
        <f>IF(D288="ISO",VALUE(MID(C288,6,2)),IF(D288="DMY",VALUE(MID(C288,4,2)),0))</f>
        <v>11</v>
      </c>
      <c r="G288" s="7">
        <f>IF(D288="ISO",VALUE(RIGHT(C288,2)),IF(D288="DMY",VALUE(LEFT(C288,2)),0))</f>
        <v>18</v>
      </c>
      <c r="H288" s="7">
        <f>IF(AND(D288&lt;&gt;"OTHER",F288&gt;=1,F288&lt;=12,G288&gt;=1,G288&lt;=31),IF(AND(MONTH(DATE(E288,F288,G288))=F288,DAY(DATE(E288,F288,G288))=G288),1,0),0)</f>
        <v>1</v>
      </c>
      <c r="I288" s="7">
        <f>IF(H288=1,DATE(E288,F288,G288),"")</f>
        <v>45979.0</v>
      </c>
      <c r="J288" s="7">
        <f>IF(AND(D288="DMY",H288=1),1,0)</f>
        <v>0</v>
      </c>
      <c r="K288" s="7">
        <f>IF(H288=0,1,0)</f>
        <v>0</v>
      </c>
      <c r="L288" s="7">
        <f>IF(TRIM(Raw_Bookings!I288&amp;"")="",1,0)</f>
        <v>0</v>
      </c>
      <c r="M288" s="7">
        <f>IF(L288=1,"",DATEVALUE(LEFT(Raw_Bookings!I288,10))+TIMEVALUE(MID(Raw_Bookings!I288,12,8)))</f>
        <v>45878.4365625</v>
      </c>
      <c r="N288" s="7">
        <f>IF(AND(L288=0,H288=1),IF(INT(M288)&gt;I288,1,0),0)</f>
        <v>0</v>
      </c>
      <c r="O288" s="7" t="str">
        <f>UPPER(TRIM(Raw_Bookings!F288))</f>
        <v>MUM</v>
      </c>
      <c r="P288" s="7" t="str">
        <f>UPPER(TRIM(Raw_Bookings!G288))</f>
        <v>BEN</v>
      </c>
      <c r="Q288" s="7">
        <f>IF(COUNTIF(Lookup_Stations!$A$2:$A$33,O288)&gt;0,1,0)</f>
        <v>1</v>
      </c>
      <c r="R288" s="7">
        <f>IF(COUNTIF(Lookup_Stations!$A$2:$A$33,P288)&gt;0,1,0)</f>
        <v>1</v>
      </c>
      <c r="S288" s="7">
        <f>IF(OR(AND(Q288=1,NOT(EXACT(Raw_Bookings!F288,O288))),AND(R288=1,NOT(EXACT(Raw_Bookings!G288,P288)))),1,0)</f>
        <v>0</v>
      </c>
      <c r="T288" s="7">
        <f>IF(OR(Q288=0,R288=0),1,0)</f>
        <v>0</v>
      </c>
      <c r="U288" s="7">
        <f>IF(TRIM(Raw_Bookings!E288&amp;"")="",1,0)</f>
        <v>0</v>
      </c>
      <c r="V288" s="7" t="str">
        <f>IF(SUMPRODUCT(--(Lookup_Status!$A$2:$A$13=LOWER(TRIM(Raw_Bookings!K288))))=0,"",INDEX(Lookup_Status!$B$2:$B$13,SUMPRODUCT((Lookup_Status!$A$2:$A$13=LOWER(TRIM(Raw_Bookings!K288)))*(ROW(Lookup_Status!$A$2:$A$13)-1))))</f>
        <v>Confirmed</v>
      </c>
      <c r="W288" s="7">
        <f>IF(AND(V288&lt;&gt;"",NOT(EXACT(Raw_Bookings!K288,V288))),1,0)</f>
        <v>0</v>
      </c>
      <c r="X288" s="7">
        <f>IF(V288="",1,0)</f>
        <v>0</v>
      </c>
      <c r="Y288" s="7">
        <f>IF(TRIM(Raw_Bookings!L288&amp;"")="",1,0)</f>
        <v>0</v>
      </c>
      <c r="Z288" s="7">
        <f>IF(AND(ISTEXT(Raw_Bookings!L288),Y288=0),1,0)</f>
        <v>0</v>
      </c>
      <c r="AA288" s="7">
        <f>IF(Z288=1,IFERROR(VALUE(SUBSTITUTE(SUBSTITUTE(SUBSTITUTE(SUBSTITUTE(SUBSTITUTE(UPPER(Raw_Bookings!L288),"RS.",""),"₹",""),",","")," ",""),"INR","")),""),"")</f>
        <v/>
      </c>
      <c r="AB288" s="7">
        <f>IF(AND(Z288=1,ISNUMBER(AA288)),1,0)</f>
        <v>0</v>
      </c>
      <c r="AC288" s="7">
        <f>IF(B288=1,0,IF(NOT(ISNUMBER(Raw_Bookings!J288)),1,IF(Raw_Bookings!J288&lt;&gt;COUNTIFS(Work_Passengers!$B$2:$B$1336,Raw_Bookings!A288,Work_Passengers!$C$2:$C$1336,0),1,0)))</f>
        <v>0</v>
      </c>
    </row>
    <row r="289" spans="1:29">
      <c r="A289" s="7">
        <f>Raw_Bookings!A289</f>
        <v>1098271</v>
      </c>
      <c r="B289" s="7">
        <f>IF(COUNTIF(Raw_Bookings!$A$2:A289,Raw_Bookings!A289)&gt;1,1,0)</f>
        <v>0</v>
      </c>
      <c r="C289" s="7" t="str">
        <f>Raw_Bookings!D289&amp;""</f>
        <v>2025-09-06</v>
      </c>
      <c r="D289" s="7" t="str">
        <f>IF(AND(LEN(C289)=10,MID(C289,5,1)="-",MID(C289,8,1)="-"),"ISO",IF(AND(LEN(C289)=10,MID(C289,3,1)="-",MID(C289,6,1)="-"),"DMY","OTHER"))</f>
        <v>ISO</v>
      </c>
      <c r="E289" s="7">
        <f>IF(D289="ISO",VALUE(LEFT(C289,4)),IF(D289="DMY",VALUE(RIGHT(C289,4)),0))</f>
        <v>2025</v>
      </c>
      <c r="F289" s="7">
        <f>IF(D289="ISO",VALUE(MID(C289,6,2)),IF(D289="DMY",VALUE(MID(C289,4,2)),0))</f>
        <v>9</v>
      </c>
      <c r="G289" s="7">
        <f>IF(D289="ISO",VALUE(RIGHT(C289,2)),IF(D289="DMY",VALUE(LEFT(C289,2)),0))</f>
        <v>6</v>
      </c>
      <c r="H289" s="7">
        <f>IF(AND(D289&lt;&gt;"OTHER",F289&gt;=1,F289&lt;=12,G289&gt;=1,G289&lt;=31),IF(AND(MONTH(DATE(E289,F289,G289))=F289,DAY(DATE(E289,F289,G289))=G289),1,0),0)</f>
        <v>1</v>
      </c>
      <c r="I289" s="7">
        <f>IF(H289=1,DATE(E289,F289,G289),"")</f>
        <v>45906.0</v>
      </c>
      <c r="J289" s="7">
        <f>IF(AND(D289="DMY",H289=1),1,0)</f>
        <v>0</v>
      </c>
      <c r="K289" s="7">
        <f>IF(H289=0,1,0)</f>
        <v>0</v>
      </c>
      <c r="L289" s="7">
        <f>IF(TRIM(Raw_Bookings!I289&amp;"")="",1,0)</f>
        <v>0</v>
      </c>
      <c r="M289" s="7">
        <f>IF(L289=1,"",DATEVALUE(LEFT(Raw_Bookings!I289,10))+TIMEVALUE(MID(Raw_Bookings!I289,12,8)))</f>
        <v>45878.55275462963</v>
      </c>
      <c r="N289" s="7">
        <f>IF(AND(L289=0,H289=1),IF(INT(M289)&gt;I289,1,0),0)</f>
        <v>0</v>
      </c>
      <c r="O289" s="7" t="str">
        <f>UPPER(TRIM(Raw_Bookings!F289))</f>
        <v>KOC</v>
      </c>
      <c r="P289" s="7" t="str">
        <f>UPPER(TRIM(Raw_Bookings!G289))</f>
        <v>BHU</v>
      </c>
      <c r="Q289" s="7">
        <f>IF(COUNTIF(Lookup_Stations!$A$2:$A$33,O289)&gt;0,1,0)</f>
        <v>1</v>
      </c>
      <c r="R289" s="7">
        <f>IF(COUNTIF(Lookup_Stations!$A$2:$A$33,P289)&gt;0,1,0)</f>
        <v>1</v>
      </c>
      <c r="S289" s="7">
        <f>IF(OR(AND(Q289=1,NOT(EXACT(Raw_Bookings!F289,O289))),AND(R289=1,NOT(EXACT(Raw_Bookings!G289,P289)))),1,0)</f>
        <v>0</v>
      </c>
      <c r="T289" s="7">
        <f>IF(OR(Q289=0,R289=0),1,0)</f>
        <v>0</v>
      </c>
      <c r="U289" s="7">
        <f>IF(TRIM(Raw_Bookings!E289&amp;"")="",1,0)</f>
        <v>0</v>
      </c>
      <c r="V289" s="7" t="str">
        <f>IF(SUMPRODUCT(--(Lookup_Status!$A$2:$A$13=LOWER(TRIM(Raw_Bookings!K289))))=0,"",INDEX(Lookup_Status!$B$2:$B$13,SUMPRODUCT((Lookup_Status!$A$2:$A$13=LOWER(TRIM(Raw_Bookings!K289)))*(ROW(Lookup_Status!$A$2:$A$13)-1))))</f>
        <v>Confirmed</v>
      </c>
      <c r="W289" s="7">
        <f>IF(AND(V289&lt;&gt;"",NOT(EXACT(Raw_Bookings!K289,V289))),1,0)</f>
        <v>0</v>
      </c>
      <c r="X289" s="7">
        <f>IF(V289="",1,0)</f>
        <v>0</v>
      </c>
      <c r="Y289" s="7">
        <f>IF(TRIM(Raw_Bookings!L289&amp;"")="",1,0)</f>
        <v>0</v>
      </c>
      <c r="Z289" s="7">
        <f>IF(AND(ISTEXT(Raw_Bookings!L289),Y289=0),1,0)</f>
        <v>0</v>
      </c>
      <c r="AA289" s="7">
        <f>IF(Z289=1,IFERROR(VALUE(SUBSTITUTE(SUBSTITUTE(SUBSTITUTE(SUBSTITUTE(SUBSTITUTE(UPPER(Raw_Bookings!L289),"RS.",""),"₹",""),",","")," ",""),"INR","")),""),"")</f>
        <v/>
      </c>
      <c r="AB289" s="7">
        <f>IF(AND(Z289=1,ISNUMBER(AA289)),1,0)</f>
        <v>0</v>
      </c>
      <c r="AC289" s="7">
        <f>IF(B289=1,0,IF(NOT(ISNUMBER(Raw_Bookings!J289)),1,IF(Raw_Bookings!J289&lt;&gt;COUNTIFS(Work_Passengers!$B$2:$B$1336,Raw_Bookings!A289,Work_Passengers!$C$2:$C$1336,0),1,0)))</f>
        <v>0</v>
      </c>
    </row>
    <row r="290" spans="1:29">
      <c r="A290" s="7">
        <f>Raw_Bookings!A290</f>
        <v>1098731</v>
      </c>
      <c r="B290" s="7">
        <f>IF(COUNTIF(Raw_Bookings!$A$2:A290,Raw_Bookings!A290)&gt;1,1,0)</f>
        <v>0</v>
      </c>
      <c r="C290" s="7" t="str">
        <f>Raw_Bookings!D290&amp;""</f>
        <v>2025-08-15</v>
      </c>
      <c r="D290" s="7" t="str">
        <f>IF(AND(LEN(C290)=10,MID(C290,5,1)="-",MID(C290,8,1)="-"),"ISO",IF(AND(LEN(C290)=10,MID(C290,3,1)="-",MID(C290,6,1)="-"),"DMY","OTHER"))</f>
        <v>ISO</v>
      </c>
      <c r="E290" s="7">
        <f>IF(D290="ISO",VALUE(LEFT(C290,4)),IF(D290="DMY",VALUE(RIGHT(C290,4)),0))</f>
        <v>2025</v>
      </c>
      <c r="F290" s="7">
        <f>IF(D290="ISO",VALUE(MID(C290,6,2)),IF(D290="DMY",VALUE(MID(C290,4,2)),0))</f>
        <v>8</v>
      </c>
      <c r="G290" s="7">
        <f>IF(D290="ISO",VALUE(RIGHT(C290,2)),IF(D290="DMY",VALUE(LEFT(C290,2)),0))</f>
        <v>15</v>
      </c>
      <c r="H290" s="7">
        <f>IF(AND(D290&lt;&gt;"OTHER",F290&gt;=1,F290&lt;=12,G290&gt;=1,G290&lt;=31),IF(AND(MONTH(DATE(E290,F290,G290))=F290,DAY(DATE(E290,F290,G290))=G290),1,0),0)</f>
        <v>1</v>
      </c>
      <c r="I290" s="7">
        <f>IF(H290=1,DATE(E290,F290,G290),"")</f>
        <v>45884.0</v>
      </c>
      <c r="J290" s="7">
        <f>IF(AND(D290="DMY",H290=1),1,0)</f>
        <v>0</v>
      </c>
      <c r="K290" s="7">
        <f>IF(H290=0,1,0)</f>
        <v>0</v>
      </c>
      <c r="L290" s="7">
        <f>IF(TRIM(Raw_Bookings!I290&amp;"")="",1,0)</f>
        <v>0</v>
      </c>
      <c r="M290" s="7">
        <f>IF(L290=1,"",DATEVALUE(LEFT(Raw_Bookings!I290,10))+TIMEVALUE(MID(Raw_Bookings!I290,12,8)))</f>
        <v>45880.49900462963</v>
      </c>
      <c r="N290" s="7">
        <f>IF(AND(L290=0,H290=1),IF(INT(M290)&gt;I290,1,0),0)</f>
        <v>0</v>
      </c>
      <c r="O290" s="7" t="str">
        <f>UPPER(TRIM(Raw_Bookings!F290))</f>
        <v>GUW</v>
      </c>
      <c r="P290" s="7" t="str">
        <f>UPPER(TRIM(Raw_Bookings!G290))</f>
        <v>BHO</v>
      </c>
      <c r="Q290" s="7">
        <f>IF(COUNTIF(Lookup_Stations!$A$2:$A$33,O290)&gt;0,1,0)</f>
        <v>1</v>
      </c>
      <c r="R290" s="7">
        <f>IF(COUNTIF(Lookup_Stations!$A$2:$A$33,P290)&gt;0,1,0)</f>
        <v>1</v>
      </c>
      <c r="S290" s="7">
        <f>IF(OR(AND(Q290=1,NOT(EXACT(Raw_Bookings!F290,O290))),AND(R290=1,NOT(EXACT(Raw_Bookings!G290,P290)))),1,0)</f>
        <v>0</v>
      </c>
      <c r="T290" s="7">
        <f>IF(OR(Q290=0,R290=0),1,0)</f>
        <v>0</v>
      </c>
      <c r="U290" s="7">
        <f>IF(TRIM(Raw_Bookings!E290&amp;"")="",1,0)</f>
        <v>0</v>
      </c>
      <c r="V290" s="7" t="str">
        <f>IF(SUMPRODUCT(--(Lookup_Status!$A$2:$A$13=LOWER(TRIM(Raw_Bookings!K290))))=0,"",INDEX(Lookup_Status!$B$2:$B$13,SUMPRODUCT((Lookup_Status!$A$2:$A$13=LOWER(TRIM(Raw_Bookings!K290)))*(ROW(Lookup_Status!$A$2:$A$13)-1))))</f>
        <v>Confirmed</v>
      </c>
      <c r="W290" s="7">
        <f>IF(AND(V290&lt;&gt;"",NOT(EXACT(Raw_Bookings!K290,V290))),1,0)</f>
        <v>0</v>
      </c>
      <c r="X290" s="7">
        <f>IF(V290="",1,0)</f>
        <v>0</v>
      </c>
      <c r="Y290" s="7">
        <f>IF(TRIM(Raw_Bookings!L290&amp;"")="",1,0)</f>
        <v>0</v>
      </c>
      <c r="Z290" s="7">
        <f>IF(AND(ISTEXT(Raw_Bookings!L290),Y290=0),1,0)</f>
        <v>0</v>
      </c>
      <c r="AA290" s="7">
        <f>IF(Z290=1,IFERROR(VALUE(SUBSTITUTE(SUBSTITUTE(SUBSTITUTE(SUBSTITUTE(SUBSTITUTE(UPPER(Raw_Bookings!L290),"RS.",""),"₹",""),",","")," ",""),"INR","")),""),"")</f>
        <v/>
      </c>
      <c r="AB290" s="7">
        <f>IF(AND(Z290=1,ISNUMBER(AA290)),1,0)</f>
        <v>0</v>
      </c>
      <c r="AC290" s="7">
        <f>IF(B290=1,0,IF(NOT(ISNUMBER(Raw_Bookings!J290)),1,IF(Raw_Bookings!J290&lt;&gt;COUNTIFS(Work_Passengers!$B$2:$B$1336,Raw_Bookings!A290,Work_Passengers!$C$2:$C$1336,0),1,0)))</f>
        <v>0</v>
      </c>
    </row>
    <row r="291" spans="1:29">
      <c r="A291" s="7">
        <f>Raw_Bookings!A291</f>
        <v>1098764</v>
      </c>
      <c r="B291" s="7">
        <f>IF(COUNTIF(Raw_Bookings!$A$2:A291,Raw_Bookings!A291)&gt;1,1,0)</f>
        <v>0</v>
      </c>
      <c r="C291" s="7" t="str">
        <f>Raw_Bookings!D291&amp;""</f>
        <v>2025-08-12</v>
      </c>
      <c r="D291" s="7" t="str">
        <f>IF(AND(LEN(C291)=10,MID(C291,5,1)="-",MID(C291,8,1)="-"),"ISO",IF(AND(LEN(C291)=10,MID(C291,3,1)="-",MID(C291,6,1)="-"),"DMY","OTHER"))</f>
        <v>ISO</v>
      </c>
      <c r="E291" s="7">
        <f>IF(D291="ISO",VALUE(LEFT(C291,4)),IF(D291="DMY",VALUE(RIGHT(C291,4)),0))</f>
        <v>2025</v>
      </c>
      <c r="F291" s="7">
        <f>IF(D291="ISO",VALUE(MID(C291,6,2)),IF(D291="DMY",VALUE(MID(C291,4,2)),0))</f>
        <v>8</v>
      </c>
      <c r="G291" s="7">
        <f>IF(D291="ISO",VALUE(RIGHT(C291,2)),IF(D291="DMY",VALUE(LEFT(C291,2)),0))</f>
        <v>12</v>
      </c>
      <c r="H291" s="7">
        <f>IF(AND(D291&lt;&gt;"OTHER",F291&gt;=1,F291&lt;=12,G291&gt;=1,G291&lt;=31),IF(AND(MONTH(DATE(E291,F291,G291))=F291,DAY(DATE(E291,F291,G291))=G291),1,0),0)</f>
        <v>1</v>
      </c>
      <c r="I291" s="7">
        <f>IF(H291=1,DATE(E291,F291,G291),"")</f>
        <v>45881.0</v>
      </c>
      <c r="J291" s="7">
        <f>IF(AND(D291="DMY",H291=1),1,0)</f>
        <v>0</v>
      </c>
      <c r="K291" s="7">
        <f>IF(H291=0,1,0)</f>
        <v>0</v>
      </c>
      <c r="L291" s="7">
        <f>IF(TRIM(Raw_Bookings!I291&amp;"")="",1,0)</f>
        <v>0</v>
      </c>
      <c r="M291" s="7">
        <f>IF(L291=1,"",DATEVALUE(LEFT(Raw_Bookings!I291,10))+TIMEVALUE(MID(Raw_Bookings!I291,12,8)))</f>
        <v>45880.60060185185</v>
      </c>
      <c r="N291" s="7">
        <f>IF(AND(L291=0,H291=1),IF(INT(M291)&gt;I291,1,0),0)</f>
        <v>0</v>
      </c>
      <c r="O291" s="7" t="str">
        <f>UPPER(TRIM(Raw_Bookings!F291))</f>
        <v>MUM</v>
      </c>
      <c r="P291" s="7" t="str">
        <f>UPPER(TRIM(Raw_Bookings!G291))</f>
        <v>BEN</v>
      </c>
      <c r="Q291" s="7">
        <f>IF(COUNTIF(Lookup_Stations!$A$2:$A$33,O291)&gt;0,1,0)</f>
        <v>1</v>
      </c>
      <c r="R291" s="7">
        <f>IF(COUNTIF(Lookup_Stations!$A$2:$A$33,P291)&gt;0,1,0)</f>
        <v>1</v>
      </c>
      <c r="S291" s="7">
        <f>IF(OR(AND(Q291=1,NOT(EXACT(Raw_Bookings!F291,O291))),AND(R291=1,NOT(EXACT(Raw_Bookings!G291,P291)))),1,0)</f>
        <v>0</v>
      </c>
      <c r="T291" s="7">
        <f>IF(OR(Q291=0,R291=0),1,0)</f>
        <v>0</v>
      </c>
      <c r="U291" s="7">
        <f>IF(TRIM(Raw_Bookings!E291&amp;"")="",1,0)</f>
        <v>0</v>
      </c>
      <c r="V291" s="7" t="str">
        <f>IF(SUMPRODUCT(--(Lookup_Status!$A$2:$A$13=LOWER(TRIM(Raw_Bookings!K291))))=0,"",INDEX(Lookup_Status!$B$2:$B$13,SUMPRODUCT((Lookup_Status!$A$2:$A$13=LOWER(TRIM(Raw_Bookings!K291)))*(ROW(Lookup_Status!$A$2:$A$13)-1))))</f>
        <v>Confirmed</v>
      </c>
      <c r="W291" s="7">
        <f>IF(AND(V291&lt;&gt;"",NOT(EXACT(Raw_Bookings!K291,V291))),1,0)</f>
        <v>0</v>
      </c>
      <c r="X291" s="7">
        <f>IF(V291="",1,0)</f>
        <v>0</v>
      </c>
      <c r="Y291" s="7">
        <f>IF(TRIM(Raw_Bookings!L291&amp;"")="",1,0)</f>
        <v>0</v>
      </c>
      <c r="Z291" s="7">
        <f>IF(AND(ISTEXT(Raw_Bookings!L291),Y291=0),1,0)</f>
        <v>0</v>
      </c>
      <c r="AA291" s="7">
        <f>IF(Z291=1,IFERROR(VALUE(SUBSTITUTE(SUBSTITUTE(SUBSTITUTE(SUBSTITUTE(SUBSTITUTE(UPPER(Raw_Bookings!L291),"RS.",""),"₹",""),",","")," ",""),"INR","")),""),"")</f>
        <v/>
      </c>
      <c r="AB291" s="7">
        <f>IF(AND(Z291=1,ISNUMBER(AA291)),1,0)</f>
        <v>0</v>
      </c>
      <c r="AC291" s="7">
        <f>IF(B291=1,0,IF(NOT(ISNUMBER(Raw_Bookings!J291)),1,IF(Raw_Bookings!J291&lt;&gt;COUNTIFS(Work_Passengers!$B$2:$B$1336,Raw_Bookings!A291,Work_Passengers!$C$2:$C$1336,0),1,0)))</f>
        <v>0</v>
      </c>
    </row>
    <row r="292" spans="1:29">
      <c r="A292" s="7">
        <f>Raw_Bookings!A292</f>
        <v>1098923</v>
      </c>
      <c r="B292" s="7">
        <f>IF(COUNTIF(Raw_Bookings!$A$2:A292,Raw_Bookings!A292)&gt;1,1,0)</f>
        <v>0</v>
      </c>
      <c r="C292" s="7" t="str">
        <f>Raw_Bookings!D292&amp;""</f>
        <v>2025-08-18</v>
      </c>
      <c r="D292" s="7" t="str">
        <f>IF(AND(LEN(C292)=10,MID(C292,5,1)="-",MID(C292,8,1)="-"),"ISO",IF(AND(LEN(C292)=10,MID(C292,3,1)="-",MID(C292,6,1)="-"),"DMY","OTHER"))</f>
        <v>ISO</v>
      </c>
      <c r="E292" s="7">
        <f>IF(D292="ISO",VALUE(LEFT(C292,4)),IF(D292="DMY",VALUE(RIGHT(C292,4)),0))</f>
        <v>2025</v>
      </c>
      <c r="F292" s="7">
        <f>IF(D292="ISO",VALUE(MID(C292,6,2)),IF(D292="DMY",VALUE(MID(C292,4,2)),0))</f>
        <v>8</v>
      </c>
      <c r="G292" s="7">
        <f>IF(D292="ISO",VALUE(RIGHT(C292,2)),IF(D292="DMY",VALUE(LEFT(C292,2)),0))</f>
        <v>18</v>
      </c>
      <c r="H292" s="7">
        <f>IF(AND(D292&lt;&gt;"OTHER",F292&gt;=1,F292&lt;=12,G292&gt;=1,G292&lt;=31),IF(AND(MONTH(DATE(E292,F292,G292))=F292,DAY(DATE(E292,F292,G292))=G292),1,0),0)</f>
        <v>1</v>
      </c>
      <c r="I292" s="7">
        <f>IF(H292=1,DATE(E292,F292,G292),"")</f>
        <v>45887.0</v>
      </c>
      <c r="J292" s="7">
        <f>IF(AND(D292="DMY",H292=1),1,0)</f>
        <v>0</v>
      </c>
      <c r="K292" s="7">
        <f>IF(H292=0,1,0)</f>
        <v>0</v>
      </c>
      <c r="L292" s="7">
        <f>IF(TRIM(Raw_Bookings!I292&amp;"")="",1,0)</f>
        <v>0</v>
      </c>
      <c r="M292" s="7">
        <f>IF(L292=1,"",DATEVALUE(LEFT(Raw_Bookings!I292,10))+TIMEVALUE(MID(Raw_Bookings!I292,12,8)))</f>
        <v>45881.35444444444</v>
      </c>
      <c r="N292" s="7">
        <f>IF(AND(L292=0,H292=1),IF(INT(M292)&gt;I292,1,0),0)</f>
        <v>0</v>
      </c>
      <c r="O292" s="7" t="str">
        <f>UPPER(TRIM(Raw_Bookings!F292))</f>
        <v>BEN</v>
      </c>
      <c r="P292" s="7" t="str">
        <f>UPPER(TRIM(Raw_Bookings!G292))</f>
        <v>MUM</v>
      </c>
      <c r="Q292" s="7">
        <f>IF(COUNTIF(Lookup_Stations!$A$2:$A$33,O292)&gt;0,1,0)</f>
        <v>1</v>
      </c>
      <c r="R292" s="7">
        <f>IF(COUNTIF(Lookup_Stations!$A$2:$A$33,P292)&gt;0,1,0)</f>
        <v>1</v>
      </c>
      <c r="S292" s="7">
        <f>IF(OR(AND(Q292=1,NOT(EXACT(Raw_Bookings!F292,O292))),AND(R292=1,NOT(EXACT(Raw_Bookings!G292,P292)))),1,0)</f>
        <v>0</v>
      </c>
      <c r="T292" s="7">
        <f>IF(OR(Q292=0,R292=0),1,0)</f>
        <v>0</v>
      </c>
      <c r="U292" s="7">
        <f>IF(TRIM(Raw_Bookings!E292&amp;"")="",1,0)</f>
        <v>0</v>
      </c>
      <c r="V292" s="7" t="str">
        <f>IF(SUMPRODUCT(--(Lookup_Status!$A$2:$A$13=LOWER(TRIM(Raw_Bookings!K292))))=0,"",INDEX(Lookup_Status!$B$2:$B$13,SUMPRODUCT((Lookup_Status!$A$2:$A$13=LOWER(TRIM(Raw_Bookings!K292)))*(ROW(Lookup_Status!$A$2:$A$13)-1))))</f>
        <v>Waitlisted</v>
      </c>
      <c r="W292" s="7">
        <f>IF(AND(V292&lt;&gt;"",NOT(EXACT(Raw_Bookings!K292,V292))),1,0)</f>
        <v>0</v>
      </c>
      <c r="X292" s="7">
        <f>IF(V292="",1,0)</f>
        <v>0</v>
      </c>
      <c r="Y292" s="7">
        <f>IF(TRIM(Raw_Bookings!L292&amp;"")="",1,0)</f>
        <v>0</v>
      </c>
      <c r="Z292" s="7">
        <f>IF(AND(ISTEXT(Raw_Bookings!L292),Y292=0),1,0)</f>
        <v>0</v>
      </c>
      <c r="AA292" s="7">
        <f>IF(Z292=1,IFERROR(VALUE(SUBSTITUTE(SUBSTITUTE(SUBSTITUTE(SUBSTITUTE(SUBSTITUTE(UPPER(Raw_Bookings!L292),"RS.",""),"₹",""),",","")," ",""),"INR","")),""),"")</f>
        <v/>
      </c>
      <c r="AB292" s="7">
        <f>IF(AND(Z292=1,ISNUMBER(AA292)),1,0)</f>
        <v>0</v>
      </c>
      <c r="AC292" s="7">
        <f>IF(B292=1,0,IF(NOT(ISNUMBER(Raw_Bookings!J292)),1,IF(Raw_Bookings!J292&lt;&gt;COUNTIFS(Work_Passengers!$B$2:$B$1336,Raw_Bookings!A292,Work_Passengers!$C$2:$C$1336,0),1,0)))</f>
        <v>0</v>
      </c>
    </row>
    <row r="293" spans="1:29">
      <c r="A293" s="7">
        <f>Raw_Bookings!A293</f>
        <v>1099369</v>
      </c>
      <c r="B293" s="7">
        <f>IF(COUNTIF(Raw_Bookings!$A$2:A293,Raw_Bookings!A293)&gt;1,1,0)</f>
        <v>0</v>
      </c>
      <c r="C293" s="7" t="str">
        <f>Raw_Bookings!D293&amp;""</f>
        <v>2025-08-18</v>
      </c>
      <c r="D293" s="7" t="str">
        <f>IF(AND(LEN(C293)=10,MID(C293,5,1)="-",MID(C293,8,1)="-"),"ISO",IF(AND(LEN(C293)=10,MID(C293,3,1)="-",MID(C293,6,1)="-"),"DMY","OTHER"))</f>
        <v>ISO</v>
      </c>
      <c r="E293" s="7">
        <f>IF(D293="ISO",VALUE(LEFT(C293,4)),IF(D293="DMY",VALUE(RIGHT(C293,4)),0))</f>
        <v>2025</v>
      </c>
      <c r="F293" s="7">
        <f>IF(D293="ISO",VALUE(MID(C293,6,2)),IF(D293="DMY",VALUE(MID(C293,4,2)),0))</f>
        <v>8</v>
      </c>
      <c r="G293" s="7">
        <f>IF(D293="ISO",VALUE(RIGHT(C293,2)),IF(D293="DMY",VALUE(LEFT(C293,2)),0))</f>
        <v>18</v>
      </c>
      <c r="H293" s="7">
        <f>IF(AND(D293&lt;&gt;"OTHER",F293&gt;=1,F293&lt;=12,G293&gt;=1,G293&lt;=31),IF(AND(MONTH(DATE(E293,F293,G293))=F293,DAY(DATE(E293,F293,G293))=G293),1,0),0)</f>
        <v>1</v>
      </c>
      <c r="I293" s="7">
        <f>IF(H293=1,DATE(E293,F293,G293),"")</f>
        <v>45887.0</v>
      </c>
      <c r="J293" s="7">
        <f>IF(AND(D293="DMY",H293=1),1,0)</f>
        <v>0</v>
      </c>
      <c r="K293" s="7">
        <f>IF(H293=0,1,0)</f>
        <v>0</v>
      </c>
      <c r="L293" s="7">
        <f>IF(TRIM(Raw_Bookings!I293&amp;"")="",1,0)</f>
        <v>0</v>
      </c>
      <c r="M293" s="7">
        <f>IF(L293=1,"",DATEVALUE(LEFT(Raw_Bookings!I293,10))+TIMEVALUE(MID(Raw_Bookings!I293,12,8)))</f>
        <v>45883.314837962964</v>
      </c>
      <c r="N293" s="7">
        <f>IF(AND(L293=0,H293=1),IF(INT(M293)&gt;I293,1,0),0)</f>
        <v>0</v>
      </c>
      <c r="O293" s="7" t="str">
        <f>UPPER(TRIM(Raw_Bookings!F293))</f>
        <v>BEN</v>
      </c>
      <c r="P293" s="7" t="str">
        <f>UPPER(TRIM(Raw_Bookings!G293))</f>
        <v>MUM</v>
      </c>
      <c r="Q293" s="7">
        <f>IF(COUNTIF(Lookup_Stations!$A$2:$A$33,O293)&gt;0,1,0)</f>
        <v>1</v>
      </c>
      <c r="R293" s="7">
        <f>IF(COUNTIF(Lookup_Stations!$A$2:$A$33,P293)&gt;0,1,0)</f>
        <v>1</v>
      </c>
      <c r="S293" s="7">
        <f>IF(OR(AND(Q293=1,NOT(EXACT(Raw_Bookings!F293,O293))),AND(R293=1,NOT(EXACT(Raw_Bookings!G293,P293)))),1,0)</f>
        <v>0</v>
      </c>
      <c r="T293" s="7">
        <f>IF(OR(Q293=0,R293=0),1,0)</f>
        <v>0</v>
      </c>
      <c r="U293" s="7">
        <f>IF(TRIM(Raw_Bookings!E293&amp;"")="",1,0)</f>
        <v>0</v>
      </c>
      <c r="V293" s="7" t="str">
        <f>IF(SUMPRODUCT(--(Lookup_Status!$A$2:$A$13=LOWER(TRIM(Raw_Bookings!K293))))=0,"",INDEX(Lookup_Status!$B$2:$B$13,SUMPRODUCT((Lookup_Status!$A$2:$A$13=LOWER(TRIM(Raw_Bookings!K293)))*(ROW(Lookup_Status!$A$2:$A$13)-1))))</f>
        <v>Waitlisted</v>
      </c>
      <c r="W293" s="7">
        <f>IF(AND(V293&lt;&gt;"",NOT(EXACT(Raw_Bookings!K293,V293))),1,0)</f>
        <v>0</v>
      </c>
      <c r="X293" s="7">
        <f>IF(V293="",1,0)</f>
        <v>0</v>
      </c>
      <c r="Y293" s="7">
        <f>IF(TRIM(Raw_Bookings!L293&amp;"")="",1,0)</f>
        <v>0</v>
      </c>
      <c r="Z293" s="7">
        <f>IF(AND(ISTEXT(Raw_Bookings!L293),Y293=0),1,0)</f>
        <v>0</v>
      </c>
      <c r="AA293" s="7">
        <f>IF(Z293=1,IFERROR(VALUE(SUBSTITUTE(SUBSTITUTE(SUBSTITUTE(SUBSTITUTE(SUBSTITUTE(UPPER(Raw_Bookings!L293),"RS.",""),"₹",""),",","")," ",""),"INR","")),""),"")</f>
        <v/>
      </c>
      <c r="AB293" s="7">
        <f>IF(AND(Z293=1,ISNUMBER(AA293)),1,0)</f>
        <v>0</v>
      </c>
      <c r="AC293" s="7">
        <f>IF(B293=1,0,IF(NOT(ISNUMBER(Raw_Bookings!J293)),1,IF(Raw_Bookings!J293&lt;&gt;COUNTIFS(Work_Passengers!$B$2:$B$1336,Raw_Bookings!A293,Work_Passengers!$C$2:$C$1336,0),1,0)))</f>
        <v>0</v>
      </c>
    </row>
    <row r="294" spans="1:29">
      <c r="A294" s="7">
        <f>Raw_Bookings!A294</f>
        <v>1099495</v>
      </c>
      <c r="B294" s="7">
        <f>IF(COUNTIF(Raw_Bookings!$A$2:A294,Raw_Bookings!A294)&gt;1,1,0)</f>
        <v>0</v>
      </c>
      <c r="C294" s="7" t="str">
        <f>Raw_Bookings!D294&amp;""</f>
        <v>2025-10-13</v>
      </c>
      <c r="D294" s="7" t="str">
        <f>IF(AND(LEN(C294)=10,MID(C294,5,1)="-",MID(C294,8,1)="-"),"ISO",IF(AND(LEN(C294)=10,MID(C294,3,1)="-",MID(C294,6,1)="-"),"DMY","OTHER"))</f>
        <v>ISO</v>
      </c>
      <c r="E294" s="7">
        <f>IF(D294="ISO",VALUE(LEFT(C294,4)),IF(D294="DMY",VALUE(RIGHT(C294,4)),0))</f>
        <v>2025</v>
      </c>
      <c r="F294" s="7">
        <f>IF(D294="ISO",VALUE(MID(C294,6,2)),IF(D294="DMY",VALUE(MID(C294,4,2)),0))</f>
        <v>10</v>
      </c>
      <c r="G294" s="7">
        <f>IF(D294="ISO",VALUE(RIGHT(C294,2)),IF(D294="DMY",VALUE(LEFT(C294,2)),0))</f>
        <v>13</v>
      </c>
      <c r="H294" s="7">
        <f>IF(AND(D294&lt;&gt;"OTHER",F294&gt;=1,F294&lt;=12,G294&gt;=1,G294&lt;=31),IF(AND(MONTH(DATE(E294,F294,G294))=F294,DAY(DATE(E294,F294,G294))=G294),1,0),0)</f>
        <v>1</v>
      </c>
      <c r="I294" s="7">
        <f>IF(H294=1,DATE(E294,F294,G294),"")</f>
        <v>45943.0</v>
      </c>
      <c r="J294" s="7">
        <f>IF(AND(D294="DMY",H294=1),1,0)</f>
        <v>0</v>
      </c>
      <c r="K294" s="7">
        <f>IF(H294=0,1,0)</f>
        <v>0</v>
      </c>
      <c r="L294" s="7">
        <f>IF(TRIM(Raw_Bookings!I294&amp;"")="",1,0)</f>
        <v>0</v>
      </c>
      <c r="M294" s="7">
        <f>IF(L294=1,"",DATEVALUE(LEFT(Raw_Bookings!I294,10))+TIMEVALUE(MID(Raw_Bookings!I294,12,8)))</f>
        <v>45883.71047453704</v>
      </c>
      <c r="N294" s="7">
        <f>IF(AND(L294=0,H294=1),IF(INT(M294)&gt;I294,1,0),0)</f>
        <v>0</v>
      </c>
      <c r="O294" s="7" t="str">
        <f>UPPER(TRIM(Raw_Bookings!F294))</f>
        <v>HYD</v>
      </c>
      <c r="P294" s="7" t="str">
        <f>UPPER(TRIM(Raw_Bookings!G294))</f>
        <v>KOL</v>
      </c>
      <c r="Q294" s="7">
        <f>IF(COUNTIF(Lookup_Stations!$A$2:$A$33,O294)&gt;0,1,0)</f>
        <v>1</v>
      </c>
      <c r="R294" s="7">
        <f>IF(COUNTIF(Lookup_Stations!$A$2:$A$33,P294)&gt;0,1,0)</f>
        <v>1</v>
      </c>
      <c r="S294" s="7">
        <f>IF(OR(AND(Q294=1,NOT(EXACT(Raw_Bookings!F294,O294))),AND(R294=1,NOT(EXACT(Raw_Bookings!G294,P294)))),1,0)</f>
        <v>0</v>
      </c>
      <c r="T294" s="7">
        <f>IF(OR(Q294=0,R294=0),1,0)</f>
        <v>0</v>
      </c>
      <c r="U294" s="7">
        <f>IF(TRIM(Raw_Bookings!E294&amp;"")="",1,0)</f>
        <v>0</v>
      </c>
      <c r="V294" s="7" t="str">
        <f>IF(SUMPRODUCT(--(Lookup_Status!$A$2:$A$13=LOWER(TRIM(Raw_Bookings!K294))))=0,"",INDEX(Lookup_Status!$B$2:$B$13,SUMPRODUCT((Lookup_Status!$A$2:$A$13=LOWER(TRIM(Raw_Bookings!K294)))*(ROW(Lookup_Status!$A$2:$A$13)-1))))</f>
        <v>Cancelled</v>
      </c>
      <c r="W294" s="7">
        <f>IF(AND(V294&lt;&gt;"",NOT(EXACT(Raw_Bookings!K294,V294))),1,0)</f>
        <v>0</v>
      </c>
      <c r="X294" s="7">
        <f>IF(V294="",1,0)</f>
        <v>0</v>
      </c>
      <c r="Y294" s="7">
        <f>IF(TRIM(Raw_Bookings!L294&amp;"")="",1,0)</f>
        <v>0</v>
      </c>
      <c r="Z294" s="7">
        <f>IF(AND(ISTEXT(Raw_Bookings!L294),Y294=0),1,0)</f>
        <v>0</v>
      </c>
      <c r="AA294" s="7">
        <f>IF(Z294=1,IFERROR(VALUE(SUBSTITUTE(SUBSTITUTE(SUBSTITUTE(SUBSTITUTE(SUBSTITUTE(UPPER(Raw_Bookings!L294),"RS.",""),"₹",""),",","")," ",""),"INR","")),""),"")</f>
        <v/>
      </c>
      <c r="AB294" s="7">
        <f>IF(AND(Z294=1,ISNUMBER(AA294)),1,0)</f>
        <v>0</v>
      </c>
      <c r="AC294" s="7">
        <f>IF(B294=1,0,IF(NOT(ISNUMBER(Raw_Bookings!J294)),1,IF(Raw_Bookings!J294&lt;&gt;COUNTIFS(Work_Passengers!$B$2:$B$1336,Raw_Bookings!A294,Work_Passengers!$C$2:$C$1336,0),1,0)))</f>
        <v>0</v>
      </c>
    </row>
    <row r="295" spans="1:29">
      <c r="A295" s="7">
        <f>Raw_Bookings!A295</f>
        <v>1099930</v>
      </c>
      <c r="B295" s="7">
        <f>IF(COUNTIF(Raw_Bookings!$A$2:A295,Raw_Bookings!A295)&gt;1,1,0)</f>
        <v>0</v>
      </c>
      <c r="C295" s="7" t="str">
        <f>Raw_Bookings!D295&amp;""</f>
        <v>29-08-2025</v>
      </c>
      <c r="D295" s="7" t="str">
        <f>IF(AND(LEN(C295)=10,MID(C295,5,1)="-",MID(C295,8,1)="-"),"ISO",IF(AND(LEN(C295)=10,MID(C295,3,1)="-",MID(C295,6,1)="-"),"DMY","OTHER"))</f>
        <v>DMY</v>
      </c>
      <c r="E295" s="7">
        <f>IF(D295="ISO",VALUE(LEFT(C295,4)),IF(D295="DMY",VALUE(RIGHT(C295,4)),0))</f>
        <v>2025</v>
      </c>
      <c r="F295" s="7">
        <f>IF(D295="ISO",VALUE(MID(C295,6,2)),IF(D295="DMY",VALUE(MID(C295,4,2)),0))</f>
        <v>8</v>
      </c>
      <c r="G295" s="7">
        <f>IF(D295="ISO",VALUE(RIGHT(C295,2)),IF(D295="DMY",VALUE(LEFT(C295,2)),0))</f>
        <v>29</v>
      </c>
      <c r="H295" s="7">
        <f>IF(AND(D295&lt;&gt;"OTHER",F295&gt;=1,F295&lt;=12,G295&gt;=1,G295&lt;=31),IF(AND(MONTH(DATE(E295,F295,G295))=F295,DAY(DATE(E295,F295,G295))=G295),1,0),0)</f>
        <v>1</v>
      </c>
      <c r="I295" s="7">
        <f>IF(H295=1,DATE(E295,F295,G295),"")</f>
        <v>45898.0</v>
      </c>
      <c r="J295" s="7">
        <f>IF(AND(D295="DMY",H295=1),1,0)</f>
        <v>1</v>
      </c>
      <c r="K295" s="7">
        <f>IF(H295=0,1,0)</f>
        <v>0</v>
      </c>
      <c r="L295" s="7">
        <f>IF(TRIM(Raw_Bookings!I295&amp;"")="",1,0)</f>
        <v>0</v>
      </c>
      <c r="M295" s="7">
        <f>IF(L295=1,"",DATEVALUE(LEFT(Raw_Bookings!I295,10))+TIMEVALUE(MID(Raw_Bookings!I295,12,8)))</f>
        <v>45885.5265162037</v>
      </c>
      <c r="N295" s="7">
        <f>IF(AND(L295=0,H295=1),IF(INT(M295)&gt;I295,1,0),0)</f>
        <v>0</v>
      </c>
      <c r="O295" s="7" t="str">
        <f>UPPER(TRIM(Raw_Bookings!F295))</f>
        <v>JAI</v>
      </c>
      <c r="P295" s="7" t="str">
        <f>UPPER(TRIM(Raw_Bookings!G295))</f>
        <v>RAI</v>
      </c>
      <c r="Q295" s="7">
        <f>IF(COUNTIF(Lookup_Stations!$A$2:$A$33,O295)&gt;0,1,0)</f>
        <v>1</v>
      </c>
      <c r="R295" s="7">
        <f>IF(COUNTIF(Lookup_Stations!$A$2:$A$33,P295)&gt;0,1,0)</f>
        <v>1</v>
      </c>
      <c r="S295" s="7">
        <f>IF(OR(AND(Q295=1,NOT(EXACT(Raw_Bookings!F295,O295))),AND(R295=1,NOT(EXACT(Raw_Bookings!G295,P295)))),1,0)</f>
        <v>0</v>
      </c>
      <c r="T295" s="7">
        <f>IF(OR(Q295=0,R295=0),1,0)</f>
        <v>0</v>
      </c>
      <c r="U295" s="7">
        <f>IF(TRIM(Raw_Bookings!E295&amp;"")="",1,0)</f>
        <v>0</v>
      </c>
      <c r="V295" s="7" t="str">
        <f>IF(SUMPRODUCT(--(Lookup_Status!$A$2:$A$13=LOWER(TRIM(Raw_Bookings!K295))))=0,"",INDEX(Lookup_Status!$B$2:$B$13,SUMPRODUCT((Lookup_Status!$A$2:$A$13=LOWER(TRIM(Raw_Bookings!K295)))*(ROW(Lookup_Status!$A$2:$A$13)-1))))</f>
        <v>Confirmed</v>
      </c>
      <c r="W295" s="7">
        <f>IF(AND(V295&lt;&gt;"",NOT(EXACT(Raw_Bookings!K295,V295))),1,0)</f>
        <v>0</v>
      </c>
      <c r="X295" s="7">
        <f>IF(V295="",1,0)</f>
        <v>0</v>
      </c>
      <c r="Y295" s="7">
        <f>IF(TRIM(Raw_Bookings!L295&amp;"")="",1,0)</f>
        <v>0</v>
      </c>
      <c r="Z295" s="7">
        <f>IF(AND(ISTEXT(Raw_Bookings!L295),Y295=0),1,0)</f>
        <v>0</v>
      </c>
      <c r="AA295" s="7">
        <f>IF(Z295=1,IFERROR(VALUE(SUBSTITUTE(SUBSTITUTE(SUBSTITUTE(SUBSTITUTE(SUBSTITUTE(UPPER(Raw_Bookings!L295),"RS.",""),"₹",""),",","")," ",""),"INR","")),""),"")</f>
        <v/>
      </c>
      <c r="AB295" s="7">
        <f>IF(AND(Z295=1,ISNUMBER(AA295)),1,0)</f>
        <v>0</v>
      </c>
      <c r="AC295" s="7">
        <f>IF(B295=1,0,IF(NOT(ISNUMBER(Raw_Bookings!J295)),1,IF(Raw_Bookings!J295&lt;&gt;COUNTIFS(Work_Passengers!$B$2:$B$1336,Raw_Bookings!A295,Work_Passengers!$C$2:$C$1336,0),1,0)))</f>
        <v>0</v>
      </c>
    </row>
    <row r="296" spans="1:29">
      <c r="A296" s="7">
        <f>Raw_Bookings!A296</f>
        <v>1101414</v>
      </c>
      <c r="B296" s="7">
        <f>IF(COUNTIF(Raw_Bookings!$A$2:A296,Raw_Bookings!A296)&gt;1,1,0)</f>
        <v>0</v>
      </c>
      <c r="C296" s="7" t="str">
        <f>Raw_Bookings!D296&amp;""</f>
        <v>2025-10-14</v>
      </c>
      <c r="D296" s="7" t="str">
        <f>IF(AND(LEN(C296)=10,MID(C296,5,1)="-",MID(C296,8,1)="-"),"ISO",IF(AND(LEN(C296)=10,MID(C296,3,1)="-",MID(C296,6,1)="-"),"DMY","OTHER"))</f>
        <v>ISO</v>
      </c>
      <c r="E296" s="7">
        <f>IF(D296="ISO",VALUE(LEFT(C296,4)),IF(D296="DMY",VALUE(RIGHT(C296,4)),0))</f>
        <v>2025</v>
      </c>
      <c r="F296" s="7">
        <f>IF(D296="ISO",VALUE(MID(C296,6,2)),IF(D296="DMY",VALUE(MID(C296,4,2)),0))</f>
        <v>10</v>
      </c>
      <c r="G296" s="7">
        <f>IF(D296="ISO",VALUE(RIGHT(C296,2)),IF(D296="DMY",VALUE(LEFT(C296,2)),0))</f>
        <v>14</v>
      </c>
      <c r="H296" s="7">
        <f>IF(AND(D296&lt;&gt;"OTHER",F296&gt;=1,F296&lt;=12,G296&gt;=1,G296&lt;=31),IF(AND(MONTH(DATE(E296,F296,G296))=F296,DAY(DATE(E296,F296,G296))=G296),1,0),0)</f>
        <v>1</v>
      </c>
      <c r="I296" s="7">
        <f>IF(H296=1,DATE(E296,F296,G296),"")</f>
        <v>45944.0</v>
      </c>
      <c r="J296" s="7">
        <f>IF(AND(D296="DMY",H296=1),1,0)</f>
        <v>0</v>
      </c>
      <c r="K296" s="7">
        <f>IF(H296=0,1,0)</f>
        <v>0</v>
      </c>
      <c r="L296" s="7">
        <f>IF(TRIM(Raw_Bookings!I296&amp;"")="",1,0)</f>
        <v>0</v>
      </c>
      <c r="M296" s="7">
        <f>IF(L296=1,"",DATEVALUE(LEFT(Raw_Bookings!I296,10))+TIMEVALUE(MID(Raw_Bookings!I296,12,8)))</f>
        <v>45891.80446759259</v>
      </c>
      <c r="N296" s="7">
        <f>IF(AND(L296=0,H296=1),IF(INT(M296)&gt;I296,1,0),0)</f>
        <v>0</v>
      </c>
      <c r="O296" s="7" t="str">
        <f>UPPER(TRIM(Raw_Bookings!F296))</f>
        <v>RAI</v>
      </c>
      <c r="P296" s="7" t="str">
        <f>UPPER(TRIM(Raw_Bookings!G296))</f>
        <v>JAI</v>
      </c>
      <c r="Q296" s="7">
        <f>IF(COUNTIF(Lookup_Stations!$A$2:$A$33,O296)&gt;0,1,0)</f>
        <v>1</v>
      </c>
      <c r="R296" s="7">
        <f>IF(COUNTIF(Lookup_Stations!$A$2:$A$33,P296)&gt;0,1,0)</f>
        <v>1</v>
      </c>
      <c r="S296" s="7">
        <f>IF(OR(AND(Q296=1,NOT(EXACT(Raw_Bookings!F296,O296))),AND(R296=1,NOT(EXACT(Raw_Bookings!G296,P296)))),1,0)</f>
        <v>0</v>
      </c>
      <c r="T296" s="7">
        <f>IF(OR(Q296=0,R296=0),1,0)</f>
        <v>0</v>
      </c>
      <c r="U296" s="7">
        <f>IF(TRIM(Raw_Bookings!E296&amp;"")="",1,0)</f>
        <v>0</v>
      </c>
      <c r="V296" s="7" t="str">
        <f>IF(SUMPRODUCT(--(Lookup_Status!$A$2:$A$13=LOWER(TRIM(Raw_Bookings!K296))))=0,"",INDEX(Lookup_Status!$B$2:$B$13,SUMPRODUCT((Lookup_Status!$A$2:$A$13=LOWER(TRIM(Raw_Bookings!K296)))*(ROW(Lookup_Status!$A$2:$A$13)-1))))</f>
        <v>Confirmed</v>
      </c>
      <c r="W296" s="7">
        <f>IF(AND(V296&lt;&gt;"",NOT(EXACT(Raw_Bookings!K296,V296))),1,0)</f>
        <v>0</v>
      </c>
      <c r="X296" s="7">
        <f>IF(V296="",1,0)</f>
        <v>0</v>
      </c>
      <c r="Y296" s="7">
        <f>IF(TRIM(Raw_Bookings!L296&amp;"")="",1,0)</f>
        <v>0</v>
      </c>
      <c r="Z296" s="7">
        <f>IF(AND(ISTEXT(Raw_Bookings!L296),Y296=0),1,0)</f>
        <v>0</v>
      </c>
      <c r="AA296" s="7">
        <f>IF(Z296=1,IFERROR(VALUE(SUBSTITUTE(SUBSTITUTE(SUBSTITUTE(SUBSTITUTE(SUBSTITUTE(UPPER(Raw_Bookings!L296),"RS.",""),"₹",""),",","")," ",""),"INR","")),""),"")</f>
        <v/>
      </c>
      <c r="AB296" s="7">
        <f>IF(AND(Z296=1,ISNUMBER(AA296)),1,0)</f>
        <v>0</v>
      </c>
      <c r="AC296" s="7">
        <f>IF(B296=1,0,IF(NOT(ISNUMBER(Raw_Bookings!J296)),1,IF(Raw_Bookings!J296&lt;&gt;COUNTIFS(Work_Passengers!$B$2:$B$1336,Raw_Bookings!A296,Work_Passengers!$C$2:$C$1336,0),1,0)))</f>
        <v>0</v>
      </c>
    </row>
    <row r="297" spans="1:29">
      <c r="A297" s="7">
        <f>Raw_Bookings!A297</f>
        <v>1102132</v>
      </c>
      <c r="B297" s="7">
        <f>IF(COUNTIF(Raw_Bookings!$A$2:A297,Raw_Bookings!A297)&gt;1,1,0)</f>
        <v>0</v>
      </c>
      <c r="C297" s="7" t="str">
        <f>Raw_Bookings!D297&amp;""</f>
        <v>2025-09-08</v>
      </c>
      <c r="D297" s="7" t="str">
        <f>IF(AND(LEN(C297)=10,MID(C297,5,1)="-",MID(C297,8,1)="-"),"ISO",IF(AND(LEN(C297)=10,MID(C297,3,1)="-",MID(C297,6,1)="-"),"DMY","OTHER"))</f>
        <v>ISO</v>
      </c>
      <c r="E297" s="7">
        <f>IF(D297="ISO",VALUE(LEFT(C297,4)),IF(D297="DMY",VALUE(RIGHT(C297,4)),0))</f>
        <v>2025</v>
      </c>
      <c r="F297" s="7">
        <f>IF(D297="ISO",VALUE(MID(C297,6,2)),IF(D297="DMY",VALUE(MID(C297,4,2)),0))</f>
        <v>9</v>
      </c>
      <c r="G297" s="7">
        <f>IF(D297="ISO",VALUE(RIGHT(C297,2)),IF(D297="DMY",VALUE(LEFT(C297,2)),0))</f>
        <v>8</v>
      </c>
      <c r="H297" s="7">
        <f>IF(AND(D297&lt;&gt;"OTHER",F297&gt;=1,F297&lt;=12,G297&gt;=1,G297&lt;=31),IF(AND(MONTH(DATE(E297,F297,G297))=F297,DAY(DATE(E297,F297,G297))=G297),1,0),0)</f>
        <v>1</v>
      </c>
      <c r="I297" s="7">
        <f>IF(H297=1,DATE(E297,F297,G297),"")</f>
        <v>45908.0</v>
      </c>
      <c r="J297" s="7">
        <f>IF(AND(D297="DMY",H297=1),1,0)</f>
        <v>0</v>
      </c>
      <c r="K297" s="7">
        <f>IF(H297=0,1,0)</f>
        <v>0</v>
      </c>
      <c r="L297" s="7">
        <f>IF(TRIM(Raw_Bookings!I297&amp;"")="",1,0)</f>
        <v>0</v>
      </c>
      <c r="M297" s="7">
        <f>IF(L297=1,"",DATEVALUE(LEFT(Raw_Bookings!I297,10))+TIMEVALUE(MID(Raw_Bookings!I297,12,8)))</f>
        <v>45894.58128472222</v>
      </c>
      <c r="N297" s="7">
        <f>IF(AND(L297=0,H297=1),IF(INT(M297)&gt;I297,1,0),0)</f>
        <v>0</v>
      </c>
      <c r="O297" s="7" t="str">
        <f>UPPER(TRIM(Raw_Bookings!F297))</f>
        <v>DEL</v>
      </c>
      <c r="P297" s="7" t="str">
        <f>UPPER(TRIM(Raw_Bookings!G297))</f>
        <v>DIB</v>
      </c>
      <c r="Q297" s="7">
        <f>IF(COUNTIF(Lookup_Stations!$A$2:$A$33,O297)&gt;0,1,0)</f>
        <v>1</v>
      </c>
      <c r="R297" s="7">
        <f>IF(COUNTIF(Lookup_Stations!$A$2:$A$33,P297)&gt;0,1,0)</f>
        <v>1</v>
      </c>
      <c r="S297" s="7">
        <f>IF(OR(AND(Q297=1,NOT(EXACT(Raw_Bookings!F297,O297))),AND(R297=1,NOT(EXACT(Raw_Bookings!G297,P297)))),1,0)</f>
        <v>0</v>
      </c>
      <c r="T297" s="7">
        <f>IF(OR(Q297=0,R297=0),1,0)</f>
        <v>0</v>
      </c>
      <c r="U297" s="7">
        <f>IF(TRIM(Raw_Bookings!E297&amp;"")="",1,0)</f>
        <v>0</v>
      </c>
      <c r="V297" s="7" t="str">
        <f>IF(SUMPRODUCT(--(Lookup_Status!$A$2:$A$13=LOWER(TRIM(Raw_Bookings!K297))))=0,"",INDEX(Lookup_Status!$B$2:$B$13,SUMPRODUCT((Lookup_Status!$A$2:$A$13=LOWER(TRIM(Raw_Bookings!K297)))*(ROW(Lookup_Status!$A$2:$A$13)-1))))</f>
        <v>Confirmed</v>
      </c>
      <c r="W297" s="7">
        <f>IF(AND(V297&lt;&gt;"",NOT(EXACT(Raw_Bookings!K297,V297))),1,0)</f>
        <v>0</v>
      </c>
      <c r="X297" s="7">
        <f>IF(V297="",1,0)</f>
        <v>0</v>
      </c>
      <c r="Y297" s="7">
        <f>IF(TRIM(Raw_Bookings!L297&amp;"")="",1,0)</f>
        <v>0</v>
      </c>
      <c r="Z297" s="7">
        <f>IF(AND(ISTEXT(Raw_Bookings!L297),Y297=0),1,0)</f>
        <v>0</v>
      </c>
      <c r="AA297" s="7">
        <f>IF(Z297=1,IFERROR(VALUE(SUBSTITUTE(SUBSTITUTE(SUBSTITUTE(SUBSTITUTE(SUBSTITUTE(UPPER(Raw_Bookings!L297),"RS.",""),"₹",""),",","")," ",""),"INR","")),""),"")</f>
        <v/>
      </c>
      <c r="AB297" s="7">
        <f>IF(AND(Z297=1,ISNUMBER(AA297)),1,0)</f>
        <v>0</v>
      </c>
      <c r="AC297" s="7">
        <f>IF(B297=1,0,IF(NOT(ISNUMBER(Raw_Bookings!J297)),1,IF(Raw_Bookings!J297&lt;&gt;COUNTIFS(Work_Passengers!$B$2:$B$1336,Raw_Bookings!A297,Work_Passengers!$C$2:$C$1336,0),1,0)))</f>
        <v>0</v>
      </c>
    </row>
    <row r="298" spans="1:29">
      <c r="A298" s="7">
        <f>Raw_Bookings!A298</f>
        <v>1102138</v>
      </c>
      <c r="B298" s="7">
        <f>IF(COUNTIF(Raw_Bookings!$A$2:A298,Raw_Bookings!A298)&gt;1,1,0)</f>
        <v>0</v>
      </c>
      <c r="C298" s="7" t="str">
        <f>Raw_Bookings!D298&amp;""</f>
        <v>2025-09-22</v>
      </c>
      <c r="D298" s="7" t="str">
        <f>IF(AND(LEN(C298)=10,MID(C298,5,1)="-",MID(C298,8,1)="-"),"ISO",IF(AND(LEN(C298)=10,MID(C298,3,1)="-",MID(C298,6,1)="-"),"DMY","OTHER"))</f>
        <v>ISO</v>
      </c>
      <c r="E298" s="7">
        <f>IF(D298="ISO",VALUE(LEFT(C298,4)),IF(D298="DMY",VALUE(RIGHT(C298,4)),0))</f>
        <v>2025</v>
      </c>
      <c r="F298" s="7">
        <f>IF(D298="ISO",VALUE(MID(C298,6,2)),IF(D298="DMY",VALUE(MID(C298,4,2)),0))</f>
        <v>9</v>
      </c>
      <c r="G298" s="7">
        <f>IF(D298="ISO",VALUE(RIGHT(C298,2)),IF(D298="DMY",VALUE(LEFT(C298,2)),0))</f>
        <v>22</v>
      </c>
      <c r="H298" s="7">
        <f>IF(AND(D298&lt;&gt;"OTHER",F298&gt;=1,F298&lt;=12,G298&gt;=1,G298&lt;=31),IF(AND(MONTH(DATE(E298,F298,G298))=F298,DAY(DATE(E298,F298,G298))=G298),1,0),0)</f>
        <v>1</v>
      </c>
      <c r="I298" s="7">
        <f>IF(H298=1,DATE(E298,F298,G298),"")</f>
        <v>45922.0</v>
      </c>
      <c r="J298" s="7">
        <f>IF(AND(D298="DMY",H298=1),1,0)</f>
        <v>0</v>
      </c>
      <c r="K298" s="7">
        <f>IF(H298=0,1,0)</f>
        <v>0</v>
      </c>
      <c r="L298" s="7">
        <f>IF(TRIM(Raw_Bookings!I298&amp;"")="",1,0)</f>
        <v>0</v>
      </c>
      <c r="M298" s="7">
        <f>IF(L298=1,"",DATEVALUE(LEFT(Raw_Bookings!I298,10))+TIMEVALUE(MID(Raw_Bookings!I298,12,8)))</f>
        <v>45894.60542824074</v>
      </c>
      <c r="N298" s="7">
        <f>IF(AND(L298=0,H298=1),IF(INT(M298)&gt;I298,1,0),0)</f>
        <v>0</v>
      </c>
      <c r="O298" s="7" t="str">
        <f>UPPER(TRIM(Raw_Bookings!F298))</f>
        <v>VAR</v>
      </c>
      <c r="P298" s="7" t="str">
        <f>UPPER(TRIM(Raw_Bookings!G298))</f>
        <v>SUR</v>
      </c>
      <c r="Q298" s="7">
        <f>IF(COUNTIF(Lookup_Stations!$A$2:$A$33,O298)&gt;0,1,0)</f>
        <v>1</v>
      </c>
      <c r="R298" s="7">
        <f>IF(COUNTIF(Lookup_Stations!$A$2:$A$33,P298)&gt;0,1,0)</f>
        <v>1</v>
      </c>
      <c r="S298" s="7">
        <f>IF(OR(AND(Q298=1,NOT(EXACT(Raw_Bookings!F298,O298))),AND(R298=1,NOT(EXACT(Raw_Bookings!G298,P298)))),1,0)</f>
        <v>0</v>
      </c>
      <c r="T298" s="7">
        <f>IF(OR(Q298=0,R298=0),1,0)</f>
        <v>0</v>
      </c>
      <c r="U298" s="7">
        <f>IF(TRIM(Raw_Bookings!E298&amp;"")="",1,0)</f>
        <v>0</v>
      </c>
      <c r="V298" s="7" t="str">
        <f>IF(SUMPRODUCT(--(Lookup_Status!$A$2:$A$13=LOWER(TRIM(Raw_Bookings!K298))))=0,"",INDEX(Lookup_Status!$B$2:$B$13,SUMPRODUCT((Lookup_Status!$A$2:$A$13=LOWER(TRIM(Raw_Bookings!K298)))*(ROW(Lookup_Status!$A$2:$A$13)-1))))</f>
        <v>Confirmed</v>
      </c>
      <c r="W298" s="7">
        <f>IF(AND(V298&lt;&gt;"",NOT(EXACT(Raw_Bookings!K298,V298))),1,0)</f>
        <v>0</v>
      </c>
      <c r="X298" s="7">
        <f>IF(V298="",1,0)</f>
        <v>0</v>
      </c>
      <c r="Y298" s="7">
        <f>IF(TRIM(Raw_Bookings!L298&amp;"")="",1,0)</f>
        <v>0</v>
      </c>
      <c r="Z298" s="7">
        <f>IF(AND(ISTEXT(Raw_Bookings!L298),Y298=0),1,0)</f>
        <v>0</v>
      </c>
      <c r="AA298" s="7">
        <f>IF(Z298=1,IFERROR(VALUE(SUBSTITUTE(SUBSTITUTE(SUBSTITUTE(SUBSTITUTE(SUBSTITUTE(UPPER(Raw_Bookings!L298),"RS.",""),"₹",""),",","")," ",""),"INR","")),""),"")</f>
        <v/>
      </c>
      <c r="AB298" s="7">
        <f>IF(AND(Z298=1,ISNUMBER(AA298)),1,0)</f>
        <v>0</v>
      </c>
      <c r="AC298" s="7">
        <f>IF(B298=1,0,IF(NOT(ISNUMBER(Raw_Bookings!J298)),1,IF(Raw_Bookings!J298&lt;&gt;COUNTIFS(Work_Passengers!$B$2:$B$1336,Raw_Bookings!A298,Work_Passengers!$C$2:$C$1336,0),1,0)))</f>
        <v>0</v>
      </c>
    </row>
    <row r="299" spans="1:29">
      <c r="A299" s="7">
        <f>Raw_Bookings!A299</f>
        <v>1102621</v>
      </c>
      <c r="B299" s="7">
        <f>IF(COUNTIF(Raw_Bookings!$A$2:A299,Raw_Bookings!A299)&gt;1,1,0)</f>
        <v>0</v>
      </c>
      <c r="C299" s="7" t="str">
        <f>Raw_Bookings!D299&amp;""</f>
        <v>2025-10-17</v>
      </c>
      <c r="D299" s="7" t="str">
        <f>IF(AND(LEN(C299)=10,MID(C299,5,1)="-",MID(C299,8,1)="-"),"ISO",IF(AND(LEN(C299)=10,MID(C299,3,1)="-",MID(C299,6,1)="-"),"DMY","OTHER"))</f>
        <v>ISO</v>
      </c>
      <c r="E299" s="7">
        <f>IF(D299="ISO",VALUE(LEFT(C299,4)),IF(D299="DMY",VALUE(RIGHT(C299,4)),0))</f>
        <v>2025</v>
      </c>
      <c r="F299" s="7">
        <f>IF(D299="ISO",VALUE(MID(C299,6,2)),IF(D299="DMY",VALUE(MID(C299,4,2)),0))</f>
        <v>10</v>
      </c>
      <c r="G299" s="7">
        <f>IF(D299="ISO",VALUE(RIGHT(C299,2)),IF(D299="DMY",VALUE(LEFT(C299,2)),0))</f>
        <v>17</v>
      </c>
      <c r="H299" s="7">
        <f>IF(AND(D299&lt;&gt;"OTHER",F299&gt;=1,F299&lt;=12,G299&gt;=1,G299&lt;=31),IF(AND(MONTH(DATE(E299,F299,G299))=F299,DAY(DATE(E299,F299,G299))=G299),1,0),0)</f>
        <v>1</v>
      </c>
      <c r="I299" s="7">
        <f>IF(H299=1,DATE(E299,F299,G299),"")</f>
        <v>45947.0</v>
      </c>
      <c r="J299" s="7">
        <f>IF(AND(D299="DMY",H299=1),1,0)</f>
        <v>0</v>
      </c>
      <c r="K299" s="7">
        <f>IF(H299=0,1,0)</f>
        <v>0</v>
      </c>
      <c r="L299" s="7">
        <f>IF(TRIM(Raw_Bookings!I299&amp;"")="",1,0)</f>
        <v>0</v>
      </c>
      <c r="M299" s="7">
        <f>IF(L299=1,"",DATEVALUE(LEFT(Raw_Bookings!I299,10))+TIMEVALUE(MID(Raw_Bookings!I299,12,8)))</f>
        <v>45896.36380787037</v>
      </c>
      <c r="N299" s="7">
        <f>IF(AND(L299=0,H299=1),IF(INT(M299)&gt;I299,1,0),0)</f>
        <v>0</v>
      </c>
      <c r="O299" s="7" t="str">
        <f>UPPER(TRIM(Raw_Bookings!F299))</f>
        <v>GUW</v>
      </c>
      <c r="P299" s="7" t="str">
        <f>UPPER(TRIM(Raw_Bookings!G299))</f>
        <v>UNK</v>
      </c>
      <c r="Q299" s="7">
        <f>IF(COUNTIF(Lookup_Stations!$A$2:$A$33,O299)&gt;0,1,0)</f>
        <v>1</v>
      </c>
      <c r="R299" s="7">
        <f>IF(COUNTIF(Lookup_Stations!$A$2:$A$33,P299)&gt;0,1,0)</f>
        <v>0</v>
      </c>
      <c r="S299" s="7">
        <f>IF(OR(AND(Q299=1,NOT(EXACT(Raw_Bookings!F299,O299))),AND(R299=1,NOT(EXACT(Raw_Bookings!G299,P299)))),1,0)</f>
        <v>0</v>
      </c>
      <c r="T299" s="7">
        <f>IF(OR(Q299=0,R299=0),1,0)</f>
        <v>1</v>
      </c>
      <c r="U299" s="7">
        <f>IF(TRIM(Raw_Bookings!E299&amp;"")="",1,0)</f>
        <v>0</v>
      </c>
      <c r="V299" s="7" t="str">
        <f>IF(SUMPRODUCT(--(Lookup_Status!$A$2:$A$13=LOWER(TRIM(Raw_Bookings!K299))))=0,"",INDEX(Lookup_Status!$B$2:$B$13,SUMPRODUCT((Lookup_Status!$A$2:$A$13=LOWER(TRIM(Raw_Bookings!K299)))*(ROW(Lookup_Status!$A$2:$A$13)-1))))</f>
        <v>Confirmed</v>
      </c>
      <c r="W299" s="7">
        <f>IF(AND(V299&lt;&gt;"",NOT(EXACT(Raw_Bookings!K299,V299))),1,0)</f>
        <v>0</v>
      </c>
      <c r="X299" s="7">
        <f>IF(V299="",1,0)</f>
        <v>0</v>
      </c>
      <c r="Y299" s="7">
        <f>IF(TRIM(Raw_Bookings!L299&amp;"")="",1,0)</f>
        <v>0</v>
      </c>
      <c r="Z299" s="7">
        <f>IF(AND(ISTEXT(Raw_Bookings!L299),Y299=0),1,0)</f>
        <v>0</v>
      </c>
      <c r="AA299" s="7">
        <f>IF(Z299=1,IFERROR(VALUE(SUBSTITUTE(SUBSTITUTE(SUBSTITUTE(SUBSTITUTE(SUBSTITUTE(UPPER(Raw_Bookings!L299),"RS.",""),"₹",""),",","")," ",""),"INR","")),""),"")</f>
        <v/>
      </c>
      <c r="AB299" s="7">
        <f>IF(AND(Z299=1,ISNUMBER(AA299)),1,0)</f>
        <v>0</v>
      </c>
      <c r="AC299" s="7">
        <f>IF(B299=1,0,IF(NOT(ISNUMBER(Raw_Bookings!J299)),1,IF(Raw_Bookings!J299&lt;&gt;COUNTIFS(Work_Passengers!$B$2:$B$1336,Raw_Bookings!A299,Work_Passengers!$C$2:$C$1336,0),1,0)))</f>
        <v>0</v>
      </c>
    </row>
    <row r="300" spans="1:29">
      <c r="A300" s="7">
        <f>Raw_Bookings!A300</f>
        <v>1103424</v>
      </c>
      <c r="B300" s="7">
        <f>IF(COUNTIF(Raw_Bookings!$A$2:A300,Raw_Bookings!A300)&gt;1,1,0)</f>
        <v>0</v>
      </c>
      <c r="C300" s="7" t="str">
        <f>Raw_Bookings!D300&amp;""</f>
        <v>18-09-2025</v>
      </c>
      <c r="D300" s="7" t="str">
        <f>IF(AND(LEN(C300)=10,MID(C300,5,1)="-",MID(C300,8,1)="-"),"ISO",IF(AND(LEN(C300)=10,MID(C300,3,1)="-",MID(C300,6,1)="-"),"DMY","OTHER"))</f>
        <v>DMY</v>
      </c>
      <c r="E300" s="7">
        <f>IF(D300="ISO",VALUE(LEFT(C300,4)),IF(D300="DMY",VALUE(RIGHT(C300,4)),0))</f>
        <v>2025</v>
      </c>
      <c r="F300" s="7">
        <f>IF(D300="ISO",VALUE(MID(C300,6,2)),IF(D300="DMY",VALUE(MID(C300,4,2)),0))</f>
        <v>9</v>
      </c>
      <c r="G300" s="7">
        <f>IF(D300="ISO",VALUE(RIGHT(C300,2)),IF(D300="DMY",VALUE(LEFT(C300,2)),0))</f>
        <v>18</v>
      </c>
      <c r="H300" s="7">
        <f>IF(AND(D300&lt;&gt;"OTHER",F300&gt;=1,F300&lt;=12,G300&gt;=1,G300&lt;=31),IF(AND(MONTH(DATE(E300,F300,G300))=F300,DAY(DATE(E300,F300,G300))=G300),1,0),0)</f>
        <v>1</v>
      </c>
      <c r="I300" s="7">
        <f>IF(H300=1,DATE(E300,F300,G300),"")</f>
        <v>45918.0</v>
      </c>
      <c r="J300" s="7">
        <f>IF(AND(D300="DMY",H300=1),1,0)</f>
        <v>1</v>
      </c>
      <c r="K300" s="7">
        <f>IF(H300=0,1,0)</f>
        <v>0</v>
      </c>
      <c r="L300" s="7">
        <f>IF(TRIM(Raw_Bookings!I300&amp;"")="",1,0)</f>
        <v>0</v>
      </c>
      <c r="M300" s="7">
        <f>IF(L300=1,"",DATEVALUE(LEFT(Raw_Bookings!I300,10))+TIMEVALUE(MID(Raw_Bookings!I300,12,8)))</f>
        <v>45899.266377314816</v>
      </c>
      <c r="N300" s="7">
        <f>IF(AND(L300=0,H300=1),IF(INT(M300)&gt;I300,1,0),0)</f>
        <v>0</v>
      </c>
      <c r="O300" s="7" t="str">
        <f>UPPER(TRIM(Raw_Bookings!F300))</f>
        <v>CHE</v>
      </c>
      <c r="P300" s="7" t="str">
        <f>UPPER(TRIM(Raw_Bookings!G300))</f>
        <v>AHM</v>
      </c>
      <c r="Q300" s="7">
        <f>IF(COUNTIF(Lookup_Stations!$A$2:$A$33,O300)&gt;0,1,0)</f>
        <v>1</v>
      </c>
      <c r="R300" s="7">
        <f>IF(COUNTIF(Lookup_Stations!$A$2:$A$33,P300)&gt;0,1,0)</f>
        <v>1</v>
      </c>
      <c r="S300" s="7">
        <f>IF(OR(AND(Q300=1,NOT(EXACT(Raw_Bookings!F300,O300))),AND(R300=1,NOT(EXACT(Raw_Bookings!G300,P300)))),1,0)</f>
        <v>0</v>
      </c>
      <c r="T300" s="7">
        <f>IF(OR(Q300=0,R300=0),1,0)</f>
        <v>0</v>
      </c>
      <c r="U300" s="7">
        <f>IF(TRIM(Raw_Bookings!E300&amp;"")="",1,0)</f>
        <v>0</v>
      </c>
      <c r="V300" s="7" t="str">
        <f>IF(SUMPRODUCT(--(Lookup_Status!$A$2:$A$13=LOWER(TRIM(Raw_Bookings!K300))))=0,"",INDEX(Lookup_Status!$B$2:$B$13,SUMPRODUCT((Lookup_Status!$A$2:$A$13=LOWER(TRIM(Raw_Bookings!K300)))*(ROW(Lookup_Status!$A$2:$A$13)-1))))</f>
        <v>Confirmed</v>
      </c>
      <c r="W300" s="7">
        <f>IF(AND(V300&lt;&gt;"",NOT(EXACT(Raw_Bookings!K300,V300))),1,0)</f>
        <v>0</v>
      </c>
      <c r="X300" s="7">
        <f>IF(V300="",1,0)</f>
        <v>0</v>
      </c>
      <c r="Y300" s="7">
        <f>IF(TRIM(Raw_Bookings!L300&amp;"")="",1,0)</f>
        <v>0</v>
      </c>
      <c r="Z300" s="7">
        <f>IF(AND(ISTEXT(Raw_Bookings!L300),Y300=0),1,0)</f>
        <v>0</v>
      </c>
      <c r="AA300" s="7">
        <f>IF(Z300=1,IFERROR(VALUE(SUBSTITUTE(SUBSTITUTE(SUBSTITUTE(SUBSTITUTE(SUBSTITUTE(UPPER(Raw_Bookings!L300),"RS.",""),"₹",""),",","")," ",""),"INR","")),""),"")</f>
        <v/>
      </c>
      <c r="AB300" s="7">
        <f>IF(AND(Z300=1,ISNUMBER(AA300)),1,0)</f>
        <v>0</v>
      </c>
      <c r="AC300" s="7">
        <f>IF(B300=1,0,IF(NOT(ISNUMBER(Raw_Bookings!J300)),1,IF(Raw_Bookings!J300&lt;&gt;COUNTIFS(Work_Passengers!$B$2:$B$1336,Raw_Bookings!A300,Work_Passengers!$C$2:$C$1336,0),1,0)))</f>
        <v>0</v>
      </c>
    </row>
    <row r="301" spans="1:29">
      <c r="A301" s="7">
        <f>Raw_Bookings!A301</f>
        <v>1103717</v>
      </c>
      <c r="B301" s="7">
        <f>IF(COUNTIF(Raw_Bookings!$A$2:A301,Raw_Bookings!A301)&gt;1,1,0)</f>
        <v>0</v>
      </c>
      <c r="C301" s="7" t="str">
        <f>Raw_Bookings!D301&amp;""</f>
        <v>2025-09-10</v>
      </c>
      <c r="D301" s="7" t="str">
        <f>IF(AND(LEN(C301)=10,MID(C301,5,1)="-",MID(C301,8,1)="-"),"ISO",IF(AND(LEN(C301)=10,MID(C301,3,1)="-",MID(C301,6,1)="-"),"DMY","OTHER"))</f>
        <v>ISO</v>
      </c>
      <c r="E301" s="7">
        <f>IF(D301="ISO",VALUE(LEFT(C301,4)),IF(D301="DMY",VALUE(RIGHT(C301,4)),0))</f>
        <v>2025</v>
      </c>
      <c r="F301" s="7">
        <f>IF(D301="ISO",VALUE(MID(C301,6,2)),IF(D301="DMY",VALUE(MID(C301,4,2)),0))</f>
        <v>9</v>
      </c>
      <c r="G301" s="7">
        <f>IF(D301="ISO",VALUE(RIGHT(C301,2)),IF(D301="DMY",VALUE(LEFT(C301,2)),0))</f>
        <v>10</v>
      </c>
      <c r="H301" s="7">
        <f>IF(AND(D301&lt;&gt;"OTHER",F301&gt;=1,F301&lt;=12,G301&gt;=1,G301&lt;=31),IF(AND(MONTH(DATE(E301,F301,G301))=F301,DAY(DATE(E301,F301,G301))=G301),1,0),0)</f>
        <v>1</v>
      </c>
      <c r="I301" s="7">
        <f>IF(H301=1,DATE(E301,F301,G301),"")</f>
        <v>45910.0</v>
      </c>
      <c r="J301" s="7">
        <f>IF(AND(D301="DMY",H301=1),1,0)</f>
        <v>0</v>
      </c>
      <c r="K301" s="7">
        <f>IF(H301=0,1,0)</f>
        <v>0</v>
      </c>
      <c r="L301" s="7">
        <f>IF(TRIM(Raw_Bookings!I301&amp;"")="",1,0)</f>
        <v>0</v>
      </c>
      <c r="M301" s="7">
        <f>IF(L301=1,"",DATEVALUE(LEFT(Raw_Bookings!I301,10))+TIMEVALUE(MID(Raw_Bookings!I301,12,8)))</f>
        <v>45900.396944444445</v>
      </c>
      <c r="N301" s="7">
        <f>IF(AND(L301=0,H301=1),IF(INT(M301)&gt;I301,1,0),0)</f>
        <v>0</v>
      </c>
      <c r="O301" s="7" t="str">
        <f>UPPER(TRIM(Raw_Bookings!F301))</f>
        <v>GUW</v>
      </c>
      <c r="P301" s="7" t="str">
        <f>UPPER(TRIM(Raw_Bookings!G301))</f>
        <v>BHO</v>
      </c>
      <c r="Q301" s="7">
        <f>IF(COUNTIF(Lookup_Stations!$A$2:$A$33,O301)&gt;0,1,0)</f>
        <v>1</v>
      </c>
      <c r="R301" s="7">
        <f>IF(COUNTIF(Lookup_Stations!$A$2:$A$33,P301)&gt;0,1,0)</f>
        <v>1</v>
      </c>
      <c r="S301" s="7">
        <f>IF(OR(AND(Q301=1,NOT(EXACT(Raw_Bookings!F301,O301))),AND(R301=1,NOT(EXACT(Raw_Bookings!G301,P301)))),1,0)</f>
        <v>1</v>
      </c>
      <c r="T301" s="7">
        <f>IF(OR(Q301=0,R301=0),1,0)</f>
        <v>0</v>
      </c>
      <c r="U301" s="7">
        <f>IF(TRIM(Raw_Bookings!E301&amp;"")="",1,0)</f>
        <v>0</v>
      </c>
      <c r="V301" s="7" t="str">
        <f>IF(SUMPRODUCT(--(Lookup_Status!$A$2:$A$13=LOWER(TRIM(Raw_Bookings!K301))))=0,"",INDEX(Lookup_Status!$B$2:$B$13,SUMPRODUCT((Lookup_Status!$A$2:$A$13=LOWER(TRIM(Raw_Bookings!K301)))*(ROW(Lookup_Status!$A$2:$A$13)-1))))</f>
        <v>Confirmed</v>
      </c>
      <c r="W301" s="7">
        <f>IF(AND(V301&lt;&gt;"",NOT(EXACT(Raw_Bookings!K301,V301))),1,0)</f>
        <v>0</v>
      </c>
      <c r="X301" s="7">
        <f>IF(V301="",1,0)</f>
        <v>0</v>
      </c>
      <c r="Y301" s="7">
        <f>IF(TRIM(Raw_Bookings!L301&amp;"")="",1,0)</f>
        <v>0</v>
      </c>
      <c r="Z301" s="7">
        <f>IF(AND(ISTEXT(Raw_Bookings!L301),Y301=0),1,0)</f>
        <v>0</v>
      </c>
      <c r="AA301" s="7">
        <f>IF(Z301=1,IFERROR(VALUE(SUBSTITUTE(SUBSTITUTE(SUBSTITUTE(SUBSTITUTE(SUBSTITUTE(UPPER(Raw_Bookings!L301),"RS.",""),"₹",""),",","")," ",""),"INR","")),""),"")</f>
        <v/>
      </c>
      <c r="AB301" s="7">
        <f>IF(AND(Z301=1,ISNUMBER(AA301)),1,0)</f>
        <v>0</v>
      </c>
      <c r="AC301" s="7">
        <f>IF(B301=1,0,IF(NOT(ISNUMBER(Raw_Bookings!J301)),1,IF(Raw_Bookings!J301&lt;&gt;COUNTIFS(Work_Passengers!$B$2:$B$1336,Raw_Bookings!A301,Work_Passengers!$C$2:$C$1336,0),1,0)))</f>
        <v>0</v>
      </c>
    </row>
    <row r="302" spans="1:29">
      <c r="A302" s="7">
        <f>Raw_Bookings!A302</f>
        <v>1103873</v>
      </c>
      <c r="B302" s="7">
        <f>IF(COUNTIF(Raw_Bookings!$A$2:A302,Raw_Bookings!A302)&gt;1,1,0)</f>
        <v>0</v>
      </c>
      <c r="C302" s="7" t="str">
        <f>Raw_Bookings!D302&amp;""</f>
        <v>2025-10-30</v>
      </c>
      <c r="D302" s="7" t="str">
        <f>IF(AND(LEN(C302)=10,MID(C302,5,1)="-",MID(C302,8,1)="-"),"ISO",IF(AND(LEN(C302)=10,MID(C302,3,1)="-",MID(C302,6,1)="-"),"DMY","OTHER"))</f>
        <v>ISO</v>
      </c>
      <c r="E302" s="7">
        <f>IF(D302="ISO",VALUE(LEFT(C302,4)),IF(D302="DMY",VALUE(RIGHT(C302,4)),0))</f>
        <v>2025</v>
      </c>
      <c r="F302" s="7">
        <f>IF(D302="ISO",VALUE(MID(C302,6,2)),IF(D302="DMY",VALUE(MID(C302,4,2)),0))</f>
        <v>10</v>
      </c>
      <c r="G302" s="7">
        <f>IF(D302="ISO",VALUE(RIGHT(C302,2)),IF(D302="DMY",VALUE(LEFT(C302,2)),0))</f>
        <v>30</v>
      </c>
      <c r="H302" s="7">
        <f>IF(AND(D302&lt;&gt;"OTHER",F302&gt;=1,F302&lt;=12,G302&gt;=1,G302&lt;=31),IF(AND(MONTH(DATE(E302,F302,G302))=F302,DAY(DATE(E302,F302,G302))=G302),1,0),0)</f>
        <v>1</v>
      </c>
      <c r="I302" s="7">
        <f>IF(H302=1,DATE(E302,F302,G302),"")</f>
        <v>45960.0</v>
      </c>
      <c r="J302" s="7">
        <f>IF(AND(D302="DMY",H302=1),1,0)</f>
        <v>0</v>
      </c>
      <c r="K302" s="7">
        <f>IF(H302=0,1,0)</f>
        <v>0</v>
      </c>
      <c r="L302" s="7">
        <f>IF(TRIM(Raw_Bookings!I302&amp;"")="",1,0)</f>
        <v>0</v>
      </c>
      <c r="M302" s="7">
        <f>IF(L302=1,"",DATEVALUE(LEFT(Raw_Bookings!I302,10))+TIMEVALUE(MID(Raw_Bookings!I302,12,8)))</f>
        <v>45900.899930555555</v>
      </c>
      <c r="N302" s="7">
        <f>IF(AND(L302=0,H302=1),IF(INT(M302)&gt;I302,1,0),0)</f>
        <v>0</v>
      </c>
      <c r="O302" s="7" t="str">
        <f>UPPER(TRIM(Raw_Bookings!F302))</f>
        <v>DEL</v>
      </c>
      <c r="P302" s="7" t="str">
        <f>UPPER(TRIM(Raw_Bookings!G302))</f>
        <v>MAU</v>
      </c>
      <c r="Q302" s="7">
        <f>IF(COUNTIF(Lookup_Stations!$A$2:$A$33,O302)&gt;0,1,0)</f>
        <v>1</v>
      </c>
      <c r="R302" s="7">
        <f>IF(COUNTIF(Lookup_Stations!$A$2:$A$33,P302)&gt;0,1,0)</f>
        <v>1</v>
      </c>
      <c r="S302" s="7">
        <f>IF(OR(AND(Q302=1,NOT(EXACT(Raw_Bookings!F302,O302))),AND(R302=1,NOT(EXACT(Raw_Bookings!G302,P302)))),1,0)</f>
        <v>0</v>
      </c>
      <c r="T302" s="7">
        <f>IF(OR(Q302=0,R302=0),1,0)</f>
        <v>0</v>
      </c>
      <c r="U302" s="7">
        <f>IF(TRIM(Raw_Bookings!E302&amp;"")="",1,0)</f>
        <v>0</v>
      </c>
      <c r="V302" s="7" t="str">
        <f>IF(SUMPRODUCT(--(Lookup_Status!$A$2:$A$13=LOWER(TRIM(Raw_Bookings!K302))))=0,"",INDEX(Lookup_Status!$B$2:$B$13,SUMPRODUCT((Lookup_Status!$A$2:$A$13=LOWER(TRIM(Raw_Bookings!K302)))*(ROW(Lookup_Status!$A$2:$A$13)-1))))</f>
        <v>Confirmed</v>
      </c>
      <c r="W302" s="7">
        <f>IF(AND(V302&lt;&gt;"",NOT(EXACT(Raw_Bookings!K302,V302))),1,0)</f>
        <v>0</v>
      </c>
      <c r="X302" s="7">
        <f>IF(V302="",1,0)</f>
        <v>0</v>
      </c>
      <c r="Y302" s="7">
        <f>IF(TRIM(Raw_Bookings!L302&amp;"")="",1,0)</f>
        <v>0</v>
      </c>
      <c r="Z302" s="7">
        <f>IF(AND(ISTEXT(Raw_Bookings!L302),Y302=0),1,0)</f>
        <v>0</v>
      </c>
      <c r="AA302" s="7">
        <f>IF(Z302=1,IFERROR(VALUE(SUBSTITUTE(SUBSTITUTE(SUBSTITUTE(SUBSTITUTE(SUBSTITUTE(UPPER(Raw_Bookings!L302),"RS.",""),"₹",""),",","")," ",""),"INR","")),""),"")</f>
        <v/>
      </c>
      <c r="AB302" s="7">
        <f>IF(AND(Z302=1,ISNUMBER(AA302)),1,0)</f>
        <v>0</v>
      </c>
      <c r="AC302" s="7">
        <f>IF(B302=1,0,IF(NOT(ISNUMBER(Raw_Bookings!J302)),1,IF(Raw_Bookings!J302&lt;&gt;COUNTIFS(Work_Passengers!$B$2:$B$1336,Raw_Bookings!A302,Work_Passengers!$C$2:$C$1336,0),1,0)))</f>
        <v>0</v>
      </c>
    </row>
    <row r="303" spans="1:29">
      <c r="A303" s="7">
        <f>Raw_Bookings!A303</f>
        <v>1103951</v>
      </c>
      <c r="B303" s="7">
        <f>IF(COUNTIF(Raw_Bookings!$A$2:A303,Raw_Bookings!A303)&gt;1,1,0)</f>
        <v>0</v>
      </c>
      <c r="C303" s="7" t="str">
        <f>Raw_Bookings!D303&amp;""</f>
        <v>2025-10-17</v>
      </c>
      <c r="D303" s="7" t="str">
        <f>IF(AND(LEN(C303)=10,MID(C303,5,1)="-",MID(C303,8,1)="-"),"ISO",IF(AND(LEN(C303)=10,MID(C303,3,1)="-",MID(C303,6,1)="-"),"DMY","OTHER"))</f>
        <v>ISO</v>
      </c>
      <c r="E303" s="7">
        <f>IF(D303="ISO",VALUE(LEFT(C303,4)),IF(D303="DMY",VALUE(RIGHT(C303,4)),0))</f>
        <v>2025</v>
      </c>
      <c r="F303" s="7">
        <f>IF(D303="ISO",VALUE(MID(C303,6,2)),IF(D303="DMY",VALUE(MID(C303,4,2)),0))</f>
        <v>10</v>
      </c>
      <c r="G303" s="7">
        <f>IF(D303="ISO",VALUE(RIGHT(C303,2)),IF(D303="DMY",VALUE(LEFT(C303,2)),0))</f>
        <v>17</v>
      </c>
      <c r="H303" s="7">
        <f>IF(AND(D303&lt;&gt;"OTHER",F303&gt;=1,F303&lt;=12,G303&gt;=1,G303&lt;=31),IF(AND(MONTH(DATE(E303,F303,G303))=F303,DAY(DATE(E303,F303,G303))=G303),1,0),0)</f>
        <v>1</v>
      </c>
      <c r="I303" s="7">
        <f>IF(H303=1,DATE(E303,F303,G303),"")</f>
        <v>45947.0</v>
      </c>
      <c r="J303" s="7">
        <f>IF(AND(D303="DMY",H303=1),1,0)</f>
        <v>0</v>
      </c>
      <c r="K303" s="7">
        <f>IF(H303=0,1,0)</f>
        <v>0</v>
      </c>
      <c r="L303" s="7">
        <f>IF(TRIM(Raw_Bookings!I303&amp;"")="",1,0)</f>
        <v>0</v>
      </c>
      <c r="M303" s="7">
        <f>IF(L303=1,"",DATEVALUE(LEFT(Raw_Bookings!I303,10))+TIMEVALUE(MID(Raw_Bookings!I303,12,8)))</f>
        <v>45901.39922453704</v>
      </c>
      <c r="N303" s="7">
        <f>IF(AND(L303=0,H303=1),IF(INT(M303)&gt;I303,1,0),0)</f>
        <v>0</v>
      </c>
      <c r="O303" s="7" t="str">
        <f>UPPER(TRIM(Raw_Bookings!F303))</f>
        <v>AHM</v>
      </c>
      <c r="P303" s="7" t="str">
        <f>UPPER(TRIM(Raw_Bookings!G303))</f>
        <v>CHE</v>
      </c>
      <c r="Q303" s="7">
        <f>IF(COUNTIF(Lookup_Stations!$A$2:$A$33,O303)&gt;0,1,0)</f>
        <v>1</v>
      </c>
      <c r="R303" s="7">
        <f>IF(COUNTIF(Lookup_Stations!$A$2:$A$33,P303)&gt;0,1,0)</f>
        <v>1</v>
      </c>
      <c r="S303" s="7">
        <f>IF(OR(AND(Q303=1,NOT(EXACT(Raw_Bookings!F303,O303))),AND(R303=1,NOT(EXACT(Raw_Bookings!G303,P303)))),1,0)</f>
        <v>0</v>
      </c>
      <c r="T303" s="7">
        <f>IF(OR(Q303=0,R303=0),1,0)</f>
        <v>0</v>
      </c>
      <c r="U303" s="7">
        <f>IF(TRIM(Raw_Bookings!E303&amp;"")="",1,0)</f>
        <v>0</v>
      </c>
      <c r="V303" s="7" t="str">
        <f>IF(SUMPRODUCT(--(Lookup_Status!$A$2:$A$13=LOWER(TRIM(Raw_Bookings!K303))))=0,"",INDEX(Lookup_Status!$B$2:$B$13,SUMPRODUCT((Lookup_Status!$A$2:$A$13=LOWER(TRIM(Raw_Bookings!K303)))*(ROW(Lookup_Status!$A$2:$A$13)-1))))</f>
        <v>Confirmed</v>
      </c>
      <c r="W303" s="7">
        <f>IF(AND(V303&lt;&gt;"",NOT(EXACT(Raw_Bookings!K303,V303))),1,0)</f>
        <v>0</v>
      </c>
      <c r="X303" s="7">
        <f>IF(V303="",1,0)</f>
        <v>0</v>
      </c>
      <c r="Y303" s="7">
        <f>IF(TRIM(Raw_Bookings!L303&amp;"")="",1,0)</f>
        <v>0</v>
      </c>
      <c r="Z303" s="7">
        <f>IF(AND(ISTEXT(Raw_Bookings!L303),Y303=0),1,0)</f>
        <v>0</v>
      </c>
      <c r="AA303" s="7">
        <f>IF(Z303=1,IFERROR(VALUE(SUBSTITUTE(SUBSTITUTE(SUBSTITUTE(SUBSTITUTE(SUBSTITUTE(UPPER(Raw_Bookings!L303),"RS.",""),"₹",""),",","")," ",""),"INR","")),""),"")</f>
        <v/>
      </c>
      <c r="AB303" s="7">
        <f>IF(AND(Z303=1,ISNUMBER(AA303)),1,0)</f>
        <v>0</v>
      </c>
      <c r="AC303" s="7">
        <f>IF(B303=1,0,IF(NOT(ISNUMBER(Raw_Bookings!J303)),1,IF(Raw_Bookings!J303&lt;&gt;COUNTIFS(Work_Passengers!$B$2:$B$1336,Raw_Bookings!A303,Work_Passengers!$C$2:$C$1336,0),1,0)))</f>
        <v>0</v>
      </c>
    </row>
    <row r="304" spans="1:29">
      <c r="A304" s="7">
        <f>Raw_Bookings!A304</f>
        <v>1104709</v>
      </c>
      <c r="B304" s="7">
        <f>IF(COUNTIF(Raw_Bookings!$A$2:A304,Raw_Bookings!A304)&gt;1,1,0)</f>
        <v>0</v>
      </c>
      <c r="C304" s="7" t="str">
        <f>Raw_Bookings!D304&amp;""</f>
        <v>2025-09-08</v>
      </c>
      <c r="D304" s="7" t="str">
        <f>IF(AND(LEN(C304)=10,MID(C304,5,1)="-",MID(C304,8,1)="-"),"ISO",IF(AND(LEN(C304)=10,MID(C304,3,1)="-",MID(C304,6,1)="-"),"DMY","OTHER"))</f>
        <v>ISO</v>
      </c>
      <c r="E304" s="7">
        <f>IF(D304="ISO",VALUE(LEFT(C304,4)),IF(D304="DMY",VALUE(RIGHT(C304,4)),0))</f>
        <v>2025</v>
      </c>
      <c r="F304" s="7">
        <f>IF(D304="ISO",VALUE(MID(C304,6,2)),IF(D304="DMY",VALUE(MID(C304,4,2)),0))</f>
        <v>9</v>
      </c>
      <c r="G304" s="7">
        <f>IF(D304="ISO",VALUE(RIGHT(C304,2)),IF(D304="DMY",VALUE(LEFT(C304,2)),0))</f>
        <v>8</v>
      </c>
      <c r="H304" s="7">
        <f>IF(AND(D304&lt;&gt;"OTHER",F304&gt;=1,F304&lt;=12,G304&gt;=1,G304&lt;=31),IF(AND(MONTH(DATE(E304,F304,G304))=F304,DAY(DATE(E304,F304,G304))=G304),1,0),0)</f>
        <v>1</v>
      </c>
      <c r="I304" s="7">
        <f>IF(H304=1,DATE(E304,F304,G304),"")</f>
        <v>45908.0</v>
      </c>
      <c r="J304" s="7">
        <f>IF(AND(D304="DMY",H304=1),1,0)</f>
        <v>0</v>
      </c>
      <c r="K304" s="7">
        <f>IF(H304=0,1,0)</f>
        <v>0</v>
      </c>
      <c r="L304" s="7">
        <f>IF(TRIM(Raw_Bookings!I304&amp;"")="",1,0)</f>
        <v>0</v>
      </c>
      <c r="M304" s="7">
        <f>IF(L304=1,"",DATEVALUE(LEFT(Raw_Bookings!I304,10))+TIMEVALUE(MID(Raw_Bookings!I304,12,8)))</f>
        <v>45904.31003472222</v>
      </c>
      <c r="N304" s="7">
        <f>IF(AND(L304=0,H304=1),IF(INT(M304)&gt;I304,1,0),0)</f>
        <v>0</v>
      </c>
      <c r="O304" s="7" t="str">
        <f>UPPER(TRIM(Raw_Bookings!F304))</f>
        <v>KOL</v>
      </c>
      <c r="P304" s="7" t="str">
        <f>UPPER(TRIM(Raw_Bookings!G304))</f>
        <v>HYD</v>
      </c>
      <c r="Q304" s="7">
        <f>IF(COUNTIF(Lookup_Stations!$A$2:$A$33,O304)&gt;0,1,0)</f>
        <v>1</v>
      </c>
      <c r="R304" s="7">
        <f>IF(COUNTIF(Lookup_Stations!$A$2:$A$33,P304)&gt;0,1,0)</f>
        <v>1</v>
      </c>
      <c r="S304" s="7">
        <f>IF(OR(AND(Q304=1,NOT(EXACT(Raw_Bookings!F304,O304))),AND(R304=1,NOT(EXACT(Raw_Bookings!G304,P304)))),1,0)</f>
        <v>0</v>
      </c>
      <c r="T304" s="7">
        <f>IF(OR(Q304=0,R304=0),1,0)</f>
        <v>0</v>
      </c>
      <c r="U304" s="7">
        <f>IF(TRIM(Raw_Bookings!E304&amp;"")="",1,0)</f>
        <v>0</v>
      </c>
      <c r="V304" s="7" t="str">
        <f>IF(SUMPRODUCT(--(Lookup_Status!$A$2:$A$13=LOWER(TRIM(Raw_Bookings!K304))))=0,"",INDEX(Lookup_Status!$B$2:$B$13,SUMPRODUCT((Lookup_Status!$A$2:$A$13=LOWER(TRIM(Raw_Bookings!K304)))*(ROW(Lookup_Status!$A$2:$A$13)-1))))</f>
        <v>Confirmed</v>
      </c>
      <c r="W304" s="7">
        <f>IF(AND(V304&lt;&gt;"",NOT(EXACT(Raw_Bookings!K304,V304))),1,0)</f>
        <v>0</v>
      </c>
      <c r="X304" s="7">
        <f>IF(V304="",1,0)</f>
        <v>0</v>
      </c>
      <c r="Y304" s="7">
        <f>IF(TRIM(Raw_Bookings!L304&amp;"")="",1,0)</f>
        <v>0</v>
      </c>
      <c r="Z304" s="7">
        <f>IF(AND(ISTEXT(Raw_Bookings!L304),Y304=0),1,0)</f>
        <v>0</v>
      </c>
      <c r="AA304" s="7">
        <f>IF(Z304=1,IFERROR(VALUE(SUBSTITUTE(SUBSTITUTE(SUBSTITUTE(SUBSTITUTE(SUBSTITUTE(UPPER(Raw_Bookings!L304),"RS.",""),"₹",""),",","")," ",""),"INR","")),""),"")</f>
        <v/>
      </c>
      <c r="AB304" s="7">
        <f>IF(AND(Z304=1,ISNUMBER(AA304)),1,0)</f>
        <v>0</v>
      </c>
      <c r="AC304" s="7">
        <f>IF(B304=1,0,IF(NOT(ISNUMBER(Raw_Bookings!J304)),1,IF(Raw_Bookings!J304&lt;&gt;COUNTIFS(Work_Passengers!$B$2:$B$1336,Raw_Bookings!A304,Work_Passengers!$C$2:$C$1336,0),1,0)))</f>
        <v>0</v>
      </c>
    </row>
    <row r="305" spans="1:29">
      <c r="A305" s="7">
        <f>Raw_Bookings!A305</f>
        <v>1104744</v>
      </c>
      <c r="B305" s="7">
        <f>IF(COUNTIF(Raw_Bookings!$A$2:A305,Raw_Bookings!A305)&gt;1,1,0)</f>
        <v>0</v>
      </c>
      <c r="C305" s="7" t="str">
        <f>Raw_Bookings!D305&amp;""</f>
        <v>2025-09-28</v>
      </c>
      <c r="D305" s="7" t="str">
        <f>IF(AND(LEN(C305)=10,MID(C305,5,1)="-",MID(C305,8,1)="-"),"ISO",IF(AND(LEN(C305)=10,MID(C305,3,1)="-",MID(C305,6,1)="-"),"DMY","OTHER"))</f>
        <v>ISO</v>
      </c>
      <c r="E305" s="7">
        <f>IF(D305="ISO",VALUE(LEFT(C305,4)),IF(D305="DMY",VALUE(RIGHT(C305,4)),0))</f>
        <v>2025</v>
      </c>
      <c r="F305" s="7">
        <f>IF(D305="ISO",VALUE(MID(C305,6,2)),IF(D305="DMY",VALUE(MID(C305,4,2)),0))</f>
        <v>9</v>
      </c>
      <c r="G305" s="7">
        <f>IF(D305="ISO",VALUE(RIGHT(C305,2)),IF(D305="DMY",VALUE(LEFT(C305,2)),0))</f>
        <v>28</v>
      </c>
      <c r="H305" s="7">
        <f>IF(AND(D305&lt;&gt;"OTHER",F305&gt;=1,F305&lt;=12,G305&gt;=1,G305&lt;=31),IF(AND(MONTH(DATE(E305,F305,G305))=F305,DAY(DATE(E305,F305,G305))=G305),1,0),0)</f>
        <v>1</v>
      </c>
      <c r="I305" s="7">
        <f>IF(H305=1,DATE(E305,F305,G305),"")</f>
        <v>45928.0</v>
      </c>
      <c r="J305" s="7">
        <f>IF(AND(D305="DMY",H305=1),1,0)</f>
        <v>0</v>
      </c>
      <c r="K305" s="7">
        <f>IF(H305=0,1,0)</f>
        <v>0</v>
      </c>
      <c r="L305" s="7">
        <f>IF(TRIM(Raw_Bookings!I305&amp;"")="",1,0)</f>
        <v>0</v>
      </c>
      <c r="M305" s="7">
        <f>IF(L305=1,"",DATEVALUE(LEFT(Raw_Bookings!I305,10))+TIMEVALUE(MID(Raw_Bookings!I305,12,8)))</f>
        <v>45904.40001157407</v>
      </c>
      <c r="N305" s="7">
        <f>IF(AND(L305=0,H305=1),IF(INT(M305)&gt;I305,1,0),0)</f>
        <v>0</v>
      </c>
      <c r="O305" s="7" t="str">
        <f>UPPER(TRIM(Raw_Bookings!F305))</f>
        <v>THI</v>
      </c>
      <c r="P305" s="7" t="str">
        <f>UPPER(TRIM(Raw_Bookings!G305))</f>
        <v>NAG</v>
      </c>
      <c r="Q305" s="7">
        <f>IF(COUNTIF(Lookup_Stations!$A$2:$A$33,O305)&gt;0,1,0)</f>
        <v>1</v>
      </c>
      <c r="R305" s="7">
        <f>IF(COUNTIF(Lookup_Stations!$A$2:$A$33,P305)&gt;0,1,0)</f>
        <v>1</v>
      </c>
      <c r="S305" s="7">
        <f>IF(OR(AND(Q305=1,NOT(EXACT(Raw_Bookings!F305,O305))),AND(R305=1,NOT(EXACT(Raw_Bookings!G305,P305)))),1,0)</f>
        <v>0</v>
      </c>
      <c r="T305" s="7">
        <f>IF(OR(Q305=0,R305=0),1,0)</f>
        <v>0</v>
      </c>
      <c r="U305" s="7">
        <f>IF(TRIM(Raw_Bookings!E305&amp;"")="",1,0)</f>
        <v>0</v>
      </c>
      <c r="V305" s="7" t="str">
        <f>IF(SUMPRODUCT(--(Lookup_Status!$A$2:$A$13=LOWER(TRIM(Raw_Bookings!K305))))=0,"",INDEX(Lookup_Status!$B$2:$B$13,SUMPRODUCT((Lookup_Status!$A$2:$A$13=LOWER(TRIM(Raw_Bookings!K305)))*(ROW(Lookup_Status!$A$2:$A$13)-1))))</f>
        <v>Confirmed</v>
      </c>
      <c r="W305" s="7">
        <f>IF(AND(V305&lt;&gt;"",NOT(EXACT(Raw_Bookings!K305,V305))),1,0)</f>
        <v>0</v>
      </c>
      <c r="X305" s="7">
        <f>IF(V305="",1,0)</f>
        <v>0</v>
      </c>
      <c r="Y305" s="7">
        <f>IF(TRIM(Raw_Bookings!L305&amp;"")="",1,0)</f>
        <v>0</v>
      </c>
      <c r="Z305" s="7">
        <f>IF(AND(ISTEXT(Raw_Bookings!L305),Y305=0),1,0)</f>
        <v>0</v>
      </c>
      <c r="AA305" s="7">
        <f>IF(Z305=1,IFERROR(VALUE(SUBSTITUTE(SUBSTITUTE(SUBSTITUTE(SUBSTITUTE(SUBSTITUTE(UPPER(Raw_Bookings!L305),"RS.",""),"₹",""),",","")," ",""),"INR","")),""),"")</f>
        <v/>
      </c>
      <c r="AB305" s="7">
        <f>IF(AND(Z305=1,ISNUMBER(AA305)),1,0)</f>
        <v>0</v>
      </c>
      <c r="AC305" s="7">
        <f>IF(B305=1,0,IF(NOT(ISNUMBER(Raw_Bookings!J305)),1,IF(Raw_Bookings!J305&lt;&gt;COUNTIFS(Work_Passengers!$B$2:$B$1336,Raw_Bookings!A305,Work_Passengers!$C$2:$C$1336,0),1,0)))</f>
        <v>0</v>
      </c>
    </row>
    <row r="306" spans="1:29">
      <c r="A306" s="7">
        <f>Raw_Bookings!A306</f>
        <v>1105012</v>
      </c>
      <c r="B306" s="7">
        <f>IF(COUNTIF(Raw_Bookings!$A$2:A306,Raw_Bookings!A306)&gt;1,1,0)</f>
        <v>0</v>
      </c>
      <c r="C306" s="7" t="str">
        <f>Raw_Bookings!D306&amp;""</f>
        <v>2025-09-17</v>
      </c>
      <c r="D306" s="7" t="str">
        <f>IF(AND(LEN(C306)=10,MID(C306,5,1)="-",MID(C306,8,1)="-"),"ISO",IF(AND(LEN(C306)=10,MID(C306,3,1)="-",MID(C306,6,1)="-"),"DMY","OTHER"))</f>
        <v>ISO</v>
      </c>
      <c r="E306" s="7">
        <f>IF(D306="ISO",VALUE(LEFT(C306,4)),IF(D306="DMY",VALUE(RIGHT(C306,4)),0))</f>
        <v>2025</v>
      </c>
      <c r="F306" s="7">
        <f>IF(D306="ISO",VALUE(MID(C306,6,2)),IF(D306="DMY",VALUE(MID(C306,4,2)),0))</f>
        <v>9</v>
      </c>
      <c r="G306" s="7">
        <f>IF(D306="ISO",VALUE(RIGHT(C306,2)),IF(D306="DMY",VALUE(LEFT(C306,2)),0))</f>
        <v>17</v>
      </c>
      <c r="H306" s="7">
        <f>IF(AND(D306&lt;&gt;"OTHER",F306&gt;=1,F306&lt;=12,G306&gt;=1,G306&lt;=31),IF(AND(MONTH(DATE(E306,F306,G306))=F306,DAY(DATE(E306,F306,G306))=G306),1,0),0)</f>
        <v>1</v>
      </c>
      <c r="I306" s="7">
        <f>IF(H306=1,DATE(E306,F306,G306),"")</f>
        <v>45917.0</v>
      </c>
      <c r="J306" s="7">
        <f>IF(AND(D306="DMY",H306=1),1,0)</f>
        <v>0</v>
      </c>
      <c r="K306" s="7">
        <f>IF(H306=0,1,0)</f>
        <v>0</v>
      </c>
      <c r="L306" s="7">
        <f>IF(TRIM(Raw_Bookings!I306&amp;"")="",1,0)</f>
        <v>0</v>
      </c>
      <c r="M306" s="7">
        <f>IF(L306=1,"",DATEVALUE(LEFT(Raw_Bookings!I306,10))+TIMEVALUE(MID(Raw_Bookings!I306,12,8)))</f>
        <v>45905.35693287037</v>
      </c>
      <c r="N306" s="7">
        <f>IF(AND(L306=0,H306=1),IF(INT(M306)&gt;I306,1,0),0)</f>
        <v>0</v>
      </c>
      <c r="O306" s="7" t="str">
        <f>UPPER(TRIM(Raw_Bookings!F306))</f>
        <v>BEN</v>
      </c>
      <c r="P306" s="7" t="str">
        <f>UPPER(TRIM(Raw_Bookings!G306))</f>
        <v>MUM</v>
      </c>
      <c r="Q306" s="7">
        <f>IF(COUNTIF(Lookup_Stations!$A$2:$A$33,O306)&gt;0,1,0)</f>
        <v>1</v>
      </c>
      <c r="R306" s="7">
        <f>IF(COUNTIF(Lookup_Stations!$A$2:$A$33,P306)&gt;0,1,0)</f>
        <v>1</v>
      </c>
      <c r="S306" s="7">
        <f>IF(OR(AND(Q306=1,NOT(EXACT(Raw_Bookings!F306,O306))),AND(R306=1,NOT(EXACT(Raw_Bookings!G306,P306)))),1,0)</f>
        <v>0</v>
      </c>
      <c r="T306" s="7">
        <f>IF(OR(Q306=0,R306=0),1,0)</f>
        <v>0</v>
      </c>
      <c r="U306" s="7">
        <f>IF(TRIM(Raw_Bookings!E306&amp;"")="",1,0)</f>
        <v>0</v>
      </c>
      <c r="V306" s="7" t="str">
        <f>IF(SUMPRODUCT(--(Lookup_Status!$A$2:$A$13=LOWER(TRIM(Raw_Bookings!K306))))=0,"",INDEX(Lookup_Status!$B$2:$B$13,SUMPRODUCT((Lookup_Status!$A$2:$A$13=LOWER(TRIM(Raw_Bookings!K306)))*(ROW(Lookup_Status!$A$2:$A$13)-1))))</f>
        <v>Waitlisted</v>
      </c>
      <c r="W306" s="7">
        <f>IF(AND(V306&lt;&gt;"",NOT(EXACT(Raw_Bookings!K306,V306))),1,0)</f>
        <v>0</v>
      </c>
      <c r="X306" s="7">
        <f>IF(V306="",1,0)</f>
        <v>0</v>
      </c>
      <c r="Y306" s="7">
        <f>IF(TRIM(Raw_Bookings!L306&amp;"")="",1,0)</f>
        <v>0</v>
      </c>
      <c r="Z306" s="7">
        <f>IF(AND(ISTEXT(Raw_Bookings!L306),Y306=0),1,0)</f>
        <v>0</v>
      </c>
      <c r="AA306" s="7">
        <f>IF(Z306=1,IFERROR(VALUE(SUBSTITUTE(SUBSTITUTE(SUBSTITUTE(SUBSTITUTE(SUBSTITUTE(UPPER(Raw_Bookings!L306),"RS.",""),"₹",""),",","")," ",""),"INR","")),""),"")</f>
        <v/>
      </c>
      <c r="AB306" s="7">
        <f>IF(AND(Z306=1,ISNUMBER(AA306)),1,0)</f>
        <v>0</v>
      </c>
      <c r="AC306" s="7">
        <f>IF(B306=1,0,IF(NOT(ISNUMBER(Raw_Bookings!J306)),1,IF(Raw_Bookings!J306&lt;&gt;COUNTIFS(Work_Passengers!$B$2:$B$1336,Raw_Bookings!A306,Work_Passengers!$C$2:$C$1336,0),1,0)))</f>
        <v>0</v>
      </c>
    </row>
    <row r="307" spans="1:29">
      <c r="A307" s="7">
        <f>Raw_Bookings!A307</f>
        <v>1105429</v>
      </c>
      <c r="B307" s="7">
        <f>IF(COUNTIF(Raw_Bookings!$A$2:A307,Raw_Bookings!A307)&gt;1,1,0)</f>
        <v>0</v>
      </c>
      <c r="C307" s="7" t="str">
        <f>Raw_Bookings!D307&amp;""</f>
        <v>2025-09-09</v>
      </c>
      <c r="D307" s="7" t="str">
        <f>IF(AND(LEN(C307)=10,MID(C307,5,1)="-",MID(C307,8,1)="-"),"ISO",IF(AND(LEN(C307)=10,MID(C307,3,1)="-",MID(C307,6,1)="-"),"DMY","OTHER"))</f>
        <v>ISO</v>
      </c>
      <c r="E307" s="7">
        <f>IF(D307="ISO",VALUE(LEFT(C307,4)),IF(D307="DMY",VALUE(RIGHT(C307,4)),0))</f>
        <v>2025</v>
      </c>
      <c r="F307" s="7">
        <f>IF(D307="ISO",VALUE(MID(C307,6,2)),IF(D307="DMY",VALUE(MID(C307,4,2)),0))</f>
        <v>9</v>
      </c>
      <c r="G307" s="7">
        <f>IF(D307="ISO",VALUE(RIGHT(C307,2)),IF(D307="DMY",VALUE(LEFT(C307,2)),0))</f>
        <v>9</v>
      </c>
      <c r="H307" s="7">
        <f>IF(AND(D307&lt;&gt;"OTHER",F307&gt;=1,F307&lt;=12,G307&gt;=1,G307&lt;=31),IF(AND(MONTH(DATE(E307,F307,G307))=F307,DAY(DATE(E307,F307,G307))=G307),1,0),0)</f>
        <v>1</v>
      </c>
      <c r="I307" s="7">
        <f>IF(H307=1,DATE(E307,F307,G307),"")</f>
        <v>45909.0</v>
      </c>
      <c r="J307" s="7">
        <f>IF(AND(D307="DMY",H307=1),1,0)</f>
        <v>0</v>
      </c>
      <c r="K307" s="7">
        <f>IF(H307=0,1,0)</f>
        <v>0</v>
      </c>
      <c r="L307" s="7">
        <f>IF(TRIM(Raw_Bookings!I307&amp;"")="",1,0)</f>
        <v>0</v>
      </c>
      <c r="M307" s="7">
        <f>IF(L307=1,"",DATEVALUE(LEFT(Raw_Bookings!I307,10))+TIMEVALUE(MID(Raw_Bookings!I307,12,8)))</f>
        <v>45906.7241087963</v>
      </c>
      <c r="N307" s="7">
        <f>IF(AND(L307=0,H307=1),IF(INT(M307)&gt;I307,1,0),0)</f>
        <v>0</v>
      </c>
      <c r="O307" s="7" t="str">
        <f>UPPER(TRIM(Raw_Bookings!F307))</f>
        <v>BHO</v>
      </c>
      <c r="P307" s="7" t="str">
        <f>UPPER(TRIM(Raw_Bookings!G307))</f>
        <v>JAI</v>
      </c>
      <c r="Q307" s="7">
        <f>IF(COUNTIF(Lookup_Stations!$A$2:$A$33,O307)&gt;0,1,0)</f>
        <v>1</v>
      </c>
      <c r="R307" s="7">
        <f>IF(COUNTIF(Lookup_Stations!$A$2:$A$33,P307)&gt;0,1,0)</f>
        <v>1</v>
      </c>
      <c r="S307" s="7">
        <f>IF(OR(AND(Q307=1,NOT(EXACT(Raw_Bookings!F307,O307))),AND(R307=1,NOT(EXACT(Raw_Bookings!G307,P307)))),1,0)</f>
        <v>0</v>
      </c>
      <c r="T307" s="7">
        <f>IF(OR(Q307=0,R307=0),1,0)</f>
        <v>0</v>
      </c>
      <c r="U307" s="7">
        <f>IF(TRIM(Raw_Bookings!E307&amp;"")="",1,0)</f>
        <v>0</v>
      </c>
      <c r="V307" s="7" t="str">
        <f>IF(SUMPRODUCT(--(Lookup_Status!$A$2:$A$13=LOWER(TRIM(Raw_Bookings!K307))))=0,"",INDEX(Lookup_Status!$B$2:$B$13,SUMPRODUCT((Lookup_Status!$A$2:$A$13=LOWER(TRIM(Raw_Bookings!K307)))*(ROW(Lookup_Status!$A$2:$A$13)-1))))</f>
        <v>Confirmed</v>
      </c>
      <c r="W307" s="7">
        <f>IF(AND(V307&lt;&gt;"",NOT(EXACT(Raw_Bookings!K307,V307))),1,0)</f>
        <v>0</v>
      </c>
      <c r="X307" s="7">
        <f>IF(V307="",1,0)</f>
        <v>0</v>
      </c>
      <c r="Y307" s="7">
        <f>IF(TRIM(Raw_Bookings!L307&amp;"")="",1,0)</f>
        <v>0</v>
      </c>
      <c r="Z307" s="7">
        <f>IF(AND(ISTEXT(Raw_Bookings!L307),Y307=0),1,0)</f>
        <v>0</v>
      </c>
      <c r="AA307" s="7">
        <f>IF(Z307=1,IFERROR(VALUE(SUBSTITUTE(SUBSTITUTE(SUBSTITUTE(SUBSTITUTE(SUBSTITUTE(UPPER(Raw_Bookings!L307),"RS.",""),"₹",""),",","")," ",""),"INR","")),""),"")</f>
        <v/>
      </c>
      <c r="AB307" s="7">
        <f>IF(AND(Z307=1,ISNUMBER(AA307)),1,0)</f>
        <v>0</v>
      </c>
      <c r="AC307" s="7">
        <f>IF(B307=1,0,IF(NOT(ISNUMBER(Raw_Bookings!J307)),1,IF(Raw_Bookings!J307&lt;&gt;COUNTIFS(Work_Passengers!$B$2:$B$1336,Raw_Bookings!A307,Work_Passengers!$C$2:$C$1336,0),1,0)))</f>
        <v>0</v>
      </c>
    </row>
    <row r="308" spans="1:29">
      <c r="A308" s="7">
        <f>Raw_Bookings!A308</f>
        <v>1105494</v>
      </c>
      <c r="B308" s="7">
        <f>IF(COUNTIF(Raw_Bookings!$A$2:A308,Raw_Bookings!A308)&gt;1,1,0)</f>
        <v>0</v>
      </c>
      <c r="C308" s="7" t="str">
        <f>Raw_Bookings!D308&amp;""</f>
        <v>2025-04-31</v>
      </c>
      <c r="D308" s="7" t="str">
        <f>IF(AND(LEN(C308)=10,MID(C308,5,1)="-",MID(C308,8,1)="-"),"ISO",IF(AND(LEN(C308)=10,MID(C308,3,1)="-",MID(C308,6,1)="-"),"DMY","OTHER"))</f>
        <v>ISO</v>
      </c>
      <c r="E308" s="7">
        <f>IF(D308="ISO",VALUE(LEFT(C308,4)),IF(D308="DMY",VALUE(RIGHT(C308,4)),0))</f>
        <v>2025</v>
      </c>
      <c r="F308" s="7">
        <f>IF(D308="ISO",VALUE(MID(C308,6,2)),IF(D308="DMY",VALUE(MID(C308,4,2)),0))</f>
        <v>4</v>
      </c>
      <c r="G308" s="7">
        <f>IF(D308="ISO",VALUE(RIGHT(C308,2)),IF(D308="DMY",VALUE(LEFT(C308,2)),0))</f>
        <v>31</v>
      </c>
      <c r="H308" s="7">
        <f>IF(AND(D308&lt;&gt;"OTHER",F308&gt;=1,F308&lt;=12,G308&gt;=1,G308&lt;=31),IF(AND(MONTH(DATE(E308,F308,G308))=F308,DAY(DATE(E308,F308,G308))=G308),1,0),0)</f>
        <v>0</v>
      </c>
      <c r="I308" s="7">
        <f>IF(H308=1,DATE(E308,F308,G308),"")</f>
        <v/>
      </c>
      <c r="J308" s="7">
        <f>IF(AND(D308="DMY",H308=1),1,0)</f>
        <v>0</v>
      </c>
      <c r="K308" s="7">
        <f>IF(H308=0,1,0)</f>
        <v>1</v>
      </c>
      <c r="L308" s="7">
        <f>IF(TRIM(Raw_Bookings!I308&amp;"")="",1,0)</f>
        <v>0</v>
      </c>
      <c r="M308" s="7">
        <f>IF(L308=1,"",DATEVALUE(LEFT(Raw_Bookings!I308,10))+TIMEVALUE(MID(Raw_Bookings!I308,12,8)))</f>
        <v>45906.872824074075</v>
      </c>
      <c r="N308" s="7">
        <f>IF(AND(L308=0,H308=1),IF(INT(M308)&gt;I308,1,0),0)</f>
        <v>0</v>
      </c>
      <c r="O308" s="7" t="str">
        <f>UPPER(TRIM(Raw_Bookings!F308))</f>
        <v>DIB</v>
      </c>
      <c r="P308" s="7" t="str">
        <f>UPPER(TRIM(Raw_Bookings!G308))</f>
        <v>DEL</v>
      </c>
      <c r="Q308" s="7">
        <f>IF(COUNTIF(Lookup_Stations!$A$2:$A$33,O308)&gt;0,1,0)</f>
        <v>1</v>
      </c>
      <c r="R308" s="7">
        <f>IF(COUNTIF(Lookup_Stations!$A$2:$A$33,P308)&gt;0,1,0)</f>
        <v>1</v>
      </c>
      <c r="S308" s="7">
        <f>IF(OR(AND(Q308=1,NOT(EXACT(Raw_Bookings!F308,O308))),AND(R308=1,NOT(EXACT(Raw_Bookings!G308,P308)))),1,0)</f>
        <v>0</v>
      </c>
      <c r="T308" s="7">
        <f>IF(OR(Q308=0,R308=0),1,0)</f>
        <v>0</v>
      </c>
      <c r="U308" s="7">
        <f>IF(TRIM(Raw_Bookings!E308&amp;"")="",1,0)</f>
        <v>0</v>
      </c>
      <c r="V308" s="7" t="str">
        <f>IF(SUMPRODUCT(--(Lookup_Status!$A$2:$A$13=LOWER(TRIM(Raw_Bookings!K308))))=0,"",INDEX(Lookup_Status!$B$2:$B$13,SUMPRODUCT((Lookup_Status!$A$2:$A$13=LOWER(TRIM(Raw_Bookings!K308)))*(ROW(Lookup_Status!$A$2:$A$13)-1))))</f>
        <v>Confirmed</v>
      </c>
      <c r="W308" s="7">
        <f>IF(AND(V308&lt;&gt;"",NOT(EXACT(Raw_Bookings!K308,V308))),1,0)</f>
        <v>0</v>
      </c>
      <c r="X308" s="7">
        <f>IF(V308="",1,0)</f>
        <v>0</v>
      </c>
      <c r="Y308" s="7">
        <f>IF(TRIM(Raw_Bookings!L308&amp;"")="",1,0)</f>
        <v>0</v>
      </c>
      <c r="Z308" s="7">
        <f>IF(AND(ISTEXT(Raw_Bookings!L308),Y308=0),1,0)</f>
        <v>0</v>
      </c>
      <c r="AA308" s="7">
        <f>IF(Z308=1,IFERROR(VALUE(SUBSTITUTE(SUBSTITUTE(SUBSTITUTE(SUBSTITUTE(SUBSTITUTE(UPPER(Raw_Bookings!L308),"RS.",""),"₹",""),",","")," ",""),"INR","")),""),"")</f>
        <v/>
      </c>
      <c r="AB308" s="7">
        <f>IF(AND(Z308=1,ISNUMBER(AA308)),1,0)</f>
        <v>0</v>
      </c>
      <c r="AC308" s="7">
        <f>IF(B308=1,0,IF(NOT(ISNUMBER(Raw_Bookings!J308)),1,IF(Raw_Bookings!J308&lt;&gt;COUNTIFS(Work_Passengers!$B$2:$B$1336,Raw_Bookings!A308,Work_Passengers!$C$2:$C$1336,0),1,0)))</f>
        <v>0</v>
      </c>
    </row>
    <row r="309" spans="1:29">
      <c r="A309" s="7">
        <f>Raw_Bookings!A309</f>
        <v>1105849</v>
      </c>
      <c r="B309" s="7">
        <f>IF(COUNTIF(Raw_Bookings!$A$2:A309,Raw_Bookings!A309)&gt;1,1,0)</f>
        <v>0</v>
      </c>
      <c r="C309" s="7" t="str">
        <f>Raw_Bookings!D309&amp;""</f>
        <v>2025-09-18</v>
      </c>
      <c r="D309" s="7" t="str">
        <f>IF(AND(LEN(C309)=10,MID(C309,5,1)="-",MID(C309,8,1)="-"),"ISO",IF(AND(LEN(C309)=10,MID(C309,3,1)="-",MID(C309,6,1)="-"),"DMY","OTHER"))</f>
        <v>ISO</v>
      </c>
      <c r="E309" s="7">
        <f>IF(D309="ISO",VALUE(LEFT(C309,4)),IF(D309="DMY",VALUE(RIGHT(C309,4)),0))</f>
        <v>2025</v>
      </c>
      <c r="F309" s="7">
        <f>IF(D309="ISO",VALUE(MID(C309,6,2)),IF(D309="DMY",VALUE(MID(C309,4,2)),0))</f>
        <v>9</v>
      </c>
      <c r="G309" s="7">
        <f>IF(D309="ISO",VALUE(RIGHT(C309,2)),IF(D309="DMY",VALUE(LEFT(C309,2)),0))</f>
        <v>18</v>
      </c>
      <c r="H309" s="7">
        <f>IF(AND(D309&lt;&gt;"OTHER",F309&gt;=1,F309&lt;=12,G309&gt;=1,G309&lt;=31),IF(AND(MONTH(DATE(E309,F309,G309))=F309,DAY(DATE(E309,F309,G309))=G309),1,0),0)</f>
        <v>1</v>
      </c>
      <c r="I309" s="7">
        <f>IF(H309=1,DATE(E309,F309,G309),"")</f>
        <v>45918.0</v>
      </c>
      <c r="J309" s="7">
        <f>IF(AND(D309="DMY",H309=1),1,0)</f>
        <v>0</v>
      </c>
      <c r="K309" s="7">
        <f>IF(H309=0,1,0)</f>
        <v>0</v>
      </c>
      <c r="L309" s="7">
        <f>IF(TRIM(Raw_Bookings!I309&amp;"")="",1,0)</f>
        <v>0</v>
      </c>
      <c r="M309" s="7">
        <f>IF(L309=1,"",DATEVALUE(LEFT(Raw_Bookings!I309,10))+TIMEVALUE(MID(Raw_Bookings!I309,12,8)))</f>
        <v>45908.105717592596</v>
      </c>
      <c r="N309" s="7">
        <f>IF(AND(L309=0,H309=1),IF(INT(M309)&gt;I309,1,0),0)</f>
        <v>0</v>
      </c>
      <c r="O309" s="7" t="str">
        <f>UPPER(TRIM(Raw_Bookings!F309))</f>
        <v>AMR</v>
      </c>
      <c r="P309" s="7" t="str">
        <f>UPPER(TRIM(Raw_Bookings!G309))</f>
        <v>IND</v>
      </c>
      <c r="Q309" s="7">
        <f>IF(COUNTIF(Lookup_Stations!$A$2:$A$33,O309)&gt;0,1,0)</f>
        <v>1</v>
      </c>
      <c r="R309" s="7">
        <f>IF(COUNTIF(Lookup_Stations!$A$2:$A$33,P309)&gt;0,1,0)</f>
        <v>1</v>
      </c>
      <c r="S309" s="7">
        <f>IF(OR(AND(Q309=1,NOT(EXACT(Raw_Bookings!F309,O309))),AND(R309=1,NOT(EXACT(Raw_Bookings!G309,P309)))),1,0)</f>
        <v>0</v>
      </c>
      <c r="T309" s="7">
        <f>IF(OR(Q309=0,R309=0),1,0)</f>
        <v>0</v>
      </c>
      <c r="U309" s="7">
        <f>IF(TRIM(Raw_Bookings!E309&amp;"")="",1,0)</f>
        <v>0</v>
      </c>
      <c r="V309" s="7" t="str">
        <f>IF(SUMPRODUCT(--(Lookup_Status!$A$2:$A$13=LOWER(TRIM(Raw_Bookings!K309))))=0,"",INDEX(Lookup_Status!$B$2:$B$13,SUMPRODUCT((Lookup_Status!$A$2:$A$13=LOWER(TRIM(Raw_Bookings!K309)))*(ROW(Lookup_Status!$A$2:$A$13)-1))))</f>
        <v>Confirmed</v>
      </c>
      <c r="W309" s="7">
        <f>IF(AND(V309&lt;&gt;"",NOT(EXACT(Raw_Bookings!K309,V309))),1,0)</f>
        <v>0</v>
      </c>
      <c r="X309" s="7">
        <f>IF(V309="",1,0)</f>
        <v>0</v>
      </c>
      <c r="Y309" s="7">
        <f>IF(TRIM(Raw_Bookings!L309&amp;"")="",1,0)</f>
        <v>0</v>
      </c>
      <c r="Z309" s="7">
        <f>IF(AND(ISTEXT(Raw_Bookings!L309),Y309=0),1,0)</f>
        <v>0</v>
      </c>
      <c r="AA309" s="7">
        <f>IF(Z309=1,IFERROR(VALUE(SUBSTITUTE(SUBSTITUTE(SUBSTITUTE(SUBSTITUTE(SUBSTITUTE(UPPER(Raw_Bookings!L309),"RS.",""),"₹",""),",","")," ",""),"INR","")),""),"")</f>
        <v/>
      </c>
      <c r="AB309" s="7">
        <f>IF(AND(Z309=1,ISNUMBER(AA309)),1,0)</f>
        <v>0</v>
      </c>
      <c r="AC309" s="7">
        <f>IF(B309=1,0,IF(NOT(ISNUMBER(Raw_Bookings!J309)),1,IF(Raw_Bookings!J309&lt;&gt;COUNTIFS(Work_Passengers!$B$2:$B$1336,Raw_Bookings!A309,Work_Passengers!$C$2:$C$1336,0),1,0)))</f>
        <v>0</v>
      </c>
    </row>
    <row r="310" spans="1:29">
      <c r="A310" s="7">
        <f>Raw_Bookings!A310</f>
        <v>1106173</v>
      </c>
      <c r="B310" s="7">
        <f>IF(COUNTIF(Raw_Bookings!$A$2:A310,Raw_Bookings!A310)&gt;1,1,0)</f>
        <v>0</v>
      </c>
      <c r="C310" s="7" t="str">
        <f>Raw_Bookings!D310&amp;""</f>
        <v>2025-09-15</v>
      </c>
      <c r="D310" s="7" t="str">
        <f>IF(AND(LEN(C310)=10,MID(C310,5,1)="-",MID(C310,8,1)="-"),"ISO",IF(AND(LEN(C310)=10,MID(C310,3,1)="-",MID(C310,6,1)="-"),"DMY","OTHER"))</f>
        <v>ISO</v>
      </c>
      <c r="E310" s="7">
        <f>IF(D310="ISO",VALUE(LEFT(C310,4)),IF(D310="DMY",VALUE(RIGHT(C310,4)),0))</f>
        <v>2025</v>
      </c>
      <c r="F310" s="7">
        <f>IF(D310="ISO",VALUE(MID(C310,6,2)),IF(D310="DMY",VALUE(MID(C310,4,2)),0))</f>
        <v>9</v>
      </c>
      <c r="G310" s="7">
        <f>IF(D310="ISO",VALUE(RIGHT(C310,2)),IF(D310="DMY",VALUE(LEFT(C310,2)),0))</f>
        <v>15</v>
      </c>
      <c r="H310" s="7">
        <f>IF(AND(D310&lt;&gt;"OTHER",F310&gt;=1,F310&lt;=12,G310&gt;=1,G310&lt;=31),IF(AND(MONTH(DATE(E310,F310,G310))=F310,DAY(DATE(E310,F310,G310))=G310),1,0),0)</f>
        <v>1</v>
      </c>
      <c r="I310" s="7">
        <f>IF(H310=1,DATE(E310,F310,G310),"")</f>
        <v>45915.0</v>
      </c>
      <c r="J310" s="7">
        <f>IF(AND(D310="DMY",H310=1),1,0)</f>
        <v>0</v>
      </c>
      <c r="K310" s="7">
        <f>IF(H310=0,1,0)</f>
        <v>0</v>
      </c>
      <c r="L310" s="7">
        <f>IF(TRIM(Raw_Bookings!I310&amp;"")="",1,0)</f>
        <v>0</v>
      </c>
      <c r="M310" s="7">
        <f>IF(L310=1,"",DATEVALUE(LEFT(Raw_Bookings!I310,10))+TIMEVALUE(MID(Raw_Bookings!I310,12,8)))</f>
        <v>45909.37184027778</v>
      </c>
      <c r="N310" s="7">
        <f>IF(AND(L310=0,H310=1),IF(INT(M310)&gt;I310,1,0),0)</f>
        <v>0</v>
      </c>
      <c r="O310" s="7" t="str">
        <f>UPPER(TRIM(Raw_Bookings!F310))</f>
        <v>LUC</v>
      </c>
      <c r="P310" s="7" t="str">
        <f>UPPER(TRIM(Raw_Bookings!G310))</f>
        <v>MUM</v>
      </c>
      <c r="Q310" s="7">
        <f>IF(COUNTIF(Lookup_Stations!$A$2:$A$33,O310)&gt;0,1,0)</f>
        <v>1</v>
      </c>
      <c r="R310" s="7">
        <f>IF(COUNTIF(Lookup_Stations!$A$2:$A$33,P310)&gt;0,1,0)</f>
        <v>1</v>
      </c>
      <c r="S310" s="7">
        <f>IF(OR(AND(Q310=1,NOT(EXACT(Raw_Bookings!F310,O310))),AND(R310=1,NOT(EXACT(Raw_Bookings!G310,P310)))),1,0)</f>
        <v>0</v>
      </c>
      <c r="T310" s="7">
        <f>IF(OR(Q310=0,R310=0),1,0)</f>
        <v>0</v>
      </c>
      <c r="U310" s="7">
        <f>IF(TRIM(Raw_Bookings!E310&amp;"")="",1,0)</f>
        <v>0</v>
      </c>
      <c r="V310" s="7" t="str">
        <f>IF(SUMPRODUCT(--(Lookup_Status!$A$2:$A$13=LOWER(TRIM(Raw_Bookings!K310))))=0,"",INDEX(Lookup_Status!$B$2:$B$13,SUMPRODUCT((Lookup_Status!$A$2:$A$13=LOWER(TRIM(Raw_Bookings!K310)))*(ROW(Lookup_Status!$A$2:$A$13)-1))))</f>
        <v>Waitlisted</v>
      </c>
      <c r="W310" s="7">
        <f>IF(AND(V310&lt;&gt;"",NOT(EXACT(Raw_Bookings!K310,V310))),1,0)</f>
        <v>0</v>
      </c>
      <c r="X310" s="7">
        <f>IF(V310="",1,0)</f>
        <v>0</v>
      </c>
      <c r="Y310" s="7">
        <f>IF(TRIM(Raw_Bookings!L310&amp;"")="",1,0)</f>
        <v>0</v>
      </c>
      <c r="Z310" s="7">
        <f>IF(AND(ISTEXT(Raw_Bookings!L310),Y310=0),1,0)</f>
        <v>0</v>
      </c>
      <c r="AA310" s="7">
        <f>IF(Z310=1,IFERROR(VALUE(SUBSTITUTE(SUBSTITUTE(SUBSTITUTE(SUBSTITUTE(SUBSTITUTE(UPPER(Raw_Bookings!L310),"RS.",""),"₹",""),",","")," ",""),"INR","")),""),"")</f>
        <v/>
      </c>
      <c r="AB310" s="7">
        <f>IF(AND(Z310=1,ISNUMBER(AA310)),1,0)</f>
        <v>0</v>
      </c>
      <c r="AC310" s="7">
        <f>IF(B310=1,0,IF(NOT(ISNUMBER(Raw_Bookings!J310)),1,IF(Raw_Bookings!J310&lt;&gt;COUNTIFS(Work_Passengers!$B$2:$B$1336,Raw_Bookings!A310,Work_Passengers!$C$2:$C$1336,0),1,0)))</f>
        <v>0</v>
      </c>
    </row>
    <row r="311" spans="1:29">
      <c r="A311" s="7">
        <f>Raw_Bookings!A311</f>
        <v>1106210</v>
      </c>
      <c r="B311" s="7">
        <f>IF(COUNTIF(Raw_Bookings!$A$2:A311,Raw_Bookings!A311)&gt;1,1,0)</f>
        <v>0</v>
      </c>
      <c r="C311" s="7" t="str">
        <f>Raw_Bookings!D311&amp;""</f>
        <v>2025-09-18</v>
      </c>
      <c r="D311" s="7" t="str">
        <f>IF(AND(LEN(C311)=10,MID(C311,5,1)="-",MID(C311,8,1)="-"),"ISO",IF(AND(LEN(C311)=10,MID(C311,3,1)="-",MID(C311,6,1)="-"),"DMY","OTHER"))</f>
        <v>ISO</v>
      </c>
      <c r="E311" s="7">
        <f>IF(D311="ISO",VALUE(LEFT(C311,4)),IF(D311="DMY",VALUE(RIGHT(C311,4)),0))</f>
        <v>2025</v>
      </c>
      <c r="F311" s="7">
        <f>IF(D311="ISO",VALUE(MID(C311,6,2)),IF(D311="DMY",VALUE(MID(C311,4,2)),0))</f>
        <v>9</v>
      </c>
      <c r="G311" s="7">
        <f>IF(D311="ISO",VALUE(RIGHT(C311,2)),IF(D311="DMY",VALUE(LEFT(C311,2)),0))</f>
        <v>18</v>
      </c>
      <c r="H311" s="7">
        <f>IF(AND(D311&lt;&gt;"OTHER",F311&gt;=1,F311&lt;=12,G311&gt;=1,G311&lt;=31),IF(AND(MONTH(DATE(E311,F311,G311))=F311,DAY(DATE(E311,F311,G311))=G311),1,0),0)</f>
        <v>1</v>
      </c>
      <c r="I311" s="7">
        <f>IF(H311=1,DATE(E311,F311,G311),"")</f>
        <v>45918.0</v>
      </c>
      <c r="J311" s="7">
        <f>IF(AND(D311="DMY",H311=1),1,0)</f>
        <v>0</v>
      </c>
      <c r="K311" s="7">
        <f>IF(H311=0,1,0)</f>
        <v>0</v>
      </c>
      <c r="L311" s="7">
        <f>IF(TRIM(Raw_Bookings!I311&amp;"")="",1,0)</f>
        <v>0</v>
      </c>
      <c r="M311" s="7">
        <f>IF(L311=1,"",DATEVALUE(LEFT(Raw_Bookings!I311,10))+TIMEVALUE(MID(Raw_Bookings!I311,12,8)))</f>
        <v>45909.446064814816</v>
      </c>
      <c r="N311" s="7">
        <f>IF(AND(L311=0,H311=1),IF(INT(M311)&gt;I311,1,0),0)</f>
        <v>0</v>
      </c>
      <c r="O311" s="7" t="str">
        <f>UPPER(TRIM(Raw_Bookings!F311))</f>
        <v>CHE</v>
      </c>
      <c r="P311" s="7" t="str">
        <f>UPPER(TRIM(Raw_Bookings!G311))</f>
        <v>AHM</v>
      </c>
      <c r="Q311" s="7">
        <f>IF(COUNTIF(Lookup_Stations!$A$2:$A$33,O311)&gt;0,1,0)</f>
        <v>1</v>
      </c>
      <c r="R311" s="7">
        <f>IF(COUNTIF(Lookup_Stations!$A$2:$A$33,P311)&gt;0,1,0)</f>
        <v>1</v>
      </c>
      <c r="S311" s="7">
        <f>IF(OR(AND(Q311=1,NOT(EXACT(Raw_Bookings!F311,O311))),AND(R311=1,NOT(EXACT(Raw_Bookings!G311,P311)))),1,0)</f>
        <v>0</v>
      </c>
      <c r="T311" s="7">
        <f>IF(OR(Q311=0,R311=0),1,0)</f>
        <v>0</v>
      </c>
      <c r="U311" s="7">
        <f>IF(TRIM(Raw_Bookings!E311&amp;"")="",1,0)</f>
        <v>0</v>
      </c>
      <c r="V311" s="7" t="str">
        <f>IF(SUMPRODUCT(--(Lookup_Status!$A$2:$A$13=LOWER(TRIM(Raw_Bookings!K311))))=0,"",INDEX(Lookup_Status!$B$2:$B$13,SUMPRODUCT((Lookup_Status!$A$2:$A$13=LOWER(TRIM(Raw_Bookings!K311)))*(ROW(Lookup_Status!$A$2:$A$13)-1))))</f>
        <v>Confirmed</v>
      </c>
      <c r="W311" s="7">
        <f>IF(AND(V311&lt;&gt;"",NOT(EXACT(Raw_Bookings!K311,V311))),1,0)</f>
        <v>0</v>
      </c>
      <c r="X311" s="7">
        <f>IF(V311="",1,0)</f>
        <v>0</v>
      </c>
      <c r="Y311" s="7">
        <f>IF(TRIM(Raw_Bookings!L311&amp;"")="",1,0)</f>
        <v>0</v>
      </c>
      <c r="Z311" s="7">
        <f>IF(AND(ISTEXT(Raw_Bookings!L311),Y311=0),1,0)</f>
        <v>0</v>
      </c>
      <c r="AA311" s="7">
        <f>IF(Z311=1,IFERROR(VALUE(SUBSTITUTE(SUBSTITUTE(SUBSTITUTE(SUBSTITUTE(SUBSTITUTE(UPPER(Raw_Bookings!L311),"RS.",""),"₹",""),",","")," ",""),"INR","")),""),"")</f>
        <v/>
      </c>
      <c r="AB311" s="7">
        <f>IF(AND(Z311=1,ISNUMBER(AA311)),1,0)</f>
        <v>0</v>
      </c>
      <c r="AC311" s="7">
        <f>IF(B311=1,0,IF(NOT(ISNUMBER(Raw_Bookings!J311)),1,IF(Raw_Bookings!J311&lt;&gt;COUNTIFS(Work_Passengers!$B$2:$B$1336,Raw_Bookings!A311,Work_Passengers!$C$2:$C$1336,0),1,0)))</f>
        <v>0</v>
      </c>
    </row>
    <row r="312" spans="1:29">
      <c r="A312" s="7">
        <f>Raw_Bookings!A312</f>
        <v>1106387</v>
      </c>
      <c r="B312" s="7">
        <f>IF(COUNTIF(Raw_Bookings!$A$2:A312,Raw_Bookings!A312)&gt;1,1,0)</f>
        <v>0</v>
      </c>
      <c r="C312" s="7" t="str">
        <f>Raw_Bookings!D312&amp;""</f>
        <v>2025-10-17</v>
      </c>
      <c r="D312" s="7" t="str">
        <f>IF(AND(LEN(C312)=10,MID(C312,5,1)="-",MID(C312,8,1)="-"),"ISO",IF(AND(LEN(C312)=10,MID(C312,3,1)="-",MID(C312,6,1)="-"),"DMY","OTHER"))</f>
        <v>ISO</v>
      </c>
      <c r="E312" s="7">
        <f>IF(D312="ISO",VALUE(LEFT(C312,4)),IF(D312="DMY",VALUE(RIGHT(C312,4)),0))</f>
        <v>2025</v>
      </c>
      <c r="F312" s="7">
        <f>IF(D312="ISO",VALUE(MID(C312,6,2)),IF(D312="DMY",VALUE(MID(C312,4,2)),0))</f>
        <v>10</v>
      </c>
      <c r="G312" s="7">
        <f>IF(D312="ISO",VALUE(RIGHT(C312,2)),IF(D312="DMY",VALUE(LEFT(C312,2)),0))</f>
        <v>17</v>
      </c>
      <c r="H312" s="7">
        <f>IF(AND(D312&lt;&gt;"OTHER",F312&gt;=1,F312&lt;=12,G312&gt;=1,G312&lt;=31),IF(AND(MONTH(DATE(E312,F312,G312))=F312,DAY(DATE(E312,F312,G312))=G312),1,0),0)</f>
        <v>1</v>
      </c>
      <c r="I312" s="7">
        <f>IF(H312=1,DATE(E312,F312,G312),"")</f>
        <v>45947.0</v>
      </c>
      <c r="J312" s="7">
        <f>IF(AND(D312="DMY",H312=1),1,0)</f>
        <v>0</v>
      </c>
      <c r="K312" s="7">
        <f>IF(H312=0,1,0)</f>
        <v>0</v>
      </c>
      <c r="L312" s="7">
        <f>IF(TRIM(Raw_Bookings!I312&amp;"")="",1,0)</f>
        <v>0</v>
      </c>
      <c r="M312" s="7">
        <f>IF(L312=1,"",DATEVALUE(LEFT(Raw_Bookings!I312,10))+TIMEVALUE(MID(Raw_Bookings!I312,12,8)))</f>
        <v>45909.907476851855</v>
      </c>
      <c r="N312" s="7">
        <f>IF(AND(L312=0,H312=1),IF(INT(M312)&gt;I312,1,0),0)</f>
        <v>0</v>
      </c>
      <c r="O312" s="7" t="str">
        <f>UPPER(TRIM(Raw_Bookings!F312))</f>
        <v>AHM</v>
      </c>
      <c r="P312" s="7" t="str">
        <f>UPPER(TRIM(Raw_Bookings!G312))</f>
        <v>CHE</v>
      </c>
      <c r="Q312" s="7">
        <f>IF(COUNTIF(Lookup_Stations!$A$2:$A$33,O312)&gt;0,1,0)</f>
        <v>1</v>
      </c>
      <c r="R312" s="7">
        <f>IF(COUNTIF(Lookup_Stations!$A$2:$A$33,P312)&gt;0,1,0)</f>
        <v>1</v>
      </c>
      <c r="S312" s="7">
        <f>IF(OR(AND(Q312=1,NOT(EXACT(Raw_Bookings!F312,O312))),AND(R312=1,NOT(EXACT(Raw_Bookings!G312,P312)))),1,0)</f>
        <v>0</v>
      </c>
      <c r="T312" s="7">
        <f>IF(OR(Q312=0,R312=0),1,0)</f>
        <v>0</v>
      </c>
      <c r="U312" s="7">
        <f>IF(TRIM(Raw_Bookings!E312&amp;"")="",1,0)</f>
        <v>0</v>
      </c>
      <c r="V312" s="7" t="str">
        <f>IF(SUMPRODUCT(--(Lookup_Status!$A$2:$A$13=LOWER(TRIM(Raw_Bookings!K312))))=0,"",INDEX(Lookup_Status!$B$2:$B$13,SUMPRODUCT((Lookup_Status!$A$2:$A$13=LOWER(TRIM(Raw_Bookings!K312)))*(ROW(Lookup_Status!$A$2:$A$13)-1))))</f>
        <v>Cancelled</v>
      </c>
      <c r="W312" s="7">
        <f>IF(AND(V312&lt;&gt;"",NOT(EXACT(Raw_Bookings!K312,V312))),1,0)</f>
        <v>0</v>
      </c>
      <c r="X312" s="7">
        <f>IF(V312="",1,0)</f>
        <v>0</v>
      </c>
      <c r="Y312" s="7">
        <f>IF(TRIM(Raw_Bookings!L312&amp;"")="",1,0)</f>
        <v>0</v>
      </c>
      <c r="Z312" s="7">
        <f>IF(AND(ISTEXT(Raw_Bookings!L312),Y312=0),1,0)</f>
        <v>0</v>
      </c>
      <c r="AA312" s="7">
        <f>IF(Z312=1,IFERROR(VALUE(SUBSTITUTE(SUBSTITUTE(SUBSTITUTE(SUBSTITUTE(SUBSTITUTE(UPPER(Raw_Bookings!L312),"RS.",""),"₹",""),",","")," ",""),"INR","")),""),"")</f>
        <v/>
      </c>
      <c r="AB312" s="7">
        <f>IF(AND(Z312=1,ISNUMBER(AA312)),1,0)</f>
        <v>0</v>
      </c>
      <c r="AC312" s="7">
        <f>IF(B312=1,0,IF(NOT(ISNUMBER(Raw_Bookings!J312)),1,IF(Raw_Bookings!J312&lt;&gt;COUNTIFS(Work_Passengers!$B$2:$B$1336,Raw_Bookings!A312,Work_Passengers!$C$2:$C$1336,0),1,0)))</f>
        <v>0</v>
      </c>
    </row>
    <row r="313" spans="1:29">
      <c r="A313" s="7">
        <f>Raw_Bookings!A313</f>
        <v>1106935</v>
      </c>
      <c r="B313" s="7">
        <f>IF(COUNTIF(Raw_Bookings!$A$2:A313,Raw_Bookings!A313)&gt;1,1,0)</f>
        <v>0</v>
      </c>
      <c r="C313" s="7" t="str">
        <f>Raw_Bookings!D313&amp;""</f>
        <v>2025-09-15</v>
      </c>
      <c r="D313" s="7" t="str">
        <f>IF(AND(LEN(C313)=10,MID(C313,5,1)="-",MID(C313,8,1)="-"),"ISO",IF(AND(LEN(C313)=10,MID(C313,3,1)="-",MID(C313,6,1)="-"),"DMY","OTHER"))</f>
        <v>ISO</v>
      </c>
      <c r="E313" s="7">
        <f>IF(D313="ISO",VALUE(LEFT(C313,4)),IF(D313="DMY",VALUE(RIGHT(C313,4)),0))</f>
        <v>2025</v>
      </c>
      <c r="F313" s="7">
        <f>IF(D313="ISO",VALUE(MID(C313,6,2)),IF(D313="DMY",VALUE(MID(C313,4,2)),0))</f>
        <v>9</v>
      </c>
      <c r="G313" s="7">
        <f>IF(D313="ISO",VALUE(RIGHT(C313,2)),IF(D313="DMY",VALUE(LEFT(C313,2)),0))</f>
        <v>15</v>
      </c>
      <c r="H313" s="7">
        <f>IF(AND(D313&lt;&gt;"OTHER",F313&gt;=1,F313&lt;=12,G313&gt;=1,G313&lt;=31),IF(AND(MONTH(DATE(E313,F313,G313))=F313,DAY(DATE(E313,F313,G313))=G313),1,0),0)</f>
        <v>1</v>
      </c>
      <c r="I313" s="7">
        <f>IF(H313=1,DATE(E313,F313,G313),"")</f>
        <v>45915.0</v>
      </c>
      <c r="J313" s="7">
        <f>IF(AND(D313="DMY",H313=1),1,0)</f>
        <v>0</v>
      </c>
      <c r="K313" s="7">
        <f>IF(H313=0,1,0)</f>
        <v>0</v>
      </c>
      <c r="L313" s="7">
        <f>IF(TRIM(Raw_Bookings!I313&amp;"")="",1,0)</f>
        <v>0</v>
      </c>
      <c r="M313" s="7">
        <f>IF(L313=1,"",DATEVALUE(LEFT(Raw_Bookings!I313,10))+TIMEVALUE(MID(Raw_Bookings!I313,12,8)))</f>
        <v>45912.32221064815</v>
      </c>
      <c r="N313" s="7">
        <f>IF(AND(L313=0,H313=1),IF(INT(M313)&gt;I313,1,0),0)</f>
        <v>0</v>
      </c>
      <c r="O313" s="7" t="str">
        <f>UPPER(TRIM(Raw_Bookings!F313))</f>
        <v>LUC</v>
      </c>
      <c r="P313" s="7" t="str">
        <f>UPPER(TRIM(Raw_Bookings!G313))</f>
        <v>MUM</v>
      </c>
      <c r="Q313" s="7">
        <f>IF(COUNTIF(Lookup_Stations!$A$2:$A$33,O313)&gt;0,1,0)</f>
        <v>1</v>
      </c>
      <c r="R313" s="7">
        <f>IF(COUNTIF(Lookup_Stations!$A$2:$A$33,P313)&gt;0,1,0)</f>
        <v>1</v>
      </c>
      <c r="S313" s="7">
        <f>IF(OR(AND(Q313=1,NOT(EXACT(Raw_Bookings!F313,O313))),AND(R313=1,NOT(EXACT(Raw_Bookings!G313,P313)))),1,0)</f>
        <v>0</v>
      </c>
      <c r="T313" s="7">
        <f>IF(OR(Q313=0,R313=0),1,0)</f>
        <v>0</v>
      </c>
      <c r="U313" s="7">
        <f>IF(TRIM(Raw_Bookings!E313&amp;"")="",1,0)</f>
        <v>0</v>
      </c>
      <c r="V313" s="7" t="str">
        <f>IF(SUMPRODUCT(--(Lookup_Status!$A$2:$A$13=LOWER(TRIM(Raw_Bookings!K313))))=0,"",INDEX(Lookup_Status!$B$2:$B$13,SUMPRODUCT((Lookup_Status!$A$2:$A$13=LOWER(TRIM(Raw_Bookings!K313)))*(ROW(Lookup_Status!$A$2:$A$13)-1))))</f>
        <v>Waitlisted</v>
      </c>
      <c r="W313" s="7">
        <f>IF(AND(V313&lt;&gt;"",NOT(EXACT(Raw_Bookings!K313,V313))),1,0)</f>
        <v>0</v>
      </c>
      <c r="X313" s="7">
        <f>IF(V313="",1,0)</f>
        <v>0</v>
      </c>
      <c r="Y313" s="7">
        <f>IF(TRIM(Raw_Bookings!L313&amp;"")="",1,0)</f>
        <v>0</v>
      </c>
      <c r="Z313" s="7">
        <f>IF(AND(ISTEXT(Raw_Bookings!L313),Y313=0),1,0)</f>
        <v>0</v>
      </c>
      <c r="AA313" s="7">
        <f>IF(Z313=1,IFERROR(VALUE(SUBSTITUTE(SUBSTITUTE(SUBSTITUTE(SUBSTITUTE(SUBSTITUTE(UPPER(Raw_Bookings!L313),"RS.",""),"₹",""),",","")," ",""),"INR","")),""),"")</f>
        <v/>
      </c>
      <c r="AB313" s="7">
        <f>IF(AND(Z313=1,ISNUMBER(AA313)),1,0)</f>
        <v>0</v>
      </c>
      <c r="AC313" s="7">
        <f>IF(B313=1,0,IF(NOT(ISNUMBER(Raw_Bookings!J313)),1,IF(Raw_Bookings!J313&lt;&gt;COUNTIFS(Work_Passengers!$B$2:$B$1336,Raw_Bookings!A313,Work_Passengers!$C$2:$C$1336,0),1,0)))</f>
        <v>0</v>
      </c>
    </row>
    <row r="314" spans="1:29">
      <c r="A314" s="7">
        <f>Raw_Bookings!A314</f>
        <v>1106962</v>
      </c>
      <c r="B314" s="7">
        <f>IF(COUNTIF(Raw_Bookings!$A$2:A314,Raw_Bookings!A314)&gt;1,1,0)</f>
        <v>0</v>
      </c>
      <c r="C314" s="7" t="str">
        <f>Raw_Bookings!D314&amp;""</f>
        <v>2025-10-17</v>
      </c>
      <c r="D314" s="7" t="str">
        <f>IF(AND(LEN(C314)=10,MID(C314,5,1)="-",MID(C314,8,1)="-"),"ISO",IF(AND(LEN(C314)=10,MID(C314,3,1)="-",MID(C314,6,1)="-"),"DMY","OTHER"))</f>
        <v>ISO</v>
      </c>
      <c r="E314" s="7">
        <f>IF(D314="ISO",VALUE(LEFT(C314,4)),IF(D314="DMY",VALUE(RIGHT(C314,4)),0))</f>
        <v>2025</v>
      </c>
      <c r="F314" s="7">
        <f>IF(D314="ISO",VALUE(MID(C314,6,2)),IF(D314="DMY",VALUE(MID(C314,4,2)),0))</f>
        <v>10</v>
      </c>
      <c r="G314" s="7">
        <f>IF(D314="ISO",VALUE(RIGHT(C314,2)),IF(D314="DMY",VALUE(LEFT(C314,2)),0))</f>
        <v>17</v>
      </c>
      <c r="H314" s="7">
        <f>IF(AND(D314&lt;&gt;"OTHER",F314&gt;=1,F314&lt;=12,G314&gt;=1,G314&lt;=31),IF(AND(MONTH(DATE(E314,F314,G314))=F314,DAY(DATE(E314,F314,G314))=G314),1,0),0)</f>
        <v>1</v>
      </c>
      <c r="I314" s="7">
        <f>IF(H314=1,DATE(E314,F314,G314),"")</f>
        <v>45947.0</v>
      </c>
      <c r="J314" s="7">
        <f>IF(AND(D314="DMY",H314=1),1,0)</f>
        <v>0</v>
      </c>
      <c r="K314" s="7">
        <f>IF(H314=0,1,0)</f>
        <v>0</v>
      </c>
      <c r="L314" s="7">
        <f>IF(TRIM(Raw_Bookings!I314&amp;"")="",1,0)</f>
        <v>0</v>
      </c>
      <c r="M314" s="7">
        <f>IF(L314=1,"",DATEVALUE(LEFT(Raw_Bookings!I314,10))+TIMEVALUE(MID(Raw_Bookings!I314,12,8)))</f>
        <v>45912.38607638889</v>
      </c>
      <c r="N314" s="7">
        <f>IF(AND(L314=0,H314=1),IF(INT(M314)&gt;I314,1,0),0)</f>
        <v>0</v>
      </c>
      <c r="O314" s="7" t="str">
        <f>UPPER(TRIM(Raw_Bookings!F314))</f>
        <v>AHM</v>
      </c>
      <c r="P314" s="7" t="str">
        <f>UPPER(TRIM(Raw_Bookings!G314))</f>
        <v>CHE</v>
      </c>
      <c r="Q314" s="7">
        <f>IF(COUNTIF(Lookup_Stations!$A$2:$A$33,O314)&gt;0,1,0)</f>
        <v>1</v>
      </c>
      <c r="R314" s="7">
        <f>IF(COUNTIF(Lookup_Stations!$A$2:$A$33,P314)&gt;0,1,0)</f>
        <v>1</v>
      </c>
      <c r="S314" s="7">
        <f>IF(OR(AND(Q314=1,NOT(EXACT(Raw_Bookings!F314,O314))),AND(R314=1,NOT(EXACT(Raw_Bookings!G314,P314)))),1,0)</f>
        <v>0</v>
      </c>
      <c r="T314" s="7">
        <f>IF(OR(Q314=0,R314=0),1,0)</f>
        <v>0</v>
      </c>
      <c r="U314" s="7">
        <f>IF(TRIM(Raw_Bookings!E314&amp;"")="",1,0)</f>
        <v>0</v>
      </c>
      <c r="V314" s="7" t="str">
        <f>IF(SUMPRODUCT(--(Lookup_Status!$A$2:$A$13=LOWER(TRIM(Raw_Bookings!K314))))=0,"",INDEX(Lookup_Status!$B$2:$B$13,SUMPRODUCT((Lookup_Status!$A$2:$A$13=LOWER(TRIM(Raw_Bookings!K314)))*(ROW(Lookup_Status!$A$2:$A$13)-1))))</f>
        <v>Mixed</v>
      </c>
      <c r="W314" s="7">
        <f>IF(AND(V314&lt;&gt;"",NOT(EXACT(Raw_Bookings!K314,V314))),1,0)</f>
        <v>0</v>
      </c>
      <c r="X314" s="7">
        <f>IF(V314="",1,0)</f>
        <v>0</v>
      </c>
      <c r="Y314" s="7">
        <f>IF(TRIM(Raw_Bookings!L314&amp;"")="",1,0)</f>
        <v>0</v>
      </c>
      <c r="Z314" s="7">
        <f>IF(AND(ISTEXT(Raw_Bookings!L314),Y314=0),1,0)</f>
        <v>0</v>
      </c>
      <c r="AA314" s="7">
        <f>IF(Z314=1,IFERROR(VALUE(SUBSTITUTE(SUBSTITUTE(SUBSTITUTE(SUBSTITUTE(SUBSTITUTE(UPPER(Raw_Bookings!L314),"RS.",""),"₹",""),",","")," ",""),"INR","")),""),"")</f>
        <v/>
      </c>
      <c r="AB314" s="7">
        <f>IF(AND(Z314=1,ISNUMBER(AA314)),1,0)</f>
        <v>0</v>
      </c>
      <c r="AC314" s="7">
        <f>IF(B314=1,0,IF(NOT(ISNUMBER(Raw_Bookings!J314)),1,IF(Raw_Bookings!J314&lt;&gt;COUNTIFS(Work_Passengers!$B$2:$B$1336,Raw_Bookings!A314,Work_Passengers!$C$2:$C$1336,0),1,0)))</f>
        <v>0</v>
      </c>
    </row>
    <row r="315" spans="1:29">
      <c r="A315" s="7">
        <f>Raw_Bookings!A315</f>
        <v>1107133</v>
      </c>
      <c r="B315" s="7">
        <f>IF(COUNTIF(Raw_Bookings!$A$2:A315,Raw_Bookings!A315)&gt;1,1,0)</f>
        <v>0</v>
      </c>
      <c r="C315" s="7" t="str">
        <f>Raw_Bookings!D315&amp;""</f>
        <v>2025-12-29</v>
      </c>
      <c r="D315" s="7" t="str">
        <f>IF(AND(LEN(C315)=10,MID(C315,5,1)="-",MID(C315,8,1)="-"),"ISO",IF(AND(LEN(C315)=10,MID(C315,3,1)="-",MID(C315,6,1)="-"),"DMY","OTHER"))</f>
        <v>ISO</v>
      </c>
      <c r="E315" s="7">
        <f>IF(D315="ISO",VALUE(LEFT(C315,4)),IF(D315="DMY",VALUE(RIGHT(C315,4)),0))</f>
        <v>2025</v>
      </c>
      <c r="F315" s="7">
        <f>IF(D315="ISO",VALUE(MID(C315,6,2)),IF(D315="DMY",VALUE(MID(C315,4,2)),0))</f>
        <v>12</v>
      </c>
      <c r="G315" s="7">
        <f>IF(D315="ISO",VALUE(RIGHT(C315,2)),IF(D315="DMY",VALUE(LEFT(C315,2)),0))</f>
        <v>29</v>
      </c>
      <c r="H315" s="7">
        <f>IF(AND(D315&lt;&gt;"OTHER",F315&gt;=1,F315&lt;=12,G315&gt;=1,G315&lt;=31),IF(AND(MONTH(DATE(E315,F315,G315))=F315,DAY(DATE(E315,F315,G315))=G315),1,0),0)</f>
        <v>1</v>
      </c>
      <c r="I315" s="7">
        <f>IF(H315=1,DATE(E315,F315,G315),"")</f>
        <v>46020.0</v>
      </c>
      <c r="J315" s="7">
        <f>IF(AND(D315="DMY",H315=1),1,0)</f>
        <v>0</v>
      </c>
      <c r="K315" s="7">
        <f>IF(H315=0,1,0)</f>
        <v>0</v>
      </c>
      <c r="L315" s="7">
        <f>IF(TRIM(Raw_Bookings!I315&amp;"")="",1,0)</f>
        <v>0</v>
      </c>
      <c r="M315" s="7">
        <f>IF(L315=1,"",DATEVALUE(LEFT(Raw_Bookings!I315,10))+TIMEVALUE(MID(Raw_Bookings!I315,12,8)))</f>
        <v>45912.79677083333</v>
      </c>
      <c r="N315" s="7">
        <f>IF(AND(L315=0,H315=1),IF(INT(M315)&gt;I315,1,0),0)</f>
        <v>0</v>
      </c>
      <c r="O315" s="7" t="str">
        <f>UPPER(TRIM(Raw_Bookings!F315))</f>
        <v>AHM</v>
      </c>
      <c r="P315" s="7" t="str">
        <f>UPPER(TRIM(Raw_Bookings!G315))</f>
        <v>CHE</v>
      </c>
      <c r="Q315" s="7">
        <f>IF(COUNTIF(Lookup_Stations!$A$2:$A$33,O315)&gt;0,1,0)</f>
        <v>1</v>
      </c>
      <c r="R315" s="7">
        <f>IF(COUNTIF(Lookup_Stations!$A$2:$A$33,P315)&gt;0,1,0)</f>
        <v>1</v>
      </c>
      <c r="S315" s="7">
        <f>IF(OR(AND(Q315=1,NOT(EXACT(Raw_Bookings!F315,O315))),AND(R315=1,NOT(EXACT(Raw_Bookings!G315,P315)))),1,0)</f>
        <v>0</v>
      </c>
      <c r="T315" s="7">
        <f>IF(OR(Q315=0,R315=0),1,0)</f>
        <v>0</v>
      </c>
      <c r="U315" s="7">
        <f>IF(TRIM(Raw_Bookings!E315&amp;"")="",1,0)</f>
        <v>0</v>
      </c>
      <c r="V315" s="7" t="str">
        <f>IF(SUMPRODUCT(--(Lookup_Status!$A$2:$A$13=LOWER(TRIM(Raw_Bookings!K315))))=0,"",INDEX(Lookup_Status!$B$2:$B$13,SUMPRODUCT((Lookup_Status!$A$2:$A$13=LOWER(TRIM(Raw_Bookings!K315)))*(ROW(Lookup_Status!$A$2:$A$13)-1))))</f>
        <v>Cancelled</v>
      </c>
      <c r="W315" s="7">
        <f>IF(AND(V315&lt;&gt;"",NOT(EXACT(Raw_Bookings!K315,V315))),1,0)</f>
        <v>0</v>
      </c>
      <c r="X315" s="7">
        <f>IF(V315="",1,0)</f>
        <v>0</v>
      </c>
      <c r="Y315" s="7">
        <f>IF(TRIM(Raw_Bookings!L315&amp;"")="",1,0)</f>
        <v>0</v>
      </c>
      <c r="Z315" s="7">
        <f>IF(AND(ISTEXT(Raw_Bookings!L315),Y315=0),1,0)</f>
        <v>0</v>
      </c>
      <c r="AA315" s="7">
        <f>IF(Z315=1,IFERROR(VALUE(SUBSTITUTE(SUBSTITUTE(SUBSTITUTE(SUBSTITUTE(SUBSTITUTE(UPPER(Raw_Bookings!L315),"RS.",""),"₹",""),",","")," ",""),"INR","")),""),"")</f>
        <v/>
      </c>
      <c r="AB315" s="7">
        <f>IF(AND(Z315=1,ISNUMBER(AA315)),1,0)</f>
        <v>0</v>
      </c>
      <c r="AC315" s="7">
        <f>IF(B315=1,0,IF(NOT(ISNUMBER(Raw_Bookings!J315)),1,IF(Raw_Bookings!J315&lt;&gt;COUNTIFS(Work_Passengers!$B$2:$B$1336,Raw_Bookings!A315,Work_Passengers!$C$2:$C$1336,0),1,0)))</f>
        <v>0</v>
      </c>
    </row>
    <row r="316" spans="1:29">
      <c r="A316" s="7">
        <f>Raw_Bookings!A316</f>
        <v>1107501</v>
      </c>
      <c r="B316" s="7">
        <f>IF(COUNTIF(Raw_Bookings!$A$2:A316,Raw_Bookings!A316)&gt;1,1,0)</f>
        <v>0</v>
      </c>
      <c r="C316" s="7" t="str">
        <f>Raw_Bookings!D316&amp;""</f>
        <v>2025-09-22</v>
      </c>
      <c r="D316" s="7" t="str">
        <f>IF(AND(LEN(C316)=10,MID(C316,5,1)="-",MID(C316,8,1)="-"),"ISO",IF(AND(LEN(C316)=10,MID(C316,3,1)="-",MID(C316,6,1)="-"),"DMY","OTHER"))</f>
        <v>ISO</v>
      </c>
      <c r="E316" s="7">
        <f>IF(D316="ISO",VALUE(LEFT(C316,4)),IF(D316="DMY",VALUE(RIGHT(C316,4)),0))</f>
        <v>2025</v>
      </c>
      <c r="F316" s="7">
        <f>IF(D316="ISO",VALUE(MID(C316,6,2)),IF(D316="DMY",VALUE(MID(C316,4,2)),0))</f>
        <v>9</v>
      </c>
      <c r="G316" s="7">
        <f>IF(D316="ISO",VALUE(RIGHT(C316,2)),IF(D316="DMY",VALUE(LEFT(C316,2)),0))</f>
        <v>22</v>
      </c>
      <c r="H316" s="7">
        <f>IF(AND(D316&lt;&gt;"OTHER",F316&gt;=1,F316&lt;=12,G316&gt;=1,G316&lt;=31),IF(AND(MONTH(DATE(E316,F316,G316))=F316,DAY(DATE(E316,F316,G316))=G316),1,0),0)</f>
        <v>1</v>
      </c>
      <c r="I316" s="7">
        <f>IF(H316=1,DATE(E316,F316,G316),"")</f>
        <v>45922.0</v>
      </c>
      <c r="J316" s="7">
        <f>IF(AND(D316="DMY",H316=1),1,0)</f>
        <v>0</v>
      </c>
      <c r="K316" s="7">
        <f>IF(H316=0,1,0)</f>
        <v>0</v>
      </c>
      <c r="L316" s="7">
        <f>IF(TRIM(Raw_Bookings!I316&amp;"")="",1,0)</f>
        <v>0</v>
      </c>
      <c r="M316" s="7">
        <f>IF(L316=1,"",DATEVALUE(LEFT(Raw_Bookings!I316,10))+TIMEVALUE(MID(Raw_Bookings!I316,12,8)))</f>
        <v>45914.34195601852</v>
      </c>
      <c r="N316" s="7">
        <f>IF(AND(L316=0,H316=1),IF(INT(M316)&gt;I316,1,0),0)</f>
        <v>0</v>
      </c>
      <c r="O316" s="7" t="str">
        <f>UPPER(TRIM(Raw_Bookings!F316))</f>
        <v>BEN</v>
      </c>
      <c r="P316" s="7" t="str">
        <f>UPPER(TRIM(Raw_Bookings!G316))</f>
        <v>MUM</v>
      </c>
      <c r="Q316" s="7">
        <f>IF(COUNTIF(Lookup_Stations!$A$2:$A$33,O316)&gt;0,1,0)</f>
        <v>1</v>
      </c>
      <c r="R316" s="7">
        <f>IF(COUNTIF(Lookup_Stations!$A$2:$A$33,P316)&gt;0,1,0)</f>
        <v>1</v>
      </c>
      <c r="S316" s="7">
        <f>IF(OR(AND(Q316=1,NOT(EXACT(Raw_Bookings!F316,O316))),AND(R316=1,NOT(EXACT(Raw_Bookings!G316,P316)))),1,0)</f>
        <v>0</v>
      </c>
      <c r="T316" s="7">
        <f>IF(OR(Q316=0,R316=0),1,0)</f>
        <v>0</v>
      </c>
      <c r="U316" s="7">
        <f>IF(TRIM(Raw_Bookings!E316&amp;"")="",1,0)</f>
        <v>0</v>
      </c>
      <c r="V316" s="7" t="str">
        <f>IF(SUMPRODUCT(--(Lookup_Status!$A$2:$A$13=LOWER(TRIM(Raw_Bookings!K316))))=0,"",INDEX(Lookup_Status!$B$2:$B$13,SUMPRODUCT((Lookup_Status!$A$2:$A$13=LOWER(TRIM(Raw_Bookings!K316)))*(ROW(Lookup_Status!$A$2:$A$13)-1))))</f>
        <v>Confirmed</v>
      </c>
      <c r="W316" s="7">
        <f>IF(AND(V316&lt;&gt;"",NOT(EXACT(Raw_Bookings!K316,V316))),1,0)</f>
        <v>0</v>
      </c>
      <c r="X316" s="7">
        <f>IF(V316="",1,0)</f>
        <v>0</v>
      </c>
      <c r="Y316" s="7">
        <f>IF(TRIM(Raw_Bookings!L316&amp;"")="",1,0)</f>
        <v>0</v>
      </c>
      <c r="Z316" s="7">
        <f>IF(AND(ISTEXT(Raw_Bookings!L316),Y316=0),1,0)</f>
        <v>0</v>
      </c>
      <c r="AA316" s="7">
        <f>IF(Z316=1,IFERROR(VALUE(SUBSTITUTE(SUBSTITUTE(SUBSTITUTE(SUBSTITUTE(SUBSTITUTE(UPPER(Raw_Bookings!L316),"RS.",""),"₹",""),",","")," ",""),"INR","")),""),"")</f>
        <v/>
      </c>
      <c r="AB316" s="7">
        <f>IF(AND(Z316=1,ISNUMBER(AA316)),1,0)</f>
        <v>0</v>
      </c>
      <c r="AC316" s="7">
        <f>IF(B316=1,0,IF(NOT(ISNUMBER(Raw_Bookings!J316)),1,IF(Raw_Bookings!J316&lt;&gt;COUNTIFS(Work_Passengers!$B$2:$B$1336,Raw_Bookings!A316,Work_Passengers!$C$2:$C$1336,0),1,0)))</f>
        <v>0</v>
      </c>
    </row>
    <row r="317" spans="1:29">
      <c r="A317" s="7">
        <f>Raw_Bookings!A317</f>
        <v>1107838</v>
      </c>
      <c r="B317" s="7">
        <f>IF(COUNTIF(Raw_Bookings!$A$2:A317,Raw_Bookings!A317)&gt;1,1,0)</f>
        <v>0</v>
      </c>
      <c r="C317" s="7" t="str">
        <f>Raw_Bookings!D317&amp;""</f>
        <v>2025-10-15</v>
      </c>
      <c r="D317" s="7" t="str">
        <f>IF(AND(LEN(C317)=10,MID(C317,5,1)="-",MID(C317,8,1)="-"),"ISO",IF(AND(LEN(C317)=10,MID(C317,3,1)="-",MID(C317,6,1)="-"),"DMY","OTHER"))</f>
        <v>ISO</v>
      </c>
      <c r="E317" s="7">
        <f>IF(D317="ISO",VALUE(LEFT(C317,4)),IF(D317="DMY",VALUE(RIGHT(C317,4)),0))</f>
        <v>2025</v>
      </c>
      <c r="F317" s="7">
        <f>IF(D317="ISO",VALUE(MID(C317,6,2)),IF(D317="DMY",VALUE(MID(C317,4,2)),0))</f>
        <v>10</v>
      </c>
      <c r="G317" s="7">
        <f>IF(D317="ISO",VALUE(RIGHT(C317,2)),IF(D317="DMY",VALUE(LEFT(C317,2)),0))</f>
        <v>15</v>
      </c>
      <c r="H317" s="7">
        <f>IF(AND(D317&lt;&gt;"OTHER",F317&gt;=1,F317&lt;=12,G317&gt;=1,G317&lt;=31),IF(AND(MONTH(DATE(E317,F317,G317))=F317,DAY(DATE(E317,F317,G317))=G317),1,0),0)</f>
        <v>1</v>
      </c>
      <c r="I317" s="7">
        <f>IF(H317=1,DATE(E317,F317,G317),"")</f>
        <v>45945.0</v>
      </c>
      <c r="J317" s="7">
        <f>IF(AND(D317="DMY",H317=1),1,0)</f>
        <v>0</v>
      </c>
      <c r="K317" s="7">
        <f>IF(H317=0,1,0)</f>
        <v>0</v>
      </c>
      <c r="L317" s="7">
        <f>IF(TRIM(Raw_Bookings!I317&amp;"")="",1,0)</f>
        <v>0</v>
      </c>
      <c r="M317" s="7">
        <f>IF(L317=1,"",DATEVALUE(LEFT(Raw_Bookings!I317,10))+TIMEVALUE(MID(Raw_Bookings!I317,12,8)))</f>
        <v>45915.512141203704</v>
      </c>
      <c r="N317" s="7">
        <f>IF(AND(L317=0,H317=1),IF(INT(M317)&gt;I317,1,0),0)</f>
        <v>0</v>
      </c>
      <c r="O317" s="7" t="str">
        <f>UPPER(TRIM(Raw_Bookings!F317))</f>
        <v>HYD</v>
      </c>
      <c r="P317" s="7" t="str">
        <f>UPPER(TRIM(Raw_Bookings!G317))</f>
        <v>KOL</v>
      </c>
      <c r="Q317" s="7">
        <f>IF(COUNTIF(Lookup_Stations!$A$2:$A$33,O317)&gt;0,1,0)</f>
        <v>1</v>
      </c>
      <c r="R317" s="7">
        <f>IF(COUNTIF(Lookup_Stations!$A$2:$A$33,P317)&gt;0,1,0)</f>
        <v>1</v>
      </c>
      <c r="S317" s="7">
        <f>IF(OR(AND(Q317=1,NOT(EXACT(Raw_Bookings!F317,O317))),AND(R317=1,NOT(EXACT(Raw_Bookings!G317,P317)))),1,0)</f>
        <v>0</v>
      </c>
      <c r="T317" s="7">
        <f>IF(OR(Q317=0,R317=0),1,0)</f>
        <v>0</v>
      </c>
      <c r="U317" s="7">
        <f>IF(TRIM(Raw_Bookings!E317&amp;"")="",1,0)</f>
        <v>1</v>
      </c>
      <c r="V317" s="7" t="str">
        <f>IF(SUMPRODUCT(--(Lookup_Status!$A$2:$A$13=LOWER(TRIM(Raw_Bookings!K317))))=0,"",INDEX(Lookup_Status!$B$2:$B$13,SUMPRODUCT((Lookup_Status!$A$2:$A$13=LOWER(TRIM(Raw_Bookings!K317)))*(ROW(Lookup_Status!$A$2:$A$13)-1))))</f>
        <v>Confirmed</v>
      </c>
      <c r="W317" s="7">
        <f>IF(AND(V317&lt;&gt;"",NOT(EXACT(Raw_Bookings!K317,V317))),1,0)</f>
        <v>0</v>
      </c>
      <c r="X317" s="7">
        <f>IF(V317="",1,0)</f>
        <v>0</v>
      </c>
      <c r="Y317" s="7">
        <f>IF(TRIM(Raw_Bookings!L317&amp;"")="",1,0)</f>
        <v>0</v>
      </c>
      <c r="Z317" s="7">
        <f>IF(AND(ISTEXT(Raw_Bookings!L317),Y317=0),1,0)</f>
        <v>0</v>
      </c>
      <c r="AA317" s="7">
        <f>IF(Z317=1,IFERROR(VALUE(SUBSTITUTE(SUBSTITUTE(SUBSTITUTE(SUBSTITUTE(SUBSTITUTE(UPPER(Raw_Bookings!L317),"RS.",""),"₹",""),",","")," ",""),"INR","")),""),"")</f>
        <v/>
      </c>
      <c r="AB317" s="7">
        <f>IF(AND(Z317=1,ISNUMBER(AA317)),1,0)</f>
        <v>0</v>
      </c>
      <c r="AC317" s="7">
        <f>IF(B317=1,0,IF(NOT(ISNUMBER(Raw_Bookings!J317)),1,IF(Raw_Bookings!J317&lt;&gt;COUNTIFS(Work_Passengers!$B$2:$B$1336,Raw_Bookings!A317,Work_Passengers!$C$2:$C$1336,0),1,0)))</f>
        <v>0</v>
      </c>
    </row>
    <row r="318" spans="1:29">
      <c r="A318" s="7">
        <f>Raw_Bookings!A318</f>
        <v>1108253</v>
      </c>
      <c r="B318" s="7">
        <f>IF(COUNTIF(Raw_Bookings!$A$2:A318,Raw_Bookings!A318)&gt;1,1,0)</f>
        <v>0</v>
      </c>
      <c r="C318" s="7" t="str">
        <f>Raw_Bookings!D318&amp;""</f>
        <v>2025-11-03</v>
      </c>
      <c r="D318" s="7" t="str">
        <f>IF(AND(LEN(C318)=10,MID(C318,5,1)="-",MID(C318,8,1)="-"),"ISO",IF(AND(LEN(C318)=10,MID(C318,3,1)="-",MID(C318,6,1)="-"),"DMY","OTHER"))</f>
        <v>ISO</v>
      </c>
      <c r="E318" s="7">
        <f>IF(D318="ISO",VALUE(LEFT(C318,4)),IF(D318="DMY",VALUE(RIGHT(C318,4)),0))</f>
        <v>2025</v>
      </c>
      <c r="F318" s="7">
        <f>IF(D318="ISO",VALUE(MID(C318,6,2)),IF(D318="DMY",VALUE(MID(C318,4,2)),0))</f>
        <v>11</v>
      </c>
      <c r="G318" s="7">
        <f>IF(D318="ISO",VALUE(RIGHT(C318,2)),IF(D318="DMY",VALUE(LEFT(C318,2)),0))</f>
        <v>3</v>
      </c>
      <c r="H318" s="7">
        <f>IF(AND(D318&lt;&gt;"OTHER",F318&gt;=1,F318&lt;=12,G318&gt;=1,G318&lt;=31),IF(AND(MONTH(DATE(E318,F318,G318))=F318,DAY(DATE(E318,F318,G318))=G318),1,0),0)</f>
        <v>1</v>
      </c>
      <c r="I318" s="7">
        <f>IF(H318=1,DATE(E318,F318,G318),"")</f>
        <v>45964.0</v>
      </c>
      <c r="J318" s="7">
        <f>IF(AND(D318="DMY",H318=1),1,0)</f>
        <v>0</v>
      </c>
      <c r="K318" s="7">
        <f>IF(H318=0,1,0)</f>
        <v>0</v>
      </c>
      <c r="L318" s="7">
        <f>IF(TRIM(Raw_Bookings!I318&amp;"")="",1,0)</f>
        <v>0</v>
      </c>
      <c r="M318" s="7">
        <f>IF(L318=1,"",DATEVALUE(LEFT(Raw_Bookings!I318,10))+TIMEVALUE(MID(Raw_Bookings!I318,12,8)))</f>
        <v>45916.845300925925</v>
      </c>
      <c r="N318" s="7">
        <f>IF(AND(L318=0,H318=1),IF(INT(M318)&gt;I318,1,0),0)</f>
        <v>0</v>
      </c>
      <c r="O318" s="7" t="str">
        <f>UPPER(TRIM(Raw_Bookings!F318))</f>
        <v>VIJ</v>
      </c>
      <c r="P318" s="7" t="str">
        <f>UPPER(TRIM(Raw_Bookings!G318))</f>
        <v>PAT</v>
      </c>
      <c r="Q318" s="7">
        <f>IF(COUNTIF(Lookup_Stations!$A$2:$A$33,O318)&gt;0,1,0)</f>
        <v>1</v>
      </c>
      <c r="R318" s="7">
        <f>IF(COUNTIF(Lookup_Stations!$A$2:$A$33,P318)&gt;0,1,0)</f>
        <v>1</v>
      </c>
      <c r="S318" s="7">
        <f>IF(OR(AND(Q318=1,NOT(EXACT(Raw_Bookings!F318,O318))),AND(R318=1,NOT(EXACT(Raw_Bookings!G318,P318)))),1,0)</f>
        <v>0</v>
      </c>
      <c r="T318" s="7">
        <f>IF(OR(Q318=0,R318=0),1,0)</f>
        <v>0</v>
      </c>
      <c r="U318" s="7">
        <f>IF(TRIM(Raw_Bookings!E318&amp;"")="",1,0)</f>
        <v>0</v>
      </c>
      <c r="V318" s="7" t="str">
        <f>IF(SUMPRODUCT(--(Lookup_Status!$A$2:$A$13=LOWER(TRIM(Raw_Bookings!K318))))=0,"",INDEX(Lookup_Status!$B$2:$B$13,SUMPRODUCT((Lookup_Status!$A$2:$A$13=LOWER(TRIM(Raw_Bookings!K318)))*(ROW(Lookup_Status!$A$2:$A$13)-1))))</f>
        <v>Confirmed</v>
      </c>
      <c r="W318" s="7">
        <f>IF(AND(V318&lt;&gt;"",NOT(EXACT(Raw_Bookings!K318,V318))),1,0)</f>
        <v>0</v>
      </c>
      <c r="X318" s="7">
        <f>IF(V318="",1,0)</f>
        <v>0</v>
      </c>
      <c r="Y318" s="7">
        <f>IF(TRIM(Raw_Bookings!L318&amp;"")="",1,0)</f>
        <v>0</v>
      </c>
      <c r="Z318" s="7">
        <f>IF(AND(ISTEXT(Raw_Bookings!L318),Y318=0),1,0)</f>
        <v>0</v>
      </c>
      <c r="AA318" s="7">
        <f>IF(Z318=1,IFERROR(VALUE(SUBSTITUTE(SUBSTITUTE(SUBSTITUTE(SUBSTITUTE(SUBSTITUTE(UPPER(Raw_Bookings!L318),"RS.",""),"₹",""),",","")," ",""),"INR","")),""),"")</f>
        <v/>
      </c>
      <c r="AB318" s="7">
        <f>IF(AND(Z318=1,ISNUMBER(AA318)),1,0)</f>
        <v>0</v>
      </c>
      <c r="AC318" s="7">
        <f>IF(B318=1,0,IF(NOT(ISNUMBER(Raw_Bookings!J318)),1,IF(Raw_Bookings!J318&lt;&gt;COUNTIFS(Work_Passengers!$B$2:$B$1336,Raw_Bookings!A318,Work_Passengers!$C$2:$C$1336,0),1,0)))</f>
        <v>0</v>
      </c>
    </row>
    <row r="319" spans="1:29">
      <c r="A319" s="7">
        <f>Raw_Bookings!A319</f>
        <v>1108410</v>
      </c>
      <c r="B319" s="7">
        <f>IF(COUNTIF(Raw_Bookings!$A$2:A319,Raw_Bookings!A319)&gt;1,1,0)</f>
        <v>0</v>
      </c>
      <c r="C319" s="7" t="str">
        <f>Raw_Bookings!D319&amp;""</f>
        <v>2025-10-24</v>
      </c>
      <c r="D319" s="7" t="str">
        <f>IF(AND(LEN(C319)=10,MID(C319,5,1)="-",MID(C319,8,1)="-"),"ISO",IF(AND(LEN(C319)=10,MID(C319,3,1)="-",MID(C319,6,1)="-"),"DMY","OTHER"))</f>
        <v>ISO</v>
      </c>
      <c r="E319" s="7">
        <f>IF(D319="ISO",VALUE(LEFT(C319,4)),IF(D319="DMY",VALUE(RIGHT(C319,4)),0))</f>
        <v>2025</v>
      </c>
      <c r="F319" s="7">
        <f>IF(D319="ISO",VALUE(MID(C319,6,2)),IF(D319="DMY",VALUE(MID(C319,4,2)),0))</f>
        <v>10</v>
      </c>
      <c r="G319" s="7">
        <f>IF(D319="ISO",VALUE(RIGHT(C319,2)),IF(D319="DMY",VALUE(LEFT(C319,2)),0))</f>
        <v>24</v>
      </c>
      <c r="H319" s="7">
        <f>IF(AND(D319&lt;&gt;"OTHER",F319&gt;=1,F319&lt;=12,G319&gt;=1,G319&lt;=31),IF(AND(MONTH(DATE(E319,F319,G319))=F319,DAY(DATE(E319,F319,G319))=G319),1,0),0)</f>
        <v>1</v>
      </c>
      <c r="I319" s="7">
        <f>IF(H319=1,DATE(E319,F319,G319),"")</f>
        <v>45954.0</v>
      </c>
      <c r="J319" s="7">
        <f>IF(AND(D319="DMY",H319=1),1,0)</f>
        <v>0</v>
      </c>
      <c r="K319" s="7">
        <f>IF(H319=0,1,0)</f>
        <v>0</v>
      </c>
      <c r="L319" s="7">
        <f>IF(TRIM(Raw_Bookings!I319&amp;"")="",1,0)</f>
        <v>0</v>
      </c>
      <c r="M319" s="7">
        <f>IF(L319=1,"",DATEVALUE(LEFT(Raw_Bookings!I319,10))+TIMEVALUE(MID(Raw_Bookings!I319,12,8)))</f>
        <v>45917.44310185185</v>
      </c>
      <c r="N319" s="7">
        <f>IF(AND(L319=0,H319=1),IF(INT(M319)&gt;I319,1,0),0)</f>
        <v>0</v>
      </c>
      <c r="O319" s="7" t="str">
        <f>UPPER(TRIM(Raw_Bookings!F319))</f>
        <v>JOD</v>
      </c>
      <c r="P319" s="7" t="str">
        <f>UPPER(TRIM(Raw_Bookings!G319))</f>
        <v>BEN</v>
      </c>
      <c r="Q319" s="7">
        <f>IF(COUNTIF(Lookup_Stations!$A$2:$A$33,O319)&gt;0,1,0)</f>
        <v>1</v>
      </c>
      <c r="R319" s="7">
        <f>IF(COUNTIF(Lookup_Stations!$A$2:$A$33,P319)&gt;0,1,0)</f>
        <v>1</v>
      </c>
      <c r="S319" s="7">
        <f>IF(OR(AND(Q319=1,NOT(EXACT(Raw_Bookings!F319,O319))),AND(R319=1,NOT(EXACT(Raw_Bookings!G319,P319)))),1,0)</f>
        <v>0</v>
      </c>
      <c r="T319" s="7">
        <f>IF(OR(Q319=0,R319=0),1,0)</f>
        <v>0</v>
      </c>
      <c r="U319" s="7">
        <f>IF(TRIM(Raw_Bookings!E319&amp;"")="",1,0)</f>
        <v>0</v>
      </c>
      <c r="V319" s="7" t="str">
        <f>IF(SUMPRODUCT(--(Lookup_Status!$A$2:$A$13=LOWER(TRIM(Raw_Bookings!K319))))=0,"",INDEX(Lookup_Status!$B$2:$B$13,SUMPRODUCT((Lookup_Status!$A$2:$A$13=LOWER(TRIM(Raw_Bookings!K319)))*(ROW(Lookup_Status!$A$2:$A$13)-1))))</f>
        <v>Confirmed</v>
      </c>
      <c r="W319" s="7">
        <f>IF(AND(V319&lt;&gt;"",NOT(EXACT(Raw_Bookings!K319,V319))),1,0)</f>
        <v>0</v>
      </c>
      <c r="X319" s="7">
        <f>IF(V319="",1,0)</f>
        <v>0</v>
      </c>
      <c r="Y319" s="7">
        <f>IF(TRIM(Raw_Bookings!L319&amp;"")="",1,0)</f>
        <v>0</v>
      </c>
      <c r="Z319" s="7">
        <f>IF(AND(ISTEXT(Raw_Bookings!L319),Y319=0),1,0)</f>
        <v>0</v>
      </c>
      <c r="AA319" s="7">
        <f>IF(Z319=1,IFERROR(VALUE(SUBSTITUTE(SUBSTITUTE(SUBSTITUTE(SUBSTITUTE(SUBSTITUTE(UPPER(Raw_Bookings!L319),"RS.",""),"₹",""),",","")," ",""),"INR","")),""),"")</f>
        <v/>
      </c>
      <c r="AB319" s="7">
        <f>IF(AND(Z319=1,ISNUMBER(AA319)),1,0)</f>
        <v>0</v>
      </c>
      <c r="AC319" s="7">
        <f>IF(B319=1,0,IF(NOT(ISNUMBER(Raw_Bookings!J319)),1,IF(Raw_Bookings!J319&lt;&gt;COUNTIFS(Work_Passengers!$B$2:$B$1336,Raw_Bookings!A319,Work_Passengers!$C$2:$C$1336,0),1,0)))</f>
        <v>0</v>
      </c>
    </row>
    <row r="320" spans="1:29">
      <c r="A320" s="7">
        <f>Raw_Bookings!A320</f>
        <v>1108576</v>
      </c>
      <c r="B320" s="7">
        <f>IF(COUNTIF(Raw_Bookings!$A$2:A320,Raw_Bookings!A320)&gt;1,1,0)</f>
        <v>0</v>
      </c>
      <c r="C320" s="7" t="str">
        <f>Raw_Bookings!D320&amp;""</f>
        <v>2025-11-10</v>
      </c>
      <c r="D320" s="7" t="str">
        <f>IF(AND(LEN(C320)=10,MID(C320,5,1)="-",MID(C320,8,1)="-"),"ISO",IF(AND(LEN(C320)=10,MID(C320,3,1)="-",MID(C320,6,1)="-"),"DMY","OTHER"))</f>
        <v>ISO</v>
      </c>
      <c r="E320" s="7">
        <f>IF(D320="ISO",VALUE(LEFT(C320,4)),IF(D320="DMY",VALUE(RIGHT(C320,4)),0))</f>
        <v>2025</v>
      </c>
      <c r="F320" s="7">
        <f>IF(D320="ISO",VALUE(MID(C320,6,2)),IF(D320="DMY",VALUE(MID(C320,4,2)),0))</f>
        <v>11</v>
      </c>
      <c r="G320" s="7">
        <f>IF(D320="ISO",VALUE(RIGHT(C320,2)),IF(D320="DMY",VALUE(LEFT(C320,2)),0))</f>
        <v>10</v>
      </c>
      <c r="H320" s="7">
        <f>IF(AND(D320&lt;&gt;"OTHER",F320&gt;=1,F320&lt;=12,G320&gt;=1,G320&lt;=31),IF(AND(MONTH(DATE(E320,F320,G320))=F320,DAY(DATE(E320,F320,G320))=G320),1,0),0)</f>
        <v>1</v>
      </c>
      <c r="I320" s="7">
        <f>IF(H320=1,DATE(E320,F320,G320),"")</f>
        <v>45971.0</v>
      </c>
      <c r="J320" s="7">
        <f>IF(AND(D320="DMY",H320=1),1,0)</f>
        <v>0</v>
      </c>
      <c r="K320" s="7">
        <f>IF(H320=0,1,0)</f>
        <v>0</v>
      </c>
      <c r="L320" s="7">
        <f>IF(TRIM(Raw_Bookings!I320&amp;"")="",1,0)</f>
        <v>0</v>
      </c>
      <c r="M320" s="7">
        <f>IF(L320=1,"",DATEVALUE(LEFT(Raw_Bookings!I320,10))+TIMEVALUE(MID(Raw_Bookings!I320,12,8)))</f>
        <v>45917.933703703704</v>
      </c>
      <c r="N320" s="7">
        <f>IF(AND(L320=0,H320=1),IF(INT(M320)&gt;I320,1,0),0)</f>
        <v>0</v>
      </c>
      <c r="O320" s="7" t="str">
        <f>UPPER(TRIM(Raw_Bookings!F320))</f>
        <v>DIB</v>
      </c>
      <c r="P320" s="7" t="str">
        <f>UPPER(TRIM(Raw_Bookings!G320))</f>
        <v>DEL</v>
      </c>
      <c r="Q320" s="7">
        <f>IF(COUNTIF(Lookup_Stations!$A$2:$A$33,O320)&gt;0,1,0)</f>
        <v>1</v>
      </c>
      <c r="R320" s="7">
        <f>IF(COUNTIF(Lookup_Stations!$A$2:$A$33,P320)&gt;0,1,0)</f>
        <v>1</v>
      </c>
      <c r="S320" s="7">
        <f>IF(OR(AND(Q320=1,NOT(EXACT(Raw_Bookings!F320,O320))),AND(R320=1,NOT(EXACT(Raw_Bookings!G320,P320)))),1,0)</f>
        <v>0</v>
      </c>
      <c r="T320" s="7">
        <f>IF(OR(Q320=0,R320=0),1,0)</f>
        <v>0</v>
      </c>
      <c r="U320" s="7">
        <f>IF(TRIM(Raw_Bookings!E320&amp;"")="",1,0)</f>
        <v>0</v>
      </c>
      <c r="V320" s="7" t="str">
        <f>IF(SUMPRODUCT(--(Lookup_Status!$A$2:$A$13=LOWER(TRIM(Raw_Bookings!K320))))=0,"",INDEX(Lookup_Status!$B$2:$B$13,SUMPRODUCT((Lookup_Status!$A$2:$A$13=LOWER(TRIM(Raw_Bookings!K320)))*(ROW(Lookup_Status!$A$2:$A$13)-1))))</f>
        <v>Confirmed</v>
      </c>
      <c r="W320" s="7">
        <f>IF(AND(V320&lt;&gt;"",NOT(EXACT(Raw_Bookings!K320,V320))),1,0)</f>
        <v>0</v>
      </c>
      <c r="X320" s="7">
        <f>IF(V320="",1,0)</f>
        <v>0</v>
      </c>
      <c r="Y320" s="7">
        <f>IF(TRIM(Raw_Bookings!L320&amp;"")="",1,0)</f>
        <v>0</v>
      </c>
      <c r="Z320" s="7">
        <f>IF(AND(ISTEXT(Raw_Bookings!L320),Y320=0),1,0)</f>
        <v>0</v>
      </c>
      <c r="AA320" s="7">
        <f>IF(Z320=1,IFERROR(VALUE(SUBSTITUTE(SUBSTITUTE(SUBSTITUTE(SUBSTITUTE(SUBSTITUTE(UPPER(Raw_Bookings!L320),"RS.",""),"₹",""),",","")," ",""),"INR","")),""),"")</f>
        <v/>
      </c>
      <c r="AB320" s="7">
        <f>IF(AND(Z320=1,ISNUMBER(AA320)),1,0)</f>
        <v>0</v>
      </c>
      <c r="AC320" s="7">
        <f>IF(B320=1,0,IF(NOT(ISNUMBER(Raw_Bookings!J320)),1,IF(Raw_Bookings!J320&lt;&gt;COUNTIFS(Work_Passengers!$B$2:$B$1336,Raw_Bookings!A320,Work_Passengers!$C$2:$C$1336,0),1,0)))</f>
        <v>0</v>
      </c>
    </row>
    <row r="321" spans="1:29">
      <c r="A321" s="7">
        <f>Raw_Bookings!A321</f>
        <v>1108951</v>
      </c>
      <c r="B321" s="7">
        <f>IF(COUNTIF(Raw_Bookings!$A$2:A321,Raw_Bookings!A321)&gt;1,1,0)</f>
        <v>0</v>
      </c>
      <c r="C321" s="7" t="str">
        <f>Raw_Bookings!D321&amp;""</f>
        <v>2025-11-02</v>
      </c>
      <c r="D321" s="7" t="str">
        <f>IF(AND(LEN(C321)=10,MID(C321,5,1)="-",MID(C321,8,1)="-"),"ISO",IF(AND(LEN(C321)=10,MID(C321,3,1)="-",MID(C321,6,1)="-"),"DMY","OTHER"))</f>
        <v>ISO</v>
      </c>
      <c r="E321" s="7">
        <f>IF(D321="ISO",VALUE(LEFT(C321,4)),IF(D321="DMY",VALUE(RIGHT(C321,4)),0))</f>
        <v>2025</v>
      </c>
      <c r="F321" s="7">
        <f>IF(D321="ISO",VALUE(MID(C321,6,2)),IF(D321="DMY",VALUE(MID(C321,4,2)),0))</f>
        <v>11</v>
      </c>
      <c r="G321" s="7">
        <f>IF(D321="ISO",VALUE(RIGHT(C321,2)),IF(D321="DMY",VALUE(LEFT(C321,2)),0))</f>
        <v>2</v>
      </c>
      <c r="H321" s="7">
        <f>IF(AND(D321&lt;&gt;"OTHER",F321&gt;=1,F321&lt;=12,G321&gt;=1,G321&lt;=31),IF(AND(MONTH(DATE(E321,F321,G321))=F321,DAY(DATE(E321,F321,G321))=G321),1,0),0)</f>
        <v>1</v>
      </c>
      <c r="I321" s="7">
        <f>IF(H321=1,DATE(E321,F321,G321),"")</f>
        <v>45963.0</v>
      </c>
      <c r="J321" s="7">
        <f>IF(AND(D321="DMY",H321=1),1,0)</f>
        <v>0</v>
      </c>
      <c r="K321" s="7">
        <f>IF(H321=0,1,0)</f>
        <v>0</v>
      </c>
      <c r="L321" s="7">
        <f>IF(TRIM(Raw_Bookings!I321&amp;"")="",1,0)</f>
        <v>0</v>
      </c>
      <c r="M321" s="7">
        <f>IF(L321=1,"",DATEVALUE(LEFT(Raw_Bookings!I321,10))+TIMEVALUE(MID(Raw_Bookings!I321,12,8)))</f>
        <v>45919.628657407404</v>
      </c>
      <c r="N321" s="7">
        <f>IF(AND(L321=0,H321=1),IF(INT(M321)&gt;I321,1,0),0)</f>
        <v>0</v>
      </c>
      <c r="O321" s="7" t="str">
        <f>UPPER(TRIM(Raw_Bookings!F321))</f>
        <v>MUM</v>
      </c>
      <c r="P321" s="7" t="str">
        <f>UPPER(TRIM(Raw_Bookings!G321))</f>
        <v>LUC</v>
      </c>
      <c r="Q321" s="7">
        <f>IF(COUNTIF(Lookup_Stations!$A$2:$A$33,O321)&gt;0,1,0)</f>
        <v>1</v>
      </c>
      <c r="R321" s="7">
        <f>IF(COUNTIF(Lookup_Stations!$A$2:$A$33,P321)&gt;0,1,0)</f>
        <v>1</v>
      </c>
      <c r="S321" s="7">
        <f>IF(OR(AND(Q321=1,NOT(EXACT(Raw_Bookings!F321,O321))),AND(R321=1,NOT(EXACT(Raw_Bookings!G321,P321)))),1,0)</f>
        <v>0</v>
      </c>
      <c r="T321" s="7">
        <f>IF(OR(Q321=0,R321=0),1,0)</f>
        <v>0</v>
      </c>
      <c r="U321" s="7">
        <f>IF(TRIM(Raw_Bookings!E321&amp;"")="",1,0)</f>
        <v>0</v>
      </c>
      <c r="V321" s="7" t="str">
        <f>IF(SUMPRODUCT(--(Lookup_Status!$A$2:$A$13=LOWER(TRIM(Raw_Bookings!K321))))=0,"",INDEX(Lookup_Status!$B$2:$B$13,SUMPRODUCT((Lookup_Status!$A$2:$A$13=LOWER(TRIM(Raw_Bookings!K321)))*(ROW(Lookup_Status!$A$2:$A$13)-1))))</f>
        <v>Confirmed</v>
      </c>
      <c r="W321" s="7">
        <f>IF(AND(V321&lt;&gt;"",NOT(EXACT(Raw_Bookings!K321,V321))),1,0)</f>
        <v>0</v>
      </c>
      <c r="X321" s="7">
        <f>IF(V321="",1,0)</f>
        <v>0</v>
      </c>
      <c r="Y321" s="7">
        <f>IF(TRIM(Raw_Bookings!L321&amp;"")="",1,0)</f>
        <v>0</v>
      </c>
      <c r="Z321" s="7">
        <f>IF(AND(ISTEXT(Raw_Bookings!L321),Y321=0),1,0)</f>
        <v>0</v>
      </c>
      <c r="AA321" s="7">
        <f>IF(Z321=1,IFERROR(VALUE(SUBSTITUTE(SUBSTITUTE(SUBSTITUTE(SUBSTITUTE(SUBSTITUTE(UPPER(Raw_Bookings!L321),"RS.",""),"₹",""),",","")," ",""),"INR","")),""),"")</f>
        <v/>
      </c>
      <c r="AB321" s="7">
        <f>IF(AND(Z321=1,ISNUMBER(AA321)),1,0)</f>
        <v>0</v>
      </c>
      <c r="AC321" s="7">
        <f>IF(B321=1,0,IF(NOT(ISNUMBER(Raw_Bookings!J321)),1,IF(Raw_Bookings!J321&lt;&gt;COUNTIFS(Work_Passengers!$B$2:$B$1336,Raw_Bookings!A321,Work_Passengers!$C$2:$C$1336,0),1,0)))</f>
        <v>0</v>
      </c>
    </row>
    <row r="322" spans="1:29">
      <c r="A322" s="7">
        <f>Raw_Bookings!A322</f>
        <v>1109362</v>
      </c>
      <c r="B322" s="7">
        <f>IF(COUNTIF(Raw_Bookings!$A$2:A322,Raw_Bookings!A322)&gt;1,1,0)</f>
        <v>0</v>
      </c>
      <c r="C322" s="7" t="str">
        <f>Raw_Bookings!D322&amp;""</f>
        <v>2025-09-22</v>
      </c>
      <c r="D322" s="7" t="str">
        <f>IF(AND(LEN(C322)=10,MID(C322,5,1)="-",MID(C322,8,1)="-"),"ISO",IF(AND(LEN(C322)=10,MID(C322,3,1)="-",MID(C322,6,1)="-"),"DMY","OTHER"))</f>
        <v>ISO</v>
      </c>
      <c r="E322" s="7">
        <f>IF(D322="ISO",VALUE(LEFT(C322,4)),IF(D322="DMY",VALUE(RIGHT(C322,4)),0))</f>
        <v>2025</v>
      </c>
      <c r="F322" s="7">
        <f>IF(D322="ISO",VALUE(MID(C322,6,2)),IF(D322="DMY",VALUE(MID(C322,4,2)),0))</f>
        <v>9</v>
      </c>
      <c r="G322" s="7">
        <f>IF(D322="ISO",VALUE(RIGHT(C322,2)),IF(D322="DMY",VALUE(LEFT(C322,2)),0))</f>
        <v>22</v>
      </c>
      <c r="H322" s="7">
        <f>IF(AND(D322&lt;&gt;"OTHER",F322&gt;=1,F322&lt;=12,G322&gt;=1,G322&lt;=31),IF(AND(MONTH(DATE(E322,F322,G322))=F322,DAY(DATE(E322,F322,G322))=G322),1,0),0)</f>
        <v>1</v>
      </c>
      <c r="I322" s="7">
        <f>IF(H322=1,DATE(E322,F322,G322),"")</f>
        <v>45922.0</v>
      </c>
      <c r="J322" s="7">
        <f>IF(AND(D322="DMY",H322=1),1,0)</f>
        <v>0</v>
      </c>
      <c r="K322" s="7">
        <f>IF(H322=0,1,0)</f>
        <v>0</v>
      </c>
      <c r="L322" s="7">
        <f>IF(TRIM(Raw_Bookings!I322&amp;"")="",1,0)</f>
        <v>0</v>
      </c>
      <c r="M322" s="7">
        <f>IF(L322=1,"",DATEVALUE(LEFT(Raw_Bookings!I322,10))+TIMEVALUE(MID(Raw_Bookings!I322,12,8)))</f>
        <v>45921.255844907406</v>
      </c>
      <c r="N322" s="7">
        <f>IF(AND(L322=0,H322=1),IF(INT(M322)&gt;I322,1,0),0)</f>
        <v>0</v>
      </c>
      <c r="O322" s="7" t="str">
        <f>UPPER(TRIM(Raw_Bookings!F322))</f>
        <v>PUN</v>
      </c>
      <c r="P322" s="7" t="str">
        <f>UPPER(TRIM(Raw_Bookings!G322))</f>
        <v>DEH</v>
      </c>
      <c r="Q322" s="7">
        <f>IF(COUNTIF(Lookup_Stations!$A$2:$A$33,O322)&gt;0,1,0)</f>
        <v>1</v>
      </c>
      <c r="R322" s="7">
        <f>IF(COUNTIF(Lookup_Stations!$A$2:$A$33,P322)&gt;0,1,0)</f>
        <v>1</v>
      </c>
      <c r="S322" s="7">
        <f>IF(OR(AND(Q322=1,NOT(EXACT(Raw_Bookings!F322,O322))),AND(R322=1,NOT(EXACT(Raw_Bookings!G322,P322)))),1,0)</f>
        <v>0</v>
      </c>
      <c r="T322" s="7">
        <f>IF(OR(Q322=0,R322=0),1,0)</f>
        <v>0</v>
      </c>
      <c r="U322" s="7">
        <f>IF(TRIM(Raw_Bookings!E322&amp;"")="",1,0)</f>
        <v>0</v>
      </c>
      <c r="V322" s="7" t="str">
        <f>IF(SUMPRODUCT(--(Lookup_Status!$A$2:$A$13=LOWER(TRIM(Raw_Bookings!K322))))=0,"",INDEX(Lookup_Status!$B$2:$B$13,SUMPRODUCT((Lookup_Status!$A$2:$A$13=LOWER(TRIM(Raw_Bookings!K322)))*(ROW(Lookup_Status!$A$2:$A$13)-1))))</f>
        <v>Confirmed</v>
      </c>
      <c r="W322" s="7">
        <f>IF(AND(V322&lt;&gt;"",NOT(EXACT(Raw_Bookings!K322,V322))),1,0)</f>
        <v>0</v>
      </c>
      <c r="X322" s="7">
        <f>IF(V322="",1,0)</f>
        <v>0</v>
      </c>
      <c r="Y322" s="7">
        <f>IF(TRIM(Raw_Bookings!L322&amp;"")="",1,0)</f>
        <v>0</v>
      </c>
      <c r="Z322" s="7">
        <f>IF(AND(ISTEXT(Raw_Bookings!L322),Y322=0),1,0)</f>
        <v>0</v>
      </c>
      <c r="AA322" s="7">
        <f>IF(Z322=1,IFERROR(VALUE(SUBSTITUTE(SUBSTITUTE(SUBSTITUTE(SUBSTITUTE(SUBSTITUTE(UPPER(Raw_Bookings!L322),"RS.",""),"₹",""),",","")," ",""),"INR","")),""),"")</f>
        <v/>
      </c>
      <c r="AB322" s="7">
        <f>IF(AND(Z322=1,ISNUMBER(AA322)),1,0)</f>
        <v>0</v>
      </c>
      <c r="AC322" s="7">
        <f>IF(B322=1,0,IF(NOT(ISNUMBER(Raw_Bookings!J322)),1,IF(Raw_Bookings!J322&lt;&gt;COUNTIFS(Work_Passengers!$B$2:$B$1336,Raw_Bookings!A322,Work_Passengers!$C$2:$C$1336,0),1,0)))</f>
        <v>0</v>
      </c>
    </row>
    <row r="323" spans="1:29">
      <c r="A323" s="7">
        <f>Raw_Bookings!A323</f>
        <v>1109655</v>
      </c>
      <c r="B323" s="7">
        <f>IF(COUNTIF(Raw_Bookings!$A$2:A323,Raw_Bookings!A323)&gt;1,1,0)</f>
        <v>0</v>
      </c>
      <c r="C323" s="7" t="str">
        <f>Raw_Bookings!D323&amp;""</f>
        <v>2025-09-22</v>
      </c>
      <c r="D323" s="7" t="str">
        <f>IF(AND(LEN(C323)=10,MID(C323,5,1)="-",MID(C323,8,1)="-"),"ISO",IF(AND(LEN(C323)=10,MID(C323,3,1)="-",MID(C323,6,1)="-"),"DMY","OTHER"))</f>
        <v>ISO</v>
      </c>
      <c r="E323" s="7">
        <f>IF(D323="ISO",VALUE(LEFT(C323,4)),IF(D323="DMY",VALUE(RIGHT(C323,4)),0))</f>
        <v>2025</v>
      </c>
      <c r="F323" s="7">
        <f>IF(D323="ISO",VALUE(MID(C323,6,2)),IF(D323="DMY",VALUE(MID(C323,4,2)),0))</f>
        <v>9</v>
      </c>
      <c r="G323" s="7">
        <f>IF(D323="ISO",VALUE(RIGHT(C323,2)),IF(D323="DMY",VALUE(LEFT(C323,2)),0))</f>
        <v>22</v>
      </c>
      <c r="H323" s="7">
        <f>IF(AND(D323&lt;&gt;"OTHER",F323&gt;=1,F323&lt;=12,G323&gt;=1,G323&lt;=31),IF(AND(MONTH(DATE(E323,F323,G323))=F323,DAY(DATE(E323,F323,G323))=G323),1,0),0)</f>
        <v>1</v>
      </c>
      <c r="I323" s="7">
        <f>IF(H323=1,DATE(E323,F323,G323),"")</f>
        <v>45922.0</v>
      </c>
      <c r="J323" s="7">
        <f>IF(AND(D323="DMY",H323=1),1,0)</f>
        <v>0</v>
      </c>
      <c r="K323" s="7">
        <f>IF(H323=0,1,0)</f>
        <v>0</v>
      </c>
      <c r="L323" s="7">
        <f>IF(TRIM(Raw_Bookings!I323&amp;"")="",1,0)</f>
        <v>0</v>
      </c>
      <c r="M323" s="7">
        <f>IF(L323=1,"",DATEVALUE(LEFT(Raw_Bookings!I323,10))+TIMEVALUE(MID(Raw_Bookings!I323,12,8)))</f>
        <v>45921.927152777775</v>
      </c>
      <c r="N323" s="7">
        <f>IF(AND(L323=0,H323=1),IF(INT(M323)&gt;I323,1,0),0)</f>
        <v>0</v>
      </c>
      <c r="O323" s="7" t="str">
        <f>UPPER(TRIM(Raw_Bookings!F323))</f>
        <v>BEN</v>
      </c>
      <c r="P323" s="7" t="str">
        <f>UPPER(TRIM(Raw_Bookings!G323))</f>
        <v>MUM</v>
      </c>
      <c r="Q323" s="7">
        <f>IF(COUNTIF(Lookup_Stations!$A$2:$A$33,O323)&gt;0,1,0)</f>
        <v>1</v>
      </c>
      <c r="R323" s="7">
        <f>IF(COUNTIF(Lookup_Stations!$A$2:$A$33,P323)&gt;0,1,0)</f>
        <v>1</v>
      </c>
      <c r="S323" s="7">
        <f>IF(OR(AND(Q323=1,NOT(EXACT(Raw_Bookings!F323,O323))),AND(R323=1,NOT(EXACT(Raw_Bookings!G323,P323)))),1,0)</f>
        <v>0</v>
      </c>
      <c r="T323" s="7">
        <f>IF(OR(Q323=0,R323=0),1,0)</f>
        <v>0</v>
      </c>
      <c r="U323" s="7">
        <f>IF(TRIM(Raw_Bookings!E323&amp;"")="",1,0)</f>
        <v>0</v>
      </c>
      <c r="V323" s="7" t="str">
        <f>IF(SUMPRODUCT(--(Lookup_Status!$A$2:$A$13=LOWER(TRIM(Raw_Bookings!K323))))=0,"",INDEX(Lookup_Status!$B$2:$B$13,SUMPRODUCT((Lookup_Status!$A$2:$A$13=LOWER(TRIM(Raw_Bookings!K323)))*(ROW(Lookup_Status!$A$2:$A$13)-1))))</f>
        <v>Cancelled</v>
      </c>
      <c r="W323" s="7">
        <f>IF(AND(V323&lt;&gt;"",NOT(EXACT(Raw_Bookings!K323,V323))),1,0)</f>
        <v>0</v>
      </c>
      <c r="X323" s="7">
        <f>IF(V323="",1,0)</f>
        <v>0</v>
      </c>
      <c r="Y323" s="7">
        <f>IF(TRIM(Raw_Bookings!L323&amp;"")="",1,0)</f>
        <v>0</v>
      </c>
      <c r="Z323" s="7">
        <f>IF(AND(ISTEXT(Raw_Bookings!L323),Y323=0),1,0)</f>
        <v>0</v>
      </c>
      <c r="AA323" s="7">
        <f>IF(Z323=1,IFERROR(VALUE(SUBSTITUTE(SUBSTITUTE(SUBSTITUTE(SUBSTITUTE(SUBSTITUTE(UPPER(Raw_Bookings!L323),"RS.",""),"₹",""),",","")," ",""),"INR","")),""),"")</f>
        <v/>
      </c>
      <c r="AB323" s="7">
        <f>IF(AND(Z323=1,ISNUMBER(AA323)),1,0)</f>
        <v>0</v>
      </c>
      <c r="AC323" s="7">
        <f>IF(B323=1,0,IF(NOT(ISNUMBER(Raw_Bookings!J323)),1,IF(Raw_Bookings!J323&lt;&gt;COUNTIFS(Work_Passengers!$B$2:$B$1336,Raw_Bookings!A323,Work_Passengers!$C$2:$C$1336,0),1,0)))</f>
        <v>0</v>
      </c>
    </row>
    <row r="324" spans="1:29">
      <c r="A324" s="7">
        <f>Raw_Bookings!A324</f>
        <v>1109693</v>
      </c>
      <c r="B324" s="7">
        <f>IF(COUNTIF(Raw_Bookings!$A$2:A324,Raw_Bookings!A324)&gt;1,1,0)</f>
        <v>0</v>
      </c>
      <c r="C324" s="7" t="str">
        <f>Raw_Bookings!D324&amp;""</f>
        <v>2025-10-14</v>
      </c>
      <c r="D324" s="7" t="str">
        <f>IF(AND(LEN(C324)=10,MID(C324,5,1)="-",MID(C324,8,1)="-"),"ISO",IF(AND(LEN(C324)=10,MID(C324,3,1)="-",MID(C324,6,1)="-"),"DMY","OTHER"))</f>
        <v>ISO</v>
      </c>
      <c r="E324" s="7">
        <f>IF(D324="ISO",VALUE(LEFT(C324,4)),IF(D324="DMY",VALUE(RIGHT(C324,4)),0))</f>
        <v>2025</v>
      </c>
      <c r="F324" s="7">
        <f>IF(D324="ISO",VALUE(MID(C324,6,2)),IF(D324="DMY",VALUE(MID(C324,4,2)),0))</f>
        <v>10</v>
      </c>
      <c r="G324" s="7">
        <f>IF(D324="ISO",VALUE(RIGHT(C324,2)),IF(D324="DMY",VALUE(LEFT(C324,2)),0))</f>
        <v>14</v>
      </c>
      <c r="H324" s="7">
        <f>IF(AND(D324&lt;&gt;"OTHER",F324&gt;=1,F324&lt;=12,G324&gt;=1,G324&lt;=31),IF(AND(MONTH(DATE(E324,F324,G324))=F324,DAY(DATE(E324,F324,G324))=G324),1,0),0)</f>
        <v>1</v>
      </c>
      <c r="I324" s="7">
        <f>IF(H324=1,DATE(E324,F324,G324),"")</f>
        <v>45944.0</v>
      </c>
      <c r="J324" s="7">
        <f>IF(AND(D324="DMY",H324=1),1,0)</f>
        <v>0</v>
      </c>
      <c r="K324" s="7">
        <f>IF(H324=0,1,0)</f>
        <v>0</v>
      </c>
      <c r="L324" s="7">
        <f>IF(TRIM(Raw_Bookings!I324&amp;"")="",1,0)</f>
        <v>0</v>
      </c>
      <c r="M324" s="7">
        <f>IF(L324=1,"",DATEVALUE(LEFT(Raw_Bookings!I324,10))+TIMEVALUE(MID(Raw_Bookings!I324,12,8)))</f>
        <v>45922.27255787037</v>
      </c>
      <c r="N324" s="7">
        <f>IF(AND(L324=0,H324=1),IF(INT(M324)&gt;I324,1,0),0)</f>
        <v>0</v>
      </c>
      <c r="O324" s="7" t="str">
        <f>UPPER(TRIM(Raw_Bookings!F324))</f>
        <v>RAI</v>
      </c>
      <c r="P324" s="7" t="str">
        <f>UPPER(TRIM(Raw_Bookings!G324))</f>
        <v>JAI</v>
      </c>
      <c r="Q324" s="7">
        <f>IF(COUNTIF(Lookup_Stations!$A$2:$A$33,O324)&gt;0,1,0)</f>
        <v>1</v>
      </c>
      <c r="R324" s="7">
        <f>IF(COUNTIF(Lookup_Stations!$A$2:$A$33,P324)&gt;0,1,0)</f>
        <v>1</v>
      </c>
      <c r="S324" s="7">
        <f>IF(OR(AND(Q324=1,NOT(EXACT(Raw_Bookings!F324,O324))),AND(R324=1,NOT(EXACT(Raw_Bookings!G324,P324)))),1,0)</f>
        <v>0</v>
      </c>
      <c r="T324" s="7">
        <f>IF(OR(Q324=0,R324=0),1,0)</f>
        <v>0</v>
      </c>
      <c r="U324" s="7">
        <f>IF(TRIM(Raw_Bookings!E324&amp;"")="",1,0)</f>
        <v>0</v>
      </c>
      <c r="V324" s="7" t="str">
        <f>IF(SUMPRODUCT(--(Lookup_Status!$A$2:$A$13=LOWER(TRIM(Raw_Bookings!K324))))=0,"",INDEX(Lookup_Status!$B$2:$B$13,SUMPRODUCT((Lookup_Status!$A$2:$A$13=LOWER(TRIM(Raw_Bookings!K324)))*(ROW(Lookup_Status!$A$2:$A$13)-1))))</f>
        <v>Confirmed</v>
      </c>
      <c r="W324" s="7">
        <f>IF(AND(V324&lt;&gt;"",NOT(EXACT(Raw_Bookings!K324,V324))),1,0)</f>
        <v>0</v>
      </c>
      <c r="X324" s="7">
        <f>IF(V324="",1,0)</f>
        <v>0</v>
      </c>
      <c r="Y324" s="7">
        <f>IF(TRIM(Raw_Bookings!L324&amp;"")="",1,0)</f>
        <v>0</v>
      </c>
      <c r="Z324" s="7">
        <f>IF(AND(ISTEXT(Raw_Bookings!L324),Y324=0),1,0)</f>
        <v>1</v>
      </c>
      <c r="AA324" s="7">
        <f>IF(Z324=1,IFERROR(VALUE(SUBSTITUTE(SUBSTITUTE(SUBSTITUTE(SUBSTITUTE(SUBSTITUTE(UPPER(Raw_Bookings!L324),"RS.",""),"₹",""),",","")," ",""),"INR","")),""),"")</f>
        <v>582</v>
      </c>
      <c r="AB324" s="7">
        <f>IF(AND(Z324=1,ISNUMBER(AA324)),1,0)</f>
        <v>1</v>
      </c>
      <c r="AC324" s="7">
        <f>IF(B324=1,0,IF(NOT(ISNUMBER(Raw_Bookings!J324)),1,IF(Raw_Bookings!J324&lt;&gt;COUNTIFS(Work_Passengers!$B$2:$B$1336,Raw_Bookings!A324,Work_Passengers!$C$2:$C$1336,0),1,0)))</f>
        <v>0</v>
      </c>
    </row>
    <row r="325" spans="1:29">
      <c r="A325" s="7">
        <f>Raw_Bookings!A325</f>
        <v>1109783</v>
      </c>
      <c r="B325" s="7">
        <f>IF(COUNTIF(Raw_Bookings!$A$2:A325,Raw_Bookings!A325)&gt;1,1,0)</f>
        <v>0</v>
      </c>
      <c r="C325" s="7" t="str">
        <f>Raw_Bookings!D325&amp;""</f>
        <v>2025-09-28</v>
      </c>
      <c r="D325" s="7" t="str">
        <f>IF(AND(LEN(C325)=10,MID(C325,5,1)="-",MID(C325,8,1)="-"),"ISO",IF(AND(LEN(C325)=10,MID(C325,3,1)="-",MID(C325,6,1)="-"),"DMY","OTHER"))</f>
        <v>ISO</v>
      </c>
      <c r="E325" s="7">
        <f>IF(D325="ISO",VALUE(LEFT(C325,4)),IF(D325="DMY",VALUE(RIGHT(C325,4)),0))</f>
        <v>2025</v>
      </c>
      <c r="F325" s="7">
        <f>IF(D325="ISO",VALUE(MID(C325,6,2)),IF(D325="DMY",VALUE(MID(C325,4,2)),0))</f>
        <v>9</v>
      </c>
      <c r="G325" s="7">
        <f>IF(D325="ISO",VALUE(RIGHT(C325,2)),IF(D325="DMY",VALUE(LEFT(C325,2)),0))</f>
        <v>28</v>
      </c>
      <c r="H325" s="7">
        <f>IF(AND(D325&lt;&gt;"OTHER",F325&gt;=1,F325&lt;=12,G325&gt;=1,G325&lt;=31),IF(AND(MONTH(DATE(E325,F325,G325))=F325,DAY(DATE(E325,F325,G325))=G325),1,0),0)</f>
        <v>1</v>
      </c>
      <c r="I325" s="7">
        <f>IF(H325=1,DATE(E325,F325,G325),"")</f>
        <v>45928.0</v>
      </c>
      <c r="J325" s="7">
        <f>IF(AND(D325="DMY",H325=1),1,0)</f>
        <v>0</v>
      </c>
      <c r="K325" s="7">
        <f>IF(H325=0,1,0)</f>
        <v>0</v>
      </c>
      <c r="L325" s="7">
        <f>IF(TRIM(Raw_Bookings!I325&amp;"")="",1,0)</f>
        <v>0</v>
      </c>
      <c r="M325" s="7">
        <f>IF(L325=1,"",DATEVALUE(LEFT(Raw_Bookings!I325,10))+TIMEVALUE(MID(Raw_Bookings!I325,12,8)))</f>
        <v>45922.547534722224</v>
      </c>
      <c r="N325" s="7">
        <f>IF(AND(L325=0,H325=1),IF(INT(M325)&gt;I325,1,0),0)</f>
        <v>0</v>
      </c>
      <c r="O325" s="7" t="str">
        <f>UPPER(TRIM(Raw_Bookings!F325))</f>
        <v>MUM</v>
      </c>
      <c r="P325" s="7" t="str">
        <f>UPPER(TRIM(Raw_Bookings!G325))</f>
        <v>BEN</v>
      </c>
      <c r="Q325" s="7">
        <f>IF(COUNTIF(Lookup_Stations!$A$2:$A$33,O325)&gt;0,1,0)</f>
        <v>1</v>
      </c>
      <c r="R325" s="7">
        <f>IF(COUNTIF(Lookup_Stations!$A$2:$A$33,P325)&gt;0,1,0)</f>
        <v>1</v>
      </c>
      <c r="S325" s="7">
        <f>IF(OR(AND(Q325=1,NOT(EXACT(Raw_Bookings!F325,O325))),AND(R325=1,NOT(EXACT(Raw_Bookings!G325,P325)))),1,0)</f>
        <v>0</v>
      </c>
      <c r="T325" s="7">
        <f>IF(OR(Q325=0,R325=0),1,0)</f>
        <v>0</v>
      </c>
      <c r="U325" s="7">
        <f>IF(TRIM(Raw_Bookings!E325&amp;"")="",1,0)</f>
        <v>0</v>
      </c>
      <c r="V325" s="7" t="str">
        <f>IF(SUMPRODUCT(--(Lookup_Status!$A$2:$A$13=LOWER(TRIM(Raw_Bookings!K325))))=0,"",INDEX(Lookup_Status!$B$2:$B$13,SUMPRODUCT((Lookup_Status!$A$2:$A$13=LOWER(TRIM(Raw_Bookings!K325)))*(ROW(Lookup_Status!$A$2:$A$13)-1))))</f>
        <v>Confirmed</v>
      </c>
      <c r="W325" s="7">
        <f>IF(AND(V325&lt;&gt;"",NOT(EXACT(Raw_Bookings!K325,V325))),1,0)</f>
        <v>0</v>
      </c>
      <c r="X325" s="7">
        <f>IF(V325="",1,0)</f>
        <v>0</v>
      </c>
      <c r="Y325" s="7">
        <f>IF(TRIM(Raw_Bookings!L325&amp;"")="",1,0)</f>
        <v>0</v>
      </c>
      <c r="Z325" s="7">
        <f>IF(AND(ISTEXT(Raw_Bookings!L325),Y325=0),1,0)</f>
        <v>0</v>
      </c>
      <c r="AA325" s="7">
        <f>IF(Z325=1,IFERROR(VALUE(SUBSTITUTE(SUBSTITUTE(SUBSTITUTE(SUBSTITUTE(SUBSTITUTE(UPPER(Raw_Bookings!L325),"RS.",""),"₹",""),",","")," ",""),"INR","")),""),"")</f>
        <v/>
      </c>
      <c r="AB325" s="7">
        <f>IF(AND(Z325=1,ISNUMBER(AA325)),1,0)</f>
        <v>0</v>
      </c>
      <c r="AC325" s="7">
        <f>IF(B325=1,0,IF(NOT(ISNUMBER(Raw_Bookings!J325)),1,IF(Raw_Bookings!J325&lt;&gt;COUNTIFS(Work_Passengers!$B$2:$B$1336,Raw_Bookings!A325,Work_Passengers!$C$2:$C$1336,0),1,0)))</f>
        <v>0</v>
      </c>
    </row>
    <row r="326" spans="1:29">
      <c r="A326" s="7">
        <f>Raw_Bookings!A326</f>
        <v>1109812</v>
      </c>
      <c r="B326" s="7">
        <f>IF(COUNTIF(Raw_Bookings!$A$2:A326,Raw_Bookings!A326)&gt;1,1,0)</f>
        <v>0</v>
      </c>
      <c r="C326" s="7" t="str">
        <f>Raw_Bookings!D326&amp;""</f>
        <v>2025-11-03</v>
      </c>
      <c r="D326" s="7" t="str">
        <f>IF(AND(LEN(C326)=10,MID(C326,5,1)="-",MID(C326,8,1)="-"),"ISO",IF(AND(LEN(C326)=10,MID(C326,3,1)="-",MID(C326,6,1)="-"),"DMY","OTHER"))</f>
        <v>ISO</v>
      </c>
      <c r="E326" s="7">
        <f>IF(D326="ISO",VALUE(LEFT(C326,4)),IF(D326="DMY",VALUE(RIGHT(C326,4)),0))</f>
        <v>2025</v>
      </c>
      <c r="F326" s="7">
        <f>IF(D326="ISO",VALUE(MID(C326,6,2)),IF(D326="DMY",VALUE(MID(C326,4,2)),0))</f>
        <v>11</v>
      </c>
      <c r="G326" s="7">
        <f>IF(D326="ISO",VALUE(RIGHT(C326,2)),IF(D326="DMY",VALUE(LEFT(C326,2)),0))</f>
        <v>3</v>
      </c>
      <c r="H326" s="7">
        <f>IF(AND(D326&lt;&gt;"OTHER",F326&gt;=1,F326&lt;=12,G326&gt;=1,G326&lt;=31),IF(AND(MONTH(DATE(E326,F326,G326))=F326,DAY(DATE(E326,F326,G326))=G326),1,0),0)</f>
        <v>1</v>
      </c>
      <c r="I326" s="7">
        <f>IF(H326=1,DATE(E326,F326,G326),"")</f>
        <v>45964.0</v>
      </c>
      <c r="J326" s="7">
        <f>IF(AND(D326="DMY",H326=1),1,0)</f>
        <v>0</v>
      </c>
      <c r="K326" s="7">
        <f>IF(H326=0,1,0)</f>
        <v>0</v>
      </c>
      <c r="L326" s="7">
        <f>IF(TRIM(Raw_Bookings!I326&amp;"")="",1,0)</f>
        <v>0</v>
      </c>
      <c r="M326" s="7">
        <f>IF(L326=1,"",DATEVALUE(LEFT(Raw_Bookings!I326,10))+TIMEVALUE(MID(Raw_Bookings!I326,12,8)))</f>
        <v>45922.65881944444</v>
      </c>
      <c r="N326" s="7">
        <f>IF(AND(L326=0,H326=1),IF(INT(M326)&gt;I326,1,0),0)</f>
        <v>0</v>
      </c>
      <c r="O326" s="7" t="str">
        <f>UPPER(TRIM(Raw_Bookings!F326))</f>
        <v>VIJ</v>
      </c>
      <c r="P326" s="7" t="str">
        <f>UPPER(TRIM(Raw_Bookings!G326))</f>
        <v>PAT</v>
      </c>
      <c r="Q326" s="7">
        <f>IF(COUNTIF(Lookup_Stations!$A$2:$A$33,O326)&gt;0,1,0)</f>
        <v>1</v>
      </c>
      <c r="R326" s="7">
        <f>IF(COUNTIF(Lookup_Stations!$A$2:$A$33,P326)&gt;0,1,0)</f>
        <v>1</v>
      </c>
      <c r="S326" s="7">
        <f>IF(OR(AND(Q326=1,NOT(EXACT(Raw_Bookings!F326,O326))),AND(R326=1,NOT(EXACT(Raw_Bookings!G326,P326)))),1,0)</f>
        <v>0</v>
      </c>
      <c r="T326" s="7">
        <f>IF(OR(Q326=0,R326=0),1,0)</f>
        <v>0</v>
      </c>
      <c r="U326" s="7">
        <f>IF(TRIM(Raw_Bookings!E326&amp;"")="",1,0)</f>
        <v>0</v>
      </c>
      <c r="V326" s="7" t="str">
        <f>IF(SUMPRODUCT(--(Lookup_Status!$A$2:$A$13=LOWER(TRIM(Raw_Bookings!K326))))=0,"",INDEX(Lookup_Status!$B$2:$B$13,SUMPRODUCT((Lookup_Status!$A$2:$A$13=LOWER(TRIM(Raw_Bookings!K326)))*(ROW(Lookup_Status!$A$2:$A$13)-1))))</f>
        <v>Confirmed</v>
      </c>
      <c r="W326" s="7">
        <f>IF(AND(V326&lt;&gt;"",NOT(EXACT(Raw_Bookings!K326,V326))),1,0)</f>
        <v>0</v>
      </c>
      <c r="X326" s="7">
        <f>IF(V326="",1,0)</f>
        <v>0</v>
      </c>
      <c r="Y326" s="7">
        <f>IF(TRIM(Raw_Bookings!L326&amp;"")="",1,0)</f>
        <v>0</v>
      </c>
      <c r="Z326" s="7">
        <f>IF(AND(ISTEXT(Raw_Bookings!L326),Y326=0),1,0)</f>
        <v>0</v>
      </c>
      <c r="AA326" s="7">
        <f>IF(Z326=1,IFERROR(VALUE(SUBSTITUTE(SUBSTITUTE(SUBSTITUTE(SUBSTITUTE(SUBSTITUTE(UPPER(Raw_Bookings!L326),"RS.",""),"₹",""),",","")," ",""),"INR","")),""),"")</f>
        <v/>
      </c>
      <c r="AB326" s="7">
        <f>IF(AND(Z326=1,ISNUMBER(AA326)),1,0)</f>
        <v>0</v>
      </c>
      <c r="AC326" s="7">
        <f>IF(B326=1,0,IF(NOT(ISNUMBER(Raw_Bookings!J326)),1,IF(Raw_Bookings!J326&lt;&gt;COUNTIFS(Work_Passengers!$B$2:$B$1336,Raw_Bookings!A326,Work_Passengers!$C$2:$C$1336,0),1,0)))</f>
        <v>0</v>
      </c>
    </row>
    <row r="327" spans="1:29">
      <c r="A327" s="7">
        <f>Raw_Bookings!A327</f>
        <v>1109946</v>
      </c>
      <c r="B327" s="7">
        <f>IF(COUNTIF(Raw_Bookings!$A$2:A327,Raw_Bookings!A327)&gt;1,1,0)</f>
        <v>0</v>
      </c>
      <c r="C327" s="7" t="str">
        <f>Raw_Bookings!D327&amp;""</f>
        <v>2025-10-17</v>
      </c>
      <c r="D327" s="7" t="str">
        <f>IF(AND(LEN(C327)=10,MID(C327,5,1)="-",MID(C327,8,1)="-"),"ISO",IF(AND(LEN(C327)=10,MID(C327,3,1)="-",MID(C327,6,1)="-"),"DMY","OTHER"))</f>
        <v>ISO</v>
      </c>
      <c r="E327" s="7">
        <f>IF(D327="ISO",VALUE(LEFT(C327,4)),IF(D327="DMY",VALUE(RIGHT(C327,4)),0))</f>
        <v>2025</v>
      </c>
      <c r="F327" s="7">
        <f>IF(D327="ISO",VALUE(MID(C327,6,2)),IF(D327="DMY",VALUE(MID(C327,4,2)),0))</f>
        <v>10</v>
      </c>
      <c r="G327" s="7">
        <f>IF(D327="ISO",VALUE(RIGHT(C327,2)),IF(D327="DMY",VALUE(LEFT(C327,2)),0))</f>
        <v>17</v>
      </c>
      <c r="H327" s="7">
        <f>IF(AND(D327&lt;&gt;"OTHER",F327&gt;=1,F327&lt;=12,G327&gt;=1,G327&lt;=31),IF(AND(MONTH(DATE(E327,F327,G327))=F327,DAY(DATE(E327,F327,G327))=G327),1,0),0)</f>
        <v>1</v>
      </c>
      <c r="I327" s="7">
        <f>IF(H327=1,DATE(E327,F327,G327),"")</f>
        <v>45947.0</v>
      </c>
      <c r="J327" s="7">
        <f>IF(AND(D327="DMY",H327=1),1,0)</f>
        <v>0</v>
      </c>
      <c r="K327" s="7">
        <f>IF(H327=0,1,0)</f>
        <v>0</v>
      </c>
      <c r="L327" s="7">
        <f>IF(TRIM(Raw_Bookings!I327&amp;"")="",1,0)</f>
        <v>0</v>
      </c>
      <c r="M327" s="7">
        <f>IF(L327=1,"",DATEVALUE(LEFT(Raw_Bookings!I327,10))+TIMEVALUE(MID(Raw_Bookings!I327,12,8)))</f>
        <v>45923.19701388889</v>
      </c>
      <c r="N327" s="7">
        <f>IF(AND(L327=0,H327=1),IF(INT(M327)&gt;I327,1,0),0)</f>
        <v>0</v>
      </c>
      <c r="O327" s="7" t="str">
        <f>UPPER(TRIM(Raw_Bookings!F327))</f>
        <v>GUW</v>
      </c>
      <c r="P327" s="7" t="str">
        <f>UPPER(TRIM(Raw_Bookings!G327))</f>
        <v>BHO</v>
      </c>
      <c r="Q327" s="7">
        <f>IF(COUNTIF(Lookup_Stations!$A$2:$A$33,O327)&gt;0,1,0)</f>
        <v>1</v>
      </c>
      <c r="R327" s="7">
        <f>IF(COUNTIF(Lookup_Stations!$A$2:$A$33,P327)&gt;0,1,0)</f>
        <v>1</v>
      </c>
      <c r="S327" s="7">
        <f>IF(OR(AND(Q327=1,NOT(EXACT(Raw_Bookings!F327,O327))),AND(R327=1,NOT(EXACT(Raw_Bookings!G327,P327)))),1,0)</f>
        <v>0</v>
      </c>
      <c r="T327" s="7">
        <f>IF(OR(Q327=0,R327=0),1,0)</f>
        <v>0</v>
      </c>
      <c r="U327" s="7">
        <f>IF(TRIM(Raw_Bookings!E327&amp;"")="",1,0)</f>
        <v>0</v>
      </c>
      <c r="V327" s="7" t="str">
        <f>IF(SUMPRODUCT(--(Lookup_Status!$A$2:$A$13=LOWER(TRIM(Raw_Bookings!K327))))=0,"",INDEX(Lookup_Status!$B$2:$B$13,SUMPRODUCT((Lookup_Status!$A$2:$A$13=LOWER(TRIM(Raw_Bookings!K327)))*(ROW(Lookup_Status!$A$2:$A$13)-1))))</f>
        <v>Confirmed</v>
      </c>
      <c r="W327" s="7">
        <f>IF(AND(V327&lt;&gt;"",NOT(EXACT(Raw_Bookings!K327,V327))),1,0)</f>
        <v>0</v>
      </c>
      <c r="X327" s="7">
        <f>IF(V327="",1,0)</f>
        <v>0</v>
      </c>
      <c r="Y327" s="7">
        <f>IF(TRIM(Raw_Bookings!L327&amp;"")="",1,0)</f>
        <v>0</v>
      </c>
      <c r="Z327" s="7">
        <f>IF(AND(ISTEXT(Raw_Bookings!L327),Y327=0),1,0)</f>
        <v>0</v>
      </c>
      <c r="AA327" s="7">
        <f>IF(Z327=1,IFERROR(VALUE(SUBSTITUTE(SUBSTITUTE(SUBSTITUTE(SUBSTITUTE(SUBSTITUTE(UPPER(Raw_Bookings!L327),"RS.",""),"₹",""),",","")," ",""),"INR","")),""),"")</f>
        <v/>
      </c>
      <c r="AB327" s="7">
        <f>IF(AND(Z327=1,ISNUMBER(AA327)),1,0)</f>
        <v>0</v>
      </c>
      <c r="AC327" s="7">
        <f>IF(B327=1,0,IF(NOT(ISNUMBER(Raw_Bookings!J327)),1,IF(Raw_Bookings!J327&lt;&gt;COUNTIFS(Work_Passengers!$B$2:$B$1336,Raw_Bookings!A327,Work_Passengers!$C$2:$C$1336,0),1,0)))</f>
        <v>0</v>
      </c>
    </row>
    <row r="328" spans="1:29">
      <c r="A328" s="7">
        <f>Raw_Bookings!A328</f>
        <v>1109994</v>
      </c>
      <c r="B328" s="7">
        <f>IF(COUNTIF(Raw_Bookings!$A$2:A328,Raw_Bookings!A328)&gt;1,1,0)</f>
        <v>0</v>
      </c>
      <c r="C328" s="7" t="str">
        <f>Raw_Bookings!D328&amp;""</f>
        <v>2025-09-29</v>
      </c>
      <c r="D328" s="7" t="str">
        <f>IF(AND(LEN(C328)=10,MID(C328,5,1)="-",MID(C328,8,1)="-"),"ISO",IF(AND(LEN(C328)=10,MID(C328,3,1)="-",MID(C328,6,1)="-"),"DMY","OTHER"))</f>
        <v>ISO</v>
      </c>
      <c r="E328" s="7">
        <f>IF(D328="ISO",VALUE(LEFT(C328,4)),IF(D328="DMY",VALUE(RIGHT(C328,4)),0))</f>
        <v>2025</v>
      </c>
      <c r="F328" s="7">
        <f>IF(D328="ISO",VALUE(MID(C328,6,2)),IF(D328="DMY",VALUE(MID(C328,4,2)),0))</f>
        <v>9</v>
      </c>
      <c r="G328" s="7">
        <f>IF(D328="ISO",VALUE(RIGHT(C328,2)),IF(D328="DMY",VALUE(LEFT(C328,2)),0))</f>
        <v>29</v>
      </c>
      <c r="H328" s="7">
        <f>IF(AND(D328&lt;&gt;"OTHER",F328&gt;=1,F328&lt;=12,G328&gt;=1,G328&lt;=31),IF(AND(MONTH(DATE(E328,F328,G328))=F328,DAY(DATE(E328,F328,G328))=G328),1,0),0)</f>
        <v>1</v>
      </c>
      <c r="I328" s="7">
        <f>IF(H328=1,DATE(E328,F328,G328),"")</f>
        <v>45929.0</v>
      </c>
      <c r="J328" s="7">
        <f>IF(AND(D328="DMY",H328=1),1,0)</f>
        <v>0</v>
      </c>
      <c r="K328" s="7">
        <f>IF(H328=0,1,0)</f>
        <v>0</v>
      </c>
      <c r="L328" s="7">
        <f>IF(TRIM(Raw_Bookings!I328&amp;"")="",1,0)</f>
        <v>0</v>
      </c>
      <c r="M328" s="7">
        <f>IF(L328=1,"",DATEVALUE(LEFT(Raw_Bookings!I328,10))+TIMEVALUE(MID(Raw_Bookings!I328,12,8)))</f>
        <v>45923.38245370371</v>
      </c>
      <c r="N328" s="7">
        <f>IF(AND(L328=0,H328=1),IF(INT(M328)&gt;I328,1,0),0)</f>
        <v>0</v>
      </c>
      <c r="O328" s="7" t="str">
        <f>UPPER(TRIM(Raw_Bookings!F328))</f>
        <v>AHM</v>
      </c>
      <c r="P328" s="7" t="str">
        <f>UPPER(TRIM(Raw_Bookings!G328))</f>
        <v>CHE</v>
      </c>
      <c r="Q328" s="7">
        <f>IF(COUNTIF(Lookup_Stations!$A$2:$A$33,O328)&gt;0,1,0)</f>
        <v>1</v>
      </c>
      <c r="R328" s="7">
        <f>IF(COUNTIF(Lookup_Stations!$A$2:$A$33,P328)&gt;0,1,0)</f>
        <v>1</v>
      </c>
      <c r="S328" s="7">
        <f>IF(OR(AND(Q328=1,NOT(EXACT(Raw_Bookings!F328,O328))),AND(R328=1,NOT(EXACT(Raw_Bookings!G328,P328)))),1,0)</f>
        <v>0</v>
      </c>
      <c r="T328" s="7">
        <f>IF(OR(Q328=0,R328=0),1,0)</f>
        <v>0</v>
      </c>
      <c r="U328" s="7">
        <f>IF(TRIM(Raw_Bookings!E328&amp;"")="",1,0)</f>
        <v>0</v>
      </c>
      <c r="V328" s="7" t="str">
        <f>IF(SUMPRODUCT(--(Lookup_Status!$A$2:$A$13=LOWER(TRIM(Raw_Bookings!K328))))=0,"",INDEX(Lookup_Status!$B$2:$B$13,SUMPRODUCT((Lookup_Status!$A$2:$A$13=LOWER(TRIM(Raw_Bookings!K328)))*(ROW(Lookup_Status!$A$2:$A$13)-1))))</f>
        <v>Confirmed</v>
      </c>
      <c r="W328" s="7">
        <f>IF(AND(V328&lt;&gt;"",NOT(EXACT(Raw_Bookings!K328,V328))),1,0)</f>
        <v>0</v>
      </c>
      <c r="X328" s="7">
        <f>IF(V328="",1,0)</f>
        <v>0</v>
      </c>
      <c r="Y328" s="7">
        <f>IF(TRIM(Raw_Bookings!L328&amp;"")="",1,0)</f>
        <v>0</v>
      </c>
      <c r="Z328" s="7">
        <f>IF(AND(ISTEXT(Raw_Bookings!L328),Y328=0),1,0)</f>
        <v>0</v>
      </c>
      <c r="AA328" s="7">
        <f>IF(Z328=1,IFERROR(VALUE(SUBSTITUTE(SUBSTITUTE(SUBSTITUTE(SUBSTITUTE(SUBSTITUTE(UPPER(Raw_Bookings!L328),"RS.",""),"₹",""),",","")," ",""),"INR","")),""),"")</f>
        <v/>
      </c>
      <c r="AB328" s="7">
        <f>IF(AND(Z328=1,ISNUMBER(AA328)),1,0)</f>
        <v>0</v>
      </c>
      <c r="AC328" s="7">
        <f>IF(B328=1,0,IF(NOT(ISNUMBER(Raw_Bookings!J328)),1,IF(Raw_Bookings!J328&lt;&gt;COUNTIFS(Work_Passengers!$B$2:$B$1336,Raw_Bookings!A328,Work_Passengers!$C$2:$C$1336,0),1,0)))</f>
        <v>0</v>
      </c>
    </row>
    <row r="329" spans="1:29">
      <c r="A329" s="7">
        <f>Raw_Bookings!A329</f>
        <v>1110425</v>
      </c>
      <c r="B329" s="7">
        <f>IF(COUNTIF(Raw_Bookings!$A$2:A329,Raw_Bookings!A329)&gt;1,1,0)</f>
        <v>0</v>
      </c>
      <c r="C329" s="7" t="str">
        <f>Raw_Bookings!D329&amp;""</f>
        <v>2025-10-22</v>
      </c>
      <c r="D329" s="7" t="str">
        <f>IF(AND(LEN(C329)=10,MID(C329,5,1)="-",MID(C329,8,1)="-"),"ISO",IF(AND(LEN(C329)=10,MID(C329,3,1)="-",MID(C329,6,1)="-"),"DMY","OTHER"))</f>
        <v>ISO</v>
      </c>
      <c r="E329" s="7">
        <f>IF(D329="ISO",VALUE(LEFT(C329,4)),IF(D329="DMY",VALUE(RIGHT(C329,4)),0))</f>
        <v>2025</v>
      </c>
      <c r="F329" s="7">
        <f>IF(D329="ISO",VALUE(MID(C329,6,2)),IF(D329="DMY",VALUE(MID(C329,4,2)),0))</f>
        <v>10</v>
      </c>
      <c r="G329" s="7">
        <f>IF(D329="ISO",VALUE(RIGHT(C329,2)),IF(D329="DMY",VALUE(LEFT(C329,2)),0))</f>
        <v>22</v>
      </c>
      <c r="H329" s="7">
        <f>IF(AND(D329&lt;&gt;"OTHER",F329&gt;=1,F329&lt;=12,G329&gt;=1,G329&lt;=31),IF(AND(MONTH(DATE(E329,F329,G329))=F329,DAY(DATE(E329,F329,G329))=G329),1,0),0)</f>
        <v>1</v>
      </c>
      <c r="I329" s="7">
        <f>IF(H329=1,DATE(E329,F329,G329),"")</f>
        <v>45952.0</v>
      </c>
      <c r="J329" s="7">
        <f>IF(AND(D329="DMY",H329=1),1,0)</f>
        <v>0</v>
      </c>
      <c r="K329" s="7">
        <f>IF(H329=0,1,0)</f>
        <v>0</v>
      </c>
      <c r="L329" s="7">
        <f>IF(TRIM(Raw_Bookings!I329&amp;"")="",1,0)</f>
        <v>0</v>
      </c>
      <c r="M329" s="7">
        <f>IF(L329=1,"",DATEVALUE(LEFT(Raw_Bookings!I329,10))+TIMEVALUE(MID(Raw_Bookings!I329,12,8)))</f>
        <v>45924.8125462963</v>
      </c>
      <c r="N329" s="7">
        <f>IF(AND(L329=0,H329=1),IF(INT(M329)&gt;I329,1,0),0)</f>
        <v>0</v>
      </c>
      <c r="O329" s="7" t="str">
        <f>UPPER(TRIM(Raw_Bookings!F329))</f>
        <v>DIB</v>
      </c>
      <c r="P329" s="7" t="str">
        <f>UPPER(TRIM(Raw_Bookings!G329))</f>
        <v>DEL</v>
      </c>
      <c r="Q329" s="7">
        <f>IF(COUNTIF(Lookup_Stations!$A$2:$A$33,O329)&gt;0,1,0)</f>
        <v>1</v>
      </c>
      <c r="R329" s="7">
        <f>IF(COUNTIF(Lookup_Stations!$A$2:$A$33,P329)&gt;0,1,0)</f>
        <v>1</v>
      </c>
      <c r="S329" s="7">
        <f>IF(OR(AND(Q329=1,NOT(EXACT(Raw_Bookings!F329,O329))),AND(R329=1,NOT(EXACT(Raw_Bookings!G329,P329)))),1,0)</f>
        <v>0</v>
      </c>
      <c r="T329" s="7">
        <f>IF(OR(Q329=0,R329=0),1,0)</f>
        <v>0</v>
      </c>
      <c r="U329" s="7">
        <f>IF(TRIM(Raw_Bookings!E329&amp;"")="",1,0)</f>
        <v>0</v>
      </c>
      <c r="V329" s="7" t="str">
        <f>IF(SUMPRODUCT(--(Lookup_Status!$A$2:$A$13=LOWER(TRIM(Raw_Bookings!K329))))=0,"",INDEX(Lookup_Status!$B$2:$B$13,SUMPRODUCT((Lookup_Status!$A$2:$A$13=LOWER(TRIM(Raw_Bookings!K329)))*(ROW(Lookup_Status!$A$2:$A$13)-1))))</f>
        <v>Confirmed</v>
      </c>
      <c r="W329" s="7">
        <f>IF(AND(V329&lt;&gt;"",NOT(EXACT(Raw_Bookings!K329,V329))),1,0)</f>
        <v>0</v>
      </c>
      <c r="X329" s="7">
        <f>IF(V329="",1,0)</f>
        <v>0</v>
      </c>
      <c r="Y329" s="7">
        <f>IF(TRIM(Raw_Bookings!L329&amp;"")="",1,0)</f>
        <v>0</v>
      </c>
      <c r="Z329" s="7">
        <f>IF(AND(ISTEXT(Raw_Bookings!L329),Y329=0),1,0)</f>
        <v>0</v>
      </c>
      <c r="AA329" s="7">
        <f>IF(Z329=1,IFERROR(VALUE(SUBSTITUTE(SUBSTITUTE(SUBSTITUTE(SUBSTITUTE(SUBSTITUTE(UPPER(Raw_Bookings!L329),"RS.",""),"₹",""),",","")," ",""),"INR","")),""),"")</f>
        <v/>
      </c>
      <c r="AB329" s="7">
        <f>IF(AND(Z329=1,ISNUMBER(AA329)),1,0)</f>
        <v>0</v>
      </c>
      <c r="AC329" s="7">
        <f>IF(B329=1,0,IF(NOT(ISNUMBER(Raw_Bookings!J329)),1,IF(Raw_Bookings!J329&lt;&gt;COUNTIFS(Work_Passengers!$B$2:$B$1336,Raw_Bookings!A329,Work_Passengers!$C$2:$C$1336,0),1,0)))</f>
        <v>0</v>
      </c>
    </row>
    <row r="330" spans="1:29">
      <c r="A330" s="7">
        <f>Raw_Bookings!A330</f>
        <v>1110648</v>
      </c>
      <c r="B330" s="7">
        <f>IF(COUNTIF(Raw_Bookings!$A$2:A330,Raw_Bookings!A330)&gt;1,1,0)</f>
        <v>0</v>
      </c>
      <c r="C330" s="7" t="str">
        <f>Raw_Bookings!D330&amp;""</f>
        <v>2025-11-02</v>
      </c>
      <c r="D330" s="7" t="str">
        <f>IF(AND(LEN(C330)=10,MID(C330,5,1)="-",MID(C330,8,1)="-"),"ISO",IF(AND(LEN(C330)=10,MID(C330,3,1)="-",MID(C330,6,1)="-"),"DMY","OTHER"))</f>
        <v>ISO</v>
      </c>
      <c r="E330" s="7">
        <f>IF(D330="ISO",VALUE(LEFT(C330,4)),IF(D330="DMY",VALUE(RIGHT(C330,4)),0))</f>
        <v>2025</v>
      </c>
      <c r="F330" s="7">
        <f>IF(D330="ISO",VALUE(MID(C330,6,2)),IF(D330="DMY",VALUE(MID(C330,4,2)),0))</f>
        <v>11</v>
      </c>
      <c r="G330" s="7">
        <f>IF(D330="ISO",VALUE(RIGHT(C330,2)),IF(D330="DMY",VALUE(LEFT(C330,2)),0))</f>
        <v>2</v>
      </c>
      <c r="H330" s="7">
        <f>IF(AND(D330&lt;&gt;"OTHER",F330&gt;=1,F330&lt;=12,G330&gt;=1,G330&lt;=31),IF(AND(MONTH(DATE(E330,F330,G330))=F330,DAY(DATE(E330,F330,G330))=G330),1,0),0)</f>
        <v>1</v>
      </c>
      <c r="I330" s="7">
        <f>IF(H330=1,DATE(E330,F330,G330),"")</f>
        <v>45963.0</v>
      </c>
      <c r="J330" s="7">
        <f>IF(AND(D330="DMY",H330=1),1,0)</f>
        <v>0</v>
      </c>
      <c r="K330" s="7">
        <f>IF(H330=0,1,0)</f>
        <v>0</v>
      </c>
      <c r="L330" s="7">
        <f>IF(TRIM(Raw_Bookings!I330&amp;"")="",1,0)</f>
        <v>0</v>
      </c>
      <c r="M330" s="7">
        <f>IF(L330=1,"",DATEVALUE(LEFT(Raw_Bookings!I330,10))+TIMEVALUE(MID(Raw_Bookings!I330,12,8)))</f>
        <v>45925.7578587963</v>
      </c>
      <c r="N330" s="7">
        <f>IF(AND(L330=0,H330=1),IF(INT(M330)&gt;I330,1,0),0)</f>
        <v>0</v>
      </c>
      <c r="O330" s="7" t="str">
        <f>UPPER(TRIM(Raw_Bookings!F330))</f>
        <v>RAI</v>
      </c>
      <c r="P330" s="7" t="str">
        <f>UPPER(TRIM(Raw_Bookings!G330))</f>
        <v>JAI</v>
      </c>
      <c r="Q330" s="7">
        <f>IF(COUNTIF(Lookup_Stations!$A$2:$A$33,O330)&gt;0,1,0)</f>
        <v>1</v>
      </c>
      <c r="R330" s="7">
        <f>IF(COUNTIF(Lookup_Stations!$A$2:$A$33,P330)&gt;0,1,0)</f>
        <v>1</v>
      </c>
      <c r="S330" s="7">
        <f>IF(OR(AND(Q330=1,NOT(EXACT(Raw_Bookings!F330,O330))),AND(R330=1,NOT(EXACT(Raw_Bookings!G330,P330)))),1,0)</f>
        <v>0</v>
      </c>
      <c r="T330" s="7">
        <f>IF(OR(Q330=0,R330=0),1,0)</f>
        <v>0</v>
      </c>
      <c r="U330" s="7">
        <f>IF(TRIM(Raw_Bookings!E330&amp;"")="",1,0)</f>
        <v>0</v>
      </c>
      <c r="V330" s="7" t="str">
        <f>IF(SUMPRODUCT(--(Lookup_Status!$A$2:$A$13=LOWER(TRIM(Raw_Bookings!K330))))=0,"",INDEX(Lookup_Status!$B$2:$B$13,SUMPRODUCT((Lookup_Status!$A$2:$A$13=LOWER(TRIM(Raw_Bookings!K330)))*(ROW(Lookup_Status!$A$2:$A$13)-1))))</f>
        <v>Confirmed</v>
      </c>
      <c r="W330" s="7">
        <f>IF(AND(V330&lt;&gt;"",NOT(EXACT(Raw_Bookings!K330,V330))),1,0)</f>
        <v>0</v>
      </c>
      <c r="X330" s="7">
        <f>IF(V330="",1,0)</f>
        <v>0</v>
      </c>
      <c r="Y330" s="7">
        <f>IF(TRIM(Raw_Bookings!L330&amp;"")="",1,0)</f>
        <v>0</v>
      </c>
      <c r="Z330" s="7">
        <f>IF(AND(ISTEXT(Raw_Bookings!L330),Y330=0),1,0)</f>
        <v>0</v>
      </c>
      <c r="AA330" s="7">
        <f>IF(Z330=1,IFERROR(VALUE(SUBSTITUTE(SUBSTITUTE(SUBSTITUTE(SUBSTITUTE(SUBSTITUTE(UPPER(Raw_Bookings!L330),"RS.",""),"₹",""),",","")," ",""),"INR","")),""),"")</f>
        <v/>
      </c>
      <c r="AB330" s="7">
        <f>IF(AND(Z330=1,ISNUMBER(AA330)),1,0)</f>
        <v>0</v>
      </c>
      <c r="AC330" s="7">
        <f>IF(B330=1,0,IF(NOT(ISNUMBER(Raw_Bookings!J330)),1,IF(Raw_Bookings!J330&lt;&gt;COUNTIFS(Work_Passengers!$B$2:$B$1336,Raw_Bookings!A330,Work_Passengers!$C$2:$C$1336,0),1,0)))</f>
        <v>0</v>
      </c>
    </row>
    <row r="331" spans="1:29">
      <c r="A331" s="7">
        <f>Raw_Bookings!A331</f>
        <v>1110928</v>
      </c>
      <c r="B331" s="7">
        <f>IF(COUNTIF(Raw_Bookings!$A$2:A331,Raw_Bookings!A331)&gt;1,1,0)</f>
        <v>0</v>
      </c>
      <c r="C331" s="7" t="str">
        <f>Raw_Bookings!D331&amp;""</f>
        <v>2025-11-01</v>
      </c>
      <c r="D331" s="7" t="str">
        <f>IF(AND(LEN(C331)=10,MID(C331,5,1)="-",MID(C331,8,1)="-"),"ISO",IF(AND(LEN(C331)=10,MID(C331,3,1)="-",MID(C331,6,1)="-"),"DMY","OTHER"))</f>
        <v>ISO</v>
      </c>
      <c r="E331" s="7">
        <f>IF(D331="ISO",VALUE(LEFT(C331,4)),IF(D331="DMY",VALUE(RIGHT(C331,4)),0))</f>
        <v>2025</v>
      </c>
      <c r="F331" s="7">
        <f>IF(D331="ISO",VALUE(MID(C331,6,2)),IF(D331="DMY",VALUE(MID(C331,4,2)),0))</f>
        <v>11</v>
      </c>
      <c r="G331" s="7">
        <f>IF(D331="ISO",VALUE(RIGHT(C331,2)),IF(D331="DMY",VALUE(LEFT(C331,2)),0))</f>
        <v>1</v>
      </c>
      <c r="H331" s="7">
        <f>IF(AND(D331&lt;&gt;"OTHER",F331&gt;=1,F331&lt;=12,G331&gt;=1,G331&lt;=31),IF(AND(MONTH(DATE(E331,F331,G331))=F331,DAY(DATE(E331,F331,G331))=G331),1,0),0)</f>
        <v>1</v>
      </c>
      <c r="I331" s="7">
        <f>IF(H331=1,DATE(E331,F331,G331),"")</f>
        <v>45962.0</v>
      </c>
      <c r="J331" s="7">
        <f>IF(AND(D331="DMY",H331=1),1,0)</f>
        <v>0</v>
      </c>
      <c r="K331" s="7">
        <f>IF(H331=0,1,0)</f>
        <v>0</v>
      </c>
      <c r="L331" s="7">
        <f>IF(TRIM(Raw_Bookings!I331&amp;"")="",1,0)</f>
        <v>0</v>
      </c>
      <c r="M331" s="7">
        <f>IF(L331=1,"",DATEVALUE(LEFT(Raw_Bookings!I331,10))+TIMEVALUE(MID(Raw_Bookings!I331,12,8)))</f>
        <v>45926.815300925926</v>
      </c>
      <c r="N331" s="7">
        <f>IF(AND(L331=0,H331=1),IF(INT(M331)&gt;I331,1,0),0)</f>
        <v>0</v>
      </c>
      <c r="O331" s="7" t="str">
        <f>UPPER(TRIM(Raw_Bookings!F331))</f>
        <v>DIB</v>
      </c>
      <c r="P331" s="7" t="str">
        <f>UPPER(TRIM(Raw_Bookings!G331))</f>
        <v>DEL</v>
      </c>
      <c r="Q331" s="7">
        <f>IF(COUNTIF(Lookup_Stations!$A$2:$A$33,O331)&gt;0,1,0)</f>
        <v>1</v>
      </c>
      <c r="R331" s="7">
        <f>IF(COUNTIF(Lookup_Stations!$A$2:$A$33,P331)&gt;0,1,0)</f>
        <v>1</v>
      </c>
      <c r="S331" s="7">
        <f>IF(OR(AND(Q331=1,NOT(EXACT(Raw_Bookings!F331,O331))),AND(R331=1,NOT(EXACT(Raw_Bookings!G331,P331)))),1,0)</f>
        <v>0</v>
      </c>
      <c r="T331" s="7">
        <f>IF(OR(Q331=0,R331=0),1,0)</f>
        <v>0</v>
      </c>
      <c r="U331" s="7">
        <f>IF(TRIM(Raw_Bookings!E331&amp;"")="",1,0)</f>
        <v>0</v>
      </c>
      <c r="V331" s="7" t="str">
        <f>IF(SUMPRODUCT(--(Lookup_Status!$A$2:$A$13=LOWER(TRIM(Raw_Bookings!K331))))=0,"",INDEX(Lookup_Status!$B$2:$B$13,SUMPRODUCT((Lookup_Status!$A$2:$A$13=LOWER(TRIM(Raw_Bookings!K331)))*(ROW(Lookup_Status!$A$2:$A$13)-1))))</f>
        <v>Cancelled</v>
      </c>
      <c r="W331" s="7">
        <f>IF(AND(V331&lt;&gt;"",NOT(EXACT(Raw_Bookings!K331,V331))),1,0)</f>
        <v>0</v>
      </c>
      <c r="X331" s="7">
        <f>IF(V331="",1,0)</f>
        <v>0</v>
      </c>
      <c r="Y331" s="7">
        <f>IF(TRIM(Raw_Bookings!L331&amp;"")="",1,0)</f>
        <v>0</v>
      </c>
      <c r="Z331" s="7">
        <f>IF(AND(ISTEXT(Raw_Bookings!L331),Y331=0),1,0)</f>
        <v>0</v>
      </c>
      <c r="AA331" s="7">
        <f>IF(Z331=1,IFERROR(VALUE(SUBSTITUTE(SUBSTITUTE(SUBSTITUTE(SUBSTITUTE(SUBSTITUTE(UPPER(Raw_Bookings!L331),"RS.",""),"₹",""),",","")," ",""),"INR","")),""),"")</f>
        <v/>
      </c>
      <c r="AB331" s="7">
        <f>IF(AND(Z331=1,ISNUMBER(AA331)),1,0)</f>
        <v>0</v>
      </c>
      <c r="AC331" s="7">
        <f>IF(B331=1,0,IF(NOT(ISNUMBER(Raw_Bookings!J331)),1,IF(Raw_Bookings!J331&lt;&gt;COUNTIFS(Work_Passengers!$B$2:$B$1336,Raw_Bookings!A331,Work_Passengers!$C$2:$C$1336,0),1,0)))</f>
        <v>0</v>
      </c>
    </row>
    <row r="332" spans="1:29">
      <c r="A332" s="7">
        <f>Raw_Bookings!A332</f>
        <v>1111157</v>
      </c>
      <c r="B332" s="7">
        <f>IF(COUNTIF(Raw_Bookings!$A$2:A332,Raw_Bookings!A332)&gt;1,1,0)</f>
        <v>0</v>
      </c>
      <c r="C332" s="7" t="str">
        <f>Raw_Bookings!D332&amp;""</f>
        <v>2025-10-15</v>
      </c>
      <c r="D332" s="7" t="str">
        <f>IF(AND(LEN(C332)=10,MID(C332,5,1)="-",MID(C332,8,1)="-"),"ISO",IF(AND(LEN(C332)=10,MID(C332,3,1)="-",MID(C332,6,1)="-"),"DMY","OTHER"))</f>
        <v>ISO</v>
      </c>
      <c r="E332" s="7">
        <f>IF(D332="ISO",VALUE(LEFT(C332,4)),IF(D332="DMY",VALUE(RIGHT(C332,4)),0))</f>
        <v>2025</v>
      </c>
      <c r="F332" s="7">
        <f>IF(D332="ISO",VALUE(MID(C332,6,2)),IF(D332="DMY",VALUE(MID(C332,4,2)),0))</f>
        <v>10</v>
      </c>
      <c r="G332" s="7">
        <f>IF(D332="ISO",VALUE(RIGHT(C332,2)),IF(D332="DMY",VALUE(LEFT(C332,2)),0))</f>
        <v>15</v>
      </c>
      <c r="H332" s="7">
        <f>IF(AND(D332&lt;&gt;"OTHER",F332&gt;=1,F332&lt;=12,G332&gt;=1,G332&lt;=31),IF(AND(MONTH(DATE(E332,F332,G332))=F332,DAY(DATE(E332,F332,G332))=G332),1,0),0)</f>
        <v>1</v>
      </c>
      <c r="I332" s="7">
        <f>IF(H332=1,DATE(E332,F332,G332),"")</f>
        <v>45945.0</v>
      </c>
      <c r="J332" s="7">
        <f>IF(AND(D332="DMY",H332=1),1,0)</f>
        <v>0</v>
      </c>
      <c r="K332" s="7">
        <f>IF(H332=0,1,0)</f>
        <v>0</v>
      </c>
      <c r="L332" s="7">
        <f>IF(TRIM(Raw_Bookings!I332&amp;"")="",1,0)</f>
        <v>0</v>
      </c>
      <c r="M332" s="7">
        <f>IF(L332=1,"",DATEVALUE(LEFT(Raw_Bookings!I332,10))+TIMEVALUE(MID(Raw_Bookings!I332,12,8)))</f>
        <v>45927.735810185186</v>
      </c>
      <c r="N332" s="7">
        <f>IF(AND(L332=0,H332=1),IF(INT(M332)&gt;I332,1,0),0)</f>
        <v>0</v>
      </c>
      <c r="O332" s="7" t="str">
        <f>UPPER(TRIM(Raw_Bookings!F332))</f>
        <v>HYD</v>
      </c>
      <c r="P332" s="7" t="str">
        <f>UPPER(TRIM(Raw_Bookings!G332))</f>
        <v>KOL</v>
      </c>
      <c r="Q332" s="7">
        <f>IF(COUNTIF(Lookup_Stations!$A$2:$A$33,O332)&gt;0,1,0)</f>
        <v>1</v>
      </c>
      <c r="R332" s="7">
        <f>IF(COUNTIF(Lookup_Stations!$A$2:$A$33,P332)&gt;0,1,0)</f>
        <v>1</v>
      </c>
      <c r="S332" s="7">
        <f>IF(OR(AND(Q332=1,NOT(EXACT(Raw_Bookings!F332,O332))),AND(R332=1,NOT(EXACT(Raw_Bookings!G332,P332)))),1,0)</f>
        <v>0</v>
      </c>
      <c r="T332" s="7">
        <f>IF(OR(Q332=0,R332=0),1,0)</f>
        <v>0</v>
      </c>
      <c r="U332" s="7">
        <f>IF(TRIM(Raw_Bookings!E332&amp;"")="",1,0)</f>
        <v>0</v>
      </c>
      <c r="V332" s="7" t="str">
        <f>IF(SUMPRODUCT(--(Lookup_Status!$A$2:$A$13=LOWER(TRIM(Raw_Bookings!K332))))=0,"",INDEX(Lookup_Status!$B$2:$B$13,SUMPRODUCT((Lookup_Status!$A$2:$A$13=LOWER(TRIM(Raw_Bookings!K332)))*(ROW(Lookup_Status!$A$2:$A$13)-1))))</f>
        <v>Confirmed</v>
      </c>
      <c r="W332" s="7">
        <f>IF(AND(V332&lt;&gt;"",NOT(EXACT(Raw_Bookings!K332,V332))),1,0)</f>
        <v>0</v>
      </c>
      <c r="X332" s="7">
        <f>IF(V332="",1,0)</f>
        <v>0</v>
      </c>
      <c r="Y332" s="7">
        <f>IF(TRIM(Raw_Bookings!L332&amp;"")="",1,0)</f>
        <v>0</v>
      </c>
      <c r="Z332" s="7">
        <f>IF(AND(ISTEXT(Raw_Bookings!L332),Y332=0),1,0)</f>
        <v>0</v>
      </c>
      <c r="AA332" s="7">
        <f>IF(Z332=1,IFERROR(VALUE(SUBSTITUTE(SUBSTITUTE(SUBSTITUTE(SUBSTITUTE(SUBSTITUTE(UPPER(Raw_Bookings!L332),"RS.",""),"₹",""),",","")," ",""),"INR","")),""),"")</f>
        <v/>
      </c>
      <c r="AB332" s="7">
        <f>IF(AND(Z332=1,ISNUMBER(AA332)),1,0)</f>
        <v>0</v>
      </c>
      <c r="AC332" s="7">
        <f>IF(B332=1,0,IF(NOT(ISNUMBER(Raw_Bookings!J332)),1,IF(Raw_Bookings!J332&lt;&gt;COUNTIFS(Work_Passengers!$B$2:$B$1336,Raw_Bookings!A332,Work_Passengers!$C$2:$C$1336,0),1,0)))</f>
        <v>0</v>
      </c>
    </row>
    <row r="333" spans="1:29">
      <c r="A333" s="7">
        <f>Raw_Bookings!A333</f>
        <v>1111915</v>
      </c>
      <c r="B333" s="7">
        <f>IF(COUNTIF(Raw_Bookings!$A$2:A333,Raw_Bookings!A333)&gt;1,1,0)</f>
        <v>0</v>
      </c>
      <c r="C333" s="7" t="str">
        <f>Raw_Bookings!D333&amp;""</f>
        <v>2025-10-17</v>
      </c>
      <c r="D333" s="7" t="str">
        <f>IF(AND(LEN(C333)=10,MID(C333,5,1)="-",MID(C333,8,1)="-"),"ISO",IF(AND(LEN(C333)=10,MID(C333,3,1)="-",MID(C333,6,1)="-"),"DMY","OTHER"))</f>
        <v>ISO</v>
      </c>
      <c r="E333" s="7">
        <f>IF(D333="ISO",VALUE(LEFT(C333,4)),IF(D333="DMY",VALUE(RIGHT(C333,4)),0))</f>
        <v>2025</v>
      </c>
      <c r="F333" s="7">
        <f>IF(D333="ISO",VALUE(MID(C333,6,2)),IF(D333="DMY",VALUE(MID(C333,4,2)),0))</f>
        <v>10</v>
      </c>
      <c r="G333" s="7">
        <f>IF(D333="ISO",VALUE(RIGHT(C333,2)),IF(D333="DMY",VALUE(LEFT(C333,2)),0))</f>
        <v>17</v>
      </c>
      <c r="H333" s="7">
        <f>IF(AND(D333&lt;&gt;"OTHER",F333&gt;=1,F333&lt;=12,G333&gt;=1,G333&lt;=31),IF(AND(MONTH(DATE(E333,F333,G333))=F333,DAY(DATE(E333,F333,G333))=G333),1,0),0)</f>
        <v>1</v>
      </c>
      <c r="I333" s="7">
        <f>IF(H333=1,DATE(E333,F333,G333),"")</f>
        <v>45947.0</v>
      </c>
      <c r="J333" s="7">
        <f>IF(AND(D333="DMY",H333=1),1,0)</f>
        <v>0</v>
      </c>
      <c r="K333" s="7">
        <f>IF(H333=0,1,0)</f>
        <v>0</v>
      </c>
      <c r="L333" s="7">
        <f>IF(TRIM(Raw_Bookings!I333&amp;"")="",1,0)</f>
        <v>0</v>
      </c>
      <c r="M333" s="7">
        <f>IF(L333=1,"",DATEVALUE(LEFT(Raw_Bookings!I333,10))+TIMEVALUE(MID(Raw_Bookings!I333,12,8)))</f>
        <v>45930.69650462963</v>
      </c>
      <c r="N333" s="7">
        <f>IF(AND(L333=0,H333=1),IF(INT(M333)&gt;I333,1,0),0)</f>
        <v>0</v>
      </c>
      <c r="O333" s="7" t="str">
        <f>UPPER(TRIM(Raw_Bookings!F333))</f>
        <v>AHM</v>
      </c>
      <c r="P333" s="7" t="str">
        <f>UPPER(TRIM(Raw_Bookings!G333))</f>
        <v>CHE</v>
      </c>
      <c r="Q333" s="7">
        <f>IF(COUNTIF(Lookup_Stations!$A$2:$A$33,O333)&gt;0,1,0)</f>
        <v>1</v>
      </c>
      <c r="R333" s="7">
        <f>IF(COUNTIF(Lookup_Stations!$A$2:$A$33,P333)&gt;0,1,0)</f>
        <v>1</v>
      </c>
      <c r="S333" s="7">
        <f>IF(OR(AND(Q333=1,NOT(EXACT(Raw_Bookings!F333,O333))),AND(R333=1,NOT(EXACT(Raw_Bookings!G333,P333)))),1,0)</f>
        <v>0</v>
      </c>
      <c r="T333" s="7">
        <f>IF(OR(Q333=0,R333=0),1,0)</f>
        <v>0</v>
      </c>
      <c r="U333" s="7">
        <f>IF(TRIM(Raw_Bookings!E333&amp;"")="",1,0)</f>
        <v>0</v>
      </c>
      <c r="V333" s="7" t="str">
        <f>IF(SUMPRODUCT(--(Lookup_Status!$A$2:$A$13=LOWER(TRIM(Raw_Bookings!K333))))=0,"",INDEX(Lookup_Status!$B$2:$B$13,SUMPRODUCT((Lookup_Status!$A$2:$A$13=LOWER(TRIM(Raw_Bookings!K333)))*(ROW(Lookup_Status!$A$2:$A$13)-1))))</f>
        <v>Confirmed</v>
      </c>
      <c r="W333" s="7">
        <f>IF(AND(V333&lt;&gt;"",NOT(EXACT(Raw_Bookings!K333,V333))),1,0)</f>
        <v>0</v>
      </c>
      <c r="X333" s="7">
        <f>IF(V333="",1,0)</f>
        <v>0</v>
      </c>
      <c r="Y333" s="7">
        <f>IF(TRIM(Raw_Bookings!L333&amp;"")="",1,0)</f>
        <v>0</v>
      </c>
      <c r="Z333" s="7">
        <f>IF(AND(ISTEXT(Raw_Bookings!L333),Y333=0),1,0)</f>
        <v>0</v>
      </c>
      <c r="AA333" s="7">
        <f>IF(Z333=1,IFERROR(VALUE(SUBSTITUTE(SUBSTITUTE(SUBSTITUTE(SUBSTITUTE(SUBSTITUTE(UPPER(Raw_Bookings!L333),"RS.",""),"₹",""),",","")," ",""),"INR","")),""),"")</f>
        <v/>
      </c>
      <c r="AB333" s="7">
        <f>IF(AND(Z333=1,ISNUMBER(AA333)),1,0)</f>
        <v>0</v>
      </c>
      <c r="AC333" s="7">
        <f>IF(B333=1,0,IF(NOT(ISNUMBER(Raw_Bookings!J333)),1,IF(Raw_Bookings!J333&lt;&gt;COUNTIFS(Work_Passengers!$B$2:$B$1336,Raw_Bookings!A333,Work_Passengers!$C$2:$C$1336,0),1,0)))</f>
        <v>0</v>
      </c>
    </row>
    <row r="334" spans="1:29">
      <c r="A334" s="7">
        <f>Raw_Bookings!A334</f>
        <v>1112281</v>
      </c>
      <c r="B334" s="7">
        <f>IF(COUNTIF(Raw_Bookings!$A$2:A334,Raw_Bookings!A334)&gt;1,1,0)</f>
        <v>0</v>
      </c>
      <c r="C334" s="7" t="str">
        <f>Raw_Bookings!D334&amp;""</f>
        <v>2025-10-14</v>
      </c>
      <c r="D334" s="7" t="str">
        <f>IF(AND(LEN(C334)=10,MID(C334,5,1)="-",MID(C334,8,1)="-"),"ISO",IF(AND(LEN(C334)=10,MID(C334,3,1)="-",MID(C334,6,1)="-"),"DMY","OTHER"))</f>
        <v>ISO</v>
      </c>
      <c r="E334" s="7">
        <f>IF(D334="ISO",VALUE(LEFT(C334,4)),IF(D334="DMY",VALUE(RIGHT(C334,4)),0))</f>
        <v>2025</v>
      </c>
      <c r="F334" s="7">
        <f>IF(D334="ISO",VALUE(MID(C334,6,2)),IF(D334="DMY",VALUE(MID(C334,4,2)),0))</f>
        <v>10</v>
      </c>
      <c r="G334" s="7">
        <f>IF(D334="ISO",VALUE(RIGHT(C334,2)),IF(D334="DMY",VALUE(LEFT(C334,2)),0))</f>
        <v>14</v>
      </c>
      <c r="H334" s="7">
        <f>IF(AND(D334&lt;&gt;"OTHER",F334&gt;=1,F334&lt;=12,G334&gt;=1,G334&lt;=31),IF(AND(MONTH(DATE(E334,F334,G334))=F334,DAY(DATE(E334,F334,G334))=G334),1,0),0)</f>
        <v>1</v>
      </c>
      <c r="I334" s="7">
        <f>IF(H334=1,DATE(E334,F334,G334),"")</f>
        <v>45944.0</v>
      </c>
      <c r="J334" s="7">
        <f>IF(AND(D334="DMY",H334=1),1,0)</f>
        <v>0</v>
      </c>
      <c r="K334" s="7">
        <f>IF(H334=0,1,0)</f>
        <v>0</v>
      </c>
      <c r="L334" s="7">
        <f>IF(TRIM(Raw_Bookings!I334&amp;"")="",1,0)</f>
        <v>0</v>
      </c>
      <c r="M334" s="7">
        <f>IF(L334=1,"",DATEVALUE(LEFT(Raw_Bookings!I334,10))+TIMEVALUE(MID(Raw_Bookings!I334,12,8)))</f>
        <v>45931.936898148146</v>
      </c>
      <c r="N334" s="7">
        <f>IF(AND(L334=0,H334=1),IF(INT(M334)&gt;I334,1,0),0)</f>
        <v>0</v>
      </c>
      <c r="O334" s="7" t="str">
        <f>UPPER(TRIM(Raw_Bookings!F334))</f>
        <v>RAI</v>
      </c>
      <c r="P334" s="7" t="str">
        <f>UPPER(TRIM(Raw_Bookings!G334))</f>
        <v>JAI</v>
      </c>
      <c r="Q334" s="7">
        <f>IF(COUNTIF(Lookup_Stations!$A$2:$A$33,O334)&gt;0,1,0)</f>
        <v>1</v>
      </c>
      <c r="R334" s="7">
        <f>IF(COUNTIF(Lookup_Stations!$A$2:$A$33,P334)&gt;0,1,0)</f>
        <v>1</v>
      </c>
      <c r="S334" s="7">
        <f>IF(OR(AND(Q334=1,NOT(EXACT(Raw_Bookings!F334,O334))),AND(R334=1,NOT(EXACT(Raw_Bookings!G334,P334)))),1,0)</f>
        <v>0</v>
      </c>
      <c r="T334" s="7">
        <f>IF(OR(Q334=0,R334=0),1,0)</f>
        <v>0</v>
      </c>
      <c r="U334" s="7">
        <f>IF(TRIM(Raw_Bookings!E334&amp;"")="",1,0)</f>
        <v>0</v>
      </c>
      <c r="V334" s="7" t="str">
        <f>IF(SUMPRODUCT(--(Lookup_Status!$A$2:$A$13=LOWER(TRIM(Raw_Bookings!K334))))=0,"",INDEX(Lookup_Status!$B$2:$B$13,SUMPRODUCT((Lookup_Status!$A$2:$A$13=LOWER(TRIM(Raw_Bookings!K334)))*(ROW(Lookup_Status!$A$2:$A$13)-1))))</f>
        <v>Confirmed</v>
      </c>
      <c r="W334" s="7">
        <f>IF(AND(V334&lt;&gt;"",NOT(EXACT(Raw_Bookings!K334,V334))),1,0)</f>
        <v>0</v>
      </c>
      <c r="X334" s="7">
        <f>IF(V334="",1,0)</f>
        <v>0</v>
      </c>
      <c r="Y334" s="7">
        <f>IF(TRIM(Raw_Bookings!L334&amp;"")="",1,0)</f>
        <v>0</v>
      </c>
      <c r="Z334" s="7">
        <f>IF(AND(ISTEXT(Raw_Bookings!L334),Y334=0),1,0)</f>
        <v>0</v>
      </c>
      <c r="AA334" s="7">
        <f>IF(Z334=1,IFERROR(VALUE(SUBSTITUTE(SUBSTITUTE(SUBSTITUTE(SUBSTITUTE(SUBSTITUTE(UPPER(Raw_Bookings!L334),"RS.",""),"₹",""),",","")," ",""),"INR","")),""),"")</f>
        <v/>
      </c>
      <c r="AB334" s="7">
        <f>IF(AND(Z334=1,ISNUMBER(AA334)),1,0)</f>
        <v>0</v>
      </c>
      <c r="AC334" s="7">
        <f>IF(B334=1,0,IF(NOT(ISNUMBER(Raw_Bookings!J334)),1,IF(Raw_Bookings!J334&lt;&gt;COUNTIFS(Work_Passengers!$B$2:$B$1336,Raw_Bookings!A334,Work_Passengers!$C$2:$C$1336,0),1,0)))</f>
        <v>0</v>
      </c>
    </row>
    <row r="335" spans="1:29">
      <c r="A335" s="7">
        <f>Raw_Bookings!A335</f>
        <v>1112382</v>
      </c>
      <c r="B335" s="7">
        <f>IF(COUNTIF(Raw_Bookings!$A$2:A335,Raw_Bookings!A335)&gt;1,1,0)</f>
        <v>0</v>
      </c>
      <c r="C335" s="7" t="str">
        <f>Raw_Bookings!D335&amp;""</f>
        <v>2026-01-29</v>
      </c>
      <c r="D335" s="7" t="str">
        <f>IF(AND(LEN(C335)=10,MID(C335,5,1)="-",MID(C335,8,1)="-"),"ISO",IF(AND(LEN(C335)=10,MID(C335,3,1)="-",MID(C335,6,1)="-"),"DMY","OTHER"))</f>
        <v>ISO</v>
      </c>
      <c r="E335" s="7">
        <f>IF(D335="ISO",VALUE(LEFT(C335,4)),IF(D335="DMY",VALUE(RIGHT(C335,4)),0))</f>
        <v>2026</v>
      </c>
      <c r="F335" s="7">
        <f>IF(D335="ISO",VALUE(MID(C335,6,2)),IF(D335="DMY",VALUE(MID(C335,4,2)),0))</f>
        <v>1</v>
      </c>
      <c r="G335" s="7">
        <f>IF(D335="ISO",VALUE(RIGHT(C335,2)),IF(D335="DMY",VALUE(LEFT(C335,2)),0))</f>
        <v>29</v>
      </c>
      <c r="H335" s="7">
        <f>IF(AND(D335&lt;&gt;"OTHER",F335&gt;=1,F335&lt;=12,G335&gt;=1,G335&lt;=31),IF(AND(MONTH(DATE(E335,F335,G335))=F335,DAY(DATE(E335,F335,G335))=G335),1,0),0)</f>
        <v>1</v>
      </c>
      <c r="I335" s="7">
        <f>IF(H335=1,DATE(E335,F335,G335),"")</f>
        <v>46051.0</v>
      </c>
      <c r="J335" s="7">
        <f>IF(AND(D335="DMY",H335=1),1,0)</f>
        <v>0</v>
      </c>
      <c r="K335" s="7">
        <f>IF(H335=0,1,0)</f>
        <v>0</v>
      </c>
      <c r="L335" s="7">
        <f>IF(TRIM(Raw_Bookings!I335&amp;"")="",1,0)</f>
        <v>0</v>
      </c>
      <c r="M335" s="7">
        <f>IF(L335=1,"",DATEVALUE(LEFT(Raw_Bookings!I335,10))+TIMEVALUE(MID(Raw_Bookings!I335,12,8)))</f>
        <v>45932.450057870374</v>
      </c>
      <c r="N335" s="7">
        <f>IF(AND(L335=0,H335=1),IF(INT(M335)&gt;I335,1,0),0)</f>
        <v>0</v>
      </c>
      <c r="O335" s="7" t="str">
        <f>UPPER(TRIM(Raw_Bookings!F335))</f>
        <v>DEL</v>
      </c>
      <c r="P335" s="7" t="str">
        <f>UPPER(TRIM(Raw_Bookings!G335))</f>
        <v>MAU</v>
      </c>
      <c r="Q335" s="7">
        <f>IF(COUNTIF(Lookup_Stations!$A$2:$A$33,O335)&gt;0,1,0)</f>
        <v>1</v>
      </c>
      <c r="R335" s="7">
        <f>IF(COUNTIF(Lookup_Stations!$A$2:$A$33,P335)&gt;0,1,0)</f>
        <v>1</v>
      </c>
      <c r="S335" s="7">
        <f>IF(OR(AND(Q335=1,NOT(EXACT(Raw_Bookings!F335,O335))),AND(R335=1,NOT(EXACT(Raw_Bookings!G335,P335)))),1,0)</f>
        <v>0</v>
      </c>
      <c r="T335" s="7">
        <f>IF(OR(Q335=0,R335=0),1,0)</f>
        <v>0</v>
      </c>
      <c r="U335" s="7">
        <f>IF(TRIM(Raw_Bookings!E335&amp;"")="",1,0)</f>
        <v>0</v>
      </c>
      <c r="V335" s="7" t="str">
        <f>IF(SUMPRODUCT(--(Lookup_Status!$A$2:$A$13=LOWER(TRIM(Raw_Bookings!K335))))=0,"",INDEX(Lookup_Status!$B$2:$B$13,SUMPRODUCT((Lookup_Status!$A$2:$A$13=LOWER(TRIM(Raw_Bookings!K335)))*(ROW(Lookup_Status!$A$2:$A$13)-1))))</f>
        <v>Confirmed</v>
      </c>
      <c r="W335" s="7">
        <f>IF(AND(V335&lt;&gt;"",NOT(EXACT(Raw_Bookings!K335,V335))),1,0)</f>
        <v>0</v>
      </c>
      <c r="X335" s="7">
        <f>IF(V335="",1,0)</f>
        <v>0</v>
      </c>
      <c r="Y335" s="7">
        <f>IF(TRIM(Raw_Bookings!L335&amp;"")="",1,0)</f>
        <v>0</v>
      </c>
      <c r="Z335" s="7">
        <f>IF(AND(ISTEXT(Raw_Bookings!L335),Y335=0),1,0)</f>
        <v>0</v>
      </c>
      <c r="AA335" s="7">
        <f>IF(Z335=1,IFERROR(VALUE(SUBSTITUTE(SUBSTITUTE(SUBSTITUTE(SUBSTITUTE(SUBSTITUTE(UPPER(Raw_Bookings!L335),"RS.",""),"₹",""),",","")," ",""),"INR","")),""),"")</f>
        <v/>
      </c>
      <c r="AB335" s="7">
        <f>IF(AND(Z335=1,ISNUMBER(AA335)),1,0)</f>
        <v>0</v>
      </c>
      <c r="AC335" s="7">
        <f>IF(B335=1,0,IF(NOT(ISNUMBER(Raw_Bookings!J335)),1,IF(Raw_Bookings!J335&lt;&gt;COUNTIFS(Work_Passengers!$B$2:$B$1336,Raw_Bookings!A335,Work_Passengers!$C$2:$C$1336,0),1,0)))</f>
        <v>0</v>
      </c>
    </row>
    <row r="336" spans="1:29">
      <c r="A336" s="7">
        <f>Raw_Bookings!A336</f>
        <v>1112583</v>
      </c>
      <c r="B336" s="7">
        <f>IF(COUNTIF(Raw_Bookings!$A$2:A336,Raw_Bookings!A336)&gt;1,1,0)</f>
        <v>0</v>
      </c>
      <c r="C336" s="7" t="str">
        <f>Raw_Bookings!D336&amp;""</f>
        <v>2025-10-31</v>
      </c>
      <c r="D336" s="7" t="str">
        <f>IF(AND(LEN(C336)=10,MID(C336,5,1)="-",MID(C336,8,1)="-"),"ISO",IF(AND(LEN(C336)=10,MID(C336,3,1)="-",MID(C336,6,1)="-"),"DMY","OTHER"))</f>
        <v>ISO</v>
      </c>
      <c r="E336" s="7">
        <f>IF(D336="ISO",VALUE(LEFT(C336,4)),IF(D336="DMY",VALUE(RIGHT(C336,4)),0))</f>
        <v>2025</v>
      </c>
      <c r="F336" s="7">
        <f>IF(D336="ISO",VALUE(MID(C336,6,2)),IF(D336="DMY",VALUE(MID(C336,4,2)),0))</f>
        <v>10</v>
      </c>
      <c r="G336" s="7">
        <f>IF(D336="ISO",VALUE(RIGHT(C336,2)),IF(D336="DMY",VALUE(LEFT(C336,2)),0))</f>
        <v>31</v>
      </c>
      <c r="H336" s="7">
        <f>IF(AND(D336&lt;&gt;"OTHER",F336&gt;=1,F336&lt;=12,G336&gt;=1,G336&lt;=31),IF(AND(MONTH(DATE(E336,F336,G336))=F336,DAY(DATE(E336,F336,G336))=G336),1,0),0)</f>
        <v>1</v>
      </c>
      <c r="I336" s="7">
        <f>IF(H336=1,DATE(E336,F336,G336),"")</f>
        <v>45961.0</v>
      </c>
      <c r="J336" s="7">
        <f>IF(AND(D336="DMY",H336=1),1,0)</f>
        <v>0</v>
      </c>
      <c r="K336" s="7">
        <f>IF(H336=0,1,0)</f>
        <v>0</v>
      </c>
      <c r="L336" s="7">
        <f>IF(TRIM(Raw_Bookings!I336&amp;"")="",1,0)</f>
        <v>0</v>
      </c>
      <c r="M336" s="7">
        <f>IF(L336=1,"",DATEVALUE(LEFT(Raw_Bookings!I336,10))+TIMEVALUE(MID(Raw_Bookings!I336,12,8)))</f>
        <v>45933.255428240744</v>
      </c>
      <c r="N336" s="7">
        <f>IF(AND(L336=0,H336=1),IF(INT(M336)&gt;I336,1,0),0)</f>
        <v>0</v>
      </c>
      <c r="O336" s="7" t="str">
        <f>UPPER(TRIM(Raw_Bookings!F336))</f>
        <v>LUC</v>
      </c>
      <c r="P336" s="7" t="str">
        <f>UPPER(TRIM(Raw_Bookings!G336))</f>
        <v>MUM</v>
      </c>
      <c r="Q336" s="7">
        <f>IF(COUNTIF(Lookup_Stations!$A$2:$A$33,O336)&gt;0,1,0)</f>
        <v>1</v>
      </c>
      <c r="R336" s="7">
        <f>IF(COUNTIF(Lookup_Stations!$A$2:$A$33,P336)&gt;0,1,0)</f>
        <v>1</v>
      </c>
      <c r="S336" s="7">
        <f>IF(OR(AND(Q336=1,NOT(EXACT(Raw_Bookings!F336,O336))),AND(R336=1,NOT(EXACT(Raw_Bookings!G336,P336)))),1,0)</f>
        <v>0</v>
      </c>
      <c r="T336" s="7">
        <f>IF(OR(Q336=0,R336=0),1,0)</f>
        <v>0</v>
      </c>
      <c r="U336" s="7">
        <f>IF(TRIM(Raw_Bookings!E336&amp;"")="",1,0)</f>
        <v>0</v>
      </c>
      <c r="V336" s="7" t="str">
        <f>IF(SUMPRODUCT(--(Lookup_Status!$A$2:$A$13=LOWER(TRIM(Raw_Bookings!K336))))=0,"",INDEX(Lookup_Status!$B$2:$B$13,SUMPRODUCT((Lookup_Status!$A$2:$A$13=LOWER(TRIM(Raw_Bookings!K336)))*(ROW(Lookup_Status!$A$2:$A$13)-1))))</f>
        <v>Cancelled</v>
      </c>
      <c r="W336" s="7">
        <f>IF(AND(V336&lt;&gt;"",NOT(EXACT(Raw_Bookings!K336,V336))),1,0)</f>
        <v>0</v>
      </c>
      <c r="X336" s="7">
        <f>IF(V336="",1,0)</f>
        <v>0</v>
      </c>
      <c r="Y336" s="7">
        <f>IF(TRIM(Raw_Bookings!L336&amp;"")="",1,0)</f>
        <v>0</v>
      </c>
      <c r="Z336" s="7">
        <f>IF(AND(ISTEXT(Raw_Bookings!L336),Y336=0),1,0)</f>
        <v>0</v>
      </c>
      <c r="AA336" s="7">
        <f>IF(Z336=1,IFERROR(VALUE(SUBSTITUTE(SUBSTITUTE(SUBSTITUTE(SUBSTITUTE(SUBSTITUTE(UPPER(Raw_Bookings!L336),"RS.",""),"₹",""),",","")," ",""),"INR","")),""),"")</f>
        <v/>
      </c>
      <c r="AB336" s="7">
        <f>IF(AND(Z336=1,ISNUMBER(AA336)),1,0)</f>
        <v>0</v>
      </c>
      <c r="AC336" s="7">
        <f>IF(B336=1,0,IF(NOT(ISNUMBER(Raw_Bookings!J336)),1,IF(Raw_Bookings!J336&lt;&gt;COUNTIFS(Work_Passengers!$B$2:$B$1336,Raw_Bookings!A336,Work_Passengers!$C$2:$C$1336,0),1,0)))</f>
        <v>0</v>
      </c>
    </row>
    <row r="337" spans="1:29">
      <c r="A337" s="7">
        <f>Raw_Bookings!A337</f>
        <v>1112827</v>
      </c>
      <c r="B337" s="7">
        <f>IF(COUNTIF(Raw_Bookings!$A$2:A337,Raw_Bookings!A337)&gt;1,1,0)</f>
        <v>0</v>
      </c>
      <c r="C337" s="7" t="str">
        <f>Raw_Bookings!D337&amp;""</f>
        <v>2025-11-06</v>
      </c>
      <c r="D337" s="7" t="str">
        <f>IF(AND(LEN(C337)=10,MID(C337,5,1)="-",MID(C337,8,1)="-"),"ISO",IF(AND(LEN(C337)=10,MID(C337,3,1)="-",MID(C337,6,1)="-"),"DMY","OTHER"))</f>
        <v>ISO</v>
      </c>
      <c r="E337" s="7">
        <f>IF(D337="ISO",VALUE(LEFT(C337,4)),IF(D337="DMY",VALUE(RIGHT(C337,4)),0))</f>
        <v>2025</v>
      </c>
      <c r="F337" s="7">
        <f>IF(D337="ISO",VALUE(MID(C337,6,2)),IF(D337="DMY",VALUE(MID(C337,4,2)),0))</f>
        <v>11</v>
      </c>
      <c r="G337" s="7">
        <f>IF(D337="ISO",VALUE(RIGHT(C337,2)),IF(D337="DMY",VALUE(LEFT(C337,2)),0))</f>
        <v>6</v>
      </c>
      <c r="H337" s="7">
        <f>IF(AND(D337&lt;&gt;"OTHER",F337&gt;=1,F337&lt;=12,G337&gt;=1,G337&lt;=31),IF(AND(MONTH(DATE(E337,F337,G337))=F337,DAY(DATE(E337,F337,G337))=G337),1,0),0)</f>
        <v>1</v>
      </c>
      <c r="I337" s="7">
        <f>IF(H337=1,DATE(E337,F337,G337),"")</f>
        <v>45967.0</v>
      </c>
      <c r="J337" s="7">
        <f>IF(AND(D337="DMY",H337=1),1,0)</f>
        <v>0</v>
      </c>
      <c r="K337" s="7">
        <f>IF(H337=0,1,0)</f>
        <v>0</v>
      </c>
      <c r="L337" s="7">
        <f>IF(TRIM(Raw_Bookings!I337&amp;"")="",1,0)</f>
        <v>0</v>
      </c>
      <c r="M337" s="7">
        <f>IF(L337=1,"",DATEVALUE(LEFT(Raw_Bookings!I337,10))+TIMEVALUE(MID(Raw_Bookings!I337,12,8)))</f>
        <v>45933.90384259259</v>
      </c>
      <c r="N337" s="7">
        <f>IF(AND(L337=0,H337=1),IF(INT(M337)&gt;I337,1,0),0)</f>
        <v>0</v>
      </c>
      <c r="O337" s="7" t="str">
        <f>UPPER(TRIM(Raw_Bookings!F337))</f>
        <v>DEL</v>
      </c>
      <c r="P337" s="7" t="str">
        <f>UPPER(TRIM(Raw_Bookings!G337))</f>
        <v>MAU</v>
      </c>
      <c r="Q337" s="7">
        <f>IF(COUNTIF(Lookup_Stations!$A$2:$A$33,O337)&gt;0,1,0)</f>
        <v>1</v>
      </c>
      <c r="R337" s="7">
        <f>IF(COUNTIF(Lookup_Stations!$A$2:$A$33,P337)&gt;0,1,0)</f>
        <v>1</v>
      </c>
      <c r="S337" s="7">
        <f>IF(OR(AND(Q337=1,NOT(EXACT(Raw_Bookings!F337,O337))),AND(R337=1,NOT(EXACT(Raw_Bookings!G337,P337)))),1,0)</f>
        <v>0</v>
      </c>
      <c r="T337" s="7">
        <f>IF(OR(Q337=0,R337=0),1,0)</f>
        <v>0</v>
      </c>
      <c r="U337" s="7">
        <f>IF(TRIM(Raw_Bookings!E337&amp;"")="",1,0)</f>
        <v>0</v>
      </c>
      <c r="V337" s="7" t="str">
        <f>IF(SUMPRODUCT(--(Lookup_Status!$A$2:$A$13=LOWER(TRIM(Raw_Bookings!K337))))=0,"",INDEX(Lookup_Status!$B$2:$B$13,SUMPRODUCT((Lookup_Status!$A$2:$A$13=LOWER(TRIM(Raw_Bookings!K337)))*(ROW(Lookup_Status!$A$2:$A$13)-1))))</f>
        <v>Cancelled</v>
      </c>
      <c r="W337" s="7">
        <f>IF(AND(V337&lt;&gt;"",NOT(EXACT(Raw_Bookings!K337,V337))),1,0)</f>
        <v>0</v>
      </c>
      <c r="X337" s="7">
        <f>IF(V337="",1,0)</f>
        <v>0</v>
      </c>
      <c r="Y337" s="7">
        <f>IF(TRIM(Raw_Bookings!L337&amp;"")="",1,0)</f>
        <v>0</v>
      </c>
      <c r="Z337" s="7">
        <f>IF(AND(ISTEXT(Raw_Bookings!L337),Y337=0),1,0)</f>
        <v>0</v>
      </c>
      <c r="AA337" s="7">
        <f>IF(Z337=1,IFERROR(VALUE(SUBSTITUTE(SUBSTITUTE(SUBSTITUTE(SUBSTITUTE(SUBSTITUTE(UPPER(Raw_Bookings!L337),"RS.",""),"₹",""),",","")," ",""),"INR","")),""),"")</f>
        <v/>
      </c>
      <c r="AB337" s="7">
        <f>IF(AND(Z337=1,ISNUMBER(AA337)),1,0)</f>
        <v>0</v>
      </c>
      <c r="AC337" s="7">
        <f>IF(B337=1,0,IF(NOT(ISNUMBER(Raw_Bookings!J337)),1,IF(Raw_Bookings!J337&lt;&gt;COUNTIFS(Work_Passengers!$B$2:$B$1336,Raw_Bookings!A337,Work_Passengers!$C$2:$C$1336,0),1,0)))</f>
        <v>0</v>
      </c>
    </row>
    <row r="338" spans="1:29">
      <c r="A338" s="7">
        <f>Raw_Bookings!A338</f>
        <v>1113227</v>
      </c>
      <c r="B338" s="7">
        <f>IF(COUNTIF(Raw_Bookings!$A$2:A338,Raw_Bookings!A338)&gt;1,1,0)</f>
        <v>0</v>
      </c>
      <c r="C338" s="7" t="str">
        <f>Raw_Bookings!D338&amp;""</f>
        <v>2025-12-15</v>
      </c>
      <c r="D338" s="7" t="str">
        <f>IF(AND(LEN(C338)=10,MID(C338,5,1)="-",MID(C338,8,1)="-"),"ISO",IF(AND(LEN(C338)=10,MID(C338,3,1)="-",MID(C338,6,1)="-"),"DMY","OTHER"))</f>
        <v>ISO</v>
      </c>
      <c r="E338" s="7">
        <f>IF(D338="ISO",VALUE(LEFT(C338,4)),IF(D338="DMY",VALUE(RIGHT(C338,4)),0))</f>
        <v>2025</v>
      </c>
      <c r="F338" s="7">
        <f>IF(D338="ISO",VALUE(MID(C338,6,2)),IF(D338="DMY",VALUE(MID(C338,4,2)),0))</f>
        <v>12</v>
      </c>
      <c r="G338" s="7">
        <f>IF(D338="ISO",VALUE(RIGHT(C338,2)),IF(D338="DMY",VALUE(LEFT(C338,2)),0))</f>
        <v>15</v>
      </c>
      <c r="H338" s="7">
        <f>IF(AND(D338&lt;&gt;"OTHER",F338&gt;=1,F338&lt;=12,G338&gt;=1,G338&lt;=31),IF(AND(MONTH(DATE(E338,F338,G338))=F338,DAY(DATE(E338,F338,G338))=G338),1,0),0)</f>
        <v>1</v>
      </c>
      <c r="I338" s="7">
        <f>IF(H338=1,DATE(E338,F338,G338),"")</f>
        <v>46006.0</v>
      </c>
      <c r="J338" s="7">
        <f>IF(AND(D338="DMY",H338=1),1,0)</f>
        <v>0</v>
      </c>
      <c r="K338" s="7">
        <f>IF(H338=0,1,0)</f>
        <v>0</v>
      </c>
      <c r="L338" s="7">
        <f>IF(TRIM(Raw_Bookings!I338&amp;"")="",1,0)</f>
        <v>0</v>
      </c>
      <c r="M338" s="7">
        <f>IF(L338=1,"",DATEVALUE(LEFT(Raw_Bookings!I338,10))+TIMEVALUE(MID(Raw_Bookings!I338,12,8)))</f>
        <v>45935.43277777778</v>
      </c>
      <c r="N338" s="7">
        <f>IF(AND(L338=0,H338=1),IF(INT(M338)&gt;I338,1,0),0)</f>
        <v>0</v>
      </c>
      <c r="O338" s="7" t="str">
        <f>UPPER(TRIM(Raw_Bookings!F338))</f>
        <v>AHM</v>
      </c>
      <c r="P338" s="7" t="str">
        <f>UPPER(TRIM(Raw_Bookings!G338))</f>
        <v>VAR</v>
      </c>
      <c r="Q338" s="7">
        <f>IF(COUNTIF(Lookup_Stations!$A$2:$A$33,O338)&gt;0,1,0)</f>
        <v>1</v>
      </c>
      <c r="R338" s="7">
        <f>IF(COUNTIF(Lookup_Stations!$A$2:$A$33,P338)&gt;0,1,0)</f>
        <v>1</v>
      </c>
      <c r="S338" s="7">
        <f>IF(OR(AND(Q338=1,NOT(EXACT(Raw_Bookings!F338,O338))),AND(R338=1,NOT(EXACT(Raw_Bookings!G338,P338)))),1,0)</f>
        <v>0</v>
      </c>
      <c r="T338" s="7">
        <f>IF(OR(Q338=0,R338=0),1,0)</f>
        <v>0</v>
      </c>
      <c r="U338" s="7">
        <f>IF(TRIM(Raw_Bookings!E338&amp;"")="",1,0)</f>
        <v>0</v>
      </c>
      <c r="V338" s="7" t="str">
        <f>IF(SUMPRODUCT(--(Lookup_Status!$A$2:$A$13=LOWER(TRIM(Raw_Bookings!K338))))=0,"",INDEX(Lookup_Status!$B$2:$B$13,SUMPRODUCT((Lookup_Status!$A$2:$A$13=LOWER(TRIM(Raw_Bookings!K338)))*(ROW(Lookup_Status!$A$2:$A$13)-1))))</f>
        <v>Confirmed</v>
      </c>
      <c r="W338" s="7">
        <f>IF(AND(V338&lt;&gt;"",NOT(EXACT(Raw_Bookings!K338,V338))),1,0)</f>
        <v>0</v>
      </c>
      <c r="X338" s="7">
        <f>IF(V338="",1,0)</f>
        <v>0</v>
      </c>
      <c r="Y338" s="7">
        <f>IF(TRIM(Raw_Bookings!L338&amp;"")="",1,0)</f>
        <v>0</v>
      </c>
      <c r="Z338" s="7">
        <f>IF(AND(ISTEXT(Raw_Bookings!L338),Y338=0),1,0)</f>
        <v>0</v>
      </c>
      <c r="AA338" s="7">
        <f>IF(Z338=1,IFERROR(VALUE(SUBSTITUTE(SUBSTITUTE(SUBSTITUTE(SUBSTITUTE(SUBSTITUTE(UPPER(Raw_Bookings!L338),"RS.",""),"₹",""),",","")," ",""),"INR","")),""),"")</f>
        <v/>
      </c>
      <c r="AB338" s="7">
        <f>IF(AND(Z338=1,ISNUMBER(AA338)),1,0)</f>
        <v>0</v>
      </c>
      <c r="AC338" s="7">
        <f>IF(B338=1,0,IF(NOT(ISNUMBER(Raw_Bookings!J338)),1,IF(Raw_Bookings!J338&lt;&gt;COUNTIFS(Work_Passengers!$B$2:$B$1336,Raw_Bookings!A338,Work_Passengers!$C$2:$C$1336,0),1,0)))</f>
        <v>0</v>
      </c>
    </row>
    <row r="339" spans="1:29">
      <c r="A339" s="7">
        <f>Raw_Bookings!A339</f>
        <v>1113807</v>
      </c>
      <c r="B339" s="7">
        <f>IF(COUNTIF(Raw_Bookings!$A$2:A339,Raw_Bookings!A339)&gt;1,1,0)</f>
        <v>0</v>
      </c>
      <c r="C339" s="7" t="str">
        <f>Raw_Bookings!D339&amp;""</f>
        <v>2025-10-13</v>
      </c>
      <c r="D339" s="7" t="str">
        <f>IF(AND(LEN(C339)=10,MID(C339,5,1)="-",MID(C339,8,1)="-"),"ISO",IF(AND(LEN(C339)=10,MID(C339,3,1)="-",MID(C339,6,1)="-"),"DMY","OTHER"))</f>
        <v>ISO</v>
      </c>
      <c r="E339" s="7">
        <f>IF(D339="ISO",VALUE(LEFT(C339,4)),IF(D339="DMY",VALUE(RIGHT(C339,4)),0))</f>
        <v>2025</v>
      </c>
      <c r="F339" s="7">
        <f>IF(D339="ISO",VALUE(MID(C339,6,2)),IF(D339="DMY",VALUE(MID(C339,4,2)),0))</f>
        <v>10</v>
      </c>
      <c r="G339" s="7">
        <f>IF(D339="ISO",VALUE(RIGHT(C339,2)),IF(D339="DMY",VALUE(LEFT(C339,2)),0))</f>
        <v>13</v>
      </c>
      <c r="H339" s="7">
        <f>IF(AND(D339&lt;&gt;"OTHER",F339&gt;=1,F339&lt;=12,G339&gt;=1,G339&lt;=31),IF(AND(MONTH(DATE(E339,F339,G339))=F339,DAY(DATE(E339,F339,G339))=G339),1,0),0)</f>
        <v>1</v>
      </c>
      <c r="I339" s="7">
        <f>IF(H339=1,DATE(E339,F339,G339),"")</f>
        <v>45943.0</v>
      </c>
      <c r="J339" s="7">
        <f>IF(AND(D339="DMY",H339=1),1,0)</f>
        <v>0</v>
      </c>
      <c r="K339" s="7">
        <f>IF(H339=0,1,0)</f>
        <v>0</v>
      </c>
      <c r="L339" s="7">
        <f>IF(TRIM(Raw_Bookings!I339&amp;"")="",1,0)</f>
        <v>0</v>
      </c>
      <c r="M339" s="7">
        <f>IF(L339=1,"",DATEVALUE(LEFT(Raw_Bookings!I339,10))+TIMEVALUE(MID(Raw_Bookings!I339,12,8)))</f>
        <v>45937.52721064815</v>
      </c>
      <c r="N339" s="7">
        <f>IF(AND(L339=0,H339=1),IF(INT(M339)&gt;I339,1,0),0)</f>
        <v>0</v>
      </c>
      <c r="O339" s="7" t="str">
        <f>UPPER(TRIM(Raw_Bookings!F339))</f>
        <v>HYD</v>
      </c>
      <c r="P339" s="7" t="str">
        <f>UPPER(TRIM(Raw_Bookings!G339))</f>
        <v>KOL</v>
      </c>
      <c r="Q339" s="7">
        <f>IF(COUNTIF(Lookup_Stations!$A$2:$A$33,O339)&gt;0,1,0)</f>
        <v>1</v>
      </c>
      <c r="R339" s="7">
        <f>IF(COUNTIF(Lookup_Stations!$A$2:$A$33,P339)&gt;0,1,0)</f>
        <v>1</v>
      </c>
      <c r="S339" s="7">
        <f>IF(OR(AND(Q339=1,NOT(EXACT(Raw_Bookings!F339,O339))),AND(R339=1,NOT(EXACT(Raw_Bookings!G339,P339)))),1,0)</f>
        <v>0</v>
      </c>
      <c r="T339" s="7">
        <f>IF(OR(Q339=0,R339=0),1,0)</f>
        <v>0</v>
      </c>
      <c r="U339" s="7">
        <f>IF(TRIM(Raw_Bookings!E339&amp;"")="",1,0)</f>
        <v>0</v>
      </c>
      <c r="V339" s="7" t="str">
        <f>IF(SUMPRODUCT(--(Lookup_Status!$A$2:$A$13=LOWER(TRIM(Raw_Bookings!K339))))=0,"",INDEX(Lookup_Status!$B$2:$B$13,SUMPRODUCT((Lookup_Status!$A$2:$A$13=LOWER(TRIM(Raw_Bookings!K339)))*(ROW(Lookup_Status!$A$2:$A$13)-1))))</f>
        <v>Confirmed</v>
      </c>
      <c r="W339" s="7">
        <f>IF(AND(V339&lt;&gt;"",NOT(EXACT(Raw_Bookings!K339,V339))),1,0)</f>
        <v>0</v>
      </c>
      <c r="X339" s="7">
        <f>IF(V339="",1,0)</f>
        <v>0</v>
      </c>
      <c r="Y339" s="7">
        <f>IF(TRIM(Raw_Bookings!L339&amp;"")="",1,0)</f>
        <v>0</v>
      </c>
      <c r="Z339" s="7">
        <f>IF(AND(ISTEXT(Raw_Bookings!L339),Y339=0),1,0)</f>
        <v>0</v>
      </c>
      <c r="AA339" s="7">
        <f>IF(Z339=1,IFERROR(VALUE(SUBSTITUTE(SUBSTITUTE(SUBSTITUTE(SUBSTITUTE(SUBSTITUTE(UPPER(Raw_Bookings!L339),"RS.",""),"₹",""),",","")," ",""),"INR","")),""),"")</f>
        <v/>
      </c>
      <c r="AB339" s="7">
        <f>IF(AND(Z339=1,ISNUMBER(AA339)),1,0)</f>
        <v>0</v>
      </c>
      <c r="AC339" s="7">
        <f>IF(B339=1,0,IF(NOT(ISNUMBER(Raw_Bookings!J339)),1,IF(Raw_Bookings!J339&lt;&gt;COUNTIFS(Work_Passengers!$B$2:$B$1336,Raw_Bookings!A339,Work_Passengers!$C$2:$C$1336,0),1,0)))</f>
        <v>0</v>
      </c>
    </row>
    <row r="340" spans="1:29">
      <c r="A340" s="7">
        <f>Raw_Bookings!A340</f>
        <v>1114094</v>
      </c>
      <c r="B340" s="7">
        <f>IF(COUNTIF(Raw_Bookings!$A$2:A340,Raw_Bookings!A340)&gt;1,1,0)</f>
        <v>0</v>
      </c>
      <c r="C340" s="7" t="str">
        <f>Raw_Bookings!D340&amp;""</f>
        <v>2025-11-04</v>
      </c>
      <c r="D340" s="7" t="str">
        <f>IF(AND(LEN(C340)=10,MID(C340,5,1)="-",MID(C340,8,1)="-"),"ISO",IF(AND(LEN(C340)=10,MID(C340,3,1)="-",MID(C340,6,1)="-"),"DMY","OTHER"))</f>
        <v>ISO</v>
      </c>
      <c r="E340" s="7">
        <f>IF(D340="ISO",VALUE(LEFT(C340,4)),IF(D340="DMY",VALUE(RIGHT(C340,4)),0))</f>
        <v>2025</v>
      </c>
      <c r="F340" s="7">
        <f>IF(D340="ISO",VALUE(MID(C340,6,2)),IF(D340="DMY",VALUE(MID(C340,4,2)),0))</f>
        <v>11</v>
      </c>
      <c r="G340" s="7">
        <f>IF(D340="ISO",VALUE(RIGHT(C340,2)),IF(D340="DMY",VALUE(LEFT(C340,2)),0))</f>
        <v>4</v>
      </c>
      <c r="H340" s="7">
        <f>IF(AND(D340&lt;&gt;"OTHER",F340&gt;=1,F340&lt;=12,G340&gt;=1,G340&lt;=31),IF(AND(MONTH(DATE(E340,F340,G340))=F340,DAY(DATE(E340,F340,G340))=G340),1,0),0)</f>
        <v>1</v>
      </c>
      <c r="I340" s="7">
        <f>IF(H340=1,DATE(E340,F340,G340),"")</f>
        <v>45965.0</v>
      </c>
      <c r="J340" s="7">
        <f>IF(AND(D340="DMY",H340=1),1,0)</f>
        <v>0</v>
      </c>
      <c r="K340" s="7">
        <f>IF(H340=0,1,0)</f>
        <v>0</v>
      </c>
      <c r="L340" s="7">
        <f>IF(TRIM(Raw_Bookings!I340&amp;"")="",1,0)</f>
        <v>0</v>
      </c>
      <c r="M340" s="7">
        <f>IF(L340=1,"",DATEVALUE(LEFT(Raw_Bookings!I340,10))+TIMEVALUE(MID(Raw_Bookings!I340,12,8)))</f>
        <v>45938.57329861111</v>
      </c>
      <c r="N340" s="7">
        <f>IF(AND(L340=0,H340=1),IF(INT(M340)&gt;I340,1,0),0)</f>
        <v>0</v>
      </c>
      <c r="O340" s="7" t="str">
        <f>UPPER(TRIM(Raw_Bookings!F340))</f>
        <v>VAR</v>
      </c>
      <c r="P340" s="7" t="str">
        <f>UPPER(TRIM(Raw_Bookings!G340))</f>
        <v>AHM</v>
      </c>
      <c r="Q340" s="7">
        <f>IF(COUNTIF(Lookup_Stations!$A$2:$A$33,O340)&gt;0,1,0)</f>
        <v>1</v>
      </c>
      <c r="R340" s="7">
        <f>IF(COUNTIF(Lookup_Stations!$A$2:$A$33,P340)&gt;0,1,0)</f>
        <v>1</v>
      </c>
      <c r="S340" s="7">
        <f>IF(OR(AND(Q340=1,NOT(EXACT(Raw_Bookings!F340,O340))),AND(R340=1,NOT(EXACT(Raw_Bookings!G340,P340)))),1,0)</f>
        <v>0</v>
      </c>
      <c r="T340" s="7">
        <f>IF(OR(Q340=0,R340=0),1,0)</f>
        <v>0</v>
      </c>
      <c r="U340" s="7">
        <f>IF(TRIM(Raw_Bookings!E340&amp;"")="",1,0)</f>
        <v>0</v>
      </c>
      <c r="V340" s="7" t="str">
        <f>IF(SUMPRODUCT(--(Lookup_Status!$A$2:$A$13=LOWER(TRIM(Raw_Bookings!K340))))=0,"",INDEX(Lookup_Status!$B$2:$B$13,SUMPRODUCT((Lookup_Status!$A$2:$A$13=LOWER(TRIM(Raw_Bookings!K340)))*(ROW(Lookup_Status!$A$2:$A$13)-1))))</f>
        <v>Confirmed</v>
      </c>
      <c r="W340" s="7">
        <f>IF(AND(V340&lt;&gt;"",NOT(EXACT(Raw_Bookings!K340,V340))),1,0)</f>
        <v>0</v>
      </c>
      <c r="X340" s="7">
        <f>IF(V340="",1,0)</f>
        <v>0</v>
      </c>
      <c r="Y340" s="7">
        <f>IF(TRIM(Raw_Bookings!L340&amp;"")="",1,0)</f>
        <v>1</v>
      </c>
      <c r="Z340" s="7">
        <f>IF(AND(ISTEXT(Raw_Bookings!L340),Y340=0),1,0)</f>
        <v>0</v>
      </c>
      <c r="AA340" s="7">
        <f>IF(Z340=1,IFERROR(VALUE(SUBSTITUTE(SUBSTITUTE(SUBSTITUTE(SUBSTITUTE(SUBSTITUTE(UPPER(Raw_Bookings!L340),"RS.",""),"₹",""),",","")," ",""),"INR","")),""),"")</f>
        <v/>
      </c>
      <c r="AB340" s="7">
        <f>IF(AND(Z340=1,ISNUMBER(AA340)),1,0)</f>
        <v>0</v>
      </c>
      <c r="AC340" s="7">
        <f>IF(B340=1,0,IF(NOT(ISNUMBER(Raw_Bookings!J340)),1,IF(Raw_Bookings!J340&lt;&gt;COUNTIFS(Work_Passengers!$B$2:$B$1336,Raw_Bookings!A340,Work_Passengers!$C$2:$C$1336,0),1,0)))</f>
        <v>0</v>
      </c>
    </row>
    <row r="341" spans="1:29">
      <c r="A341" s="7">
        <f>Raw_Bookings!A341</f>
        <v>1114178</v>
      </c>
      <c r="B341" s="7">
        <f>IF(COUNTIF(Raw_Bookings!$A$2:A341,Raw_Bookings!A341)&gt;1,1,0)</f>
        <v>0</v>
      </c>
      <c r="C341" s="7" t="str">
        <f>Raw_Bookings!D341&amp;""</f>
        <v>2025-10-15</v>
      </c>
      <c r="D341" s="7" t="str">
        <f>IF(AND(LEN(C341)=10,MID(C341,5,1)="-",MID(C341,8,1)="-"),"ISO",IF(AND(LEN(C341)=10,MID(C341,3,1)="-",MID(C341,6,1)="-"),"DMY","OTHER"))</f>
        <v>ISO</v>
      </c>
      <c r="E341" s="7">
        <f>IF(D341="ISO",VALUE(LEFT(C341,4)),IF(D341="DMY",VALUE(RIGHT(C341,4)),0))</f>
        <v>2025</v>
      </c>
      <c r="F341" s="7">
        <f>IF(D341="ISO",VALUE(MID(C341,6,2)),IF(D341="DMY",VALUE(MID(C341,4,2)),0))</f>
        <v>10</v>
      </c>
      <c r="G341" s="7">
        <f>IF(D341="ISO",VALUE(RIGHT(C341,2)),IF(D341="DMY",VALUE(LEFT(C341,2)),0))</f>
        <v>15</v>
      </c>
      <c r="H341" s="7">
        <f>IF(AND(D341&lt;&gt;"OTHER",F341&gt;=1,F341&lt;=12,G341&gt;=1,G341&lt;=31),IF(AND(MONTH(DATE(E341,F341,G341))=F341,DAY(DATE(E341,F341,G341))=G341),1,0),0)</f>
        <v>1</v>
      </c>
      <c r="I341" s="7">
        <f>IF(H341=1,DATE(E341,F341,G341),"")</f>
        <v>45945.0</v>
      </c>
      <c r="J341" s="7">
        <f>IF(AND(D341="DMY",H341=1),1,0)</f>
        <v>0</v>
      </c>
      <c r="K341" s="7">
        <f>IF(H341=0,1,0)</f>
        <v>0</v>
      </c>
      <c r="L341" s="7">
        <f>IF(TRIM(Raw_Bookings!I341&amp;"")="",1,0)</f>
        <v>0</v>
      </c>
      <c r="M341" s="7">
        <f>IF(L341=1,"",DATEVALUE(LEFT(Raw_Bookings!I341,10))+TIMEVALUE(MID(Raw_Bookings!I341,12,8)))</f>
        <v>45938.76938657407</v>
      </c>
      <c r="N341" s="7">
        <f>IF(AND(L341=0,H341=1),IF(INT(M341)&gt;I341,1,0),0)</f>
        <v>0</v>
      </c>
      <c r="O341" s="7" t="str">
        <f>UPPER(TRIM(Raw_Bookings!F341))</f>
        <v>HYD</v>
      </c>
      <c r="P341" s="7" t="str">
        <f>UPPER(TRIM(Raw_Bookings!G341))</f>
        <v>KOL</v>
      </c>
      <c r="Q341" s="7">
        <f>IF(COUNTIF(Lookup_Stations!$A$2:$A$33,O341)&gt;0,1,0)</f>
        <v>1</v>
      </c>
      <c r="R341" s="7">
        <f>IF(COUNTIF(Lookup_Stations!$A$2:$A$33,P341)&gt;0,1,0)</f>
        <v>1</v>
      </c>
      <c r="S341" s="7">
        <f>IF(OR(AND(Q341=1,NOT(EXACT(Raw_Bookings!F341,O341))),AND(R341=1,NOT(EXACT(Raw_Bookings!G341,P341)))),1,0)</f>
        <v>0</v>
      </c>
      <c r="T341" s="7">
        <f>IF(OR(Q341=0,R341=0),1,0)</f>
        <v>0</v>
      </c>
      <c r="U341" s="7">
        <f>IF(TRIM(Raw_Bookings!E341&amp;"")="",1,0)</f>
        <v>0</v>
      </c>
      <c r="V341" s="7" t="str">
        <f>IF(SUMPRODUCT(--(Lookup_Status!$A$2:$A$13=LOWER(TRIM(Raw_Bookings!K341))))=0,"",INDEX(Lookup_Status!$B$2:$B$13,SUMPRODUCT((Lookup_Status!$A$2:$A$13=LOWER(TRIM(Raw_Bookings!K341)))*(ROW(Lookup_Status!$A$2:$A$13)-1))))</f>
        <v>Confirmed</v>
      </c>
      <c r="W341" s="7">
        <f>IF(AND(V341&lt;&gt;"",NOT(EXACT(Raw_Bookings!K341,V341))),1,0)</f>
        <v>0</v>
      </c>
      <c r="X341" s="7">
        <f>IF(V341="",1,0)</f>
        <v>0</v>
      </c>
      <c r="Y341" s="7">
        <f>IF(TRIM(Raw_Bookings!L341&amp;"")="",1,0)</f>
        <v>0</v>
      </c>
      <c r="Z341" s="7">
        <f>IF(AND(ISTEXT(Raw_Bookings!L341),Y341=0),1,0)</f>
        <v>0</v>
      </c>
      <c r="AA341" s="7">
        <f>IF(Z341=1,IFERROR(VALUE(SUBSTITUTE(SUBSTITUTE(SUBSTITUTE(SUBSTITUTE(SUBSTITUTE(UPPER(Raw_Bookings!L341),"RS.",""),"₹",""),",","")," ",""),"INR","")),""),"")</f>
        <v/>
      </c>
      <c r="AB341" s="7">
        <f>IF(AND(Z341=1,ISNUMBER(AA341)),1,0)</f>
        <v>0</v>
      </c>
      <c r="AC341" s="7">
        <f>IF(B341=1,0,IF(NOT(ISNUMBER(Raw_Bookings!J341)),1,IF(Raw_Bookings!J341&lt;&gt;COUNTIFS(Work_Passengers!$B$2:$B$1336,Raw_Bookings!A341,Work_Passengers!$C$2:$C$1336,0),1,0)))</f>
        <v>0</v>
      </c>
    </row>
    <row r="342" spans="1:29">
      <c r="A342" s="7">
        <f>Raw_Bookings!A342</f>
        <v>1114288</v>
      </c>
      <c r="B342" s="7">
        <f>IF(COUNTIF(Raw_Bookings!$A$2:A342,Raw_Bookings!A342)&gt;1,1,0)</f>
        <v>0</v>
      </c>
      <c r="C342" s="7" t="str">
        <f>Raw_Bookings!D342&amp;""</f>
        <v>2025-12-05</v>
      </c>
      <c r="D342" s="7" t="str">
        <f>IF(AND(LEN(C342)=10,MID(C342,5,1)="-",MID(C342,8,1)="-"),"ISO",IF(AND(LEN(C342)=10,MID(C342,3,1)="-",MID(C342,6,1)="-"),"DMY","OTHER"))</f>
        <v>ISO</v>
      </c>
      <c r="E342" s="7">
        <f>IF(D342="ISO",VALUE(LEFT(C342,4)),IF(D342="DMY",VALUE(RIGHT(C342,4)),0))</f>
        <v>2025</v>
      </c>
      <c r="F342" s="7">
        <f>IF(D342="ISO",VALUE(MID(C342,6,2)),IF(D342="DMY",VALUE(MID(C342,4,2)),0))</f>
        <v>12</v>
      </c>
      <c r="G342" s="7">
        <f>IF(D342="ISO",VALUE(RIGHT(C342,2)),IF(D342="DMY",VALUE(LEFT(C342,2)),0))</f>
        <v>5</v>
      </c>
      <c r="H342" s="7">
        <f>IF(AND(D342&lt;&gt;"OTHER",F342&gt;=1,F342&lt;=12,G342&gt;=1,G342&lt;=31),IF(AND(MONTH(DATE(E342,F342,G342))=F342,DAY(DATE(E342,F342,G342))=G342),1,0),0)</f>
        <v>1</v>
      </c>
      <c r="I342" s="7">
        <f>IF(H342=1,DATE(E342,F342,G342),"")</f>
        <v>45996.0</v>
      </c>
      <c r="J342" s="7">
        <f>IF(AND(D342="DMY",H342=1),1,0)</f>
        <v>0</v>
      </c>
      <c r="K342" s="7">
        <f>IF(H342=0,1,0)</f>
        <v>0</v>
      </c>
      <c r="L342" s="7">
        <f>IF(TRIM(Raw_Bookings!I342&amp;"")="",1,0)</f>
        <v>0</v>
      </c>
      <c r="M342" s="7">
        <f>IF(L342=1,"",DATEVALUE(LEFT(Raw_Bookings!I342,10))+TIMEVALUE(MID(Raw_Bookings!I342,12,8)))</f>
        <v>45939.311527777776</v>
      </c>
      <c r="N342" s="7">
        <f>IF(AND(L342=0,H342=1),IF(INT(M342)&gt;I342,1,0),0)</f>
        <v>0</v>
      </c>
      <c r="O342" s="7" t="str">
        <f>UPPER(TRIM(Raw_Bookings!F342))</f>
        <v>CHE</v>
      </c>
      <c r="P342" s="7" t="str">
        <f>UPPER(TRIM(Raw_Bookings!G342))</f>
        <v>AHM</v>
      </c>
      <c r="Q342" s="7">
        <f>IF(COUNTIF(Lookup_Stations!$A$2:$A$33,O342)&gt;0,1,0)</f>
        <v>1</v>
      </c>
      <c r="R342" s="7">
        <f>IF(COUNTIF(Lookup_Stations!$A$2:$A$33,P342)&gt;0,1,0)</f>
        <v>1</v>
      </c>
      <c r="S342" s="7">
        <f>IF(OR(AND(Q342=1,NOT(EXACT(Raw_Bookings!F342,O342))),AND(R342=1,NOT(EXACT(Raw_Bookings!G342,P342)))),1,0)</f>
        <v>0</v>
      </c>
      <c r="T342" s="7">
        <f>IF(OR(Q342=0,R342=0),1,0)</f>
        <v>0</v>
      </c>
      <c r="U342" s="7">
        <f>IF(TRIM(Raw_Bookings!E342&amp;"")="",1,0)</f>
        <v>0</v>
      </c>
      <c r="V342" s="7" t="str">
        <f>IF(SUMPRODUCT(--(Lookup_Status!$A$2:$A$13=LOWER(TRIM(Raw_Bookings!K342))))=0,"",INDEX(Lookup_Status!$B$2:$B$13,SUMPRODUCT((Lookup_Status!$A$2:$A$13=LOWER(TRIM(Raw_Bookings!K342)))*(ROW(Lookup_Status!$A$2:$A$13)-1))))</f>
        <v>Confirmed</v>
      </c>
      <c r="W342" s="7">
        <f>IF(AND(V342&lt;&gt;"",NOT(EXACT(Raw_Bookings!K342,V342))),1,0)</f>
        <v>0</v>
      </c>
      <c r="X342" s="7">
        <f>IF(V342="",1,0)</f>
        <v>0</v>
      </c>
      <c r="Y342" s="7">
        <f>IF(TRIM(Raw_Bookings!L342&amp;"")="",1,0)</f>
        <v>1</v>
      </c>
      <c r="Z342" s="7">
        <f>IF(AND(ISTEXT(Raw_Bookings!L342),Y342=0),1,0)</f>
        <v>0</v>
      </c>
      <c r="AA342" s="7">
        <f>IF(Z342=1,IFERROR(VALUE(SUBSTITUTE(SUBSTITUTE(SUBSTITUTE(SUBSTITUTE(SUBSTITUTE(UPPER(Raw_Bookings!L342),"RS.",""),"₹",""),",","")," ",""),"INR","")),""),"")</f>
        <v/>
      </c>
      <c r="AB342" s="7">
        <f>IF(AND(Z342=1,ISNUMBER(AA342)),1,0)</f>
        <v>0</v>
      </c>
      <c r="AC342" s="7">
        <f>IF(B342=1,0,IF(NOT(ISNUMBER(Raw_Bookings!J342)),1,IF(Raw_Bookings!J342&lt;&gt;COUNTIFS(Work_Passengers!$B$2:$B$1336,Raw_Bookings!A342,Work_Passengers!$C$2:$C$1336,0),1,0)))</f>
        <v>0</v>
      </c>
    </row>
    <row r="343" spans="1:29">
      <c r="A343" s="7">
        <f>Raw_Bookings!A343</f>
        <v>1114785</v>
      </c>
      <c r="B343" s="7">
        <f>IF(COUNTIF(Raw_Bookings!$A$2:A343,Raw_Bookings!A343)&gt;1,1,0)</f>
        <v>0</v>
      </c>
      <c r="C343" s="7" t="str">
        <f>Raw_Bookings!D343&amp;""</f>
        <v>2025-11-06</v>
      </c>
      <c r="D343" s="7" t="str">
        <f>IF(AND(LEN(C343)=10,MID(C343,5,1)="-",MID(C343,8,1)="-"),"ISO",IF(AND(LEN(C343)=10,MID(C343,3,1)="-",MID(C343,6,1)="-"),"DMY","OTHER"))</f>
        <v>ISO</v>
      </c>
      <c r="E343" s="7">
        <f>IF(D343="ISO",VALUE(LEFT(C343,4)),IF(D343="DMY",VALUE(RIGHT(C343,4)),0))</f>
        <v>2025</v>
      </c>
      <c r="F343" s="7">
        <f>IF(D343="ISO",VALUE(MID(C343,6,2)),IF(D343="DMY",VALUE(MID(C343,4,2)),0))</f>
        <v>11</v>
      </c>
      <c r="G343" s="7">
        <f>IF(D343="ISO",VALUE(RIGHT(C343,2)),IF(D343="DMY",VALUE(LEFT(C343,2)),0))</f>
        <v>6</v>
      </c>
      <c r="H343" s="7">
        <f>IF(AND(D343&lt;&gt;"OTHER",F343&gt;=1,F343&lt;=12,G343&gt;=1,G343&lt;=31),IF(AND(MONTH(DATE(E343,F343,G343))=F343,DAY(DATE(E343,F343,G343))=G343),1,0),0)</f>
        <v>1</v>
      </c>
      <c r="I343" s="7">
        <f>IF(H343=1,DATE(E343,F343,G343),"")</f>
        <v>45967.0</v>
      </c>
      <c r="J343" s="7">
        <f>IF(AND(D343="DMY",H343=1),1,0)</f>
        <v>0</v>
      </c>
      <c r="K343" s="7">
        <f>IF(H343=0,1,0)</f>
        <v>0</v>
      </c>
      <c r="L343" s="7">
        <f>IF(TRIM(Raw_Bookings!I343&amp;"")="",1,0)</f>
        <v>0</v>
      </c>
      <c r="M343" s="7">
        <f>IF(L343=1,"",DATEVALUE(LEFT(Raw_Bookings!I343,10))+TIMEVALUE(MID(Raw_Bookings!I343,12,8)))</f>
        <v>45940.837222222224</v>
      </c>
      <c r="N343" s="7">
        <f>IF(AND(L343=0,H343=1),IF(INT(M343)&gt;I343,1,0),0)</f>
        <v>0</v>
      </c>
      <c r="O343" s="7" t="str">
        <f>UPPER(TRIM(Raw_Bookings!F343))</f>
        <v>DEL</v>
      </c>
      <c r="P343" s="7" t="str">
        <f>UPPER(TRIM(Raw_Bookings!G343))</f>
        <v>MAU</v>
      </c>
      <c r="Q343" s="7">
        <f>IF(COUNTIF(Lookup_Stations!$A$2:$A$33,O343)&gt;0,1,0)</f>
        <v>1</v>
      </c>
      <c r="R343" s="7">
        <f>IF(COUNTIF(Lookup_Stations!$A$2:$A$33,P343)&gt;0,1,0)</f>
        <v>1</v>
      </c>
      <c r="S343" s="7">
        <f>IF(OR(AND(Q343=1,NOT(EXACT(Raw_Bookings!F343,O343))),AND(R343=1,NOT(EXACT(Raw_Bookings!G343,P343)))),1,0)</f>
        <v>0</v>
      </c>
      <c r="T343" s="7">
        <f>IF(OR(Q343=0,R343=0),1,0)</f>
        <v>0</v>
      </c>
      <c r="U343" s="7">
        <f>IF(TRIM(Raw_Bookings!E343&amp;"")="",1,0)</f>
        <v>0</v>
      </c>
      <c r="V343" s="7" t="str">
        <f>IF(SUMPRODUCT(--(Lookup_Status!$A$2:$A$13=LOWER(TRIM(Raw_Bookings!K343))))=0,"",INDEX(Lookup_Status!$B$2:$B$13,SUMPRODUCT((Lookup_Status!$A$2:$A$13=LOWER(TRIM(Raw_Bookings!K343)))*(ROW(Lookup_Status!$A$2:$A$13)-1))))</f>
        <v>Confirmed</v>
      </c>
      <c r="W343" s="7">
        <f>IF(AND(V343&lt;&gt;"",NOT(EXACT(Raw_Bookings!K343,V343))),1,0)</f>
        <v>0</v>
      </c>
      <c r="X343" s="7">
        <f>IF(V343="",1,0)</f>
        <v>0</v>
      </c>
      <c r="Y343" s="7">
        <f>IF(TRIM(Raw_Bookings!L343&amp;"")="",1,0)</f>
        <v>0</v>
      </c>
      <c r="Z343" s="7">
        <f>IF(AND(ISTEXT(Raw_Bookings!L343),Y343=0),1,0)</f>
        <v>0</v>
      </c>
      <c r="AA343" s="7">
        <f>IF(Z343=1,IFERROR(VALUE(SUBSTITUTE(SUBSTITUTE(SUBSTITUTE(SUBSTITUTE(SUBSTITUTE(UPPER(Raw_Bookings!L343),"RS.",""),"₹",""),",","")," ",""),"INR","")),""),"")</f>
        <v/>
      </c>
      <c r="AB343" s="7">
        <f>IF(AND(Z343=1,ISNUMBER(AA343)),1,0)</f>
        <v>0</v>
      </c>
      <c r="AC343" s="7">
        <f>IF(B343=1,0,IF(NOT(ISNUMBER(Raw_Bookings!J343)),1,IF(Raw_Bookings!J343&lt;&gt;COUNTIFS(Work_Passengers!$B$2:$B$1336,Raw_Bookings!A343,Work_Passengers!$C$2:$C$1336,0),1,0)))</f>
        <v>0</v>
      </c>
    </row>
    <row r="344" spans="1:29">
      <c r="A344" s="7">
        <f>Raw_Bookings!A344</f>
        <v>1115198</v>
      </c>
      <c r="B344" s="7">
        <f>IF(COUNTIF(Raw_Bookings!$A$2:A344,Raw_Bookings!A344)&gt;1,1,0)</f>
        <v>0</v>
      </c>
      <c r="C344" s="7" t="str">
        <f>Raw_Bookings!D344&amp;""</f>
        <v>2025-11-03</v>
      </c>
      <c r="D344" s="7" t="str">
        <f>IF(AND(LEN(C344)=10,MID(C344,5,1)="-",MID(C344,8,1)="-"),"ISO",IF(AND(LEN(C344)=10,MID(C344,3,1)="-",MID(C344,6,1)="-"),"DMY","OTHER"))</f>
        <v>ISO</v>
      </c>
      <c r="E344" s="7">
        <f>IF(D344="ISO",VALUE(LEFT(C344,4)),IF(D344="DMY",VALUE(RIGHT(C344,4)),0))</f>
        <v>2025</v>
      </c>
      <c r="F344" s="7">
        <f>IF(D344="ISO",VALUE(MID(C344,6,2)),IF(D344="DMY",VALUE(MID(C344,4,2)),0))</f>
        <v>11</v>
      </c>
      <c r="G344" s="7">
        <f>IF(D344="ISO",VALUE(RIGHT(C344,2)),IF(D344="DMY",VALUE(LEFT(C344,2)),0))</f>
        <v>3</v>
      </c>
      <c r="H344" s="7">
        <f>IF(AND(D344&lt;&gt;"OTHER",F344&gt;=1,F344&lt;=12,G344&gt;=1,G344&lt;=31),IF(AND(MONTH(DATE(E344,F344,G344))=F344,DAY(DATE(E344,F344,G344))=G344),1,0),0)</f>
        <v>1</v>
      </c>
      <c r="I344" s="7">
        <f>IF(H344=1,DATE(E344,F344,G344),"")</f>
        <v>45964.0</v>
      </c>
      <c r="J344" s="7">
        <f>IF(AND(D344="DMY",H344=1),1,0)</f>
        <v>0</v>
      </c>
      <c r="K344" s="7">
        <f>IF(H344=0,1,0)</f>
        <v>0</v>
      </c>
      <c r="L344" s="7">
        <f>IF(TRIM(Raw_Bookings!I344&amp;"")="",1,0)</f>
        <v>0</v>
      </c>
      <c r="M344" s="7">
        <f>IF(L344=1,"",DATEVALUE(LEFT(Raw_Bookings!I344,10))+TIMEVALUE(MID(Raw_Bookings!I344,12,8)))</f>
        <v>45942.444756944446</v>
      </c>
      <c r="N344" s="7">
        <f>IF(AND(L344=0,H344=1),IF(INT(M344)&gt;I344,1,0),0)</f>
        <v>0</v>
      </c>
      <c r="O344" s="7" t="str">
        <f>UPPER(TRIM(Raw_Bookings!F344))</f>
        <v>VIJ</v>
      </c>
      <c r="P344" s="7" t="str">
        <f>UPPER(TRIM(Raw_Bookings!G344))</f>
        <v>PAT</v>
      </c>
      <c r="Q344" s="7">
        <f>IF(COUNTIF(Lookup_Stations!$A$2:$A$33,O344)&gt;0,1,0)</f>
        <v>1</v>
      </c>
      <c r="R344" s="7">
        <f>IF(COUNTIF(Lookup_Stations!$A$2:$A$33,P344)&gt;0,1,0)</f>
        <v>1</v>
      </c>
      <c r="S344" s="7">
        <f>IF(OR(AND(Q344=1,NOT(EXACT(Raw_Bookings!F344,O344))),AND(R344=1,NOT(EXACT(Raw_Bookings!G344,P344)))),1,0)</f>
        <v>0</v>
      </c>
      <c r="T344" s="7">
        <f>IF(OR(Q344=0,R344=0),1,0)</f>
        <v>0</v>
      </c>
      <c r="U344" s="7">
        <f>IF(TRIM(Raw_Bookings!E344&amp;"")="",1,0)</f>
        <v>0</v>
      </c>
      <c r="V344" s="7" t="str">
        <f>IF(SUMPRODUCT(--(Lookup_Status!$A$2:$A$13=LOWER(TRIM(Raw_Bookings!K344))))=0,"",INDEX(Lookup_Status!$B$2:$B$13,SUMPRODUCT((Lookup_Status!$A$2:$A$13=LOWER(TRIM(Raw_Bookings!K344)))*(ROW(Lookup_Status!$A$2:$A$13)-1))))</f>
        <v>Cancelled</v>
      </c>
      <c r="W344" s="7">
        <f>IF(AND(V344&lt;&gt;"",NOT(EXACT(Raw_Bookings!K344,V344))),1,0)</f>
        <v>0</v>
      </c>
      <c r="X344" s="7">
        <f>IF(V344="",1,0)</f>
        <v>0</v>
      </c>
      <c r="Y344" s="7">
        <f>IF(TRIM(Raw_Bookings!L344&amp;"")="",1,0)</f>
        <v>0</v>
      </c>
      <c r="Z344" s="7">
        <f>IF(AND(ISTEXT(Raw_Bookings!L344),Y344=0),1,0)</f>
        <v>0</v>
      </c>
      <c r="AA344" s="7">
        <f>IF(Z344=1,IFERROR(VALUE(SUBSTITUTE(SUBSTITUTE(SUBSTITUTE(SUBSTITUTE(SUBSTITUTE(UPPER(Raw_Bookings!L344),"RS.",""),"₹",""),",","")," ",""),"INR","")),""),"")</f>
        <v/>
      </c>
      <c r="AB344" s="7">
        <f>IF(AND(Z344=1,ISNUMBER(AA344)),1,0)</f>
        <v>0</v>
      </c>
      <c r="AC344" s="7">
        <f>IF(B344=1,0,IF(NOT(ISNUMBER(Raw_Bookings!J344)),1,IF(Raw_Bookings!J344&lt;&gt;COUNTIFS(Work_Passengers!$B$2:$B$1336,Raw_Bookings!A344,Work_Passengers!$C$2:$C$1336,0),1,0)))</f>
        <v>0</v>
      </c>
    </row>
    <row r="345" spans="1:29">
      <c r="A345" s="7">
        <f>Raw_Bookings!A345</f>
        <v>1115367</v>
      </c>
      <c r="B345" s="7">
        <f>IF(COUNTIF(Raw_Bookings!$A$2:A345,Raw_Bookings!A345)&gt;1,1,0)</f>
        <v>0</v>
      </c>
      <c r="C345" s="7" t="str">
        <f>Raw_Bookings!D345&amp;""</f>
        <v>2026-02-01</v>
      </c>
      <c r="D345" s="7" t="str">
        <f>IF(AND(LEN(C345)=10,MID(C345,5,1)="-",MID(C345,8,1)="-"),"ISO",IF(AND(LEN(C345)=10,MID(C345,3,1)="-",MID(C345,6,1)="-"),"DMY","OTHER"))</f>
        <v>ISO</v>
      </c>
      <c r="E345" s="7">
        <f>IF(D345="ISO",VALUE(LEFT(C345,4)),IF(D345="DMY",VALUE(RIGHT(C345,4)),0))</f>
        <v>2026</v>
      </c>
      <c r="F345" s="7">
        <f>IF(D345="ISO",VALUE(MID(C345,6,2)),IF(D345="DMY",VALUE(MID(C345,4,2)),0))</f>
        <v>2</v>
      </c>
      <c r="G345" s="7">
        <f>IF(D345="ISO",VALUE(RIGHT(C345,2)),IF(D345="DMY",VALUE(LEFT(C345,2)),0))</f>
        <v>1</v>
      </c>
      <c r="H345" s="7">
        <f>IF(AND(D345&lt;&gt;"OTHER",F345&gt;=1,F345&lt;=12,G345&gt;=1,G345&lt;=31),IF(AND(MONTH(DATE(E345,F345,G345))=F345,DAY(DATE(E345,F345,G345))=G345),1,0),0)</f>
        <v>1</v>
      </c>
      <c r="I345" s="7">
        <f>IF(H345=1,DATE(E345,F345,G345),"")</f>
        <v>46054.0</v>
      </c>
      <c r="J345" s="7">
        <f>IF(AND(D345="DMY",H345=1),1,0)</f>
        <v>0</v>
      </c>
      <c r="K345" s="7">
        <f>IF(H345=0,1,0)</f>
        <v>0</v>
      </c>
      <c r="L345" s="7">
        <f>IF(TRIM(Raw_Bookings!I345&amp;"")="",1,0)</f>
        <v>0</v>
      </c>
      <c r="M345" s="7">
        <f>IF(L345=1,"",DATEVALUE(LEFT(Raw_Bookings!I345,10))+TIMEVALUE(MID(Raw_Bookings!I345,12,8)))</f>
        <v>45942.84675925926</v>
      </c>
      <c r="N345" s="7">
        <f>IF(AND(L345=0,H345=1),IF(INT(M345)&gt;I345,1,0),0)</f>
        <v>0</v>
      </c>
      <c r="O345" s="7" t="str">
        <f>UPPER(TRIM(Raw_Bookings!F345))</f>
        <v>AHM</v>
      </c>
      <c r="P345" s="7" t="str">
        <f>UPPER(TRIM(Raw_Bookings!G345))</f>
        <v>CHE</v>
      </c>
      <c r="Q345" s="7">
        <f>IF(COUNTIF(Lookup_Stations!$A$2:$A$33,O345)&gt;0,1,0)</f>
        <v>1</v>
      </c>
      <c r="R345" s="7">
        <f>IF(COUNTIF(Lookup_Stations!$A$2:$A$33,P345)&gt;0,1,0)</f>
        <v>1</v>
      </c>
      <c r="S345" s="7">
        <f>IF(OR(AND(Q345=1,NOT(EXACT(Raw_Bookings!F345,O345))),AND(R345=1,NOT(EXACT(Raw_Bookings!G345,P345)))),1,0)</f>
        <v>0</v>
      </c>
      <c r="T345" s="7">
        <f>IF(OR(Q345=0,R345=0),1,0)</f>
        <v>0</v>
      </c>
      <c r="U345" s="7">
        <f>IF(TRIM(Raw_Bookings!E345&amp;"")="",1,0)</f>
        <v>0</v>
      </c>
      <c r="V345" s="7" t="str">
        <f>IF(SUMPRODUCT(--(Lookup_Status!$A$2:$A$13=LOWER(TRIM(Raw_Bookings!K345))))=0,"",INDEX(Lookup_Status!$B$2:$B$13,SUMPRODUCT((Lookup_Status!$A$2:$A$13=LOWER(TRIM(Raw_Bookings!K345)))*(ROW(Lookup_Status!$A$2:$A$13)-1))))</f>
        <v>Cancelled</v>
      </c>
      <c r="W345" s="7">
        <f>IF(AND(V345&lt;&gt;"",NOT(EXACT(Raw_Bookings!K345,V345))),1,0)</f>
        <v>0</v>
      </c>
      <c r="X345" s="7">
        <f>IF(V345="",1,0)</f>
        <v>0</v>
      </c>
      <c r="Y345" s="7">
        <f>IF(TRIM(Raw_Bookings!L345&amp;"")="",1,0)</f>
        <v>0</v>
      </c>
      <c r="Z345" s="7">
        <f>IF(AND(ISTEXT(Raw_Bookings!L345),Y345=0),1,0)</f>
        <v>0</v>
      </c>
      <c r="AA345" s="7">
        <f>IF(Z345=1,IFERROR(VALUE(SUBSTITUTE(SUBSTITUTE(SUBSTITUTE(SUBSTITUTE(SUBSTITUTE(UPPER(Raw_Bookings!L345),"RS.",""),"₹",""),",","")," ",""),"INR","")),""),"")</f>
        <v/>
      </c>
      <c r="AB345" s="7">
        <f>IF(AND(Z345=1,ISNUMBER(AA345)),1,0)</f>
        <v>0</v>
      </c>
      <c r="AC345" s="7">
        <f>IF(B345=1,0,IF(NOT(ISNUMBER(Raw_Bookings!J345)),1,IF(Raw_Bookings!J345&lt;&gt;COUNTIFS(Work_Passengers!$B$2:$B$1336,Raw_Bookings!A345,Work_Passengers!$C$2:$C$1336,0),1,0)))</f>
        <v>0</v>
      </c>
    </row>
    <row r="346" spans="1:29">
      <c r="A346" s="7">
        <f>Raw_Bookings!A346</f>
        <v>1116396</v>
      </c>
      <c r="B346" s="7">
        <f>IF(COUNTIF(Raw_Bookings!$A$2:A346,Raw_Bookings!A346)&gt;1,1,0)</f>
        <v>0</v>
      </c>
      <c r="C346" s="7" t="str">
        <f>Raw_Bookings!D346&amp;""</f>
        <v>2025-10-30</v>
      </c>
      <c r="D346" s="7" t="str">
        <f>IF(AND(LEN(C346)=10,MID(C346,5,1)="-",MID(C346,8,1)="-"),"ISO",IF(AND(LEN(C346)=10,MID(C346,3,1)="-",MID(C346,6,1)="-"),"DMY","OTHER"))</f>
        <v>ISO</v>
      </c>
      <c r="E346" s="7">
        <f>IF(D346="ISO",VALUE(LEFT(C346,4)),IF(D346="DMY",VALUE(RIGHT(C346,4)),0))</f>
        <v>2025</v>
      </c>
      <c r="F346" s="7">
        <f>IF(D346="ISO",VALUE(MID(C346,6,2)),IF(D346="DMY",VALUE(MID(C346,4,2)),0))</f>
        <v>10</v>
      </c>
      <c r="G346" s="7">
        <f>IF(D346="ISO",VALUE(RIGHT(C346,2)),IF(D346="DMY",VALUE(LEFT(C346,2)),0))</f>
        <v>30</v>
      </c>
      <c r="H346" s="7">
        <f>IF(AND(D346&lt;&gt;"OTHER",F346&gt;=1,F346&lt;=12,G346&gt;=1,G346&lt;=31),IF(AND(MONTH(DATE(E346,F346,G346))=F346,DAY(DATE(E346,F346,G346))=G346),1,0),0)</f>
        <v>1</v>
      </c>
      <c r="I346" s="7">
        <f>IF(H346=1,DATE(E346,F346,G346),"")</f>
        <v>45960.0</v>
      </c>
      <c r="J346" s="7">
        <f>IF(AND(D346="DMY",H346=1),1,0)</f>
        <v>0</v>
      </c>
      <c r="K346" s="7">
        <f>IF(H346=0,1,0)</f>
        <v>0</v>
      </c>
      <c r="L346" s="7">
        <f>IF(TRIM(Raw_Bookings!I346&amp;"")="",1,0)</f>
        <v>0</v>
      </c>
      <c r="M346" s="7">
        <f>IF(L346=1,"",DATEVALUE(LEFT(Raw_Bookings!I346,10))+TIMEVALUE(MID(Raw_Bookings!I346,12,8)))</f>
        <v>45946.60251157408</v>
      </c>
      <c r="N346" s="7">
        <f>IF(AND(L346=0,H346=1),IF(INT(M346)&gt;I346,1,0),0)</f>
        <v>0</v>
      </c>
      <c r="O346" s="7" t="str">
        <f>UPPER(TRIM(Raw_Bookings!F346))</f>
        <v>DEL</v>
      </c>
      <c r="P346" s="7" t="str">
        <f>UPPER(TRIM(Raw_Bookings!G346))</f>
        <v>MAU</v>
      </c>
      <c r="Q346" s="7">
        <f>IF(COUNTIF(Lookup_Stations!$A$2:$A$33,O346)&gt;0,1,0)</f>
        <v>1</v>
      </c>
      <c r="R346" s="7">
        <f>IF(COUNTIF(Lookup_Stations!$A$2:$A$33,P346)&gt;0,1,0)</f>
        <v>1</v>
      </c>
      <c r="S346" s="7">
        <f>IF(OR(AND(Q346=1,NOT(EXACT(Raw_Bookings!F346,O346))),AND(R346=1,NOT(EXACT(Raw_Bookings!G346,P346)))),1,0)</f>
        <v>0</v>
      </c>
      <c r="T346" s="7">
        <f>IF(OR(Q346=0,R346=0),1,0)</f>
        <v>0</v>
      </c>
      <c r="U346" s="7">
        <f>IF(TRIM(Raw_Bookings!E346&amp;"")="",1,0)</f>
        <v>0</v>
      </c>
      <c r="V346" s="7" t="str">
        <f>IF(SUMPRODUCT(--(Lookup_Status!$A$2:$A$13=LOWER(TRIM(Raw_Bookings!K346))))=0,"",INDEX(Lookup_Status!$B$2:$B$13,SUMPRODUCT((Lookup_Status!$A$2:$A$13=LOWER(TRIM(Raw_Bookings!K346)))*(ROW(Lookup_Status!$A$2:$A$13)-1))))</f>
        <v>Confirmed</v>
      </c>
      <c r="W346" s="7">
        <f>IF(AND(V346&lt;&gt;"",NOT(EXACT(Raw_Bookings!K346,V346))),1,0)</f>
        <v>0</v>
      </c>
      <c r="X346" s="7">
        <f>IF(V346="",1,0)</f>
        <v>0</v>
      </c>
      <c r="Y346" s="7">
        <f>IF(TRIM(Raw_Bookings!L346&amp;"")="",1,0)</f>
        <v>0</v>
      </c>
      <c r="Z346" s="7">
        <f>IF(AND(ISTEXT(Raw_Bookings!L346),Y346=0),1,0)</f>
        <v>0</v>
      </c>
      <c r="AA346" s="7">
        <f>IF(Z346=1,IFERROR(VALUE(SUBSTITUTE(SUBSTITUTE(SUBSTITUTE(SUBSTITUTE(SUBSTITUTE(UPPER(Raw_Bookings!L346),"RS.",""),"₹",""),",","")," ",""),"INR","")),""),"")</f>
        <v/>
      </c>
      <c r="AB346" s="7">
        <f>IF(AND(Z346=1,ISNUMBER(AA346)),1,0)</f>
        <v>0</v>
      </c>
      <c r="AC346" s="7">
        <f>IF(B346=1,0,IF(NOT(ISNUMBER(Raw_Bookings!J346)),1,IF(Raw_Bookings!J346&lt;&gt;COUNTIFS(Work_Passengers!$B$2:$B$1336,Raw_Bookings!A346,Work_Passengers!$C$2:$C$1336,0),1,0)))</f>
        <v>0</v>
      </c>
    </row>
    <row r="347" spans="1:29">
      <c r="A347" s="7">
        <f>Raw_Bookings!A347</f>
        <v>1116489</v>
      </c>
      <c r="B347" s="7">
        <f>IF(COUNTIF(Raw_Bookings!$A$2:A347,Raw_Bookings!A347)&gt;1,1,0)</f>
        <v>0</v>
      </c>
      <c r="C347" s="7" t="str">
        <f>Raw_Bookings!D347&amp;""</f>
        <v>2025-10-17</v>
      </c>
      <c r="D347" s="7" t="str">
        <f>IF(AND(LEN(C347)=10,MID(C347,5,1)="-",MID(C347,8,1)="-"),"ISO",IF(AND(LEN(C347)=10,MID(C347,3,1)="-",MID(C347,6,1)="-"),"DMY","OTHER"))</f>
        <v>ISO</v>
      </c>
      <c r="E347" s="7">
        <f>IF(D347="ISO",VALUE(LEFT(C347,4)),IF(D347="DMY",VALUE(RIGHT(C347,4)),0))</f>
        <v>2025</v>
      </c>
      <c r="F347" s="7">
        <f>IF(D347="ISO",VALUE(MID(C347,6,2)),IF(D347="DMY",VALUE(MID(C347,4,2)),0))</f>
        <v>10</v>
      </c>
      <c r="G347" s="7">
        <f>IF(D347="ISO",VALUE(RIGHT(C347,2)),IF(D347="DMY",VALUE(LEFT(C347,2)),0))</f>
        <v>17</v>
      </c>
      <c r="H347" s="7">
        <f>IF(AND(D347&lt;&gt;"OTHER",F347&gt;=1,F347&lt;=12,G347&gt;=1,G347&lt;=31),IF(AND(MONTH(DATE(E347,F347,G347))=F347,DAY(DATE(E347,F347,G347))=G347),1,0),0)</f>
        <v>1</v>
      </c>
      <c r="I347" s="7">
        <f>IF(H347=1,DATE(E347,F347,G347),"")</f>
        <v>45947.0</v>
      </c>
      <c r="J347" s="7">
        <f>IF(AND(D347="DMY",H347=1),1,0)</f>
        <v>0</v>
      </c>
      <c r="K347" s="7">
        <f>IF(H347=0,1,0)</f>
        <v>0</v>
      </c>
      <c r="L347" s="7">
        <f>IF(TRIM(Raw_Bookings!I347&amp;"")="",1,0)</f>
        <v>0</v>
      </c>
      <c r="M347" s="7">
        <f>IF(L347=1,"",DATEVALUE(LEFT(Raw_Bookings!I347,10))+TIMEVALUE(MID(Raw_Bookings!I347,12,8)))</f>
        <v>45946.851689814815</v>
      </c>
      <c r="N347" s="7">
        <f>IF(AND(L347=0,H347=1),IF(INT(M347)&gt;I347,1,0),0)</f>
        <v>0</v>
      </c>
      <c r="O347" s="7" t="str">
        <f>UPPER(TRIM(Raw_Bookings!F347))</f>
        <v>AHM</v>
      </c>
      <c r="P347" s="7" t="str">
        <f>UPPER(TRIM(Raw_Bookings!G347))</f>
        <v>CHE</v>
      </c>
      <c r="Q347" s="7">
        <f>IF(COUNTIF(Lookup_Stations!$A$2:$A$33,O347)&gt;0,1,0)</f>
        <v>1</v>
      </c>
      <c r="R347" s="7">
        <f>IF(COUNTIF(Lookup_Stations!$A$2:$A$33,P347)&gt;0,1,0)</f>
        <v>1</v>
      </c>
      <c r="S347" s="7">
        <f>IF(OR(AND(Q347=1,NOT(EXACT(Raw_Bookings!F347,O347))),AND(R347=1,NOT(EXACT(Raw_Bookings!G347,P347)))),1,0)</f>
        <v>0</v>
      </c>
      <c r="T347" s="7">
        <f>IF(OR(Q347=0,R347=0),1,0)</f>
        <v>0</v>
      </c>
      <c r="U347" s="7">
        <f>IF(TRIM(Raw_Bookings!E347&amp;"")="",1,0)</f>
        <v>0</v>
      </c>
      <c r="V347" s="7" t="str">
        <f>IF(SUMPRODUCT(--(Lookup_Status!$A$2:$A$13=LOWER(TRIM(Raw_Bookings!K347))))=0,"",INDEX(Lookup_Status!$B$2:$B$13,SUMPRODUCT((Lookup_Status!$A$2:$A$13=LOWER(TRIM(Raw_Bookings!K347)))*(ROW(Lookup_Status!$A$2:$A$13)-1))))</f>
        <v>Confirmed</v>
      </c>
      <c r="W347" s="7">
        <f>IF(AND(V347&lt;&gt;"",NOT(EXACT(Raw_Bookings!K347,V347))),1,0)</f>
        <v>0</v>
      </c>
      <c r="X347" s="7">
        <f>IF(V347="",1,0)</f>
        <v>0</v>
      </c>
      <c r="Y347" s="7">
        <f>IF(TRIM(Raw_Bookings!L347&amp;"")="",1,0)</f>
        <v>0</v>
      </c>
      <c r="Z347" s="7">
        <f>IF(AND(ISTEXT(Raw_Bookings!L347),Y347=0),1,0)</f>
        <v>0</v>
      </c>
      <c r="AA347" s="7">
        <f>IF(Z347=1,IFERROR(VALUE(SUBSTITUTE(SUBSTITUTE(SUBSTITUTE(SUBSTITUTE(SUBSTITUTE(UPPER(Raw_Bookings!L347),"RS.",""),"₹",""),",","")," ",""),"INR","")),""),"")</f>
        <v/>
      </c>
      <c r="AB347" s="7">
        <f>IF(AND(Z347=1,ISNUMBER(AA347)),1,0)</f>
        <v>0</v>
      </c>
      <c r="AC347" s="7">
        <f>IF(B347=1,0,IF(NOT(ISNUMBER(Raw_Bookings!J347)),1,IF(Raw_Bookings!J347&lt;&gt;COUNTIFS(Work_Passengers!$B$2:$B$1336,Raw_Bookings!A347,Work_Passengers!$C$2:$C$1336,0),1,0)))</f>
        <v>0</v>
      </c>
    </row>
    <row r="348" spans="1:29">
      <c r="A348" s="7">
        <f>Raw_Bookings!A348</f>
        <v>1117149</v>
      </c>
      <c r="B348" s="7">
        <f>IF(COUNTIF(Raw_Bookings!$A$2:A348,Raw_Bookings!A348)&gt;1,1,0)</f>
        <v>0</v>
      </c>
      <c r="C348" s="7" t="str">
        <f>Raw_Bookings!D348&amp;""</f>
        <v>2025-11-18</v>
      </c>
      <c r="D348" s="7" t="str">
        <f>IF(AND(LEN(C348)=10,MID(C348,5,1)="-",MID(C348,8,1)="-"),"ISO",IF(AND(LEN(C348)=10,MID(C348,3,1)="-",MID(C348,6,1)="-"),"DMY","OTHER"))</f>
        <v>ISO</v>
      </c>
      <c r="E348" s="7">
        <f>IF(D348="ISO",VALUE(LEFT(C348,4)),IF(D348="DMY",VALUE(RIGHT(C348,4)),0))</f>
        <v>2025</v>
      </c>
      <c r="F348" s="7">
        <f>IF(D348="ISO",VALUE(MID(C348,6,2)),IF(D348="DMY",VALUE(MID(C348,4,2)),0))</f>
        <v>11</v>
      </c>
      <c r="G348" s="7">
        <f>IF(D348="ISO",VALUE(RIGHT(C348,2)),IF(D348="DMY",VALUE(LEFT(C348,2)),0))</f>
        <v>18</v>
      </c>
      <c r="H348" s="7">
        <f>IF(AND(D348&lt;&gt;"OTHER",F348&gt;=1,F348&lt;=12,G348&gt;=1,G348&lt;=31),IF(AND(MONTH(DATE(E348,F348,G348))=F348,DAY(DATE(E348,F348,G348))=G348),1,0),0)</f>
        <v>1</v>
      </c>
      <c r="I348" s="7">
        <f>IF(H348=1,DATE(E348,F348,G348),"")</f>
        <v>45979.0</v>
      </c>
      <c r="J348" s="7">
        <f>IF(AND(D348="DMY",H348=1),1,0)</f>
        <v>0</v>
      </c>
      <c r="K348" s="7">
        <f>IF(H348=0,1,0)</f>
        <v>0</v>
      </c>
      <c r="L348" s="7">
        <f>IF(TRIM(Raw_Bookings!I348&amp;"")="",1,0)</f>
        <v>0</v>
      </c>
      <c r="M348" s="7">
        <f>IF(L348=1,"",DATEVALUE(LEFT(Raw_Bookings!I348,10))+TIMEVALUE(MID(Raw_Bookings!I348,12,8)))</f>
        <v>45980.291666666664</v>
      </c>
      <c r="N348" s="7">
        <f>IF(AND(L348=0,H348=1),IF(INT(M348)&gt;I348,1,0),0)</f>
        <v>1</v>
      </c>
      <c r="O348" s="7" t="str">
        <f>UPPER(TRIM(Raw_Bookings!F348))</f>
        <v>BEN</v>
      </c>
      <c r="P348" s="7" t="str">
        <f>UPPER(TRIM(Raw_Bookings!G348))</f>
        <v>JOD</v>
      </c>
      <c r="Q348" s="7">
        <f>IF(COUNTIF(Lookup_Stations!$A$2:$A$33,O348)&gt;0,1,0)</f>
        <v>1</v>
      </c>
      <c r="R348" s="7">
        <f>IF(COUNTIF(Lookup_Stations!$A$2:$A$33,P348)&gt;0,1,0)</f>
        <v>1</v>
      </c>
      <c r="S348" s="7">
        <f>IF(OR(AND(Q348=1,NOT(EXACT(Raw_Bookings!F348,O348))),AND(R348=1,NOT(EXACT(Raw_Bookings!G348,P348)))),1,0)</f>
        <v>0</v>
      </c>
      <c r="T348" s="7">
        <f>IF(OR(Q348=0,R348=0),1,0)</f>
        <v>0</v>
      </c>
      <c r="U348" s="7">
        <f>IF(TRIM(Raw_Bookings!E348&amp;"")="",1,0)</f>
        <v>0</v>
      </c>
      <c r="V348" s="7" t="str">
        <f>IF(SUMPRODUCT(--(Lookup_Status!$A$2:$A$13=LOWER(TRIM(Raw_Bookings!K348))))=0,"",INDEX(Lookup_Status!$B$2:$B$13,SUMPRODUCT((Lookup_Status!$A$2:$A$13=LOWER(TRIM(Raw_Bookings!K348)))*(ROW(Lookup_Status!$A$2:$A$13)-1))))</f>
        <v>Confirmed</v>
      </c>
      <c r="W348" s="7">
        <f>IF(AND(V348&lt;&gt;"",NOT(EXACT(Raw_Bookings!K348,V348))),1,0)</f>
        <v>0</v>
      </c>
      <c r="X348" s="7">
        <f>IF(V348="",1,0)</f>
        <v>0</v>
      </c>
      <c r="Y348" s="7">
        <f>IF(TRIM(Raw_Bookings!L348&amp;"")="",1,0)</f>
        <v>0</v>
      </c>
      <c r="Z348" s="7">
        <f>IF(AND(ISTEXT(Raw_Bookings!L348),Y348=0),1,0)</f>
        <v>0</v>
      </c>
      <c r="AA348" s="7">
        <f>IF(Z348=1,IFERROR(VALUE(SUBSTITUTE(SUBSTITUTE(SUBSTITUTE(SUBSTITUTE(SUBSTITUTE(UPPER(Raw_Bookings!L348),"RS.",""),"₹",""),",","")," ",""),"INR","")),""),"")</f>
        <v/>
      </c>
      <c r="AB348" s="7">
        <f>IF(AND(Z348=1,ISNUMBER(AA348)),1,0)</f>
        <v>0</v>
      </c>
      <c r="AC348" s="7">
        <f>IF(B348=1,0,IF(NOT(ISNUMBER(Raw_Bookings!J348)),1,IF(Raw_Bookings!J348&lt;&gt;COUNTIFS(Work_Passengers!$B$2:$B$1336,Raw_Bookings!A348,Work_Passengers!$C$2:$C$1336,0),1,0)))</f>
        <v>0</v>
      </c>
    </row>
    <row r="349" spans="1:29">
      <c r="A349" s="7">
        <f>Raw_Bookings!A349</f>
        <v>1117321</v>
      </c>
      <c r="B349" s="7">
        <f>IF(COUNTIF(Raw_Bookings!$A$2:A349,Raw_Bookings!A349)&gt;1,1,0)</f>
        <v>0</v>
      </c>
      <c r="C349" s="7" t="str">
        <f>Raw_Bookings!D349&amp;""</f>
        <v>2025-11-06</v>
      </c>
      <c r="D349" s="7" t="str">
        <f>IF(AND(LEN(C349)=10,MID(C349,5,1)="-",MID(C349,8,1)="-"),"ISO",IF(AND(LEN(C349)=10,MID(C349,3,1)="-",MID(C349,6,1)="-"),"DMY","OTHER"))</f>
        <v>ISO</v>
      </c>
      <c r="E349" s="7">
        <f>IF(D349="ISO",VALUE(LEFT(C349,4)),IF(D349="DMY",VALUE(RIGHT(C349,4)),0))</f>
        <v>2025</v>
      </c>
      <c r="F349" s="7">
        <f>IF(D349="ISO",VALUE(MID(C349,6,2)),IF(D349="DMY",VALUE(MID(C349,4,2)),0))</f>
        <v>11</v>
      </c>
      <c r="G349" s="7">
        <f>IF(D349="ISO",VALUE(RIGHT(C349,2)),IF(D349="DMY",VALUE(LEFT(C349,2)),0))</f>
        <v>6</v>
      </c>
      <c r="H349" s="7">
        <f>IF(AND(D349&lt;&gt;"OTHER",F349&gt;=1,F349&lt;=12,G349&gt;=1,G349&lt;=31),IF(AND(MONTH(DATE(E349,F349,G349))=F349,DAY(DATE(E349,F349,G349))=G349),1,0),0)</f>
        <v>1</v>
      </c>
      <c r="I349" s="7">
        <f>IF(H349=1,DATE(E349,F349,G349),"")</f>
        <v>45967.0</v>
      </c>
      <c r="J349" s="7">
        <f>IF(AND(D349="DMY",H349=1),1,0)</f>
        <v>0</v>
      </c>
      <c r="K349" s="7">
        <f>IF(H349=0,1,0)</f>
        <v>0</v>
      </c>
      <c r="L349" s="7">
        <f>IF(TRIM(Raw_Bookings!I349&amp;"")="",1,0)</f>
        <v>0</v>
      </c>
      <c r="M349" s="7">
        <f>IF(L349=1,"",DATEVALUE(LEFT(Raw_Bookings!I349,10))+TIMEVALUE(MID(Raw_Bookings!I349,12,8)))</f>
        <v>45949.73751157407</v>
      </c>
      <c r="N349" s="7">
        <f>IF(AND(L349=0,H349=1),IF(INT(M349)&gt;I349,1,0),0)</f>
        <v>0</v>
      </c>
      <c r="O349" s="7" t="str">
        <f>UPPER(TRIM(Raw_Bookings!F349))</f>
        <v>DEL</v>
      </c>
      <c r="P349" s="7" t="str">
        <f>UPPER(TRIM(Raw_Bookings!G349))</f>
        <v>MAU</v>
      </c>
      <c r="Q349" s="7">
        <f>IF(COUNTIF(Lookup_Stations!$A$2:$A$33,O349)&gt;0,1,0)</f>
        <v>1</v>
      </c>
      <c r="R349" s="7">
        <f>IF(COUNTIF(Lookup_Stations!$A$2:$A$33,P349)&gt;0,1,0)</f>
        <v>1</v>
      </c>
      <c r="S349" s="7">
        <f>IF(OR(AND(Q349=1,NOT(EXACT(Raw_Bookings!F349,O349))),AND(R349=1,NOT(EXACT(Raw_Bookings!G349,P349)))),1,0)</f>
        <v>0</v>
      </c>
      <c r="T349" s="7">
        <f>IF(OR(Q349=0,R349=0),1,0)</f>
        <v>0</v>
      </c>
      <c r="U349" s="7">
        <f>IF(TRIM(Raw_Bookings!E349&amp;"")="",1,0)</f>
        <v>0</v>
      </c>
      <c r="V349" s="7" t="str">
        <f>IF(SUMPRODUCT(--(Lookup_Status!$A$2:$A$13=LOWER(TRIM(Raw_Bookings!K349))))=0,"",INDEX(Lookup_Status!$B$2:$B$13,SUMPRODUCT((Lookup_Status!$A$2:$A$13=LOWER(TRIM(Raw_Bookings!K349)))*(ROW(Lookup_Status!$A$2:$A$13)-1))))</f>
        <v>Confirmed</v>
      </c>
      <c r="W349" s="7">
        <f>IF(AND(V349&lt;&gt;"",NOT(EXACT(Raw_Bookings!K349,V349))),1,0)</f>
        <v>0</v>
      </c>
      <c r="X349" s="7">
        <f>IF(V349="",1,0)</f>
        <v>0</v>
      </c>
      <c r="Y349" s="7">
        <f>IF(TRIM(Raw_Bookings!L349&amp;"")="",1,0)</f>
        <v>0</v>
      </c>
      <c r="Z349" s="7">
        <f>IF(AND(ISTEXT(Raw_Bookings!L349),Y349=0),1,0)</f>
        <v>0</v>
      </c>
      <c r="AA349" s="7">
        <f>IF(Z349=1,IFERROR(VALUE(SUBSTITUTE(SUBSTITUTE(SUBSTITUTE(SUBSTITUTE(SUBSTITUTE(UPPER(Raw_Bookings!L349),"RS.",""),"₹",""),",","")," ",""),"INR","")),""),"")</f>
        <v/>
      </c>
      <c r="AB349" s="7">
        <f>IF(AND(Z349=1,ISNUMBER(AA349)),1,0)</f>
        <v>0</v>
      </c>
      <c r="AC349" s="7">
        <f>IF(B349=1,0,IF(NOT(ISNUMBER(Raw_Bookings!J349)),1,IF(Raw_Bookings!J349&lt;&gt;COUNTIFS(Work_Passengers!$B$2:$B$1336,Raw_Bookings!A349,Work_Passengers!$C$2:$C$1336,0),1,0)))</f>
        <v>0</v>
      </c>
    </row>
    <row r="350" spans="1:29">
      <c r="A350" s="7">
        <f>Raw_Bookings!A350</f>
        <v>1118149</v>
      </c>
      <c r="B350" s="7">
        <f>IF(COUNTIF(Raw_Bookings!$A$2:A350,Raw_Bookings!A350)&gt;1,1,0)</f>
        <v>0</v>
      </c>
      <c r="C350" s="7" t="str">
        <f>Raw_Bookings!D350&amp;""</f>
        <v>2025-12-19</v>
      </c>
      <c r="D350" s="7" t="str">
        <f>IF(AND(LEN(C350)=10,MID(C350,5,1)="-",MID(C350,8,1)="-"),"ISO",IF(AND(LEN(C350)=10,MID(C350,3,1)="-",MID(C350,6,1)="-"),"DMY","OTHER"))</f>
        <v>ISO</v>
      </c>
      <c r="E350" s="7">
        <f>IF(D350="ISO",VALUE(LEFT(C350,4)),IF(D350="DMY",VALUE(RIGHT(C350,4)),0))</f>
        <v>2025</v>
      </c>
      <c r="F350" s="7">
        <f>IF(D350="ISO",VALUE(MID(C350,6,2)),IF(D350="DMY",VALUE(MID(C350,4,2)),0))</f>
        <v>12</v>
      </c>
      <c r="G350" s="7">
        <f>IF(D350="ISO",VALUE(RIGHT(C350,2)),IF(D350="DMY",VALUE(LEFT(C350,2)),0))</f>
        <v>19</v>
      </c>
      <c r="H350" s="7">
        <f>IF(AND(D350&lt;&gt;"OTHER",F350&gt;=1,F350&lt;=12,G350&gt;=1,G350&lt;=31),IF(AND(MONTH(DATE(E350,F350,G350))=F350,DAY(DATE(E350,F350,G350))=G350),1,0),0)</f>
        <v>1</v>
      </c>
      <c r="I350" s="7">
        <f>IF(H350=1,DATE(E350,F350,G350),"")</f>
        <v>46010.0</v>
      </c>
      <c r="J350" s="7">
        <f>IF(AND(D350="DMY",H350=1),1,0)</f>
        <v>0</v>
      </c>
      <c r="K350" s="7">
        <f>IF(H350=0,1,0)</f>
        <v>0</v>
      </c>
      <c r="L350" s="7">
        <f>IF(TRIM(Raw_Bookings!I350&amp;"")="",1,0)</f>
        <v>0</v>
      </c>
      <c r="M350" s="7">
        <f>IF(L350=1,"",DATEVALUE(LEFT(Raw_Bookings!I350,10))+TIMEVALUE(MID(Raw_Bookings!I350,12,8)))</f>
        <v>45952.56822916667</v>
      </c>
      <c r="N350" s="7">
        <f>IF(AND(L350=0,H350=1),IF(INT(M350)&gt;I350,1,0),0)</f>
        <v>0</v>
      </c>
      <c r="O350" s="7" t="str">
        <f>UPPER(TRIM(Raw_Bookings!F350))</f>
        <v>VIJ</v>
      </c>
      <c r="P350" s="7" t="str">
        <f>UPPER(TRIM(Raw_Bookings!G350))</f>
        <v>PAT</v>
      </c>
      <c r="Q350" s="7">
        <f>IF(COUNTIF(Lookup_Stations!$A$2:$A$33,O350)&gt;0,1,0)</f>
        <v>1</v>
      </c>
      <c r="R350" s="7">
        <f>IF(COUNTIF(Lookup_Stations!$A$2:$A$33,P350)&gt;0,1,0)</f>
        <v>1</v>
      </c>
      <c r="S350" s="7">
        <f>IF(OR(AND(Q350=1,NOT(EXACT(Raw_Bookings!F350,O350))),AND(R350=1,NOT(EXACT(Raw_Bookings!G350,P350)))),1,0)</f>
        <v>0</v>
      </c>
      <c r="T350" s="7">
        <f>IF(OR(Q350=0,R350=0),1,0)</f>
        <v>0</v>
      </c>
      <c r="U350" s="7">
        <f>IF(TRIM(Raw_Bookings!E350&amp;"")="",1,0)</f>
        <v>0</v>
      </c>
      <c r="V350" s="7" t="str">
        <f>IF(SUMPRODUCT(--(Lookup_Status!$A$2:$A$13=LOWER(TRIM(Raw_Bookings!K350))))=0,"",INDEX(Lookup_Status!$B$2:$B$13,SUMPRODUCT((Lookup_Status!$A$2:$A$13=LOWER(TRIM(Raw_Bookings!K350)))*(ROW(Lookup_Status!$A$2:$A$13)-1))))</f>
        <v>Confirmed</v>
      </c>
      <c r="W350" s="7">
        <f>IF(AND(V350&lt;&gt;"",NOT(EXACT(Raw_Bookings!K350,V350))),1,0)</f>
        <v>0</v>
      </c>
      <c r="X350" s="7">
        <f>IF(V350="",1,0)</f>
        <v>0</v>
      </c>
      <c r="Y350" s="7">
        <f>IF(TRIM(Raw_Bookings!L350&amp;"")="",1,0)</f>
        <v>0</v>
      </c>
      <c r="Z350" s="7">
        <f>IF(AND(ISTEXT(Raw_Bookings!L350),Y350=0),1,0)</f>
        <v>0</v>
      </c>
      <c r="AA350" s="7">
        <f>IF(Z350=1,IFERROR(VALUE(SUBSTITUTE(SUBSTITUTE(SUBSTITUTE(SUBSTITUTE(SUBSTITUTE(UPPER(Raw_Bookings!L350),"RS.",""),"₹",""),",","")," ",""),"INR","")),""),"")</f>
        <v/>
      </c>
      <c r="AB350" s="7">
        <f>IF(AND(Z350=1,ISNUMBER(AA350)),1,0)</f>
        <v>0</v>
      </c>
      <c r="AC350" s="7">
        <f>IF(B350=1,0,IF(NOT(ISNUMBER(Raw_Bookings!J350)),1,IF(Raw_Bookings!J350&lt;&gt;COUNTIFS(Work_Passengers!$B$2:$B$1336,Raw_Bookings!A350,Work_Passengers!$C$2:$C$1336,0),1,0)))</f>
        <v>0</v>
      </c>
    </row>
    <row r="351" spans="1:29">
      <c r="A351" s="7">
        <f>Raw_Bookings!A351</f>
        <v>1118274</v>
      </c>
      <c r="B351" s="7">
        <f>IF(COUNTIF(Raw_Bookings!$A$2:A351,Raw_Bookings!A351)&gt;1,1,0)</f>
        <v>0</v>
      </c>
      <c r="C351" s="7" t="str">
        <f>Raw_Bookings!D351&amp;""</f>
        <v>2026-01-06</v>
      </c>
      <c r="D351" s="7" t="str">
        <f>IF(AND(LEN(C351)=10,MID(C351,5,1)="-",MID(C351,8,1)="-"),"ISO",IF(AND(LEN(C351)=10,MID(C351,3,1)="-",MID(C351,6,1)="-"),"DMY","OTHER"))</f>
        <v>ISO</v>
      </c>
      <c r="E351" s="7">
        <f>IF(D351="ISO",VALUE(LEFT(C351,4)),IF(D351="DMY",VALUE(RIGHT(C351,4)),0))</f>
        <v>2026</v>
      </c>
      <c r="F351" s="7">
        <f>IF(D351="ISO",VALUE(MID(C351,6,2)),IF(D351="DMY",VALUE(MID(C351,4,2)),0))</f>
        <v>1</v>
      </c>
      <c r="G351" s="7">
        <f>IF(D351="ISO",VALUE(RIGHT(C351,2)),IF(D351="DMY",VALUE(LEFT(C351,2)),0))</f>
        <v>6</v>
      </c>
      <c r="H351" s="7">
        <f>IF(AND(D351&lt;&gt;"OTHER",F351&gt;=1,F351&lt;=12,G351&gt;=1,G351&lt;=31),IF(AND(MONTH(DATE(E351,F351,G351))=F351,DAY(DATE(E351,F351,G351))=G351),1,0),0)</f>
        <v>1</v>
      </c>
      <c r="I351" s="7">
        <f>IF(H351=1,DATE(E351,F351,G351),"")</f>
        <v>46028.0</v>
      </c>
      <c r="J351" s="7">
        <f>IF(AND(D351="DMY",H351=1),1,0)</f>
        <v>0</v>
      </c>
      <c r="K351" s="7">
        <f>IF(H351=0,1,0)</f>
        <v>0</v>
      </c>
      <c r="L351" s="7">
        <f>IF(TRIM(Raw_Bookings!I351&amp;"")="",1,0)</f>
        <v>0</v>
      </c>
      <c r="M351" s="7">
        <f>IF(L351=1,"",DATEVALUE(LEFT(Raw_Bookings!I351,10))+TIMEVALUE(MID(Raw_Bookings!I351,12,8)))</f>
        <v>45952.907534722224</v>
      </c>
      <c r="N351" s="7">
        <f>IF(AND(L351=0,H351=1),IF(INT(M351)&gt;I351,1,0),0)</f>
        <v>0</v>
      </c>
      <c r="O351" s="7" t="str">
        <f>UPPER(TRIM(Raw_Bookings!F351))</f>
        <v>MUM</v>
      </c>
      <c r="P351" s="7" t="str">
        <f>UPPER(TRIM(Raw_Bookings!G351))</f>
        <v>BEN</v>
      </c>
      <c r="Q351" s="7">
        <f>IF(COUNTIF(Lookup_Stations!$A$2:$A$33,O351)&gt;0,1,0)</f>
        <v>1</v>
      </c>
      <c r="R351" s="7">
        <f>IF(COUNTIF(Lookup_Stations!$A$2:$A$33,P351)&gt;0,1,0)</f>
        <v>1</v>
      </c>
      <c r="S351" s="7">
        <f>IF(OR(AND(Q351=1,NOT(EXACT(Raw_Bookings!F351,O351))),AND(R351=1,NOT(EXACT(Raw_Bookings!G351,P351)))),1,0)</f>
        <v>0</v>
      </c>
      <c r="T351" s="7">
        <f>IF(OR(Q351=0,R351=0),1,0)</f>
        <v>0</v>
      </c>
      <c r="U351" s="7">
        <f>IF(TRIM(Raw_Bookings!E351&amp;"")="",1,0)</f>
        <v>0</v>
      </c>
      <c r="V351" s="7" t="str">
        <f>IF(SUMPRODUCT(--(Lookup_Status!$A$2:$A$13=LOWER(TRIM(Raw_Bookings!K351))))=0,"",INDEX(Lookup_Status!$B$2:$B$13,SUMPRODUCT((Lookup_Status!$A$2:$A$13=LOWER(TRIM(Raw_Bookings!K351)))*(ROW(Lookup_Status!$A$2:$A$13)-1))))</f>
        <v>Confirmed</v>
      </c>
      <c r="W351" s="7">
        <f>IF(AND(V351&lt;&gt;"",NOT(EXACT(Raw_Bookings!K351,V351))),1,0)</f>
        <v>0</v>
      </c>
      <c r="X351" s="7">
        <f>IF(V351="",1,0)</f>
        <v>0</v>
      </c>
      <c r="Y351" s="7">
        <f>IF(TRIM(Raw_Bookings!L351&amp;"")="",1,0)</f>
        <v>0</v>
      </c>
      <c r="Z351" s="7">
        <f>IF(AND(ISTEXT(Raw_Bookings!L351),Y351=0),1,0)</f>
        <v>0</v>
      </c>
      <c r="AA351" s="7">
        <f>IF(Z351=1,IFERROR(VALUE(SUBSTITUTE(SUBSTITUTE(SUBSTITUTE(SUBSTITUTE(SUBSTITUTE(UPPER(Raw_Bookings!L351),"RS.",""),"₹",""),",","")," ",""),"INR","")),""),"")</f>
        <v/>
      </c>
      <c r="AB351" s="7">
        <f>IF(AND(Z351=1,ISNUMBER(AA351)),1,0)</f>
        <v>0</v>
      </c>
      <c r="AC351" s="7">
        <f>IF(B351=1,0,IF(NOT(ISNUMBER(Raw_Bookings!J351)),1,IF(Raw_Bookings!J351&lt;&gt;COUNTIFS(Work_Passengers!$B$2:$B$1336,Raw_Bookings!A351,Work_Passengers!$C$2:$C$1336,0),1,0)))</f>
        <v>0</v>
      </c>
    </row>
    <row r="352" spans="1:29">
      <c r="A352" s="7">
        <f>Raw_Bookings!A352</f>
        <v>1118868</v>
      </c>
      <c r="B352" s="7">
        <f>IF(COUNTIF(Raw_Bookings!$A$2:A352,Raw_Bookings!A352)&gt;1,1,0)</f>
        <v>0</v>
      </c>
      <c r="C352" s="7" t="str">
        <f>Raw_Bookings!D352&amp;""</f>
        <v>2025-12-18</v>
      </c>
      <c r="D352" s="7" t="str">
        <f>IF(AND(LEN(C352)=10,MID(C352,5,1)="-",MID(C352,8,1)="-"),"ISO",IF(AND(LEN(C352)=10,MID(C352,3,1)="-",MID(C352,6,1)="-"),"DMY","OTHER"))</f>
        <v>ISO</v>
      </c>
      <c r="E352" s="7">
        <f>IF(D352="ISO",VALUE(LEFT(C352,4)),IF(D352="DMY",VALUE(RIGHT(C352,4)),0))</f>
        <v>2025</v>
      </c>
      <c r="F352" s="7">
        <f>IF(D352="ISO",VALUE(MID(C352,6,2)),IF(D352="DMY",VALUE(MID(C352,4,2)),0))</f>
        <v>12</v>
      </c>
      <c r="G352" s="7">
        <f>IF(D352="ISO",VALUE(RIGHT(C352,2)),IF(D352="DMY",VALUE(LEFT(C352,2)),0))</f>
        <v>18</v>
      </c>
      <c r="H352" s="7">
        <f>IF(AND(D352&lt;&gt;"OTHER",F352&gt;=1,F352&lt;=12,G352&gt;=1,G352&lt;=31),IF(AND(MONTH(DATE(E352,F352,G352))=F352,DAY(DATE(E352,F352,G352))=G352),1,0),0)</f>
        <v>1</v>
      </c>
      <c r="I352" s="7">
        <f>IF(H352=1,DATE(E352,F352,G352),"")</f>
        <v>46009.0</v>
      </c>
      <c r="J352" s="7">
        <f>IF(AND(D352="DMY",H352=1),1,0)</f>
        <v>0</v>
      </c>
      <c r="K352" s="7">
        <f>IF(H352=0,1,0)</f>
        <v>0</v>
      </c>
      <c r="L352" s="7">
        <f>IF(TRIM(Raw_Bookings!I352&amp;"")="",1,0)</f>
        <v>0</v>
      </c>
      <c r="M352" s="7">
        <f>IF(L352=1,"",DATEVALUE(LEFT(Raw_Bookings!I352,10))+TIMEVALUE(MID(Raw_Bookings!I352,12,8)))</f>
        <v>45955.26070601852</v>
      </c>
      <c r="N352" s="7">
        <f>IF(AND(L352=0,H352=1),IF(INT(M352)&gt;I352,1,0),0)</f>
        <v>0</v>
      </c>
      <c r="O352" s="7" t="str">
        <f>UPPER(TRIM(Raw_Bookings!F352))</f>
        <v>DEL</v>
      </c>
      <c r="P352" s="7" t="str">
        <f>UPPER(TRIM(Raw_Bookings!G352))</f>
        <v>MAU</v>
      </c>
      <c r="Q352" s="7">
        <f>IF(COUNTIF(Lookup_Stations!$A$2:$A$33,O352)&gt;0,1,0)</f>
        <v>1</v>
      </c>
      <c r="R352" s="7">
        <f>IF(COUNTIF(Lookup_Stations!$A$2:$A$33,P352)&gt;0,1,0)</f>
        <v>1</v>
      </c>
      <c r="S352" s="7">
        <f>IF(OR(AND(Q352=1,NOT(EXACT(Raw_Bookings!F352,O352))),AND(R352=1,NOT(EXACT(Raw_Bookings!G352,P352)))),1,0)</f>
        <v>0</v>
      </c>
      <c r="T352" s="7">
        <f>IF(OR(Q352=0,R352=0),1,0)</f>
        <v>0</v>
      </c>
      <c r="U352" s="7">
        <f>IF(TRIM(Raw_Bookings!E352&amp;"")="",1,0)</f>
        <v>0</v>
      </c>
      <c r="V352" s="7" t="str">
        <f>IF(SUMPRODUCT(--(Lookup_Status!$A$2:$A$13=LOWER(TRIM(Raw_Bookings!K352))))=0,"",INDEX(Lookup_Status!$B$2:$B$13,SUMPRODUCT((Lookup_Status!$A$2:$A$13=LOWER(TRIM(Raw_Bookings!K352)))*(ROW(Lookup_Status!$A$2:$A$13)-1))))</f>
        <v>Confirmed</v>
      </c>
      <c r="W352" s="7">
        <f>IF(AND(V352&lt;&gt;"",NOT(EXACT(Raw_Bookings!K352,V352))),1,0)</f>
        <v>0</v>
      </c>
      <c r="X352" s="7">
        <f>IF(V352="",1,0)</f>
        <v>0</v>
      </c>
      <c r="Y352" s="7">
        <f>IF(TRIM(Raw_Bookings!L352&amp;"")="",1,0)</f>
        <v>0</v>
      </c>
      <c r="Z352" s="7">
        <f>IF(AND(ISTEXT(Raw_Bookings!L352),Y352=0),1,0)</f>
        <v>0</v>
      </c>
      <c r="AA352" s="7">
        <f>IF(Z352=1,IFERROR(VALUE(SUBSTITUTE(SUBSTITUTE(SUBSTITUTE(SUBSTITUTE(SUBSTITUTE(UPPER(Raw_Bookings!L352),"RS.",""),"₹",""),",","")," ",""),"INR","")),""),"")</f>
        <v/>
      </c>
      <c r="AB352" s="7">
        <f>IF(AND(Z352=1,ISNUMBER(AA352)),1,0)</f>
        <v>0</v>
      </c>
      <c r="AC352" s="7">
        <f>IF(B352=1,0,IF(NOT(ISNUMBER(Raw_Bookings!J352)),1,IF(Raw_Bookings!J352&lt;&gt;COUNTIFS(Work_Passengers!$B$2:$B$1336,Raw_Bookings!A352,Work_Passengers!$C$2:$C$1336,0),1,0)))</f>
        <v>0</v>
      </c>
    </row>
    <row r="353" spans="1:29">
      <c r="A353" s="7">
        <f>Raw_Bookings!A353</f>
        <v>1119517</v>
      </c>
      <c r="B353" s="7">
        <f>IF(COUNTIF(Raw_Bookings!$A$2:A353,Raw_Bookings!A353)&gt;1,1,0)</f>
        <v>0</v>
      </c>
      <c r="C353" s="7" t="str">
        <f>Raw_Bookings!D353&amp;""</f>
        <v>2026-02-16</v>
      </c>
      <c r="D353" s="7" t="str">
        <f>IF(AND(LEN(C353)=10,MID(C353,5,1)="-",MID(C353,8,1)="-"),"ISO",IF(AND(LEN(C353)=10,MID(C353,3,1)="-",MID(C353,6,1)="-"),"DMY","OTHER"))</f>
        <v>ISO</v>
      </c>
      <c r="E353" s="7">
        <f>IF(D353="ISO",VALUE(LEFT(C353,4)),IF(D353="DMY",VALUE(RIGHT(C353,4)),0))</f>
        <v>2026</v>
      </c>
      <c r="F353" s="7">
        <f>IF(D353="ISO",VALUE(MID(C353,6,2)),IF(D353="DMY",VALUE(MID(C353,4,2)),0))</f>
        <v>2</v>
      </c>
      <c r="G353" s="7">
        <f>IF(D353="ISO",VALUE(RIGHT(C353,2)),IF(D353="DMY",VALUE(LEFT(C353,2)),0))</f>
        <v>16</v>
      </c>
      <c r="H353" s="7">
        <f>IF(AND(D353&lt;&gt;"OTHER",F353&gt;=1,F353&lt;=12,G353&gt;=1,G353&lt;=31),IF(AND(MONTH(DATE(E353,F353,G353))=F353,DAY(DATE(E353,F353,G353))=G353),1,0),0)</f>
        <v>1</v>
      </c>
      <c r="I353" s="7">
        <f>IF(H353=1,DATE(E353,F353,G353),"")</f>
        <v>46069.0</v>
      </c>
      <c r="J353" s="7">
        <f>IF(AND(D353="DMY",H353=1),1,0)</f>
        <v>0</v>
      </c>
      <c r="K353" s="7">
        <f>IF(H353=0,1,0)</f>
        <v>0</v>
      </c>
      <c r="L353" s="7">
        <f>IF(TRIM(Raw_Bookings!I353&amp;"")="",1,0)</f>
        <v>0</v>
      </c>
      <c r="M353" s="7">
        <f>IF(L353=1,"",DATEVALUE(LEFT(Raw_Bookings!I353,10))+TIMEVALUE(MID(Raw_Bookings!I353,12,8)))</f>
        <v>45957.49359953704</v>
      </c>
      <c r="N353" s="7">
        <f>IF(AND(L353=0,H353=1),IF(INT(M353)&gt;I353,1,0),0)</f>
        <v>0</v>
      </c>
      <c r="O353" s="7" t="str">
        <f>UPPER(TRIM(Raw_Bookings!F353))</f>
        <v>HYD</v>
      </c>
      <c r="P353" s="7" t="str">
        <f>UPPER(TRIM(Raw_Bookings!G353))</f>
        <v>KOL</v>
      </c>
      <c r="Q353" s="7">
        <f>IF(COUNTIF(Lookup_Stations!$A$2:$A$33,O353)&gt;0,1,0)</f>
        <v>1</v>
      </c>
      <c r="R353" s="7">
        <f>IF(COUNTIF(Lookup_Stations!$A$2:$A$33,P353)&gt;0,1,0)</f>
        <v>1</v>
      </c>
      <c r="S353" s="7">
        <f>IF(OR(AND(Q353=1,NOT(EXACT(Raw_Bookings!F353,O353))),AND(R353=1,NOT(EXACT(Raw_Bookings!G353,P353)))),1,0)</f>
        <v>0</v>
      </c>
      <c r="T353" s="7">
        <f>IF(OR(Q353=0,R353=0),1,0)</f>
        <v>0</v>
      </c>
      <c r="U353" s="7">
        <f>IF(TRIM(Raw_Bookings!E353&amp;"")="",1,0)</f>
        <v>0</v>
      </c>
      <c r="V353" s="7" t="str">
        <f>IF(SUMPRODUCT(--(Lookup_Status!$A$2:$A$13=LOWER(TRIM(Raw_Bookings!K353))))=0,"",INDEX(Lookup_Status!$B$2:$B$13,SUMPRODUCT((Lookup_Status!$A$2:$A$13=LOWER(TRIM(Raw_Bookings!K353)))*(ROW(Lookup_Status!$A$2:$A$13)-1))))</f>
        <v>Cancelled</v>
      </c>
      <c r="W353" s="7">
        <f>IF(AND(V353&lt;&gt;"",NOT(EXACT(Raw_Bookings!K353,V353))),1,0)</f>
        <v>0</v>
      </c>
      <c r="X353" s="7">
        <f>IF(V353="",1,0)</f>
        <v>0</v>
      </c>
      <c r="Y353" s="7">
        <f>IF(TRIM(Raw_Bookings!L353&amp;"")="",1,0)</f>
        <v>0</v>
      </c>
      <c r="Z353" s="7">
        <f>IF(AND(ISTEXT(Raw_Bookings!L353),Y353=0),1,0)</f>
        <v>0</v>
      </c>
      <c r="AA353" s="7">
        <f>IF(Z353=1,IFERROR(VALUE(SUBSTITUTE(SUBSTITUTE(SUBSTITUTE(SUBSTITUTE(SUBSTITUTE(UPPER(Raw_Bookings!L353),"RS.",""),"₹",""),",","")," ",""),"INR","")),""),"")</f>
        <v/>
      </c>
      <c r="AB353" s="7">
        <f>IF(AND(Z353=1,ISNUMBER(AA353)),1,0)</f>
        <v>0</v>
      </c>
      <c r="AC353" s="7">
        <f>IF(B353=1,0,IF(NOT(ISNUMBER(Raw_Bookings!J353)),1,IF(Raw_Bookings!J353&lt;&gt;COUNTIFS(Work_Passengers!$B$2:$B$1336,Raw_Bookings!A353,Work_Passengers!$C$2:$C$1336,0),1,0)))</f>
        <v>0</v>
      </c>
    </row>
    <row r="354" spans="1:29">
      <c r="A354" s="7">
        <f>Raw_Bookings!A354</f>
        <v>1119837</v>
      </c>
      <c r="B354" s="7">
        <f>IF(COUNTIF(Raw_Bookings!$A$2:A354,Raw_Bookings!A354)&gt;1,1,0)</f>
        <v>0</v>
      </c>
      <c r="C354" s="7" t="str">
        <f>Raw_Bookings!D354&amp;""</f>
        <v>2025-10-29</v>
      </c>
      <c r="D354" s="7" t="str">
        <f>IF(AND(LEN(C354)=10,MID(C354,5,1)="-",MID(C354,8,1)="-"),"ISO",IF(AND(LEN(C354)=10,MID(C354,3,1)="-",MID(C354,6,1)="-"),"DMY","OTHER"))</f>
        <v>ISO</v>
      </c>
      <c r="E354" s="7">
        <f>IF(D354="ISO",VALUE(LEFT(C354,4)),IF(D354="DMY",VALUE(RIGHT(C354,4)),0))</f>
        <v>2025</v>
      </c>
      <c r="F354" s="7">
        <f>IF(D354="ISO",VALUE(MID(C354,6,2)),IF(D354="DMY",VALUE(MID(C354,4,2)),0))</f>
        <v>10</v>
      </c>
      <c r="G354" s="7">
        <f>IF(D354="ISO",VALUE(RIGHT(C354,2)),IF(D354="DMY",VALUE(LEFT(C354,2)),0))</f>
        <v>29</v>
      </c>
      <c r="H354" s="7">
        <f>IF(AND(D354&lt;&gt;"OTHER",F354&gt;=1,F354&lt;=12,G354&gt;=1,G354&lt;=31),IF(AND(MONTH(DATE(E354,F354,G354))=F354,DAY(DATE(E354,F354,G354))=G354),1,0),0)</f>
        <v>1</v>
      </c>
      <c r="I354" s="7">
        <f>IF(H354=1,DATE(E354,F354,G354),"")</f>
        <v>45959.0</v>
      </c>
      <c r="J354" s="7">
        <f>IF(AND(D354="DMY",H354=1),1,0)</f>
        <v>0</v>
      </c>
      <c r="K354" s="7">
        <f>IF(H354=0,1,0)</f>
        <v>0</v>
      </c>
      <c r="L354" s="7">
        <f>IF(TRIM(Raw_Bookings!I354&amp;"")="",1,0)</f>
        <v>0</v>
      </c>
      <c r="M354" s="7">
        <f>IF(L354=1,"",DATEVALUE(LEFT(Raw_Bookings!I354,10))+TIMEVALUE(MID(Raw_Bookings!I354,12,8)))</f>
        <v>45958.614953703705</v>
      </c>
      <c r="N354" s="7">
        <f>IF(AND(L354=0,H354=1),IF(INT(M354)&gt;I354,1,0),0)</f>
        <v>0</v>
      </c>
      <c r="O354" s="7" t="str">
        <f>UPPER(TRIM(Raw_Bookings!F354))</f>
        <v>DEH</v>
      </c>
      <c r="P354" s="7" t="str">
        <f>UPPER(TRIM(Raw_Bookings!G354))</f>
        <v>PUN</v>
      </c>
      <c r="Q354" s="7">
        <f>IF(COUNTIF(Lookup_Stations!$A$2:$A$33,O354)&gt;0,1,0)</f>
        <v>1</v>
      </c>
      <c r="R354" s="7">
        <f>IF(COUNTIF(Lookup_Stations!$A$2:$A$33,P354)&gt;0,1,0)</f>
        <v>1</v>
      </c>
      <c r="S354" s="7">
        <f>IF(OR(AND(Q354=1,NOT(EXACT(Raw_Bookings!F354,O354))),AND(R354=1,NOT(EXACT(Raw_Bookings!G354,P354)))),1,0)</f>
        <v>0</v>
      </c>
      <c r="T354" s="7">
        <f>IF(OR(Q354=0,R354=0),1,0)</f>
        <v>0</v>
      </c>
      <c r="U354" s="7">
        <f>IF(TRIM(Raw_Bookings!E354&amp;"")="",1,0)</f>
        <v>0</v>
      </c>
      <c r="V354" s="7" t="str">
        <f>IF(SUMPRODUCT(--(Lookup_Status!$A$2:$A$13=LOWER(TRIM(Raw_Bookings!K354))))=0,"",INDEX(Lookup_Status!$B$2:$B$13,SUMPRODUCT((Lookup_Status!$A$2:$A$13=LOWER(TRIM(Raw_Bookings!K354)))*(ROW(Lookup_Status!$A$2:$A$13)-1))))</f>
        <v>Confirmed</v>
      </c>
      <c r="W354" s="7">
        <f>IF(AND(V354&lt;&gt;"",NOT(EXACT(Raw_Bookings!K354,V354))),1,0)</f>
        <v>0</v>
      </c>
      <c r="X354" s="7">
        <f>IF(V354="",1,0)</f>
        <v>0</v>
      </c>
      <c r="Y354" s="7">
        <f>IF(TRIM(Raw_Bookings!L354&amp;"")="",1,0)</f>
        <v>0</v>
      </c>
      <c r="Z354" s="7">
        <f>IF(AND(ISTEXT(Raw_Bookings!L354),Y354=0),1,0)</f>
        <v>0</v>
      </c>
      <c r="AA354" s="7">
        <f>IF(Z354=1,IFERROR(VALUE(SUBSTITUTE(SUBSTITUTE(SUBSTITUTE(SUBSTITUTE(SUBSTITUTE(UPPER(Raw_Bookings!L354),"RS.",""),"₹",""),",","")," ",""),"INR","")),""),"")</f>
        <v/>
      </c>
      <c r="AB354" s="7">
        <f>IF(AND(Z354=1,ISNUMBER(AA354)),1,0)</f>
        <v>0</v>
      </c>
      <c r="AC354" s="7">
        <f>IF(B354=1,0,IF(NOT(ISNUMBER(Raw_Bookings!J354)),1,IF(Raw_Bookings!J354&lt;&gt;COUNTIFS(Work_Passengers!$B$2:$B$1336,Raw_Bookings!A354,Work_Passengers!$C$2:$C$1336,0),1,0)))</f>
        <v>0</v>
      </c>
    </row>
    <row r="355" spans="1:29">
      <c r="A355" s="7">
        <f>Raw_Bookings!A355</f>
        <v>1120103</v>
      </c>
      <c r="B355" s="7">
        <f>IF(COUNTIF(Raw_Bookings!$A$2:A355,Raw_Bookings!A355)&gt;1,1,0)</f>
        <v>0</v>
      </c>
      <c r="C355" s="7" t="str">
        <f>Raw_Bookings!D355&amp;""</f>
        <v>2025-10-30</v>
      </c>
      <c r="D355" s="7" t="str">
        <f>IF(AND(LEN(C355)=10,MID(C355,5,1)="-",MID(C355,8,1)="-"),"ISO",IF(AND(LEN(C355)=10,MID(C355,3,1)="-",MID(C355,6,1)="-"),"DMY","OTHER"))</f>
        <v>ISO</v>
      </c>
      <c r="E355" s="7">
        <f>IF(D355="ISO",VALUE(LEFT(C355,4)),IF(D355="DMY",VALUE(RIGHT(C355,4)),0))</f>
        <v>2025</v>
      </c>
      <c r="F355" s="7">
        <f>IF(D355="ISO",VALUE(MID(C355,6,2)),IF(D355="DMY",VALUE(MID(C355,4,2)),0))</f>
        <v>10</v>
      </c>
      <c r="G355" s="7">
        <f>IF(D355="ISO",VALUE(RIGHT(C355,2)),IF(D355="DMY",VALUE(LEFT(C355,2)),0))</f>
        <v>30</v>
      </c>
      <c r="H355" s="7">
        <f>IF(AND(D355&lt;&gt;"OTHER",F355&gt;=1,F355&lt;=12,G355&gt;=1,G355&lt;=31),IF(AND(MONTH(DATE(E355,F355,G355))=F355,DAY(DATE(E355,F355,G355))=G355),1,0),0)</f>
        <v>1</v>
      </c>
      <c r="I355" s="7">
        <f>IF(H355=1,DATE(E355,F355,G355),"")</f>
        <v>45960.0</v>
      </c>
      <c r="J355" s="7">
        <f>IF(AND(D355="DMY",H355=1),1,0)</f>
        <v>0</v>
      </c>
      <c r="K355" s="7">
        <f>IF(H355=0,1,0)</f>
        <v>0</v>
      </c>
      <c r="L355" s="7">
        <f>IF(TRIM(Raw_Bookings!I355&amp;"")="",1,0)</f>
        <v>0</v>
      </c>
      <c r="M355" s="7">
        <f>IF(L355=1,"",DATEVALUE(LEFT(Raw_Bookings!I355,10))+TIMEVALUE(MID(Raw_Bookings!I355,12,8)))</f>
        <v>45959.56699074074</v>
      </c>
      <c r="N355" s="7">
        <f>IF(AND(L355=0,H355=1),IF(INT(M355)&gt;I355,1,0),0)</f>
        <v>0</v>
      </c>
      <c r="O355" s="7" t="str">
        <f>UPPER(TRIM(Raw_Bookings!F355))</f>
        <v>DEL</v>
      </c>
      <c r="P355" s="7" t="str">
        <f>UPPER(TRIM(Raw_Bookings!G355))</f>
        <v>MAU</v>
      </c>
      <c r="Q355" s="7">
        <f>IF(COUNTIF(Lookup_Stations!$A$2:$A$33,O355)&gt;0,1,0)</f>
        <v>1</v>
      </c>
      <c r="R355" s="7">
        <f>IF(COUNTIF(Lookup_Stations!$A$2:$A$33,P355)&gt;0,1,0)</f>
        <v>1</v>
      </c>
      <c r="S355" s="7">
        <f>IF(OR(AND(Q355=1,NOT(EXACT(Raw_Bookings!F355,O355))),AND(R355=1,NOT(EXACT(Raw_Bookings!G355,P355)))),1,0)</f>
        <v>0</v>
      </c>
      <c r="T355" s="7">
        <f>IF(OR(Q355=0,R355=0),1,0)</f>
        <v>0</v>
      </c>
      <c r="U355" s="7">
        <f>IF(TRIM(Raw_Bookings!E355&amp;"")="",1,0)</f>
        <v>0</v>
      </c>
      <c r="V355" s="7" t="str">
        <f>IF(SUMPRODUCT(--(Lookup_Status!$A$2:$A$13=LOWER(TRIM(Raw_Bookings!K355))))=0,"",INDEX(Lookup_Status!$B$2:$B$13,SUMPRODUCT((Lookup_Status!$A$2:$A$13=LOWER(TRIM(Raw_Bookings!K355)))*(ROW(Lookup_Status!$A$2:$A$13)-1))))</f>
        <v>Cancelled</v>
      </c>
      <c r="W355" s="7">
        <f>IF(AND(V355&lt;&gt;"",NOT(EXACT(Raw_Bookings!K355,V355))),1,0)</f>
        <v>0</v>
      </c>
      <c r="X355" s="7">
        <f>IF(V355="",1,0)</f>
        <v>0</v>
      </c>
      <c r="Y355" s="7">
        <f>IF(TRIM(Raw_Bookings!L355&amp;"")="",1,0)</f>
        <v>0</v>
      </c>
      <c r="Z355" s="7">
        <f>IF(AND(ISTEXT(Raw_Bookings!L355),Y355=0),1,0)</f>
        <v>1</v>
      </c>
      <c r="AA355" s="7">
        <f>IF(Z355=1,IFERROR(VALUE(SUBSTITUTE(SUBSTITUTE(SUBSTITUTE(SUBSTITUTE(SUBSTITUTE(UPPER(Raw_Bookings!L355),"RS.",""),"₹",""),",","")," ",""),"INR","")),""),"")</f>
        <v/>
      </c>
      <c r="AB355" s="7">
        <f>IF(AND(Z355=1,ISNUMBER(AA355)),1,0)</f>
        <v>0</v>
      </c>
      <c r="AC355" s="7">
        <f>IF(B355=1,0,IF(NOT(ISNUMBER(Raw_Bookings!J355)),1,IF(Raw_Bookings!J355&lt;&gt;COUNTIFS(Work_Passengers!$B$2:$B$1336,Raw_Bookings!A355,Work_Passengers!$C$2:$C$1336,0),1,0)))</f>
        <v>0</v>
      </c>
    </row>
    <row r="356" spans="1:29">
      <c r="A356" s="7">
        <f>Raw_Bookings!A356</f>
        <v>1120423</v>
      </c>
      <c r="B356" s="7">
        <f>IF(COUNTIF(Raw_Bookings!$A$2:A356,Raw_Bookings!A356)&gt;1,1,0)</f>
        <v>0</v>
      </c>
      <c r="C356" s="7" t="str">
        <f>Raw_Bookings!D356&amp;""</f>
        <v>2025-12-29</v>
      </c>
      <c r="D356" s="7" t="str">
        <f>IF(AND(LEN(C356)=10,MID(C356,5,1)="-",MID(C356,8,1)="-"),"ISO",IF(AND(LEN(C356)=10,MID(C356,3,1)="-",MID(C356,6,1)="-"),"DMY","OTHER"))</f>
        <v>ISO</v>
      </c>
      <c r="E356" s="7">
        <f>IF(D356="ISO",VALUE(LEFT(C356,4)),IF(D356="DMY",VALUE(RIGHT(C356,4)),0))</f>
        <v>2025</v>
      </c>
      <c r="F356" s="7">
        <f>IF(D356="ISO",VALUE(MID(C356,6,2)),IF(D356="DMY",VALUE(MID(C356,4,2)),0))</f>
        <v>12</v>
      </c>
      <c r="G356" s="7">
        <f>IF(D356="ISO",VALUE(RIGHT(C356,2)),IF(D356="DMY",VALUE(LEFT(C356,2)),0))</f>
        <v>29</v>
      </c>
      <c r="H356" s="7">
        <f>IF(AND(D356&lt;&gt;"OTHER",F356&gt;=1,F356&lt;=12,G356&gt;=1,G356&lt;=31),IF(AND(MONTH(DATE(E356,F356,G356))=F356,DAY(DATE(E356,F356,G356))=G356),1,0),0)</f>
        <v>1</v>
      </c>
      <c r="I356" s="7">
        <f>IF(H356=1,DATE(E356,F356,G356),"")</f>
        <v>46020.0</v>
      </c>
      <c r="J356" s="7">
        <f>IF(AND(D356="DMY",H356=1),1,0)</f>
        <v>0</v>
      </c>
      <c r="K356" s="7">
        <f>IF(H356=0,1,0)</f>
        <v>0</v>
      </c>
      <c r="L356" s="7">
        <f>IF(TRIM(Raw_Bookings!I356&amp;"")="",1,0)</f>
        <v>0</v>
      </c>
      <c r="M356" s="7">
        <f>IF(L356=1,"",DATEVALUE(LEFT(Raw_Bookings!I356,10))+TIMEVALUE(MID(Raw_Bookings!I356,12,8)))</f>
        <v>45960.630532407406</v>
      </c>
      <c r="N356" s="7">
        <f>IF(AND(L356=0,H356=1),IF(INT(M356)&gt;I356,1,0),0)</f>
        <v>0</v>
      </c>
      <c r="O356" s="7" t="str">
        <f>UPPER(TRIM(Raw_Bookings!F356))</f>
        <v>AHM</v>
      </c>
      <c r="P356" s="7" t="str">
        <f>UPPER(TRIM(Raw_Bookings!G356))</f>
        <v>CHE</v>
      </c>
      <c r="Q356" s="7">
        <f>IF(COUNTIF(Lookup_Stations!$A$2:$A$33,O356)&gt;0,1,0)</f>
        <v>1</v>
      </c>
      <c r="R356" s="7">
        <f>IF(COUNTIF(Lookup_Stations!$A$2:$A$33,P356)&gt;0,1,0)</f>
        <v>1</v>
      </c>
      <c r="S356" s="7">
        <f>IF(OR(AND(Q356=1,NOT(EXACT(Raw_Bookings!F356,O356))),AND(R356=1,NOT(EXACT(Raw_Bookings!G356,P356)))),1,0)</f>
        <v>0</v>
      </c>
      <c r="T356" s="7">
        <f>IF(OR(Q356=0,R356=0),1,0)</f>
        <v>0</v>
      </c>
      <c r="U356" s="7">
        <f>IF(TRIM(Raw_Bookings!E356&amp;"")="",1,0)</f>
        <v>0</v>
      </c>
      <c r="V356" s="7" t="str">
        <f>IF(SUMPRODUCT(--(Lookup_Status!$A$2:$A$13=LOWER(TRIM(Raw_Bookings!K356))))=0,"",INDEX(Lookup_Status!$B$2:$B$13,SUMPRODUCT((Lookup_Status!$A$2:$A$13=LOWER(TRIM(Raw_Bookings!K356)))*(ROW(Lookup_Status!$A$2:$A$13)-1))))</f>
        <v>Confirmed</v>
      </c>
      <c r="W356" s="7">
        <f>IF(AND(V356&lt;&gt;"",NOT(EXACT(Raw_Bookings!K356,V356))),1,0)</f>
        <v>0</v>
      </c>
      <c r="X356" s="7">
        <f>IF(V356="",1,0)</f>
        <v>0</v>
      </c>
      <c r="Y356" s="7">
        <f>IF(TRIM(Raw_Bookings!L356&amp;"")="",1,0)</f>
        <v>0</v>
      </c>
      <c r="Z356" s="7">
        <f>IF(AND(ISTEXT(Raw_Bookings!L356),Y356=0),1,0)</f>
        <v>0</v>
      </c>
      <c r="AA356" s="7">
        <f>IF(Z356=1,IFERROR(VALUE(SUBSTITUTE(SUBSTITUTE(SUBSTITUTE(SUBSTITUTE(SUBSTITUTE(UPPER(Raw_Bookings!L356),"RS.",""),"₹",""),",","")," ",""),"INR","")),""),"")</f>
        <v/>
      </c>
      <c r="AB356" s="7">
        <f>IF(AND(Z356=1,ISNUMBER(AA356)),1,0)</f>
        <v>0</v>
      </c>
      <c r="AC356" s="7">
        <f>IF(B356=1,0,IF(NOT(ISNUMBER(Raw_Bookings!J356)),1,IF(Raw_Bookings!J356&lt;&gt;COUNTIFS(Work_Passengers!$B$2:$B$1336,Raw_Bookings!A356,Work_Passengers!$C$2:$C$1336,0),1,0)))</f>
        <v>0</v>
      </c>
    </row>
    <row r="357" spans="1:29">
      <c r="A357" s="7">
        <f>Raw_Bookings!A357</f>
        <v>1120611</v>
      </c>
      <c r="B357" s="7">
        <f>IF(COUNTIF(Raw_Bookings!$A$2:A357,Raw_Bookings!A357)&gt;1,1,0)</f>
        <v>0</v>
      </c>
      <c r="C357" s="7" t="str">
        <f>Raw_Bookings!D357&amp;""</f>
        <v>2025-11-17</v>
      </c>
      <c r="D357" s="7" t="str">
        <f>IF(AND(LEN(C357)=10,MID(C357,5,1)="-",MID(C357,8,1)="-"),"ISO",IF(AND(LEN(C357)=10,MID(C357,3,1)="-",MID(C357,6,1)="-"),"DMY","OTHER"))</f>
        <v>ISO</v>
      </c>
      <c r="E357" s="7">
        <f>IF(D357="ISO",VALUE(LEFT(C357,4)),IF(D357="DMY",VALUE(RIGHT(C357,4)),0))</f>
        <v>2025</v>
      </c>
      <c r="F357" s="7">
        <f>IF(D357="ISO",VALUE(MID(C357,6,2)),IF(D357="DMY",VALUE(MID(C357,4,2)),0))</f>
        <v>11</v>
      </c>
      <c r="G357" s="7">
        <f>IF(D357="ISO",VALUE(RIGHT(C357,2)),IF(D357="DMY",VALUE(LEFT(C357,2)),0))</f>
        <v>17</v>
      </c>
      <c r="H357" s="7">
        <f>IF(AND(D357&lt;&gt;"OTHER",F357&gt;=1,F357&lt;=12,G357&gt;=1,G357&lt;=31),IF(AND(MONTH(DATE(E357,F357,G357))=F357,DAY(DATE(E357,F357,G357))=G357),1,0),0)</f>
        <v>1</v>
      </c>
      <c r="I357" s="7">
        <f>IF(H357=1,DATE(E357,F357,G357),"")</f>
        <v>45978.0</v>
      </c>
      <c r="J357" s="7">
        <f>IF(AND(D357="DMY",H357=1),1,0)</f>
        <v>0</v>
      </c>
      <c r="K357" s="7">
        <f>IF(H357=0,1,0)</f>
        <v>0</v>
      </c>
      <c r="L357" s="7">
        <f>IF(TRIM(Raw_Bookings!I357&amp;"")="",1,0)</f>
        <v>0</v>
      </c>
      <c r="M357" s="7">
        <f>IF(L357=1,"",DATEVALUE(LEFT(Raw_Bookings!I357,10))+TIMEVALUE(MID(Raw_Bookings!I357,12,8)))</f>
        <v>45961.40824074074</v>
      </c>
      <c r="N357" s="7">
        <f>IF(AND(L357=0,H357=1),IF(INT(M357)&gt;I357,1,0),0)</f>
        <v>0</v>
      </c>
      <c r="O357" s="7" t="str">
        <f>UPPER(TRIM(Raw_Bookings!F357))</f>
        <v>HYD</v>
      </c>
      <c r="P357" s="7" t="str">
        <f>UPPER(TRIM(Raw_Bookings!G357))</f>
        <v>KOL</v>
      </c>
      <c r="Q357" s="7">
        <f>IF(COUNTIF(Lookup_Stations!$A$2:$A$33,O357)&gt;0,1,0)</f>
        <v>1</v>
      </c>
      <c r="R357" s="7">
        <f>IF(COUNTIF(Lookup_Stations!$A$2:$A$33,P357)&gt;0,1,0)</f>
        <v>1</v>
      </c>
      <c r="S357" s="7">
        <f>IF(OR(AND(Q357=1,NOT(EXACT(Raw_Bookings!F357,O357))),AND(R357=1,NOT(EXACT(Raw_Bookings!G357,P357)))),1,0)</f>
        <v>0</v>
      </c>
      <c r="T357" s="7">
        <f>IF(OR(Q357=0,R357=0),1,0)</f>
        <v>0</v>
      </c>
      <c r="U357" s="7">
        <f>IF(TRIM(Raw_Bookings!E357&amp;"")="",1,0)</f>
        <v>0</v>
      </c>
      <c r="V357" s="7" t="str">
        <f>IF(SUMPRODUCT(--(Lookup_Status!$A$2:$A$13=LOWER(TRIM(Raw_Bookings!K357))))=0,"",INDEX(Lookup_Status!$B$2:$B$13,SUMPRODUCT((Lookup_Status!$A$2:$A$13=LOWER(TRIM(Raw_Bookings!K357)))*(ROW(Lookup_Status!$A$2:$A$13)-1))))</f>
        <v>Mixed</v>
      </c>
      <c r="W357" s="7">
        <f>IF(AND(V357&lt;&gt;"",NOT(EXACT(Raw_Bookings!K357,V357))),1,0)</f>
        <v>0</v>
      </c>
      <c r="X357" s="7">
        <f>IF(V357="",1,0)</f>
        <v>0</v>
      </c>
      <c r="Y357" s="7">
        <f>IF(TRIM(Raw_Bookings!L357&amp;"")="",1,0)</f>
        <v>0</v>
      </c>
      <c r="Z357" s="7">
        <f>IF(AND(ISTEXT(Raw_Bookings!L357),Y357=0),1,0)</f>
        <v>0</v>
      </c>
      <c r="AA357" s="7">
        <f>IF(Z357=1,IFERROR(VALUE(SUBSTITUTE(SUBSTITUTE(SUBSTITUTE(SUBSTITUTE(SUBSTITUTE(UPPER(Raw_Bookings!L357),"RS.",""),"₹",""),",","")," ",""),"INR","")),""),"")</f>
        <v/>
      </c>
      <c r="AB357" s="7">
        <f>IF(AND(Z357=1,ISNUMBER(AA357)),1,0)</f>
        <v>0</v>
      </c>
      <c r="AC357" s="7">
        <f>IF(B357=1,0,IF(NOT(ISNUMBER(Raw_Bookings!J357)),1,IF(Raw_Bookings!J357&lt;&gt;COUNTIFS(Work_Passengers!$B$2:$B$1336,Raw_Bookings!A357,Work_Passengers!$C$2:$C$1336,0),1,0)))</f>
        <v>0</v>
      </c>
    </row>
    <row r="358" spans="1:29">
      <c r="A358" s="7">
        <f>Raw_Bookings!A358</f>
        <v>1120649</v>
      </c>
      <c r="B358" s="7">
        <f>IF(COUNTIF(Raw_Bookings!$A$2:A358,Raw_Bookings!A358)&gt;1,1,0)</f>
        <v>0</v>
      </c>
      <c r="C358" s="7" t="str">
        <f>Raw_Bookings!D358&amp;""</f>
        <v>2025-11-06</v>
      </c>
      <c r="D358" s="7" t="str">
        <f>IF(AND(LEN(C358)=10,MID(C358,5,1)="-",MID(C358,8,1)="-"),"ISO",IF(AND(LEN(C358)=10,MID(C358,3,1)="-",MID(C358,6,1)="-"),"DMY","OTHER"))</f>
        <v>ISO</v>
      </c>
      <c r="E358" s="7">
        <f>IF(D358="ISO",VALUE(LEFT(C358,4)),IF(D358="DMY",VALUE(RIGHT(C358,4)),0))</f>
        <v>2025</v>
      </c>
      <c r="F358" s="7">
        <f>IF(D358="ISO",VALUE(MID(C358,6,2)),IF(D358="DMY",VALUE(MID(C358,4,2)),0))</f>
        <v>11</v>
      </c>
      <c r="G358" s="7">
        <f>IF(D358="ISO",VALUE(RIGHT(C358,2)),IF(D358="DMY",VALUE(LEFT(C358,2)),0))</f>
        <v>6</v>
      </c>
      <c r="H358" s="7">
        <f>IF(AND(D358&lt;&gt;"OTHER",F358&gt;=1,F358&lt;=12,G358&gt;=1,G358&lt;=31),IF(AND(MONTH(DATE(E358,F358,G358))=F358,DAY(DATE(E358,F358,G358))=G358),1,0),0)</f>
        <v>1</v>
      </c>
      <c r="I358" s="7">
        <f>IF(H358=1,DATE(E358,F358,G358),"")</f>
        <v>45967.0</v>
      </c>
      <c r="J358" s="7">
        <f>IF(AND(D358="DMY",H358=1),1,0)</f>
        <v>0</v>
      </c>
      <c r="K358" s="7">
        <f>IF(H358=0,1,0)</f>
        <v>0</v>
      </c>
      <c r="L358" s="7">
        <f>IF(TRIM(Raw_Bookings!I358&amp;"")="",1,0)</f>
        <v>0</v>
      </c>
      <c r="M358" s="7">
        <f>IF(L358=1,"",DATEVALUE(LEFT(Raw_Bookings!I358,10))+TIMEVALUE(MID(Raw_Bookings!I358,12,8)))</f>
        <v>45961.51025462963</v>
      </c>
      <c r="N358" s="7">
        <f>IF(AND(L358=0,H358=1),IF(INT(M358)&gt;I358,1,0),0)</f>
        <v>0</v>
      </c>
      <c r="O358" s="7" t="str">
        <f>UPPER(TRIM(Raw_Bookings!F358))</f>
        <v>DEL</v>
      </c>
      <c r="P358" s="7" t="str">
        <f>UPPER(TRIM(Raw_Bookings!G358))</f>
        <v>MAU</v>
      </c>
      <c r="Q358" s="7">
        <f>IF(COUNTIF(Lookup_Stations!$A$2:$A$33,O358)&gt;0,1,0)</f>
        <v>1</v>
      </c>
      <c r="R358" s="7">
        <f>IF(COUNTIF(Lookup_Stations!$A$2:$A$33,P358)&gt;0,1,0)</f>
        <v>1</v>
      </c>
      <c r="S358" s="7">
        <f>IF(OR(AND(Q358=1,NOT(EXACT(Raw_Bookings!F358,O358))),AND(R358=1,NOT(EXACT(Raw_Bookings!G358,P358)))),1,0)</f>
        <v>0</v>
      </c>
      <c r="T358" s="7">
        <f>IF(OR(Q358=0,R358=0),1,0)</f>
        <v>0</v>
      </c>
      <c r="U358" s="7">
        <f>IF(TRIM(Raw_Bookings!E358&amp;"")="",1,0)</f>
        <v>0</v>
      </c>
      <c r="V358" s="7" t="str">
        <f>IF(SUMPRODUCT(--(Lookup_Status!$A$2:$A$13=LOWER(TRIM(Raw_Bookings!K358))))=0,"",INDEX(Lookup_Status!$B$2:$B$13,SUMPRODUCT((Lookup_Status!$A$2:$A$13=LOWER(TRIM(Raw_Bookings!K358)))*(ROW(Lookup_Status!$A$2:$A$13)-1))))</f>
        <v>Confirmed</v>
      </c>
      <c r="W358" s="7">
        <f>IF(AND(V358&lt;&gt;"",NOT(EXACT(Raw_Bookings!K358,V358))),1,0)</f>
        <v>0</v>
      </c>
      <c r="X358" s="7">
        <f>IF(V358="",1,0)</f>
        <v>0</v>
      </c>
      <c r="Y358" s="7">
        <f>IF(TRIM(Raw_Bookings!L358&amp;"")="",1,0)</f>
        <v>0</v>
      </c>
      <c r="Z358" s="7">
        <f>IF(AND(ISTEXT(Raw_Bookings!L358),Y358=0),1,0)</f>
        <v>0</v>
      </c>
      <c r="AA358" s="7">
        <f>IF(Z358=1,IFERROR(VALUE(SUBSTITUTE(SUBSTITUTE(SUBSTITUTE(SUBSTITUTE(SUBSTITUTE(UPPER(Raw_Bookings!L358),"RS.",""),"₹",""),",","")," ",""),"INR","")),""),"")</f>
        <v/>
      </c>
      <c r="AB358" s="7">
        <f>IF(AND(Z358=1,ISNUMBER(AA358)),1,0)</f>
        <v>0</v>
      </c>
      <c r="AC358" s="7">
        <f>IF(B358=1,0,IF(NOT(ISNUMBER(Raw_Bookings!J358)),1,IF(Raw_Bookings!J358&lt;&gt;COUNTIFS(Work_Passengers!$B$2:$B$1336,Raw_Bookings!A358,Work_Passengers!$C$2:$C$1336,0),1,0)))</f>
        <v>0</v>
      </c>
    </row>
    <row r="359" spans="1:29">
      <c r="A359" s="7">
        <f>Raw_Bookings!A359</f>
        <v>1120875</v>
      </c>
      <c r="B359" s="7">
        <f>IF(COUNTIF(Raw_Bookings!$A$2:A359,Raw_Bookings!A359)&gt;1,1,0)</f>
        <v>0</v>
      </c>
      <c r="C359" s="7" t="str">
        <f>Raw_Bookings!D359&amp;""</f>
        <v>2025-11-17</v>
      </c>
      <c r="D359" s="7" t="str">
        <f>IF(AND(LEN(C359)=10,MID(C359,5,1)="-",MID(C359,8,1)="-"),"ISO",IF(AND(LEN(C359)=10,MID(C359,3,1)="-",MID(C359,6,1)="-"),"DMY","OTHER"))</f>
        <v>ISO</v>
      </c>
      <c r="E359" s="7">
        <f>IF(D359="ISO",VALUE(LEFT(C359,4)),IF(D359="DMY",VALUE(RIGHT(C359,4)),0))</f>
        <v>2025</v>
      </c>
      <c r="F359" s="7">
        <f>IF(D359="ISO",VALUE(MID(C359,6,2)),IF(D359="DMY",VALUE(MID(C359,4,2)),0))</f>
        <v>11</v>
      </c>
      <c r="G359" s="7">
        <f>IF(D359="ISO",VALUE(RIGHT(C359,2)),IF(D359="DMY",VALUE(LEFT(C359,2)),0))</f>
        <v>17</v>
      </c>
      <c r="H359" s="7">
        <f>IF(AND(D359&lt;&gt;"OTHER",F359&gt;=1,F359&lt;=12,G359&gt;=1,G359&lt;=31),IF(AND(MONTH(DATE(E359,F359,G359))=F359,DAY(DATE(E359,F359,G359))=G359),1,0),0)</f>
        <v>1</v>
      </c>
      <c r="I359" s="7">
        <f>IF(H359=1,DATE(E359,F359,G359),"")</f>
        <v>45978.0</v>
      </c>
      <c r="J359" s="7">
        <f>IF(AND(D359="DMY",H359=1),1,0)</f>
        <v>0</v>
      </c>
      <c r="K359" s="7">
        <f>IF(H359=0,1,0)</f>
        <v>0</v>
      </c>
      <c r="L359" s="7">
        <f>IF(TRIM(Raw_Bookings!I359&amp;"")="",1,0)</f>
        <v>0</v>
      </c>
      <c r="M359" s="7">
        <f>IF(L359=1,"",DATEVALUE(LEFT(Raw_Bookings!I359,10))+TIMEVALUE(MID(Raw_Bookings!I359,12,8)))</f>
        <v>45962.391689814816</v>
      </c>
      <c r="N359" s="7">
        <f>IF(AND(L359=0,H359=1),IF(INT(M359)&gt;I359,1,0),0)</f>
        <v>0</v>
      </c>
      <c r="O359" s="7" t="str">
        <f>UPPER(TRIM(Raw_Bookings!F359))</f>
        <v>KOL</v>
      </c>
      <c r="P359" s="7" t="str">
        <f>UPPER(TRIM(Raw_Bookings!G359))</f>
        <v>HYD</v>
      </c>
      <c r="Q359" s="7">
        <f>IF(COUNTIF(Lookup_Stations!$A$2:$A$33,O359)&gt;0,1,0)</f>
        <v>1</v>
      </c>
      <c r="R359" s="7">
        <f>IF(COUNTIF(Lookup_Stations!$A$2:$A$33,P359)&gt;0,1,0)</f>
        <v>1</v>
      </c>
      <c r="S359" s="7">
        <f>IF(OR(AND(Q359=1,NOT(EXACT(Raw_Bookings!F359,O359))),AND(R359=1,NOT(EXACT(Raw_Bookings!G359,P359)))),1,0)</f>
        <v>0</v>
      </c>
      <c r="T359" s="7">
        <f>IF(OR(Q359=0,R359=0),1,0)</f>
        <v>0</v>
      </c>
      <c r="U359" s="7">
        <f>IF(TRIM(Raw_Bookings!E359&amp;"")="",1,0)</f>
        <v>0</v>
      </c>
      <c r="V359" s="7" t="str">
        <f>IF(SUMPRODUCT(--(Lookup_Status!$A$2:$A$13=LOWER(TRIM(Raw_Bookings!K359))))=0,"",INDEX(Lookup_Status!$B$2:$B$13,SUMPRODUCT((Lookup_Status!$A$2:$A$13=LOWER(TRIM(Raw_Bookings!K359)))*(ROW(Lookup_Status!$A$2:$A$13)-1))))</f>
        <v>Confirmed</v>
      </c>
      <c r="W359" s="7">
        <f>IF(AND(V359&lt;&gt;"",NOT(EXACT(Raw_Bookings!K359,V359))),1,0)</f>
        <v>0</v>
      </c>
      <c r="X359" s="7">
        <f>IF(V359="",1,0)</f>
        <v>0</v>
      </c>
      <c r="Y359" s="7">
        <f>IF(TRIM(Raw_Bookings!L359&amp;"")="",1,0)</f>
        <v>0</v>
      </c>
      <c r="Z359" s="7">
        <f>IF(AND(ISTEXT(Raw_Bookings!L359),Y359=0),1,0)</f>
        <v>0</v>
      </c>
      <c r="AA359" s="7">
        <f>IF(Z359=1,IFERROR(VALUE(SUBSTITUTE(SUBSTITUTE(SUBSTITUTE(SUBSTITUTE(SUBSTITUTE(UPPER(Raw_Bookings!L359),"RS.",""),"₹",""),",","")," ",""),"INR","")),""),"")</f>
        <v/>
      </c>
      <c r="AB359" s="7">
        <f>IF(AND(Z359=1,ISNUMBER(AA359)),1,0)</f>
        <v>0</v>
      </c>
      <c r="AC359" s="7">
        <f>IF(B359=1,0,IF(NOT(ISNUMBER(Raw_Bookings!J359)),1,IF(Raw_Bookings!J359&lt;&gt;COUNTIFS(Work_Passengers!$B$2:$B$1336,Raw_Bookings!A359,Work_Passengers!$C$2:$C$1336,0),1,0)))</f>
        <v>0</v>
      </c>
    </row>
    <row r="360" spans="1:29">
      <c r="A360" s="7">
        <f>Raw_Bookings!A360</f>
        <v>1121859</v>
      </c>
      <c r="B360" s="7">
        <f>IF(COUNTIF(Raw_Bookings!$A$2:A360,Raw_Bookings!A360)&gt;1,1,0)</f>
        <v>0</v>
      </c>
      <c r="C360" s="7" t="str">
        <f>Raw_Bookings!D360&amp;""</f>
        <v>2025-12-15</v>
      </c>
      <c r="D360" s="7" t="str">
        <f>IF(AND(LEN(C360)=10,MID(C360,5,1)="-",MID(C360,8,1)="-"),"ISO",IF(AND(LEN(C360)=10,MID(C360,3,1)="-",MID(C360,6,1)="-"),"DMY","OTHER"))</f>
        <v>ISO</v>
      </c>
      <c r="E360" s="7">
        <f>IF(D360="ISO",VALUE(LEFT(C360,4)),IF(D360="DMY",VALUE(RIGHT(C360,4)),0))</f>
        <v>2025</v>
      </c>
      <c r="F360" s="7">
        <f>IF(D360="ISO",VALUE(MID(C360,6,2)),IF(D360="DMY",VALUE(MID(C360,4,2)),0))</f>
        <v>12</v>
      </c>
      <c r="G360" s="7">
        <f>IF(D360="ISO",VALUE(RIGHT(C360,2)),IF(D360="DMY",VALUE(LEFT(C360,2)),0))</f>
        <v>15</v>
      </c>
      <c r="H360" s="7">
        <f>IF(AND(D360&lt;&gt;"OTHER",F360&gt;=1,F360&lt;=12,G360&gt;=1,G360&lt;=31),IF(AND(MONTH(DATE(E360,F360,G360))=F360,DAY(DATE(E360,F360,G360))=G360),1,0),0)</f>
        <v>1</v>
      </c>
      <c r="I360" s="7">
        <f>IF(H360=1,DATE(E360,F360,G360),"")</f>
        <v>46006.0</v>
      </c>
      <c r="J360" s="7">
        <f>IF(AND(D360="DMY",H360=1),1,0)</f>
        <v>0</v>
      </c>
      <c r="K360" s="7">
        <f>IF(H360=0,1,0)</f>
        <v>0</v>
      </c>
      <c r="L360" s="7">
        <f>IF(TRIM(Raw_Bookings!I360&amp;"")="",1,0)</f>
        <v>0</v>
      </c>
      <c r="M360" s="7">
        <f>IF(L360=1,"",DATEVALUE(LEFT(Raw_Bookings!I360,10))+TIMEVALUE(MID(Raw_Bookings!I360,12,8)))</f>
        <v>45965.880520833336</v>
      </c>
      <c r="N360" s="7">
        <f>IF(AND(L360=0,H360=1),IF(INT(M360)&gt;I360,1,0),0)</f>
        <v>0</v>
      </c>
      <c r="O360" s="7" t="str">
        <f>UPPER(TRIM(Raw_Bookings!F360))</f>
        <v>BEN</v>
      </c>
      <c r="P360" s="7" t="str">
        <f>UPPER(TRIM(Raw_Bookings!G360))</f>
        <v>MUM</v>
      </c>
      <c r="Q360" s="7">
        <f>IF(COUNTIF(Lookup_Stations!$A$2:$A$33,O360)&gt;0,1,0)</f>
        <v>1</v>
      </c>
      <c r="R360" s="7">
        <f>IF(COUNTIF(Lookup_Stations!$A$2:$A$33,P360)&gt;0,1,0)</f>
        <v>1</v>
      </c>
      <c r="S360" s="7">
        <f>IF(OR(AND(Q360=1,NOT(EXACT(Raw_Bookings!F360,O360))),AND(R360=1,NOT(EXACT(Raw_Bookings!G360,P360)))),1,0)</f>
        <v>0</v>
      </c>
      <c r="T360" s="7">
        <f>IF(OR(Q360=0,R360=0),1,0)</f>
        <v>0</v>
      </c>
      <c r="U360" s="7">
        <f>IF(TRIM(Raw_Bookings!E360&amp;"")="",1,0)</f>
        <v>1</v>
      </c>
      <c r="V360" s="7" t="str">
        <f>IF(SUMPRODUCT(--(Lookup_Status!$A$2:$A$13=LOWER(TRIM(Raw_Bookings!K360))))=0,"",INDEX(Lookup_Status!$B$2:$B$13,SUMPRODUCT((Lookup_Status!$A$2:$A$13=LOWER(TRIM(Raw_Bookings!K360)))*(ROW(Lookup_Status!$A$2:$A$13)-1))))</f>
        <v>Confirmed</v>
      </c>
      <c r="W360" s="7">
        <f>IF(AND(V360&lt;&gt;"",NOT(EXACT(Raw_Bookings!K360,V360))),1,0)</f>
        <v>0</v>
      </c>
      <c r="X360" s="7">
        <f>IF(V360="",1,0)</f>
        <v>0</v>
      </c>
      <c r="Y360" s="7">
        <f>IF(TRIM(Raw_Bookings!L360&amp;"")="",1,0)</f>
        <v>0</v>
      </c>
      <c r="Z360" s="7">
        <f>IF(AND(ISTEXT(Raw_Bookings!L360),Y360=0),1,0)</f>
        <v>0</v>
      </c>
      <c r="AA360" s="7">
        <f>IF(Z360=1,IFERROR(VALUE(SUBSTITUTE(SUBSTITUTE(SUBSTITUTE(SUBSTITUTE(SUBSTITUTE(UPPER(Raw_Bookings!L360),"RS.",""),"₹",""),",","")," ",""),"INR","")),""),"")</f>
        <v/>
      </c>
      <c r="AB360" s="7">
        <f>IF(AND(Z360=1,ISNUMBER(AA360)),1,0)</f>
        <v>0</v>
      </c>
      <c r="AC360" s="7">
        <f>IF(B360=1,0,IF(NOT(ISNUMBER(Raw_Bookings!J360)),1,IF(Raw_Bookings!J360&lt;&gt;COUNTIFS(Work_Passengers!$B$2:$B$1336,Raw_Bookings!A360,Work_Passengers!$C$2:$C$1336,0),1,0)))</f>
        <v>0</v>
      </c>
    </row>
    <row r="361" spans="1:29">
      <c r="A361" s="7">
        <f>Raw_Bookings!A361</f>
        <v>1122006</v>
      </c>
      <c r="B361" s="7">
        <f>IF(COUNTIF(Raw_Bookings!$A$2:A361,Raw_Bookings!A361)&gt;1,1,0)</f>
        <v>0</v>
      </c>
      <c r="C361" s="7" t="str">
        <f>Raw_Bookings!D361&amp;""</f>
        <v>2025-11-17</v>
      </c>
      <c r="D361" s="7" t="str">
        <f>IF(AND(LEN(C361)=10,MID(C361,5,1)="-",MID(C361,8,1)="-"),"ISO",IF(AND(LEN(C361)=10,MID(C361,3,1)="-",MID(C361,6,1)="-"),"DMY","OTHER"))</f>
        <v>ISO</v>
      </c>
      <c r="E361" s="7">
        <f>IF(D361="ISO",VALUE(LEFT(C361,4)),IF(D361="DMY",VALUE(RIGHT(C361,4)),0))</f>
        <v>2025</v>
      </c>
      <c r="F361" s="7">
        <f>IF(D361="ISO",VALUE(MID(C361,6,2)),IF(D361="DMY",VALUE(MID(C361,4,2)),0))</f>
        <v>11</v>
      </c>
      <c r="G361" s="7">
        <f>IF(D361="ISO",VALUE(RIGHT(C361,2)),IF(D361="DMY",VALUE(LEFT(C361,2)),0))</f>
        <v>17</v>
      </c>
      <c r="H361" s="7">
        <f>IF(AND(D361&lt;&gt;"OTHER",F361&gt;=1,F361&lt;=12,G361&gt;=1,G361&lt;=31),IF(AND(MONTH(DATE(E361,F361,G361))=F361,DAY(DATE(E361,F361,G361))=G361),1,0),0)</f>
        <v>1</v>
      </c>
      <c r="I361" s="7">
        <f>IF(H361=1,DATE(E361,F361,G361),"")</f>
        <v>45978.0</v>
      </c>
      <c r="J361" s="7">
        <f>IF(AND(D361="DMY",H361=1),1,0)</f>
        <v>0</v>
      </c>
      <c r="K361" s="7">
        <f>IF(H361=0,1,0)</f>
        <v>0</v>
      </c>
      <c r="L361" s="7">
        <f>IF(TRIM(Raw_Bookings!I361&amp;"")="",1,0)</f>
        <v>0</v>
      </c>
      <c r="M361" s="7">
        <f>IF(L361=1,"",DATEVALUE(LEFT(Raw_Bookings!I361,10))+TIMEVALUE(MID(Raw_Bookings!I361,12,8)))</f>
        <v>45966.584710648145</v>
      </c>
      <c r="N361" s="7">
        <f>IF(AND(L361=0,H361=1),IF(INT(M361)&gt;I361,1,0),0)</f>
        <v>0</v>
      </c>
      <c r="O361" s="7" t="str">
        <f>UPPER(TRIM(Raw_Bookings!F361))</f>
        <v>BEN</v>
      </c>
      <c r="P361" s="7" t="str">
        <f>UPPER(TRIM(Raw_Bookings!G361))</f>
        <v>MUM</v>
      </c>
      <c r="Q361" s="7">
        <f>IF(COUNTIF(Lookup_Stations!$A$2:$A$33,O361)&gt;0,1,0)</f>
        <v>1</v>
      </c>
      <c r="R361" s="7">
        <f>IF(COUNTIF(Lookup_Stations!$A$2:$A$33,P361)&gt;0,1,0)</f>
        <v>1</v>
      </c>
      <c r="S361" s="7">
        <f>IF(OR(AND(Q361=1,NOT(EXACT(Raw_Bookings!F361,O361))),AND(R361=1,NOT(EXACT(Raw_Bookings!G361,P361)))),1,0)</f>
        <v>0</v>
      </c>
      <c r="T361" s="7">
        <f>IF(OR(Q361=0,R361=0),1,0)</f>
        <v>0</v>
      </c>
      <c r="U361" s="7">
        <f>IF(TRIM(Raw_Bookings!E361&amp;"")="",1,0)</f>
        <v>0</v>
      </c>
      <c r="V361" s="7" t="str">
        <f>IF(SUMPRODUCT(--(Lookup_Status!$A$2:$A$13=LOWER(TRIM(Raw_Bookings!K361))))=0,"",INDEX(Lookup_Status!$B$2:$B$13,SUMPRODUCT((Lookup_Status!$A$2:$A$13=LOWER(TRIM(Raw_Bookings!K361)))*(ROW(Lookup_Status!$A$2:$A$13)-1))))</f>
        <v>Waitlisted</v>
      </c>
      <c r="W361" s="7">
        <f>IF(AND(V361&lt;&gt;"",NOT(EXACT(Raw_Bookings!K361,V361))),1,0)</f>
        <v>0</v>
      </c>
      <c r="X361" s="7">
        <f>IF(V361="",1,0)</f>
        <v>0</v>
      </c>
      <c r="Y361" s="7">
        <f>IF(TRIM(Raw_Bookings!L361&amp;"")="",1,0)</f>
        <v>0</v>
      </c>
      <c r="Z361" s="7">
        <f>IF(AND(ISTEXT(Raw_Bookings!L361),Y361=0),1,0)</f>
        <v>0</v>
      </c>
      <c r="AA361" s="7">
        <f>IF(Z361=1,IFERROR(VALUE(SUBSTITUTE(SUBSTITUTE(SUBSTITUTE(SUBSTITUTE(SUBSTITUTE(UPPER(Raw_Bookings!L361),"RS.",""),"₹",""),",","")," ",""),"INR","")),""),"")</f>
        <v/>
      </c>
      <c r="AB361" s="7">
        <f>IF(AND(Z361=1,ISNUMBER(AA361)),1,0)</f>
        <v>0</v>
      </c>
      <c r="AC361" s="7">
        <f>IF(B361=1,0,IF(NOT(ISNUMBER(Raw_Bookings!J361)),1,IF(Raw_Bookings!J361&lt;&gt;COUNTIFS(Work_Passengers!$B$2:$B$1336,Raw_Bookings!A361,Work_Passengers!$C$2:$C$1336,0),1,0)))</f>
        <v>0</v>
      </c>
    </row>
    <row r="362" spans="1:29">
      <c r="A362" s="7">
        <f>Raw_Bookings!A362</f>
        <v>1122013</v>
      </c>
      <c r="B362" s="7">
        <f>IF(COUNTIF(Raw_Bookings!$A$2:A362,Raw_Bookings!A362)&gt;1,1,0)</f>
        <v>0</v>
      </c>
      <c r="C362" s="7" t="str">
        <f>Raw_Bookings!D362&amp;""</f>
        <v>2025-11-17</v>
      </c>
      <c r="D362" s="7" t="str">
        <f>IF(AND(LEN(C362)=10,MID(C362,5,1)="-",MID(C362,8,1)="-"),"ISO",IF(AND(LEN(C362)=10,MID(C362,3,1)="-",MID(C362,6,1)="-"),"DMY","OTHER"))</f>
        <v>ISO</v>
      </c>
      <c r="E362" s="7">
        <f>IF(D362="ISO",VALUE(LEFT(C362,4)),IF(D362="DMY",VALUE(RIGHT(C362,4)),0))</f>
        <v>2025</v>
      </c>
      <c r="F362" s="7">
        <f>IF(D362="ISO",VALUE(MID(C362,6,2)),IF(D362="DMY",VALUE(MID(C362,4,2)),0))</f>
        <v>11</v>
      </c>
      <c r="G362" s="7">
        <f>IF(D362="ISO",VALUE(RIGHT(C362,2)),IF(D362="DMY",VALUE(LEFT(C362,2)),0))</f>
        <v>17</v>
      </c>
      <c r="H362" s="7">
        <f>IF(AND(D362&lt;&gt;"OTHER",F362&gt;=1,F362&lt;=12,G362&gt;=1,G362&lt;=31),IF(AND(MONTH(DATE(E362,F362,G362))=F362,DAY(DATE(E362,F362,G362))=G362),1,0),0)</f>
        <v>1</v>
      </c>
      <c r="I362" s="7">
        <f>IF(H362=1,DATE(E362,F362,G362),"")</f>
        <v>45978.0</v>
      </c>
      <c r="J362" s="7">
        <f>IF(AND(D362="DMY",H362=1),1,0)</f>
        <v>0</v>
      </c>
      <c r="K362" s="7">
        <f>IF(H362=0,1,0)</f>
        <v>0</v>
      </c>
      <c r="L362" s="7">
        <f>IF(TRIM(Raw_Bookings!I362&amp;"")="",1,0)</f>
        <v>0</v>
      </c>
      <c r="M362" s="7">
        <f>IF(L362=1,"",DATEVALUE(LEFT(Raw_Bookings!I362,10))+TIMEVALUE(MID(Raw_Bookings!I362,12,8)))</f>
        <v>45966.5997337963</v>
      </c>
      <c r="N362" s="7">
        <f>IF(AND(L362=0,H362=1),IF(INT(M362)&gt;I362,1,0),0)</f>
        <v>0</v>
      </c>
      <c r="O362" s="7" t="str">
        <f>UPPER(TRIM(Raw_Bookings!F362))</f>
        <v>BEN</v>
      </c>
      <c r="P362" s="7" t="str">
        <f>UPPER(TRIM(Raw_Bookings!G362))</f>
        <v>MUM</v>
      </c>
      <c r="Q362" s="7">
        <f>IF(COUNTIF(Lookup_Stations!$A$2:$A$33,O362)&gt;0,1,0)</f>
        <v>1</v>
      </c>
      <c r="R362" s="7">
        <f>IF(COUNTIF(Lookup_Stations!$A$2:$A$33,P362)&gt;0,1,0)</f>
        <v>1</v>
      </c>
      <c r="S362" s="7">
        <f>IF(OR(AND(Q362=1,NOT(EXACT(Raw_Bookings!F362,O362))),AND(R362=1,NOT(EXACT(Raw_Bookings!G362,P362)))),1,0)</f>
        <v>0</v>
      </c>
      <c r="T362" s="7">
        <f>IF(OR(Q362=0,R362=0),1,0)</f>
        <v>0</v>
      </c>
      <c r="U362" s="7">
        <f>IF(TRIM(Raw_Bookings!E362&amp;"")="",1,0)</f>
        <v>0</v>
      </c>
      <c r="V362" s="7" t="str">
        <f>IF(SUMPRODUCT(--(Lookup_Status!$A$2:$A$13=LOWER(TRIM(Raw_Bookings!K362))))=0,"",INDEX(Lookup_Status!$B$2:$B$13,SUMPRODUCT((Lookup_Status!$A$2:$A$13=LOWER(TRIM(Raw_Bookings!K362)))*(ROW(Lookup_Status!$A$2:$A$13)-1))))</f>
        <v>Cancelled</v>
      </c>
      <c r="W362" s="7">
        <f>IF(AND(V362&lt;&gt;"",NOT(EXACT(Raw_Bookings!K362,V362))),1,0)</f>
        <v>0</v>
      </c>
      <c r="X362" s="7">
        <f>IF(V362="",1,0)</f>
        <v>0</v>
      </c>
      <c r="Y362" s="7">
        <f>IF(TRIM(Raw_Bookings!L362&amp;"")="",1,0)</f>
        <v>0</v>
      </c>
      <c r="Z362" s="7">
        <f>IF(AND(ISTEXT(Raw_Bookings!L362),Y362=0),1,0)</f>
        <v>0</v>
      </c>
      <c r="AA362" s="7">
        <f>IF(Z362=1,IFERROR(VALUE(SUBSTITUTE(SUBSTITUTE(SUBSTITUTE(SUBSTITUTE(SUBSTITUTE(UPPER(Raw_Bookings!L362),"RS.",""),"₹",""),",","")," ",""),"INR","")),""),"")</f>
        <v/>
      </c>
      <c r="AB362" s="7">
        <f>IF(AND(Z362=1,ISNUMBER(AA362)),1,0)</f>
        <v>0</v>
      </c>
      <c r="AC362" s="7">
        <f>IF(B362=1,0,IF(NOT(ISNUMBER(Raw_Bookings!J362)),1,IF(Raw_Bookings!J362&lt;&gt;COUNTIFS(Work_Passengers!$B$2:$B$1336,Raw_Bookings!A362,Work_Passengers!$C$2:$C$1336,0),1,0)))</f>
        <v>0</v>
      </c>
    </row>
    <row r="363" spans="1:29">
      <c r="A363" s="7">
        <f>Raw_Bookings!A363</f>
        <v>1122136</v>
      </c>
      <c r="B363" s="7">
        <f>IF(COUNTIF(Raw_Bookings!$A$2:A363,Raw_Bookings!A363)&gt;1,1,0)</f>
        <v>0</v>
      </c>
      <c r="C363" s="7" t="str">
        <f>Raw_Bookings!D363&amp;""</f>
        <v>2025-11-19</v>
      </c>
      <c r="D363" s="7" t="str">
        <f>IF(AND(LEN(C363)=10,MID(C363,5,1)="-",MID(C363,8,1)="-"),"ISO",IF(AND(LEN(C363)=10,MID(C363,3,1)="-",MID(C363,6,1)="-"),"DMY","OTHER"))</f>
        <v>ISO</v>
      </c>
      <c r="E363" s="7">
        <f>IF(D363="ISO",VALUE(LEFT(C363,4)),IF(D363="DMY",VALUE(RIGHT(C363,4)),0))</f>
        <v>2025</v>
      </c>
      <c r="F363" s="7">
        <f>IF(D363="ISO",VALUE(MID(C363,6,2)),IF(D363="DMY",VALUE(MID(C363,4,2)),0))</f>
        <v>11</v>
      </c>
      <c r="G363" s="7">
        <f>IF(D363="ISO",VALUE(RIGHT(C363,2)),IF(D363="DMY",VALUE(LEFT(C363,2)),0))</f>
        <v>19</v>
      </c>
      <c r="H363" s="7">
        <f>IF(AND(D363&lt;&gt;"OTHER",F363&gt;=1,F363&lt;=12,G363&gt;=1,G363&lt;=31),IF(AND(MONTH(DATE(E363,F363,G363))=F363,DAY(DATE(E363,F363,G363))=G363),1,0),0)</f>
        <v>1</v>
      </c>
      <c r="I363" s="7">
        <f>IF(H363=1,DATE(E363,F363,G363),"")</f>
        <v>45980.0</v>
      </c>
      <c r="J363" s="7">
        <f>IF(AND(D363="DMY",H363=1),1,0)</f>
        <v>0</v>
      </c>
      <c r="K363" s="7">
        <f>IF(H363=0,1,0)</f>
        <v>0</v>
      </c>
      <c r="L363" s="7">
        <f>IF(TRIM(Raw_Bookings!I363&amp;"")="",1,0)</f>
        <v>0</v>
      </c>
      <c r="M363" s="7">
        <f>IF(L363=1,"",DATEVALUE(LEFT(Raw_Bookings!I363,10))+TIMEVALUE(MID(Raw_Bookings!I363,12,8)))</f>
        <v>45966.896469907406</v>
      </c>
      <c r="N363" s="7">
        <f>IF(AND(L363=0,H363=1),IF(INT(M363)&gt;I363,1,0),0)</f>
        <v>0</v>
      </c>
      <c r="O363" s="7" t="str">
        <f>UPPER(TRIM(Raw_Bookings!F363))</f>
        <v>MAU</v>
      </c>
      <c r="P363" s="7" t="str">
        <f>UPPER(TRIM(Raw_Bookings!G363))</f>
        <v>MAD</v>
      </c>
      <c r="Q363" s="7">
        <f>IF(COUNTIF(Lookup_Stations!$A$2:$A$33,O363)&gt;0,1,0)</f>
        <v>1</v>
      </c>
      <c r="R363" s="7">
        <f>IF(COUNTIF(Lookup_Stations!$A$2:$A$33,P363)&gt;0,1,0)</f>
        <v>1</v>
      </c>
      <c r="S363" s="7">
        <f>IF(OR(AND(Q363=1,NOT(EXACT(Raw_Bookings!F363,O363))),AND(R363=1,NOT(EXACT(Raw_Bookings!G363,P363)))),1,0)</f>
        <v>0</v>
      </c>
      <c r="T363" s="7">
        <f>IF(OR(Q363=0,R363=0),1,0)</f>
        <v>0</v>
      </c>
      <c r="U363" s="7">
        <f>IF(TRIM(Raw_Bookings!E363&amp;"")="",1,0)</f>
        <v>0</v>
      </c>
      <c r="V363" s="7" t="str">
        <f>IF(SUMPRODUCT(--(Lookup_Status!$A$2:$A$13=LOWER(TRIM(Raw_Bookings!K363))))=0,"",INDEX(Lookup_Status!$B$2:$B$13,SUMPRODUCT((Lookup_Status!$A$2:$A$13=LOWER(TRIM(Raw_Bookings!K363)))*(ROW(Lookup_Status!$A$2:$A$13)-1))))</f>
        <v>Confirmed</v>
      </c>
      <c r="W363" s="7">
        <f>IF(AND(V363&lt;&gt;"",NOT(EXACT(Raw_Bookings!K363,V363))),1,0)</f>
        <v>0</v>
      </c>
      <c r="X363" s="7">
        <f>IF(V363="",1,0)</f>
        <v>0</v>
      </c>
      <c r="Y363" s="7">
        <f>IF(TRIM(Raw_Bookings!L363&amp;"")="",1,0)</f>
        <v>0</v>
      </c>
      <c r="Z363" s="7">
        <f>IF(AND(ISTEXT(Raw_Bookings!L363),Y363=0),1,0)</f>
        <v>0</v>
      </c>
      <c r="AA363" s="7">
        <f>IF(Z363=1,IFERROR(VALUE(SUBSTITUTE(SUBSTITUTE(SUBSTITUTE(SUBSTITUTE(SUBSTITUTE(UPPER(Raw_Bookings!L363),"RS.",""),"₹",""),",","")," ",""),"INR","")),""),"")</f>
        <v/>
      </c>
      <c r="AB363" s="7">
        <f>IF(AND(Z363=1,ISNUMBER(AA363)),1,0)</f>
        <v>0</v>
      </c>
      <c r="AC363" s="7">
        <f>IF(B363=1,0,IF(NOT(ISNUMBER(Raw_Bookings!J363)),1,IF(Raw_Bookings!J363&lt;&gt;COUNTIFS(Work_Passengers!$B$2:$B$1336,Raw_Bookings!A363,Work_Passengers!$C$2:$C$1336,0),1,0)))</f>
        <v>0</v>
      </c>
    </row>
    <row r="364" spans="1:29">
      <c r="A364" s="7">
        <f>Raw_Bookings!A364</f>
        <v>1122140</v>
      </c>
      <c r="B364" s="7">
        <f>IF(COUNTIF(Raw_Bookings!$A$2:A364,Raw_Bookings!A364)&gt;1,1,0)</f>
        <v>0</v>
      </c>
      <c r="C364" s="7" t="str">
        <f>Raw_Bookings!D364&amp;""</f>
        <v>2025-11-17</v>
      </c>
      <c r="D364" s="7" t="str">
        <f>IF(AND(LEN(C364)=10,MID(C364,5,1)="-",MID(C364,8,1)="-"),"ISO",IF(AND(LEN(C364)=10,MID(C364,3,1)="-",MID(C364,6,1)="-"),"DMY","OTHER"))</f>
        <v>ISO</v>
      </c>
      <c r="E364" s="7">
        <f>IF(D364="ISO",VALUE(LEFT(C364,4)),IF(D364="DMY",VALUE(RIGHT(C364,4)),0))</f>
        <v>2025</v>
      </c>
      <c r="F364" s="7">
        <f>IF(D364="ISO",VALUE(MID(C364,6,2)),IF(D364="DMY",VALUE(MID(C364,4,2)),0))</f>
        <v>11</v>
      </c>
      <c r="G364" s="7">
        <f>IF(D364="ISO",VALUE(RIGHT(C364,2)),IF(D364="DMY",VALUE(LEFT(C364,2)),0))</f>
        <v>17</v>
      </c>
      <c r="H364" s="7">
        <f>IF(AND(D364&lt;&gt;"OTHER",F364&gt;=1,F364&lt;=12,G364&gt;=1,G364&lt;=31),IF(AND(MONTH(DATE(E364,F364,G364))=F364,DAY(DATE(E364,F364,G364))=G364),1,0),0)</f>
        <v>1</v>
      </c>
      <c r="I364" s="7">
        <f>IF(H364=1,DATE(E364,F364,G364),"")</f>
        <v>45978.0</v>
      </c>
      <c r="J364" s="7">
        <f>IF(AND(D364="DMY",H364=1),1,0)</f>
        <v>0</v>
      </c>
      <c r="K364" s="7">
        <f>IF(H364=0,1,0)</f>
        <v>0</v>
      </c>
      <c r="L364" s="7">
        <f>IF(TRIM(Raw_Bookings!I364&amp;"")="",1,0)</f>
        <v>0</v>
      </c>
      <c r="M364" s="7">
        <f>IF(L364=1,"",DATEVALUE(LEFT(Raw_Bookings!I364,10))+TIMEVALUE(MID(Raw_Bookings!I364,12,8)))</f>
        <v>45982.583333333336</v>
      </c>
      <c r="N364" s="7">
        <f>IF(AND(L364=0,H364=1),IF(INT(M364)&gt;I364,1,0),0)</f>
        <v>1</v>
      </c>
      <c r="O364" s="7" t="str">
        <f>UPPER(TRIM(Raw_Bookings!F364))</f>
        <v>KOL</v>
      </c>
      <c r="P364" s="7" t="str">
        <f>UPPER(TRIM(Raw_Bookings!G364))</f>
        <v>HYD</v>
      </c>
      <c r="Q364" s="7">
        <f>IF(COUNTIF(Lookup_Stations!$A$2:$A$33,O364)&gt;0,1,0)</f>
        <v>1</v>
      </c>
      <c r="R364" s="7">
        <f>IF(COUNTIF(Lookup_Stations!$A$2:$A$33,P364)&gt;0,1,0)</f>
        <v>1</v>
      </c>
      <c r="S364" s="7">
        <f>IF(OR(AND(Q364=1,NOT(EXACT(Raw_Bookings!F364,O364))),AND(R364=1,NOT(EXACT(Raw_Bookings!G364,P364)))),1,0)</f>
        <v>0</v>
      </c>
      <c r="T364" s="7">
        <f>IF(OR(Q364=0,R364=0),1,0)</f>
        <v>0</v>
      </c>
      <c r="U364" s="7">
        <f>IF(TRIM(Raw_Bookings!E364&amp;"")="",1,0)</f>
        <v>0</v>
      </c>
      <c r="V364" s="7" t="str">
        <f>IF(SUMPRODUCT(--(Lookup_Status!$A$2:$A$13=LOWER(TRIM(Raw_Bookings!K364))))=0,"",INDEX(Lookup_Status!$B$2:$B$13,SUMPRODUCT((Lookup_Status!$A$2:$A$13=LOWER(TRIM(Raw_Bookings!K364)))*(ROW(Lookup_Status!$A$2:$A$13)-1))))</f>
        <v>RAC</v>
      </c>
      <c r="W364" s="7">
        <f>IF(AND(V364&lt;&gt;"",NOT(EXACT(Raw_Bookings!K364,V364))),1,0)</f>
        <v>0</v>
      </c>
      <c r="X364" s="7">
        <f>IF(V364="",1,0)</f>
        <v>0</v>
      </c>
      <c r="Y364" s="7">
        <f>IF(TRIM(Raw_Bookings!L364&amp;"")="",1,0)</f>
        <v>0</v>
      </c>
      <c r="Z364" s="7">
        <f>IF(AND(ISTEXT(Raw_Bookings!L364),Y364=0),1,0)</f>
        <v>0</v>
      </c>
      <c r="AA364" s="7">
        <f>IF(Z364=1,IFERROR(VALUE(SUBSTITUTE(SUBSTITUTE(SUBSTITUTE(SUBSTITUTE(SUBSTITUTE(UPPER(Raw_Bookings!L364),"RS.",""),"₹",""),",","")," ",""),"INR","")),""),"")</f>
        <v/>
      </c>
      <c r="AB364" s="7">
        <f>IF(AND(Z364=1,ISNUMBER(AA364)),1,0)</f>
        <v>0</v>
      </c>
      <c r="AC364" s="7">
        <f>IF(B364=1,0,IF(NOT(ISNUMBER(Raw_Bookings!J364)),1,IF(Raw_Bookings!J364&lt;&gt;COUNTIFS(Work_Passengers!$B$2:$B$1336,Raw_Bookings!A364,Work_Passengers!$C$2:$C$1336,0),1,0)))</f>
        <v>0</v>
      </c>
    </row>
    <row r="365" spans="1:29">
      <c r="A365" s="7">
        <f>Raw_Bookings!A365</f>
        <v>1122145</v>
      </c>
      <c r="B365" s="7">
        <f>IF(COUNTIF(Raw_Bookings!$A$2:A365,Raw_Bookings!A365)&gt;1,1,0)</f>
        <v>0</v>
      </c>
      <c r="C365" s="7" t="str">
        <f>Raw_Bookings!D365&amp;""</f>
        <v>2025-11-17</v>
      </c>
      <c r="D365" s="7" t="str">
        <f>IF(AND(LEN(C365)=10,MID(C365,5,1)="-",MID(C365,8,1)="-"),"ISO",IF(AND(LEN(C365)=10,MID(C365,3,1)="-",MID(C365,6,1)="-"),"DMY","OTHER"))</f>
        <v>ISO</v>
      </c>
      <c r="E365" s="7">
        <f>IF(D365="ISO",VALUE(LEFT(C365,4)),IF(D365="DMY",VALUE(RIGHT(C365,4)),0))</f>
        <v>2025</v>
      </c>
      <c r="F365" s="7">
        <f>IF(D365="ISO",VALUE(MID(C365,6,2)),IF(D365="DMY",VALUE(MID(C365,4,2)),0))</f>
        <v>11</v>
      </c>
      <c r="G365" s="7">
        <f>IF(D365="ISO",VALUE(RIGHT(C365,2)),IF(D365="DMY",VALUE(LEFT(C365,2)),0))</f>
        <v>17</v>
      </c>
      <c r="H365" s="7">
        <f>IF(AND(D365&lt;&gt;"OTHER",F365&gt;=1,F365&lt;=12,G365&gt;=1,G365&lt;=31),IF(AND(MONTH(DATE(E365,F365,G365))=F365,DAY(DATE(E365,F365,G365))=G365),1,0),0)</f>
        <v>1</v>
      </c>
      <c r="I365" s="7">
        <f>IF(H365=1,DATE(E365,F365,G365),"")</f>
        <v>45978.0</v>
      </c>
      <c r="J365" s="7">
        <f>IF(AND(D365="DMY",H365=1),1,0)</f>
        <v>0</v>
      </c>
      <c r="K365" s="7">
        <f>IF(H365=0,1,0)</f>
        <v>0</v>
      </c>
      <c r="L365" s="7">
        <f>IF(TRIM(Raw_Bookings!I365&amp;"")="",1,0)</f>
        <v>0</v>
      </c>
      <c r="M365" s="7">
        <f>IF(L365=1,"",DATEVALUE(LEFT(Raw_Bookings!I365,10))+TIMEVALUE(MID(Raw_Bookings!I365,12,8)))</f>
        <v>45966.916284722225</v>
      </c>
      <c r="N365" s="7">
        <f>IF(AND(L365=0,H365=1),IF(INT(M365)&gt;I365,1,0),0)</f>
        <v>0</v>
      </c>
      <c r="O365" s="7" t="str">
        <f>UPPER(TRIM(Raw_Bookings!F365))</f>
        <v>KOL</v>
      </c>
      <c r="P365" s="7" t="str">
        <f>UPPER(TRIM(Raw_Bookings!G365))</f>
        <v>HYD</v>
      </c>
      <c r="Q365" s="7">
        <f>IF(COUNTIF(Lookup_Stations!$A$2:$A$33,O365)&gt;0,1,0)</f>
        <v>1</v>
      </c>
      <c r="R365" s="7">
        <f>IF(COUNTIF(Lookup_Stations!$A$2:$A$33,P365)&gt;0,1,0)</f>
        <v>1</v>
      </c>
      <c r="S365" s="7">
        <f>IF(OR(AND(Q365=1,NOT(EXACT(Raw_Bookings!F365,O365))),AND(R365=1,NOT(EXACT(Raw_Bookings!G365,P365)))),1,0)</f>
        <v>0</v>
      </c>
      <c r="T365" s="7">
        <f>IF(OR(Q365=0,R365=0),1,0)</f>
        <v>0</v>
      </c>
      <c r="U365" s="7">
        <f>IF(TRIM(Raw_Bookings!E365&amp;"")="",1,0)</f>
        <v>0</v>
      </c>
      <c r="V365" s="7" t="str">
        <f>IF(SUMPRODUCT(--(Lookup_Status!$A$2:$A$13=LOWER(TRIM(Raw_Bookings!K365))))=0,"",INDEX(Lookup_Status!$B$2:$B$13,SUMPRODUCT((Lookup_Status!$A$2:$A$13=LOWER(TRIM(Raw_Bookings!K365)))*(ROW(Lookup_Status!$A$2:$A$13)-1))))</f>
        <v>RAC</v>
      </c>
      <c r="W365" s="7">
        <f>IF(AND(V365&lt;&gt;"",NOT(EXACT(Raw_Bookings!K365,V365))),1,0)</f>
        <v>0</v>
      </c>
      <c r="X365" s="7">
        <f>IF(V365="",1,0)</f>
        <v>0</v>
      </c>
      <c r="Y365" s="7">
        <f>IF(TRIM(Raw_Bookings!L365&amp;"")="",1,0)</f>
        <v>0</v>
      </c>
      <c r="Z365" s="7">
        <f>IF(AND(ISTEXT(Raw_Bookings!L365),Y365=0),1,0)</f>
        <v>0</v>
      </c>
      <c r="AA365" s="7">
        <f>IF(Z365=1,IFERROR(VALUE(SUBSTITUTE(SUBSTITUTE(SUBSTITUTE(SUBSTITUTE(SUBSTITUTE(UPPER(Raw_Bookings!L365),"RS.",""),"₹",""),",","")," ",""),"INR","")),""),"")</f>
        <v/>
      </c>
      <c r="AB365" s="7">
        <f>IF(AND(Z365=1,ISNUMBER(AA365)),1,0)</f>
        <v>0</v>
      </c>
      <c r="AC365" s="7">
        <f>IF(B365=1,0,IF(NOT(ISNUMBER(Raw_Bookings!J365)),1,IF(Raw_Bookings!J365&lt;&gt;COUNTIFS(Work_Passengers!$B$2:$B$1336,Raw_Bookings!A365,Work_Passengers!$C$2:$C$1336,0),1,0)))</f>
        <v>0</v>
      </c>
    </row>
    <row r="366" spans="1:29">
      <c r="A366" s="7">
        <f>Raw_Bookings!A366</f>
        <v>1122170</v>
      </c>
      <c r="B366" s="7">
        <f>IF(COUNTIF(Raw_Bookings!$A$2:A366,Raw_Bookings!A366)&gt;1,1,0)</f>
        <v>0</v>
      </c>
      <c r="C366" s="7" t="str">
        <f>Raw_Bookings!D366&amp;""</f>
        <v>2025-11-14</v>
      </c>
      <c r="D366" s="7" t="str">
        <f>IF(AND(LEN(C366)=10,MID(C366,5,1)="-",MID(C366,8,1)="-"),"ISO",IF(AND(LEN(C366)=10,MID(C366,3,1)="-",MID(C366,6,1)="-"),"DMY","OTHER"))</f>
        <v>ISO</v>
      </c>
      <c r="E366" s="7">
        <f>IF(D366="ISO",VALUE(LEFT(C366,4)),IF(D366="DMY",VALUE(RIGHT(C366,4)),0))</f>
        <v>2025</v>
      </c>
      <c r="F366" s="7">
        <f>IF(D366="ISO",VALUE(MID(C366,6,2)),IF(D366="DMY",VALUE(MID(C366,4,2)),0))</f>
        <v>11</v>
      </c>
      <c r="G366" s="7">
        <f>IF(D366="ISO",VALUE(RIGHT(C366,2)),IF(D366="DMY",VALUE(LEFT(C366,2)),0))</f>
        <v>14</v>
      </c>
      <c r="H366" s="7">
        <f>IF(AND(D366&lt;&gt;"OTHER",F366&gt;=1,F366&lt;=12,G366&gt;=1,G366&lt;=31),IF(AND(MONTH(DATE(E366,F366,G366))=F366,DAY(DATE(E366,F366,G366))=G366),1,0),0)</f>
        <v>1</v>
      </c>
      <c r="I366" s="7">
        <f>IF(H366=1,DATE(E366,F366,G366),"")</f>
        <v>45975.0</v>
      </c>
      <c r="J366" s="7">
        <f>IF(AND(D366="DMY",H366=1),1,0)</f>
        <v>0</v>
      </c>
      <c r="K366" s="7">
        <f>IF(H366=0,1,0)</f>
        <v>0</v>
      </c>
      <c r="L366" s="7">
        <f>IF(TRIM(Raw_Bookings!I366&amp;"")="",1,0)</f>
        <v>0</v>
      </c>
      <c r="M366" s="7">
        <f>IF(L366=1,"",DATEVALUE(LEFT(Raw_Bookings!I366,10))+TIMEVALUE(MID(Raw_Bookings!I366,12,8)))</f>
        <v>45967.17449074074</v>
      </c>
      <c r="N366" s="7">
        <f>IF(AND(L366=0,H366=1),IF(INT(M366)&gt;I366,1,0),0)</f>
        <v>0</v>
      </c>
      <c r="O366" s="7" t="str">
        <f>UPPER(TRIM(Raw_Bookings!F366))</f>
        <v>LUC</v>
      </c>
      <c r="P366" s="7" t="str">
        <f>UPPER(TRIM(Raw_Bookings!G366))</f>
        <v>MUM</v>
      </c>
      <c r="Q366" s="7">
        <f>IF(COUNTIF(Lookup_Stations!$A$2:$A$33,O366)&gt;0,1,0)</f>
        <v>1</v>
      </c>
      <c r="R366" s="7">
        <f>IF(COUNTIF(Lookup_Stations!$A$2:$A$33,P366)&gt;0,1,0)</f>
        <v>1</v>
      </c>
      <c r="S366" s="7">
        <f>IF(OR(AND(Q366=1,NOT(EXACT(Raw_Bookings!F366,O366))),AND(R366=1,NOT(EXACT(Raw_Bookings!G366,P366)))),1,0)</f>
        <v>0</v>
      </c>
      <c r="T366" s="7">
        <f>IF(OR(Q366=0,R366=0),1,0)</f>
        <v>0</v>
      </c>
      <c r="U366" s="7">
        <f>IF(TRIM(Raw_Bookings!E366&amp;"")="",1,0)</f>
        <v>0</v>
      </c>
      <c r="V366" s="7" t="str">
        <f>IF(SUMPRODUCT(--(Lookup_Status!$A$2:$A$13=LOWER(TRIM(Raw_Bookings!K366))))=0,"",INDEX(Lookup_Status!$B$2:$B$13,SUMPRODUCT((Lookup_Status!$A$2:$A$13=LOWER(TRIM(Raw_Bookings!K366)))*(ROW(Lookup_Status!$A$2:$A$13)-1))))</f>
        <v>RAC</v>
      </c>
      <c r="W366" s="7">
        <f>IF(AND(V366&lt;&gt;"",NOT(EXACT(Raw_Bookings!K366,V366))),1,0)</f>
        <v>0</v>
      </c>
      <c r="X366" s="7">
        <f>IF(V366="",1,0)</f>
        <v>0</v>
      </c>
      <c r="Y366" s="7">
        <f>IF(TRIM(Raw_Bookings!L366&amp;"")="",1,0)</f>
        <v>0</v>
      </c>
      <c r="Z366" s="7">
        <f>IF(AND(ISTEXT(Raw_Bookings!L366),Y366=0),1,0)</f>
        <v>0</v>
      </c>
      <c r="AA366" s="7">
        <f>IF(Z366=1,IFERROR(VALUE(SUBSTITUTE(SUBSTITUTE(SUBSTITUTE(SUBSTITUTE(SUBSTITUTE(UPPER(Raw_Bookings!L366),"RS.",""),"₹",""),",","")," ",""),"INR","")),""),"")</f>
        <v/>
      </c>
      <c r="AB366" s="7">
        <f>IF(AND(Z366=1,ISNUMBER(AA366)),1,0)</f>
        <v>0</v>
      </c>
      <c r="AC366" s="7">
        <f>IF(B366=1,0,IF(NOT(ISNUMBER(Raw_Bookings!J366)),1,IF(Raw_Bookings!J366&lt;&gt;COUNTIFS(Work_Passengers!$B$2:$B$1336,Raw_Bookings!A366,Work_Passengers!$C$2:$C$1336,0),1,0)))</f>
        <v>0</v>
      </c>
    </row>
    <row r="367" spans="1:29">
      <c r="A367" s="7">
        <f>Raw_Bookings!A367</f>
        <v>1122233</v>
      </c>
      <c r="B367" s="7">
        <f>IF(COUNTIF(Raw_Bookings!$A$2:A367,Raw_Bookings!A367)&gt;1,1,0)</f>
        <v>0</v>
      </c>
      <c r="C367" s="7" t="str">
        <f>Raw_Bookings!D367&amp;""</f>
        <v>2025-11-06</v>
      </c>
      <c r="D367" s="7" t="str">
        <f>IF(AND(LEN(C367)=10,MID(C367,5,1)="-",MID(C367,8,1)="-"),"ISO",IF(AND(LEN(C367)=10,MID(C367,3,1)="-",MID(C367,6,1)="-"),"DMY","OTHER"))</f>
        <v>ISO</v>
      </c>
      <c r="E367" s="7">
        <f>IF(D367="ISO",VALUE(LEFT(C367,4)),IF(D367="DMY",VALUE(RIGHT(C367,4)),0))</f>
        <v>2025</v>
      </c>
      <c r="F367" s="7">
        <f>IF(D367="ISO",VALUE(MID(C367,6,2)),IF(D367="DMY",VALUE(MID(C367,4,2)),0))</f>
        <v>11</v>
      </c>
      <c r="G367" s="7">
        <f>IF(D367="ISO",VALUE(RIGHT(C367,2)),IF(D367="DMY",VALUE(LEFT(C367,2)),0))</f>
        <v>6</v>
      </c>
      <c r="H367" s="7">
        <f>IF(AND(D367&lt;&gt;"OTHER",F367&gt;=1,F367&lt;=12,G367&gt;=1,G367&lt;=31),IF(AND(MONTH(DATE(E367,F367,G367))=F367,DAY(DATE(E367,F367,G367))=G367),1,0),0)</f>
        <v>1</v>
      </c>
      <c r="I367" s="7">
        <f>IF(H367=1,DATE(E367,F367,G367),"")</f>
        <v>45967.0</v>
      </c>
      <c r="J367" s="7">
        <f>IF(AND(D367="DMY",H367=1),1,0)</f>
        <v>0</v>
      </c>
      <c r="K367" s="7">
        <f>IF(H367=0,1,0)</f>
        <v>0</v>
      </c>
      <c r="L367" s="7">
        <f>IF(TRIM(Raw_Bookings!I367&amp;"")="",1,0)</f>
        <v>0</v>
      </c>
      <c r="M367" s="7">
        <f>IF(L367=1,"",DATEVALUE(LEFT(Raw_Bookings!I367,10))+TIMEVALUE(MID(Raw_Bookings!I367,12,8)))</f>
        <v>45967.410266203704</v>
      </c>
      <c r="N367" s="7">
        <f>IF(AND(L367=0,H367=1),IF(INT(M367)&gt;I367,1,0),0)</f>
        <v>0</v>
      </c>
      <c r="O367" s="7" t="str">
        <f>UPPER(TRIM(Raw_Bookings!F367))</f>
        <v>DEL</v>
      </c>
      <c r="P367" s="7" t="str">
        <f>UPPER(TRIM(Raw_Bookings!G367))</f>
        <v>MAU</v>
      </c>
      <c r="Q367" s="7">
        <f>IF(COUNTIF(Lookup_Stations!$A$2:$A$33,O367)&gt;0,1,0)</f>
        <v>1</v>
      </c>
      <c r="R367" s="7">
        <f>IF(COUNTIF(Lookup_Stations!$A$2:$A$33,P367)&gt;0,1,0)</f>
        <v>1</v>
      </c>
      <c r="S367" s="7">
        <f>IF(OR(AND(Q367=1,NOT(EXACT(Raw_Bookings!F367,O367))),AND(R367=1,NOT(EXACT(Raw_Bookings!G367,P367)))),1,0)</f>
        <v>0</v>
      </c>
      <c r="T367" s="7">
        <f>IF(OR(Q367=0,R367=0),1,0)</f>
        <v>0</v>
      </c>
      <c r="U367" s="7">
        <f>IF(TRIM(Raw_Bookings!E367&amp;"")="",1,0)</f>
        <v>0</v>
      </c>
      <c r="V367" s="7" t="str">
        <f>IF(SUMPRODUCT(--(Lookup_Status!$A$2:$A$13=LOWER(TRIM(Raw_Bookings!K367))))=0,"",INDEX(Lookup_Status!$B$2:$B$13,SUMPRODUCT((Lookup_Status!$A$2:$A$13=LOWER(TRIM(Raw_Bookings!K367)))*(ROW(Lookup_Status!$A$2:$A$13)-1))))</f>
        <v>RAC</v>
      </c>
      <c r="W367" s="7">
        <f>IF(AND(V367&lt;&gt;"",NOT(EXACT(Raw_Bookings!K367,V367))),1,0)</f>
        <v>0</v>
      </c>
      <c r="X367" s="7">
        <f>IF(V367="",1,0)</f>
        <v>0</v>
      </c>
      <c r="Y367" s="7">
        <f>IF(TRIM(Raw_Bookings!L367&amp;"")="",1,0)</f>
        <v>0</v>
      </c>
      <c r="Z367" s="7">
        <f>IF(AND(ISTEXT(Raw_Bookings!L367),Y367=0),1,0)</f>
        <v>0</v>
      </c>
      <c r="AA367" s="7">
        <f>IF(Z367=1,IFERROR(VALUE(SUBSTITUTE(SUBSTITUTE(SUBSTITUTE(SUBSTITUTE(SUBSTITUTE(UPPER(Raw_Bookings!L367),"RS.",""),"₹",""),",","")," ",""),"INR","")),""),"")</f>
        <v/>
      </c>
      <c r="AB367" s="7">
        <f>IF(AND(Z367=1,ISNUMBER(AA367)),1,0)</f>
        <v>0</v>
      </c>
      <c r="AC367" s="7">
        <f>IF(B367=1,0,IF(NOT(ISNUMBER(Raw_Bookings!J367)),1,IF(Raw_Bookings!J367&lt;&gt;COUNTIFS(Work_Passengers!$B$2:$B$1336,Raw_Bookings!A367,Work_Passengers!$C$2:$C$1336,0),1,0)))</f>
        <v>0</v>
      </c>
    </row>
    <row r="368" spans="1:29">
      <c r="A368" s="7">
        <f>Raw_Bookings!A368</f>
        <v>1122534</v>
      </c>
      <c r="B368" s="7">
        <f>IF(COUNTIF(Raw_Bookings!$A$2:A368,Raw_Bookings!A368)&gt;1,1,0)</f>
        <v>0</v>
      </c>
      <c r="C368" s="7" t="str">
        <f>Raw_Bookings!D368&amp;""</f>
        <v>2025-11-18</v>
      </c>
      <c r="D368" s="7" t="str">
        <f>IF(AND(LEN(C368)=10,MID(C368,5,1)="-",MID(C368,8,1)="-"),"ISO",IF(AND(LEN(C368)=10,MID(C368,3,1)="-",MID(C368,6,1)="-"),"DMY","OTHER"))</f>
        <v>ISO</v>
      </c>
      <c r="E368" s="7">
        <f>IF(D368="ISO",VALUE(LEFT(C368,4)),IF(D368="DMY",VALUE(RIGHT(C368,4)),0))</f>
        <v>2025</v>
      </c>
      <c r="F368" s="7">
        <f>IF(D368="ISO",VALUE(MID(C368,6,2)),IF(D368="DMY",VALUE(MID(C368,4,2)),0))</f>
        <v>11</v>
      </c>
      <c r="G368" s="7">
        <f>IF(D368="ISO",VALUE(RIGHT(C368,2)),IF(D368="DMY",VALUE(LEFT(C368,2)),0))</f>
        <v>18</v>
      </c>
      <c r="H368" s="7">
        <f>IF(AND(D368&lt;&gt;"OTHER",F368&gt;=1,F368&lt;=12,G368&gt;=1,G368&lt;=31),IF(AND(MONTH(DATE(E368,F368,G368))=F368,DAY(DATE(E368,F368,G368))=G368),1,0),0)</f>
        <v>1</v>
      </c>
      <c r="I368" s="7">
        <f>IF(H368=1,DATE(E368,F368,G368),"")</f>
        <v>45979.0</v>
      </c>
      <c r="J368" s="7">
        <f>IF(AND(D368="DMY",H368=1),1,0)</f>
        <v>0</v>
      </c>
      <c r="K368" s="7">
        <f>IF(H368=0,1,0)</f>
        <v>0</v>
      </c>
      <c r="L368" s="7">
        <f>IF(TRIM(Raw_Bookings!I368&amp;"")="",1,0)</f>
        <v>0</v>
      </c>
      <c r="M368" s="7">
        <f>IF(L368=1,"",DATEVALUE(LEFT(Raw_Bookings!I368,10))+TIMEVALUE(MID(Raw_Bookings!I368,12,8)))</f>
        <v>45968.52583333333</v>
      </c>
      <c r="N368" s="7">
        <f>IF(AND(L368=0,H368=1),IF(INT(M368)&gt;I368,1,0),0)</f>
        <v>0</v>
      </c>
      <c r="O368" s="7" t="str">
        <f>UPPER(TRIM(Raw_Bookings!F368))</f>
        <v>BEN</v>
      </c>
      <c r="P368" s="7" t="str">
        <f>UPPER(TRIM(Raw_Bookings!G368))</f>
        <v>JOD</v>
      </c>
      <c r="Q368" s="7">
        <f>IF(COUNTIF(Lookup_Stations!$A$2:$A$33,O368)&gt;0,1,0)</f>
        <v>1</v>
      </c>
      <c r="R368" s="7">
        <f>IF(COUNTIF(Lookup_Stations!$A$2:$A$33,P368)&gt;0,1,0)</f>
        <v>1</v>
      </c>
      <c r="S368" s="7">
        <f>IF(OR(AND(Q368=1,NOT(EXACT(Raw_Bookings!F368,O368))),AND(R368=1,NOT(EXACT(Raw_Bookings!G368,P368)))),1,0)</f>
        <v>0</v>
      </c>
      <c r="T368" s="7">
        <f>IF(OR(Q368=0,R368=0),1,0)</f>
        <v>0</v>
      </c>
      <c r="U368" s="7">
        <f>IF(TRIM(Raw_Bookings!E368&amp;"")="",1,0)</f>
        <v>0</v>
      </c>
      <c r="V368" s="7" t="str">
        <f>IF(SUMPRODUCT(--(Lookup_Status!$A$2:$A$13=LOWER(TRIM(Raw_Bookings!K368))))=0,"",INDEX(Lookup_Status!$B$2:$B$13,SUMPRODUCT((Lookup_Status!$A$2:$A$13=LOWER(TRIM(Raw_Bookings!K368)))*(ROW(Lookup_Status!$A$2:$A$13)-1))))</f>
        <v>Cancelled</v>
      </c>
      <c r="W368" s="7">
        <f>IF(AND(V368&lt;&gt;"",NOT(EXACT(Raw_Bookings!K368,V368))),1,0)</f>
        <v>0</v>
      </c>
      <c r="X368" s="7">
        <f>IF(V368="",1,0)</f>
        <v>0</v>
      </c>
      <c r="Y368" s="7">
        <f>IF(TRIM(Raw_Bookings!L368&amp;"")="",1,0)</f>
        <v>0</v>
      </c>
      <c r="Z368" s="7">
        <f>IF(AND(ISTEXT(Raw_Bookings!L368),Y368=0),1,0)</f>
        <v>0</v>
      </c>
      <c r="AA368" s="7">
        <f>IF(Z368=1,IFERROR(VALUE(SUBSTITUTE(SUBSTITUTE(SUBSTITUTE(SUBSTITUTE(SUBSTITUTE(UPPER(Raw_Bookings!L368),"RS.",""),"₹",""),",","")," ",""),"INR","")),""),"")</f>
        <v/>
      </c>
      <c r="AB368" s="7">
        <f>IF(AND(Z368=1,ISNUMBER(AA368)),1,0)</f>
        <v>0</v>
      </c>
      <c r="AC368" s="7">
        <f>IF(B368=1,0,IF(NOT(ISNUMBER(Raw_Bookings!J368)),1,IF(Raw_Bookings!J368&lt;&gt;COUNTIFS(Work_Passengers!$B$2:$B$1336,Raw_Bookings!A368,Work_Passengers!$C$2:$C$1336,0),1,0)))</f>
        <v>0</v>
      </c>
    </row>
    <row r="369" spans="1:29">
      <c r="A369" s="7">
        <f>Raw_Bookings!A369</f>
        <v>1122677</v>
      </c>
      <c r="B369" s="7">
        <f>IF(COUNTIF(Raw_Bookings!$A$2:A369,Raw_Bookings!A369)&gt;1,1,0)</f>
        <v>0</v>
      </c>
      <c r="C369" s="7" t="str">
        <f>Raw_Bookings!D369&amp;""</f>
        <v>2025-12-23</v>
      </c>
      <c r="D369" s="7" t="str">
        <f>IF(AND(LEN(C369)=10,MID(C369,5,1)="-",MID(C369,8,1)="-"),"ISO",IF(AND(LEN(C369)=10,MID(C369,3,1)="-",MID(C369,6,1)="-"),"DMY","OTHER"))</f>
        <v>ISO</v>
      </c>
      <c r="E369" s="7">
        <f>IF(D369="ISO",VALUE(LEFT(C369,4)),IF(D369="DMY",VALUE(RIGHT(C369,4)),0))</f>
        <v>2025</v>
      </c>
      <c r="F369" s="7">
        <f>IF(D369="ISO",VALUE(MID(C369,6,2)),IF(D369="DMY",VALUE(MID(C369,4,2)),0))</f>
        <v>12</v>
      </c>
      <c r="G369" s="7">
        <f>IF(D369="ISO",VALUE(RIGHT(C369,2)),IF(D369="DMY",VALUE(LEFT(C369,2)),0))</f>
        <v>23</v>
      </c>
      <c r="H369" s="7">
        <f>IF(AND(D369&lt;&gt;"OTHER",F369&gt;=1,F369&lt;=12,G369&gt;=1,G369&lt;=31),IF(AND(MONTH(DATE(E369,F369,G369))=F369,DAY(DATE(E369,F369,G369))=G369),1,0),0)</f>
        <v>1</v>
      </c>
      <c r="I369" s="7">
        <f>IF(H369=1,DATE(E369,F369,G369),"")</f>
        <v>46014.0</v>
      </c>
      <c r="J369" s="7">
        <f>IF(AND(D369="DMY",H369=1),1,0)</f>
        <v>0</v>
      </c>
      <c r="K369" s="7">
        <f>IF(H369=0,1,0)</f>
        <v>0</v>
      </c>
      <c r="L369" s="7">
        <f>IF(TRIM(Raw_Bookings!I369&amp;"")="",1,0)</f>
        <v>0</v>
      </c>
      <c r="M369" s="7">
        <f>IF(L369=1,"",DATEVALUE(LEFT(Raw_Bookings!I369,10))+TIMEVALUE(MID(Raw_Bookings!I369,12,8)))</f>
        <v>45968.9165625</v>
      </c>
      <c r="N369" s="7">
        <f>IF(AND(L369=0,H369=1),IF(INT(M369)&gt;I369,1,0),0)</f>
        <v>0</v>
      </c>
      <c r="O369" s="7" t="str">
        <f>UPPER(TRIM(Raw_Bookings!F369))</f>
        <v>MAU</v>
      </c>
      <c r="P369" s="7" t="str">
        <f>UPPER(TRIM(Raw_Bookings!G369))</f>
        <v>DEL</v>
      </c>
      <c r="Q369" s="7">
        <f>IF(COUNTIF(Lookup_Stations!$A$2:$A$33,O369)&gt;0,1,0)</f>
        <v>1</v>
      </c>
      <c r="R369" s="7">
        <f>IF(COUNTIF(Lookup_Stations!$A$2:$A$33,P369)&gt;0,1,0)</f>
        <v>1</v>
      </c>
      <c r="S369" s="7">
        <f>IF(OR(AND(Q369=1,NOT(EXACT(Raw_Bookings!F369,O369))),AND(R369=1,NOT(EXACT(Raw_Bookings!G369,P369)))),1,0)</f>
        <v>0</v>
      </c>
      <c r="T369" s="7">
        <f>IF(OR(Q369=0,R369=0),1,0)</f>
        <v>0</v>
      </c>
      <c r="U369" s="7">
        <f>IF(TRIM(Raw_Bookings!E369&amp;"")="",1,0)</f>
        <v>0</v>
      </c>
      <c r="V369" s="7" t="str">
        <f>IF(SUMPRODUCT(--(Lookup_Status!$A$2:$A$13=LOWER(TRIM(Raw_Bookings!K369))))=0,"",INDEX(Lookup_Status!$B$2:$B$13,SUMPRODUCT((Lookup_Status!$A$2:$A$13=LOWER(TRIM(Raw_Bookings!K369)))*(ROW(Lookup_Status!$A$2:$A$13)-1))))</f>
        <v>Confirmed</v>
      </c>
      <c r="W369" s="7">
        <f>IF(AND(V369&lt;&gt;"",NOT(EXACT(Raw_Bookings!K369,V369))),1,0)</f>
        <v>0</v>
      </c>
      <c r="X369" s="7">
        <f>IF(V369="",1,0)</f>
        <v>0</v>
      </c>
      <c r="Y369" s="7">
        <f>IF(TRIM(Raw_Bookings!L369&amp;"")="",1,0)</f>
        <v>0</v>
      </c>
      <c r="Z369" s="7">
        <f>IF(AND(ISTEXT(Raw_Bookings!L369),Y369=0),1,0)</f>
        <v>0</v>
      </c>
      <c r="AA369" s="7">
        <f>IF(Z369=1,IFERROR(VALUE(SUBSTITUTE(SUBSTITUTE(SUBSTITUTE(SUBSTITUTE(SUBSTITUTE(UPPER(Raw_Bookings!L369),"RS.",""),"₹",""),",","")," ",""),"INR","")),""),"")</f>
        <v/>
      </c>
      <c r="AB369" s="7">
        <f>IF(AND(Z369=1,ISNUMBER(AA369)),1,0)</f>
        <v>0</v>
      </c>
      <c r="AC369" s="7">
        <f>IF(B369=1,0,IF(NOT(ISNUMBER(Raw_Bookings!J369)),1,IF(Raw_Bookings!J369&lt;&gt;COUNTIFS(Work_Passengers!$B$2:$B$1336,Raw_Bookings!A369,Work_Passengers!$C$2:$C$1336,0),1,0)))</f>
        <v>0</v>
      </c>
    </row>
    <row r="370" spans="1:29">
      <c r="A370" s="7">
        <f>Raw_Bookings!A370</f>
        <v>1123615</v>
      </c>
      <c r="B370" s="7">
        <f>IF(COUNTIF(Raw_Bookings!$A$2:A370,Raw_Bookings!A370)&gt;1,1,0)</f>
        <v>0</v>
      </c>
      <c r="C370" s="7" t="str">
        <f>Raw_Bookings!D370&amp;""</f>
        <v>2025-11-17</v>
      </c>
      <c r="D370" s="7" t="str">
        <f>IF(AND(LEN(C370)=10,MID(C370,5,1)="-",MID(C370,8,1)="-"),"ISO",IF(AND(LEN(C370)=10,MID(C370,3,1)="-",MID(C370,6,1)="-"),"DMY","OTHER"))</f>
        <v>ISO</v>
      </c>
      <c r="E370" s="7">
        <f>IF(D370="ISO",VALUE(LEFT(C370,4)),IF(D370="DMY",VALUE(RIGHT(C370,4)),0))</f>
        <v>2025</v>
      </c>
      <c r="F370" s="7">
        <f>IF(D370="ISO",VALUE(MID(C370,6,2)),IF(D370="DMY",VALUE(MID(C370,4,2)),0))</f>
        <v>11</v>
      </c>
      <c r="G370" s="7">
        <f>IF(D370="ISO",VALUE(RIGHT(C370,2)),IF(D370="DMY",VALUE(LEFT(C370,2)),0))</f>
        <v>17</v>
      </c>
      <c r="H370" s="7">
        <f>IF(AND(D370&lt;&gt;"OTHER",F370&gt;=1,F370&lt;=12,G370&gt;=1,G370&lt;=31),IF(AND(MONTH(DATE(E370,F370,G370))=F370,DAY(DATE(E370,F370,G370))=G370),1,0),0)</f>
        <v>1</v>
      </c>
      <c r="I370" s="7">
        <f>IF(H370=1,DATE(E370,F370,G370),"")</f>
        <v>45978.0</v>
      </c>
      <c r="J370" s="7">
        <f>IF(AND(D370="DMY",H370=1),1,0)</f>
        <v>0</v>
      </c>
      <c r="K370" s="7">
        <f>IF(H370=0,1,0)</f>
        <v>0</v>
      </c>
      <c r="L370" s="7">
        <f>IF(TRIM(Raw_Bookings!I370&amp;"")="",1,0)</f>
        <v>0</v>
      </c>
      <c r="M370" s="7">
        <f>IF(L370=1,"",DATEVALUE(LEFT(Raw_Bookings!I370,10))+TIMEVALUE(MID(Raw_Bookings!I370,12,8)))</f>
        <v>45972.314988425926</v>
      </c>
      <c r="N370" s="7">
        <f>IF(AND(L370=0,H370=1),IF(INT(M370)&gt;I370,1,0),0)</f>
        <v>0</v>
      </c>
      <c r="O370" s="7" t="str">
        <f>UPPER(TRIM(Raw_Bookings!F370))</f>
        <v>KOL</v>
      </c>
      <c r="P370" s="7" t="str">
        <f>UPPER(TRIM(Raw_Bookings!G370))</f>
        <v>HYD</v>
      </c>
      <c r="Q370" s="7">
        <f>IF(COUNTIF(Lookup_Stations!$A$2:$A$33,O370)&gt;0,1,0)</f>
        <v>1</v>
      </c>
      <c r="R370" s="7">
        <f>IF(COUNTIF(Lookup_Stations!$A$2:$A$33,P370)&gt;0,1,0)</f>
        <v>1</v>
      </c>
      <c r="S370" s="7">
        <f>IF(OR(AND(Q370=1,NOT(EXACT(Raw_Bookings!F370,O370))),AND(R370=1,NOT(EXACT(Raw_Bookings!G370,P370)))),1,0)</f>
        <v>0</v>
      </c>
      <c r="T370" s="7">
        <f>IF(OR(Q370=0,R370=0),1,0)</f>
        <v>0</v>
      </c>
      <c r="U370" s="7">
        <f>IF(TRIM(Raw_Bookings!E370&amp;"")="",1,0)</f>
        <v>0</v>
      </c>
      <c r="V370" s="7" t="str">
        <f>IF(SUMPRODUCT(--(Lookup_Status!$A$2:$A$13=LOWER(TRIM(Raw_Bookings!K370))))=0,"",INDEX(Lookup_Status!$B$2:$B$13,SUMPRODUCT((Lookup_Status!$A$2:$A$13=LOWER(TRIM(Raw_Bookings!K370)))*(ROW(Lookup_Status!$A$2:$A$13)-1))))</f>
        <v>Confirmed</v>
      </c>
      <c r="W370" s="7">
        <f>IF(AND(V370&lt;&gt;"",NOT(EXACT(Raw_Bookings!K370,V370))),1,0)</f>
        <v>0</v>
      </c>
      <c r="X370" s="7">
        <f>IF(V370="",1,0)</f>
        <v>0</v>
      </c>
      <c r="Y370" s="7">
        <f>IF(TRIM(Raw_Bookings!L370&amp;"")="",1,0)</f>
        <v>0</v>
      </c>
      <c r="Z370" s="7">
        <f>IF(AND(ISTEXT(Raw_Bookings!L370),Y370=0),1,0)</f>
        <v>0</v>
      </c>
      <c r="AA370" s="7">
        <f>IF(Z370=1,IFERROR(VALUE(SUBSTITUTE(SUBSTITUTE(SUBSTITUTE(SUBSTITUTE(SUBSTITUTE(UPPER(Raw_Bookings!L370),"RS.",""),"₹",""),",","")," ",""),"INR","")),""),"")</f>
        <v/>
      </c>
      <c r="AB370" s="7">
        <f>IF(AND(Z370=1,ISNUMBER(AA370)),1,0)</f>
        <v>0</v>
      </c>
      <c r="AC370" s="7">
        <f>IF(B370=1,0,IF(NOT(ISNUMBER(Raw_Bookings!J370)),1,IF(Raw_Bookings!J370&lt;&gt;COUNTIFS(Work_Passengers!$B$2:$B$1336,Raw_Bookings!A370,Work_Passengers!$C$2:$C$1336,0),1,0)))</f>
        <v>0</v>
      </c>
    </row>
    <row r="371" spans="1:29">
      <c r="A371" s="7">
        <f>Raw_Bookings!A371</f>
        <v>1123753</v>
      </c>
      <c r="B371" s="7">
        <f>IF(COUNTIF(Raw_Bookings!$A$2:A371,Raw_Bookings!A371)&gt;1,1,0)</f>
        <v>0</v>
      </c>
      <c r="C371" s="7" t="str">
        <f>Raw_Bookings!D371&amp;""</f>
        <v>2025-12-03</v>
      </c>
      <c r="D371" s="7" t="str">
        <f>IF(AND(LEN(C371)=10,MID(C371,5,1)="-",MID(C371,8,1)="-"),"ISO",IF(AND(LEN(C371)=10,MID(C371,3,1)="-",MID(C371,6,1)="-"),"DMY","OTHER"))</f>
        <v>ISO</v>
      </c>
      <c r="E371" s="7">
        <f>IF(D371="ISO",VALUE(LEFT(C371,4)),IF(D371="DMY",VALUE(RIGHT(C371,4)),0))</f>
        <v>2025</v>
      </c>
      <c r="F371" s="7">
        <f>IF(D371="ISO",VALUE(MID(C371,6,2)),IF(D371="DMY",VALUE(MID(C371,4,2)),0))</f>
        <v>12</v>
      </c>
      <c r="G371" s="7">
        <f>IF(D371="ISO",VALUE(RIGHT(C371,2)),IF(D371="DMY",VALUE(LEFT(C371,2)),0))</f>
        <v>3</v>
      </c>
      <c r="H371" s="7">
        <f>IF(AND(D371&lt;&gt;"OTHER",F371&gt;=1,F371&lt;=12,G371&gt;=1,G371&lt;=31),IF(AND(MONTH(DATE(E371,F371,G371))=F371,DAY(DATE(E371,F371,G371))=G371),1,0),0)</f>
        <v>1</v>
      </c>
      <c r="I371" s="7">
        <f>IF(H371=1,DATE(E371,F371,G371),"")</f>
        <v>45994.0</v>
      </c>
      <c r="J371" s="7">
        <f>IF(AND(D371="DMY",H371=1),1,0)</f>
        <v>0</v>
      </c>
      <c r="K371" s="7">
        <f>IF(H371=0,1,0)</f>
        <v>0</v>
      </c>
      <c r="L371" s="7">
        <f>IF(TRIM(Raw_Bookings!I371&amp;"")="",1,0)</f>
        <v>0</v>
      </c>
      <c r="M371" s="7">
        <f>IF(L371=1,"",DATEVALUE(LEFT(Raw_Bookings!I371,10))+TIMEVALUE(MID(Raw_Bookings!I371,12,8)))</f>
        <v>45972.67466435185</v>
      </c>
      <c r="N371" s="7">
        <f>IF(AND(L371=0,H371=1),IF(INT(M371)&gt;I371,1,0),0)</f>
        <v>0</v>
      </c>
      <c r="O371" s="7" t="str">
        <f>UPPER(TRIM(Raw_Bookings!F371))</f>
        <v>MUM</v>
      </c>
      <c r="P371" s="7" t="str">
        <f>UPPER(TRIM(Raw_Bookings!G371))</f>
        <v>BEN</v>
      </c>
      <c r="Q371" s="7">
        <f>IF(COUNTIF(Lookup_Stations!$A$2:$A$33,O371)&gt;0,1,0)</f>
        <v>1</v>
      </c>
      <c r="R371" s="7">
        <f>IF(COUNTIF(Lookup_Stations!$A$2:$A$33,P371)&gt;0,1,0)</f>
        <v>1</v>
      </c>
      <c r="S371" s="7">
        <f>IF(OR(AND(Q371=1,NOT(EXACT(Raw_Bookings!F371,O371))),AND(R371=1,NOT(EXACT(Raw_Bookings!G371,P371)))),1,0)</f>
        <v>0</v>
      </c>
      <c r="T371" s="7">
        <f>IF(OR(Q371=0,R371=0),1,0)</f>
        <v>0</v>
      </c>
      <c r="U371" s="7">
        <f>IF(TRIM(Raw_Bookings!E371&amp;"")="",1,0)</f>
        <v>0</v>
      </c>
      <c r="V371" s="7" t="str">
        <f>IF(SUMPRODUCT(--(Lookup_Status!$A$2:$A$13=LOWER(TRIM(Raw_Bookings!K371))))=0,"",INDEX(Lookup_Status!$B$2:$B$13,SUMPRODUCT((Lookup_Status!$A$2:$A$13=LOWER(TRIM(Raw_Bookings!K371)))*(ROW(Lookup_Status!$A$2:$A$13)-1))))</f>
        <v>Confirmed</v>
      </c>
      <c r="W371" s="7">
        <f>IF(AND(V371&lt;&gt;"",NOT(EXACT(Raw_Bookings!K371,V371))),1,0)</f>
        <v>0</v>
      </c>
      <c r="X371" s="7">
        <f>IF(V371="",1,0)</f>
        <v>0</v>
      </c>
      <c r="Y371" s="7">
        <f>IF(TRIM(Raw_Bookings!L371&amp;"")="",1,0)</f>
        <v>0</v>
      </c>
      <c r="Z371" s="7">
        <f>IF(AND(ISTEXT(Raw_Bookings!L371),Y371=0),1,0)</f>
        <v>0</v>
      </c>
      <c r="AA371" s="7">
        <f>IF(Z371=1,IFERROR(VALUE(SUBSTITUTE(SUBSTITUTE(SUBSTITUTE(SUBSTITUTE(SUBSTITUTE(UPPER(Raw_Bookings!L371),"RS.",""),"₹",""),",","")," ",""),"INR","")),""),"")</f>
        <v/>
      </c>
      <c r="AB371" s="7">
        <f>IF(AND(Z371=1,ISNUMBER(AA371)),1,0)</f>
        <v>0</v>
      </c>
      <c r="AC371" s="7">
        <f>IF(B371=1,0,IF(NOT(ISNUMBER(Raw_Bookings!J371)),1,IF(Raw_Bookings!J371&lt;&gt;COUNTIFS(Work_Passengers!$B$2:$B$1336,Raw_Bookings!A371,Work_Passengers!$C$2:$C$1336,0),1,0)))</f>
        <v>0</v>
      </c>
    </row>
    <row r="372" spans="1:29">
      <c r="A372" s="7">
        <f>Raw_Bookings!A372</f>
        <v>1124587</v>
      </c>
      <c r="B372" s="7">
        <f>IF(COUNTIF(Raw_Bookings!$A$2:A372,Raw_Bookings!A372)&gt;1,1,0)</f>
        <v>0</v>
      </c>
      <c r="C372" s="7" t="str">
        <f>Raw_Bookings!D372&amp;""</f>
        <v>2025-11-17</v>
      </c>
      <c r="D372" s="7" t="str">
        <f>IF(AND(LEN(C372)=10,MID(C372,5,1)="-",MID(C372,8,1)="-"),"ISO",IF(AND(LEN(C372)=10,MID(C372,3,1)="-",MID(C372,6,1)="-"),"DMY","OTHER"))</f>
        <v>ISO</v>
      </c>
      <c r="E372" s="7">
        <f>IF(D372="ISO",VALUE(LEFT(C372,4)),IF(D372="DMY",VALUE(RIGHT(C372,4)),0))</f>
        <v>2025</v>
      </c>
      <c r="F372" s="7">
        <f>IF(D372="ISO",VALUE(MID(C372,6,2)),IF(D372="DMY",VALUE(MID(C372,4,2)),0))</f>
        <v>11</v>
      </c>
      <c r="G372" s="7">
        <f>IF(D372="ISO",VALUE(RIGHT(C372,2)),IF(D372="DMY",VALUE(LEFT(C372,2)),0))</f>
        <v>17</v>
      </c>
      <c r="H372" s="7">
        <f>IF(AND(D372&lt;&gt;"OTHER",F372&gt;=1,F372&lt;=12,G372&gt;=1,G372&lt;=31),IF(AND(MONTH(DATE(E372,F372,G372))=F372,DAY(DATE(E372,F372,G372))=G372),1,0),0)</f>
        <v>1</v>
      </c>
      <c r="I372" s="7">
        <f>IF(H372=1,DATE(E372,F372,G372),"")</f>
        <v>45978.0</v>
      </c>
      <c r="J372" s="7">
        <f>IF(AND(D372="DMY",H372=1),1,0)</f>
        <v>0</v>
      </c>
      <c r="K372" s="7">
        <f>IF(H372=0,1,0)</f>
        <v>0</v>
      </c>
      <c r="L372" s="7">
        <f>IF(TRIM(Raw_Bookings!I372&amp;"")="",1,0)</f>
        <v>0</v>
      </c>
      <c r="M372" s="7">
        <f>IF(L372=1,"",DATEVALUE(LEFT(Raw_Bookings!I372,10))+TIMEVALUE(MID(Raw_Bookings!I372,12,8)))</f>
        <v>45975.64486111111</v>
      </c>
      <c r="N372" s="7">
        <f>IF(AND(L372=0,H372=1),IF(INT(M372)&gt;I372,1,0),0)</f>
        <v>0</v>
      </c>
      <c r="O372" s="7" t="str">
        <f>UPPER(TRIM(Raw_Bookings!F372))</f>
        <v>KOL</v>
      </c>
      <c r="P372" s="7" t="str">
        <f>UPPER(TRIM(Raw_Bookings!G372))</f>
        <v>HYD</v>
      </c>
      <c r="Q372" s="7">
        <f>IF(COUNTIF(Lookup_Stations!$A$2:$A$33,O372)&gt;0,1,0)</f>
        <v>1</v>
      </c>
      <c r="R372" s="7">
        <f>IF(COUNTIF(Lookup_Stations!$A$2:$A$33,P372)&gt;0,1,0)</f>
        <v>1</v>
      </c>
      <c r="S372" s="7">
        <f>IF(OR(AND(Q372=1,NOT(EXACT(Raw_Bookings!F372,O372))),AND(R372=1,NOT(EXACT(Raw_Bookings!G372,P372)))),1,0)</f>
        <v>0</v>
      </c>
      <c r="T372" s="7">
        <f>IF(OR(Q372=0,R372=0),1,0)</f>
        <v>0</v>
      </c>
      <c r="U372" s="7">
        <f>IF(TRIM(Raw_Bookings!E372&amp;"")="",1,0)</f>
        <v>0</v>
      </c>
      <c r="V372" s="7" t="str">
        <f>IF(SUMPRODUCT(--(Lookup_Status!$A$2:$A$13=LOWER(TRIM(Raw_Bookings!K372))))=0,"",INDEX(Lookup_Status!$B$2:$B$13,SUMPRODUCT((Lookup_Status!$A$2:$A$13=LOWER(TRIM(Raw_Bookings!K372)))*(ROW(Lookup_Status!$A$2:$A$13)-1))))</f>
        <v>Cancelled</v>
      </c>
      <c r="W372" s="7">
        <f>IF(AND(V372&lt;&gt;"",NOT(EXACT(Raw_Bookings!K372,V372))),1,0)</f>
        <v>0</v>
      </c>
      <c r="X372" s="7">
        <f>IF(V372="",1,0)</f>
        <v>0</v>
      </c>
      <c r="Y372" s="7">
        <f>IF(TRIM(Raw_Bookings!L372&amp;"")="",1,0)</f>
        <v>0</v>
      </c>
      <c r="Z372" s="7">
        <f>IF(AND(ISTEXT(Raw_Bookings!L372),Y372=0),1,0)</f>
        <v>0</v>
      </c>
      <c r="AA372" s="7">
        <f>IF(Z372=1,IFERROR(VALUE(SUBSTITUTE(SUBSTITUTE(SUBSTITUTE(SUBSTITUTE(SUBSTITUTE(UPPER(Raw_Bookings!L372),"RS.",""),"₹",""),",","")," ",""),"INR","")),""),"")</f>
        <v/>
      </c>
      <c r="AB372" s="7">
        <f>IF(AND(Z372=1,ISNUMBER(AA372)),1,0)</f>
        <v>0</v>
      </c>
      <c r="AC372" s="7">
        <f>IF(B372=1,0,IF(NOT(ISNUMBER(Raw_Bookings!J372)),1,IF(Raw_Bookings!J372&lt;&gt;COUNTIFS(Work_Passengers!$B$2:$B$1336,Raw_Bookings!A372,Work_Passengers!$C$2:$C$1336,0),1,0)))</f>
        <v>0</v>
      </c>
    </row>
    <row r="373" spans="1:29">
      <c r="A373" s="7">
        <f>Raw_Bookings!A373</f>
        <v>1124863</v>
      </c>
      <c r="B373" s="7">
        <f>IF(COUNTIF(Raw_Bookings!$A$2:A373,Raw_Bookings!A373)&gt;1,1,0)</f>
        <v>0</v>
      </c>
      <c r="C373" s="7" t="str">
        <f>Raw_Bookings!D373&amp;""</f>
        <v>2025-11-25</v>
      </c>
      <c r="D373" s="7" t="str">
        <f>IF(AND(LEN(C373)=10,MID(C373,5,1)="-",MID(C373,8,1)="-"),"ISO",IF(AND(LEN(C373)=10,MID(C373,3,1)="-",MID(C373,6,1)="-"),"DMY","OTHER"))</f>
        <v>ISO</v>
      </c>
      <c r="E373" s="7">
        <f>IF(D373="ISO",VALUE(LEFT(C373,4)),IF(D373="DMY",VALUE(RIGHT(C373,4)),0))</f>
        <v>2025</v>
      </c>
      <c r="F373" s="7">
        <f>IF(D373="ISO",VALUE(MID(C373,6,2)),IF(D373="DMY",VALUE(MID(C373,4,2)),0))</f>
        <v>11</v>
      </c>
      <c r="G373" s="7">
        <f>IF(D373="ISO",VALUE(RIGHT(C373,2)),IF(D373="DMY",VALUE(LEFT(C373,2)),0))</f>
        <v>25</v>
      </c>
      <c r="H373" s="7">
        <f>IF(AND(D373&lt;&gt;"OTHER",F373&gt;=1,F373&lt;=12,G373&gt;=1,G373&lt;=31),IF(AND(MONTH(DATE(E373,F373,G373))=F373,DAY(DATE(E373,F373,G373))=G373),1,0),0)</f>
        <v>1</v>
      </c>
      <c r="I373" s="7">
        <f>IF(H373=1,DATE(E373,F373,G373),"")</f>
        <v>45986.0</v>
      </c>
      <c r="J373" s="7">
        <f>IF(AND(D373="DMY",H373=1),1,0)</f>
        <v>0</v>
      </c>
      <c r="K373" s="7">
        <f>IF(H373=0,1,0)</f>
        <v>0</v>
      </c>
      <c r="L373" s="7">
        <f>IF(TRIM(Raw_Bookings!I373&amp;"")="",1,0)</f>
        <v>0</v>
      </c>
      <c r="M373" s="7">
        <f>IF(L373=1,"",DATEVALUE(LEFT(Raw_Bookings!I373,10))+TIMEVALUE(MID(Raw_Bookings!I373,12,8)))</f>
        <v>45976.65238425926</v>
      </c>
      <c r="N373" s="7">
        <f>IF(AND(L373=0,H373=1),IF(INT(M373)&gt;I373,1,0),0)</f>
        <v>0</v>
      </c>
      <c r="O373" s="7" t="str">
        <f>UPPER(TRIM(Raw_Bookings!F373))</f>
        <v>VAR</v>
      </c>
      <c r="P373" s="7" t="str">
        <f>UPPER(TRIM(Raw_Bookings!G373))</f>
        <v>SUR</v>
      </c>
      <c r="Q373" s="7">
        <f>IF(COUNTIF(Lookup_Stations!$A$2:$A$33,O373)&gt;0,1,0)</f>
        <v>1</v>
      </c>
      <c r="R373" s="7">
        <f>IF(COUNTIF(Lookup_Stations!$A$2:$A$33,P373)&gt;0,1,0)</f>
        <v>1</v>
      </c>
      <c r="S373" s="7">
        <f>IF(OR(AND(Q373=1,NOT(EXACT(Raw_Bookings!F373,O373))),AND(R373=1,NOT(EXACT(Raw_Bookings!G373,P373)))),1,0)</f>
        <v>0</v>
      </c>
      <c r="T373" s="7">
        <f>IF(OR(Q373=0,R373=0),1,0)</f>
        <v>0</v>
      </c>
      <c r="U373" s="7">
        <f>IF(TRIM(Raw_Bookings!E373&amp;"")="",1,0)</f>
        <v>0</v>
      </c>
      <c r="V373" s="7" t="str">
        <f>IF(SUMPRODUCT(--(Lookup_Status!$A$2:$A$13=LOWER(TRIM(Raw_Bookings!K373))))=0,"",INDEX(Lookup_Status!$B$2:$B$13,SUMPRODUCT((Lookup_Status!$A$2:$A$13=LOWER(TRIM(Raw_Bookings!K373)))*(ROW(Lookup_Status!$A$2:$A$13)-1))))</f>
        <v>Confirmed</v>
      </c>
      <c r="W373" s="7">
        <f>IF(AND(V373&lt;&gt;"",NOT(EXACT(Raw_Bookings!K373,V373))),1,0)</f>
        <v>0</v>
      </c>
      <c r="X373" s="7">
        <f>IF(V373="",1,0)</f>
        <v>0</v>
      </c>
      <c r="Y373" s="7">
        <f>IF(TRIM(Raw_Bookings!L373&amp;"")="",1,0)</f>
        <v>0</v>
      </c>
      <c r="Z373" s="7">
        <f>IF(AND(ISTEXT(Raw_Bookings!L373),Y373=0),1,0)</f>
        <v>0</v>
      </c>
      <c r="AA373" s="7">
        <f>IF(Z373=1,IFERROR(VALUE(SUBSTITUTE(SUBSTITUTE(SUBSTITUTE(SUBSTITUTE(SUBSTITUTE(UPPER(Raw_Bookings!L373),"RS.",""),"₹",""),",","")," ",""),"INR","")),""),"")</f>
        <v/>
      </c>
      <c r="AB373" s="7">
        <f>IF(AND(Z373=1,ISNUMBER(AA373)),1,0)</f>
        <v>0</v>
      </c>
      <c r="AC373" s="7">
        <f>IF(B373=1,0,IF(NOT(ISNUMBER(Raw_Bookings!J373)),1,IF(Raw_Bookings!J373&lt;&gt;COUNTIFS(Work_Passengers!$B$2:$B$1336,Raw_Bookings!A373,Work_Passengers!$C$2:$C$1336,0),1,0)))</f>
        <v>0</v>
      </c>
    </row>
    <row r="374" spans="1:29">
      <c r="A374" s="7">
        <f>Raw_Bookings!A374</f>
        <v>1125038</v>
      </c>
      <c r="B374" s="7">
        <f>IF(COUNTIF(Raw_Bookings!$A$2:A374,Raw_Bookings!A374)&gt;1,1,0)</f>
        <v>0</v>
      </c>
      <c r="C374" s="7" t="str">
        <f>Raw_Bookings!D374&amp;""</f>
        <v>2026-01-07</v>
      </c>
      <c r="D374" s="7" t="str">
        <f>IF(AND(LEN(C374)=10,MID(C374,5,1)="-",MID(C374,8,1)="-"),"ISO",IF(AND(LEN(C374)=10,MID(C374,3,1)="-",MID(C374,6,1)="-"),"DMY","OTHER"))</f>
        <v>ISO</v>
      </c>
      <c r="E374" s="7">
        <f>IF(D374="ISO",VALUE(LEFT(C374,4)),IF(D374="DMY",VALUE(RIGHT(C374,4)),0))</f>
        <v>2026</v>
      </c>
      <c r="F374" s="7">
        <f>IF(D374="ISO",VALUE(MID(C374,6,2)),IF(D374="DMY",VALUE(MID(C374,4,2)),0))</f>
        <v>1</v>
      </c>
      <c r="G374" s="7">
        <f>IF(D374="ISO",VALUE(RIGHT(C374,2)),IF(D374="DMY",VALUE(LEFT(C374,2)),0))</f>
        <v>7</v>
      </c>
      <c r="H374" s="7">
        <f>IF(AND(D374&lt;&gt;"OTHER",F374&gt;=1,F374&lt;=12,G374&gt;=1,G374&lt;=31),IF(AND(MONTH(DATE(E374,F374,G374))=F374,DAY(DATE(E374,F374,G374))=G374),1,0),0)</f>
        <v>1</v>
      </c>
      <c r="I374" s="7">
        <f>IF(H374=1,DATE(E374,F374,G374),"")</f>
        <v>46029.0</v>
      </c>
      <c r="J374" s="7">
        <f>IF(AND(D374="DMY",H374=1),1,0)</f>
        <v>0</v>
      </c>
      <c r="K374" s="7">
        <f>IF(H374=0,1,0)</f>
        <v>0</v>
      </c>
      <c r="L374" s="7">
        <f>IF(TRIM(Raw_Bookings!I374&amp;"")="",1,0)</f>
        <v>0</v>
      </c>
      <c r="M374" s="7">
        <f>IF(L374=1,"",DATEVALUE(LEFT(Raw_Bookings!I374,10))+TIMEVALUE(MID(Raw_Bookings!I374,12,8)))</f>
        <v>45977.340636574074</v>
      </c>
      <c r="N374" s="7">
        <f>IF(AND(L374=0,H374=1),IF(INT(M374)&gt;I374,1,0),0)</f>
        <v>0</v>
      </c>
      <c r="O374" s="7" t="str">
        <f>UPPER(TRIM(Raw_Bookings!F374))</f>
        <v>KOL</v>
      </c>
      <c r="P374" s="7" t="str">
        <f>UPPER(TRIM(Raw_Bookings!G374))</f>
        <v>HYD</v>
      </c>
      <c r="Q374" s="7">
        <f>IF(COUNTIF(Lookup_Stations!$A$2:$A$33,O374)&gt;0,1,0)</f>
        <v>1</v>
      </c>
      <c r="R374" s="7">
        <f>IF(COUNTIF(Lookup_Stations!$A$2:$A$33,P374)&gt;0,1,0)</f>
        <v>1</v>
      </c>
      <c r="S374" s="7">
        <f>IF(OR(AND(Q374=1,NOT(EXACT(Raw_Bookings!F374,O374))),AND(R374=1,NOT(EXACT(Raw_Bookings!G374,P374)))),1,0)</f>
        <v>0</v>
      </c>
      <c r="T374" s="7">
        <f>IF(OR(Q374=0,R374=0),1,0)</f>
        <v>0</v>
      </c>
      <c r="U374" s="7">
        <f>IF(TRIM(Raw_Bookings!E374&amp;"")="",1,0)</f>
        <v>0</v>
      </c>
      <c r="V374" s="7" t="str">
        <f>IF(SUMPRODUCT(--(Lookup_Status!$A$2:$A$13=LOWER(TRIM(Raw_Bookings!K374))))=0,"",INDEX(Lookup_Status!$B$2:$B$13,SUMPRODUCT((Lookup_Status!$A$2:$A$13=LOWER(TRIM(Raw_Bookings!K374)))*(ROW(Lookup_Status!$A$2:$A$13)-1))))</f>
        <v>Confirmed</v>
      </c>
      <c r="W374" s="7">
        <f>IF(AND(V374&lt;&gt;"",NOT(EXACT(Raw_Bookings!K374,V374))),1,0)</f>
        <v>0</v>
      </c>
      <c r="X374" s="7">
        <f>IF(V374="",1,0)</f>
        <v>0</v>
      </c>
      <c r="Y374" s="7">
        <f>IF(TRIM(Raw_Bookings!L374&amp;"")="",1,0)</f>
        <v>0</v>
      </c>
      <c r="Z374" s="7">
        <f>IF(AND(ISTEXT(Raw_Bookings!L374),Y374=0),1,0)</f>
        <v>0</v>
      </c>
      <c r="AA374" s="7">
        <f>IF(Z374=1,IFERROR(VALUE(SUBSTITUTE(SUBSTITUTE(SUBSTITUTE(SUBSTITUTE(SUBSTITUTE(UPPER(Raw_Bookings!L374),"RS.",""),"₹",""),",","")," ",""),"INR","")),""),"")</f>
        <v/>
      </c>
      <c r="AB374" s="7">
        <f>IF(AND(Z374=1,ISNUMBER(AA374)),1,0)</f>
        <v>0</v>
      </c>
      <c r="AC374" s="7">
        <f>IF(B374=1,0,IF(NOT(ISNUMBER(Raw_Bookings!J374)),1,IF(Raw_Bookings!J374&lt;&gt;COUNTIFS(Work_Passengers!$B$2:$B$1336,Raw_Bookings!A374,Work_Passengers!$C$2:$C$1336,0),1,0)))</f>
        <v>0</v>
      </c>
    </row>
    <row r="375" spans="1:29">
      <c r="A375" s="7">
        <f>Raw_Bookings!A375</f>
        <v>1125238</v>
      </c>
      <c r="B375" s="7">
        <f>IF(COUNTIF(Raw_Bookings!$A$2:A375,Raw_Bookings!A375)&gt;1,1,0)</f>
        <v>0</v>
      </c>
      <c r="C375" s="7" t="str">
        <f>Raw_Bookings!D375&amp;""</f>
        <v>2025-12-08</v>
      </c>
      <c r="D375" s="7" t="str">
        <f>IF(AND(LEN(C375)=10,MID(C375,5,1)="-",MID(C375,8,1)="-"),"ISO",IF(AND(LEN(C375)=10,MID(C375,3,1)="-",MID(C375,6,1)="-"),"DMY","OTHER"))</f>
        <v>ISO</v>
      </c>
      <c r="E375" s="7">
        <f>IF(D375="ISO",VALUE(LEFT(C375,4)),IF(D375="DMY",VALUE(RIGHT(C375,4)),0))</f>
        <v>2025</v>
      </c>
      <c r="F375" s="7">
        <f>IF(D375="ISO",VALUE(MID(C375,6,2)),IF(D375="DMY",VALUE(MID(C375,4,2)),0))</f>
        <v>12</v>
      </c>
      <c r="G375" s="7">
        <f>IF(D375="ISO",VALUE(RIGHT(C375,2)),IF(D375="DMY",VALUE(LEFT(C375,2)),0))</f>
        <v>8</v>
      </c>
      <c r="H375" s="7">
        <f>IF(AND(D375&lt;&gt;"OTHER",F375&gt;=1,F375&lt;=12,G375&gt;=1,G375&lt;=31),IF(AND(MONTH(DATE(E375,F375,G375))=F375,DAY(DATE(E375,F375,G375))=G375),1,0),0)</f>
        <v>1</v>
      </c>
      <c r="I375" s="7">
        <f>IF(H375=1,DATE(E375,F375,G375),"")</f>
        <v>45999.0</v>
      </c>
      <c r="J375" s="7">
        <f>IF(AND(D375="DMY",H375=1),1,0)</f>
        <v>0</v>
      </c>
      <c r="K375" s="7">
        <f>IF(H375=0,1,0)</f>
        <v>0</v>
      </c>
      <c r="L375" s="7">
        <f>IF(TRIM(Raw_Bookings!I375&amp;"")="",1,0)</f>
        <v>0</v>
      </c>
      <c r="M375" s="7">
        <f>IF(L375=1,"",DATEVALUE(LEFT(Raw_Bookings!I375,10))+TIMEVALUE(MID(Raw_Bookings!I375,12,8)))</f>
        <v>45977.80556712963</v>
      </c>
      <c r="N375" s="7">
        <f>IF(AND(L375=0,H375=1),IF(INT(M375)&gt;I375,1,0),0)</f>
        <v>0</v>
      </c>
      <c r="O375" s="7" t="str">
        <f>UPPER(TRIM(Raw_Bookings!F375))</f>
        <v>N/A</v>
      </c>
      <c r="P375" s="7" t="str">
        <f>UPPER(TRIM(Raw_Bookings!G375))</f>
        <v>IND</v>
      </c>
      <c r="Q375" s="7">
        <f>IF(COUNTIF(Lookup_Stations!$A$2:$A$33,O375)&gt;0,1,0)</f>
        <v>0</v>
      </c>
      <c r="R375" s="7">
        <f>IF(COUNTIF(Lookup_Stations!$A$2:$A$33,P375)&gt;0,1,0)</f>
        <v>1</v>
      </c>
      <c r="S375" s="7">
        <f>IF(OR(AND(Q375=1,NOT(EXACT(Raw_Bookings!F375,O375))),AND(R375=1,NOT(EXACT(Raw_Bookings!G375,P375)))),1,0)</f>
        <v>0</v>
      </c>
      <c r="T375" s="7">
        <f>IF(OR(Q375=0,R375=0),1,0)</f>
        <v>1</v>
      </c>
      <c r="U375" s="7">
        <f>IF(TRIM(Raw_Bookings!E375&amp;"")="",1,0)</f>
        <v>0</v>
      </c>
      <c r="V375" s="7" t="str">
        <f>IF(SUMPRODUCT(--(Lookup_Status!$A$2:$A$13=LOWER(TRIM(Raw_Bookings!K375))))=0,"",INDEX(Lookup_Status!$B$2:$B$13,SUMPRODUCT((Lookup_Status!$A$2:$A$13=LOWER(TRIM(Raw_Bookings!K375)))*(ROW(Lookup_Status!$A$2:$A$13)-1))))</f>
        <v>Confirmed</v>
      </c>
      <c r="W375" s="7">
        <f>IF(AND(V375&lt;&gt;"",NOT(EXACT(Raw_Bookings!K375,V375))),1,0)</f>
        <v>0</v>
      </c>
      <c r="X375" s="7">
        <f>IF(V375="",1,0)</f>
        <v>0</v>
      </c>
      <c r="Y375" s="7">
        <f>IF(TRIM(Raw_Bookings!L375&amp;"")="",1,0)</f>
        <v>0</v>
      </c>
      <c r="Z375" s="7">
        <f>IF(AND(ISTEXT(Raw_Bookings!L375),Y375=0),1,0)</f>
        <v>0</v>
      </c>
      <c r="AA375" s="7">
        <f>IF(Z375=1,IFERROR(VALUE(SUBSTITUTE(SUBSTITUTE(SUBSTITUTE(SUBSTITUTE(SUBSTITUTE(UPPER(Raw_Bookings!L375),"RS.",""),"₹",""),",","")," ",""),"INR","")),""),"")</f>
        <v/>
      </c>
      <c r="AB375" s="7">
        <f>IF(AND(Z375=1,ISNUMBER(AA375)),1,0)</f>
        <v>0</v>
      </c>
      <c r="AC375" s="7">
        <f>IF(B375=1,0,IF(NOT(ISNUMBER(Raw_Bookings!J375)),1,IF(Raw_Bookings!J375&lt;&gt;COUNTIFS(Work_Passengers!$B$2:$B$1336,Raw_Bookings!A375,Work_Passengers!$C$2:$C$1336,0),1,0)))</f>
        <v>0</v>
      </c>
    </row>
    <row r="376" spans="1:29">
      <c r="A376" s="7">
        <f>Raw_Bookings!A376</f>
        <v>1125471</v>
      </c>
      <c r="B376" s="7">
        <f>IF(COUNTIF(Raw_Bookings!$A$2:A376,Raw_Bookings!A376)&gt;1,1,0)</f>
        <v>0</v>
      </c>
      <c r="C376" s="7" t="str">
        <f>Raw_Bookings!D376&amp;""</f>
        <v>2025-12-13</v>
      </c>
      <c r="D376" s="7" t="str">
        <f>IF(AND(LEN(C376)=10,MID(C376,5,1)="-",MID(C376,8,1)="-"),"ISO",IF(AND(LEN(C376)=10,MID(C376,3,1)="-",MID(C376,6,1)="-"),"DMY","OTHER"))</f>
        <v>ISO</v>
      </c>
      <c r="E376" s="7">
        <f>IF(D376="ISO",VALUE(LEFT(C376,4)),IF(D376="DMY",VALUE(RIGHT(C376,4)),0))</f>
        <v>2025</v>
      </c>
      <c r="F376" s="7">
        <f>IF(D376="ISO",VALUE(MID(C376,6,2)),IF(D376="DMY",VALUE(MID(C376,4,2)),0))</f>
        <v>12</v>
      </c>
      <c r="G376" s="7">
        <f>IF(D376="ISO",VALUE(RIGHT(C376,2)),IF(D376="DMY",VALUE(LEFT(C376,2)),0))</f>
        <v>13</v>
      </c>
      <c r="H376" s="7">
        <f>IF(AND(D376&lt;&gt;"OTHER",F376&gt;=1,F376&lt;=12,G376&gt;=1,G376&lt;=31),IF(AND(MONTH(DATE(E376,F376,G376))=F376,DAY(DATE(E376,F376,G376))=G376),1,0),0)</f>
        <v>1</v>
      </c>
      <c r="I376" s="7">
        <f>IF(H376=1,DATE(E376,F376,G376),"")</f>
        <v>46004.0</v>
      </c>
      <c r="J376" s="7">
        <f>IF(AND(D376="DMY",H376=1),1,0)</f>
        <v>0</v>
      </c>
      <c r="K376" s="7">
        <f>IF(H376=0,1,0)</f>
        <v>0</v>
      </c>
      <c r="L376" s="7">
        <f>IF(TRIM(Raw_Bookings!I376&amp;"")="",1,0)</f>
        <v>0</v>
      </c>
      <c r="M376" s="7">
        <f>IF(L376=1,"",DATEVALUE(LEFT(Raw_Bookings!I376,10))+TIMEVALUE(MID(Raw_Bookings!I376,12,8)))</f>
        <v>45978.634375</v>
      </c>
      <c r="N376" s="7">
        <f>IF(AND(L376=0,H376=1),IF(INT(M376)&gt;I376,1,0),0)</f>
        <v>0</v>
      </c>
      <c r="O376" s="7" t="str">
        <f>UPPER(TRIM(Raw_Bookings!F376))</f>
        <v>JOD</v>
      </c>
      <c r="P376" s="7" t="str">
        <f>UPPER(TRIM(Raw_Bookings!G376))</f>
        <v>BEN</v>
      </c>
      <c r="Q376" s="7">
        <f>IF(COUNTIF(Lookup_Stations!$A$2:$A$33,O376)&gt;0,1,0)</f>
        <v>1</v>
      </c>
      <c r="R376" s="7">
        <f>IF(COUNTIF(Lookup_Stations!$A$2:$A$33,P376)&gt;0,1,0)</f>
        <v>1</v>
      </c>
      <c r="S376" s="7">
        <f>IF(OR(AND(Q376=1,NOT(EXACT(Raw_Bookings!F376,O376))),AND(R376=1,NOT(EXACT(Raw_Bookings!G376,P376)))),1,0)</f>
        <v>0</v>
      </c>
      <c r="T376" s="7">
        <f>IF(OR(Q376=0,R376=0),1,0)</f>
        <v>0</v>
      </c>
      <c r="U376" s="7">
        <f>IF(TRIM(Raw_Bookings!E376&amp;"")="",1,0)</f>
        <v>0</v>
      </c>
      <c r="V376" s="7" t="str">
        <f>IF(SUMPRODUCT(--(Lookup_Status!$A$2:$A$13=LOWER(TRIM(Raw_Bookings!K376))))=0,"",INDEX(Lookup_Status!$B$2:$B$13,SUMPRODUCT((Lookup_Status!$A$2:$A$13=LOWER(TRIM(Raw_Bookings!K376)))*(ROW(Lookup_Status!$A$2:$A$13)-1))))</f>
        <v>Confirmed</v>
      </c>
      <c r="W376" s="7">
        <f>IF(AND(V376&lt;&gt;"",NOT(EXACT(Raw_Bookings!K376,V376))),1,0)</f>
        <v>0</v>
      </c>
      <c r="X376" s="7">
        <f>IF(V376="",1,0)</f>
        <v>0</v>
      </c>
      <c r="Y376" s="7">
        <f>IF(TRIM(Raw_Bookings!L376&amp;"")="",1,0)</f>
        <v>0</v>
      </c>
      <c r="Z376" s="7">
        <f>IF(AND(ISTEXT(Raw_Bookings!L376),Y376=0),1,0)</f>
        <v>0</v>
      </c>
      <c r="AA376" s="7">
        <f>IF(Z376=1,IFERROR(VALUE(SUBSTITUTE(SUBSTITUTE(SUBSTITUTE(SUBSTITUTE(SUBSTITUTE(UPPER(Raw_Bookings!L376),"RS.",""),"₹",""),",","")," ",""),"INR","")),""),"")</f>
        <v/>
      </c>
      <c r="AB376" s="7">
        <f>IF(AND(Z376=1,ISNUMBER(AA376)),1,0)</f>
        <v>0</v>
      </c>
      <c r="AC376" s="7">
        <f>IF(B376=1,0,IF(NOT(ISNUMBER(Raw_Bookings!J376)),1,IF(Raw_Bookings!J376&lt;&gt;COUNTIFS(Work_Passengers!$B$2:$B$1336,Raw_Bookings!A376,Work_Passengers!$C$2:$C$1336,0),1,0)))</f>
        <v>1</v>
      </c>
    </row>
    <row r="377" spans="1:29">
      <c r="A377" s="7">
        <f>Raw_Bookings!A377</f>
        <v>1125474</v>
      </c>
      <c r="B377" s="7">
        <f>IF(COUNTIF(Raw_Bookings!$A$2:A377,Raw_Bookings!A377)&gt;1,1,0)</f>
        <v>0</v>
      </c>
      <c r="C377" s="7" t="str">
        <f>Raw_Bookings!D377&amp;""</f>
        <v>2025-11-18</v>
      </c>
      <c r="D377" s="7" t="str">
        <f>IF(AND(LEN(C377)=10,MID(C377,5,1)="-",MID(C377,8,1)="-"),"ISO",IF(AND(LEN(C377)=10,MID(C377,3,1)="-",MID(C377,6,1)="-"),"DMY","OTHER"))</f>
        <v>ISO</v>
      </c>
      <c r="E377" s="7">
        <f>IF(D377="ISO",VALUE(LEFT(C377,4)),IF(D377="DMY",VALUE(RIGHT(C377,4)),0))</f>
        <v>2025</v>
      </c>
      <c r="F377" s="7">
        <f>IF(D377="ISO",VALUE(MID(C377,6,2)),IF(D377="DMY",VALUE(MID(C377,4,2)),0))</f>
        <v>11</v>
      </c>
      <c r="G377" s="7">
        <f>IF(D377="ISO",VALUE(RIGHT(C377,2)),IF(D377="DMY",VALUE(LEFT(C377,2)),0))</f>
        <v>18</v>
      </c>
      <c r="H377" s="7">
        <f>IF(AND(D377&lt;&gt;"OTHER",F377&gt;=1,F377&lt;=12,G377&gt;=1,G377&lt;=31),IF(AND(MONTH(DATE(E377,F377,G377))=F377,DAY(DATE(E377,F377,G377))=G377),1,0),0)</f>
        <v>1</v>
      </c>
      <c r="I377" s="7">
        <f>IF(H377=1,DATE(E377,F377,G377),"")</f>
        <v>45979.0</v>
      </c>
      <c r="J377" s="7">
        <f>IF(AND(D377="DMY",H377=1),1,0)</f>
        <v>0</v>
      </c>
      <c r="K377" s="7">
        <f>IF(H377=0,1,0)</f>
        <v>0</v>
      </c>
      <c r="L377" s="7">
        <f>IF(TRIM(Raw_Bookings!I377&amp;"")="",1,0)</f>
        <v>0</v>
      </c>
      <c r="M377" s="7">
        <f>IF(L377=1,"",DATEVALUE(LEFT(Raw_Bookings!I377,10))+TIMEVALUE(MID(Raw_Bookings!I377,12,8)))</f>
        <v>45978.63920138889</v>
      </c>
      <c r="N377" s="7">
        <f>IF(AND(L377=0,H377=1),IF(INT(M377)&gt;I377,1,0),0)</f>
        <v>0</v>
      </c>
      <c r="O377" s="7" t="str">
        <f>UPPER(TRIM(Raw_Bookings!F377))</f>
        <v>MUM</v>
      </c>
      <c r="P377" s="7" t="str">
        <f>UPPER(TRIM(Raw_Bookings!G377))</f>
        <v>BEN</v>
      </c>
      <c r="Q377" s="7">
        <f>IF(COUNTIF(Lookup_Stations!$A$2:$A$33,O377)&gt;0,1,0)</f>
        <v>1</v>
      </c>
      <c r="R377" s="7">
        <f>IF(COUNTIF(Lookup_Stations!$A$2:$A$33,P377)&gt;0,1,0)</f>
        <v>1</v>
      </c>
      <c r="S377" s="7">
        <f>IF(OR(AND(Q377=1,NOT(EXACT(Raw_Bookings!F377,O377))),AND(R377=1,NOT(EXACT(Raw_Bookings!G377,P377)))),1,0)</f>
        <v>0</v>
      </c>
      <c r="T377" s="7">
        <f>IF(OR(Q377=0,R377=0),1,0)</f>
        <v>0</v>
      </c>
      <c r="U377" s="7">
        <f>IF(TRIM(Raw_Bookings!E377&amp;"")="",1,0)</f>
        <v>0</v>
      </c>
      <c r="V377" s="7" t="str">
        <f>IF(SUMPRODUCT(--(Lookup_Status!$A$2:$A$13=LOWER(TRIM(Raw_Bookings!K377))))=0,"",INDEX(Lookup_Status!$B$2:$B$13,SUMPRODUCT((Lookup_Status!$A$2:$A$13=LOWER(TRIM(Raw_Bookings!K377)))*(ROW(Lookup_Status!$A$2:$A$13)-1))))</f>
        <v>Waitlisted</v>
      </c>
      <c r="W377" s="7">
        <f>IF(AND(V377&lt;&gt;"",NOT(EXACT(Raw_Bookings!K377,V377))),1,0)</f>
        <v>0</v>
      </c>
      <c r="X377" s="7">
        <f>IF(V377="",1,0)</f>
        <v>0</v>
      </c>
      <c r="Y377" s="7">
        <f>IF(TRIM(Raw_Bookings!L377&amp;"")="",1,0)</f>
        <v>0</v>
      </c>
      <c r="Z377" s="7">
        <f>IF(AND(ISTEXT(Raw_Bookings!L377),Y377=0),1,0)</f>
        <v>0</v>
      </c>
      <c r="AA377" s="7">
        <f>IF(Z377=1,IFERROR(VALUE(SUBSTITUTE(SUBSTITUTE(SUBSTITUTE(SUBSTITUTE(SUBSTITUTE(UPPER(Raw_Bookings!L377),"RS.",""),"₹",""),",","")," ",""),"INR","")),""),"")</f>
        <v/>
      </c>
      <c r="AB377" s="7">
        <f>IF(AND(Z377=1,ISNUMBER(AA377)),1,0)</f>
        <v>0</v>
      </c>
      <c r="AC377" s="7">
        <f>IF(B377=1,0,IF(NOT(ISNUMBER(Raw_Bookings!J377)),1,IF(Raw_Bookings!J377&lt;&gt;COUNTIFS(Work_Passengers!$B$2:$B$1336,Raw_Bookings!A377,Work_Passengers!$C$2:$C$1336,0),1,0)))</f>
        <v>0</v>
      </c>
    </row>
    <row r="378" spans="1:29">
      <c r="A378" s="7">
        <f>Raw_Bookings!A378</f>
        <v>1126190</v>
      </c>
      <c r="B378" s="7">
        <f>IF(COUNTIF(Raw_Bookings!$A$2:A378,Raw_Bookings!A378)&gt;1,1,0)</f>
        <v>0</v>
      </c>
      <c r="C378" s="7" t="str">
        <f>Raw_Bookings!D378&amp;""</f>
        <v>2025-12-18</v>
      </c>
      <c r="D378" s="7" t="str">
        <f>IF(AND(LEN(C378)=10,MID(C378,5,1)="-",MID(C378,8,1)="-"),"ISO",IF(AND(LEN(C378)=10,MID(C378,3,1)="-",MID(C378,6,1)="-"),"DMY","OTHER"))</f>
        <v>ISO</v>
      </c>
      <c r="E378" s="7">
        <f>IF(D378="ISO",VALUE(LEFT(C378,4)),IF(D378="DMY",VALUE(RIGHT(C378,4)),0))</f>
        <v>2025</v>
      </c>
      <c r="F378" s="7">
        <f>IF(D378="ISO",VALUE(MID(C378,6,2)),IF(D378="DMY",VALUE(MID(C378,4,2)),0))</f>
        <v>12</v>
      </c>
      <c r="G378" s="7">
        <f>IF(D378="ISO",VALUE(RIGHT(C378,2)),IF(D378="DMY",VALUE(LEFT(C378,2)),0))</f>
        <v>18</v>
      </c>
      <c r="H378" s="7">
        <f>IF(AND(D378&lt;&gt;"OTHER",F378&gt;=1,F378&lt;=12,G378&gt;=1,G378&lt;=31),IF(AND(MONTH(DATE(E378,F378,G378))=F378,DAY(DATE(E378,F378,G378))=G378),1,0),0)</f>
        <v>1</v>
      </c>
      <c r="I378" s="7">
        <f>IF(H378=1,DATE(E378,F378,G378),"")</f>
        <v>46009.0</v>
      </c>
      <c r="J378" s="7">
        <f>IF(AND(D378="DMY",H378=1),1,0)</f>
        <v>0</v>
      </c>
      <c r="K378" s="7">
        <f>IF(H378=0,1,0)</f>
        <v>0</v>
      </c>
      <c r="L378" s="7">
        <f>IF(TRIM(Raw_Bookings!I378&amp;"")="",1,0)</f>
        <v>0</v>
      </c>
      <c r="M378" s="7">
        <f>IF(L378=1,"",DATEVALUE(LEFT(Raw_Bookings!I378,10))+TIMEVALUE(MID(Raw_Bookings!I378,12,8)))</f>
        <v>45981.50172453704</v>
      </c>
      <c r="N378" s="7">
        <f>IF(AND(L378=0,H378=1),IF(INT(M378)&gt;I378,1,0),0)</f>
        <v>0</v>
      </c>
      <c r="O378" s="7" t="str">
        <f>UPPER(TRIM(Raw_Bookings!F378))</f>
        <v>DEL</v>
      </c>
      <c r="P378" s="7" t="str">
        <f>UPPER(TRIM(Raw_Bookings!G378))</f>
        <v>MAU</v>
      </c>
      <c r="Q378" s="7">
        <f>IF(COUNTIF(Lookup_Stations!$A$2:$A$33,O378)&gt;0,1,0)</f>
        <v>1</v>
      </c>
      <c r="R378" s="7">
        <f>IF(COUNTIF(Lookup_Stations!$A$2:$A$33,P378)&gt;0,1,0)</f>
        <v>1</v>
      </c>
      <c r="S378" s="7">
        <f>IF(OR(AND(Q378=1,NOT(EXACT(Raw_Bookings!F378,O378))),AND(R378=1,NOT(EXACT(Raw_Bookings!G378,P378)))),1,0)</f>
        <v>0</v>
      </c>
      <c r="T378" s="7">
        <f>IF(OR(Q378=0,R378=0),1,0)</f>
        <v>0</v>
      </c>
      <c r="U378" s="7">
        <f>IF(TRIM(Raw_Bookings!E378&amp;"")="",1,0)</f>
        <v>0</v>
      </c>
      <c r="V378" s="7" t="str">
        <f>IF(SUMPRODUCT(--(Lookup_Status!$A$2:$A$13=LOWER(TRIM(Raw_Bookings!K378))))=0,"",INDEX(Lookup_Status!$B$2:$B$13,SUMPRODUCT((Lookup_Status!$A$2:$A$13=LOWER(TRIM(Raw_Bookings!K378)))*(ROW(Lookup_Status!$A$2:$A$13)-1))))</f>
        <v>Confirmed</v>
      </c>
      <c r="W378" s="7">
        <f>IF(AND(V378&lt;&gt;"",NOT(EXACT(Raw_Bookings!K378,V378))),1,0)</f>
        <v>1</v>
      </c>
      <c r="X378" s="7">
        <f>IF(V378="",1,0)</f>
        <v>0</v>
      </c>
      <c r="Y378" s="7">
        <f>IF(TRIM(Raw_Bookings!L378&amp;"")="",1,0)</f>
        <v>0</v>
      </c>
      <c r="Z378" s="7">
        <f>IF(AND(ISTEXT(Raw_Bookings!L378),Y378=0),1,0)</f>
        <v>0</v>
      </c>
      <c r="AA378" s="7">
        <f>IF(Z378=1,IFERROR(VALUE(SUBSTITUTE(SUBSTITUTE(SUBSTITUTE(SUBSTITUTE(SUBSTITUTE(UPPER(Raw_Bookings!L378),"RS.",""),"₹",""),",","")," ",""),"INR","")),""),"")</f>
        <v/>
      </c>
      <c r="AB378" s="7">
        <f>IF(AND(Z378=1,ISNUMBER(AA378)),1,0)</f>
        <v>0</v>
      </c>
      <c r="AC378" s="7">
        <f>IF(B378=1,0,IF(NOT(ISNUMBER(Raw_Bookings!J378)),1,IF(Raw_Bookings!J378&lt;&gt;COUNTIFS(Work_Passengers!$B$2:$B$1336,Raw_Bookings!A378,Work_Passengers!$C$2:$C$1336,0),1,0)))</f>
        <v>0</v>
      </c>
    </row>
    <row r="379" spans="1:29">
      <c r="A379" s="7">
        <f>Raw_Bookings!A379</f>
        <v>1126291</v>
      </c>
      <c r="B379" s="7">
        <f>IF(COUNTIF(Raw_Bookings!$A$2:A379,Raw_Bookings!A379)&gt;1,1,0)</f>
        <v>0</v>
      </c>
      <c r="C379" s="7" t="str">
        <f>Raw_Bookings!D379&amp;""</f>
        <v>2026-03-11</v>
      </c>
      <c r="D379" s="7" t="str">
        <f>IF(AND(LEN(C379)=10,MID(C379,5,1)="-",MID(C379,8,1)="-"),"ISO",IF(AND(LEN(C379)=10,MID(C379,3,1)="-",MID(C379,6,1)="-"),"DMY","OTHER"))</f>
        <v>ISO</v>
      </c>
      <c r="E379" s="7">
        <f>IF(D379="ISO",VALUE(LEFT(C379,4)),IF(D379="DMY",VALUE(RIGHT(C379,4)),0))</f>
        <v>2026</v>
      </c>
      <c r="F379" s="7">
        <f>IF(D379="ISO",VALUE(MID(C379,6,2)),IF(D379="DMY",VALUE(MID(C379,4,2)),0))</f>
        <v>3</v>
      </c>
      <c r="G379" s="7">
        <f>IF(D379="ISO",VALUE(RIGHT(C379,2)),IF(D379="DMY",VALUE(LEFT(C379,2)),0))</f>
        <v>11</v>
      </c>
      <c r="H379" s="7">
        <f>IF(AND(D379&lt;&gt;"OTHER",F379&gt;=1,F379&lt;=12,G379&gt;=1,G379&lt;=31),IF(AND(MONTH(DATE(E379,F379,G379))=F379,DAY(DATE(E379,F379,G379))=G379),1,0),0)</f>
        <v>1</v>
      </c>
      <c r="I379" s="7">
        <f>IF(H379=1,DATE(E379,F379,G379),"")</f>
        <v>46092.0</v>
      </c>
      <c r="J379" s="7">
        <f>IF(AND(D379="DMY",H379=1),1,0)</f>
        <v>0</v>
      </c>
      <c r="K379" s="7">
        <f>IF(H379=0,1,0)</f>
        <v>0</v>
      </c>
      <c r="L379" s="7">
        <f>IF(TRIM(Raw_Bookings!I379&amp;"")="",1,0)</f>
        <v>0</v>
      </c>
      <c r="M379" s="7">
        <f>IF(L379=1,"",DATEVALUE(LEFT(Raw_Bookings!I379,10))+TIMEVALUE(MID(Raw_Bookings!I379,12,8)))</f>
        <v>45981.85076388889</v>
      </c>
      <c r="N379" s="7">
        <f>IF(AND(L379=0,H379=1),IF(INT(M379)&gt;I379,1,0),0)</f>
        <v>0</v>
      </c>
      <c r="O379" s="7" t="str">
        <f>UPPER(TRIM(Raw_Bookings!F379))</f>
        <v>MAU</v>
      </c>
      <c r="P379" s="7" t="str">
        <f>UPPER(TRIM(Raw_Bookings!G379))</f>
        <v>DEL</v>
      </c>
      <c r="Q379" s="7">
        <f>IF(COUNTIF(Lookup_Stations!$A$2:$A$33,O379)&gt;0,1,0)</f>
        <v>1</v>
      </c>
      <c r="R379" s="7">
        <f>IF(COUNTIF(Lookup_Stations!$A$2:$A$33,P379)&gt;0,1,0)</f>
        <v>1</v>
      </c>
      <c r="S379" s="7">
        <f>IF(OR(AND(Q379=1,NOT(EXACT(Raw_Bookings!F379,O379))),AND(R379=1,NOT(EXACT(Raw_Bookings!G379,P379)))),1,0)</f>
        <v>0</v>
      </c>
      <c r="T379" s="7">
        <f>IF(OR(Q379=0,R379=0),1,0)</f>
        <v>0</v>
      </c>
      <c r="U379" s="7">
        <f>IF(TRIM(Raw_Bookings!E379&amp;"")="",1,0)</f>
        <v>0</v>
      </c>
      <c r="V379" s="7" t="str">
        <f>IF(SUMPRODUCT(--(Lookup_Status!$A$2:$A$13=LOWER(TRIM(Raw_Bookings!K379))))=0,"",INDEX(Lookup_Status!$B$2:$B$13,SUMPRODUCT((Lookup_Status!$A$2:$A$13=LOWER(TRIM(Raw_Bookings!K379)))*(ROW(Lookup_Status!$A$2:$A$13)-1))))</f>
        <v>Cancelled</v>
      </c>
      <c r="W379" s="7">
        <f>IF(AND(V379&lt;&gt;"",NOT(EXACT(Raw_Bookings!K379,V379))),1,0)</f>
        <v>0</v>
      </c>
      <c r="X379" s="7">
        <f>IF(V379="",1,0)</f>
        <v>0</v>
      </c>
      <c r="Y379" s="7">
        <f>IF(TRIM(Raw_Bookings!L379&amp;"")="",1,0)</f>
        <v>0</v>
      </c>
      <c r="Z379" s="7">
        <f>IF(AND(ISTEXT(Raw_Bookings!L379),Y379=0),1,0)</f>
        <v>0</v>
      </c>
      <c r="AA379" s="7">
        <f>IF(Z379=1,IFERROR(VALUE(SUBSTITUTE(SUBSTITUTE(SUBSTITUTE(SUBSTITUTE(SUBSTITUTE(UPPER(Raw_Bookings!L379),"RS.",""),"₹",""),",","")," ",""),"INR","")),""),"")</f>
        <v/>
      </c>
      <c r="AB379" s="7">
        <f>IF(AND(Z379=1,ISNUMBER(AA379)),1,0)</f>
        <v>0</v>
      </c>
      <c r="AC379" s="7">
        <f>IF(B379=1,0,IF(NOT(ISNUMBER(Raw_Bookings!J379)),1,IF(Raw_Bookings!J379&lt;&gt;COUNTIFS(Work_Passengers!$B$2:$B$1336,Raw_Bookings!A379,Work_Passengers!$C$2:$C$1336,0),1,0)))</f>
        <v>0</v>
      </c>
    </row>
    <row r="380" spans="1:29">
      <c r="A380" s="7">
        <f>Raw_Bookings!A380</f>
        <v>1126400</v>
      </c>
      <c r="B380" s="7">
        <f>IF(COUNTIF(Raw_Bookings!$A$2:A380,Raw_Bookings!A380)&gt;1,1,0)</f>
        <v>0</v>
      </c>
      <c r="C380" s="7" t="str">
        <f>Raw_Bookings!D380&amp;""</f>
        <v>2025-12-05</v>
      </c>
      <c r="D380" s="7" t="str">
        <f>IF(AND(LEN(C380)=10,MID(C380,5,1)="-",MID(C380,8,1)="-"),"ISO",IF(AND(LEN(C380)=10,MID(C380,3,1)="-",MID(C380,6,1)="-"),"DMY","OTHER"))</f>
        <v>ISO</v>
      </c>
      <c r="E380" s="7">
        <f>IF(D380="ISO",VALUE(LEFT(C380,4)),IF(D380="DMY",VALUE(RIGHT(C380,4)),0))</f>
        <v>2025</v>
      </c>
      <c r="F380" s="7">
        <f>IF(D380="ISO",VALUE(MID(C380,6,2)),IF(D380="DMY",VALUE(MID(C380,4,2)),0))</f>
        <v>12</v>
      </c>
      <c r="G380" s="7">
        <f>IF(D380="ISO",VALUE(RIGHT(C380,2)),IF(D380="DMY",VALUE(LEFT(C380,2)),0))</f>
        <v>5</v>
      </c>
      <c r="H380" s="7">
        <f>IF(AND(D380&lt;&gt;"OTHER",F380&gt;=1,F380&lt;=12,G380&gt;=1,G380&lt;=31),IF(AND(MONTH(DATE(E380,F380,G380))=F380,DAY(DATE(E380,F380,G380))=G380),1,0),0)</f>
        <v>1</v>
      </c>
      <c r="I380" s="7">
        <f>IF(H380=1,DATE(E380,F380,G380),"")</f>
        <v>45996.0</v>
      </c>
      <c r="J380" s="7">
        <f>IF(AND(D380="DMY",H380=1),1,0)</f>
        <v>0</v>
      </c>
      <c r="K380" s="7">
        <f>IF(H380=0,1,0)</f>
        <v>0</v>
      </c>
      <c r="L380" s="7">
        <f>IF(TRIM(Raw_Bookings!I380&amp;"")="",1,0)</f>
        <v>0</v>
      </c>
      <c r="M380" s="7">
        <f>IF(L380=1,"",DATEVALUE(LEFT(Raw_Bookings!I380,10))+TIMEVALUE(MID(Raw_Bookings!I380,12,8)))</f>
        <v>45982.452835648146</v>
      </c>
      <c r="N380" s="7">
        <f>IF(AND(L380=0,H380=1),IF(INT(M380)&gt;I380,1,0),0)</f>
        <v>0</v>
      </c>
      <c r="O380" s="7" t="str">
        <f>UPPER(TRIM(Raw_Bookings!F380))</f>
        <v>CHE</v>
      </c>
      <c r="P380" s="7" t="str">
        <f>UPPER(TRIM(Raw_Bookings!G380))</f>
        <v>AHM</v>
      </c>
      <c r="Q380" s="7">
        <f>IF(COUNTIF(Lookup_Stations!$A$2:$A$33,O380)&gt;0,1,0)</f>
        <v>1</v>
      </c>
      <c r="R380" s="7">
        <f>IF(COUNTIF(Lookup_Stations!$A$2:$A$33,P380)&gt;0,1,0)</f>
        <v>1</v>
      </c>
      <c r="S380" s="7">
        <f>IF(OR(AND(Q380=1,NOT(EXACT(Raw_Bookings!F380,O380))),AND(R380=1,NOT(EXACT(Raw_Bookings!G380,P380)))),1,0)</f>
        <v>0</v>
      </c>
      <c r="T380" s="7">
        <f>IF(OR(Q380=0,R380=0),1,0)</f>
        <v>0</v>
      </c>
      <c r="U380" s="7">
        <f>IF(TRIM(Raw_Bookings!E380&amp;"")="",1,0)</f>
        <v>0</v>
      </c>
      <c r="V380" s="7" t="str">
        <f>IF(SUMPRODUCT(--(Lookup_Status!$A$2:$A$13=LOWER(TRIM(Raw_Bookings!K380))))=0,"",INDEX(Lookup_Status!$B$2:$B$13,SUMPRODUCT((Lookup_Status!$A$2:$A$13=LOWER(TRIM(Raw_Bookings!K380)))*(ROW(Lookup_Status!$A$2:$A$13)-1))))</f>
        <v>Confirmed</v>
      </c>
      <c r="W380" s="7">
        <f>IF(AND(V380&lt;&gt;"",NOT(EXACT(Raw_Bookings!K380,V380))),1,0)</f>
        <v>0</v>
      </c>
      <c r="X380" s="7">
        <f>IF(V380="",1,0)</f>
        <v>0</v>
      </c>
      <c r="Y380" s="7">
        <f>IF(TRIM(Raw_Bookings!L380&amp;"")="",1,0)</f>
        <v>0</v>
      </c>
      <c r="Z380" s="7">
        <f>IF(AND(ISTEXT(Raw_Bookings!L380),Y380=0),1,0)</f>
        <v>0</v>
      </c>
      <c r="AA380" s="7">
        <f>IF(Z380=1,IFERROR(VALUE(SUBSTITUTE(SUBSTITUTE(SUBSTITUTE(SUBSTITUTE(SUBSTITUTE(UPPER(Raw_Bookings!L380),"RS.",""),"₹",""),",","")," ",""),"INR","")),""),"")</f>
        <v/>
      </c>
      <c r="AB380" s="7">
        <f>IF(AND(Z380=1,ISNUMBER(AA380)),1,0)</f>
        <v>0</v>
      </c>
      <c r="AC380" s="7">
        <f>IF(B380=1,0,IF(NOT(ISNUMBER(Raw_Bookings!J380)),1,IF(Raw_Bookings!J380&lt;&gt;COUNTIFS(Work_Passengers!$B$2:$B$1336,Raw_Bookings!A380,Work_Passengers!$C$2:$C$1336,0),1,0)))</f>
        <v>0</v>
      </c>
    </row>
    <row r="381" spans="1:29">
      <c r="A381" s="7">
        <f>Raw_Bookings!A381</f>
        <v>1126405</v>
      </c>
      <c r="B381" s="7">
        <f>IF(COUNTIF(Raw_Bookings!$A$2:A381,Raw_Bookings!A381)&gt;1,1,0)</f>
        <v>0</v>
      </c>
      <c r="C381" s="7" t="str">
        <f>Raw_Bookings!D381&amp;""</f>
        <v>2025-12-12</v>
      </c>
      <c r="D381" s="7" t="str">
        <f>IF(AND(LEN(C381)=10,MID(C381,5,1)="-",MID(C381,8,1)="-"),"ISO",IF(AND(LEN(C381)=10,MID(C381,3,1)="-",MID(C381,6,1)="-"),"DMY","OTHER"))</f>
        <v>ISO</v>
      </c>
      <c r="E381" s="7">
        <f>IF(D381="ISO",VALUE(LEFT(C381,4)),IF(D381="DMY",VALUE(RIGHT(C381,4)),0))</f>
        <v>2025</v>
      </c>
      <c r="F381" s="7">
        <f>IF(D381="ISO",VALUE(MID(C381,6,2)),IF(D381="DMY",VALUE(MID(C381,4,2)),0))</f>
        <v>12</v>
      </c>
      <c r="G381" s="7">
        <f>IF(D381="ISO",VALUE(RIGHT(C381,2)),IF(D381="DMY",VALUE(LEFT(C381,2)),0))</f>
        <v>12</v>
      </c>
      <c r="H381" s="7">
        <f>IF(AND(D381&lt;&gt;"OTHER",F381&gt;=1,F381&lt;=12,G381&gt;=1,G381&lt;=31),IF(AND(MONTH(DATE(E381,F381,G381))=F381,DAY(DATE(E381,F381,G381))=G381),1,0),0)</f>
        <v>1</v>
      </c>
      <c r="I381" s="7">
        <f>IF(H381=1,DATE(E381,F381,G381),"")</f>
        <v>46003.0</v>
      </c>
      <c r="J381" s="7">
        <f>IF(AND(D381="DMY",H381=1),1,0)</f>
        <v>0</v>
      </c>
      <c r="K381" s="7">
        <f>IF(H381=0,1,0)</f>
        <v>0</v>
      </c>
      <c r="L381" s="7">
        <f>IF(TRIM(Raw_Bookings!I381&amp;"")="",1,0)</f>
        <v>0</v>
      </c>
      <c r="M381" s="7">
        <f>IF(L381=1,"",DATEVALUE(LEFT(Raw_Bookings!I381,10))+TIMEVALUE(MID(Raw_Bookings!I381,12,8)))</f>
        <v>45982.46907407408</v>
      </c>
      <c r="N381" s="7">
        <f>IF(AND(L381=0,H381=1),IF(INT(M381)&gt;I381,1,0),0)</f>
        <v>0</v>
      </c>
      <c r="O381" s="7" t="str">
        <f>UPPER(TRIM(Raw_Bookings!F381))</f>
        <v>AHM</v>
      </c>
      <c r="P381" s="7" t="str">
        <f>UPPER(TRIM(Raw_Bookings!G381))</f>
        <v>CHE</v>
      </c>
      <c r="Q381" s="7">
        <f>IF(COUNTIF(Lookup_Stations!$A$2:$A$33,O381)&gt;0,1,0)</f>
        <v>1</v>
      </c>
      <c r="R381" s="7">
        <f>IF(COUNTIF(Lookup_Stations!$A$2:$A$33,P381)&gt;0,1,0)</f>
        <v>1</v>
      </c>
      <c r="S381" s="7">
        <f>IF(OR(AND(Q381=1,NOT(EXACT(Raw_Bookings!F381,O381))),AND(R381=1,NOT(EXACT(Raw_Bookings!G381,P381)))),1,0)</f>
        <v>0</v>
      </c>
      <c r="T381" s="7">
        <f>IF(OR(Q381=0,R381=0),1,0)</f>
        <v>0</v>
      </c>
      <c r="U381" s="7">
        <f>IF(TRIM(Raw_Bookings!E381&amp;"")="",1,0)</f>
        <v>0</v>
      </c>
      <c r="V381" s="7" t="str">
        <f>IF(SUMPRODUCT(--(Lookup_Status!$A$2:$A$13=LOWER(TRIM(Raw_Bookings!K381))))=0,"",INDEX(Lookup_Status!$B$2:$B$13,SUMPRODUCT((Lookup_Status!$A$2:$A$13=LOWER(TRIM(Raw_Bookings!K381)))*(ROW(Lookup_Status!$A$2:$A$13)-1))))</f>
        <v>Cancelled</v>
      </c>
      <c r="W381" s="7">
        <f>IF(AND(V381&lt;&gt;"",NOT(EXACT(Raw_Bookings!K381,V381))),1,0)</f>
        <v>0</v>
      </c>
      <c r="X381" s="7">
        <f>IF(V381="",1,0)</f>
        <v>0</v>
      </c>
      <c r="Y381" s="7">
        <f>IF(TRIM(Raw_Bookings!L381&amp;"")="",1,0)</f>
        <v>0</v>
      </c>
      <c r="Z381" s="7">
        <f>IF(AND(ISTEXT(Raw_Bookings!L381),Y381=0),1,0)</f>
        <v>0</v>
      </c>
      <c r="AA381" s="7">
        <f>IF(Z381=1,IFERROR(VALUE(SUBSTITUTE(SUBSTITUTE(SUBSTITUTE(SUBSTITUTE(SUBSTITUTE(UPPER(Raw_Bookings!L381),"RS.",""),"₹",""),",","")," ",""),"INR","")),""),"")</f>
        <v/>
      </c>
      <c r="AB381" s="7">
        <f>IF(AND(Z381=1,ISNUMBER(AA381)),1,0)</f>
        <v>0</v>
      </c>
      <c r="AC381" s="7">
        <f>IF(B381=1,0,IF(NOT(ISNUMBER(Raw_Bookings!J381)),1,IF(Raw_Bookings!J381&lt;&gt;COUNTIFS(Work_Passengers!$B$2:$B$1336,Raw_Bookings!A381,Work_Passengers!$C$2:$C$1336,0),1,0)))</f>
        <v>0</v>
      </c>
    </row>
    <row r="382" spans="1:29">
      <c r="A382" s="7">
        <f>Raw_Bookings!A382</f>
        <v>1127244</v>
      </c>
      <c r="B382" s="7">
        <f>IF(COUNTIF(Raw_Bookings!$A$2:A382,Raw_Bookings!A382)&gt;1,1,0)</f>
        <v>0</v>
      </c>
      <c r="C382" s="7" t="str">
        <f>Raw_Bookings!D382&amp;""</f>
        <v>2025-12-23</v>
      </c>
      <c r="D382" s="7" t="str">
        <f>IF(AND(LEN(C382)=10,MID(C382,5,1)="-",MID(C382,8,1)="-"),"ISO",IF(AND(LEN(C382)=10,MID(C382,3,1)="-",MID(C382,6,1)="-"),"DMY","OTHER"))</f>
        <v>ISO</v>
      </c>
      <c r="E382" s="7">
        <f>IF(D382="ISO",VALUE(LEFT(C382,4)),IF(D382="DMY",VALUE(RIGHT(C382,4)),0))</f>
        <v>2025</v>
      </c>
      <c r="F382" s="7">
        <f>IF(D382="ISO",VALUE(MID(C382,6,2)),IF(D382="DMY",VALUE(MID(C382,4,2)),0))</f>
        <v>12</v>
      </c>
      <c r="G382" s="7">
        <f>IF(D382="ISO",VALUE(RIGHT(C382,2)),IF(D382="DMY",VALUE(LEFT(C382,2)),0))</f>
        <v>23</v>
      </c>
      <c r="H382" s="7">
        <f>IF(AND(D382&lt;&gt;"OTHER",F382&gt;=1,F382&lt;=12,G382&gt;=1,G382&lt;=31),IF(AND(MONTH(DATE(E382,F382,G382))=F382,DAY(DATE(E382,F382,G382))=G382),1,0),0)</f>
        <v>1</v>
      </c>
      <c r="I382" s="7">
        <f>IF(H382=1,DATE(E382,F382,G382),"")</f>
        <v>46014.0</v>
      </c>
      <c r="J382" s="7">
        <f>IF(AND(D382="DMY",H382=1),1,0)</f>
        <v>0</v>
      </c>
      <c r="K382" s="7">
        <f>IF(H382=0,1,0)</f>
        <v>0</v>
      </c>
      <c r="L382" s="7">
        <f>IF(TRIM(Raw_Bookings!I382&amp;"")="",1,0)</f>
        <v>0</v>
      </c>
      <c r="M382" s="7">
        <f>IF(L382=1,"",DATEVALUE(LEFT(Raw_Bookings!I382,10))+TIMEVALUE(MID(Raw_Bookings!I382,12,8)))</f>
        <v>45985.67988425926</v>
      </c>
      <c r="N382" s="7">
        <f>IF(AND(L382=0,H382=1),IF(INT(M382)&gt;I382,1,0),0)</f>
        <v>0</v>
      </c>
      <c r="O382" s="7" t="str">
        <f>UPPER(TRIM(Raw_Bookings!F382))</f>
        <v>MAU</v>
      </c>
      <c r="P382" s="7" t="str">
        <f>UPPER(TRIM(Raw_Bookings!G382))</f>
        <v>DEL</v>
      </c>
      <c r="Q382" s="7">
        <f>IF(COUNTIF(Lookup_Stations!$A$2:$A$33,O382)&gt;0,1,0)</f>
        <v>1</v>
      </c>
      <c r="R382" s="7">
        <f>IF(COUNTIF(Lookup_Stations!$A$2:$A$33,P382)&gt;0,1,0)</f>
        <v>1</v>
      </c>
      <c r="S382" s="7">
        <f>IF(OR(AND(Q382=1,NOT(EXACT(Raw_Bookings!F382,O382))),AND(R382=1,NOT(EXACT(Raw_Bookings!G382,P382)))),1,0)</f>
        <v>0</v>
      </c>
      <c r="T382" s="7">
        <f>IF(OR(Q382=0,R382=0),1,0)</f>
        <v>0</v>
      </c>
      <c r="U382" s="7">
        <f>IF(TRIM(Raw_Bookings!E382&amp;"")="",1,0)</f>
        <v>0</v>
      </c>
      <c r="V382" s="7" t="str">
        <f>IF(SUMPRODUCT(--(Lookup_Status!$A$2:$A$13=LOWER(TRIM(Raw_Bookings!K382))))=0,"",INDEX(Lookup_Status!$B$2:$B$13,SUMPRODUCT((Lookup_Status!$A$2:$A$13=LOWER(TRIM(Raw_Bookings!K382)))*(ROW(Lookup_Status!$A$2:$A$13)-1))))</f>
        <v>Cancelled</v>
      </c>
      <c r="W382" s="7">
        <f>IF(AND(V382&lt;&gt;"",NOT(EXACT(Raw_Bookings!K382,V382))),1,0)</f>
        <v>0</v>
      </c>
      <c r="X382" s="7">
        <f>IF(V382="",1,0)</f>
        <v>0</v>
      </c>
      <c r="Y382" s="7">
        <f>IF(TRIM(Raw_Bookings!L382&amp;"")="",1,0)</f>
        <v>0</v>
      </c>
      <c r="Z382" s="7">
        <f>IF(AND(ISTEXT(Raw_Bookings!L382),Y382=0),1,0)</f>
        <v>0</v>
      </c>
      <c r="AA382" s="7">
        <f>IF(Z382=1,IFERROR(VALUE(SUBSTITUTE(SUBSTITUTE(SUBSTITUTE(SUBSTITUTE(SUBSTITUTE(UPPER(Raw_Bookings!L382),"RS.",""),"₹",""),",","")," ",""),"INR","")),""),"")</f>
        <v/>
      </c>
      <c r="AB382" s="7">
        <f>IF(AND(Z382=1,ISNUMBER(AA382)),1,0)</f>
        <v>0</v>
      </c>
      <c r="AC382" s="7">
        <f>IF(B382=1,0,IF(NOT(ISNUMBER(Raw_Bookings!J382)),1,IF(Raw_Bookings!J382&lt;&gt;COUNTIFS(Work_Passengers!$B$2:$B$1336,Raw_Bookings!A382,Work_Passengers!$C$2:$C$1336,0),1,0)))</f>
        <v>0</v>
      </c>
    </row>
    <row r="383" spans="1:29">
      <c r="A383" s="7">
        <f>Raw_Bookings!A383</f>
        <v>1127773</v>
      </c>
      <c r="B383" s="7">
        <f>IF(COUNTIF(Raw_Bookings!$A$2:A383,Raw_Bookings!A383)&gt;1,1,0)</f>
        <v>0</v>
      </c>
      <c r="C383" s="7" t="str">
        <f>Raw_Bookings!D383&amp;""</f>
        <v>2025-12-30</v>
      </c>
      <c r="D383" s="7" t="str">
        <f>IF(AND(LEN(C383)=10,MID(C383,5,1)="-",MID(C383,8,1)="-"),"ISO",IF(AND(LEN(C383)=10,MID(C383,3,1)="-",MID(C383,6,1)="-"),"DMY","OTHER"))</f>
        <v>ISO</v>
      </c>
      <c r="E383" s="7">
        <f>IF(D383="ISO",VALUE(LEFT(C383,4)),IF(D383="DMY",VALUE(RIGHT(C383,4)),0))</f>
        <v>2025</v>
      </c>
      <c r="F383" s="7">
        <f>IF(D383="ISO",VALUE(MID(C383,6,2)),IF(D383="DMY",VALUE(MID(C383,4,2)),0))</f>
        <v>12</v>
      </c>
      <c r="G383" s="7">
        <f>IF(D383="ISO",VALUE(RIGHT(C383,2)),IF(D383="DMY",VALUE(LEFT(C383,2)),0))</f>
        <v>30</v>
      </c>
      <c r="H383" s="7">
        <f>IF(AND(D383&lt;&gt;"OTHER",F383&gt;=1,F383&lt;=12,G383&gt;=1,G383&lt;=31),IF(AND(MONTH(DATE(E383,F383,G383))=F383,DAY(DATE(E383,F383,G383))=G383),1,0),0)</f>
        <v>1</v>
      </c>
      <c r="I383" s="7">
        <f>IF(H383=1,DATE(E383,F383,G383),"")</f>
        <v>46021.0</v>
      </c>
      <c r="J383" s="7">
        <f>IF(AND(D383="DMY",H383=1),1,0)</f>
        <v>0</v>
      </c>
      <c r="K383" s="7">
        <f>IF(H383=0,1,0)</f>
        <v>0</v>
      </c>
      <c r="L383" s="7">
        <f>IF(TRIM(Raw_Bookings!I383&amp;"")="",1,0)</f>
        <v>0</v>
      </c>
      <c r="M383" s="7">
        <f>IF(L383=1,"",DATEVALUE(LEFT(Raw_Bookings!I383,10))+TIMEVALUE(MID(Raw_Bookings!I383,12,8)))</f>
        <v>45987.553148148145</v>
      </c>
      <c r="N383" s="7">
        <f>IF(AND(L383=0,H383=1),IF(INT(M383)&gt;I383,1,0),0)</f>
        <v>0</v>
      </c>
      <c r="O383" s="7" t="str">
        <f>UPPER(TRIM(Raw_Bookings!F383))</f>
        <v>DEL</v>
      </c>
      <c r="P383" s="7" t="str">
        <f>UPPER(TRIM(Raw_Bookings!G383))</f>
        <v>MAU</v>
      </c>
      <c r="Q383" s="7">
        <f>IF(COUNTIF(Lookup_Stations!$A$2:$A$33,O383)&gt;0,1,0)</f>
        <v>1</v>
      </c>
      <c r="R383" s="7">
        <f>IF(COUNTIF(Lookup_Stations!$A$2:$A$33,P383)&gt;0,1,0)</f>
        <v>1</v>
      </c>
      <c r="S383" s="7">
        <f>IF(OR(AND(Q383=1,NOT(EXACT(Raw_Bookings!F383,O383))),AND(R383=1,NOT(EXACT(Raw_Bookings!G383,P383)))),1,0)</f>
        <v>0</v>
      </c>
      <c r="T383" s="7">
        <f>IF(OR(Q383=0,R383=0),1,0)</f>
        <v>0</v>
      </c>
      <c r="U383" s="7">
        <f>IF(TRIM(Raw_Bookings!E383&amp;"")="",1,0)</f>
        <v>0</v>
      </c>
      <c r="V383" s="7" t="str">
        <f>IF(SUMPRODUCT(--(Lookup_Status!$A$2:$A$13=LOWER(TRIM(Raw_Bookings!K383))))=0,"",INDEX(Lookup_Status!$B$2:$B$13,SUMPRODUCT((Lookup_Status!$A$2:$A$13=LOWER(TRIM(Raw_Bookings!K383)))*(ROW(Lookup_Status!$A$2:$A$13)-1))))</f>
        <v>Confirmed</v>
      </c>
      <c r="W383" s="7">
        <f>IF(AND(V383&lt;&gt;"",NOT(EXACT(Raw_Bookings!K383,V383))),1,0)</f>
        <v>0</v>
      </c>
      <c r="X383" s="7">
        <f>IF(V383="",1,0)</f>
        <v>0</v>
      </c>
      <c r="Y383" s="7">
        <f>IF(TRIM(Raw_Bookings!L383&amp;"")="",1,0)</f>
        <v>0</v>
      </c>
      <c r="Z383" s="7">
        <f>IF(AND(ISTEXT(Raw_Bookings!L383),Y383=0),1,0)</f>
        <v>0</v>
      </c>
      <c r="AA383" s="7">
        <f>IF(Z383=1,IFERROR(VALUE(SUBSTITUTE(SUBSTITUTE(SUBSTITUTE(SUBSTITUTE(SUBSTITUTE(UPPER(Raw_Bookings!L383),"RS.",""),"₹",""),",","")," ",""),"INR","")),""),"")</f>
        <v/>
      </c>
      <c r="AB383" s="7">
        <f>IF(AND(Z383=1,ISNUMBER(AA383)),1,0)</f>
        <v>0</v>
      </c>
      <c r="AC383" s="7">
        <f>IF(B383=1,0,IF(NOT(ISNUMBER(Raw_Bookings!J383)),1,IF(Raw_Bookings!J383&lt;&gt;COUNTIFS(Work_Passengers!$B$2:$B$1336,Raw_Bookings!A383,Work_Passengers!$C$2:$C$1336,0),1,0)))</f>
        <v>0</v>
      </c>
    </row>
    <row r="384" spans="1:29">
      <c r="A384" s="7">
        <f>Raw_Bookings!A384</f>
        <v>1128434</v>
      </c>
      <c r="B384" s="7">
        <f>IF(COUNTIF(Raw_Bookings!$A$2:A384,Raw_Bookings!A384)&gt;1,1,0)</f>
        <v>0</v>
      </c>
      <c r="C384" s="7" t="str">
        <f>Raw_Bookings!D384&amp;""</f>
        <v>2025-12-13</v>
      </c>
      <c r="D384" s="7" t="str">
        <f>IF(AND(LEN(C384)=10,MID(C384,5,1)="-",MID(C384,8,1)="-"),"ISO",IF(AND(LEN(C384)=10,MID(C384,3,1)="-",MID(C384,6,1)="-"),"DMY","OTHER"))</f>
        <v>ISO</v>
      </c>
      <c r="E384" s="7">
        <f>IF(D384="ISO",VALUE(LEFT(C384,4)),IF(D384="DMY",VALUE(RIGHT(C384,4)),0))</f>
        <v>2025</v>
      </c>
      <c r="F384" s="7">
        <f>IF(D384="ISO",VALUE(MID(C384,6,2)),IF(D384="DMY",VALUE(MID(C384,4,2)),0))</f>
        <v>12</v>
      </c>
      <c r="G384" s="7">
        <f>IF(D384="ISO",VALUE(RIGHT(C384,2)),IF(D384="DMY",VALUE(LEFT(C384,2)),0))</f>
        <v>13</v>
      </c>
      <c r="H384" s="7">
        <f>IF(AND(D384&lt;&gt;"OTHER",F384&gt;=1,F384&lt;=12,G384&gt;=1,G384&lt;=31),IF(AND(MONTH(DATE(E384,F384,G384))=F384,DAY(DATE(E384,F384,G384))=G384),1,0),0)</f>
        <v>1</v>
      </c>
      <c r="I384" s="7">
        <f>IF(H384=1,DATE(E384,F384,G384),"")</f>
        <v>46004.0</v>
      </c>
      <c r="J384" s="7">
        <f>IF(AND(D384="DMY",H384=1),1,0)</f>
        <v>0</v>
      </c>
      <c r="K384" s="7">
        <f>IF(H384=0,1,0)</f>
        <v>0</v>
      </c>
      <c r="L384" s="7">
        <f>IF(TRIM(Raw_Bookings!I384&amp;"")="",1,0)</f>
        <v>0</v>
      </c>
      <c r="M384" s="7">
        <f>IF(L384=1,"",DATEVALUE(LEFT(Raw_Bookings!I384,10))+TIMEVALUE(MID(Raw_Bookings!I384,12,8)))</f>
        <v>45990.12787037037</v>
      </c>
      <c r="N384" s="7">
        <f>IF(AND(L384=0,H384=1),IF(INT(M384)&gt;I384,1,0),0)</f>
        <v>0</v>
      </c>
      <c r="O384" s="7" t="str">
        <f>UPPER(TRIM(Raw_Bookings!F384))</f>
        <v>JOD</v>
      </c>
      <c r="P384" s="7" t="str">
        <f>UPPER(TRIM(Raw_Bookings!G384))</f>
        <v>BEN</v>
      </c>
      <c r="Q384" s="7">
        <f>IF(COUNTIF(Lookup_Stations!$A$2:$A$33,O384)&gt;0,1,0)</f>
        <v>1</v>
      </c>
      <c r="R384" s="7">
        <f>IF(COUNTIF(Lookup_Stations!$A$2:$A$33,P384)&gt;0,1,0)</f>
        <v>1</v>
      </c>
      <c r="S384" s="7">
        <f>IF(OR(AND(Q384=1,NOT(EXACT(Raw_Bookings!F384,O384))),AND(R384=1,NOT(EXACT(Raw_Bookings!G384,P384)))),1,0)</f>
        <v>0</v>
      </c>
      <c r="T384" s="7">
        <f>IF(OR(Q384=0,R384=0),1,0)</f>
        <v>0</v>
      </c>
      <c r="U384" s="7">
        <f>IF(TRIM(Raw_Bookings!E384&amp;"")="",1,0)</f>
        <v>0</v>
      </c>
      <c r="V384" s="7" t="str">
        <f>IF(SUMPRODUCT(--(Lookup_Status!$A$2:$A$13=LOWER(TRIM(Raw_Bookings!K384))))=0,"",INDEX(Lookup_Status!$B$2:$B$13,SUMPRODUCT((Lookup_Status!$A$2:$A$13=LOWER(TRIM(Raw_Bookings!K384)))*(ROW(Lookup_Status!$A$2:$A$13)-1))))</f>
        <v>Confirmed</v>
      </c>
      <c r="W384" s="7">
        <f>IF(AND(V384&lt;&gt;"",NOT(EXACT(Raw_Bookings!K384,V384))),1,0)</f>
        <v>0</v>
      </c>
      <c r="X384" s="7">
        <f>IF(V384="",1,0)</f>
        <v>0</v>
      </c>
      <c r="Y384" s="7">
        <f>IF(TRIM(Raw_Bookings!L384&amp;"")="",1,0)</f>
        <v>0</v>
      </c>
      <c r="Z384" s="7">
        <f>IF(AND(ISTEXT(Raw_Bookings!L384),Y384=0),1,0)</f>
        <v>0</v>
      </c>
      <c r="AA384" s="7">
        <f>IF(Z384=1,IFERROR(VALUE(SUBSTITUTE(SUBSTITUTE(SUBSTITUTE(SUBSTITUTE(SUBSTITUTE(UPPER(Raw_Bookings!L384),"RS.",""),"₹",""),",","")," ",""),"INR","")),""),"")</f>
        <v/>
      </c>
      <c r="AB384" s="7">
        <f>IF(AND(Z384=1,ISNUMBER(AA384)),1,0)</f>
        <v>0</v>
      </c>
      <c r="AC384" s="7">
        <f>IF(B384=1,0,IF(NOT(ISNUMBER(Raw_Bookings!J384)),1,IF(Raw_Bookings!J384&lt;&gt;COUNTIFS(Work_Passengers!$B$2:$B$1336,Raw_Bookings!A384,Work_Passengers!$C$2:$C$1336,0),1,0)))</f>
        <v>0</v>
      </c>
    </row>
    <row r="385" spans="1:29">
      <c r="A385" s="7">
        <f>Raw_Bookings!A385</f>
        <v>1128435</v>
      </c>
      <c r="B385" s="7">
        <f>IF(COUNTIF(Raw_Bookings!$A$2:A385,Raw_Bookings!A385)&gt;1,1,0)</f>
        <v>0</v>
      </c>
      <c r="C385" s="7" t="str">
        <f>Raw_Bookings!D385&amp;""</f>
        <v>2025-12-03</v>
      </c>
      <c r="D385" s="7" t="str">
        <f>IF(AND(LEN(C385)=10,MID(C385,5,1)="-",MID(C385,8,1)="-"),"ISO",IF(AND(LEN(C385)=10,MID(C385,3,1)="-",MID(C385,6,1)="-"),"DMY","OTHER"))</f>
        <v>ISO</v>
      </c>
      <c r="E385" s="7">
        <f>IF(D385="ISO",VALUE(LEFT(C385,4)),IF(D385="DMY",VALUE(RIGHT(C385,4)),0))</f>
        <v>2025</v>
      </c>
      <c r="F385" s="7">
        <f>IF(D385="ISO",VALUE(MID(C385,6,2)),IF(D385="DMY",VALUE(MID(C385,4,2)),0))</f>
        <v>12</v>
      </c>
      <c r="G385" s="7">
        <f>IF(D385="ISO",VALUE(RIGHT(C385,2)),IF(D385="DMY",VALUE(LEFT(C385,2)),0))</f>
        <v>3</v>
      </c>
      <c r="H385" s="7">
        <f>IF(AND(D385&lt;&gt;"OTHER",F385&gt;=1,F385&lt;=12,G385&gt;=1,G385&lt;=31),IF(AND(MONTH(DATE(E385,F385,G385))=F385,DAY(DATE(E385,F385,G385))=G385),1,0),0)</f>
        <v>1</v>
      </c>
      <c r="I385" s="7">
        <f>IF(H385=1,DATE(E385,F385,G385),"")</f>
        <v>45994.0</v>
      </c>
      <c r="J385" s="7">
        <f>IF(AND(D385="DMY",H385=1),1,0)</f>
        <v>0</v>
      </c>
      <c r="K385" s="7">
        <f>IF(H385=0,1,0)</f>
        <v>0</v>
      </c>
      <c r="L385" s="7">
        <f>IF(TRIM(Raw_Bookings!I385&amp;"")="",1,0)</f>
        <v>0</v>
      </c>
      <c r="M385" s="7">
        <f>IF(L385=1,"",DATEVALUE(LEFT(Raw_Bookings!I385,10))+TIMEVALUE(MID(Raw_Bookings!I385,12,8)))</f>
        <v>45990.1405787037</v>
      </c>
      <c r="N385" s="7">
        <f>IF(AND(L385=0,H385=1),IF(INT(M385)&gt;I385,1,0),0)</f>
        <v>0</v>
      </c>
      <c r="O385" s="7" t="str">
        <f>UPPER(TRIM(Raw_Bookings!F385))</f>
        <v>MUM</v>
      </c>
      <c r="P385" s="7" t="str">
        <f>UPPER(TRIM(Raw_Bookings!G385))</f>
        <v>BEN</v>
      </c>
      <c r="Q385" s="7">
        <f>IF(COUNTIF(Lookup_Stations!$A$2:$A$33,O385)&gt;0,1,0)</f>
        <v>1</v>
      </c>
      <c r="R385" s="7">
        <f>IF(COUNTIF(Lookup_Stations!$A$2:$A$33,P385)&gt;0,1,0)</f>
        <v>1</v>
      </c>
      <c r="S385" s="7">
        <f>IF(OR(AND(Q385=1,NOT(EXACT(Raw_Bookings!F385,O385))),AND(R385=1,NOT(EXACT(Raw_Bookings!G385,P385)))),1,0)</f>
        <v>0</v>
      </c>
      <c r="T385" s="7">
        <f>IF(OR(Q385=0,R385=0),1,0)</f>
        <v>0</v>
      </c>
      <c r="U385" s="7">
        <f>IF(TRIM(Raw_Bookings!E385&amp;"")="",1,0)</f>
        <v>0</v>
      </c>
      <c r="V385" s="7" t="str">
        <f>IF(SUMPRODUCT(--(Lookup_Status!$A$2:$A$13=LOWER(TRIM(Raw_Bookings!K385))))=0,"",INDEX(Lookup_Status!$B$2:$B$13,SUMPRODUCT((Lookup_Status!$A$2:$A$13=LOWER(TRIM(Raw_Bookings!K385)))*(ROW(Lookup_Status!$A$2:$A$13)-1))))</f>
        <v>Cancelled</v>
      </c>
      <c r="W385" s="7">
        <f>IF(AND(V385&lt;&gt;"",NOT(EXACT(Raw_Bookings!K385,V385))),1,0)</f>
        <v>0</v>
      </c>
      <c r="X385" s="7">
        <f>IF(V385="",1,0)</f>
        <v>0</v>
      </c>
      <c r="Y385" s="7">
        <f>IF(TRIM(Raw_Bookings!L385&amp;"")="",1,0)</f>
        <v>0</v>
      </c>
      <c r="Z385" s="7">
        <f>IF(AND(ISTEXT(Raw_Bookings!L385),Y385=0),1,0)</f>
        <v>0</v>
      </c>
      <c r="AA385" s="7">
        <f>IF(Z385=1,IFERROR(VALUE(SUBSTITUTE(SUBSTITUTE(SUBSTITUTE(SUBSTITUTE(SUBSTITUTE(UPPER(Raw_Bookings!L385),"RS.",""),"₹",""),",","")," ",""),"INR","")),""),"")</f>
        <v/>
      </c>
      <c r="AB385" s="7">
        <f>IF(AND(Z385=1,ISNUMBER(AA385)),1,0)</f>
        <v>0</v>
      </c>
      <c r="AC385" s="7">
        <f>IF(B385=1,0,IF(NOT(ISNUMBER(Raw_Bookings!J385)),1,IF(Raw_Bookings!J385&lt;&gt;COUNTIFS(Work_Passengers!$B$2:$B$1336,Raw_Bookings!A385,Work_Passengers!$C$2:$C$1336,0),1,0)))</f>
        <v>0</v>
      </c>
    </row>
    <row r="386" spans="1:29">
      <c r="A386" s="7">
        <f>Raw_Bookings!A386</f>
        <v>1128767</v>
      </c>
      <c r="B386" s="7">
        <f>IF(COUNTIF(Raw_Bookings!$A$2:A386,Raw_Bookings!A386)&gt;1,1,0)</f>
        <v>0</v>
      </c>
      <c r="C386" s="7" t="str">
        <f>Raw_Bookings!D386&amp;""</f>
        <v>2025-12-27</v>
      </c>
      <c r="D386" s="7" t="str">
        <f>IF(AND(LEN(C386)=10,MID(C386,5,1)="-",MID(C386,8,1)="-"),"ISO",IF(AND(LEN(C386)=10,MID(C386,3,1)="-",MID(C386,6,1)="-"),"DMY","OTHER"))</f>
        <v>ISO</v>
      </c>
      <c r="E386" s="7">
        <f>IF(D386="ISO",VALUE(LEFT(C386,4)),IF(D386="DMY",VALUE(RIGHT(C386,4)),0))</f>
        <v>2025</v>
      </c>
      <c r="F386" s="7">
        <f>IF(D386="ISO",VALUE(MID(C386,6,2)),IF(D386="DMY",VALUE(MID(C386,4,2)),0))</f>
        <v>12</v>
      </c>
      <c r="G386" s="7">
        <f>IF(D386="ISO",VALUE(RIGHT(C386,2)),IF(D386="DMY",VALUE(LEFT(C386,2)),0))</f>
        <v>27</v>
      </c>
      <c r="H386" s="7">
        <f>IF(AND(D386&lt;&gt;"OTHER",F386&gt;=1,F386&lt;=12,G386&gt;=1,G386&lt;=31),IF(AND(MONTH(DATE(E386,F386,G386))=F386,DAY(DATE(E386,F386,G386))=G386),1,0),0)</f>
        <v>1</v>
      </c>
      <c r="I386" s="7">
        <f>IF(H386=1,DATE(E386,F386,G386),"")</f>
        <v>46018.0</v>
      </c>
      <c r="J386" s="7">
        <f>IF(AND(D386="DMY",H386=1),1,0)</f>
        <v>0</v>
      </c>
      <c r="K386" s="7">
        <f>IF(H386=0,1,0)</f>
        <v>0</v>
      </c>
      <c r="L386" s="7">
        <f>IF(TRIM(Raw_Bookings!I386&amp;"")="",1,0)</f>
        <v>0</v>
      </c>
      <c r="M386" s="7">
        <f>IF(L386=1,"",DATEVALUE(LEFT(Raw_Bookings!I386,10))+TIMEVALUE(MID(Raw_Bookings!I386,12,8)))</f>
        <v>45991.42149305555</v>
      </c>
      <c r="N386" s="7">
        <f>IF(AND(L386=0,H386=1),IF(INT(M386)&gt;I386,1,0),0)</f>
        <v>0</v>
      </c>
      <c r="O386" s="7" t="str">
        <f>UPPER(TRIM(Raw_Bookings!F386))</f>
        <v>RAN</v>
      </c>
      <c r="P386" s="7" t="str">
        <f>UPPER(TRIM(Raw_Bookings!G386))</f>
        <v>COI</v>
      </c>
      <c r="Q386" s="7">
        <f>IF(COUNTIF(Lookup_Stations!$A$2:$A$33,O386)&gt;0,1,0)</f>
        <v>1</v>
      </c>
      <c r="R386" s="7">
        <f>IF(COUNTIF(Lookup_Stations!$A$2:$A$33,P386)&gt;0,1,0)</f>
        <v>1</v>
      </c>
      <c r="S386" s="7">
        <f>IF(OR(AND(Q386=1,NOT(EXACT(Raw_Bookings!F386,O386))),AND(R386=1,NOT(EXACT(Raw_Bookings!G386,P386)))),1,0)</f>
        <v>0</v>
      </c>
      <c r="T386" s="7">
        <f>IF(OR(Q386=0,R386=0),1,0)</f>
        <v>0</v>
      </c>
      <c r="U386" s="7">
        <f>IF(TRIM(Raw_Bookings!E386&amp;"")="",1,0)</f>
        <v>0</v>
      </c>
      <c r="V386" s="7" t="str">
        <f>IF(SUMPRODUCT(--(Lookup_Status!$A$2:$A$13=LOWER(TRIM(Raw_Bookings!K386))))=0,"",INDEX(Lookup_Status!$B$2:$B$13,SUMPRODUCT((Lookup_Status!$A$2:$A$13=LOWER(TRIM(Raw_Bookings!K386)))*(ROW(Lookup_Status!$A$2:$A$13)-1))))</f>
        <v>Confirmed</v>
      </c>
      <c r="W386" s="7">
        <f>IF(AND(V386&lt;&gt;"",NOT(EXACT(Raw_Bookings!K386,V386))),1,0)</f>
        <v>0</v>
      </c>
      <c r="X386" s="7">
        <f>IF(V386="",1,0)</f>
        <v>0</v>
      </c>
      <c r="Y386" s="7">
        <f>IF(TRIM(Raw_Bookings!L386&amp;"")="",1,0)</f>
        <v>0</v>
      </c>
      <c r="Z386" s="7">
        <f>IF(AND(ISTEXT(Raw_Bookings!L386),Y386=0),1,0)</f>
        <v>0</v>
      </c>
      <c r="AA386" s="7">
        <f>IF(Z386=1,IFERROR(VALUE(SUBSTITUTE(SUBSTITUTE(SUBSTITUTE(SUBSTITUTE(SUBSTITUTE(UPPER(Raw_Bookings!L386),"RS.",""),"₹",""),",","")," ",""),"INR","")),""),"")</f>
        <v/>
      </c>
      <c r="AB386" s="7">
        <f>IF(AND(Z386=1,ISNUMBER(AA386)),1,0)</f>
        <v>0</v>
      </c>
      <c r="AC386" s="7">
        <f>IF(B386=1,0,IF(NOT(ISNUMBER(Raw_Bookings!J386)),1,IF(Raw_Bookings!J386&lt;&gt;COUNTIFS(Work_Passengers!$B$2:$B$1336,Raw_Bookings!A386,Work_Passengers!$C$2:$C$1336,0),1,0)))</f>
        <v>0</v>
      </c>
    </row>
    <row r="387" spans="1:29">
      <c r="A387" s="7">
        <f>Raw_Bookings!A387</f>
        <v>1129047</v>
      </c>
      <c r="B387" s="7">
        <f>IF(COUNTIF(Raw_Bookings!$A$2:A387,Raw_Bookings!A387)&gt;1,1,0)</f>
        <v>0</v>
      </c>
      <c r="C387" s="7" t="str">
        <f>Raw_Bookings!D387&amp;""</f>
        <v>2026-01-23</v>
      </c>
      <c r="D387" s="7" t="str">
        <f>IF(AND(LEN(C387)=10,MID(C387,5,1)="-",MID(C387,8,1)="-"),"ISO",IF(AND(LEN(C387)=10,MID(C387,3,1)="-",MID(C387,6,1)="-"),"DMY","OTHER"))</f>
        <v>ISO</v>
      </c>
      <c r="E387" s="7">
        <f>IF(D387="ISO",VALUE(LEFT(C387,4)),IF(D387="DMY",VALUE(RIGHT(C387,4)),0))</f>
        <v>2026</v>
      </c>
      <c r="F387" s="7">
        <f>IF(D387="ISO",VALUE(MID(C387,6,2)),IF(D387="DMY",VALUE(MID(C387,4,2)),0))</f>
        <v>1</v>
      </c>
      <c r="G387" s="7">
        <f>IF(D387="ISO",VALUE(RIGHT(C387,2)),IF(D387="DMY",VALUE(LEFT(C387,2)),0))</f>
        <v>23</v>
      </c>
      <c r="H387" s="7">
        <f>IF(AND(D387&lt;&gt;"OTHER",F387&gt;=1,F387&lt;=12,G387&gt;=1,G387&lt;=31),IF(AND(MONTH(DATE(E387,F387,G387))=F387,DAY(DATE(E387,F387,G387))=G387),1,0),0)</f>
        <v>1</v>
      </c>
      <c r="I387" s="7">
        <f>IF(H387=1,DATE(E387,F387,G387),"")</f>
        <v>46045.0</v>
      </c>
      <c r="J387" s="7">
        <f>IF(AND(D387="DMY",H387=1),1,0)</f>
        <v>0</v>
      </c>
      <c r="K387" s="7">
        <f>IF(H387=0,1,0)</f>
        <v>0</v>
      </c>
      <c r="L387" s="7">
        <f>IF(TRIM(Raw_Bookings!I387&amp;"")="",1,0)</f>
        <v>0</v>
      </c>
      <c r="M387" s="7">
        <f>IF(L387=1,"",DATEVALUE(LEFT(Raw_Bookings!I387,10))+TIMEVALUE(MID(Raw_Bookings!I387,12,8)))</f>
        <v>45992.40484953704</v>
      </c>
      <c r="N387" s="7">
        <f>IF(AND(L387=0,H387=1),IF(INT(M387)&gt;I387,1,0),0)</f>
        <v>0</v>
      </c>
      <c r="O387" s="7" t="str">
        <f>UPPER(TRIM(Raw_Bookings!F387))</f>
        <v>VIJ</v>
      </c>
      <c r="P387" s="7" t="str">
        <f>UPPER(TRIM(Raw_Bookings!G387))</f>
        <v>PAT</v>
      </c>
      <c r="Q387" s="7">
        <f>IF(COUNTIF(Lookup_Stations!$A$2:$A$33,O387)&gt;0,1,0)</f>
        <v>1</v>
      </c>
      <c r="R387" s="7">
        <f>IF(COUNTIF(Lookup_Stations!$A$2:$A$33,P387)&gt;0,1,0)</f>
        <v>1</v>
      </c>
      <c r="S387" s="7">
        <f>IF(OR(AND(Q387=1,NOT(EXACT(Raw_Bookings!F387,O387))),AND(R387=1,NOT(EXACT(Raw_Bookings!G387,P387)))),1,0)</f>
        <v>0</v>
      </c>
      <c r="T387" s="7">
        <f>IF(OR(Q387=0,R387=0),1,0)</f>
        <v>0</v>
      </c>
      <c r="U387" s="7">
        <f>IF(TRIM(Raw_Bookings!E387&amp;"")="",1,0)</f>
        <v>0</v>
      </c>
      <c r="V387" s="7" t="str">
        <f>IF(SUMPRODUCT(--(Lookup_Status!$A$2:$A$13=LOWER(TRIM(Raw_Bookings!K387))))=0,"",INDEX(Lookup_Status!$B$2:$B$13,SUMPRODUCT((Lookup_Status!$A$2:$A$13=LOWER(TRIM(Raw_Bookings!K387)))*(ROW(Lookup_Status!$A$2:$A$13)-1))))</f>
        <v>Confirmed</v>
      </c>
      <c r="W387" s="7">
        <f>IF(AND(V387&lt;&gt;"",NOT(EXACT(Raw_Bookings!K387,V387))),1,0)</f>
        <v>0</v>
      </c>
      <c r="X387" s="7">
        <f>IF(V387="",1,0)</f>
        <v>0</v>
      </c>
      <c r="Y387" s="7">
        <f>IF(TRIM(Raw_Bookings!L387&amp;"")="",1,0)</f>
        <v>0</v>
      </c>
      <c r="Z387" s="7">
        <f>IF(AND(ISTEXT(Raw_Bookings!L387),Y387=0),1,0)</f>
        <v>0</v>
      </c>
      <c r="AA387" s="7">
        <f>IF(Z387=1,IFERROR(VALUE(SUBSTITUTE(SUBSTITUTE(SUBSTITUTE(SUBSTITUTE(SUBSTITUTE(UPPER(Raw_Bookings!L387),"RS.",""),"₹",""),",","")," ",""),"INR","")),""),"")</f>
        <v/>
      </c>
      <c r="AB387" s="7">
        <f>IF(AND(Z387=1,ISNUMBER(AA387)),1,0)</f>
        <v>0</v>
      </c>
      <c r="AC387" s="7">
        <f>IF(B387=1,0,IF(NOT(ISNUMBER(Raw_Bookings!J387)),1,IF(Raw_Bookings!J387&lt;&gt;COUNTIFS(Work_Passengers!$B$2:$B$1336,Raw_Bookings!A387,Work_Passengers!$C$2:$C$1336,0),1,0)))</f>
        <v>0</v>
      </c>
    </row>
    <row r="388" spans="1:29">
      <c r="A388" s="7">
        <f>Raw_Bookings!A388</f>
        <v>1129237</v>
      </c>
      <c r="B388" s="7">
        <f>IF(COUNTIF(Raw_Bookings!$A$2:A388,Raw_Bookings!A388)&gt;1,1,0)</f>
        <v>0</v>
      </c>
      <c r="C388" s="7" t="str">
        <f>Raw_Bookings!D388&amp;""</f>
        <v>2026-03-16</v>
      </c>
      <c r="D388" s="7" t="str">
        <f>IF(AND(LEN(C388)=10,MID(C388,5,1)="-",MID(C388,8,1)="-"),"ISO",IF(AND(LEN(C388)=10,MID(C388,3,1)="-",MID(C388,6,1)="-"),"DMY","OTHER"))</f>
        <v>ISO</v>
      </c>
      <c r="E388" s="7">
        <f>IF(D388="ISO",VALUE(LEFT(C388,4)),IF(D388="DMY",VALUE(RIGHT(C388,4)),0))</f>
        <v>2026</v>
      </c>
      <c r="F388" s="7">
        <f>IF(D388="ISO",VALUE(MID(C388,6,2)),IF(D388="DMY",VALUE(MID(C388,4,2)),0))</f>
        <v>3</v>
      </c>
      <c r="G388" s="7">
        <f>IF(D388="ISO",VALUE(RIGHT(C388,2)),IF(D388="DMY",VALUE(LEFT(C388,2)),0))</f>
        <v>16</v>
      </c>
      <c r="H388" s="7">
        <f>IF(AND(D388&lt;&gt;"OTHER",F388&gt;=1,F388&lt;=12,G388&gt;=1,G388&lt;=31),IF(AND(MONTH(DATE(E388,F388,G388))=F388,DAY(DATE(E388,F388,G388))=G388),1,0),0)</f>
        <v>1</v>
      </c>
      <c r="I388" s="7">
        <f>IF(H388=1,DATE(E388,F388,G388),"")</f>
        <v>46097.0</v>
      </c>
      <c r="J388" s="7">
        <f>IF(AND(D388="DMY",H388=1),1,0)</f>
        <v>0</v>
      </c>
      <c r="K388" s="7">
        <f>IF(H388=0,1,0)</f>
        <v>0</v>
      </c>
      <c r="L388" s="7">
        <f>IF(TRIM(Raw_Bookings!I388&amp;"")="",1,0)</f>
        <v>0</v>
      </c>
      <c r="M388" s="7">
        <f>IF(L388=1,"",DATEVALUE(LEFT(Raw_Bookings!I388,10))+TIMEVALUE(MID(Raw_Bookings!I388,12,8)))</f>
        <v>45993.012766203705</v>
      </c>
      <c r="N388" s="7">
        <f>IF(AND(L388=0,H388=1),IF(INT(M388)&gt;I388,1,0),0)</f>
        <v>0</v>
      </c>
      <c r="O388" s="7" t="str">
        <f>UPPER(TRIM(Raw_Bookings!F388))</f>
        <v>CHE</v>
      </c>
      <c r="P388" s="7" t="str">
        <f>UPPER(TRIM(Raw_Bookings!G388))</f>
        <v>AHM</v>
      </c>
      <c r="Q388" s="7">
        <f>IF(COUNTIF(Lookup_Stations!$A$2:$A$33,O388)&gt;0,1,0)</f>
        <v>1</v>
      </c>
      <c r="R388" s="7">
        <f>IF(COUNTIF(Lookup_Stations!$A$2:$A$33,P388)&gt;0,1,0)</f>
        <v>1</v>
      </c>
      <c r="S388" s="7">
        <f>IF(OR(AND(Q388=1,NOT(EXACT(Raw_Bookings!F388,O388))),AND(R388=1,NOT(EXACT(Raw_Bookings!G388,P388)))),1,0)</f>
        <v>0</v>
      </c>
      <c r="T388" s="7">
        <f>IF(OR(Q388=0,R388=0),1,0)</f>
        <v>0</v>
      </c>
      <c r="U388" s="7">
        <f>IF(TRIM(Raw_Bookings!E388&amp;"")="",1,0)</f>
        <v>0</v>
      </c>
      <c r="V388" s="7" t="str">
        <f>IF(SUMPRODUCT(--(Lookup_Status!$A$2:$A$13=LOWER(TRIM(Raw_Bookings!K388))))=0,"",INDEX(Lookup_Status!$B$2:$B$13,SUMPRODUCT((Lookup_Status!$A$2:$A$13=LOWER(TRIM(Raw_Bookings!K388)))*(ROW(Lookup_Status!$A$2:$A$13)-1))))</f>
        <v>Cancelled</v>
      </c>
      <c r="W388" s="7">
        <f>IF(AND(V388&lt;&gt;"",NOT(EXACT(Raw_Bookings!K388,V388))),1,0)</f>
        <v>0</v>
      </c>
      <c r="X388" s="7">
        <f>IF(V388="",1,0)</f>
        <v>0</v>
      </c>
      <c r="Y388" s="7">
        <f>IF(TRIM(Raw_Bookings!L388&amp;"")="",1,0)</f>
        <v>0</v>
      </c>
      <c r="Z388" s="7">
        <f>IF(AND(ISTEXT(Raw_Bookings!L388),Y388=0),1,0)</f>
        <v>0</v>
      </c>
      <c r="AA388" s="7">
        <f>IF(Z388=1,IFERROR(VALUE(SUBSTITUTE(SUBSTITUTE(SUBSTITUTE(SUBSTITUTE(SUBSTITUTE(UPPER(Raw_Bookings!L388),"RS.",""),"₹",""),",","")," ",""),"INR","")),""),"")</f>
        <v/>
      </c>
      <c r="AB388" s="7">
        <f>IF(AND(Z388=1,ISNUMBER(AA388)),1,0)</f>
        <v>0</v>
      </c>
      <c r="AC388" s="7">
        <f>IF(B388=1,0,IF(NOT(ISNUMBER(Raw_Bookings!J388)),1,IF(Raw_Bookings!J388&lt;&gt;COUNTIFS(Work_Passengers!$B$2:$B$1336,Raw_Bookings!A388,Work_Passengers!$C$2:$C$1336,0),1,0)))</f>
        <v>0</v>
      </c>
    </row>
    <row r="389" spans="1:29">
      <c r="A389" s="7">
        <f>Raw_Bookings!A389</f>
        <v>1129353</v>
      </c>
      <c r="B389" s="7">
        <f>IF(COUNTIF(Raw_Bookings!$A$2:A389,Raw_Bookings!A389)&gt;1,1,0)</f>
        <v>0</v>
      </c>
      <c r="C389" s="7" t="str">
        <f>Raw_Bookings!D389&amp;""</f>
        <v>2026-03-03</v>
      </c>
      <c r="D389" s="7" t="str">
        <f>IF(AND(LEN(C389)=10,MID(C389,5,1)="-",MID(C389,8,1)="-"),"ISO",IF(AND(LEN(C389)=10,MID(C389,3,1)="-",MID(C389,6,1)="-"),"DMY","OTHER"))</f>
        <v>ISO</v>
      </c>
      <c r="E389" s="7">
        <f>IF(D389="ISO",VALUE(LEFT(C389,4)),IF(D389="DMY",VALUE(RIGHT(C389,4)),0))</f>
        <v>2026</v>
      </c>
      <c r="F389" s="7">
        <f>IF(D389="ISO",VALUE(MID(C389,6,2)),IF(D389="DMY",VALUE(MID(C389,4,2)),0))</f>
        <v>3</v>
      </c>
      <c r="G389" s="7">
        <f>IF(D389="ISO",VALUE(RIGHT(C389,2)),IF(D389="DMY",VALUE(LEFT(C389,2)),0))</f>
        <v>3</v>
      </c>
      <c r="H389" s="7">
        <f>IF(AND(D389&lt;&gt;"OTHER",F389&gt;=1,F389&lt;=12,G389&gt;=1,G389&lt;=31),IF(AND(MONTH(DATE(E389,F389,G389))=F389,DAY(DATE(E389,F389,G389))=G389),1,0),0)</f>
        <v>1</v>
      </c>
      <c r="I389" s="7">
        <f>IF(H389=1,DATE(E389,F389,G389),"")</f>
        <v>46084.0</v>
      </c>
      <c r="J389" s="7">
        <f>IF(AND(D389="DMY",H389=1),1,0)</f>
        <v>0</v>
      </c>
      <c r="K389" s="7">
        <f>IF(H389=0,1,0)</f>
        <v>0</v>
      </c>
      <c r="L389" s="7">
        <f>IF(TRIM(Raw_Bookings!I389&amp;"")="",1,0)</f>
        <v>0</v>
      </c>
      <c r="M389" s="7">
        <f>IF(L389=1,"",DATEVALUE(LEFT(Raw_Bookings!I389,10))+TIMEVALUE(MID(Raw_Bookings!I389,12,8)))</f>
        <v>45993.5240625</v>
      </c>
      <c r="N389" s="7">
        <f>IF(AND(L389=0,H389=1),IF(INT(M389)&gt;I389,1,0),0)</f>
        <v>0</v>
      </c>
      <c r="O389" s="7" t="str">
        <f>UPPER(TRIM(Raw_Bookings!F389))</f>
        <v>MAD</v>
      </c>
      <c r="P389" s="7" t="str">
        <f>UPPER(TRIM(Raw_Bookings!G389))</f>
        <v>MAU</v>
      </c>
      <c r="Q389" s="7">
        <f>IF(COUNTIF(Lookup_Stations!$A$2:$A$33,O389)&gt;0,1,0)</f>
        <v>1</v>
      </c>
      <c r="R389" s="7">
        <f>IF(COUNTIF(Lookup_Stations!$A$2:$A$33,P389)&gt;0,1,0)</f>
        <v>1</v>
      </c>
      <c r="S389" s="7">
        <f>IF(OR(AND(Q389=1,NOT(EXACT(Raw_Bookings!F389,O389))),AND(R389=1,NOT(EXACT(Raw_Bookings!G389,P389)))),1,0)</f>
        <v>0</v>
      </c>
      <c r="T389" s="7">
        <f>IF(OR(Q389=0,R389=0),1,0)</f>
        <v>0</v>
      </c>
      <c r="U389" s="7">
        <f>IF(TRIM(Raw_Bookings!E389&amp;"")="",1,0)</f>
        <v>0</v>
      </c>
      <c r="V389" s="7" t="str">
        <f>IF(SUMPRODUCT(--(Lookup_Status!$A$2:$A$13=LOWER(TRIM(Raw_Bookings!K389))))=0,"",INDEX(Lookup_Status!$B$2:$B$13,SUMPRODUCT((Lookup_Status!$A$2:$A$13=LOWER(TRIM(Raw_Bookings!K389)))*(ROW(Lookup_Status!$A$2:$A$13)-1))))</f>
        <v>Confirmed</v>
      </c>
      <c r="W389" s="7">
        <f>IF(AND(V389&lt;&gt;"",NOT(EXACT(Raw_Bookings!K389,V389))),1,0)</f>
        <v>0</v>
      </c>
      <c r="X389" s="7">
        <f>IF(V389="",1,0)</f>
        <v>0</v>
      </c>
      <c r="Y389" s="7">
        <f>IF(TRIM(Raw_Bookings!L389&amp;"")="",1,0)</f>
        <v>0</v>
      </c>
      <c r="Z389" s="7">
        <f>IF(AND(ISTEXT(Raw_Bookings!L389),Y389=0),1,0)</f>
        <v>0</v>
      </c>
      <c r="AA389" s="7">
        <f>IF(Z389=1,IFERROR(VALUE(SUBSTITUTE(SUBSTITUTE(SUBSTITUTE(SUBSTITUTE(SUBSTITUTE(UPPER(Raw_Bookings!L389),"RS.",""),"₹",""),",","")," ",""),"INR","")),""),"")</f>
        <v/>
      </c>
      <c r="AB389" s="7">
        <f>IF(AND(Z389=1,ISNUMBER(AA389)),1,0)</f>
        <v>0</v>
      </c>
      <c r="AC389" s="7">
        <f>IF(B389=1,0,IF(NOT(ISNUMBER(Raw_Bookings!J389)),1,IF(Raw_Bookings!J389&lt;&gt;COUNTIFS(Work_Passengers!$B$2:$B$1336,Raw_Bookings!A389,Work_Passengers!$C$2:$C$1336,0),1,0)))</f>
        <v>0</v>
      </c>
    </row>
    <row r="390" spans="1:29">
      <c r="A390" s="7">
        <f>Raw_Bookings!A390</f>
        <v>1130073</v>
      </c>
      <c r="B390" s="7">
        <f>IF(COUNTIF(Raw_Bookings!$A$2:A390,Raw_Bookings!A390)&gt;1,1,0)</f>
        <v>0</v>
      </c>
      <c r="C390" s="7" t="str">
        <f>Raw_Bookings!D390&amp;""</f>
        <v>2025-12-30</v>
      </c>
      <c r="D390" s="7" t="str">
        <f>IF(AND(LEN(C390)=10,MID(C390,5,1)="-",MID(C390,8,1)="-"),"ISO",IF(AND(LEN(C390)=10,MID(C390,3,1)="-",MID(C390,6,1)="-"),"DMY","OTHER"))</f>
        <v>ISO</v>
      </c>
      <c r="E390" s="7">
        <f>IF(D390="ISO",VALUE(LEFT(C390,4)),IF(D390="DMY",VALUE(RIGHT(C390,4)),0))</f>
        <v>2025</v>
      </c>
      <c r="F390" s="7">
        <f>IF(D390="ISO",VALUE(MID(C390,6,2)),IF(D390="DMY",VALUE(MID(C390,4,2)),0))</f>
        <v>12</v>
      </c>
      <c r="G390" s="7">
        <f>IF(D390="ISO",VALUE(RIGHT(C390,2)),IF(D390="DMY",VALUE(LEFT(C390,2)),0))</f>
        <v>30</v>
      </c>
      <c r="H390" s="7">
        <f>IF(AND(D390&lt;&gt;"OTHER",F390&gt;=1,F390&lt;=12,G390&gt;=1,G390&lt;=31),IF(AND(MONTH(DATE(E390,F390,G390))=F390,DAY(DATE(E390,F390,G390))=G390),1,0),0)</f>
        <v>1</v>
      </c>
      <c r="I390" s="7">
        <f>IF(H390=1,DATE(E390,F390,G390),"")</f>
        <v>46021.0</v>
      </c>
      <c r="J390" s="7">
        <f>IF(AND(D390="DMY",H390=1),1,0)</f>
        <v>0</v>
      </c>
      <c r="K390" s="7">
        <f>IF(H390=0,1,0)</f>
        <v>0</v>
      </c>
      <c r="L390" s="7">
        <f>IF(TRIM(Raw_Bookings!I390&amp;"")="",1,0)</f>
        <v>0</v>
      </c>
      <c r="M390" s="7">
        <f>IF(L390=1,"",DATEVALUE(LEFT(Raw_Bookings!I390,10))+TIMEVALUE(MID(Raw_Bookings!I390,12,8)))</f>
        <v>45995.83881944444</v>
      </c>
      <c r="N390" s="7">
        <f>IF(AND(L390=0,H390=1),IF(INT(M390)&gt;I390,1,0),0)</f>
        <v>0</v>
      </c>
      <c r="O390" s="7" t="str">
        <f>UPPER(TRIM(Raw_Bookings!F390))</f>
        <v>LUC</v>
      </c>
      <c r="P390" s="7" t="str">
        <f>UPPER(TRIM(Raw_Bookings!G390))</f>
        <v>MUM</v>
      </c>
      <c r="Q390" s="7">
        <f>IF(COUNTIF(Lookup_Stations!$A$2:$A$33,O390)&gt;0,1,0)</f>
        <v>1</v>
      </c>
      <c r="R390" s="7">
        <f>IF(COUNTIF(Lookup_Stations!$A$2:$A$33,P390)&gt;0,1,0)</f>
        <v>1</v>
      </c>
      <c r="S390" s="7">
        <f>IF(OR(AND(Q390=1,NOT(EXACT(Raw_Bookings!F390,O390))),AND(R390=1,NOT(EXACT(Raw_Bookings!G390,P390)))),1,0)</f>
        <v>1</v>
      </c>
      <c r="T390" s="7">
        <f>IF(OR(Q390=0,R390=0),1,0)</f>
        <v>0</v>
      </c>
      <c r="U390" s="7">
        <f>IF(TRIM(Raw_Bookings!E390&amp;"")="",1,0)</f>
        <v>0</v>
      </c>
      <c r="V390" s="7" t="str">
        <f>IF(SUMPRODUCT(--(Lookup_Status!$A$2:$A$13=LOWER(TRIM(Raw_Bookings!K390))))=0,"",INDEX(Lookup_Status!$B$2:$B$13,SUMPRODUCT((Lookup_Status!$A$2:$A$13=LOWER(TRIM(Raw_Bookings!K390)))*(ROW(Lookup_Status!$A$2:$A$13)-1))))</f>
        <v>Confirmed</v>
      </c>
      <c r="W390" s="7">
        <f>IF(AND(V390&lt;&gt;"",NOT(EXACT(Raw_Bookings!K390,V390))),1,0)</f>
        <v>0</v>
      </c>
      <c r="X390" s="7">
        <f>IF(V390="",1,0)</f>
        <v>0</v>
      </c>
      <c r="Y390" s="7">
        <f>IF(TRIM(Raw_Bookings!L390&amp;"")="",1,0)</f>
        <v>0</v>
      </c>
      <c r="Z390" s="7">
        <f>IF(AND(ISTEXT(Raw_Bookings!L390),Y390=0),1,0)</f>
        <v>0</v>
      </c>
      <c r="AA390" s="7">
        <f>IF(Z390=1,IFERROR(VALUE(SUBSTITUTE(SUBSTITUTE(SUBSTITUTE(SUBSTITUTE(SUBSTITUTE(UPPER(Raw_Bookings!L390),"RS.",""),"₹",""),",","")," ",""),"INR","")),""),"")</f>
        <v/>
      </c>
      <c r="AB390" s="7">
        <f>IF(AND(Z390=1,ISNUMBER(AA390)),1,0)</f>
        <v>0</v>
      </c>
      <c r="AC390" s="7">
        <f>IF(B390=1,0,IF(NOT(ISNUMBER(Raw_Bookings!J390)),1,IF(Raw_Bookings!J390&lt;&gt;COUNTIFS(Work_Passengers!$B$2:$B$1336,Raw_Bookings!A390,Work_Passengers!$C$2:$C$1336,0),1,0)))</f>
        <v>0</v>
      </c>
    </row>
    <row r="391" spans="1:29">
      <c r="A391" s="7">
        <f>Raw_Bookings!A391</f>
        <v>1130496</v>
      </c>
      <c r="B391" s="7">
        <f>IF(COUNTIF(Raw_Bookings!$A$2:A391,Raw_Bookings!A391)&gt;1,1,0)</f>
        <v>0</v>
      </c>
      <c r="C391" s="7" t="str">
        <f>Raw_Bookings!D391&amp;""</f>
        <v>2026-03-16</v>
      </c>
      <c r="D391" s="7" t="str">
        <f>IF(AND(LEN(C391)=10,MID(C391,5,1)="-",MID(C391,8,1)="-"),"ISO",IF(AND(LEN(C391)=10,MID(C391,3,1)="-",MID(C391,6,1)="-"),"DMY","OTHER"))</f>
        <v>ISO</v>
      </c>
      <c r="E391" s="7">
        <f>IF(D391="ISO",VALUE(LEFT(C391,4)),IF(D391="DMY",VALUE(RIGHT(C391,4)),0))</f>
        <v>2026</v>
      </c>
      <c r="F391" s="7">
        <f>IF(D391="ISO",VALUE(MID(C391,6,2)),IF(D391="DMY",VALUE(MID(C391,4,2)),0))</f>
        <v>3</v>
      </c>
      <c r="G391" s="7">
        <f>IF(D391="ISO",VALUE(RIGHT(C391,2)),IF(D391="DMY",VALUE(LEFT(C391,2)),0))</f>
        <v>16</v>
      </c>
      <c r="H391" s="7">
        <f>IF(AND(D391&lt;&gt;"OTHER",F391&gt;=1,F391&lt;=12,G391&gt;=1,G391&lt;=31),IF(AND(MONTH(DATE(E391,F391,G391))=F391,DAY(DATE(E391,F391,G391))=G391),1,0),0)</f>
        <v>1</v>
      </c>
      <c r="I391" s="7">
        <f>IF(H391=1,DATE(E391,F391,G391),"")</f>
        <v>46097.0</v>
      </c>
      <c r="J391" s="7">
        <f>IF(AND(D391="DMY",H391=1),1,0)</f>
        <v>0</v>
      </c>
      <c r="K391" s="7">
        <f>IF(H391=0,1,0)</f>
        <v>0</v>
      </c>
      <c r="L391" s="7">
        <f>IF(TRIM(Raw_Bookings!I391&amp;"")="",1,0)</f>
        <v>0</v>
      </c>
      <c r="M391" s="7">
        <f>IF(L391=1,"",DATEVALUE(LEFT(Raw_Bookings!I391,10))+TIMEVALUE(MID(Raw_Bookings!I391,12,8)))</f>
        <v>45997.39461805556</v>
      </c>
      <c r="N391" s="7">
        <f>IF(AND(L391=0,H391=1),IF(INT(M391)&gt;I391,1,0),0)</f>
        <v>0</v>
      </c>
      <c r="O391" s="7" t="str">
        <f>UPPER(TRIM(Raw_Bookings!F391))</f>
        <v>CHE</v>
      </c>
      <c r="P391" s="7" t="str">
        <f>UPPER(TRIM(Raw_Bookings!G391))</f>
        <v>AHM</v>
      </c>
      <c r="Q391" s="7">
        <f>IF(COUNTIF(Lookup_Stations!$A$2:$A$33,O391)&gt;0,1,0)</f>
        <v>1</v>
      </c>
      <c r="R391" s="7">
        <f>IF(COUNTIF(Lookup_Stations!$A$2:$A$33,P391)&gt;0,1,0)</f>
        <v>1</v>
      </c>
      <c r="S391" s="7">
        <f>IF(OR(AND(Q391=1,NOT(EXACT(Raw_Bookings!F391,O391))),AND(R391=1,NOT(EXACT(Raw_Bookings!G391,P391)))),1,0)</f>
        <v>0</v>
      </c>
      <c r="T391" s="7">
        <f>IF(OR(Q391=0,R391=0),1,0)</f>
        <v>0</v>
      </c>
      <c r="U391" s="7">
        <f>IF(TRIM(Raw_Bookings!E391&amp;"")="",1,0)</f>
        <v>0</v>
      </c>
      <c r="V391" s="7" t="str">
        <f>IF(SUMPRODUCT(--(Lookup_Status!$A$2:$A$13=LOWER(TRIM(Raw_Bookings!K391))))=0,"",INDEX(Lookup_Status!$B$2:$B$13,SUMPRODUCT((Lookup_Status!$A$2:$A$13=LOWER(TRIM(Raw_Bookings!K391)))*(ROW(Lookup_Status!$A$2:$A$13)-1))))</f>
        <v>Confirmed</v>
      </c>
      <c r="W391" s="7">
        <f>IF(AND(V391&lt;&gt;"",NOT(EXACT(Raw_Bookings!K391,V391))),1,0)</f>
        <v>0</v>
      </c>
      <c r="X391" s="7">
        <f>IF(V391="",1,0)</f>
        <v>0</v>
      </c>
      <c r="Y391" s="7">
        <f>IF(TRIM(Raw_Bookings!L391&amp;"")="",1,0)</f>
        <v>0</v>
      </c>
      <c r="Z391" s="7">
        <f>IF(AND(ISTEXT(Raw_Bookings!L391),Y391=0),1,0)</f>
        <v>0</v>
      </c>
      <c r="AA391" s="7">
        <f>IF(Z391=1,IFERROR(VALUE(SUBSTITUTE(SUBSTITUTE(SUBSTITUTE(SUBSTITUTE(SUBSTITUTE(UPPER(Raw_Bookings!L391),"RS.",""),"₹",""),",","")," ",""),"INR","")),""),"")</f>
        <v/>
      </c>
      <c r="AB391" s="7">
        <f>IF(AND(Z391=1,ISNUMBER(AA391)),1,0)</f>
        <v>0</v>
      </c>
      <c r="AC391" s="7">
        <f>IF(B391=1,0,IF(NOT(ISNUMBER(Raw_Bookings!J391)),1,IF(Raw_Bookings!J391&lt;&gt;COUNTIFS(Work_Passengers!$B$2:$B$1336,Raw_Bookings!A391,Work_Passengers!$C$2:$C$1336,0),1,0)))</f>
        <v>0</v>
      </c>
    </row>
    <row r="392" spans="1:29">
      <c r="A392" s="7">
        <f>Raw_Bookings!A392</f>
        <v>1130695</v>
      </c>
      <c r="B392" s="7">
        <f>IF(COUNTIF(Raw_Bookings!$A$2:A392,Raw_Bookings!A392)&gt;1,1,0)</f>
        <v>0</v>
      </c>
      <c r="C392" s="7" t="str">
        <f>Raw_Bookings!D392&amp;""</f>
        <v>2025-12-27</v>
      </c>
      <c r="D392" s="7" t="str">
        <f>IF(AND(LEN(C392)=10,MID(C392,5,1)="-",MID(C392,8,1)="-"),"ISO",IF(AND(LEN(C392)=10,MID(C392,3,1)="-",MID(C392,6,1)="-"),"DMY","OTHER"))</f>
        <v>ISO</v>
      </c>
      <c r="E392" s="7">
        <f>IF(D392="ISO",VALUE(LEFT(C392,4)),IF(D392="DMY",VALUE(RIGHT(C392,4)),0))</f>
        <v>2025</v>
      </c>
      <c r="F392" s="7">
        <f>IF(D392="ISO",VALUE(MID(C392,6,2)),IF(D392="DMY",VALUE(MID(C392,4,2)),0))</f>
        <v>12</v>
      </c>
      <c r="G392" s="7">
        <f>IF(D392="ISO",VALUE(RIGHT(C392,2)),IF(D392="DMY",VALUE(LEFT(C392,2)),0))</f>
        <v>27</v>
      </c>
      <c r="H392" s="7">
        <f>IF(AND(D392&lt;&gt;"OTHER",F392&gt;=1,F392&lt;=12,G392&gt;=1,G392&lt;=31),IF(AND(MONTH(DATE(E392,F392,G392))=F392,DAY(DATE(E392,F392,G392))=G392),1,0),0)</f>
        <v>1</v>
      </c>
      <c r="I392" s="7">
        <f>IF(H392=1,DATE(E392,F392,G392),"")</f>
        <v>46018.0</v>
      </c>
      <c r="J392" s="7">
        <f>IF(AND(D392="DMY",H392=1),1,0)</f>
        <v>0</v>
      </c>
      <c r="K392" s="7">
        <f>IF(H392=0,1,0)</f>
        <v>0</v>
      </c>
      <c r="L392" s="7">
        <f>IF(TRIM(Raw_Bookings!I392&amp;"")="",1,0)</f>
        <v>0</v>
      </c>
      <c r="M392" s="7">
        <f>IF(L392=1,"",DATEVALUE(LEFT(Raw_Bookings!I392,10))+TIMEVALUE(MID(Raw_Bookings!I392,12,8)))</f>
        <v>45997.87094907407</v>
      </c>
      <c r="N392" s="7">
        <f>IF(AND(L392=0,H392=1),IF(INT(M392)&gt;I392,1,0),0)</f>
        <v>0</v>
      </c>
      <c r="O392" s="7" t="str">
        <f>UPPER(TRIM(Raw_Bookings!F392))</f>
        <v>DIB</v>
      </c>
      <c r="P392" s="7" t="str">
        <f>UPPER(TRIM(Raw_Bookings!G392))</f>
        <v>DEL</v>
      </c>
      <c r="Q392" s="7">
        <f>IF(COUNTIF(Lookup_Stations!$A$2:$A$33,O392)&gt;0,1,0)</f>
        <v>1</v>
      </c>
      <c r="R392" s="7">
        <f>IF(COUNTIF(Lookup_Stations!$A$2:$A$33,P392)&gt;0,1,0)</f>
        <v>1</v>
      </c>
      <c r="S392" s="7">
        <f>IF(OR(AND(Q392=1,NOT(EXACT(Raw_Bookings!F392,O392))),AND(R392=1,NOT(EXACT(Raw_Bookings!G392,P392)))),1,0)</f>
        <v>0</v>
      </c>
      <c r="T392" s="7">
        <f>IF(OR(Q392=0,R392=0),1,0)</f>
        <v>0</v>
      </c>
      <c r="U392" s="7">
        <f>IF(TRIM(Raw_Bookings!E392&amp;"")="",1,0)</f>
        <v>0</v>
      </c>
      <c r="V392" s="7" t="str">
        <f>IF(SUMPRODUCT(--(Lookup_Status!$A$2:$A$13=LOWER(TRIM(Raw_Bookings!K392))))=0,"",INDEX(Lookup_Status!$B$2:$B$13,SUMPRODUCT((Lookup_Status!$A$2:$A$13=LOWER(TRIM(Raw_Bookings!K392)))*(ROW(Lookup_Status!$A$2:$A$13)-1))))</f>
        <v>Cancelled</v>
      </c>
      <c r="W392" s="7">
        <f>IF(AND(V392&lt;&gt;"",NOT(EXACT(Raw_Bookings!K392,V392))),1,0)</f>
        <v>0</v>
      </c>
      <c r="X392" s="7">
        <f>IF(V392="",1,0)</f>
        <v>0</v>
      </c>
      <c r="Y392" s="7">
        <f>IF(TRIM(Raw_Bookings!L392&amp;"")="",1,0)</f>
        <v>0</v>
      </c>
      <c r="Z392" s="7">
        <f>IF(AND(ISTEXT(Raw_Bookings!L392),Y392=0),1,0)</f>
        <v>0</v>
      </c>
      <c r="AA392" s="7">
        <f>IF(Z392=1,IFERROR(VALUE(SUBSTITUTE(SUBSTITUTE(SUBSTITUTE(SUBSTITUTE(SUBSTITUTE(UPPER(Raw_Bookings!L392),"RS.",""),"₹",""),",","")," ",""),"INR","")),""),"")</f>
        <v/>
      </c>
      <c r="AB392" s="7">
        <f>IF(AND(Z392=1,ISNUMBER(AA392)),1,0)</f>
        <v>0</v>
      </c>
      <c r="AC392" s="7">
        <f>IF(B392=1,0,IF(NOT(ISNUMBER(Raw_Bookings!J392)),1,IF(Raw_Bookings!J392&lt;&gt;COUNTIFS(Work_Passengers!$B$2:$B$1336,Raw_Bookings!A392,Work_Passengers!$C$2:$C$1336,0),1,0)))</f>
        <v>0</v>
      </c>
    </row>
    <row r="393" spans="1:29">
      <c r="A393" s="7">
        <f>Raw_Bookings!A393</f>
        <v>1131105</v>
      </c>
      <c r="B393" s="7">
        <f>IF(COUNTIF(Raw_Bookings!$A$2:A393,Raw_Bookings!A393)&gt;1,1,0)</f>
        <v>0</v>
      </c>
      <c r="C393" s="7" t="str">
        <f>Raw_Bookings!D393&amp;""</f>
        <v>2026-03-31</v>
      </c>
      <c r="D393" s="7" t="str">
        <f>IF(AND(LEN(C393)=10,MID(C393,5,1)="-",MID(C393,8,1)="-"),"ISO",IF(AND(LEN(C393)=10,MID(C393,3,1)="-",MID(C393,6,1)="-"),"DMY","OTHER"))</f>
        <v>ISO</v>
      </c>
      <c r="E393" s="7">
        <f>IF(D393="ISO",VALUE(LEFT(C393,4)),IF(D393="DMY",VALUE(RIGHT(C393,4)),0))</f>
        <v>2026</v>
      </c>
      <c r="F393" s="7">
        <f>IF(D393="ISO",VALUE(MID(C393,6,2)),IF(D393="DMY",VALUE(MID(C393,4,2)),0))</f>
        <v>3</v>
      </c>
      <c r="G393" s="7">
        <f>IF(D393="ISO",VALUE(RIGHT(C393,2)),IF(D393="DMY",VALUE(LEFT(C393,2)),0))</f>
        <v>31</v>
      </c>
      <c r="H393" s="7">
        <f>IF(AND(D393&lt;&gt;"OTHER",F393&gt;=1,F393&lt;=12,G393&gt;=1,G393&lt;=31),IF(AND(MONTH(DATE(E393,F393,G393))=F393,DAY(DATE(E393,F393,G393))=G393),1,0),0)</f>
        <v>1</v>
      </c>
      <c r="I393" s="7">
        <f>IF(H393=1,DATE(E393,F393,G393),"")</f>
        <v>46112.0</v>
      </c>
      <c r="J393" s="7">
        <f>IF(AND(D393="DMY",H393=1),1,0)</f>
        <v>0</v>
      </c>
      <c r="K393" s="7">
        <f>IF(H393=0,1,0)</f>
        <v>0</v>
      </c>
      <c r="L393" s="7">
        <f>IF(TRIM(Raw_Bookings!I393&amp;"")="",1,0)</f>
        <v>0</v>
      </c>
      <c r="M393" s="7">
        <f>IF(L393=1,"",DATEVALUE(LEFT(Raw_Bookings!I393,10))+TIMEVALUE(MID(Raw_Bookings!I393,12,8)))</f>
        <v>45999.38891203704</v>
      </c>
      <c r="N393" s="7">
        <f>IF(AND(L393=0,H393=1),IF(INT(M393)&gt;I393,1,0),0)</f>
        <v>0</v>
      </c>
      <c r="O393" s="7" t="str">
        <f>UPPER(TRIM(Raw_Bookings!F393))</f>
        <v>BHO</v>
      </c>
      <c r="P393" s="7" t="str">
        <f>UPPER(TRIM(Raw_Bookings!G393))</f>
        <v>JAI</v>
      </c>
      <c r="Q393" s="7">
        <f>IF(COUNTIF(Lookup_Stations!$A$2:$A$33,O393)&gt;0,1,0)</f>
        <v>1</v>
      </c>
      <c r="R393" s="7">
        <f>IF(COUNTIF(Lookup_Stations!$A$2:$A$33,P393)&gt;0,1,0)</f>
        <v>1</v>
      </c>
      <c r="S393" s="7">
        <f>IF(OR(AND(Q393=1,NOT(EXACT(Raw_Bookings!F393,O393))),AND(R393=1,NOT(EXACT(Raw_Bookings!G393,P393)))),1,0)</f>
        <v>0</v>
      </c>
      <c r="T393" s="7">
        <f>IF(OR(Q393=0,R393=0),1,0)</f>
        <v>0</v>
      </c>
      <c r="U393" s="7">
        <f>IF(TRIM(Raw_Bookings!E393&amp;"")="",1,0)</f>
        <v>0</v>
      </c>
      <c r="V393" s="7" t="str">
        <f>IF(SUMPRODUCT(--(Lookup_Status!$A$2:$A$13=LOWER(TRIM(Raw_Bookings!K393))))=0,"",INDEX(Lookup_Status!$B$2:$B$13,SUMPRODUCT((Lookup_Status!$A$2:$A$13=LOWER(TRIM(Raw_Bookings!K393)))*(ROW(Lookup_Status!$A$2:$A$13)-1))))</f>
        <v>Confirmed</v>
      </c>
      <c r="W393" s="7">
        <f>IF(AND(V393&lt;&gt;"",NOT(EXACT(Raw_Bookings!K393,V393))),1,0)</f>
        <v>0</v>
      </c>
      <c r="X393" s="7">
        <f>IF(V393="",1,0)</f>
        <v>0</v>
      </c>
      <c r="Y393" s="7">
        <f>IF(TRIM(Raw_Bookings!L393&amp;"")="",1,0)</f>
        <v>0</v>
      </c>
      <c r="Z393" s="7">
        <f>IF(AND(ISTEXT(Raw_Bookings!L393),Y393=0),1,0)</f>
        <v>0</v>
      </c>
      <c r="AA393" s="7">
        <f>IF(Z393=1,IFERROR(VALUE(SUBSTITUTE(SUBSTITUTE(SUBSTITUTE(SUBSTITUTE(SUBSTITUTE(UPPER(Raw_Bookings!L393),"RS.",""),"₹",""),",","")," ",""),"INR","")),""),"")</f>
        <v/>
      </c>
      <c r="AB393" s="7">
        <f>IF(AND(Z393=1,ISNUMBER(AA393)),1,0)</f>
        <v>0</v>
      </c>
      <c r="AC393" s="7">
        <f>IF(B393=1,0,IF(NOT(ISNUMBER(Raw_Bookings!J393)),1,IF(Raw_Bookings!J393&lt;&gt;COUNTIFS(Work_Passengers!$B$2:$B$1336,Raw_Bookings!A393,Work_Passengers!$C$2:$C$1336,0),1,0)))</f>
        <v>0</v>
      </c>
    </row>
    <row r="394" spans="1:29">
      <c r="A394" s="7">
        <f>Raw_Bookings!A394</f>
        <v>1131122</v>
      </c>
      <c r="B394" s="7">
        <f>IF(COUNTIF(Raw_Bookings!$A$2:A394,Raw_Bookings!A394)&gt;1,1,0)</f>
        <v>0</v>
      </c>
      <c r="C394" s="7" t="str">
        <f>Raw_Bookings!D394&amp;""</f>
        <v>2025-12-15</v>
      </c>
      <c r="D394" s="7" t="str">
        <f>IF(AND(LEN(C394)=10,MID(C394,5,1)="-",MID(C394,8,1)="-"),"ISO",IF(AND(LEN(C394)=10,MID(C394,3,1)="-",MID(C394,6,1)="-"),"DMY","OTHER"))</f>
        <v>ISO</v>
      </c>
      <c r="E394" s="7">
        <f>IF(D394="ISO",VALUE(LEFT(C394,4)),IF(D394="DMY",VALUE(RIGHT(C394,4)),0))</f>
        <v>2025</v>
      </c>
      <c r="F394" s="7">
        <f>IF(D394="ISO",VALUE(MID(C394,6,2)),IF(D394="DMY",VALUE(MID(C394,4,2)),0))</f>
        <v>12</v>
      </c>
      <c r="G394" s="7">
        <f>IF(D394="ISO",VALUE(RIGHT(C394,2)),IF(D394="DMY",VALUE(LEFT(C394,2)),0))</f>
        <v>15</v>
      </c>
      <c r="H394" s="7">
        <f>IF(AND(D394&lt;&gt;"OTHER",F394&gt;=1,F394&lt;=12,G394&gt;=1,G394&lt;=31),IF(AND(MONTH(DATE(E394,F394,G394))=F394,DAY(DATE(E394,F394,G394))=G394),1,0),0)</f>
        <v>1</v>
      </c>
      <c r="I394" s="7">
        <f>IF(H394=1,DATE(E394,F394,G394),"")</f>
        <v>46006.0</v>
      </c>
      <c r="J394" s="7">
        <f>IF(AND(D394="DMY",H394=1),1,0)</f>
        <v>0</v>
      </c>
      <c r="K394" s="7">
        <f>IF(H394=0,1,0)</f>
        <v>0</v>
      </c>
      <c r="L394" s="7">
        <f>IF(TRIM(Raw_Bookings!I394&amp;"")="",1,0)</f>
        <v>0</v>
      </c>
      <c r="M394" s="7">
        <f>IF(L394=1,"",DATEVALUE(LEFT(Raw_Bookings!I394,10))+TIMEVALUE(MID(Raw_Bookings!I394,12,8)))</f>
        <v>45999.42277777778</v>
      </c>
      <c r="N394" s="7">
        <f>IF(AND(L394=0,H394=1),IF(INT(M394)&gt;I394,1,0),0)</f>
        <v>0</v>
      </c>
      <c r="O394" s="7" t="str">
        <f>UPPER(TRIM(Raw_Bookings!F394))</f>
        <v>BEN</v>
      </c>
      <c r="P394" s="7" t="str">
        <f>UPPER(TRIM(Raw_Bookings!G394))</f>
        <v>MUM</v>
      </c>
      <c r="Q394" s="7">
        <f>IF(COUNTIF(Lookup_Stations!$A$2:$A$33,O394)&gt;0,1,0)</f>
        <v>1</v>
      </c>
      <c r="R394" s="7">
        <f>IF(COUNTIF(Lookup_Stations!$A$2:$A$33,P394)&gt;0,1,0)</f>
        <v>1</v>
      </c>
      <c r="S394" s="7">
        <f>IF(OR(AND(Q394=1,NOT(EXACT(Raw_Bookings!F394,O394))),AND(R394=1,NOT(EXACT(Raw_Bookings!G394,P394)))),1,0)</f>
        <v>0</v>
      </c>
      <c r="T394" s="7">
        <f>IF(OR(Q394=0,R394=0),1,0)</f>
        <v>0</v>
      </c>
      <c r="U394" s="7">
        <f>IF(TRIM(Raw_Bookings!E394&amp;"")="",1,0)</f>
        <v>0</v>
      </c>
      <c r="V394" s="7" t="str">
        <f>IF(SUMPRODUCT(--(Lookup_Status!$A$2:$A$13=LOWER(TRIM(Raw_Bookings!K394))))=0,"",INDEX(Lookup_Status!$B$2:$B$13,SUMPRODUCT((Lookup_Status!$A$2:$A$13=LOWER(TRIM(Raw_Bookings!K394)))*(ROW(Lookup_Status!$A$2:$A$13)-1))))</f>
        <v>Confirmed</v>
      </c>
      <c r="W394" s="7">
        <f>IF(AND(V394&lt;&gt;"",NOT(EXACT(Raw_Bookings!K394,V394))),1,0)</f>
        <v>0</v>
      </c>
      <c r="X394" s="7">
        <f>IF(V394="",1,0)</f>
        <v>0</v>
      </c>
      <c r="Y394" s="7">
        <f>IF(TRIM(Raw_Bookings!L394&amp;"")="",1,0)</f>
        <v>0</v>
      </c>
      <c r="Z394" s="7">
        <f>IF(AND(ISTEXT(Raw_Bookings!L394),Y394=0),1,0)</f>
        <v>0</v>
      </c>
      <c r="AA394" s="7">
        <f>IF(Z394=1,IFERROR(VALUE(SUBSTITUTE(SUBSTITUTE(SUBSTITUTE(SUBSTITUTE(SUBSTITUTE(UPPER(Raw_Bookings!L394),"RS.",""),"₹",""),",","")," ",""),"INR","")),""),"")</f>
        <v/>
      </c>
      <c r="AB394" s="7">
        <f>IF(AND(Z394=1,ISNUMBER(AA394)),1,0)</f>
        <v>0</v>
      </c>
      <c r="AC394" s="7">
        <f>IF(B394=1,0,IF(NOT(ISNUMBER(Raw_Bookings!J394)),1,IF(Raw_Bookings!J394&lt;&gt;COUNTIFS(Work_Passengers!$B$2:$B$1336,Raw_Bookings!A394,Work_Passengers!$C$2:$C$1336,0),1,0)))</f>
        <v>0</v>
      </c>
    </row>
    <row r="395" spans="1:29">
      <c r="A395" s="7">
        <f>Raw_Bookings!A395</f>
        <v>1131156</v>
      </c>
      <c r="B395" s="7">
        <f>IF(COUNTIF(Raw_Bookings!$A$2:A395,Raw_Bookings!A395)&gt;1,1,0)</f>
        <v>0</v>
      </c>
      <c r="C395" s="7" t="str">
        <f>Raw_Bookings!D395&amp;""</f>
        <v>2025-12-12</v>
      </c>
      <c r="D395" s="7" t="str">
        <f>IF(AND(LEN(C395)=10,MID(C395,5,1)="-",MID(C395,8,1)="-"),"ISO",IF(AND(LEN(C395)=10,MID(C395,3,1)="-",MID(C395,6,1)="-"),"DMY","OTHER"))</f>
        <v>ISO</v>
      </c>
      <c r="E395" s="7">
        <f>IF(D395="ISO",VALUE(LEFT(C395,4)),IF(D395="DMY",VALUE(RIGHT(C395,4)),0))</f>
        <v>2025</v>
      </c>
      <c r="F395" s="7">
        <f>IF(D395="ISO",VALUE(MID(C395,6,2)),IF(D395="DMY",VALUE(MID(C395,4,2)),0))</f>
        <v>12</v>
      </c>
      <c r="G395" s="7">
        <f>IF(D395="ISO",VALUE(RIGHT(C395,2)),IF(D395="DMY",VALUE(LEFT(C395,2)),0))</f>
        <v>12</v>
      </c>
      <c r="H395" s="7">
        <f>IF(AND(D395&lt;&gt;"OTHER",F395&gt;=1,F395&lt;=12,G395&gt;=1,G395&lt;=31),IF(AND(MONTH(DATE(E395,F395,G395))=F395,DAY(DATE(E395,F395,G395))=G395),1,0),0)</f>
        <v>1</v>
      </c>
      <c r="I395" s="7">
        <f>IF(H395=1,DATE(E395,F395,G395),"")</f>
        <v>46003.0</v>
      </c>
      <c r="J395" s="7">
        <f>IF(AND(D395="DMY",H395=1),1,0)</f>
        <v>0</v>
      </c>
      <c r="K395" s="7">
        <f>IF(H395=0,1,0)</f>
        <v>0</v>
      </c>
      <c r="L395" s="7">
        <f>IF(TRIM(Raw_Bookings!I395&amp;"")="",1,0)</f>
        <v>0</v>
      </c>
      <c r="M395" s="7">
        <f>IF(L395=1,"",DATEVALUE(LEFT(Raw_Bookings!I395,10))+TIMEVALUE(MID(Raw_Bookings!I395,12,8)))</f>
        <v>45999.518738425926</v>
      </c>
      <c r="N395" s="7">
        <f>IF(AND(L395=0,H395=1),IF(INT(M395)&gt;I395,1,0),0)</f>
        <v>0</v>
      </c>
      <c r="O395" s="7" t="str">
        <f>UPPER(TRIM(Raw_Bookings!F395))</f>
        <v>AHM</v>
      </c>
      <c r="P395" s="7" t="str">
        <f>UPPER(TRIM(Raw_Bookings!G395))</f>
        <v>CHE</v>
      </c>
      <c r="Q395" s="7">
        <f>IF(COUNTIF(Lookup_Stations!$A$2:$A$33,O395)&gt;0,1,0)</f>
        <v>1</v>
      </c>
      <c r="R395" s="7">
        <f>IF(COUNTIF(Lookup_Stations!$A$2:$A$33,P395)&gt;0,1,0)</f>
        <v>1</v>
      </c>
      <c r="S395" s="7">
        <f>IF(OR(AND(Q395=1,NOT(EXACT(Raw_Bookings!F395,O395))),AND(R395=1,NOT(EXACT(Raw_Bookings!G395,P395)))),1,0)</f>
        <v>0</v>
      </c>
      <c r="T395" s="7">
        <f>IF(OR(Q395=0,R395=0),1,0)</f>
        <v>0</v>
      </c>
      <c r="U395" s="7">
        <f>IF(TRIM(Raw_Bookings!E395&amp;"")="",1,0)</f>
        <v>0</v>
      </c>
      <c r="V395" s="7" t="str">
        <f>IF(SUMPRODUCT(--(Lookup_Status!$A$2:$A$13=LOWER(TRIM(Raw_Bookings!K395))))=0,"",INDEX(Lookup_Status!$B$2:$B$13,SUMPRODUCT((Lookup_Status!$A$2:$A$13=LOWER(TRIM(Raw_Bookings!K395)))*(ROW(Lookup_Status!$A$2:$A$13)-1))))</f>
        <v>Waitlisted</v>
      </c>
      <c r="W395" s="7">
        <f>IF(AND(V395&lt;&gt;"",NOT(EXACT(Raw_Bookings!K395,V395))),1,0)</f>
        <v>0</v>
      </c>
      <c r="X395" s="7">
        <f>IF(V395="",1,0)</f>
        <v>0</v>
      </c>
      <c r="Y395" s="7">
        <f>IF(TRIM(Raw_Bookings!L395&amp;"")="",1,0)</f>
        <v>0</v>
      </c>
      <c r="Z395" s="7">
        <f>IF(AND(ISTEXT(Raw_Bookings!L395),Y395=0),1,0)</f>
        <v>0</v>
      </c>
      <c r="AA395" s="7">
        <f>IF(Z395=1,IFERROR(VALUE(SUBSTITUTE(SUBSTITUTE(SUBSTITUTE(SUBSTITUTE(SUBSTITUTE(UPPER(Raw_Bookings!L395),"RS.",""),"₹",""),",","")," ",""),"INR","")),""),"")</f>
        <v/>
      </c>
      <c r="AB395" s="7">
        <f>IF(AND(Z395=1,ISNUMBER(AA395)),1,0)</f>
        <v>0</v>
      </c>
      <c r="AC395" s="7">
        <f>IF(B395=1,0,IF(NOT(ISNUMBER(Raw_Bookings!J395)),1,IF(Raw_Bookings!J395&lt;&gt;COUNTIFS(Work_Passengers!$B$2:$B$1336,Raw_Bookings!A395,Work_Passengers!$C$2:$C$1336,0),1,0)))</f>
        <v>0</v>
      </c>
    </row>
    <row r="396" spans="1:29">
      <c r="A396" s="7">
        <f>Raw_Bookings!A396</f>
        <v>1131980</v>
      </c>
      <c r="B396" s="7">
        <f>IF(COUNTIF(Raw_Bookings!$A$2:A396,Raw_Bookings!A396)&gt;1,1,0)</f>
        <v>0</v>
      </c>
      <c r="C396" s="7" t="str">
        <f>Raw_Bookings!D396&amp;""</f>
        <v>2026-01-06</v>
      </c>
      <c r="D396" s="7" t="str">
        <f>IF(AND(LEN(C396)=10,MID(C396,5,1)="-",MID(C396,8,1)="-"),"ISO",IF(AND(LEN(C396)=10,MID(C396,3,1)="-",MID(C396,6,1)="-"),"DMY","OTHER"))</f>
        <v>ISO</v>
      </c>
      <c r="E396" s="7">
        <f>IF(D396="ISO",VALUE(LEFT(C396,4)),IF(D396="DMY",VALUE(RIGHT(C396,4)),0))</f>
        <v>2026</v>
      </c>
      <c r="F396" s="7">
        <f>IF(D396="ISO",VALUE(MID(C396,6,2)),IF(D396="DMY",VALUE(MID(C396,4,2)),0))</f>
        <v>1</v>
      </c>
      <c r="G396" s="7">
        <f>IF(D396="ISO",VALUE(RIGHT(C396,2)),IF(D396="DMY",VALUE(LEFT(C396,2)),0))</f>
        <v>6</v>
      </c>
      <c r="H396" s="7">
        <f>IF(AND(D396&lt;&gt;"OTHER",F396&gt;=1,F396&lt;=12,G396&gt;=1,G396&lt;=31),IF(AND(MONTH(DATE(E396,F396,G396))=F396,DAY(DATE(E396,F396,G396))=G396),1,0),0)</f>
        <v>1</v>
      </c>
      <c r="I396" s="7">
        <f>IF(H396=1,DATE(E396,F396,G396),"")</f>
        <v>46028.0</v>
      </c>
      <c r="J396" s="7">
        <f>IF(AND(D396="DMY",H396=1),1,0)</f>
        <v>0</v>
      </c>
      <c r="K396" s="7">
        <f>IF(H396=0,1,0)</f>
        <v>0</v>
      </c>
      <c r="L396" s="7">
        <f>IF(TRIM(Raw_Bookings!I396&amp;"")="",1,0)</f>
        <v>0</v>
      </c>
      <c r="M396" s="7">
        <f>IF(L396=1,"",DATEVALUE(LEFT(Raw_Bookings!I396,10))+TIMEVALUE(MID(Raw_Bookings!I396,12,8)))</f>
        <v>46002.60618055556</v>
      </c>
      <c r="N396" s="7">
        <f>IF(AND(L396=0,H396=1),IF(INT(M396)&gt;I396,1,0),0)</f>
        <v>0</v>
      </c>
      <c r="O396" s="7" t="str">
        <f>UPPER(TRIM(Raw_Bookings!F396))</f>
        <v>MUM</v>
      </c>
      <c r="P396" s="7" t="str">
        <f>UPPER(TRIM(Raw_Bookings!G396))</f>
        <v>BEN</v>
      </c>
      <c r="Q396" s="7">
        <f>IF(COUNTIF(Lookup_Stations!$A$2:$A$33,O396)&gt;0,1,0)</f>
        <v>1</v>
      </c>
      <c r="R396" s="7">
        <f>IF(COUNTIF(Lookup_Stations!$A$2:$A$33,P396)&gt;0,1,0)</f>
        <v>1</v>
      </c>
      <c r="S396" s="7">
        <f>IF(OR(AND(Q396=1,NOT(EXACT(Raw_Bookings!F396,O396))),AND(R396=1,NOT(EXACT(Raw_Bookings!G396,P396)))),1,0)</f>
        <v>0</v>
      </c>
      <c r="T396" s="7">
        <f>IF(OR(Q396=0,R396=0),1,0)</f>
        <v>0</v>
      </c>
      <c r="U396" s="7">
        <f>IF(TRIM(Raw_Bookings!E396&amp;"")="",1,0)</f>
        <v>0</v>
      </c>
      <c r="V396" s="7" t="str">
        <f>IF(SUMPRODUCT(--(Lookup_Status!$A$2:$A$13=LOWER(TRIM(Raw_Bookings!K396))))=0,"",INDEX(Lookup_Status!$B$2:$B$13,SUMPRODUCT((Lookup_Status!$A$2:$A$13=LOWER(TRIM(Raw_Bookings!K396)))*(ROW(Lookup_Status!$A$2:$A$13)-1))))</f>
        <v>Confirmed</v>
      </c>
      <c r="W396" s="7">
        <f>IF(AND(V396&lt;&gt;"",NOT(EXACT(Raw_Bookings!K396,V396))),1,0)</f>
        <v>0</v>
      </c>
      <c r="X396" s="7">
        <f>IF(V396="",1,0)</f>
        <v>0</v>
      </c>
      <c r="Y396" s="7">
        <f>IF(TRIM(Raw_Bookings!L396&amp;"")="",1,0)</f>
        <v>0</v>
      </c>
      <c r="Z396" s="7">
        <f>IF(AND(ISTEXT(Raw_Bookings!L396),Y396=0),1,0)</f>
        <v>0</v>
      </c>
      <c r="AA396" s="7">
        <f>IF(Z396=1,IFERROR(VALUE(SUBSTITUTE(SUBSTITUTE(SUBSTITUTE(SUBSTITUTE(SUBSTITUTE(UPPER(Raw_Bookings!L396),"RS.",""),"₹",""),",","")," ",""),"INR","")),""),"")</f>
        <v/>
      </c>
      <c r="AB396" s="7">
        <f>IF(AND(Z396=1,ISNUMBER(AA396)),1,0)</f>
        <v>0</v>
      </c>
      <c r="AC396" s="7">
        <f>IF(B396=1,0,IF(NOT(ISNUMBER(Raw_Bookings!J396)),1,IF(Raw_Bookings!J396&lt;&gt;COUNTIFS(Work_Passengers!$B$2:$B$1336,Raw_Bookings!A396,Work_Passengers!$C$2:$C$1336,0),1,0)))</f>
        <v>0</v>
      </c>
    </row>
    <row r="397" spans="1:29">
      <c r="A397" s="7">
        <f>Raw_Bookings!A397</f>
        <v>1132914</v>
      </c>
      <c r="B397" s="7">
        <f>IF(COUNTIF(Raw_Bookings!$A$2:A397,Raw_Bookings!A397)&gt;1,1,0)</f>
        <v>0</v>
      </c>
      <c r="C397" s="7" t="str">
        <f>Raw_Bookings!D397&amp;""</f>
        <v>2026-01-07</v>
      </c>
      <c r="D397" s="7" t="str">
        <f>IF(AND(LEN(C397)=10,MID(C397,5,1)="-",MID(C397,8,1)="-"),"ISO",IF(AND(LEN(C397)=10,MID(C397,3,1)="-",MID(C397,6,1)="-"),"DMY","OTHER"))</f>
        <v>ISO</v>
      </c>
      <c r="E397" s="7">
        <f>IF(D397="ISO",VALUE(LEFT(C397,4)),IF(D397="DMY",VALUE(RIGHT(C397,4)),0))</f>
        <v>2026</v>
      </c>
      <c r="F397" s="7">
        <f>IF(D397="ISO",VALUE(MID(C397,6,2)),IF(D397="DMY",VALUE(MID(C397,4,2)),0))</f>
        <v>1</v>
      </c>
      <c r="G397" s="7">
        <f>IF(D397="ISO",VALUE(RIGHT(C397,2)),IF(D397="DMY",VALUE(LEFT(C397,2)),0))</f>
        <v>7</v>
      </c>
      <c r="H397" s="7">
        <f>IF(AND(D397&lt;&gt;"OTHER",F397&gt;=1,F397&lt;=12,G397&gt;=1,G397&lt;=31),IF(AND(MONTH(DATE(E397,F397,G397))=F397,DAY(DATE(E397,F397,G397))=G397),1,0),0)</f>
        <v>1</v>
      </c>
      <c r="I397" s="7">
        <f>IF(H397=1,DATE(E397,F397,G397),"")</f>
        <v>46029.0</v>
      </c>
      <c r="J397" s="7">
        <f>IF(AND(D397="DMY",H397=1),1,0)</f>
        <v>0</v>
      </c>
      <c r="K397" s="7">
        <f>IF(H397=0,1,0)</f>
        <v>0</v>
      </c>
      <c r="L397" s="7">
        <f>IF(TRIM(Raw_Bookings!I397&amp;"")="",1,0)</f>
        <v>0</v>
      </c>
      <c r="M397" s="7">
        <f>IF(L397=1,"",DATEVALUE(LEFT(Raw_Bookings!I397,10))+TIMEVALUE(MID(Raw_Bookings!I397,12,8)))</f>
        <v>46005.75387731481</v>
      </c>
      <c r="N397" s="7">
        <f>IF(AND(L397=0,H397=1),IF(INT(M397)&gt;I397,1,0),0)</f>
        <v>0</v>
      </c>
      <c r="O397" s="7" t="str">
        <f>UPPER(TRIM(Raw_Bookings!F397))</f>
        <v>CHA</v>
      </c>
      <c r="P397" s="7" t="str">
        <f>UPPER(TRIM(Raw_Bookings!G397))</f>
        <v>VIS</v>
      </c>
      <c r="Q397" s="7">
        <f>IF(COUNTIF(Lookup_Stations!$A$2:$A$33,O397)&gt;0,1,0)</f>
        <v>1</v>
      </c>
      <c r="R397" s="7">
        <f>IF(COUNTIF(Lookup_Stations!$A$2:$A$33,P397)&gt;0,1,0)</f>
        <v>1</v>
      </c>
      <c r="S397" s="7">
        <f>IF(OR(AND(Q397=1,NOT(EXACT(Raw_Bookings!F397,O397))),AND(R397=1,NOT(EXACT(Raw_Bookings!G397,P397)))),1,0)</f>
        <v>0</v>
      </c>
      <c r="T397" s="7">
        <f>IF(OR(Q397=0,R397=0),1,0)</f>
        <v>0</v>
      </c>
      <c r="U397" s="7">
        <f>IF(TRIM(Raw_Bookings!E397&amp;"")="",1,0)</f>
        <v>0</v>
      </c>
      <c r="V397" s="7" t="str">
        <f>IF(SUMPRODUCT(--(Lookup_Status!$A$2:$A$13=LOWER(TRIM(Raw_Bookings!K397))))=0,"",INDEX(Lookup_Status!$B$2:$B$13,SUMPRODUCT((Lookup_Status!$A$2:$A$13=LOWER(TRIM(Raw_Bookings!K397)))*(ROW(Lookup_Status!$A$2:$A$13)-1))))</f>
        <v>Confirmed</v>
      </c>
      <c r="W397" s="7">
        <f>IF(AND(V397&lt;&gt;"",NOT(EXACT(Raw_Bookings!K397,V397))),1,0)</f>
        <v>0</v>
      </c>
      <c r="X397" s="7">
        <f>IF(V397="",1,0)</f>
        <v>0</v>
      </c>
      <c r="Y397" s="7">
        <f>IF(TRIM(Raw_Bookings!L397&amp;"")="",1,0)</f>
        <v>0</v>
      </c>
      <c r="Z397" s="7">
        <f>IF(AND(ISTEXT(Raw_Bookings!L397),Y397=0),1,0)</f>
        <v>0</v>
      </c>
      <c r="AA397" s="7">
        <f>IF(Z397=1,IFERROR(VALUE(SUBSTITUTE(SUBSTITUTE(SUBSTITUTE(SUBSTITUTE(SUBSTITUTE(UPPER(Raw_Bookings!L397),"RS.",""),"₹",""),",","")," ",""),"INR","")),""),"")</f>
        <v/>
      </c>
      <c r="AB397" s="7">
        <f>IF(AND(Z397=1,ISNUMBER(AA397)),1,0)</f>
        <v>0</v>
      </c>
      <c r="AC397" s="7">
        <f>IF(B397=1,0,IF(NOT(ISNUMBER(Raw_Bookings!J397)),1,IF(Raw_Bookings!J397&lt;&gt;COUNTIFS(Work_Passengers!$B$2:$B$1336,Raw_Bookings!A397,Work_Passengers!$C$2:$C$1336,0),1,0)))</f>
        <v>0</v>
      </c>
    </row>
    <row r="398" spans="1:29">
      <c r="A398" s="7">
        <f>Raw_Bookings!A398</f>
        <v>1133457</v>
      </c>
      <c r="B398" s="7">
        <f>IF(COUNTIF(Raw_Bookings!$A$2:A398,Raw_Bookings!A398)&gt;1,1,0)</f>
        <v>0</v>
      </c>
      <c r="C398" s="7" t="str">
        <f>Raw_Bookings!D398&amp;""</f>
        <v>2025-12-22</v>
      </c>
      <c r="D398" s="7" t="str">
        <f>IF(AND(LEN(C398)=10,MID(C398,5,1)="-",MID(C398,8,1)="-"),"ISO",IF(AND(LEN(C398)=10,MID(C398,3,1)="-",MID(C398,6,1)="-"),"DMY","OTHER"))</f>
        <v>ISO</v>
      </c>
      <c r="E398" s="7">
        <f>IF(D398="ISO",VALUE(LEFT(C398,4)),IF(D398="DMY",VALUE(RIGHT(C398,4)),0))</f>
        <v>2025</v>
      </c>
      <c r="F398" s="7">
        <f>IF(D398="ISO",VALUE(MID(C398,6,2)),IF(D398="DMY",VALUE(MID(C398,4,2)),0))</f>
        <v>12</v>
      </c>
      <c r="G398" s="7">
        <f>IF(D398="ISO",VALUE(RIGHT(C398,2)),IF(D398="DMY",VALUE(LEFT(C398,2)),0))</f>
        <v>22</v>
      </c>
      <c r="H398" s="7">
        <f>IF(AND(D398&lt;&gt;"OTHER",F398&gt;=1,F398&lt;=12,G398&gt;=1,G398&lt;=31),IF(AND(MONTH(DATE(E398,F398,G398))=F398,DAY(DATE(E398,F398,G398))=G398),1,0),0)</f>
        <v>1</v>
      </c>
      <c r="I398" s="7">
        <f>IF(H398=1,DATE(E398,F398,G398),"")</f>
        <v>46013.0</v>
      </c>
      <c r="J398" s="7">
        <f>IF(AND(D398="DMY",H398=1),1,0)</f>
        <v>0</v>
      </c>
      <c r="K398" s="7">
        <f>IF(H398=0,1,0)</f>
        <v>0</v>
      </c>
      <c r="L398" s="7">
        <f>IF(TRIM(Raw_Bookings!I398&amp;"")="",1,0)</f>
        <v>0</v>
      </c>
      <c r="M398" s="7">
        <f>IF(L398=1,"",DATEVALUE(LEFT(Raw_Bookings!I398,10))+TIMEVALUE(MID(Raw_Bookings!I398,12,8)))</f>
        <v>46007.80086805556</v>
      </c>
      <c r="N398" s="7">
        <f>IF(AND(L398=0,H398=1),IF(INT(M398)&gt;I398,1,0),0)</f>
        <v>0</v>
      </c>
      <c r="O398" s="7" t="str">
        <f>UPPER(TRIM(Raw_Bookings!F398))</f>
        <v>KOC</v>
      </c>
      <c r="P398" s="7" t="str">
        <f>UPPER(TRIM(Raw_Bookings!G398))</f>
        <v>BHU</v>
      </c>
      <c r="Q398" s="7">
        <f>IF(COUNTIF(Lookup_Stations!$A$2:$A$33,O398)&gt;0,1,0)</f>
        <v>1</v>
      </c>
      <c r="R398" s="7">
        <f>IF(COUNTIF(Lookup_Stations!$A$2:$A$33,P398)&gt;0,1,0)</f>
        <v>1</v>
      </c>
      <c r="S398" s="7">
        <f>IF(OR(AND(Q398=1,NOT(EXACT(Raw_Bookings!F398,O398))),AND(R398=1,NOT(EXACT(Raw_Bookings!G398,P398)))),1,0)</f>
        <v>0</v>
      </c>
      <c r="T398" s="7">
        <f>IF(OR(Q398=0,R398=0),1,0)</f>
        <v>0</v>
      </c>
      <c r="U398" s="7">
        <f>IF(TRIM(Raw_Bookings!E398&amp;"")="",1,0)</f>
        <v>0</v>
      </c>
      <c r="V398" s="7" t="str">
        <f>IF(SUMPRODUCT(--(Lookup_Status!$A$2:$A$13=LOWER(TRIM(Raw_Bookings!K398))))=0,"",INDEX(Lookup_Status!$B$2:$B$13,SUMPRODUCT((Lookup_Status!$A$2:$A$13=LOWER(TRIM(Raw_Bookings!K398)))*(ROW(Lookup_Status!$A$2:$A$13)-1))))</f>
        <v>Cancelled</v>
      </c>
      <c r="W398" s="7">
        <f>IF(AND(V398&lt;&gt;"",NOT(EXACT(Raw_Bookings!K398,V398))),1,0)</f>
        <v>0</v>
      </c>
      <c r="X398" s="7">
        <f>IF(V398="",1,0)</f>
        <v>0</v>
      </c>
      <c r="Y398" s="7">
        <f>IF(TRIM(Raw_Bookings!L398&amp;"")="",1,0)</f>
        <v>0</v>
      </c>
      <c r="Z398" s="7">
        <f>IF(AND(ISTEXT(Raw_Bookings!L398),Y398=0),1,0)</f>
        <v>0</v>
      </c>
      <c r="AA398" s="7">
        <f>IF(Z398=1,IFERROR(VALUE(SUBSTITUTE(SUBSTITUTE(SUBSTITUTE(SUBSTITUTE(SUBSTITUTE(UPPER(Raw_Bookings!L398),"RS.",""),"₹",""),",","")," ",""),"INR","")),""),"")</f>
        <v/>
      </c>
      <c r="AB398" s="7">
        <f>IF(AND(Z398=1,ISNUMBER(AA398)),1,0)</f>
        <v>0</v>
      </c>
      <c r="AC398" s="7">
        <f>IF(B398=1,0,IF(NOT(ISNUMBER(Raw_Bookings!J398)),1,IF(Raw_Bookings!J398&lt;&gt;COUNTIFS(Work_Passengers!$B$2:$B$1336,Raw_Bookings!A398,Work_Passengers!$C$2:$C$1336,0),1,0)))</f>
        <v>0</v>
      </c>
    </row>
    <row r="399" spans="1:29">
      <c r="A399" s="7">
        <f>Raw_Bookings!A399</f>
        <v>1133994</v>
      </c>
      <c r="B399" s="7">
        <f>IF(COUNTIF(Raw_Bookings!$A$2:A399,Raw_Bookings!A399)&gt;1,1,0)</f>
        <v>0</v>
      </c>
      <c r="C399" s="7" t="str">
        <f>Raw_Bookings!D399&amp;""</f>
        <v>2026-01-07</v>
      </c>
      <c r="D399" s="7" t="str">
        <f>IF(AND(LEN(C399)=10,MID(C399,5,1)="-",MID(C399,8,1)="-"),"ISO",IF(AND(LEN(C399)=10,MID(C399,3,1)="-",MID(C399,6,1)="-"),"DMY","OTHER"))</f>
        <v>ISO</v>
      </c>
      <c r="E399" s="7">
        <f>IF(D399="ISO",VALUE(LEFT(C399,4)),IF(D399="DMY",VALUE(RIGHT(C399,4)),0))</f>
        <v>2026</v>
      </c>
      <c r="F399" s="7">
        <f>IF(D399="ISO",VALUE(MID(C399,6,2)),IF(D399="DMY",VALUE(MID(C399,4,2)),0))</f>
        <v>1</v>
      </c>
      <c r="G399" s="7">
        <f>IF(D399="ISO",VALUE(RIGHT(C399,2)),IF(D399="DMY",VALUE(LEFT(C399,2)),0))</f>
        <v>7</v>
      </c>
      <c r="H399" s="7">
        <f>IF(AND(D399&lt;&gt;"OTHER",F399&gt;=1,F399&lt;=12,G399&gt;=1,G399&lt;=31),IF(AND(MONTH(DATE(E399,F399,G399))=F399,DAY(DATE(E399,F399,G399))=G399),1,0),0)</f>
        <v>1</v>
      </c>
      <c r="I399" s="7">
        <f>IF(H399=1,DATE(E399,F399,G399),"")</f>
        <v>46029.0</v>
      </c>
      <c r="J399" s="7">
        <f>IF(AND(D399="DMY",H399=1),1,0)</f>
        <v>0</v>
      </c>
      <c r="K399" s="7">
        <f>IF(H399=0,1,0)</f>
        <v>0</v>
      </c>
      <c r="L399" s="7">
        <f>IF(TRIM(Raw_Bookings!I399&amp;"")="",1,0)</f>
        <v>0</v>
      </c>
      <c r="M399" s="7">
        <f>IF(L399=1,"",DATEVALUE(LEFT(Raw_Bookings!I399,10))+TIMEVALUE(MID(Raw_Bookings!I399,12,8)))</f>
        <v>46009.77253472222</v>
      </c>
      <c r="N399" s="7">
        <f>IF(AND(L399=0,H399=1),IF(INT(M399)&gt;I399,1,0),0)</f>
        <v>0</v>
      </c>
      <c r="O399" s="7" t="str">
        <f>UPPER(TRIM(Raw_Bookings!F399))</f>
        <v>CHA</v>
      </c>
      <c r="P399" s="7" t="str">
        <f>UPPER(TRIM(Raw_Bookings!G399))</f>
        <v>VIS</v>
      </c>
      <c r="Q399" s="7">
        <f>IF(COUNTIF(Lookup_Stations!$A$2:$A$33,O399)&gt;0,1,0)</f>
        <v>1</v>
      </c>
      <c r="R399" s="7">
        <f>IF(COUNTIF(Lookup_Stations!$A$2:$A$33,P399)&gt;0,1,0)</f>
        <v>1</v>
      </c>
      <c r="S399" s="7">
        <f>IF(OR(AND(Q399=1,NOT(EXACT(Raw_Bookings!F399,O399))),AND(R399=1,NOT(EXACT(Raw_Bookings!G399,P399)))),1,0)</f>
        <v>0</v>
      </c>
      <c r="T399" s="7">
        <f>IF(OR(Q399=0,R399=0),1,0)</f>
        <v>0</v>
      </c>
      <c r="U399" s="7">
        <f>IF(TRIM(Raw_Bookings!E399&amp;"")="",1,0)</f>
        <v>0</v>
      </c>
      <c r="V399" s="7" t="str">
        <f>IF(SUMPRODUCT(--(Lookup_Status!$A$2:$A$13=LOWER(TRIM(Raw_Bookings!K399))))=0,"",INDEX(Lookup_Status!$B$2:$B$13,SUMPRODUCT((Lookup_Status!$A$2:$A$13=LOWER(TRIM(Raw_Bookings!K399)))*(ROW(Lookup_Status!$A$2:$A$13)-1))))</f>
        <v>Confirmed</v>
      </c>
      <c r="W399" s="7">
        <f>IF(AND(V399&lt;&gt;"",NOT(EXACT(Raw_Bookings!K399,V399))),1,0)</f>
        <v>0</v>
      </c>
      <c r="X399" s="7">
        <f>IF(V399="",1,0)</f>
        <v>0</v>
      </c>
      <c r="Y399" s="7">
        <f>IF(TRIM(Raw_Bookings!L399&amp;"")="",1,0)</f>
        <v>0</v>
      </c>
      <c r="Z399" s="7">
        <f>IF(AND(ISTEXT(Raw_Bookings!L399),Y399=0),1,0)</f>
        <v>0</v>
      </c>
      <c r="AA399" s="7">
        <f>IF(Z399=1,IFERROR(VALUE(SUBSTITUTE(SUBSTITUTE(SUBSTITUTE(SUBSTITUTE(SUBSTITUTE(UPPER(Raw_Bookings!L399),"RS.",""),"₹",""),",","")," ",""),"INR","")),""),"")</f>
        <v/>
      </c>
      <c r="AB399" s="7">
        <f>IF(AND(Z399=1,ISNUMBER(AA399)),1,0)</f>
        <v>0</v>
      </c>
      <c r="AC399" s="7">
        <f>IF(B399=1,0,IF(NOT(ISNUMBER(Raw_Bookings!J399)),1,IF(Raw_Bookings!J399&lt;&gt;COUNTIFS(Work_Passengers!$B$2:$B$1336,Raw_Bookings!A399,Work_Passengers!$C$2:$C$1336,0),1,0)))</f>
        <v>0</v>
      </c>
    </row>
    <row r="400" spans="1:29">
      <c r="A400" s="7">
        <f>Raw_Bookings!A400</f>
        <v>1134104</v>
      </c>
      <c r="B400" s="7">
        <f>IF(COUNTIF(Raw_Bookings!$A$2:A400,Raw_Bookings!A400)&gt;1,1,0)</f>
        <v>0</v>
      </c>
      <c r="C400" s="7" t="str">
        <f>Raw_Bookings!D400&amp;""</f>
        <v>2026-02-05</v>
      </c>
      <c r="D400" s="7" t="str">
        <f>IF(AND(LEN(C400)=10,MID(C400,5,1)="-",MID(C400,8,1)="-"),"ISO",IF(AND(LEN(C400)=10,MID(C400,3,1)="-",MID(C400,6,1)="-"),"DMY","OTHER"))</f>
        <v>ISO</v>
      </c>
      <c r="E400" s="7">
        <f>IF(D400="ISO",VALUE(LEFT(C400,4)),IF(D400="DMY",VALUE(RIGHT(C400,4)),0))</f>
        <v>2026</v>
      </c>
      <c r="F400" s="7">
        <f>IF(D400="ISO",VALUE(MID(C400,6,2)),IF(D400="DMY",VALUE(MID(C400,4,2)),0))</f>
        <v>2</v>
      </c>
      <c r="G400" s="7">
        <f>IF(D400="ISO",VALUE(RIGHT(C400,2)),IF(D400="DMY",VALUE(LEFT(C400,2)),0))</f>
        <v>5</v>
      </c>
      <c r="H400" s="7">
        <f>IF(AND(D400&lt;&gt;"OTHER",F400&gt;=1,F400&lt;=12,G400&gt;=1,G400&lt;=31),IF(AND(MONTH(DATE(E400,F400,G400))=F400,DAY(DATE(E400,F400,G400))=G400),1,0),0)</f>
        <v>1</v>
      </c>
      <c r="I400" s="7">
        <f>IF(H400=1,DATE(E400,F400,G400),"")</f>
        <v>46058.0</v>
      </c>
      <c r="J400" s="7">
        <f>IF(AND(D400="DMY",H400=1),1,0)</f>
        <v>0</v>
      </c>
      <c r="K400" s="7">
        <f>IF(H400=0,1,0)</f>
        <v>0</v>
      </c>
      <c r="L400" s="7">
        <f>IF(TRIM(Raw_Bookings!I400&amp;"")="",1,0)</f>
        <v>0</v>
      </c>
      <c r="M400" s="7">
        <f>IF(L400=1,"",DATEVALUE(LEFT(Raw_Bookings!I400,10))+TIMEVALUE(MID(Raw_Bookings!I400,12,8)))</f>
        <v>46010.24932870371</v>
      </c>
      <c r="N400" s="7">
        <f>IF(AND(L400=0,H400=1),IF(INT(M400)&gt;I400,1,0),0)</f>
        <v>0</v>
      </c>
      <c r="O400" s="7" t="str">
        <f>UPPER(TRIM(Raw_Bookings!F400))</f>
        <v>DEL</v>
      </c>
      <c r="P400" s="7" t="str">
        <f>UPPER(TRIM(Raw_Bookings!G400))</f>
        <v>DIB</v>
      </c>
      <c r="Q400" s="7">
        <f>IF(COUNTIF(Lookup_Stations!$A$2:$A$33,O400)&gt;0,1,0)</f>
        <v>1</v>
      </c>
      <c r="R400" s="7">
        <f>IF(COUNTIF(Lookup_Stations!$A$2:$A$33,P400)&gt;0,1,0)</f>
        <v>1</v>
      </c>
      <c r="S400" s="7">
        <f>IF(OR(AND(Q400=1,NOT(EXACT(Raw_Bookings!F400,O400))),AND(R400=1,NOT(EXACT(Raw_Bookings!G400,P400)))),1,0)</f>
        <v>0</v>
      </c>
      <c r="T400" s="7">
        <f>IF(OR(Q400=0,R400=0),1,0)</f>
        <v>0</v>
      </c>
      <c r="U400" s="7">
        <f>IF(TRIM(Raw_Bookings!E400&amp;"")="",1,0)</f>
        <v>0</v>
      </c>
      <c r="V400" s="7" t="str">
        <f>IF(SUMPRODUCT(--(Lookup_Status!$A$2:$A$13=LOWER(TRIM(Raw_Bookings!K400))))=0,"",INDEX(Lookup_Status!$B$2:$B$13,SUMPRODUCT((Lookup_Status!$A$2:$A$13=LOWER(TRIM(Raw_Bookings!K400)))*(ROW(Lookup_Status!$A$2:$A$13)-1))))</f>
        <v>Confirmed</v>
      </c>
      <c r="W400" s="7">
        <f>IF(AND(V400&lt;&gt;"",NOT(EXACT(Raw_Bookings!K400,V400))),1,0)</f>
        <v>0</v>
      </c>
      <c r="X400" s="7">
        <f>IF(V400="",1,0)</f>
        <v>0</v>
      </c>
      <c r="Y400" s="7">
        <f>IF(TRIM(Raw_Bookings!L400&amp;"")="",1,0)</f>
        <v>0</v>
      </c>
      <c r="Z400" s="7">
        <f>IF(AND(ISTEXT(Raw_Bookings!L400),Y400=0),1,0)</f>
        <v>0</v>
      </c>
      <c r="AA400" s="7">
        <f>IF(Z400=1,IFERROR(VALUE(SUBSTITUTE(SUBSTITUTE(SUBSTITUTE(SUBSTITUTE(SUBSTITUTE(UPPER(Raw_Bookings!L400),"RS.",""),"₹",""),",","")," ",""),"INR","")),""),"")</f>
        <v/>
      </c>
      <c r="AB400" s="7">
        <f>IF(AND(Z400=1,ISNUMBER(AA400)),1,0)</f>
        <v>0</v>
      </c>
      <c r="AC400" s="7">
        <f>IF(B400=1,0,IF(NOT(ISNUMBER(Raw_Bookings!J400)),1,IF(Raw_Bookings!J400&lt;&gt;COUNTIFS(Work_Passengers!$B$2:$B$1336,Raw_Bookings!A400,Work_Passengers!$C$2:$C$1336,0),1,0)))</f>
        <v>0</v>
      </c>
    </row>
    <row r="401" spans="1:29">
      <c r="A401" s="7">
        <f>Raw_Bookings!A401</f>
        <v>1134219</v>
      </c>
      <c r="B401" s="7">
        <f>IF(COUNTIF(Raw_Bookings!$A$2:A401,Raw_Bookings!A401)&gt;1,1,0)</f>
        <v>0</v>
      </c>
      <c r="C401" s="7" t="str">
        <f>Raw_Bookings!D401&amp;""</f>
        <v>2026-01-17</v>
      </c>
      <c r="D401" s="7" t="str">
        <f>IF(AND(LEN(C401)=10,MID(C401,5,1)="-",MID(C401,8,1)="-"),"ISO",IF(AND(LEN(C401)=10,MID(C401,3,1)="-",MID(C401,6,1)="-"),"DMY","OTHER"))</f>
        <v>ISO</v>
      </c>
      <c r="E401" s="7">
        <f>IF(D401="ISO",VALUE(LEFT(C401,4)),IF(D401="DMY",VALUE(RIGHT(C401,4)),0))</f>
        <v>2026</v>
      </c>
      <c r="F401" s="7">
        <f>IF(D401="ISO",VALUE(MID(C401,6,2)),IF(D401="DMY",VALUE(MID(C401,4,2)),0))</f>
        <v>1</v>
      </c>
      <c r="G401" s="7">
        <f>IF(D401="ISO",VALUE(RIGHT(C401,2)),IF(D401="DMY",VALUE(LEFT(C401,2)),0))</f>
        <v>17</v>
      </c>
      <c r="H401" s="7">
        <f>IF(AND(D401&lt;&gt;"OTHER",F401&gt;=1,F401&lt;=12,G401&gt;=1,G401&lt;=31),IF(AND(MONTH(DATE(E401,F401,G401))=F401,DAY(DATE(E401,F401,G401))=G401),1,0),0)</f>
        <v>1</v>
      </c>
      <c r="I401" s="7">
        <f>IF(H401=1,DATE(E401,F401,G401),"")</f>
        <v>46039.0</v>
      </c>
      <c r="J401" s="7">
        <f>IF(AND(D401="DMY",H401=1),1,0)</f>
        <v>0</v>
      </c>
      <c r="K401" s="7">
        <f>IF(H401=0,1,0)</f>
        <v>0</v>
      </c>
      <c r="L401" s="7">
        <f>IF(TRIM(Raw_Bookings!I401&amp;"")="",1,0)</f>
        <v>0</v>
      </c>
      <c r="M401" s="7">
        <f>IF(L401=1,"",DATEVALUE(LEFT(Raw_Bookings!I401,10))+TIMEVALUE(MID(Raw_Bookings!I401,12,8)))</f>
        <v>46010.562210648146</v>
      </c>
      <c r="N401" s="7">
        <f>IF(AND(L401=0,H401=1),IF(INT(M401)&gt;I401,1,0),0)</f>
        <v>0</v>
      </c>
      <c r="O401" s="7" t="str">
        <f>UPPER(TRIM(Raw_Bookings!F401))</f>
        <v>DIB</v>
      </c>
      <c r="P401" s="7" t="str">
        <f>UPPER(TRIM(Raw_Bookings!G401))</f>
        <v>DEL</v>
      </c>
      <c r="Q401" s="7">
        <f>IF(COUNTIF(Lookup_Stations!$A$2:$A$33,O401)&gt;0,1,0)</f>
        <v>1</v>
      </c>
      <c r="R401" s="7">
        <f>IF(COUNTIF(Lookup_Stations!$A$2:$A$33,P401)&gt;0,1,0)</f>
        <v>1</v>
      </c>
      <c r="S401" s="7">
        <f>IF(OR(AND(Q401=1,NOT(EXACT(Raw_Bookings!F401,O401))),AND(R401=1,NOT(EXACT(Raw_Bookings!G401,P401)))),1,0)</f>
        <v>0</v>
      </c>
      <c r="T401" s="7">
        <f>IF(OR(Q401=0,R401=0),1,0)</f>
        <v>0</v>
      </c>
      <c r="U401" s="7">
        <f>IF(TRIM(Raw_Bookings!E401&amp;"")="",1,0)</f>
        <v>0</v>
      </c>
      <c r="V401" s="7" t="str">
        <f>IF(SUMPRODUCT(--(Lookup_Status!$A$2:$A$13=LOWER(TRIM(Raw_Bookings!K401))))=0,"",INDEX(Lookup_Status!$B$2:$B$13,SUMPRODUCT((Lookup_Status!$A$2:$A$13=LOWER(TRIM(Raw_Bookings!K401)))*(ROW(Lookup_Status!$A$2:$A$13)-1))))</f>
        <v>Confirmed</v>
      </c>
      <c r="W401" s="7">
        <f>IF(AND(V401&lt;&gt;"",NOT(EXACT(Raw_Bookings!K401,V401))),1,0)</f>
        <v>0</v>
      </c>
      <c r="X401" s="7">
        <f>IF(V401="",1,0)</f>
        <v>0</v>
      </c>
      <c r="Y401" s="7">
        <f>IF(TRIM(Raw_Bookings!L401&amp;"")="",1,0)</f>
        <v>0</v>
      </c>
      <c r="Z401" s="7">
        <f>IF(AND(ISTEXT(Raw_Bookings!L401),Y401=0),1,0)</f>
        <v>0</v>
      </c>
      <c r="AA401" s="7">
        <f>IF(Z401=1,IFERROR(VALUE(SUBSTITUTE(SUBSTITUTE(SUBSTITUTE(SUBSTITUTE(SUBSTITUTE(UPPER(Raw_Bookings!L401),"RS.",""),"₹",""),",","")," ",""),"INR","")),""),"")</f>
        <v/>
      </c>
      <c r="AB401" s="7">
        <f>IF(AND(Z401=1,ISNUMBER(AA401)),1,0)</f>
        <v>0</v>
      </c>
      <c r="AC401" s="7">
        <f>IF(B401=1,0,IF(NOT(ISNUMBER(Raw_Bookings!J401)),1,IF(Raw_Bookings!J401&lt;&gt;COUNTIFS(Work_Passengers!$B$2:$B$1336,Raw_Bookings!A401,Work_Passengers!$C$2:$C$1336,0),1,0)))</f>
        <v>0</v>
      </c>
    </row>
    <row r="402" spans="1:29">
      <c r="A402" s="7">
        <f>Raw_Bookings!A402</f>
        <v>1134307</v>
      </c>
      <c r="B402" s="7">
        <f>IF(COUNTIF(Raw_Bookings!$A$2:A402,Raw_Bookings!A402)&gt;1,1,0)</f>
        <v>0</v>
      </c>
      <c r="C402" s="7" t="str">
        <f>Raw_Bookings!D402&amp;""</f>
        <v>2025-12-29</v>
      </c>
      <c r="D402" s="7" t="str">
        <f>IF(AND(LEN(C402)=10,MID(C402,5,1)="-",MID(C402,8,1)="-"),"ISO",IF(AND(LEN(C402)=10,MID(C402,3,1)="-",MID(C402,6,1)="-"),"DMY","OTHER"))</f>
        <v>ISO</v>
      </c>
      <c r="E402" s="7">
        <f>IF(D402="ISO",VALUE(LEFT(C402,4)),IF(D402="DMY",VALUE(RIGHT(C402,4)),0))</f>
        <v>2025</v>
      </c>
      <c r="F402" s="7">
        <f>IF(D402="ISO",VALUE(MID(C402,6,2)),IF(D402="DMY",VALUE(MID(C402,4,2)),0))</f>
        <v>12</v>
      </c>
      <c r="G402" s="7">
        <f>IF(D402="ISO",VALUE(RIGHT(C402,2)),IF(D402="DMY",VALUE(LEFT(C402,2)),0))</f>
        <v>29</v>
      </c>
      <c r="H402" s="7">
        <f>IF(AND(D402&lt;&gt;"OTHER",F402&gt;=1,F402&lt;=12,G402&gt;=1,G402&lt;=31),IF(AND(MONTH(DATE(E402,F402,G402))=F402,DAY(DATE(E402,F402,G402))=G402),1,0),0)</f>
        <v>1</v>
      </c>
      <c r="I402" s="7">
        <f>IF(H402=1,DATE(E402,F402,G402),"")</f>
        <v>46020.0</v>
      </c>
      <c r="J402" s="7">
        <f>IF(AND(D402="DMY",H402=1),1,0)</f>
        <v>0</v>
      </c>
      <c r="K402" s="7">
        <f>IF(H402=0,1,0)</f>
        <v>0</v>
      </c>
      <c r="L402" s="7">
        <f>IF(TRIM(Raw_Bookings!I402&amp;"")="",1,0)</f>
        <v>0</v>
      </c>
      <c r="M402" s="7">
        <f>IF(L402=1,"",DATEVALUE(LEFT(Raw_Bookings!I402,10))+TIMEVALUE(MID(Raw_Bookings!I402,12,8)))</f>
        <v>46010.789039351854</v>
      </c>
      <c r="N402" s="7">
        <f>IF(AND(L402=0,H402=1),IF(INT(M402)&gt;I402,1,0),0)</f>
        <v>0</v>
      </c>
      <c r="O402" s="7" t="str">
        <f>UPPER(TRIM(Raw_Bookings!F402))</f>
        <v>AHM</v>
      </c>
      <c r="P402" s="7" t="str">
        <f>UPPER(TRIM(Raw_Bookings!G402))</f>
        <v>CHE</v>
      </c>
      <c r="Q402" s="7">
        <f>IF(COUNTIF(Lookup_Stations!$A$2:$A$33,O402)&gt;0,1,0)</f>
        <v>1</v>
      </c>
      <c r="R402" s="7">
        <f>IF(COUNTIF(Lookup_Stations!$A$2:$A$33,P402)&gt;0,1,0)</f>
        <v>1</v>
      </c>
      <c r="S402" s="7">
        <f>IF(OR(AND(Q402=1,NOT(EXACT(Raw_Bookings!F402,O402))),AND(R402=1,NOT(EXACT(Raw_Bookings!G402,P402)))),1,0)</f>
        <v>0</v>
      </c>
      <c r="T402" s="7">
        <f>IF(OR(Q402=0,R402=0),1,0)</f>
        <v>0</v>
      </c>
      <c r="U402" s="7">
        <f>IF(TRIM(Raw_Bookings!E402&amp;"")="",1,0)</f>
        <v>0</v>
      </c>
      <c r="V402" s="7" t="str">
        <f>IF(SUMPRODUCT(--(Lookup_Status!$A$2:$A$13=LOWER(TRIM(Raw_Bookings!K402))))=0,"",INDEX(Lookup_Status!$B$2:$B$13,SUMPRODUCT((Lookup_Status!$A$2:$A$13=LOWER(TRIM(Raw_Bookings!K402)))*(ROW(Lookup_Status!$A$2:$A$13)-1))))</f>
        <v>Confirmed</v>
      </c>
      <c r="W402" s="7">
        <f>IF(AND(V402&lt;&gt;"",NOT(EXACT(Raw_Bookings!K402,V402))),1,0)</f>
        <v>0</v>
      </c>
      <c r="X402" s="7">
        <f>IF(V402="",1,0)</f>
        <v>0</v>
      </c>
      <c r="Y402" s="7">
        <f>IF(TRIM(Raw_Bookings!L402&amp;"")="",1,0)</f>
        <v>0</v>
      </c>
      <c r="Z402" s="7">
        <f>IF(AND(ISTEXT(Raw_Bookings!L402),Y402=0),1,0)</f>
        <v>0</v>
      </c>
      <c r="AA402" s="7">
        <f>IF(Z402=1,IFERROR(VALUE(SUBSTITUTE(SUBSTITUTE(SUBSTITUTE(SUBSTITUTE(SUBSTITUTE(UPPER(Raw_Bookings!L402),"RS.",""),"₹",""),",","")," ",""),"INR","")),""),"")</f>
        <v/>
      </c>
      <c r="AB402" s="7">
        <f>IF(AND(Z402=1,ISNUMBER(AA402)),1,0)</f>
        <v>0</v>
      </c>
      <c r="AC402" s="7">
        <f>IF(B402=1,0,IF(NOT(ISNUMBER(Raw_Bookings!J402)),1,IF(Raw_Bookings!J402&lt;&gt;COUNTIFS(Work_Passengers!$B$2:$B$1336,Raw_Bookings!A402,Work_Passengers!$C$2:$C$1336,0),1,0)))</f>
        <v>0</v>
      </c>
    </row>
    <row r="403" spans="1:29">
      <c r="A403" s="7">
        <f>Raw_Bookings!A403</f>
        <v>1136744</v>
      </c>
      <c r="B403" s="7">
        <f>IF(COUNTIF(Raw_Bookings!$A$2:A403,Raw_Bookings!A403)&gt;1,1,0)</f>
        <v>0</v>
      </c>
      <c r="C403" s="7" t="str">
        <f>Raw_Bookings!D403&amp;""</f>
        <v>2025-12-30</v>
      </c>
      <c r="D403" s="7" t="str">
        <f>IF(AND(LEN(C403)=10,MID(C403,5,1)="-",MID(C403,8,1)="-"),"ISO",IF(AND(LEN(C403)=10,MID(C403,3,1)="-",MID(C403,6,1)="-"),"DMY","OTHER"))</f>
        <v>ISO</v>
      </c>
      <c r="E403" s="7">
        <f>IF(D403="ISO",VALUE(LEFT(C403,4)),IF(D403="DMY",VALUE(RIGHT(C403,4)),0))</f>
        <v>2025</v>
      </c>
      <c r="F403" s="7">
        <f>IF(D403="ISO",VALUE(MID(C403,6,2)),IF(D403="DMY",VALUE(MID(C403,4,2)),0))</f>
        <v>12</v>
      </c>
      <c r="G403" s="7">
        <f>IF(D403="ISO",VALUE(RIGHT(C403,2)),IF(D403="DMY",VALUE(LEFT(C403,2)),0))</f>
        <v>30</v>
      </c>
      <c r="H403" s="7">
        <f>IF(AND(D403&lt;&gt;"OTHER",F403&gt;=1,F403&lt;=12,G403&gt;=1,G403&lt;=31),IF(AND(MONTH(DATE(E403,F403,G403))=F403,DAY(DATE(E403,F403,G403))=G403),1,0),0)</f>
        <v>1</v>
      </c>
      <c r="I403" s="7">
        <f>IF(H403=1,DATE(E403,F403,G403),"")</f>
        <v>46021.0</v>
      </c>
      <c r="J403" s="7">
        <f>IF(AND(D403="DMY",H403=1),1,0)</f>
        <v>0</v>
      </c>
      <c r="K403" s="7">
        <f>IF(H403=0,1,0)</f>
        <v>0</v>
      </c>
      <c r="L403" s="7">
        <f>IF(TRIM(Raw_Bookings!I403&amp;"")="",1,0)</f>
        <v>0</v>
      </c>
      <c r="M403" s="7">
        <f>IF(L403=1,"",DATEVALUE(LEFT(Raw_Bookings!I403,10))+TIMEVALUE(MID(Raw_Bookings!I403,12,8)))</f>
        <v>46019.81028935185</v>
      </c>
      <c r="N403" s="7">
        <f>IF(AND(L403=0,H403=1),IF(INT(M403)&gt;I403,1,0),0)</f>
        <v>0</v>
      </c>
      <c r="O403" s="7" t="str">
        <f>UPPER(TRIM(Raw_Bookings!F403))</f>
        <v>DEL</v>
      </c>
      <c r="P403" s="7" t="str">
        <f>UPPER(TRIM(Raw_Bookings!G403))</f>
        <v>MAU</v>
      </c>
      <c r="Q403" s="7">
        <f>IF(COUNTIF(Lookup_Stations!$A$2:$A$33,O403)&gt;0,1,0)</f>
        <v>1</v>
      </c>
      <c r="R403" s="7">
        <f>IF(COUNTIF(Lookup_Stations!$A$2:$A$33,P403)&gt;0,1,0)</f>
        <v>1</v>
      </c>
      <c r="S403" s="7">
        <f>IF(OR(AND(Q403=1,NOT(EXACT(Raw_Bookings!F403,O403))),AND(R403=1,NOT(EXACT(Raw_Bookings!G403,P403)))),1,0)</f>
        <v>0</v>
      </c>
      <c r="T403" s="7">
        <f>IF(OR(Q403=0,R403=0),1,0)</f>
        <v>0</v>
      </c>
      <c r="U403" s="7">
        <f>IF(TRIM(Raw_Bookings!E403&amp;"")="",1,0)</f>
        <v>0</v>
      </c>
      <c r="V403" s="7" t="str">
        <f>IF(SUMPRODUCT(--(Lookup_Status!$A$2:$A$13=LOWER(TRIM(Raw_Bookings!K403))))=0,"",INDEX(Lookup_Status!$B$2:$B$13,SUMPRODUCT((Lookup_Status!$A$2:$A$13=LOWER(TRIM(Raw_Bookings!K403)))*(ROW(Lookup_Status!$A$2:$A$13)-1))))</f>
        <v>Confirmed</v>
      </c>
      <c r="W403" s="7">
        <f>IF(AND(V403&lt;&gt;"",NOT(EXACT(Raw_Bookings!K403,V403))),1,0)</f>
        <v>0</v>
      </c>
      <c r="X403" s="7">
        <f>IF(V403="",1,0)</f>
        <v>0</v>
      </c>
      <c r="Y403" s="7">
        <f>IF(TRIM(Raw_Bookings!L403&amp;"")="",1,0)</f>
        <v>0</v>
      </c>
      <c r="Z403" s="7">
        <f>IF(AND(ISTEXT(Raw_Bookings!L403),Y403=0),1,0)</f>
        <v>0</v>
      </c>
      <c r="AA403" s="7">
        <f>IF(Z403=1,IFERROR(VALUE(SUBSTITUTE(SUBSTITUTE(SUBSTITUTE(SUBSTITUTE(SUBSTITUTE(UPPER(Raw_Bookings!L403),"RS.",""),"₹",""),",","")," ",""),"INR","")),""),"")</f>
        <v/>
      </c>
      <c r="AB403" s="7">
        <f>IF(AND(Z403=1,ISNUMBER(AA403)),1,0)</f>
        <v>0</v>
      </c>
      <c r="AC403" s="7">
        <f>IF(B403=1,0,IF(NOT(ISNUMBER(Raw_Bookings!J403)),1,IF(Raw_Bookings!J403&lt;&gt;COUNTIFS(Work_Passengers!$B$2:$B$1336,Raw_Bookings!A403,Work_Passengers!$C$2:$C$1336,0),1,0)))</f>
        <v>0</v>
      </c>
    </row>
    <row r="404" spans="1:29">
      <c r="A404" s="7">
        <f>Raw_Bookings!A404</f>
        <v>1136796</v>
      </c>
      <c r="B404" s="7">
        <f>IF(COUNTIF(Raw_Bookings!$A$2:A404,Raw_Bookings!A404)&gt;1,1,0)</f>
        <v>0</v>
      </c>
      <c r="C404" s="7" t="str">
        <f>Raw_Bookings!D404&amp;""</f>
        <v>2026-04-18</v>
      </c>
      <c r="D404" s="7" t="str">
        <f>IF(AND(LEN(C404)=10,MID(C404,5,1)="-",MID(C404,8,1)="-"),"ISO",IF(AND(LEN(C404)=10,MID(C404,3,1)="-",MID(C404,6,1)="-"),"DMY","OTHER"))</f>
        <v>ISO</v>
      </c>
      <c r="E404" s="7">
        <f>IF(D404="ISO",VALUE(LEFT(C404,4)),IF(D404="DMY",VALUE(RIGHT(C404,4)),0))</f>
        <v>2026</v>
      </c>
      <c r="F404" s="7">
        <f>IF(D404="ISO",VALUE(MID(C404,6,2)),IF(D404="DMY",VALUE(MID(C404,4,2)),0))</f>
        <v>4</v>
      </c>
      <c r="G404" s="7">
        <f>IF(D404="ISO",VALUE(RIGHT(C404,2)),IF(D404="DMY",VALUE(LEFT(C404,2)),0))</f>
        <v>18</v>
      </c>
      <c r="H404" s="7">
        <f>IF(AND(D404&lt;&gt;"OTHER",F404&gt;=1,F404&lt;=12,G404&gt;=1,G404&lt;=31),IF(AND(MONTH(DATE(E404,F404,G404))=F404,DAY(DATE(E404,F404,G404))=G404),1,0),0)</f>
        <v>1</v>
      </c>
      <c r="I404" s="7">
        <f>IF(H404=1,DATE(E404,F404,G404),"")</f>
        <v>46130.0</v>
      </c>
      <c r="J404" s="7">
        <f>IF(AND(D404="DMY",H404=1),1,0)</f>
        <v>0</v>
      </c>
      <c r="K404" s="7">
        <f>IF(H404=0,1,0)</f>
        <v>0</v>
      </c>
      <c r="L404" s="7">
        <f>IF(TRIM(Raw_Bookings!I404&amp;"")="",1,0)</f>
        <v>0</v>
      </c>
      <c r="M404" s="7">
        <f>IF(L404=1,"",DATEVALUE(LEFT(Raw_Bookings!I404,10))+TIMEVALUE(MID(Raw_Bookings!I404,12,8)))</f>
        <v>46019.94982638889</v>
      </c>
      <c r="N404" s="7">
        <f>IF(AND(L404=0,H404=1),IF(INT(M404)&gt;I404,1,0),0)</f>
        <v>0</v>
      </c>
      <c r="O404" s="7" t="str">
        <f>UPPER(TRIM(Raw_Bookings!F404))</f>
        <v>GUW</v>
      </c>
      <c r="P404" s="7" t="str">
        <f>UPPER(TRIM(Raw_Bookings!G404))</f>
        <v>BHO</v>
      </c>
      <c r="Q404" s="7">
        <f>IF(COUNTIF(Lookup_Stations!$A$2:$A$33,O404)&gt;0,1,0)</f>
        <v>1</v>
      </c>
      <c r="R404" s="7">
        <f>IF(COUNTIF(Lookup_Stations!$A$2:$A$33,P404)&gt;0,1,0)</f>
        <v>1</v>
      </c>
      <c r="S404" s="7">
        <f>IF(OR(AND(Q404=1,NOT(EXACT(Raw_Bookings!F404,O404))),AND(R404=1,NOT(EXACT(Raw_Bookings!G404,P404)))),1,0)</f>
        <v>0</v>
      </c>
      <c r="T404" s="7">
        <f>IF(OR(Q404=0,R404=0),1,0)</f>
        <v>0</v>
      </c>
      <c r="U404" s="7">
        <f>IF(TRIM(Raw_Bookings!E404&amp;"")="",1,0)</f>
        <v>0</v>
      </c>
      <c r="V404" s="7" t="str">
        <f>IF(SUMPRODUCT(--(Lookup_Status!$A$2:$A$13=LOWER(TRIM(Raw_Bookings!K404))))=0,"",INDEX(Lookup_Status!$B$2:$B$13,SUMPRODUCT((Lookup_Status!$A$2:$A$13=LOWER(TRIM(Raw_Bookings!K404)))*(ROW(Lookup_Status!$A$2:$A$13)-1))))</f>
        <v>Confirmed</v>
      </c>
      <c r="W404" s="7">
        <f>IF(AND(V404&lt;&gt;"",NOT(EXACT(Raw_Bookings!K404,V404))),1,0)</f>
        <v>0</v>
      </c>
      <c r="X404" s="7">
        <f>IF(V404="",1,0)</f>
        <v>0</v>
      </c>
      <c r="Y404" s="7">
        <f>IF(TRIM(Raw_Bookings!L404&amp;"")="",1,0)</f>
        <v>0</v>
      </c>
      <c r="Z404" s="7">
        <f>IF(AND(ISTEXT(Raw_Bookings!L404),Y404=0),1,0)</f>
        <v>0</v>
      </c>
      <c r="AA404" s="7">
        <f>IF(Z404=1,IFERROR(VALUE(SUBSTITUTE(SUBSTITUTE(SUBSTITUTE(SUBSTITUTE(SUBSTITUTE(UPPER(Raw_Bookings!L404),"RS.",""),"₹",""),",","")," ",""),"INR","")),""),"")</f>
        <v/>
      </c>
      <c r="AB404" s="7">
        <f>IF(AND(Z404=1,ISNUMBER(AA404)),1,0)</f>
        <v>0</v>
      </c>
      <c r="AC404" s="7">
        <f>IF(B404=1,0,IF(NOT(ISNUMBER(Raw_Bookings!J404)),1,IF(Raw_Bookings!J404&lt;&gt;COUNTIFS(Work_Passengers!$B$2:$B$1336,Raw_Bookings!A404,Work_Passengers!$C$2:$C$1336,0),1,0)))</f>
        <v>0</v>
      </c>
    </row>
    <row r="405" spans="1:29">
      <c r="A405" s="7">
        <f>Raw_Bookings!A405</f>
        <v>1137400</v>
      </c>
      <c r="B405" s="7">
        <f>IF(COUNTIF(Raw_Bookings!$A$2:A405,Raw_Bookings!A405)&gt;1,1,0)</f>
        <v>0</v>
      </c>
      <c r="C405" s="7" t="str">
        <f>Raw_Bookings!D405&amp;""</f>
        <v>2026-01-31</v>
      </c>
      <c r="D405" s="7" t="str">
        <f>IF(AND(LEN(C405)=10,MID(C405,5,1)="-",MID(C405,8,1)="-"),"ISO",IF(AND(LEN(C405)=10,MID(C405,3,1)="-",MID(C405,6,1)="-"),"DMY","OTHER"))</f>
        <v>ISO</v>
      </c>
      <c r="E405" s="7">
        <f>IF(D405="ISO",VALUE(LEFT(C405,4)),IF(D405="DMY",VALUE(RIGHT(C405,4)),0))</f>
        <v>2026</v>
      </c>
      <c r="F405" s="7">
        <f>IF(D405="ISO",VALUE(MID(C405,6,2)),IF(D405="DMY",VALUE(MID(C405,4,2)),0))</f>
        <v>1</v>
      </c>
      <c r="G405" s="7">
        <f>IF(D405="ISO",VALUE(RIGHT(C405,2)),IF(D405="DMY",VALUE(LEFT(C405,2)),0))</f>
        <v>31</v>
      </c>
      <c r="H405" s="7">
        <f>IF(AND(D405&lt;&gt;"OTHER",F405&gt;=1,F405&lt;=12,G405&gt;=1,G405&lt;=31),IF(AND(MONTH(DATE(E405,F405,G405))=F405,DAY(DATE(E405,F405,G405))=G405),1,0),0)</f>
        <v>1</v>
      </c>
      <c r="I405" s="7">
        <f>IF(H405=1,DATE(E405,F405,G405),"")</f>
        <v>46053.0</v>
      </c>
      <c r="J405" s="7">
        <f>IF(AND(D405="DMY",H405=1),1,0)</f>
        <v>0</v>
      </c>
      <c r="K405" s="7">
        <f>IF(H405=0,1,0)</f>
        <v>0</v>
      </c>
      <c r="L405" s="7">
        <f>IF(TRIM(Raw_Bookings!I405&amp;"")="",1,0)</f>
        <v>0</v>
      </c>
      <c r="M405" s="7">
        <f>IF(L405=1,"",DATEVALUE(LEFT(Raw_Bookings!I405,10))+TIMEVALUE(MID(Raw_Bookings!I405,12,8)))</f>
        <v>46022.294375</v>
      </c>
      <c r="N405" s="7">
        <f>IF(AND(L405=0,H405=1),IF(INT(M405)&gt;I405,1,0),0)</f>
        <v>0</v>
      </c>
      <c r="O405" s="7" t="str">
        <f>UPPER(TRIM(Raw_Bookings!F405))</f>
        <v>PAT</v>
      </c>
      <c r="P405" s="7" t="str">
        <f>UPPER(TRIM(Raw_Bookings!G405))</f>
        <v>VIJ</v>
      </c>
      <c r="Q405" s="7">
        <f>IF(COUNTIF(Lookup_Stations!$A$2:$A$33,O405)&gt;0,1,0)</f>
        <v>1</v>
      </c>
      <c r="R405" s="7">
        <f>IF(COUNTIF(Lookup_Stations!$A$2:$A$33,P405)&gt;0,1,0)</f>
        <v>1</v>
      </c>
      <c r="S405" s="7">
        <f>IF(OR(AND(Q405=1,NOT(EXACT(Raw_Bookings!F405,O405))),AND(R405=1,NOT(EXACT(Raw_Bookings!G405,P405)))),1,0)</f>
        <v>0</v>
      </c>
      <c r="T405" s="7">
        <f>IF(OR(Q405=0,R405=0),1,0)</f>
        <v>0</v>
      </c>
      <c r="U405" s="7">
        <f>IF(TRIM(Raw_Bookings!E405&amp;"")="",1,0)</f>
        <v>0</v>
      </c>
      <c r="V405" s="7" t="str">
        <f>IF(SUMPRODUCT(--(Lookup_Status!$A$2:$A$13=LOWER(TRIM(Raw_Bookings!K405))))=0,"",INDEX(Lookup_Status!$B$2:$B$13,SUMPRODUCT((Lookup_Status!$A$2:$A$13=LOWER(TRIM(Raw_Bookings!K405)))*(ROW(Lookup_Status!$A$2:$A$13)-1))))</f>
        <v>Confirmed</v>
      </c>
      <c r="W405" s="7">
        <f>IF(AND(V405&lt;&gt;"",NOT(EXACT(Raw_Bookings!K405,V405))),1,0)</f>
        <v>0</v>
      </c>
      <c r="X405" s="7">
        <f>IF(V405="",1,0)</f>
        <v>0</v>
      </c>
      <c r="Y405" s="7">
        <f>IF(TRIM(Raw_Bookings!L405&amp;"")="",1,0)</f>
        <v>0</v>
      </c>
      <c r="Z405" s="7">
        <f>IF(AND(ISTEXT(Raw_Bookings!L405),Y405=0),1,0)</f>
        <v>0</v>
      </c>
      <c r="AA405" s="7">
        <f>IF(Z405=1,IFERROR(VALUE(SUBSTITUTE(SUBSTITUTE(SUBSTITUTE(SUBSTITUTE(SUBSTITUTE(UPPER(Raw_Bookings!L405),"RS.",""),"₹",""),",","")," ",""),"INR","")),""),"")</f>
        <v/>
      </c>
      <c r="AB405" s="7">
        <f>IF(AND(Z405=1,ISNUMBER(AA405)),1,0)</f>
        <v>0</v>
      </c>
      <c r="AC405" s="7">
        <f>IF(B405=1,0,IF(NOT(ISNUMBER(Raw_Bookings!J405)),1,IF(Raw_Bookings!J405&lt;&gt;COUNTIFS(Work_Passengers!$B$2:$B$1336,Raw_Bookings!A405,Work_Passengers!$C$2:$C$1336,0),1,0)))</f>
        <v>0</v>
      </c>
    </row>
    <row r="406" spans="1:29">
      <c r="A406" s="7">
        <f>Raw_Bookings!A406</f>
        <v>1138455</v>
      </c>
      <c r="B406" s="7">
        <f>IF(COUNTIF(Raw_Bookings!$A$2:A406,Raw_Bookings!A406)&gt;1,1,0)</f>
        <v>0</v>
      </c>
      <c r="C406" s="7" t="str">
        <f>Raw_Bookings!D406&amp;""</f>
        <v>2026-01-07</v>
      </c>
      <c r="D406" s="7" t="str">
        <f>IF(AND(LEN(C406)=10,MID(C406,5,1)="-",MID(C406,8,1)="-"),"ISO",IF(AND(LEN(C406)=10,MID(C406,3,1)="-",MID(C406,6,1)="-"),"DMY","OTHER"))</f>
        <v>ISO</v>
      </c>
      <c r="E406" s="7">
        <f>IF(D406="ISO",VALUE(LEFT(C406,4)),IF(D406="DMY",VALUE(RIGHT(C406,4)),0))</f>
        <v>2026</v>
      </c>
      <c r="F406" s="7">
        <f>IF(D406="ISO",VALUE(MID(C406,6,2)),IF(D406="DMY",VALUE(MID(C406,4,2)),0))</f>
        <v>1</v>
      </c>
      <c r="G406" s="7">
        <f>IF(D406="ISO",VALUE(RIGHT(C406,2)),IF(D406="DMY",VALUE(LEFT(C406,2)),0))</f>
        <v>7</v>
      </c>
      <c r="H406" s="7">
        <f>IF(AND(D406&lt;&gt;"OTHER",F406&gt;=1,F406&lt;=12,G406&gt;=1,G406&lt;=31),IF(AND(MONTH(DATE(E406,F406,G406))=F406,DAY(DATE(E406,F406,G406))=G406),1,0),0)</f>
        <v>1</v>
      </c>
      <c r="I406" s="7">
        <f>IF(H406=1,DATE(E406,F406,G406),"")</f>
        <v>46029.0</v>
      </c>
      <c r="J406" s="7">
        <f>IF(AND(D406="DMY",H406=1),1,0)</f>
        <v>0</v>
      </c>
      <c r="K406" s="7">
        <f>IF(H406=0,1,0)</f>
        <v>0</v>
      </c>
      <c r="L406" s="7">
        <f>IF(TRIM(Raw_Bookings!I406&amp;"")="",1,0)</f>
        <v>0</v>
      </c>
      <c r="M406" s="7">
        <f>IF(L406=1,"",DATEVALUE(LEFT(Raw_Bookings!I406,10))+TIMEVALUE(MID(Raw_Bookings!I406,12,8)))</f>
        <v>46025.812372685185</v>
      </c>
      <c r="N406" s="7">
        <f>IF(AND(L406=0,H406=1),IF(INT(M406)&gt;I406,1,0),0)</f>
        <v>0</v>
      </c>
      <c r="O406" s="7" t="str">
        <f>UPPER(TRIM(Raw_Bookings!F406))</f>
        <v>KOL</v>
      </c>
      <c r="P406" s="7" t="str">
        <f>UPPER(TRIM(Raw_Bookings!G406))</f>
        <v>HYD</v>
      </c>
      <c r="Q406" s="7">
        <f>IF(COUNTIF(Lookup_Stations!$A$2:$A$33,O406)&gt;0,1,0)</f>
        <v>1</v>
      </c>
      <c r="R406" s="7">
        <f>IF(COUNTIF(Lookup_Stations!$A$2:$A$33,P406)&gt;0,1,0)</f>
        <v>1</v>
      </c>
      <c r="S406" s="7">
        <f>IF(OR(AND(Q406=1,NOT(EXACT(Raw_Bookings!F406,O406))),AND(R406=1,NOT(EXACT(Raw_Bookings!G406,P406)))),1,0)</f>
        <v>0</v>
      </c>
      <c r="T406" s="7">
        <f>IF(OR(Q406=0,R406=0),1,0)</f>
        <v>0</v>
      </c>
      <c r="U406" s="7">
        <f>IF(TRIM(Raw_Bookings!E406&amp;"")="",1,0)</f>
        <v>0</v>
      </c>
      <c r="V406" s="7" t="str">
        <f>IF(SUMPRODUCT(--(Lookup_Status!$A$2:$A$13=LOWER(TRIM(Raw_Bookings!K406))))=0,"",INDEX(Lookup_Status!$B$2:$B$13,SUMPRODUCT((Lookup_Status!$A$2:$A$13=LOWER(TRIM(Raw_Bookings!K406)))*(ROW(Lookup_Status!$A$2:$A$13)-1))))</f>
        <v>Mixed</v>
      </c>
      <c r="W406" s="7">
        <f>IF(AND(V406&lt;&gt;"",NOT(EXACT(Raw_Bookings!K406,V406))),1,0)</f>
        <v>0</v>
      </c>
      <c r="X406" s="7">
        <f>IF(V406="",1,0)</f>
        <v>0</v>
      </c>
      <c r="Y406" s="7">
        <f>IF(TRIM(Raw_Bookings!L406&amp;"")="",1,0)</f>
        <v>0</v>
      </c>
      <c r="Z406" s="7">
        <f>IF(AND(ISTEXT(Raw_Bookings!L406),Y406=0),1,0)</f>
        <v>0</v>
      </c>
      <c r="AA406" s="7">
        <f>IF(Z406=1,IFERROR(VALUE(SUBSTITUTE(SUBSTITUTE(SUBSTITUTE(SUBSTITUTE(SUBSTITUTE(UPPER(Raw_Bookings!L406),"RS.",""),"₹",""),",","")," ",""),"INR","")),""),"")</f>
        <v/>
      </c>
      <c r="AB406" s="7">
        <f>IF(AND(Z406=1,ISNUMBER(AA406)),1,0)</f>
        <v>0</v>
      </c>
      <c r="AC406" s="7">
        <f>IF(B406=1,0,IF(NOT(ISNUMBER(Raw_Bookings!J406)),1,IF(Raw_Bookings!J406&lt;&gt;COUNTIFS(Work_Passengers!$B$2:$B$1336,Raw_Bookings!A406,Work_Passengers!$C$2:$C$1336,0),1,0)))</f>
        <v>0</v>
      </c>
    </row>
    <row r="407" spans="1:29">
      <c r="A407" s="7">
        <f>Raw_Bookings!A407</f>
        <v>1138512</v>
      </c>
      <c r="B407" s="7">
        <f>IF(COUNTIF(Raw_Bookings!$A$2:A407,Raw_Bookings!A407)&gt;1,1,0)</f>
        <v>0</v>
      </c>
      <c r="C407" s="7" t="str">
        <f>Raw_Bookings!D407&amp;""</f>
        <v>2026-01-15</v>
      </c>
      <c r="D407" s="7" t="str">
        <f>IF(AND(LEN(C407)=10,MID(C407,5,1)="-",MID(C407,8,1)="-"),"ISO",IF(AND(LEN(C407)=10,MID(C407,3,1)="-",MID(C407,6,1)="-"),"DMY","OTHER"))</f>
        <v>ISO</v>
      </c>
      <c r="E407" s="7">
        <f>IF(D407="ISO",VALUE(LEFT(C407,4)),IF(D407="DMY",VALUE(RIGHT(C407,4)),0))</f>
        <v>2026</v>
      </c>
      <c r="F407" s="7">
        <f>IF(D407="ISO",VALUE(MID(C407,6,2)),IF(D407="DMY",VALUE(MID(C407,4,2)),0))</f>
        <v>1</v>
      </c>
      <c r="G407" s="7">
        <f>IF(D407="ISO",VALUE(RIGHT(C407,2)),IF(D407="DMY",VALUE(LEFT(C407,2)),0))</f>
        <v>15</v>
      </c>
      <c r="H407" s="7">
        <f>IF(AND(D407&lt;&gt;"OTHER",F407&gt;=1,F407&lt;=12,G407&gt;=1,G407&lt;=31),IF(AND(MONTH(DATE(E407,F407,G407))=F407,DAY(DATE(E407,F407,G407))=G407),1,0),0)</f>
        <v>1</v>
      </c>
      <c r="I407" s="7">
        <f>IF(H407=1,DATE(E407,F407,G407),"")</f>
        <v>46037.0</v>
      </c>
      <c r="J407" s="7">
        <f>IF(AND(D407="DMY",H407=1),1,0)</f>
        <v>0</v>
      </c>
      <c r="K407" s="7">
        <f>IF(H407=0,1,0)</f>
        <v>0</v>
      </c>
      <c r="L407" s="7">
        <f>IF(TRIM(Raw_Bookings!I407&amp;"")="",1,0)</f>
        <v>0</v>
      </c>
      <c r="M407" s="7">
        <f>IF(L407=1,"",DATEVALUE(LEFT(Raw_Bookings!I407,10))+TIMEVALUE(MID(Raw_Bookings!I407,12,8)))</f>
        <v>46025.92962962963</v>
      </c>
      <c r="N407" s="7">
        <f>IF(AND(L407=0,H407=1),IF(INT(M407)&gt;I407,1,0),0)</f>
        <v>0</v>
      </c>
      <c r="O407" s="7" t="str">
        <f>UPPER(TRIM(Raw_Bookings!F407))</f>
        <v>JOD</v>
      </c>
      <c r="P407" s="7" t="str">
        <f>UPPER(TRIM(Raw_Bookings!G407))</f>
        <v>BEN</v>
      </c>
      <c r="Q407" s="7">
        <f>IF(COUNTIF(Lookup_Stations!$A$2:$A$33,O407)&gt;0,1,0)</f>
        <v>1</v>
      </c>
      <c r="R407" s="7">
        <f>IF(COUNTIF(Lookup_Stations!$A$2:$A$33,P407)&gt;0,1,0)</f>
        <v>1</v>
      </c>
      <c r="S407" s="7">
        <f>IF(OR(AND(Q407=1,NOT(EXACT(Raw_Bookings!F407,O407))),AND(R407=1,NOT(EXACT(Raw_Bookings!G407,P407)))),1,0)</f>
        <v>0</v>
      </c>
      <c r="T407" s="7">
        <f>IF(OR(Q407=0,R407=0),1,0)</f>
        <v>0</v>
      </c>
      <c r="U407" s="7">
        <f>IF(TRIM(Raw_Bookings!E407&amp;"")="",1,0)</f>
        <v>0</v>
      </c>
      <c r="V407" s="7" t="str">
        <f>IF(SUMPRODUCT(--(Lookup_Status!$A$2:$A$13=LOWER(TRIM(Raw_Bookings!K407))))=0,"",INDEX(Lookup_Status!$B$2:$B$13,SUMPRODUCT((Lookup_Status!$A$2:$A$13=LOWER(TRIM(Raw_Bookings!K407)))*(ROW(Lookup_Status!$A$2:$A$13)-1))))</f>
        <v>Confirmed</v>
      </c>
      <c r="W407" s="7">
        <f>IF(AND(V407&lt;&gt;"",NOT(EXACT(Raw_Bookings!K407,V407))),1,0)</f>
        <v>0</v>
      </c>
      <c r="X407" s="7">
        <f>IF(V407="",1,0)</f>
        <v>0</v>
      </c>
      <c r="Y407" s="7">
        <f>IF(TRIM(Raw_Bookings!L407&amp;"")="",1,0)</f>
        <v>0</v>
      </c>
      <c r="Z407" s="7">
        <f>IF(AND(ISTEXT(Raw_Bookings!L407),Y407=0),1,0)</f>
        <v>0</v>
      </c>
      <c r="AA407" s="7">
        <f>IF(Z407=1,IFERROR(VALUE(SUBSTITUTE(SUBSTITUTE(SUBSTITUTE(SUBSTITUTE(SUBSTITUTE(UPPER(Raw_Bookings!L407),"RS.",""),"₹",""),",","")," ",""),"INR","")),""),"")</f>
        <v/>
      </c>
      <c r="AB407" s="7">
        <f>IF(AND(Z407=1,ISNUMBER(AA407)),1,0)</f>
        <v>0</v>
      </c>
      <c r="AC407" s="7">
        <f>IF(B407=1,0,IF(NOT(ISNUMBER(Raw_Bookings!J407)),1,IF(Raw_Bookings!J407&lt;&gt;COUNTIFS(Work_Passengers!$B$2:$B$1336,Raw_Bookings!A407,Work_Passengers!$C$2:$C$1336,0),1,0)))</f>
        <v>0</v>
      </c>
    </row>
    <row r="408" spans="1:29">
      <c r="A408" s="7">
        <f>Raw_Bookings!A408</f>
        <v>1138785</v>
      </c>
      <c r="B408" s="7">
        <f>IF(COUNTIF(Raw_Bookings!$A$2:A408,Raw_Bookings!A408)&gt;1,1,0)</f>
        <v>0</v>
      </c>
      <c r="C408" s="7" t="str">
        <f>Raw_Bookings!D408&amp;""</f>
        <v>2026-02-22</v>
      </c>
      <c r="D408" s="7" t="str">
        <f>IF(AND(LEN(C408)=10,MID(C408,5,1)="-",MID(C408,8,1)="-"),"ISO",IF(AND(LEN(C408)=10,MID(C408,3,1)="-",MID(C408,6,1)="-"),"DMY","OTHER"))</f>
        <v>ISO</v>
      </c>
      <c r="E408" s="7">
        <f>IF(D408="ISO",VALUE(LEFT(C408,4)),IF(D408="DMY",VALUE(RIGHT(C408,4)),0))</f>
        <v>2026</v>
      </c>
      <c r="F408" s="7">
        <f>IF(D408="ISO",VALUE(MID(C408,6,2)),IF(D408="DMY",VALUE(MID(C408,4,2)),0))</f>
        <v>2</v>
      </c>
      <c r="G408" s="7">
        <f>IF(D408="ISO",VALUE(RIGHT(C408,2)),IF(D408="DMY",VALUE(LEFT(C408,2)),0))</f>
        <v>22</v>
      </c>
      <c r="H408" s="7">
        <f>IF(AND(D408&lt;&gt;"OTHER",F408&gt;=1,F408&lt;=12,G408&gt;=1,G408&lt;=31),IF(AND(MONTH(DATE(E408,F408,G408))=F408,DAY(DATE(E408,F408,G408))=G408),1,0),0)</f>
        <v>1</v>
      </c>
      <c r="I408" s="7">
        <f>IF(H408=1,DATE(E408,F408,G408),"")</f>
        <v>46075.0</v>
      </c>
      <c r="J408" s="7">
        <f>IF(AND(D408="DMY",H408=1),1,0)</f>
        <v>0</v>
      </c>
      <c r="K408" s="7">
        <f>IF(H408=0,1,0)</f>
        <v>0</v>
      </c>
      <c r="L408" s="7">
        <f>IF(TRIM(Raw_Bookings!I408&amp;"")="",1,0)</f>
        <v>0</v>
      </c>
      <c r="M408" s="7">
        <f>IF(L408=1,"",DATEVALUE(LEFT(Raw_Bookings!I408,10))+TIMEVALUE(MID(Raw_Bookings!I408,12,8)))</f>
        <v>46026.85256944445</v>
      </c>
      <c r="N408" s="7">
        <f>IF(AND(L408=0,H408=1),IF(INT(M408)&gt;I408,1,0),0)</f>
        <v>0</v>
      </c>
      <c r="O408" s="7" t="str">
        <f>UPPER(TRIM(Raw_Bookings!F408))</f>
        <v>MUM</v>
      </c>
      <c r="P408" s="7" t="str">
        <f>UPPER(TRIM(Raw_Bookings!G408))</f>
        <v>LUC</v>
      </c>
      <c r="Q408" s="7">
        <f>IF(COUNTIF(Lookup_Stations!$A$2:$A$33,O408)&gt;0,1,0)</f>
        <v>1</v>
      </c>
      <c r="R408" s="7">
        <f>IF(COUNTIF(Lookup_Stations!$A$2:$A$33,P408)&gt;0,1,0)</f>
        <v>1</v>
      </c>
      <c r="S408" s="7">
        <f>IF(OR(AND(Q408=1,NOT(EXACT(Raw_Bookings!F408,O408))),AND(R408=1,NOT(EXACT(Raw_Bookings!G408,P408)))),1,0)</f>
        <v>0</v>
      </c>
      <c r="T408" s="7">
        <f>IF(OR(Q408=0,R408=0),1,0)</f>
        <v>0</v>
      </c>
      <c r="U408" s="7">
        <f>IF(TRIM(Raw_Bookings!E408&amp;"")="",1,0)</f>
        <v>0</v>
      </c>
      <c r="V408" s="7" t="str">
        <f>IF(SUMPRODUCT(--(Lookup_Status!$A$2:$A$13=LOWER(TRIM(Raw_Bookings!K408))))=0,"",INDEX(Lookup_Status!$B$2:$B$13,SUMPRODUCT((Lookup_Status!$A$2:$A$13=LOWER(TRIM(Raw_Bookings!K408)))*(ROW(Lookup_Status!$A$2:$A$13)-1))))</f>
        <v>Confirmed</v>
      </c>
      <c r="W408" s="7">
        <f>IF(AND(V408&lt;&gt;"",NOT(EXACT(Raw_Bookings!K408,V408))),1,0)</f>
        <v>0</v>
      </c>
      <c r="X408" s="7">
        <f>IF(V408="",1,0)</f>
        <v>0</v>
      </c>
      <c r="Y408" s="7">
        <f>IF(TRIM(Raw_Bookings!L408&amp;"")="",1,0)</f>
        <v>0</v>
      </c>
      <c r="Z408" s="7">
        <f>IF(AND(ISTEXT(Raw_Bookings!L408),Y408=0),1,0)</f>
        <v>0</v>
      </c>
      <c r="AA408" s="7">
        <f>IF(Z408=1,IFERROR(VALUE(SUBSTITUTE(SUBSTITUTE(SUBSTITUTE(SUBSTITUTE(SUBSTITUTE(UPPER(Raw_Bookings!L408),"RS.",""),"₹",""),",","")," ",""),"INR","")),""),"")</f>
        <v/>
      </c>
      <c r="AB408" s="7">
        <f>IF(AND(Z408=1,ISNUMBER(AA408)),1,0)</f>
        <v>0</v>
      </c>
      <c r="AC408" s="7">
        <f>IF(B408=1,0,IF(NOT(ISNUMBER(Raw_Bookings!J408)),1,IF(Raw_Bookings!J408&lt;&gt;COUNTIFS(Work_Passengers!$B$2:$B$1336,Raw_Bookings!A408,Work_Passengers!$C$2:$C$1336,0),1,0)))</f>
        <v>0</v>
      </c>
    </row>
    <row r="409" spans="1:29">
      <c r="A409" s="7">
        <f>Raw_Bookings!A409</f>
        <v>1139299</v>
      </c>
      <c r="B409" s="7">
        <f>IF(COUNTIF(Raw_Bookings!$A$2:A409,Raw_Bookings!A409)&gt;1,1,0)</f>
        <v>0</v>
      </c>
      <c r="C409" s="7" t="str">
        <f>Raw_Bookings!D409&amp;""</f>
        <v>2026-04-07</v>
      </c>
      <c r="D409" s="7" t="str">
        <f>IF(AND(LEN(C409)=10,MID(C409,5,1)="-",MID(C409,8,1)="-"),"ISO",IF(AND(LEN(C409)=10,MID(C409,3,1)="-",MID(C409,6,1)="-"),"DMY","OTHER"))</f>
        <v>ISO</v>
      </c>
      <c r="E409" s="7">
        <f>IF(D409="ISO",VALUE(LEFT(C409,4)),IF(D409="DMY",VALUE(RIGHT(C409,4)),0))</f>
        <v>2026</v>
      </c>
      <c r="F409" s="7">
        <f>IF(D409="ISO",VALUE(MID(C409,6,2)),IF(D409="DMY",VALUE(MID(C409,4,2)),0))</f>
        <v>4</v>
      </c>
      <c r="G409" s="7">
        <f>IF(D409="ISO",VALUE(RIGHT(C409,2)),IF(D409="DMY",VALUE(LEFT(C409,2)),0))</f>
        <v>7</v>
      </c>
      <c r="H409" s="7">
        <f>IF(AND(D409&lt;&gt;"OTHER",F409&gt;=1,F409&lt;=12,G409&gt;=1,G409&lt;=31),IF(AND(MONTH(DATE(E409,F409,G409))=F409,DAY(DATE(E409,F409,G409))=G409),1,0),0)</f>
        <v>1</v>
      </c>
      <c r="I409" s="7">
        <f>IF(H409=1,DATE(E409,F409,G409),"")</f>
        <v>46119.0</v>
      </c>
      <c r="J409" s="7">
        <f>IF(AND(D409="DMY",H409=1),1,0)</f>
        <v>0</v>
      </c>
      <c r="K409" s="7">
        <f>IF(H409=0,1,0)</f>
        <v>0</v>
      </c>
      <c r="L409" s="7">
        <f>IF(TRIM(Raw_Bookings!I409&amp;"")="",1,0)</f>
        <v>0</v>
      </c>
      <c r="M409" s="7">
        <f>IF(L409=1,"",DATEVALUE(LEFT(Raw_Bookings!I409,10))+TIMEVALUE(MID(Raw_Bookings!I409,12,8)))</f>
        <v>46028.608622685184</v>
      </c>
      <c r="N409" s="7">
        <f>IF(AND(L409=0,H409=1),IF(INT(M409)&gt;I409,1,0),0)</f>
        <v>0</v>
      </c>
      <c r="O409" s="7" t="str">
        <f>UPPER(TRIM(Raw_Bookings!F409))</f>
        <v>LUC</v>
      </c>
      <c r="P409" s="7" t="str">
        <f>UPPER(TRIM(Raw_Bookings!G409))</f>
        <v>MUM</v>
      </c>
      <c r="Q409" s="7">
        <f>IF(COUNTIF(Lookup_Stations!$A$2:$A$33,O409)&gt;0,1,0)</f>
        <v>1</v>
      </c>
      <c r="R409" s="7">
        <f>IF(COUNTIF(Lookup_Stations!$A$2:$A$33,P409)&gt;0,1,0)</f>
        <v>1</v>
      </c>
      <c r="S409" s="7">
        <f>IF(OR(AND(Q409=1,NOT(EXACT(Raw_Bookings!F409,O409))),AND(R409=1,NOT(EXACT(Raw_Bookings!G409,P409)))),1,0)</f>
        <v>0</v>
      </c>
      <c r="T409" s="7">
        <f>IF(OR(Q409=0,R409=0),1,0)</f>
        <v>0</v>
      </c>
      <c r="U409" s="7">
        <f>IF(TRIM(Raw_Bookings!E409&amp;"")="",1,0)</f>
        <v>0</v>
      </c>
      <c r="V409" s="7" t="str">
        <f>IF(SUMPRODUCT(--(Lookup_Status!$A$2:$A$13=LOWER(TRIM(Raw_Bookings!K409))))=0,"",INDEX(Lookup_Status!$B$2:$B$13,SUMPRODUCT((Lookup_Status!$A$2:$A$13=LOWER(TRIM(Raw_Bookings!K409)))*(ROW(Lookup_Status!$A$2:$A$13)-1))))</f>
        <v>Cancelled</v>
      </c>
      <c r="W409" s="7">
        <f>IF(AND(V409&lt;&gt;"",NOT(EXACT(Raw_Bookings!K409,V409))),1,0)</f>
        <v>0</v>
      </c>
      <c r="X409" s="7">
        <f>IF(V409="",1,0)</f>
        <v>0</v>
      </c>
      <c r="Y409" s="7">
        <f>IF(TRIM(Raw_Bookings!L409&amp;"")="",1,0)</f>
        <v>0</v>
      </c>
      <c r="Z409" s="7">
        <f>IF(AND(ISTEXT(Raw_Bookings!L409),Y409=0),1,0)</f>
        <v>0</v>
      </c>
      <c r="AA409" s="7">
        <f>IF(Z409=1,IFERROR(VALUE(SUBSTITUTE(SUBSTITUTE(SUBSTITUTE(SUBSTITUTE(SUBSTITUTE(UPPER(Raw_Bookings!L409),"RS.",""),"₹",""),",","")," ",""),"INR","")),""),"")</f>
        <v/>
      </c>
      <c r="AB409" s="7">
        <f>IF(AND(Z409=1,ISNUMBER(AA409)),1,0)</f>
        <v>0</v>
      </c>
      <c r="AC409" s="7">
        <f>IF(B409=1,0,IF(NOT(ISNUMBER(Raw_Bookings!J409)),1,IF(Raw_Bookings!J409&lt;&gt;COUNTIFS(Work_Passengers!$B$2:$B$1336,Raw_Bookings!A409,Work_Passengers!$C$2:$C$1336,0),1,0)))</f>
        <v>0</v>
      </c>
    </row>
    <row r="410" spans="1:29">
      <c r="A410" s="7">
        <f>Raw_Bookings!A410</f>
        <v>1139539</v>
      </c>
      <c r="B410" s="7">
        <f>IF(COUNTIF(Raw_Bookings!$A$2:A410,Raw_Bookings!A410)&gt;1,1,0)</f>
        <v>0</v>
      </c>
      <c r="C410" s="7" t="str">
        <f>Raw_Bookings!D410&amp;""</f>
        <v>2026-01-07</v>
      </c>
      <c r="D410" s="7" t="str">
        <f>IF(AND(LEN(C410)=10,MID(C410,5,1)="-",MID(C410,8,1)="-"),"ISO",IF(AND(LEN(C410)=10,MID(C410,3,1)="-",MID(C410,6,1)="-"),"DMY","OTHER"))</f>
        <v>ISO</v>
      </c>
      <c r="E410" s="7">
        <f>IF(D410="ISO",VALUE(LEFT(C410,4)),IF(D410="DMY",VALUE(RIGHT(C410,4)),0))</f>
        <v>2026</v>
      </c>
      <c r="F410" s="7">
        <f>IF(D410="ISO",VALUE(MID(C410,6,2)),IF(D410="DMY",VALUE(MID(C410,4,2)),0))</f>
        <v>1</v>
      </c>
      <c r="G410" s="7">
        <f>IF(D410="ISO",VALUE(RIGHT(C410,2)),IF(D410="DMY",VALUE(LEFT(C410,2)),0))</f>
        <v>7</v>
      </c>
      <c r="H410" s="7">
        <f>IF(AND(D410&lt;&gt;"OTHER",F410&gt;=1,F410&lt;=12,G410&gt;=1,G410&lt;=31),IF(AND(MONTH(DATE(E410,F410,G410))=F410,DAY(DATE(E410,F410,G410))=G410),1,0),0)</f>
        <v>1</v>
      </c>
      <c r="I410" s="7">
        <f>IF(H410=1,DATE(E410,F410,G410),"")</f>
        <v>46029.0</v>
      </c>
      <c r="J410" s="7">
        <f>IF(AND(D410="DMY",H410=1),1,0)</f>
        <v>0</v>
      </c>
      <c r="K410" s="7">
        <f>IF(H410=0,1,0)</f>
        <v>0</v>
      </c>
      <c r="L410" s="7">
        <f>IF(TRIM(Raw_Bookings!I410&amp;"")="",1,0)</f>
        <v>0</v>
      </c>
      <c r="M410" s="7">
        <f>IF(L410=1,"",DATEVALUE(LEFT(Raw_Bookings!I410,10))+TIMEVALUE(MID(Raw_Bookings!I410,12,8)))</f>
        <v>46029.46</v>
      </c>
      <c r="N410" s="7">
        <f>IF(AND(L410=0,H410=1),IF(INT(M410)&gt;I410,1,0),0)</f>
        <v>0</v>
      </c>
      <c r="O410" s="7" t="str">
        <f>UPPER(TRIM(Raw_Bookings!F410))</f>
        <v>CHA</v>
      </c>
      <c r="P410" s="7" t="str">
        <f>UPPER(TRIM(Raw_Bookings!G410))</f>
        <v>VIS</v>
      </c>
      <c r="Q410" s="7">
        <f>IF(COUNTIF(Lookup_Stations!$A$2:$A$33,O410)&gt;0,1,0)</f>
        <v>1</v>
      </c>
      <c r="R410" s="7">
        <f>IF(COUNTIF(Lookup_Stations!$A$2:$A$33,P410)&gt;0,1,0)</f>
        <v>1</v>
      </c>
      <c r="S410" s="7">
        <f>IF(OR(AND(Q410=1,NOT(EXACT(Raw_Bookings!F410,O410))),AND(R410=1,NOT(EXACT(Raw_Bookings!G410,P410)))),1,0)</f>
        <v>0</v>
      </c>
      <c r="T410" s="7">
        <f>IF(OR(Q410=0,R410=0),1,0)</f>
        <v>0</v>
      </c>
      <c r="U410" s="7">
        <f>IF(TRIM(Raw_Bookings!E410&amp;"")="",1,0)</f>
        <v>0</v>
      </c>
      <c r="V410" s="7" t="str">
        <f>IF(SUMPRODUCT(--(Lookup_Status!$A$2:$A$13=LOWER(TRIM(Raw_Bookings!K410))))=0,"",INDEX(Lookup_Status!$B$2:$B$13,SUMPRODUCT((Lookup_Status!$A$2:$A$13=LOWER(TRIM(Raw_Bookings!K410)))*(ROW(Lookup_Status!$A$2:$A$13)-1))))</f>
        <v>Confirmed</v>
      </c>
      <c r="W410" s="7">
        <f>IF(AND(V410&lt;&gt;"",NOT(EXACT(Raw_Bookings!K410,V410))),1,0)</f>
        <v>0</v>
      </c>
      <c r="X410" s="7">
        <f>IF(V410="",1,0)</f>
        <v>0</v>
      </c>
      <c r="Y410" s="7">
        <f>IF(TRIM(Raw_Bookings!L410&amp;"")="",1,0)</f>
        <v>0</v>
      </c>
      <c r="Z410" s="7">
        <f>IF(AND(ISTEXT(Raw_Bookings!L410),Y410=0),1,0)</f>
        <v>0</v>
      </c>
      <c r="AA410" s="7">
        <f>IF(Z410=1,IFERROR(VALUE(SUBSTITUTE(SUBSTITUTE(SUBSTITUTE(SUBSTITUTE(SUBSTITUTE(UPPER(Raw_Bookings!L410),"RS.",""),"₹",""),",","")," ",""),"INR","")),""),"")</f>
        <v/>
      </c>
      <c r="AB410" s="7">
        <f>IF(AND(Z410=1,ISNUMBER(AA410)),1,0)</f>
        <v>0</v>
      </c>
      <c r="AC410" s="7">
        <f>IF(B410=1,0,IF(NOT(ISNUMBER(Raw_Bookings!J410)),1,IF(Raw_Bookings!J410&lt;&gt;COUNTIFS(Work_Passengers!$B$2:$B$1336,Raw_Bookings!A410,Work_Passengers!$C$2:$C$1336,0),1,0)))</f>
        <v>0</v>
      </c>
    </row>
    <row r="411" spans="1:29">
      <c r="A411" s="7">
        <f>Raw_Bookings!A411</f>
        <v>1139821</v>
      </c>
      <c r="B411" s="7">
        <f>IF(COUNTIF(Raw_Bookings!$A$2:A411,Raw_Bookings!A411)&gt;1,1,0)</f>
        <v>0</v>
      </c>
      <c r="C411" s="7" t="str">
        <f>Raw_Bookings!D411&amp;""</f>
        <v>2026-02-07</v>
      </c>
      <c r="D411" s="7" t="str">
        <f>IF(AND(LEN(C411)=10,MID(C411,5,1)="-",MID(C411,8,1)="-"),"ISO",IF(AND(LEN(C411)=10,MID(C411,3,1)="-",MID(C411,6,1)="-"),"DMY","OTHER"))</f>
        <v>ISO</v>
      </c>
      <c r="E411" s="7">
        <f>IF(D411="ISO",VALUE(LEFT(C411,4)),IF(D411="DMY",VALUE(RIGHT(C411,4)),0))</f>
        <v>2026</v>
      </c>
      <c r="F411" s="7">
        <f>IF(D411="ISO",VALUE(MID(C411,6,2)),IF(D411="DMY",VALUE(MID(C411,4,2)),0))</f>
        <v>2</v>
      </c>
      <c r="G411" s="7">
        <f>IF(D411="ISO",VALUE(RIGHT(C411,2)),IF(D411="DMY",VALUE(LEFT(C411,2)),0))</f>
        <v>7</v>
      </c>
      <c r="H411" s="7">
        <f>IF(AND(D411&lt;&gt;"OTHER",F411&gt;=1,F411&lt;=12,G411&gt;=1,G411&lt;=31),IF(AND(MONTH(DATE(E411,F411,G411))=F411,DAY(DATE(E411,F411,G411))=G411),1,0),0)</f>
        <v>1</v>
      </c>
      <c r="I411" s="7">
        <f>IF(H411=1,DATE(E411,F411,G411),"")</f>
        <v>46060.0</v>
      </c>
      <c r="J411" s="7">
        <f>IF(AND(D411="DMY",H411=1),1,0)</f>
        <v>0</v>
      </c>
      <c r="K411" s="7">
        <f>IF(H411=0,1,0)</f>
        <v>0</v>
      </c>
      <c r="L411" s="7">
        <f>IF(TRIM(Raw_Bookings!I411&amp;"")="",1,0)</f>
        <v>0</v>
      </c>
      <c r="M411" s="7">
        <f>IF(L411=1,"",DATEVALUE(LEFT(Raw_Bookings!I411,10))+TIMEVALUE(MID(Raw_Bookings!I411,12,8)))</f>
        <v>46030.52736111111</v>
      </c>
      <c r="N411" s="7">
        <f>IF(AND(L411=0,H411=1),IF(INT(M411)&gt;I411,1,0),0)</f>
        <v>0</v>
      </c>
      <c r="O411" s="7" t="str">
        <f>UPPER(TRIM(Raw_Bookings!F411))</f>
        <v>RAN</v>
      </c>
      <c r="P411" s="7" t="str">
        <f>UPPER(TRIM(Raw_Bookings!G411))</f>
        <v>COI</v>
      </c>
      <c r="Q411" s="7">
        <f>IF(COUNTIF(Lookup_Stations!$A$2:$A$33,O411)&gt;0,1,0)</f>
        <v>1</v>
      </c>
      <c r="R411" s="7">
        <f>IF(COUNTIF(Lookup_Stations!$A$2:$A$33,P411)&gt;0,1,0)</f>
        <v>1</v>
      </c>
      <c r="S411" s="7">
        <f>IF(OR(AND(Q411=1,NOT(EXACT(Raw_Bookings!F411,O411))),AND(R411=1,NOT(EXACT(Raw_Bookings!G411,P411)))),1,0)</f>
        <v>0</v>
      </c>
      <c r="T411" s="7">
        <f>IF(OR(Q411=0,R411=0),1,0)</f>
        <v>0</v>
      </c>
      <c r="U411" s="7">
        <f>IF(TRIM(Raw_Bookings!E411&amp;"")="",1,0)</f>
        <v>0</v>
      </c>
      <c r="V411" s="7" t="str">
        <f>IF(SUMPRODUCT(--(Lookup_Status!$A$2:$A$13=LOWER(TRIM(Raw_Bookings!K411))))=0,"",INDEX(Lookup_Status!$B$2:$B$13,SUMPRODUCT((Lookup_Status!$A$2:$A$13=LOWER(TRIM(Raw_Bookings!K411)))*(ROW(Lookup_Status!$A$2:$A$13)-1))))</f>
        <v>Confirmed</v>
      </c>
      <c r="W411" s="7">
        <f>IF(AND(V411&lt;&gt;"",NOT(EXACT(Raw_Bookings!K411,V411))),1,0)</f>
        <v>0</v>
      </c>
      <c r="X411" s="7">
        <f>IF(V411="",1,0)</f>
        <v>0</v>
      </c>
      <c r="Y411" s="7">
        <f>IF(TRIM(Raw_Bookings!L411&amp;"")="",1,0)</f>
        <v>0</v>
      </c>
      <c r="Z411" s="7">
        <f>IF(AND(ISTEXT(Raw_Bookings!L411),Y411=0),1,0)</f>
        <v>0</v>
      </c>
      <c r="AA411" s="7">
        <f>IF(Z411=1,IFERROR(VALUE(SUBSTITUTE(SUBSTITUTE(SUBSTITUTE(SUBSTITUTE(SUBSTITUTE(UPPER(Raw_Bookings!L411),"RS.",""),"₹",""),",","")," ",""),"INR","")),""),"")</f>
        <v/>
      </c>
      <c r="AB411" s="7">
        <f>IF(AND(Z411=1,ISNUMBER(AA411)),1,0)</f>
        <v>0</v>
      </c>
      <c r="AC411" s="7">
        <f>IF(B411=1,0,IF(NOT(ISNUMBER(Raw_Bookings!J411)),1,IF(Raw_Bookings!J411&lt;&gt;COUNTIFS(Work_Passengers!$B$2:$B$1336,Raw_Bookings!A411,Work_Passengers!$C$2:$C$1336,0),1,0)))</f>
        <v>0</v>
      </c>
    </row>
    <row r="412" spans="1:29">
      <c r="A412" s="7">
        <f>Raw_Bookings!A412</f>
        <v>1140161</v>
      </c>
      <c r="B412" s="7">
        <f>IF(COUNTIF(Raw_Bookings!$A$2:A412,Raw_Bookings!A412)&gt;1,1,0)</f>
        <v>0</v>
      </c>
      <c r="C412" s="7" t="str">
        <f>Raw_Bookings!D412&amp;""</f>
        <v>2026-01-23</v>
      </c>
      <c r="D412" s="7" t="str">
        <f>IF(AND(LEN(C412)=10,MID(C412,5,1)="-",MID(C412,8,1)="-"),"ISO",IF(AND(LEN(C412)=10,MID(C412,3,1)="-",MID(C412,6,1)="-"),"DMY","OTHER"))</f>
        <v>ISO</v>
      </c>
      <c r="E412" s="7">
        <f>IF(D412="ISO",VALUE(LEFT(C412,4)),IF(D412="DMY",VALUE(RIGHT(C412,4)),0))</f>
        <v>2026</v>
      </c>
      <c r="F412" s="7">
        <f>IF(D412="ISO",VALUE(MID(C412,6,2)),IF(D412="DMY",VALUE(MID(C412,4,2)),0))</f>
        <v>1</v>
      </c>
      <c r="G412" s="7">
        <f>IF(D412="ISO",VALUE(RIGHT(C412,2)),IF(D412="DMY",VALUE(LEFT(C412,2)),0))</f>
        <v>23</v>
      </c>
      <c r="H412" s="7">
        <f>IF(AND(D412&lt;&gt;"OTHER",F412&gt;=1,F412&lt;=12,G412&gt;=1,G412&lt;=31),IF(AND(MONTH(DATE(E412,F412,G412))=F412,DAY(DATE(E412,F412,G412))=G412),1,0),0)</f>
        <v>1</v>
      </c>
      <c r="I412" s="7">
        <f>IF(H412=1,DATE(E412,F412,G412),"")</f>
        <v>46045.0</v>
      </c>
      <c r="J412" s="7">
        <f>IF(AND(D412="DMY",H412=1),1,0)</f>
        <v>0</v>
      </c>
      <c r="K412" s="7">
        <f>IF(H412=0,1,0)</f>
        <v>0</v>
      </c>
      <c r="L412" s="7">
        <f>IF(TRIM(Raw_Bookings!I412&amp;"")="",1,0)</f>
        <v>0</v>
      </c>
      <c r="M412" s="7">
        <f>IF(L412=1,"",DATEVALUE(LEFT(Raw_Bookings!I412,10))+TIMEVALUE(MID(Raw_Bookings!I412,12,8)))</f>
        <v>46031.71628472222</v>
      </c>
      <c r="N412" s="7">
        <f>IF(AND(L412=0,H412=1),IF(INT(M412)&gt;I412,1,0),0)</f>
        <v>0</v>
      </c>
      <c r="O412" s="7" t="str">
        <f>UPPER(TRIM(Raw_Bookings!F412))</f>
        <v>MUM</v>
      </c>
      <c r="P412" s="7" t="str">
        <f>UPPER(TRIM(Raw_Bookings!G412))</f>
        <v>LUC</v>
      </c>
      <c r="Q412" s="7">
        <f>IF(COUNTIF(Lookup_Stations!$A$2:$A$33,O412)&gt;0,1,0)</f>
        <v>1</v>
      </c>
      <c r="R412" s="7">
        <f>IF(COUNTIF(Lookup_Stations!$A$2:$A$33,P412)&gt;0,1,0)</f>
        <v>1</v>
      </c>
      <c r="S412" s="7">
        <f>IF(OR(AND(Q412=1,NOT(EXACT(Raw_Bookings!F412,O412))),AND(R412=1,NOT(EXACT(Raw_Bookings!G412,P412)))),1,0)</f>
        <v>0</v>
      </c>
      <c r="T412" s="7">
        <f>IF(OR(Q412=0,R412=0),1,0)</f>
        <v>0</v>
      </c>
      <c r="U412" s="7">
        <f>IF(TRIM(Raw_Bookings!E412&amp;"")="",1,0)</f>
        <v>0</v>
      </c>
      <c r="V412" s="7" t="str">
        <f>IF(SUMPRODUCT(--(Lookup_Status!$A$2:$A$13=LOWER(TRIM(Raw_Bookings!K412))))=0,"",INDEX(Lookup_Status!$B$2:$B$13,SUMPRODUCT((Lookup_Status!$A$2:$A$13=LOWER(TRIM(Raw_Bookings!K412)))*(ROW(Lookup_Status!$A$2:$A$13)-1))))</f>
        <v>RAC</v>
      </c>
      <c r="W412" s="7">
        <f>IF(AND(V412&lt;&gt;"",NOT(EXACT(Raw_Bookings!K412,V412))),1,0)</f>
        <v>0</v>
      </c>
      <c r="X412" s="7">
        <f>IF(V412="",1,0)</f>
        <v>0</v>
      </c>
      <c r="Y412" s="7">
        <f>IF(TRIM(Raw_Bookings!L412&amp;"")="",1,0)</f>
        <v>0</v>
      </c>
      <c r="Z412" s="7">
        <f>IF(AND(ISTEXT(Raw_Bookings!L412),Y412=0),1,0)</f>
        <v>0</v>
      </c>
      <c r="AA412" s="7">
        <f>IF(Z412=1,IFERROR(VALUE(SUBSTITUTE(SUBSTITUTE(SUBSTITUTE(SUBSTITUTE(SUBSTITUTE(UPPER(Raw_Bookings!L412),"RS.",""),"₹",""),",","")," ",""),"INR","")),""),"")</f>
        <v/>
      </c>
      <c r="AB412" s="7">
        <f>IF(AND(Z412=1,ISNUMBER(AA412)),1,0)</f>
        <v>0</v>
      </c>
      <c r="AC412" s="7">
        <f>IF(B412=1,0,IF(NOT(ISNUMBER(Raw_Bookings!J412)),1,IF(Raw_Bookings!J412&lt;&gt;COUNTIFS(Work_Passengers!$B$2:$B$1336,Raw_Bookings!A412,Work_Passengers!$C$2:$C$1336,0),1,0)))</f>
        <v>0</v>
      </c>
    </row>
    <row r="413" spans="1:29">
      <c r="A413" s="7">
        <f>Raw_Bookings!A413</f>
        <v>1140190</v>
      </c>
      <c r="B413" s="7">
        <f>IF(COUNTIF(Raw_Bookings!$A$2:A413,Raw_Bookings!A413)&gt;1,1,0)</f>
        <v>0</v>
      </c>
      <c r="C413" s="7" t="str">
        <f>Raw_Bookings!D413&amp;""</f>
        <v>2026-05-04</v>
      </c>
      <c r="D413" s="7" t="str">
        <f>IF(AND(LEN(C413)=10,MID(C413,5,1)="-",MID(C413,8,1)="-"),"ISO",IF(AND(LEN(C413)=10,MID(C413,3,1)="-",MID(C413,6,1)="-"),"DMY","OTHER"))</f>
        <v>ISO</v>
      </c>
      <c r="E413" s="7">
        <f>IF(D413="ISO",VALUE(LEFT(C413,4)),IF(D413="DMY",VALUE(RIGHT(C413,4)),0))</f>
        <v>2026</v>
      </c>
      <c r="F413" s="7">
        <f>IF(D413="ISO",VALUE(MID(C413,6,2)),IF(D413="DMY",VALUE(MID(C413,4,2)),0))</f>
        <v>5</v>
      </c>
      <c r="G413" s="7">
        <f>IF(D413="ISO",VALUE(RIGHT(C413,2)),IF(D413="DMY",VALUE(LEFT(C413,2)),0))</f>
        <v>4</v>
      </c>
      <c r="H413" s="7">
        <f>IF(AND(D413&lt;&gt;"OTHER",F413&gt;=1,F413&lt;=12,G413&gt;=1,G413&lt;=31),IF(AND(MONTH(DATE(E413,F413,G413))=F413,DAY(DATE(E413,F413,G413))=G413),1,0),0)</f>
        <v>1</v>
      </c>
      <c r="I413" s="7">
        <f>IF(H413=1,DATE(E413,F413,G413),"")</f>
        <v>46146.0</v>
      </c>
      <c r="J413" s="7">
        <f>IF(AND(D413="DMY",H413=1),1,0)</f>
        <v>0</v>
      </c>
      <c r="K413" s="7">
        <f>IF(H413=0,1,0)</f>
        <v>0</v>
      </c>
      <c r="L413" s="7">
        <f>IF(TRIM(Raw_Bookings!I413&amp;"")="",1,0)</f>
        <v>0</v>
      </c>
      <c r="M413" s="7">
        <f>IF(L413=1,"",DATEVALUE(LEFT(Raw_Bookings!I413,10))+TIMEVALUE(MID(Raw_Bookings!I413,12,8)))</f>
        <v>46031.79384259259</v>
      </c>
      <c r="N413" s="7">
        <f>IF(AND(L413=0,H413=1),IF(INT(M413)&gt;I413,1,0),0)</f>
        <v>0</v>
      </c>
      <c r="O413" s="7" t="str">
        <f>UPPER(TRIM(Raw_Bookings!F413))</f>
        <v>DEL</v>
      </c>
      <c r="P413" s="7" t="str">
        <f>UPPER(TRIM(Raw_Bookings!G413))</f>
        <v>DIB</v>
      </c>
      <c r="Q413" s="7">
        <f>IF(COUNTIF(Lookup_Stations!$A$2:$A$33,O413)&gt;0,1,0)</f>
        <v>1</v>
      </c>
      <c r="R413" s="7">
        <f>IF(COUNTIF(Lookup_Stations!$A$2:$A$33,P413)&gt;0,1,0)</f>
        <v>1</v>
      </c>
      <c r="S413" s="7">
        <f>IF(OR(AND(Q413=1,NOT(EXACT(Raw_Bookings!F413,O413))),AND(R413=1,NOT(EXACT(Raw_Bookings!G413,P413)))),1,0)</f>
        <v>0</v>
      </c>
      <c r="T413" s="7">
        <f>IF(OR(Q413=0,R413=0),1,0)</f>
        <v>0</v>
      </c>
      <c r="U413" s="7">
        <f>IF(TRIM(Raw_Bookings!E413&amp;"")="",1,0)</f>
        <v>0</v>
      </c>
      <c r="V413" s="7" t="str">
        <f>IF(SUMPRODUCT(--(Lookup_Status!$A$2:$A$13=LOWER(TRIM(Raw_Bookings!K413))))=0,"",INDEX(Lookup_Status!$B$2:$B$13,SUMPRODUCT((Lookup_Status!$A$2:$A$13=LOWER(TRIM(Raw_Bookings!K413)))*(ROW(Lookup_Status!$A$2:$A$13)-1))))</f>
        <v>Confirmed</v>
      </c>
      <c r="W413" s="7">
        <f>IF(AND(V413&lt;&gt;"",NOT(EXACT(Raw_Bookings!K413,V413))),1,0)</f>
        <v>0</v>
      </c>
      <c r="X413" s="7">
        <f>IF(V413="",1,0)</f>
        <v>0</v>
      </c>
      <c r="Y413" s="7">
        <f>IF(TRIM(Raw_Bookings!L413&amp;"")="",1,0)</f>
        <v>0</v>
      </c>
      <c r="Z413" s="7">
        <f>IF(AND(ISTEXT(Raw_Bookings!L413),Y413=0),1,0)</f>
        <v>0</v>
      </c>
      <c r="AA413" s="7">
        <f>IF(Z413=1,IFERROR(VALUE(SUBSTITUTE(SUBSTITUTE(SUBSTITUTE(SUBSTITUTE(SUBSTITUTE(UPPER(Raw_Bookings!L413),"RS.",""),"₹",""),",","")," ",""),"INR","")),""),"")</f>
        <v/>
      </c>
      <c r="AB413" s="7">
        <f>IF(AND(Z413=1,ISNUMBER(AA413)),1,0)</f>
        <v>0</v>
      </c>
      <c r="AC413" s="7">
        <f>IF(B413=1,0,IF(NOT(ISNUMBER(Raw_Bookings!J413)),1,IF(Raw_Bookings!J413&lt;&gt;COUNTIFS(Work_Passengers!$B$2:$B$1336,Raw_Bookings!A413,Work_Passengers!$C$2:$C$1336,0),1,0)))</f>
        <v>0</v>
      </c>
    </row>
    <row r="414" spans="1:29">
      <c r="A414" s="7">
        <f>Raw_Bookings!A414</f>
        <v>1140449</v>
      </c>
      <c r="B414" s="7">
        <f>IF(COUNTIF(Raw_Bookings!$A$2:A414,Raw_Bookings!A414)&gt;1,1,0)</f>
        <v>0</v>
      </c>
      <c r="C414" s="7" t="str">
        <f>Raw_Bookings!D414&amp;""</f>
        <v>2026-01-27</v>
      </c>
      <c r="D414" s="7" t="str">
        <f>IF(AND(LEN(C414)=10,MID(C414,5,1)="-",MID(C414,8,1)="-"),"ISO",IF(AND(LEN(C414)=10,MID(C414,3,1)="-",MID(C414,6,1)="-"),"DMY","OTHER"))</f>
        <v>ISO</v>
      </c>
      <c r="E414" s="7">
        <f>IF(D414="ISO",VALUE(LEFT(C414,4)),IF(D414="DMY",VALUE(RIGHT(C414,4)),0))</f>
        <v>2026</v>
      </c>
      <c r="F414" s="7">
        <f>IF(D414="ISO",VALUE(MID(C414,6,2)),IF(D414="DMY",VALUE(MID(C414,4,2)),0))</f>
        <v>1</v>
      </c>
      <c r="G414" s="7">
        <f>IF(D414="ISO",VALUE(RIGHT(C414,2)),IF(D414="DMY",VALUE(LEFT(C414,2)),0))</f>
        <v>27</v>
      </c>
      <c r="H414" s="7">
        <f>IF(AND(D414&lt;&gt;"OTHER",F414&gt;=1,F414&lt;=12,G414&gt;=1,G414&lt;=31),IF(AND(MONTH(DATE(E414,F414,G414))=F414,DAY(DATE(E414,F414,G414))=G414),1,0),0)</f>
        <v>1</v>
      </c>
      <c r="I414" s="7">
        <f>IF(H414=1,DATE(E414,F414,G414),"")</f>
        <v>46049.0</v>
      </c>
      <c r="J414" s="7">
        <f>IF(AND(D414="DMY",H414=1),1,0)</f>
        <v>0</v>
      </c>
      <c r="K414" s="7">
        <f>IF(H414=0,1,0)</f>
        <v>0</v>
      </c>
      <c r="L414" s="7">
        <f>IF(TRIM(Raw_Bookings!I414&amp;"")="",1,0)</f>
        <v>0</v>
      </c>
      <c r="M414" s="7">
        <f>IF(L414=1,"",DATEVALUE(LEFT(Raw_Bookings!I414,10))+TIMEVALUE(MID(Raw_Bookings!I414,12,8)))</f>
        <v>46032.72604166667</v>
      </c>
      <c r="N414" s="7">
        <f>IF(AND(L414=0,H414=1),IF(INT(M414)&gt;I414,1,0),0)</f>
        <v>0</v>
      </c>
      <c r="O414" s="7" t="str">
        <f>UPPER(TRIM(Raw_Bookings!F414))</f>
        <v>RAI</v>
      </c>
      <c r="P414" s="7" t="str">
        <f>UPPER(TRIM(Raw_Bookings!G414))</f>
        <v>JAI</v>
      </c>
      <c r="Q414" s="7">
        <f>IF(COUNTIF(Lookup_Stations!$A$2:$A$33,O414)&gt;0,1,0)</f>
        <v>1</v>
      </c>
      <c r="R414" s="7">
        <f>IF(COUNTIF(Lookup_Stations!$A$2:$A$33,P414)&gt;0,1,0)</f>
        <v>1</v>
      </c>
      <c r="S414" s="7">
        <f>IF(OR(AND(Q414=1,NOT(EXACT(Raw_Bookings!F414,O414))),AND(R414=1,NOT(EXACT(Raw_Bookings!G414,P414)))),1,0)</f>
        <v>0</v>
      </c>
      <c r="T414" s="7">
        <f>IF(OR(Q414=0,R414=0),1,0)</f>
        <v>0</v>
      </c>
      <c r="U414" s="7">
        <f>IF(TRIM(Raw_Bookings!E414&amp;"")="",1,0)</f>
        <v>0</v>
      </c>
      <c r="V414" s="7" t="str">
        <f>IF(SUMPRODUCT(--(Lookup_Status!$A$2:$A$13=LOWER(TRIM(Raw_Bookings!K414))))=0,"",INDEX(Lookup_Status!$B$2:$B$13,SUMPRODUCT((Lookup_Status!$A$2:$A$13=LOWER(TRIM(Raw_Bookings!K414)))*(ROW(Lookup_Status!$A$2:$A$13)-1))))</f>
        <v>Confirmed</v>
      </c>
      <c r="W414" s="7">
        <f>IF(AND(V414&lt;&gt;"",NOT(EXACT(Raw_Bookings!K414,V414))),1,0)</f>
        <v>0</v>
      </c>
      <c r="X414" s="7">
        <f>IF(V414="",1,0)</f>
        <v>0</v>
      </c>
      <c r="Y414" s="7">
        <f>IF(TRIM(Raw_Bookings!L414&amp;"")="",1,0)</f>
        <v>0</v>
      </c>
      <c r="Z414" s="7">
        <f>IF(AND(ISTEXT(Raw_Bookings!L414),Y414=0),1,0)</f>
        <v>0</v>
      </c>
      <c r="AA414" s="7">
        <f>IF(Z414=1,IFERROR(VALUE(SUBSTITUTE(SUBSTITUTE(SUBSTITUTE(SUBSTITUTE(SUBSTITUTE(UPPER(Raw_Bookings!L414),"RS.",""),"₹",""),",","")," ",""),"INR","")),""),"")</f>
        <v/>
      </c>
      <c r="AB414" s="7">
        <f>IF(AND(Z414=1,ISNUMBER(AA414)),1,0)</f>
        <v>0</v>
      </c>
      <c r="AC414" s="7">
        <f>IF(B414=1,0,IF(NOT(ISNUMBER(Raw_Bookings!J414)),1,IF(Raw_Bookings!J414&lt;&gt;COUNTIFS(Work_Passengers!$B$2:$B$1336,Raw_Bookings!A414,Work_Passengers!$C$2:$C$1336,0),1,0)))</f>
        <v>0</v>
      </c>
    </row>
    <row r="415" spans="1:29">
      <c r="A415" s="7">
        <f>Raw_Bookings!A415</f>
        <v>1140539</v>
      </c>
      <c r="B415" s="7">
        <f>IF(COUNTIF(Raw_Bookings!$A$2:A415,Raw_Bookings!A415)&gt;1,1,0)</f>
        <v>0</v>
      </c>
      <c r="C415" s="7" t="str">
        <f>Raw_Bookings!D415&amp;""</f>
        <v>2026-01-16</v>
      </c>
      <c r="D415" s="7" t="str">
        <f>IF(AND(LEN(C415)=10,MID(C415,5,1)="-",MID(C415,8,1)="-"),"ISO",IF(AND(LEN(C415)=10,MID(C415,3,1)="-",MID(C415,6,1)="-"),"DMY","OTHER"))</f>
        <v>ISO</v>
      </c>
      <c r="E415" s="7">
        <f>IF(D415="ISO",VALUE(LEFT(C415,4)),IF(D415="DMY",VALUE(RIGHT(C415,4)),0))</f>
        <v>2026</v>
      </c>
      <c r="F415" s="7">
        <f>IF(D415="ISO",VALUE(MID(C415,6,2)),IF(D415="DMY",VALUE(MID(C415,4,2)),0))</f>
        <v>1</v>
      </c>
      <c r="G415" s="7">
        <f>IF(D415="ISO",VALUE(RIGHT(C415,2)),IF(D415="DMY",VALUE(LEFT(C415,2)),0))</f>
        <v>16</v>
      </c>
      <c r="H415" s="7">
        <f>IF(AND(D415&lt;&gt;"OTHER",F415&gt;=1,F415&lt;=12,G415&gt;=1,G415&lt;=31),IF(AND(MONTH(DATE(E415,F415,G415))=F415,DAY(DATE(E415,F415,G415))=G415),1,0),0)</f>
        <v>1</v>
      </c>
      <c r="I415" s="7">
        <f>IF(H415=1,DATE(E415,F415,G415),"")</f>
        <v>46038.0</v>
      </c>
      <c r="J415" s="7">
        <f>IF(AND(D415="DMY",H415=1),1,0)</f>
        <v>0</v>
      </c>
      <c r="K415" s="7">
        <f>IF(H415=0,1,0)</f>
        <v>0</v>
      </c>
      <c r="L415" s="7">
        <f>IF(TRIM(Raw_Bookings!I415&amp;"")="",1,0)</f>
        <v>0</v>
      </c>
      <c r="M415" s="7">
        <f>IF(L415=1,"",DATEVALUE(LEFT(Raw_Bookings!I415,10))+TIMEVALUE(MID(Raw_Bookings!I415,12,8)))</f>
        <v>46032.90268518519</v>
      </c>
      <c r="N415" s="7">
        <f>IF(AND(L415=0,H415=1),IF(INT(M415)&gt;I415,1,0),0)</f>
        <v>0</v>
      </c>
      <c r="O415" s="7" t="str">
        <f>UPPER(TRIM(Raw_Bookings!F415))</f>
        <v>THI</v>
      </c>
      <c r="P415" s="7" t="str">
        <f>UPPER(TRIM(Raw_Bookings!G415))</f>
        <v>NAG</v>
      </c>
      <c r="Q415" s="7">
        <f>IF(COUNTIF(Lookup_Stations!$A$2:$A$33,O415)&gt;0,1,0)</f>
        <v>1</v>
      </c>
      <c r="R415" s="7">
        <f>IF(COUNTIF(Lookup_Stations!$A$2:$A$33,P415)&gt;0,1,0)</f>
        <v>1</v>
      </c>
      <c r="S415" s="7">
        <f>IF(OR(AND(Q415=1,NOT(EXACT(Raw_Bookings!F415,O415))),AND(R415=1,NOT(EXACT(Raw_Bookings!G415,P415)))),1,0)</f>
        <v>0</v>
      </c>
      <c r="T415" s="7">
        <f>IF(OR(Q415=0,R415=0),1,0)</f>
        <v>0</v>
      </c>
      <c r="U415" s="7">
        <f>IF(TRIM(Raw_Bookings!E415&amp;"")="",1,0)</f>
        <v>0</v>
      </c>
      <c r="V415" s="7" t="str">
        <f>IF(SUMPRODUCT(--(Lookup_Status!$A$2:$A$13=LOWER(TRIM(Raw_Bookings!K415))))=0,"",INDEX(Lookup_Status!$B$2:$B$13,SUMPRODUCT((Lookup_Status!$A$2:$A$13=LOWER(TRIM(Raw_Bookings!K415)))*(ROW(Lookup_Status!$A$2:$A$13)-1))))</f>
        <v>Confirmed</v>
      </c>
      <c r="W415" s="7">
        <f>IF(AND(V415&lt;&gt;"",NOT(EXACT(Raw_Bookings!K415,V415))),1,0)</f>
        <v>0</v>
      </c>
      <c r="X415" s="7">
        <f>IF(V415="",1,0)</f>
        <v>0</v>
      </c>
      <c r="Y415" s="7">
        <f>IF(TRIM(Raw_Bookings!L415&amp;"")="",1,0)</f>
        <v>0</v>
      </c>
      <c r="Z415" s="7">
        <f>IF(AND(ISTEXT(Raw_Bookings!L415),Y415=0),1,0)</f>
        <v>0</v>
      </c>
      <c r="AA415" s="7">
        <f>IF(Z415=1,IFERROR(VALUE(SUBSTITUTE(SUBSTITUTE(SUBSTITUTE(SUBSTITUTE(SUBSTITUTE(UPPER(Raw_Bookings!L415),"RS.",""),"₹",""),",","")," ",""),"INR","")),""),"")</f>
        <v/>
      </c>
      <c r="AB415" s="7">
        <f>IF(AND(Z415=1,ISNUMBER(AA415)),1,0)</f>
        <v>0</v>
      </c>
      <c r="AC415" s="7">
        <f>IF(B415=1,0,IF(NOT(ISNUMBER(Raw_Bookings!J415)),1,IF(Raw_Bookings!J415&lt;&gt;COUNTIFS(Work_Passengers!$B$2:$B$1336,Raw_Bookings!A415,Work_Passengers!$C$2:$C$1336,0),1,0)))</f>
        <v>0</v>
      </c>
    </row>
    <row r="416" spans="1:29">
      <c r="A416" s="7">
        <f>Raw_Bookings!A416</f>
        <v>1141063</v>
      </c>
      <c r="B416" s="7">
        <f>IF(COUNTIF(Raw_Bookings!$A$2:A416,Raw_Bookings!A416)&gt;1,1,0)</f>
        <v>0</v>
      </c>
      <c r="C416" s="7" t="str">
        <f>Raw_Bookings!D416&amp;""</f>
        <v>2026-01-23</v>
      </c>
      <c r="D416" s="7" t="str">
        <f>IF(AND(LEN(C416)=10,MID(C416,5,1)="-",MID(C416,8,1)="-"),"ISO",IF(AND(LEN(C416)=10,MID(C416,3,1)="-",MID(C416,6,1)="-"),"DMY","OTHER"))</f>
        <v>ISO</v>
      </c>
      <c r="E416" s="7">
        <f>IF(D416="ISO",VALUE(LEFT(C416,4)),IF(D416="DMY",VALUE(RIGHT(C416,4)),0))</f>
        <v>2026</v>
      </c>
      <c r="F416" s="7">
        <f>IF(D416="ISO",VALUE(MID(C416,6,2)),IF(D416="DMY",VALUE(MID(C416,4,2)),0))</f>
        <v>1</v>
      </c>
      <c r="G416" s="7">
        <f>IF(D416="ISO",VALUE(RIGHT(C416,2)),IF(D416="DMY",VALUE(LEFT(C416,2)),0))</f>
        <v>23</v>
      </c>
      <c r="H416" s="7">
        <f>IF(AND(D416&lt;&gt;"OTHER",F416&gt;=1,F416&lt;=12,G416&gt;=1,G416&lt;=31),IF(AND(MONTH(DATE(E416,F416,G416))=F416,DAY(DATE(E416,F416,G416))=G416),1,0),0)</f>
        <v>1</v>
      </c>
      <c r="I416" s="7">
        <f>IF(H416=1,DATE(E416,F416,G416),"")</f>
        <v>46045.0</v>
      </c>
      <c r="J416" s="7">
        <f>IF(AND(D416="DMY",H416=1),1,0)</f>
        <v>0</v>
      </c>
      <c r="K416" s="7">
        <f>IF(H416=0,1,0)</f>
        <v>0</v>
      </c>
      <c r="L416" s="7">
        <f>IF(TRIM(Raw_Bookings!I416&amp;"")="",1,0)</f>
        <v>0</v>
      </c>
      <c r="M416" s="7">
        <f>IF(L416=1,"",DATEVALUE(LEFT(Raw_Bookings!I416,10))+TIMEVALUE(MID(Raw_Bookings!I416,12,8)))</f>
        <v>46034.58516203704</v>
      </c>
      <c r="N416" s="7">
        <f>IF(AND(L416=0,H416=1),IF(INT(M416)&gt;I416,1,0),0)</f>
        <v>0</v>
      </c>
      <c r="O416" s="7" t="str">
        <f>UPPER(TRIM(Raw_Bookings!F416))</f>
        <v>MUM</v>
      </c>
      <c r="P416" s="7" t="str">
        <f>UPPER(TRIM(Raw_Bookings!G416))</f>
        <v>LUC</v>
      </c>
      <c r="Q416" s="7">
        <f>IF(COUNTIF(Lookup_Stations!$A$2:$A$33,O416)&gt;0,1,0)</f>
        <v>1</v>
      </c>
      <c r="R416" s="7">
        <f>IF(COUNTIF(Lookup_Stations!$A$2:$A$33,P416)&gt;0,1,0)</f>
        <v>1</v>
      </c>
      <c r="S416" s="7">
        <f>IF(OR(AND(Q416=1,NOT(EXACT(Raw_Bookings!F416,O416))),AND(R416=1,NOT(EXACT(Raw_Bookings!G416,P416)))),1,0)</f>
        <v>0</v>
      </c>
      <c r="T416" s="7">
        <f>IF(OR(Q416=0,R416=0),1,0)</f>
        <v>0</v>
      </c>
      <c r="U416" s="7">
        <f>IF(TRIM(Raw_Bookings!E416&amp;"")="",1,0)</f>
        <v>0</v>
      </c>
      <c r="V416" s="7" t="str">
        <f>IF(SUMPRODUCT(--(Lookup_Status!$A$2:$A$13=LOWER(TRIM(Raw_Bookings!K416))))=0,"",INDEX(Lookup_Status!$B$2:$B$13,SUMPRODUCT((Lookup_Status!$A$2:$A$13=LOWER(TRIM(Raw_Bookings!K416)))*(ROW(Lookup_Status!$A$2:$A$13)-1))))</f>
        <v>RAC</v>
      </c>
      <c r="W416" s="7">
        <f>IF(AND(V416&lt;&gt;"",NOT(EXACT(Raw_Bookings!K416,V416))),1,0)</f>
        <v>0</v>
      </c>
      <c r="X416" s="7">
        <f>IF(V416="",1,0)</f>
        <v>0</v>
      </c>
      <c r="Y416" s="7">
        <f>IF(TRIM(Raw_Bookings!L416&amp;"")="",1,0)</f>
        <v>0</v>
      </c>
      <c r="Z416" s="7">
        <f>IF(AND(ISTEXT(Raw_Bookings!L416),Y416=0),1,0)</f>
        <v>0</v>
      </c>
      <c r="AA416" s="7">
        <f>IF(Z416=1,IFERROR(VALUE(SUBSTITUTE(SUBSTITUTE(SUBSTITUTE(SUBSTITUTE(SUBSTITUTE(UPPER(Raw_Bookings!L416),"RS.",""),"₹",""),",","")," ",""),"INR","")),""),"")</f>
        <v/>
      </c>
      <c r="AB416" s="7">
        <f>IF(AND(Z416=1,ISNUMBER(AA416)),1,0)</f>
        <v>0</v>
      </c>
      <c r="AC416" s="7">
        <f>IF(B416=1,0,IF(NOT(ISNUMBER(Raw_Bookings!J416)),1,IF(Raw_Bookings!J416&lt;&gt;COUNTIFS(Work_Passengers!$B$2:$B$1336,Raw_Bookings!A416,Work_Passengers!$C$2:$C$1336,0),1,0)))</f>
        <v>0</v>
      </c>
    </row>
    <row r="417" spans="1:29">
      <c r="A417" s="7">
        <f>Raw_Bookings!A417</f>
        <v>1141070</v>
      </c>
      <c r="B417" s="7">
        <f>IF(COUNTIF(Raw_Bookings!$A$2:A417,Raw_Bookings!A417)&gt;1,1,0)</f>
        <v>0</v>
      </c>
      <c r="C417" s="7" t="str">
        <f>Raw_Bookings!D417&amp;""</f>
        <v>2026-01-13</v>
      </c>
      <c r="D417" s="7" t="str">
        <f>IF(AND(LEN(C417)=10,MID(C417,5,1)="-",MID(C417,8,1)="-"),"ISO",IF(AND(LEN(C417)=10,MID(C417,3,1)="-",MID(C417,6,1)="-"),"DMY","OTHER"))</f>
        <v>ISO</v>
      </c>
      <c r="E417" s="7">
        <f>IF(D417="ISO",VALUE(LEFT(C417,4)),IF(D417="DMY",VALUE(RIGHT(C417,4)),0))</f>
        <v>2026</v>
      </c>
      <c r="F417" s="7">
        <f>IF(D417="ISO",VALUE(MID(C417,6,2)),IF(D417="DMY",VALUE(MID(C417,4,2)),0))</f>
        <v>1</v>
      </c>
      <c r="G417" s="7">
        <f>IF(D417="ISO",VALUE(RIGHT(C417,2)),IF(D417="DMY",VALUE(LEFT(C417,2)),0))</f>
        <v>13</v>
      </c>
      <c r="H417" s="7">
        <f>IF(AND(D417&lt;&gt;"OTHER",F417&gt;=1,F417&lt;=12,G417&gt;=1,G417&lt;=31),IF(AND(MONTH(DATE(E417,F417,G417))=F417,DAY(DATE(E417,F417,G417))=G417),1,0),0)</f>
        <v>1</v>
      </c>
      <c r="I417" s="7">
        <f>IF(H417=1,DATE(E417,F417,G417),"")</f>
        <v>46035.0</v>
      </c>
      <c r="J417" s="7">
        <f>IF(AND(D417="DMY",H417=1),1,0)</f>
        <v>0</v>
      </c>
      <c r="K417" s="7">
        <f>IF(H417=0,1,0)</f>
        <v>0</v>
      </c>
      <c r="L417" s="7">
        <f>IF(TRIM(Raw_Bookings!I417&amp;"")="",1,0)</f>
        <v>0</v>
      </c>
      <c r="M417" s="7">
        <f>IF(L417=1,"",DATEVALUE(LEFT(Raw_Bookings!I417,10))+TIMEVALUE(MID(Raw_Bookings!I417,12,8)))</f>
        <v>46034.59884259259</v>
      </c>
      <c r="N417" s="7">
        <f>IF(AND(L417=0,H417=1),IF(INT(M417)&gt;I417,1,0),0)</f>
        <v>0</v>
      </c>
      <c r="O417" s="7" t="str">
        <f>UPPER(TRIM(Raw_Bookings!F417))</f>
        <v>MUM</v>
      </c>
      <c r="P417" s="7" t="str">
        <f>UPPER(TRIM(Raw_Bookings!G417))</f>
        <v>BEN</v>
      </c>
      <c r="Q417" s="7">
        <f>IF(COUNTIF(Lookup_Stations!$A$2:$A$33,O417)&gt;0,1,0)</f>
        <v>1</v>
      </c>
      <c r="R417" s="7">
        <f>IF(COUNTIF(Lookup_Stations!$A$2:$A$33,P417)&gt;0,1,0)</f>
        <v>1</v>
      </c>
      <c r="S417" s="7">
        <f>IF(OR(AND(Q417=1,NOT(EXACT(Raw_Bookings!F417,O417))),AND(R417=1,NOT(EXACT(Raw_Bookings!G417,P417)))),1,0)</f>
        <v>0</v>
      </c>
      <c r="T417" s="7">
        <f>IF(OR(Q417=0,R417=0),1,0)</f>
        <v>0</v>
      </c>
      <c r="U417" s="7">
        <f>IF(TRIM(Raw_Bookings!E417&amp;"")="",1,0)</f>
        <v>0</v>
      </c>
      <c r="V417" s="7" t="str">
        <f>IF(SUMPRODUCT(--(Lookup_Status!$A$2:$A$13=LOWER(TRIM(Raw_Bookings!K417))))=0,"",INDEX(Lookup_Status!$B$2:$B$13,SUMPRODUCT((Lookup_Status!$A$2:$A$13=LOWER(TRIM(Raw_Bookings!K417)))*(ROW(Lookup_Status!$A$2:$A$13)-1))))</f>
        <v>Waitlisted</v>
      </c>
      <c r="W417" s="7">
        <f>IF(AND(V417&lt;&gt;"",NOT(EXACT(Raw_Bookings!K417,V417))),1,0)</f>
        <v>1</v>
      </c>
      <c r="X417" s="7">
        <f>IF(V417="",1,0)</f>
        <v>0</v>
      </c>
      <c r="Y417" s="7">
        <f>IF(TRIM(Raw_Bookings!L417&amp;"")="",1,0)</f>
        <v>0</v>
      </c>
      <c r="Z417" s="7">
        <f>IF(AND(ISTEXT(Raw_Bookings!L417),Y417=0),1,0)</f>
        <v>0</v>
      </c>
      <c r="AA417" s="7">
        <f>IF(Z417=1,IFERROR(VALUE(SUBSTITUTE(SUBSTITUTE(SUBSTITUTE(SUBSTITUTE(SUBSTITUTE(UPPER(Raw_Bookings!L417),"RS.",""),"₹",""),",","")," ",""),"INR","")),""),"")</f>
        <v/>
      </c>
      <c r="AB417" s="7">
        <f>IF(AND(Z417=1,ISNUMBER(AA417)),1,0)</f>
        <v>0</v>
      </c>
      <c r="AC417" s="7">
        <f>IF(B417=1,0,IF(NOT(ISNUMBER(Raw_Bookings!J417)),1,IF(Raw_Bookings!J417&lt;&gt;COUNTIFS(Work_Passengers!$B$2:$B$1336,Raw_Bookings!A417,Work_Passengers!$C$2:$C$1336,0),1,0)))</f>
        <v>0</v>
      </c>
    </row>
    <row r="418" spans="1:29">
      <c r="A418" s="7">
        <f>Raw_Bookings!A418</f>
        <v>1141084</v>
      </c>
      <c r="B418" s="7">
        <f>IF(COUNTIF(Raw_Bookings!$A$2:A418,Raw_Bookings!A418)&gt;1,1,0)</f>
        <v>0</v>
      </c>
      <c r="C418" s="7" t="str">
        <f>Raw_Bookings!D418&amp;""</f>
        <v>2026-03-04</v>
      </c>
      <c r="D418" s="7" t="str">
        <f>IF(AND(LEN(C418)=10,MID(C418,5,1)="-",MID(C418,8,1)="-"),"ISO",IF(AND(LEN(C418)=10,MID(C418,3,1)="-",MID(C418,6,1)="-"),"DMY","OTHER"))</f>
        <v>ISO</v>
      </c>
      <c r="E418" s="7">
        <f>IF(D418="ISO",VALUE(LEFT(C418,4)),IF(D418="DMY",VALUE(RIGHT(C418,4)),0))</f>
        <v>2026</v>
      </c>
      <c r="F418" s="7">
        <f>IF(D418="ISO",VALUE(MID(C418,6,2)),IF(D418="DMY",VALUE(MID(C418,4,2)),0))</f>
        <v>3</v>
      </c>
      <c r="G418" s="7">
        <f>IF(D418="ISO",VALUE(RIGHT(C418,2)),IF(D418="DMY",VALUE(LEFT(C418,2)),0))</f>
        <v>4</v>
      </c>
      <c r="H418" s="7">
        <f>IF(AND(D418&lt;&gt;"OTHER",F418&gt;=1,F418&lt;=12,G418&gt;=1,G418&lt;=31),IF(AND(MONTH(DATE(E418,F418,G418))=F418,DAY(DATE(E418,F418,G418))=G418),1,0),0)</f>
        <v>1</v>
      </c>
      <c r="I418" s="7">
        <f>IF(H418=1,DATE(E418,F418,G418),"")</f>
        <v>46085.0</v>
      </c>
      <c r="J418" s="7">
        <f>IF(AND(D418="DMY",H418=1),1,0)</f>
        <v>0</v>
      </c>
      <c r="K418" s="7">
        <f>IF(H418=0,1,0)</f>
        <v>0</v>
      </c>
      <c r="L418" s="7">
        <f>IF(TRIM(Raw_Bookings!I418&amp;"")="",1,0)</f>
        <v>0</v>
      </c>
      <c r="M418" s="7">
        <f>IF(L418=1,"",DATEVALUE(LEFT(Raw_Bookings!I418,10))+TIMEVALUE(MID(Raw_Bookings!I418,12,8)))</f>
        <v>46034.638449074075</v>
      </c>
      <c r="N418" s="7">
        <f>IF(AND(L418=0,H418=1),IF(INT(M418)&gt;I418,1,0),0)</f>
        <v>0</v>
      </c>
      <c r="O418" s="7" t="str">
        <f>UPPER(TRIM(Raw_Bookings!F418))</f>
        <v>RAI</v>
      </c>
      <c r="P418" s="7" t="str">
        <f>UPPER(TRIM(Raw_Bookings!G418))</f>
        <v>JAI</v>
      </c>
      <c r="Q418" s="7">
        <f>IF(COUNTIF(Lookup_Stations!$A$2:$A$33,O418)&gt;0,1,0)</f>
        <v>1</v>
      </c>
      <c r="R418" s="7">
        <f>IF(COUNTIF(Lookup_Stations!$A$2:$A$33,P418)&gt;0,1,0)</f>
        <v>1</v>
      </c>
      <c r="S418" s="7">
        <f>IF(OR(AND(Q418=1,NOT(EXACT(Raw_Bookings!F418,O418))),AND(R418=1,NOT(EXACT(Raw_Bookings!G418,P418)))),1,0)</f>
        <v>0</v>
      </c>
      <c r="T418" s="7">
        <f>IF(OR(Q418=0,R418=0),1,0)</f>
        <v>0</v>
      </c>
      <c r="U418" s="7">
        <f>IF(TRIM(Raw_Bookings!E418&amp;"")="",1,0)</f>
        <v>0</v>
      </c>
      <c r="V418" s="7" t="str">
        <f>IF(SUMPRODUCT(--(Lookup_Status!$A$2:$A$13=LOWER(TRIM(Raw_Bookings!K418))))=0,"",INDEX(Lookup_Status!$B$2:$B$13,SUMPRODUCT((Lookup_Status!$A$2:$A$13=LOWER(TRIM(Raw_Bookings!K418)))*(ROW(Lookup_Status!$A$2:$A$13)-1))))</f>
        <v>Confirmed</v>
      </c>
      <c r="W418" s="7">
        <f>IF(AND(V418&lt;&gt;"",NOT(EXACT(Raw_Bookings!K418,V418))),1,0)</f>
        <v>0</v>
      </c>
      <c r="X418" s="7">
        <f>IF(V418="",1,0)</f>
        <v>0</v>
      </c>
      <c r="Y418" s="7">
        <f>IF(TRIM(Raw_Bookings!L418&amp;"")="",1,0)</f>
        <v>0</v>
      </c>
      <c r="Z418" s="7">
        <f>IF(AND(ISTEXT(Raw_Bookings!L418),Y418=0),1,0)</f>
        <v>0</v>
      </c>
      <c r="AA418" s="7">
        <f>IF(Z418=1,IFERROR(VALUE(SUBSTITUTE(SUBSTITUTE(SUBSTITUTE(SUBSTITUTE(SUBSTITUTE(UPPER(Raw_Bookings!L418),"RS.",""),"₹",""),",","")," ",""),"INR","")),""),"")</f>
        <v/>
      </c>
      <c r="AB418" s="7">
        <f>IF(AND(Z418=1,ISNUMBER(AA418)),1,0)</f>
        <v>0</v>
      </c>
      <c r="AC418" s="7">
        <f>IF(B418=1,0,IF(NOT(ISNUMBER(Raw_Bookings!J418)),1,IF(Raw_Bookings!J418&lt;&gt;COUNTIFS(Work_Passengers!$B$2:$B$1336,Raw_Bookings!A418,Work_Passengers!$C$2:$C$1336,0),1,0)))</f>
        <v>0</v>
      </c>
    </row>
    <row r="419" spans="1:29">
      <c r="A419" s="7">
        <f>Raw_Bookings!A419</f>
        <v>1141196</v>
      </c>
      <c r="B419" s="7">
        <f>IF(COUNTIF(Raw_Bookings!$A$2:A419,Raw_Bookings!A419)&gt;1,1,0)</f>
        <v>0</v>
      </c>
      <c r="C419" s="7" t="str">
        <f>Raw_Bookings!D419&amp;""</f>
        <v>2026-02-03</v>
      </c>
      <c r="D419" s="7" t="str">
        <f>IF(AND(LEN(C419)=10,MID(C419,5,1)="-",MID(C419,8,1)="-"),"ISO",IF(AND(LEN(C419)=10,MID(C419,3,1)="-",MID(C419,6,1)="-"),"DMY","OTHER"))</f>
        <v>ISO</v>
      </c>
      <c r="E419" s="7">
        <f>IF(D419="ISO",VALUE(LEFT(C419,4)),IF(D419="DMY",VALUE(RIGHT(C419,4)),0))</f>
        <v>2026</v>
      </c>
      <c r="F419" s="7">
        <f>IF(D419="ISO",VALUE(MID(C419,6,2)),IF(D419="DMY",VALUE(MID(C419,4,2)),0))</f>
        <v>2</v>
      </c>
      <c r="G419" s="7">
        <f>IF(D419="ISO",VALUE(RIGHT(C419,2)),IF(D419="DMY",VALUE(LEFT(C419,2)),0))</f>
        <v>3</v>
      </c>
      <c r="H419" s="7">
        <f>IF(AND(D419&lt;&gt;"OTHER",F419&gt;=1,F419&lt;=12,G419&gt;=1,G419&lt;=31),IF(AND(MONTH(DATE(E419,F419,G419))=F419,DAY(DATE(E419,F419,G419))=G419),1,0),0)</f>
        <v>1</v>
      </c>
      <c r="I419" s="7">
        <f>IF(H419=1,DATE(E419,F419,G419),"")</f>
        <v>46056.0</v>
      </c>
      <c r="J419" s="7">
        <f>IF(AND(D419="DMY",H419=1),1,0)</f>
        <v>0</v>
      </c>
      <c r="K419" s="7">
        <f>IF(H419=0,1,0)</f>
        <v>0</v>
      </c>
      <c r="L419" s="7">
        <f>IF(TRIM(Raw_Bookings!I419&amp;"")="",1,0)</f>
        <v>0</v>
      </c>
      <c r="M419" s="7">
        <f>IF(L419=1,"",DATEVALUE(LEFT(Raw_Bookings!I419,10))+TIMEVALUE(MID(Raw_Bookings!I419,12,8)))</f>
        <v>46034.85796296296</v>
      </c>
      <c r="N419" s="7">
        <f>IF(AND(L419=0,H419=1),IF(INT(M419)&gt;I419,1,0),0)</f>
        <v>0</v>
      </c>
      <c r="O419" s="7" t="str">
        <f>UPPER(TRIM(Raw_Bookings!F419))</f>
        <v>RAI</v>
      </c>
      <c r="P419" s="7" t="str">
        <f>UPPER(TRIM(Raw_Bookings!G419))</f>
        <v>JAI</v>
      </c>
      <c r="Q419" s="7">
        <f>IF(COUNTIF(Lookup_Stations!$A$2:$A$33,O419)&gt;0,1,0)</f>
        <v>1</v>
      </c>
      <c r="R419" s="7">
        <f>IF(COUNTIF(Lookup_Stations!$A$2:$A$33,P419)&gt;0,1,0)</f>
        <v>1</v>
      </c>
      <c r="S419" s="7">
        <f>IF(OR(AND(Q419=1,NOT(EXACT(Raw_Bookings!F419,O419))),AND(R419=1,NOT(EXACT(Raw_Bookings!G419,P419)))),1,0)</f>
        <v>0</v>
      </c>
      <c r="T419" s="7">
        <f>IF(OR(Q419=0,R419=0),1,0)</f>
        <v>0</v>
      </c>
      <c r="U419" s="7">
        <f>IF(TRIM(Raw_Bookings!E419&amp;"")="",1,0)</f>
        <v>0</v>
      </c>
      <c r="V419" s="7" t="str">
        <f>IF(SUMPRODUCT(--(Lookup_Status!$A$2:$A$13=LOWER(TRIM(Raw_Bookings!K419))))=0,"",INDEX(Lookup_Status!$B$2:$B$13,SUMPRODUCT((Lookup_Status!$A$2:$A$13=LOWER(TRIM(Raw_Bookings!K419)))*(ROW(Lookup_Status!$A$2:$A$13)-1))))</f>
        <v>Cancelled</v>
      </c>
      <c r="W419" s="7">
        <f>IF(AND(V419&lt;&gt;"",NOT(EXACT(Raw_Bookings!K419,V419))),1,0)</f>
        <v>0</v>
      </c>
      <c r="X419" s="7">
        <f>IF(V419="",1,0)</f>
        <v>0</v>
      </c>
      <c r="Y419" s="7">
        <f>IF(TRIM(Raw_Bookings!L419&amp;"")="",1,0)</f>
        <v>0</v>
      </c>
      <c r="Z419" s="7">
        <f>IF(AND(ISTEXT(Raw_Bookings!L419),Y419=0),1,0)</f>
        <v>0</v>
      </c>
      <c r="AA419" s="7">
        <f>IF(Z419=1,IFERROR(VALUE(SUBSTITUTE(SUBSTITUTE(SUBSTITUTE(SUBSTITUTE(SUBSTITUTE(UPPER(Raw_Bookings!L419),"RS.",""),"₹",""),",","")," ",""),"INR","")),""),"")</f>
        <v/>
      </c>
      <c r="AB419" s="7">
        <f>IF(AND(Z419=1,ISNUMBER(AA419)),1,0)</f>
        <v>0</v>
      </c>
      <c r="AC419" s="7">
        <f>IF(B419=1,0,IF(NOT(ISNUMBER(Raw_Bookings!J419)),1,IF(Raw_Bookings!J419&lt;&gt;COUNTIFS(Work_Passengers!$B$2:$B$1336,Raw_Bookings!A419,Work_Passengers!$C$2:$C$1336,0),1,0)))</f>
        <v>0</v>
      </c>
    </row>
    <row r="420" spans="1:29">
      <c r="A420" s="7">
        <f>Raw_Bookings!A420</f>
        <v>1141452</v>
      </c>
      <c r="B420" s="7">
        <f>IF(COUNTIF(Raw_Bookings!$A$2:A420,Raw_Bookings!A420)&gt;1,1,0)</f>
        <v>0</v>
      </c>
      <c r="C420" s="7" t="str">
        <f>Raw_Bookings!D420&amp;""</f>
        <v>2026-01-16</v>
      </c>
      <c r="D420" s="7" t="str">
        <f>IF(AND(LEN(C420)=10,MID(C420,5,1)="-",MID(C420,8,1)="-"),"ISO",IF(AND(LEN(C420)=10,MID(C420,3,1)="-",MID(C420,6,1)="-"),"DMY","OTHER"))</f>
        <v>ISO</v>
      </c>
      <c r="E420" s="7">
        <f>IF(D420="ISO",VALUE(LEFT(C420,4)),IF(D420="DMY",VALUE(RIGHT(C420,4)),0))</f>
        <v>2026</v>
      </c>
      <c r="F420" s="7">
        <f>IF(D420="ISO",VALUE(MID(C420,6,2)),IF(D420="DMY",VALUE(MID(C420,4,2)),0))</f>
        <v>1</v>
      </c>
      <c r="G420" s="7">
        <f>IF(D420="ISO",VALUE(RIGHT(C420,2)),IF(D420="DMY",VALUE(LEFT(C420,2)),0))</f>
        <v>16</v>
      </c>
      <c r="H420" s="7">
        <f>IF(AND(D420&lt;&gt;"OTHER",F420&gt;=1,F420&lt;=12,G420&gt;=1,G420&lt;=31),IF(AND(MONTH(DATE(E420,F420,G420))=F420,DAY(DATE(E420,F420,G420))=G420),1,0),0)</f>
        <v>1</v>
      </c>
      <c r="I420" s="7">
        <f>IF(H420=1,DATE(E420,F420,G420),"")</f>
        <v>46038.0</v>
      </c>
      <c r="J420" s="7">
        <f>IF(AND(D420="DMY",H420=1),1,0)</f>
        <v>0</v>
      </c>
      <c r="K420" s="7">
        <f>IF(H420=0,1,0)</f>
        <v>0</v>
      </c>
      <c r="L420" s="7">
        <f>IF(TRIM(Raw_Bookings!I420&amp;"")="",1,0)</f>
        <v>0</v>
      </c>
      <c r="M420" s="7">
        <f>IF(L420=1,"",DATEVALUE(LEFT(Raw_Bookings!I420,10))+TIMEVALUE(MID(Raw_Bookings!I420,12,8)))</f>
        <v>46035.68681712963</v>
      </c>
      <c r="N420" s="7">
        <f>IF(AND(L420=0,H420=1),IF(INT(M420)&gt;I420,1,0),0)</f>
        <v>0</v>
      </c>
      <c r="O420" s="7" t="str">
        <f>UPPER(TRIM(Raw_Bookings!F420))</f>
        <v>THI</v>
      </c>
      <c r="P420" s="7" t="str">
        <f>UPPER(TRIM(Raw_Bookings!G420))</f>
        <v>NAG</v>
      </c>
      <c r="Q420" s="7">
        <f>IF(COUNTIF(Lookup_Stations!$A$2:$A$33,O420)&gt;0,1,0)</f>
        <v>1</v>
      </c>
      <c r="R420" s="7">
        <f>IF(COUNTIF(Lookup_Stations!$A$2:$A$33,P420)&gt;0,1,0)</f>
        <v>1</v>
      </c>
      <c r="S420" s="7">
        <f>IF(OR(AND(Q420=1,NOT(EXACT(Raw_Bookings!F420,O420))),AND(R420=1,NOT(EXACT(Raw_Bookings!G420,P420)))),1,0)</f>
        <v>0</v>
      </c>
      <c r="T420" s="7">
        <f>IF(OR(Q420=0,R420=0),1,0)</f>
        <v>0</v>
      </c>
      <c r="U420" s="7">
        <f>IF(TRIM(Raw_Bookings!E420&amp;"")="",1,0)</f>
        <v>0</v>
      </c>
      <c r="V420" s="7" t="str">
        <f>IF(SUMPRODUCT(--(Lookup_Status!$A$2:$A$13=LOWER(TRIM(Raw_Bookings!K420))))=0,"",INDEX(Lookup_Status!$B$2:$B$13,SUMPRODUCT((Lookup_Status!$A$2:$A$13=LOWER(TRIM(Raw_Bookings!K420)))*(ROW(Lookup_Status!$A$2:$A$13)-1))))</f>
        <v>Confirmed</v>
      </c>
      <c r="W420" s="7">
        <f>IF(AND(V420&lt;&gt;"",NOT(EXACT(Raw_Bookings!K420,V420))),1,0)</f>
        <v>0</v>
      </c>
      <c r="X420" s="7">
        <f>IF(V420="",1,0)</f>
        <v>0</v>
      </c>
      <c r="Y420" s="7">
        <f>IF(TRIM(Raw_Bookings!L420&amp;"")="",1,0)</f>
        <v>0</v>
      </c>
      <c r="Z420" s="7">
        <f>IF(AND(ISTEXT(Raw_Bookings!L420),Y420=0),1,0)</f>
        <v>0</v>
      </c>
      <c r="AA420" s="7">
        <f>IF(Z420=1,IFERROR(VALUE(SUBSTITUTE(SUBSTITUTE(SUBSTITUTE(SUBSTITUTE(SUBSTITUTE(UPPER(Raw_Bookings!L420),"RS.",""),"₹",""),",","")," ",""),"INR","")),""),"")</f>
        <v/>
      </c>
      <c r="AB420" s="7">
        <f>IF(AND(Z420=1,ISNUMBER(AA420)),1,0)</f>
        <v>0</v>
      </c>
      <c r="AC420" s="7">
        <f>IF(B420=1,0,IF(NOT(ISNUMBER(Raw_Bookings!J420)),1,IF(Raw_Bookings!J420&lt;&gt;COUNTIFS(Work_Passengers!$B$2:$B$1336,Raw_Bookings!A420,Work_Passengers!$C$2:$C$1336,0),1,0)))</f>
        <v>0</v>
      </c>
    </row>
    <row r="421" spans="1:29">
      <c r="A421" s="7">
        <f>Raw_Bookings!A421</f>
        <v>1141538</v>
      </c>
      <c r="B421" s="7">
        <f>IF(COUNTIF(Raw_Bookings!$A$2:A421,Raw_Bookings!A421)&gt;1,1,0)</f>
        <v>0</v>
      </c>
      <c r="C421" s="7" t="str">
        <f>Raw_Bookings!D421&amp;""</f>
        <v>2026-03-14</v>
      </c>
      <c r="D421" s="7" t="str">
        <f>IF(AND(LEN(C421)=10,MID(C421,5,1)="-",MID(C421,8,1)="-"),"ISO",IF(AND(LEN(C421)=10,MID(C421,3,1)="-",MID(C421,6,1)="-"),"DMY","OTHER"))</f>
        <v>ISO</v>
      </c>
      <c r="E421" s="7">
        <f>IF(D421="ISO",VALUE(LEFT(C421,4)),IF(D421="DMY",VALUE(RIGHT(C421,4)),0))</f>
        <v>2026</v>
      </c>
      <c r="F421" s="7">
        <f>IF(D421="ISO",VALUE(MID(C421,6,2)),IF(D421="DMY",VALUE(MID(C421,4,2)),0))</f>
        <v>3</v>
      </c>
      <c r="G421" s="7">
        <f>IF(D421="ISO",VALUE(RIGHT(C421,2)),IF(D421="DMY",VALUE(LEFT(C421,2)),0))</f>
        <v>14</v>
      </c>
      <c r="H421" s="7">
        <f>IF(AND(D421&lt;&gt;"OTHER",F421&gt;=1,F421&lt;=12,G421&gt;=1,G421&lt;=31),IF(AND(MONTH(DATE(E421,F421,G421))=F421,DAY(DATE(E421,F421,G421))=G421),1,0),0)</f>
        <v>1</v>
      </c>
      <c r="I421" s="7">
        <f>IF(H421=1,DATE(E421,F421,G421),"")</f>
        <v>46095.0</v>
      </c>
      <c r="J421" s="7">
        <f>IF(AND(D421="DMY",H421=1),1,0)</f>
        <v>0</v>
      </c>
      <c r="K421" s="7">
        <f>IF(H421=0,1,0)</f>
        <v>0</v>
      </c>
      <c r="L421" s="7">
        <f>IF(TRIM(Raw_Bookings!I421&amp;"")="",1,0)</f>
        <v>0</v>
      </c>
      <c r="M421" s="7">
        <f>IF(L421=1,"",DATEVALUE(LEFT(Raw_Bookings!I421,10))+TIMEVALUE(MID(Raw_Bookings!I421,12,8)))</f>
        <v>46035.83976851852</v>
      </c>
      <c r="N421" s="7">
        <f>IF(AND(L421=0,H421=1),IF(INT(M421)&gt;I421,1,0),0)</f>
        <v>0</v>
      </c>
      <c r="O421" s="7" t="str">
        <f>UPPER(TRIM(Raw_Bookings!F421))</f>
        <v>AMR</v>
      </c>
      <c r="P421" s="7" t="str">
        <f>UPPER(TRIM(Raw_Bookings!G421))</f>
        <v>IND</v>
      </c>
      <c r="Q421" s="7">
        <f>IF(COUNTIF(Lookup_Stations!$A$2:$A$33,O421)&gt;0,1,0)</f>
        <v>1</v>
      </c>
      <c r="R421" s="7">
        <f>IF(COUNTIF(Lookup_Stations!$A$2:$A$33,P421)&gt;0,1,0)</f>
        <v>1</v>
      </c>
      <c r="S421" s="7">
        <f>IF(OR(AND(Q421=1,NOT(EXACT(Raw_Bookings!F421,O421))),AND(R421=1,NOT(EXACT(Raw_Bookings!G421,P421)))),1,0)</f>
        <v>0</v>
      </c>
      <c r="T421" s="7">
        <f>IF(OR(Q421=0,R421=0),1,0)</f>
        <v>0</v>
      </c>
      <c r="U421" s="7">
        <f>IF(TRIM(Raw_Bookings!E421&amp;"")="",1,0)</f>
        <v>0</v>
      </c>
      <c r="V421" s="7" t="str">
        <f>IF(SUMPRODUCT(--(Lookup_Status!$A$2:$A$13=LOWER(TRIM(Raw_Bookings!K421))))=0,"",INDEX(Lookup_Status!$B$2:$B$13,SUMPRODUCT((Lookup_Status!$A$2:$A$13=LOWER(TRIM(Raw_Bookings!K421)))*(ROW(Lookup_Status!$A$2:$A$13)-1))))</f>
        <v>Confirmed</v>
      </c>
      <c r="W421" s="7">
        <f>IF(AND(V421&lt;&gt;"",NOT(EXACT(Raw_Bookings!K421,V421))),1,0)</f>
        <v>0</v>
      </c>
      <c r="X421" s="7">
        <f>IF(V421="",1,0)</f>
        <v>0</v>
      </c>
      <c r="Y421" s="7">
        <f>IF(TRIM(Raw_Bookings!L421&amp;"")="",1,0)</f>
        <v>0</v>
      </c>
      <c r="Z421" s="7">
        <f>IF(AND(ISTEXT(Raw_Bookings!L421),Y421=0),1,0)</f>
        <v>0</v>
      </c>
      <c r="AA421" s="7">
        <f>IF(Z421=1,IFERROR(VALUE(SUBSTITUTE(SUBSTITUTE(SUBSTITUTE(SUBSTITUTE(SUBSTITUTE(UPPER(Raw_Bookings!L421),"RS.",""),"₹",""),",","")," ",""),"INR","")),""),"")</f>
        <v/>
      </c>
      <c r="AB421" s="7">
        <f>IF(AND(Z421=1,ISNUMBER(AA421)),1,0)</f>
        <v>0</v>
      </c>
      <c r="AC421" s="7">
        <f>IF(B421=1,0,IF(NOT(ISNUMBER(Raw_Bookings!J421)),1,IF(Raw_Bookings!J421&lt;&gt;COUNTIFS(Work_Passengers!$B$2:$B$1336,Raw_Bookings!A421,Work_Passengers!$C$2:$C$1336,0),1,0)))</f>
        <v>0</v>
      </c>
    </row>
    <row r="422" spans="1:29">
      <c r="A422" s="7">
        <f>Raw_Bookings!A422</f>
        <v>1141562</v>
      </c>
      <c r="B422" s="7">
        <f>IF(COUNTIF(Raw_Bookings!$A$2:A422,Raw_Bookings!A422)&gt;1,1,0)</f>
        <v>0</v>
      </c>
      <c r="C422" s="7" t="str">
        <f>Raw_Bookings!D422&amp;""</f>
        <v>2026-05-09</v>
      </c>
      <c r="D422" s="7" t="str">
        <f>IF(AND(LEN(C422)=10,MID(C422,5,1)="-",MID(C422,8,1)="-"),"ISO",IF(AND(LEN(C422)=10,MID(C422,3,1)="-",MID(C422,6,1)="-"),"DMY","OTHER"))</f>
        <v>ISO</v>
      </c>
      <c r="E422" s="7">
        <f>IF(D422="ISO",VALUE(LEFT(C422,4)),IF(D422="DMY",VALUE(RIGHT(C422,4)),0))</f>
        <v>2026</v>
      </c>
      <c r="F422" s="7">
        <f>IF(D422="ISO",VALUE(MID(C422,6,2)),IF(D422="DMY",VALUE(MID(C422,4,2)),0))</f>
        <v>5</v>
      </c>
      <c r="G422" s="7">
        <f>IF(D422="ISO",VALUE(RIGHT(C422,2)),IF(D422="DMY",VALUE(LEFT(C422,2)),0))</f>
        <v>9</v>
      </c>
      <c r="H422" s="7">
        <f>IF(AND(D422&lt;&gt;"OTHER",F422&gt;=1,F422&lt;=12,G422&gt;=1,G422&lt;=31),IF(AND(MONTH(DATE(E422,F422,G422))=F422,DAY(DATE(E422,F422,G422))=G422),1,0),0)</f>
        <v>1</v>
      </c>
      <c r="I422" s="7">
        <f>IF(H422=1,DATE(E422,F422,G422),"")</f>
        <v>46151.0</v>
      </c>
      <c r="J422" s="7">
        <f>IF(AND(D422="DMY",H422=1),1,0)</f>
        <v>0</v>
      </c>
      <c r="K422" s="7">
        <f>IF(H422=0,1,0)</f>
        <v>0</v>
      </c>
      <c r="L422" s="7">
        <f>IF(TRIM(Raw_Bookings!I422&amp;"")="",1,0)</f>
        <v>0</v>
      </c>
      <c r="M422" s="7">
        <f>IF(L422=1,"",DATEVALUE(LEFT(Raw_Bookings!I422,10))+TIMEVALUE(MID(Raw_Bookings!I422,12,8)))</f>
        <v>46035.875914351855</v>
      </c>
      <c r="N422" s="7">
        <f>IF(AND(L422=0,H422=1),IF(INT(M422)&gt;I422,1,0),0)</f>
        <v>0</v>
      </c>
      <c r="O422" s="7" t="str">
        <f>UPPER(TRIM(Raw_Bookings!F422))</f>
        <v>AHM</v>
      </c>
      <c r="P422" s="7" t="str">
        <f>UPPER(TRIM(Raw_Bookings!G422))</f>
        <v>CHE</v>
      </c>
      <c r="Q422" s="7">
        <f>IF(COUNTIF(Lookup_Stations!$A$2:$A$33,O422)&gt;0,1,0)</f>
        <v>1</v>
      </c>
      <c r="R422" s="7">
        <f>IF(COUNTIF(Lookup_Stations!$A$2:$A$33,P422)&gt;0,1,0)</f>
        <v>1</v>
      </c>
      <c r="S422" s="7">
        <f>IF(OR(AND(Q422=1,NOT(EXACT(Raw_Bookings!F422,O422))),AND(R422=1,NOT(EXACT(Raw_Bookings!G422,P422)))),1,0)</f>
        <v>0</v>
      </c>
      <c r="T422" s="7">
        <f>IF(OR(Q422=0,R422=0),1,0)</f>
        <v>0</v>
      </c>
      <c r="U422" s="7">
        <f>IF(TRIM(Raw_Bookings!E422&amp;"")="",1,0)</f>
        <v>0</v>
      </c>
      <c r="V422" s="7" t="str">
        <f>IF(SUMPRODUCT(--(Lookup_Status!$A$2:$A$13=LOWER(TRIM(Raw_Bookings!K422))))=0,"",INDEX(Lookup_Status!$B$2:$B$13,SUMPRODUCT((Lookup_Status!$A$2:$A$13=LOWER(TRIM(Raw_Bookings!K422)))*(ROW(Lookup_Status!$A$2:$A$13)-1))))</f>
        <v>Cancelled</v>
      </c>
      <c r="W422" s="7">
        <f>IF(AND(V422&lt;&gt;"",NOT(EXACT(Raw_Bookings!K422,V422))),1,0)</f>
        <v>0</v>
      </c>
      <c r="X422" s="7">
        <f>IF(V422="",1,0)</f>
        <v>0</v>
      </c>
      <c r="Y422" s="7">
        <f>IF(TRIM(Raw_Bookings!L422&amp;"")="",1,0)</f>
        <v>0</v>
      </c>
      <c r="Z422" s="7">
        <f>IF(AND(ISTEXT(Raw_Bookings!L422),Y422=0),1,0)</f>
        <v>0</v>
      </c>
      <c r="AA422" s="7">
        <f>IF(Z422=1,IFERROR(VALUE(SUBSTITUTE(SUBSTITUTE(SUBSTITUTE(SUBSTITUTE(SUBSTITUTE(UPPER(Raw_Bookings!L422),"RS.",""),"₹",""),",","")," ",""),"INR","")),""),"")</f>
        <v/>
      </c>
      <c r="AB422" s="7">
        <f>IF(AND(Z422=1,ISNUMBER(AA422)),1,0)</f>
        <v>0</v>
      </c>
      <c r="AC422" s="7">
        <f>IF(B422=1,0,IF(NOT(ISNUMBER(Raw_Bookings!J422)),1,IF(Raw_Bookings!J422&lt;&gt;COUNTIFS(Work_Passengers!$B$2:$B$1336,Raw_Bookings!A422,Work_Passengers!$C$2:$C$1336,0),1,0)))</f>
        <v>0</v>
      </c>
    </row>
    <row r="423" spans="1:29">
      <c r="A423" s="7">
        <f>Raw_Bookings!A423</f>
        <v>1142545</v>
      </c>
      <c r="B423" s="7">
        <f>IF(COUNTIF(Raw_Bookings!$A$2:A423,Raw_Bookings!A423)&gt;1,1,0)</f>
        <v>0</v>
      </c>
      <c r="C423" s="7" t="str">
        <f>Raw_Bookings!D423&amp;""</f>
        <v>2026-01-28</v>
      </c>
      <c r="D423" s="7" t="str">
        <f>IF(AND(LEN(C423)=10,MID(C423,5,1)="-",MID(C423,8,1)="-"),"ISO",IF(AND(LEN(C423)=10,MID(C423,3,1)="-",MID(C423,6,1)="-"),"DMY","OTHER"))</f>
        <v>ISO</v>
      </c>
      <c r="E423" s="7">
        <f>IF(D423="ISO",VALUE(LEFT(C423,4)),IF(D423="DMY",VALUE(RIGHT(C423,4)),0))</f>
        <v>2026</v>
      </c>
      <c r="F423" s="7">
        <f>IF(D423="ISO",VALUE(MID(C423,6,2)),IF(D423="DMY",VALUE(MID(C423,4,2)),0))</f>
        <v>1</v>
      </c>
      <c r="G423" s="7">
        <f>IF(D423="ISO",VALUE(RIGHT(C423,2)),IF(D423="DMY",VALUE(LEFT(C423,2)),0))</f>
        <v>28</v>
      </c>
      <c r="H423" s="7">
        <f>IF(AND(D423&lt;&gt;"OTHER",F423&gt;=1,F423&lt;=12,G423&gt;=1,G423&lt;=31),IF(AND(MONTH(DATE(E423,F423,G423))=F423,DAY(DATE(E423,F423,G423))=G423),1,0),0)</f>
        <v>1</v>
      </c>
      <c r="I423" s="7">
        <f>IF(H423=1,DATE(E423,F423,G423),"")</f>
        <v>46050.0</v>
      </c>
      <c r="J423" s="7">
        <f>IF(AND(D423="DMY",H423=1),1,0)</f>
        <v>0</v>
      </c>
      <c r="K423" s="7">
        <f>IF(H423=0,1,0)</f>
        <v>0</v>
      </c>
      <c r="L423" s="7">
        <f>IF(TRIM(Raw_Bookings!I423&amp;"")="",1,0)</f>
        <v>0</v>
      </c>
      <c r="M423" s="7">
        <f>IF(L423=1,"",DATEVALUE(LEFT(Raw_Bookings!I423,10))+TIMEVALUE(MID(Raw_Bookings!I423,12,8)))</f>
        <v>46039.46921296296</v>
      </c>
      <c r="N423" s="7">
        <f>IF(AND(L423=0,H423=1),IF(INT(M423)&gt;I423,1,0),0)</f>
        <v>0</v>
      </c>
      <c r="O423" s="7" t="str">
        <f>UPPER(TRIM(Raw_Bookings!F423))</f>
        <v>NAG</v>
      </c>
      <c r="P423" s="7" t="str">
        <f>UPPER(TRIM(Raw_Bookings!G423))</f>
        <v>THI</v>
      </c>
      <c r="Q423" s="7">
        <f>IF(COUNTIF(Lookup_Stations!$A$2:$A$33,O423)&gt;0,1,0)</f>
        <v>1</v>
      </c>
      <c r="R423" s="7">
        <f>IF(COUNTIF(Lookup_Stations!$A$2:$A$33,P423)&gt;0,1,0)</f>
        <v>1</v>
      </c>
      <c r="S423" s="7">
        <f>IF(OR(AND(Q423=1,NOT(EXACT(Raw_Bookings!F423,O423))),AND(R423=1,NOT(EXACT(Raw_Bookings!G423,P423)))),1,0)</f>
        <v>0</v>
      </c>
      <c r="T423" s="7">
        <f>IF(OR(Q423=0,R423=0),1,0)</f>
        <v>0</v>
      </c>
      <c r="U423" s="7">
        <f>IF(TRIM(Raw_Bookings!E423&amp;"")="",1,0)</f>
        <v>0</v>
      </c>
      <c r="V423" s="7" t="str">
        <f>IF(SUMPRODUCT(--(Lookup_Status!$A$2:$A$13=LOWER(TRIM(Raw_Bookings!K423))))=0,"",INDEX(Lookup_Status!$B$2:$B$13,SUMPRODUCT((Lookup_Status!$A$2:$A$13=LOWER(TRIM(Raw_Bookings!K423)))*(ROW(Lookup_Status!$A$2:$A$13)-1))))</f>
        <v>Confirmed</v>
      </c>
      <c r="W423" s="7">
        <f>IF(AND(V423&lt;&gt;"",NOT(EXACT(Raw_Bookings!K423,V423))),1,0)</f>
        <v>0</v>
      </c>
      <c r="X423" s="7">
        <f>IF(V423="",1,0)</f>
        <v>0</v>
      </c>
      <c r="Y423" s="7">
        <f>IF(TRIM(Raw_Bookings!L423&amp;"")="",1,0)</f>
        <v>0</v>
      </c>
      <c r="Z423" s="7">
        <f>IF(AND(ISTEXT(Raw_Bookings!L423),Y423=0),1,0)</f>
        <v>0</v>
      </c>
      <c r="AA423" s="7">
        <f>IF(Z423=1,IFERROR(VALUE(SUBSTITUTE(SUBSTITUTE(SUBSTITUTE(SUBSTITUTE(SUBSTITUTE(UPPER(Raw_Bookings!L423),"RS.",""),"₹",""),",","")," ",""),"INR","")),""),"")</f>
        <v/>
      </c>
      <c r="AB423" s="7">
        <f>IF(AND(Z423=1,ISNUMBER(AA423)),1,0)</f>
        <v>0</v>
      </c>
      <c r="AC423" s="7">
        <f>IF(B423=1,0,IF(NOT(ISNUMBER(Raw_Bookings!J423)),1,IF(Raw_Bookings!J423&lt;&gt;COUNTIFS(Work_Passengers!$B$2:$B$1336,Raw_Bookings!A423,Work_Passengers!$C$2:$C$1336,0),1,0)))</f>
        <v>0</v>
      </c>
    </row>
    <row r="424" spans="1:29">
      <c r="A424" s="7">
        <f>Raw_Bookings!A424</f>
        <v>1142683</v>
      </c>
      <c r="B424" s="7">
        <f>IF(COUNTIF(Raw_Bookings!$A$2:A424,Raw_Bookings!A424)&gt;1,1,0)</f>
        <v>0</v>
      </c>
      <c r="C424" s="7" t="str">
        <f>Raw_Bookings!D424&amp;""</f>
        <v>2026-02-10</v>
      </c>
      <c r="D424" s="7" t="str">
        <f>IF(AND(LEN(C424)=10,MID(C424,5,1)="-",MID(C424,8,1)="-"),"ISO",IF(AND(LEN(C424)=10,MID(C424,3,1)="-",MID(C424,6,1)="-"),"DMY","OTHER"))</f>
        <v>ISO</v>
      </c>
      <c r="E424" s="7">
        <f>IF(D424="ISO",VALUE(LEFT(C424,4)),IF(D424="DMY",VALUE(RIGHT(C424,4)),0))</f>
        <v>2026</v>
      </c>
      <c r="F424" s="7">
        <f>IF(D424="ISO",VALUE(MID(C424,6,2)),IF(D424="DMY",VALUE(MID(C424,4,2)),0))</f>
        <v>2</v>
      </c>
      <c r="G424" s="7">
        <f>IF(D424="ISO",VALUE(RIGHT(C424,2)),IF(D424="DMY",VALUE(LEFT(C424,2)),0))</f>
        <v>10</v>
      </c>
      <c r="H424" s="7">
        <f>IF(AND(D424&lt;&gt;"OTHER",F424&gt;=1,F424&lt;=12,G424&gt;=1,G424&lt;=31),IF(AND(MONTH(DATE(E424,F424,G424))=F424,DAY(DATE(E424,F424,G424))=G424),1,0),0)</f>
        <v>1</v>
      </c>
      <c r="I424" s="7">
        <f>IF(H424=1,DATE(E424,F424,G424),"")</f>
        <v>46063.0</v>
      </c>
      <c r="J424" s="7">
        <f>IF(AND(D424="DMY",H424=1),1,0)</f>
        <v>0</v>
      </c>
      <c r="K424" s="7">
        <f>IF(H424=0,1,0)</f>
        <v>0</v>
      </c>
      <c r="L424" s="7">
        <f>IF(TRIM(Raw_Bookings!I424&amp;"")="",1,0)</f>
        <v>0</v>
      </c>
      <c r="M424" s="7">
        <f>IF(L424=1,"",DATEVALUE(LEFT(Raw_Bookings!I424,10))+TIMEVALUE(MID(Raw_Bookings!I424,12,8)))</f>
        <v>46039.82412037037</v>
      </c>
      <c r="N424" s="7">
        <f>IF(AND(L424=0,H424=1),IF(INT(M424)&gt;I424,1,0),0)</f>
        <v>0</v>
      </c>
      <c r="O424" s="7" t="str">
        <f>UPPER(TRIM(Raw_Bookings!F424))</f>
        <v>MUM</v>
      </c>
      <c r="P424" s="7" t="str">
        <f>UPPER(TRIM(Raw_Bookings!G424))</f>
        <v>BEN</v>
      </c>
      <c r="Q424" s="7">
        <f>IF(COUNTIF(Lookup_Stations!$A$2:$A$33,O424)&gt;0,1,0)</f>
        <v>1</v>
      </c>
      <c r="R424" s="7">
        <f>IF(COUNTIF(Lookup_Stations!$A$2:$A$33,P424)&gt;0,1,0)</f>
        <v>1</v>
      </c>
      <c r="S424" s="7">
        <f>IF(OR(AND(Q424=1,NOT(EXACT(Raw_Bookings!F424,O424))),AND(R424=1,NOT(EXACT(Raw_Bookings!G424,P424)))),1,0)</f>
        <v>0</v>
      </c>
      <c r="T424" s="7">
        <f>IF(OR(Q424=0,R424=0),1,0)</f>
        <v>0</v>
      </c>
      <c r="U424" s="7">
        <f>IF(TRIM(Raw_Bookings!E424&amp;"")="",1,0)</f>
        <v>0</v>
      </c>
      <c r="V424" s="7" t="str">
        <f>IF(SUMPRODUCT(--(Lookup_Status!$A$2:$A$13=LOWER(TRIM(Raw_Bookings!K424))))=0,"",INDEX(Lookup_Status!$B$2:$B$13,SUMPRODUCT((Lookup_Status!$A$2:$A$13=LOWER(TRIM(Raw_Bookings!K424)))*(ROW(Lookup_Status!$A$2:$A$13)-1))))</f>
        <v>Confirmed</v>
      </c>
      <c r="W424" s="7">
        <f>IF(AND(V424&lt;&gt;"",NOT(EXACT(Raw_Bookings!K424,V424))),1,0)</f>
        <v>0</v>
      </c>
      <c r="X424" s="7">
        <f>IF(V424="",1,0)</f>
        <v>0</v>
      </c>
      <c r="Y424" s="7">
        <f>IF(TRIM(Raw_Bookings!L424&amp;"")="",1,0)</f>
        <v>0</v>
      </c>
      <c r="Z424" s="7">
        <f>IF(AND(ISTEXT(Raw_Bookings!L424),Y424=0),1,0)</f>
        <v>0</v>
      </c>
      <c r="AA424" s="7">
        <f>IF(Z424=1,IFERROR(VALUE(SUBSTITUTE(SUBSTITUTE(SUBSTITUTE(SUBSTITUTE(SUBSTITUTE(UPPER(Raw_Bookings!L424),"RS.",""),"₹",""),",","")," ",""),"INR","")),""),"")</f>
        <v/>
      </c>
      <c r="AB424" s="7">
        <f>IF(AND(Z424=1,ISNUMBER(AA424)),1,0)</f>
        <v>0</v>
      </c>
      <c r="AC424" s="7">
        <f>IF(B424=1,0,IF(NOT(ISNUMBER(Raw_Bookings!J424)),1,IF(Raw_Bookings!J424&lt;&gt;COUNTIFS(Work_Passengers!$B$2:$B$1336,Raw_Bookings!A424,Work_Passengers!$C$2:$C$1336,0),1,0)))</f>
        <v>0</v>
      </c>
    </row>
    <row r="425" spans="1:29">
      <c r="A425" s="7">
        <f>Raw_Bookings!A425</f>
        <v>1142813</v>
      </c>
      <c r="B425" s="7">
        <f>IF(COUNTIF(Raw_Bookings!$A$2:A425,Raw_Bookings!A425)&gt;1,1,0)</f>
        <v>0</v>
      </c>
      <c r="C425" s="7" t="str">
        <f>Raw_Bookings!D425&amp;""</f>
        <v>2026-02-05</v>
      </c>
      <c r="D425" s="7" t="str">
        <f>IF(AND(LEN(C425)=10,MID(C425,5,1)="-",MID(C425,8,1)="-"),"ISO",IF(AND(LEN(C425)=10,MID(C425,3,1)="-",MID(C425,6,1)="-"),"DMY","OTHER"))</f>
        <v>ISO</v>
      </c>
      <c r="E425" s="7">
        <f>IF(D425="ISO",VALUE(LEFT(C425,4)),IF(D425="DMY",VALUE(RIGHT(C425,4)),0))</f>
        <v>2026</v>
      </c>
      <c r="F425" s="7">
        <f>IF(D425="ISO",VALUE(MID(C425,6,2)),IF(D425="DMY",VALUE(MID(C425,4,2)),0))</f>
        <v>2</v>
      </c>
      <c r="G425" s="7">
        <f>IF(D425="ISO",VALUE(RIGHT(C425,2)),IF(D425="DMY",VALUE(LEFT(C425,2)),0))</f>
        <v>5</v>
      </c>
      <c r="H425" s="7">
        <f>IF(AND(D425&lt;&gt;"OTHER",F425&gt;=1,F425&lt;=12,G425&gt;=1,G425&lt;=31),IF(AND(MONTH(DATE(E425,F425,G425))=F425,DAY(DATE(E425,F425,G425))=G425),1,0),0)</f>
        <v>1</v>
      </c>
      <c r="I425" s="7">
        <f>IF(H425=1,DATE(E425,F425,G425),"")</f>
        <v>46058.0</v>
      </c>
      <c r="J425" s="7">
        <f>IF(AND(D425="DMY",H425=1),1,0)</f>
        <v>0</v>
      </c>
      <c r="K425" s="7">
        <f>IF(H425=0,1,0)</f>
        <v>0</v>
      </c>
      <c r="L425" s="7">
        <f>IF(TRIM(Raw_Bookings!I425&amp;"")="",1,0)</f>
        <v>0</v>
      </c>
      <c r="M425" s="7">
        <f>IF(L425=1,"",DATEVALUE(LEFT(Raw_Bookings!I425,10))+TIMEVALUE(MID(Raw_Bookings!I425,12,8)))</f>
        <v>46040.39052083333</v>
      </c>
      <c r="N425" s="7">
        <f>IF(AND(L425=0,H425=1),IF(INT(M425)&gt;I425,1,0),0)</f>
        <v>0</v>
      </c>
      <c r="O425" s="7" t="str">
        <f>UPPER(TRIM(Raw_Bookings!F425))</f>
        <v>DEL</v>
      </c>
      <c r="P425" s="7" t="str">
        <f>UPPER(TRIM(Raw_Bookings!G425))</f>
        <v>DIB</v>
      </c>
      <c r="Q425" s="7">
        <f>IF(COUNTIF(Lookup_Stations!$A$2:$A$33,O425)&gt;0,1,0)</f>
        <v>1</v>
      </c>
      <c r="R425" s="7">
        <f>IF(COUNTIF(Lookup_Stations!$A$2:$A$33,P425)&gt;0,1,0)</f>
        <v>1</v>
      </c>
      <c r="S425" s="7">
        <f>IF(OR(AND(Q425=1,NOT(EXACT(Raw_Bookings!F425,O425))),AND(R425=1,NOT(EXACT(Raw_Bookings!G425,P425)))),1,0)</f>
        <v>1</v>
      </c>
      <c r="T425" s="7">
        <f>IF(OR(Q425=0,R425=0),1,0)</f>
        <v>0</v>
      </c>
      <c r="U425" s="7">
        <f>IF(TRIM(Raw_Bookings!E425&amp;"")="",1,0)</f>
        <v>0</v>
      </c>
      <c r="V425" s="7" t="str">
        <f>IF(SUMPRODUCT(--(Lookup_Status!$A$2:$A$13=LOWER(TRIM(Raw_Bookings!K425))))=0,"",INDEX(Lookup_Status!$B$2:$B$13,SUMPRODUCT((Lookup_Status!$A$2:$A$13=LOWER(TRIM(Raw_Bookings!K425)))*(ROW(Lookup_Status!$A$2:$A$13)-1))))</f>
        <v>Cancelled</v>
      </c>
      <c r="W425" s="7">
        <f>IF(AND(V425&lt;&gt;"",NOT(EXACT(Raw_Bookings!K425,V425))),1,0)</f>
        <v>0</v>
      </c>
      <c r="X425" s="7">
        <f>IF(V425="",1,0)</f>
        <v>0</v>
      </c>
      <c r="Y425" s="7">
        <f>IF(TRIM(Raw_Bookings!L425&amp;"")="",1,0)</f>
        <v>0</v>
      </c>
      <c r="Z425" s="7">
        <f>IF(AND(ISTEXT(Raw_Bookings!L425),Y425=0),1,0)</f>
        <v>0</v>
      </c>
      <c r="AA425" s="7">
        <f>IF(Z425=1,IFERROR(VALUE(SUBSTITUTE(SUBSTITUTE(SUBSTITUTE(SUBSTITUTE(SUBSTITUTE(UPPER(Raw_Bookings!L425),"RS.",""),"₹",""),",","")," ",""),"INR","")),""),"")</f>
        <v/>
      </c>
      <c r="AB425" s="7">
        <f>IF(AND(Z425=1,ISNUMBER(AA425)),1,0)</f>
        <v>0</v>
      </c>
      <c r="AC425" s="7">
        <f>IF(B425=1,0,IF(NOT(ISNUMBER(Raw_Bookings!J425)),1,IF(Raw_Bookings!J425&lt;&gt;COUNTIFS(Work_Passengers!$B$2:$B$1336,Raw_Bookings!A425,Work_Passengers!$C$2:$C$1336,0),1,0)))</f>
        <v>0</v>
      </c>
    </row>
    <row r="426" spans="1:29">
      <c r="A426" s="7">
        <f>Raw_Bookings!A426</f>
        <v>1143359</v>
      </c>
      <c r="B426" s="7">
        <f>IF(COUNTIF(Raw_Bookings!$A$2:A426,Raw_Bookings!A426)&gt;1,1,0)</f>
        <v>0</v>
      </c>
      <c r="C426" s="7" t="str">
        <f>Raw_Bookings!D426&amp;""</f>
        <v>2026-03-14</v>
      </c>
      <c r="D426" s="7" t="str">
        <f>IF(AND(LEN(C426)=10,MID(C426,5,1)="-",MID(C426,8,1)="-"),"ISO",IF(AND(LEN(C426)=10,MID(C426,3,1)="-",MID(C426,6,1)="-"),"DMY","OTHER"))</f>
        <v>ISO</v>
      </c>
      <c r="E426" s="7">
        <f>IF(D426="ISO",VALUE(LEFT(C426,4)),IF(D426="DMY",VALUE(RIGHT(C426,4)),0))</f>
        <v>2026</v>
      </c>
      <c r="F426" s="7">
        <f>IF(D426="ISO",VALUE(MID(C426,6,2)),IF(D426="DMY",VALUE(MID(C426,4,2)),0))</f>
        <v>3</v>
      </c>
      <c r="G426" s="7">
        <f>IF(D426="ISO",VALUE(RIGHT(C426,2)),IF(D426="DMY",VALUE(LEFT(C426,2)),0))</f>
        <v>14</v>
      </c>
      <c r="H426" s="7">
        <f>IF(AND(D426&lt;&gt;"OTHER",F426&gt;=1,F426&lt;=12,G426&gt;=1,G426&lt;=31),IF(AND(MONTH(DATE(E426,F426,G426))=F426,DAY(DATE(E426,F426,G426))=G426),1,0),0)</f>
        <v>1</v>
      </c>
      <c r="I426" s="7">
        <f>IF(H426=1,DATE(E426,F426,G426),"")</f>
        <v>46095.0</v>
      </c>
      <c r="J426" s="7">
        <f>IF(AND(D426="DMY",H426=1),1,0)</f>
        <v>0</v>
      </c>
      <c r="K426" s="7">
        <f>IF(H426=0,1,0)</f>
        <v>0</v>
      </c>
      <c r="L426" s="7">
        <f>IF(TRIM(Raw_Bookings!I426&amp;"")="",1,0)</f>
        <v>0</v>
      </c>
      <c r="M426" s="7">
        <f>IF(L426=1,"",DATEVALUE(LEFT(Raw_Bookings!I426,10))+TIMEVALUE(MID(Raw_Bookings!I426,12,8)))</f>
        <v>46042.31061342593</v>
      </c>
      <c r="N426" s="7">
        <f>IF(AND(L426=0,H426=1),IF(INT(M426)&gt;I426,1,0),0)</f>
        <v>0</v>
      </c>
      <c r="O426" s="7" t="str">
        <f>UPPER(TRIM(Raw_Bookings!F426))</f>
        <v>AMR</v>
      </c>
      <c r="P426" s="7" t="str">
        <f>UPPER(TRIM(Raw_Bookings!G426))</f>
        <v>IND</v>
      </c>
      <c r="Q426" s="7">
        <f>IF(COUNTIF(Lookup_Stations!$A$2:$A$33,O426)&gt;0,1,0)</f>
        <v>1</v>
      </c>
      <c r="R426" s="7">
        <f>IF(COUNTIF(Lookup_Stations!$A$2:$A$33,P426)&gt;0,1,0)</f>
        <v>1</v>
      </c>
      <c r="S426" s="7">
        <f>IF(OR(AND(Q426=1,NOT(EXACT(Raw_Bookings!F426,O426))),AND(R426=1,NOT(EXACT(Raw_Bookings!G426,P426)))),1,0)</f>
        <v>0</v>
      </c>
      <c r="T426" s="7">
        <f>IF(OR(Q426=0,R426=0),1,0)</f>
        <v>0</v>
      </c>
      <c r="U426" s="7">
        <f>IF(TRIM(Raw_Bookings!E426&amp;"")="",1,0)</f>
        <v>0</v>
      </c>
      <c r="V426" s="7" t="str">
        <f>IF(SUMPRODUCT(--(Lookup_Status!$A$2:$A$13=LOWER(TRIM(Raw_Bookings!K426))))=0,"",INDEX(Lookup_Status!$B$2:$B$13,SUMPRODUCT((Lookup_Status!$A$2:$A$13=LOWER(TRIM(Raw_Bookings!K426)))*(ROW(Lookup_Status!$A$2:$A$13)-1))))</f>
        <v>Confirmed</v>
      </c>
      <c r="W426" s="7">
        <f>IF(AND(V426&lt;&gt;"",NOT(EXACT(Raw_Bookings!K426,V426))),1,0)</f>
        <v>0</v>
      </c>
      <c r="X426" s="7">
        <f>IF(V426="",1,0)</f>
        <v>0</v>
      </c>
      <c r="Y426" s="7">
        <f>IF(TRIM(Raw_Bookings!L426&amp;"")="",1,0)</f>
        <v>0</v>
      </c>
      <c r="Z426" s="7">
        <f>IF(AND(ISTEXT(Raw_Bookings!L426),Y426=0),1,0)</f>
        <v>0</v>
      </c>
      <c r="AA426" s="7">
        <f>IF(Z426=1,IFERROR(VALUE(SUBSTITUTE(SUBSTITUTE(SUBSTITUTE(SUBSTITUTE(SUBSTITUTE(UPPER(Raw_Bookings!L426),"RS.",""),"₹",""),",","")," ",""),"INR","")),""),"")</f>
        <v/>
      </c>
      <c r="AB426" s="7">
        <f>IF(AND(Z426=1,ISNUMBER(AA426)),1,0)</f>
        <v>0</v>
      </c>
      <c r="AC426" s="7">
        <f>IF(B426=1,0,IF(NOT(ISNUMBER(Raw_Bookings!J426)),1,IF(Raw_Bookings!J426&lt;&gt;COUNTIFS(Work_Passengers!$B$2:$B$1336,Raw_Bookings!A426,Work_Passengers!$C$2:$C$1336,0),1,0)))</f>
        <v>0</v>
      </c>
    </row>
    <row r="427" spans="1:29">
      <c r="A427" s="7">
        <f>Raw_Bookings!A427</f>
        <v>1143705</v>
      </c>
      <c r="B427" s="7">
        <f>IF(COUNTIF(Raw_Bookings!$A$2:A427,Raw_Bookings!A427)&gt;1,1,0)</f>
        <v>0</v>
      </c>
      <c r="C427" s="7" t="str">
        <f>Raw_Bookings!D427&amp;""</f>
        <v>2026-03-09</v>
      </c>
      <c r="D427" s="7" t="str">
        <f>IF(AND(LEN(C427)=10,MID(C427,5,1)="-",MID(C427,8,1)="-"),"ISO",IF(AND(LEN(C427)=10,MID(C427,3,1)="-",MID(C427,6,1)="-"),"DMY","OTHER"))</f>
        <v>ISO</v>
      </c>
      <c r="E427" s="7">
        <f>IF(D427="ISO",VALUE(LEFT(C427,4)),IF(D427="DMY",VALUE(RIGHT(C427,4)),0))</f>
        <v>2026</v>
      </c>
      <c r="F427" s="7">
        <f>IF(D427="ISO",VALUE(MID(C427,6,2)),IF(D427="DMY",VALUE(MID(C427,4,2)),0))</f>
        <v>3</v>
      </c>
      <c r="G427" s="7">
        <f>IF(D427="ISO",VALUE(RIGHT(C427,2)),IF(D427="DMY",VALUE(LEFT(C427,2)),0))</f>
        <v>9</v>
      </c>
      <c r="H427" s="7">
        <f>IF(AND(D427&lt;&gt;"OTHER",F427&gt;=1,F427&lt;=12,G427&gt;=1,G427&lt;=31),IF(AND(MONTH(DATE(E427,F427,G427))=F427,DAY(DATE(E427,F427,G427))=G427),1,0),0)</f>
        <v>1</v>
      </c>
      <c r="I427" s="7">
        <f>IF(H427=1,DATE(E427,F427,G427),"")</f>
        <v>46090.0</v>
      </c>
      <c r="J427" s="7">
        <f>IF(AND(D427="DMY",H427=1),1,0)</f>
        <v>0</v>
      </c>
      <c r="K427" s="7">
        <f>IF(H427=0,1,0)</f>
        <v>0</v>
      </c>
      <c r="L427" s="7">
        <f>IF(TRIM(Raw_Bookings!I427&amp;"")="",1,0)</f>
        <v>0</v>
      </c>
      <c r="M427" s="7">
        <f>IF(L427=1,"",DATEVALUE(LEFT(Raw_Bookings!I427,10))+TIMEVALUE(MID(Raw_Bookings!I427,12,8)))</f>
        <v>46043.41675925926</v>
      </c>
      <c r="N427" s="7">
        <f>IF(AND(L427=0,H427=1),IF(INT(M427)&gt;I427,1,0),0)</f>
        <v>0</v>
      </c>
      <c r="O427" s="7" t="str">
        <f>UPPER(TRIM(Raw_Bookings!F427))</f>
        <v>HYD</v>
      </c>
      <c r="P427" s="7" t="str">
        <f>UPPER(TRIM(Raw_Bookings!G427))</f>
        <v>KOL</v>
      </c>
      <c r="Q427" s="7">
        <f>IF(COUNTIF(Lookup_Stations!$A$2:$A$33,O427)&gt;0,1,0)</f>
        <v>1</v>
      </c>
      <c r="R427" s="7">
        <f>IF(COUNTIF(Lookup_Stations!$A$2:$A$33,P427)&gt;0,1,0)</f>
        <v>1</v>
      </c>
      <c r="S427" s="7">
        <f>IF(OR(AND(Q427=1,NOT(EXACT(Raw_Bookings!F427,O427))),AND(R427=1,NOT(EXACT(Raw_Bookings!G427,P427)))),1,0)</f>
        <v>0</v>
      </c>
      <c r="T427" s="7">
        <f>IF(OR(Q427=0,R427=0),1,0)</f>
        <v>0</v>
      </c>
      <c r="U427" s="7">
        <f>IF(TRIM(Raw_Bookings!E427&amp;"")="",1,0)</f>
        <v>0</v>
      </c>
      <c r="V427" s="7" t="str">
        <f>IF(SUMPRODUCT(--(Lookup_Status!$A$2:$A$13=LOWER(TRIM(Raw_Bookings!K427))))=0,"",INDEX(Lookup_Status!$B$2:$B$13,SUMPRODUCT((Lookup_Status!$A$2:$A$13=LOWER(TRIM(Raw_Bookings!K427)))*(ROW(Lookup_Status!$A$2:$A$13)-1))))</f>
        <v>Confirmed</v>
      </c>
      <c r="W427" s="7">
        <f>IF(AND(V427&lt;&gt;"",NOT(EXACT(Raw_Bookings!K427,V427))),1,0)</f>
        <v>0</v>
      </c>
      <c r="X427" s="7">
        <f>IF(V427="",1,0)</f>
        <v>0</v>
      </c>
      <c r="Y427" s="7">
        <f>IF(TRIM(Raw_Bookings!L427&amp;"")="",1,0)</f>
        <v>0</v>
      </c>
      <c r="Z427" s="7">
        <f>IF(AND(ISTEXT(Raw_Bookings!L427),Y427=0),1,0)</f>
        <v>0</v>
      </c>
      <c r="AA427" s="7">
        <f>IF(Z427=1,IFERROR(VALUE(SUBSTITUTE(SUBSTITUTE(SUBSTITUTE(SUBSTITUTE(SUBSTITUTE(UPPER(Raw_Bookings!L427),"RS.",""),"₹",""),",","")," ",""),"INR","")),""),"")</f>
        <v/>
      </c>
      <c r="AB427" s="7">
        <f>IF(AND(Z427=1,ISNUMBER(AA427)),1,0)</f>
        <v>0</v>
      </c>
      <c r="AC427" s="7">
        <f>IF(B427=1,0,IF(NOT(ISNUMBER(Raw_Bookings!J427)),1,IF(Raw_Bookings!J427&lt;&gt;COUNTIFS(Work_Passengers!$B$2:$B$1336,Raw_Bookings!A427,Work_Passengers!$C$2:$C$1336,0),1,0)))</f>
        <v>0</v>
      </c>
    </row>
    <row r="428" spans="1:29">
      <c r="A428" s="7">
        <f>Raw_Bookings!A428</f>
        <v>1143776</v>
      </c>
      <c r="B428" s="7">
        <f>IF(COUNTIF(Raw_Bookings!$A$2:A428,Raw_Bookings!A428)&gt;1,1,0)</f>
        <v>0</v>
      </c>
      <c r="C428" s="7" t="str">
        <f>Raw_Bookings!D428&amp;""</f>
        <v>2026-02-20</v>
      </c>
      <c r="D428" s="7" t="str">
        <f>IF(AND(LEN(C428)=10,MID(C428,5,1)="-",MID(C428,8,1)="-"),"ISO",IF(AND(LEN(C428)=10,MID(C428,3,1)="-",MID(C428,6,1)="-"),"DMY","OTHER"))</f>
        <v>ISO</v>
      </c>
      <c r="E428" s="7">
        <f>IF(D428="ISO",VALUE(LEFT(C428,4)),IF(D428="DMY",VALUE(RIGHT(C428,4)),0))</f>
        <v>2026</v>
      </c>
      <c r="F428" s="7">
        <f>IF(D428="ISO",VALUE(MID(C428,6,2)),IF(D428="DMY",VALUE(MID(C428,4,2)),0))</f>
        <v>2</v>
      </c>
      <c r="G428" s="7">
        <f>IF(D428="ISO",VALUE(RIGHT(C428,2)),IF(D428="DMY",VALUE(LEFT(C428,2)),0))</f>
        <v>20</v>
      </c>
      <c r="H428" s="7">
        <f>IF(AND(D428&lt;&gt;"OTHER",F428&gt;=1,F428&lt;=12,G428&gt;=1,G428&lt;=31),IF(AND(MONTH(DATE(E428,F428,G428))=F428,DAY(DATE(E428,F428,G428))=G428),1,0),0)</f>
        <v>1</v>
      </c>
      <c r="I428" s="7">
        <f>IF(H428=1,DATE(E428,F428,G428),"")</f>
        <v>46073.0</v>
      </c>
      <c r="J428" s="7">
        <f>IF(AND(D428="DMY",H428=1),1,0)</f>
        <v>0</v>
      </c>
      <c r="K428" s="7">
        <f>IF(H428=0,1,0)</f>
        <v>0</v>
      </c>
      <c r="L428" s="7">
        <f>IF(TRIM(Raw_Bookings!I428&amp;"")="",1,0)</f>
        <v>0</v>
      </c>
      <c r="M428" s="7">
        <f>IF(L428=1,"",DATEVALUE(LEFT(Raw_Bookings!I428,10))+TIMEVALUE(MID(Raw_Bookings!I428,12,8)))</f>
        <v>46043.60167824074</v>
      </c>
      <c r="N428" s="7">
        <f>IF(AND(L428=0,H428=1),IF(INT(M428)&gt;I428,1,0),0)</f>
        <v>0</v>
      </c>
      <c r="O428" s="7" t="str">
        <f>UPPER(TRIM(Raw_Bookings!F428))</f>
        <v>BHU</v>
      </c>
      <c r="P428" s="7" t="str">
        <f>UPPER(TRIM(Raw_Bookings!G428))</f>
        <v>KOC</v>
      </c>
      <c r="Q428" s="7">
        <f>IF(COUNTIF(Lookup_Stations!$A$2:$A$33,O428)&gt;0,1,0)</f>
        <v>1</v>
      </c>
      <c r="R428" s="7">
        <f>IF(COUNTIF(Lookup_Stations!$A$2:$A$33,P428)&gt;0,1,0)</f>
        <v>1</v>
      </c>
      <c r="S428" s="7">
        <f>IF(OR(AND(Q428=1,NOT(EXACT(Raw_Bookings!F428,O428))),AND(R428=1,NOT(EXACT(Raw_Bookings!G428,P428)))),1,0)</f>
        <v>0</v>
      </c>
      <c r="T428" s="7">
        <f>IF(OR(Q428=0,R428=0),1,0)</f>
        <v>0</v>
      </c>
      <c r="U428" s="7">
        <f>IF(TRIM(Raw_Bookings!E428&amp;"")="",1,0)</f>
        <v>0</v>
      </c>
      <c r="V428" s="7" t="str">
        <f>IF(SUMPRODUCT(--(Lookup_Status!$A$2:$A$13=LOWER(TRIM(Raw_Bookings!K428))))=0,"",INDEX(Lookup_Status!$B$2:$B$13,SUMPRODUCT((Lookup_Status!$A$2:$A$13=LOWER(TRIM(Raw_Bookings!K428)))*(ROW(Lookup_Status!$A$2:$A$13)-1))))</f>
        <v>Confirmed</v>
      </c>
      <c r="W428" s="7">
        <f>IF(AND(V428&lt;&gt;"",NOT(EXACT(Raw_Bookings!K428,V428))),1,0)</f>
        <v>1</v>
      </c>
      <c r="X428" s="7">
        <f>IF(V428="",1,0)</f>
        <v>0</v>
      </c>
      <c r="Y428" s="7">
        <f>IF(TRIM(Raw_Bookings!L428&amp;"")="",1,0)</f>
        <v>0</v>
      </c>
      <c r="Z428" s="7">
        <f>IF(AND(ISTEXT(Raw_Bookings!L428),Y428=0),1,0)</f>
        <v>0</v>
      </c>
      <c r="AA428" s="7">
        <f>IF(Z428=1,IFERROR(VALUE(SUBSTITUTE(SUBSTITUTE(SUBSTITUTE(SUBSTITUTE(SUBSTITUTE(UPPER(Raw_Bookings!L428),"RS.",""),"₹",""),",","")," ",""),"INR","")),""),"")</f>
        <v/>
      </c>
      <c r="AB428" s="7">
        <f>IF(AND(Z428=1,ISNUMBER(AA428)),1,0)</f>
        <v>0</v>
      </c>
      <c r="AC428" s="7">
        <f>IF(B428=1,0,IF(NOT(ISNUMBER(Raw_Bookings!J428)),1,IF(Raw_Bookings!J428&lt;&gt;COUNTIFS(Work_Passengers!$B$2:$B$1336,Raw_Bookings!A428,Work_Passengers!$C$2:$C$1336,0),1,0)))</f>
        <v>0</v>
      </c>
    </row>
    <row r="429" spans="1:29">
      <c r="A429" s="7">
        <f>Raw_Bookings!A429</f>
        <v>1143824</v>
      </c>
      <c r="B429" s="7">
        <f>IF(COUNTIF(Raw_Bookings!$A$2:A429,Raw_Bookings!A429)&gt;1,1,0)</f>
        <v>0</v>
      </c>
      <c r="C429" s="7" t="str">
        <f>Raw_Bookings!D429&amp;""</f>
        <v>2026-04-22</v>
      </c>
      <c r="D429" s="7" t="str">
        <f>IF(AND(LEN(C429)=10,MID(C429,5,1)="-",MID(C429,8,1)="-"),"ISO",IF(AND(LEN(C429)=10,MID(C429,3,1)="-",MID(C429,6,1)="-"),"DMY","OTHER"))</f>
        <v>ISO</v>
      </c>
      <c r="E429" s="7">
        <f>IF(D429="ISO",VALUE(LEFT(C429,4)),IF(D429="DMY",VALUE(RIGHT(C429,4)),0))</f>
        <v>2026</v>
      </c>
      <c r="F429" s="7">
        <f>IF(D429="ISO",VALUE(MID(C429,6,2)),IF(D429="DMY",VALUE(MID(C429,4,2)),0))</f>
        <v>4</v>
      </c>
      <c r="G429" s="7">
        <f>IF(D429="ISO",VALUE(RIGHT(C429,2)),IF(D429="DMY",VALUE(LEFT(C429,2)),0))</f>
        <v>22</v>
      </c>
      <c r="H429" s="7">
        <f>IF(AND(D429&lt;&gt;"OTHER",F429&gt;=1,F429&lt;=12,G429&gt;=1,G429&lt;=31),IF(AND(MONTH(DATE(E429,F429,G429))=F429,DAY(DATE(E429,F429,G429))=G429),1,0),0)</f>
        <v>1</v>
      </c>
      <c r="I429" s="7">
        <f>IF(H429=1,DATE(E429,F429,G429),"")</f>
        <v>46134.0</v>
      </c>
      <c r="J429" s="7">
        <f>IF(AND(D429="DMY",H429=1),1,0)</f>
        <v>0</v>
      </c>
      <c r="K429" s="7">
        <f>IF(H429=0,1,0)</f>
        <v>0</v>
      </c>
      <c r="L429" s="7">
        <f>IF(TRIM(Raw_Bookings!I429&amp;"")="",1,0)</f>
        <v>0</v>
      </c>
      <c r="M429" s="7">
        <f>IF(L429=1,"",DATEVALUE(LEFT(Raw_Bookings!I429,10))+TIMEVALUE(MID(Raw_Bookings!I429,12,8)))</f>
        <v>46043.74380787037</v>
      </c>
      <c r="N429" s="7">
        <f>IF(AND(L429=0,H429=1),IF(INT(M429)&gt;I429,1,0),0)</f>
        <v>0</v>
      </c>
      <c r="O429" s="7" t="str">
        <f>UPPER(TRIM(Raw_Bookings!F429))</f>
        <v>DEL</v>
      </c>
      <c r="P429" s="7" t="str">
        <f>UPPER(TRIM(Raw_Bookings!G429))</f>
        <v>DIB</v>
      </c>
      <c r="Q429" s="7">
        <f>IF(COUNTIF(Lookup_Stations!$A$2:$A$33,O429)&gt;0,1,0)</f>
        <v>1</v>
      </c>
      <c r="R429" s="7">
        <f>IF(COUNTIF(Lookup_Stations!$A$2:$A$33,P429)&gt;0,1,0)</f>
        <v>1</v>
      </c>
      <c r="S429" s="7">
        <f>IF(OR(AND(Q429=1,NOT(EXACT(Raw_Bookings!F429,O429))),AND(R429=1,NOT(EXACT(Raw_Bookings!G429,P429)))),1,0)</f>
        <v>0</v>
      </c>
      <c r="T429" s="7">
        <f>IF(OR(Q429=0,R429=0),1,0)</f>
        <v>0</v>
      </c>
      <c r="U429" s="7">
        <f>IF(TRIM(Raw_Bookings!E429&amp;"")="",1,0)</f>
        <v>0</v>
      </c>
      <c r="V429" s="7" t="str">
        <f>IF(SUMPRODUCT(--(Lookup_Status!$A$2:$A$13=LOWER(TRIM(Raw_Bookings!K429))))=0,"",INDEX(Lookup_Status!$B$2:$B$13,SUMPRODUCT((Lookup_Status!$A$2:$A$13=LOWER(TRIM(Raw_Bookings!K429)))*(ROW(Lookup_Status!$A$2:$A$13)-1))))</f>
        <v>Cancelled</v>
      </c>
      <c r="W429" s="7">
        <f>IF(AND(V429&lt;&gt;"",NOT(EXACT(Raw_Bookings!K429,V429))),1,0)</f>
        <v>0</v>
      </c>
      <c r="X429" s="7">
        <f>IF(V429="",1,0)</f>
        <v>0</v>
      </c>
      <c r="Y429" s="7">
        <f>IF(TRIM(Raw_Bookings!L429&amp;"")="",1,0)</f>
        <v>0</v>
      </c>
      <c r="Z429" s="7">
        <f>IF(AND(ISTEXT(Raw_Bookings!L429),Y429=0),1,0)</f>
        <v>0</v>
      </c>
      <c r="AA429" s="7">
        <f>IF(Z429=1,IFERROR(VALUE(SUBSTITUTE(SUBSTITUTE(SUBSTITUTE(SUBSTITUTE(SUBSTITUTE(UPPER(Raw_Bookings!L429),"RS.",""),"₹",""),",","")," ",""),"INR","")),""),"")</f>
        <v/>
      </c>
      <c r="AB429" s="7">
        <f>IF(AND(Z429=1,ISNUMBER(AA429)),1,0)</f>
        <v>0</v>
      </c>
      <c r="AC429" s="7">
        <f>IF(B429=1,0,IF(NOT(ISNUMBER(Raw_Bookings!J429)),1,IF(Raw_Bookings!J429&lt;&gt;COUNTIFS(Work_Passengers!$B$2:$B$1336,Raw_Bookings!A429,Work_Passengers!$C$2:$C$1336,0),1,0)))</f>
        <v>0</v>
      </c>
    </row>
    <row r="430" spans="1:29">
      <c r="A430" s="7">
        <f>Raw_Bookings!A430</f>
        <v>1144187</v>
      </c>
      <c r="B430" s="7">
        <f>IF(COUNTIF(Raw_Bookings!$A$2:A430,Raw_Bookings!A430)&gt;1,1,0)</f>
        <v>0</v>
      </c>
      <c r="C430" s="7" t="str">
        <f>Raw_Bookings!D430&amp;""</f>
        <v>2026-05-04</v>
      </c>
      <c r="D430" s="7" t="str">
        <f>IF(AND(LEN(C430)=10,MID(C430,5,1)="-",MID(C430,8,1)="-"),"ISO",IF(AND(LEN(C430)=10,MID(C430,3,1)="-",MID(C430,6,1)="-"),"DMY","OTHER"))</f>
        <v>ISO</v>
      </c>
      <c r="E430" s="7">
        <f>IF(D430="ISO",VALUE(LEFT(C430,4)),IF(D430="DMY",VALUE(RIGHT(C430,4)),0))</f>
        <v>2026</v>
      </c>
      <c r="F430" s="7">
        <f>IF(D430="ISO",VALUE(MID(C430,6,2)),IF(D430="DMY",VALUE(MID(C430,4,2)),0))</f>
        <v>5</v>
      </c>
      <c r="G430" s="7">
        <f>IF(D430="ISO",VALUE(RIGHT(C430,2)),IF(D430="DMY",VALUE(LEFT(C430,2)),0))</f>
        <v>4</v>
      </c>
      <c r="H430" s="7">
        <f>IF(AND(D430&lt;&gt;"OTHER",F430&gt;=1,F430&lt;=12,G430&gt;=1,G430&lt;=31),IF(AND(MONTH(DATE(E430,F430,G430))=F430,DAY(DATE(E430,F430,G430))=G430),1,0),0)</f>
        <v>1</v>
      </c>
      <c r="I430" s="7">
        <f>IF(H430=1,DATE(E430,F430,G430),"")</f>
        <v>46146.0</v>
      </c>
      <c r="J430" s="7">
        <f>IF(AND(D430="DMY",H430=1),1,0)</f>
        <v>0</v>
      </c>
      <c r="K430" s="7">
        <f>IF(H430=0,1,0)</f>
        <v>0</v>
      </c>
      <c r="L430" s="7">
        <f>IF(TRIM(Raw_Bookings!I430&amp;"")="",1,0)</f>
        <v>0</v>
      </c>
      <c r="M430" s="7">
        <f>IF(L430=1,"",DATEVALUE(LEFT(Raw_Bookings!I430,10))+TIMEVALUE(MID(Raw_Bookings!I430,12,8)))</f>
        <v>46044.79006944445</v>
      </c>
      <c r="N430" s="7">
        <f>IF(AND(L430=0,H430=1),IF(INT(M430)&gt;I430,1,0),0)</f>
        <v>0</v>
      </c>
      <c r="O430" s="7" t="str">
        <f>UPPER(TRIM(Raw_Bookings!F430))</f>
        <v>AHM</v>
      </c>
      <c r="P430" s="7" t="str">
        <f>UPPER(TRIM(Raw_Bookings!G430))</f>
        <v>CHE</v>
      </c>
      <c r="Q430" s="7">
        <f>IF(COUNTIF(Lookup_Stations!$A$2:$A$33,O430)&gt;0,1,0)</f>
        <v>1</v>
      </c>
      <c r="R430" s="7">
        <f>IF(COUNTIF(Lookup_Stations!$A$2:$A$33,P430)&gt;0,1,0)</f>
        <v>1</v>
      </c>
      <c r="S430" s="7">
        <f>IF(OR(AND(Q430=1,NOT(EXACT(Raw_Bookings!F430,O430))),AND(R430=1,NOT(EXACT(Raw_Bookings!G430,P430)))),1,0)</f>
        <v>0</v>
      </c>
      <c r="T430" s="7">
        <f>IF(OR(Q430=0,R430=0),1,0)</f>
        <v>0</v>
      </c>
      <c r="U430" s="7">
        <f>IF(TRIM(Raw_Bookings!E430&amp;"")="",1,0)</f>
        <v>0</v>
      </c>
      <c r="V430" s="7" t="str">
        <f>IF(SUMPRODUCT(--(Lookup_Status!$A$2:$A$13=LOWER(TRIM(Raw_Bookings!K430))))=0,"",INDEX(Lookup_Status!$B$2:$B$13,SUMPRODUCT((Lookup_Status!$A$2:$A$13=LOWER(TRIM(Raw_Bookings!K430)))*(ROW(Lookup_Status!$A$2:$A$13)-1))))</f>
        <v>Cancelled</v>
      </c>
      <c r="W430" s="7">
        <f>IF(AND(V430&lt;&gt;"",NOT(EXACT(Raw_Bookings!K430,V430))),1,0)</f>
        <v>0</v>
      </c>
      <c r="X430" s="7">
        <f>IF(V430="",1,0)</f>
        <v>0</v>
      </c>
      <c r="Y430" s="7">
        <f>IF(TRIM(Raw_Bookings!L430&amp;"")="",1,0)</f>
        <v>0</v>
      </c>
      <c r="Z430" s="7">
        <f>IF(AND(ISTEXT(Raw_Bookings!L430),Y430=0),1,0)</f>
        <v>0</v>
      </c>
      <c r="AA430" s="7">
        <f>IF(Z430=1,IFERROR(VALUE(SUBSTITUTE(SUBSTITUTE(SUBSTITUTE(SUBSTITUTE(SUBSTITUTE(UPPER(Raw_Bookings!L430),"RS.",""),"₹",""),",","")," ",""),"INR","")),""),"")</f>
        <v/>
      </c>
      <c r="AB430" s="7">
        <f>IF(AND(Z430=1,ISNUMBER(AA430)),1,0)</f>
        <v>0</v>
      </c>
      <c r="AC430" s="7">
        <f>IF(B430=1,0,IF(NOT(ISNUMBER(Raw_Bookings!J430)),1,IF(Raw_Bookings!J430&lt;&gt;COUNTIFS(Work_Passengers!$B$2:$B$1336,Raw_Bookings!A430,Work_Passengers!$C$2:$C$1336,0),1,0)))</f>
        <v>0</v>
      </c>
    </row>
    <row r="431" spans="1:29">
      <c r="A431" s="7">
        <f>Raw_Bookings!A431</f>
        <v>1144215</v>
      </c>
      <c r="B431" s="7">
        <f>IF(COUNTIF(Raw_Bookings!$A$2:A431,Raw_Bookings!A431)&gt;1,1,0)</f>
        <v>0</v>
      </c>
      <c r="C431" s="7" t="str">
        <f>Raw_Bookings!D431&amp;""</f>
        <v>2026-04-19</v>
      </c>
      <c r="D431" s="7" t="str">
        <f>IF(AND(LEN(C431)=10,MID(C431,5,1)="-",MID(C431,8,1)="-"),"ISO",IF(AND(LEN(C431)=10,MID(C431,3,1)="-",MID(C431,6,1)="-"),"DMY","OTHER"))</f>
        <v>ISO</v>
      </c>
      <c r="E431" s="7">
        <f>IF(D431="ISO",VALUE(LEFT(C431,4)),IF(D431="DMY",VALUE(RIGHT(C431,4)),0))</f>
        <v>2026</v>
      </c>
      <c r="F431" s="7">
        <f>IF(D431="ISO",VALUE(MID(C431,6,2)),IF(D431="DMY",VALUE(MID(C431,4,2)),0))</f>
        <v>4</v>
      </c>
      <c r="G431" s="7">
        <f>IF(D431="ISO",VALUE(RIGHT(C431,2)),IF(D431="DMY",VALUE(LEFT(C431,2)),0))</f>
        <v>19</v>
      </c>
      <c r="H431" s="7">
        <f>IF(AND(D431&lt;&gt;"OTHER",F431&gt;=1,F431&lt;=12,G431&gt;=1,G431&lt;=31),IF(AND(MONTH(DATE(E431,F431,G431))=F431,DAY(DATE(E431,F431,G431))=G431),1,0),0)</f>
        <v>1</v>
      </c>
      <c r="I431" s="7">
        <f>IF(H431=1,DATE(E431,F431,G431),"")</f>
        <v>46131.0</v>
      </c>
      <c r="J431" s="7">
        <f>IF(AND(D431="DMY",H431=1),1,0)</f>
        <v>0</v>
      </c>
      <c r="K431" s="7">
        <f>IF(H431=0,1,0)</f>
        <v>0</v>
      </c>
      <c r="L431" s="7">
        <f>IF(TRIM(Raw_Bookings!I431&amp;"")="",1,0)</f>
        <v>0</v>
      </c>
      <c r="M431" s="7">
        <f>IF(L431=1,"",DATEVALUE(LEFT(Raw_Bookings!I431,10))+TIMEVALUE(MID(Raw_Bookings!I431,12,8)))</f>
        <v>46044.82565972222</v>
      </c>
      <c r="N431" s="7">
        <f>IF(AND(L431=0,H431=1),IF(INT(M431)&gt;I431,1,0),0)</f>
        <v>0</v>
      </c>
      <c r="O431" s="7" t="str">
        <f>UPPER(TRIM(Raw_Bookings!F431))</f>
        <v>DEL</v>
      </c>
      <c r="P431" s="7" t="str">
        <f>UPPER(TRIM(Raw_Bookings!G431))</f>
        <v>MAU</v>
      </c>
      <c r="Q431" s="7">
        <f>IF(COUNTIF(Lookup_Stations!$A$2:$A$33,O431)&gt;0,1,0)</f>
        <v>1</v>
      </c>
      <c r="R431" s="7">
        <f>IF(COUNTIF(Lookup_Stations!$A$2:$A$33,P431)&gt;0,1,0)</f>
        <v>1</v>
      </c>
      <c r="S431" s="7">
        <f>IF(OR(AND(Q431=1,NOT(EXACT(Raw_Bookings!F431,O431))),AND(R431=1,NOT(EXACT(Raw_Bookings!G431,P431)))),1,0)</f>
        <v>0</v>
      </c>
      <c r="T431" s="7">
        <f>IF(OR(Q431=0,R431=0),1,0)</f>
        <v>0</v>
      </c>
      <c r="U431" s="7">
        <f>IF(TRIM(Raw_Bookings!E431&amp;"")="",1,0)</f>
        <v>0</v>
      </c>
      <c r="V431" s="7" t="str">
        <f>IF(SUMPRODUCT(--(Lookup_Status!$A$2:$A$13=LOWER(TRIM(Raw_Bookings!K431))))=0,"",INDEX(Lookup_Status!$B$2:$B$13,SUMPRODUCT((Lookup_Status!$A$2:$A$13=LOWER(TRIM(Raw_Bookings!K431)))*(ROW(Lookup_Status!$A$2:$A$13)-1))))</f>
        <v>Confirmed</v>
      </c>
      <c r="W431" s="7">
        <f>IF(AND(V431&lt;&gt;"",NOT(EXACT(Raw_Bookings!K431,V431))),1,0)</f>
        <v>0</v>
      </c>
      <c r="X431" s="7">
        <f>IF(V431="",1,0)</f>
        <v>0</v>
      </c>
      <c r="Y431" s="7">
        <f>IF(TRIM(Raw_Bookings!L431&amp;"")="",1,0)</f>
        <v>0</v>
      </c>
      <c r="Z431" s="7">
        <f>IF(AND(ISTEXT(Raw_Bookings!L431),Y431=0),1,0)</f>
        <v>0</v>
      </c>
      <c r="AA431" s="7">
        <f>IF(Z431=1,IFERROR(VALUE(SUBSTITUTE(SUBSTITUTE(SUBSTITUTE(SUBSTITUTE(SUBSTITUTE(UPPER(Raw_Bookings!L431),"RS.",""),"₹",""),",","")," ",""),"INR","")),""),"")</f>
        <v/>
      </c>
      <c r="AB431" s="7">
        <f>IF(AND(Z431=1,ISNUMBER(AA431)),1,0)</f>
        <v>0</v>
      </c>
      <c r="AC431" s="7">
        <f>IF(B431=1,0,IF(NOT(ISNUMBER(Raw_Bookings!J431)),1,IF(Raw_Bookings!J431&lt;&gt;COUNTIFS(Work_Passengers!$B$2:$B$1336,Raw_Bookings!A431,Work_Passengers!$C$2:$C$1336,0),1,0)))</f>
        <v>0</v>
      </c>
    </row>
    <row r="432" spans="1:29">
      <c r="A432" s="7">
        <f>Raw_Bookings!A432</f>
        <v>1144413</v>
      </c>
      <c r="B432" s="7">
        <f>IF(COUNTIF(Raw_Bookings!$A$2:A432,Raw_Bookings!A432)&gt;1,1,0)</f>
        <v>0</v>
      </c>
      <c r="C432" s="7" t="str">
        <f>Raw_Bookings!D432&amp;""</f>
        <v>2026-01-29</v>
      </c>
      <c r="D432" s="7" t="str">
        <f>IF(AND(LEN(C432)=10,MID(C432,5,1)="-",MID(C432,8,1)="-"),"ISO",IF(AND(LEN(C432)=10,MID(C432,3,1)="-",MID(C432,6,1)="-"),"DMY","OTHER"))</f>
        <v>ISO</v>
      </c>
      <c r="E432" s="7">
        <f>IF(D432="ISO",VALUE(LEFT(C432,4)),IF(D432="DMY",VALUE(RIGHT(C432,4)),0))</f>
        <v>2026</v>
      </c>
      <c r="F432" s="7">
        <f>IF(D432="ISO",VALUE(MID(C432,6,2)),IF(D432="DMY",VALUE(MID(C432,4,2)),0))</f>
        <v>1</v>
      </c>
      <c r="G432" s="7">
        <f>IF(D432="ISO",VALUE(RIGHT(C432,2)),IF(D432="DMY",VALUE(LEFT(C432,2)),0))</f>
        <v>29</v>
      </c>
      <c r="H432" s="7">
        <f>IF(AND(D432&lt;&gt;"OTHER",F432&gt;=1,F432&lt;=12,G432&gt;=1,G432&lt;=31),IF(AND(MONTH(DATE(E432,F432,G432))=F432,DAY(DATE(E432,F432,G432))=G432),1,0),0)</f>
        <v>1</v>
      </c>
      <c r="I432" s="7">
        <f>IF(H432=1,DATE(E432,F432,G432),"")</f>
        <v>46051.0</v>
      </c>
      <c r="J432" s="7">
        <f>IF(AND(D432="DMY",H432=1),1,0)</f>
        <v>0</v>
      </c>
      <c r="K432" s="7">
        <f>IF(H432=0,1,0)</f>
        <v>0</v>
      </c>
      <c r="L432" s="7">
        <f>IF(TRIM(Raw_Bookings!I432&amp;"")="",1,0)</f>
        <v>0</v>
      </c>
      <c r="M432" s="7">
        <f>IF(L432=1,"",DATEVALUE(LEFT(Raw_Bookings!I432,10))+TIMEVALUE(MID(Raw_Bookings!I432,12,8)))</f>
        <v>46045.536828703705</v>
      </c>
      <c r="N432" s="7">
        <f>IF(AND(L432=0,H432=1),IF(INT(M432)&gt;I432,1,0),0)</f>
        <v>0</v>
      </c>
      <c r="O432" s="7" t="str">
        <f>UPPER(TRIM(Raw_Bookings!F432))</f>
        <v>DEL</v>
      </c>
      <c r="P432" s="7" t="str">
        <f>UPPER(TRIM(Raw_Bookings!G432))</f>
        <v>MAU</v>
      </c>
      <c r="Q432" s="7">
        <f>IF(COUNTIF(Lookup_Stations!$A$2:$A$33,O432)&gt;0,1,0)</f>
        <v>1</v>
      </c>
      <c r="R432" s="7">
        <f>IF(COUNTIF(Lookup_Stations!$A$2:$A$33,P432)&gt;0,1,0)</f>
        <v>1</v>
      </c>
      <c r="S432" s="7">
        <f>IF(OR(AND(Q432=1,NOT(EXACT(Raw_Bookings!F432,O432))),AND(R432=1,NOT(EXACT(Raw_Bookings!G432,P432)))),1,0)</f>
        <v>0</v>
      </c>
      <c r="T432" s="7">
        <f>IF(OR(Q432=0,R432=0),1,0)</f>
        <v>0</v>
      </c>
      <c r="U432" s="7">
        <f>IF(TRIM(Raw_Bookings!E432&amp;"")="",1,0)</f>
        <v>0</v>
      </c>
      <c r="V432" s="7" t="str">
        <f>IF(SUMPRODUCT(--(Lookup_Status!$A$2:$A$13=LOWER(TRIM(Raw_Bookings!K432))))=0,"",INDEX(Lookup_Status!$B$2:$B$13,SUMPRODUCT((Lookup_Status!$A$2:$A$13=LOWER(TRIM(Raw_Bookings!K432)))*(ROW(Lookup_Status!$A$2:$A$13)-1))))</f>
        <v>Confirmed</v>
      </c>
      <c r="W432" s="7">
        <f>IF(AND(V432&lt;&gt;"",NOT(EXACT(Raw_Bookings!K432,V432))),1,0)</f>
        <v>0</v>
      </c>
      <c r="X432" s="7">
        <f>IF(V432="",1,0)</f>
        <v>0</v>
      </c>
      <c r="Y432" s="7">
        <f>IF(TRIM(Raw_Bookings!L432&amp;"")="",1,0)</f>
        <v>0</v>
      </c>
      <c r="Z432" s="7">
        <f>IF(AND(ISTEXT(Raw_Bookings!L432),Y432=0),1,0)</f>
        <v>0</v>
      </c>
      <c r="AA432" s="7">
        <f>IF(Z432=1,IFERROR(VALUE(SUBSTITUTE(SUBSTITUTE(SUBSTITUTE(SUBSTITUTE(SUBSTITUTE(UPPER(Raw_Bookings!L432),"RS.",""),"₹",""),",","")," ",""),"INR","")),""),"")</f>
        <v/>
      </c>
      <c r="AB432" s="7">
        <f>IF(AND(Z432=1,ISNUMBER(AA432)),1,0)</f>
        <v>0</v>
      </c>
      <c r="AC432" s="7">
        <f>IF(B432=1,0,IF(NOT(ISNUMBER(Raw_Bookings!J432)),1,IF(Raw_Bookings!J432&lt;&gt;COUNTIFS(Work_Passengers!$B$2:$B$1336,Raw_Bookings!A432,Work_Passengers!$C$2:$C$1336,0),1,0)))</f>
        <v>0</v>
      </c>
    </row>
    <row r="433" spans="1:29">
      <c r="A433" s="7">
        <f>Raw_Bookings!A433</f>
        <v>1144538</v>
      </c>
      <c r="B433" s="7">
        <f>IF(COUNTIF(Raw_Bookings!$A$2:A433,Raw_Bookings!A433)&gt;1,1,0)</f>
        <v>0</v>
      </c>
      <c r="C433" s="7" t="str">
        <f>Raw_Bookings!D433&amp;""</f>
        <v>2026-02-08</v>
      </c>
      <c r="D433" s="7" t="str">
        <f>IF(AND(LEN(C433)=10,MID(C433,5,1)="-",MID(C433,8,1)="-"),"ISO",IF(AND(LEN(C433)=10,MID(C433,3,1)="-",MID(C433,6,1)="-"),"DMY","OTHER"))</f>
        <v>ISO</v>
      </c>
      <c r="E433" s="7">
        <f>IF(D433="ISO",VALUE(LEFT(C433,4)),IF(D433="DMY",VALUE(RIGHT(C433,4)),0))</f>
        <v>2026</v>
      </c>
      <c r="F433" s="7">
        <f>IF(D433="ISO",VALUE(MID(C433,6,2)),IF(D433="DMY",VALUE(MID(C433,4,2)),0))</f>
        <v>2</v>
      </c>
      <c r="G433" s="7">
        <f>IF(D433="ISO",VALUE(RIGHT(C433,2)),IF(D433="DMY",VALUE(LEFT(C433,2)),0))</f>
        <v>8</v>
      </c>
      <c r="H433" s="7">
        <f>IF(AND(D433&lt;&gt;"OTHER",F433&gt;=1,F433&lt;=12,G433&gt;=1,G433&lt;=31),IF(AND(MONTH(DATE(E433,F433,G433))=F433,DAY(DATE(E433,F433,G433))=G433),1,0),0)</f>
        <v>1</v>
      </c>
      <c r="I433" s="7">
        <f>IF(H433=1,DATE(E433,F433,G433),"")</f>
        <v>46061.0</v>
      </c>
      <c r="J433" s="7">
        <f>IF(AND(D433="DMY",H433=1),1,0)</f>
        <v>0</v>
      </c>
      <c r="K433" s="7">
        <f>IF(H433=0,1,0)</f>
        <v>0</v>
      </c>
      <c r="L433" s="7">
        <f>IF(TRIM(Raw_Bookings!I433&amp;"")="",1,0)</f>
        <v>0</v>
      </c>
      <c r="M433" s="7">
        <f>IF(L433=1,"",DATEVALUE(LEFT(Raw_Bookings!I433,10))+TIMEVALUE(MID(Raw_Bookings!I433,12,8)))</f>
        <v>46045.84359953704</v>
      </c>
      <c r="N433" s="7">
        <f>IF(AND(L433=0,H433=1),IF(INT(M433)&gt;I433,1,0),0)</f>
        <v>0</v>
      </c>
      <c r="O433" s="7" t="str">
        <f>UPPER(TRIM(Raw_Bookings!F433))</f>
        <v>AMR</v>
      </c>
      <c r="P433" s="7" t="str">
        <f>UPPER(TRIM(Raw_Bookings!G433))</f>
        <v>IND</v>
      </c>
      <c r="Q433" s="7">
        <f>IF(COUNTIF(Lookup_Stations!$A$2:$A$33,O433)&gt;0,1,0)</f>
        <v>1</v>
      </c>
      <c r="R433" s="7">
        <f>IF(COUNTIF(Lookup_Stations!$A$2:$A$33,P433)&gt;0,1,0)</f>
        <v>1</v>
      </c>
      <c r="S433" s="7">
        <f>IF(OR(AND(Q433=1,NOT(EXACT(Raw_Bookings!F433,O433))),AND(R433=1,NOT(EXACT(Raw_Bookings!G433,P433)))),1,0)</f>
        <v>0</v>
      </c>
      <c r="T433" s="7">
        <f>IF(OR(Q433=0,R433=0),1,0)</f>
        <v>0</v>
      </c>
      <c r="U433" s="7">
        <f>IF(TRIM(Raw_Bookings!E433&amp;"")="",1,0)</f>
        <v>0</v>
      </c>
      <c r="V433" s="7" t="str">
        <f>IF(SUMPRODUCT(--(Lookup_Status!$A$2:$A$13=LOWER(TRIM(Raw_Bookings!K433))))=0,"",INDEX(Lookup_Status!$B$2:$B$13,SUMPRODUCT((Lookup_Status!$A$2:$A$13=LOWER(TRIM(Raw_Bookings!K433)))*(ROW(Lookup_Status!$A$2:$A$13)-1))))</f>
        <v>Confirmed</v>
      </c>
      <c r="W433" s="7">
        <f>IF(AND(V433&lt;&gt;"",NOT(EXACT(Raw_Bookings!K433,V433))),1,0)</f>
        <v>0</v>
      </c>
      <c r="X433" s="7">
        <f>IF(V433="",1,0)</f>
        <v>0</v>
      </c>
      <c r="Y433" s="7">
        <f>IF(TRIM(Raw_Bookings!L433&amp;"")="",1,0)</f>
        <v>0</v>
      </c>
      <c r="Z433" s="7">
        <f>IF(AND(ISTEXT(Raw_Bookings!L433),Y433=0),1,0)</f>
        <v>0</v>
      </c>
      <c r="AA433" s="7">
        <f>IF(Z433=1,IFERROR(VALUE(SUBSTITUTE(SUBSTITUTE(SUBSTITUTE(SUBSTITUTE(SUBSTITUTE(UPPER(Raw_Bookings!L433),"RS.",""),"₹",""),",","")," ",""),"INR","")),""),"")</f>
        <v/>
      </c>
      <c r="AB433" s="7">
        <f>IF(AND(Z433=1,ISNUMBER(AA433)),1,0)</f>
        <v>0</v>
      </c>
      <c r="AC433" s="7">
        <f>IF(B433=1,0,IF(NOT(ISNUMBER(Raw_Bookings!J433)),1,IF(Raw_Bookings!J433&lt;&gt;COUNTIFS(Work_Passengers!$B$2:$B$1336,Raw_Bookings!A433,Work_Passengers!$C$2:$C$1336,0),1,0)))</f>
        <v>0</v>
      </c>
    </row>
    <row r="434" spans="1:29">
      <c r="A434" s="7">
        <f>Raw_Bookings!A434</f>
        <v>1144730</v>
      </c>
      <c r="B434" s="7">
        <f>IF(COUNTIF(Raw_Bookings!$A$2:A434,Raw_Bookings!A434)&gt;1,1,0)</f>
        <v>0</v>
      </c>
      <c r="C434" s="7" t="str">
        <f>Raw_Bookings!D434&amp;""</f>
        <v>2026-04-07</v>
      </c>
      <c r="D434" s="7" t="str">
        <f>IF(AND(LEN(C434)=10,MID(C434,5,1)="-",MID(C434,8,1)="-"),"ISO",IF(AND(LEN(C434)=10,MID(C434,3,1)="-",MID(C434,6,1)="-"),"DMY","OTHER"))</f>
        <v>ISO</v>
      </c>
      <c r="E434" s="7">
        <f>IF(D434="ISO",VALUE(LEFT(C434,4)),IF(D434="DMY",VALUE(RIGHT(C434,4)),0))</f>
        <v>2026</v>
      </c>
      <c r="F434" s="7">
        <f>IF(D434="ISO",VALUE(MID(C434,6,2)),IF(D434="DMY",VALUE(MID(C434,4,2)),0))</f>
        <v>4</v>
      </c>
      <c r="G434" s="7">
        <f>IF(D434="ISO",VALUE(RIGHT(C434,2)),IF(D434="DMY",VALUE(LEFT(C434,2)),0))</f>
        <v>7</v>
      </c>
      <c r="H434" s="7">
        <f>IF(AND(D434&lt;&gt;"OTHER",F434&gt;=1,F434&lt;=12,G434&gt;=1,G434&lt;=31),IF(AND(MONTH(DATE(E434,F434,G434))=F434,DAY(DATE(E434,F434,G434))=G434),1,0),0)</f>
        <v>1</v>
      </c>
      <c r="I434" s="7">
        <f>IF(H434=1,DATE(E434,F434,G434),"")</f>
        <v>46119.0</v>
      </c>
      <c r="J434" s="7">
        <f>IF(AND(D434="DMY",H434=1),1,0)</f>
        <v>0</v>
      </c>
      <c r="K434" s="7">
        <f>IF(H434=0,1,0)</f>
        <v>0</v>
      </c>
      <c r="L434" s="7">
        <f>IF(TRIM(Raw_Bookings!I434&amp;"")="",1,0)</f>
        <v>0</v>
      </c>
      <c r="M434" s="7">
        <f>IF(L434=1,"",DATEVALUE(LEFT(Raw_Bookings!I434,10))+TIMEVALUE(MID(Raw_Bookings!I434,12,8)))</f>
        <v>46046.595138888886</v>
      </c>
      <c r="N434" s="7">
        <f>IF(AND(L434=0,H434=1),IF(INT(M434)&gt;I434,1,0),0)</f>
        <v>0</v>
      </c>
      <c r="O434" s="7" t="str">
        <f>UPPER(TRIM(Raw_Bookings!F434))</f>
        <v>MUM</v>
      </c>
      <c r="P434" s="7" t="str">
        <f>UPPER(TRIM(Raw_Bookings!G434))</f>
        <v>BEN</v>
      </c>
      <c r="Q434" s="7">
        <f>IF(COUNTIF(Lookup_Stations!$A$2:$A$33,O434)&gt;0,1,0)</f>
        <v>1</v>
      </c>
      <c r="R434" s="7">
        <f>IF(COUNTIF(Lookup_Stations!$A$2:$A$33,P434)&gt;0,1,0)</f>
        <v>1</v>
      </c>
      <c r="S434" s="7">
        <f>IF(OR(AND(Q434=1,NOT(EXACT(Raw_Bookings!F434,O434))),AND(R434=1,NOT(EXACT(Raw_Bookings!G434,P434)))),1,0)</f>
        <v>0</v>
      </c>
      <c r="T434" s="7">
        <f>IF(OR(Q434=0,R434=0),1,0)</f>
        <v>0</v>
      </c>
      <c r="U434" s="7">
        <f>IF(TRIM(Raw_Bookings!E434&amp;"")="",1,0)</f>
        <v>0</v>
      </c>
      <c r="V434" s="7" t="str">
        <f>IF(SUMPRODUCT(--(Lookup_Status!$A$2:$A$13=LOWER(TRIM(Raw_Bookings!K434))))=0,"",INDEX(Lookup_Status!$B$2:$B$13,SUMPRODUCT((Lookup_Status!$A$2:$A$13=LOWER(TRIM(Raw_Bookings!K434)))*(ROW(Lookup_Status!$A$2:$A$13)-1))))</f>
        <v>Confirmed</v>
      </c>
      <c r="W434" s="7">
        <f>IF(AND(V434&lt;&gt;"",NOT(EXACT(Raw_Bookings!K434,V434))),1,0)</f>
        <v>0</v>
      </c>
      <c r="X434" s="7">
        <f>IF(V434="",1,0)</f>
        <v>0</v>
      </c>
      <c r="Y434" s="7">
        <f>IF(TRIM(Raw_Bookings!L434&amp;"")="",1,0)</f>
        <v>0</v>
      </c>
      <c r="Z434" s="7">
        <f>IF(AND(ISTEXT(Raw_Bookings!L434),Y434=0),1,0)</f>
        <v>0</v>
      </c>
      <c r="AA434" s="7">
        <f>IF(Z434=1,IFERROR(VALUE(SUBSTITUTE(SUBSTITUTE(SUBSTITUTE(SUBSTITUTE(SUBSTITUTE(UPPER(Raw_Bookings!L434),"RS.",""),"₹",""),",","")," ",""),"INR","")),""),"")</f>
        <v/>
      </c>
      <c r="AB434" s="7">
        <f>IF(AND(Z434=1,ISNUMBER(AA434)),1,0)</f>
        <v>0</v>
      </c>
      <c r="AC434" s="7">
        <f>IF(B434=1,0,IF(NOT(ISNUMBER(Raw_Bookings!J434)),1,IF(Raw_Bookings!J434&lt;&gt;COUNTIFS(Work_Passengers!$B$2:$B$1336,Raw_Bookings!A434,Work_Passengers!$C$2:$C$1336,0),1,0)))</f>
        <v>0</v>
      </c>
    </row>
    <row r="435" spans="1:29">
      <c r="A435" s="7">
        <f>Raw_Bookings!A435</f>
        <v>1145742</v>
      </c>
      <c r="B435" s="7">
        <f>IF(COUNTIF(Raw_Bookings!$A$2:A435,Raw_Bookings!A435)&gt;1,1,0)</f>
        <v>0</v>
      </c>
      <c r="C435" s="7" t="str">
        <f>Raw_Bookings!D435&amp;""</f>
        <v>2026-02-01</v>
      </c>
      <c r="D435" s="7" t="str">
        <f>IF(AND(LEN(C435)=10,MID(C435,5,1)="-",MID(C435,8,1)="-"),"ISO",IF(AND(LEN(C435)=10,MID(C435,3,1)="-",MID(C435,6,1)="-"),"DMY","OTHER"))</f>
        <v>ISO</v>
      </c>
      <c r="E435" s="7">
        <f>IF(D435="ISO",VALUE(LEFT(C435,4)),IF(D435="DMY",VALUE(RIGHT(C435,4)),0))</f>
        <v>2026</v>
      </c>
      <c r="F435" s="7">
        <f>IF(D435="ISO",VALUE(MID(C435,6,2)),IF(D435="DMY",VALUE(MID(C435,4,2)),0))</f>
        <v>2</v>
      </c>
      <c r="G435" s="7">
        <f>IF(D435="ISO",VALUE(RIGHT(C435,2)),IF(D435="DMY",VALUE(LEFT(C435,2)),0))</f>
        <v>1</v>
      </c>
      <c r="H435" s="7">
        <f>IF(AND(D435&lt;&gt;"OTHER",F435&gt;=1,F435&lt;=12,G435&gt;=1,G435&lt;=31),IF(AND(MONTH(DATE(E435,F435,G435))=F435,DAY(DATE(E435,F435,G435))=G435),1,0),0)</f>
        <v>1</v>
      </c>
      <c r="I435" s="7">
        <f>IF(H435=1,DATE(E435,F435,G435),"")</f>
        <v>46054.0</v>
      </c>
      <c r="J435" s="7">
        <f>IF(AND(D435="DMY",H435=1),1,0)</f>
        <v>0</v>
      </c>
      <c r="K435" s="7">
        <f>IF(H435=0,1,0)</f>
        <v>0</v>
      </c>
      <c r="L435" s="7">
        <f>IF(TRIM(Raw_Bookings!I435&amp;"")="",1,0)</f>
        <v>0</v>
      </c>
      <c r="M435" s="7">
        <f>IF(L435=1,"",DATEVALUE(LEFT(Raw_Bookings!I435,10))+TIMEVALUE(MID(Raw_Bookings!I435,12,8)))</f>
        <v>46049.55725694444</v>
      </c>
      <c r="N435" s="7">
        <f>IF(AND(L435=0,H435=1),IF(INT(M435)&gt;I435,1,0),0)</f>
        <v>0</v>
      </c>
      <c r="O435" s="7" t="str">
        <f>UPPER(TRIM(Raw_Bookings!F435))</f>
        <v>AHM</v>
      </c>
      <c r="P435" s="7" t="str">
        <f>UPPER(TRIM(Raw_Bookings!G435))</f>
        <v>CHE</v>
      </c>
      <c r="Q435" s="7">
        <f>IF(COUNTIF(Lookup_Stations!$A$2:$A$33,O435)&gt;0,1,0)</f>
        <v>1</v>
      </c>
      <c r="R435" s="7">
        <f>IF(COUNTIF(Lookup_Stations!$A$2:$A$33,P435)&gt;0,1,0)</f>
        <v>1</v>
      </c>
      <c r="S435" s="7">
        <f>IF(OR(AND(Q435=1,NOT(EXACT(Raw_Bookings!F435,O435))),AND(R435=1,NOT(EXACT(Raw_Bookings!G435,P435)))),1,0)</f>
        <v>0</v>
      </c>
      <c r="T435" s="7">
        <f>IF(OR(Q435=0,R435=0),1,0)</f>
        <v>0</v>
      </c>
      <c r="U435" s="7">
        <f>IF(TRIM(Raw_Bookings!E435&amp;"")="",1,0)</f>
        <v>0</v>
      </c>
      <c r="V435" s="7" t="str">
        <f>IF(SUMPRODUCT(--(Lookup_Status!$A$2:$A$13=LOWER(TRIM(Raw_Bookings!K435))))=0,"",INDEX(Lookup_Status!$B$2:$B$13,SUMPRODUCT((Lookup_Status!$A$2:$A$13=LOWER(TRIM(Raw_Bookings!K435)))*(ROW(Lookup_Status!$A$2:$A$13)-1))))</f>
        <v>Confirmed</v>
      </c>
      <c r="W435" s="7">
        <f>IF(AND(V435&lt;&gt;"",NOT(EXACT(Raw_Bookings!K435,V435))),1,0)</f>
        <v>0</v>
      </c>
      <c r="X435" s="7">
        <f>IF(V435="",1,0)</f>
        <v>0</v>
      </c>
      <c r="Y435" s="7">
        <f>IF(TRIM(Raw_Bookings!L435&amp;"")="",1,0)</f>
        <v>0</v>
      </c>
      <c r="Z435" s="7">
        <f>IF(AND(ISTEXT(Raw_Bookings!L435),Y435=0),1,0)</f>
        <v>0</v>
      </c>
      <c r="AA435" s="7">
        <f>IF(Z435=1,IFERROR(VALUE(SUBSTITUTE(SUBSTITUTE(SUBSTITUTE(SUBSTITUTE(SUBSTITUTE(UPPER(Raw_Bookings!L435),"RS.",""),"₹",""),",","")," ",""),"INR","")),""),"")</f>
        <v/>
      </c>
      <c r="AB435" s="7">
        <f>IF(AND(Z435=1,ISNUMBER(AA435)),1,0)</f>
        <v>0</v>
      </c>
      <c r="AC435" s="7">
        <f>IF(B435=1,0,IF(NOT(ISNUMBER(Raw_Bookings!J435)),1,IF(Raw_Bookings!J435&lt;&gt;COUNTIFS(Work_Passengers!$B$2:$B$1336,Raw_Bookings!A435,Work_Passengers!$C$2:$C$1336,0),1,0)))</f>
        <v>0</v>
      </c>
    </row>
    <row r="436" spans="1:29">
      <c r="A436" s="7">
        <f>Raw_Bookings!A436</f>
        <v>1145945</v>
      </c>
      <c r="B436" s="7">
        <f>IF(COUNTIF(Raw_Bookings!$A$2:A436,Raw_Bookings!A436)&gt;1,1,0)</f>
        <v>0</v>
      </c>
      <c r="C436" s="7" t="str">
        <f>Raw_Bookings!D436&amp;""</f>
        <v>2026-02-11</v>
      </c>
      <c r="D436" s="7" t="str">
        <f>IF(AND(LEN(C436)=10,MID(C436,5,1)="-",MID(C436,8,1)="-"),"ISO",IF(AND(LEN(C436)=10,MID(C436,3,1)="-",MID(C436,6,1)="-"),"DMY","OTHER"))</f>
        <v>ISO</v>
      </c>
      <c r="E436" s="7">
        <f>IF(D436="ISO",VALUE(LEFT(C436,4)),IF(D436="DMY",VALUE(RIGHT(C436,4)),0))</f>
        <v>2026</v>
      </c>
      <c r="F436" s="7">
        <f>IF(D436="ISO",VALUE(MID(C436,6,2)),IF(D436="DMY",VALUE(MID(C436,4,2)),0))</f>
        <v>2</v>
      </c>
      <c r="G436" s="7">
        <f>IF(D436="ISO",VALUE(RIGHT(C436,2)),IF(D436="DMY",VALUE(LEFT(C436,2)),0))</f>
        <v>11</v>
      </c>
      <c r="H436" s="7">
        <f>IF(AND(D436&lt;&gt;"OTHER",F436&gt;=1,F436&lt;=12,G436&gt;=1,G436&lt;=31),IF(AND(MONTH(DATE(E436,F436,G436))=F436,DAY(DATE(E436,F436,G436))=G436),1,0),0)</f>
        <v>1</v>
      </c>
      <c r="I436" s="7">
        <f>IF(H436=1,DATE(E436,F436,G436),"")</f>
        <v>46064.0</v>
      </c>
      <c r="J436" s="7">
        <f>IF(AND(D436="DMY",H436=1),1,0)</f>
        <v>0</v>
      </c>
      <c r="K436" s="7">
        <f>IF(H436=0,1,0)</f>
        <v>0</v>
      </c>
      <c r="L436" s="7">
        <f>IF(TRIM(Raw_Bookings!I436&amp;"")="",1,0)</f>
        <v>0</v>
      </c>
      <c r="M436" s="7">
        <f>IF(L436=1,"",DATEVALUE(LEFT(Raw_Bookings!I436,10))+TIMEVALUE(MID(Raw_Bookings!I436,12,8)))</f>
        <v>46050.23365740741</v>
      </c>
      <c r="N436" s="7">
        <f>IF(AND(L436=0,H436=1),IF(INT(M436)&gt;I436,1,0),0)</f>
        <v>0</v>
      </c>
      <c r="O436" s="7" t="str">
        <f>UPPER(TRIM(Raw_Bookings!F436))</f>
        <v>BEN</v>
      </c>
      <c r="P436" s="7" t="str">
        <f>UPPER(TRIM(Raw_Bookings!G436))</f>
        <v>MUM</v>
      </c>
      <c r="Q436" s="7">
        <f>IF(COUNTIF(Lookup_Stations!$A$2:$A$33,O436)&gt;0,1,0)</f>
        <v>1</v>
      </c>
      <c r="R436" s="7">
        <f>IF(COUNTIF(Lookup_Stations!$A$2:$A$33,P436)&gt;0,1,0)</f>
        <v>1</v>
      </c>
      <c r="S436" s="7">
        <f>IF(OR(AND(Q436=1,NOT(EXACT(Raw_Bookings!F436,O436))),AND(R436=1,NOT(EXACT(Raw_Bookings!G436,P436)))),1,0)</f>
        <v>0</v>
      </c>
      <c r="T436" s="7">
        <f>IF(OR(Q436=0,R436=0),1,0)</f>
        <v>0</v>
      </c>
      <c r="U436" s="7">
        <f>IF(TRIM(Raw_Bookings!E436&amp;"")="",1,0)</f>
        <v>0</v>
      </c>
      <c r="V436" s="7" t="str">
        <f>IF(SUMPRODUCT(--(Lookup_Status!$A$2:$A$13=LOWER(TRIM(Raw_Bookings!K436))))=0,"",INDEX(Lookup_Status!$B$2:$B$13,SUMPRODUCT((Lookup_Status!$A$2:$A$13=LOWER(TRIM(Raw_Bookings!K436)))*(ROW(Lookup_Status!$A$2:$A$13)-1))))</f>
        <v>Confirmed</v>
      </c>
      <c r="W436" s="7">
        <f>IF(AND(V436&lt;&gt;"",NOT(EXACT(Raw_Bookings!K436,V436))),1,0)</f>
        <v>0</v>
      </c>
      <c r="X436" s="7">
        <f>IF(V436="",1,0)</f>
        <v>0</v>
      </c>
      <c r="Y436" s="7">
        <f>IF(TRIM(Raw_Bookings!L436&amp;"")="",1,0)</f>
        <v>0</v>
      </c>
      <c r="Z436" s="7">
        <f>IF(AND(ISTEXT(Raw_Bookings!L436),Y436=0),1,0)</f>
        <v>0</v>
      </c>
      <c r="AA436" s="7">
        <f>IF(Z436=1,IFERROR(VALUE(SUBSTITUTE(SUBSTITUTE(SUBSTITUTE(SUBSTITUTE(SUBSTITUTE(UPPER(Raw_Bookings!L436),"RS.",""),"₹",""),",","")," ",""),"INR","")),""),"")</f>
        <v/>
      </c>
      <c r="AB436" s="7">
        <f>IF(AND(Z436=1,ISNUMBER(AA436)),1,0)</f>
        <v>0</v>
      </c>
      <c r="AC436" s="7">
        <f>IF(B436=1,0,IF(NOT(ISNUMBER(Raw_Bookings!J436)),1,IF(Raw_Bookings!J436&lt;&gt;COUNTIFS(Work_Passengers!$B$2:$B$1336,Raw_Bookings!A436,Work_Passengers!$C$2:$C$1336,0),1,0)))</f>
        <v>0</v>
      </c>
    </row>
    <row r="437" spans="1:29">
      <c r="A437" s="7">
        <f>Raw_Bookings!A437</f>
        <v>1145955</v>
      </c>
      <c r="B437" s="7">
        <f>IF(COUNTIF(Raw_Bookings!$A$2:A437,Raw_Bookings!A437)&gt;1,1,0)</f>
        <v>0</v>
      </c>
      <c r="C437" s="7" t="str">
        <f>Raw_Bookings!D437&amp;""</f>
        <v>2026-03-09</v>
      </c>
      <c r="D437" s="7" t="str">
        <f>IF(AND(LEN(C437)=10,MID(C437,5,1)="-",MID(C437,8,1)="-"),"ISO",IF(AND(LEN(C437)=10,MID(C437,3,1)="-",MID(C437,6,1)="-"),"DMY","OTHER"))</f>
        <v>ISO</v>
      </c>
      <c r="E437" s="7">
        <f>IF(D437="ISO",VALUE(LEFT(C437,4)),IF(D437="DMY",VALUE(RIGHT(C437,4)),0))</f>
        <v>2026</v>
      </c>
      <c r="F437" s="7">
        <f>IF(D437="ISO",VALUE(MID(C437,6,2)),IF(D437="DMY",VALUE(MID(C437,4,2)),0))</f>
        <v>3</v>
      </c>
      <c r="G437" s="7">
        <f>IF(D437="ISO",VALUE(RIGHT(C437,2)),IF(D437="DMY",VALUE(LEFT(C437,2)),0))</f>
        <v>9</v>
      </c>
      <c r="H437" s="7">
        <f>IF(AND(D437&lt;&gt;"OTHER",F437&gt;=1,F437&lt;=12,G437&gt;=1,G437&lt;=31),IF(AND(MONTH(DATE(E437,F437,G437))=F437,DAY(DATE(E437,F437,G437))=G437),1,0),0)</f>
        <v>1</v>
      </c>
      <c r="I437" s="7">
        <f>IF(H437=1,DATE(E437,F437,G437),"")</f>
        <v>46090.0</v>
      </c>
      <c r="J437" s="7">
        <f>IF(AND(D437="DMY",H437=1),1,0)</f>
        <v>0</v>
      </c>
      <c r="K437" s="7">
        <f>IF(H437=0,1,0)</f>
        <v>0</v>
      </c>
      <c r="L437" s="7">
        <f>IF(TRIM(Raw_Bookings!I437&amp;"")="",1,0)</f>
        <v>0</v>
      </c>
      <c r="M437" s="7">
        <f>IF(L437=1,"",DATEVALUE(LEFT(Raw_Bookings!I437,10))+TIMEVALUE(MID(Raw_Bookings!I437,12,8)))</f>
        <v>46050.294340277775</v>
      </c>
      <c r="N437" s="7">
        <f>IF(AND(L437=0,H437=1),IF(INT(M437)&gt;I437,1,0),0)</f>
        <v>0</v>
      </c>
      <c r="O437" s="7" t="str">
        <f>UPPER(TRIM(Raw_Bookings!F437))</f>
        <v>BEN</v>
      </c>
      <c r="P437" s="7" t="str">
        <f>UPPER(TRIM(Raw_Bookings!G437))</f>
        <v>MUM</v>
      </c>
      <c r="Q437" s="7">
        <f>IF(COUNTIF(Lookup_Stations!$A$2:$A$33,O437)&gt;0,1,0)</f>
        <v>1</v>
      </c>
      <c r="R437" s="7">
        <f>IF(COUNTIF(Lookup_Stations!$A$2:$A$33,P437)&gt;0,1,0)</f>
        <v>1</v>
      </c>
      <c r="S437" s="7">
        <f>IF(OR(AND(Q437=1,NOT(EXACT(Raw_Bookings!F437,O437))),AND(R437=1,NOT(EXACT(Raw_Bookings!G437,P437)))),1,0)</f>
        <v>0</v>
      </c>
      <c r="T437" s="7">
        <f>IF(OR(Q437=0,R437=0),1,0)</f>
        <v>0</v>
      </c>
      <c r="U437" s="7">
        <f>IF(TRIM(Raw_Bookings!E437&amp;"")="",1,0)</f>
        <v>0</v>
      </c>
      <c r="V437" s="7" t="str">
        <f>IF(SUMPRODUCT(--(Lookup_Status!$A$2:$A$13=LOWER(TRIM(Raw_Bookings!K437))))=0,"",INDEX(Lookup_Status!$B$2:$B$13,SUMPRODUCT((Lookup_Status!$A$2:$A$13=LOWER(TRIM(Raw_Bookings!K437)))*(ROW(Lookup_Status!$A$2:$A$13)-1))))</f>
        <v>Cancelled</v>
      </c>
      <c r="W437" s="7">
        <f>IF(AND(V437&lt;&gt;"",NOT(EXACT(Raw_Bookings!K437,V437))),1,0)</f>
        <v>0</v>
      </c>
      <c r="X437" s="7">
        <f>IF(V437="",1,0)</f>
        <v>0</v>
      </c>
      <c r="Y437" s="7">
        <f>IF(TRIM(Raw_Bookings!L437&amp;"")="",1,0)</f>
        <v>0</v>
      </c>
      <c r="Z437" s="7">
        <f>IF(AND(ISTEXT(Raw_Bookings!L437),Y437=0),1,0)</f>
        <v>0</v>
      </c>
      <c r="AA437" s="7">
        <f>IF(Z437=1,IFERROR(VALUE(SUBSTITUTE(SUBSTITUTE(SUBSTITUTE(SUBSTITUTE(SUBSTITUTE(UPPER(Raw_Bookings!L437),"RS.",""),"₹",""),",","")," ",""),"INR","")),""),"")</f>
        <v/>
      </c>
      <c r="AB437" s="7">
        <f>IF(AND(Z437=1,ISNUMBER(AA437)),1,0)</f>
        <v>0</v>
      </c>
      <c r="AC437" s="7">
        <f>IF(B437=1,0,IF(NOT(ISNUMBER(Raw_Bookings!J437)),1,IF(Raw_Bookings!J437&lt;&gt;COUNTIFS(Work_Passengers!$B$2:$B$1336,Raw_Bookings!A437,Work_Passengers!$C$2:$C$1336,0),1,0)))</f>
        <v>0</v>
      </c>
    </row>
    <row r="438" spans="1:29">
      <c r="A438" s="7">
        <f>Raw_Bookings!A438</f>
        <v>1146201</v>
      </c>
      <c r="B438" s="7">
        <f>IF(COUNTIF(Raw_Bookings!$A$2:A438,Raw_Bookings!A438)&gt;1,1,0)</f>
        <v>0</v>
      </c>
      <c r="C438" s="7" t="str">
        <f>Raw_Bookings!D438&amp;""</f>
        <v>2026-02-18</v>
      </c>
      <c r="D438" s="7" t="str">
        <f>IF(AND(LEN(C438)=10,MID(C438,5,1)="-",MID(C438,8,1)="-"),"ISO",IF(AND(LEN(C438)=10,MID(C438,3,1)="-",MID(C438,6,1)="-"),"DMY","OTHER"))</f>
        <v>ISO</v>
      </c>
      <c r="E438" s="7">
        <f>IF(D438="ISO",VALUE(LEFT(C438,4)),IF(D438="DMY",VALUE(RIGHT(C438,4)),0))</f>
        <v>2026</v>
      </c>
      <c r="F438" s="7">
        <f>IF(D438="ISO",VALUE(MID(C438,6,2)),IF(D438="DMY",VALUE(MID(C438,4,2)),0))</f>
        <v>2</v>
      </c>
      <c r="G438" s="7">
        <f>IF(D438="ISO",VALUE(RIGHT(C438,2)),IF(D438="DMY",VALUE(LEFT(C438,2)),0))</f>
        <v>18</v>
      </c>
      <c r="H438" s="7">
        <f>IF(AND(D438&lt;&gt;"OTHER",F438&gt;=1,F438&lt;=12,G438&gt;=1,G438&lt;=31),IF(AND(MONTH(DATE(E438,F438,G438))=F438,DAY(DATE(E438,F438,G438))=G438),1,0),0)</f>
        <v>1</v>
      </c>
      <c r="I438" s="7">
        <f>IF(H438=1,DATE(E438,F438,G438),"")</f>
        <v>46071.0</v>
      </c>
      <c r="J438" s="7">
        <f>IF(AND(D438="DMY",H438=1),1,0)</f>
        <v>0</v>
      </c>
      <c r="K438" s="7">
        <f>IF(H438=0,1,0)</f>
        <v>0</v>
      </c>
      <c r="L438" s="7">
        <f>IF(TRIM(Raw_Bookings!I438&amp;"")="",1,0)</f>
        <v>0</v>
      </c>
      <c r="M438" s="7">
        <f>IF(L438=1,"",DATEVALUE(LEFT(Raw_Bookings!I438,10))+TIMEVALUE(MID(Raw_Bookings!I438,12,8)))</f>
        <v>46050.83263888889</v>
      </c>
      <c r="N438" s="7">
        <f>IF(AND(L438=0,H438=1),IF(INT(M438)&gt;I438,1,0),0)</f>
        <v>0</v>
      </c>
      <c r="O438" s="7" t="str">
        <f>UPPER(TRIM(Raw_Bookings!F438))</f>
        <v>LUC</v>
      </c>
      <c r="P438" s="7" t="str">
        <f>UPPER(TRIM(Raw_Bookings!G438))</f>
        <v>MUM</v>
      </c>
      <c r="Q438" s="7">
        <f>IF(COUNTIF(Lookup_Stations!$A$2:$A$33,O438)&gt;0,1,0)</f>
        <v>1</v>
      </c>
      <c r="R438" s="7">
        <f>IF(COUNTIF(Lookup_Stations!$A$2:$A$33,P438)&gt;0,1,0)</f>
        <v>1</v>
      </c>
      <c r="S438" s="7">
        <f>IF(OR(AND(Q438=1,NOT(EXACT(Raw_Bookings!F438,O438))),AND(R438=1,NOT(EXACT(Raw_Bookings!G438,P438)))),1,0)</f>
        <v>0</v>
      </c>
      <c r="T438" s="7">
        <f>IF(OR(Q438=0,R438=0),1,0)</f>
        <v>0</v>
      </c>
      <c r="U438" s="7">
        <f>IF(TRIM(Raw_Bookings!E438&amp;"")="",1,0)</f>
        <v>0</v>
      </c>
      <c r="V438" s="7" t="str">
        <f>IF(SUMPRODUCT(--(Lookup_Status!$A$2:$A$13=LOWER(TRIM(Raw_Bookings!K438))))=0,"",INDEX(Lookup_Status!$B$2:$B$13,SUMPRODUCT((Lookup_Status!$A$2:$A$13=LOWER(TRIM(Raw_Bookings!K438)))*(ROW(Lookup_Status!$A$2:$A$13)-1))))</f>
        <v>Cancelled</v>
      </c>
      <c r="W438" s="7">
        <f>IF(AND(V438&lt;&gt;"",NOT(EXACT(Raw_Bookings!K438,V438))),1,0)</f>
        <v>0</v>
      </c>
      <c r="X438" s="7">
        <f>IF(V438="",1,0)</f>
        <v>0</v>
      </c>
      <c r="Y438" s="7">
        <f>IF(TRIM(Raw_Bookings!L438&amp;"")="",1,0)</f>
        <v>0</v>
      </c>
      <c r="Z438" s="7">
        <f>IF(AND(ISTEXT(Raw_Bookings!L438),Y438=0),1,0)</f>
        <v>0</v>
      </c>
      <c r="AA438" s="7">
        <f>IF(Z438=1,IFERROR(VALUE(SUBSTITUTE(SUBSTITUTE(SUBSTITUTE(SUBSTITUTE(SUBSTITUTE(UPPER(Raw_Bookings!L438),"RS.",""),"₹",""),",","")," ",""),"INR","")),""),"")</f>
        <v/>
      </c>
      <c r="AB438" s="7">
        <f>IF(AND(Z438=1,ISNUMBER(AA438)),1,0)</f>
        <v>0</v>
      </c>
      <c r="AC438" s="7">
        <f>IF(B438=1,0,IF(NOT(ISNUMBER(Raw_Bookings!J438)),1,IF(Raw_Bookings!J438&lt;&gt;COUNTIFS(Work_Passengers!$B$2:$B$1336,Raw_Bookings!A438,Work_Passengers!$C$2:$C$1336,0),1,0)))</f>
        <v>0</v>
      </c>
    </row>
    <row r="439" spans="1:29">
      <c r="A439" s="7">
        <f>Raw_Bookings!A439</f>
        <v>1146740</v>
      </c>
      <c r="B439" s="7">
        <f>IF(COUNTIF(Raw_Bookings!$A$2:A439,Raw_Bookings!A439)&gt;1,1,0)</f>
        <v>0</v>
      </c>
      <c r="C439" s="7" t="str">
        <f>Raw_Bookings!D439&amp;""</f>
        <v>2026-02-16</v>
      </c>
      <c r="D439" s="7" t="str">
        <f>IF(AND(LEN(C439)=10,MID(C439,5,1)="-",MID(C439,8,1)="-"),"ISO",IF(AND(LEN(C439)=10,MID(C439,3,1)="-",MID(C439,6,1)="-"),"DMY","OTHER"))</f>
        <v>ISO</v>
      </c>
      <c r="E439" s="7">
        <f>IF(D439="ISO",VALUE(LEFT(C439,4)),IF(D439="DMY",VALUE(RIGHT(C439,4)),0))</f>
        <v>2026</v>
      </c>
      <c r="F439" s="7">
        <f>IF(D439="ISO",VALUE(MID(C439,6,2)),IF(D439="DMY",VALUE(MID(C439,4,2)),0))</f>
        <v>2</v>
      </c>
      <c r="G439" s="7">
        <f>IF(D439="ISO",VALUE(RIGHT(C439,2)),IF(D439="DMY",VALUE(LEFT(C439,2)),0))</f>
        <v>16</v>
      </c>
      <c r="H439" s="7">
        <f>IF(AND(D439&lt;&gt;"OTHER",F439&gt;=1,F439&lt;=12,G439&gt;=1,G439&lt;=31),IF(AND(MONTH(DATE(E439,F439,G439))=F439,DAY(DATE(E439,F439,G439))=G439),1,0),0)</f>
        <v>1</v>
      </c>
      <c r="I439" s="7">
        <f>IF(H439=1,DATE(E439,F439,G439),"")</f>
        <v>46069.0</v>
      </c>
      <c r="J439" s="7">
        <f>IF(AND(D439="DMY",H439=1),1,0)</f>
        <v>0</v>
      </c>
      <c r="K439" s="7">
        <f>IF(H439=0,1,0)</f>
        <v>0</v>
      </c>
      <c r="L439" s="7">
        <f>IF(TRIM(Raw_Bookings!I439&amp;"")="",1,0)</f>
        <v>0</v>
      </c>
      <c r="M439" s="7">
        <f>IF(L439=1,"",DATEVALUE(LEFT(Raw_Bookings!I439,10))+TIMEVALUE(MID(Raw_Bookings!I439,12,8)))</f>
        <v>46052.689421296294</v>
      </c>
      <c r="N439" s="7">
        <f>IF(AND(L439=0,H439=1),IF(INT(M439)&gt;I439,1,0),0)</f>
        <v>0</v>
      </c>
      <c r="O439" s="7" t="str">
        <f>UPPER(TRIM(Raw_Bookings!F439))</f>
        <v>HYD</v>
      </c>
      <c r="P439" s="7" t="str">
        <f>UPPER(TRIM(Raw_Bookings!G439))</f>
        <v>KOL</v>
      </c>
      <c r="Q439" s="7">
        <f>IF(COUNTIF(Lookup_Stations!$A$2:$A$33,O439)&gt;0,1,0)</f>
        <v>1</v>
      </c>
      <c r="R439" s="7">
        <f>IF(COUNTIF(Lookup_Stations!$A$2:$A$33,P439)&gt;0,1,0)</f>
        <v>1</v>
      </c>
      <c r="S439" s="7">
        <f>IF(OR(AND(Q439=1,NOT(EXACT(Raw_Bookings!F439,O439))),AND(R439=1,NOT(EXACT(Raw_Bookings!G439,P439)))),1,0)</f>
        <v>0</v>
      </c>
      <c r="T439" s="7">
        <f>IF(OR(Q439=0,R439=0),1,0)</f>
        <v>0</v>
      </c>
      <c r="U439" s="7">
        <f>IF(TRIM(Raw_Bookings!E439&amp;"")="",1,0)</f>
        <v>0</v>
      </c>
      <c r="V439" s="7" t="str">
        <f>IF(SUMPRODUCT(--(Lookup_Status!$A$2:$A$13=LOWER(TRIM(Raw_Bookings!K439))))=0,"",INDEX(Lookup_Status!$B$2:$B$13,SUMPRODUCT((Lookup_Status!$A$2:$A$13=LOWER(TRIM(Raw_Bookings!K439)))*(ROW(Lookup_Status!$A$2:$A$13)-1))))</f>
        <v>Cancelled</v>
      </c>
      <c r="W439" s="7">
        <f>IF(AND(V439&lt;&gt;"",NOT(EXACT(Raw_Bookings!K439,V439))),1,0)</f>
        <v>0</v>
      </c>
      <c r="X439" s="7">
        <f>IF(V439="",1,0)</f>
        <v>0</v>
      </c>
      <c r="Y439" s="7">
        <f>IF(TRIM(Raw_Bookings!L439&amp;"")="",1,0)</f>
        <v>0</v>
      </c>
      <c r="Z439" s="7">
        <f>IF(AND(ISTEXT(Raw_Bookings!L439),Y439=0),1,0)</f>
        <v>0</v>
      </c>
      <c r="AA439" s="7">
        <f>IF(Z439=1,IFERROR(VALUE(SUBSTITUTE(SUBSTITUTE(SUBSTITUTE(SUBSTITUTE(SUBSTITUTE(UPPER(Raw_Bookings!L439),"RS.",""),"₹",""),",","")," ",""),"INR","")),""),"")</f>
        <v/>
      </c>
      <c r="AB439" s="7">
        <f>IF(AND(Z439=1,ISNUMBER(AA439)),1,0)</f>
        <v>0</v>
      </c>
      <c r="AC439" s="7">
        <f>IF(B439=1,0,IF(NOT(ISNUMBER(Raw_Bookings!J439)),1,IF(Raw_Bookings!J439&lt;&gt;COUNTIFS(Work_Passengers!$B$2:$B$1336,Raw_Bookings!A439,Work_Passengers!$C$2:$C$1336,0),1,0)))</f>
        <v>0</v>
      </c>
    </row>
    <row r="440" spans="1:29">
      <c r="A440" s="7">
        <f>Raw_Bookings!A440</f>
        <v>1146760</v>
      </c>
      <c r="B440" s="7">
        <f>IF(COUNTIF(Raw_Bookings!$A$2:A440,Raw_Bookings!A440)&gt;1,1,0)</f>
        <v>0</v>
      </c>
      <c r="C440" s="7" t="str">
        <f>Raw_Bookings!D440&amp;""</f>
        <v>2026-04-05</v>
      </c>
      <c r="D440" s="7" t="str">
        <f>IF(AND(LEN(C440)=10,MID(C440,5,1)="-",MID(C440,8,1)="-"),"ISO",IF(AND(LEN(C440)=10,MID(C440,3,1)="-",MID(C440,6,1)="-"),"DMY","OTHER"))</f>
        <v>ISO</v>
      </c>
      <c r="E440" s="7">
        <f>IF(D440="ISO",VALUE(LEFT(C440,4)),IF(D440="DMY",VALUE(RIGHT(C440,4)),0))</f>
        <v>2026</v>
      </c>
      <c r="F440" s="7">
        <f>IF(D440="ISO",VALUE(MID(C440,6,2)),IF(D440="DMY",VALUE(MID(C440,4,2)),0))</f>
        <v>4</v>
      </c>
      <c r="G440" s="7">
        <f>IF(D440="ISO",VALUE(RIGHT(C440,2)),IF(D440="DMY",VALUE(LEFT(C440,2)),0))</f>
        <v>5</v>
      </c>
      <c r="H440" s="7">
        <f>IF(AND(D440&lt;&gt;"OTHER",F440&gt;=1,F440&lt;=12,G440&gt;=1,G440&lt;=31),IF(AND(MONTH(DATE(E440,F440,G440))=F440,DAY(DATE(E440,F440,G440))=G440),1,0),0)</f>
        <v>1</v>
      </c>
      <c r="I440" s="7">
        <f>IF(H440=1,DATE(E440,F440,G440),"")</f>
        <v>46117.0</v>
      </c>
      <c r="J440" s="7">
        <f>IF(AND(D440="DMY",H440=1),1,0)</f>
        <v>0</v>
      </c>
      <c r="K440" s="7">
        <f>IF(H440=0,1,0)</f>
        <v>0</v>
      </c>
      <c r="L440" s="7">
        <f>IF(TRIM(Raw_Bookings!I440&amp;"")="",1,0)</f>
        <v>0</v>
      </c>
      <c r="M440" s="7">
        <f>IF(L440=1,"",DATEVALUE(LEFT(Raw_Bookings!I440,10))+TIMEVALUE(MID(Raw_Bookings!I440,12,8)))</f>
        <v>46052.74438657407</v>
      </c>
      <c r="N440" s="7">
        <f>IF(AND(L440=0,H440=1),IF(INT(M440)&gt;I440,1,0),0)</f>
        <v>0</v>
      </c>
      <c r="O440" s="7" t="str">
        <f>UPPER(TRIM(Raw_Bookings!F440))</f>
        <v>KOL</v>
      </c>
      <c r="P440" s="7" t="str">
        <f>UPPER(TRIM(Raw_Bookings!G440))</f>
        <v>HYD</v>
      </c>
      <c r="Q440" s="7">
        <f>IF(COUNTIF(Lookup_Stations!$A$2:$A$33,O440)&gt;0,1,0)</f>
        <v>1</v>
      </c>
      <c r="R440" s="7">
        <f>IF(COUNTIF(Lookup_Stations!$A$2:$A$33,P440)&gt;0,1,0)</f>
        <v>1</v>
      </c>
      <c r="S440" s="7">
        <f>IF(OR(AND(Q440=1,NOT(EXACT(Raw_Bookings!F440,O440))),AND(R440=1,NOT(EXACT(Raw_Bookings!G440,P440)))),1,0)</f>
        <v>0</v>
      </c>
      <c r="T440" s="7">
        <f>IF(OR(Q440=0,R440=0),1,0)</f>
        <v>0</v>
      </c>
      <c r="U440" s="7">
        <f>IF(TRIM(Raw_Bookings!E440&amp;"")="",1,0)</f>
        <v>0</v>
      </c>
      <c r="V440" s="7" t="str">
        <f>IF(SUMPRODUCT(--(Lookup_Status!$A$2:$A$13=LOWER(TRIM(Raw_Bookings!K440))))=0,"",INDEX(Lookup_Status!$B$2:$B$13,SUMPRODUCT((Lookup_Status!$A$2:$A$13=LOWER(TRIM(Raw_Bookings!K440)))*(ROW(Lookup_Status!$A$2:$A$13)-1))))</f>
        <v>Confirmed</v>
      </c>
      <c r="W440" s="7">
        <f>IF(AND(V440&lt;&gt;"",NOT(EXACT(Raw_Bookings!K440,V440))),1,0)</f>
        <v>0</v>
      </c>
      <c r="X440" s="7">
        <f>IF(V440="",1,0)</f>
        <v>0</v>
      </c>
      <c r="Y440" s="7">
        <f>IF(TRIM(Raw_Bookings!L440&amp;"")="",1,0)</f>
        <v>0</v>
      </c>
      <c r="Z440" s="7">
        <f>IF(AND(ISTEXT(Raw_Bookings!L440),Y440=0),1,0)</f>
        <v>0</v>
      </c>
      <c r="AA440" s="7">
        <f>IF(Z440=1,IFERROR(VALUE(SUBSTITUTE(SUBSTITUTE(SUBSTITUTE(SUBSTITUTE(SUBSTITUTE(UPPER(Raw_Bookings!L440),"RS.",""),"₹",""),",","")," ",""),"INR","")),""),"")</f>
        <v/>
      </c>
      <c r="AB440" s="7">
        <f>IF(AND(Z440=1,ISNUMBER(AA440)),1,0)</f>
        <v>0</v>
      </c>
      <c r="AC440" s="7">
        <f>IF(B440=1,0,IF(NOT(ISNUMBER(Raw_Bookings!J440)),1,IF(Raw_Bookings!J440&lt;&gt;COUNTIFS(Work_Passengers!$B$2:$B$1336,Raw_Bookings!A440,Work_Passengers!$C$2:$C$1336,0),1,0)))</f>
        <v>0</v>
      </c>
    </row>
    <row r="441" spans="1:29">
      <c r="A441" s="7">
        <f>Raw_Bookings!A441</f>
        <v>1146868</v>
      </c>
      <c r="B441" s="7">
        <f>IF(COUNTIF(Raw_Bookings!$A$2:A441,Raw_Bookings!A441)&gt;1,1,0)</f>
        <v>0</v>
      </c>
      <c r="C441" s="7" t="str">
        <f>Raw_Bookings!D441&amp;""</f>
        <v>2026-04-25</v>
      </c>
      <c r="D441" s="7" t="str">
        <f>IF(AND(LEN(C441)=10,MID(C441,5,1)="-",MID(C441,8,1)="-"),"ISO",IF(AND(LEN(C441)=10,MID(C441,3,1)="-",MID(C441,6,1)="-"),"DMY","OTHER"))</f>
        <v>ISO</v>
      </c>
      <c r="E441" s="7">
        <f>IF(D441="ISO",VALUE(LEFT(C441,4)),IF(D441="DMY",VALUE(RIGHT(C441,4)),0))</f>
        <v>2026</v>
      </c>
      <c r="F441" s="7">
        <f>IF(D441="ISO",VALUE(MID(C441,6,2)),IF(D441="DMY",VALUE(MID(C441,4,2)),0))</f>
        <v>4</v>
      </c>
      <c r="G441" s="7">
        <f>IF(D441="ISO",VALUE(RIGHT(C441,2)),IF(D441="DMY",VALUE(LEFT(C441,2)),0))</f>
        <v>25</v>
      </c>
      <c r="H441" s="7">
        <f>IF(AND(D441&lt;&gt;"OTHER",F441&gt;=1,F441&lt;=12,G441&gt;=1,G441&lt;=31),IF(AND(MONTH(DATE(E441,F441,G441))=F441,DAY(DATE(E441,F441,G441))=G441),1,0),0)</f>
        <v>1</v>
      </c>
      <c r="I441" s="7">
        <f>IF(H441=1,DATE(E441,F441,G441),"")</f>
        <v>46137.0</v>
      </c>
      <c r="J441" s="7">
        <f>IF(AND(D441="DMY",H441=1),1,0)</f>
        <v>0</v>
      </c>
      <c r="K441" s="7">
        <f>IF(H441=0,1,0)</f>
        <v>0</v>
      </c>
      <c r="L441" s="7">
        <f>IF(TRIM(Raw_Bookings!I441&amp;"")="",1,0)</f>
        <v>0</v>
      </c>
      <c r="M441" s="7">
        <f>IF(L441=1,"",DATEVALUE(LEFT(Raw_Bookings!I441,10))+TIMEVALUE(MID(Raw_Bookings!I441,12,8)))</f>
        <v>46053.069606481484</v>
      </c>
      <c r="N441" s="7">
        <f>IF(AND(L441=0,H441=1),IF(INT(M441)&gt;I441,1,0),0)</f>
        <v>0</v>
      </c>
      <c r="O441" s="7" t="str">
        <f>UPPER(TRIM(Raw_Bookings!F441))</f>
        <v>DIB</v>
      </c>
      <c r="P441" s="7" t="str">
        <f>UPPER(TRIM(Raw_Bookings!G441))</f>
        <v>DEL</v>
      </c>
      <c r="Q441" s="7">
        <f>IF(COUNTIF(Lookup_Stations!$A$2:$A$33,O441)&gt;0,1,0)</f>
        <v>1</v>
      </c>
      <c r="R441" s="7">
        <f>IF(COUNTIF(Lookup_Stations!$A$2:$A$33,P441)&gt;0,1,0)</f>
        <v>1</v>
      </c>
      <c r="S441" s="7">
        <f>IF(OR(AND(Q441=1,NOT(EXACT(Raw_Bookings!F441,O441))),AND(R441=1,NOT(EXACT(Raw_Bookings!G441,P441)))),1,0)</f>
        <v>0</v>
      </c>
      <c r="T441" s="7">
        <f>IF(OR(Q441=0,R441=0),1,0)</f>
        <v>0</v>
      </c>
      <c r="U441" s="7">
        <f>IF(TRIM(Raw_Bookings!E441&amp;"")="",1,0)</f>
        <v>0</v>
      </c>
      <c r="V441" s="7" t="str">
        <f>IF(SUMPRODUCT(--(Lookup_Status!$A$2:$A$13=LOWER(TRIM(Raw_Bookings!K441))))=0,"",INDEX(Lookup_Status!$B$2:$B$13,SUMPRODUCT((Lookup_Status!$A$2:$A$13=LOWER(TRIM(Raw_Bookings!K441)))*(ROW(Lookup_Status!$A$2:$A$13)-1))))</f>
        <v>Confirmed</v>
      </c>
      <c r="W441" s="7">
        <f>IF(AND(V441&lt;&gt;"",NOT(EXACT(Raw_Bookings!K441,V441))),1,0)</f>
        <v>0</v>
      </c>
      <c r="X441" s="7">
        <f>IF(V441="",1,0)</f>
        <v>0</v>
      </c>
      <c r="Y441" s="7">
        <f>IF(TRIM(Raw_Bookings!L441&amp;"")="",1,0)</f>
        <v>0</v>
      </c>
      <c r="Z441" s="7">
        <f>IF(AND(ISTEXT(Raw_Bookings!L441),Y441=0),1,0)</f>
        <v>0</v>
      </c>
      <c r="AA441" s="7">
        <f>IF(Z441=1,IFERROR(VALUE(SUBSTITUTE(SUBSTITUTE(SUBSTITUTE(SUBSTITUTE(SUBSTITUTE(UPPER(Raw_Bookings!L441),"RS.",""),"₹",""),",","")," ",""),"INR","")),""),"")</f>
        <v/>
      </c>
      <c r="AB441" s="7">
        <f>IF(AND(Z441=1,ISNUMBER(AA441)),1,0)</f>
        <v>0</v>
      </c>
      <c r="AC441" s="7">
        <f>IF(B441=1,0,IF(NOT(ISNUMBER(Raw_Bookings!J441)),1,IF(Raw_Bookings!J441&lt;&gt;COUNTIFS(Work_Passengers!$B$2:$B$1336,Raw_Bookings!A441,Work_Passengers!$C$2:$C$1336,0),1,0)))</f>
        <v>0</v>
      </c>
    </row>
    <row r="442" spans="1:29">
      <c r="A442" s="7">
        <f>Raw_Bookings!A442</f>
        <v>1146896</v>
      </c>
      <c r="B442" s="7">
        <f>IF(COUNTIF(Raw_Bookings!$A$2:A442,Raw_Bookings!A442)&gt;1,1,0)</f>
        <v>0</v>
      </c>
      <c r="C442" s="7" t="str">
        <f>Raw_Bookings!D442&amp;""</f>
        <v>2026-04-24</v>
      </c>
      <c r="D442" s="7" t="str">
        <f>IF(AND(LEN(C442)=10,MID(C442,5,1)="-",MID(C442,8,1)="-"),"ISO",IF(AND(LEN(C442)=10,MID(C442,3,1)="-",MID(C442,6,1)="-"),"DMY","OTHER"))</f>
        <v>ISO</v>
      </c>
      <c r="E442" s="7">
        <f>IF(D442="ISO",VALUE(LEFT(C442,4)),IF(D442="DMY",VALUE(RIGHT(C442,4)),0))</f>
        <v>2026</v>
      </c>
      <c r="F442" s="7">
        <f>IF(D442="ISO",VALUE(MID(C442,6,2)),IF(D442="DMY",VALUE(MID(C442,4,2)),0))</f>
        <v>4</v>
      </c>
      <c r="G442" s="7">
        <f>IF(D442="ISO",VALUE(RIGHT(C442,2)),IF(D442="DMY",VALUE(LEFT(C442,2)),0))</f>
        <v>24</v>
      </c>
      <c r="H442" s="7">
        <f>IF(AND(D442&lt;&gt;"OTHER",F442&gt;=1,F442&lt;=12,G442&gt;=1,G442&lt;=31),IF(AND(MONTH(DATE(E442,F442,G442))=F442,DAY(DATE(E442,F442,G442))=G442),1,0),0)</f>
        <v>1</v>
      </c>
      <c r="I442" s="7">
        <f>IF(H442=1,DATE(E442,F442,G442),"")</f>
        <v>46136.0</v>
      </c>
      <c r="J442" s="7">
        <f>IF(AND(D442="DMY",H442=1),1,0)</f>
        <v>0</v>
      </c>
      <c r="K442" s="7">
        <f>IF(H442=0,1,0)</f>
        <v>0</v>
      </c>
      <c r="L442" s="7">
        <f>IF(TRIM(Raw_Bookings!I442&amp;"")="",1,0)</f>
        <v>0</v>
      </c>
      <c r="M442" s="7">
        <f>IF(L442=1,"",DATEVALUE(LEFT(Raw_Bookings!I442,10))+TIMEVALUE(MID(Raw_Bookings!I442,12,8)))</f>
        <v>46053.29137731482</v>
      </c>
      <c r="N442" s="7">
        <f>IF(AND(L442=0,H442=1),IF(INT(M442)&gt;I442,1,0),0)</f>
        <v>0</v>
      </c>
      <c r="O442" s="7" t="str">
        <f>UPPER(TRIM(Raw_Bookings!F442))</f>
        <v>MUM</v>
      </c>
      <c r="P442" s="7" t="str">
        <f>UPPER(TRIM(Raw_Bookings!G442))</f>
        <v>LUC</v>
      </c>
      <c r="Q442" s="7">
        <f>IF(COUNTIF(Lookup_Stations!$A$2:$A$33,O442)&gt;0,1,0)</f>
        <v>1</v>
      </c>
      <c r="R442" s="7">
        <f>IF(COUNTIF(Lookup_Stations!$A$2:$A$33,P442)&gt;0,1,0)</f>
        <v>1</v>
      </c>
      <c r="S442" s="7">
        <f>IF(OR(AND(Q442=1,NOT(EXACT(Raw_Bookings!F442,O442))),AND(R442=1,NOT(EXACT(Raw_Bookings!G442,P442)))),1,0)</f>
        <v>0</v>
      </c>
      <c r="T442" s="7">
        <f>IF(OR(Q442=0,R442=0),1,0)</f>
        <v>0</v>
      </c>
      <c r="U442" s="7">
        <f>IF(TRIM(Raw_Bookings!E442&amp;"")="",1,0)</f>
        <v>0</v>
      </c>
      <c r="V442" s="7" t="str">
        <f>IF(SUMPRODUCT(--(Lookup_Status!$A$2:$A$13=LOWER(TRIM(Raw_Bookings!K442))))=0,"",INDEX(Lookup_Status!$B$2:$B$13,SUMPRODUCT((Lookup_Status!$A$2:$A$13=LOWER(TRIM(Raw_Bookings!K442)))*(ROW(Lookup_Status!$A$2:$A$13)-1))))</f>
        <v>Cancelled</v>
      </c>
      <c r="W442" s="7">
        <f>IF(AND(V442&lt;&gt;"",NOT(EXACT(Raw_Bookings!K442,V442))),1,0)</f>
        <v>0</v>
      </c>
      <c r="X442" s="7">
        <f>IF(V442="",1,0)</f>
        <v>0</v>
      </c>
      <c r="Y442" s="7">
        <f>IF(TRIM(Raw_Bookings!L442&amp;"")="",1,0)</f>
        <v>0</v>
      </c>
      <c r="Z442" s="7">
        <f>IF(AND(ISTEXT(Raw_Bookings!L442),Y442=0),1,0)</f>
        <v>0</v>
      </c>
      <c r="AA442" s="7">
        <f>IF(Z442=1,IFERROR(VALUE(SUBSTITUTE(SUBSTITUTE(SUBSTITUTE(SUBSTITUTE(SUBSTITUTE(UPPER(Raw_Bookings!L442),"RS.",""),"₹",""),",","")," ",""),"INR","")),""),"")</f>
        <v/>
      </c>
      <c r="AB442" s="7">
        <f>IF(AND(Z442=1,ISNUMBER(AA442)),1,0)</f>
        <v>0</v>
      </c>
      <c r="AC442" s="7">
        <f>IF(B442=1,0,IF(NOT(ISNUMBER(Raw_Bookings!J442)),1,IF(Raw_Bookings!J442&lt;&gt;COUNTIFS(Work_Passengers!$B$2:$B$1336,Raw_Bookings!A442,Work_Passengers!$C$2:$C$1336,0),1,0)))</f>
        <v>0</v>
      </c>
    </row>
    <row r="443" spans="1:29">
      <c r="A443" s="7">
        <f>Raw_Bookings!A443</f>
        <v>1146993</v>
      </c>
      <c r="B443" s="7">
        <f>IF(COUNTIF(Raw_Bookings!$A$2:A443,Raw_Bookings!A443)&gt;1,1,0)</f>
        <v>0</v>
      </c>
      <c r="C443" s="7" t="str">
        <f>Raw_Bookings!D443&amp;""</f>
        <v>2026-03-18</v>
      </c>
      <c r="D443" s="7" t="str">
        <f>IF(AND(LEN(C443)=10,MID(C443,5,1)="-",MID(C443,8,1)="-"),"ISO",IF(AND(LEN(C443)=10,MID(C443,3,1)="-",MID(C443,6,1)="-"),"DMY","OTHER"))</f>
        <v>ISO</v>
      </c>
      <c r="E443" s="7">
        <f>IF(D443="ISO",VALUE(LEFT(C443,4)),IF(D443="DMY",VALUE(RIGHT(C443,4)),0))</f>
        <v>2026</v>
      </c>
      <c r="F443" s="7">
        <f>IF(D443="ISO",VALUE(MID(C443,6,2)),IF(D443="DMY",VALUE(MID(C443,4,2)),0))</f>
        <v>3</v>
      </c>
      <c r="G443" s="7">
        <f>IF(D443="ISO",VALUE(RIGHT(C443,2)),IF(D443="DMY",VALUE(LEFT(C443,2)),0))</f>
        <v>18</v>
      </c>
      <c r="H443" s="7">
        <f>IF(AND(D443&lt;&gt;"OTHER",F443&gt;=1,F443&lt;=12,G443&gt;=1,G443&lt;=31),IF(AND(MONTH(DATE(E443,F443,G443))=F443,DAY(DATE(E443,F443,G443))=G443),1,0),0)</f>
        <v>1</v>
      </c>
      <c r="I443" s="7">
        <f>IF(H443=1,DATE(E443,F443,G443),"")</f>
        <v>46099.0</v>
      </c>
      <c r="J443" s="7">
        <f>IF(AND(D443="DMY",H443=1),1,0)</f>
        <v>0</v>
      </c>
      <c r="K443" s="7">
        <f>IF(H443=0,1,0)</f>
        <v>0</v>
      </c>
      <c r="L443" s="7">
        <f>IF(TRIM(Raw_Bookings!I443&amp;"")="",1,0)</f>
        <v>0</v>
      </c>
      <c r="M443" s="7">
        <f>IF(L443=1,"",DATEVALUE(LEFT(Raw_Bookings!I443,10))+TIMEVALUE(MID(Raw_Bookings!I443,12,8)))</f>
        <v>46053.49145833333</v>
      </c>
      <c r="N443" s="7">
        <f>IF(AND(L443=0,H443=1),IF(INT(M443)&gt;I443,1,0),0)</f>
        <v>0</v>
      </c>
      <c r="O443" s="7" t="str">
        <f>UPPER(TRIM(Raw_Bookings!F443))</f>
        <v>DIB</v>
      </c>
      <c r="P443" s="7" t="str">
        <f>UPPER(TRIM(Raw_Bookings!G443))</f>
        <v>DEL</v>
      </c>
      <c r="Q443" s="7">
        <f>IF(COUNTIF(Lookup_Stations!$A$2:$A$33,O443)&gt;0,1,0)</f>
        <v>1</v>
      </c>
      <c r="R443" s="7">
        <f>IF(COUNTIF(Lookup_Stations!$A$2:$A$33,P443)&gt;0,1,0)</f>
        <v>1</v>
      </c>
      <c r="S443" s="7">
        <f>IF(OR(AND(Q443=1,NOT(EXACT(Raw_Bookings!F443,O443))),AND(R443=1,NOT(EXACT(Raw_Bookings!G443,P443)))),1,0)</f>
        <v>0</v>
      </c>
      <c r="T443" s="7">
        <f>IF(OR(Q443=0,R443=0),1,0)</f>
        <v>0</v>
      </c>
      <c r="U443" s="7">
        <f>IF(TRIM(Raw_Bookings!E443&amp;"")="",1,0)</f>
        <v>0</v>
      </c>
      <c r="V443" s="7" t="str">
        <f>IF(SUMPRODUCT(--(Lookup_Status!$A$2:$A$13=LOWER(TRIM(Raw_Bookings!K443))))=0,"",INDEX(Lookup_Status!$B$2:$B$13,SUMPRODUCT((Lookup_Status!$A$2:$A$13=LOWER(TRIM(Raw_Bookings!K443)))*(ROW(Lookup_Status!$A$2:$A$13)-1))))</f>
        <v>Cancelled</v>
      </c>
      <c r="W443" s="7">
        <f>IF(AND(V443&lt;&gt;"",NOT(EXACT(Raw_Bookings!K443,V443))),1,0)</f>
        <v>0</v>
      </c>
      <c r="X443" s="7">
        <f>IF(V443="",1,0)</f>
        <v>0</v>
      </c>
      <c r="Y443" s="7">
        <f>IF(TRIM(Raw_Bookings!L443&amp;"")="",1,0)</f>
        <v>0</v>
      </c>
      <c r="Z443" s="7">
        <f>IF(AND(ISTEXT(Raw_Bookings!L443),Y443=0),1,0)</f>
        <v>0</v>
      </c>
      <c r="AA443" s="7">
        <f>IF(Z443=1,IFERROR(VALUE(SUBSTITUTE(SUBSTITUTE(SUBSTITUTE(SUBSTITUTE(SUBSTITUTE(UPPER(Raw_Bookings!L443),"RS.",""),"₹",""),",","")," ",""),"INR","")),""),"")</f>
        <v/>
      </c>
      <c r="AB443" s="7">
        <f>IF(AND(Z443=1,ISNUMBER(AA443)),1,0)</f>
        <v>0</v>
      </c>
      <c r="AC443" s="7">
        <f>IF(B443=1,0,IF(NOT(ISNUMBER(Raw_Bookings!J443)),1,IF(Raw_Bookings!J443&lt;&gt;COUNTIFS(Work_Passengers!$B$2:$B$1336,Raw_Bookings!A443,Work_Passengers!$C$2:$C$1336,0),1,0)))</f>
        <v>0</v>
      </c>
    </row>
    <row r="444" spans="1:29">
      <c r="A444" s="7">
        <f>Raw_Bookings!A444</f>
        <v>1147417</v>
      </c>
      <c r="B444" s="7">
        <f>IF(COUNTIF(Raw_Bookings!$A$2:A444,Raw_Bookings!A444)&gt;1,1,0)</f>
        <v>0</v>
      </c>
      <c r="C444" s="7" t="str">
        <f>Raw_Bookings!D444&amp;""</f>
        <v>2026-03-18</v>
      </c>
      <c r="D444" s="7" t="str">
        <f>IF(AND(LEN(C444)=10,MID(C444,5,1)="-",MID(C444,8,1)="-"),"ISO",IF(AND(LEN(C444)=10,MID(C444,3,1)="-",MID(C444,6,1)="-"),"DMY","OTHER"))</f>
        <v>ISO</v>
      </c>
      <c r="E444" s="7">
        <f>IF(D444="ISO",VALUE(LEFT(C444,4)),IF(D444="DMY",VALUE(RIGHT(C444,4)),0))</f>
        <v>2026</v>
      </c>
      <c r="F444" s="7">
        <f>IF(D444="ISO",VALUE(MID(C444,6,2)),IF(D444="DMY",VALUE(MID(C444,4,2)),0))</f>
        <v>3</v>
      </c>
      <c r="G444" s="7">
        <f>IF(D444="ISO",VALUE(RIGHT(C444,2)),IF(D444="DMY",VALUE(LEFT(C444,2)),0))</f>
        <v>18</v>
      </c>
      <c r="H444" s="7">
        <f>IF(AND(D444&lt;&gt;"OTHER",F444&gt;=1,F444&lt;=12,G444&gt;=1,G444&lt;=31),IF(AND(MONTH(DATE(E444,F444,G444))=F444,DAY(DATE(E444,F444,G444))=G444),1,0),0)</f>
        <v>1</v>
      </c>
      <c r="I444" s="7">
        <f>IF(H444=1,DATE(E444,F444,G444),"")</f>
        <v>46099.0</v>
      </c>
      <c r="J444" s="7">
        <f>IF(AND(D444="DMY",H444=1),1,0)</f>
        <v>0</v>
      </c>
      <c r="K444" s="7">
        <f>IF(H444=0,1,0)</f>
        <v>0</v>
      </c>
      <c r="L444" s="7">
        <f>IF(TRIM(Raw_Bookings!I444&amp;"")="",1,0)</f>
        <v>0</v>
      </c>
      <c r="M444" s="7">
        <f>IF(L444=1,"",DATEVALUE(LEFT(Raw_Bookings!I444,10))+TIMEVALUE(MID(Raw_Bookings!I444,12,8)))</f>
        <v>46054.78194444445</v>
      </c>
      <c r="N444" s="7">
        <f>IF(AND(L444=0,H444=1),IF(INT(M444)&gt;I444,1,0),0)</f>
        <v>0</v>
      </c>
      <c r="O444" s="7" t="str">
        <f>UPPER(TRIM(Raw_Bookings!F444))</f>
        <v>KOL</v>
      </c>
      <c r="P444" s="7" t="str">
        <f>UPPER(TRIM(Raw_Bookings!G444))</f>
        <v>HYD</v>
      </c>
      <c r="Q444" s="7">
        <f>IF(COUNTIF(Lookup_Stations!$A$2:$A$33,O444)&gt;0,1,0)</f>
        <v>1</v>
      </c>
      <c r="R444" s="7">
        <f>IF(COUNTIF(Lookup_Stations!$A$2:$A$33,P444)&gt;0,1,0)</f>
        <v>1</v>
      </c>
      <c r="S444" s="7">
        <f>IF(OR(AND(Q444=1,NOT(EXACT(Raw_Bookings!F444,O444))),AND(R444=1,NOT(EXACT(Raw_Bookings!G444,P444)))),1,0)</f>
        <v>0</v>
      </c>
      <c r="T444" s="7">
        <f>IF(OR(Q444=0,R444=0),1,0)</f>
        <v>0</v>
      </c>
      <c r="U444" s="7">
        <f>IF(TRIM(Raw_Bookings!E444&amp;"")="",1,0)</f>
        <v>0</v>
      </c>
      <c r="V444" s="7" t="str">
        <f>IF(SUMPRODUCT(--(Lookup_Status!$A$2:$A$13=LOWER(TRIM(Raw_Bookings!K444))))=0,"",INDEX(Lookup_Status!$B$2:$B$13,SUMPRODUCT((Lookup_Status!$A$2:$A$13=LOWER(TRIM(Raw_Bookings!K444)))*(ROW(Lookup_Status!$A$2:$A$13)-1))))</f>
        <v>Confirmed</v>
      </c>
      <c r="W444" s="7">
        <f>IF(AND(V444&lt;&gt;"",NOT(EXACT(Raw_Bookings!K444,V444))),1,0)</f>
        <v>0</v>
      </c>
      <c r="X444" s="7">
        <f>IF(V444="",1,0)</f>
        <v>0</v>
      </c>
      <c r="Y444" s="7">
        <f>IF(TRIM(Raw_Bookings!L444&amp;"")="",1,0)</f>
        <v>0</v>
      </c>
      <c r="Z444" s="7">
        <f>IF(AND(ISTEXT(Raw_Bookings!L444),Y444=0),1,0)</f>
        <v>0</v>
      </c>
      <c r="AA444" s="7">
        <f>IF(Z444=1,IFERROR(VALUE(SUBSTITUTE(SUBSTITUTE(SUBSTITUTE(SUBSTITUTE(SUBSTITUTE(UPPER(Raw_Bookings!L444),"RS.",""),"₹",""),",","")," ",""),"INR","")),""),"")</f>
        <v/>
      </c>
      <c r="AB444" s="7">
        <f>IF(AND(Z444=1,ISNUMBER(AA444)),1,0)</f>
        <v>0</v>
      </c>
      <c r="AC444" s="7">
        <f>IF(B444=1,0,IF(NOT(ISNUMBER(Raw_Bookings!J444)),1,IF(Raw_Bookings!J444&lt;&gt;COUNTIFS(Work_Passengers!$B$2:$B$1336,Raw_Bookings!A444,Work_Passengers!$C$2:$C$1336,0),1,0)))</f>
        <v>0</v>
      </c>
    </row>
    <row r="445" spans="1:29">
      <c r="A445" s="7">
        <f>Raw_Bookings!A445</f>
        <v>1147512</v>
      </c>
      <c r="B445" s="7">
        <f>IF(COUNTIF(Raw_Bookings!$A$2:A445,Raw_Bookings!A445)&gt;1,1,0)</f>
        <v>0</v>
      </c>
      <c r="C445" s="7" t="str">
        <f>Raw_Bookings!D445&amp;""</f>
        <v>2026-03-16</v>
      </c>
      <c r="D445" s="7" t="str">
        <f>IF(AND(LEN(C445)=10,MID(C445,5,1)="-",MID(C445,8,1)="-"),"ISO",IF(AND(LEN(C445)=10,MID(C445,3,1)="-",MID(C445,6,1)="-"),"DMY","OTHER"))</f>
        <v>ISO</v>
      </c>
      <c r="E445" s="7">
        <f>IF(D445="ISO",VALUE(LEFT(C445,4)),IF(D445="DMY",VALUE(RIGHT(C445,4)),0))</f>
        <v>2026</v>
      </c>
      <c r="F445" s="7">
        <f>IF(D445="ISO",VALUE(MID(C445,6,2)),IF(D445="DMY",VALUE(MID(C445,4,2)),0))</f>
        <v>3</v>
      </c>
      <c r="G445" s="7">
        <f>IF(D445="ISO",VALUE(RIGHT(C445,2)),IF(D445="DMY",VALUE(LEFT(C445,2)),0))</f>
        <v>16</v>
      </c>
      <c r="H445" s="7">
        <f>IF(AND(D445&lt;&gt;"OTHER",F445&gt;=1,F445&lt;=12,G445&gt;=1,G445&lt;=31),IF(AND(MONTH(DATE(E445,F445,G445))=F445,DAY(DATE(E445,F445,G445))=G445),1,0),0)</f>
        <v>1</v>
      </c>
      <c r="I445" s="7">
        <f>IF(H445=1,DATE(E445,F445,G445),"")</f>
        <v>46097.0</v>
      </c>
      <c r="J445" s="7">
        <f>IF(AND(D445="DMY",H445=1),1,0)</f>
        <v>0</v>
      </c>
      <c r="K445" s="7">
        <f>IF(H445=0,1,0)</f>
        <v>0</v>
      </c>
      <c r="L445" s="7">
        <f>IF(TRIM(Raw_Bookings!I445&amp;"")="",1,0)</f>
        <v>0</v>
      </c>
      <c r="M445" s="7">
        <f>IF(L445=1,"",DATEVALUE(LEFT(Raw_Bookings!I445,10))+TIMEVALUE(MID(Raw_Bookings!I445,12,8)))</f>
        <v>46055.27675925926</v>
      </c>
      <c r="N445" s="7">
        <f>IF(AND(L445=0,H445=1),IF(INT(M445)&gt;I445,1,0),0)</f>
        <v>0</v>
      </c>
      <c r="O445" s="7" t="str">
        <f>UPPER(TRIM(Raw_Bookings!F445))</f>
        <v>CHE</v>
      </c>
      <c r="P445" s="7" t="str">
        <f>UPPER(TRIM(Raw_Bookings!G445))</f>
        <v>AHM</v>
      </c>
      <c r="Q445" s="7">
        <f>IF(COUNTIF(Lookup_Stations!$A$2:$A$33,O445)&gt;0,1,0)</f>
        <v>1</v>
      </c>
      <c r="R445" s="7">
        <f>IF(COUNTIF(Lookup_Stations!$A$2:$A$33,P445)&gt;0,1,0)</f>
        <v>1</v>
      </c>
      <c r="S445" s="7">
        <f>IF(OR(AND(Q445=1,NOT(EXACT(Raw_Bookings!F445,O445))),AND(R445=1,NOT(EXACT(Raw_Bookings!G445,P445)))),1,0)</f>
        <v>0</v>
      </c>
      <c r="T445" s="7">
        <f>IF(OR(Q445=0,R445=0),1,0)</f>
        <v>0</v>
      </c>
      <c r="U445" s="7">
        <f>IF(TRIM(Raw_Bookings!E445&amp;"")="",1,0)</f>
        <v>0</v>
      </c>
      <c r="V445" s="7" t="str">
        <f>IF(SUMPRODUCT(--(Lookup_Status!$A$2:$A$13=LOWER(TRIM(Raw_Bookings!K445))))=0,"",INDEX(Lookup_Status!$B$2:$B$13,SUMPRODUCT((Lookup_Status!$A$2:$A$13=LOWER(TRIM(Raw_Bookings!K445)))*(ROW(Lookup_Status!$A$2:$A$13)-1))))</f>
        <v>Confirmed</v>
      </c>
      <c r="W445" s="7">
        <f>IF(AND(V445&lt;&gt;"",NOT(EXACT(Raw_Bookings!K445,V445))),1,0)</f>
        <v>0</v>
      </c>
      <c r="X445" s="7">
        <f>IF(V445="",1,0)</f>
        <v>0</v>
      </c>
      <c r="Y445" s="7">
        <f>IF(TRIM(Raw_Bookings!L445&amp;"")="",1,0)</f>
        <v>0</v>
      </c>
      <c r="Z445" s="7">
        <f>IF(AND(ISTEXT(Raw_Bookings!L445),Y445=0),1,0)</f>
        <v>0</v>
      </c>
      <c r="AA445" s="7">
        <f>IF(Z445=1,IFERROR(VALUE(SUBSTITUTE(SUBSTITUTE(SUBSTITUTE(SUBSTITUTE(SUBSTITUTE(UPPER(Raw_Bookings!L445),"RS.",""),"₹",""),",","")," ",""),"INR","")),""),"")</f>
        <v/>
      </c>
      <c r="AB445" s="7">
        <f>IF(AND(Z445=1,ISNUMBER(AA445)),1,0)</f>
        <v>0</v>
      </c>
      <c r="AC445" s="7">
        <f>IF(B445=1,0,IF(NOT(ISNUMBER(Raw_Bookings!J445)),1,IF(Raw_Bookings!J445&lt;&gt;COUNTIFS(Work_Passengers!$B$2:$B$1336,Raw_Bookings!A445,Work_Passengers!$C$2:$C$1336,0),1,0)))</f>
        <v>0</v>
      </c>
    </row>
    <row r="446" spans="1:29">
      <c r="A446" s="7">
        <f>Raw_Bookings!A446</f>
        <v>1147998</v>
      </c>
      <c r="B446" s="7">
        <f>IF(COUNTIF(Raw_Bookings!$A$2:A446,Raw_Bookings!A446)&gt;1,1,0)</f>
        <v>0</v>
      </c>
      <c r="C446" s="7" t="str">
        <f>Raw_Bookings!D446&amp;""</f>
        <v>2026-02-11</v>
      </c>
      <c r="D446" s="7" t="str">
        <f>IF(AND(LEN(C446)=10,MID(C446,5,1)="-",MID(C446,8,1)="-"),"ISO",IF(AND(LEN(C446)=10,MID(C446,3,1)="-",MID(C446,6,1)="-"),"DMY","OTHER"))</f>
        <v>ISO</v>
      </c>
      <c r="E446" s="7">
        <f>IF(D446="ISO",VALUE(LEFT(C446,4)),IF(D446="DMY",VALUE(RIGHT(C446,4)),0))</f>
        <v>2026</v>
      </c>
      <c r="F446" s="7">
        <f>IF(D446="ISO",VALUE(MID(C446,6,2)),IF(D446="DMY",VALUE(MID(C446,4,2)),0))</f>
        <v>2</v>
      </c>
      <c r="G446" s="7">
        <f>IF(D446="ISO",VALUE(RIGHT(C446,2)),IF(D446="DMY",VALUE(LEFT(C446,2)),0))</f>
        <v>11</v>
      </c>
      <c r="H446" s="7">
        <f>IF(AND(D446&lt;&gt;"OTHER",F446&gt;=1,F446&lt;=12,G446&gt;=1,G446&lt;=31),IF(AND(MONTH(DATE(E446,F446,G446))=F446,DAY(DATE(E446,F446,G446))=G446),1,0),0)</f>
        <v>1</v>
      </c>
      <c r="I446" s="7">
        <f>IF(H446=1,DATE(E446,F446,G446),"")</f>
        <v>46064.0</v>
      </c>
      <c r="J446" s="7">
        <f>IF(AND(D446="DMY",H446=1),1,0)</f>
        <v>0</v>
      </c>
      <c r="K446" s="7">
        <f>IF(H446=0,1,0)</f>
        <v>0</v>
      </c>
      <c r="L446" s="7">
        <f>IF(TRIM(Raw_Bookings!I446&amp;"")="",1,0)</f>
        <v>1</v>
      </c>
      <c r="M446" s="7">
        <f>IF(L446=1,"",DATEVALUE(LEFT(Raw_Bookings!I446,10))+TIMEVALUE(MID(Raw_Bookings!I446,12,8)))</f>
        <v/>
      </c>
      <c r="N446" s="7">
        <f>IF(AND(L446=0,H446=1),IF(INT(M446)&gt;I446,1,0),0)</f>
        <v>0</v>
      </c>
      <c r="O446" s="7" t="str">
        <f>UPPER(TRIM(Raw_Bookings!F446))</f>
        <v>BEN</v>
      </c>
      <c r="P446" s="7" t="str">
        <f>UPPER(TRIM(Raw_Bookings!G446))</f>
        <v>MUM</v>
      </c>
      <c r="Q446" s="7">
        <f>IF(COUNTIF(Lookup_Stations!$A$2:$A$33,O446)&gt;0,1,0)</f>
        <v>1</v>
      </c>
      <c r="R446" s="7">
        <f>IF(COUNTIF(Lookup_Stations!$A$2:$A$33,P446)&gt;0,1,0)</f>
        <v>1</v>
      </c>
      <c r="S446" s="7">
        <f>IF(OR(AND(Q446=1,NOT(EXACT(Raw_Bookings!F446,O446))),AND(R446=1,NOT(EXACT(Raw_Bookings!G446,P446)))),1,0)</f>
        <v>0</v>
      </c>
      <c r="T446" s="7">
        <f>IF(OR(Q446=0,R446=0),1,0)</f>
        <v>0</v>
      </c>
      <c r="U446" s="7">
        <f>IF(TRIM(Raw_Bookings!E446&amp;"")="",1,0)</f>
        <v>0</v>
      </c>
      <c r="V446" s="7" t="str">
        <f>IF(SUMPRODUCT(--(Lookup_Status!$A$2:$A$13=LOWER(TRIM(Raw_Bookings!K446))))=0,"",INDEX(Lookup_Status!$B$2:$B$13,SUMPRODUCT((Lookup_Status!$A$2:$A$13=LOWER(TRIM(Raw_Bookings!K446)))*(ROW(Lookup_Status!$A$2:$A$13)-1))))</f>
        <v>Confirmed</v>
      </c>
      <c r="W446" s="7">
        <f>IF(AND(V446&lt;&gt;"",NOT(EXACT(Raw_Bookings!K446,V446))),1,0)</f>
        <v>0</v>
      </c>
      <c r="X446" s="7">
        <f>IF(V446="",1,0)</f>
        <v>0</v>
      </c>
      <c r="Y446" s="7">
        <f>IF(TRIM(Raw_Bookings!L446&amp;"")="",1,0)</f>
        <v>0</v>
      </c>
      <c r="Z446" s="7">
        <f>IF(AND(ISTEXT(Raw_Bookings!L446),Y446=0),1,0)</f>
        <v>0</v>
      </c>
      <c r="AA446" s="7">
        <f>IF(Z446=1,IFERROR(VALUE(SUBSTITUTE(SUBSTITUTE(SUBSTITUTE(SUBSTITUTE(SUBSTITUTE(UPPER(Raw_Bookings!L446),"RS.",""),"₹",""),",","")," ",""),"INR","")),""),"")</f>
        <v/>
      </c>
      <c r="AB446" s="7">
        <f>IF(AND(Z446=1,ISNUMBER(AA446)),1,0)</f>
        <v>0</v>
      </c>
      <c r="AC446" s="7">
        <f>IF(B446=1,0,IF(NOT(ISNUMBER(Raw_Bookings!J446)),1,IF(Raw_Bookings!J446&lt;&gt;COUNTIFS(Work_Passengers!$B$2:$B$1336,Raw_Bookings!A446,Work_Passengers!$C$2:$C$1336,0),1,0)))</f>
        <v>0</v>
      </c>
    </row>
    <row r="447" spans="1:29">
      <c r="A447" s="7">
        <f>Raw_Bookings!A447</f>
        <v>1148151</v>
      </c>
      <c r="B447" s="7">
        <f>IF(COUNTIF(Raw_Bookings!$A$2:A447,Raw_Bookings!A447)&gt;1,1,0)</f>
        <v>0</v>
      </c>
      <c r="C447" s="7" t="str">
        <f>Raw_Bookings!D447&amp;""</f>
        <v>2026-03-11</v>
      </c>
      <c r="D447" s="7" t="str">
        <f>IF(AND(LEN(C447)=10,MID(C447,5,1)="-",MID(C447,8,1)="-"),"ISO",IF(AND(LEN(C447)=10,MID(C447,3,1)="-",MID(C447,6,1)="-"),"DMY","OTHER"))</f>
        <v>ISO</v>
      </c>
      <c r="E447" s="7">
        <f>IF(D447="ISO",VALUE(LEFT(C447,4)),IF(D447="DMY",VALUE(RIGHT(C447,4)),0))</f>
        <v>2026</v>
      </c>
      <c r="F447" s="7">
        <f>IF(D447="ISO",VALUE(MID(C447,6,2)),IF(D447="DMY",VALUE(MID(C447,4,2)),0))</f>
        <v>3</v>
      </c>
      <c r="G447" s="7">
        <f>IF(D447="ISO",VALUE(RIGHT(C447,2)),IF(D447="DMY",VALUE(LEFT(C447,2)),0))</f>
        <v>11</v>
      </c>
      <c r="H447" s="7">
        <f>IF(AND(D447&lt;&gt;"OTHER",F447&gt;=1,F447&lt;=12,G447&gt;=1,G447&lt;=31),IF(AND(MONTH(DATE(E447,F447,G447))=F447,DAY(DATE(E447,F447,G447))=G447),1,0),0)</f>
        <v>1</v>
      </c>
      <c r="I447" s="7">
        <f>IF(H447=1,DATE(E447,F447,G447),"")</f>
        <v>46092.0</v>
      </c>
      <c r="J447" s="7">
        <f>IF(AND(D447="DMY",H447=1),1,0)</f>
        <v>0</v>
      </c>
      <c r="K447" s="7">
        <f>IF(H447=0,1,0)</f>
        <v>0</v>
      </c>
      <c r="L447" s="7">
        <f>IF(TRIM(Raw_Bookings!I447&amp;"")="",1,0)</f>
        <v>0</v>
      </c>
      <c r="M447" s="7">
        <f>IF(L447=1,"",DATEVALUE(LEFT(Raw_Bookings!I447,10))+TIMEVALUE(MID(Raw_Bookings!I447,12,8)))</f>
        <v>46056.89958333333</v>
      </c>
      <c r="N447" s="7">
        <f>IF(AND(L447=0,H447=1),IF(INT(M447)&gt;I447,1,0),0)</f>
        <v>0</v>
      </c>
      <c r="O447" s="7" t="str">
        <f>UPPER(TRIM(Raw_Bookings!F447))</f>
        <v>HYD</v>
      </c>
      <c r="P447" s="7" t="str">
        <f>UPPER(TRIM(Raw_Bookings!G447))</f>
        <v>KOL</v>
      </c>
      <c r="Q447" s="7">
        <f>IF(COUNTIF(Lookup_Stations!$A$2:$A$33,O447)&gt;0,1,0)</f>
        <v>1</v>
      </c>
      <c r="R447" s="7">
        <f>IF(COUNTIF(Lookup_Stations!$A$2:$A$33,P447)&gt;0,1,0)</f>
        <v>1</v>
      </c>
      <c r="S447" s="7">
        <f>IF(OR(AND(Q447=1,NOT(EXACT(Raw_Bookings!F447,O447))),AND(R447=1,NOT(EXACT(Raw_Bookings!G447,P447)))),1,0)</f>
        <v>0</v>
      </c>
      <c r="T447" s="7">
        <f>IF(OR(Q447=0,R447=0),1,0)</f>
        <v>0</v>
      </c>
      <c r="U447" s="7">
        <f>IF(TRIM(Raw_Bookings!E447&amp;"")="",1,0)</f>
        <v>0</v>
      </c>
      <c r="V447" s="7" t="str">
        <f>IF(SUMPRODUCT(--(Lookup_Status!$A$2:$A$13=LOWER(TRIM(Raw_Bookings!K447))))=0,"",INDEX(Lookup_Status!$B$2:$B$13,SUMPRODUCT((Lookup_Status!$A$2:$A$13=LOWER(TRIM(Raw_Bookings!K447)))*(ROW(Lookup_Status!$A$2:$A$13)-1))))</f>
        <v>Mixed</v>
      </c>
      <c r="W447" s="7">
        <f>IF(AND(V447&lt;&gt;"",NOT(EXACT(Raw_Bookings!K447,V447))),1,0)</f>
        <v>0</v>
      </c>
      <c r="X447" s="7">
        <f>IF(V447="",1,0)</f>
        <v>0</v>
      </c>
      <c r="Y447" s="7">
        <f>IF(TRIM(Raw_Bookings!L447&amp;"")="",1,0)</f>
        <v>0</v>
      </c>
      <c r="Z447" s="7">
        <f>IF(AND(ISTEXT(Raw_Bookings!L447),Y447=0),1,0)</f>
        <v>0</v>
      </c>
      <c r="AA447" s="7">
        <f>IF(Z447=1,IFERROR(VALUE(SUBSTITUTE(SUBSTITUTE(SUBSTITUTE(SUBSTITUTE(SUBSTITUTE(UPPER(Raw_Bookings!L447),"RS.",""),"₹",""),",","")," ",""),"INR","")),""),"")</f>
        <v/>
      </c>
      <c r="AB447" s="7">
        <f>IF(AND(Z447=1,ISNUMBER(AA447)),1,0)</f>
        <v>0</v>
      </c>
      <c r="AC447" s="7">
        <f>IF(B447=1,0,IF(NOT(ISNUMBER(Raw_Bookings!J447)),1,IF(Raw_Bookings!J447&lt;&gt;COUNTIFS(Work_Passengers!$B$2:$B$1336,Raw_Bookings!A447,Work_Passengers!$C$2:$C$1336,0),1,0)))</f>
        <v>0</v>
      </c>
    </row>
    <row r="448" spans="1:29">
      <c r="A448" s="7">
        <f>Raw_Bookings!A448</f>
        <v>1148655</v>
      </c>
      <c r="B448" s="7">
        <f>IF(COUNTIF(Raw_Bookings!$A$2:A448,Raw_Bookings!A448)&gt;1,1,0)</f>
        <v>0</v>
      </c>
      <c r="C448" s="7" t="str">
        <f>Raw_Bookings!D448&amp;""</f>
        <v>2026-02-23</v>
      </c>
      <c r="D448" s="7" t="str">
        <f>IF(AND(LEN(C448)=10,MID(C448,5,1)="-",MID(C448,8,1)="-"),"ISO",IF(AND(LEN(C448)=10,MID(C448,3,1)="-",MID(C448,6,1)="-"),"DMY","OTHER"))</f>
        <v>ISO</v>
      </c>
      <c r="E448" s="7">
        <f>IF(D448="ISO",VALUE(LEFT(C448,4)),IF(D448="DMY",VALUE(RIGHT(C448,4)),0))</f>
        <v>2026</v>
      </c>
      <c r="F448" s="7">
        <f>IF(D448="ISO",VALUE(MID(C448,6,2)),IF(D448="DMY",VALUE(MID(C448,4,2)),0))</f>
        <v>2</v>
      </c>
      <c r="G448" s="7">
        <f>IF(D448="ISO",VALUE(RIGHT(C448,2)),IF(D448="DMY",VALUE(LEFT(C448,2)),0))</f>
        <v>23</v>
      </c>
      <c r="H448" s="7">
        <f>IF(AND(D448&lt;&gt;"OTHER",F448&gt;=1,F448&lt;=12,G448&gt;=1,G448&lt;=31),IF(AND(MONTH(DATE(E448,F448,G448))=F448,DAY(DATE(E448,F448,G448))=G448),1,0),0)</f>
        <v>1</v>
      </c>
      <c r="I448" s="7">
        <f>IF(H448=1,DATE(E448,F448,G448),"")</f>
        <v>46076.0</v>
      </c>
      <c r="J448" s="7">
        <f>IF(AND(D448="DMY",H448=1),1,0)</f>
        <v>0</v>
      </c>
      <c r="K448" s="7">
        <f>IF(H448=0,1,0)</f>
        <v>0</v>
      </c>
      <c r="L448" s="7">
        <f>IF(TRIM(Raw_Bookings!I448&amp;"")="",1,0)</f>
        <v>0</v>
      </c>
      <c r="M448" s="7">
        <f>IF(L448=1,"",DATEVALUE(LEFT(Raw_Bookings!I448,10))+TIMEVALUE(MID(Raw_Bookings!I448,12,8)))</f>
        <v>46058.506689814814</v>
      </c>
      <c r="N448" s="7">
        <f>IF(AND(L448=0,H448=1),IF(INT(M448)&gt;I448,1,0),0)</f>
        <v>0</v>
      </c>
      <c r="O448" s="7" t="str">
        <f>UPPER(TRIM(Raw_Bookings!F448))</f>
        <v>CHE</v>
      </c>
      <c r="P448" s="7" t="str">
        <f>UPPER(TRIM(Raw_Bookings!G448))</f>
        <v>AHM</v>
      </c>
      <c r="Q448" s="7">
        <f>IF(COUNTIF(Lookup_Stations!$A$2:$A$33,O448)&gt;0,1,0)</f>
        <v>1</v>
      </c>
      <c r="R448" s="7">
        <f>IF(COUNTIF(Lookup_Stations!$A$2:$A$33,P448)&gt;0,1,0)</f>
        <v>1</v>
      </c>
      <c r="S448" s="7">
        <f>IF(OR(AND(Q448=1,NOT(EXACT(Raw_Bookings!F448,O448))),AND(R448=1,NOT(EXACT(Raw_Bookings!G448,P448)))),1,0)</f>
        <v>0</v>
      </c>
      <c r="T448" s="7">
        <f>IF(OR(Q448=0,R448=0),1,0)</f>
        <v>0</v>
      </c>
      <c r="U448" s="7">
        <f>IF(TRIM(Raw_Bookings!E448&amp;"")="",1,0)</f>
        <v>0</v>
      </c>
      <c r="V448" s="7" t="str">
        <f>IF(SUMPRODUCT(--(Lookup_Status!$A$2:$A$13=LOWER(TRIM(Raw_Bookings!K448))))=0,"",INDEX(Lookup_Status!$B$2:$B$13,SUMPRODUCT((Lookup_Status!$A$2:$A$13=LOWER(TRIM(Raw_Bookings!K448)))*(ROW(Lookup_Status!$A$2:$A$13)-1))))</f>
        <v>Confirmed</v>
      </c>
      <c r="W448" s="7">
        <f>IF(AND(V448&lt;&gt;"",NOT(EXACT(Raw_Bookings!K448,V448))),1,0)</f>
        <v>1</v>
      </c>
      <c r="X448" s="7">
        <f>IF(V448="",1,0)</f>
        <v>0</v>
      </c>
      <c r="Y448" s="7">
        <f>IF(TRIM(Raw_Bookings!L448&amp;"")="",1,0)</f>
        <v>0</v>
      </c>
      <c r="Z448" s="7">
        <f>IF(AND(ISTEXT(Raw_Bookings!L448),Y448=0),1,0)</f>
        <v>0</v>
      </c>
      <c r="AA448" s="7">
        <f>IF(Z448=1,IFERROR(VALUE(SUBSTITUTE(SUBSTITUTE(SUBSTITUTE(SUBSTITUTE(SUBSTITUTE(UPPER(Raw_Bookings!L448),"RS.",""),"₹",""),",","")," ",""),"INR","")),""),"")</f>
        <v/>
      </c>
      <c r="AB448" s="7">
        <f>IF(AND(Z448=1,ISNUMBER(AA448)),1,0)</f>
        <v>0</v>
      </c>
      <c r="AC448" s="7">
        <f>IF(B448=1,0,IF(NOT(ISNUMBER(Raw_Bookings!J448)),1,IF(Raw_Bookings!J448&lt;&gt;COUNTIFS(Work_Passengers!$B$2:$B$1336,Raw_Bookings!A448,Work_Passengers!$C$2:$C$1336,0),1,0)))</f>
        <v>0</v>
      </c>
    </row>
    <row r="449" spans="1:29">
      <c r="A449" s="7">
        <f>Raw_Bookings!A449</f>
        <v>1148664</v>
      </c>
      <c r="B449" s="7">
        <f>IF(COUNTIF(Raw_Bookings!$A$2:A449,Raw_Bookings!A449)&gt;1,1,0)</f>
        <v>0</v>
      </c>
      <c r="C449" s="7" t="str">
        <f>Raw_Bookings!D449&amp;""</f>
        <v>2026-02-15</v>
      </c>
      <c r="D449" s="7" t="str">
        <f>IF(AND(LEN(C449)=10,MID(C449,5,1)="-",MID(C449,8,1)="-"),"ISO",IF(AND(LEN(C449)=10,MID(C449,3,1)="-",MID(C449,6,1)="-"),"DMY","OTHER"))</f>
        <v>ISO</v>
      </c>
      <c r="E449" s="7">
        <f>IF(D449="ISO",VALUE(LEFT(C449,4)),IF(D449="DMY",VALUE(RIGHT(C449,4)),0))</f>
        <v>2026</v>
      </c>
      <c r="F449" s="7">
        <f>IF(D449="ISO",VALUE(MID(C449,6,2)),IF(D449="DMY",VALUE(MID(C449,4,2)),0))</f>
        <v>2</v>
      </c>
      <c r="G449" s="7">
        <f>IF(D449="ISO",VALUE(RIGHT(C449,2)),IF(D449="DMY",VALUE(LEFT(C449,2)),0))</f>
        <v>15</v>
      </c>
      <c r="H449" s="7">
        <f>IF(AND(D449&lt;&gt;"OTHER",F449&gt;=1,F449&lt;=12,G449&gt;=1,G449&lt;=31),IF(AND(MONTH(DATE(E449,F449,G449))=F449,DAY(DATE(E449,F449,G449))=G449),1,0),0)</f>
        <v>1</v>
      </c>
      <c r="I449" s="7">
        <f>IF(H449=1,DATE(E449,F449,G449),"")</f>
        <v>46068.0</v>
      </c>
      <c r="J449" s="7">
        <f>IF(AND(D449="DMY",H449=1),1,0)</f>
        <v>0</v>
      </c>
      <c r="K449" s="7">
        <f>IF(H449=0,1,0)</f>
        <v>0</v>
      </c>
      <c r="L449" s="7">
        <f>IF(TRIM(Raw_Bookings!I449&amp;"")="",1,0)</f>
        <v>0</v>
      </c>
      <c r="M449" s="7">
        <f>IF(L449=1,"",DATEVALUE(LEFT(Raw_Bookings!I449,10))+TIMEVALUE(MID(Raw_Bookings!I449,12,8)))</f>
        <v>46058.53061342592</v>
      </c>
      <c r="N449" s="7">
        <f>IF(AND(L449=0,H449=1),IF(INT(M449)&gt;I449,1,0),0)</f>
        <v>0</v>
      </c>
      <c r="O449" s="7" t="str">
        <f>UPPER(TRIM(Raw_Bookings!F449))</f>
        <v>N/A</v>
      </c>
      <c r="P449" s="7" t="str">
        <f>UPPER(TRIM(Raw_Bookings!G449))</f>
        <v>BEN</v>
      </c>
      <c r="Q449" s="7">
        <f>IF(COUNTIF(Lookup_Stations!$A$2:$A$33,O449)&gt;0,1,0)</f>
        <v>0</v>
      </c>
      <c r="R449" s="7">
        <f>IF(COUNTIF(Lookup_Stations!$A$2:$A$33,P449)&gt;0,1,0)</f>
        <v>1</v>
      </c>
      <c r="S449" s="7">
        <f>IF(OR(AND(Q449=1,NOT(EXACT(Raw_Bookings!F449,O449))),AND(R449=1,NOT(EXACT(Raw_Bookings!G449,P449)))),1,0)</f>
        <v>0</v>
      </c>
      <c r="T449" s="7">
        <f>IF(OR(Q449=0,R449=0),1,0)</f>
        <v>1</v>
      </c>
      <c r="U449" s="7">
        <f>IF(TRIM(Raw_Bookings!E449&amp;"")="",1,0)</f>
        <v>0</v>
      </c>
      <c r="V449" s="7" t="str">
        <f>IF(SUMPRODUCT(--(Lookup_Status!$A$2:$A$13=LOWER(TRIM(Raw_Bookings!K449))))=0,"",INDEX(Lookup_Status!$B$2:$B$13,SUMPRODUCT((Lookup_Status!$A$2:$A$13=LOWER(TRIM(Raw_Bookings!K449)))*(ROW(Lookup_Status!$A$2:$A$13)-1))))</f>
        <v>Confirmed</v>
      </c>
      <c r="W449" s="7">
        <f>IF(AND(V449&lt;&gt;"",NOT(EXACT(Raw_Bookings!K449,V449))),1,0)</f>
        <v>0</v>
      </c>
      <c r="X449" s="7">
        <f>IF(V449="",1,0)</f>
        <v>0</v>
      </c>
      <c r="Y449" s="7">
        <f>IF(TRIM(Raw_Bookings!L449&amp;"")="",1,0)</f>
        <v>0</v>
      </c>
      <c r="Z449" s="7">
        <f>IF(AND(ISTEXT(Raw_Bookings!L449),Y449=0),1,0)</f>
        <v>0</v>
      </c>
      <c r="AA449" s="7">
        <f>IF(Z449=1,IFERROR(VALUE(SUBSTITUTE(SUBSTITUTE(SUBSTITUTE(SUBSTITUTE(SUBSTITUTE(UPPER(Raw_Bookings!L449),"RS.",""),"₹",""),",","")," ",""),"INR","")),""),"")</f>
        <v/>
      </c>
      <c r="AB449" s="7">
        <f>IF(AND(Z449=1,ISNUMBER(AA449)),1,0)</f>
        <v>0</v>
      </c>
      <c r="AC449" s="7">
        <f>IF(B449=1,0,IF(NOT(ISNUMBER(Raw_Bookings!J449)),1,IF(Raw_Bookings!J449&lt;&gt;COUNTIFS(Work_Passengers!$B$2:$B$1336,Raw_Bookings!A449,Work_Passengers!$C$2:$C$1336,0),1,0)))</f>
        <v>0</v>
      </c>
    </row>
    <row r="450" spans="1:29">
      <c r="A450" s="7">
        <f>Raw_Bookings!A450</f>
        <v>1148902</v>
      </c>
      <c r="B450" s="7">
        <f>IF(COUNTIF(Raw_Bookings!$A$2:A450,Raw_Bookings!A450)&gt;1,1,0)</f>
        <v>0</v>
      </c>
      <c r="C450" s="7" t="str">
        <f>Raw_Bookings!D450&amp;""</f>
        <v>2026-02-16</v>
      </c>
      <c r="D450" s="7" t="str">
        <f>IF(AND(LEN(C450)=10,MID(C450,5,1)="-",MID(C450,8,1)="-"),"ISO",IF(AND(LEN(C450)=10,MID(C450,3,1)="-",MID(C450,6,1)="-"),"DMY","OTHER"))</f>
        <v>ISO</v>
      </c>
      <c r="E450" s="7">
        <f>IF(D450="ISO",VALUE(LEFT(C450,4)),IF(D450="DMY",VALUE(RIGHT(C450,4)),0))</f>
        <v>2026</v>
      </c>
      <c r="F450" s="7">
        <f>IF(D450="ISO",VALUE(MID(C450,6,2)),IF(D450="DMY",VALUE(MID(C450,4,2)),0))</f>
        <v>2</v>
      </c>
      <c r="G450" s="7">
        <f>IF(D450="ISO",VALUE(RIGHT(C450,2)),IF(D450="DMY",VALUE(LEFT(C450,2)),0))</f>
        <v>16</v>
      </c>
      <c r="H450" s="7">
        <f>IF(AND(D450&lt;&gt;"OTHER",F450&gt;=1,F450&lt;=12,G450&gt;=1,G450&lt;=31),IF(AND(MONTH(DATE(E450,F450,G450))=F450,DAY(DATE(E450,F450,G450))=G450),1,0),0)</f>
        <v>1</v>
      </c>
      <c r="I450" s="7">
        <f>IF(H450=1,DATE(E450,F450,G450),"")</f>
        <v>46069.0</v>
      </c>
      <c r="J450" s="7">
        <f>IF(AND(D450="DMY",H450=1),1,0)</f>
        <v>0</v>
      </c>
      <c r="K450" s="7">
        <f>IF(H450=0,1,0)</f>
        <v>0</v>
      </c>
      <c r="L450" s="7">
        <f>IF(TRIM(Raw_Bookings!I450&amp;"")="",1,0)</f>
        <v>0</v>
      </c>
      <c r="M450" s="7">
        <f>IF(L450=1,"",DATEVALUE(LEFT(Raw_Bookings!I450,10))+TIMEVALUE(MID(Raw_Bookings!I450,12,8)))</f>
        <v>46059.33126157407</v>
      </c>
      <c r="N450" s="7">
        <f>IF(AND(L450=0,H450=1),IF(INT(M450)&gt;I450,1,0),0)</f>
        <v>0</v>
      </c>
      <c r="O450" s="7" t="str">
        <f>UPPER(TRIM(Raw_Bookings!F450))</f>
        <v>HYD</v>
      </c>
      <c r="P450" s="7" t="str">
        <f>UPPER(TRIM(Raw_Bookings!G450))</f>
        <v>KOL</v>
      </c>
      <c r="Q450" s="7">
        <f>IF(COUNTIF(Lookup_Stations!$A$2:$A$33,O450)&gt;0,1,0)</f>
        <v>1</v>
      </c>
      <c r="R450" s="7">
        <f>IF(COUNTIF(Lookup_Stations!$A$2:$A$33,P450)&gt;0,1,0)</f>
        <v>1</v>
      </c>
      <c r="S450" s="7">
        <f>IF(OR(AND(Q450=1,NOT(EXACT(Raw_Bookings!F450,O450))),AND(R450=1,NOT(EXACT(Raw_Bookings!G450,P450)))),1,0)</f>
        <v>0</v>
      </c>
      <c r="T450" s="7">
        <f>IF(OR(Q450=0,R450=0),1,0)</f>
        <v>0</v>
      </c>
      <c r="U450" s="7">
        <f>IF(TRIM(Raw_Bookings!E450&amp;"")="",1,0)</f>
        <v>0</v>
      </c>
      <c r="V450" s="7" t="str">
        <f>IF(SUMPRODUCT(--(Lookup_Status!$A$2:$A$13=LOWER(TRIM(Raw_Bookings!K450))))=0,"",INDEX(Lookup_Status!$B$2:$B$13,SUMPRODUCT((Lookup_Status!$A$2:$A$13=LOWER(TRIM(Raw_Bookings!K450)))*(ROW(Lookup_Status!$A$2:$A$13)-1))))</f>
        <v>Confirmed</v>
      </c>
      <c r="W450" s="7">
        <f>IF(AND(V450&lt;&gt;"",NOT(EXACT(Raw_Bookings!K450,V450))),1,0)</f>
        <v>0</v>
      </c>
      <c r="X450" s="7">
        <f>IF(V450="",1,0)</f>
        <v>0</v>
      </c>
      <c r="Y450" s="7">
        <f>IF(TRIM(Raw_Bookings!L450&amp;"")="",1,0)</f>
        <v>0</v>
      </c>
      <c r="Z450" s="7">
        <f>IF(AND(ISTEXT(Raw_Bookings!L450),Y450=0),1,0)</f>
        <v>0</v>
      </c>
      <c r="AA450" s="7">
        <f>IF(Z450=1,IFERROR(VALUE(SUBSTITUTE(SUBSTITUTE(SUBSTITUTE(SUBSTITUTE(SUBSTITUTE(UPPER(Raw_Bookings!L450),"RS.",""),"₹",""),",","")," ",""),"INR","")),""),"")</f>
        <v/>
      </c>
      <c r="AB450" s="7">
        <f>IF(AND(Z450=1,ISNUMBER(AA450)),1,0)</f>
        <v>0</v>
      </c>
      <c r="AC450" s="7">
        <f>IF(B450=1,0,IF(NOT(ISNUMBER(Raw_Bookings!J450)),1,IF(Raw_Bookings!J450&lt;&gt;COUNTIFS(Work_Passengers!$B$2:$B$1336,Raw_Bookings!A450,Work_Passengers!$C$2:$C$1336,0),1,0)))</f>
        <v>0</v>
      </c>
    </row>
    <row r="451" spans="1:29">
      <c r="A451" s="7">
        <f>Raw_Bookings!A451</f>
        <v>1148989</v>
      </c>
      <c r="B451" s="7">
        <f>IF(COUNTIF(Raw_Bookings!$A$2:A451,Raw_Bookings!A451)&gt;1,1,0)</f>
        <v>0</v>
      </c>
      <c r="C451" s="7" t="str">
        <f>Raw_Bookings!D451&amp;""</f>
        <v>2026-02-18</v>
      </c>
      <c r="D451" s="7" t="str">
        <f>IF(AND(LEN(C451)=10,MID(C451,5,1)="-",MID(C451,8,1)="-"),"ISO",IF(AND(LEN(C451)=10,MID(C451,3,1)="-",MID(C451,6,1)="-"),"DMY","OTHER"))</f>
        <v>ISO</v>
      </c>
      <c r="E451" s="7">
        <f>IF(D451="ISO",VALUE(LEFT(C451,4)),IF(D451="DMY",VALUE(RIGHT(C451,4)),0))</f>
        <v>2026</v>
      </c>
      <c r="F451" s="7">
        <f>IF(D451="ISO",VALUE(MID(C451,6,2)),IF(D451="DMY",VALUE(MID(C451,4,2)),0))</f>
        <v>2</v>
      </c>
      <c r="G451" s="7">
        <f>IF(D451="ISO",VALUE(RIGHT(C451,2)),IF(D451="DMY",VALUE(LEFT(C451,2)),0))</f>
        <v>18</v>
      </c>
      <c r="H451" s="7">
        <f>IF(AND(D451&lt;&gt;"OTHER",F451&gt;=1,F451&lt;=12,G451&gt;=1,G451&lt;=31),IF(AND(MONTH(DATE(E451,F451,G451))=F451,DAY(DATE(E451,F451,G451))=G451),1,0),0)</f>
        <v>1</v>
      </c>
      <c r="I451" s="7">
        <f>IF(H451=1,DATE(E451,F451,G451),"")</f>
        <v>46071.0</v>
      </c>
      <c r="J451" s="7">
        <f>IF(AND(D451="DMY",H451=1),1,0)</f>
        <v>0</v>
      </c>
      <c r="K451" s="7">
        <f>IF(H451=0,1,0)</f>
        <v>0</v>
      </c>
      <c r="L451" s="7">
        <f>IF(TRIM(Raw_Bookings!I451&amp;"")="",1,0)</f>
        <v>0</v>
      </c>
      <c r="M451" s="7">
        <f>IF(L451=1,"",DATEVALUE(LEFT(Raw_Bookings!I451,10))+TIMEVALUE(MID(Raw_Bookings!I451,12,8)))</f>
        <v>46059.516168981485</v>
      </c>
      <c r="N451" s="7">
        <f>IF(AND(L451=0,H451=1),IF(INT(M451)&gt;I451,1,0),0)</f>
        <v>0</v>
      </c>
      <c r="O451" s="7" t="str">
        <f>UPPER(TRIM(Raw_Bookings!F451))</f>
        <v>MAU</v>
      </c>
      <c r="P451" s="7" t="str">
        <f>UPPER(TRIM(Raw_Bookings!G451))</f>
        <v>DEL</v>
      </c>
      <c r="Q451" s="7">
        <f>IF(COUNTIF(Lookup_Stations!$A$2:$A$33,O451)&gt;0,1,0)</f>
        <v>1</v>
      </c>
      <c r="R451" s="7">
        <f>IF(COUNTIF(Lookup_Stations!$A$2:$A$33,P451)&gt;0,1,0)</f>
        <v>1</v>
      </c>
      <c r="S451" s="7">
        <f>IF(OR(AND(Q451=1,NOT(EXACT(Raw_Bookings!F451,O451))),AND(R451=1,NOT(EXACT(Raw_Bookings!G451,P451)))),1,0)</f>
        <v>0</v>
      </c>
      <c r="T451" s="7">
        <f>IF(OR(Q451=0,R451=0),1,0)</f>
        <v>0</v>
      </c>
      <c r="U451" s="7">
        <f>IF(TRIM(Raw_Bookings!E451&amp;"")="",1,0)</f>
        <v>0</v>
      </c>
      <c r="V451" s="7" t="str">
        <f>IF(SUMPRODUCT(--(Lookup_Status!$A$2:$A$13=LOWER(TRIM(Raw_Bookings!K451))))=0,"",INDEX(Lookup_Status!$B$2:$B$13,SUMPRODUCT((Lookup_Status!$A$2:$A$13=LOWER(TRIM(Raw_Bookings!K451)))*(ROW(Lookup_Status!$A$2:$A$13)-1))))</f>
        <v>Confirmed</v>
      </c>
      <c r="W451" s="7">
        <f>IF(AND(V451&lt;&gt;"",NOT(EXACT(Raw_Bookings!K451,V451))),1,0)</f>
        <v>0</v>
      </c>
      <c r="X451" s="7">
        <f>IF(V451="",1,0)</f>
        <v>0</v>
      </c>
      <c r="Y451" s="7">
        <f>IF(TRIM(Raw_Bookings!L451&amp;"")="",1,0)</f>
        <v>0</v>
      </c>
      <c r="Z451" s="7">
        <f>IF(AND(ISTEXT(Raw_Bookings!L451),Y451=0),1,0)</f>
        <v>0</v>
      </c>
      <c r="AA451" s="7">
        <f>IF(Z451=1,IFERROR(VALUE(SUBSTITUTE(SUBSTITUTE(SUBSTITUTE(SUBSTITUTE(SUBSTITUTE(UPPER(Raw_Bookings!L451),"RS.",""),"₹",""),",","")," ",""),"INR","")),""),"")</f>
        <v/>
      </c>
      <c r="AB451" s="7">
        <f>IF(AND(Z451=1,ISNUMBER(AA451)),1,0)</f>
        <v>0</v>
      </c>
      <c r="AC451" s="7">
        <f>IF(B451=1,0,IF(NOT(ISNUMBER(Raw_Bookings!J451)),1,IF(Raw_Bookings!J451&lt;&gt;COUNTIFS(Work_Passengers!$B$2:$B$1336,Raw_Bookings!A451,Work_Passengers!$C$2:$C$1336,0),1,0)))</f>
        <v>0</v>
      </c>
    </row>
    <row r="452" spans="1:29">
      <c r="A452" s="7">
        <f>Raw_Bookings!A452</f>
        <v>1149512</v>
      </c>
      <c r="B452" s="7">
        <f>IF(COUNTIF(Raw_Bookings!$A$2:A452,Raw_Bookings!A452)&gt;1,1,0)</f>
        <v>0</v>
      </c>
      <c r="C452" s="7" t="str">
        <f>Raw_Bookings!D452&amp;""</f>
        <v>2026-02-18</v>
      </c>
      <c r="D452" s="7" t="str">
        <f>IF(AND(LEN(C452)=10,MID(C452,5,1)="-",MID(C452,8,1)="-"),"ISO",IF(AND(LEN(C452)=10,MID(C452,3,1)="-",MID(C452,6,1)="-"),"DMY","OTHER"))</f>
        <v>ISO</v>
      </c>
      <c r="E452" s="7">
        <f>IF(D452="ISO",VALUE(LEFT(C452,4)),IF(D452="DMY",VALUE(RIGHT(C452,4)),0))</f>
        <v>2026</v>
      </c>
      <c r="F452" s="7">
        <f>IF(D452="ISO",VALUE(MID(C452,6,2)),IF(D452="DMY",VALUE(MID(C452,4,2)),0))</f>
        <v>2</v>
      </c>
      <c r="G452" s="7">
        <f>IF(D452="ISO",VALUE(RIGHT(C452,2)),IF(D452="DMY",VALUE(LEFT(C452,2)),0))</f>
        <v>18</v>
      </c>
      <c r="H452" s="7">
        <f>IF(AND(D452&lt;&gt;"OTHER",F452&gt;=1,F452&lt;=12,G452&gt;=1,G452&lt;=31),IF(AND(MONTH(DATE(E452,F452,G452))=F452,DAY(DATE(E452,F452,G452))=G452),1,0),0)</f>
        <v>1</v>
      </c>
      <c r="I452" s="7">
        <f>IF(H452=1,DATE(E452,F452,G452),"")</f>
        <v>46071.0</v>
      </c>
      <c r="J452" s="7">
        <f>IF(AND(D452="DMY",H452=1),1,0)</f>
        <v>0</v>
      </c>
      <c r="K452" s="7">
        <f>IF(H452=0,1,0)</f>
        <v>0</v>
      </c>
      <c r="L452" s="7">
        <f>IF(TRIM(Raw_Bookings!I452&amp;"")="",1,0)</f>
        <v>0</v>
      </c>
      <c r="M452" s="7">
        <f>IF(L452=1,"",DATEVALUE(LEFT(Raw_Bookings!I452,10))+TIMEVALUE(MID(Raw_Bookings!I452,12,8)))</f>
        <v>46060.83615740741</v>
      </c>
      <c r="N452" s="7">
        <f>IF(AND(L452=0,H452=1),IF(INT(M452)&gt;I452,1,0),0)</f>
        <v>0</v>
      </c>
      <c r="O452" s="7" t="str">
        <f>UPPER(TRIM(Raw_Bookings!F452))</f>
        <v>MAU</v>
      </c>
      <c r="P452" s="7" t="str">
        <f>UPPER(TRIM(Raw_Bookings!G452))</f>
        <v>DEL</v>
      </c>
      <c r="Q452" s="7">
        <f>IF(COUNTIF(Lookup_Stations!$A$2:$A$33,O452)&gt;0,1,0)</f>
        <v>1</v>
      </c>
      <c r="R452" s="7">
        <f>IF(COUNTIF(Lookup_Stations!$A$2:$A$33,P452)&gt;0,1,0)</f>
        <v>1</v>
      </c>
      <c r="S452" s="7">
        <f>IF(OR(AND(Q452=1,NOT(EXACT(Raw_Bookings!F452,O452))),AND(R452=1,NOT(EXACT(Raw_Bookings!G452,P452)))),1,0)</f>
        <v>0</v>
      </c>
      <c r="T452" s="7">
        <f>IF(OR(Q452=0,R452=0),1,0)</f>
        <v>0</v>
      </c>
      <c r="U452" s="7">
        <f>IF(TRIM(Raw_Bookings!E452&amp;"")="",1,0)</f>
        <v>0</v>
      </c>
      <c r="V452" s="7" t="str">
        <f>IF(SUMPRODUCT(--(Lookup_Status!$A$2:$A$13=LOWER(TRIM(Raw_Bookings!K452))))=0,"",INDEX(Lookup_Status!$B$2:$B$13,SUMPRODUCT((Lookup_Status!$A$2:$A$13=LOWER(TRIM(Raw_Bookings!K452)))*(ROW(Lookup_Status!$A$2:$A$13)-1))))</f>
        <v>Confirmed</v>
      </c>
      <c r="W452" s="7">
        <f>IF(AND(V452&lt;&gt;"",NOT(EXACT(Raw_Bookings!K452,V452))),1,0)</f>
        <v>0</v>
      </c>
      <c r="X452" s="7">
        <f>IF(V452="",1,0)</f>
        <v>0</v>
      </c>
      <c r="Y452" s="7">
        <f>IF(TRIM(Raw_Bookings!L452&amp;"")="",1,0)</f>
        <v>0</v>
      </c>
      <c r="Z452" s="7">
        <f>IF(AND(ISTEXT(Raw_Bookings!L452),Y452=0),1,0)</f>
        <v>0</v>
      </c>
      <c r="AA452" s="7">
        <f>IF(Z452=1,IFERROR(VALUE(SUBSTITUTE(SUBSTITUTE(SUBSTITUTE(SUBSTITUTE(SUBSTITUTE(UPPER(Raw_Bookings!L452),"RS.",""),"₹",""),",","")," ",""),"INR","")),""),"")</f>
        <v/>
      </c>
      <c r="AB452" s="7">
        <f>IF(AND(Z452=1,ISNUMBER(AA452)),1,0)</f>
        <v>0</v>
      </c>
      <c r="AC452" s="7">
        <f>IF(B452=1,0,IF(NOT(ISNUMBER(Raw_Bookings!J452)),1,IF(Raw_Bookings!J452&lt;&gt;COUNTIFS(Work_Passengers!$B$2:$B$1336,Raw_Bookings!A452,Work_Passengers!$C$2:$C$1336,0),1,0)))</f>
        <v>0</v>
      </c>
    </row>
    <row r="453" spans="1:29">
      <c r="A453" s="7">
        <f>Raw_Bookings!A453</f>
        <v>1149632</v>
      </c>
      <c r="B453" s="7">
        <f>IF(COUNTIF(Raw_Bookings!$A$2:A453,Raw_Bookings!A453)&gt;1,1,0)</f>
        <v>0</v>
      </c>
      <c r="C453" s="7" t="str">
        <f>Raw_Bookings!D453&amp;""</f>
        <v>2026-02-12</v>
      </c>
      <c r="D453" s="7" t="str">
        <f>IF(AND(LEN(C453)=10,MID(C453,5,1)="-",MID(C453,8,1)="-"),"ISO",IF(AND(LEN(C453)=10,MID(C453,3,1)="-",MID(C453,6,1)="-"),"DMY","OTHER"))</f>
        <v>ISO</v>
      </c>
      <c r="E453" s="7">
        <f>IF(D453="ISO",VALUE(LEFT(C453,4)),IF(D453="DMY",VALUE(RIGHT(C453,4)),0))</f>
        <v>2026</v>
      </c>
      <c r="F453" s="7">
        <f>IF(D453="ISO",VALUE(MID(C453,6,2)),IF(D453="DMY",VALUE(MID(C453,4,2)),0))</f>
        <v>2</v>
      </c>
      <c r="G453" s="7">
        <f>IF(D453="ISO",VALUE(RIGHT(C453,2)),IF(D453="DMY",VALUE(LEFT(C453,2)),0))</f>
        <v>12</v>
      </c>
      <c r="H453" s="7">
        <f>IF(AND(D453&lt;&gt;"OTHER",F453&gt;=1,F453&lt;=12,G453&gt;=1,G453&lt;=31),IF(AND(MONTH(DATE(E453,F453,G453))=F453,DAY(DATE(E453,F453,G453))=G453),1,0),0)</f>
        <v>1</v>
      </c>
      <c r="I453" s="7">
        <f>IF(H453=1,DATE(E453,F453,G453),"")</f>
        <v>46065.0</v>
      </c>
      <c r="J453" s="7">
        <f>IF(AND(D453="DMY",H453=1),1,0)</f>
        <v>0</v>
      </c>
      <c r="K453" s="7">
        <f>IF(H453=0,1,0)</f>
        <v>0</v>
      </c>
      <c r="L453" s="7">
        <f>IF(TRIM(Raw_Bookings!I453&amp;"")="",1,0)</f>
        <v>0</v>
      </c>
      <c r="M453" s="7">
        <f>IF(L453=1,"",DATEVALUE(LEFT(Raw_Bookings!I453,10))+TIMEVALUE(MID(Raw_Bookings!I453,12,8)))</f>
        <v>46061.320914351854</v>
      </c>
      <c r="N453" s="7">
        <f>IF(AND(L453=0,H453=1),IF(INT(M453)&gt;I453,1,0),0)</f>
        <v>0</v>
      </c>
      <c r="O453" s="7" t="str">
        <f>UPPER(TRIM(Raw_Bookings!F453))</f>
        <v>VIJ</v>
      </c>
      <c r="P453" s="7" t="str">
        <f>UPPER(TRIM(Raw_Bookings!G453))</f>
        <v>PAT</v>
      </c>
      <c r="Q453" s="7">
        <f>IF(COUNTIF(Lookup_Stations!$A$2:$A$33,O453)&gt;0,1,0)</f>
        <v>1</v>
      </c>
      <c r="R453" s="7">
        <f>IF(COUNTIF(Lookup_Stations!$A$2:$A$33,P453)&gt;0,1,0)</f>
        <v>1</v>
      </c>
      <c r="S453" s="7">
        <f>IF(OR(AND(Q453=1,NOT(EXACT(Raw_Bookings!F453,O453))),AND(R453=1,NOT(EXACT(Raw_Bookings!G453,P453)))),1,0)</f>
        <v>0</v>
      </c>
      <c r="T453" s="7">
        <f>IF(OR(Q453=0,R453=0),1,0)</f>
        <v>0</v>
      </c>
      <c r="U453" s="7">
        <f>IF(TRIM(Raw_Bookings!E453&amp;"")="",1,0)</f>
        <v>0</v>
      </c>
      <c r="V453" s="7" t="str">
        <f>IF(SUMPRODUCT(--(Lookup_Status!$A$2:$A$13=LOWER(TRIM(Raw_Bookings!K453))))=0,"",INDEX(Lookup_Status!$B$2:$B$13,SUMPRODUCT((Lookup_Status!$A$2:$A$13=LOWER(TRIM(Raw_Bookings!K453)))*(ROW(Lookup_Status!$A$2:$A$13)-1))))</f>
        <v>Waitlisted</v>
      </c>
      <c r="W453" s="7">
        <f>IF(AND(V453&lt;&gt;"",NOT(EXACT(Raw_Bookings!K453,V453))),1,0)</f>
        <v>0</v>
      </c>
      <c r="X453" s="7">
        <f>IF(V453="",1,0)</f>
        <v>0</v>
      </c>
      <c r="Y453" s="7">
        <f>IF(TRIM(Raw_Bookings!L453&amp;"")="",1,0)</f>
        <v>0</v>
      </c>
      <c r="Z453" s="7">
        <f>IF(AND(ISTEXT(Raw_Bookings!L453),Y453=0),1,0)</f>
        <v>0</v>
      </c>
      <c r="AA453" s="7">
        <f>IF(Z453=1,IFERROR(VALUE(SUBSTITUTE(SUBSTITUTE(SUBSTITUTE(SUBSTITUTE(SUBSTITUTE(UPPER(Raw_Bookings!L453),"RS.",""),"₹",""),",","")," ",""),"INR","")),""),"")</f>
        <v/>
      </c>
      <c r="AB453" s="7">
        <f>IF(AND(Z453=1,ISNUMBER(AA453)),1,0)</f>
        <v>0</v>
      </c>
      <c r="AC453" s="7">
        <f>IF(B453=1,0,IF(NOT(ISNUMBER(Raw_Bookings!J453)),1,IF(Raw_Bookings!J453&lt;&gt;COUNTIFS(Work_Passengers!$B$2:$B$1336,Raw_Bookings!A453,Work_Passengers!$C$2:$C$1336,0),1,0)))</f>
        <v>0</v>
      </c>
    </row>
    <row r="454" spans="1:29">
      <c r="A454" s="7">
        <f>Raw_Bookings!A454</f>
        <v>1150654</v>
      </c>
      <c r="B454" s="7">
        <f>IF(COUNTIF(Raw_Bookings!$A$2:A454,Raw_Bookings!A454)&gt;1,1,0)</f>
        <v>0</v>
      </c>
      <c r="C454" s="7" t="str">
        <f>Raw_Bookings!D454&amp;""</f>
        <v>2026-03-06</v>
      </c>
      <c r="D454" s="7" t="str">
        <f>IF(AND(LEN(C454)=10,MID(C454,5,1)="-",MID(C454,8,1)="-"),"ISO",IF(AND(LEN(C454)=10,MID(C454,3,1)="-",MID(C454,6,1)="-"),"DMY","OTHER"))</f>
        <v>ISO</v>
      </c>
      <c r="E454" s="7">
        <f>IF(D454="ISO",VALUE(LEFT(C454,4)),IF(D454="DMY",VALUE(RIGHT(C454,4)),0))</f>
        <v>2026</v>
      </c>
      <c r="F454" s="7">
        <f>IF(D454="ISO",VALUE(MID(C454,6,2)),IF(D454="DMY",VALUE(MID(C454,4,2)),0))</f>
        <v>3</v>
      </c>
      <c r="G454" s="7">
        <f>IF(D454="ISO",VALUE(RIGHT(C454,2)),IF(D454="DMY",VALUE(LEFT(C454,2)),0))</f>
        <v>6</v>
      </c>
      <c r="H454" s="7">
        <f>IF(AND(D454&lt;&gt;"OTHER",F454&gt;=1,F454&lt;=12,G454&gt;=1,G454&lt;=31),IF(AND(MONTH(DATE(E454,F454,G454))=F454,DAY(DATE(E454,F454,G454))=G454),1,0),0)</f>
        <v>1</v>
      </c>
      <c r="I454" s="7">
        <f>IF(H454=1,DATE(E454,F454,G454),"")</f>
        <v>46087.0</v>
      </c>
      <c r="J454" s="7">
        <f>IF(AND(D454="DMY",H454=1),1,0)</f>
        <v>0</v>
      </c>
      <c r="K454" s="7">
        <f>IF(H454=0,1,0)</f>
        <v>0</v>
      </c>
      <c r="L454" s="7">
        <f>IF(TRIM(Raw_Bookings!I454&amp;"")="",1,0)</f>
        <v>0</v>
      </c>
      <c r="M454" s="7">
        <f>IF(L454=1,"",DATEVALUE(LEFT(Raw_Bookings!I454,10))+TIMEVALUE(MID(Raw_Bookings!I454,12,8)))</f>
        <v>46063.95239583333</v>
      </c>
      <c r="N454" s="7">
        <f>IF(AND(L454=0,H454=1),IF(INT(M454)&gt;I454,1,0),0)</f>
        <v>0</v>
      </c>
      <c r="O454" s="7" t="str">
        <f>UPPER(TRIM(Raw_Bookings!F454))</f>
        <v>JAI</v>
      </c>
      <c r="P454" s="7" t="str">
        <f>UPPER(TRIM(Raw_Bookings!G454))</f>
        <v>BHO</v>
      </c>
      <c r="Q454" s="7">
        <f>IF(COUNTIF(Lookup_Stations!$A$2:$A$33,O454)&gt;0,1,0)</f>
        <v>1</v>
      </c>
      <c r="R454" s="7">
        <f>IF(COUNTIF(Lookup_Stations!$A$2:$A$33,P454)&gt;0,1,0)</f>
        <v>1</v>
      </c>
      <c r="S454" s="7">
        <f>IF(OR(AND(Q454=1,NOT(EXACT(Raw_Bookings!F454,O454))),AND(R454=1,NOT(EXACT(Raw_Bookings!G454,P454)))),1,0)</f>
        <v>0</v>
      </c>
      <c r="T454" s="7">
        <f>IF(OR(Q454=0,R454=0),1,0)</f>
        <v>0</v>
      </c>
      <c r="U454" s="7">
        <f>IF(TRIM(Raw_Bookings!E454&amp;"")="",1,0)</f>
        <v>0</v>
      </c>
      <c r="V454" s="7" t="str">
        <f>IF(SUMPRODUCT(--(Lookup_Status!$A$2:$A$13=LOWER(TRIM(Raw_Bookings!K454))))=0,"",INDEX(Lookup_Status!$B$2:$B$13,SUMPRODUCT((Lookup_Status!$A$2:$A$13=LOWER(TRIM(Raw_Bookings!K454)))*(ROW(Lookup_Status!$A$2:$A$13)-1))))</f>
        <v>Cancelled</v>
      </c>
      <c r="W454" s="7">
        <f>IF(AND(V454&lt;&gt;"",NOT(EXACT(Raw_Bookings!K454,V454))),1,0)</f>
        <v>0</v>
      </c>
      <c r="X454" s="7">
        <f>IF(V454="",1,0)</f>
        <v>0</v>
      </c>
      <c r="Y454" s="7">
        <f>IF(TRIM(Raw_Bookings!L454&amp;"")="",1,0)</f>
        <v>0</v>
      </c>
      <c r="Z454" s="7">
        <f>IF(AND(ISTEXT(Raw_Bookings!L454),Y454=0),1,0)</f>
        <v>0</v>
      </c>
      <c r="AA454" s="7">
        <f>IF(Z454=1,IFERROR(VALUE(SUBSTITUTE(SUBSTITUTE(SUBSTITUTE(SUBSTITUTE(SUBSTITUTE(UPPER(Raw_Bookings!L454),"RS.",""),"₹",""),",","")," ",""),"INR","")),""),"")</f>
        <v/>
      </c>
      <c r="AB454" s="7">
        <f>IF(AND(Z454=1,ISNUMBER(AA454)),1,0)</f>
        <v>0</v>
      </c>
      <c r="AC454" s="7">
        <f>IF(B454=1,0,IF(NOT(ISNUMBER(Raw_Bookings!J454)),1,IF(Raw_Bookings!J454&lt;&gt;COUNTIFS(Work_Passengers!$B$2:$B$1336,Raw_Bookings!A454,Work_Passengers!$C$2:$C$1336,0),1,0)))</f>
        <v>0</v>
      </c>
    </row>
    <row r="455" spans="1:29">
      <c r="A455" s="7">
        <f>Raw_Bookings!A455</f>
        <v>1150852</v>
      </c>
      <c r="B455" s="7">
        <f>IF(COUNTIF(Raw_Bookings!$A$2:A455,Raw_Bookings!A455)&gt;1,1,0)</f>
        <v>0</v>
      </c>
      <c r="C455" s="7" t="str">
        <f>Raw_Bookings!D455&amp;""</f>
        <v>2026-03-04</v>
      </c>
      <c r="D455" s="7" t="str">
        <f>IF(AND(LEN(C455)=10,MID(C455,5,1)="-",MID(C455,8,1)="-"),"ISO",IF(AND(LEN(C455)=10,MID(C455,3,1)="-",MID(C455,6,1)="-"),"DMY","OTHER"))</f>
        <v>ISO</v>
      </c>
      <c r="E455" s="7">
        <f>IF(D455="ISO",VALUE(LEFT(C455,4)),IF(D455="DMY",VALUE(RIGHT(C455,4)),0))</f>
        <v>2026</v>
      </c>
      <c r="F455" s="7">
        <f>IF(D455="ISO",VALUE(MID(C455,6,2)),IF(D455="DMY",VALUE(MID(C455,4,2)),0))</f>
        <v>3</v>
      </c>
      <c r="G455" s="7">
        <f>IF(D455="ISO",VALUE(RIGHT(C455,2)),IF(D455="DMY",VALUE(LEFT(C455,2)),0))</f>
        <v>4</v>
      </c>
      <c r="H455" s="7">
        <f>IF(AND(D455&lt;&gt;"OTHER",F455&gt;=1,F455&lt;=12,G455&gt;=1,G455&lt;=31),IF(AND(MONTH(DATE(E455,F455,G455))=F455,DAY(DATE(E455,F455,G455))=G455),1,0),0)</f>
        <v>1</v>
      </c>
      <c r="I455" s="7">
        <f>IF(H455=1,DATE(E455,F455,G455),"")</f>
        <v>46085.0</v>
      </c>
      <c r="J455" s="7">
        <f>IF(AND(D455="DMY",H455=1),1,0)</f>
        <v>0</v>
      </c>
      <c r="K455" s="7">
        <f>IF(H455=0,1,0)</f>
        <v>0</v>
      </c>
      <c r="L455" s="7">
        <f>IF(TRIM(Raw_Bookings!I455&amp;"")="",1,0)</f>
        <v>0</v>
      </c>
      <c r="M455" s="7">
        <f>IF(L455=1,"",DATEVALUE(LEFT(Raw_Bookings!I455,10))+TIMEVALUE(MID(Raw_Bookings!I455,12,8)))</f>
        <v>46064.711180555554</v>
      </c>
      <c r="N455" s="7">
        <f>IF(AND(L455=0,H455=1),IF(INT(M455)&gt;I455,1,0),0)</f>
        <v>0</v>
      </c>
      <c r="O455" s="7" t="str">
        <f>UPPER(TRIM(Raw_Bookings!F455))</f>
        <v>AHM</v>
      </c>
      <c r="P455" s="7" t="str">
        <f>UPPER(TRIM(Raw_Bookings!G455))</f>
        <v>VAR</v>
      </c>
      <c r="Q455" s="7">
        <f>IF(COUNTIF(Lookup_Stations!$A$2:$A$33,O455)&gt;0,1,0)</f>
        <v>1</v>
      </c>
      <c r="R455" s="7">
        <f>IF(COUNTIF(Lookup_Stations!$A$2:$A$33,P455)&gt;0,1,0)</f>
        <v>1</v>
      </c>
      <c r="S455" s="7">
        <f>IF(OR(AND(Q455=1,NOT(EXACT(Raw_Bookings!F455,O455))),AND(R455=1,NOT(EXACT(Raw_Bookings!G455,P455)))),1,0)</f>
        <v>0</v>
      </c>
      <c r="T455" s="7">
        <f>IF(OR(Q455=0,R455=0),1,0)</f>
        <v>0</v>
      </c>
      <c r="U455" s="7">
        <f>IF(TRIM(Raw_Bookings!E455&amp;"")="",1,0)</f>
        <v>0</v>
      </c>
      <c r="V455" s="7" t="str">
        <f>IF(SUMPRODUCT(--(Lookup_Status!$A$2:$A$13=LOWER(TRIM(Raw_Bookings!K455))))=0,"",INDEX(Lookup_Status!$B$2:$B$13,SUMPRODUCT((Lookup_Status!$A$2:$A$13=LOWER(TRIM(Raw_Bookings!K455)))*(ROW(Lookup_Status!$A$2:$A$13)-1))))</f>
        <v>Cancelled</v>
      </c>
      <c r="W455" s="7">
        <f>IF(AND(V455&lt;&gt;"",NOT(EXACT(Raw_Bookings!K455,V455))),1,0)</f>
        <v>0</v>
      </c>
      <c r="X455" s="7">
        <f>IF(V455="",1,0)</f>
        <v>0</v>
      </c>
      <c r="Y455" s="7">
        <f>IF(TRIM(Raw_Bookings!L455&amp;"")="",1,0)</f>
        <v>0</v>
      </c>
      <c r="Z455" s="7">
        <f>IF(AND(ISTEXT(Raw_Bookings!L455),Y455=0),1,0)</f>
        <v>0</v>
      </c>
      <c r="AA455" s="7">
        <f>IF(Z455=1,IFERROR(VALUE(SUBSTITUTE(SUBSTITUTE(SUBSTITUTE(SUBSTITUTE(SUBSTITUTE(UPPER(Raw_Bookings!L455),"RS.",""),"₹",""),",","")," ",""),"INR","")),""),"")</f>
        <v/>
      </c>
      <c r="AB455" s="7">
        <f>IF(AND(Z455=1,ISNUMBER(AA455)),1,0)</f>
        <v>0</v>
      </c>
      <c r="AC455" s="7">
        <f>IF(B455=1,0,IF(NOT(ISNUMBER(Raw_Bookings!J455)),1,IF(Raw_Bookings!J455&lt;&gt;COUNTIFS(Work_Passengers!$B$2:$B$1336,Raw_Bookings!A455,Work_Passengers!$C$2:$C$1336,0),1,0)))</f>
        <v>0</v>
      </c>
    </row>
    <row r="456" spans="1:29">
      <c r="A456" s="7">
        <f>Raw_Bookings!A456</f>
        <v>1151385</v>
      </c>
      <c r="B456" s="7">
        <f>IF(COUNTIF(Raw_Bookings!$A$2:A456,Raw_Bookings!A456)&gt;1,1,0)</f>
        <v>0</v>
      </c>
      <c r="C456" s="7" t="str">
        <f>Raw_Bookings!D456&amp;""</f>
        <v>2026-04-05</v>
      </c>
      <c r="D456" s="7" t="str">
        <f>IF(AND(LEN(C456)=10,MID(C456,5,1)="-",MID(C456,8,1)="-"),"ISO",IF(AND(LEN(C456)=10,MID(C456,3,1)="-",MID(C456,6,1)="-"),"DMY","OTHER"))</f>
        <v>ISO</v>
      </c>
      <c r="E456" s="7">
        <f>IF(D456="ISO",VALUE(LEFT(C456,4)),IF(D456="DMY",VALUE(RIGHT(C456,4)),0))</f>
        <v>2026</v>
      </c>
      <c r="F456" s="7">
        <f>IF(D456="ISO",VALUE(MID(C456,6,2)),IF(D456="DMY",VALUE(MID(C456,4,2)),0))</f>
        <v>4</v>
      </c>
      <c r="G456" s="7">
        <f>IF(D456="ISO",VALUE(RIGHT(C456,2)),IF(D456="DMY",VALUE(LEFT(C456,2)),0))</f>
        <v>5</v>
      </c>
      <c r="H456" s="7">
        <f>IF(AND(D456&lt;&gt;"OTHER",F456&gt;=1,F456&lt;=12,G456&gt;=1,G456&lt;=31),IF(AND(MONTH(DATE(E456,F456,G456))=F456,DAY(DATE(E456,F456,G456))=G456),1,0),0)</f>
        <v>1</v>
      </c>
      <c r="I456" s="7">
        <f>IF(H456=1,DATE(E456,F456,G456),"")</f>
        <v>46117.0</v>
      </c>
      <c r="J456" s="7">
        <f>IF(AND(D456="DMY",H456=1),1,0)</f>
        <v>0</v>
      </c>
      <c r="K456" s="7">
        <f>IF(H456=0,1,0)</f>
        <v>0</v>
      </c>
      <c r="L456" s="7">
        <f>IF(TRIM(Raw_Bookings!I456&amp;"")="",1,0)</f>
        <v>0</v>
      </c>
      <c r="M456" s="7">
        <f>IF(L456=1,"",DATEVALUE(LEFT(Raw_Bookings!I456,10))+TIMEVALUE(MID(Raw_Bookings!I456,12,8)))</f>
        <v>46066.315405092595</v>
      </c>
      <c r="N456" s="7">
        <f>IF(AND(L456=0,H456=1),IF(INT(M456)&gt;I456,1,0),0)</f>
        <v>0</v>
      </c>
      <c r="O456" s="7" t="str">
        <f>UPPER(TRIM(Raw_Bookings!F456))</f>
        <v>KOL</v>
      </c>
      <c r="P456" s="7" t="str">
        <f>UPPER(TRIM(Raw_Bookings!G456))</f>
        <v>HYD</v>
      </c>
      <c r="Q456" s="7">
        <f>IF(COUNTIF(Lookup_Stations!$A$2:$A$33,O456)&gt;0,1,0)</f>
        <v>1</v>
      </c>
      <c r="R456" s="7">
        <f>IF(COUNTIF(Lookup_Stations!$A$2:$A$33,P456)&gt;0,1,0)</f>
        <v>1</v>
      </c>
      <c r="S456" s="7">
        <f>IF(OR(AND(Q456=1,NOT(EXACT(Raw_Bookings!F456,O456))),AND(R456=1,NOT(EXACT(Raw_Bookings!G456,P456)))),1,0)</f>
        <v>0</v>
      </c>
      <c r="T456" s="7">
        <f>IF(OR(Q456=0,R456=0),1,0)</f>
        <v>0</v>
      </c>
      <c r="U456" s="7">
        <f>IF(TRIM(Raw_Bookings!E456&amp;"")="",1,0)</f>
        <v>0</v>
      </c>
      <c r="V456" s="7" t="str">
        <f>IF(SUMPRODUCT(--(Lookup_Status!$A$2:$A$13=LOWER(TRIM(Raw_Bookings!K456))))=0,"",INDEX(Lookup_Status!$B$2:$B$13,SUMPRODUCT((Lookup_Status!$A$2:$A$13=LOWER(TRIM(Raw_Bookings!K456)))*(ROW(Lookup_Status!$A$2:$A$13)-1))))</f>
        <v>Confirmed</v>
      </c>
      <c r="W456" s="7">
        <f>IF(AND(V456&lt;&gt;"",NOT(EXACT(Raw_Bookings!K456,V456))),1,0)</f>
        <v>0</v>
      </c>
      <c r="X456" s="7">
        <f>IF(V456="",1,0)</f>
        <v>0</v>
      </c>
      <c r="Y456" s="7">
        <f>IF(TRIM(Raw_Bookings!L456&amp;"")="",1,0)</f>
        <v>0</v>
      </c>
      <c r="Z456" s="7">
        <f>IF(AND(ISTEXT(Raw_Bookings!L456),Y456=0),1,0)</f>
        <v>0</v>
      </c>
      <c r="AA456" s="7">
        <f>IF(Z456=1,IFERROR(VALUE(SUBSTITUTE(SUBSTITUTE(SUBSTITUTE(SUBSTITUTE(SUBSTITUTE(UPPER(Raw_Bookings!L456),"RS.",""),"₹",""),",","")," ",""),"INR","")),""),"")</f>
        <v/>
      </c>
      <c r="AB456" s="7">
        <f>IF(AND(Z456=1,ISNUMBER(AA456)),1,0)</f>
        <v>0</v>
      </c>
      <c r="AC456" s="7">
        <f>IF(B456=1,0,IF(NOT(ISNUMBER(Raw_Bookings!J456)),1,IF(Raw_Bookings!J456&lt;&gt;COUNTIFS(Work_Passengers!$B$2:$B$1336,Raw_Bookings!A456,Work_Passengers!$C$2:$C$1336,0),1,0)))</f>
        <v>0</v>
      </c>
    </row>
    <row r="457" spans="1:29">
      <c r="A457" s="7">
        <f>Raw_Bookings!A457</f>
        <v>1151709</v>
      </c>
      <c r="B457" s="7">
        <f>IF(COUNTIF(Raw_Bookings!$A$2:A457,Raw_Bookings!A457)&gt;1,1,0)</f>
        <v>0</v>
      </c>
      <c r="C457" s="7" t="str">
        <f>Raw_Bookings!D457&amp;""</f>
        <v>2026-03-02</v>
      </c>
      <c r="D457" s="7" t="str">
        <f>IF(AND(LEN(C457)=10,MID(C457,5,1)="-",MID(C457,8,1)="-"),"ISO",IF(AND(LEN(C457)=10,MID(C457,3,1)="-",MID(C457,6,1)="-"),"DMY","OTHER"))</f>
        <v>ISO</v>
      </c>
      <c r="E457" s="7">
        <f>IF(D457="ISO",VALUE(LEFT(C457,4)),IF(D457="DMY",VALUE(RIGHT(C457,4)),0))</f>
        <v>2026</v>
      </c>
      <c r="F457" s="7">
        <f>IF(D457="ISO",VALUE(MID(C457,6,2)),IF(D457="DMY",VALUE(MID(C457,4,2)),0))</f>
        <v>3</v>
      </c>
      <c r="G457" s="7">
        <f>IF(D457="ISO",VALUE(RIGHT(C457,2)),IF(D457="DMY",VALUE(LEFT(C457,2)),0))</f>
        <v>2</v>
      </c>
      <c r="H457" s="7">
        <f>IF(AND(D457&lt;&gt;"OTHER",F457&gt;=1,F457&lt;=12,G457&gt;=1,G457&lt;=31),IF(AND(MONTH(DATE(E457,F457,G457))=F457,DAY(DATE(E457,F457,G457))=G457),1,0),0)</f>
        <v>1</v>
      </c>
      <c r="I457" s="7">
        <f>IF(H457=1,DATE(E457,F457,G457),"")</f>
        <v>46083.0</v>
      </c>
      <c r="J457" s="7">
        <f>IF(AND(D457="DMY",H457=1),1,0)</f>
        <v>0</v>
      </c>
      <c r="K457" s="7">
        <f>IF(H457=0,1,0)</f>
        <v>0</v>
      </c>
      <c r="L457" s="7">
        <f>IF(TRIM(Raw_Bookings!I457&amp;"")="",1,0)</f>
        <v>0</v>
      </c>
      <c r="M457" s="7">
        <f>IF(L457=1,"",DATEVALUE(LEFT(Raw_Bookings!I457,10))+TIMEVALUE(MID(Raw_Bookings!I457,12,8)))</f>
        <v>46067.33435185185</v>
      </c>
      <c r="N457" s="7">
        <f>IF(AND(L457=0,H457=1),IF(INT(M457)&gt;I457,1,0),0)</f>
        <v>0</v>
      </c>
      <c r="O457" s="7" t="str">
        <f>UPPER(TRIM(Raw_Bookings!F457))</f>
        <v>SUR</v>
      </c>
      <c r="P457" s="7" t="str">
        <f>UPPER(TRIM(Raw_Bookings!G457))</f>
        <v>UNK</v>
      </c>
      <c r="Q457" s="7">
        <f>IF(COUNTIF(Lookup_Stations!$A$2:$A$33,O457)&gt;0,1,0)</f>
        <v>1</v>
      </c>
      <c r="R457" s="7">
        <f>IF(COUNTIF(Lookup_Stations!$A$2:$A$33,P457)&gt;0,1,0)</f>
        <v>0</v>
      </c>
      <c r="S457" s="7">
        <f>IF(OR(AND(Q457=1,NOT(EXACT(Raw_Bookings!F457,O457))),AND(R457=1,NOT(EXACT(Raw_Bookings!G457,P457)))),1,0)</f>
        <v>0</v>
      </c>
      <c r="T457" s="7">
        <f>IF(OR(Q457=0,R457=0),1,0)</f>
        <v>1</v>
      </c>
      <c r="U457" s="7">
        <f>IF(TRIM(Raw_Bookings!E457&amp;"")="",1,0)</f>
        <v>0</v>
      </c>
      <c r="V457" s="7" t="str">
        <f>IF(SUMPRODUCT(--(Lookup_Status!$A$2:$A$13=LOWER(TRIM(Raw_Bookings!K457))))=0,"",INDEX(Lookup_Status!$B$2:$B$13,SUMPRODUCT((Lookup_Status!$A$2:$A$13=LOWER(TRIM(Raw_Bookings!K457)))*(ROW(Lookup_Status!$A$2:$A$13)-1))))</f>
        <v>Confirmed</v>
      </c>
      <c r="W457" s="7">
        <f>IF(AND(V457&lt;&gt;"",NOT(EXACT(Raw_Bookings!K457,V457))),1,0)</f>
        <v>0</v>
      </c>
      <c r="X457" s="7">
        <f>IF(V457="",1,0)</f>
        <v>0</v>
      </c>
      <c r="Y457" s="7">
        <f>IF(TRIM(Raw_Bookings!L457&amp;"")="",1,0)</f>
        <v>0</v>
      </c>
      <c r="Z457" s="7">
        <f>IF(AND(ISTEXT(Raw_Bookings!L457),Y457=0),1,0)</f>
        <v>0</v>
      </c>
      <c r="AA457" s="7">
        <f>IF(Z457=1,IFERROR(VALUE(SUBSTITUTE(SUBSTITUTE(SUBSTITUTE(SUBSTITUTE(SUBSTITUTE(UPPER(Raw_Bookings!L457),"RS.",""),"₹",""),",","")," ",""),"INR","")),""),"")</f>
        <v/>
      </c>
      <c r="AB457" s="7">
        <f>IF(AND(Z457=1,ISNUMBER(AA457)),1,0)</f>
        <v>0</v>
      </c>
      <c r="AC457" s="7">
        <f>IF(B457=1,0,IF(NOT(ISNUMBER(Raw_Bookings!J457)),1,IF(Raw_Bookings!J457&lt;&gt;COUNTIFS(Work_Passengers!$B$2:$B$1336,Raw_Bookings!A457,Work_Passengers!$C$2:$C$1336,0),1,0)))</f>
        <v>0</v>
      </c>
    </row>
    <row r="458" spans="1:29">
      <c r="A458" s="7">
        <f>Raw_Bookings!A458</f>
        <v>1151722</v>
      </c>
      <c r="B458" s="7">
        <f>IF(COUNTIF(Raw_Bookings!$A$2:A458,Raw_Bookings!A458)&gt;1,1,0)</f>
        <v>0</v>
      </c>
      <c r="C458" s="7" t="str">
        <f>Raw_Bookings!D458&amp;""</f>
        <v>08-04-2026</v>
      </c>
      <c r="D458" s="7" t="str">
        <f>IF(AND(LEN(C458)=10,MID(C458,5,1)="-",MID(C458,8,1)="-"),"ISO",IF(AND(LEN(C458)=10,MID(C458,3,1)="-",MID(C458,6,1)="-"),"DMY","OTHER"))</f>
        <v>DMY</v>
      </c>
      <c r="E458" s="7">
        <f>IF(D458="ISO",VALUE(LEFT(C458,4)),IF(D458="DMY",VALUE(RIGHT(C458,4)),0))</f>
        <v>2026</v>
      </c>
      <c r="F458" s="7">
        <f>IF(D458="ISO",VALUE(MID(C458,6,2)),IF(D458="DMY",VALUE(MID(C458,4,2)),0))</f>
        <v>4</v>
      </c>
      <c r="G458" s="7">
        <f>IF(D458="ISO",VALUE(RIGHT(C458,2)),IF(D458="DMY",VALUE(LEFT(C458,2)),0))</f>
        <v>8</v>
      </c>
      <c r="H458" s="7">
        <f>IF(AND(D458&lt;&gt;"OTHER",F458&gt;=1,F458&lt;=12,G458&gt;=1,G458&lt;=31),IF(AND(MONTH(DATE(E458,F458,G458))=F458,DAY(DATE(E458,F458,G458))=G458),1,0),0)</f>
        <v>1</v>
      </c>
      <c r="I458" s="7">
        <f>IF(H458=1,DATE(E458,F458,G458),"")</f>
        <v>46120.0</v>
      </c>
      <c r="J458" s="7">
        <f>IF(AND(D458="DMY",H458=1),1,0)</f>
        <v>1</v>
      </c>
      <c r="K458" s="7">
        <f>IF(H458=0,1,0)</f>
        <v>0</v>
      </c>
      <c r="L458" s="7">
        <f>IF(TRIM(Raw_Bookings!I458&amp;"")="",1,0)</f>
        <v>0</v>
      </c>
      <c r="M458" s="7">
        <f>IF(L458=1,"",DATEVALUE(LEFT(Raw_Bookings!I458,10))+TIMEVALUE(MID(Raw_Bookings!I458,12,8)))</f>
        <v>46067.35853009259</v>
      </c>
      <c r="N458" s="7">
        <f>IF(AND(L458=0,H458=1),IF(INT(M458)&gt;I458,1,0),0)</f>
        <v>0</v>
      </c>
      <c r="O458" s="7" t="str">
        <f>UPPER(TRIM(Raw_Bookings!F458))</f>
        <v>BEN</v>
      </c>
      <c r="P458" s="7" t="str">
        <f>UPPER(TRIM(Raw_Bookings!G458))</f>
        <v>MUM</v>
      </c>
      <c r="Q458" s="7">
        <f>IF(COUNTIF(Lookup_Stations!$A$2:$A$33,O458)&gt;0,1,0)</f>
        <v>1</v>
      </c>
      <c r="R458" s="7">
        <f>IF(COUNTIF(Lookup_Stations!$A$2:$A$33,P458)&gt;0,1,0)</f>
        <v>1</v>
      </c>
      <c r="S458" s="7">
        <f>IF(OR(AND(Q458=1,NOT(EXACT(Raw_Bookings!F458,O458))),AND(R458=1,NOT(EXACT(Raw_Bookings!G458,P458)))),1,0)</f>
        <v>0</v>
      </c>
      <c r="T458" s="7">
        <f>IF(OR(Q458=0,R458=0),1,0)</f>
        <v>0</v>
      </c>
      <c r="U458" s="7">
        <f>IF(TRIM(Raw_Bookings!E458&amp;"")="",1,0)</f>
        <v>0</v>
      </c>
      <c r="V458" s="7" t="str">
        <f>IF(SUMPRODUCT(--(Lookup_Status!$A$2:$A$13=LOWER(TRIM(Raw_Bookings!K458))))=0,"",INDEX(Lookup_Status!$B$2:$B$13,SUMPRODUCT((Lookup_Status!$A$2:$A$13=LOWER(TRIM(Raw_Bookings!K458)))*(ROW(Lookup_Status!$A$2:$A$13)-1))))</f>
        <v>Confirmed</v>
      </c>
      <c r="W458" s="7">
        <f>IF(AND(V458&lt;&gt;"",NOT(EXACT(Raw_Bookings!K458,V458))),1,0)</f>
        <v>0</v>
      </c>
      <c r="X458" s="7">
        <f>IF(V458="",1,0)</f>
        <v>0</v>
      </c>
      <c r="Y458" s="7">
        <f>IF(TRIM(Raw_Bookings!L458&amp;"")="",1,0)</f>
        <v>0</v>
      </c>
      <c r="Z458" s="7">
        <f>IF(AND(ISTEXT(Raw_Bookings!L458),Y458=0),1,0)</f>
        <v>0</v>
      </c>
      <c r="AA458" s="7">
        <f>IF(Z458=1,IFERROR(VALUE(SUBSTITUTE(SUBSTITUTE(SUBSTITUTE(SUBSTITUTE(SUBSTITUTE(UPPER(Raw_Bookings!L458),"RS.",""),"₹",""),",","")," ",""),"INR","")),""),"")</f>
        <v/>
      </c>
      <c r="AB458" s="7">
        <f>IF(AND(Z458=1,ISNUMBER(AA458)),1,0)</f>
        <v>0</v>
      </c>
      <c r="AC458" s="7">
        <f>IF(B458=1,0,IF(NOT(ISNUMBER(Raw_Bookings!J458)),1,IF(Raw_Bookings!J458&lt;&gt;COUNTIFS(Work_Passengers!$B$2:$B$1336,Raw_Bookings!A458,Work_Passengers!$C$2:$C$1336,0),1,0)))</f>
        <v>0</v>
      </c>
    </row>
    <row r="459" spans="1:29">
      <c r="A459" s="7">
        <f>Raw_Bookings!A459</f>
        <v>1151847</v>
      </c>
      <c r="B459" s="7">
        <f>IF(COUNTIF(Raw_Bookings!$A$2:A459,Raw_Bookings!A459)&gt;1,1,0)</f>
        <v>0</v>
      </c>
      <c r="C459" s="7" t="str">
        <f>Raw_Bookings!D459&amp;""</f>
        <v>2026-03-09</v>
      </c>
      <c r="D459" s="7" t="str">
        <f>IF(AND(LEN(C459)=10,MID(C459,5,1)="-",MID(C459,8,1)="-"),"ISO",IF(AND(LEN(C459)=10,MID(C459,3,1)="-",MID(C459,6,1)="-"),"DMY","OTHER"))</f>
        <v>ISO</v>
      </c>
      <c r="E459" s="7">
        <f>IF(D459="ISO",VALUE(LEFT(C459,4)),IF(D459="DMY",VALUE(RIGHT(C459,4)),0))</f>
        <v>2026</v>
      </c>
      <c r="F459" s="7">
        <f>IF(D459="ISO",VALUE(MID(C459,6,2)),IF(D459="DMY",VALUE(MID(C459,4,2)),0))</f>
        <v>3</v>
      </c>
      <c r="G459" s="7">
        <f>IF(D459="ISO",VALUE(RIGHT(C459,2)),IF(D459="DMY",VALUE(LEFT(C459,2)),0))</f>
        <v>9</v>
      </c>
      <c r="H459" s="7">
        <f>IF(AND(D459&lt;&gt;"OTHER",F459&gt;=1,F459&lt;=12,G459&gt;=1,G459&lt;=31),IF(AND(MONTH(DATE(E459,F459,G459))=F459,DAY(DATE(E459,F459,G459))=G459),1,0),0)</f>
        <v>1</v>
      </c>
      <c r="I459" s="7">
        <f>IF(H459=1,DATE(E459,F459,G459),"")</f>
        <v>46090.0</v>
      </c>
      <c r="J459" s="7">
        <f>IF(AND(D459="DMY",H459=1),1,0)</f>
        <v>0</v>
      </c>
      <c r="K459" s="7">
        <f>IF(H459=0,1,0)</f>
        <v>0</v>
      </c>
      <c r="L459" s="7">
        <f>IF(TRIM(Raw_Bookings!I459&amp;"")="",1,0)</f>
        <v>0</v>
      </c>
      <c r="M459" s="7">
        <f>IF(L459=1,"",DATEVALUE(LEFT(Raw_Bookings!I459,10))+TIMEVALUE(MID(Raw_Bookings!I459,12,8)))</f>
        <v>46067.65023148148</v>
      </c>
      <c r="N459" s="7">
        <f>IF(AND(L459=0,H459=1),IF(INT(M459)&gt;I459,1,0),0)</f>
        <v>0</v>
      </c>
      <c r="O459" s="7" t="str">
        <f>UPPER(TRIM(Raw_Bookings!F459))</f>
        <v>BEN</v>
      </c>
      <c r="P459" s="7" t="str">
        <f>UPPER(TRIM(Raw_Bookings!G459))</f>
        <v>MUM</v>
      </c>
      <c r="Q459" s="7">
        <f>IF(COUNTIF(Lookup_Stations!$A$2:$A$33,O459)&gt;0,1,0)</f>
        <v>1</v>
      </c>
      <c r="R459" s="7">
        <f>IF(COUNTIF(Lookup_Stations!$A$2:$A$33,P459)&gt;0,1,0)</f>
        <v>1</v>
      </c>
      <c r="S459" s="7">
        <f>IF(OR(AND(Q459=1,NOT(EXACT(Raw_Bookings!F459,O459))),AND(R459=1,NOT(EXACT(Raw_Bookings!G459,P459)))),1,0)</f>
        <v>0</v>
      </c>
      <c r="T459" s="7">
        <f>IF(OR(Q459=0,R459=0),1,0)</f>
        <v>0</v>
      </c>
      <c r="U459" s="7">
        <f>IF(TRIM(Raw_Bookings!E459&amp;"")="",1,0)</f>
        <v>0</v>
      </c>
      <c r="V459" s="7" t="str">
        <f>IF(SUMPRODUCT(--(Lookup_Status!$A$2:$A$13=LOWER(TRIM(Raw_Bookings!K459))))=0,"",INDEX(Lookup_Status!$B$2:$B$13,SUMPRODUCT((Lookup_Status!$A$2:$A$13=LOWER(TRIM(Raw_Bookings!K459)))*(ROW(Lookup_Status!$A$2:$A$13)-1))))</f>
        <v>RAC</v>
      </c>
      <c r="W459" s="7">
        <f>IF(AND(V459&lt;&gt;"",NOT(EXACT(Raw_Bookings!K459,V459))),1,0)</f>
        <v>0</v>
      </c>
      <c r="X459" s="7">
        <f>IF(V459="",1,0)</f>
        <v>0</v>
      </c>
      <c r="Y459" s="7">
        <f>IF(TRIM(Raw_Bookings!L459&amp;"")="",1,0)</f>
        <v>0</v>
      </c>
      <c r="Z459" s="7">
        <f>IF(AND(ISTEXT(Raw_Bookings!L459),Y459=0),1,0)</f>
        <v>0</v>
      </c>
      <c r="AA459" s="7">
        <f>IF(Z459=1,IFERROR(VALUE(SUBSTITUTE(SUBSTITUTE(SUBSTITUTE(SUBSTITUTE(SUBSTITUTE(UPPER(Raw_Bookings!L459),"RS.",""),"₹",""),",","")," ",""),"INR","")),""),"")</f>
        <v/>
      </c>
      <c r="AB459" s="7">
        <f>IF(AND(Z459=1,ISNUMBER(AA459)),1,0)</f>
        <v>0</v>
      </c>
      <c r="AC459" s="7">
        <f>IF(B459=1,0,IF(NOT(ISNUMBER(Raw_Bookings!J459)),1,IF(Raw_Bookings!J459&lt;&gt;COUNTIFS(Work_Passengers!$B$2:$B$1336,Raw_Bookings!A459,Work_Passengers!$C$2:$C$1336,0),1,0)))</f>
        <v>0</v>
      </c>
    </row>
    <row r="460" spans="1:29">
      <c r="A460" s="7">
        <f>Raw_Bookings!A460</f>
        <v>1152098</v>
      </c>
      <c r="B460" s="7">
        <f>IF(COUNTIF(Raw_Bookings!$A$2:A460,Raw_Bookings!A460)&gt;1,1,0)</f>
        <v>0</v>
      </c>
      <c r="C460" s="7" t="str">
        <f>Raw_Bookings!D460&amp;""</f>
        <v>2026-02-17</v>
      </c>
      <c r="D460" s="7" t="str">
        <f>IF(AND(LEN(C460)=10,MID(C460,5,1)="-",MID(C460,8,1)="-"),"ISO",IF(AND(LEN(C460)=10,MID(C460,3,1)="-",MID(C460,6,1)="-"),"DMY","OTHER"))</f>
        <v>ISO</v>
      </c>
      <c r="E460" s="7">
        <f>IF(D460="ISO",VALUE(LEFT(C460,4)),IF(D460="DMY",VALUE(RIGHT(C460,4)),0))</f>
        <v>2026</v>
      </c>
      <c r="F460" s="7">
        <f>IF(D460="ISO",VALUE(MID(C460,6,2)),IF(D460="DMY",VALUE(MID(C460,4,2)),0))</f>
        <v>2</v>
      </c>
      <c r="G460" s="7">
        <f>IF(D460="ISO",VALUE(RIGHT(C460,2)),IF(D460="DMY",VALUE(LEFT(C460,2)),0))</f>
        <v>17</v>
      </c>
      <c r="H460" s="7">
        <f>IF(AND(D460&lt;&gt;"OTHER",F460&gt;=1,F460&lt;=12,G460&gt;=1,G460&lt;=31),IF(AND(MONTH(DATE(E460,F460,G460))=F460,DAY(DATE(E460,F460,G460))=G460),1,0),0)</f>
        <v>1</v>
      </c>
      <c r="I460" s="7">
        <f>IF(H460=1,DATE(E460,F460,G460),"")</f>
        <v>46070.0</v>
      </c>
      <c r="J460" s="7">
        <f>IF(AND(D460="DMY",H460=1),1,0)</f>
        <v>0</v>
      </c>
      <c r="K460" s="7">
        <f>IF(H460=0,1,0)</f>
        <v>0</v>
      </c>
      <c r="L460" s="7">
        <f>IF(TRIM(Raw_Bookings!I460&amp;"")="",1,0)</f>
        <v>0</v>
      </c>
      <c r="M460" s="7">
        <f>IF(L460=1,"",DATEVALUE(LEFT(Raw_Bookings!I460,10))+TIMEVALUE(MID(Raw_Bookings!I460,12,8)))</f>
        <v>46068.450057870374</v>
      </c>
      <c r="N460" s="7">
        <f>IF(AND(L460=0,H460=1),IF(INT(M460)&gt;I460,1,0),0)</f>
        <v>0</v>
      </c>
      <c r="O460" s="7" t="str">
        <f>UPPER(TRIM(Raw_Bookings!F460))</f>
        <v>LUC</v>
      </c>
      <c r="P460" s="7" t="str">
        <f>UPPER(TRIM(Raw_Bookings!G460))</f>
        <v>MUM</v>
      </c>
      <c r="Q460" s="7">
        <f>IF(COUNTIF(Lookup_Stations!$A$2:$A$33,O460)&gt;0,1,0)</f>
        <v>1</v>
      </c>
      <c r="R460" s="7">
        <f>IF(COUNTIF(Lookup_Stations!$A$2:$A$33,P460)&gt;0,1,0)</f>
        <v>1</v>
      </c>
      <c r="S460" s="7">
        <f>IF(OR(AND(Q460=1,NOT(EXACT(Raw_Bookings!F460,O460))),AND(R460=1,NOT(EXACT(Raw_Bookings!G460,P460)))),1,0)</f>
        <v>0</v>
      </c>
      <c r="T460" s="7">
        <f>IF(OR(Q460=0,R460=0),1,0)</f>
        <v>0</v>
      </c>
      <c r="U460" s="7">
        <f>IF(TRIM(Raw_Bookings!E460&amp;"")="",1,0)</f>
        <v>0</v>
      </c>
      <c r="V460" s="7" t="str">
        <f>IF(SUMPRODUCT(--(Lookup_Status!$A$2:$A$13=LOWER(TRIM(Raw_Bookings!K460))))=0,"",INDEX(Lookup_Status!$B$2:$B$13,SUMPRODUCT((Lookup_Status!$A$2:$A$13=LOWER(TRIM(Raw_Bookings!K460)))*(ROW(Lookup_Status!$A$2:$A$13)-1))))</f>
        <v>Waitlisted</v>
      </c>
      <c r="W460" s="7">
        <f>IF(AND(V460&lt;&gt;"",NOT(EXACT(Raw_Bookings!K460,V460))),1,0)</f>
        <v>0</v>
      </c>
      <c r="X460" s="7">
        <f>IF(V460="",1,0)</f>
        <v>0</v>
      </c>
      <c r="Y460" s="7">
        <f>IF(TRIM(Raw_Bookings!L460&amp;"")="",1,0)</f>
        <v>0</v>
      </c>
      <c r="Z460" s="7">
        <f>IF(AND(ISTEXT(Raw_Bookings!L460),Y460=0),1,0)</f>
        <v>0</v>
      </c>
      <c r="AA460" s="7">
        <f>IF(Z460=1,IFERROR(VALUE(SUBSTITUTE(SUBSTITUTE(SUBSTITUTE(SUBSTITUTE(SUBSTITUTE(UPPER(Raw_Bookings!L460),"RS.",""),"₹",""),",","")," ",""),"INR","")),""),"")</f>
        <v/>
      </c>
      <c r="AB460" s="7">
        <f>IF(AND(Z460=1,ISNUMBER(AA460)),1,0)</f>
        <v>0</v>
      </c>
      <c r="AC460" s="7">
        <f>IF(B460=1,0,IF(NOT(ISNUMBER(Raw_Bookings!J460)),1,IF(Raw_Bookings!J460&lt;&gt;COUNTIFS(Work_Passengers!$B$2:$B$1336,Raw_Bookings!A460,Work_Passengers!$C$2:$C$1336,0),1,0)))</f>
        <v>0</v>
      </c>
    </row>
    <row r="461" spans="1:29">
      <c r="A461" s="7">
        <f>Raw_Bookings!A461</f>
        <v>1152374</v>
      </c>
      <c r="B461" s="7">
        <f>IF(COUNTIF(Raw_Bookings!$A$2:A461,Raw_Bookings!A461)&gt;1,1,0)</f>
        <v>0</v>
      </c>
      <c r="C461" s="7" t="str">
        <f>Raw_Bookings!D461&amp;""</f>
        <v>2026-02-22</v>
      </c>
      <c r="D461" s="7" t="str">
        <f>IF(AND(LEN(C461)=10,MID(C461,5,1)="-",MID(C461,8,1)="-"),"ISO",IF(AND(LEN(C461)=10,MID(C461,3,1)="-",MID(C461,6,1)="-"),"DMY","OTHER"))</f>
        <v>ISO</v>
      </c>
      <c r="E461" s="7">
        <f>IF(D461="ISO",VALUE(LEFT(C461,4)),IF(D461="DMY",VALUE(RIGHT(C461,4)),0))</f>
        <v>2026</v>
      </c>
      <c r="F461" s="7">
        <f>IF(D461="ISO",VALUE(MID(C461,6,2)),IF(D461="DMY",VALUE(MID(C461,4,2)),0))</f>
        <v>2</v>
      </c>
      <c r="G461" s="7">
        <f>IF(D461="ISO",VALUE(RIGHT(C461,2)),IF(D461="DMY",VALUE(LEFT(C461,2)),0))</f>
        <v>22</v>
      </c>
      <c r="H461" s="7">
        <f>IF(AND(D461&lt;&gt;"OTHER",F461&gt;=1,F461&lt;=12,G461&gt;=1,G461&lt;=31),IF(AND(MONTH(DATE(E461,F461,G461))=F461,DAY(DATE(E461,F461,G461))=G461),1,0),0)</f>
        <v>1</v>
      </c>
      <c r="I461" s="7">
        <f>IF(H461=1,DATE(E461,F461,G461),"")</f>
        <v>46075.0</v>
      </c>
      <c r="J461" s="7">
        <f>IF(AND(D461="DMY",H461=1),1,0)</f>
        <v>0</v>
      </c>
      <c r="K461" s="7">
        <f>IF(H461=0,1,0)</f>
        <v>0</v>
      </c>
      <c r="L461" s="7">
        <f>IF(TRIM(Raw_Bookings!I461&amp;"")="",1,0)</f>
        <v>0</v>
      </c>
      <c r="M461" s="7">
        <f>IF(L461=1,"",DATEVALUE(LEFT(Raw_Bookings!I461,10))+TIMEVALUE(MID(Raw_Bookings!I461,12,8)))</f>
        <v>46069.29184027778</v>
      </c>
      <c r="N461" s="7">
        <f>IF(AND(L461=0,H461=1),IF(INT(M461)&gt;I461,1,0),0)</f>
        <v>0</v>
      </c>
      <c r="O461" s="7" t="str">
        <f>UPPER(TRIM(Raw_Bookings!F461))</f>
        <v>MUM</v>
      </c>
      <c r="P461" s="7" t="str">
        <f>UPPER(TRIM(Raw_Bookings!G461))</f>
        <v>LUC</v>
      </c>
      <c r="Q461" s="7">
        <f>IF(COUNTIF(Lookup_Stations!$A$2:$A$33,O461)&gt;0,1,0)</f>
        <v>1</v>
      </c>
      <c r="R461" s="7">
        <f>IF(COUNTIF(Lookup_Stations!$A$2:$A$33,P461)&gt;0,1,0)</f>
        <v>1</v>
      </c>
      <c r="S461" s="7">
        <f>IF(OR(AND(Q461=1,NOT(EXACT(Raw_Bookings!F461,O461))),AND(R461=1,NOT(EXACT(Raw_Bookings!G461,P461)))),1,0)</f>
        <v>0</v>
      </c>
      <c r="T461" s="7">
        <f>IF(OR(Q461=0,R461=0),1,0)</f>
        <v>0</v>
      </c>
      <c r="U461" s="7">
        <f>IF(TRIM(Raw_Bookings!E461&amp;"")="",1,0)</f>
        <v>0</v>
      </c>
      <c r="V461" s="7" t="str">
        <f>IF(SUMPRODUCT(--(Lookup_Status!$A$2:$A$13=LOWER(TRIM(Raw_Bookings!K461))))=0,"",INDEX(Lookup_Status!$B$2:$B$13,SUMPRODUCT((Lookup_Status!$A$2:$A$13=LOWER(TRIM(Raw_Bookings!K461)))*(ROW(Lookup_Status!$A$2:$A$13)-1))))</f>
        <v>Confirmed</v>
      </c>
      <c r="W461" s="7">
        <f>IF(AND(V461&lt;&gt;"",NOT(EXACT(Raw_Bookings!K461,V461))),1,0)</f>
        <v>0</v>
      </c>
      <c r="X461" s="7">
        <f>IF(V461="",1,0)</f>
        <v>0</v>
      </c>
      <c r="Y461" s="7">
        <f>IF(TRIM(Raw_Bookings!L461&amp;"")="",1,0)</f>
        <v>0</v>
      </c>
      <c r="Z461" s="7">
        <f>IF(AND(ISTEXT(Raw_Bookings!L461),Y461=0),1,0)</f>
        <v>0</v>
      </c>
      <c r="AA461" s="7">
        <f>IF(Z461=1,IFERROR(VALUE(SUBSTITUTE(SUBSTITUTE(SUBSTITUTE(SUBSTITUTE(SUBSTITUTE(UPPER(Raw_Bookings!L461),"RS.",""),"₹",""),",","")," ",""),"INR","")),""),"")</f>
        <v/>
      </c>
      <c r="AB461" s="7">
        <f>IF(AND(Z461=1,ISNUMBER(AA461)),1,0)</f>
        <v>0</v>
      </c>
      <c r="AC461" s="7">
        <f>IF(B461=1,0,IF(NOT(ISNUMBER(Raw_Bookings!J461)),1,IF(Raw_Bookings!J461&lt;&gt;COUNTIFS(Work_Passengers!$B$2:$B$1336,Raw_Bookings!A461,Work_Passengers!$C$2:$C$1336,0),1,0)))</f>
        <v>0</v>
      </c>
    </row>
    <row r="462" spans="1:29">
      <c r="A462" s="7">
        <f>Raw_Bookings!A462</f>
        <v>1152419</v>
      </c>
      <c r="B462" s="7">
        <f>IF(COUNTIF(Raw_Bookings!$A$2:A462,Raw_Bookings!A462)&gt;1,1,0)</f>
        <v>0</v>
      </c>
      <c r="C462" s="7" t="str">
        <f>Raw_Bookings!D462&amp;""</f>
        <v>2026-05-21</v>
      </c>
      <c r="D462" s="7" t="str">
        <f>IF(AND(LEN(C462)=10,MID(C462,5,1)="-",MID(C462,8,1)="-"),"ISO",IF(AND(LEN(C462)=10,MID(C462,3,1)="-",MID(C462,6,1)="-"),"DMY","OTHER"))</f>
        <v>ISO</v>
      </c>
      <c r="E462" s="7">
        <f>IF(D462="ISO",VALUE(LEFT(C462,4)),IF(D462="DMY",VALUE(RIGHT(C462,4)),0))</f>
        <v>2026</v>
      </c>
      <c r="F462" s="7">
        <f>IF(D462="ISO",VALUE(MID(C462,6,2)),IF(D462="DMY",VALUE(MID(C462,4,2)),0))</f>
        <v>5</v>
      </c>
      <c r="G462" s="7">
        <f>IF(D462="ISO",VALUE(RIGHT(C462,2)),IF(D462="DMY",VALUE(LEFT(C462,2)),0))</f>
        <v>21</v>
      </c>
      <c r="H462" s="7">
        <f>IF(AND(D462&lt;&gt;"OTHER",F462&gt;=1,F462&lt;=12,G462&gt;=1,G462&lt;=31),IF(AND(MONTH(DATE(E462,F462,G462))=F462,DAY(DATE(E462,F462,G462))=G462),1,0),0)</f>
        <v>1</v>
      </c>
      <c r="I462" s="7">
        <f>IF(H462=1,DATE(E462,F462,G462),"")</f>
        <v>46163.0</v>
      </c>
      <c r="J462" s="7">
        <f>IF(AND(D462="DMY",H462=1),1,0)</f>
        <v>0</v>
      </c>
      <c r="K462" s="7">
        <f>IF(H462=0,1,0)</f>
        <v>0</v>
      </c>
      <c r="L462" s="7">
        <f>IF(TRIM(Raw_Bookings!I462&amp;"")="",1,0)</f>
        <v>0</v>
      </c>
      <c r="M462" s="7">
        <f>IF(L462=1,"",DATEVALUE(LEFT(Raw_Bookings!I462,10))+TIMEVALUE(MID(Raw_Bookings!I462,12,8)))</f>
        <v>46069.35303240741</v>
      </c>
      <c r="N462" s="7">
        <f>IF(AND(L462=0,H462=1),IF(INT(M462)&gt;I462,1,0),0)</f>
        <v>0</v>
      </c>
      <c r="O462" s="7" t="str">
        <f>UPPER(TRIM(Raw_Bookings!F462))</f>
        <v>HYD</v>
      </c>
      <c r="P462" s="7" t="str">
        <f>UPPER(TRIM(Raw_Bookings!G462))</f>
        <v>KOL</v>
      </c>
      <c r="Q462" s="7">
        <f>IF(COUNTIF(Lookup_Stations!$A$2:$A$33,O462)&gt;0,1,0)</f>
        <v>1</v>
      </c>
      <c r="R462" s="7">
        <f>IF(COUNTIF(Lookup_Stations!$A$2:$A$33,P462)&gt;0,1,0)</f>
        <v>1</v>
      </c>
      <c r="S462" s="7">
        <f>IF(OR(AND(Q462=1,NOT(EXACT(Raw_Bookings!F462,O462))),AND(R462=1,NOT(EXACT(Raw_Bookings!G462,P462)))),1,0)</f>
        <v>0</v>
      </c>
      <c r="T462" s="7">
        <f>IF(OR(Q462=0,R462=0),1,0)</f>
        <v>0</v>
      </c>
      <c r="U462" s="7">
        <f>IF(TRIM(Raw_Bookings!E462&amp;"")="",1,0)</f>
        <v>0</v>
      </c>
      <c r="V462" s="7" t="str">
        <f>IF(SUMPRODUCT(--(Lookup_Status!$A$2:$A$13=LOWER(TRIM(Raw_Bookings!K462))))=0,"",INDEX(Lookup_Status!$B$2:$B$13,SUMPRODUCT((Lookup_Status!$A$2:$A$13=LOWER(TRIM(Raw_Bookings!K462)))*(ROW(Lookup_Status!$A$2:$A$13)-1))))</f>
        <v>Cancelled</v>
      </c>
      <c r="W462" s="7">
        <f>IF(AND(V462&lt;&gt;"",NOT(EXACT(Raw_Bookings!K462,V462))),1,0)</f>
        <v>0</v>
      </c>
      <c r="X462" s="7">
        <f>IF(V462="",1,0)</f>
        <v>0</v>
      </c>
      <c r="Y462" s="7">
        <f>IF(TRIM(Raw_Bookings!L462&amp;"")="",1,0)</f>
        <v>0</v>
      </c>
      <c r="Z462" s="7">
        <f>IF(AND(ISTEXT(Raw_Bookings!L462),Y462=0),1,0)</f>
        <v>0</v>
      </c>
      <c r="AA462" s="7">
        <f>IF(Z462=1,IFERROR(VALUE(SUBSTITUTE(SUBSTITUTE(SUBSTITUTE(SUBSTITUTE(SUBSTITUTE(UPPER(Raw_Bookings!L462),"RS.",""),"₹",""),",","")," ",""),"INR","")),""),"")</f>
        <v/>
      </c>
      <c r="AB462" s="7">
        <f>IF(AND(Z462=1,ISNUMBER(AA462)),1,0)</f>
        <v>0</v>
      </c>
      <c r="AC462" s="7">
        <f>IF(B462=1,0,IF(NOT(ISNUMBER(Raw_Bookings!J462)),1,IF(Raw_Bookings!J462&lt;&gt;COUNTIFS(Work_Passengers!$B$2:$B$1336,Raw_Bookings!A462,Work_Passengers!$C$2:$C$1336,0),1,0)))</f>
        <v>0</v>
      </c>
    </row>
    <row r="463" spans="1:29">
      <c r="A463" s="7">
        <f>Raw_Bookings!A463</f>
        <v>1153612</v>
      </c>
      <c r="B463" s="7">
        <f>IF(COUNTIF(Raw_Bookings!$A$2:A463,Raw_Bookings!A463)&gt;1,1,0)</f>
        <v>0</v>
      </c>
      <c r="C463" s="7" t="str">
        <f>Raw_Bookings!D463&amp;""</f>
        <v>2026-04-03</v>
      </c>
      <c r="D463" s="7" t="str">
        <f>IF(AND(LEN(C463)=10,MID(C463,5,1)="-",MID(C463,8,1)="-"),"ISO",IF(AND(LEN(C463)=10,MID(C463,3,1)="-",MID(C463,6,1)="-"),"DMY","OTHER"))</f>
        <v>ISO</v>
      </c>
      <c r="E463" s="7">
        <f>IF(D463="ISO",VALUE(LEFT(C463,4)),IF(D463="DMY",VALUE(RIGHT(C463,4)),0))</f>
        <v>2026</v>
      </c>
      <c r="F463" s="7">
        <f>IF(D463="ISO",VALUE(MID(C463,6,2)),IF(D463="DMY",VALUE(MID(C463,4,2)),0))</f>
        <v>4</v>
      </c>
      <c r="G463" s="7">
        <f>IF(D463="ISO",VALUE(RIGHT(C463,2)),IF(D463="DMY",VALUE(LEFT(C463,2)),0))</f>
        <v>3</v>
      </c>
      <c r="H463" s="7">
        <f>IF(AND(D463&lt;&gt;"OTHER",F463&gt;=1,F463&lt;=12,G463&gt;=1,G463&lt;=31),IF(AND(MONTH(DATE(E463,F463,G463))=F463,DAY(DATE(E463,F463,G463))=G463),1,0),0)</f>
        <v>1</v>
      </c>
      <c r="I463" s="7">
        <f>IF(H463=1,DATE(E463,F463,G463),"")</f>
        <v>46115.0</v>
      </c>
      <c r="J463" s="7">
        <f>IF(AND(D463="DMY",H463=1),1,0)</f>
        <v>0</v>
      </c>
      <c r="K463" s="7">
        <f>IF(H463=0,1,0)</f>
        <v>0</v>
      </c>
      <c r="L463" s="7">
        <f>IF(TRIM(Raw_Bookings!I463&amp;"")="",1,0)</f>
        <v>0</v>
      </c>
      <c r="M463" s="7">
        <f>IF(L463=1,"",DATEVALUE(LEFT(Raw_Bookings!I463,10))+TIMEVALUE(MID(Raw_Bookings!I463,12,8)))</f>
        <v>46072.798738425925</v>
      </c>
      <c r="N463" s="7">
        <f>IF(AND(L463=0,H463=1),IF(INT(M463)&gt;I463,1,0),0)</f>
        <v>0</v>
      </c>
      <c r="O463" s="7" t="str">
        <f>UPPER(TRIM(Raw_Bookings!F463))</f>
        <v>MUM</v>
      </c>
      <c r="P463" s="7" t="str">
        <f>UPPER(TRIM(Raw_Bookings!G463))</f>
        <v>LUC</v>
      </c>
      <c r="Q463" s="7">
        <f>IF(COUNTIF(Lookup_Stations!$A$2:$A$33,O463)&gt;0,1,0)</f>
        <v>1</v>
      </c>
      <c r="R463" s="7">
        <f>IF(COUNTIF(Lookup_Stations!$A$2:$A$33,P463)&gt;0,1,0)</f>
        <v>1</v>
      </c>
      <c r="S463" s="7">
        <f>IF(OR(AND(Q463=1,NOT(EXACT(Raw_Bookings!F463,O463))),AND(R463=1,NOT(EXACT(Raw_Bookings!G463,P463)))),1,0)</f>
        <v>0</v>
      </c>
      <c r="T463" s="7">
        <f>IF(OR(Q463=0,R463=0),1,0)</f>
        <v>0</v>
      </c>
      <c r="U463" s="7">
        <f>IF(TRIM(Raw_Bookings!E463&amp;"")="",1,0)</f>
        <v>0</v>
      </c>
      <c r="V463" s="7" t="str">
        <f>IF(SUMPRODUCT(--(Lookup_Status!$A$2:$A$13=LOWER(TRIM(Raw_Bookings!K463))))=0,"",INDEX(Lookup_Status!$B$2:$B$13,SUMPRODUCT((Lookup_Status!$A$2:$A$13=LOWER(TRIM(Raw_Bookings!K463)))*(ROW(Lookup_Status!$A$2:$A$13)-1))))</f>
        <v>Confirmed</v>
      </c>
      <c r="W463" s="7">
        <f>IF(AND(V463&lt;&gt;"",NOT(EXACT(Raw_Bookings!K463,V463))),1,0)</f>
        <v>0</v>
      </c>
      <c r="X463" s="7">
        <f>IF(V463="",1,0)</f>
        <v>0</v>
      </c>
      <c r="Y463" s="7">
        <f>IF(TRIM(Raw_Bookings!L463&amp;"")="",1,0)</f>
        <v>0</v>
      </c>
      <c r="Z463" s="7">
        <f>IF(AND(ISTEXT(Raw_Bookings!L463),Y463=0),1,0)</f>
        <v>0</v>
      </c>
      <c r="AA463" s="7">
        <f>IF(Z463=1,IFERROR(VALUE(SUBSTITUTE(SUBSTITUTE(SUBSTITUTE(SUBSTITUTE(SUBSTITUTE(UPPER(Raw_Bookings!L463),"RS.",""),"₹",""),",","")," ",""),"INR","")),""),"")</f>
        <v/>
      </c>
      <c r="AB463" s="7">
        <f>IF(AND(Z463=1,ISNUMBER(AA463)),1,0)</f>
        <v>0</v>
      </c>
      <c r="AC463" s="7">
        <f>IF(B463=1,0,IF(NOT(ISNUMBER(Raw_Bookings!J463)),1,IF(Raw_Bookings!J463&lt;&gt;COUNTIFS(Work_Passengers!$B$2:$B$1336,Raw_Bookings!A463,Work_Passengers!$C$2:$C$1336,0),1,0)))</f>
        <v>0</v>
      </c>
    </row>
    <row r="464" spans="1:29">
      <c r="A464" s="7">
        <f>Raw_Bookings!A464</f>
        <v>1154055</v>
      </c>
      <c r="B464" s="7">
        <f>IF(COUNTIF(Raw_Bookings!$A$2:A464,Raw_Bookings!A464)&gt;1,1,0)</f>
        <v>0</v>
      </c>
      <c r="C464" s="7" t="str">
        <f>Raw_Bookings!D464&amp;""</f>
        <v>2026-06-21</v>
      </c>
      <c r="D464" s="7" t="str">
        <f>IF(AND(LEN(C464)=10,MID(C464,5,1)="-",MID(C464,8,1)="-"),"ISO",IF(AND(LEN(C464)=10,MID(C464,3,1)="-",MID(C464,6,1)="-"),"DMY","OTHER"))</f>
        <v>ISO</v>
      </c>
      <c r="E464" s="7">
        <f>IF(D464="ISO",VALUE(LEFT(C464,4)),IF(D464="DMY",VALUE(RIGHT(C464,4)),0))</f>
        <v>2026</v>
      </c>
      <c r="F464" s="7">
        <f>IF(D464="ISO",VALUE(MID(C464,6,2)),IF(D464="DMY",VALUE(MID(C464,4,2)),0))</f>
        <v>6</v>
      </c>
      <c r="G464" s="7">
        <f>IF(D464="ISO",VALUE(RIGHT(C464,2)),IF(D464="DMY",VALUE(LEFT(C464,2)),0))</f>
        <v>21</v>
      </c>
      <c r="H464" s="7">
        <f>IF(AND(D464&lt;&gt;"OTHER",F464&gt;=1,F464&lt;=12,G464&gt;=1,G464&lt;=31),IF(AND(MONTH(DATE(E464,F464,G464))=F464,DAY(DATE(E464,F464,G464))=G464),1,0),0)</f>
        <v>1</v>
      </c>
      <c r="I464" s="7">
        <f>IF(H464=1,DATE(E464,F464,G464),"")</f>
        <v>46194.0</v>
      </c>
      <c r="J464" s="7">
        <f>IF(AND(D464="DMY",H464=1),1,0)</f>
        <v>0</v>
      </c>
      <c r="K464" s="7">
        <f>IF(H464=0,1,0)</f>
        <v>0</v>
      </c>
      <c r="L464" s="7">
        <f>IF(TRIM(Raw_Bookings!I464&amp;"")="",1,0)</f>
        <v>0</v>
      </c>
      <c r="M464" s="7">
        <f>IF(L464=1,"",DATEVALUE(LEFT(Raw_Bookings!I464,10))+TIMEVALUE(MID(Raw_Bookings!I464,12,8)))</f>
        <v>46074.30608796296</v>
      </c>
      <c r="N464" s="7">
        <f>IF(AND(L464=0,H464=1),IF(INT(M464)&gt;I464,1,0),0)</f>
        <v>0</v>
      </c>
      <c r="O464" s="7" t="str">
        <f>UPPER(TRIM(Raw_Bookings!F464))</f>
        <v>VIS</v>
      </c>
      <c r="P464" s="7" t="str">
        <f>UPPER(TRIM(Raw_Bookings!G464))</f>
        <v>CHA</v>
      </c>
      <c r="Q464" s="7">
        <f>IF(COUNTIF(Lookup_Stations!$A$2:$A$33,O464)&gt;0,1,0)</f>
        <v>1</v>
      </c>
      <c r="R464" s="7">
        <f>IF(COUNTIF(Lookup_Stations!$A$2:$A$33,P464)&gt;0,1,0)</f>
        <v>1</v>
      </c>
      <c r="S464" s="7">
        <f>IF(OR(AND(Q464=1,NOT(EXACT(Raw_Bookings!F464,O464))),AND(R464=1,NOT(EXACT(Raw_Bookings!G464,P464)))),1,0)</f>
        <v>0</v>
      </c>
      <c r="T464" s="7">
        <f>IF(OR(Q464=0,R464=0),1,0)</f>
        <v>0</v>
      </c>
      <c r="U464" s="7">
        <f>IF(TRIM(Raw_Bookings!E464&amp;"")="",1,0)</f>
        <v>0</v>
      </c>
      <c r="V464" s="7" t="str">
        <f>IF(SUMPRODUCT(--(Lookup_Status!$A$2:$A$13=LOWER(TRIM(Raw_Bookings!K464))))=0,"",INDEX(Lookup_Status!$B$2:$B$13,SUMPRODUCT((Lookup_Status!$A$2:$A$13=LOWER(TRIM(Raw_Bookings!K464)))*(ROW(Lookup_Status!$A$2:$A$13)-1))))</f>
        <v>Confirmed</v>
      </c>
      <c r="W464" s="7">
        <f>IF(AND(V464&lt;&gt;"",NOT(EXACT(Raw_Bookings!K464,V464))),1,0)</f>
        <v>1</v>
      </c>
      <c r="X464" s="7">
        <f>IF(V464="",1,0)</f>
        <v>0</v>
      </c>
      <c r="Y464" s="7">
        <f>IF(TRIM(Raw_Bookings!L464&amp;"")="",1,0)</f>
        <v>0</v>
      </c>
      <c r="Z464" s="7">
        <f>IF(AND(ISTEXT(Raw_Bookings!L464),Y464=0),1,0)</f>
        <v>0</v>
      </c>
      <c r="AA464" s="7">
        <f>IF(Z464=1,IFERROR(VALUE(SUBSTITUTE(SUBSTITUTE(SUBSTITUTE(SUBSTITUTE(SUBSTITUTE(UPPER(Raw_Bookings!L464),"RS.",""),"₹",""),",","")," ",""),"INR","")),""),"")</f>
        <v/>
      </c>
      <c r="AB464" s="7">
        <f>IF(AND(Z464=1,ISNUMBER(AA464)),1,0)</f>
        <v>0</v>
      </c>
      <c r="AC464" s="7">
        <f>IF(B464=1,0,IF(NOT(ISNUMBER(Raw_Bookings!J464)),1,IF(Raw_Bookings!J464&lt;&gt;COUNTIFS(Work_Passengers!$B$2:$B$1336,Raw_Bookings!A464,Work_Passengers!$C$2:$C$1336,0),1,0)))</f>
        <v>0</v>
      </c>
    </row>
    <row r="465" spans="1:29">
      <c r="A465" s="7">
        <f>Raw_Bookings!A465</f>
        <v>1154156</v>
      </c>
      <c r="B465" s="7">
        <f>IF(COUNTIF(Raw_Bookings!$A$2:A465,Raw_Bookings!A465)&gt;1,1,0)</f>
        <v>0</v>
      </c>
      <c r="C465" s="7" t="str">
        <f>Raw_Bookings!D465&amp;""</f>
        <v>2026-02-22</v>
      </c>
      <c r="D465" s="7" t="str">
        <f>IF(AND(LEN(C465)=10,MID(C465,5,1)="-",MID(C465,8,1)="-"),"ISO",IF(AND(LEN(C465)=10,MID(C465,3,1)="-",MID(C465,6,1)="-"),"DMY","OTHER"))</f>
        <v>ISO</v>
      </c>
      <c r="E465" s="7">
        <f>IF(D465="ISO",VALUE(LEFT(C465,4)),IF(D465="DMY",VALUE(RIGHT(C465,4)),0))</f>
        <v>2026</v>
      </c>
      <c r="F465" s="7">
        <f>IF(D465="ISO",VALUE(MID(C465,6,2)),IF(D465="DMY",VALUE(MID(C465,4,2)),0))</f>
        <v>2</v>
      </c>
      <c r="G465" s="7">
        <f>IF(D465="ISO",VALUE(RIGHT(C465,2)),IF(D465="DMY",VALUE(LEFT(C465,2)),0))</f>
        <v>22</v>
      </c>
      <c r="H465" s="7">
        <f>IF(AND(D465&lt;&gt;"OTHER",F465&gt;=1,F465&lt;=12,G465&gt;=1,G465&lt;=31),IF(AND(MONTH(DATE(E465,F465,G465))=F465,DAY(DATE(E465,F465,G465))=G465),1,0),0)</f>
        <v>1</v>
      </c>
      <c r="I465" s="7">
        <f>IF(H465=1,DATE(E465,F465,G465),"")</f>
        <v>46075.0</v>
      </c>
      <c r="J465" s="7">
        <f>IF(AND(D465="DMY",H465=1),1,0)</f>
        <v>0</v>
      </c>
      <c r="K465" s="7">
        <f>IF(H465=0,1,0)</f>
        <v>0</v>
      </c>
      <c r="L465" s="7">
        <f>IF(TRIM(Raw_Bookings!I465&amp;"")="",1,0)</f>
        <v>0</v>
      </c>
      <c r="M465" s="7">
        <f>IF(L465=1,"",DATEVALUE(LEFT(Raw_Bookings!I465,10))+TIMEVALUE(MID(Raw_Bookings!I465,12,8)))</f>
        <v>46074.53150462963</v>
      </c>
      <c r="N465" s="7">
        <f>IF(AND(L465=0,H465=1),IF(INT(M465)&gt;I465,1,0),0)</f>
        <v>0</v>
      </c>
      <c r="O465" s="7" t="str">
        <f>UPPER(TRIM(Raw_Bookings!F465))</f>
        <v>MUM</v>
      </c>
      <c r="P465" s="7" t="str">
        <f>UPPER(TRIM(Raw_Bookings!G465))</f>
        <v>LUC</v>
      </c>
      <c r="Q465" s="7">
        <f>IF(COUNTIF(Lookup_Stations!$A$2:$A$33,O465)&gt;0,1,0)</f>
        <v>1</v>
      </c>
      <c r="R465" s="7">
        <f>IF(COUNTIF(Lookup_Stations!$A$2:$A$33,P465)&gt;0,1,0)</f>
        <v>1</v>
      </c>
      <c r="S465" s="7">
        <f>IF(OR(AND(Q465=1,NOT(EXACT(Raw_Bookings!F465,O465))),AND(R465=1,NOT(EXACT(Raw_Bookings!G465,P465)))),1,0)</f>
        <v>1</v>
      </c>
      <c r="T465" s="7">
        <f>IF(OR(Q465=0,R465=0),1,0)</f>
        <v>0</v>
      </c>
      <c r="U465" s="7">
        <f>IF(TRIM(Raw_Bookings!E465&amp;"")="",1,0)</f>
        <v>0</v>
      </c>
      <c r="V465" s="7" t="str">
        <f>IF(SUMPRODUCT(--(Lookup_Status!$A$2:$A$13=LOWER(TRIM(Raw_Bookings!K465))))=0,"",INDEX(Lookup_Status!$B$2:$B$13,SUMPRODUCT((Lookup_Status!$A$2:$A$13=LOWER(TRIM(Raw_Bookings!K465)))*(ROW(Lookup_Status!$A$2:$A$13)-1))))</f>
        <v>Confirmed</v>
      </c>
      <c r="W465" s="7">
        <f>IF(AND(V465&lt;&gt;"",NOT(EXACT(Raw_Bookings!K465,V465))),1,0)</f>
        <v>0</v>
      </c>
      <c r="X465" s="7">
        <f>IF(V465="",1,0)</f>
        <v>0</v>
      </c>
      <c r="Y465" s="7">
        <f>IF(TRIM(Raw_Bookings!L465&amp;"")="",1,0)</f>
        <v>0</v>
      </c>
      <c r="Z465" s="7">
        <f>IF(AND(ISTEXT(Raw_Bookings!L465),Y465=0),1,0)</f>
        <v>0</v>
      </c>
      <c r="AA465" s="7">
        <f>IF(Z465=1,IFERROR(VALUE(SUBSTITUTE(SUBSTITUTE(SUBSTITUTE(SUBSTITUTE(SUBSTITUTE(UPPER(Raw_Bookings!L465),"RS.",""),"₹",""),",","")," ",""),"INR","")),""),"")</f>
        <v/>
      </c>
      <c r="AB465" s="7">
        <f>IF(AND(Z465=1,ISNUMBER(AA465)),1,0)</f>
        <v>0</v>
      </c>
      <c r="AC465" s="7">
        <f>IF(B465=1,0,IF(NOT(ISNUMBER(Raw_Bookings!J465)),1,IF(Raw_Bookings!J465&lt;&gt;COUNTIFS(Work_Passengers!$B$2:$B$1336,Raw_Bookings!A465,Work_Passengers!$C$2:$C$1336,0),1,0)))</f>
        <v>0</v>
      </c>
    </row>
    <row r="466" spans="1:29">
      <c r="A466" s="7">
        <f>Raw_Bookings!A466</f>
        <v>1154672</v>
      </c>
      <c r="B466" s="7">
        <f>IF(COUNTIF(Raw_Bookings!$A$2:A466,Raw_Bookings!A466)&gt;1,1,0)</f>
        <v>0</v>
      </c>
      <c r="C466" s="7" t="str">
        <f>Raw_Bookings!D466&amp;""</f>
        <v>2026-04-23</v>
      </c>
      <c r="D466" s="7" t="str">
        <f>IF(AND(LEN(C466)=10,MID(C466,5,1)="-",MID(C466,8,1)="-"),"ISO",IF(AND(LEN(C466)=10,MID(C466,3,1)="-",MID(C466,6,1)="-"),"DMY","OTHER"))</f>
        <v>ISO</v>
      </c>
      <c r="E466" s="7">
        <f>IF(D466="ISO",VALUE(LEFT(C466,4)),IF(D466="DMY",VALUE(RIGHT(C466,4)),0))</f>
        <v>2026</v>
      </c>
      <c r="F466" s="7">
        <f>IF(D466="ISO",VALUE(MID(C466,6,2)),IF(D466="DMY",VALUE(MID(C466,4,2)),0))</f>
        <v>4</v>
      </c>
      <c r="G466" s="7">
        <f>IF(D466="ISO",VALUE(RIGHT(C466,2)),IF(D466="DMY",VALUE(LEFT(C466,2)),0))</f>
        <v>23</v>
      </c>
      <c r="H466" s="7">
        <f>IF(AND(D466&lt;&gt;"OTHER",F466&gt;=1,F466&lt;=12,G466&gt;=1,G466&lt;=31),IF(AND(MONTH(DATE(E466,F466,G466))=F466,DAY(DATE(E466,F466,G466))=G466),1,0),0)</f>
        <v>1</v>
      </c>
      <c r="I466" s="7">
        <f>IF(H466=1,DATE(E466,F466,G466),"")</f>
        <v>46135.0</v>
      </c>
      <c r="J466" s="7">
        <f>IF(AND(D466="DMY",H466=1),1,0)</f>
        <v>0</v>
      </c>
      <c r="K466" s="7">
        <f>IF(H466=0,1,0)</f>
        <v>0</v>
      </c>
      <c r="L466" s="7">
        <f>IF(TRIM(Raw_Bookings!I466&amp;"")="",1,0)</f>
        <v>0</v>
      </c>
      <c r="M466" s="7">
        <f>IF(L466=1,"",DATEVALUE(LEFT(Raw_Bookings!I466,10))+TIMEVALUE(MID(Raw_Bookings!I466,12,8)))</f>
        <v>46076.3275</v>
      </c>
      <c r="N466" s="7">
        <f>IF(AND(L466=0,H466=1),IF(INT(M466)&gt;I466,1,0),0)</f>
        <v>0</v>
      </c>
      <c r="O466" s="7" t="str">
        <f>UPPER(TRIM(Raw_Bookings!F466))</f>
        <v>HYD</v>
      </c>
      <c r="P466" s="7" t="str">
        <f>UPPER(TRIM(Raw_Bookings!G466))</f>
        <v>KOL</v>
      </c>
      <c r="Q466" s="7">
        <f>IF(COUNTIF(Lookup_Stations!$A$2:$A$33,O466)&gt;0,1,0)</f>
        <v>1</v>
      </c>
      <c r="R466" s="7">
        <f>IF(COUNTIF(Lookup_Stations!$A$2:$A$33,P466)&gt;0,1,0)</f>
        <v>1</v>
      </c>
      <c r="S466" s="7">
        <f>IF(OR(AND(Q466=1,NOT(EXACT(Raw_Bookings!F466,O466))),AND(R466=1,NOT(EXACT(Raw_Bookings!G466,P466)))),1,0)</f>
        <v>0</v>
      </c>
      <c r="T466" s="7">
        <f>IF(OR(Q466=0,R466=0),1,0)</f>
        <v>0</v>
      </c>
      <c r="U466" s="7">
        <f>IF(TRIM(Raw_Bookings!E466&amp;"")="",1,0)</f>
        <v>0</v>
      </c>
      <c r="V466" s="7" t="str">
        <f>IF(SUMPRODUCT(--(Lookup_Status!$A$2:$A$13=LOWER(TRIM(Raw_Bookings!K466))))=0,"",INDEX(Lookup_Status!$B$2:$B$13,SUMPRODUCT((Lookup_Status!$A$2:$A$13=LOWER(TRIM(Raw_Bookings!K466)))*(ROW(Lookup_Status!$A$2:$A$13)-1))))</f>
        <v>Confirmed</v>
      </c>
      <c r="W466" s="7">
        <f>IF(AND(V466&lt;&gt;"",NOT(EXACT(Raw_Bookings!K466,V466))),1,0)</f>
        <v>0</v>
      </c>
      <c r="X466" s="7">
        <f>IF(V466="",1,0)</f>
        <v>0</v>
      </c>
      <c r="Y466" s="7">
        <f>IF(TRIM(Raw_Bookings!L466&amp;"")="",1,0)</f>
        <v>0</v>
      </c>
      <c r="Z466" s="7">
        <f>IF(AND(ISTEXT(Raw_Bookings!L466),Y466=0),1,0)</f>
        <v>0</v>
      </c>
      <c r="AA466" s="7">
        <f>IF(Z466=1,IFERROR(VALUE(SUBSTITUTE(SUBSTITUTE(SUBSTITUTE(SUBSTITUTE(SUBSTITUTE(UPPER(Raw_Bookings!L466),"RS.",""),"₹",""),",","")," ",""),"INR","")),""),"")</f>
        <v/>
      </c>
      <c r="AB466" s="7">
        <f>IF(AND(Z466=1,ISNUMBER(AA466)),1,0)</f>
        <v>0</v>
      </c>
      <c r="AC466" s="7">
        <f>IF(B466=1,0,IF(NOT(ISNUMBER(Raw_Bookings!J466)),1,IF(Raw_Bookings!J466&lt;&gt;COUNTIFS(Work_Passengers!$B$2:$B$1336,Raw_Bookings!A466,Work_Passengers!$C$2:$C$1336,0),1,0)))</f>
        <v>0</v>
      </c>
    </row>
    <row r="467" spans="1:29">
      <c r="A467" s="7">
        <f>Raw_Bookings!A467</f>
        <v>1154784</v>
      </c>
      <c r="B467" s="7">
        <f>IF(COUNTIF(Raw_Bookings!$A$2:A467,Raw_Bookings!A467)&gt;1,1,0)</f>
        <v>0</v>
      </c>
      <c r="C467" s="7" t="str">
        <f>Raw_Bookings!D467&amp;""</f>
        <v>2026-05-14</v>
      </c>
      <c r="D467" s="7" t="str">
        <f>IF(AND(LEN(C467)=10,MID(C467,5,1)="-",MID(C467,8,1)="-"),"ISO",IF(AND(LEN(C467)=10,MID(C467,3,1)="-",MID(C467,6,1)="-"),"DMY","OTHER"))</f>
        <v>ISO</v>
      </c>
      <c r="E467" s="7">
        <f>IF(D467="ISO",VALUE(LEFT(C467,4)),IF(D467="DMY",VALUE(RIGHT(C467,4)),0))</f>
        <v>2026</v>
      </c>
      <c r="F467" s="7">
        <f>IF(D467="ISO",VALUE(MID(C467,6,2)),IF(D467="DMY",VALUE(MID(C467,4,2)),0))</f>
        <v>5</v>
      </c>
      <c r="G467" s="7">
        <f>IF(D467="ISO",VALUE(RIGHT(C467,2)),IF(D467="DMY",VALUE(LEFT(C467,2)),0))</f>
        <v>14</v>
      </c>
      <c r="H467" s="7">
        <f>IF(AND(D467&lt;&gt;"OTHER",F467&gt;=1,F467&lt;=12,G467&gt;=1,G467&lt;=31),IF(AND(MONTH(DATE(E467,F467,G467))=F467,DAY(DATE(E467,F467,G467))=G467),1,0),0)</f>
        <v>1</v>
      </c>
      <c r="I467" s="7">
        <f>IF(H467=1,DATE(E467,F467,G467),"")</f>
        <v>46156.0</v>
      </c>
      <c r="J467" s="7">
        <f>IF(AND(D467="DMY",H467=1),1,0)</f>
        <v>0</v>
      </c>
      <c r="K467" s="7">
        <f>IF(H467=0,1,0)</f>
        <v>0</v>
      </c>
      <c r="L467" s="7">
        <f>IF(TRIM(Raw_Bookings!I467&amp;"")="",1,0)</f>
        <v>0</v>
      </c>
      <c r="M467" s="7">
        <f>IF(L467=1,"",DATEVALUE(LEFT(Raw_Bookings!I467,10))+TIMEVALUE(MID(Raw_Bookings!I467,12,8)))</f>
        <v>46076.616215277776</v>
      </c>
      <c r="N467" s="7">
        <f>IF(AND(L467=0,H467=1),IF(INT(M467)&gt;I467,1,0),0)</f>
        <v>0</v>
      </c>
      <c r="O467" s="7" t="str">
        <f>UPPER(TRIM(Raw_Bookings!F467))</f>
        <v>CHE</v>
      </c>
      <c r="P467" s="7" t="str">
        <f>UPPER(TRIM(Raw_Bookings!G467))</f>
        <v>AHM</v>
      </c>
      <c r="Q467" s="7">
        <f>IF(COUNTIF(Lookup_Stations!$A$2:$A$33,O467)&gt;0,1,0)</f>
        <v>1</v>
      </c>
      <c r="R467" s="7">
        <f>IF(COUNTIF(Lookup_Stations!$A$2:$A$33,P467)&gt;0,1,0)</f>
        <v>1</v>
      </c>
      <c r="S467" s="7">
        <f>IF(OR(AND(Q467=1,NOT(EXACT(Raw_Bookings!F467,O467))),AND(R467=1,NOT(EXACT(Raw_Bookings!G467,P467)))),1,0)</f>
        <v>0</v>
      </c>
      <c r="T467" s="7">
        <f>IF(OR(Q467=0,R467=0),1,0)</f>
        <v>0</v>
      </c>
      <c r="U467" s="7">
        <f>IF(TRIM(Raw_Bookings!E467&amp;"")="",1,0)</f>
        <v>0</v>
      </c>
      <c r="V467" s="7" t="str">
        <f>IF(SUMPRODUCT(--(Lookup_Status!$A$2:$A$13=LOWER(TRIM(Raw_Bookings!K467))))=0,"",INDEX(Lookup_Status!$B$2:$B$13,SUMPRODUCT((Lookup_Status!$A$2:$A$13=LOWER(TRIM(Raw_Bookings!K467)))*(ROW(Lookup_Status!$A$2:$A$13)-1))))</f>
        <v>Confirmed</v>
      </c>
      <c r="W467" s="7">
        <f>IF(AND(V467&lt;&gt;"",NOT(EXACT(Raw_Bookings!K467,V467))),1,0)</f>
        <v>0</v>
      </c>
      <c r="X467" s="7">
        <f>IF(V467="",1,0)</f>
        <v>0</v>
      </c>
      <c r="Y467" s="7">
        <f>IF(TRIM(Raw_Bookings!L467&amp;"")="",1,0)</f>
        <v>0</v>
      </c>
      <c r="Z467" s="7">
        <f>IF(AND(ISTEXT(Raw_Bookings!L467),Y467=0),1,0)</f>
        <v>0</v>
      </c>
      <c r="AA467" s="7">
        <f>IF(Z467=1,IFERROR(VALUE(SUBSTITUTE(SUBSTITUTE(SUBSTITUTE(SUBSTITUTE(SUBSTITUTE(UPPER(Raw_Bookings!L467),"RS.",""),"₹",""),",","")," ",""),"INR","")),""),"")</f>
        <v/>
      </c>
      <c r="AB467" s="7">
        <f>IF(AND(Z467=1,ISNUMBER(AA467)),1,0)</f>
        <v>0</v>
      </c>
      <c r="AC467" s="7">
        <f>IF(B467=1,0,IF(NOT(ISNUMBER(Raw_Bookings!J467)),1,IF(Raw_Bookings!J467&lt;&gt;COUNTIFS(Work_Passengers!$B$2:$B$1336,Raw_Bookings!A467,Work_Passengers!$C$2:$C$1336,0),1,0)))</f>
        <v>0</v>
      </c>
    </row>
    <row r="468" spans="1:29">
      <c r="A468" s="7">
        <f>Raw_Bookings!A468</f>
        <v>1154799</v>
      </c>
      <c r="B468" s="7">
        <f>IF(COUNTIF(Raw_Bookings!$A$2:A468,Raw_Bookings!A468)&gt;1,1,0)</f>
        <v>0</v>
      </c>
      <c r="C468" s="7" t="str">
        <f>Raw_Bookings!D468&amp;""</f>
        <v>2026-03-11</v>
      </c>
      <c r="D468" s="7" t="str">
        <f>IF(AND(LEN(C468)=10,MID(C468,5,1)="-",MID(C468,8,1)="-"),"ISO",IF(AND(LEN(C468)=10,MID(C468,3,1)="-",MID(C468,6,1)="-"),"DMY","OTHER"))</f>
        <v>ISO</v>
      </c>
      <c r="E468" s="7">
        <f>IF(D468="ISO",VALUE(LEFT(C468,4)),IF(D468="DMY",VALUE(RIGHT(C468,4)),0))</f>
        <v>2026</v>
      </c>
      <c r="F468" s="7">
        <f>IF(D468="ISO",VALUE(MID(C468,6,2)),IF(D468="DMY",VALUE(MID(C468,4,2)),0))</f>
        <v>3</v>
      </c>
      <c r="G468" s="7">
        <f>IF(D468="ISO",VALUE(RIGHT(C468,2)),IF(D468="DMY",VALUE(LEFT(C468,2)),0))</f>
        <v>11</v>
      </c>
      <c r="H468" s="7">
        <f>IF(AND(D468&lt;&gt;"OTHER",F468&gt;=1,F468&lt;=12,G468&gt;=1,G468&lt;=31),IF(AND(MONTH(DATE(E468,F468,G468))=F468,DAY(DATE(E468,F468,G468))=G468),1,0),0)</f>
        <v>1</v>
      </c>
      <c r="I468" s="7">
        <f>IF(H468=1,DATE(E468,F468,G468),"")</f>
        <v>46092.0</v>
      </c>
      <c r="J468" s="7">
        <f>IF(AND(D468="DMY",H468=1),1,0)</f>
        <v>0</v>
      </c>
      <c r="K468" s="7">
        <f>IF(H468=0,1,0)</f>
        <v>0</v>
      </c>
      <c r="L468" s="7">
        <f>IF(TRIM(Raw_Bookings!I468&amp;"")="",1,0)</f>
        <v>0</v>
      </c>
      <c r="M468" s="7">
        <f>IF(L468=1,"",DATEVALUE(LEFT(Raw_Bookings!I468,10))+TIMEVALUE(MID(Raw_Bookings!I468,12,8)))</f>
        <v>46076.65060185185</v>
      </c>
      <c r="N468" s="7">
        <f>IF(AND(L468=0,H468=1),IF(INT(M468)&gt;I468,1,0),0)</f>
        <v>0</v>
      </c>
      <c r="O468" s="7" t="str">
        <f>UPPER(TRIM(Raw_Bookings!F468))</f>
        <v>AHM</v>
      </c>
      <c r="P468" s="7" t="str">
        <f>UPPER(TRIM(Raw_Bookings!G468))</f>
        <v>CHE</v>
      </c>
      <c r="Q468" s="7">
        <f>IF(COUNTIF(Lookup_Stations!$A$2:$A$33,O468)&gt;0,1,0)</f>
        <v>1</v>
      </c>
      <c r="R468" s="7">
        <f>IF(COUNTIF(Lookup_Stations!$A$2:$A$33,P468)&gt;0,1,0)</f>
        <v>1</v>
      </c>
      <c r="S468" s="7">
        <f>IF(OR(AND(Q468=1,NOT(EXACT(Raw_Bookings!F468,O468))),AND(R468=1,NOT(EXACT(Raw_Bookings!G468,P468)))),1,0)</f>
        <v>0</v>
      </c>
      <c r="T468" s="7">
        <f>IF(OR(Q468=0,R468=0),1,0)</f>
        <v>0</v>
      </c>
      <c r="U468" s="7">
        <f>IF(TRIM(Raw_Bookings!E468&amp;"")="",1,0)</f>
        <v>0</v>
      </c>
      <c r="V468" s="7" t="str">
        <f>IF(SUMPRODUCT(--(Lookup_Status!$A$2:$A$13=LOWER(TRIM(Raw_Bookings!K468))))=0,"",INDEX(Lookup_Status!$B$2:$B$13,SUMPRODUCT((Lookup_Status!$A$2:$A$13=LOWER(TRIM(Raw_Bookings!K468)))*(ROW(Lookup_Status!$A$2:$A$13)-1))))</f>
        <v>Confirmed</v>
      </c>
      <c r="W468" s="7">
        <f>IF(AND(V468&lt;&gt;"",NOT(EXACT(Raw_Bookings!K468,V468))),1,0)</f>
        <v>0</v>
      </c>
      <c r="X468" s="7">
        <f>IF(V468="",1,0)</f>
        <v>0</v>
      </c>
      <c r="Y468" s="7">
        <f>IF(TRIM(Raw_Bookings!L468&amp;"")="",1,0)</f>
        <v>0</v>
      </c>
      <c r="Z468" s="7">
        <f>IF(AND(ISTEXT(Raw_Bookings!L468),Y468=0),1,0)</f>
        <v>0</v>
      </c>
      <c r="AA468" s="7">
        <f>IF(Z468=1,IFERROR(VALUE(SUBSTITUTE(SUBSTITUTE(SUBSTITUTE(SUBSTITUTE(SUBSTITUTE(UPPER(Raw_Bookings!L468),"RS.",""),"₹",""),",","")," ",""),"INR","")),""),"")</f>
        <v/>
      </c>
      <c r="AB468" s="7">
        <f>IF(AND(Z468=1,ISNUMBER(AA468)),1,0)</f>
        <v>0</v>
      </c>
      <c r="AC468" s="7">
        <f>IF(B468=1,0,IF(NOT(ISNUMBER(Raw_Bookings!J468)),1,IF(Raw_Bookings!J468&lt;&gt;COUNTIFS(Work_Passengers!$B$2:$B$1336,Raw_Bookings!A468,Work_Passengers!$C$2:$C$1336,0),1,0)))</f>
        <v>0</v>
      </c>
    </row>
    <row r="469" spans="1:29">
      <c r="A469" s="7">
        <f>Raw_Bookings!A469</f>
        <v>1154897</v>
      </c>
      <c r="B469" s="7">
        <f>IF(COUNTIF(Raw_Bookings!$A$2:A469,Raw_Bookings!A469)&gt;1,1,0)</f>
        <v>0</v>
      </c>
      <c r="C469" s="7" t="str">
        <f>Raw_Bookings!D469&amp;""</f>
        <v>2026-03-01</v>
      </c>
      <c r="D469" s="7" t="str">
        <f>IF(AND(LEN(C469)=10,MID(C469,5,1)="-",MID(C469,8,1)="-"),"ISO",IF(AND(LEN(C469)=10,MID(C469,3,1)="-",MID(C469,6,1)="-"),"DMY","OTHER"))</f>
        <v>ISO</v>
      </c>
      <c r="E469" s="7">
        <f>IF(D469="ISO",VALUE(LEFT(C469,4)),IF(D469="DMY",VALUE(RIGHT(C469,4)),0))</f>
        <v>2026</v>
      </c>
      <c r="F469" s="7">
        <f>IF(D469="ISO",VALUE(MID(C469,6,2)),IF(D469="DMY",VALUE(MID(C469,4,2)),0))</f>
        <v>3</v>
      </c>
      <c r="G469" s="7">
        <f>IF(D469="ISO",VALUE(RIGHT(C469,2)),IF(D469="DMY",VALUE(LEFT(C469,2)),0))</f>
        <v>1</v>
      </c>
      <c r="H469" s="7">
        <f>IF(AND(D469&lt;&gt;"OTHER",F469&gt;=1,F469&lt;=12,G469&gt;=1,G469&lt;=31),IF(AND(MONTH(DATE(E469,F469,G469))=F469,DAY(DATE(E469,F469,G469))=G469),1,0),0)</f>
        <v>1</v>
      </c>
      <c r="I469" s="7">
        <f>IF(H469=1,DATE(E469,F469,G469),"")</f>
        <v>46082.0</v>
      </c>
      <c r="J469" s="7">
        <f>IF(AND(D469="DMY",H469=1),1,0)</f>
        <v>0</v>
      </c>
      <c r="K469" s="7">
        <f>IF(H469=0,1,0)</f>
        <v>0</v>
      </c>
      <c r="L469" s="7">
        <f>IF(TRIM(Raw_Bookings!I469&amp;"")="",1,0)</f>
        <v>0</v>
      </c>
      <c r="M469" s="7">
        <f>IF(L469=1,"",DATEVALUE(LEFT(Raw_Bookings!I469,10))+TIMEVALUE(MID(Raw_Bookings!I469,12,8)))</f>
        <v>46076.87965277778</v>
      </c>
      <c r="N469" s="7">
        <f>IF(AND(L469=0,H469=1),IF(INT(M469)&gt;I469,1,0),0)</f>
        <v>0</v>
      </c>
      <c r="O469" s="7" t="str">
        <f>UPPER(TRIM(Raw_Bookings!F469))</f>
        <v>THI</v>
      </c>
      <c r="P469" s="7" t="str">
        <f>UPPER(TRIM(Raw_Bookings!G469))</f>
        <v>NAG</v>
      </c>
      <c r="Q469" s="7">
        <f>IF(COUNTIF(Lookup_Stations!$A$2:$A$33,O469)&gt;0,1,0)</f>
        <v>1</v>
      </c>
      <c r="R469" s="7">
        <f>IF(COUNTIF(Lookup_Stations!$A$2:$A$33,P469)&gt;0,1,0)</f>
        <v>1</v>
      </c>
      <c r="S469" s="7">
        <f>IF(OR(AND(Q469=1,NOT(EXACT(Raw_Bookings!F469,O469))),AND(R469=1,NOT(EXACT(Raw_Bookings!G469,P469)))),1,0)</f>
        <v>0</v>
      </c>
      <c r="T469" s="7">
        <f>IF(OR(Q469=0,R469=0),1,0)</f>
        <v>0</v>
      </c>
      <c r="U469" s="7">
        <f>IF(TRIM(Raw_Bookings!E469&amp;"")="",1,0)</f>
        <v>0</v>
      </c>
      <c r="V469" s="7" t="str">
        <f>IF(SUMPRODUCT(--(Lookup_Status!$A$2:$A$13=LOWER(TRIM(Raw_Bookings!K469))))=0,"",INDEX(Lookup_Status!$B$2:$B$13,SUMPRODUCT((Lookup_Status!$A$2:$A$13=LOWER(TRIM(Raw_Bookings!K469)))*(ROW(Lookup_Status!$A$2:$A$13)-1))))</f>
        <v>Confirmed</v>
      </c>
      <c r="W469" s="7">
        <f>IF(AND(V469&lt;&gt;"",NOT(EXACT(Raw_Bookings!K469,V469))),1,0)</f>
        <v>0</v>
      </c>
      <c r="X469" s="7">
        <f>IF(V469="",1,0)</f>
        <v>0</v>
      </c>
      <c r="Y469" s="7">
        <f>IF(TRIM(Raw_Bookings!L469&amp;"")="",1,0)</f>
        <v>0</v>
      </c>
      <c r="Z469" s="7">
        <f>IF(AND(ISTEXT(Raw_Bookings!L469),Y469=0),1,0)</f>
        <v>0</v>
      </c>
      <c r="AA469" s="7">
        <f>IF(Z469=1,IFERROR(VALUE(SUBSTITUTE(SUBSTITUTE(SUBSTITUTE(SUBSTITUTE(SUBSTITUTE(UPPER(Raw_Bookings!L469),"RS.",""),"₹",""),",","")," ",""),"INR","")),""),"")</f>
        <v/>
      </c>
      <c r="AB469" s="7">
        <f>IF(AND(Z469=1,ISNUMBER(AA469)),1,0)</f>
        <v>0</v>
      </c>
      <c r="AC469" s="7">
        <f>IF(B469=1,0,IF(NOT(ISNUMBER(Raw_Bookings!J469)),1,IF(Raw_Bookings!J469&lt;&gt;COUNTIFS(Work_Passengers!$B$2:$B$1336,Raw_Bookings!A469,Work_Passengers!$C$2:$C$1336,0),1,0)))</f>
        <v>0</v>
      </c>
    </row>
    <row r="470" spans="1:29">
      <c r="A470" s="7">
        <f>Raw_Bookings!A470</f>
        <v>1155002</v>
      </c>
      <c r="B470" s="7">
        <f>IF(COUNTIF(Raw_Bookings!$A$2:A470,Raw_Bookings!A470)&gt;1,1,0)</f>
        <v>0</v>
      </c>
      <c r="C470" s="7" t="str">
        <f>Raw_Bookings!D470&amp;""</f>
        <v>2026-04-20</v>
      </c>
      <c r="D470" s="7" t="str">
        <f>IF(AND(LEN(C470)=10,MID(C470,5,1)="-",MID(C470,8,1)="-"),"ISO",IF(AND(LEN(C470)=10,MID(C470,3,1)="-",MID(C470,6,1)="-"),"DMY","OTHER"))</f>
        <v>ISO</v>
      </c>
      <c r="E470" s="7">
        <f>IF(D470="ISO",VALUE(LEFT(C470,4)),IF(D470="DMY",VALUE(RIGHT(C470,4)),0))</f>
        <v>2026</v>
      </c>
      <c r="F470" s="7">
        <f>IF(D470="ISO",VALUE(MID(C470,6,2)),IF(D470="DMY",VALUE(MID(C470,4,2)),0))</f>
        <v>4</v>
      </c>
      <c r="G470" s="7">
        <f>IF(D470="ISO",VALUE(RIGHT(C470,2)),IF(D470="DMY",VALUE(LEFT(C470,2)),0))</f>
        <v>20</v>
      </c>
      <c r="H470" s="7">
        <f>IF(AND(D470&lt;&gt;"OTHER",F470&gt;=1,F470&lt;=12,G470&gt;=1,G470&lt;=31),IF(AND(MONTH(DATE(E470,F470,G470))=F470,DAY(DATE(E470,F470,G470))=G470),1,0),0)</f>
        <v>1</v>
      </c>
      <c r="I470" s="7">
        <f>IF(H470=1,DATE(E470,F470,G470),"")</f>
        <v>46132.0</v>
      </c>
      <c r="J470" s="7">
        <f>IF(AND(D470="DMY",H470=1),1,0)</f>
        <v>0</v>
      </c>
      <c r="K470" s="7">
        <f>IF(H470=0,1,0)</f>
        <v>0</v>
      </c>
      <c r="L470" s="7">
        <f>IF(TRIM(Raw_Bookings!I470&amp;"")="",1,0)</f>
        <v>0</v>
      </c>
      <c r="M470" s="7">
        <f>IF(L470=1,"",DATEVALUE(LEFT(Raw_Bookings!I470,10))+TIMEVALUE(MID(Raw_Bookings!I470,12,8)))</f>
        <v>46077.411469907405</v>
      </c>
      <c r="N470" s="7">
        <f>IF(AND(L470=0,H470=1),IF(INT(M470)&gt;I470,1,0),0)</f>
        <v>0</v>
      </c>
      <c r="O470" s="7" t="str">
        <f>UPPER(TRIM(Raw_Bookings!F470))</f>
        <v>HYD</v>
      </c>
      <c r="P470" s="7" t="str">
        <f>UPPER(TRIM(Raw_Bookings!G470))</f>
        <v>KOL</v>
      </c>
      <c r="Q470" s="7">
        <f>IF(COUNTIF(Lookup_Stations!$A$2:$A$33,O470)&gt;0,1,0)</f>
        <v>1</v>
      </c>
      <c r="R470" s="7">
        <f>IF(COUNTIF(Lookup_Stations!$A$2:$A$33,P470)&gt;0,1,0)</f>
        <v>1</v>
      </c>
      <c r="S470" s="7">
        <f>IF(OR(AND(Q470=1,NOT(EXACT(Raw_Bookings!F470,O470))),AND(R470=1,NOT(EXACT(Raw_Bookings!G470,P470)))),1,0)</f>
        <v>0</v>
      </c>
      <c r="T470" s="7">
        <f>IF(OR(Q470=0,R470=0),1,0)</f>
        <v>0</v>
      </c>
      <c r="U470" s="7">
        <f>IF(TRIM(Raw_Bookings!E470&amp;"")="",1,0)</f>
        <v>0</v>
      </c>
      <c r="V470" s="7" t="str">
        <f>IF(SUMPRODUCT(--(Lookup_Status!$A$2:$A$13=LOWER(TRIM(Raw_Bookings!K470))))=0,"",INDEX(Lookup_Status!$B$2:$B$13,SUMPRODUCT((Lookup_Status!$A$2:$A$13=LOWER(TRIM(Raw_Bookings!K470)))*(ROW(Lookup_Status!$A$2:$A$13)-1))))</f>
        <v>Confirmed</v>
      </c>
      <c r="W470" s="7">
        <f>IF(AND(V470&lt;&gt;"",NOT(EXACT(Raw_Bookings!K470,V470))),1,0)</f>
        <v>0</v>
      </c>
      <c r="X470" s="7">
        <f>IF(V470="",1,0)</f>
        <v>0</v>
      </c>
      <c r="Y470" s="7">
        <f>IF(TRIM(Raw_Bookings!L470&amp;"")="",1,0)</f>
        <v>0</v>
      </c>
      <c r="Z470" s="7">
        <f>IF(AND(ISTEXT(Raw_Bookings!L470),Y470=0),1,0)</f>
        <v>0</v>
      </c>
      <c r="AA470" s="7">
        <f>IF(Z470=1,IFERROR(VALUE(SUBSTITUTE(SUBSTITUTE(SUBSTITUTE(SUBSTITUTE(SUBSTITUTE(UPPER(Raw_Bookings!L470),"RS.",""),"₹",""),",","")," ",""),"INR","")),""),"")</f>
        <v/>
      </c>
      <c r="AB470" s="7">
        <f>IF(AND(Z470=1,ISNUMBER(AA470)),1,0)</f>
        <v>0</v>
      </c>
      <c r="AC470" s="7">
        <f>IF(B470=1,0,IF(NOT(ISNUMBER(Raw_Bookings!J470)),1,IF(Raw_Bookings!J470&lt;&gt;COUNTIFS(Work_Passengers!$B$2:$B$1336,Raw_Bookings!A470,Work_Passengers!$C$2:$C$1336,0),1,0)))</f>
        <v>0</v>
      </c>
    </row>
    <row r="471" spans="1:29">
      <c r="A471" s="7">
        <f>Raw_Bookings!A471</f>
        <v>1155548</v>
      </c>
      <c r="B471" s="7">
        <f>IF(COUNTIF(Raw_Bookings!$A$2:A471,Raw_Bookings!A471)&gt;1,1,0)</f>
        <v>0</v>
      </c>
      <c r="C471" s="7" t="str">
        <f>Raw_Bookings!D471&amp;""</f>
        <v>2026-06-25</v>
      </c>
      <c r="D471" s="7" t="str">
        <f>IF(AND(LEN(C471)=10,MID(C471,5,1)="-",MID(C471,8,1)="-"),"ISO",IF(AND(LEN(C471)=10,MID(C471,3,1)="-",MID(C471,6,1)="-"),"DMY","OTHER"))</f>
        <v>ISO</v>
      </c>
      <c r="E471" s="7">
        <f>IF(D471="ISO",VALUE(LEFT(C471,4)),IF(D471="DMY",VALUE(RIGHT(C471,4)),0))</f>
        <v>2026</v>
      </c>
      <c r="F471" s="7">
        <f>IF(D471="ISO",VALUE(MID(C471,6,2)),IF(D471="DMY",VALUE(MID(C471,4,2)),0))</f>
        <v>6</v>
      </c>
      <c r="G471" s="7">
        <f>IF(D471="ISO",VALUE(RIGHT(C471,2)),IF(D471="DMY",VALUE(LEFT(C471,2)),0))</f>
        <v>25</v>
      </c>
      <c r="H471" s="7">
        <f>IF(AND(D471&lt;&gt;"OTHER",F471&gt;=1,F471&lt;=12,G471&gt;=1,G471&lt;=31),IF(AND(MONTH(DATE(E471,F471,G471))=F471,DAY(DATE(E471,F471,G471))=G471),1,0),0)</f>
        <v>1</v>
      </c>
      <c r="I471" s="7">
        <f>IF(H471=1,DATE(E471,F471,G471),"")</f>
        <v>46198.0</v>
      </c>
      <c r="J471" s="7">
        <f>IF(AND(D471="DMY",H471=1),1,0)</f>
        <v>0</v>
      </c>
      <c r="K471" s="7">
        <f>IF(H471=0,1,0)</f>
        <v>0</v>
      </c>
      <c r="L471" s="7">
        <f>IF(TRIM(Raw_Bookings!I471&amp;"")="",1,0)</f>
        <v>0</v>
      </c>
      <c r="M471" s="7">
        <f>IF(L471=1,"",DATEVALUE(LEFT(Raw_Bookings!I471,10))+TIMEVALUE(MID(Raw_Bookings!I471,12,8)))</f>
        <v>46078.900358796294</v>
      </c>
      <c r="N471" s="7">
        <f>IF(AND(L471=0,H471=1),IF(INT(M471)&gt;I471,1,0),0)</f>
        <v>0</v>
      </c>
      <c r="O471" s="7" t="str">
        <f>UPPER(TRIM(Raw_Bookings!F471))</f>
        <v>DEH</v>
      </c>
      <c r="P471" s="7" t="str">
        <f>UPPER(TRIM(Raw_Bookings!G471))</f>
        <v>PUN</v>
      </c>
      <c r="Q471" s="7">
        <f>IF(COUNTIF(Lookup_Stations!$A$2:$A$33,O471)&gt;0,1,0)</f>
        <v>1</v>
      </c>
      <c r="R471" s="7">
        <f>IF(COUNTIF(Lookup_Stations!$A$2:$A$33,P471)&gt;0,1,0)</f>
        <v>1</v>
      </c>
      <c r="S471" s="7">
        <f>IF(OR(AND(Q471=1,NOT(EXACT(Raw_Bookings!F471,O471))),AND(R471=1,NOT(EXACT(Raw_Bookings!G471,P471)))),1,0)</f>
        <v>0</v>
      </c>
      <c r="T471" s="7">
        <f>IF(OR(Q471=0,R471=0),1,0)</f>
        <v>0</v>
      </c>
      <c r="U471" s="7">
        <f>IF(TRIM(Raw_Bookings!E471&amp;"")="",1,0)</f>
        <v>0</v>
      </c>
      <c r="V471" s="7" t="str">
        <f>IF(SUMPRODUCT(--(Lookup_Status!$A$2:$A$13=LOWER(TRIM(Raw_Bookings!K471))))=0,"",INDEX(Lookup_Status!$B$2:$B$13,SUMPRODUCT((Lookup_Status!$A$2:$A$13=LOWER(TRIM(Raw_Bookings!K471)))*(ROW(Lookup_Status!$A$2:$A$13)-1))))</f>
        <v>Cancelled</v>
      </c>
      <c r="W471" s="7">
        <f>IF(AND(V471&lt;&gt;"",NOT(EXACT(Raw_Bookings!K471,V471))),1,0)</f>
        <v>0</v>
      </c>
      <c r="X471" s="7">
        <f>IF(V471="",1,0)</f>
        <v>0</v>
      </c>
      <c r="Y471" s="7">
        <f>IF(TRIM(Raw_Bookings!L471&amp;"")="",1,0)</f>
        <v>0</v>
      </c>
      <c r="Z471" s="7">
        <f>IF(AND(ISTEXT(Raw_Bookings!L471),Y471=0),1,0)</f>
        <v>0</v>
      </c>
      <c r="AA471" s="7">
        <f>IF(Z471=1,IFERROR(VALUE(SUBSTITUTE(SUBSTITUTE(SUBSTITUTE(SUBSTITUTE(SUBSTITUTE(UPPER(Raw_Bookings!L471),"RS.",""),"₹",""),",","")," ",""),"INR","")),""),"")</f>
        <v/>
      </c>
      <c r="AB471" s="7">
        <f>IF(AND(Z471=1,ISNUMBER(AA471)),1,0)</f>
        <v>0</v>
      </c>
      <c r="AC471" s="7">
        <f>IF(B471=1,0,IF(NOT(ISNUMBER(Raw_Bookings!J471)),1,IF(Raw_Bookings!J471&lt;&gt;COUNTIFS(Work_Passengers!$B$2:$B$1336,Raw_Bookings!A471,Work_Passengers!$C$2:$C$1336,0),1,0)))</f>
        <v>0</v>
      </c>
    </row>
    <row r="472" spans="1:29">
      <c r="A472" s="7">
        <f>Raw_Bookings!A472</f>
        <v>1155881</v>
      </c>
      <c r="B472" s="7">
        <f>IF(COUNTIF(Raw_Bookings!$A$2:A472,Raw_Bookings!A472)&gt;1,1,0)</f>
        <v>0</v>
      </c>
      <c r="C472" s="7" t="str">
        <f>Raw_Bookings!D472&amp;""</f>
        <v>2026-04-28</v>
      </c>
      <c r="D472" s="7" t="str">
        <f>IF(AND(LEN(C472)=10,MID(C472,5,1)="-",MID(C472,8,1)="-"),"ISO",IF(AND(LEN(C472)=10,MID(C472,3,1)="-",MID(C472,6,1)="-"),"DMY","OTHER"))</f>
        <v>ISO</v>
      </c>
      <c r="E472" s="7">
        <f>IF(D472="ISO",VALUE(LEFT(C472,4)),IF(D472="DMY",VALUE(RIGHT(C472,4)),0))</f>
        <v>2026</v>
      </c>
      <c r="F472" s="7">
        <f>IF(D472="ISO",VALUE(MID(C472,6,2)),IF(D472="DMY",VALUE(MID(C472,4,2)),0))</f>
        <v>4</v>
      </c>
      <c r="G472" s="7">
        <f>IF(D472="ISO",VALUE(RIGHT(C472,2)),IF(D472="DMY",VALUE(LEFT(C472,2)),0))</f>
        <v>28</v>
      </c>
      <c r="H472" s="7">
        <f>IF(AND(D472&lt;&gt;"OTHER",F472&gt;=1,F472&lt;=12,G472&gt;=1,G472&lt;=31),IF(AND(MONTH(DATE(E472,F472,G472))=F472,DAY(DATE(E472,F472,G472))=G472),1,0),0)</f>
        <v>1</v>
      </c>
      <c r="I472" s="7">
        <f>IF(H472=1,DATE(E472,F472,G472),"")</f>
        <v>46140.0</v>
      </c>
      <c r="J472" s="7">
        <f>IF(AND(D472="DMY",H472=1),1,0)</f>
        <v>0</v>
      </c>
      <c r="K472" s="7">
        <f>IF(H472=0,1,0)</f>
        <v>0</v>
      </c>
      <c r="L472" s="7">
        <f>IF(TRIM(Raw_Bookings!I472&amp;"")="",1,0)</f>
        <v>0</v>
      </c>
      <c r="M472" s="7">
        <f>IF(L472=1,"",DATEVALUE(LEFT(Raw_Bookings!I472,10))+TIMEVALUE(MID(Raw_Bookings!I472,12,8)))</f>
        <v>46080.05730324074</v>
      </c>
      <c r="N472" s="7">
        <f>IF(AND(L472=0,H472=1),IF(INT(M472)&gt;I472,1,0),0)</f>
        <v>0</v>
      </c>
      <c r="O472" s="7" t="str">
        <f>UPPER(TRIM(Raw_Bookings!F472))</f>
        <v>BHO</v>
      </c>
      <c r="P472" s="7" t="str">
        <f>UPPER(TRIM(Raw_Bookings!G472))</f>
        <v>JAI</v>
      </c>
      <c r="Q472" s="7">
        <f>IF(COUNTIF(Lookup_Stations!$A$2:$A$33,O472)&gt;0,1,0)</f>
        <v>1</v>
      </c>
      <c r="R472" s="7">
        <f>IF(COUNTIF(Lookup_Stations!$A$2:$A$33,P472)&gt;0,1,0)</f>
        <v>1</v>
      </c>
      <c r="S472" s="7">
        <f>IF(OR(AND(Q472=1,NOT(EXACT(Raw_Bookings!F472,O472))),AND(R472=1,NOT(EXACT(Raw_Bookings!G472,P472)))),1,0)</f>
        <v>0</v>
      </c>
      <c r="T472" s="7">
        <f>IF(OR(Q472=0,R472=0),1,0)</f>
        <v>0</v>
      </c>
      <c r="U472" s="7">
        <f>IF(TRIM(Raw_Bookings!E472&amp;"")="",1,0)</f>
        <v>0</v>
      </c>
      <c r="V472" s="7" t="str">
        <f>IF(SUMPRODUCT(--(Lookup_Status!$A$2:$A$13=LOWER(TRIM(Raw_Bookings!K472))))=0,"",INDEX(Lookup_Status!$B$2:$B$13,SUMPRODUCT((Lookup_Status!$A$2:$A$13=LOWER(TRIM(Raw_Bookings!K472)))*(ROW(Lookup_Status!$A$2:$A$13)-1))))</f>
        <v>Confirmed</v>
      </c>
      <c r="W472" s="7">
        <f>IF(AND(V472&lt;&gt;"",NOT(EXACT(Raw_Bookings!K472,V472))),1,0)</f>
        <v>0</v>
      </c>
      <c r="X472" s="7">
        <f>IF(V472="",1,0)</f>
        <v>0</v>
      </c>
      <c r="Y472" s="7">
        <f>IF(TRIM(Raw_Bookings!L472&amp;"")="",1,0)</f>
        <v>0</v>
      </c>
      <c r="Z472" s="7">
        <f>IF(AND(ISTEXT(Raw_Bookings!L472),Y472=0),1,0)</f>
        <v>0</v>
      </c>
      <c r="AA472" s="7">
        <f>IF(Z472=1,IFERROR(VALUE(SUBSTITUTE(SUBSTITUTE(SUBSTITUTE(SUBSTITUTE(SUBSTITUTE(UPPER(Raw_Bookings!L472),"RS.",""),"₹",""),",","")," ",""),"INR","")),""),"")</f>
        <v/>
      </c>
      <c r="AB472" s="7">
        <f>IF(AND(Z472=1,ISNUMBER(AA472)),1,0)</f>
        <v>0</v>
      </c>
      <c r="AC472" s="7">
        <f>IF(B472=1,0,IF(NOT(ISNUMBER(Raw_Bookings!J472)),1,IF(Raw_Bookings!J472&lt;&gt;COUNTIFS(Work_Passengers!$B$2:$B$1336,Raw_Bookings!A472,Work_Passengers!$C$2:$C$1336,0),1,0)))</f>
        <v>0</v>
      </c>
    </row>
    <row r="473" spans="1:29">
      <c r="A473" s="7">
        <f>Raw_Bookings!A473</f>
        <v>1155958</v>
      </c>
      <c r="B473" s="7">
        <f>IF(COUNTIF(Raw_Bookings!$A$2:A473,Raw_Bookings!A473)&gt;1,1,0)</f>
        <v>0</v>
      </c>
      <c r="C473" s="7" t="str">
        <f>Raw_Bookings!D473&amp;""</f>
        <v>2026-03-02</v>
      </c>
      <c r="D473" s="7" t="str">
        <f>IF(AND(LEN(C473)=10,MID(C473,5,1)="-",MID(C473,8,1)="-"),"ISO",IF(AND(LEN(C473)=10,MID(C473,3,1)="-",MID(C473,6,1)="-"),"DMY","OTHER"))</f>
        <v>ISO</v>
      </c>
      <c r="E473" s="7">
        <f>IF(D473="ISO",VALUE(LEFT(C473,4)),IF(D473="DMY",VALUE(RIGHT(C473,4)),0))</f>
        <v>2026</v>
      </c>
      <c r="F473" s="7">
        <f>IF(D473="ISO",VALUE(MID(C473,6,2)),IF(D473="DMY",VALUE(MID(C473,4,2)),0))</f>
        <v>3</v>
      </c>
      <c r="G473" s="7">
        <f>IF(D473="ISO",VALUE(RIGHT(C473,2)),IF(D473="DMY",VALUE(LEFT(C473,2)),0))</f>
        <v>2</v>
      </c>
      <c r="H473" s="7">
        <f>IF(AND(D473&lt;&gt;"OTHER",F473&gt;=1,F473&lt;=12,G473&gt;=1,G473&lt;=31),IF(AND(MONTH(DATE(E473,F473,G473))=F473,DAY(DATE(E473,F473,G473))=G473),1,0),0)</f>
        <v>1</v>
      </c>
      <c r="I473" s="7">
        <f>IF(H473=1,DATE(E473,F473,G473),"")</f>
        <v>46083.0</v>
      </c>
      <c r="J473" s="7">
        <f>IF(AND(D473="DMY",H473=1),1,0)</f>
        <v>0</v>
      </c>
      <c r="K473" s="7">
        <f>IF(H473=0,1,0)</f>
        <v>0</v>
      </c>
      <c r="L473" s="7">
        <f>IF(TRIM(Raw_Bookings!I473&amp;"")="",1,0)</f>
        <v>0</v>
      </c>
      <c r="M473" s="7">
        <f>IF(L473=1,"",DATEVALUE(LEFT(Raw_Bookings!I473,10))+TIMEVALUE(MID(Raw_Bookings!I473,12,8)))</f>
        <v>46080.38989583333</v>
      </c>
      <c r="N473" s="7">
        <f>IF(AND(L473=0,H473=1),IF(INT(M473)&gt;I473,1,0),0)</f>
        <v>0</v>
      </c>
      <c r="O473" s="7" t="str">
        <f>UPPER(TRIM(Raw_Bookings!F473))</f>
        <v>BEN</v>
      </c>
      <c r="P473" s="7" t="str">
        <f>UPPER(TRIM(Raw_Bookings!G473))</f>
        <v>MUM</v>
      </c>
      <c r="Q473" s="7">
        <f>IF(COUNTIF(Lookup_Stations!$A$2:$A$33,O473)&gt;0,1,0)</f>
        <v>1</v>
      </c>
      <c r="R473" s="7">
        <f>IF(COUNTIF(Lookup_Stations!$A$2:$A$33,P473)&gt;0,1,0)</f>
        <v>1</v>
      </c>
      <c r="S473" s="7">
        <f>IF(OR(AND(Q473=1,NOT(EXACT(Raw_Bookings!F473,O473))),AND(R473=1,NOT(EXACT(Raw_Bookings!G473,P473)))),1,0)</f>
        <v>0</v>
      </c>
      <c r="T473" s="7">
        <f>IF(OR(Q473=0,R473=0),1,0)</f>
        <v>0</v>
      </c>
      <c r="U473" s="7">
        <f>IF(TRIM(Raw_Bookings!E473&amp;"")="",1,0)</f>
        <v>0</v>
      </c>
      <c r="V473" s="7" t="str">
        <f>IF(SUMPRODUCT(--(Lookup_Status!$A$2:$A$13=LOWER(TRIM(Raw_Bookings!K473))))=0,"",INDEX(Lookup_Status!$B$2:$B$13,SUMPRODUCT((Lookup_Status!$A$2:$A$13=LOWER(TRIM(Raw_Bookings!K473)))*(ROW(Lookup_Status!$A$2:$A$13)-1))))</f>
        <v>RAC</v>
      </c>
      <c r="W473" s="7">
        <f>IF(AND(V473&lt;&gt;"",NOT(EXACT(Raw_Bookings!K473,V473))),1,0)</f>
        <v>0</v>
      </c>
      <c r="X473" s="7">
        <f>IF(V473="",1,0)</f>
        <v>0</v>
      </c>
      <c r="Y473" s="7">
        <f>IF(TRIM(Raw_Bookings!L473&amp;"")="",1,0)</f>
        <v>0</v>
      </c>
      <c r="Z473" s="7">
        <f>IF(AND(ISTEXT(Raw_Bookings!L473),Y473=0),1,0)</f>
        <v>0</v>
      </c>
      <c r="AA473" s="7">
        <f>IF(Z473=1,IFERROR(VALUE(SUBSTITUTE(SUBSTITUTE(SUBSTITUTE(SUBSTITUTE(SUBSTITUTE(UPPER(Raw_Bookings!L473),"RS.",""),"₹",""),",","")," ",""),"INR","")),""),"")</f>
        <v/>
      </c>
      <c r="AB473" s="7">
        <f>IF(AND(Z473=1,ISNUMBER(AA473)),1,0)</f>
        <v>0</v>
      </c>
      <c r="AC473" s="7">
        <f>IF(B473=1,0,IF(NOT(ISNUMBER(Raw_Bookings!J473)),1,IF(Raw_Bookings!J473&lt;&gt;COUNTIFS(Work_Passengers!$B$2:$B$1336,Raw_Bookings!A473,Work_Passengers!$C$2:$C$1336,0),1,0)))</f>
        <v>0</v>
      </c>
    </row>
    <row r="474" spans="1:29">
      <c r="A474" s="7">
        <f>Raw_Bookings!A474</f>
        <v>1156722</v>
      </c>
      <c r="B474" s="7">
        <f>IF(COUNTIF(Raw_Bookings!$A$2:A474,Raw_Bookings!A474)&gt;1,1,0)</f>
        <v>0</v>
      </c>
      <c r="C474" s="7" t="str">
        <f>Raw_Bookings!D474&amp;""</f>
        <v>2026-03-02</v>
      </c>
      <c r="D474" s="7" t="str">
        <f>IF(AND(LEN(C474)=10,MID(C474,5,1)="-",MID(C474,8,1)="-"),"ISO",IF(AND(LEN(C474)=10,MID(C474,3,1)="-",MID(C474,6,1)="-"),"DMY","OTHER"))</f>
        <v>ISO</v>
      </c>
      <c r="E474" s="7">
        <f>IF(D474="ISO",VALUE(LEFT(C474,4)),IF(D474="DMY",VALUE(RIGHT(C474,4)),0))</f>
        <v>2026</v>
      </c>
      <c r="F474" s="7">
        <f>IF(D474="ISO",VALUE(MID(C474,6,2)),IF(D474="DMY",VALUE(MID(C474,4,2)),0))</f>
        <v>3</v>
      </c>
      <c r="G474" s="7">
        <f>IF(D474="ISO",VALUE(RIGHT(C474,2)),IF(D474="DMY",VALUE(LEFT(C474,2)),0))</f>
        <v>2</v>
      </c>
      <c r="H474" s="7">
        <f>IF(AND(D474&lt;&gt;"OTHER",F474&gt;=1,F474&lt;=12,G474&gt;=1,G474&lt;=31),IF(AND(MONTH(DATE(E474,F474,G474))=F474,DAY(DATE(E474,F474,G474))=G474),1,0),0)</f>
        <v>1</v>
      </c>
      <c r="I474" s="7">
        <f>IF(H474=1,DATE(E474,F474,G474),"")</f>
        <v>46083.0</v>
      </c>
      <c r="J474" s="7">
        <f>IF(AND(D474="DMY",H474=1),1,0)</f>
        <v>0</v>
      </c>
      <c r="K474" s="7">
        <f>IF(H474=0,1,0)</f>
        <v>0</v>
      </c>
      <c r="L474" s="7">
        <f>IF(TRIM(Raw_Bookings!I474&amp;"")="",1,0)</f>
        <v>0</v>
      </c>
      <c r="M474" s="7">
        <f>IF(L474=1,"",DATEVALUE(LEFT(Raw_Bookings!I474,10))+TIMEVALUE(MID(Raw_Bookings!I474,12,8)))</f>
        <v>46082.66462962963</v>
      </c>
      <c r="N474" s="7">
        <f>IF(AND(L474=0,H474=1),IF(INT(M474)&gt;I474,1,0),0)</f>
        <v>0</v>
      </c>
      <c r="O474" s="7" t="str">
        <f>UPPER(TRIM(Raw_Bookings!F474))</f>
        <v>SUR</v>
      </c>
      <c r="P474" s="7" t="str">
        <f>UPPER(TRIM(Raw_Bookings!G474))</f>
        <v>VAR</v>
      </c>
      <c r="Q474" s="7">
        <f>IF(COUNTIF(Lookup_Stations!$A$2:$A$33,O474)&gt;0,1,0)</f>
        <v>1</v>
      </c>
      <c r="R474" s="7">
        <f>IF(COUNTIF(Lookup_Stations!$A$2:$A$33,P474)&gt;0,1,0)</f>
        <v>1</v>
      </c>
      <c r="S474" s="7">
        <f>IF(OR(AND(Q474=1,NOT(EXACT(Raw_Bookings!F474,O474))),AND(R474=1,NOT(EXACT(Raw_Bookings!G474,P474)))),1,0)</f>
        <v>0</v>
      </c>
      <c r="T474" s="7">
        <f>IF(OR(Q474=0,R474=0),1,0)</f>
        <v>0</v>
      </c>
      <c r="U474" s="7">
        <f>IF(TRIM(Raw_Bookings!E474&amp;"")="",1,0)</f>
        <v>0</v>
      </c>
      <c r="V474" s="7" t="str">
        <f>IF(SUMPRODUCT(--(Lookup_Status!$A$2:$A$13=LOWER(TRIM(Raw_Bookings!K474))))=0,"",INDEX(Lookup_Status!$B$2:$B$13,SUMPRODUCT((Lookup_Status!$A$2:$A$13=LOWER(TRIM(Raw_Bookings!K474)))*(ROW(Lookup_Status!$A$2:$A$13)-1))))</f>
        <v>Waitlisted</v>
      </c>
      <c r="W474" s="7">
        <f>IF(AND(V474&lt;&gt;"",NOT(EXACT(Raw_Bookings!K474,V474))),1,0)</f>
        <v>0</v>
      </c>
      <c r="X474" s="7">
        <f>IF(V474="",1,0)</f>
        <v>0</v>
      </c>
      <c r="Y474" s="7">
        <f>IF(TRIM(Raw_Bookings!L474&amp;"")="",1,0)</f>
        <v>0</v>
      </c>
      <c r="Z474" s="7">
        <f>IF(AND(ISTEXT(Raw_Bookings!L474),Y474=0),1,0)</f>
        <v>0</v>
      </c>
      <c r="AA474" s="7">
        <f>IF(Z474=1,IFERROR(VALUE(SUBSTITUTE(SUBSTITUTE(SUBSTITUTE(SUBSTITUTE(SUBSTITUTE(UPPER(Raw_Bookings!L474),"RS.",""),"₹",""),",","")," ",""),"INR","")),""),"")</f>
        <v/>
      </c>
      <c r="AB474" s="7">
        <f>IF(AND(Z474=1,ISNUMBER(AA474)),1,0)</f>
        <v>0</v>
      </c>
      <c r="AC474" s="7">
        <f>IF(B474=1,0,IF(NOT(ISNUMBER(Raw_Bookings!J474)),1,IF(Raw_Bookings!J474&lt;&gt;COUNTIFS(Work_Passengers!$B$2:$B$1336,Raw_Bookings!A474,Work_Passengers!$C$2:$C$1336,0),1,0)))</f>
        <v>0</v>
      </c>
    </row>
    <row r="475" spans="1:29">
      <c r="A475" s="7">
        <f>Raw_Bookings!A475</f>
        <v>1157753</v>
      </c>
      <c r="B475" s="7">
        <f>IF(COUNTIF(Raw_Bookings!$A$2:A475,Raw_Bookings!A475)&gt;1,1,0)</f>
        <v>0</v>
      </c>
      <c r="C475" s="7" t="str">
        <f>Raw_Bookings!D475&amp;""</f>
        <v>2026-03-11</v>
      </c>
      <c r="D475" s="7" t="str">
        <f>IF(AND(LEN(C475)=10,MID(C475,5,1)="-",MID(C475,8,1)="-"),"ISO",IF(AND(LEN(C475)=10,MID(C475,3,1)="-",MID(C475,6,1)="-"),"DMY","OTHER"))</f>
        <v>ISO</v>
      </c>
      <c r="E475" s="7">
        <f>IF(D475="ISO",VALUE(LEFT(C475,4)),IF(D475="DMY",VALUE(RIGHT(C475,4)),0))</f>
        <v>2026</v>
      </c>
      <c r="F475" s="7">
        <f>IF(D475="ISO",VALUE(MID(C475,6,2)),IF(D475="DMY",VALUE(MID(C475,4,2)),0))</f>
        <v>3</v>
      </c>
      <c r="G475" s="7">
        <f>IF(D475="ISO",VALUE(RIGHT(C475,2)),IF(D475="DMY",VALUE(LEFT(C475,2)),0))</f>
        <v>11</v>
      </c>
      <c r="H475" s="7">
        <f>IF(AND(D475&lt;&gt;"OTHER",F475&gt;=1,F475&lt;=12,G475&gt;=1,G475&lt;=31),IF(AND(MONTH(DATE(E475,F475,G475))=F475,DAY(DATE(E475,F475,G475))=G475),1,0),0)</f>
        <v>1</v>
      </c>
      <c r="I475" s="7">
        <f>IF(H475=1,DATE(E475,F475,G475),"")</f>
        <v>46092.0</v>
      </c>
      <c r="J475" s="7">
        <f>IF(AND(D475="DMY",H475=1),1,0)</f>
        <v>0</v>
      </c>
      <c r="K475" s="7">
        <f>IF(H475=0,1,0)</f>
        <v>0</v>
      </c>
      <c r="L475" s="7">
        <f>IF(TRIM(Raw_Bookings!I475&amp;"")="",1,0)</f>
        <v>0</v>
      </c>
      <c r="M475" s="7">
        <f>IF(L475=1,"",DATEVALUE(LEFT(Raw_Bookings!I475,10))+TIMEVALUE(MID(Raw_Bookings!I475,12,8)))</f>
        <v>46085.82247685185</v>
      </c>
      <c r="N475" s="7">
        <f>IF(AND(L475=0,H475=1),IF(INT(M475)&gt;I475,1,0),0)</f>
        <v>0</v>
      </c>
      <c r="O475" s="7" t="str">
        <f>UPPER(TRIM(Raw_Bookings!F475))</f>
        <v>HYD</v>
      </c>
      <c r="P475" s="7" t="str">
        <f>UPPER(TRIM(Raw_Bookings!G475))</f>
        <v>KOL</v>
      </c>
      <c r="Q475" s="7">
        <f>IF(COUNTIF(Lookup_Stations!$A$2:$A$33,O475)&gt;0,1,0)</f>
        <v>1</v>
      </c>
      <c r="R475" s="7">
        <f>IF(COUNTIF(Lookup_Stations!$A$2:$A$33,P475)&gt;0,1,0)</f>
        <v>1</v>
      </c>
      <c r="S475" s="7">
        <f>IF(OR(AND(Q475=1,NOT(EXACT(Raw_Bookings!F475,O475))),AND(R475=1,NOT(EXACT(Raw_Bookings!G475,P475)))),1,0)</f>
        <v>0</v>
      </c>
      <c r="T475" s="7">
        <f>IF(OR(Q475=0,R475=0),1,0)</f>
        <v>0</v>
      </c>
      <c r="U475" s="7">
        <f>IF(TRIM(Raw_Bookings!E475&amp;"")="",1,0)</f>
        <v>0</v>
      </c>
      <c r="V475" s="7" t="str">
        <f>IF(SUMPRODUCT(--(Lookup_Status!$A$2:$A$13=LOWER(TRIM(Raw_Bookings!K475))))=0,"",INDEX(Lookup_Status!$B$2:$B$13,SUMPRODUCT((Lookup_Status!$A$2:$A$13=LOWER(TRIM(Raw_Bookings!K475)))*(ROW(Lookup_Status!$A$2:$A$13)-1))))</f>
        <v>Waitlisted</v>
      </c>
      <c r="W475" s="7">
        <f>IF(AND(V475&lt;&gt;"",NOT(EXACT(Raw_Bookings!K475,V475))),1,0)</f>
        <v>0</v>
      </c>
      <c r="X475" s="7">
        <f>IF(V475="",1,0)</f>
        <v>0</v>
      </c>
      <c r="Y475" s="7">
        <f>IF(TRIM(Raw_Bookings!L475&amp;"")="",1,0)</f>
        <v>0</v>
      </c>
      <c r="Z475" s="7">
        <f>IF(AND(ISTEXT(Raw_Bookings!L475),Y475=0),1,0)</f>
        <v>0</v>
      </c>
      <c r="AA475" s="7">
        <f>IF(Z475=1,IFERROR(VALUE(SUBSTITUTE(SUBSTITUTE(SUBSTITUTE(SUBSTITUTE(SUBSTITUTE(UPPER(Raw_Bookings!L475),"RS.",""),"₹",""),",","")," ",""),"INR","")),""),"")</f>
        <v/>
      </c>
      <c r="AB475" s="7">
        <f>IF(AND(Z475=1,ISNUMBER(AA475)),1,0)</f>
        <v>0</v>
      </c>
      <c r="AC475" s="7">
        <f>IF(B475=1,0,IF(NOT(ISNUMBER(Raw_Bookings!J475)),1,IF(Raw_Bookings!J475&lt;&gt;COUNTIFS(Work_Passengers!$B$2:$B$1336,Raw_Bookings!A475,Work_Passengers!$C$2:$C$1336,0),1,0)))</f>
        <v>0</v>
      </c>
    </row>
    <row r="476" spans="1:29">
      <c r="A476" s="7">
        <f>Raw_Bookings!A476</f>
        <v>1158099</v>
      </c>
      <c r="B476" s="7">
        <f>IF(COUNTIF(Raw_Bookings!$A$2:A476,Raw_Bookings!A476)&gt;1,1,0)</f>
        <v>0</v>
      </c>
      <c r="C476" s="7" t="str">
        <f>Raw_Bookings!D476&amp;""</f>
        <v>2026-03-30</v>
      </c>
      <c r="D476" s="7" t="str">
        <f>IF(AND(LEN(C476)=10,MID(C476,5,1)="-",MID(C476,8,1)="-"),"ISO",IF(AND(LEN(C476)=10,MID(C476,3,1)="-",MID(C476,6,1)="-"),"DMY","OTHER"))</f>
        <v>ISO</v>
      </c>
      <c r="E476" s="7">
        <f>IF(D476="ISO",VALUE(LEFT(C476,4)),IF(D476="DMY",VALUE(RIGHT(C476,4)),0))</f>
        <v>2026</v>
      </c>
      <c r="F476" s="7">
        <f>IF(D476="ISO",VALUE(MID(C476,6,2)),IF(D476="DMY",VALUE(MID(C476,4,2)),0))</f>
        <v>3</v>
      </c>
      <c r="G476" s="7">
        <f>IF(D476="ISO",VALUE(RIGHT(C476,2)),IF(D476="DMY",VALUE(LEFT(C476,2)),0))</f>
        <v>30</v>
      </c>
      <c r="H476" s="7">
        <f>IF(AND(D476&lt;&gt;"OTHER",F476&gt;=1,F476&lt;=12,G476&gt;=1,G476&lt;=31),IF(AND(MONTH(DATE(E476,F476,G476))=F476,DAY(DATE(E476,F476,G476))=G476),1,0),0)</f>
        <v>1</v>
      </c>
      <c r="I476" s="7">
        <f>IF(H476=1,DATE(E476,F476,G476),"")</f>
        <v>46111.0</v>
      </c>
      <c r="J476" s="7">
        <f>IF(AND(D476="DMY",H476=1),1,0)</f>
        <v>0</v>
      </c>
      <c r="K476" s="7">
        <f>IF(H476=0,1,0)</f>
        <v>0</v>
      </c>
      <c r="L476" s="7">
        <f>IF(TRIM(Raw_Bookings!I476&amp;"")="",1,0)</f>
        <v>0</v>
      </c>
      <c r="M476" s="7">
        <f>IF(L476=1,"",DATEVALUE(LEFT(Raw_Bookings!I476,10))+TIMEVALUE(MID(Raw_Bookings!I476,12,8)))</f>
        <v>46087.31348379629</v>
      </c>
      <c r="N476" s="7">
        <f>IF(AND(L476=0,H476=1),IF(INT(M476)&gt;I476,1,0),0)</f>
        <v>0</v>
      </c>
      <c r="O476" s="7" t="str">
        <f>UPPER(TRIM(Raw_Bookings!F476))</f>
        <v>DEL</v>
      </c>
      <c r="P476" s="7" t="str">
        <f>UPPER(TRIM(Raw_Bookings!G476))</f>
        <v>MAU</v>
      </c>
      <c r="Q476" s="7">
        <f>IF(COUNTIF(Lookup_Stations!$A$2:$A$33,O476)&gt;0,1,0)</f>
        <v>1</v>
      </c>
      <c r="R476" s="7">
        <f>IF(COUNTIF(Lookup_Stations!$A$2:$A$33,P476)&gt;0,1,0)</f>
        <v>1</v>
      </c>
      <c r="S476" s="7">
        <f>IF(OR(AND(Q476=1,NOT(EXACT(Raw_Bookings!F476,O476))),AND(R476=1,NOT(EXACT(Raw_Bookings!G476,P476)))),1,0)</f>
        <v>0</v>
      </c>
      <c r="T476" s="7">
        <f>IF(OR(Q476=0,R476=0),1,0)</f>
        <v>0</v>
      </c>
      <c r="U476" s="7">
        <f>IF(TRIM(Raw_Bookings!E476&amp;"")="",1,0)</f>
        <v>0</v>
      </c>
      <c r="V476" s="7" t="str">
        <f>IF(SUMPRODUCT(--(Lookup_Status!$A$2:$A$13=LOWER(TRIM(Raw_Bookings!K476))))=0,"",INDEX(Lookup_Status!$B$2:$B$13,SUMPRODUCT((Lookup_Status!$A$2:$A$13=LOWER(TRIM(Raw_Bookings!K476)))*(ROW(Lookup_Status!$A$2:$A$13)-1))))</f>
        <v>Confirmed</v>
      </c>
      <c r="W476" s="7">
        <f>IF(AND(V476&lt;&gt;"",NOT(EXACT(Raw_Bookings!K476,V476))),1,0)</f>
        <v>0</v>
      </c>
      <c r="X476" s="7">
        <f>IF(V476="",1,0)</f>
        <v>0</v>
      </c>
      <c r="Y476" s="7">
        <f>IF(TRIM(Raw_Bookings!L476&amp;"")="",1,0)</f>
        <v>0</v>
      </c>
      <c r="Z476" s="7">
        <f>IF(AND(ISTEXT(Raw_Bookings!L476),Y476=0),1,0)</f>
        <v>0</v>
      </c>
      <c r="AA476" s="7">
        <f>IF(Z476=1,IFERROR(VALUE(SUBSTITUTE(SUBSTITUTE(SUBSTITUTE(SUBSTITUTE(SUBSTITUTE(UPPER(Raw_Bookings!L476),"RS.",""),"₹",""),",","")," ",""),"INR","")),""),"")</f>
        <v/>
      </c>
      <c r="AB476" s="7">
        <f>IF(AND(Z476=1,ISNUMBER(AA476)),1,0)</f>
        <v>0</v>
      </c>
      <c r="AC476" s="7">
        <f>IF(B476=1,0,IF(NOT(ISNUMBER(Raw_Bookings!J476)),1,IF(Raw_Bookings!J476&lt;&gt;COUNTIFS(Work_Passengers!$B$2:$B$1336,Raw_Bookings!A476,Work_Passengers!$C$2:$C$1336,0),1,0)))</f>
        <v>0</v>
      </c>
    </row>
    <row r="477" spans="1:29">
      <c r="A477" s="7">
        <f>Raw_Bookings!A477</f>
        <v>1158698</v>
      </c>
      <c r="B477" s="7">
        <f>IF(COUNTIF(Raw_Bookings!$A$2:A477,Raw_Bookings!A477)&gt;1,1,0)</f>
        <v>0</v>
      </c>
      <c r="C477" s="7" t="str">
        <f>Raw_Bookings!D477&amp;""</f>
        <v>2026-03-30</v>
      </c>
      <c r="D477" s="7" t="str">
        <f>IF(AND(LEN(C477)=10,MID(C477,5,1)="-",MID(C477,8,1)="-"),"ISO",IF(AND(LEN(C477)=10,MID(C477,3,1)="-",MID(C477,6,1)="-"),"DMY","OTHER"))</f>
        <v>ISO</v>
      </c>
      <c r="E477" s="7">
        <f>IF(D477="ISO",VALUE(LEFT(C477,4)),IF(D477="DMY",VALUE(RIGHT(C477,4)),0))</f>
        <v>2026</v>
      </c>
      <c r="F477" s="7">
        <f>IF(D477="ISO",VALUE(MID(C477,6,2)),IF(D477="DMY",VALUE(MID(C477,4,2)),0))</f>
        <v>3</v>
      </c>
      <c r="G477" s="7">
        <f>IF(D477="ISO",VALUE(RIGHT(C477,2)),IF(D477="DMY",VALUE(LEFT(C477,2)),0))</f>
        <v>30</v>
      </c>
      <c r="H477" s="7">
        <f>IF(AND(D477&lt;&gt;"OTHER",F477&gt;=1,F477&lt;=12,G477&gt;=1,G477&lt;=31),IF(AND(MONTH(DATE(E477,F477,G477))=F477,DAY(DATE(E477,F477,G477))=G477),1,0),0)</f>
        <v>1</v>
      </c>
      <c r="I477" s="7">
        <f>IF(H477=1,DATE(E477,F477,G477),"")</f>
        <v>46111.0</v>
      </c>
      <c r="J477" s="7">
        <f>IF(AND(D477="DMY",H477=1),1,0)</f>
        <v>0</v>
      </c>
      <c r="K477" s="7">
        <f>IF(H477=0,1,0)</f>
        <v>0</v>
      </c>
      <c r="L477" s="7">
        <f>IF(TRIM(Raw_Bookings!I477&amp;"")="",1,0)</f>
        <v>0</v>
      </c>
      <c r="M477" s="7">
        <f>IF(L477=1,"",DATEVALUE(LEFT(Raw_Bookings!I477,10))+TIMEVALUE(MID(Raw_Bookings!I477,12,8)))</f>
        <v>46116.75</v>
      </c>
      <c r="N477" s="7">
        <f>IF(AND(L477=0,H477=1),IF(INT(M477)&gt;I477,1,0),0)</f>
        <v>1</v>
      </c>
      <c r="O477" s="7" t="str">
        <f>UPPER(TRIM(Raw_Bookings!F477))</f>
        <v>DEL</v>
      </c>
      <c r="P477" s="7" t="str">
        <f>UPPER(TRIM(Raw_Bookings!G477))</f>
        <v>MAU</v>
      </c>
      <c r="Q477" s="7">
        <f>IF(COUNTIF(Lookup_Stations!$A$2:$A$33,O477)&gt;0,1,0)</f>
        <v>1</v>
      </c>
      <c r="R477" s="7">
        <f>IF(COUNTIF(Lookup_Stations!$A$2:$A$33,P477)&gt;0,1,0)</f>
        <v>1</v>
      </c>
      <c r="S477" s="7">
        <f>IF(OR(AND(Q477=1,NOT(EXACT(Raw_Bookings!F477,O477))),AND(R477=1,NOT(EXACT(Raw_Bookings!G477,P477)))),1,0)</f>
        <v>0</v>
      </c>
      <c r="T477" s="7">
        <f>IF(OR(Q477=0,R477=0),1,0)</f>
        <v>0</v>
      </c>
      <c r="U477" s="7">
        <f>IF(TRIM(Raw_Bookings!E477&amp;"")="",1,0)</f>
        <v>0</v>
      </c>
      <c r="V477" s="7" t="str">
        <f>IF(SUMPRODUCT(--(Lookup_Status!$A$2:$A$13=LOWER(TRIM(Raw_Bookings!K477))))=0,"",INDEX(Lookup_Status!$B$2:$B$13,SUMPRODUCT((Lookup_Status!$A$2:$A$13=LOWER(TRIM(Raw_Bookings!K477)))*(ROW(Lookup_Status!$A$2:$A$13)-1))))</f>
        <v>Confirmed</v>
      </c>
      <c r="W477" s="7">
        <f>IF(AND(V477&lt;&gt;"",NOT(EXACT(Raw_Bookings!K477,V477))),1,0)</f>
        <v>0</v>
      </c>
      <c r="X477" s="7">
        <f>IF(V477="",1,0)</f>
        <v>0</v>
      </c>
      <c r="Y477" s="7">
        <f>IF(TRIM(Raw_Bookings!L477&amp;"")="",1,0)</f>
        <v>0</v>
      </c>
      <c r="Z477" s="7">
        <f>IF(AND(ISTEXT(Raw_Bookings!L477),Y477=0),1,0)</f>
        <v>0</v>
      </c>
      <c r="AA477" s="7">
        <f>IF(Z477=1,IFERROR(VALUE(SUBSTITUTE(SUBSTITUTE(SUBSTITUTE(SUBSTITUTE(SUBSTITUTE(UPPER(Raw_Bookings!L477),"RS.",""),"₹",""),",","")," ",""),"INR","")),""),"")</f>
        <v/>
      </c>
      <c r="AB477" s="7">
        <f>IF(AND(Z477=1,ISNUMBER(AA477)),1,0)</f>
        <v>0</v>
      </c>
      <c r="AC477" s="7">
        <f>IF(B477=1,0,IF(NOT(ISNUMBER(Raw_Bookings!J477)),1,IF(Raw_Bookings!J477&lt;&gt;COUNTIFS(Work_Passengers!$B$2:$B$1336,Raw_Bookings!A477,Work_Passengers!$C$2:$C$1336,0),1,0)))</f>
        <v>0</v>
      </c>
    </row>
    <row r="478" spans="1:29">
      <c r="A478" s="7">
        <f>Raw_Bookings!A478</f>
        <v>1158815</v>
      </c>
      <c r="B478" s="7">
        <f>IF(COUNTIF(Raw_Bookings!$A$2:A478,Raw_Bookings!A478)&gt;1,1,0)</f>
        <v>0</v>
      </c>
      <c r="C478" s="7" t="str">
        <f>Raw_Bookings!D478&amp;""</f>
        <v>2026-04-10</v>
      </c>
      <c r="D478" s="7" t="str">
        <f>IF(AND(LEN(C478)=10,MID(C478,5,1)="-",MID(C478,8,1)="-"),"ISO",IF(AND(LEN(C478)=10,MID(C478,3,1)="-",MID(C478,6,1)="-"),"DMY","OTHER"))</f>
        <v>ISO</v>
      </c>
      <c r="E478" s="7">
        <f>IF(D478="ISO",VALUE(LEFT(C478,4)),IF(D478="DMY",VALUE(RIGHT(C478,4)),0))</f>
        <v>2026</v>
      </c>
      <c r="F478" s="7">
        <f>IF(D478="ISO",VALUE(MID(C478,6,2)),IF(D478="DMY",VALUE(MID(C478,4,2)),0))</f>
        <v>4</v>
      </c>
      <c r="G478" s="7">
        <f>IF(D478="ISO",VALUE(RIGHT(C478,2)),IF(D478="DMY",VALUE(LEFT(C478,2)),0))</f>
        <v>10</v>
      </c>
      <c r="H478" s="7">
        <f>IF(AND(D478&lt;&gt;"OTHER",F478&gt;=1,F478&lt;=12,G478&gt;=1,G478&lt;=31),IF(AND(MONTH(DATE(E478,F478,G478))=F478,DAY(DATE(E478,F478,G478))=G478),1,0),0)</f>
        <v>1</v>
      </c>
      <c r="I478" s="7">
        <f>IF(H478=1,DATE(E478,F478,G478),"")</f>
        <v>46122.0</v>
      </c>
      <c r="J478" s="7">
        <f>IF(AND(D478="DMY",H478=1),1,0)</f>
        <v>0</v>
      </c>
      <c r="K478" s="7">
        <f>IF(H478=0,1,0)</f>
        <v>0</v>
      </c>
      <c r="L478" s="7">
        <f>IF(TRIM(Raw_Bookings!I478&amp;"")="",1,0)</f>
        <v>0</v>
      </c>
      <c r="M478" s="7">
        <f>IF(L478=1,"",DATEVALUE(LEFT(Raw_Bookings!I478,10))+TIMEVALUE(MID(Raw_Bookings!I478,12,8)))</f>
        <v>46089.59179398148</v>
      </c>
      <c r="N478" s="7">
        <f>IF(AND(L478=0,H478=1),IF(INT(M478)&gt;I478,1,0),0)</f>
        <v>0</v>
      </c>
      <c r="O478" s="7" t="str">
        <f>UPPER(TRIM(Raw_Bookings!F478))</f>
        <v>VIS</v>
      </c>
      <c r="P478" s="7" t="str">
        <f>UPPER(TRIM(Raw_Bookings!G478))</f>
        <v>CHA</v>
      </c>
      <c r="Q478" s="7">
        <f>IF(COUNTIF(Lookup_Stations!$A$2:$A$33,O478)&gt;0,1,0)</f>
        <v>1</v>
      </c>
      <c r="R478" s="7">
        <f>IF(COUNTIF(Lookup_Stations!$A$2:$A$33,P478)&gt;0,1,0)</f>
        <v>1</v>
      </c>
      <c r="S478" s="7">
        <f>IF(OR(AND(Q478=1,NOT(EXACT(Raw_Bookings!F478,O478))),AND(R478=1,NOT(EXACT(Raw_Bookings!G478,P478)))),1,0)</f>
        <v>0</v>
      </c>
      <c r="T478" s="7">
        <f>IF(OR(Q478=0,R478=0),1,0)</f>
        <v>0</v>
      </c>
      <c r="U478" s="7">
        <f>IF(TRIM(Raw_Bookings!E478&amp;"")="",1,0)</f>
        <v>0</v>
      </c>
      <c r="V478" s="7" t="str">
        <f>IF(SUMPRODUCT(--(Lookup_Status!$A$2:$A$13=LOWER(TRIM(Raw_Bookings!K478))))=0,"",INDEX(Lookup_Status!$B$2:$B$13,SUMPRODUCT((Lookup_Status!$A$2:$A$13=LOWER(TRIM(Raw_Bookings!K478)))*(ROW(Lookup_Status!$A$2:$A$13)-1))))</f>
        <v>Mixed</v>
      </c>
      <c r="W478" s="7">
        <f>IF(AND(V478&lt;&gt;"",NOT(EXACT(Raw_Bookings!K478,V478))),1,0)</f>
        <v>0</v>
      </c>
      <c r="X478" s="7">
        <f>IF(V478="",1,0)</f>
        <v>0</v>
      </c>
      <c r="Y478" s="7">
        <f>IF(TRIM(Raw_Bookings!L478&amp;"")="",1,0)</f>
        <v>0</v>
      </c>
      <c r="Z478" s="7">
        <f>IF(AND(ISTEXT(Raw_Bookings!L478),Y478=0),1,0)</f>
        <v>0</v>
      </c>
      <c r="AA478" s="7">
        <f>IF(Z478=1,IFERROR(VALUE(SUBSTITUTE(SUBSTITUTE(SUBSTITUTE(SUBSTITUTE(SUBSTITUTE(UPPER(Raw_Bookings!L478),"RS.",""),"₹",""),",","")," ",""),"INR","")),""),"")</f>
        <v/>
      </c>
      <c r="AB478" s="7">
        <f>IF(AND(Z478=1,ISNUMBER(AA478)),1,0)</f>
        <v>0</v>
      </c>
      <c r="AC478" s="7">
        <f>IF(B478=1,0,IF(NOT(ISNUMBER(Raw_Bookings!J478)),1,IF(Raw_Bookings!J478&lt;&gt;COUNTIFS(Work_Passengers!$B$2:$B$1336,Raw_Bookings!A478,Work_Passengers!$C$2:$C$1336,0),1,0)))</f>
        <v>0</v>
      </c>
    </row>
    <row r="479" spans="1:29">
      <c r="A479" s="7">
        <f>Raw_Bookings!A479</f>
        <v>1158935</v>
      </c>
      <c r="B479" s="7">
        <f>IF(COUNTIF(Raw_Bookings!$A$2:A479,Raw_Bookings!A479)&gt;1,1,0)</f>
        <v>0</v>
      </c>
      <c r="C479" s="7" t="str">
        <f>Raw_Bookings!D479&amp;""</f>
        <v>2026-05-06</v>
      </c>
      <c r="D479" s="7" t="str">
        <f>IF(AND(LEN(C479)=10,MID(C479,5,1)="-",MID(C479,8,1)="-"),"ISO",IF(AND(LEN(C479)=10,MID(C479,3,1)="-",MID(C479,6,1)="-"),"DMY","OTHER"))</f>
        <v>ISO</v>
      </c>
      <c r="E479" s="7">
        <f>IF(D479="ISO",VALUE(LEFT(C479,4)),IF(D479="DMY",VALUE(RIGHT(C479,4)),0))</f>
        <v>2026</v>
      </c>
      <c r="F479" s="7">
        <f>IF(D479="ISO",VALUE(MID(C479,6,2)),IF(D479="DMY",VALUE(MID(C479,4,2)),0))</f>
        <v>5</v>
      </c>
      <c r="G479" s="7">
        <f>IF(D479="ISO",VALUE(RIGHT(C479,2)),IF(D479="DMY",VALUE(LEFT(C479,2)),0))</f>
        <v>6</v>
      </c>
      <c r="H479" s="7">
        <f>IF(AND(D479&lt;&gt;"OTHER",F479&gt;=1,F479&lt;=12,G479&gt;=1,G479&lt;=31),IF(AND(MONTH(DATE(E479,F479,G479))=F479,DAY(DATE(E479,F479,G479))=G479),1,0),0)</f>
        <v>1</v>
      </c>
      <c r="I479" s="7">
        <f>IF(H479=1,DATE(E479,F479,G479),"")</f>
        <v>46148.0</v>
      </c>
      <c r="J479" s="7">
        <f>IF(AND(D479="DMY",H479=1),1,0)</f>
        <v>0</v>
      </c>
      <c r="K479" s="7">
        <f>IF(H479=0,1,0)</f>
        <v>0</v>
      </c>
      <c r="L479" s="7">
        <f>IF(TRIM(Raw_Bookings!I479&amp;"")="",1,0)</f>
        <v>0</v>
      </c>
      <c r="M479" s="7">
        <f>IF(L479=1,"",DATEVALUE(LEFT(Raw_Bookings!I479,10))+TIMEVALUE(MID(Raw_Bookings!I479,12,8)))</f>
        <v>46089.840532407405</v>
      </c>
      <c r="N479" s="7">
        <f>IF(AND(L479=0,H479=1),IF(INT(M479)&gt;I479,1,0),0)</f>
        <v>0</v>
      </c>
      <c r="O479" s="7" t="str">
        <f>UPPER(TRIM(Raw_Bookings!F479))</f>
        <v>BEN</v>
      </c>
      <c r="P479" s="7" t="str">
        <f>UPPER(TRIM(Raw_Bookings!G479))</f>
        <v>MUM</v>
      </c>
      <c r="Q479" s="7">
        <f>IF(COUNTIF(Lookup_Stations!$A$2:$A$33,O479)&gt;0,1,0)</f>
        <v>1</v>
      </c>
      <c r="R479" s="7">
        <f>IF(COUNTIF(Lookup_Stations!$A$2:$A$33,P479)&gt;0,1,0)</f>
        <v>1</v>
      </c>
      <c r="S479" s="7">
        <f>IF(OR(AND(Q479=1,NOT(EXACT(Raw_Bookings!F479,O479))),AND(R479=1,NOT(EXACT(Raw_Bookings!G479,P479)))),1,0)</f>
        <v>0</v>
      </c>
      <c r="T479" s="7">
        <f>IF(OR(Q479=0,R479=0),1,0)</f>
        <v>0</v>
      </c>
      <c r="U479" s="7">
        <f>IF(TRIM(Raw_Bookings!E479&amp;"")="",1,0)</f>
        <v>0</v>
      </c>
      <c r="V479" s="7" t="str">
        <f>IF(SUMPRODUCT(--(Lookup_Status!$A$2:$A$13=LOWER(TRIM(Raw_Bookings!K479))))=0,"",INDEX(Lookup_Status!$B$2:$B$13,SUMPRODUCT((Lookup_Status!$A$2:$A$13=LOWER(TRIM(Raw_Bookings!K479)))*(ROW(Lookup_Status!$A$2:$A$13)-1))))</f>
        <v>Confirmed</v>
      </c>
      <c r="W479" s="7">
        <f>IF(AND(V479&lt;&gt;"",NOT(EXACT(Raw_Bookings!K479,V479))),1,0)</f>
        <v>0</v>
      </c>
      <c r="X479" s="7">
        <f>IF(V479="",1,0)</f>
        <v>0</v>
      </c>
      <c r="Y479" s="7">
        <f>IF(TRIM(Raw_Bookings!L479&amp;"")="",1,0)</f>
        <v>0</v>
      </c>
      <c r="Z479" s="7">
        <f>IF(AND(ISTEXT(Raw_Bookings!L479),Y479=0),1,0)</f>
        <v>0</v>
      </c>
      <c r="AA479" s="7">
        <f>IF(Z479=1,IFERROR(VALUE(SUBSTITUTE(SUBSTITUTE(SUBSTITUTE(SUBSTITUTE(SUBSTITUTE(UPPER(Raw_Bookings!L479),"RS.",""),"₹",""),",","")," ",""),"INR","")),""),"")</f>
        <v/>
      </c>
      <c r="AB479" s="7">
        <f>IF(AND(Z479=1,ISNUMBER(AA479)),1,0)</f>
        <v>0</v>
      </c>
      <c r="AC479" s="7">
        <f>IF(B479=1,0,IF(NOT(ISNUMBER(Raw_Bookings!J479)),1,IF(Raw_Bookings!J479&lt;&gt;COUNTIFS(Work_Passengers!$B$2:$B$1336,Raw_Bookings!A479,Work_Passengers!$C$2:$C$1336,0),1,0)))</f>
        <v>0</v>
      </c>
    </row>
    <row r="480" spans="1:29">
      <c r="A480" s="7">
        <f>Raw_Bookings!A480</f>
        <v>1158978</v>
      </c>
      <c r="B480" s="7">
        <f>IF(COUNTIF(Raw_Bookings!$A$2:A480,Raw_Bookings!A480)&gt;1,1,0)</f>
        <v>0</v>
      </c>
      <c r="C480" s="7" t="str">
        <f>Raw_Bookings!D480&amp;""</f>
        <v>2026-04-05</v>
      </c>
      <c r="D480" s="7" t="str">
        <f>IF(AND(LEN(C480)=10,MID(C480,5,1)="-",MID(C480,8,1)="-"),"ISO",IF(AND(LEN(C480)=10,MID(C480,3,1)="-",MID(C480,6,1)="-"),"DMY","OTHER"))</f>
        <v>ISO</v>
      </c>
      <c r="E480" s="7">
        <f>IF(D480="ISO",VALUE(LEFT(C480,4)),IF(D480="DMY",VALUE(RIGHT(C480,4)),0))</f>
        <v>2026</v>
      </c>
      <c r="F480" s="7">
        <f>IF(D480="ISO",VALUE(MID(C480,6,2)),IF(D480="DMY",VALUE(MID(C480,4,2)),0))</f>
        <v>4</v>
      </c>
      <c r="G480" s="7">
        <f>IF(D480="ISO",VALUE(RIGHT(C480,2)),IF(D480="DMY",VALUE(LEFT(C480,2)),0))</f>
        <v>5</v>
      </c>
      <c r="H480" s="7">
        <f>IF(AND(D480&lt;&gt;"OTHER",F480&gt;=1,F480&lt;=12,G480&gt;=1,G480&lt;=31),IF(AND(MONTH(DATE(E480,F480,G480))=F480,DAY(DATE(E480,F480,G480))=G480),1,0),0)</f>
        <v>1</v>
      </c>
      <c r="I480" s="7">
        <f>IF(H480=1,DATE(E480,F480,G480),"")</f>
        <v>46117.0</v>
      </c>
      <c r="J480" s="7">
        <f>IF(AND(D480="DMY",H480=1),1,0)</f>
        <v>0</v>
      </c>
      <c r="K480" s="7">
        <f>IF(H480=0,1,0)</f>
        <v>0</v>
      </c>
      <c r="L480" s="7">
        <f>IF(TRIM(Raw_Bookings!I480&amp;"")="",1,0)</f>
        <v>0</v>
      </c>
      <c r="M480" s="7">
        <f>IF(L480=1,"",DATEVALUE(LEFT(Raw_Bookings!I480,10))+TIMEVALUE(MID(Raw_Bookings!I480,12,8)))</f>
        <v>46089.91950231481</v>
      </c>
      <c r="N480" s="7">
        <f>IF(AND(L480=0,H480=1),IF(INT(M480)&gt;I480,1,0),0)</f>
        <v>0</v>
      </c>
      <c r="O480" s="7" t="str">
        <f>UPPER(TRIM(Raw_Bookings!F480))</f>
        <v>RAI</v>
      </c>
      <c r="P480" s="7" t="str">
        <f>UPPER(TRIM(Raw_Bookings!G480))</f>
        <v>JAI</v>
      </c>
      <c r="Q480" s="7">
        <f>IF(COUNTIF(Lookup_Stations!$A$2:$A$33,O480)&gt;0,1,0)</f>
        <v>1</v>
      </c>
      <c r="R480" s="7">
        <f>IF(COUNTIF(Lookup_Stations!$A$2:$A$33,P480)&gt;0,1,0)</f>
        <v>1</v>
      </c>
      <c r="S480" s="7">
        <f>IF(OR(AND(Q480=1,NOT(EXACT(Raw_Bookings!F480,O480))),AND(R480=1,NOT(EXACT(Raw_Bookings!G480,P480)))),1,0)</f>
        <v>0</v>
      </c>
      <c r="T480" s="7">
        <f>IF(OR(Q480=0,R480=0),1,0)</f>
        <v>0</v>
      </c>
      <c r="U480" s="7">
        <f>IF(TRIM(Raw_Bookings!E480&amp;"")="",1,0)</f>
        <v>0</v>
      </c>
      <c r="V480" s="7" t="str">
        <f>IF(SUMPRODUCT(--(Lookup_Status!$A$2:$A$13=LOWER(TRIM(Raw_Bookings!K480))))=0,"",INDEX(Lookup_Status!$B$2:$B$13,SUMPRODUCT((Lookup_Status!$A$2:$A$13=LOWER(TRIM(Raw_Bookings!K480)))*(ROW(Lookup_Status!$A$2:$A$13)-1))))</f>
        <v>Cancelled</v>
      </c>
      <c r="W480" s="7">
        <f>IF(AND(V480&lt;&gt;"",NOT(EXACT(Raw_Bookings!K480,V480))),1,0)</f>
        <v>0</v>
      </c>
      <c r="X480" s="7">
        <f>IF(V480="",1,0)</f>
        <v>0</v>
      </c>
      <c r="Y480" s="7">
        <f>IF(TRIM(Raw_Bookings!L480&amp;"")="",1,0)</f>
        <v>0</v>
      </c>
      <c r="Z480" s="7">
        <f>IF(AND(ISTEXT(Raw_Bookings!L480),Y480=0),1,0)</f>
        <v>0</v>
      </c>
      <c r="AA480" s="7">
        <f>IF(Z480=1,IFERROR(VALUE(SUBSTITUTE(SUBSTITUTE(SUBSTITUTE(SUBSTITUTE(SUBSTITUTE(UPPER(Raw_Bookings!L480),"RS.",""),"₹",""),",","")," ",""),"INR","")),""),"")</f>
        <v/>
      </c>
      <c r="AB480" s="7">
        <f>IF(AND(Z480=1,ISNUMBER(AA480)),1,0)</f>
        <v>0</v>
      </c>
      <c r="AC480" s="7">
        <f>IF(B480=1,0,IF(NOT(ISNUMBER(Raw_Bookings!J480)),1,IF(Raw_Bookings!J480&lt;&gt;COUNTIFS(Work_Passengers!$B$2:$B$1336,Raw_Bookings!A480,Work_Passengers!$C$2:$C$1336,0),1,0)))</f>
        <v>0</v>
      </c>
    </row>
    <row r="481" spans="1:29">
      <c r="A481" s="7">
        <f>Raw_Bookings!A481</f>
        <v>1159674</v>
      </c>
      <c r="B481" s="7">
        <f>IF(COUNTIF(Raw_Bookings!$A$2:A481,Raw_Bookings!A481)&gt;1,1,0)</f>
        <v>0</v>
      </c>
      <c r="C481" s="7" t="str">
        <f>Raw_Bookings!D481&amp;""</f>
        <v>2026-03-20</v>
      </c>
      <c r="D481" s="7" t="str">
        <f>IF(AND(LEN(C481)=10,MID(C481,5,1)="-",MID(C481,8,1)="-"),"ISO",IF(AND(LEN(C481)=10,MID(C481,3,1)="-",MID(C481,6,1)="-"),"DMY","OTHER"))</f>
        <v>ISO</v>
      </c>
      <c r="E481" s="7">
        <f>IF(D481="ISO",VALUE(LEFT(C481,4)),IF(D481="DMY",VALUE(RIGHT(C481,4)),0))</f>
        <v>2026</v>
      </c>
      <c r="F481" s="7">
        <f>IF(D481="ISO",VALUE(MID(C481,6,2)),IF(D481="DMY",VALUE(MID(C481,4,2)),0))</f>
        <v>3</v>
      </c>
      <c r="G481" s="7">
        <f>IF(D481="ISO",VALUE(RIGHT(C481,2)),IF(D481="DMY",VALUE(LEFT(C481,2)),0))</f>
        <v>20</v>
      </c>
      <c r="H481" s="7">
        <f>IF(AND(D481&lt;&gt;"OTHER",F481&gt;=1,F481&lt;=12,G481&gt;=1,G481&lt;=31),IF(AND(MONTH(DATE(E481,F481,G481))=F481,DAY(DATE(E481,F481,G481))=G481),1,0),0)</f>
        <v>1</v>
      </c>
      <c r="I481" s="7">
        <f>IF(H481=1,DATE(E481,F481,G481),"")</f>
        <v>46101.0</v>
      </c>
      <c r="J481" s="7">
        <f>IF(AND(D481="DMY",H481=1),1,0)</f>
        <v>0</v>
      </c>
      <c r="K481" s="7">
        <f>IF(H481=0,1,0)</f>
        <v>0</v>
      </c>
      <c r="L481" s="7">
        <f>IF(TRIM(Raw_Bookings!I481&amp;"")="",1,0)</f>
        <v>0</v>
      </c>
      <c r="M481" s="7">
        <f>IF(L481=1,"",DATEVALUE(LEFT(Raw_Bookings!I481,10))+TIMEVALUE(MID(Raw_Bookings!I481,12,8)))</f>
        <v>46092.21991898148</v>
      </c>
      <c r="N481" s="7">
        <f>IF(AND(L481=0,H481=1),IF(INT(M481)&gt;I481,1,0),0)</f>
        <v>0</v>
      </c>
      <c r="O481" s="7" t="str">
        <f>UPPER(TRIM(Raw_Bookings!F481))</f>
        <v>PUN</v>
      </c>
      <c r="P481" s="7" t="str">
        <f>UPPER(TRIM(Raw_Bookings!G481))</f>
        <v>DEH</v>
      </c>
      <c r="Q481" s="7">
        <f>IF(COUNTIF(Lookup_Stations!$A$2:$A$33,O481)&gt;0,1,0)</f>
        <v>1</v>
      </c>
      <c r="R481" s="7">
        <f>IF(COUNTIF(Lookup_Stations!$A$2:$A$33,P481)&gt;0,1,0)</f>
        <v>1</v>
      </c>
      <c r="S481" s="7">
        <f>IF(OR(AND(Q481=1,NOT(EXACT(Raw_Bookings!F481,O481))),AND(R481=1,NOT(EXACT(Raw_Bookings!G481,P481)))),1,0)</f>
        <v>0</v>
      </c>
      <c r="T481" s="7">
        <f>IF(OR(Q481=0,R481=0),1,0)</f>
        <v>0</v>
      </c>
      <c r="U481" s="7">
        <f>IF(TRIM(Raw_Bookings!E481&amp;"")="",1,0)</f>
        <v>0</v>
      </c>
      <c r="V481" s="7" t="str">
        <f>IF(SUMPRODUCT(--(Lookup_Status!$A$2:$A$13=LOWER(TRIM(Raw_Bookings!K481))))=0,"",INDEX(Lookup_Status!$B$2:$B$13,SUMPRODUCT((Lookup_Status!$A$2:$A$13=LOWER(TRIM(Raw_Bookings!K481)))*(ROW(Lookup_Status!$A$2:$A$13)-1))))</f>
        <v>Cancelled</v>
      </c>
      <c r="W481" s="7">
        <f>IF(AND(V481&lt;&gt;"",NOT(EXACT(Raw_Bookings!K481,V481))),1,0)</f>
        <v>0</v>
      </c>
      <c r="X481" s="7">
        <f>IF(V481="",1,0)</f>
        <v>0</v>
      </c>
      <c r="Y481" s="7">
        <f>IF(TRIM(Raw_Bookings!L481&amp;"")="",1,0)</f>
        <v>1</v>
      </c>
      <c r="Z481" s="7">
        <f>IF(AND(ISTEXT(Raw_Bookings!L481),Y481=0),1,0)</f>
        <v>0</v>
      </c>
      <c r="AA481" s="7">
        <f>IF(Z481=1,IFERROR(VALUE(SUBSTITUTE(SUBSTITUTE(SUBSTITUTE(SUBSTITUTE(SUBSTITUTE(UPPER(Raw_Bookings!L481),"RS.",""),"₹",""),",","")," ",""),"INR","")),""),"")</f>
        <v/>
      </c>
      <c r="AB481" s="7">
        <f>IF(AND(Z481=1,ISNUMBER(AA481)),1,0)</f>
        <v>0</v>
      </c>
      <c r="AC481" s="7">
        <f>IF(B481=1,0,IF(NOT(ISNUMBER(Raw_Bookings!J481)),1,IF(Raw_Bookings!J481&lt;&gt;COUNTIFS(Work_Passengers!$B$2:$B$1336,Raw_Bookings!A481,Work_Passengers!$C$2:$C$1336,0),1,0)))</f>
        <v>0</v>
      </c>
    </row>
    <row r="482" spans="1:29">
      <c r="A482" s="7">
        <f>Raw_Bookings!A482</f>
        <v>1160118</v>
      </c>
      <c r="B482" s="7">
        <f>IF(COUNTIF(Raw_Bookings!$A$2:A482,Raw_Bookings!A482)&gt;1,1,0)</f>
        <v>0</v>
      </c>
      <c r="C482" s="7" t="str">
        <f>Raw_Bookings!D482&amp;""</f>
        <v>2026-03-18</v>
      </c>
      <c r="D482" s="7" t="str">
        <f>IF(AND(LEN(C482)=10,MID(C482,5,1)="-",MID(C482,8,1)="-"),"ISO",IF(AND(LEN(C482)=10,MID(C482,3,1)="-",MID(C482,6,1)="-"),"DMY","OTHER"))</f>
        <v>ISO</v>
      </c>
      <c r="E482" s="7">
        <f>IF(D482="ISO",VALUE(LEFT(C482,4)),IF(D482="DMY",VALUE(RIGHT(C482,4)),0))</f>
        <v>2026</v>
      </c>
      <c r="F482" s="7">
        <f>IF(D482="ISO",VALUE(MID(C482,6,2)),IF(D482="DMY",VALUE(MID(C482,4,2)),0))</f>
        <v>3</v>
      </c>
      <c r="G482" s="7">
        <f>IF(D482="ISO",VALUE(RIGHT(C482,2)),IF(D482="DMY",VALUE(LEFT(C482,2)),0))</f>
        <v>18</v>
      </c>
      <c r="H482" s="7">
        <f>IF(AND(D482&lt;&gt;"OTHER",F482&gt;=1,F482&lt;=12,G482&gt;=1,G482&lt;=31),IF(AND(MONTH(DATE(E482,F482,G482))=F482,DAY(DATE(E482,F482,G482))=G482),1,0),0)</f>
        <v>1</v>
      </c>
      <c r="I482" s="7">
        <f>IF(H482=1,DATE(E482,F482,G482),"")</f>
        <v>46099.0</v>
      </c>
      <c r="J482" s="7">
        <f>IF(AND(D482="DMY",H482=1),1,0)</f>
        <v>0</v>
      </c>
      <c r="K482" s="7">
        <f>IF(H482=0,1,0)</f>
        <v>0</v>
      </c>
      <c r="L482" s="7">
        <f>IF(TRIM(Raw_Bookings!I482&amp;"")="",1,0)</f>
        <v>0</v>
      </c>
      <c r="M482" s="7">
        <f>IF(L482=1,"",DATEVALUE(LEFT(Raw_Bookings!I482,10))+TIMEVALUE(MID(Raw_Bookings!I482,12,8)))</f>
        <v>46093.78399305556</v>
      </c>
      <c r="N482" s="7">
        <f>IF(AND(L482=0,H482=1),IF(INT(M482)&gt;I482,1,0),0)</f>
        <v>0</v>
      </c>
      <c r="O482" s="7" t="str">
        <f>UPPER(TRIM(Raw_Bookings!F482))</f>
        <v>KOL</v>
      </c>
      <c r="P482" s="7" t="str">
        <f>UPPER(TRIM(Raw_Bookings!G482))</f>
        <v>HYD</v>
      </c>
      <c r="Q482" s="7">
        <f>IF(COUNTIF(Lookup_Stations!$A$2:$A$33,O482)&gt;0,1,0)</f>
        <v>1</v>
      </c>
      <c r="R482" s="7">
        <f>IF(COUNTIF(Lookup_Stations!$A$2:$A$33,P482)&gt;0,1,0)</f>
        <v>1</v>
      </c>
      <c r="S482" s="7">
        <f>IF(OR(AND(Q482=1,NOT(EXACT(Raw_Bookings!F482,O482))),AND(R482=1,NOT(EXACT(Raw_Bookings!G482,P482)))),1,0)</f>
        <v>0</v>
      </c>
      <c r="T482" s="7">
        <f>IF(OR(Q482=0,R482=0),1,0)</f>
        <v>0</v>
      </c>
      <c r="U482" s="7">
        <f>IF(TRIM(Raw_Bookings!E482&amp;"")="",1,0)</f>
        <v>0</v>
      </c>
      <c r="V482" s="7" t="str">
        <f>IF(SUMPRODUCT(--(Lookup_Status!$A$2:$A$13=LOWER(TRIM(Raw_Bookings!K482))))=0,"",INDEX(Lookup_Status!$B$2:$B$13,SUMPRODUCT((Lookup_Status!$A$2:$A$13=LOWER(TRIM(Raw_Bookings!K482)))*(ROW(Lookup_Status!$A$2:$A$13)-1))))</f>
        <v>RAC</v>
      </c>
      <c r="W482" s="7">
        <f>IF(AND(V482&lt;&gt;"",NOT(EXACT(Raw_Bookings!K482,V482))),1,0)</f>
        <v>0</v>
      </c>
      <c r="X482" s="7">
        <f>IF(V482="",1,0)</f>
        <v>0</v>
      </c>
      <c r="Y482" s="7">
        <f>IF(TRIM(Raw_Bookings!L482&amp;"")="",1,0)</f>
        <v>0</v>
      </c>
      <c r="Z482" s="7">
        <f>IF(AND(ISTEXT(Raw_Bookings!L482),Y482=0),1,0)</f>
        <v>0</v>
      </c>
      <c r="AA482" s="7">
        <f>IF(Z482=1,IFERROR(VALUE(SUBSTITUTE(SUBSTITUTE(SUBSTITUTE(SUBSTITUTE(SUBSTITUTE(UPPER(Raw_Bookings!L482),"RS.",""),"₹",""),",","")," ",""),"INR","")),""),"")</f>
        <v/>
      </c>
      <c r="AB482" s="7">
        <f>IF(AND(Z482=1,ISNUMBER(AA482)),1,0)</f>
        <v>0</v>
      </c>
      <c r="AC482" s="7">
        <f>IF(B482=1,0,IF(NOT(ISNUMBER(Raw_Bookings!J482)),1,IF(Raw_Bookings!J482&lt;&gt;COUNTIFS(Work_Passengers!$B$2:$B$1336,Raw_Bookings!A482,Work_Passengers!$C$2:$C$1336,0),1,0)))</f>
        <v>0</v>
      </c>
    </row>
    <row r="483" spans="1:29">
      <c r="A483" s="7">
        <f>Raw_Bookings!A483</f>
        <v>1160122</v>
      </c>
      <c r="B483" s="7">
        <f>IF(COUNTIF(Raw_Bookings!$A$2:A483,Raw_Bookings!A483)&gt;1,1,0)</f>
        <v>0</v>
      </c>
      <c r="C483" s="7" t="str">
        <f>Raw_Bookings!D483&amp;""</f>
        <v>2026-04-09</v>
      </c>
      <c r="D483" s="7" t="str">
        <f>IF(AND(LEN(C483)=10,MID(C483,5,1)="-",MID(C483,8,1)="-"),"ISO",IF(AND(LEN(C483)=10,MID(C483,3,1)="-",MID(C483,6,1)="-"),"DMY","OTHER"))</f>
        <v>ISO</v>
      </c>
      <c r="E483" s="7">
        <f>IF(D483="ISO",VALUE(LEFT(C483,4)),IF(D483="DMY",VALUE(RIGHT(C483,4)),0))</f>
        <v>2026</v>
      </c>
      <c r="F483" s="7">
        <f>IF(D483="ISO",VALUE(MID(C483,6,2)),IF(D483="DMY",VALUE(MID(C483,4,2)),0))</f>
        <v>4</v>
      </c>
      <c r="G483" s="7">
        <f>IF(D483="ISO",VALUE(RIGHT(C483,2)),IF(D483="DMY",VALUE(LEFT(C483,2)),0))</f>
        <v>9</v>
      </c>
      <c r="H483" s="7">
        <f>IF(AND(D483&lt;&gt;"OTHER",F483&gt;=1,F483&lt;=12,G483&gt;=1,G483&lt;=31),IF(AND(MONTH(DATE(E483,F483,G483))=F483,DAY(DATE(E483,F483,G483))=G483),1,0),0)</f>
        <v>1</v>
      </c>
      <c r="I483" s="7">
        <f>IF(H483=1,DATE(E483,F483,G483),"")</f>
        <v>46121.0</v>
      </c>
      <c r="J483" s="7">
        <f>IF(AND(D483="DMY",H483=1),1,0)</f>
        <v>0</v>
      </c>
      <c r="K483" s="7">
        <f>IF(H483=0,1,0)</f>
        <v>0</v>
      </c>
      <c r="L483" s="7">
        <f>IF(TRIM(Raw_Bookings!I483&amp;"")="",1,0)</f>
        <v>0</v>
      </c>
      <c r="M483" s="7">
        <f>IF(L483=1,"",DATEVALUE(LEFT(Raw_Bookings!I483,10))+TIMEVALUE(MID(Raw_Bookings!I483,12,8)))</f>
        <v>46093.79331018519</v>
      </c>
      <c r="N483" s="7">
        <f>IF(AND(L483=0,H483=1),IF(INT(M483)&gt;I483,1,0),0)</f>
        <v>0</v>
      </c>
      <c r="O483" s="7" t="str">
        <f>UPPER(TRIM(Raw_Bookings!F483))</f>
        <v>JOD</v>
      </c>
      <c r="P483" s="7" t="str">
        <f>UPPER(TRIM(Raw_Bookings!G483))</f>
        <v>BEN</v>
      </c>
      <c r="Q483" s="7">
        <f>IF(COUNTIF(Lookup_Stations!$A$2:$A$33,O483)&gt;0,1,0)</f>
        <v>1</v>
      </c>
      <c r="R483" s="7">
        <f>IF(COUNTIF(Lookup_Stations!$A$2:$A$33,P483)&gt;0,1,0)</f>
        <v>1</v>
      </c>
      <c r="S483" s="7">
        <f>IF(OR(AND(Q483=1,NOT(EXACT(Raw_Bookings!F483,O483))),AND(R483=1,NOT(EXACT(Raw_Bookings!G483,P483)))),1,0)</f>
        <v>0</v>
      </c>
      <c r="T483" s="7">
        <f>IF(OR(Q483=0,R483=0),1,0)</f>
        <v>0</v>
      </c>
      <c r="U483" s="7">
        <f>IF(TRIM(Raw_Bookings!E483&amp;"")="",1,0)</f>
        <v>0</v>
      </c>
      <c r="V483" s="7" t="str">
        <f>IF(SUMPRODUCT(--(Lookup_Status!$A$2:$A$13=LOWER(TRIM(Raw_Bookings!K483))))=0,"",INDEX(Lookup_Status!$B$2:$B$13,SUMPRODUCT((Lookup_Status!$A$2:$A$13=LOWER(TRIM(Raw_Bookings!K483)))*(ROW(Lookup_Status!$A$2:$A$13)-1))))</f>
        <v>Confirmed</v>
      </c>
      <c r="W483" s="7">
        <f>IF(AND(V483&lt;&gt;"",NOT(EXACT(Raw_Bookings!K483,V483))),1,0)</f>
        <v>0</v>
      </c>
      <c r="X483" s="7">
        <f>IF(V483="",1,0)</f>
        <v>0</v>
      </c>
      <c r="Y483" s="7">
        <f>IF(TRIM(Raw_Bookings!L483&amp;"")="",1,0)</f>
        <v>0</v>
      </c>
      <c r="Z483" s="7">
        <f>IF(AND(ISTEXT(Raw_Bookings!L483),Y483=0),1,0)</f>
        <v>0</v>
      </c>
      <c r="AA483" s="7">
        <f>IF(Z483=1,IFERROR(VALUE(SUBSTITUTE(SUBSTITUTE(SUBSTITUTE(SUBSTITUTE(SUBSTITUTE(UPPER(Raw_Bookings!L483),"RS.",""),"₹",""),",","")," ",""),"INR","")),""),"")</f>
        <v/>
      </c>
      <c r="AB483" s="7">
        <f>IF(AND(Z483=1,ISNUMBER(AA483)),1,0)</f>
        <v>0</v>
      </c>
      <c r="AC483" s="7">
        <f>IF(B483=1,0,IF(NOT(ISNUMBER(Raw_Bookings!J483)),1,IF(Raw_Bookings!J483&lt;&gt;COUNTIFS(Work_Passengers!$B$2:$B$1336,Raw_Bookings!A483,Work_Passengers!$C$2:$C$1336,0),1,0)))</f>
        <v>0</v>
      </c>
    </row>
    <row r="484" spans="1:29">
      <c r="A484" s="7">
        <f>Raw_Bookings!A484</f>
        <v>1160148</v>
      </c>
      <c r="B484" s="7">
        <f>IF(COUNTIF(Raw_Bookings!$A$2:A484,Raw_Bookings!A484)&gt;1,1,0)</f>
        <v>0</v>
      </c>
      <c r="C484" s="7" t="str">
        <f>Raw_Bookings!D484&amp;""</f>
        <v>2026-04-23</v>
      </c>
      <c r="D484" s="7" t="str">
        <f>IF(AND(LEN(C484)=10,MID(C484,5,1)="-",MID(C484,8,1)="-"),"ISO",IF(AND(LEN(C484)=10,MID(C484,3,1)="-",MID(C484,6,1)="-"),"DMY","OTHER"))</f>
        <v>ISO</v>
      </c>
      <c r="E484" s="7">
        <f>IF(D484="ISO",VALUE(LEFT(C484,4)),IF(D484="DMY",VALUE(RIGHT(C484,4)),0))</f>
        <v>2026</v>
      </c>
      <c r="F484" s="7">
        <f>IF(D484="ISO",VALUE(MID(C484,6,2)),IF(D484="DMY",VALUE(MID(C484,4,2)),0))</f>
        <v>4</v>
      </c>
      <c r="G484" s="7">
        <f>IF(D484="ISO",VALUE(RIGHT(C484,2)),IF(D484="DMY",VALUE(LEFT(C484,2)),0))</f>
        <v>23</v>
      </c>
      <c r="H484" s="7">
        <f>IF(AND(D484&lt;&gt;"OTHER",F484&gt;=1,F484&lt;=12,G484&gt;=1,G484&lt;=31),IF(AND(MONTH(DATE(E484,F484,G484))=F484,DAY(DATE(E484,F484,G484))=G484),1,0),0)</f>
        <v>1</v>
      </c>
      <c r="I484" s="7">
        <f>IF(H484=1,DATE(E484,F484,G484),"")</f>
        <v>46135.0</v>
      </c>
      <c r="J484" s="7">
        <f>IF(AND(D484="DMY",H484=1),1,0)</f>
        <v>0</v>
      </c>
      <c r="K484" s="7">
        <f>IF(H484=0,1,0)</f>
        <v>0</v>
      </c>
      <c r="L484" s="7">
        <f>IF(TRIM(Raw_Bookings!I484&amp;"")="",1,0)</f>
        <v>0</v>
      </c>
      <c r="M484" s="7">
        <f>IF(L484=1,"",DATEVALUE(LEFT(Raw_Bookings!I484,10))+TIMEVALUE(MID(Raw_Bookings!I484,12,8)))</f>
        <v>46093.83274305556</v>
      </c>
      <c r="N484" s="7">
        <f>IF(AND(L484=0,H484=1),IF(INT(M484)&gt;I484,1,0),0)</f>
        <v>0</v>
      </c>
      <c r="O484" s="7" t="str">
        <f>UPPER(TRIM(Raw_Bookings!F484))</f>
        <v>VAR</v>
      </c>
      <c r="P484" s="7" t="str">
        <f>UPPER(TRIM(Raw_Bookings!G484))</f>
        <v>SUR</v>
      </c>
      <c r="Q484" s="7">
        <f>IF(COUNTIF(Lookup_Stations!$A$2:$A$33,O484)&gt;0,1,0)</f>
        <v>1</v>
      </c>
      <c r="R484" s="7">
        <f>IF(COUNTIF(Lookup_Stations!$A$2:$A$33,P484)&gt;0,1,0)</f>
        <v>1</v>
      </c>
      <c r="S484" s="7">
        <f>IF(OR(AND(Q484=1,NOT(EXACT(Raw_Bookings!F484,O484))),AND(R484=1,NOT(EXACT(Raw_Bookings!G484,P484)))),1,0)</f>
        <v>0</v>
      </c>
      <c r="T484" s="7">
        <f>IF(OR(Q484=0,R484=0),1,0)</f>
        <v>0</v>
      </c>
      <c r="U484" s="7">
        <f>IF(TRIM(Raw_Bookings!E484&amp;"")="",1,0)</f>
        <v>0</v>
      </c>
      <c r="V484" s="7" t="str">
        <f>IF(SUMPRODUCT(--(Lookup_Status!$A$2:$A$13=LOWER(TRIM(Raw_Bookings!K484))))=0,"",INDEX(Lookup_Status!$B$2:$B$13,SUMPRODUCT((Lookup_Status!$A$2:$A$13=LOWER(TRIM(Raw_Bookings!K484)))*(ROW(Lookup_Status!$A$2:$A$13)-1))))</f>
        <v>Confirmed</v>
      </c>
      <c r="W484" s="7">
        <f>IF(AND(V484&lt;&gt;"",NOT(EXACT(Raw_Bookings!K484,V484))),1,0)</f>
        <v>0</v>
      </c>
      <c r="X484" s="7">
        <f>IF(V484="",1,0)</f>
        <v>0</v>
      </c>
      <c r="Y484" s="7">
        <f>IF(TRIM(Raw_Bookings!L484&amp;"")="",1,0)</f>
        <v>0</v>
      </c>
      <c r="Z484" s="7">
        <f>IF(AND(ISTEXT(Raw_Bookings!L484),Y484=0),1,0)</f>
        <v>0</v>
      </c>
      <c r="AA484" s="7">
        <f>IF(Z484=1,IFERROR(VALUE(SUBSTITUTE(SUBSTITUTE(SUBSTITUTE(SUBSTITUTE(SUBSTITUTE(UPPER(Raw_Bookings!L484),"RS.",""),"₹",""),",","")," ",""),"INR","")),""),"")</f>
        <v/>
      </c>
      <c r="AB484" s="7">
        <f>IF(AND(Z484=1,ISNUMBER(AA484)),1,0)</f>
        <v>0</v>
      </c>
      <c r="AC484" s="7">
        <f>IF(B484=1,0,IF(NOT(ISNUMBER(Raw_Bookings!J484)),1,IF(Raw_Bookings!J484&lt;&gt;COUNTIFS(Work_Passengers!$B$2:$B$1336,Raw_Bookings!A484,Work_Passengers!$C$2:$C$1336,0),1,0)))</f>
        <v>0</v>
      </c>
    </row>
    <row r="485" spans="1:29">
      <c r="A485" s="7">
        <f>Raw_Bookings!A485</f>
        <v>1160688</v>
      </c>
      <c r="B485" s="7">
        <f>IF(COUNTIF(Raw_Bookings!$A$2:A485,Raw_Bookings!A485)&gt;1,1,0)</f>
        <v>0</v>
      </c>
      <c r="C485" s="7" t="str">
        <f>Raw_Bookings!D485&amp;""</f>
        <v>2026-03-31</v>
      </c>
      <c r="D485" s="7" t="str">
        <f>IF(AND(LEN(C485)=10,MID(C485,5,1)="-",MID(C485,8,1)="-"),"ISO",IF(AND(LEN(C485)=10,MID(C485,3,1)="-",MID(C485,6,1)="-"),"DMY","OTHER"))</f>
        <v>ISO</v>
      </c>
      <c r="E485" s="7">
        <f>IF(D485="ISO",VALUE(LEFT(C485,4)),IF(D485="DMY",VALUE(RIGHT(C485,4)),0))</f>
        <v>2026</v>
      </c>
      <c r="F485" s="7">
        <f>IF(D485="ISO",VALUE(MID(C485,6,2)),IF(D485="DMY",VALUE(MID(C485,4,2)),0))</f>
        <v>3</v>
      </c>
      <c r="G485" s="7">
        <f>IF(D485="ISO",VALUE(RIGHT(C485,2)),IF(D485="DMY",VALUE(LEFT(C485,2)),0))</f>
        <v>31</v>
      </c>
      <c r="H485" s="7">
        <f>IF(AND(D485&lt;&gt;"OTHER",F485&gt;=1,F485&lt;=12,G485&gt;=1,G485&lt;=31),IF(AND(MONTH(DATE(E485,F485,G485))=F485,DAY(DATE(E485,F485,G485))=G485),1,0),0)</f>
        <v>1</v>
      </c>
      <c r="I485" s="7">
        <f>IF(H485=1,DATE(E485,F485,G485),"")</f>
        <v>46112.0</v>
      </c>
      <c r="J485" s="7">
        <f>IF(AND(D485="DMY",H485=1),1,0)</f>
        <v>0</v>
      </c>
      <c r="K485" s="7">
        <f>IF(H485=0,1,0)</f>
        <v>0</v>
      </c>
      <c r="L485" s="7">
        <f>IF(TRIM(Raw_Bookings!I485&amp;"")="",1,0)</f>
        <v>0</v>
      </c>
      <c r="M485" s="7">
        <f>IF(L485=1,"",DATEVALUE(LEFT(Raw_Bookings!I485,10))+TIMEVALUE(MID(Raw_Bookings!I485,12,8)))</f>
        <v>46095.788611111115</v>
      </c>
      <c r="N485" s="7">
        <f>IF(AND(L485=0,H485=1),IF(INT(M485)&gt;I485,1,0),0)</f>
        <v>0</v>
      </c>
      <c r="O485" s="7" t="str">
        <f>UPPER(TRIM(Raw_Bookings!F485))</f>
        <v>BHO</v>
      </c>
      <c r="P485" s="7" t="str">
        <f>UPPER(TRIM(Raw_Bookings!G485))</f>
        <v>JAI</v>
      </c>
      <c r="Q485" s="7">
        <f>IF(COUNTIF(Lookup_Stations!$A$2:$A$33,O485)&gt;0,1,0)</f>
        <v>1</v>
      </c>
      <c r="R485" s="7">
        <f>IF(COUNTIF(Lookup_Stations!$A$2:$A$33,P485)&gt;0,1,0)</f>
        <v>1</v>
      </c>
      <c r="S485" s="7">
        <f>IF(OR(AND(Q485=1,NOT(EXACT(Raw_Bookings!F485,O485))),AND(R485=1,NOT(EXACT(Raw_Bookings!G485,P485)))),1,0)</f>
        <v>0</v>
      </c>
      <c r="T485" s="7">
        <f>IF(OR(Q485=0,R485=0),1,0)</f>
        <v>0</v>
      </c>
      <c r="U485" s="7">
        <f>IF(TRIM(Raw_Bookings!E485&amp;"")="",1,0)</f>
        <v>0</v>
      </c>
      <c r="V485" s="7" t="str">
        <f>IF(SUMPRODUCT(--(Lookup_Status!$A$2:$A$13=LOWER(TRIM(Raw_Bookings!K485))))=0,"",INDEX(Lookup_Status!$B$2:$B$13,SUMPRODUCT((Lookup_Status!$A$2:$A$13=LOWER(TRIM(Raw_Bookings!K485)))*(ROW(Lookup_Status!$A$2:$A$13)-1))))</f>
        <v>Confirmed</v>
      </c>
      <c r="W485" s="7">
        <f>IF(AND(V485&lt;&gt;"",NOT(EXACT(Raw_Bookings!K485,V485))),1,0)</f>
        <v>0</v>
      </c>
      <c r="X485" s="7">
        <f>IF(V485="",1,0)</f>
        <v>0</v>
      </c>
      <c r="Y485" s="7">
        <f>IF(TRIM(Raw_Bookings!L485&amp;"")="",1,0)</f>
        <v>0</v>
      </c>
      <c r="Z485" s="7">
        <f>IF(AND(ISTEXT(Raw_Bookings!L485),Y485=0),1,0)</f>
        <v>1</v>
      </c>
      <c r="AA485" s="7">
        <f>IF(Z485=1,IFERROR(VALUE(SUBSTITUTE(SUBSTITUTE(SUBSTITUTE(SUBSTITUTE(SUBSTITUTE(UPPER(Raw_Bookings!L485),"RS.",""),"₹",""),",","")," ",""),"INR","")),""),"")</f>
        <v>833</v>
      </c>
      <c r="AB485" s="7">
        <f>IF(AND(Z485=1,ISNUMBER(AA485)),1,0)</f>
        <v>1</v>
      </c>
      <c r="AC485" s="7">
        <f>IF(B485=1,0,IF(NOT(ISNUMBER(Raw_Bookings!J485)),1,IF(Raw_Bookings!J485&lt;&gt;COUNTIFS(Work_Passengers!$B$2:$B$1336,Raw_Bookings!A485,Work_Passengers!$C$2:$C$1336,0),1,0)))</f>
        <v>0</v>
      </c>
    </row>
    <row r="486" spans="1:29">
      <c r="A486" s="7">
        <f>Raw_Bookings!A486</f>
        <v>1161167</v>
      </c>
      <c r="B486" s="7">
        <f>IF(COUNTIF(Raw_Bookings!$A$2:A486,Raw_Bookings!A486)&gt;1,1,0)</f>
        <v>0</v>
      </c>
      <c r="C486" s="7" t="str">
        <f>Raw_Bookings!D486&amp;""</f>
        <v>2026-03-24</v>
      </c>
      <c r="D486" s="7" t="str">
        <f>IF(AND(LEN(C486)=10,MID(C486,5,1)="-",MID(C486,8,1)="-"),"ISO",IF(AND(LEN(C486)=10,MID(C486,3,1)="-",MID(C486,6,1)="-"),"DMY","OTHER"))</f>
        <v>ISO</v>
      </c>
      <c r="E486" s="7">
        <f>IF(D486="ISO",VALUE(LEFT(C486,4)),IF(D486="DMY",VALUE(RIGHT(C486,4)),0))</f>
        <v>2026</v>
      </c>
      <c r="F486" s="7">
        <f>IF(D486="ISO",VALUE(MID(C486,6,2)),IF(D486="DMY",VALUE(MID(C486,4,2)),0))</f>
        <v>3</v>
      </c>
      <c r="G486" s="7">
        <f>IF(D486="ISO",VALUE(RIGHT(C486,2)),IF(D486="DMY",VALUE(LEFT(C486,2)),0))</f>
        <v>24</v>
      </c>
      <c r="H486" s="7">
        <f>IF(AND(D486&lt;&gt;"OTHER",F486&gt;=1,F486&lt;=12,G486&gt;=1,G486&lt;=31),IF(AND(MONTH(DATE(E486,F486,G486))=F486,DAY(DATE(E486,F486,G486))=G486),1,0),0)</f>
        <v>1</v>
      </c>
      <c r="I486" s="7">
        <f>IF(H486=1,DATE(E486,F486,G486),"")</f>
        <v>46105.0</v>
      </c>
      <c r="J486" s="7">
        <f>IF(AND(D486="DMY",H486=1),1,0)</f>
        <v>0</v>
      </c>
      <c r="K486" s="7">
        <f>IF(H486=0,1,0)</f>
        <v>0</v>
      </c>
      <c r="L486" s="7">
        <f>IF(TRIM(Raw_Bookings!I486&amp;"")="",1,0)</f>
        <v>0</v>
      </c>
      <c r="M486" s="7">
        <f>IF(L486=1,"",DATEVALUE(LEFT(Raw_Bookings!I486,10))+TIMEVALUE(MID(Raw_Bookings!I486,12,8)))</f>
        <v>46097.542291666665</v>
      </c>
      <c r="N486" s="7">
        <f>IF(AND(L486=0,H486=1),IF(INT(M486)&gt;I486,1,0),0)</f>
        <v>0</v>
      </c>
      <c r="O486" s="7" t="str">
        <f>UPPER(TRIM(Raw_Bookings!F486))</f>
        <v>MUM</v>
      </c>
      <c r="P486" s="7" t="str">
        <f>UPPER(TRIM(Raw_Bookings!G486))</f>
        <v>BEN</v>
      </c>
      <c r="Q486" s="7">
        <f>IF(COUNTIF(Lookup_Stations!$A$2:$A$33,O486)&gt;0,1,0)</f>
        <v>1</v>
      </c>
      <c r="R486" s="7">
        <f>IF(COUNTIF(Lookup_Stations!$A$2:$A$33,P486)&gt;0,1,0)</f>
        <v>1</v>
      </c>
      <c r="S486" s="7">
        <f>IF(OR(AND(Q486=1,NOT(EXACT(Raw_Bookings!F486,O486))),AND(R486=1,NOT(EXACT(Raw_Bookings!G486,P486)))),1,0)</f>
        <v>0</v>
      </c>
      <c r="T486" s="7">
        <f>IF(OR(Q486=0,R486=0),1,0)</f>
        <v>0</v>
      </c>
      <c r="U486" s="7">
        <f>IF(TRIM(Raw_Bookings!E486&amp;"")="",1,0)</f>
        <v>0</v>
      </c>
      <c r="V486" s="7" t="str">
        <f>IF(SUMPRODUCT(--(Lookup_Status!$A$2:$A$13=LOWER(TRIM(Raw_Bookings!K486))))=0,"",INDEX(Lookup_Status!$B$2:$B$13,SUMPRODUCT((Lookup_Status!$A$2:$A$13=LOWER(TRIM(Raw_Bookings!K486)))*(ROW(Lookup_Status!$A$2:$A$13)-1))))</f>
        <v>Confirmed</v>
      </c>
      <c r="W486" s="7">
        <f>IF(AND(V486&lt;&gt;"",NOT(EXACT(Raw_Bookings!K486,V486))),1,0)</f>
        <v>0</v>
      </c>
      <c r="X486" s="7">
        <f>IF(V486="",1,0)</f>
        <v>0</v>
      </c>
      <c r="Y486" s="7">
        <f>IF(TRIM(Raw_Bookings!L486&amp;"")="",1,0)</f>
        <v>0</v>
      </c>
      <c r="Z486" s="7">
        <f>IF(AND(ISTEXT(Raw_Bookings!L486),Y486=0),1,0)</f>
        <v>0</v>
      </c>
      <c r="AA486" s="7">
        <f>IF(Z486=1,IFERROR(VALUE(SUBSTITUTE(SUBSTITUTE(SUBSTITUTE(SUBSTITUTE(SUBSTITUTE(UPPER(Raw_Bookings!L486),"RS.",""),"₹",""),",","")," ",""),"INR","")),""),"")</f>
        <v/>
      </c>
      <c r="AB486" s="7">
        <f>IF(AND(Z486=1,ISNUMBER(AA486)),1,0)</f>
        <v>0</v>
      </c>
      <c r="AC486" s="7">
        <f>IF(B486=1,0,IF(NOT(ISNUMBER(Raw_Bookings!J486)),1,IF(Raw_Bookings!J486&lt;&gt;COUNTIFS(Work_Passengers!$B$2:$B$1336,Raw_Bookings!A486,Work_Passengers!$C$2:$C$1336,0),1,0)))</f>
        <v>0</v>
      </c>
    </row>
    <row r="487" spans="1:29">
      <c r="A487" s="7">
        <f>Raw_Bookings!A487</f>
        <v>1161274</v>
      </c>
      <c r="B487" s="7">
        <f>IF(COUNTIF(Raw_Bookings!$A$2:A487,Raw_Bookings!A487)&gt;1,1,0)</f>
        <v>0</v>
      </c>
      <c r="C487" s="7" t="str">
        <f>Raw_Bookings!D487&amp;""</f>
        <v>2026-04-05</v>
      </c>
      <c r="D487" s="7" t="str">
        <f>IF(AND(LEN(C487)=10,MID(C487,5,1)="-",MID(C487,8,1)="-"),"ISO",IF(AND(LEN(C487)=10,MID(C487,3,1)="-",MID(C487,6,1)="-"),"DMY","OTHER"))</f>
        <v>ISO</v>
      </c>
      <c r="E487" s="7">
        <f>IF(D487="ISO",VALUE(LEFT(C487,4)),IF(D487="DMY",VALUE(RIGHT(C487,4)),0))</f>
        <v>2026</v>
      </c>
      <c r="F487" s="7">
        <f>IF(D487="ISO",VALUE(MID(C487,6,2)),IF(D487="DMY",VALUE(MID(C487,4,2)),0))</f>
        <v>4</v>
      </c>
      <c r="G487" s="7">
        <f>IF(D487="ISO",VALUE(RIGHT(C487,2)),IF(D487="DMY",VALUE(LEFT(C487,2)),0))</f>
        <v>5</v>
      </c>
      <c r="H487" s="7">
        <f>IF(AND(D487&lt;&gt;"OTHER",F487&gt;=1,F487&lt;=12,G487&gt;=1,G487&lt;=31),IF(AND(MONTH(DATE(E487,F487,G487))=F487,DAY(DATE(E487,F487,G487))=G487),1,0),0)</f>
        <v>1</v>
      </c>
      <c r="I487" s="7">
        <f>IF(H487=1,DATE(E487,F487,G487),"")</f>
        <v>46117.0</v>
      </c>
      <c r="J487" s="7">
        <f>IF(AND(D487="DMY",H487=1),1,0)</f>
        <v>0</v>
      </c>
      <c r="K487" s="7">
        <f>IF(H487=0,1,0)</f>
        <v>0</v>
      </c>
      <c r="L487" s="7">
        <f>IF(TRIM(Raw_Bookings!I487&amp;"")="",1,0)</f>
        <v>0</v>
      </c>
      <c r="M487" s="7">
        <f>IF(L487=1,"",DATEVALUE(LEFT(Raw_Bookings!I487,10))+TIMEVALUE(MID(Raw_Bookings!I487,12,8)))</f>
        <v>46097.83646990741</v>
      </c>
      <c r="N487" s="7">
        <f>IF(AND(L487=0,H487=1),IF(INT(M487)&gt;I487,1,0),0)</f>
        <v>0</v>
      </c>
      <c r="O487" s="7" t="str">
        <f>UPPER(TRIM(Raw_Bookings!F487))</f>
        <v>RAI</v>
      </c>
      <c r="P487" s="7" t="str">
        <f>UPPER(TRIM(Raw_Bookings!G487))</f>
        <v>JAI</v>
      </c>
      <c r="Q487" s="7">
        <f>IF(COUNTIF(Lookup_Stations!$A$2:$A$33,O487)&gt;0,1,0)</f>
        <v>1</v>
      </c>
      <c r="R487" s="7">
        <f>IF(COUNTIF(Lookup_Stations!$A$2:$A$33,P487)&gt;0,1,0)</f>
        <v>1</v>
      </c>
      <c r="S487" s="7">
        <f>IF(OR(AND(Q487=1,NOT(EXACT(Raw_Bookings!F487,O487))),AND(R487=1,NOT(EXACT(Raw_Bookings!G487,P487)))),1,0)</f>
        <v>0</v>
      </c>
      <c r="T487" s="7">
        <f>IF(OR(Q487=0,R487=0),1,0)</f>
        <v>0</v>
      </c>
      <c r="U487" s="7">
        <f>IF(TRIM(Raw_Bookings!E487&amp;"")="",1,0)</f>
        <v>0</v>
      </c>
      <c r="V487" s="7" t="str">
        <f>IF(SUMPRODUCT(--(Lookup_Status!$A$2:$A$13=LOWER(TRIM(Raw_Bookings!K487))))=0,"",INDEX(Lookup_Status!$B$2:$B$13,SUMPRODUCT((Lookup_Status!$A$2:$A$13=LOWER(TRIM(Raw_Bookings!K487)))*(ROW(Lookup_Status!$A$2:$A$13)-1))))</f>
        <v>Confirmed</v>
      </c>
      <c r="W487" s="7">
        <f>IF(AND(V487&lt;&gt;"",NOT(EXACT(Raw_Bookings!K487,V487))),1,0)</f>
        <v>0</v>
      </c>
      <c r="X487" s="7">
        <f>IF(V487="",1,0)</f>
        <v>0</v>
      </c>
      <c r="Y487" s="7">
        <f>IF(TRIM(Raw_Bookings!L487&amp;"")="",1,0)</f>
        <v>0</v>
      </c>
      <c r="Z487" s="7">
        <f>IF(AND(ISTEXT(Raw_Bookings!L487),Y487=0),1,0)</f>
        <v>0</v>
      </c>
      <c r="AA487" s="7">
        <f>IF(Z487=1,IFERROR(VALUE(SUBSTITUTE(SUBSTITUTE(SUBSTITUTE(SUBSTITUTE(SUBSTITUTE(UPPER(Raw_Bookings!L487),"RS.",""),"₹",""),",","")," ",""),"INR","")),""),"")</f>
        <v/>
      </c>
      <c r="AB487" s="7">
        <f>IF(AND(Z487=1,ISNUMBER(AA487)),1,0)</f>
        <v>0</v>
      </c>
      <c r="AC487" s="7">
        <f>IF(B487=1,0,IF(NOT(ISNUMBER(Raw_Bookings!J487)),1,IF(Raw_Bookings!J487&lt;&gt;COUNTIFS(Work_Passengers!$B$2:$B$1336,Raw_Bookings!A487,Work_Passengers!$C$2:$C$1336,0),1,0)))</f>
        <v>0</v>
      </c>
    </row>
    <row r="488" spans="1:29">
      <c r="A488" s="7">
        <f>Raw_Bookings!A488</f>
        <v>1161513</v>
      </c>
      <c r="B488" s="7">
        <f>IF(COUNTIF(Raw_Bookings!$A$2:A488,Raw_Bookings!A488)&gt;1,1,0)</f>
        <v>0</v>
      </c>
      <c r="C488" s="7" t="str">
        <f>Raw_Bookings!D488&amp;""</f>
        <v>2026-04-05</v>
      </c>
      <c r="D488" s="7" t="str">
        <f>IF(AND(LEN(C488)=10,MID(C488,5,1)="-",MID(C488,8,1)="-"),"ISO",IF(AND(LEN(C488)=10,MID(C488,3,1)="-",MID(C488,6,1)="-"),"DMY","OTHER"))</f>
        <v>ISO</v>
      </c>
      <c r="E488" s="7">
        <f>IF(D488="ISO",VALUE(LEFT(C488,4)),IF(D488="DMY",VALUE(RIGHT(C488,4)),0))</f>
        <v>2026</v>
      </c>
      <c r="F488" s="7">
        <f>IF(D488="ISO",VALUE(MID(C488,6,2)),IF(D488="DMY",VALUE(MID(C488,4,2)),0))</f>
        <v>4</v>
      </c>
      <c r="G488" s="7">
        <f>IF(D488="ISO",VALUE(RIGHT(C488,2)),IF(D488="DMY",VALUE(LEFT(C488,2)),0))</f>
        <v>5</v>
      </c>
      <c r="H488" s="7">
        <f>IF(AND(D488&lt;&gt;"OTHER",F488&gt;=1,F488&lt;=12,G488&gt;=1,G488&lt;=31),IF(AND(MONTH(DATE(E488,F488,G488))=F488,DAY(DATE(E488,F488,G488))=G488),1,0),0)</f>
        <v>1</v>
      </c>
      <c r="I488" s="7">
        <f>IF(H488=1,DATE(E488,F488,G488),"")</f>
        <v>46117.0</v>
      </c>
      <c r="J488" s="7">
        <f>IF(AND(D488="DMY",H488=1),1,0)</f>
        <v>0</v>
      </c>
      <c r="K488" s="7">
        <f>IF(H488=0,1,0)</f>
        <v>0</v>
      </c>
      <c r="L488" s="7">
        <f>IF(TRIM(Raw_Bookings!I488&amp;"")="",1,0)</f>
        <v>0</v>
      </c>
      <c r="M488" s="7">
        <f>IF(L488=1,"",DATEVALUE(LEFT(Raw_Bookings!I488,10))+TIMEVALUE(MID(Raw_Bookings!I488,12,8)))</f>
        <v>46098.704363425924</v>
      </c>
      <c r="N488" s="7">
        <f>IF(AND(L488=0,H488=1),IF(INT(M488)&gt;I488,1,0),0)</f>
        <v>0</v>
      </c>
      <c r="O488" s="7" t="str">
        <f>UPPER(TRIM(Raw_Bookings!F488))</f>
        <v>RAI</v>
      </c>
      <c r="P488" s="7" t="str">
        <f>UPPER(TRIM(Raw_Bookings!G488))</f>
        <v>JAI</v>
      </c>
      <c r="Q488" s="7">
        <f>IF(COUNTIF(Lookup_Stations!$A$2:$A$33,O488)&gt;0,1,0)</f>
        <v>1</v>
      </c>
      <c r="R488" s="7">
        <f>IF(COUNTIF(Lookup_Stations!$A$2:$A$33,P488)&gt;0,1,0)</f>
        <v>1</v>
      </c>
      <c r="S488" s="7">
        <f>IF(OR(AND(Q488=1,NOT(EXACT(Raw_Bookings!F488,O488))),AND(R488=1,NOT(EXACT(Raw_Bookings!G488,P488)))),1,0)</f>
        <v>0</v>
      </c>
      <c r="T488" s="7">
        <f>IF(OR(Q488=0,R488=0),1,0)</f>
        <v>0</v>
      </c>
      <c r="U488" s="7">
        <f>IF(TRIM(Raw_Bookings!E488&amp;"")="",1,0)</f>
        <v>0</v>
      </c>
      <c r="V488" s="7" t="str">
        <f>IF(SUMPRODUCT(--(Lookup_Status!$A$2:$A$13=LOWER(TRIM(Raw_Bookings!K488))))=0,"",INDEX(Lookup_Status!$B$2:$B$13,SUMPRODUCT((Lookup_Status!$A$2:$A$13=LOWER(TRIM(Raw_Bookings!K488)))*(ROW(Lookup_Status!$A$2:$A$13)-1))))</f>
        <v>Confirmed</v>
      </c>
      <c r="W488" s="7">
        <f>IF(AND(V488&lt;&gt;"",NOT(EXACT(Raw_Bookings!K488,V488))),1,0)</f>
        <v>0</v>
      </c>
      <c r="X488" s="7">
        <f>IF(V488="",1,0)</f>
        <v>0</v>
      </c>
      <c r="Y488" s="7">
        <f>IF(TRIM(Raw_Bookings!L488&amp;"")="",1,0)</f>
        <v>0</v>
      </c>
      <c r="Z488" s="7">
        <f>IF(AND(ISTEXT(Raw_Bookings!L488),Y488=0),1,0)</f>
        <v>0</v>
      </c>
      <c r="AA488" s="7">
        <f>IF(Z488=1,IFERROR(VALUE(SUBSTITUTE(SUBSTITUTE(SUBSTITUTE(SUBSTITUTE(SUBSTITUTE(UPPER(Raw_Bookings!L488),"RS.",""),"₹",""),",","")," ",""),"INR","")),""),"")</f>
        <v/>
      </c>
      <c r="AB488" s="7">
        <f>IF(AND(Z488=1,ISNUMBER(AA488)),1,0)</f>
        <v>0</v>
      </c>
      <c r="AC488" s="7">
        <f>IF(B488=1,0,IF(NOT(ISNUMBER(Raw_Bookings!J488)),1,IF(Raw_Bookings!J488&lt;&gt;COUNTIFS(Work_Passengers!$B$2:$B$1336,Raw_Bookings!A488,Work_Passengers!$C$2:$C$1336,0),1,0)))</f>
        <v>0</v>
      </c>
    </row>
    <row r="489" spans="1:29">
      <c r="A489" s="7">
        <f>Raw_Bookings!A489</f>
        <v>1162063</v>
      </c>
      <c r="B489" s="7">
        <f>IF(COUNTIF(Raw_Bookings!$A$2:A489,Raw_Bookings!A489)&gt;1,1,0)</f>
        <v>0</v>
      </c>
      <c r="C489" s="7" t="str">
        <f>Raw_Bookings!D489&amp;""</f>
        <v>2026-04-20</v>
      </c>
      <c r="D489" s="7" t="str">
        <f>IF(AND(LEN(C489)=10,MID(C489,5,1)="-",MID(C489,8,1)="-"),"ISO",IF(AND(LEN(C489)=10,MID(C489,3,1)="-",MID(C489,6,1)="-"),"DMY","OTHER"))</f>
        <v>ISO</v>
      </c>
      <c r="E489" s="7">
        <f>IF(D489="ISO",VALUE(LEFT(C489,4)),IF(D489="DMY",VALUE(RIGHT(C489,4)),0))</f>
        <v>2026</v>
      </c>
      <c r="F489" s="7">
        <f>IF(D489="ISO",VALUE(MID(C489,6,2)),IF(D489="DMY",VALUE(MID(C489,4,2)),0))</f>
        <v>4</v>
      </c>
      <c r="G489" s="7">
        <f>IF(D489="ISO",VALUE(RIGHT(C489,2)),IF(D489="DMY",VALUE(LEFT(C489,2)),0))</f>
        <v>20</v>
      </c>
      <c r="H489" s="7">
        <f>IF(AND(D489&lt;&gt;"OTHER",F489&gt;=1,F489&lt;=12,G489&gt;=1,G489&lt;=31),IF(AND(MONTH(DATE(E489,F489,G489))=F489,DAY(DATE(E489,F489,G489))=G489),1,0),0)</f>
        <v>1</v>
      </c>
      <c r="I489" s="7">
        <f>IF(H489=1,DATE(E489,F489,G489),"")</f>
        <v>46132.0</v>
      </c>
      <c r="J489" s="7">
        <f>IF(AND(D489="DMY",H489=1),1,0)</f>
        <v>0</v>
      </c>
      <c r="K489" s="7">
        <f>IF(H489=0,1,0)</f>
        <v>0</v>
      </c>
      <c r="L489" s="7">
        <f>IF(TRIM(Raw_Bookings!I489&amp;"")="",1,0)</f>
        <v>0</v>
      </c>
      <c r="M489" s="7">
        <f>IF(L489=1,"",DATEVALUE(LEFT(Raw_Bookings!I489,10))+TIMEVALUE(MID(Raw_Bookings!I489,12,8)))</f>
        <v>46100.75216435185</v>
      </c>
      <c r="N489" s="7">
        <f>IF(AND(L489=0,H489=1),IF(INT(M489)&gt;I489,1,0),0)</f>
        <v>0</v>
      </c>
      <c r="O489" s="7" t="str">
        <f>UPPER(TRIM(Raw_Bookings!F489))</f>
        <v>HYD</v>
      </c>
      <c r="P489" s="7" t="str">
        <f>UPPER(TRIM(Raw_Bookings!G489))</f>
        <v>KOL</v>
      </c>
      <c r="Q489" s="7">
        <f>IF(COUNTIF(Lookup_Stations!$A$2:$A$33,O489)&gt;0,1,0)</f>
        <v>1</v>
      </c>
      <c r="R489" s="7">
        <f>IF(COUNTIF(Lookup_Stations!$A$2:$A$33,P489)&gt;0,1,0)</f>
        <v>1</v>
      </c>
      <c r="S489" s="7">
        <f>IF(OR(AND(Q489=1,NOT(EXACT(Raw_Bookings!F489,O489))),AND(R489=1,NOT(EXACT(Raw_Bookings!G489,P489)))),1,0)</f>
        <v>0</v>
      </c>
      <c r="T489" s="7">
        <f>IF(OR(Q489=0,R489=0),1,0)</f>
        <v>0</v>
      </c>
      <c r="U489" s="7">
        <f>IF(TRIM(Raw_Bookings!E489&amp;"")="",1,0)</f>
        <v>0</v>
      </c>
      <c r="V489" s="7" t="str">
        <f>IF(SUMPRODUCT(--(Lookup_Status!$A$2:$A$13=LOWER(TRIM(Raw_Bookings!K489))))=0,"",INDEX(Lookup_Status!$B$2:$B$13,SUMPRODUCT((Lookup_Status!$A$2:$A$13=LOWER(TRIM(Raw_Bookings!K489)))*(ROW(Lookup_Status!$A$2:$A$13)-1))))</f>
        <v>Cancelled</v>
      </c>
      <c r="W489" s="7">
        <f>IF(AND(V489&lt;&gt;"",NOT(EXACT(Raw_Bookings!K489,V489))),1,0)</f>
        <v>0</v>
      </c>
      <c r="X489" s="7">
        <f>IF(V489="",1,0)</f>
        <v>0</v>
      </c>
      <c r="Y489" s="7">
        <f>IF(TRIM(Raw_Bookings!L489&amp;"")="",1,0)</f>
        <v>0</v>
      </c>
      <c r="Z489" s="7">
        <f>IF(AND(ISTEXT(Raw_Bookings!L489),Y489=0),1,0)</f>
        <v>0</v>
      </c>
      <c r="AA489" s="7">
        <f>IF(Z489=1,IFERROR(VALUE(SUBSTITUTE(SUBSTITUTE(SUBSTITUTE(SUBSTITUTE(SUBSTITUTE(UPPER(Raw_Bookings!L489),"RS.",""),"₹",""),",","")," ",""),"INR","")),""),"")</f>
        <v/>
      </c>
      <c r="AB489" s="7">
        <f>IF(AND(Z489=1,ISNUMBER(AA489)),1,0)</f>
        <v>0</v>
      </c>
      <c r="AC489" s="7">
        <f>IF(B489=1,0,IF(NOT(ISNUMBER(Raw_Bookings!J489)),1,IF(Raw_Bookings!J489&lt;&gt;COUNTIFS(Work_Passengers!$B$2:$B$1336,Raw_Bookings!A489,Work_Passengers!$C$2:$C$1336,0),1,0)))</f>
        <v>0</v>
      </c>
    </row>
    <row r="490" spans="1:29">
      <c r="A490" s="7">
        <f>Raw_Bookings!A490</f>
        <v>1162577</v>
      </c>
      <c r="B490" s="7">
        <f>IF(COUNTIF(Raw_Bookings!$A$2:A490,Raw_Bookings!A490)&gt;1,1,0)</f>
        <v>0</v>
      </c>
      <c r="C490" s="7" t="str">
        <f>Raw_Bookings!D490&amp;""</f>
        <v>2026-07-10</v>
      </c>
      <c r="D490" s="7" t="str">
        <f>IF(AND(LEN(C490)=10,MID(C490,5,1)="-",MID(C490,8,1)="-"),"ISO",IF(AND(LEN(C490)=10,MID(C490,3,1)="-",MID(C490,6,1)="-"),"DMY","OTHER"))</f>
        <v>ISO</v>
      </c>
      <c r="E490" s="7">
        <f>IF(D490="ISO",VALUE(LEFT(C490,4)),IF(D490="DMY",VALUE(RIGHT(C490,4)),0))</f>
        <v>2026</v>
      </c>
      <c r="F490" s="7">
        <f>IF(D490="ISO",VALUE(MID(C490,6,2)),IF(D490="DMY",VALUE(MID(C490,4,2)),0))</f>
        <v>7</v>
      </c>
      <c r="G490" s="7">
        <f>IF(D490="ISO",VALUE(RIGHT(C490,2)),IF(D490="DMY",VALUE(LEFT(C490,2)),0))</f>
        <v>10</v>
      </c>
      <c r="H490" s="7">
        <f>IF(AND(D490&lt;&gt;"OTHER",F490&gt;=1,F490&lt;=12,G490&gt;=1,G490&lt;=31),IF(AND(MONTH(DATE(E490,F490,G490))=F490,DAY(DATE(E490,F490,G490))=G490),1,0),0)</f>
        <v>1</v>
      </c>
      <c r="I490" s="7">
        <f>IF(H490=1,DATE(E490,F490,G490),"")</f>
        <v>46213.0</v>
      </c>
      <c r="J490" s="7">
        <f>IF(AND(D490="DMY",H490=1),1,0)</f>
        <v>0</v>
      </c>
      <c r="K490" s="7">
        <f>IF(H490=0,1,0)</f>
        <v>0</v>
      </c>
      <c r="L490" s="7">
        <f>IF(TRIM(Raw_Bookings!I490&amp;"")="",1,0)</f>
        <v>0</v>
      </c>
      <c r="M490" s="7">
        <f>IF(L490=1,"",DATEVALUE(LEFT(Raw_Bookings!I490,10))+TIMEVALUE(MID(Raw_Bookings!I490,12,8)))</f>
        <v>46102.569340277776</v>
      </c>
      <c r="N490" s="7">
        <f>IF(AND(L490=0,H490=1),IF(INT(M490)&gt;I490,1,0),0)</f>
        <v>0</v>
      </c>
      <c r="O490" s="7" t="str">
        <f>UPPER(TRIM(Raw_Bookings!F490))</f>
        <v>JOD</v>
      </c>
      <c r="P490" s="7" t="str">
        <f>UPPER(TRIM(Raw_Bookings!G490))</f>
        <v>BEN</v>
      </c>
      <c r="Q490" s="7">
        <f>IF(COUNTIF(Lookup_Stations!$A$2:$A$33,O490)&gt;0,1,0)</f>
        <v>1</v>
      </c>
      <c r="R490" s="7">
        <f>IF(COUNTIF(Lookup_Stations!$A$2:$A$33,P490)&gt;0,1,0)</f>
        <v>1</v>
      </c>
      <c r="S490" s="7">
        <f>IF(OR(AND(Q490=1,NOT(EXACT(Raw_Bookings!F490,O490))),AND(R490=1,NOT(EXACT(Raw_Bookings!G490,P490)))),1,0)</f>
        <v>0</v>
      </c>
      <c r="T490" s="7">
        <f>IF(OR(Q490=0,R490=0),1,0)</f>
        <v>0</v>
      </c>
      <c r="U490" s="7">
        <f>IF(TRIM(Raw_Bookings!E490&amp;"")="",1,0)</f>
        <v>0</v>
      </c>
      <c r="V490" s="7" t="str">
        <f>IF(SUMPRODUCT(--(Lookup_Status!$A$2:$A$13=LOWER(TRIM(Raw_Bookings!K490))))=0,"",INDEX(Lookup_Status!$B$2:$B$13,SUMPRODUCT((Lookup_Status!$A$2:$A$13=LOWER(TRIM(Raw_Bookings!K490)))*(ROW(Lookup_Status!$A$2:$A$13)-1))))</f>
        <v>Confirmed</v>
      </c>
      <c r="W490" s="7">
        <f>IF(AND(V490&lt;&gt;"",NOT(EXACT(Raw_Bookings!K490,V490))),1,0)</f>
        <v>0</v>
      </c>
      <c r="X490" s="7">
        <f>IF(V490="",1,0)</f>
        <v>0</v>
      </c>
      <c r="Y490" s="7">
        <f>IF(TRIM(Raw_Bookings!L490&amp;"")="",1,0)</f>
        <v>0</v>
      </c>
      <c r="Z490" s="7">
        <f>IF(AND(ISTEXT(Raw_Bookings!L490),Y490=0),1,0)</f>
        <v>0</v>
      </c>
      <c r="AA490" s="7">
        <f>IF(Z490=1,IFERROR(VALUE(SUBSTITUTE(SUBSTITUTE(SUBSTITUTE(SUBSTITUTE(SUBSTITUTE(UPPER(Raw_Bookings!L490),"RS.",""),"₹",""),",","")," ",""),"INR","")),""),"")</f>
        <v/>
      </c>
      <c r="AB490" s="7">
        <f>IF(AND(Z490=1,ISNUMBER(AA490)),1,0)</f>
        <v>0</v>
      </c>
      <c r="AC490" s="7">
        <f>IF(B490=1,0,IF(NOT(ISNUMBER(Raw_Bookings!J490)),1,IF(Raw_Bookings!J490&lt;&gt;COUNTIFS(Work_Passengers!$B$2:$B$1336,Raw_Bookings!A490,Work_Passengers!$C$2:$C$1336,0),1,0)))</f>
        <v>0</v>
      </c>
    </row>
    <row r="491" spans="1:29">
      <c r="A491" s="7">
        <f>Raw_Bookings!A491</f>
        <v>1162647</v>
      </c>
      <c r="B491" s="7">
        <f>IF(COUNTIF(Raw_Bookings!$A$2:A491,Raw_Bookings!A491)&gt;1,1,0)</f>
        <v>0</v>
      </c>
      <c r="C491" s="7" t="str">
        <f>Raw_Bookings!D491&amp;""</f>
        <v>2026-03-30</v>
      </c>
      <c r="D491" s="7" t="str">
        <f>IF(AND(LEN(C491)=10,MID(C491,5,1)="-",MID(C491,8,1)="-"),"ISO",IF(AND(LEN(C491)=10,MID(C491,3,1)="-",MID(C491,6,1)="-"),"DMY","OTHER"))</f>
        <v>ISO</v>
      </c>
      <c r="E491" s="7">
        <f>IF(D491="ISO",VALUE(LEFT(C491,4)),IF(D491="DMY",VALUE(RIGHT(C491,4)),0))</f>
        <v>2026</v>
      </c>
      <c r="F491" s="7">
        <f>IF(D491="ISO",VALUE(MID(C491,6,2)),IF(D491="DMY",VALUE(MID(C491,4,2)),0))</f>
        <v>3</v>
      </c>
      <c r="G491" s="7">
        <f>IF(D491="ISO",VALUE(RIGHT(C491,2)),IF(D491="DMY",VALUE(LEFT(C491,2)),0))</f>
        <v>30</v>
      </c>
      <c r="H491" s="7">
        <f>IF(AND(D491&lt;&gt;"OTHER",F491&gt;=1,F491&lt;=12,G491&gt;=1,G491&lt;=31),IF(AND(MONTH(DATE(E491,F491,G491))=F491,DAY(DATE(E491,F491,G491))=G491),1,0),0)</f>
        <v>1</v>
      </c>
      <c r="I491" s="7">
        <f>IF(H491=1,DATE(E491,F491,G491),"")</f>
        <v>46111.0</v>
      </c>
      <c r="J491" s="7">
        <f>IF(AND(D491="DMY",H491=1),1,0)</f>
        <v>0</v>
      </c>
      <c r="K491" s="7">
        <f>IF(H491=0,1,0)</f>
        <v>0</v>
      </c>
      <c r="L491" s="7">
        <f>IF(TRIM(Raw_Bookings!I491&amp;"")="",1,0)</f>
        <v>0</v>
      </c>
      <c r="M491" s="7">
        <f>IF(L491=1,"",DATEVALUE(LEFT(Raw_Bookings!I491,10))+TIMEVALUE(MID(Raw_Bookings!I491,12,8)))</f>
        <v>46102.74025462963</v>
      </c>
      <c r="N491" s="7">
        <f>IF(AND(L491=0,H491=1),IF(INT(M491)&gt;I491,1,0),0)</f>
        <v>0</v>
      </c>
      <c r="O491" s="7" t="str">
        <f>UPPER(TRIM(Raw_Bookings!F491))</f>
        <v>BHO</v>
      </c>
      <c r="P491" s="7" t="str">
        <f>UPPER(TRIM(Raw_Bookings!G491))</f>
        <v>GUW</v>
      </c>
      <c r="Q491" s="7">
        <f>IF(COUNTIF(Lookup_Stations!$A$2:$A$33,O491)&gt;0,1,0)</f>
        <v>1</v>
      </c>
      <c r="R491" s="7">
        <f>IF(COUNTIF(Lookup_Stations!$A$2:$A$33,P491)&gt;0,1,0)</f>
        <v>1</v>
      </c>
      <c r="S491" s="7">
        <f>IF(OR(AND(Q491=1,NOT(EXACT(Raw_Bookings!F491,O491))),AND(R491=1,NOT(EXACT(Raw_Bookings!G491,P491)))),1,0)</f>
        <v>0</v>
      </c>
      <c r="T491" s="7">
        <f>IF(OR(Q491=0,R491=0),1,0)</f>
        <v>0</v>
      </c>
      <c r="U491" s="7">
        <f>IF(TRIM(Raw_Bookings!E491&amp;"")="",1,0)</f>
        <v>0</v>
      </c>
      <c r="V491" s="7" t="str">
        <f>IF(SUMPRODUCT(--(Lookup_Status!$A$2:$A$13=LOWER(TRIM(Raw_Bookings!K491))))=0,"",INDEX(Lookup_Status!$B$2:$B$13,SUMPRODUCT((Lookup_Status!$A$2:$A$13=LOWER(TRIM(Raw_Bookings!K491)))*(ROW(Lookup_Status!$A$2:$A$13)-1))))</f>
        <v>Cancelled</v>
      </c>
      <c r="W491" s="7">
        <f>IF(AND(V491&lt;&gt;"",NOT(EXACT(Raw_Bookings!K491,V491))),1,0)</f>
        <v>0</v>
      </c>
      <c r="X491" s="7">
        <f>IF(V491="",1,0)</f>
        <v>0</v>
      </c>
      <c r="Y491" s="7">
        <f>IF(TRIM(Raw_Bookings!L491&amp;"")="",1,0)</f>
        <v>0</v>
      </c>
      <c r="Z491" s="7">
        <f>IF(AND(ISTEXT(Raw_Bookings!L491),Y491=0),1,0)</f>
        <v>0</v>
      </c>
      <c r="AA491" s="7">
        <f>IF(Z491=1,IFERROR(VALUE(SUBSTITUTE(SUBSTITUTE(SUBSTITUTE(SUBSTITUTE(SUBSTITUTE(UPPER(Raw_Bookings!L491),"RS.",""),"₹",""),",","")," ",""),"INR","")),""),"")</f>
        <v/>
      </c>
      <c r="AB491" s="7">
        <f>IF(AND(Z491=1,ISNUMBER(AA491)),1,0)</f>
        <v>0</v>
      </c>
      <c r="AC491" s="7">
        <f>IF(B491=1,0,IF(NOT(ISNUMBER(Raw_Bookings!J491)),1,IF(Raw_Bookings!J491&lt;&gt;COUNTIFS(Work_Passengers!$B$2:$B$1336,Raw_Bookings!A491,Work_Passengers!$C$2:$C$1336,0),1,0)))</f>
        <v>0</v>
      </c>
    </row>
    <row r="492" spans="1:29">
      <c r="A492" s="7">
        <f>Raw_Bookings!A492</f>
        <v>1162802</v>
      </c>
      <c r="B492" s="7">
        <f>IF(COUNTIF(Raw_Bookings!$A$2:A492,Raw_Bookings!A492)&gt;1,1,0)</f>
        <v>0</v>
      </c>
      <c r="C492" s="7" t="str">
        <f>Raw_Bookings!D492&amp;""</f>
        <v>2026-06-05</v>
      </c>
      <c r="D492" s="7" t="str">
        <f>IF(AND(LEN(C492)=10,MID(C492,5,1)="-",MID(C492,8,1)="-"),"ISO",IF(AND(LEN(C492)=10,MID(C492,3,1)="-",MID(C492,6,1)="-"),"DMY","OTHER"))</f>
        <v>ISO</v>
      </c>
      <c r="E492" s="7">
        <f>IF(D492="ISO",VALUE(LEFT(C492,4)),IF(D492="DMY",VALUE(RIGHT(C492,4)),0))</f>
        <v>2026</v>
      </c>
      <c r="F492" s="7">
        <f>IF(D492="ISO",VALUE(MID(C492,6,2)),IF(D492="DMY",VALUE(MID(C492,4,2)),0))</f>
        <v>6</v>
      </c>
      <c r="G492" s="7">
        <f>IF(D492="ISO",VALUE(RIGHT(C492,2)),IF(D492="DMY",VALUE(LEFT(C492,2)),0))</f>
        <v>5</v>
      </c>
      <c r="H492" s="7">
        <f>IF(AND(D492&lt;&gt;"OTHER",F492&gt;=1,F492&lt;=12,G492&gt;=1,G492&lt;=31),IF(AND(MONTH(DATE(E492,F492,G492))=F492,DAY(DATE(E492,F492,G492))=G492),1,0),0)</f>
        <v>1</v>
      </c>
      <c r="I492" s="7">
        <f>IF(H492=1,DATE(E492,F492,G492),"")</f>
        <v>46178.0</v>
      </c>
      <c r="J492" s="7">
        <f>IF(AND(D492="DMY",H492=1),1,0)</f>
        <v>0</v>
      </c>
      <c r="K492" s="7">
        <f>IF(H492=0,1,0)</f>
        <v>0</v>
      </c>
      <c r="L492" s="7">
        <f>IF(TRIM(Raw_Bookings!I492&amp;"")="",1,0)</f>
        <v>0</v>
      </c>
      <c r="M492" s="7">
        <f>IF(L492=1,"",DATEVALUE(LEFT(Raw_Bookings!I492,10))+TIMEVALUE(MID(Raw_Bookings!I492,12,8)))</f>
        <v>46103.33924768519</v>
      </c>
      <c r="N492" s="7">
        <f>IF(AND(L492=0,H492=1),IF(INT(M492)&gt;I492,1,0),0)</f>
        <v>0</v>
      </c>
      <c r="O492" s="7" t="str">
        <f>UPPER(TRIM(Raw_Bookings!F492))</f>
        <v>JAI</v>
      </c>
      <c r="P492" s="7" t="str">
        <f>UPPER(TRIM(Raw_Bookings!G492))</f>
        <v>RAI</v>
      </c>
      <c r="Q492" s="7">
        <f>IF(COUNTIF(Lookup_Stations!$A$2:$A$33,O492)&gt;0,1,0)</f>
        <v>1</v>
      </c>
      <c r="R492" s="7">
        <f>IF(COUNTIF(Lookup_Stations!$A$2:$A$33,P492)&gt;0,1,0)</f>
        <v>1</v>
      </c>
      <c r="S492" s="7">
        <f>IF(OR(AND(Q492=1,NOT(EXACT(Raw_Bookings!F492,O492))),AND(R492=1,NOT(EXACT(Raw_Bookings!G492,P492)))),1,0)</f>
        <v>0</v>
      </c>
      <c r="T492" s="7">
        <f>IF(OR(Q492=0,R492=0),1,0)</f>
        <v>0</v>
      </c>
      <c r="U492" s="7">
        <f>IF(TRIM(Raw_Bookings!E492&amp;"")="",1,0)</f>
        <v>0</v>
      </c>
      <c r="V492" s="7" t="str">
        <f>IF(SUMPRODUCT(--(Lookup_Status!$A$2:$A$13=LOWER(TRIM(Raw_Bookings!K492))))=0,"",INDEX(Lookup_Status!$B$2:$B$13,SUMPRODUCT((Lookup_Status!$A$2:$A$13=LOWER(TRIM(Raw_Bookings!K492)))*(ROW(Lookup_Status!$A$2:$A$13)-1))))</f>
        <v>Confirmed</v>
      </c>
      <c r="W492" s="7">
        <f>IF(AND(V492&lt;&gt;"",NOT(EXACT(Raw_Bookings!K492,V492))),1,0)</f>
        <v>0</v>
      </c>
      <c r="X492" s="7">
        <f>IF(V492="",1,0)</f>
        <v>0</v>
      </c>
      <c r="Y492" s="7">
        <f>IF(TRIM(Raw_Bookings!L492&amp;"")="",1,0)</f>
        <v>0</v>
      </c>
      <c r="Z492" s="7">
        <f>IF(AND(ISTEXT(Raw_Bookings!L492),Y492=0),1,0)</f>
        <v>0</v>
      </c>
      <c r="AA492" s="7">
        <f>IF(Z492=1,IFERROR(VALUE(SUBSTITUTE(SUBSTITUTE(SUBSTITUTE(SUBSTITUTE(SUBSTITUTE(UPPER(Raw_Bookings!L492),"RS.",""),"₹",""),",","")," ",""),"INR","")),""),"")</f>
        <v/>
      </c>
      <c r="AB492" s="7">
        <f>IF(AND(Z492=1,ISNUMBER(AA492)),1,0)</f>
        <v>0</v>
      </c>
      <c r="AC492" s="7">
        <f>IF(B492=1,0,IF(NOT(ISNUMBER(Raw_Bookings!J492)),1,IF(Raw_Bookings!J492&lt;&gt;COUNTIFS(Work_Passengers!$B$2:$B$1336,Raw_Bookings!A492,Work_Passengers!$C$2:$C$1336,0),1,0)))</f>
        <v>0</v>
      </c>
    </row>
    <row r="493" spans="1:29">
      <c r="A493" s="7">
        <f>Raw_Bookings!A493</f>
        <v>1162927</v>
      </c>
      <c r="B493" s="7">
        <f>IF(COUNTIF(Raw_Bookings!$A$2:A493,Raw_Bookings!A493)&gt;1,1,0)</f>
        <v>0</v>
      </c>
      <c r="C493" s="7" t="str">
        <f>Raw_Bookings!D493&amp;""</f>
        <v>2026-04-05</v>
      </c>
      <c r="D493" s="7" t="str">
        <f>IF(AND(LEN(C493)=10,MID(C493,5,1)="-",MID(C493,8,1)="-"),"ISO",IF(AND(LEN(C493)=10,MID(C493,3,1)="-",MID(C493,6,1)="-"),"DMY","OTHER"))</f>
        <v>ISO</v>
      </c>
      <c r="E493" s="7">
        <f>IF(D493="ISO",VALUE(LEFT(C493,4)),IF(D493="DMY",VALUE(RIGHT(C493,4)),0))</f>
        <v>2026</v>
      </c>
      <c r="F493" s="7">
        <f>IF(D493="ISO",VALUE(MID(C493,6,2)),IF(D493="DMY",VALUE(MID(C493,4,2)),0))</f>
        <v>4</v>
      </c>
      <c r="G493" s="7">
        <f>IF(D493="ISO",VALUE(RIGHT(C493,2)),IF(D493="DMY",VALUE(LEFT(C493,2)),0))</f>
        <v>5</v>
      </c>
      <c r="H493" s="7">
        <f>IF(AND(D493&lt;&gt;"OTHER",F493&gt;=1,F493&lt;=12,G493&gt;=1,G493&lt;=31),IF(AND(MONTH(DATE(E493,F493,G493))=F493,DAY(DATE(E493,F493,G493))=G493),1,0),0)</f>
        <v>1</v>
      </c>
      <c r="I493" s="7">
        <f>IF(H493=1,DATE(E493,F493,G493),"")</f>
        <v>46117.0</v>
      </c>
      <c r="J493" s="7">
        <f>IF(AND(D493="DMY",H493=1),1,0)</f>
        <v>0</v>
      </c>
      <c r="K493" s="7">
        <f>IF(H493=0,1,0)</f>
        <v>0</v>
      </c>
      <c r="L493" s="7">
        <f>IF(TRIM(Raw_Bookings!I493&amp;"")="",1,0)</f>
        <v>0</v>
      </c>
      <c r="M493" s="7">
        <f>IF(L493=1,"",DATEVALUE(LEFT(Raw_Bookings!I493,10))+TIMEVALUE(MID(Raw_Bookings!I493,12,8)))</f>
        <v>46103.671331018515</v>
      </c>
      <c r="N493" s="7">
        <f>IF(AND(L493=0,H493=1),IF(INT(M493)&gt;I493,1,0),0)</f>
        <v>0</v>
      </c>
      <c r="O493" s="7" t="str">
        <f>UPPER(TRIM(Raw_Bookings!F493))</f>
        <v>RAI</v>
      </c>
      <c r="P493" s="7" t="str">
        <f>UPPER(TRIM(Raw_Bookings!G493))</f>
        <v>JAI</v>
      </c>
      <c r="Q493" s="7">
        <f>IF(COUNTIF(Lookup_Stations!$A$2:$A$33,O493)&gt;0,1,0)</f>
        <v>1</v>
      </c>
      <c r="R493" s="7">
        <f>IF(COUNTIF(Lookup_Stations!$A$2:$A$33,P493)&gt;0,1,0)</f>
        <v>1</v>
      </c>
      <c r="S493" s="7">
        <f>IF(OR(AND(Q493=1,NOT(EXACT(Raw_Bookings!F493,O493))),AND(R493=1,NOT(EXACT(Raw_Bookings!G493,P493)))),1,0)</f>
        <v>0</v>
      </c>
      <c r="T493" s="7">
        <f>IF(OR(Q493=0,R493=0),1,0)</f>
        <v>0</v>
      </c>
      <c r="U493" s="7">
        <f>IF(TRIM(Raw_Bookings!E493&amp;"")="",1,0)</f>
        <v>0</v>
      </c>
      <c r="V493" s="7" t="str">
        <f>IF(SUMPRODUCT(--(Lookup_Status!$A$2:$A$13=LOWER(TRIM(Raw_Bookings!K493))))=0,"",INDEX(Lookup_Status!$B$2:$B$13,SUMPRODUCT((Lookup_Status!$A$2:$A$13=LOWER(TRIM(Raw_Bookings!K493)))*(ROW(Lookup_Status!$A$2:$A$13)-1))))</f>
        <v>Confirmed</v>
      </c>
      <c r="W493" s="7">
        <f>IF(AND(V493&lt;&gt;"",NOT(EXACT(Raw_Bookings!K493,V493))),1,0)</f>
        <v>0</v>
      </c>
      <c r="X493" s="7">
        <f>IF(V493="",1,0)</f>
        <v>0</v>
      </c>
      <c r="Y493" s="7">
        <f>IF(TRIM(Raw_Bookings!L493&amp;"")="",1,0)</f>
        <v>0</v>
      </c>
      <c r="Z493" s="7">
        <f>IF(AND(ISTEXT(Raw_Bookings!L493),Y493=0),1,0)</f>
        <v>0</v>
      </c>
      <c r="AA493" s="7">
        <f>IF(Z493=1,IFERROR(VALUE(SUBSTITUTE(SUBSTITUTE(SUBSTITUTE(SUBSTITUTE(SUBSTITUTE(UPPER(Raw_Bookings!L493),"RS.",""),"₹",""),",","")," ",""),"INR","")),""),"")</f>
        <v/>
      </c>
      <c r="AB493" s="7">
        <f>IF(AND(Z493=1,ISNUMBER(AA493)),1,0)</f>
        <v>0</v>
      </c>
      <c r="AC493" s="7">
        <f>IF(B493=1,0,IF(NOT(ISNUMBER(Raw_Bookings!J493)),1,IF(Raw_Bookings!J493&lt;&gt;COUNTIFS(Work_Passengers!$B$2:$B$1336,Raw_Bookings!A493,Work_Passengers!$C$2:$C$1336,0),1,0)))</f>
        <v>0</v>
      </c>
    </row>
    <row r="494" spans="1:29">
      <c r="A494" s="7">
        <f>Raw_Bookings!A494</f>
        <v>1163181</v>
      </c>
      <c r="B494" s="7">
        <f>IF(COUNTIF(Raw_Bookings!$A$2:A494,Raw_Bookings!A494)&gt;1,1,0)</f>
        <v>0</v>
      </c>
      <c r="C494" s="7" t="str">
        <f>Raw_Bookings!D494&amp;""</f>
        <v>2026-04-23</v>
      </c>
      <c r="D494" s="7" t="str">
        <f>IF(AND(LEN(C494)=10,MID(C494,5,1)="-",MID(C494,8,1)="-"),"ISO",IF(AND(LEN(C494)=10,MID(C494,3,1)="-",MID(C494,6,1)="-"),"DMY","OTHER"))</f>
        <v>ISO</v>
      </c>
      <c r="E494" s="7">
        <f>IF(D494="ISO",VALUE(LEFT(C494,4)),IF(D494="DMY",VALUE(RIGHT(C494,4)),0))</f>
        <v>2026</v>
      </c>
      <c r="F494" s="7">
        <f>IF(D494="ISO",VALUE(MID(C494,6,2)),IF(D494="DMY",VALUE(MID(C494,4,2)),0))</f>
        <v>4</v>
      </c>
      <c r="G494" s="7">
        <f>IF(D494="ISO",VALUE(RIGHT(C494,2)),IF(D494="DMY",VALUE(LEFT(C494,2)),0))</f>
        <v>23</v>
      </c>
      <c r="H494" s="7">
        <f>IF(AND(D494&lt;&gt;"OTHER",F494&gt;=1,F494&lt;=12,G494&gt;=1,G494&lt;=31),IF(AND(MONTH(DATE(E494,F494,G494))=F494,DAY(DATE(E494,F494,G494))=G494),1,0),0)</f>
        <v>1</v>
      </c>
      <c r="I494" s="7">
        <f>IF(H494=1,DATE(E494,F494,G494),"")</f>
        <v>46135.0</v>
      </c>
      <c r="J494" s="7">
        <f>IF(AND(D494="DMY",H494=1),1,0)</f>
        <v>0</v>
      </c>
      <c r="K494" s="7">
        <f>IF(H494=0,1,0)</f>
        <v>0</v>
      </c>
      <c r="L494" s="7">
        <f>IF(TRIM(Raw_Bookings!I494&amp;"")="",1,0)</f>
        <v>0</v>
      </c>
      <c r="M494" s="7">
        <f>IF(L494=1,"",DATEVALUE(LEFT(Raw_Bookings!I494,10))+TIMEVALUE(MID(Raw_Bookings!I494,12,8)))</f>
        <v>46104.531793981485</v>
      </c>
      <c r="N494" s="7">
        <f>IF(AND(L494=0,H494=1),IF(INT(M494)&gt;I494,1,0),0)</f>
        <v>0</v>
      </c>
      <c r="O494" s="7" t="str">
        <f>UPPER(TRIM(Raw_Bookings!F494))</f>
        <v>VAR</v>
      </c>
      <c r="P494" s="7" t="str">
        <f>UPPER(TRIM(Raw_Bookings!G494))</f>
        <v>SUR</v>
      </c>
      <c r="Q494" s="7">
        <f>IF(COUNTIF(Lookup_Stations!$A$2:$A$33,O494)&gt;0,1,0)</f>
        <v>1</v>
      </c>
      <c r="R494" s="7">
        <f>IF(COUNTIF(Lookup_Stations!$A$2:$A$33,P494)&gt;0,1,0)</f>
        <v>1</v>
      </c>
      <c r="S494" s="7">
        <f>IF(OR(AND(Q494=1,NOT(EXACT(Raw_Bookings!F494,O494))),AND(R494=1,NOT(EXACT(Raw_Bookings!G494,P494)))),1,0)</f>
        <v>0</v>
      </c>
      <c r="T494" s="7">
        <f>IF(OR(Q494=0,R494=0),1,0)</f>
        <v>0</v>
      </c>
      <c r="U494" s="7">
        <f>IF(TRIM(Raw_Bookings!E494&amp;"")="",1,0)</f>
        <v>0</v>
      </c>
      <c r="V494" s="7" t="str">
        <f>IF(SUMPRODUCT(--(Lookup_Status!$A$2:$A$13=LOWER(TRIM(Raw_Bookings!K494))))=0,"",INDEX(Lookup_Status!$B$2:$B$13,SUMPRODUCT((Lookup_Status!$A$2:$A$13=LOWER(TRIM(Raw_Bookings!K494)))*(ROW(Lookup_Status!$A$2:$A$13)-1))))</f>
        <v>Confirmed</v>
      </c>
      <c r="W494" s="7">
        <f>IF(AND(V494&lt;&gt;"",NOT(EXACT(Raw_Bookings!K494,V494))),1,0)</f>
        <v>0</v>
      </c>
      <c r="X494" s="7">
        <f>IF(V494="",1,0)</f>
        <v>0</v>
      </c>
      <c r="Y494" s="7">
        <f>IF(TRIM(Raw_Bookings!L494&amp;"")="",1,0)</f>
        <v>0</v>
      </c>
      <c r="Z494" s="7">
        <f>IF(AND(ISTEXT(Raw_Bookings!L494),Y494=0),1,0)</f>
        <v>0</v>
      </c>
      <c r="AA494" s="7">
        <f>IF(Z494=1,IFERROR(VALUE(SUBSTITUTE(SUBSTITUTE(SUBSTITUTE(SUBSTITUTE(SUBSTITUTE(UPPER(Raw_Bookings!L494),"RS.",""),"₹",""),",","")," ",""),"INR","")),""),"")</f>
        <v/>
      </c>
      <c r="AB494" s="7">
        <f>IF(AND(Z494=1,ISNUMBER(AA494)),1,0)</f>
        <v>0</v>
      </c>
      <c r="AC494" s="7">
        <f>IF(B494=1,0,IF(NOT(ISNUMBER(Raw_Bookings!J494)),1,IF(Raw_Bookings!J494&lt;&gt;COUNTIFS(Work_Passengers!$B$2:$B$1336,Raw_Bookings!A494,Work_Passengers!$C$2:$C$1336,0),1,0)))</f>
        <v>0</v>
      </c>
    </row>
    <row r="495" spans="1:29">
      <c r="A495" s="7">
        <f>Raw_Bookings!A495</f>
        <v>1163782</v>
      </c>
      <c r="B495" s="7">
        <f>IF(COUNTIF(Raw_Bookings!$A$2:A495,Raw_Bookings!A495)&gt;1,1,0)</f>
        <v>0</v>
      </c>
      <c r="C495" s="7" t="str">
        <f>Raw_Bookings!D495&amp;""</f>
        <v>2026-04-05</v>
      </c>
      <c r="D495" s="7" t="str">
        <f>IF(AND(LEN(C495)=10,MID(C495,5,1)="-",MID(C495,8,1)="-"),"ISO",IF(AND(LEN(C495)=10,MID(C495,3,1)="-",MID(C495,6,1)="-"),"DMY","OTHER"))</f>
        <v>ISO</v>
      </c>
      <c r="E495" s="7">
        <f>IF(D495="ISO",VALUE(LEFT(C495,4)),IF(D495="DMY",VALUE(RIGHT(C495,4)),0))</f>
        <v>2026</v>
      </c>
      <c r="F495" s="7">
        <f>IF(D495="ISO",VALUE(MID(C495,6,2)),IF(D495="DMY",VALUE(MID(C495,4,2)),0))</f>
        <v>4</v>
      </c>
      <c r="G495" s="7">
        <f>IF(D495="ISO",VALUE(RIGHT(C495,2)),IF(D495="DMY",VALUE(LEFT(C495,2)),0))</f>
        <v>5</v>
      </c>
      <c r="H495" s="7">
        <f>IF(AND(D495&lt;&gt;"OTHER",F495&gt;=1,F495&lt;=12,G495&gt;=1,G495&lt;=31),IF(AND(MONTH(DATE(E495,F495,G495))=F495,DAY(DATE(E495,F495,G495))=G495),1,0),0)</f>
        <v>1</v>
      </c>
      <c r="I495" s="7">
        <f>IF(H495=1,DATE(E495,F495,G495),"")</f>
        <v>46117.0</v>
      </c>
      <c r="J495" s="7">
        <f>IF(AND(D495="DMY",H495=1),1,0)</f>
        <v>0</v>
      </c>
      <c r="K495" s="7">
        <f>IF(H495=0,1,0)</f>
        <v>0</v>
      </c>
      <c r="L495" s="7">
        <f>IF(TRIM(Raw_Bookings!I495&amp;"")="",1,0)</f>
        <v>0</v>
      </c>
      <c r="M495" s="7">
        <f>IF(L495=1,"",DATEVALUE(LEFT(Raw_Bookings!I495,10))+TIMEVALUE(MID(Raw_Bookings!I495,12,8)))</f>
        <v>46106.40555555555</v>
      </c>
      <c r="N495" s="7">
        <f>IF(AND(L495=0,H495=1),IF(INT(M495)&gt;I495,1,0),0)</f>
        <v>0</v>
      </c>
      <c r="O495" s="7" t="str">
        <f>UPPER(TRIM(Raw_Bookings!F495))</f>
        <v>RAI</v>
      </c>
      <c r="P495" s="7" t="str">
        <f>UPPER(TRIM(Raw_Bookings!G495))</f>
        <v>JAI</v>
      </c>
      <c r="Q495" s="7">
        <f>IF(COUNTIF(Lookup_Stations!$A$2:$A$33,O495)&gt;0,1,0)</f>
        <v>1</v>
      </c>
      <c r="R495" s="7">
        <f>IF(COUNTIF(Lookup_Stations!$A$2:$A$33,P495)&gt;0,1,0)</f>
        <v>1</v>
      </c>
      <c r="S495" s="7">
        <f>IF(OR(AND(Q495=1,NOT(EXACT(Raw_Bookings!F495,O495))),AND(R495=1,NOT(EXACT(Raw_Bookings!G495,P495)))),1,0)</f>
        <v>0</v>
      </c>
      <c r="T495" s="7">
        <f>IF(OR(Q495=0,R495=0),1,0)</f>
        <v>0</v>
      </c>
      <c r="U495" s="7">
        <f>IF(TRIM(Raw_Bookings!E495&amp;"")="",1,0)</f>
        <v>0</v>
      </c>
      <c r="V495" s="7" t="str">
        <f>IF(SUMPRODUCT(--(Lookup_Status!$A$2:$A$13=LOWER(TRIM(Raw_Bookings!K495))))=0,"",INDEX(Lookup_Status!$B$2:$B$13,SUMPRODUCT((Lookup_Status!$A$2:$A$13=LOWER(TRIM(Raw_Bookings!K495)))*(ROW(Lookup_Status!$A$2:$A$13)-1))))</f>
        <v>Cancelled</v>
      </c>
      <c r="W495" s="7">
        <f>IF(AND(V495&lt;&gt;"",NOT(EXACT(Raw_Bookings!K495,V495))),1,0)</f>
        <v>0</v>
      </c>
      <c r="X495" s="7">
        <f>IF(V495="",1,0)</f>
        <v>0</v>
      </c>
      <c r="Y495" s="7">
        <f>IF(TRIM(Raw_Bookings!L495&amp;"")="",1,0)</f>
        <v>0</v>
      </c>
      <c r="Z495" s="7">
        <f>IF(AND(ISTEXT(Raw_Bookings!L495),Y495=0),1,0)</f>
        <v>0</v>
      </c>
      <c r="AA495" s="7">
        <f>IF(Z495=1,IFERROR(VALUE(SUBSTITUTE(SUBSTITUTE(SUBSTITUTE(SUBSTITUTE(SUBSTITUTE(UPPER(Raw_Bookings!L495),"RS.",""),"₹",""),",","")," ",""),"INR","")),""),"")</f>
        <v/>
      </c>
      <c r="AB495" s="7">
        <f>IF(AND(Z495=1,ISNUMBER(AA495)),1,0)</f>
        <v>0</v>
      </c>
      <c r="AC495" s="7">
        <f>IF(B495=1,0,IF(NOT(ISNUMBER(Raw_Bookings!J495)),1,IF(Raw_Bookings!J495&lt;&gt;COUNTIFS(Work_Passengers!$B$2:$B$1336,Raw_Bookings!A495,Work_Passengers!$C$2:$C$1336,0),1,0)))</f>
        <v>0</v>
      </c>
    </row>
    <row r="496" spans="1:29">
      <c r="A496" s="7">
        <f>Raw_Bookings!A496</f>
        <v>1163803</v>
      </c>
      <c r="B496" s="7">
        <f>IF(COUNTIF(Raw_Bookings!$A$2:A496,Raw_Bookings!A496)&gt;1,1,0)</f>
        <v>0</v>
      </c>
      <c r="C496" s="7" t="str">
        <f>Raw_Bookings!D496&amp;""</f>
        <v>2026-05-06</v>
      </c>
      <c r="D496" s="7" t="str">
        <f>IF(AND(LEN(C496)=10,MID(C496,5,1)="-",MID(C496,8,1)="-"),"ISO",IF(AND(LEN(C496)=10,MID(C496,3,1)="-",MID(C496,6,1)="-"),"DMY","OTHER"))</f>
        <v>ISO</v>
      </c>
      <c r="E496" s="7">
        <f>IF(D496="ISO",VALUE(LEFT(C496,4)),IF(D496="DMY",VALUE(RIGHT(C496,4)),0))</f>
        <v>2026</v>
      </c>
      <c r="F496" s="7">
        <f>IF(D496="ISO",VALUE(MID(C496,6,2)),IF(D496="DMY",VALUE(MID(C496,4,2)),0))</f>
        <v>5</v>
      </c>
      <c r="G496" s="7">
        <f>IF(D496="ISO",VALUE(RIGHT(C496,2)),IF(D496="DMY",VALUE(LEFT(C496,2)),0))</f>
        <v>6</v>
      </c>
      <c r="H496" s="7">
        <f>IF(AND(D496&lt;&gt;"OTHER",F496&gt;=1,F496&lt;=12,G496&gt;=1,G496&lt;=31),IF(AND(MONTH(DATE(E496,F496,G496))=F496,DAY(DATE(E496,F496,G496))=G496),1,0),0)</f>
        <v>1</v>
      </c>
      <c r="I496" s="7">
        <f>IF(H496=1,DATE(E496,F496,G496),"")</f>
        <v>46148.0</v>
      </c>
      <c r="J496" s="7">
        <f>IF(AND(D496="DMY",H496=1),1,0)</f>
        <v>0</v>
      </c>
      <c r="K496" s="7">
        <f>IF(H496=0,1,0)</f>
        <v>0</v>
      </c>
      <c r="L496" s="7">
        <f>IF(TRIM(Raw_Bookings!I496&amp;"")="",1,0)</f>
        <v>0</v>
      </c>
      <c r="M496" s="7">
        <f>IF(L496=1,"",DATEVALUE(LEFT(Raw_Bookings!I496,10))+TIMEVALUE(MID(Raw_Bookings!I496,12,8)))</f>
        <v>46106.46298611111</v>
      </c>
      <c r="N496" s="7">
        <f>IF(AND(L496=0,H496=1),IF(INT(M496)&gt;I496,1,0),0)</f>
        <v>0</v>
      </c>
      <c r="O496" s="7" t="str">
        <f>UPPER(TRIM(Raw_Bookings!F496))</f>
        <v>BEN</v>
      </c>
      <c r="P496" s="7" t="str">
        <f>UPPER(TRIM(Raw_Bookings!G496))</f>
        <v>MUM</v>
      </c>
      <c r="Q496" s="7">
        <f>IF(COUNTIF(Lookup_Stations!$A$2:$A$33,O496)&gt;0,1,0)</f>
        <v>1</v>
      </c>
      <c r="R496" s="7">
        <f>IF(COUNTIF(Lookup_Stations!$A$2:$A$33,P496)&gt;0,1,0)</f>
        <v>1</v>
      </c>
      <c r="S496" s="7">
        <f>IF(OR(AND(Q496=1,NOT(EXACT(Raw_Bookings!F496,O496))),AND(R496=1,NOT(EXACT(Raw_Bookings!G496,P496)))),1,0)</f>
        <v>0</v>
      </c>
      <c r="T496" s="7">
        <f>IF(OR(Q496=0,R496=0),1,0)</f>
        <v>0</v>
      </c>
      <c r="U496" s="7">
        <f>IF(TRIM(Raw_Bookings!E496&amp;"")="",1,0)</f>
        <v>0</v>
      </c>
      <c r="V496" s="7" t="str">
        <f>IF(SUMPRODUCT(--(Lookup_Status!$A$2:$A$13=LOWER(TRIM(Raw_Bookings!K496))))=0,"",INDEX(Lookup_Status!$B$2:$B$13,SUMPRODUCT((Lookup_Status!$A$2:$A$13=LOWER(TRIM(Raw_Bookings!K496)))*(ROW(Lookup_Status!$A$2:$A$13)-1))))</f>
        <v>Confirmed</v>
      </c>
      <c r="W496" s="7">
        <f>IF(AND(V496&lt;&gt;"",NOT(EXACT(Raw_Bookings!K496,V496))),1,0)</f>
        <v>0</v>
      </c>
      <c r="X496" s="7">
        <f>IF(V496="",1,0)</f>
        <v>0</v>
      </c>
      <c r="Y496" s="7">
        <f>IF(TRIM(Raw_Bookings!L496&amp;"")="",1,0)</f>
        <v>0</v>
      </c>
      <c r="Z496" s="7">
        <f>IF(AND(ISTEXT(Raw_Bookings!L496),Y496=0),1,0)</f>
        <v>0</v>
      </c>
      <c r="AA496" s="7">
        <f>IF(Z496=1,IFERROR(VALUE(SUBSTITUTE(SUBSTITUTE(SUBSTITUTE(SUBSTITUTE(SUBSTITUTE(UPPER(Raw_Bookings!L496),"RS.",""),"₹",""),",","")," ",""),"INR","")),""),"")</f>
        <v/>
      </c>
      <c r="AB496" s="7">
        <f>IF(AND(Z496=1,ISNUMBER(AA496)),1,0)</f>
        <v>0</v>
      </c>
      <c r="AC496" s="7">
        <f>IF(B496=1,0,IF(NOT(ISNUMBER(Raw_Bookings!J496)),1,IF(Raw_Bookings!J496&lt;&gt;COUNTIFS(Work_Passengers!$B$2:$B$1336,Raw_Bookings!A496,Work_Passengers!$C$2:$C$1336,0),1,0)))</f>
        <v>0</v>
      </c>
    </row>
    <row r="497" spans="1:29">
      <c r="A497" s="7">
        <f>Raw_Bookings!A497</f>
        <v>1164059</v>
      </c>
      <c r="B497" s="7">
        <f>IF(COUNTIF(Raw_Bookings!$A$2:A497,Raw_Bookings!A497)&gt;1,1,0)</f>
        <v>0</v>
      </c>
      <c r="C497" s="7" t="str">
        <f>Raw_Bookings!D497&amp;""</f>
        <v>2026-07-24</v>
      </c>
      <c r="D497" s="7" t="str">
        <f>IF(AND(LEN(C497)=10,MID(C497,5,1)="-",MID(C497,8,1)="-"),"ISO",IF(AND(LEN(C497)=10,MID(C497,3,1)="-",MID(C497,6,1)="-"),"DMY","OTHER"))</f>
        <v>ISO</v>
      </c>
      <c r="E497" s="7">
        <f>IF(D497="ISO",VALUE(LEFT(C497,4)),IF(D497="DMY",VALUE(RIGHT(C497,4)),0))</f>
        <v>2026</v>
      </c>
      <c r="F497" s="7">
        <f>IF(D497="ISO",VALUE(MID(C497,6,2)),IF(D497="DMY",VALUE(MID(C497,4,2)),0))</f>
        <v>7</v>
      </c>
      <c r="G497" s="7">
        <f>IF(D497="ISO",VALUE(RIGHT(C497,2)),IF(D497="DMY",VALUE(LEFT(C497,2)),0))</f>
        <v>24</v>
      </c>
      <c r="H497" s="7">
        <f>IF(AND(D497&lt;&gt;"OTHER",F497&gt;=1,F497&lt;=12,G497&gt;=1,G497&lt;=31),IF(AND(MONTH(DATE(E497,F497,G497))=F497,DAY(DATE(E497,F497,G497))=G497),1,0),0)</f>
        <v>1</v>
      </c>
      <c r="I497" s="7">
        <f>IF(H497=1,DATE(E497,F497,G497),"")</f>
        <v>46227.0</v>
      </c>
      <c r="J497" s="7">
        <f>IF(AND(D497="DMY",H497=1),1,0)</f>
        <v>0</v>
      </c>
      <c r="K497" s="7">
        <f>IF(H497=0,1,0)</f>
        <v>0</v>
      </c>
      <c r="L497" s="7">
        <f>IF(TRIM(Raw_Bookings!I497&amp;"")="",1,0)</f>
        <v>0</v>
      </c>
      <c r="M497" s="7">
        <f>IF(L497=1,"",DATEVALUE(LEFT(Raw_Bookings!I497,10))+TIMEVALUE(MID(Raw_Bookings!I497,12,8)))</f>
        <v>46107.37087962963</v>
      </c>
      <c r="N497" s="7">
        <f>IF(AND(L497=0,H497=1),IF(INT(M497)&gt;I497,1,0),0)</f>
        <v>0</v>
      </c>
      <c r="O497" s="7" t="str">
        <f>UPPER(TRIM(Raw_Bookings!F497))</f>
        <v>KOL</v>
      </c>
      <c r="P497" s="7" t="str">
        <f>UPPER(TRIM(Raw_Bookings!G497))</f>
        <v>HYD</v>
      </c>
      <c r="Q497" s="7">
        <f>IF(COUNTIF(Lookup_Stations!$A$2:$A$33,O497)&gt;0,1,0)</f>
        <v>1</v>
      </c>
      <c r="R497" s="7">
        <f>IF(COUNTIF(Lookup_Stations!$A$2:$A$33,P497)&gt;0,1,0)</f>
        <v>1</v>
      </c>
      <c r="S497" s="7">
        <f>IF(OR(AND(Q497=1,NOT(EXACT(Raw_Bookings!F497,O497))),AND(R497=1,NOT(EXACT(Raw_Bookings!G497,P497)))),1,0)</f>
        <v>0</v>
      </c>
      <c r="T497" s="7">
        <f>IF(OR(Q497=0,R497=0),1,0)</f>
        <v>0</v>
      </c>
      <c r="U497" s="7">
        <f>IF(TRIM(Raw_Bookings!E497&amp;"")="",1,0)</f>
        <v>0</v>
      </c>
      <c r="V497" s="7" t="str">
        <f>IF(SUMPRODUCT(--(Lookup_Status!$A$2:$A$13=LOWER(TRIM(Raw_Bookings!K497))))=0,"",INDEX(Lookup_Status!$B$2:$B$13,SUMPRODUCT((Lookup_Status!$A$2:$A$13=LOWER(TRIM(Raw_Bookings!K497)))*(ROW(Lookup_Status!$A$2:$A$13)-1))))</f>
        <v>Cancelled</v>
      </c>
      <c r="W497" s="7">
        <f>IF(AND(V497&lt;&gt;"",NOT(EXACT(Raw_Bookings!K497,V497))),1,0)</f>
        <v>0</v>
      </c>
      <c r="X497" s="7">
        <f>IF(V497="",1,0)</f>
        <v>0</v>
      </c>
      <c r="Y497" s="7">
        <f>IF(TRIM(Raw_Bookings!L497&amp;"")="",1,0)</f>
        <v>0</v>
      </c>
      <c r="Z497" s="7">
        <f>IF(AND(ISTEXT(Raw_Bookings!L497),Y497=0),1,0)</f>
        <v>0</v>
      </c>
      <c r="AA497" s="7">
        <f>IF(Z497=1,IFERROR(VALUE(SUBSTITUTE(SUBSTITUTE(SUBSTITUTE(SUBSTITUTE(SUBSTITUTE(UPPER(Raw_Bookings!L497),"RS.",""),"₹",""),",","")," ",""),"INR","")),""),"")</f>
        <v/>
      </c>
      <c r="AB497" s="7">
        <f>IF(AND(Z497=1,ISNUMBER(AA497)),1,0)</f>
        <v>0</v>
      </c>
      <c r="AC497" s="7">
        <f>IF(B497=1,0,IF(NOT(ISNUMBER(Raw_Bookings!J497)),1,IF(Raw_Bookings!J497&lt;&gt;COUNTIFS(Work_Passengers!$B$2:$B$1336,Raw_Bookings!A497,Work_Passengers!$C$2:$C$1336,0),1,0)))</f>
        <v>0</v>
      </c>
    </row>
    <row r="498" spans="1:29">
      <c r="A498" s="7">
        <f>Raw_Bookings!A498</f>
        <v>1164189</v>
      </c>
      <c r="B498" s="7">
        <f>IF(COUNTIF(Raw_Bookings!$A$2:A498,Raw_Bookings!A498)&gt;1,1,0)</f>
        <v>0</v>
      </c>
      <c r="C498" s="7" t="str">
        <f>Raw_Bookings!D498&amp;""</f>
        <v>2026-04-10</v>
      </c>
      <c r="D498" s="7" t="str">
        <f>IF(AND(LEN(C498)=10,MID(C498,5,1)="-",MID(C498,8,1)="-"),"ISO",IF(AND(LEN(C498)=10,MID(C498,3,1)="-",MID(C498,6,1)="-"),"DMY","OTHER"))</f>
        <v>ISO</v>
      </c>
      <c r="E498" s="7">
        <f>IF(D498="ISO",VALUE(LEFT(C498,4)),IF(D498="DMY",VALUE(RIGHT(C498,4)),0))</f>
        <v>2026</v>
      </c>
      <c r="F498" s="7">
        <f>IF(D498="ISO",VALUE(MID(C498,6,2)),IF(D498="DMY",VALUE(MID(C498,4,2)),0))</f>
        <v>4</v>
      </c>
      <c r="G498" s="7">
        <f>IF(D498="ISO",VALUE(RIGHT(C498,2)),IF(D498="DMY",VALUE(LEFT(C498,2)),0))</f>
        <v>10</v>
      </c>
      <c r="H498" s="7">
        <f>IF(AND(D498&lt;&gt;"OTHER",F498&gt;=1,F498&lt;=12,G498&gt;=1,G498&lt;=31),IF(AND(MONTH(DATE(E498,F498,G498))=F498,DAY(DATE(E498,F498,G498))=G498),1,0),0)</f>
        <v>1</v>
      </c>
      <c r="I498" s="7">
        <f>IF(H498=1,DATE(E498,F498,G498),"")</f>
        <v>46122.0</v>
      </c>
      <c r="J498" s="7">
        <f>IF(AND(D498="DMY",H498=1),1,0)</f>
        <v>0</v>
      </c>
      <c r="K498" s="7">
        <f>IF(H498=0,1,0)</f>
        <v>0</v>
      </c>
      <c r="L498" s="7">
        <f>IF(TRIM(Raw_Bookings!I498&amp;"")="",1,0)</f>
        <v>0</v>
      </c>
      <c r="M498" s="7">
        <f>IF(L498=1,"",DATEVALUE(LEFT(Raw_Bookings!I498,10))+TIMEVALUE(MID(Raw_Bookings!I498,12,8)))</f>
        <v>46107.69834490741</v>
      </c>
      <c r="N498" s="7">
        <f>IF(AND(L498=0,H498=1),IF(INT(M498)&gt;I498,1,0),0)</f>
        <v>0</v>
      </c>
      <c r="O498" s="7" t="str">
        <f>UPPER(TRIM(Raw_Bookings!F498))</f>
        <v>VIS</v>
      </c>
      <c r="P498" s="7" t="str">
        <f>UPPER(TRIM(Raw_Bookings!G498))</f>
        <v>CHA</v>
      </c>
      <c r="Q498" s="7">
        <f>IF(COUNTIF(Lookup_Stations!$A$2:$A$33,O498)&gt;0,1,0)</f>
        <v>1</v>
      </c>
      <c r="R498" s="7">
        <f>IF(COUNTIF(Lookup_Stations!$A$2:$A$33,P498)&gt;0,1,0)</f>
        <v>1</v>
      </c>
      <c r="S498" s="7">
        <f>IF(OR(AND(Q498=1,NOT(EXACT(Raw_Bookings!F498,O498))),AND(R498=1,NOT(EXACT(Raw_Bookings!G498,P498)))),1,0)</f>
        <v>0</v>
      </c>
      <c r="T498" s="7">
        <f>IF(OR(Q498=0,R498=0),1,0)</f>
        <v>0</v>
      </c>
      <c r="U498" s="7">
        <f>IF(TRIM(Raw_Bookings!E498&amp;"")="",1,0)</f>
        <v>0</v>
      </c>
      <c r="V498" s="7" t="str">
        <f>IF(SUMPRODUCT(--(Lookup_Status!$A$2:$A$13=LOWER(TRIM(Raw_Bookings!K498))))=0,"",INDEX(Lookup_Status!$B$2:$B$13,SUMPRODUCT((Lookup_Status!$A$2:$A$13=LOWER(TRIM(Raw_Bookings!K498)))*(ROW(Lookup_Status!$A$2:$A$13)-1))))</f>
        <v>Confirmed</v>
      </c>
      <c r="W498" s="7">
        <f>IF(AND(V498&lt;&gt;"",NOT(EXACT(Raw_Bookings!K498,V498))),1,0)</f>
        <v>0</v>
      </c>
      <c r="X498" s="7">
        <f>IF(V498="",1,0)</f>
        <v>0</v>
      </c>
      <c r="Y498" s="7">
        <f>IF(TRIM(Raw_Bookings!L498&amp;"")="",1,0)</f>
        <v>0</v>
      </c>
      <c r="Z498" s="7">
        <f>IF(AND(ISTEXT(Raw_Bookings!L498),Y498=0),1,0)</f>
        <v>0</v>
      </c>
      <c r="AA498" s="7">
        <f>IF(Z498=1,IFERROR(VALUE(SUBSTITUTE(SUBSTITUTE(SUBSTITUTE(SUBSTITUTE(SUBSTITUTE(UPPER(Raw_Bookings!L498),"RS.",""),"₹",""),",","")," ",""),"INR","")),""),"")</f>
        <v/>
      </c>
      <c r="AB498" s="7">
        <f>IF(AND(Z498=1,ISNUMBER(AA498)),1,0)</f>
        <v>0</v>
      </c>
      <c r="AC498" s="7">
        <f>IF(B498=1,0,IF(NOT(ISNUMBER(Raw_Bookings!J498)),1,IF(Raw_Bookings!J498&lt;&gt;COUNTIFS(Work_Passengers!$B$2:$B$1336,Raw_Bookings!A498,Work_Passengers!$C$2:$C$1336,0),1,0)))</f>
        <v>0</v>
      </c>
    </row>
    <row r="499" spans="1:29">
      <c r="A499" s="7">
        <f>Raw_Bookings!A499</f>
        <v>1164898</v>
      </c>
      <c r="B499" s="7">
        <f>IF(COUNTIF(Raw_Bookings!$A$2:A499,Raw_Bookings!A499)&gt;1,1,0)</f>
        <v>0</v>
      </c>
      <c r="C499" s="7" t="str">
        <f>Raw_Bookings!D499&amp;""</f>
        <v>2026-04-08</v>
      </c>
      <c r="D499" s="7" t="str">
        <f>IF(AND(LEN(C499)=10,MID(C499,5,1)="-",MID(C499,8,1)="-"),"ISO",IF(AND(LEN(C499)=10,MID(C499,3,1)="-",MID(C499,6,1)="-"),"DMY","OTHER"))</f>
        <v>ISO</v>
      </c>
      <c r="E499" s="7">
        <f>IF(D499="ISO",VALUE(LEFT(C499,4)),IF(D499="DMY",VALUE(RIGHT(C499,4)),0))</f>
        <v>2026</v>
      </c>
      <c r="F499" s="7">
        <f>IF(D499="ISO",VALUE(MID(C499,6,2)),IF(D499="DMY",VALUE(MID(C499,4,2)),0))</f>
        <v>4</v>
      </c>
      <c r="G499" s="7">
        <f>IF(D499="ISO",VALUE(RIGHT(C499,2)),IF(D499="DMY",VALUE(LEFT(C499,2)),0))</f>
        <v>8</v>
      </c>
      <c r="H499" s="7">
        <f>IF(AND(D499&lt;&gt;"OTHER",F499&gt;=1,F499&lt;=12,G499&gt;=1,G499&lt;=31),IF(AND(MONTH(DATE(E499,F499,G499))=F499,DAY(DATE(E499,F499,G499))=G499),1,0),0)</f>
        <v>1</v>
      </c>
      <c r="I499" s="7">
        <f>IF(H499=1,DATE(E499,F499,G499),"")</f>
        <v>46120.0</v>
      </c>
      <c r="J499" s="7">
        <f>IF(AND(D499="DMY",H499=1),1,0)</f>
        <v>0</v>
      </c>
      <c r="K499" s="7">
        <f>IF(H499=0,1,0)</f>
        <v>0</v>
      </c>
      <c r="L499" s="7">
        <f>IF(TRIM(Raw_Bookings!I499&amp;"")="",1,0)</f>
        <v>0</v>
      </c>
      <c r="M499" s="7">
        <f>IF(L499=1,"",DATEVALUE(LEFT(Raw_Bookings!I499,10))+TIMEVALUE(MID(Raw_Bookings!I499,12,8)))</f>
        <v>46109.76663194445</v>
      </c>
      <c r="N499" s="7">
        <f>IF(AND(L499=0,H499=1),IF(INT(M499)&gt;I499,1,0),0)</f>
        <v>0</v>
      </c>
      <c r="O499" s="7" t="str">
        <f>UPPER(TRIM(Raw_Bookings!F499))</f>
        <v>BEN</v>
      </c>
      <c r="P499" s="7" t="str">
        <f>UPPER(TRIM(Raw_Bookings!G499))</f>
        <v>MUM</v>
      </c>
      <c r="Q499" s="7">
        <f>IF(COUNTIF(Lookup_Stations!$A$2:$A$33,O499)&gt;0,1,0)</f>
        <v>1</v>
      </c>
      <c r="R499" s="7">
        <f>IF(COUNTIF(Lookup_Stations!$A$2:$A$33,P499)&gt;0,1,0)</f>
        <v>1</v>
      </c>
      <c r="S499" s="7">
        <f>IF(OR(AND(Q499=1,NOT(EXACT(Raw_Bookings!F499,O499))),AND(R499=1,NOT(EXACT(Raw_Bookings!G499,P499)))),1,0)</f>
        <v>0</v>
      </c>
      <c r="T499" s="7">
        <f>IF(OR(Q499=0,R499=0),1,0)</f>
        <v>0</v>
      </c>
      <c r="U499" s="7">
        <f>IF(TRIM(Raw_Bookings!E499&amp;"")="",1,0)</f>
        <v>0</v>
      </c>
      <c r="V499" s="7" t="str">
        <f>IF(SUMPRODUCT(--(Lookup_Status!$A$2:$A$13=LOWER(TRIM(Raw_Bookings!K499))))=0,"",INDEX(Lookup_Status!$B$2:$B$13,SUMPRODUCT((Lookup_Status!$A$2:$A$13=LOWER(TRIM(Raw_Bookings!K499)))*(ROW(Lookup_Status!$A$2:$A$13)-1))))</f>
        <v>Waitlisted</v>
      </c>
      <c r="W499" s="7">
        <f>IF(AND(V499&lt;&gt;"",NOT(EXACT(Raw_Bookings!K499,V499))),1,0)</f>
        <v>0</v>
      </c>
      <c r="X499" s="7">
        <f>IF(V499="",1,0)</f>
        <v>0</v>
      </c>
      <c r="Y499" s="7">
        <f>IF(TRIM(Raw_Bookings!L499&amp;"")="",1,0)</f>
        <v>0</v>
      </c>
      <c r="Z499" s="7">
        <f>IF(AND(ISTEXT(Raw_Bookings!L499),Y499=0),1,0)</f>
        <v>0</v>
      </c>
      <c r="AA499" s="7">
        <f>IF(Z499=1,IFERROR(VALUE(SUBSTITUTE(SUBSTITUTE(SUBSTITUTE(SUBSTITUTE(SUBSTITUTE(UPPER(Raw_Bookings!L499),"RS.",""),"₹",""),",","")," ",""),"INR","")),""),"")</f>
        <v/>
      </c>
      <c r="AB499" s="7">
        <f>IF(AND(Z499=1,ISNUMBER(AA499)),1,0)</f>
        <v>0</v>
      </c>
      <c r="AC499" s="7">
        <f>IF(B499=1,0,IF(NOT(ISNUMBER(Raw_Bookings!J499)),1,IF(Raw_Bookings!J499&lt;&gt;COUNTIFS(Work_Passengers!$B$2:$B$1336,Raw_Bookings!A499,Work_Passengers!$C$2:$C$1336,0),1,0)))</f>
        <v>0</v>
      </c>
    </row>
    <row r="500" spans="1:29">
      <c r="A500" s="7">
        <f>Raw_Bookings!A500</f>
        <v>1164953</v>
      </c>
      <c r="B500" s="7">
        <f>IF(COUNTIF(Raw_Bookings!$A$2:A500,Raw_Bookings!A500)&gt;1,1,0)</f>
        <v>0</v>
      </c>
      <c r="C500" s="7" t="str">
        <f>Raw_Bookings!D500&amp;""</f>
        <v>2026-06-29</v>
      </c>
      <c r="D500" s="7" t="str">
        <f>IF(AND(LEN(C500)=10,MID(C500,5,1)="-",MID(C500,8,1)="-"),"ISO",IF(AND(LEN(C500)=10,MID(C500,3,1)="-",MID(C500,6,1)="-"),"DMY","OTHER"))</f>
        <v>ISO</v>
      </c>
      <c r="E500" s="7">
        <f>IF(D500="ISO",VALUE(LEFT(C500,4)),IF(D500="DMY",VALUE(RIGHT(C500,4)),0))</f>
        <v>2026</v>
      </c>
      <c r="F500" s="7">
        <f>IF(D500="ISO",VALUE(MID(C500,6,2)),IF(D500="DMY",VALUE(MID(C500,4,2)),0))</f>
        <v>6</v>
      </c>
      <c r="G500" s="7">
        <f>IF(D500="ISO",VALUE(RIGHT(C500,2)),IF(D500="DMY",VALUE(LEFT(C500,2)),0))</f>
        <v>29</v>
      </c>
      <c r="H500" s="7">
        <f>IF(AND(D500&lt;&gt;"OTHER",F500&gt;=1,F500&lt;=12,G500&gt;=1,G500&lt;=31),IF(AND(MONTH(DATE(E500,F500,G500))=F500,DAY(DATE(E500,F500,G500))=G500),1,0),0)</f>
        <v>1</v>
      </c>
      <c r="I500" s="7">
        <f>IF(H500=1,DATE(E500,F500,G500),"")</f>
        <v>46202.0</v>
      </c>
      <c r="J500" s="7">
        <f>IF(AND(D500="DMY",H500=1),1,0)</f>
        <v>0</v>
      </c>
      <c r="K500" s="7">
        <f>IF(H500=0,1,0)</f>
        <v>0</v>
      </c>
      <c r="L500" s="7">
        <f>IF(TRIM(Raw_Bookings!I500&amp;"")="",1,0)</f>
        <v>0</v>
      </c>
      <c r="M500" s="7">
        <f>IF(L500=1,"",DATEVALUE(LEFT(Raw_Bookings!I500,10))+TIMEVALUE(MID(Raw_Bookings!I500,12,8)))</f>
        <v>46109.86409722222</v>
      </c>
      <c r="N500" s="7">
        <f>IF(AND(L500=0,H500=1),IF(INT(M500)&gt;I500,1,0),0)</f>
        <v>0</v>
      </c>
      <c r="O500" s="7" t="str">
        <f>UPPER(TRIM(Raw_Bookings!F500))</f>
        <v>BEN</v>
      </c>
      <c r="P500" s="7" t="str">
        <f>UPPER(TRIM(Raw_Bookings!G500))</f>
        <v>MUM</v>
      </c>
      <c r="Q500" s="7">
        <f>IF(COUNTIF(Lookup_Stations!$A$2:$A$33,O500)&gt;0,1,0)</f>
        <v>1</v>
      </c>
      <c r="R500" s="7">
        <f>IF(COUNTIF(Lookup_Stations!$A$2:$A$33,P500)&gt;0,1,0)</f>
        <v>1</v>
      </c>
      <c r="S500" s="7">
        <f>IF(OR(AND(Q500=1,NOT(EXACT(Raw_Bookings!F500,O500))),AND(R500=1,NOT(EXACT(Raw_Bookings!G500,P500)))),1,0)</f>
        <v>0</v>
      </c>
      <c r="T500" s="7">
        <f>IF(OR(Q500=0,R500=0),1,0)</f>
        <v>0</v>
      </c>
      <c r="U500" s="7">
        <f>IF(TRIM(Raw_Bookings!E500&amp;"")="",1,0)</f>
        <v>0</v>
      </c>
      <c r="V500" s="7" t="str">
        <f>IF(SUMPRODUCT(--(Lookup_Status!$A$2:$A$13=LOWER(TRIM(Raw_Bookings!K500))))=0,"",INDEX(Lookup_Status!$B$2:$B$13,SUMPRODUCT((Lookup_Status!$A$2:$A$13=LOWER(TRIM(Raw_Bookings!K500)))*(ROW(Lookup_Status!$A$2:$A$13)-1))))</f>
        <v>Confirmed</v>
      </c>
      <c r="W500" s="7">
        <f>IF(AND(V500&lt;&gt;"",NOT(EXACT(Raw_Bookings!K500,V500))),1,0)</f>
        <v>0</v>
      </c>
      <c r="X500" s="7">
        <f>IF(V500="",1,0)</f>
        <v>0</v>
      </c>
      <c r="Y500" s="7">
        <f>IF(TRIM(Raw_Bookings!L500&amp;"")="",1,0)</f>
        <v>0</v>
      </c>
      <c r="Z500" s="7">
        <f>IF(AND(ISTEXT(Raw_Bookings!L500),Y500=0),1,0)</f>
        <v>0</v>
      </c>
      <c r="AA500" s="7">
        <f>IF(Z500=1,IFERROR(VALUE(SUBSTITUTE(SUBSTITUTE(SUBSTITUTE(SUBSTITUTE(SUBSTITUTE(UPPER(Raw_Bookings!L500),"RS.",""),"₹",""),",","")," ",""),"INR","")),""),"")</f>
        <v/>
      </c>
      <c r="AB500" s="7">
        <f>IF(AND(Z500=1,ISNUMBER(AA500)),1,0)</f>
        <v>0</v>
      </c>
      <c r="AC500" s="7">
        <f>IF(B500=1,0,IF(NOT(ISNUMBER(Raw_Bookings!J500)),1,IF(Raw_Bookings!J500&lt;&gt;COUNTIFS(Work_Passengers!$B$2:$B$1336,Raw_Bookings!A500,Work_Passengers!$C$2:$C$1336,0),1,0)))</f>
        <v>0</v>
      </c>
    </row>
    <row r="501" spans="1:29">
      <c r="A501" s="7">
        <f>Raw_Bookings!A501</f>
        <v>1165115</v>
      </c>
      <c r="B501" s="7">
        <f>IF(COUNTIF(Raw_Bookings!$A$2:A501,Raw_Bookings!A501)&gt;1,1,0)</f>
        <v>0</v>
      </c>
      <c r="C501" s="7" t="str">
        <f>Raw_Bookings!D501&amp;""</f>
        <v>2026-04-24</v>
      </c>
      <c r="D501" s="7" t="str">
        <f>IF(AND(LEN(C501)=10,MID(C501,5,1)="-",MID(C501,8,1)="-"),"ISO",IF(AND(LEN(C501)=10,MID(C501,3,1)="-",MID(C501,6,1)="-"),"DMY","OTHER"))</f>
        <v>ISO</v>
      </c>
      <c r="E501" s="7">
        <f>IF(D501="ISO",VALUE(LEFT(C501,4)),IF(D501="DMY",VALUE(RIGHT(C501,4)),0))</f>
        <v>2026</v>
      </c>
      <c r="F501" s="7">
        <f>IF(D501="ISO",VALUE(MID(C501,6,2)),IF(D501="DMY",VALUE(MID(C501,4,2)),0))</f>
        <v>4</v>
      </c>
      <c r="G501" s="7">
        <f>IF(D501="ISO",VALUE(RIGHT(C501,2)),IF(D501="DMY",VALUE(LEFT(C501,2)),0))</f>
        <v>24</v>
      </c>
      <c r="H501" s="7">
        <f>IF(AND(D501&lt;&gt;"OTHER",F501&gt;=1,F501&lt;=12,G501&gt;=1,G501&lt;=31),IF(AND(MONTH(DATE(E501,F501,G501))=F501,DAY(DATE(E501,F501,G501))=G501),1,0),0)</f>
        <v>1</v>
      </c>
      <c r="I501" s="7">
        <f>IF(H501=1,DATE(E501,F501,G501),"")</f>
        <v>46136.0</v>
      </c>
      <c r="J501" s="7">
        <f>IF(AND(D501="DMY",H501=1),1,0)</f>
        <v>0</v>
      </c>
      <c r="K501" s="7">
        <f>IF(H501=0,1,0)</f>
        <v>0</v>
      </c>
      <c r="L501" s="7">
        <f>IF(TRIM(Raw_Bookings!I501&amp;"")="",1,0)</f>
        <v>0</v>
      </c>
      <c r="M501" s="7">
        <f>IF(L501=1,"",DATEVALUE(LEFT(Raw_Bookings!I501,10))+TIMEVALUE(MID(Raw_Bookings!I501,12,8)))</f>
        <v>46110.46960648148</v>
      </c>
      <c r="N501" s="7">
        <f>IF(AND(L501=0,H501=1),IF(INT(M501)&gt;I501,1,0),0)</f>
        <v>0</v>
      </c>
      <c r="O501" s="7" t="str">
        <f>UPPER(TRIM(Raw_Bookings!F501))</f>
        <v>MUM</v>
      </c>
      <c r="P501" s="7" t="str">
        <f>UPPER(TRIM(Raw_Bookings!G501))</f>
        <v>LUC</v>
      </c>
      <c r="Q501" s="7">
        <f>IF(COUNTIF(Lookup_Stations!$A$2:$A$33,O501)&gt;0,1,0)</f>
        <v>1</v>
      </c>
      <c r="R501" s="7">
        <f>IF(COUNTIF(Lookup_Stations!$A$2:$A$33,P501)&gt;0,1,0)</f>
        <v>1</v>
      </c>
      <c r="S501" s="7">
        <f>IF(OR(AND(Q501=1,NOT(EXACT(Raw_Bookings!F501,O501))),AND(R501=1,NOT(EXACT(Raw_Bookings!G501,P501)))),1,0)</f>
        <v>0</v>
      </c>
      <c r="T501" s="7">
        <f>IF(OR(Q501=0,R501=0),1,0)</f>
        <v>0</v>
      </c>
      <c r="U501" s="7">
        <f>IF(TRIM(Raw_Bookings!E501&amp;"")="",1,0)</f>
        <v>0</v>
      </c>
      <c r="V501" s="7" t="str">
        <f>IF(SUMPRODUCT(--(Lookup_Status!$A$2:$A$13=LOWER(TRIM(Raw_Bookings!K501))))=0,"",INDEX(Lookup_Status!$B$2:$B$13,SUMPRODUCT((Lookup_Status!$A$2:$A$13=LOWER(TRIM(Raw_Bookings!K501)))*(ROW(Lookup_Status!$A$2:$A$13)-1))))</f>
        <v>Cancelled</v>
      </c>
      <c r="W501" s="7">
        <f>IF(AND(V501&lt;&gt;"",NOT(EXACT(Raw_Bookings!K501,V501))),1,0)</f>
        <v>0</v>
      </c>
      <c r="X501" s="7">
        <f>IF(V501="",1,0)</f>
        <v>0</v>
      </c>
      <c r="Y501" s="7">
        <f>IF(TRIM(Raw_Bookings!L501&amp;"")="",1,0)</f>
        <v>0</v>
      </c>
      <c r="Z501" s="7">
        <f>IF(AND(ISTEXT(Raw_Bookings!L501),Y501=0),1,0)</f>
        <v>0</v>
      </c>
      <c r="AA501" s="7">
        <f>IF(Z501=1,IFERROR(VALUE(SUBSTITUTE(SUBSTITUTE(SUBSTITUTE(SUBSTITUTE(SUBSTITUTE(UPPER(Raw_Bookings!L501),"RS.",""),"₹",""),",","")," ",""),"INR","")),""),"")</f>
        <v/>
      </c>
      <c r="AB501" s="7">
        <f>IF(AND(Z501=1,ISNUMBER(AA501)),1,0)</f>
        <v>0</v>
      </c>
      <c r="AC501" s="7">
        <f>IF(B501=1,0,IF(NOT(ISNUMBER(Raw_Bookings!J501)),1,IF(Raw_Bookings!J501&lt;&gt;COUNTIFS(Work_Passengers!$B$2:$B$1336,Raw_Bookings!A501,Work_Passengers!$C$2:$C$1336,0),1,0)))</f>
        <v>0</v>
      </c>
    </row>
    <row r="502" spans="1:29">
      <c r="A502" s="7">
        <f>Raw_Bookings!A502</f>
        <v>1165130</v>
      </c>
      <c r="B502" s="7">
        <f>IF(COUNTIF(Raw_Bookings!$A$2:A502,Raw_Bookings!A502)&gt;1,1,0)</f>
        <v>0</v>
      </c>
      <c r="C502" s="7" t="str">
        <f>Raw_Bookings!D502&amp;""</f>
        <v>2026-05-06</v>
      </c>
      <c r="D502" s="7" t="str">
        <f>IF(AND(LEN(C502)=10,MID(C502,5,1)="-",MID(C502,8,1)="-"),"ISO",IF(AND(LEN(C502)=10,MID(C502,3,1)="-",MID(C502,6,1)="-"),"DMY","OTHER"))</f>
        <v>ISO</v>
      </c>
      <c r="E502" s="7">
        <f>IF(D502="ISO",VALUE(LEFT(C502,4)),IF(D502="DMY",VALUE(RIGHT(C502,4)),0))</f>
        <v>2026</v>
      </c>
      <c r="F502" s="7">
        <f>IF(D502="ISO",VALUE(MID(C502,6,2)),IF(D502="DMY",VALUE(MID(C502,4,2)),0))</f>
        <v>5</v>
      </c>
      <c r="G502" s="7">
        <f>IF(D502="ISO",VALUE(RIGHT(C502,2)),IF(D502="DMY",VALUE(LEFT(C502,2)),0))</f>
        <v>6</v>
      </c>
      <c r="H502" s="7">
        <f>IF(AND(D502&lt;&gt;"OTHER",F502&gt;=1,F502&lt;=12,G502&gt;=1,G502&lt;=31),IF(AND(MONTH(DATE(E502,F502,G502))=F502,DAY(DATE(E502,F502,G502))=G502),1,0),0)</f>
        <v>1</v>
      </c>
      <c r="I502" s="7">
        <f>IF(H502=1,DATE(E502,F502,G502),"")</f>
        <v>46148.0</v>
      </c>
      <c r="J502" s="7">
        <f>IF(AND(D502="DMY",H502=1),1,0)</f>
        <v>0</v>
      </c>
      <c r="K502" s="7">
        <f>IF(H502=0,1,0)</f>
        <v>0</v>
      </c>
      <c r="L502" s="7">
        <f>IF(TRIM(Raw_Bookings!I502&amp;"")="",1,0)</f>
        <v>0</v>
      </c>
      <c r="M502" s="7">
        <f>IF(L502=1,"",DATEVALUE(LEFT(Raw_Bookings!I502,10))+TIMEVALUE(MID(Raw_Bookings!I502,12,8)))</f>
        <v>46110.52002314815</v>
      </c>
      <c r="N502" s="7">
        <f>IF(AND(L502=0,H502=1),IF(INT(M502)&gt;I502,1,0),0)</f>
        <v>0</v>
      </c>
      <c r="O502" s="7" t="str">
        <f>UPPER(TRIM(Raw_Bookings!F502))</f>
        <v>BEN</v>
      </c>
      <c r="P502" s="7" t="str">
        <f>UPPER(TRIM(Raw_Bookings!G502))</f>
        <v>MUM</v>
      </c>
      <c r="Q502" s="7">
        <f>IF(COUNTIF(Lookup_Stations!$A$2:$A$33,O502)&gt;0,1,0)</f>
        <v>1</v>
      </c>
      <c r="R502" s="7">
        <f>IF(COUNTIF(Lookup_Stations!$A$2:$A$33,P502)&gt;0,1,0)</f>
        <v>1</v>
      </c>
      <c r="S502" s="7">
        <f>IF(OR(AND(Q502=1,NOT(EXACT(Raw_Bookings!F502,O502))),AND(R502=1,NOT(EXACT(Raw_Bookings!G502,P502)))),1,0)</f>
        <v>0</v>
      </c>
      <c r="T502" s="7">
        <f>IF(OR(Q502=0,R502=0),1,0)</f>
        <v>0</v>
      </c>
      <c r="U502" s="7">
        <f>IF(TRIM(Raw_Bookings!E502&amp;"")="",1,0)</f>
        <v>0</v>
      </c>
      <c r="V502" s="7" t="str">
        <f>IF(SUMPRODUCT(--(Lookup_Status!$A$2:$A$13=LOWER(TRIM(Raw_Bookings!K502))))=0,"",INDEX(Lookup_Status!$B$2:$B$13,SUMPRODUCT((Lookup_Status!$A$2:$A$13=LOWER(TRIM(Raw_Bookings!K502)))*(ROW(Lookup_Status!$A$2:$A$13)-1))))</f>
        <v>Cancelled</v>
      </c>
      <c r="W502" s="7">
        <f>IF(AND(V502&lt;&gt;"",NOT(EXACT(Raw_Bookings!K502,V502))),1,0)</f>
        <v>0</v>
      </c>
      <c r="X502" s="7">
        <f>IF(V502="",1,0)</f>
        <v>0</v>
      </c>
      <c r="Y502" s="7">
        <f>IF(TRIM(Raw_Bookings!L502&amp;"")="",1,0)</f>
        <v>0</v>
      </c>
      <c r="Z502" s="7">
        <f>IF(AND(ISTEXT(Raw_Bookings!L502),Y502=0),1,0)</f>
        <v>0</v>
      </c>
      <c r="AA502" s="7">
        <f>IF(Z502=1,IFERROR(VALUE(SUBSTITUTE(SUBSTITUTE(SUBSTITUTE(SUBSTITUTE(SUBSTITUTE(UPPER(Raw_Bookings!L502),"RS.",""),"₹",""),",","")," ",""),"INR","")),""),"")</f>
        <v/>
      </c>
      <c r="AB502" s="7">
        <f>IF(AND(Z502=1,ISNUMBER(AA502)),1,0)</f>
        <v>0</v>
      </c>
      <c r="AC502" s="7">
        <f>IF(B502=1,0,IF(NOT(ISNUMBER(Raw_Bookings!J502)),1,IF(Raw_Bookings!J502&lt;&gt;COUNTIFS(Work_Passengers!$B$2:$B$1336,Raw_Bookings!A502,Work_Passengers!$C$2:$C$1336,0),1,0)))</f>
        <v>0</v>
      </c>
    </row>
    <row r="503" spans="1:29">
      <c r="A503" s="7">
        <f>Raw_Bookings!A503</f>
        <v>1165520</v>
      </c>
      <c r="B503" s="7">
        <f>IF(COUNTIF(Raw_Bookings!$A$2:A503,Raw_Bookings!A503)&gt;1,1,0)</f>
        <v>0</v>
      </c>
      <c r="C503" s="7" t="str">
        <f>Raw_Bookings!D503&amp;""</f>
        <v>2026-04-07</v>
      </c>
      <c r="D503" s="7" t="str">
        <f>IF(AND(LEN(C503)=10,MID(C503,5,1)="-",MID(C503,8,1)="-"),"ISO",IF(AND(LEN(C503)=10,MID(C503,3,1)="-",MID(C503,6,1)="-"),"DMY","OTHER"))</f>
        <v>ISO</v>
      </c>
      <c r="E503" s="7">
        <f>IF(D503="ISO",VALUE(LEFT(C503,4)),IF(D503="DMY",VALUE(RIGHT(C503,4)),0))</f>
        <v>2026</v>
      </c>
      <c r="F503" s="7">
        <f>IF(D503="ISO",VALUE(MID(C503,6,2)),IF(D503="DMY",VALUE(MID(C503,4,2)),0))</f>
        <v>4</v>
      </c>
      <c r="G503" s="7">
        <f>IF(D503="ISO",VALUE(RIGHT(C503,2)),IF(D503="DMY",VALUE(LEFT(C503,2)),0))</f>
        <v>7</v>
      </c>
      <c r="H503" s="7">
        <f>IF(AND(D503&lt;&gt;"OTHER",F503&gt;=1,F503&lt;=12,G503&gt;=1,G503&lt;=31),IF(AND(MONTH(DATE(E503,F503,G503))=F503,DAY(DATE(E503,F503,G503))=G503),1,0),0)</f>
        <v>1</v>
      </c>
      <c r="I503" s="7">
        <f>IF(H503=1,DATE(E503,F503,G503),"")</f>
        <v>46119.0</v>
      </c>
      <c r="J503" s="7">
        <f>IF(AND(D503="DMY",H503=1),1,0)</f>
        <v>0</v>
      </c>
      <c r="K503" s="7">
        <f>IF(H503=0,1,0)</f>
        <v>0</v>
      </c>
      <c r="L503" s="7">
        <f>IF(TRIM(Raw_Bookings!I503&amp;"")="",1,0)</f>
        <v>0</v>
      </c>
      <c r="M503" s="7">
        <f>IF(L503=1,"",DATEVALUE(LEFT(Raw_Bookings!I503,10))+TIMEVALUE(MID(Raw_Bookings!I503,12,8)))</f>
        <v>46111.60959490741</v>
      </c>
      <c r="N503" s="7">
        <f>IF(AND(L503=0,H503=1),IF(INT(M503)&gt;I503,1,0),0)</f>
        <v>0</v>
      </c>
      <c r="O503" s="7" t="str">
        <f>UPPER(TRIM(Raw_Bookings!F503))</f>
        <v>MUM</v>
      </c>
      <c r="P503" s="7" t="str">
        <f>UPPER(TRIM(Raw_Bookings!G503))</f>
        <v>BEN</v>
      </c>
      <c r="Q503" s="7">
        <f>IF(COUNTIF(Lookup_Stations!$A$2:$A$33,O503)&gt;0,1,0)</f>
        <v>1</v>
      </c>
      <c r="R503" s="7">
        <f>IF(COUNTIF(Lookup_Stations!$A$2:$A$33,P503)&gt;0,1,0)</f>
        <v>1</v>
      </c>
      <c r="S503" s="7">
        <f>IF(OR(AND(Q503=1,NOT(EXACT(Raw_Bookings!F503,O503))),AND(R503=1,NOT(EXACT(Raw_Bookings!G503,P503)))),1,0)</f>
        <v>0</v>
      </c>
      <c r="T503" s="7">
        <f>IF(OR(Q503=0,R503=0),1,0)</f>
        <v>0</v>
      </c>
      <c r="U503" s="7">
        <f>IF(TRIM(Raw_Bookings!E503&amp;"")="",1,0)</f>
        <v>0</v>
      </c>
      <c r="V503" s="7" t="str">
        <f>IF(SUMPRODUCT(--(Lookup_Status!$A$2:$A$13=LOWER(TRIM(Raw_Bookings!K503))))=0,"",INDEX(Lookup_Status!$B$2:$B$13,SUMPRODUCT((Lookup_Status!$A$2:$A$13=LOWER(TRIM(Raw_Bookings!K503)))*(ROW(Lookup_Status!$A$2:$A$13)-1))))</f>
        <v>RAC</v>
      </c>
      <c r="W503" s="7">
        <f>IF(AND(V503&lt;&gt;"",NOT(EXACT(Raw_Bookings!K503,V503))),1,0)</f>
        <v>0</v>
      </c>
      <c r="X503" s="7">
        <f>IF(V503="",1,0)</f>
        <v>0</v>
      </c>
      <c r="Y503" s="7">
        <f>IF(TRIM(Raw_Bookings!L503&amp;"")="",1,0)</f>
        <v>0</v>
      </c>
      <c r="Z503" s="7">
        <f>IF(AND(ISTEXT(Raw_Bookings!L503),Y503=0),1,0)</f>
        <v>0</v>
      </c>
      <c r="AA503" s="7">
        <f>IF(Z503=1,IFERROR(VALUE(SUBSTITUTE(SUBSTITUTE(SUBSTITUTE(SUBSTITUTE(SUBSTITUTE(UPPER(Raw_Bookings!L503),"RS.",""),"₹",""),",","")," ",""),"INR","")),""),"")</f>
        <v/>
      </c>
      <c r="AB503" s="7">
        <f>IF(AND(Z503=1,ISNUMBER(AA503)),1,0)</f>
        <v>0</v>
      </c>
      <c r="AC503" s="7">
        <f>IF(B503=1,0,IF(NOT(ISNUMBER(Raw_Bookings!J503)),1,IF(Raw_Bookings!J503&lt;&gt;COUNTIFS(Work_Passengers!$B$2:$B$1336,Raw_Bookings!A503,Work_Passengers!$C$2:$C$1336,0),1,0)))</f>
        <v>0</v>
      </c>
    </row>
    <row r="504" spans="1:29">
      <c r="A504" s="7">
        <f>Raw_Bookings!A504</f>
        <v>1165685</v>
      </c>
      <c r="B504" s="7">
        <f>IF(COUNTIF(Raw_Bookings!$A$2:A504,Raw_Bookings!A504)&gt;1,1,0)</f>
        <v>0</v>
      </c>
      <c r="C504" s="7" t="str">
        <f>Raw_Bookings!D504&amp;""</f>
        <v>2026-05-18</v>
      </c>
      <c r="D504" s="7" t="str">
        <f>IF(AND(LEN(C504)=10,MID(C504,5,1)="-",MID(C504,8,1)="-"),"ISO",IF(AND(LEN(C504)=10,MID(C504,3,1)="-",MID(C504,6,1)="-"),"DMY","OTHER"))</f>
        <v>ISO</v>
      </c>
      <c r="E504" s="7">
        <f>IF(D504="ISO",VALUE(LEFT(C504,4)),IF(D504="DMY",VALUE(RIGHT(C504,4)),0))</f>
        <v>2026</v>
      </c>
      <c r="F504" s="7">
        <f>IF(D504="ISO",VALUE(MID(C504,6,2)),IF(D504="DMY",VALUE(MID(C504,4,2)),0))</f>
        <v>5</v>
      </c>
      <c r="G504" s="7">
        <f>IF(D504="ISO",VALUE(RIGHT(C504,2)),IF(D504="DMY",VALUE(LEFT(C504,2)),0))</f>
        <v>18</v>
      </c>
      <c r="H504" s="7">
        <f>IF(AND(D504&lt;&gt;"OTHER",F504&gt;=1,F504&lt;=12,G504&gt;=1,G504&lt;=31),IF(AND(MONTH(DATE(E504,F504,G504))=F504,DAY(DATE(E504,F504,G504))=G504),1,0),0)</f>
        <v>1</v>
      </c>
      <c r="I504" s="7">
        <f>IF(H504=1,DATE(E504,F504,G504),"")</f>
        <v>46160.0</v>
      </c>
      <c r="J504" s="7">
        <f>IF(AND(D504="DMY",H504=1),1,0)</f>
        <v>0</v>
      </c>
      <c r="K504" s="7">
        <f>IF(H504=0,1,0)</f>
        <v>0</v>
      </c>
      <c r="L504" s="7">
        <f>IF(TRIM(Raw_Bookings!I504&amp;"")="",1,0)</f>
        <v>0</v>
      </c>
      <c r="M504" s="7">
        <f>IF(L504=1,"",DATEVALUE(LEFT(Raw_Bookings!I504,10))+TIMEVALUE(MID(Raw_Bookings!I504,12,8)))</f>
        <v>46111.93381944444</v>
      </c>
      <c r="N504" s="7">
        <f>IF(AND(L504=0,H504=1),IF(INT(M504)&gt;I504,1,0),0)</f>
        <v>0</v>
      </c>
      <c r="O504" s="7" t="str">
        <f>UPPER(TRIM(Raw_Bookings!F504))</f>
        <v>CHE</v>
      </c>
      <c r="P504" s="7" t="str">
        <f>UPPER(TRIM(Raw_Bookings!G504))</f>
        <v>AHM</v>
      </c>
      <c r="Q504" s="7">
        <f>IF(COUNTIF(Lookup_Stations!$A$2:$A$33,O504)&gt;0,1,0)</f>
        <v>1</v>
      </c>
      <c r="R504" s="7">
        <f>IF(COUNTIF(Lookup_Stations!$A$2:$A$33,P504)&gt;0,1,0)</f>
        <v>1</v>
      </c>
      <c r="S504" s="7">
        <f>IF(OR(AND(Q504=1,NOT(EXACT(Raw_Bookings!F504,O504))),AND(R504=1,NOT(EXACT(Raw_Bookings!G504,P504)))),1,0)</f>
        <v>0</v>
      </c>
      <c r="T504" s="7">
        <f>IF(OR(Q504=0,R504=0),1,0)</f>
        <v>0</v>
      </c>
      <c r="U504" s="7">
        <f>IF(TRIM(Raw_Bookings!E504&amp;"")="",1,0)</f>
        <v>0</v>
      </c>
      <c r="V504" s="7" t="str">
        <f>IF(SUMPRODUCT(--(Lookup_Status!$A$2:$A$13=LOWER(TRIM(Raw_Bookings!K504))))=0,"",INDEX(Lookup_Status!$B$2:$B$13,SUMPRODUCT((Lookup_Status!$A$2:$A$13=LOWER(TRIM(Raw_Bookings!K504)))*(ROW(Lookup_Status!$A$2:$A$13)-1))))</f>
        <v>Confirmed</v>
      </c>
      <c r="W504" s="7">
        <f>IF(AND(V504&lt;&gt;"",NOT(EXACT(Raw_Bookings!K504,V504))),1,0)</f>
        <v>0</v>
      </c>
      <c r="X504" s="7">
        <f>IF(V504="",1,0)</f>
        <v>0</v>
      </c>
      <c r="Y504" s="7">
        <f>IF(TRIM(Raw_Bookings!L504&amp;"")="",1,0)</f>
        <v>0</v>
      </c>
      <c r="Z504" s="7">
        <f>IF(AND(ISTEXT(Raw_Bookings!L504),Y504=0),1,0)</f>
        <v>0</v>
      </c>
      <c r="AA504" s="7">
        <f>IF(Z504=1,IFERROR(VALUE(SUBSTITUTE(SUBSTITUTE(SUBSTITUTE(SUBSTITUTE(SUBSTITUTE(UPPER(Raw_Bookings!L504),"RS.",""),"₹",""),",","")," ",""),"INR","")),""),"")</f>
        <v/>
      </c>
      <c r="AB504" s="7">
        <f>IF(AND(Z504=1,ISNUMBER(AA504)),1,0)</f>
        <v>0</v>
      </c>
      <c r="AC504" s="7">
        <f>IF(B504=1,0,IF(NOT(ISNUMBER(Raw_Bookings!J504)),1,IF(Raw_Bookings!J504&lt;&gt;COUNTIFS(Work_Passengers!$B$2:$B$1336,Raw_Bookings!A504,Work_Passengers!$C$2:$C$1336,0),1,0)))</f>
        <v>0</v>
      </c>
    </row>
    <row r="505" spans="1:29">
      <c r="A505" s="7">
        <f>Raw_Bookings!A505</f>
        <v>1165984</v>
      </c>
      <c r="B505" s="7">
        <f>IF(COUNTIF(Raw_Bookings!$A$2:A505,Raw_Bookings!A505)&gt;1,1,0)</f>
        <v>0</v>
      </c>
      <c r="C505" s="7" t="str">
        <f>Raw_Bookings!D505&amp;""</f>
        <v>2026-04-07</v>
      </c>
      <c r="D505" s="7" t="str">
        <f>IF(AND(LEN(C505)=10,MID(C505,5,1)="-",MID(C505,8,1)="-"),"ISO",IF(AND(LEN(C505)=10,MID(C505,3,1)="-",MID(C505,6,1)="-"),"DMY","OTHER"))</f>
        <v>ISO</v>
      </c>
      <c r="E505" s="7">
        <f>IF(D505="ISO",VALUE(LEFT(C505,4)),IF(D505="DMY",VALUE(RIGHT(C505,4)),0))</f>
        <v>2026</v>
      </c>
      <c r="F505" s="7">
        <f>IF(D505="ISO",VALUE(MID(C505,6,2)),IF(D505="DMY",VALUE(MID(C505,4,2)),0))</f>
        <v>4</v>
      </c>
      <c r="G505" s="7">
        <f>IF(D505="ISO",VALUE(RIGHT(C505,2)),IF(D505="DMY",VALUE(LEFT(C505,2)),0))</f>
        <v>7</v>
      </c>
      <c r="H505" s="7">
        <f>IF(AND(D505&lt;&gt;"OTHER",F505&gt;=1,F505&lt;=12,G505&gt;=1,G505&lt;=31),IF(AND(MONTH(DATE(E505,F505,G505))=F505,DAY(DATE(E505,F505,G505))=G505),1,0),0)</f>
        <v>1</v>
      </c>
      <c r="I505" s="7">
        <f>IF(H505=1,DATE(E505,F505,G505),"")</f>
        <v>46119.0</v>
      </c>
      <c r="J505" s="7">
        <f>IF(AND(D505="DMY",H505=1),1,0)</f>
        <v>0</v>
      </c>
      <c r="K505" s="7">
        <f>IF(H505=0,1,0)</f>
        <v>0</v>
      </c>
      <c r="L505" s="7">
        <f>IF(TRIM(Raw_Bookings!I505&amp;"")="",1,0)</f>
        <v>0</v>
      </c>
      <c r="M505" s="7">
        <f>IF(L505=1,"",DATEVALUE(LEFT(Raw_Bookings!I505,10))+TIMEVALUE(MID(Raw_Bookings!I505,12,8)))</f>
        <v>46112.904131944444</v>
      </c>
      <c r="N505" s="7">
        <f>IF(AND(L505=0,H505=1),IF(INT(M505)&gt;I505,1,0),0)</f>
        <v>0</v>
      </c>
      <c r="O505" s="7" t="str">
        <f>UPPER(TRIM(Raw_Bookings!F505))</f>
        <v>JAI</v>
      </c>
      <c r="P505" s="7" t="str">
        <f>UPPER(TRIM(Raw_Bookings!G505))</f>
        <v>BHO</v>
      </c>
      <c r="Q505" s="7">
        <f>IF(COUNTIF(Lookup_Stations!$A$2:$A$33,O505)&gt;0,1,0)</f>
        <v>1</v>
      </c>
      <c r="R505" s="7">
        <f>IF(COUNTIF(Lookup_Stations!$A$2:$A$33,P505)&gt;0,1,0)</f>
        <v>1</v>
      </c>
      <c r="S505" s="7">
        <f>IF(OR(AND(Q505=1,NOT(EXACT(Raw_Bookings!F505,O505))),AND(R505=1,NOT(EXACT(Raw_Bookings!G505,P505)))),1,0)</f>
        <v>0</v>
      </c>
      <c r="T505" s="7">
        <f>IF(OR(Q505=0,R505=0),1,0)</f>
        <v>0</v>
      </c>
      <c r="U505" s="7">
        <f>IF(TRIM(Raw_Bookings!E505&amp;"")="",1,0)</f>
        <v>0</v>
      </c>
      <c r="V505" s="7" t="str">
        <f>IF(SUMPRODUCT(--(Lookup_Status!$A$2:$A$13=LOWER(TRIM(Raw_Bookings!K505))))=0,"",INDEX(Lookup_Status!$B$2:$B$13,SUMPRODUCT((Lookup_Status!$A$2:$A$13=LOWER(TRIM(Raw_Bookings!K505)))*(ROW(Lookup_Status!$A$2:$A$13)-1))))</f>
        <v>Confirmed</v>
      </c>
      <c r="W505" s="7">
        <f>IF(AND(V505&lt;&gt;"",NOT(EXACT(Raw_Bookings!K505,V505))),1,0)</f>
        <v>0</v>
      </c>
      <c r="X505" s="7">
        <f>IF(V505="",1,0)</f>
        <v>0</v>
      </c>
      <c r="Y505" s="7">
        <f>IF(TRIM(Raw_Bookings!L505&amp;"")="",1,0)</f>
        <v>0</v>
      </c>
      <c r="Z505" s="7">
        <f>IF(AND(ISTEXT(Raw_Bookings!L505),Y505=0),1,0)</f>
        <v>0</v>
      </c>
      <c r="AA505" s="7">
        <f>IF(Z505=1,IFERROR(VALUE(SUBSTITUTE(SUBSTITUTE(SUBSTITUTE(SUBSTITUTE(SUBSTITUTE(UPPER(Raw_Bookings!L505),"RS.",""),"₹",""),",","")," ",""),"INR","")),""),"")</f>
        <v/>
      </c>
      <c r="AB505" s="7">
        <f>IF(AND(Z505=1,ISNUMBER(AA505)),1,0)</f>
        <v>0</v>
      </c>
      <c r="AC505" s="7">
        <f>IF(B505=1,0,IF(NOT(ISNUMBER(Raw_Bookings!J505)),1,IF(Raw_Bookings!J505&lt;&gt;COUNTIFS(Work_Passengers!$B$2:$B$1336,Raw_Bookings!A505,Work_Passengers!$C$2:$C$1336,0),1,0)))</f>
        <v>0</v>
      </c>
    </row>
    <row r="506" spans="1:29">
      <c r="A506" s="7">
        <f>Raw_Bookings!A506</f>
        <v>1166012</v>
      </c>
      <c r="B506" s="7">
        <f>IF(COUNTIF(Raw_Bookings!$A$2:A506,Raw_Bookings!A506)&gt;1,1,0)</f>
        <v>0</v>
      </c>
      <c r="C506" s="7" t="str">
        <f>Raw_Bookings!D506&amp;""</f>
        <v>2026-07-27</v>
      </c>
      <c r="D506" s="7" t="str">
        <f>IF(AND(LEN(C506)=10,MID(C506,5,1)="-",MID(C506,8,1)="-"),"ISO",IF(AND(LEN(C506)=10,MID(C506,3,1)="-",MID(C506,6,1)="-"),"DMY","OTHER"))</f>
        <v>ISO</v>
      </c>
      <c r="E506" s="7">
        <f>IF(D506="ISO",VALUE(LEFT(C506,4)),IF(D506="DMY",VALUE(RIGHT(C506,4)),0))</f>
        <v>2026</v>
      </c>
      <c r="F506" s="7">
        <f>IF(D506="ISO",VALUE(MID(C506,6,2)),IF(D506="DMY",VALUE(MID(C506,4,2)),0))</f>
        <v>7</v>
      </c>
      <c r="G506" s="7">
        <f>IF(D506="ISO",VALUE(RIGHT(C506,2)),IF(D506="DMY",VALUE(LEFT(C506,2)),0))</f>
        <v>27</v>
      </c>
      <c r="H506" s="7">
        <f>IF(AND(D506&lt;&gt;"OTHER",F506&gt;=1,F506&lt;=12,G506&gt;=1,G506&lt;=31),IF(AND(MONTH(DATE(E506,F506,G506))=F506,DAY(DATE(E506,F506,G506))=G506),1,0),0)</f>
        <v>1</v>
      </c>
      <c r="I506" s="7">
        <f>IF(H506=1,DATE(E506,F506,G506),"")</f>
        <v>46230.0</v>
      </c>
      <c r="J506" s="7">
        <f>IF(AND(D506="DMY",H506=1),1,0)</f>
        <v>0</v>
      </c>
      <c r="K506" s="7">
        <f>IF(H506=0,1,0)</f>
        <v>0</v>
      </c>
      <c r="L506" s="7">
        <f>IF(TRIM(Raw_Bookings!I506&amp;"")="",1,0)</f>
        <v>0</v>
      </c>
      <c r="M506" s="7">
        <f>IF(L506=1,"",DATEVALUE(LEFT(Raw_Bookings!I506,10))+TIMEVALUE(MID(Raw_Bookings!I506,12,8)))</f>
        <v>46113.064479166664</v>
      </c>
      <c r="N506" s="7">
        <f>IF(AND(L506=0,H506=1),IF(INT(M506)&gt;I506,1,0),0)</f>
        <v>0</v>
      </c>
      <c r="O506" s="7" t="str">
        <f>UPPER(TRIM(Raw_Bookings!F506))</f>
        <v>DEL</v>
      </c>
      <c r="P506" s="7" t="str">
        <f>UPPER(TRIM(Raw_Bookings!G506))</f>
        <v>MAU</v>
      </c>
      <c r="Q506" s="7">
        <f>IF(COUNTIF(Lookup_Stations!$A$2:$A$33,O506)&gt;0,1,0)</f>
        <v>1</v>
      </c>
      <c r="R506" s="7">
        <f>IF(COUNTIF(Lookup_Stations!$A$2:$A$33,P506)&gt;0,1,0)</f>
        <v>1</v>
      </c>
      <c r="S506" s="7">
        <f>IF(OR(AND(Q506=1,NOT(EXACT(Raw_Bookings!F506,O506))),AND(R506=1,NOT(EXACT(Raw_Bookings!G506,P506)))),1,0)</f>
        <v>0</v>
      </c>
      <c r="T506" s="7">
        <f>IF(OR(Q506=0,R506=0),1,0)</f>
        <v>0</v>
      </c>
      <c r="U506" s="7">
        <f>IF(TRIM(Raw_Bookings!E506&amp;"")="",1,0)</f>
        <v>0</v>
      </c>
      <c r="V506" s="7" t="str">
        <f>IF(SUMPRODUCT(--(Lookup_Status!$A$2:$A$13=LOWER(TRIM(Raw_Bookings!K506))))=0,"",INDEX(Lookup_Status!$B$2:$B$13,SUMPRODUCT((Lookup_Status!$A$2:$A$13=LOWER(TRIM(Raw_Bookings!K506)))*(ROW(Lookup_Status!$A$2:$A$13)-1))))</f>
        <v>Confirmed</v>
      </c>
      <c r="W506" s="7">
        <f>IF(AND(V506&lt;&gt;"",NOT(EXACT(Raw_Bookings!K506,V506))),1,0)</f>
        <v>0</v>
      </c>
      <c r="X506" s="7">
        <f>IF(V506="",1,0)</f>
        <v>0</v>
      </c>
      <c r="Y506" s="7">
        <f>IF(TRIM(Raw_Bookings!L506&amp;"")="",1,0)</f>
        <v>0</v>
      </c>
      <c r="Z506" s="7">
        <f>IF(AND(ISTEXT(Raw_Bookings!L506),Y506=0),1,0)</f>
        <v>0</v>
      </c>
      <c r="AA506" s="7">
        <f>IF(Z506=1,IFERROR(VALUE(SUBSTITUTE(SUBSTITUTE(SUBSTITUTE(SUBSTITUTE(SUBSTITUTE(UPPER(Raw_Bookings!L506),"RS.",""),"₹",""),",","")," ",""),"INR","")),""),"")</f>
        <v/>
      </c>
      <c r="AB506" s="7">
        <f>IF(AND(Z506=1,ISNUMBER(AA506)),1,0)</f>
        <v>0</v>
      </c>
      <c r="AC506" s="7">
        <f>IF(B506=1,0,IF(NOT(ISNUMBER(Raw_Bookings!J506)),1,IF(Raw_Bookings!J506&lt;&gt;COUNTIFS(Work_Passengers!$B$2:$B$1336,Raw_Bookings!A506,Work_Passengers!$C$2:$C$1336,0),1,0)))</f>
        <v>0</v>
      </c>
    </row>
    <row r="507" spans="1:29">
      <c r="A507" s="7">
        <f>Raw_Bookings!A507</f>
        <v>1166075</v>
      </c>
      <c r="B507" s="7">
        <f>IF(COUNTIF(Raw_Bookings!$A$2:A507,Raw_Bookings!A507)&gt;1,1,0)</f>
        <v>0</v>
      </c>
      <c r="C507" s="7" t="str">
        <f>Raw_Bookings!D507&amp;""</f>
        <v>2026-05-15</v>
      </c>
      <c r="D507" s="7" t="str">
        <f>IF(AND(LEN(C507)=10,MID(C507,5,1)="-",MID(C507,8,1)="-"),"ISO",IF(AND(LEN(C507)=10,MID(C507,3,1)="-",MID(C507,6,1)="-"),"DMY","OTHER"))</f>
        <v>ISO</v>
      </c>
      <c r="E507" s="7">
        <f>IF(D507="ISO",VALUE(LEFT(C507,4)),IF(D507="DMY",VALUE(RIGHT(C507,4)),0))</f>
        <v>2026</v>
      </c>
      <c r="F507" s="7">
        <f>IF(D507="ISO",VALUE(MID(C507,6,2)),IF(D507="DMY",VALUE(MID(C507,4,2)),0))</f>
        <v>5</v>
      </c>
      <c r="G507" s="7">
        <f>IF(D507="ISO",VALUE(RIGHT(C507,2)),IF(D507="DMY",VALUE(LEFT(C507,2)),0))</f>
        <v>15</v>
      </c>
      <c r="H507" s="7">
        <f>IF(AND(D507&lt;&gt;"OTHER",F507&gt;=1,F507&lt;=12,G507&gt;=1,G507&lt;=31),IF(AND(MONTH(DATE(E507,F507,G507))=F507,DAY(DATE(E507,F507,G507))=G507),1,0),0)</f>
        <v>1</v>
      </c>
      <c r="I507" s="7">
        <f>IF(H507=1,DATE(E507,F507,G507),"")</f>
        <v>46157.0</v>
      </c>
      <c r="J507" s="7">
        <f>IF(AND(D507="DMY",H507=1),1,0)</f>
        <v>0</v>
      </c>
      <c r="K507" s="7">
        <f>IF(H507=0,1,0)</f>
        <v>0</v>
      </c>
      <c r="L507" s="7">
        <f>IF(TRIM(Raw_Bookings!I507&amp;"")="",1,0)</f>
        <v>0</v>
      </c>
      <c r="M507" s="7">
        <f>IF(L507=1,"",DATEVALUE(LEFT(Raw_Bookings!I507,10))+TIMEVALUE(MID(Raw_Bookings!I507,12,8)))</f>
        <v>46113.36471064815</v>
      </c>
      <c r="N507" s="7">
        <f>IF(AND(L507=0,H507=1),IF(INT(M507)&gt;I507,1,0),0)</f>
        <v>0</v>
      </c>
      <c r="O507" s="7" t="str">
        <f>UPPER(TRIM(Raw_Bookings!F507))</f>
        <v>MUM</v>
      </c>
      <c r="P507" s="7" t="str">
        <f>UPPER(TRIM(Raw_Bookings!G507))</f>
        <v>LUC</v>
      </c>
      <c r="Q507" s="7">
        <f>IF(COUNTIF(Lookup_Stations!$A$2:$A$33,O507)&gt;0,1,0)</f>
        <v>1</v>
      </c>
      <c r="R507" s="7">
        <f>IF(COUNTIF(Lookup_Stations!$A$2:$A$33,P507)&gt;0,1,0)</f>
        <v>1</v>
      </c>
      <c r="S507" s="7">
        <f>IF(OR(AND(Q507=1,NOT(EXACT(Raw_Bookings!F507,O507))),AND(R507=1,NOT(EXACT(Raw_Bookings!G507,P507)))),1,0)</f>
        <v>0</v>
      </c>
      <c r="T507" s="7">
        <f>IF(OR(Q507=0,R507=0),1,0)</f>
        <v>0</v>
      </c>
      <c r="U507" s="7">
        <f>IF(TRIM(Raw_Bookings!E507&amp;"")="",1,0)</f>
        <v>0</v>
      </c>
      <c r="V507" s="7" t="str">
        <f>IF(SUMPRODUCT(--(Lookup_Status!$A$2:$A$13=LOWER(TRIM(Raw_Bookings!K507))))=0,"",INDEX(Lookup_Status!$B$2:$B$13,SUMPRODUCT((Lookup_Status!$A$2:$A$13=LOWER(TRIM(Raw_Bookings!K507)))*(ROW(Lookup_Status!$A$2:$A$13)-1))))</f>
        <v>Confirmed</v>
      </c>
      <c r="W507" s="7">
        <f>IF(AND(V507&lt;&gt;"",NOT(EXACT(Raw_Bookings!K507,V507))),1,0)</f>
        <v>0</v>
      </c>
      <c r="X507" s="7">
        <f>IF(V507="",1,0)</f>
        <v>0</v>
      </c>
      <c r="Y507" s="7">
        <f>IF(TRIM(Raw_Bookings!L507&amp;"")="",1,0)</f>
        <v>0</v>
      </c>
      <c r="Z507" s="7">
        <f>IF(AND(ISTEXT(Raw_Bookings!L507),Y507=0),1,0)</f>
        <v>0</v>
      </c>
      <c r="AA507" s="7">
        <f>IF(Z507=1,IFERROR(VALUE(SUBSTITUTE(SUBSTITUTE(SUBSTITUTE(SUBSTITUTE(SUBSTITUTE(UPPER(Raw_Bookings!L507),"RS.",""),"₹",""),",","")," ",""),"INR","")),""),"")</f>
        <v/>
      </c>
      <c r="AB507" s="7">
        <f>IF(AND(Z507=1,ISNUMBER(AA507)),1,0)</f>
        <v>0</v>
      </c>
      <c r="AC507" s="7">
        <f>IF(B507=1,0,IF(NOT(ISNUMBER(Raw_Bookings!J507)),1,IF(Raw_Bookings!J507&lt;&gt;COUNTIFS(Work_Passengers!$B$2:$B$1336,Raw_Bookings!A507,Work_Passengers!$C$2:$C$1336,0),1,0)))</f>
        <v>1</v>
      </c>
    </row>
    <row r="508" spans="1:29">
      <c r="A508" s="7">
        <f>Raw_Bookings!A508</f>
        <v>1166085</v>
      </c>
      <c r="B508" s="7">
        <f>IF(COUNTIF(Raw_Bookings!$A$2:A508,Raw_Bookings!A508)&gt;1,1,0)</f>
        <v>0</v>
      </c>
      <c r="C508" s="7" t="str">
        <f>Raw_Bookings!D508&amp;""</f>
        <v>2026-04-28</v>
      </c>
      <c r="D508" s="7" t="str">
        <f>IF(AND(LEN(C508)=10,MID(C508,5,1)="-",MID(C508,8,1)="-"),"ISO",IF(AND(LEN(C508)=10,MID(C508,3,1)="-",MID(C508,6,1)="-"),"DMY","OTHER"))</f>
        <v>ISO</v>
      </c>
      <c r="E508" s="7">
        <f>IF(D508="ISO",VALUE(LEFT(C508,4)),IF(D508="DMY",VALUE(RIGHT(C508,4)),0))</f>
        <v>2026</v>
      </c>
      <c r="F508" s="7">
        <f>IF(D508="ISO",VALUE(MID(C508,6,2)),IF(D508="DMY",VALUE(MID(C508,4,2)),0))</f>
        <v>4</v>
      </c>
      <c r="G508" s="7">
        <f>IF(D508="ISO",VALUE(RIGHT(C508,2)),IF(D508="DMY",VALUE(LEFT(C508,2)),0))</f>
        <v>28</v>
      </c>
      <c r="H508" s="7">
        <f>IF(AND(D508&lt;&gt;"OTHER",F508&gt;=1,F508&lt;=12,G508&gt;=1,G508&lt;=31),IF(AND(MONTH(DATE(E508,F508,G508))=F508,DAY(DATE(E508,F508,G508))=G508),1,0),0)</f>
        <v>1</v>
      </c>
      <c r="I508" s="7">
        <f>IF(H508=1,DATE(E508,F508,G508),"")</f>
        <v>46140.0</v>
      </c>
      <c r="J508" s="7">
        <f>IF(AND(D508="DMY",H508=1),1,0)</f>
        <v>0</v>
      </c>
      <c r="K508" s="7">
        <f>IF(H508=0,1,0)</f>
        <v>0</v>
      </c>
      <c r="L508" s="7">
        <f>IF(TRIM(Raw_Bookings!I508&amp;"")="",1,0)</f>
        <v>0</v>
      </c>
      <c r="M508" s="7">
        <f>IF(L508=1,"",DATEVALUE(LEFT(Raw_Bookings!I508,10))+TIMEVALUE(MID(Raw_Bookings!I508,12,8)))</f>
        <v>46113.38821759259</v>
      </c>
      <c r="N508" s="7">
        <f>IF(AND(L508=0,H508=1),IF(INT(M508)&gt;I508,1,0),0)</f>
        <v>0</v>
      </c>
      <c r="O508" s="7" t="str">
        <f>UPPER(TRIM(Raw_Bookings!F508))</f>
        <v>PUN</v>
      </c>
      <c r="P508" s="7" t="str">
        <f>UPPER(TRIM(Raw_Bookings!G508))</f>
        <v>DEH</v>
      </c>
      <c r="Q508" s="7">
        <f>IF(COUNTIF(Lookup_Stations!$A$2:$A$33,O508)&gt;0,1,0)</f>
        <v>1</v>
      </c>
      <c r="R508" s="7">
        <f>IF(COUNTIF(Lookup_Stations!$A$2:$A$33,P508)&gt;0,1,0)</f>
        <v>1</v>
      </c>
      <c r="S508" s="7">
        <f>IF(OR(AND(Q508=1,NOT(EXACT(Raw_Bookings!F508,O508))),AND(R508=1,NOT(EXACT(Raw_Bookings!G508,P508)))),1,0)</f>
        <v>0</v>
      </c>
      <c r="T508" s="7">
        <f>IF(OR(Q508=0,R508=0),1,0)</f>
        <v>0</v>
      </c>
      <c r="U508" s="7">
        <f>IF(TRIM(Raw_Bookings!E508&amp;"")="",1,0)</f>
        <v>0</v>
      </c>
      <c r="V508" s="7" t="str">
        <f>IF(SUMPRODUCT(--(Lookup_Status!$A$2:$A$13=LOWER(TRIM(Raw_Bookings!K508))))=0,"",INDEX(Lookup_Status!$B$2:$B$13,SUMPRODUCT((Lookup_Status!$A$2:$A$13=LOWER(TRIM(Raw_Bookings!K508)))*(ROW(Lookup_Status!$A$2:$A$13)-1))))</f>
        <v>Mixed</v>
      </c>
      <c r="W508" s="7">
        <f>IF(AND(V508&lt;&gt;"",NOT(EXACT(Raw_Bookings!K508,V508))),1,0)</f>
        <v>0</v>
      </c>
      <c r="X508" s="7">
        <f>IF(V508="",1,0)</f>
        <v>0</v>
      </c>
      <c r="Y508" s="7">
        <f>IF(TRIM(Raw_Bookings!L508&amp;"")="",1,0)</f>
        <v>0</v>
      </c>
      <c r="Z508" s="7">
        <f>IF(AND(ISTEXT(Raw_Bookings!L508),Y508=0),1,0)</f>
        <v>0</v>
      </c>
      <c r="AA508" s="7">
        <f>IF(Z508=1,IFERROR(VALUE(SUBSTITUTE(SUBSTITUTE(SUBSTITUTE(SUBSTITUTE(SUBSTITUTE(UPPER(Raw_Bookings!L508),"RS.",""),"₹",""),",","")," ",""),"INR","")),""),"")</f>
        <v/>
      </c>
      <c r="AB508" s="7">
        <f>IF(AND(Z508=1,ISNUMBER(AA508)),1,0)</f>
        <v>0</v>
      </c>
      <c r="AC508" s="7">
        <f>IF(B508=1,0,IF(NOT(ISNUMBER(Raw_Bookings!J508)),1,IF(Raw_Bookings!J508&lt;&gt;COUNTIFS(Work_Passengers!$B$2:$B$1336,Raw_Bookings!A508,Work_Passengers!$C$2:$C$1336,0),1,0)))</f>
        <v>0</v>
      </c>
    </row>
    <row r="509" spans="1:29">
      <c r="A509" s="7">
        <f>Raw_Bookings!A509</f>
        <v>1166228</v>
      </c>
      <c r="B509" s="7">
        <f>IF(COUNTIF(Raw_Bookings!$A$2:A509,Raw_Bookings!A509)&gt;1,1,0)</f>
        <v>0</v>
      </c>
      <c r="C509" s="7" t="str">
        <f>Raw_Bookings!D509&amp;""</f>
        <v>2026-04-19</v>
      </c>
      <c r="D509" s="7" t="str">
        <f>IF(AND(LEN(C509)=10,MID(C509,5,1)="-",MID(C509,8,1)="-"),"ISO",IF(AND(LEN(C509)=10,MID(C509,3,1)="-",MID(C509,6,1)="-"),"DMY","OTHER"))</f>
        <v>ISO</v>
      </c>
      <c r="E509" s="7">
        <f>IF(D509="ISO",VALUE(LEFT(C509,4)),IF(D509="DMY",VALUE(RIGHT(C509,4)),0))</f>
        <v>2026</v>
      </c>
      <c r="F509" s="7">
        <f>IF(D509="ISO",VALUE(MID(C509,6,2)),IF(D509="DMY",VALUE(MID(C509,4,2)),0))</f>
        <v>4</v>
      </c>
      <c r="G509" s="7">
        <f>IF(D509="ISO",VALUE(RIGHT(C509,2)),IF(D509="DMY",VALUE(LEFT(C509,2)),0))</f>
        <v>19</v>
      </c>
      <c r="H509" s="7">
        <f>IF(AND(D509&lt;&gt;"OTHER",F509&gt;=1,F509&lt;=12,G509&gt;=1,G509&lt;=31),IF(AND(MONTH(DATE(E509,F509,G509))=F509,DAY(DATE(E509,F509,G509))=G509),1,0),0)</f>
        <v>1</v>
      </c>
      <c r="I509" s="7">
        <f>IF(H509=1,DATE(E509,F509,G509),"")</f>
        <v>46131.0</v>
      </c>
      <c r="J509" s="7">
        <f>IF(AND(D509="DMY",H509=1),1,0)</f>
        <v>0</v>
      </c>
      <c r="K509" s="7">
        <f>IF(H509=0,1,0)</f>
        <v>0</v>
      </c>
      <c r="L509" s="7">
        <f>IF(TRIM(Raw_Bookings!I509&amp;"")="",1,0)</f>
        <v>0</v>
      </c>
      <c r="M509" s="7">
        <f>IF(L509=1,"",DATEVALUE(LEFT(Raw_Bookings!I509,10))+TIMEVALUE(MID(Raw_Bookings!I509,12,8)))</f>
        <v>46113.76091435185</v>
      </c>
      <c r="N509" s="7">
        <f>IF(AND(L509=0,H509=1),IF(INT(M509)&gt;I509,1,0),0)</f>
        <v>0</v>
      </c>
      <c r="O509" s="7" t="str">
        <f>UPPER(TRIM(Raw_Bookings!F509))</f>
        <v>DEL</v>
      </c>
      <c r="P509" s="7" t="str">
        <f>UPPER(TRIM(Raw_Bookings!G509))</f>
        <v>MAU</v>
      </c>
      <c r="Q509" s="7">
        <f>IF(COUNTIF(Lookup_Stations!$A$2:$A$33,O509)&gt;0,1,0)</f>
        <v>1</v>
      </c>
      <c r="R509" s="7">
        <f>IF(COUNTIF(Lookup_Stations!$A$2:$A$33,P509)&gt;0,1,0)</f>
        <v>1</v>
      </c>
      <c r="S509" s="7">
        <f>IF(OR(AND(Q509=1,NOT(EXACT(Raw_Bookings!F509,O509))),AND(R509=1,NOT(EXACT(Raw_Bookings!G509,P509)))),1,0)</f>
        <v>0</v>
      </c>
      <c r="T509" s="7">
        <f>IF(OR(Q509=0,R509=0),1,0)</f>
        <v>0</v>
      </c>
      <c r="U509" s="7">
        <f>IF(TRIM(Raw_Bookings!E509&amp;"")="",1,0)</f>
        <v>0</v>
      </c>
      <c r="V509" s="7" t="str">
        <f>IF(SUMPRODUCT(--(Lookup_Status!$A$2:$A$13=LOWER(TRIM(Raw_Bookings!K509))))=0,"",INDEX(Lookup_Status!$B$2:$B$13,SUMPRODUCT((Lookup_Status!$A$2:$A$13=LOWER(TRIM(Raw_Bookings!K509)))*(ROW(Lookup_Status!$A$2:$A$13)-1))))</f>
        <v>Confirmed</v>
      </c>
      <c r="W509" s="7">
        <f>IF(AND(V509&lt;&gt;"",NOT(EXACT(Raw_Bookings!K509,V509))),1,0)</f>
        <v>0</v>
      </c>
      <c r="X509" s="7">
        <f>IF(V509="",1,0)</f>
        <v>0</v>
      </c>
      <c r="Y509" s="7">
        <f>IF(TRIM(Raw_Bookings!L509&amp;"")="",1,0)</f>
        <v>0</v>
      </c>
      <c r="Z509" s="7">
        <f>IF(AND(ISTEXT(Raw_Bookings!L509),Y509=0),1,0)</f>
        <v>0</v>
      </c>
      <c r="AA509" s="7">
        <f>IF(Z509=1,IFERROR(VALUE(SUBSTITUTE(SUBSTITUTE(SUBSTITUTE(SUBSTITUTE(SUBSTITUTE(UPPER(Raw_Bookings!L509),"RS.",""),"₹",""),",","")," ",""),"INR","")),""),"")</f>
        <v/>
      </c>
      <c r="AB509" s="7">
        <f>IF(AND(Z509=1,ISNUMBER(AA509)),1,0)</f>
        <v>0</v>
      </c>
      <c r="AC509" s="7">
        <f>IF(B509=1,0,IF(NOT(ISNUMBER(Raw_Bookings!J509)),1,IF(Raw_Bookings!J509&lt;&gt;COUNTIFS(Work_Passengers!$B$2:$B$1336,Raw_Bookings!A509,Work_Passengers!$C$2:$C$1336,0),1,0)))</f>
        <v>0</v>
      </c>
    </row>
    <row r="510" spans="1:29">
      <c r="A510" s="7">
        <f>Raw_Bookings!A510</f>
        <v>1166538</v>
      </c>
      <c r="B510" s="7">
        <f>IF(COUNTIF(Raw_Bookings!$A$2:A510,Raw_Bookings!A510)&gt;1,1,0)</f>
        <v>0</v>
      </c>
      <c r="C510" s="7" t="str">
        <f>Raw_Bookings!D510&amp;""</f>
        <v>2026-05-18</v>
      </c>
      <c r="D510" s="7" t="str">
        <f>IF(AND(LEN(C510)=10,MID(C510,5,1)="-",MID(C510,8,1)="-"),"ISO",IF(AND(LEN(C510)=10,MID(C510,3,1)="-",MID(C510,6,1)="-"),"DMY","OTHER"))</f>
        <v>ISO</v>
      </c>
      <c r="E510" s="7">
        <f>IF(D510="ISO",VALUE(LEFT(C510,4)),IF(D510="DMY",VALUE(RIGHT(C510,4)),0))</f>
        <v>2026</v>
      </c>
      <c r="F510" s="7">
        <f>IF(D510="ISO",VALUE(MID(C510,6,2)),IF(D510="DMY",VALUE(MID(C510,4,2)),0))</f>
        <v>5</v>
      </c>
      <c r="G510" s="7">
        <f>IF(D510="ISO",VALUE(RIGHT(C510,2)),IF(D510="DMY",VALUE(LEFT(C510,2)),0))</f>
        <v>18</v>
      </c>
      <c r="H510" s="7">
        <f>IF(AND(D510&lt;&gt;"OTHER",F510&gt;=1,F510&lt;=12,G510&gt;=1,G510&lt;=31),IF(AND(MONTH(DATE(E510,F510,G510))=F510,DAY(DATE(E510,F510,G510))=G510),1,0),0)</f>
        <v>1</v>
      </c>
      <c r="I510" s="7">
        <f>IF(H510=1,DATE(E510,F510,G510),"")</f>
        <v>46160.0</v>
      </c>
      <c r="J510" s="7">
        <f>IF(AND(D510="DMY",H510=1),1,0)</f>
        <v>0</v>
      </c>
      <c r="K510" s="7">
        <f>IF(H510=0,1,0)</f>
        <v>0</v>
      </c>
      <c r="L510" s="7">
        <f>IF(TRIM(Raw_Bookings!I510&amp;"")="",1,0)</f>
        <v>0</v>
      </c>
      <c r="M510" s="7">
        <f>IF(L510=1,"",DATEVALUE(LEFT(Raw_Bookings!I510,10))+TIMEVALUE(MID(Raw_Bookings!I510,12,8)))</f>
        <v>46114.74820601852</v>
      </c>
      <c r="N510" s="7">
        <f>IF(AND(L510=0,H510=1),IF(INT(M510)&gt;I510,1,0),0)</f>
        <v>0</v>
      </c>
      <c r="O510" s="7" t="str">
        <f>UPPER(TRIM(Raw_Bookings!F510))</f>
        <v>BEN</v>
      </c>
      <c r="P510" s="7" t="str">
        <f>UPPER(TRIM(Raw_Bookings!G510))</f>
        <v>MUM</v>
      </c>
      <c r="Q510" s="7">
        <f>IF(COUNTIF(Lookup_Stations!$A$2:$A$33,O510)&gt;0,1,0)</f>
        <v>1</v>
      </c>
      <c r="R510" s="7">
        <f>IF(COUNTIF(Lookup_Stations!$A$2:$A$33,P510)&gt;0,1,0)</f>
        <v>1</v>
      </c>
      <c r="S510" s="7">
        <f>IF(OR(AND(Q510=1,NOT(EXACT(Raw_Bookings!F510,O510))),AND(R510=1,NOT(EXACT(Raw_Bookings!G510,P510)))),1,0)</f>
        <v>0</v>
      </c>
      <c r="T510" s="7">
        <f>IF(OR(Q510=0,R510=0),1,0)</f>
        <v>0</v>
      </c>
      <c r="U510" s="7">
        <f>IF(TRIM(Raw_Bookings!E510&amp;"")="",1,0)</f>
        <v>0</v>
      </c>
      <c r="V510" s="7" t="str">
        <f>IF(SUMPRODUCT(--(Lookup_Status!$A$2:$A$13=LOWER(TRIM(Raw_Bookings!K510))))=0,"",INDEX(Lookup_Status!$B$2:$B$13,SUMPRODUCT((Lookup_Status!$A$2:$A$13=LOWER(TRIM(Raw_Bookings!K510)))*(ROW(Lookup_Status!$A$2:$A$13)-1))))</f>
        <v>Cancelled</v>
      </c>
      <c r="W510" s="7">
        <f>IF(AND(V510&lt;&gt;"",NOT(EXACT(Raw_Bookings!K510,V510))),1,0)</f>
        <v>0</v>
      </c>
      <c r="X510" s="7">
        <f>IF(V510="",1,0)</f>
        <v>0</v>
      </c>
      <c r="Y510" s="7">
        <f>IF(TRIM(Raw_Bookings!L510&amp;"")="",1,0)</f>
        <v>0</v>
      </c>
      <c r="Z510" s="7">
        <f>IF(AND(ISTEXT(Raw_Bookings!L510),Y510=0),1,0)</f>
        <v>0</v>
      </c>
      <c r="AA510" s="7">
        <f>IF(Z510=1,IFERROR(VALUE(SUBSTITUTE(SUBSTITUTE(SUBSTITUTE(SUBSTITUTE(SUBSTITUTE(UPPER(Raw_Bookings!L510),"RS.",""),"₹",""),",","")," ",""),"INR","")),""),"")</f>
        <v/>
      </c>
      <c r="AB510" s="7">
        <f>IF(AND(Z510=1,ISNUMBER(AA510)),1,0)</f>
        <v>0</v>
      </c>
      <c r="AC510" s="7">
        <f>IF(B510=1,0,IF(NOT(ISNUMBER(Raw_Bookings!J510)),1,IF(Raw_Bookings!J510&lt;&gt;COUNTIFS(Work_Passengers!$B$2:$B$1336,Raw_Bookings!A510,Work_Passengers!$C$2:$C$1336,0),1,0)))</f>
        <v>0</v>
      </c>
    </row>
    <row r="511" spans="1:29">
      <c r="A511" s="7">
        <f>Raw_Bookings!A511</f>
        <v>1166805</v>
      </c>
      <c r="B511" s="7">
        <f>IF(COUNTIF(Raw_Bookings!$A$2:A511,Raw_Bookings!A511)&gt;1,1,0)</f>
        <v>0</v>
      </c>
      <c r="C511" s="7" t="str">
        <f>Raw_Bookings!D511&amp;""</f>
        <v>2026-05-25</v>
      </c>
      <c r="D511" s="7" t="str">
        <f>IF(AND(LEN(C511)=10,MID(C511,5,1)="-",MID(C511,8,1)="-"),"ISO",IF(AND(LEN(C511)=10,MID(C511,3,1)="-",MID(C511,6,1)="-"),"DMY","OTHER"))</f>
        <v>ISO</v>
      </c>
      <c r="E511" s="7">
        <f>IF(D511="ISO",VALUE(LEFT(C511,4)),IF(D511="DMY",VALUE(RIGHT(C511,4)),0))</f>
        <v>2026</v>
      </c>
      <c r="F511" s="7">
        <f>IF(D511="ISO",VALUE(MID(C511,6,2)),IF(D511="DMY",VALUE(MID(C511,4,2)),0))</f>
        <v>5</v>
      </c>
      <c r="G511" s="7">
        <f>IF(D511="ISO",VALUE(RIGHT(C511,2)),IF(D511="DMY",VALUE(LEFT(C511,2)),0))</f>
        <v>25</v>
      </c>
      <c r="H511" s="7">
        <f>IF(AND(D511&lt;&gt;"OTHER",F511&gt;=1,F511&lt;=12,G511&gt;=1,G511&lt;=31),IF(AND(MONTH(DATE(E511,F511,G511))=F511,DAY(DATE(E511,F511,G511))=G511),1,0),0)</f>
        <v>1</v>
      </c>
      <c r="I511" s="7">
        <f>IF(H511=1,DATE(E511,F511,G511),"")</f>
        <v>46167.0</v>
      </c>
      <c r="J511" s="7">
        <f>IF(AND(D511="DMY",H511=1),1,0)</f>
        <v>0</v>
      </c>
      <c r="K511" s="7">
        <f>IF(H511=0,1,0)</f>
        <v>0</v>
      </c>
      <c r="L511" s="7">
        <f>IF(TRIM(Raw_Bookings!I511&amp;"")="",1,0)</f>
        <v>0</v>
      </c>
      <c r="M511" s="7">
        <f>IF(L511=1,"",DATEVALUE(LEFT(Raw_Bookings!I511,10))+TIMEVALUE(MID(Raw_Bookings!I511,12,8)))</f>
        <v>46115.60905092592</v>
      </c>
      <c r="N511" s="7">
        <f>IF(AND(L511=0,H511=1),IF(INT(M511)&gt;I511,1,0),0)</f>
        <v>0</v>
      </c>
      <c r="O511" s="7" t="str">
        <f>UPPER(TRIM(Raw_Bookings!F511))</f>
        <v>DEL</v>
      </c>
      <c r="P511" s="7" t="str">
        <f>UPPER(TRIM(Raw_Bookings!G511))</f>
        <v>MAU</v>
      </c>
      <c r="Q511" s="7">
        <f>IF(COUNTIF(Lookup_Stations!$A$2:$A$33,O511)&gt;0,1,0)</f>
        <v>1</v>
      </c>
      <c r="R511" s="7">
        <f>IF(COUNTIF(Lookup_Stations!$A$2:$A$33,P511)&gt;0,1,0)</f>
        <v>1</v>
      </c>
      <c r="S511" s="7">
        <f>IF(OR(AND(Q511=1,NOT(EXACT(Raw_Bookings!F511,O511))),AND(R511=1,NOT(EXACT(Raw_Bookings!G511,P511)))),1,0)</f>
        <v>0</v>
      </c>
      <c r="T511" s="7">
        <f>IF(OR(Q511=0,R511=0),1,0)</f>
        <v>0</v>
      </c>
      <c r="U511" s="7">
        <f>IF(TRIM(Raw_Bookings!E511&amp;"")="",1,0)</f>
        <v>0</v>
      </c>
      <c r="V511" s="7" t="str">
        <f>IF(SUMPRODUCT(--(Lookup_Status!$A$2:$A$13=LOWER(TRIM(Raw_Bookings!K511))))=0,"",INDEX(Lookup_Status!$B$2:$B$13,SUMPRODUCT((Lookup_Status!$A$2:$A$13=LOWER(TRIM(Raw_Bookings!K511)))*(ROW(Lookup_Status!$A$2:$A$13)-1))))</f>
        <v>Confirmed</v>
      </c>
      <c r="W511" s="7">
        <f>IF(AND(V511&lt;&gt;"",NOT(EXACT(Raw_Bookings!K511,V511))),1,0)</f>
        <v>0</v>
      </c>
      <c r="X511" s="7">
        <f>IF(V511="",1,0)</f>
        <v>0</v>
      </c>
      <c r="Y511" s="7">
        <f>IF(TRIM(Raw_Bookings!L511&amp;"")="",1,0)</f>
        <v>0</v>
      </c>
      <c r="Z511" s="7">
        <f>IF(AND(ISTEXT(Raw_Bookings!L511),Y511=0),1,0)</f>
        <v>0</v>
      </c>
      <c r="AA511" s="7">
        <f>IF(Z511=1,IFERROR(VALUE(SUBSTITUTE(SUBSTITUTE(SUBSTITUTE(SUBSTITUTE(SUBSTITUTE(UPPER(Raw_Bookings!L511),"RS.",""),"₹",""),",","")," ",""),"INR","")),""),"")</f>
        <v/>
      </c>
      <c r="AB511" s="7">
        <f>IF(AND(Z511=1,ISNUMBER(AA511)),1,0)</f>
        <v>0</v>
      </c>
      <c r="AC511" s="7">
        <f>IF(B511=1,0,IF(NOT(ISNUMBER(Raw_Bookings!J511)),1,IF(Raw_Bookings!J511&lt;&gt;COUNTIFS(Work_Passengers!$B$2:$B$1336,Raw_Bookings!A511,Work_Passengers!$C$2:$C$1336,0),1,0)))</f>
        <v>0</v>
      </c>
    </row>
    <row r="512" spans="1:29">
      <c r="A512" s="7">
        <f>Raw_Bookings!A512</f>
        <v>1167325</v>
      </c>
      <c r="B512" s="7">
        <f>IF(COUNTIF(Raw_Bookings!$A$2:A512,Raw_Bookings!A512)&gt;1,1,0)</f>
        <v>0</v>
      </c>
      <c r="C512" s="7" t="str">
        <f>Raw_Bookings!D512&amp;""</f>
        <v>2026-04-20</v>
      </c>
      <c r="D512" s="7" t="str">
        <f>IF(AND(LEN(C512)=10,MID(C512,5,1)="-",MID(C512,8,1)="-"),"ISO",IF(AND(LEN(C512)=10,MID(C512,3,1)="-",MID(C512,6,1)="-"),"DMY","OTHER"))</f>
        <v>ISO</v>
      </c>
      <c r="E512" s="7">
        <f>IF(D512="ISO",VALUE(LEFT(C512,4)),IF(D512="DMY",VALUE(RIGHT(C512,4)),0))</f>
        <v>2026</v>
      </c>
      <c r="F512" s="7">
        <f>IF(D512="ISO",VALUE(MID(C512,6,2)),IF(D512="DMY",VALUE(MID(C512,4,2)),0))</f>
        <v>4</v>
      </c>
      <c r="G512" s="7">
        <f>IF(D512="ISO",VALUE(RIGHT(C512,2)),IF(D512="DMY",VALUE(LEFT(C512,2)),0))</f>
        <v>20</v>
      </c>
      <c r="H512" s="7">
        <f>IF(AND(D512&lt;&gt;"OTHER",F512&gt;=1,F512&lt;=12,G512&gt;=1,G512&lt;=31),IF(AND(MONTH(DATE(E512,F512,G512))=F512,DAY(DATE(E512,F512,G512))=G512),1,0),0)</f>
        <v>1</v>
      </c>
      <c r="I512" s="7">
        <f>IF(H512=1,DATE(E512,F512,G512),"")</f>
        <v>46132.0</v>
      </c>
      <c r="J512" s="7">
        <f>IF(AND(D512="DMY",H512=1),1,0)</f>
        <v>0</v>
      </c>
      <c r="K512" s="7">
        <f>IF(H512=0,1,0)</f>
        <v>0</v>
      </c>
      <c r="L512" s="7">
        <f>IF(TRIM(Raw_Bookings!I512&amp;"")="",1,0)</f>
        <v>0</v>
      </c>
      <c r="M512" s="7">
        <f>IF(L512=1,"",DATEVALUE(LEFT(Raw_Bookings!I512,10))+TIMEVALUE(MID(Raw_Bookings!I512,12,8)))</f>
        <v>46116.97185185185</v>
      </c>
      <c r="N512" s="7">
        <f>IF(AND(L512=0,H512=1),IF(INT(M512)&gt;I512,1,0),0)</f>
        <v>0</v>
      </c>
      <c r="O512" s="7" t="str">
        <f>UPPER(TRIM(Raw_Bookings!F512))</f>
        <v>CHE</v>
      </c>
      <c r="P512" s="7" t="str">
        <f>UPPER(TRIM(Raw_Bookings!G512))</f>
        <v>AHM</v>
      </c>
      <c r="Q512" s="7">
        <f>IF(COUNTIF(Lookup_Stations!$A$2:$A$33,O512)&gt;0,1,0)</f>
        <v>1</v>
      </c>
      <c r="R512" s="7">
        <f>IF(COUNTIF(Lookup_Stations!$A$2:$A$33,P512)&gt;0,1,0)</f>
        <v>1</v>
      </c>
      <c r="S512" s="7">
        <f>IF(OR(AND(Q512=1,NOT(EXACT(Raw_Bookings!F512,O512))),AND(R512=1,NOT(EXACT(Raw_Bookings!G512,P512)))),1,0)</f>
        <v>0</v>
      </c>
      <c r="T512" s="7">
        <f>IF(OR(Q512=0,R512=0),1,0)</f>
        <v>0</v>
      </c>
      <c r="U512" s="7">
        <f>IF(TRIM(Raw_Bookings!E512&amp;"")="",1,0)</f>
        <v>0</v>
      </c>
      <c r="V512" s="7" t="str">
        <f>IF(SUMPRODUCT(--(Lookup_Status!$A$2:$A$13=LOWER(TRIM(Raw_Bookings!K512))))=0,"",INDEX(Lookup_Status!$B$2:$B$13,SUMPRODUCT((Lookup_Status!$A$2:$A$13=LOWER(TRIM(Raw_Bookings!K512)))*(ROW(Lookup_Status!$A$2:$A$13)-1))))</f>
        <v>Confirmed</v>
      </c>
      <c r="W512" s="7">
        <f>IF(AND(V512&lt;&gt;"",NOT(EXACT(Raw_Bookings!K512,V512))),1,0)</f>
        <v>0</v>
      </c>
      <c r="X512" s="7">
        <f>IF(V512="",1,0)</f>
        <v>0</v>
      </c>
      <c r="Y512" s="7">
        <f>IF(TRIM(Raw_Bookings!L512&amp;"")="",1,0)</f>
        <v>0</v>
      </c>
      <c r="Z512" s="7">
        <f>IF(AND(ISTEXT(Raw_Bookings!L512),Y512=0),1,0)</f>
        <v>0</v>
      </c>
      <c r="AA512" s="7">
        <f>IF(Z512=1,IFERROR(VALUE(SUBSTITUTE(SUBSTITUTE(SUBSTITUTE(SUBSTITUTE(SUBSTITUTE(UPPER(Raw_Bookings!L512),"RS.",""),"₹",""),",","")," ",""),"INR","")),""),"")</f>
        <v/>
      </c>
      <c r="AB512" s="7">
        <f>IF(AND(Z512=1,ISNUMBER(AA512)),1,0)</f>
        <v>0</v>
      </c>
      <c r="AC512" s="7">
        <f>IF(B512=1,0,IF(NOT(ISNUMBER(Raw_Bookings!J512)),1,IF(Raw_Bookings!J512&lt;&gt;COUNTIFS(Work_Passengers!$B$2:$B$1336,Raw_Bookings!A512,Work_Passengers!$C$2:$C$1336,0),1,0)))</f>
        <v>0</v>
      </c>
    </row>
    <row r="513" spans="1:29">
      <c r="A513" s="7">
        <f>Raw_Bookings!A513</f>
        <v>1167777</v>
      </c>
      <c r="B513" s="7">
        <f>IF(COUNTIF(Raw_Bookings!$A$2:A513,Raw_Bookings!A513)&gt;1,1,0)</f>
        <v>0</v>
      </c>
      <c r="C513" s="7" t="str">
        <f>Raw_Bookings!D513&amp;""</f>
        <v>2026-04-20</v>
      </c>
      <c r="D513" s="7" t="str">
        <f>IF(AND(LEN(C513)=10,MID(C513,5,1)="-",MID(C513,8,1)="-"),"ISO",IF(AND(LEN(C513)=10,MID(C513,3,1)="-",MID(C513,6,1)="-"),"DMY","OTHER"))</f>
        <v>ISO</v>
      </c>
      <c r="E513" s="7">
        <f>IF(D513="ISO",VALUE(LEFT(C513,4)),IF(D513="DMY",VALUE(RIGHT(C513,4)),0))</f>
        <v>2026</v>
      </c>
      <c r="F513" s="7">
        <f>IF(D513="ISO",VALUE(MID(C513,6,2)),IF(D513="DMY",VALUE(MID(C513,4,2)),0))</f>
        <v>4</v>
      </c>
      <c r="G513" s="7">
        <f>IF(D513="ISO",VALUE(RIGHT(C513,2)),IF(D513="DMY",VALUE(LEFT(C513,2)),0))</f>
        <v>20</v>
      </c>
      <c r="H513" s="7">
        <f>IF(AND(D513&lt;&gt;"OTHER",F513&gt;=1,F513&lt;=12,G513&gt;=1,G513&lt;=31),IF(AND(MONTH(DATE(E513,F513,G513))=F513,DAY(DATE(E513,F513,G513))=G513),1,0),0)</f>
        <v>1</v>
      </c>
      <c r="I513" s="7">
        <f>IF(H513=1,DATE(E513,F513,G513),"")</f>
        <v>46132.0</v>
      </c>
      <c r="J513" s="7">
        <f>IF(AND(D513="DMY",H513=1),1,0)</f>
        <v>0</v>
      </c>
      <c r="K513" s="7">
        <f>IF(H513=0,1,0)</f>
        <v>0</v>
      </c>
      <c r="L513" s="7">
        <f>IF(TRIM(Raw_Bookings!I513&amp;"")="",1,0)</f>
        <v>0</v>
      </c>
      <c r="M513" s="7">
        <f>IF(L513=1,"",DATEVALUE(LEFT(Raw_Bookings!I513,10))+TIMEVALUE(MID(Raw_Bookings!I513,12,8)))</f>
        <v>46136.583333333336</v>
      </c>
      <c r="N513" s="7">
        <f>IF(AND(L513=0,H513=1),IF(INT(M513)&gt;I513,1,0),0)</f>
        <v>1</v>
      </c>
      <c r="O513" s="7" t="str">
        <f>UPPER(TRIM(Raw_Bookings!F513))</f>
        <v>CHE</v>
      </c>
      <c r="P513" s="7" t="str">
        <f>UPPER(TRIM(Raw_Bookings!G513))</f>
        <v>AHM</v>
      </c>
      <c r="Q513" s="7">
        <f>IF(COUNTIF(Lookup_Stations!$A$2:$A$33,O513)&gt;0,1,0)</f>
        <v>1</v>
      </c>
      <c r="R513" s="7">
        <f>IF(COUNTIF(Lookup_Stations!$A$2:$A$33,P513)&gt;0,1,0)</f>
        <v>1</v>
      </c>
      <c r="S513" s="7">
        <f>IF(OR(AND(Q513=1,NOT(EXACT(Raw_Bookings!F513,O513))),AND(R513=1,NOT(EXACT(Raw_Bookings!G513,P513)))),1,0)</f>
        <v>0</v>
      </c>
      <c r="T513" s="7">
        <f>IF(OR(Q513=0,R513=0),1,0)</f>
        <v>0</v>
      </c>
      <c r="U513" s="7">
        <f>IF(TRIM(Raw_Bookings!E513&amp;"")="",1,0)</f>
        <v>0</v>
      </c>
      <c r="V513" s="7" t="str">
        <f>IF(SUMPRODUCT(--(Lookup_Status!$A$2:$A$13=LOWER(TRIM(Raw_Bookings!K513))))=0,"",INDEX(Lookup_Status!$B$2:$B$13,SUMPRODUCT((Lookup_Status!$A$2:$A$13=LOWER(TRIM(Raw_Bookings!K513)))*(ROW(Lookup_Status!$A$2:$A$13)-1))))</f>
        <v>Confirmed</v>
      </c>
      <c r="W513" s="7">
        <f>IF(AND(V513&lt;&gt;"",NOT(EXACT(Raw_Bookings!K513,V513))),1,0)</f>
        <v>0</v>
      </c>
      <c r="X513" s="7">
        <f>IF(V513="",1,0)</f>
        <v>0</v>
      </c>
      <c r="Y513" s="7">
        <f>IF(TRIM(Raw_Bookings!L513&amp;"")="",1,0)</f>
        <v>0</v>
      </c>
      <c r="Z513" s="7">
        <f>IF(AND(ISTEXT(Raw_Bookings!L513),Y513=0),1,0)</f>
        <v>0</v>
      </c>
      <c r="AA513" s="7">
        <f>IF(Z513=1,IFERROR(VALUE(SUBSTITUTE(SUBSTITUTE(SUBSTITUTE(SUBSTITUTE(SUBSTITUTE(UPPER(Raw_Bookings!L513),"RS.",""),"₹",""),",","")," ",""),"INR","")),""),"")</f>
        <v/>
      </c>
      <c r="AB513" s="7">
        <f>IF(AND(Z513=1,ISNUMBER(AA513)),1,0)</f>
        <v>0</v>
      </c>
      <c r="AC513" s="7">
        <f>IF(B513=1,0,IF(NOT(ISNUMBER(Raw_Bookings!J513)),1,IF(Raw_Bookings!J513&lt;&gt;COUNTIFS(Work_Passengers!$B$2:$B$1336,Raw_Bookings!A513,Work_Passengers!$C$2:$C$1336,0),1,0)))</f>
        <v>0</v>
      </c>
    </row>
    <row r="514" spans="1:29">
      <c r="A514" s="7">
        <f>Raw_Bookings!A514</f>
        <v>1168404</v>
      </c>
      <c r="B514" s="7">
        <f>IF(COUNTIF(Raw_Bookings!$A$2:A514,Raw_Bookings!A514)&gt;1,1,0)</f>
        <v>0</v>
      </c>
      <c r="C514" s="7" t="str">
        <f>Raw_Bookings!D514&amp;""</f>
        <v>2026-04-08</v>
      </c>
      <c r="D514" s="7" t="str">
        <f>IF(AND(LEN(C514)=10,MID(C514,5,1)="-",MID(C514,8,1)="-"),"ISO",IF(AND(LEN(C514)=10,MID(C514,3,1)="-",MID(C514,6,1)="-"),"DMY","OTHER"))</f>
        <v>ISO</v>
      </c>
      <c r="E514" s="7">
        <f>IF(D514="ISO",VALUE(LEFT(C514,4)),IF(D514="DMY",VALUE(RIGHT(C514,4)),0))</f>
        <v>2026</v>
      </c>
      <c r="F514" s="7">
        <f>IF(D514="ISO",VALUE(MID(C514,6,2)),IF(D514="DMY",VALUE(MID(C514,4,2)),0))</f>
        <v>4</v>
      </c>
      <c r="G514" s="7">
        <f>IF(D514="ISO",VALUE(RIGHT(C514,2)),IF(D514="DMY",VALUE(LEFT(C514,2)),0))</f>
        <v>8</v>
      </c>
      <c r="H514" s="7">
        <f>IF(AND(D514&lt;&gt;"OTHER",F514&gt;=1,F514&lt;=12,G514&gt;=1,G514&lt;=31),IF(AND(MONTH(DATE(E514,F514,G514))=F514,DAY(DATE(E514,F514,G514))=G514),1,0),0)</f>
        <v>1</v>
      </c>
      <c r="I514" s="7">
        <f>IF(H514=1,DATE(E514,F514,G514),"")</f>
        <v>46120.0</v>
      </c>
      <c r="J514" s="7">
        <f>IF(AND(D514="DMY",H514=1),1,0)</f>
        <v>0</v>
      </c>
      <c r="K514" s="7">
        <f>IF(H514=0,1,0)</f>
        <v>0</v>
      </c>
      <c r="L514" s="7">
        <f>IF(TRIM(Raw_Bookings!I514&amp;"")="",1,0)</f>
        <v>0</v>
      </c>
      <c r="M514" s="7">
        <f>IF(L514=1,"",DATEVALUE(LEFT(Raw_Bookings!I514,10))+TIMEVALUE(MID(Raw_Bookings!I514,12,8)))</f>
        <v>46120.481782407405</v>
      </c>
      <c r="N514" s="7">
        <f>IF(AND(L514=0,H514=1),IF(INT(M514)&gt;I514,1,0),0)</f>
        <v>0</v>
      </c>
      <c r="O514" s="7" t="str">
        <f>UPPER(TRIM(Raw_Bookings!F514))</f>
        <v>BEN</v>
      </c>
      <c r="P514" s="7" t="str">
        <f>UPPER(TRIM(Raw_Bookings!G514))</f>
        <v>MUM</v>
      </c>
      <c r="Q514" s="7">
        <f>IF(COUNTIF(Lookup_Stations!$A$2:$A$33,O514)&gt;0,1,0)</f>
        <v>1</v>
      </c>
      <c r="R514" s="7">
        <f>IF(COUNTIF(Lookup_Stations!$A$2:$A$33,P514)&gt;0,1,0)</f>
        <v>1</v>
      </c>
      <c r="S514" s="7">
        <f>IF(OR(AND(Q514=1,NOT(EXACT(Raw_Bookings!F514,O514))),AND(R514=1,NOT(EXACT(Raw_Bookings!G514,P514)))),1,0)</f>
        <v>0</v>
      </c>
      <c r="T514" s="7">
        <f>IF(OR(Q514=0,R514=0),1,0)</f>
        <v>0</v>
      </c>
      <c r="U514" s="7">
        <f>IF(TRIM(Raw_Bookings!E514&amp;"")="",1,0)</f>
        <v>0</v>
      </c>
      <c r="V514" s="7">
        <f>IF(SUMPRODUCT(--(Lookup_Status!$A$2:$A$13=LOWER(TRIM(Raw_Bookings!K514))))=0,"",INDEX(Lookup_Status!$B$2:$B$13,SUMPRODUCT((Lookup_Status!$A$2:$A$13=LOWER(TRIM(Raw_Bookings!K514)))*(ROW(Lookup_Status!$A$2:$A$13)-1))))</f>
        <v/>
      </c>
      <c r="W514" s="7">
        <f>IF(AND(V514&lt;&gt;"",NOT(EXACT(Raw_Bookings!K514,V514))),1,0)</f>
        <v>0</v>
      </c>
      <c r="X514" s="7">
        <f>IF(V514="",1,0)</f>
        <v>1</v>
      </c>
      <c r="Y514" s="7">
        <f>IF(TRIM(Raw_Bookings!L514&amp;"")="",1,0)</f>
        <v>0</v>
      </c>
      <c r="Z514" s="7">
        <f>IF(AND(ISTEXT(Raw_Bookings!L514),Y514=0),1,0)</f>
        <v>0</v>
      </c>
      <c r="AA514" s="7">
        <f>IF(Z514=1,IFERROR(VALUE(SUBSTITUTE(SUBSTITUTE(SUBSTITUTE(SUBSTITUTE(SUBSTITUTE(UPPER(Raw_Bookings!L514),"RS.",""),"₹",""),",","")," ",""),"INR","")),""),"")</f>
        <v/>
      </c>
      <c r="AB514" s="7">
        <f>IF(AND(Z514=1,ISNUMBER(AA514)),1,0)</f>
        <v>0</v>
      </c>
      <c r="AC514" s="7">
        <f>IF(B514=1,0,IF(NOT(ISNUMBER(Raw_Bookings!J514)),1,IF(Raw_Bookings!J514&lt;&gt;COUNTIFS(Work_Passengers!$B$2:$B$1336,Raw_Bookings!A514,Work_Passengers!$C$2:$C$1336,0),1,0)))</f>
        <v>0</v>
      </c>
    </row>
    <row r="515" spans="1:29">
      <c r="A515" s="7">
        <f>Raw_Bookings!A515</f>
        <v>1168644</v>
      </c>
      <c r="B515" s="7">
        <f>IF(COUNTIF(Raw_Bookings!$A$2:A515,Raw_Bookings!A515)&gt;1,1,0)</f>
        <v>0</v>
      </c>
      <c r="C515" s="7" t="str">
        <f>Raw_Bookings!D515&amp;""</f>
        <v>2026-04-10</v>
      </c>
      <c r="D515" s="7" t="str">
        <f>IF(AND(LEN(C515)=10,MID(C515,5,1)="-",MID(C515,8,1)="-"),"ISO",IF(AND(LEN(C515)=10,MID(C515,3,1)="-",MID(C515,6,1)="-"),"DMY","OTHER"))</f>
        <v>ISO</v>
      </c>
      <c r="E515" s="7">
        <f>IF(D515="ISO",VALUE(LEFT(C515,4)),IF(D515="DMY",VALUE(RIGHT(C515,4)),0))</f>
        <v>2026</v>
      </c>
      <c r="F515" s="7">
        <f>IF(D515="ISO",VALUE(MID(C515,6,2)),IF(D515="DMY",VALUE(MID(C515,4,2)),0))</f>
        <v>4</v>
      </c>
      <c r="G515" s="7">
        <f>IF(D515="ISO",VALUE(RIGHT(C515,2)),IF(D515="DMY",VALUE(LEFT(C515,2)),0))</f>
        <v>10</v>
      </c>
      <c r="H515" s="7">
        <f>IF(AND(D515&lt;&gt;"OTHER",F515&gt;=1,F515&lt;=12,G515&gt;=1,G515&lt;=31),IF(AND(MONTH(DATE(E515,F515,G515))=F515,DAY(DATE(E515,F515,G515))=G515),1,0),0)</f>
        <v>1</v>
      </c>
      <c r="I515" s="7">
        <f>IF(H515=1,DATE(E515,F515,G515),"")</f>
        <v>46122.0</v>
      </c>
      <c r="J515" s="7">
        <f>IF(AND(D515="DMY",H515=1),1,0)</f>
        <v>0</v>
      </c>
      <c r="K515" s="7">
        <f>IF(H515=0,1,0)</f>
        <v>0</v>
      </c>
      <c r="L515" s="7">
        <f>IF(TRIM(Raw_Bookings!I515&amp;"")="",1,0)</f>
        <v>0</v>
      </c>
      <c r="M515" s="7">
        <f>IF(L515=1,"",DATEVALUE(LEFT(Raw_Bookings!I515,10))+TIMEVALUE(MID(Raw_Bookings!I515,12,8)))</f>
        <v>46121.08629629629</v>
      </c>
      <c r="N515" s="7">
        <f>IF(AND(L515=0,H515=1),IF(INT(M515)&gt;I515,1,0),0)</f>
        <v>0</v>
      </c>
      <c r="O515" s="7" t="str">
        <f>UPPER(TRIM(Raw_Bookings!F515))</f>
        <v>VIS</v>
      </c>
      <c r="P515" s="7" t="str">
        <f>UPPER(TRIM(Raw_Bookings!G515))</f>
        <v>CHA</v>
      </c>
      <c r="Q515" s="7">
        <f>IF(COUNTIF(Lookup_Stations!$A$2:$A$33,O515)&gt;0,1,0)</f>
        <v>1</v>
      </c>
      <c r="R515" s="7">
        <f>IF(COUNTIF(Lookup_Stations!$A$2:$A$33,P515)&gt;0,1,0)</f>
        <v>1</v>
      </c>
      <c r="S515" s="7">
        <f>IF(OR(AND(Q515=1,NOT(EXACT(Raw_Bookings!F515,O515))),AND(R515=1,NOT(EXACT(Raw_Bookings!G515,P515)))),1,0)</f>
        <v>0</v>
      </c>
      <c r="T515" s="7">
        <f>IF(OR(Q515=0,R515=0),1,0)</f>
        <v>0</v>
      </c>
      <c r="U515" s="7">
        <f>IF(TRIM(Raw_Bookings!E515&amp;"")="",1,0)</f>
        <v>0</v>
      </c>
      <c r="V515" s="7" t="str">
        <f>IF(SUMPRODUCT(--(Lookup_Status!$A$2:$A$13=LOWER(TRIM(Raw_Bookings!K515))))=0,"",INDEX(Lookup_Status!$B$2:$B$13,SUMPRODUCT((Lookup_Status!$A$2:$A$13=LOWER(TRIM(Raw_Bookings!K515)))*(ROW(Lookup_Status!$A$2:$A$13)-1))))</f>
        <v>Confirmed</v>
      </c>
      <c r="W515" s="7">
        <f>IF(AND(V515&lt;&gt;"",NOT(EXACT(Raw_Bookings!K515,V515))),1,0)</f>
        <v>0</v>
      </c>
      <c r="X515" s="7">
        <f>IF(V515="",1,0)</f>
        <v>0</v>
      </c>
      <c r="Y515" s="7">
        <f>IF(TRIM(Raw_Bookings!L515&amp;"")="",1,0)</f>
        <v>0</v>
      </c>
      <c r="Z515" s="7">
        <f>IF(AND(ISTEXT(Raw_Bookings!L515),Y515=0),1,0)</f>
        <v>0</v>
      </c>
      <c r="AA515" s="7">
        <f>IF(Z515=1,IFERROR(VALUE(SUBSTITUTE(SUBSTITUTE(SUBSTITUTE(SUBSTITUTE(SUBSTITUTE(UPPER(Raw_Bookings!L515),"RS.",""),"₹",""),",","")," ",""),"INR","")),""),"")</f>
        <v/>
      </c>
      <c r="AB515" s="7">
        <f>IF(AND(Z515=1,ISNUMBER(AA515)),1,0)</f>
        <v>0</v>
      </c>
      <c r="AC515" s="7">
        <f>IF(B515=1,0,IF(NOT(ISNUMBER(Raw_Bookings!J515)),1,IF(Raw_Bookings!J515&lt;&gt;COUNTIFS(Work_Passengers!$B$2:$B$1336,Raw_Bookings!A515,Work_Passengers!$C$2:$C$1336,0),1,0)))</f>
        <v>0</v>
      </c>
    </row>
    <row r="516" spans="1:29">
      <c r="A516" s="7">
        <f>Raw_Bookings!A516</f>
        <v>1168703</v>
      </c>
      <c r="B516" s="7">
        <f>IF(COUNTIF(Raw_Bookings!$A$2:A516,Raw_Bookings!A516)&gt;1,1,0)</f>
        <v>0</v>
      </c>
      <c r="C516" s="7" t="str">
        <f>Raw_Bookings!D516&amp;""</f>
        <v>2026-04-24</v>
      </c>
      <c r="D516" s="7" t="str">
        <f>IF(AND(LEN(C516)=10,MID(C516,5,1)="-",MID(C516,8,1)="-"),"ISO",IF(AND(LEN(C516)=10,MID(C516,3,1)="-",MID(C516,6,1)="-"),"DMY","OTHER"))</f>
        <v>ISO</v>
      </c>
      <c r="E516" s="7">
        <f>IF(D516="ISO",VALUE(LEFT(C516,4)),IF(D516="DMY",VALUE(RIGHT(C516,4)),0))</f>
        <v>2026</v>
      </c>
      <c r="F516" s="7">
        <f>IF(D516="ISO",VALUE(MID(C516,6,2)),IF(D516="DMY",VALUE(MID(C516,4,2)),0))</f>
        <v>4</v>
      </c>
      <c r="G516" s="7">
        <f>IF(D516="ISO",VALUE(RIGHT(C516,2)),IF(D516="DMY",VALUE(LEFT(C516,2)),0))</f>
        <v>24</v>
      </c>
      <c r="H516" s="7">
        <f>IF(AND(D516&lt;&gt;"OTHER",F516&gt;=1,F516&lt;=12,G516&gt;=1,G516&lt;=31),IF(AND(MONTH(DATE(E516,F516,G516))=F516,DAY(DATE(E516,F516,G516))=G516),1,0),0)</f>
        <v>1</v>
      </c>
      <c r="I516" s="7">
        <f>IF(H516=1,DATE(E516,F516,G516),"")</f>
        <v>46136.0</v>
      </c>
      <c r="J516" s="7">
        <f>IF(AND(D516="DMY",H516=1),1,0)</f>
        <v>0</v>
      </c>
      <c r="K516" s="7">
        <f>IF(H516=0,1,0)</f>
        <v>0</v>
      </c>
      <c r="L516" s="7">
        <f>IF(TRIM(Raw_Bookings!I516&amp;"")="",1,0)</f>
        <v>0</v>
      </c>
      <c r="M516" s="7">
        <f>IF(L516=1,"",DATEVALUE(LEFT(Raw_Bookings!I516,10))+TIMEVALUE(MID(Raw_Bookings!I516,12,8)))</f>
        <v>46121.38265046296</v>
      </c>
      <c r="N516" s="7">
        <f>IF(AND(L516=0,H516=1),IF(INT(M516)&gt;I516,1,0),0)</f>
        <v>0</v>
      </c>
      <c r="O516" s="7" t="str">
        <f>UPPER(TRIM(Raw_Bookings!F516))</f>
        <v>MUM</v>
      </c>
      <c r="P516" s="7" t="str">
        <f>UPPER(TRIM(Raw_Bookings!G516))</f>
        <v>LUC</v>
      </c>
      <c r="Q516" s="7">
        <f>IF(COUNTIF(Lookup_Stations!$A$2:$A$33,O516)&gt;0,1,0)</f>
        <v>1</v>
      </c>
      <c r="R516" s="7">
        <f>IF(COUNTIF(Lookup_Stations!$A$2:$A$33,P516)&gt;0,1,0)</f>
        <v>1</v>
      </c>
      <c r="S516" s="7">
        <f>IF(OR(AND(Q516=1,NOT(EXACT(Raw_Bookings!F516,O516))),AND(R516=1,NOT(EXACT(Raw_Bookings!G516,P516)))),1,0)</f>
        <v>0</v>
      </c>
      <c r="T516" s="7">
        <f>IF(OR(Q516=0,R516=0),1,0)</f>
        <v>0</v>
      </c>
      <c r="U516" s="7">
        <f>IF(TRIM(Raw_Bookings!E516&amp;"")="",1,0)</f>
        <v>0</v>
      </c>
      <c r="V516" s="7" t="str">
        <f>IF(SUMPRODUCT(--(Lookup_Status!$A$2:$A$13=LOWER(TRIM(Raw_Bookings!K516))))=0,"",INDEX(Lookup_Status!$B$2:$B$13,SUMPRODUCT((Lookup_Status!$A$2:$A$13=LOWER(TRIM(Raw_Bookings!K516)))*(ROW(Lookup_Status!$A$2:$A$13)-1))))</f>
        <v>Waitlisted</v>
      </c>
      <c r="W516" s="7">
        <f>IF(AND(V516&lt;&gt;"",NOT(EXACT(Raw_Bookings!K516,V516))),1,0)</f>
        <v>0</v>
      </c>
      <c r="X516" s="7">
        <f>IF(V516="",1,0)</f>
        <v>0</v>
      </c>
      <c r="Y516" s="7">
        <f>IF(TRIM(Raw_Bookings!L516&amp;"")="",1,0)</f>
        <v>0</v>
      </c>
      <c r="Z516" s="7">
        <f>IF(AND(ISTEXT(Raw_Bookings!L516),Y516=0),1,0)</f>
        <v>0</v>
      </c>
      <c r="AA516" s="7">
        <f>IF(Z516=1,IFERROR(VALUE(SUBSTITUTE(SUBSTITUTE(SUBSTITUTE(SUBSTITUTE(SUBSTITUTE(UPPER(Raw_Bookings!L516),"RS.",""),"₹",""),",","")," ",""),"INR","")),""),"")</f>
        <v/>
      </c>
      <c r="AB516" s="7">
        <f>IF(AND(Z516=1,ISNUMBER(AA516)),1,0)</f>
        <v>0</v>
      </c>
      <c r="AC516" s="7">
        <f>IF(B516=1,0,IF(NOT(ISNUMBER(Raw_Bookings!J516)),1,IF(Raw_Bookings!J516&lt;&gt;COUNTIFS(Work_Passengers!$B$2:$B$1336,Raw_Bookings!A516,Work_Passengers!$C$2:$C$1336,0),1,0)))</f>
        <v>0</v>
      </c>
    </row>
    <row r="517" spans="1:29">
      <c r="A517" s="7">
        <f>Raw_Bookings!A517</f>
        <v>1169051</v>
      </c>
      <c r="B517" s="7">
        <f>IF(COUNTIF(Raw_Bookings!$A$2:A517,Raw_Bookings!A517)&gt;1,1,0)</f>
        <v>0</v>
      </c>
      <c r="C517" s="7" t="str">
        <f>Raw_Bookings!D517&amp;""</f>
        <v>2026-04-24</v>
      </c>
      <c r="D517" s="7" t="str">
        <f>IF(AND(LEN(C517)=10,MID(C517,5,1)="-",MID(C517,8,1)="-"),"ISO",IF(AND(LEN(C517)=10,MID(C517,3,1)="-",MID(C517,6,1)="-"),"DMY","OTHER"))</f>
        <v>ISO</v>
      </c>
      <c r="E517" s="7">
        <f>IF(D517="ISO",VALUE(LEFT(C517,4)),IF(D517="DMY",VALUE(RIGHT(C517,4)),0))</f>
        <v>2026</v>
      </c>
      <c r="F517" s="7">
        <f>IF(D517="ISO",VALUE(MID(C517,6,2)),IF(D517="DMY",VALUE(MID(C517,4,2)),0))</f>
        <v>4</v>
      </c>
      <c r="G517" s="7">
        <f>IF(D517="ISO",VALUE(RIGHT(C517,2)),IF(D517="DMY",VALUE(LEFT(C517,2)),0))</f>
        <v>24</v>
      </c>
      <c r="H517" s="7">
        <f>IF(AND(D517&lt;&gt;"OTHER",F517&gt;=1,F517&lt;=12,G517&gt;=1,G517&lt;=31),IF(AND(MONTH(DATE(E517,F517,G517))=F517,DAY(DATE(E517,F517,G517))=G517),1,0),0)</f>
        <v>1</v>
      </c>
      <c r="I517" s="7">
        <f>IF(H517=1,DATE(E517,F517,G517),"")</f>
        <v>46136.0</v>
      </c>
      <c r="J517" s="7">
        <f>IF(AND(D517="DMY",H517=1),1,0)</f>
        <v>0</v>
      </c>
      <c r="K517" s="7">
        <f>IF(H517=0,1,0)</f>
        <v>0</v>
      </c>
      <c r="L517" s="7">
        <f>IF(TRIM(Raw_Bookings!I517&amp;"")="",1,0)</f>
        <v>0</v>
      </c>
      <c r="M517" s="7">
        <f>IF(L517=1,"",DATEVALUE(LEFT(Raw_Bookings!I517,10))+TIMEVALUE(MID(Raw_Bookings!I517,12,8)))</f>
        <v>46122.395891203705</v>
      </c>
      <c r="N517" s="7">
        <f>IF(AND(L517=0,H517=1),IF(INT(M517)&gt;I517,1,0),0)</f>
        <v>0</v>
      </c>
      <c r="O517" s="7" t="str">
        <f>UPPER(TRIM(Raw_Bookings!F517))</f>
        <v>MUM</v>
      </c>
      <c r="P517" s="7" t="str">
        <f>UPPER(TRIM(Raw_Bookings!G517))</f>
        <v>LUC</v>
      </c>
      <c r="Q517" s="7">
        <f>IF(COUNTIF(Lookup_Stations!$A$2:$A$33,O517)&gt;0,1,0)</f>
        <v>1</v>
      </c>
      <c r="R517" s="7">
        <f>IF(COUNTIF(Lookup_Stations!$A$2:$A$33,P517)&gt;0,1,0)</f>
        <v>1</v>
      </c>
      <c r="S517" s="7">
        <f>IF(OR(AND(Q517=1,NOT(EXACT(Raw_Bookings!F517,O517))),AND(R517=1,NOT(EXACT(Raw_Bookings!G517,P517)))),1,0)</f>
        <v>0</v>
      </c>
      <c r="T517" s="7">
        <f>IF(OR(Q517=0,R517=0),1,0)</f>
        <v>0</v>
      </c>
      <c r="U517" s="7">
        <f>IF(TRIM(Raw_Bookings!E517&amp;"")="",1,0)</f>
        <v>0</v>
      </c>
      <c r="V517" s="7" t="str">
        <f>IF(SUMPRODUCT(--(Lookup_Status!$A$2:$A$13=LOWER(TRIM(Raw_Bookings!K517))))=0,"",INDEX(Lookup_Status!$B$2:$B$13,SUMPRODUCT((Lookup_Status!$A$2:$A$13=LOWER(TRIM(Raw_Bookings!K517)))*(ROW(Lookup_Status!$A$2:$A$13)-1))))</f>
        <v>RAC</v>
      </c>
      <c r="W517" s="7">
        <f>IF(AND(V517&lt;&gt;"",NOT(EXACT(Raw_Bookings!K517,V517))),1,0)</f>
        <v>0</v>
      </c>
      <c r="X517" s="7">
        <f>IF(V517="",1,0)</f>
        <v>0</v>
      </c>
      <c r="Y517" s="7">
        <f>IF(TRIM(Raw_Bookings!L517&amp;"")="",1,0)</f>
        <v>0</v>
      </c>
      <c r="Z517" s="7">
        <f>IF(AND(ISTEXT(Raw_Bookings!L517),Y517=0),1,0)</f>
        <v>0</v>
      </c>
      <c r="AA517" s="7">
        <f>IF(Z517=1,IFERROR(VALUE(SUBSTITUTE(SUBSTITUTE(SUBSTITUTE(SUBSTITUTE(SUBSTITUTE(UPPER(Raw_Bookings!L517),"RS.",""),"₹",""),",","")," ",""),"INR","")),""),"")</f>
        <v/>
      </c>
      <c r="AB517" s="7">
        <f>IF(AND(Z517=1,ISNUMBER(AA517)),1,0)</f>
        <v>0</v>
      </c>
      <c r="AC517" s="7">
        <f>IF(B517=1,0,IF(NOT(ISNUMBER(Raw_Bookings!J517)),1,IF(Raw_Bookings!J517&lt;&gt;COUNTIFS(Work_Passengers!$B$2:$B$1336,Raw_Bookings!A517,Work_Passengers!$C$2:$C$1336,0),1,0)))</f>
        <v>0</v>
      </c>
    </row>
    <row r="518" spans="1:29">
      <c r="A518" s="7">
        <f>Raw_Bookings!A518</f>
        <v>1169089</v>
      </c>
      <c r="B518" s="7">
        <f>IF(COUNTIF(Raw_Bookings!$A$2:A518,Raw_Bookings!A518)&gt;1,1,0)</f>
        <v>0</v>
      </c>
      <c r="C518" s="7" t="str">
        <f>Raw_Bookings!D518&amp;""</f>
        <v>2026-07-10</v>
      </c>
      <c r="D518" s="7" t="str">
        <f>IF(AND(LEN(C518)=10,MID(C518,5,1)="-",MID(C518,8,1)="-"),"ISO",IF(AND(LEN(C518)=10,MID(C518,3,1)="-",MID(C518,6,1)="-"),"DMY","OTHER"))</f>
        <v>ISO</v>
      </c>
      <c r="E518" s="7">
        <f>IF(D518="ISO",VALUE(LEFT(C518,4)),IF(D518="DMY",VALUE(RIGHT(C518,4)),0))</f>
        <v>2026</v>
      </c>
      <c r="F518" s="7">
        <f>IF(D518="ISO",VALUE(MID(C518,6,2)),IF(D518="DMY",VALUE(MID(C518,4,2)),0))</f>
        <v>7</v>
      </c>
      <c r="G518" s="7">
        <f>IF(D518="ISO",VALUE(RIGHT(C518,2)),IF(D518="DMY",VALUE(LEFT(C518,2)),0))</f>
        <v>10</v>
      </c>
      <c r="H518" s="7">
        <f>IF(AND(D518&lt;&gt;"OTHER",F518&gt;=1,F518&lt;=12,G518&gt;=1,G518&lt;=31),IF(AND(MONTH(DATE(E518,F518,G518))=F518,DAY(DATE(E518,F518,G518))=G518),1,0),0)</f>
        <v>1</v>
      </c>
      <c r="I518" s="7">
        <f>IF(H518=1,DATE(E518,F518,G518),"")</f>
        <v>46213.0</v>
      </c>
      <c r="J518" s="7">
        <f>IF(AND(D518="DMY",H518=1),1,0)</f>
        <v>0</v>
      </c>
      <c r="K518" s="7">
        <f>IF(H518=0,1,0)</f>
        <v>0</v>
      </c>
      <c r="L518" s="7">
        <f>IF(TRIM(Raw_Bookings!I518&amp;"")="",1,0)</f>
        <v>0</v>
      </c>
      <c r="M518" s="7">
        <f>IF(L518=1,"",DATEVALUE(LEFT(Raw_Bookings!I518,10))+TIMEVALUE(MID(Raw_Bookings!I518,12,8)))</f>
        <v>46122.4693287037</v>
      </c>
      <c r="N518" s="7">
        <f>IF(AND(L518=0,H518=1),IF(INT(M518)&gt;I518,1,0),0)</f>
        <v>0</v>
      </c>
      <c r="O518" s="7" t="str">
        <f>UPPER(TRIM(Raw_Bookings!F518))</f>
        <v>JOD</v>
      </c>
      <c r="P518" s="7" t="str">
        <f>UPPER(TRIM(Raw_Bookings!G518))</f>
        <v>BEN</v>
      </c>
      <c r="Q518" s="7">
        <f>IF(COUNTIF(Lookup_Stations!$A$2:$A$33,O518)&gt;0,1,0)</f>
        <v>1</v>
      </c>
      <c r="R518" s="7">
        <f>IF(COUNTIF(Lookup_Stations!$A$2:$A$33,P518)&gt;0,1,0)</f>
        <v>1</v>
      </c>
      <c r="S518" s="7">
        <f>IF(OR(AND(Q518=1,NOT(EXACT(Raw_Bookings!F518,O518))),AND(R518=1,NOT(EXACT(Raw_Bookings!G518,P518)))),1,0)</f>
        <v>0</v>
      </c>
      <c r="T518" s="7">
        <f>IF(OR(Q518=0,R518=0),1,0)</f>
        <v>0</v>
      </c>
      <c r="U518" s="7">
        <f>IF(TRIM(Raw_Bookings!E518&amp;"")="",1,0)</f>
        <v>0</v>
      </c>
      <c r="V518" s="7">
        <f>IF(SUMPRODUCT(--(Lookup_Status!$A$2:$A$13=LOWER(TRIM(Raw_Bookings!K518))))=0,"",INDEX(Lookup_Status!$B$2:$B$13,SUMPRODUCT((Lookup_Status!$A$2:$A$13=LOWER(TRIM(Raw_Bookings!K518)))*(ROW(Lookup_Status!$A$2:$A$13)-1))))</f>
        <v/>
      </c>
      <c r="W518" s="7">
        <f>IF(AND(V518&lt;&gt;"",NOT(EXACT(Raw_Bookings!K518,V518))),1,0)</f>
        <v>0</v>
      </c>
      <c r="X518" s="7">
        <f>IF(V518="",1,0)</f>
        <v>1</v>
      </c>
      <c r="Y518" s="7">
        <f>IF(TRIM(Raw_Bookings!L518&amp;"")="",1,0)</f>
        <v>0</v>
      </c>
      <c r="Z518" s="7">
        <f>IF(AND(ISTEXT(Raw_Bookings!L518),Y518=0),1,0)</f>
        <v>0</v>
      </c>
      <c r="AA518" s="7">
        <f>IF(Z518=1,IFERROR(VALUE(SUBSTITUTE(SUBSTITUTE(SUBSTITUTE(SUBSTITUTE(SUBSTITUTE(UPPER(Raw_Bookings!L518),"RS.",""),"₹",""),",","")," ",""),"INR","")),""),"")</f>
        <v/>
      </c>
      <c r="AB518" s="7">
        <f>IF(AND(Z518=1,ISNUMBER(AA518)),1,0)</f>
        <v>0</v>
      </c>
      <c r="AC518" s="7">
        <f>IF(B518=1,0,IF(NOT(ISNUMBER(Raw_Bookings!J518)),1,IF(Raw_Bookings!J518&lt;&gt;COUNTIFS(Work_Passengers!$B$2:$B$1336,Raw_Bookings!A518,Work_Passengers!$C$2:$C$1336,0),1,0)))</f>
        <v>0</v>
      </c>
    </row>
    <row r="519" spans="1:29">
      <c r="A519" s="7">
        <f>Raw_Bookings!A519</f>
        <v>1169250</v>
      </c>
      <c r="B519" s="7">
        <f>IF(COUNTIF(Raw_Bookings!$A$2:A519,Raw_Bookings!A519)&gt;1,1,0)</f>
        <v>0</v>
      </c>
      <c r="C519" s="7" t="str">
        <f>Raw_Bookings!D519&amp;""</f>
        <v>2026-05-15</v>
      </c>
      <c r="D519" s="7" t="str">
        <f>IF(AND(LEN(C519)=10,MID(C519,5,1)="-",MID(C519,8,1)="-"),"ISO",IF(AND(LEN(C519)=10,MID(C519,3,1)="-",MID(C519,6,1)="-"),"DMY","OTHER"))</f>
        <v>ISO</v>
      </c>
      <c r="E519" s="7">
        <f>IF(D519="ISO",VALUE(LEFT(C519,4)),IF(D519="DMY",VALUE(RIGHT(C519,4)),0))</f>
        <v>2026</v>
      </c>
      <c r="F519" s="7">
        <f>IF(D519="ISO",VALUE(MID(C519,6,2)),IF(D519="DMY",VALUE(MID(C519,4,2)),0))</f>
        <v>5</v>
      </c>
      <c r="G519" s="7">
        <f>IF(D519="ISO",VALUE(RIGHT(C519,2)),IF(D519="DMY",VALUE(LEFT(C519,2)),0))</f>
        <v>15</v>
      </c>
      <c r="H519" s="7">
        <f>IF(AND(D519&lt;&gt;"OTHER",F519&gt;=1,F519&lt;=12,G519&gt;=1,G519&lt;=31),IF(AND(MONTH(DATE(E519,F519,G519))=F519,DAY(DATE(E519,F519,G519))=G519),1,0),0)</f>
        <v>1</v>
      </c>
      <c r="I519" s="7">
        <f>IF(H519=1,DATE(E519,F519,G519),"")</f>
        <v>46157.0</v>
      </c>
      <c r="J519" s="7">
        <f>IF(AND(D519="DMY",H519=1),1,0)</f>
        <v>0</v>
      </c>
      <c r="K519" s="7">
        <f>IF(H519=0,1,0)</f>
        <v>0</v>
      </c>
      <c r="L519" s="7">
        <f>IF(TRIM(Raw_Bookings!I519&amp;"")="",1,0)</f>
        <v>0</v>
      </c>
      <c r="M519" s="7">
        <f>IF(L519=1,"",DATEVALUE(LEFT(Raw_Bookings!I519,10))+TIMEVALUE(MID(Raw_Bookings!I519,12,8)))</f>
        <v>46122.8881712963</v>
      </c>
      <c r="N519" s="7">
        <f>IF(AND(L519=0,H519=1),IF(INT(M519)&gt;I519,1,0),0)</f>
        <v>0</v>
      </c>
      <c r="O519" s="7" t="str">
        <f>UPPER(TRIM(Raw_Bookings!F519))</f>
        <v>VIJ</v>
      </c>
      <c r="P519" s="7" t="str">
        <f>UPPER(TRIM(Raw_Bookings!G519))</f>
        <v>PAT</v>
      </c>
      <c r="Q519" s="7">
        <f>IF(COUNTIF(Lookup_Stations!$A$2:$A$33,O519)&gt;0,1,0)</f>
        <v>1</v>
      </c>
      <c r="R519" s="7">
        <f>IF(COUNTIF(Lookup_Stations!$A$2:$A$33,P519)&gt;0,1,0)</f>
        <v>1</v>
      </c>
      <c r="S519" s="7">
        <f>IF(OR(AND(Q519=1,NOT(EXACT(Raw_Bookings!F519,O519))),AND(R519=1,NOT(EXACT(Raw_Bookings!G519,P519)))),1,0)</f>
        <v>0</v>
      </c>
      <c r="T519" s="7">
        <f>IF(OR(Q519=0,R519=0),1,0)</f>
        <v>0</v>
      </c>
      <c r="U519" s="7">
        <f>IF(TRIM(Raw_Bookings!E519&amp;"")="",1,0)</f>
        <v>0</v>
      </c>
      <c r="V519" s="7" t="str">
        <f>IF(SUMPRODUCT(--(Lookup_Status!$A$2:$A$13=LOWER(TRIM(Raw_Bookings!K519))))=0,"",INDEX(Lookup_Status!$B$2:$B$13,SUMPRODUCT((Lookup_Status!$A$2:$A$13=LOWER(TRIM(Raw_Bookings!K519)))*(ROW(Lookup_Status!$A$2:$A$13)-1))))</f>
        <v>Confirmed</v>
      </c>
      <c r="W519" s="7">
        <f>IF(AND(V519&lt;&gt;"",NOT(EXACT(Raw_Bookings!K519,V519))),1,0)</f>
        <v>0</v>
      </c>
      <c r="X519" s="7">
        <f>IF(V519="",1,0)</f>
        <v>0</v>
      </c>
      <c r="Y519" s="7">
        <f>IF(TRIM(Raw_Bookings!L519&amp;"")="",1,0)</f>
        <v>0</v>
      </c>
      <c r="Z519" s="7">
        <f>IF(AND(ISTEXT(Raw_Bookings!L519),Y519=0),1,0)</f>
        <v>0</v>
      </c>
      <c r="AA519" s="7">
        <f>IF(Z519=1,IFERROR(VALUE(SUBSTITUTE(SUBSTITUTE(SUBSTITUTE(SUBSTITUTE(SUBSTITUTE(UPPER(Raw_Bookings!L519),"RS.",""),"₹",""),",","")," ",""),"INR","")),""),"")</f>
        <v/>
      </c>
      <c r="AB519" s="7">
        <f>IF(AND(Z519=1,ISNUMBER(AA519)),1,0)</f>
        <v>0</v>
      </c>
      <c r="AC519" s="7">
        <f>IF(B519=1,0,IF(NOT(ISNUMBER(Raw_Bookings!J519)),1,IF(Raw_Bookings!J519&lt;&gt;COUNTIFS(Work_Passengers!$B$2:$B$1336,Raw_Bookings!A519,Work_Passengers!$C$2:$C$1336,0),1,0)))</f>
        <v>0</v>
      </c>
    </row>
    <row r="520" spans="1:29">
      <c r="A520" s="7">
        <f>Raw_Bookings!A520</f>
        <v>1169457</v>
      </c>
      <c r="B520" s="7">
        <f>IF(COUNTIF(Raw_Bookings!$A$2:A520,Raw_Bookings!A520)&gt;1,1,0)</f>
        <v>0</v>
      </c>
      <c r="C520" s="7" t="str">
        <f>Raw_Bookings!D520&amp;""</f>
        <v>2026-06-11</v>
      </c>
      <c r="D520" s="7" t="str">
        <f>IF(AND(LEN(C520)=10,MID(C520,5,1)="-",MID(C520,8,1)="-"),"ISO",IF(AND(LEN(C520)=10,MID(C520,3,1)="-",MID(C520,6,1)="-"),"DMY","OTHER"))</f>
        <v>ISO</v>
      </c>
      <c r="E520" s="7">
        <f>IF(D520="ISO",VALUE(LEFT(C520,4)),IF(D520="DMY",VALUE(RIGHT(C520,4)),0))</f>
        <v>2026</v>
      </c>
      <c r="F520" s="7">
        <f>IF(D520="ISO",VALUE(MID(C520,6,2)),IF(D520="DMY",VALUE(MID(C520,4,2)),0))</f>
        <v>6</v>
      </c>
      <c r="G520" s="7">
        <f>IF(D520="ISO",VALUE(RIGHT(C520,2)),IF(D520="DMY",VALUE(LEFT(C520,2)),0))</f>
        <v>11</v>
      </c>
      <c r="H520" s="7">
        <f>IF(AND(D520&lt;&gt;"OTHER",F520&gt;=1,F520&lt;=12,G520&gt;=1,G520&lt;=31),IF(AND(MONTH(DATE(E520,F520,G520))=F520,DAY(DATE(E520,F520,G520))=G520),1,0),0)</f>
        <v>1</v>
      </c>
      <c r="I520" s="7">
        <f>IF(H520=1,DATE(E520,F520,G520),"")</f>
        <v>46184.0</v>
      </c>
      <c r="J520" s="7">
        <f>IF(AND(D520="DMY",H520=1),1,0)</f>
        <v>0</v>
      </c>
      <c r="K520" s="7">
        <f>IF(H520=0,1,0)</f>
        <v>0</v>
      </c>
      <c r="L520" s="7">
        <f>IF(TRIM(Raw_Bookings!I520&amp;"")="",1,0)</f>
        <v>0</v>
      </c>
      <c r="M520" s="7">
        <f>IF(L520=1,"",DATEVALUE(LEFT(Raw_Bookings!I520,10))+TIMEVALUE(MID(Raw_Bookings!I520,12,8)))</f>
        <v>46123.57181712963</v>
      </c>
      <c r="N520" s="7">
        <f>IF(AND(L520=0,H520=1),IF(INT(M520)&gt;I520,1,0),0)</f>
        <v>0</v>
      </c>
      <c r="O520" s="7" t="str">
        <f>UPPER(TRIM(Raw_Bookings!F520))</f>
        <v>JOD</v>
      </c>
      <c r="P520" s="7" t="str">
        <f>UPPER(TRIM(Raw_Bookings!G520))</f>
        <v>BEN</v>
      </c>
      <c r="Q520" s="7">
        <f>IF(COUNTIF(Lookup_Stations!$A$2:$A$33,O520)&gt;0,1,0)</f>
        <v>1</v>
      </c>
      <c r="R520" s="7">
        <f>IF(COUNTIF(Lookup_Stations!$A$2:$A$33,P520)&gt;0,1,0)</f>
        <v>1</v>
      </c>
      <c r="S520" s="7">
        <f>IF(OR(AND(Q520=1,NOT(EXACT(Raw_Bookings!F520,O520))),AND(R520=1,NOT(EXACT(Raw_Bookings!G520,P520)))),1,0)</f>
        <v>0</v>
      </c>
      <c r="T520" s="7">
        <f>IF(OR(Q520=0,R520=0),1,0)</f>
        <v>0</v>
      </c>
      <c r="U520" s="7">
        <f>IF(TRIM(Raw_Bookings!E520&amp;"")="",1,0)</f>
        <v>0</v>
      </c>
      <c r="V520" s="7" t="str">
        <f>IF(SUMPRODUCT(--(Lookup_Status!$A$2:$A$13=LOWER(TRIM(Raw_Bookings!K520))))=0,"",INDEX(Lookup_Status!$B$2:$B$13,SUMPRODUCT((Lookup_Status!$A$2:$A$13=LOWER(TRIM(Raw_Bookings!K520)))*(ROW(Lookup_Status!$A$2:$A$13)-1))))</f>
        <v>Confirmed</v>
      </c>
      <c r="W520" s="7">
        <f>IF(AND(V520&lt;&gt;"",NOT(EXACT(Raw_Bookings!K520,V520))),1,0)</f>
        <v>0</v>
      </c>
      <c r="X520" s="7">
        <f>IF(V520="",1,0)</f>
        <v>0</v>
      </c>
      <c r="Y520" s="7">
        <f>IF(TRIM(Raw_Bookings!L520&amp;"")="",1,0)</f>
        <v>0</v>
      </c>
      <c r="Z520" s="7">
        <f>IF(AND(ISTEXT(Raw_Bookings!L520),Y520=0),1,0)</f>
        <v>0</v>
      </c>
      <c r="AA520" s="7">
        <f>IF(Z520=1,IFERROR(VALUE(SUBSTITUTE(SUBSTITUTE(SUBSTITUTE(SUBSTITUTE(SUBSTITUTE(UPPER(Raw_Bookings!L520),"RS.",""),"₹",""),",","")," ",""),"INR","")),""),"")</f>
        <v/>
      </c>
      <c r="AB520" s="7">
        <f>IF(AND(Z520=1,ISNUMBER(AA520)),1,0)</f>
        <v>0</v>
      </c>
      <c r="AC520" s="7">
        <f>IF(B520=1,0,IF(NOT(ISNUMBER(Raw_Bookings!J520)),1,IF(Raw_Bookings!J520&lt;&gt;COUNTIFS(Work_Passengers!$B$2:$B$1336,Raw_Bookings!A520,Work_Passengers!$C$2:$C$1336,0),1,0)))</f>
        <v>0</v>
      </c>
    </row>
    <row r="521" spans="1:29">
      <c r="A521" s="7">
        <f>Raw_Bookings!A521</f>
        <v>1169665</v>
      </c>
      <c r="B521" s="7">
        <f>IF(COUNTIF(Raw_Bookings!$A$2:A521,Raw_Bookings!A521)&gt;1,1,0)</f>
        <v>0</v>
      </c>
      <c r="C521" s="7" t="str">
        <f>Raw_Bookings!D521&amp;""</f>
        <v>2026-05-06</v>
      </c>
      <c r="D521" s="7" t="str">
        <f>IF(AND(LEN(C521)=10,MID(C521,5,1)="-",MID(C521,8,1)="-"),"ISO",IF(AND(LEN(C521)=10,MID(C521,3,1)="-",MID(C521,6,1)="-"),"DMY","OTHER"))</f>
        <v>ISO</v>
      </c>
      <c r="E521" s="7">
        <f>IF(D521="ISO",VALUE(LEFT(C521,4)),IF(D521="DMY",VALUE(RIGHT(C521,4)),0))</f>
        <v>2026</v>
      </c>
      <c r="F521" s="7">
        <f>IF(D521="ISO",VALUE(MID(C521,6,2)),IF(D521="DMY",VALUE(MID(C521,4,2)),0))</f>
        <v>5</v>
      </c>
      <c r="G521" s="7">
        <f>IF(D521="ISO",VALUE(RIGHT(C521,2)),IF(D521="DMY",VALUE(LEFT(C521,2)),0))</f>
        <v>6</v>
      </c>
      <c r="H521" s="7">
        <f>IF(AND(D521&lt;&gt;"OTHER",F521&gt;=1,F521&lt;=12,G521&gt;=1,G521&lt;=31),IF(AND(MONTH(DATE(E521,F521,G521))=F521,DAY(DATE(E521,F521,G521))=G521),1,0),0)</f>
        <v>1</v>
      </c>
      <c r="I521" s="7">
        <f>IF(H521=1,DATE(E521,F521,G521),"")</f>
        <v>46148.0</v>
      </c>
      <c r="J521" s="7">
        <f>IF(AND(D521="DMY",H521=1),1,0)</f>
        <v>0</v>
      </c>
      <c r="K521" s="7">
        <f>IF(H521=0,1,0)</f>
        <v>0</v>
      </c>
      <c r="L521" s="7">
        <f>IF(TRIM(Raw_Bookings!I521&amp;"")="",1,0)</f>
        <v>0</v>
      </c>
      <c r="M521" s="7">
        <f>IF(L521=1,"",DATEVALUE(LEFT(Raw_Bookings!I521,10))+TIMEVALUE(MID(Raw_Bookings!I521,12,8)))</f>
        <v>46124.361030092594</v>
      </c>
      <c r="N521" s="7">
        <f>IF(AND(L521=0,H521=1),IF(INT(M521)&gt;I521,1,0),0)</f>
        <v>0</v>
      </c>
      <c r="O521" s="7" t="str">
        <f>UPPER(TRIM(Raw_Bookings!F521))</f>
        <v>BEN</v>
      </c>
      <c r="P521" s="7" t="str">
        <f>UPPER(TRIM(Raw_Bookings!G521))</f>
        <v>MUM</v>
      </c>
      <c r="Q521" s="7">
        <f>IF(COUNTIF(Lookup_Stations!$A$2:$A$33,O521)&gt;0,1,0)</f>
        <v>1</v>
      </c>
      <c r="R521" s="7">
        <f>IF(COUNTIF(Lookup_Stations!$A$2:$A$33,P521)&gt;0,1,0)</f>
        <v>1</v>
      </c>
      <c r="S521" s="7">
        <f>IF(OR(AND(Q521=1,NOT(EXACT(Raw_Bookings!F521,O521))),AND(R521=1,NOT(EXACT(Raw_Bookings!G521,P521)))),1,0)</f>
        <v>0</v>
      </c>
      <c r="T521" s="7">
        <f>IF(OR(Q521=0,R521=0),1,0)</f>
        <v>0</v>
      </c>
      <c r="U521" s="7">
        <f>IF(TRIM(Raw_Bookings!E521&amp;"")="",1,0)</f>
        <v>0</v>
      </c>
      <c r="V521" s="7" t="str">
        <f>IF(SUMPRODUCT(--(Lookup_Status!$A$2:$A$13=LOWER(TRIM(Raw_Bookings!K521))))=0,"",INDEX(Lookup_Status!$B$2:$B$13,SUMPRODUCT((Lookup_Status!$A$2:$A$13=LOWER(TRIM(Raw_Bookings!K521)))*(ROW(Lookup_Status!$A$2:$A$13)-1))))</f>
        <v>Confirmed</v>
      </c>
      <c r="W521" s="7">
        <f>IF(AND(V521&lt;&gt;"",NOT(EXACT(Raw_Bookings!K521,V521))),1,0)</f>
        <v>0</v>
      </c>
      <c r="X521" s="7">
        <f>IF(V521="",1,0)</f>
        <v>0</v>
      </c>
      <c r="Y521" s="7">
        <f>IF(TRIM(Raw_Bookings!L521&amp;"")="",1,0)</f>
        <v>0</v>
      </c>
      <c r="Z521" s="7">
        <f>IF(AND(ISTEXT(Raw_Bookings!L521),Y521=0),1,0)</f>
        <v>0</v>
      </c>
      <c r="AA521" s="7">
        <f>IF(Z521=1,IFERROR(VALUE(SUBSTITUTE(SUBSTITUTE(SUBSTITUTE(SUBSTITUTE(SUBSTITUTE(UPPER(Raw_Bookings!L521),"RS.",""),"₹",""),",","")," ",""),"INR","")),""),"")</f>
        <v/>
      </c>
      <c r="AB521" s="7">
        <f>IF(AND(Z521=1,ISNUMBER(AA521)),1,0)</f>
        <v>0</v>
      </c>
      <c r="AC521" s="7">
        <f>IF(B521=1,0,IF(NOT(ISNUMBER(Raw_Bookings!J521)),1,IF(Raw_Bookings!J521&lt;&gt;COUNTIFS(Work_Passengers!$B$2:$B$1336,Raw_Bookings!A521,Work_Passengers!$C$2:$C$1336,0),1,0)))</f>
        <v>0</v>
      </c>
    </row>
    <row r="522" spans="1:29">
      <c r="A522" s="7">
        <f>Raw_Bookings!A522</f>
        <v>1169847</v>
      </c>
      <c r="B522" s="7">
        <f>IF(COUNTIF(Raw_Bookings!$A$2:A522,Raw_Bookings!A522)&gt;1,1,0)</f>
        <v>0</v>
      </c>
      <c r="C522" s="7" t="str">
        <f>Raw_Bookings!D522&amp;""</f>
        <v>2026-04-25</v>
      </c>
      <c r="D522" s="7" t="str">
        <f>IF(AND(LEN(C522)=10,MID(C522,5,1)="-",MID(C522,8,1)="-"),"ISO",IF(AND(LEN(C522)=10,MID(C522,3,1)="-",MID(C522,6,1)="-"),"DMY","OTHER"))</f>
        <v>ISO</v>
      </c>
      <c r="E522" s="7">
        <f>IF(D522="ISO",VALUE(LEFT(C522,4)),IF(D522="DMY",VALUE(RIGHT(C522,4)),0))</f>
        <v>2026</v>
      </c>
      <c r="F522" s="7">
        <f>IF(D522="ISO",VALUE(MID(C522,6,2)),IF(D522="DMY",VALUE(MID(C522,4,2)),0))</f>
        <v>4</v>
      </c>
      <c r="G522" s="7">
        <f>IF(D522="ISO",VALUE(RIGHT(C522,2)),IF(D522="DMY",VALUE(LEFT(C522,2)),0))</f>
        <v>25</v>
      </c>
      <c r="H522" s="7">
        <f>IF(AND(D522&lt;&gt;"OTHER",F522&gt;=1,F522&lt;=12,G522&gt;=1,G522&lt;=31),IF(AND(MONTH(DATE(E522,F522,G522))=F522,DAY(DATE(E522,F522,G522))=G522),1,0),0)</f>
        <v>1</v>
      </c>
      <c r="I522" s="7">
        <f>IF(H522=1,DATE(E522,F522,G522),"")</f>
        <v>46137.0</v>
      </c>
      <c r="J522" s="7">
        <f>IF(AND(D522="DMY",H522=1),1,0)</f>
        <v>0</v>
      </c>
      <c r="K522" s="7">
        <f>IF(H522=0,1,0)</f>
        <v>0</v>
      </c>
      <c r="L522" s="7">
        <f>IF(TRIM(Raw_Bookings!I522&amp;"")="",1,0)</f>
        <v>0</v>
      </c>
      <c r="M522" s="7">
        <f>IF(L522=1,"",DATEVALUE(LEFT(Raw_Bookings!I522,10))+TIMEVALUE(MID(Raw_Bookings!I522,12,8)))</f>
        <v>46124.816458333335</v>
      </c>
      <c r="N522" s="7">
        <f>IF(AND(L522=0,H522=1),IF(INT(M522)&gt;I522,1,0),0)</f>
        <v>0</v>
      </c>
      <c r="O522" s="7" t="str">
        <f>UPPER(TRIM(Raw_Bookings!F522))</f>
        <v>DIB</v>
      </c>
      <c r="P522" s="7" t="str">
        <f>UPPER(TRIM(Raw_Bookings!G522))</f>
        <v>DEL</v>
      </c>
      <c r="Q522" s="7">
        <f>IF(COUNTIF(Lookup_Stations!$A$2:$A$33,O522)&gt;0,1,0)</f>
        <v>1</v>
      </c>
      <c r="R522" s="7">
        <f>IF(COUNTIF(Lookup_Stations!$A$2:$A$33,P522)&gt;0,1,0)</f>
        <v>1</v>
      </c>
      <c r="S522" s="7">
        <f>IF(OR(AND(Q522=1,NOT(EXACT(Raw_Bookings!F522,O522))),AND(R522=1,NOT(EXACT(Raw_Bookings!G522,P522)))),1,0)</f>
        <v>0</v>
      </c>
      <c r="T522" s="7">
        <f>IF(OR(Q522=0,R522=0),1,0)</f>
        <v>0</v>
      </c>
      <c r="U522" s="7">
        <f>IF(TRIM(Raw_Bookings!E522&amp;"")="",1,0)</f>
        <v>0</v>
      </c>
      <c r="V522" s="7" t="str">
        <f>IF(SUMPRODUCT(--(Lookup_Status!$A$2:$A$13=LOWER(TRIM(Raw_Bookings!K522))))=0,"",INDEX(Lookup_Status!$B$2:$B$13,SUMPRODUCT((Lookup_Status!$A$2:$A$13=LOWER(TRIM(Raw_Bookings!K522)))*(ROW(Lookup_Status!$A$2:$A$13)-1))))</f>
        <v>Confirmed</v>
      </c>
      <c r="W522" s="7">
        <f>IF(AND(V522&lt;&gt;"",NOT(EXACT(Raw_Bookings!K522,V522))),1,0)</f>
        <v>0</v>
      </c>
      <c r="X522" s="7">
        <f>IF(V522="",1,0)</f>
        <v>0</v>
      </c>
      <c r="Y522" s="7">
        <f>IF(TRIM(Raw_Bookings!L522&amp;"")="",1,0)</f>
        <v>0</v>
      </c>
      <c r="Z522" s="7">
        <f>IF(AND(ISTEXT(Raw_Bookings!L522),Y522=0),1,0)</f>
        <v>0</v>
      </c>
      <c r="AA522" s="7">
        <f>IF(Z522=1,IFERROR(VALUE(SUBSTITUTE(SUBSTITUTE(SUBSTITUTE(SUBSTITUTE(SUBSTITUTE(UPPER(Raw_Bookings!L522),"RS.",""),"₹",""),",","")," ",""),"INR","")),""),"")</f>
        <v/>
      </c>
      <c r="AB522" s="7">
        <f>IF(AND(Z522=1,ISNUMBER(AA522)),1,0)</f>
        <v>0</v>
      </c>
      <c r="AC522" s="7">
        <f>IF(B522=1,0,IF(NOT(ISNUMBER(Raw_Bookings!J522)),1,IF(Raw_Bookings!J522&lt;&gt;COUNTIFS(Work_Passengers!$B$2:$B$1336,Raw_Bookings!A522,Work_Passengers!$C$2:$C$1336,0),1,0)))</f>
        <v>0</v>
      </c>
    </row>
    <row r="523" spans="1:29">
      <c r="A523" s="7">
        <f>Raw_Bookings!A523</f>
        <v>1169931</v>
      </c>
      <c r="B523" s="7">
        <f>IF(COUNTIF(Raw_Bookings!$A$2:A523,Raw_Bookings!A523)&gt;1,1,0)</f>
        <v>0</v>
      </c>
      <c r="C523" s="7" t="str">
        <f>Raw_Bookings!D523&amp;""</f>
        <v>2026-05-31</v>
      </c>
      <c r="D523" s="7" t="str">
        <f>IF(AND(LEN(C523)=10,MID(C523,5,1)="-",MID(C523,8,1)="-"),"ISO",IF(AND(LEN(C523)=10,MID(C523,3,1)="-",MID(C523,6,1)="-"),"DMY","OTHER"))</f>
        <v>ISO</v>
      </c>
      <c r="E523" s="7">
        <f>IF(D523="ISO",VALUE(LEFT(C523,4)),IF(D523="DMY",VALUE(RIGHT(C523,4)),0))</f>
        <v>2026</v>
      </c>
      <c r="F523" s="7">
        <f>IF(D523="ISO",VALUE(MID(C523,6,2)),IF(D523="DMY",VALUE(MID(C523,4,2)),0))</f>
        <v>5</v>
      </c>
      <c r="G523" s="7">
        <f>IF(D523="ISO",VALUE(RIGHT(C523,2)),IF(D523="DMY",VALUE(LEFT(C523,2)),0))</f>
        <v>31</v>
      </c>
      <c r="H523" s="7">
        <f>IF(AND(D523&lt;&gt;"OTHER",F523&gt;=1,F523&lt;=12,G523&gt;=1,G523&lt;=31),IF(AND(MONTH(DATE(E523,F523,G523))=F523,DAY(DATE(E523,F523,G523))=G523),1,0),0)</f>
        <v>1</v>
      </c>
      <c r="I523" s="7">
        <f>IF(H523=1,DATE(E523,F523,G523),"")</f>
        <v>46173.0</v>
      </c>
      <c r="J523" s="7">
        <f>IF(AND(D523="DMY",H523=1),1,0)</f>
        <v>0</v>
      </c>
      <c r="K523" s="7">
        <f>IF(H523=0,1,0)</f>
        <v>0</v>
      </c>
      <c r="L523" s="7">
        <f>IF(TRIM(Raw_Bookings!I523&amp;"")="",1,0)</f>
        <v>0</v>
      </c>
      <c r="M523" s="7">
        <f>IF(L523=1,"",DATEVALUE(LEFT(Raw_Bookings!I523,10))+TIMEVALUE(MID(Raw_Bookings!I523,12,8)))</f>
        <v>46125.285520833335</v>
      </c>
      <c r="N523" s="7">
        <f>IF(AND(L523=0,H523=1),IF(INT(M523)&gt;I523,1,0),0)</f>
        <v>0</v>
      </c>
      <c r="O523" s="7" t="str">
        <f>UPPER(TRIM(Raw_Bookings!F523))</f>
        <v>KOL</v>
      </c>
      <c r="P523" s="7" t="str">
        <f>UPPER(TRIM(Raw_Bookings!G523))</f>
        <v>HYD</v>
      </c>
      <c r="Q523" s="7">
        <f>IF(COUNTIF(Lookup_Stations!$A$2:$A$33,O523)&gt;0,1,0)</f>
        <v>1</v>
      </c>
      <c r="R523" s="7">
        <f>IF(COUNTIF(Lookup_Stations!$A$2:$A$33,P523)&gt;0,1,0)</f>
        <v>1</v>
      </c>
      <c r="S523" s="7">
        <f>IF(OR(AND(Q523=1,NOT(EXACT(Raw_Bookings!F523,O523))),AND(R523=1,NOT(EXACT(Raw_Bookings!G523,P523)))),1,0)</f>
        <v>0</v>
      </c>
      <c r="T523" s="7">
        <f>IF(OR(Q523=0,R523=0),1,0)</f>
        <v>0</v>
      </c>
      <c r="U523" s="7">
        <f>IF(TRIM(Raw_Bookings!E523&amp;"")="",1,0)</f>
        <v>0</v>
      </c>
      <c r="V523" s="7" t="str">
        <f>IF(SUMPRODUCT(--(Lookup_Status!$A$2:$A$13=LOWER(TRIM(Raw_Bookings!K523))))=0,"",INDEX(Lookup_Status!$B$2:$B$13,SUMPRODUCT((Lookup_Status!$A$2:$A$13=LOWER(TRIM(Raw_Bookings!K523)))*(ROW(Lookup_Status!$A$2:$A$13)-1))))</f>
        <v>Confirmed</v>
      </c>
      <c r="W523" s="7">
        <f>IF(AND(V523&lt;&gt;"",NOT(EXACT(Raw_Bookings!K523,V523))),1,0)</f>
        <v>0</v>
      </c>
      <c r="X523" s="7">
        <f>IF(V523="",1,0)</f>
        <v>0</v>
      </c>
      <c r="Y523" s="7">
        <f>IF(TRIM(Raw_Bookings!L523&amp;"")="",1,0)</f>
        <v>0</v>
      </c>
      <c r="Z523" s="7">
        <f>IF(AND(ISTEXT(Raw_Bookings!L523),Y523=0),1,0)</f>
        <v>0</v>
      </c>
      <c r="AA523" s="7">
        <f>IF(Z523=1,IFERROR(VALUE(SUBSTITUTE(SUBSTITUTE(SUBSTITUTE(SUBSTITUTE(SUBSTITUTE(UPPER(Raw_Bookings!L523),"RS.",""),"₹",""),",","")," ",""),"INR","")),""),"")</f>
        <v/>
      </c>
      <c r="AB523" s="7">
        <f>IF(AND(Z523=1,ISNUMBER(AA523)),1,0)</f>
        <v>0</v>
      </c>
      <c r="AC523" s="7">
        <f>IF(B523=1,0,IF(NOT(ISNUMBER(Raw_Bookings!J523)),1,IF(Raw_Bookings!J523&lt;&gt;COUNTIFS(Work_Passengers!$B$2:$B$1336,Raw_Bookings!A523,Work_Passengers!$C$2:$C$1336,0),1,0)))</f>
        <v>0</v>
      </c>
    </row>
    <row r="524" spans="1:29">
      <c r="A524" s="7">
        <f>Raw_Bookings!A524</f>
        <v>1170529</v>
      </c>
      <c r="B524" s="7">
        <f>IF(COUNTIF(Raw_Bookings!$A$2:A524,Raw_Bookings!A524)&gt;1,1,0)</f>
        <v>0</v>
      </c>
      <c r="C524" s="7" t="str">
        <f>Raw_Bookings!D524&amp;""</f>
        <v>2026-04-15</v>
      </c>
      <c r="D524" s="7" t="str">
        <f>IF(AND(LEN(C524)=10,MID(C524,5,1)="-",MID(C524,8,1)="-"),"ISO",IF(AND(LEN(C524)=10,MID(C524,3,1)="-",MID(C524,6,1)="-"),"DMY","OTHER"))</f>
        <v>ISO</v>
      </c>
      <c r="E524" s="7">
        <f>IF(D524="ISO",VALUE(LEFT(C524,4)),IF(D524="DMY",VALUE(RIGHT(C524,4)),0))</f>
        <v>2026</v>
      </c>
      <c r="F524" s="7">
        <f>IF(D524="ISO",VALUE(MID(C524,6,2)),IF(D524="DMY",VALUE(MID(C524,4,2)),0))</f>
        <v>4</v>
      </c>
      <c r="G524" s="7">
        <f>IF(D524="ISO",VALUE(RIGHT(C524,2)),IF(D524="DMY",VALUE(LEFT(C524,2)),0))</f>
        <v>15</v>
      </c>
      <c r="H524" s="7">
        <f>IF(AND(D524&lt;&gt;"OTHER",F524&gt;=1,F524&lt;=12,G524&gt;=1,G524&lt;=31),IF(AND(MONTH(DATE(E524,F524,G524))=F524,DAY(DATE(E524,F524,G524))=G524),1,0),0)</f>
        <v>1</v>
      </c>
      <c r="I524" s="7">
        <f>IF(H524=1,DATE(E524,F524,G524),"")</f>
        <v>46127.0</v>
      </c>
      <c r="J524" s="7">
        <f>IF(AND(D524="DMY",H524=1),1,0)</f>
        <v>0</v>
      </c>
      <c r="K524" s="7">
        <f>IF(H524=0,1,0)</f>
        <v>0</v>
      </c>
      <c r="L524" s="7">
        <f>IF(TRIM(Raw_Bookings!I524&amp;"")="",1,0)</f>
        <v>0</v>
      </c>
      <c r="M524" s="7">
        <f>IF(L524=1,"",DATEVALUE(LEFT(Raw_Bookings!I524,10))+TIMEVALUE(MID(Raw_Bookings!I524,12,8)))</f>
        <v>46126.91171296296</v>
      </c>
      <c r="N524" s="7">
        <f>IF(AND(L524=0,H524=1),IF(INT(M524)&gt;I524,1,0),0)</f>
        <v>0</v>
      </c>
      <c r="O524" s="7" t="str">
        <f>UPPER(TRIM(Raw_Bookings!F524))</f>
        <v>AMR</v>
      </c>
      <c r="P524" s="7" t="str">
        <f>UPPER(TRIM(Raw_Bookings!G524))</f>
        <v>IND</v>
      </c>
      <c r="Q524" s="7">
        <f>IF(COUNTIF(Lookup_Stations!$A$2:$A$33,O524)&gt;0,1,0)</f>
        <v>1</v>
      </c>
      <c r="R524" s="7">
        <f>IF(COUNTIF(Lookup_Stations!$A$2:$A$33,P524)&gt;0,1,0)</f>
        <v>1</v>
      </c>
      <c r="S524" s="7">
        <f>IF(OR(AND(Q524=1,NOT(EXACT(Raw_Bookings!F524,O524))),AND(R524=1,NOT(EXACT(Raw_Bookings!G524,P524)))),1,0)</f>
        <v>0</v>
      </c>
      <c r="T524" s="7">
        <f>IF(OR(Q524=0,R524=0),1,0)</f>
        <v>0</v>
      </c>
      <c r="U524" s="7">
        <f>IF(TRIM(Raw_Bookings!E524&amp;"")="",1,0)</f>
        <v>0</v>
      </c>
      <c r="V524" s="7" t="str">
        <f>IF(SUMPRODUCT(--(Lookup_Status!$A$2:$A$13=LOWER(TRIM(Raw_Bookings!K524))))=0,"",INDEX(Lookup_Status!$B$2:$B$13,SUMPRODUCT((Lookup_Status!$A$2:$A$13=LOWER(TRIM(Raw_Bookings!K524)))*(ROW(Lookup_Status!$A$2:$A$13)-1))))</f>
        <v>Confirmed</v>
      </c>
      <c r="W524" s="7">
        <f>IF(AND(V524&lt;&gt;"",NOT(EXACT(Raw_Bookings!K524,V524))),1,0)</f>
        <v>0</v>
      </c>
      <c r="X524" s="7">
        <f>IF(V524="",1,0)</f>
        <v>0</v>
      </c>
      <c r="Y524" s="7">
        <f>IF(TRIM(Raw_Bookings!L524&amp;"")="",1,0)</f>
        <v>0</v>
      </c>
      <c r="Z524" s="7">
        <f>IF(AND(ISTEXT(Raw_Bookings!L524),Y524=0),1,0)</f>
        <v>0</v>
      </c>
      <c r="AA524" s="7">
        <f>IF(Z524=1,IFERROR(VALUE(SUBSTITUTE(SUBSTITUTE(SUBSTITUTE(SUBSTITUTE(SUBSTITUTE(UPPER(Raw_Bookings!L524),"RS.",""),"₹",""),",","")," ",""),"INR","")),""),"")</f>
        <v/>
      </c>
      <c r="AB524" s="7">
        <f>IF(AND(Z524=1,ISNUMBER(AA524)),1,0)</f>
        <v>0</v>
      </c>
      <c r="AC524" s="7">
        <f>IF(B524=1,0,IF(NOT(ISNUMBER(Raw_Bookings!J524)),1,IF(Raw_Bookings!J524&lt;&gt;COUNTIFS(Work_Passengers!$B$2:$B$1336,Raw_Bookings!A524,Work_Passengers!$C$2:$C$1336,0),1,0)))</f>
        <v>0</v>
      </c>
    </row>
    <row r="525" spans="1:29">
      <c r="A525" s="7">
        <f>Raw_Bookings!A525</f>
        <v>1170536</v>
      </c>
      <c r="B525" s="7">
        <f>IF(COUNTIF(Raw_Bookings!$A$2:A525,Raw_Bookings!A525)&gt;1,1,0)</f>
        <v>0</v>
      </c>
      <c r="C525" s="7" t="str">
        <f>Raw_Bookings!D525&amp;""</f>
        <v>2026-05-04</v>
      </c>
      <c r="D525" s="7" t="str">
        <f>IF(AND(LEN(C525)=10,MID(C525,5,1)="-",MID(C525,8,1)="-"),"ISO",IF(AND(LEN(C525)=10,MID(C525,3,1)="-",MID(C525,6,1)="-"),"DMY","OTHER"))</f>
        <v>ISO</v>
      </c>
      <c r="E525" s="7">
        <f>IF(D525="ISO",VALUE(LEFT(C525,4)),IF(D525="DMY",VALUE(RIGHT(C525,4)),0))</f>
        <v>2026</v>
      </c>
      <c r="F525" s="7">
        <f>IF(D525="ISO",VALUE(MID(C525,6,2)),IF(D525="DMY",VALUE(MID(C525,4,2)),0))</f>
        <v>5</v>
      </c>
      <c r="G525" s="7">
        <f>IF(D525="ISO",VALUE(RIGHT(C525,2)),IF(D525="DMY",VALUE(LEFT(C525,2)),0))</f>
        <v>4</v>
      </c>
      <c r="H525" s="7">
        <f>IF(AND(D525&lt;&gt;"OTHER",F525&gt;=1,F525&lt;=12,G525&gt;=1,G525&lt;=31),IF(AND(MONTH(DATE(E525,F525,G525))=F525,DAY(DATE(E525,F525,G525))=G525),1,0),0)</f>
        <v>1</v>
      </c>
      <c r="I525" s="7">
        <f>IF(H525=1,DATE(E525,F525,G525),"")</f>
        <v>46146.0</v>
      </c>
      <c r="J525" s="7">
        <f>IF(AND(D525="DMY",H525=1),1,0)</f>
        <v>0</v>
      </c>
      <c r="K525" s="7">
        <f>IF(H525=0,1,0)</f>
        <v>0</v>
      </c>
      <c r="L525" s="7">
        <f>IF(TRIM(Raw_Bookings!I525&amp;"")="",1,0)</f>
        <v>0</v>
      </c>
      <c r="M525" s="7">
        <f>IF(L525=1,"",DATEVALUE(LEFT(Raw_Bookings!I525,10))+TIMEVALUE(MID(Raw_Bookings!I525,12,8)))</f>
        <v>46126.93356481481</v>
      </c>
      <c r="N525" s="7">
        <f>IF(AND(L525=0,H525=1),IF(INT(M525)&gt;I525,1,0),0)</f>
        <v>0</v>
      </c>
      <c r="O525" s="7" t="str">
        <f>UPPER(TRIM(Raw_Bookings!F525))</f>
        <v>DEL</v>
      </c>
      <c r="P525" s="7" t="str">
        <f>UPPER(TRIM(Raw_Bookings!G525))</f>
        <v>DIB</v>
      </c>
      <c r="Q525" s="7">
        <f>IF(COUNTIF(Lookup_Stations!$A$2:$A$33,O525)&gt;0,1,0)</f>
        <v>1</v>
      </c>
      <c r="R525" s="7">
        <f>IF(COUNTIF(Lookup_Stations!$A$2:$A$33,P525)&gt;0,1,0)</f>
        <v>1</v>
      </c>
      <c r="S525" s="7">
        <f>IF(OR(AND(Q525=1,NOT(EXACT(Raw_Bookings!F525,O525))),AND(R525=1,NOT(EXACT(Raw_Bookings!G525,P525)))),1,0)</f>
        <v>0</v>
      </c>
      <c r="T525" s="7">
        <f>IF(OR(Q525=0,R525=0),1,0)</f>
        <v>0</v>
      </c>
      <c r="U525" s="7">
        <f>IF(TRIM(Raw_Bookings!E525&amp;"")="",1,0)</f>
        <v>0</v>
      </c>
      <c r="V525" s="7" t="str">
        <f>IF(SUMPRODUCT(--(Lookup_Status!$A$2:$A$13=LOWER(TRIM(Raw_Bookings!K525))))=0,"",INDEX(Lookup_Status!$B$2:$B$13,SUMPRODUCT((Lookup_Status!$A$2:$A$13=LOWER(TRIM(Raw_Bookings!K525)))*(ROW(Lookup_Status!$A$2:$A$13)-1))))</f>
        <v>Confirmed</v>
      </c>
      <c r="W525" s="7">
        <f>IF(AND(V525&lt;&gt;"",NOT(EXACT(Raw_Bookings!K525,V525))),1,0)</f>
        <v>0</v>
      </c>
      <c r="X525" s="7">
        <f>IF(V525="",1,0)</f>
        <v>0</v>
      </c>
      <c r="Y525" s="7">
        <f>IF(TRIM(Raw_Bookings!L525&amp;"")="",1,0)</f>
        <v>0</v>
      </c>
      <c r="Z525" s="7">
        <f>IF(AND(ISTEXT(Raw_Bookings!L525),Y525=0),1,0)</f>
        <v>0</v>
      </c>
      <c r="AA525" s="7">
        <f>IF(Z525=1,IFERROR(VALUE(SUBSTITUTE(SUBSTITUTE(SUBSTITUTE(SUBSTITUTE(SUBSTITUTE(UPPER(Raw_Bookings!L525),"RS.",""),"₹",""),",","")," ",""),"INR","")),""),"")</f>
        <v/>
      </c>
      <c r="AB525" s="7">
        <f>IF(AND(Z525=1,ISNUMBER(AA525)),1,0)</f>
        <v>0</v>
      </c>
      <c r="AC525" s="7">
        <f>IF(B525=1,0,IF(NOT(ISNUMBER(Raw_Bookings!J525)),1,IF(Raw_Bookings!J525&lt;&gt;COUNTIFS(Work_Passengers!$B$2:$B$1336,Raw_Bookings!A525,Work_Passengers!$C$2:$C$1336,0),1,0)))</f>
        <v>0</v>
      </c>
    </row>
    <row r="526" spans="1:29">
      <c r="A526" s="7">
        <f>Raw_Bookings!A526</f>
        <v>1170583</v>
      </c>
      <c r="B526" s="7">
        <f>IF(COUNTIF(Raw_Bookings!$A$2:A526,Raw_Bookings!A526)&gt;1,1,0)</f>
        <v>0</v>
      </c>
      <c r="C526" s="7" t="str">
        <f>Raw_Bookings!D526&amp;""</f>
        <v>2026-04-20</v>
      </c>
      <c r="D526" s="7" t="str">
        <f>IF(AND(LEN(C526)=10,MID(C526,5,1)="-",MID(C526,8,1)="-"),"ISO",IF(AND(LEN(C526)=10,MID(C526,3,1)="-",MID(C526,6,1)="-"),"DMY","OTHER"))</f>
        <v>ISO</v>
      </c>
      <c r="E526" s="7">
        <f>IF(D526="ISO",VALUE(LEFT(C526,4)),IF(D526="DMY",VALUE(RIGHT(C526,4)),0))</f>
        <v>2026</v>
      </c>
      <c r="F526" s="7">
        <f>IF(D526="ISO",VALUE(MID(C526,6,2)),IF(D526="DMY",VALUE(MID(C526,4,2)),0))</f>
        <v>4</v>
      </c>
      <c r="G526" s="7">
        <f>IF(D526="ISO",VALUE(RIGHT(C526,2)),IF(D526="DMY",VALUE(LEFT(C526,2)),0))</f>
        <v>20</v>
      </c>
      <c r="H526" s="7">
        <f>IF(AND(D526&lt;&gt;"OTHER",F526&gt;=1,F526&lt;=12,G526&gt;=1,G526&lt;=31),IF(AND(MONTH(DATE(E526,F526,G526))=F526,DAY(DATE(E526,F526,G526))=G526),1,0),0)</f>
        <v>1</v>
      </c>
      <c r="I526" s="7">
        <f>IF(H526=1,DATE(E526,F526,G526),"")</f>
        <v>46132.0</v>
      </c>
      <c r="J526" s="7">
        <f>IF(AND(D526="DMY",H526=1),1,0)</f>
        <v>0</v>
      </c>
      <c r="K526" s="7">
        <f>IF(H526=0,1,0)</f>
        <v>0</v>
      </c>
      <c r="L526" s="7">
        <f>IF(TRIM(Raw_Bookings!I526&amp;"")="",1,0)</f>
        <v>0</v>
      </c>
      <c r="M526" s="7">
        <f>IF(L526=1,"",DATEVALUE(LEFT(Raw_Bookings!I526,10))+TIMEVALUE(MID(Raw_Bookings!I526,12,8)))</f>
        <v>46127.29650462963</v>
      </c>
      <c r="N526" s="7">
        <f>IF(AND(L526=0,H526=1),IF(INT(M526)&gt;I526,1,0),0)</f>
        <v>0</v>
      </c>
      <c r="O526" s="7" t="str">
        <f>UPPER(TRIM(Raw_Bookings!F526))</f>
        <v>HYD</v>
      </c>
      <c r="P526" s="7" t="str">
        <f>UPPER(TRIM(Raw_Bookings!G526))</f>
        <v>KOL</v>
      </c>
      <c r="Q526" s="7">
        <f>IF(COUNTIF(Lookup_Stations!$A$2:$A$33,O526)&gt;0,1,0)</f>
        <v>1</v>
      </c>
      <c r="R526" s="7">
        <f>IF(COUNTIF(Lookup_Stations!$A$2:$A$33,P526)&gt;0,1,0)</f>
        <v>1</v>
      </c>
      <c r="S526" s="7">
        <f>IF(OR(AND(Q526=1,NOT(EXACT(Raw_Bookings!F526,O526))),AND(R526=1,NOT(EXACT(Raw_Bookings!G526,P526)))),1,0)</f>
        <v>0</v>
      </c>
      <c r="T526" s="7">
        <f>IF(OR(Q526=0,R526=0),1,0)</f>
        <v>0</v>
      </c>
      <c r="U526" s="7">
        <f>IF(TRIM(Raw_Bookings!E526&amp;"")="",1,0)</f>
        <v>0</v>
      </c>
      <c r="V526" s="7" t="str">
        <f>IF(SUMPRODUCT(--(Lookup_Status!$A$2:$A$13=LOWER(TRIM(Raw_Bookings!K526))))=0,"",INDEX(Lookup_Status!$B$2:$B$13,SUMPRODUCT((Lookup_Status!$A$2:$A$13=LOWER(TRIM(Raw_Bookings!K526)))*(ROW(Lookup_Status!$A$2:$A$13)-1))))</f>
        <v>Waitlisted</v>
      </c>
      <c r="W526" s="7">
        <f>IF(AND(V526&lt;&gt;"",NOT(EXACT(Raw_Bookings!K526,V526))),1,0)</f>
        <v>0</v>
      </c>
      <c r="X526" s="7">
        <f>IF(V526="",1,0)</f>
        <v>0</v>
      </c>
      <c r="Y526" s="7">
        <f>IF(TRIM(Raw_Bookings!L526&amp;"")="",1,0)</f>
        <v>0</v>
      </c>
      <c r="Z526" s="7">
        <f>IF(AND(ISTEXT(Raw_Bookings!L526),Y526=0),1,0)</f>
        <v>0</v>
      </c>
      <c r="AA526" s="7">
        <f>IF(Z526=1,IFERROR(VALUE(SUBSTITUTE(SUBSTITUTE(SUBSTITUTE(SUBSTITUTE(SUBSTITUTE(UPPER(Raw_Bookings!L526),"RS.",""),"₹",""),",","")," ",""),"INR","")),""),"")</f>
        <v/>
      </c>
      <c r="AB526" s="7">
        <f>IF(AND(Z526=1,ISNUMBER(AA526)),1,0)</f>
        <v>0</v>
      </c>
      <c r="AC526" s="7">
        <f>IF(B526=1,0,IF(NOT(ISNUMBER(Raw_Bookings!J526)),1,IF(Raw_Bookings!J526&lt;&gt;COUNTIFS(Work_Passengers!$B$2:$B$1336,Raw_Bookings!A526,Work_Passengers!$C$2:$C$1336,0),1,0)))</f>
        <v>0</v>
      </c>
    </row>
    <row r="527" spans="1:29">
      <c r="A527" s="7">
        <f>Raw_Bookings!A527</f>
        <v>1170781</v>
      </c>
      <c r="B527" s="7">
        <f>IF(COUNTIF(Raw_Bookings!$A$2:A527,Raw_Bookings!A527)&gt;1,1,0)</f>
        <v>0</v>
      </c>
      <c r="C527" s="7" t="str">
        <f>Raw_Bookings!D527&amp;""</f>
        <v>2026-06-07</v>
      </c>
      <c r="D527" s="7" t="str">
        <f>IF(AND(LEN(C527)=10,MID(C527,5,1)="-",MID(C527,8,1)="-"),"ISO",IF(AND(LEN(C527)=10,MID(C527,3,1)="-",MID(C527,6,1)="-"),"DMY","OTHER"))</f>
        <v>ISO</v>
      </c>
      <c r="E527" s="7">
        <f>IF(D527="ISO",VALUE(LEFT(C527,4)),IF(D527="DMY",VALUE(RIGHT(C527,4)),0))</f>
        <v>2026</v>
      </c>
      <c r="F527" s="7">
        <f>IF(D527="ISO",VALUE(MID(C527,6,2)),IF(D527="DMY",VALUE(MID(C527,4,2)),0))</f>
        <v>6</v>
      </c>
      <c r="G527" s="7">
        <f>IF(D527="ISO",VALUE(RIGHT(C527,2)),IF(D527="DMY",VALUE(LEFT(C527,2)),0))</f>
        <v>7</v>
      </c>
      <c r="H527" s="7">
        <f>IF(AND(D527&lt;&gt;"OTHER",F527&gt;=1,F527&lt;=12,G527&gt;=1,G527&lt;=31),IF(AND(MONTH(DATE(E527,F527,G527))=F527,DAY(DATE(E527,F527,G527))=G527),1,0),0)</f>
        <v>1</v>
      </c>
      <c r="I527" s="7">
        <f>IF(H527=1,DATE(E527,F527,G527),"")</f>
        <v>46180.0</v>
      </c>
      <c r="J527" s="7">
        <f>IF(AND(D527="DMY",H527=1),1,0)</f>
        <v>0</v>
      </c>
      <c r="K527" s="7">
        <f>IF(H527=0,1,0)</f>
        <v>0</v>
      </c>
      <c r="L527" s="7">
        <f>IF(TRIM(Raw_Bookings!I527&amp;"")="",1,0)</f>
        <v>0</v>
      </c>
      <c r="M527" s="7">
        <f>IF(L527=1,"",DATEVALUE(LEFT(Raw_Bookings!I527,10))+TIMEVALUE(MID(Raw_Bookings!I527,12,8)))</f>
        <v>46127.73662037037</v>
      </c>
      <c r="N527" s="7">
        <f>IF(AND(L527=0,H527=1),IF(INT(M527)&gt;I527,1,0),0)</f>
        <v>0</v>
      </c>
      <c r="O527" s="7" t="str">
        <f>UPPER(TRIM(Raw_Bookings!F527))</f>
        <v>AHM</v>
      </c>
      <c r="P527" s="7" t="str">
        <f>UPPER(TRIM(Raw_Bookings!G527))</f>
        <v>VAR</v>
      </c>
      <c r="Q527" s="7">
        <f>IF(COUNTIF(Lookup_Stations!$A$2:$A$33,O527)&gt;0,1,0)</f>
        <v>1</v>
      </c>
      <c r="R527" s="7">
        <f>IF(COUNTIF(Lookup_Stations!$A$2:$A$33,P527)&gt;0,1,0)</f>
        <v>1</v>
      </c>
      <c r="S527" s="7">
        <f>IF(OR(AND(Q527=1,NOT(EXACT(Raw_Bookings!F527,O527))),AND(R527=1,NOT(EXACT(Raw_Bookings!G527,P527)))),1,0)</f>
        <v>0</v>
      </c>
      <c r="T527" s="7">
        <f>IF(OR(Q527=0,R527=0),1,0)</f>
        <v>0</v>
      </c>
      <c r="U527" s="7">
        <f>IF(TRIM(Raw_Bookings!E527&amp;"")="",1,0)</f>
        <v>1</v>
      </c>
      <c r="V527" s="7" t="str">
        <f>IF(SUMPRODUCT(--(Lookup_Status!$A$2:$A$13=LOWER(TRIM(Raw_Bookings!K527))))=0,"",INDEX(Lookup_Status!$B$2:$B$13,SUMPRODUCT((Lookup_Status!$A$2:$A$13=LOWER(TRIM(Raw_Bookings!K527)))*(ROW(Lookup_Status!$A$2:$A$13)-1))))</f>
        <v>Confirmed</v>
      </c>
      <c r="W527" s="7">
        <f>IF(AND(V527&lt;&gt;"",NOT(EXACT(Raw_Bookings!K527,V527))),1,0)</f>
        <v>0</v>
      </c>
      <c r="X527" s="7">
        <f>IF(V527="",1,0)</f>
        <v>0</v>
      </c>
      <c r="Y527" s="7">
        <f>IF(TRIM(Raw_Bookings!L527&amp;"")="",1,0)</f>
        <v>0</v>
      </c>
      <c r="Z527" s="7">
        <f>IF(AND(ISTEXT(Raw_Bookings!L527),Y527=0),1,0)</f>
        <v>0</v>
      </c>
      <c r="AA527" s="7">
        <f>IF(Z527=1,IFERROR(VALUE(SUBSTITUTE(SUBSTITUTE(SUBSTITUTE(SUBSTITUTE(SUBSTITUTE(UPPER(Raw_Bookings!L527),"RS.",""),"₹",""),",","")," ",""),"INR","")),""),"")</f>
        <v/>
      </c>
      <c r="AB527" s="7">
        <f>IF(AND(Z527=1,ISNUMBER(AA527)),1,0)</f>
        <v>0</v>
      </c>
      <c r="AC527" s="7">
        <f>IF(B527=1,0,IF(NOT(ISNUMBER(Raw_Bookings!J527)),1,IF(Raw_Bookings!J527&lt;&gt;COUNTIFS(Work_Passengers!$B$2:$B$1336,Raw_Bookings!A527,Work_Passengers!$C$2:$C$1336,0),1,0)))</f>
        <v>0</v>
      </c>
    </row>
    <row r="528" spans="1:29">
      <c r="A528" s="7">
        <f>Raw_Bookings!A528</f>
        <v>1170933</v>
      </c>
      <c r="B528" s="7">
        <f>IF(COUNTIF(Raw_Bookings!$A$2:A528,Raw_Bookings!A528)&gt;1,1,0)</f>
        <v>0</v>
      </c>
      <c r="C528" s="7" t="str">
        <f>Raw_Bookings!D528&amp;""</f>
        <v>2026-05-31</v>
      </c>
      <c r="D528" s="7" t="str">
        <f>IF(AND(LEN(C528)=10,MID(C528,5,1)="-",MID(C528,8,1)="-"),"ISO",IF(AND(LEN(C528)=10,MID(C528,3,1)="-",MID(C528,6,1)="-"),"DMY","OTHER"))</f>
        <v>ISO</v>
      </c>
      <c r="E528" s="7">
        <f>IF(D528="ISO",VALUE(LEFT(C528,4)),IF(D528="DMY",VALUE(RIGHT(C528,4)),0))</f>
        <v>2026</v>
      </c>
      <c r="F528" s="7">
        <f>IF(D528="ISO",VALUE(MID(C528,6,2)),IF(D528="DMY",VALUE(MID(C528,4,2)),0))</f>
        <v>5</v>
      </c>
      <c r="G528" s="7">
        <f>IF(D528="ISO",VALUE(RIGHT(C528,2)),IF(D528="DMY",VALUE(LEFT(C528,2)),0))</f>
        <v>31</v>
      </c>
      <c r="H528" s="7">
        <f>IF(AND(D528&lt;&gt;"OTHER",F528&gt;=1,F528&lt;=12,G528&gt;=1,G528&lt;=31),IF(AND(MONTH(DATE(E528,F528,G528))=F528,DAY(DATE(E528,F528,G528))=G528),1,0),0)</f>
        <v>1</v>
      </c>
      <c r="I528" s="7">
        <f>IF(H528=1,DATE(E528,F528,G528),"")</f>
        <v>46173.0</v>
      </c>
      <c r="J528" s="7">
        <f>IF(AND(D528="DMY",H528=1),1,0)</f>
        <v>0</v>
      </c>
      <c r="K528" s="7">
        <f>IF(H528=0,1,0)</f>
        <v>0</v>
      </c>
      <c r="L528" s="7">
        <f>IF(TRIM(Raw_Bookings!I528&amp;"")="",1,0)</f>
        <v>0</v>
      </c>
      <c r="M528" s="7">
        <f>IF(L528=1,"",DATEVALUE(LEFT(Raw_Bookings!I528,10))+TIMEVALUE(MID(Raw_Bookings!I528,12,8)))</f>
        <v>46128.348275462966</v>
      </c>
      <c r="N528" s="7">
        <f>IF(AND(L528=0,H528=1),IF(INT(M528)&gt;I528,1,0),0)</f>
        <v>0</v>
      </c>
      <c r="O528" s="7" t="str">
        <f>UPPER(TRIM(Raw_Bookings!F528))</f>
        <v>DEL</v>
      </c>
      <c r="P528" s="7" t="str">
        <f>UPPER(TRIM(Raw_Bookings!G528))</f>
        <v>DIB</v>
      </c>
      <c r="Q528" s="7">
        <f>IF(COUNTIF(Lookup_Stations!$A$2:$A$33,O528)&gt;0,1,0)</f>
        <v>1</v>
      </c>
      <c r="R528" s="7">
        <f>IF(COUNTIF(Lookup_Stations!$A$2:$A$33,P528)&gt;0,1,0)</f>
        <v>1</v>
      </c>
      <c r="S528" s="7">
        <f>IF(OR(AND(Q528=1,NOT(EXACT(Raw_Bookings!F528,O528))),AND(R528=1,NOT(EXACT(Raw_Bookings!G528,P528)))),1,0)</f>
        <v>0</v>
      </c>
      <c r="T528" s="7">
        <f>IF(OR(Q528=0,R528=0),1,0)</f>
        <v>0</v>
      </c>
      <c r="U528" s="7">
        <f>IF(TRIM(Raw_Bookings!E528&amp;"")="",1,0)</f>
        <v>0</v>
      </c>
      <c r="V528" s="7">
        <f>IF(SUMPRODUCT(--(Lookup_Status!$A$2:$A$13=LOWER(TRIM(Raw_Bookings!K528))))=0,"",INDEX(Lookup_Status!$B$2:$B$13,SUMPRODUCT((Lookup_Status!$A$2:$A$13=LOWER(TRIM(Raw_Bookings!K528)))*(ROW(Lookup_Status!$A$2:$A$13)-1))))</f>
        <v/>
      </c>
      <c r="W528" s="7">
        <f>IF(AND(V528&lt;&gt;"",NOT(EXACT(Raw_Bookings!K528,V528))),1,0)</f>
        <v>0</v>
      </c>
      <c r="X528" s="7">
        <f>IF(V528="",1,0)</f>
        <v>1</v>
      </c>
      <c r="Y528" s="7">
        <f>IF(TRIM(Raw_Bookings!L528&amp;"")="",1,0)</f>
        <v>0</v>
      </c>
      <c r="Z528" s="7">
        <f>IF(AND(ISTEXT(Raw_Bookings!L528),Y528=0),1,0)</f>
        <v>0</v>
      </c>
      <c r="AA528" s="7">
        <f>IF(Z528=1,IFERROR(VALUE(SUBSTITUTE(SUBSTITUTE(SUBSTITUTE(SUBSTITUTE(SUBSTITUTE(UPPER(Raw_Bookings!L528),"RS.",""),"₹",""),",","")," ",""),"INR","")),""),"")</f>
        <v/>
      </c>
      <c r="AB528" s="7">
        <f>IF(AND(Z528=1,ISNUMBER(AA528)),1,0)</f>
        <v>0</v>
      </c>
      <c r="AC528" s="7">
        <f>IF(B528=1,0,IF(NOT(ISNUMBER(Raw_Bookings!J528)),1,IF(Raw_Bookings!J528&lt;&gt;COUNTIFS(Work_Passengers!$B$2:$B$1336,Raw_Bookings!A528,Work_Passengers!$C$2:$C$1336,0),1,0)))</f>
        <v>0</v>
      </c>
    </row>
    <row r="529" spans="1:29">
      <c r="A529" s="7">
        <f>Raw_Bookings!A529</f>
        <v>1171385</v>
      </c>
      <c r="B529" s="7">
        <f>IF(COUNTIF(Raw_Bookings!$A$2:A529,Raw_Bookings!A529)&gt;1,1,0)</f>
        <v>0</v>
      </c>
      <c r="C529" s="7" t="str">
        <f>Raw_Bookings!D529&amp;""</f>
        <v>2026-06-06</v>
      </c>
      <c r="D529" s="7" t="str">
        <f>IF(AND(LEN(C529)=10,MID(C529,5,1)="-",MID(C529,8,1)="-"),"ISO",IF(AND(LEN(C529)=10,MID(C529,3,1)="-",MID(C529,6,1)="-"),"DMY","OTHER"))</f>
        <v>ISO</v>
      </c>
      <c r="E529" s="7">
        <f>IF(D529="ISO",VALUE(LEFT(C529,4)),IF(D529="DMY",VALUE(RIGHT(C529,4)),0))</f>
        <v>2026</v>
      </c>
      <c r="F529" s="7">
        <f>IF(D529="ISO",VALUE(MID(C529,6,2)),IF(D529="DMY",VALUE(MID(C529,4,2)),0))</f>
        <v>6</v>
      </c>
      <c r="G529" s="7">
        <f>IF(D529="ISO",VALUE(RIGHT(C529,2)),IF(D529="DMY",VALUE(LEFT(C529,2)),0))</f>
        <v>6</v>
      </c>
      <c r="H529" s="7">
        <f>IF(AND(D529&lt;&gt;"OTHER",F529&gt;=1,F529&lt;=12,G529&gt;=1,G529&lt;=31),IF(AND(MONTH(DATE(E529,F529,G529))=F529,DAY(DATE(E529,F529,G529))=G529),1,0),0)</f>
        <v>1</v>
      </c>
      <c r="I529" s="7">
        <f>IF(H529=1,DATE(E529,F529,G529),"")</f>
        <v>46179.0</v>
      </c>
      <c r="J529" s="7">
        <f>IF(AND(D529="DMY",H529=1),1,0)</f>
        <v>0</v>
      </c>
      <c r="K529" s="7">
        <f>IF(H529=0,1,0)</f>
        <v>0</v>
      </c>
      <c r="L529" s="7">
        <f>IF(TRIM(Raw_Bookings!I529&amp;"")="",1,0)</f>
        <v>0</v>
      </c>
      <c r="M529" s="7">
        <f>IF(L529=1,"",DATEVALUE(LEFT(Raw_Bookings!I529,10))+TIMEVALUE(MID(Raw_Bookings!I529,12,8)))</f>
        <v>46129.42822916667</v>
      </c>
      <c r="N529" s="7">
        <f>IF(AND(L529=0,H529=1),IF(INT(M529)&gt;I529,1,0),0)</f>
        <v>0</v>
      </c>
      <c r="O529" s="7" t="str">
        <f>UPPER(TRIM(Raw_Bookings!F529))</f>
        <v>GUW</v>
      </c>
      <c r="P529" s="7" t="str">
        <f>UPPER(TRIM(Raw_Bookings!G529))</f>
        <v>BHO</v>
      </c>
      <c r="Q529" s="7">
        <f>IF(COUNTIF(Lookup_Stations!$A$2:$A$33,O529)&gt;0,1,0)</f>
        <v>1</v>
      </c>
      <c r="R529" s="7">
        <f>IF(COUNTIF(Lookup_Stations!$A$2:$A$33,P529)&gt;0,1,0)</f>
        <v>1</v>
      </c>
      <c r="S529" s="7">
        <f>IF(OR(AND(Q529=1,NOT(EXACT(Raw_Bookings!F529,O529))),AND(R529=1,NOT(EXACT(Raw_Bookings!G529,P529)))),1,0)</f>
        <v>0</v>
      </c>
      <c r="T529" s="7">
        <f>IF(OR(Q529=0,R529=0),1,0)</f>
        <v>0</v>
      </c>
      <c r="U529" s="7">
        <f>IF(TRIM(Raw_Bookings!E529&amp;"")="",1,0)</f>
        <v>0</v>
      </c>
      <c r="V529" s="7" t="str">
        <f>IF(SUMPRODUCT(--(Lookup_Status!$A$2:$A$13=LOWER(TRIM(Raw_Bookings!K529))))=0,"",INDEX(Lookup_Status!$B$2:$B$13,SUMPRODUCT((Lookup_Status!$A$2:$A$13=LOWER(TRIM(Raw_Bookings!K529)))*(ROW(Lookup_Status!$A$2:$A$13)-1))))</f>
        <v>Cancelled</v>
      </c>
      <c r="W529" s="7">
        <f>IF(AND(V529&lt;&gt;"",NOT(EXACT(Raw_Bookings!K529,V529))),1,0)</f>
        <v>0</v>
      </c>
      <c r="X529" s="7">
        <f>IF(V529="",1,0)</f>
        <v>0</v>
      </c>
      <c r="Y529" s="7">
        <f>IF(TRIM(Raw_Bookings!L529&amp;"")="",1,0)</f>
        <v>0</v>
      </c>
      <c r="Z529" s="7">
        <f>IF(AND(ISTEXT(Raw_Bookings!L529),Y529=0),1,0)</f>
        <v>0</v>
      </c>
      <c r="AA529" s="7">
        <f>IF(Z529=1,IFERROR(VALUE(SUBSTITUTE(SUBSTITUTE(SUBSTITUTE(SUBSTITUTE(SUBSTITUTE(UPPER(Raw_Bookings!L529),"RS.",""),"₹",""),",","")," ",""),"INR","")),""),"")</f>
        <v/>
      </c>
      <c r="AB529" s="7">
        <f>IF(AND(Z529=1,ISNUMBER(AA529)),1,0)</f>
        <v>0</v>
      </c>
      <c r="AC529" s="7">
        <f>IF(B529=1,0,IF(NOT(ISNUMBER(Raw_Bookings!J529)),1,IF(Raw_Bookings!J529&lt;&gt;COUNTIFS(Work_Passengers!$B$2:$B$1336,Raw_Bookings!A529,Work_Passengers!$C$2:$C$1336,0),1,0)))</f>
        <v>0</v>
      </c>
    </row>
    <row r="530" spans="1:29">
      <c r="A530" s="7">
        <f>Raw_Bookings!A530</f>
        <v>1171881</v>
      </c>
      <c r="B530" s="7">
        <f>IF(COUNTIF(Raw_Bookings!$A$2:A530,Raw_Bookings!A530)&gt;1,1,0)</f>
        <v>0</v>
      </c>
      <c r="C530" s="7" t="str">
        <f>Raw_Bookings!D530&amp;""</f>
        <v>2026-05-06</v>
      </c>
      <c r="D530" s="7" t="str">
        <f>IF(AND(LEN(C530)=10,MID(C530,5,1)="-",MID(C530,8,1)="-"),"ISO",IF(AND(LEN(C530)=10,MID(C530,3,1)="-",MID(C530,6,1)="-"),"DMY","OTHER"))</f>
        <v>ISO</v>
      </c>
      <c r="E530" s="7">
        <f>IF(D530="ISO",VALUE(LEFT(C530,4)),IF(D530="DMY",VALUE(RIGHT(C530,4)),0))</f>
        <v>2026</v>
      </c>
      <c r="F530" s="7">
        <f>IF(D530="ISO",VALUE(MID(C530,6,2)),IF(D530="DMY",VALUE(MID(C530,4,2)),0))</f>
        <v>5</v>
      </c>
      <c r="G530" s="7">
        <f>IF(D530="ISO",VALUE(RIGHT(C530,2)),IF(D530="DMY",VALUE(LEFT(C530,2)),0))</f>
        <v>6</v>
      </c>
      <c r="H530" s="7">
        <f>IF(AND(D530&lt;&gt;"OTHER",F530&gt;=1,F530&lt;=12,G530&gt;=1,G530&lt;=31),IF(AND(MONTH(DATE(E530,F530,G530))=F530,DAY(DATE(E530,F530,G530))=G530),1,0),0)</f>
        <v>1</v>
      </c>
      <c r="I530" s="7">
        <f>IF(H530=1,DATE(E530,F530,G530),"")</f>
        <v>46148.0</v>
      </c>
      <c r="J530" s="7">
        <f>IF(AND(D530="DMY",H530=1),1,0)</f>
        <v>0</v>
      </c>
      <c r="K530" s="7">
        <f>IF(H530=0,1,0)</f>
        <v>0</v>
      </c>
      <c r="L530" s="7">
        <f>IF(TRIM(Raw_Bookings!I530&amp;"")="",1,0)</f>
        <v>0</v>
      </c>
      <c r="M530" s="7">
        <f>IF(L530=1,"",DATEVALUE(LEFT(Raw_Bookings!I530,10))+TIMEVALUE(MID(Raw_Bookings!I530,12,8)))</f>
        <v>46130.61502314815</v>
      </c>
      <c r="N530" s="7">
        <f>IF(AND(L530=0,H530=1),IF(INT(M530)&gt;I530,1,0),0)</f>
        <v>0</v>
      </c>
      <c r="O530" s="7" t="str">
        <f>UPPER(TRIM(Raw_Bookings!F530))</f>
        <v>BEN</v>
      </c>
      <c r="P530" s="7" t="str">
        <f>UPPER(TRIM(Raw_Bookings!G530))</f>
        <v>MUM</v>
      </c>
      <c r="Q530" s="7">
        <f>IF(COUNTIF(Lookup_Stations!$A$2:$A$33,O530)&gt;0,1,0)</f>
        <v>1</v>
      </c>
      <c r="R530" s="7">
        <f>IF(COUNTIF(Lookup_Stations!$A$2:$A$33,P530)&gt;0,1,0)</f>
        <v>1</v>
      </c>
      <c r="S530" s="7">
        <f>IF(OR(AND(Q530=1,NOT(EXACT(Raw_Bookings!F530,O530))),AND(R530=1,NOT(EXACT(Raw_Bookings!G530,P530)))),1,0)</f>
        <v>0</v>
      </c>
      <c r="T530" s="7">
        <f>IF(OR(Q530=0,R530=0),1,0)</f>
        <v>0</v>
      </c>
      <c r="U530" s="7">
        <f>IF(TRIM(Raw_Bookings!E530&amp;"")="",1,0)</f>
        <v>0</v>
      </c>
      <c r="V530" s="7" t="str">
        <f>IF(SUMPRODUCT(--(Lookup_Status!$A$2:$A$13=LOWER(TRIM(Raw_Bookings!K530))))=0,"",INDEX(Lookup_Status!$B$2:$B$13,SUMPRODUCT((Lookup_Status!$A$2:$A$13=LOWER(TRIM(Raw_Bookings!K530)))*(ROW(Lookup_Status!$A$2:$A$13)-1))))</f>
        <v>RAC</v>
      </c>
      <c r="W530" s="7">
        <f>IF(AND(V530&lt;&gt;"",NOT(EXACT(Raw_Bookings!K530,V530))),1,0)</f>
        <v>0</v>
      </c>
      <c r="X530" s="7">
        <f>IF(V530="",1,0)</f>
        <v>0</v>
      </c>
      <c r="Y530" s="7">
        <f>IF(TRIM(Raw_Bookings!L530&amp;"")="",1,0)</f>
        <v>0</v>
      </c>
      <c r="Z530" s="7">
        <f>IF(AND(ISTEXT(Raw_Bookings!L530),Y530=0),1,0)</f>
        <v>0</v>
      </c>
      <c r="AA530" s="7">
        <f>IF(Z530=1,IFERROR(VALUE(SUBSTITUTE(SUBSTITUTE(SUBSTITUTE(SUBSTITUTE(SUBSTITUTE(UPPER(Raw_Bookings!L530),"RS.",""),"₹",""),",","")," ",""),"INR","")),""),"")</f>
        <v/>
      </c>
      <c r="AB530" s="7">
        <f>IF(AND(Z530=1,ISNUMBER(AA530)),1,0)</f>
        <v>0</v>
      </c>
      <c r="AC530" s="7">
        <f>IF(B530=1,0,IF(NOT(ISNUMBER(Raw_Bookings!J530)),1,IF(Raw_Bookings!J530&lt;&gt;COUNTIFS(Work_Passengers!$B$2:$B$1336,Raw_Bookings!A530,Work_Passengers!$C$2:$C$1336,0),1,0)))</f>
        <v>0</v>
      </c>
    </row>
    <row r="531" spans="1:29">
      <c r="A531" s="7">
        <f>Raw_Bookings!A531</f>
        <v>1171977</v>
      </c>
      <c r="B531" s="7">
        <f>IF(COUNTIF(Raw_Bookings!$A$2:A531,Raw_Bookings!A531)&gt;1,1,0)</f>
        <v>0</v>
      </c>
      <c r="C531" s="7" t="str">
        <f>Raw_Bookings!D531&amp;""</f>
        <v>2026-04-19</v>
      </c>
      <c r="D531" s="7" t="str">
        <f>IF(AND(LEN(C531)=10,MID(C531,5,1)="-",MID(C531,8,1)="-"),"ISO",IF(AND(LEN(C531)=10,MID(C531,3,1)="-",MID(C531,6,1)="-"),"DMY","OTHER"))</f>
        <v>ISO</v>
      </c>
      <c r="E531" s="7">
        <f>IF(D531="ISO",VALUE(LEFT(C531,4)),IF(D531="DMY",VALUE(RIGHT(C531,4)),0))</f>
        <v>2026</v>
      </c>
      <c r="F531" s="7">
        <f>IF(D531="ISO",VALUE(MID(C531,6,2)),IF(D531="DMY",VALUE(MID(C531,4,2)),0))</f>
        <v>4</v>
      </c>
      <c r="G531" s="7">
        <f>IF(D531="ISO",VALUE(RIGHT(C531,2)),IF(D531="DMY",VALUE(LEFT(C531,2)),0))</f>
        <v>19</v>
      </c>
      <c r="H531" s="7">
        <f>IF(AND(D531&lt;&gt;"OTHER",F531&gt;=1,F531&lt;=12,G531&gt;=1,G531&lt;=31),IF(AND(MONTH(DATE(E531,F531,G531))=F531,DAY(DATE(E531,F531,G531))=G531),1,0),0)</f>
        <v>1</v>
      </c>
      <c r="I531" s="7">
        <f>IF(H531=1,DATE(E531,F531,G531),"")</f>
        <v>46131.0</v>
      </c>
      <c r="J531" s="7">
        <f>IF(AND(D531="DMY",H531=1),1,0)</f>
        <v>0</v>
      </c>
      <c r="K531" s="7">
        <f>IF(H531=0,1,0)</f>
        <v>0</v>
      </c>
      <c r="L531" s="7">
        <f>IF(TRIM(Raw_Bookings!I531&amp;"")="",1,0)</f>
        <v>0</v>
      </c>
      <c r="M531" s="7">
        <f>IF(L531=1,"",DATEVALUE(LEFT(Raw_Bookings!I531,10))+TIMEVALUE(MID(Raw_Bookings!I531,12,8)))</f>
        <v>46130.79258101852</v>
      </c>
      <c r="N531" s="7">
        <f>IF(AND(L531=0,H531=1),IF(INT(M531)&gt;I531,1,0),0)</f>
        <v>0</v>
      </c>
      <c r="O531" s="7" t="str">
        <f>UPPER(TRIM(Raw_Bookings!F531))</f>
        <v>NAG</v>
      </c>
      <c r="P531" s="7" t="str">
        <f>UPPER(TRIM(Raw_Bookings!G531))</f>
        <v>THI</v>
      </c>
      <c r="Q531" s="7">
        <f>IF(COUNTIF(Lookup_Stations!$A$2:$A$33,O531)&gt;0,1,0)</f>
        <v>1</v>
      </c>
      <c r="R531" s="7">
        <f>IF(COUNTIF(Lookup_Stations!$A$2:$A$33,P531)&gt;0,1,0)</f>
        <v>1</v>
      </c>
      <c r="S531" s="7">
        <f>IF(OR(AND(Q531=1,NOT(EXACT(Raw_Bookings!F531,O531))),AND(R531=1,NOT(EXACT(Raw_Bookings!G531,P531)))),1,0)</f>
        <v>0</v>
      </c>
      <c r="T531" s="7">
        <f>IF(OR(Q531=0,R531=0),1,0)</f>
        <v>0</v>
      </c>
      <c r="U531" s="7">
        <f>IF(TRIM(Raw_Bookings!E531&amp;"")="",1,0)</f>
        <v>0</v>
      </c>
      <c r="V531" s="7" t="str">
        <f>IF(SUMPRODUCT(--(Lookup_Status!$A$2:$A$13=LOWER(TRIM(Raw_Bookings!K531))))=0,"",INDEX(Lookup_Status!$B$2:$B$13,SUMPRODUCT((Lookup_Status!$A$2:$A$13=LOWER(TRIM(Raw_Bookings!K531)))*(ROW(Lookup_Status!$A$2:$A$13)-1))))</f>
        <v>Waitlisted</v>
      </c>
      <c r="W531" s="7">
        <f>IF(AND(V531&lt;&gt;"",NOT(EXACT(Raw_Bookings!K531,V531))),1,0)</f>
        <v>1</v>
      </c>
      <c r="X531" s="7">
        <f>IF(V531="",1,0)</f>
        <v>0</v>
      </c>
      <c r="Y531" s="7">
        <f>IF(TRIM(Raw_Bookings!L531&amp;"")="",1,0)</f>
        <v>0</v>
      </c>
      <c r="Z531" s="7">
        <f>IF(AND(ISTEXT(Raw_Bookings!L531),Y531=0),1,0)</f>
        <v>0</v>
      </c>
      <c r="AA531" s="7">
        <f>IF(Z531=1,IFERROR(VALUE(SUBSTITUTE(SUBSTITUTE(SUBSTITUTE(SUBSTITUTE(SUBSTITUTE(UPPER(Raw_Bookings!L531),"RS.",""),"₹",""),",","")," ",""),"INR","")),""),"")</f>
        <v/>
      </c>
      <c r="AB531" s="7">
        <f>IF(AND(Z531=1,ISNUMBER(AA531)),1,0)</f>
        <v>0</v>
      </c>
      <c r="AC531" s="7">
        <f>IF(B531=1,0,IF(NOT(ISNUMBER(Raw_Bookings!J531)),1,IF(Raw_Bookings!J531&lt;&gt;COUNTIFS(Work_Passengers!$B$2:$B$1336,Raw_Bookings!A531,Work_Passengers!$C$2:$C$1336,0),1,0)))</f>
        <v>0</v>
      </c>
    </row>
    <row r="532" spans="1:29">
      <c r="A532" s="7">
        <f>Raw_Bookings!A532</f>
        <v>1172702</v>
      </c>
      <c r="B532" s="7">
        <f>IF(COUNTIF(Raw_Bookings!$A$2:A532,Raw_Bookings!A532)&gt;1,1,0)</f>
        <v>0</v>
      </c>
      <c r="C532" s="7" t="str">
        <f>Raw_Bookings!D532&amp;""</f>
        <v>2026-06-03</v>
      </c>
      <c r="D532" s="7" t="str">
        <f>IF(AND(LEN(C532)=10,MID(C532,5,1)="-",MID(C532,8,1)="-"),"ISO",IF(AND(LEN(C532)=10,MID(C532,3,1)="-",MID(C532,6,1)="-"),"DMY","OTHER"))</f>
        <v>ISO</v>
      </c>
      <c r="E532" s="7">
        <f>IF(D532="ISO",VALUE(LEFT(C532,4)),IF(D532="DMY",VALUE(RIGHT(C532,4)),0))</f>
        <v>2026</v>
      </c>
      <c r="F532" s="7">
        <f>IF(D532="ISO",VALUE(MID(C532,6,2)),IF(D532="DMY",VALUE(MID(C532,4,2)),0))</f>
        <v>6</v>
      </c>
      <c r="G532" s="7">
        <f>IF(D532="ISO",VALUE(RIGHT(C532,2)),IF(D532="DMY",VALUE(LEFT(C532,2)),0))</f>
        <v>3</v>
      </c>
      <c r="H532" s="7">
        <f>IF(AND(D532&lt;&gt;"OTHER",F532&gt;=1,F532&lt;=12,G532&gt;=1,G532&lt;=31),IF(AND(MONTH(DATE(E532,F532,G532))=F532,DAY(DATE(E532,F532,G532))=G532),1,0),0)</f>
        <v>1</v>
      </c>
      <c r="I532" s="7">
        <f>IF(H532=1,DATE(E532,F532,G532),"")</f>
        <v>46176.0</v>
      </c>
      <c r="J532" s="7">
        <f>IF(AND(D532="DMY",H532=1),1,0)</f>
        <v>0</v>
      </c>
      <c r="K532" s="7">
        <f>IF(H532=0,1,0)</f>
        <v>0</v>
      </c>
      <c r="L532" s="7">
        <f>IF(TRIM(Raw_Bookings!I532&amp;"")="",1,0)</f>
        <v>0</v>
      </c>
      <c r="M532" s="7">
        <f>IF(L532=1,"",DATEVALUE(LEFT(Raw_Bookings!I532,10))+TIMEVALUE(MID(Raw_Bookings!I532,12,8)))</f>
        <v>46132.760358796295</v>
      </c>
      <c r="N532" s="7">
        <f>IF(AND(L532=0,H532=1),IF(INT(M532)&gt;I532,1,0),0)</f>
        <v>0</v>
      </c>
      <c r="O532" s="7" t="str">
        <f>UPPER(TRIM(Raw_Bookings!F532))</f>
        <v>KOL</v>
      </c>
      <c r="P532" s="7" t="str">
        <f>UPPER(TRIM(Raw_Bookings!G532))</f>
        <v>HYD</v>
      </c>
      <c r="Q532" s="7">
        <f>IF(COUNTIF(Lookup_Stations!$A$2:$A$33,O532)&gt;0,1,0)</f>
        <v>1</v>
      </c>
      <c r="R532" s="7">
        <f>IF(COUNTIF(Lookup_Stations!$A$2:$A$33,P532)&gt;0,1,0)</f>
        <v>1</v>
      </c>
      <c r="S532" s="7">
        <f>IF(OR(AND(Q532=1,NOT(EXACT(Raw_Bookings!F532,O532))),AND(R532=1,NOT(EXACT(Raw_Bookings!G532,P532)))),1,0)</f>
        <v>0</v>
      </c>
      <c r="T532" s="7">
        <f>IF(OR(Q532=0,R532=0),1,0)</f>
        <v>0</v>
      </c>
      <c r="U532" s="7">
        <f>IF(TRIM(Raw_Bookings!E532&amp;"")="",1,0)</f>
        <v>0</v>
      </c>
      <c r="V532" s="7" t="str">
        <f>IF(SUMPRODUCT(--(Lookup_Status!$A$2:$A$13=LOWER(TRIM(Raw_Bookings!K532))))=0,"",INDEX(Lookup_Status!$B$2:$B$13,SUMPRODUCT((Lookup_Status!$A$2:$A$13=LOWER(TRIM(Raw_Bookings!K532)))*(ROW(Lookup_Status!$A$2:$A$13)-1))))</f>
        <v>Confirmed</v>
      </c>
      <c r="W532" s="7">
        <f>IF(AND(V532&lt;&gt;"",NOT(EXACT(Raw_Bookings!K532,V532))),1,0)</f>
        <v>0</v>
      </c>
      <c r="X532" s="7">
        <f>IF(V532="",1,0)</f>
        <v>0</v>
      </c>
      <c r="Y532" s="7">
        <f>IF(TRIM(Raw_Bookings!L532&amp;"")="",1,0)</f>
        <v>0</v>
      </c>
      <c r="Z532" s="7">
        <f>IF(AND(ISTEXT(Raw_Bookings!L532),Y532=0),1,0)</f>
        <v>0</v>
      </c>
      <c r="AA532" s="7">
        <f>IF(Z532=1,IFERROR(VALUE(SUBSTITUTE(SUBSTITUTE(SUBSTITUTE(SUBSTITUTE(SUBSTITUTE(UPPER(Raw_Bookings!L532),"RS.",""),"₹",""),",","")," ",""),"INR","")),""),"")</f>
        <v/>
      </c>
      <c r="AB532" s="7">
        <f>IF(AND(Z532=1,ISNUMBER(AA532)),1,0)</f>
        <v>0</v>
      </c>
      <c r="AC532" s="7">
        <f>IF(B532=1,0,IF(NOT(ISNUMBER(Raw_Bookings!J532)),1,IF(Raw_Bookings!J532&lt;&gt;COUNTIFS(Work_Passengers!$B$2:$B$1336,Raw_Bookings!A532,Work_Passengers!$C$2:$C$1336,0),1,0)))</f>
        <v>0</v>
      </c>
    </row>
    <row r="533" spans="1:29">
      <c r="A533" s="7">
        <f>Raw_Bookings!A533</f>
        <v>1173259</v>
      </c>
      <c r="B533" s="7">
        <f>IF(COUNTIF(Raw_Bookings!$A$2:A533,Raw_Bookings!A533)&gt;1,1,0)</f>
        <v>0</v>
      </c>
      <c r="C533" s="7" t="str">
        <f>Raw_Bookings!D533&amp;""</f>
        <v>2026-06-03</v>
      </c>
      <c r="D533" s="7" t="str">
        <f>IF(AND(LEN(C533)=10,MID(C533,5,1)="-",MID(C533,8,1)="-"),"ISO",IF(AND(LEN(C533)=10,MID(C533,3,1)="-",MID(C533,6,1)="-"),"DMY","OTHER"))</f>
        <v>ISO</v>
      </c>
      <c r="E533" s="7">
        <f>IF(D533="ISO",VALUE(LEFT(C533,4)),IF(D533="DMY",VALUE(RIGHT(C533,4)),0))</f>
        <v>2026</v>
      </c>
      <c r="F533" s="7">
        <f>IF(D533="ISO",VALUE(MID(C533,6,2)),IF(D533="DMY",VALUE(MID(C533,4,2)),0))</f>
        <v>6</v>
      </c>
      <c r="G533" s="7">
        <f>IF(D533="ISO",VALUE(RIGHT(C533,2)),IF(D533="DMY",VALUE(LEFT(C533,2)),0))</f>
        <v>3</v>
      </c>
      <c r="H533" s="7">
        <f>IF(AND(D533&lt;&gt;"OTHER",F533&gt;=1,F533&lt;=12,G533&gt;=1,G533&lt;=31),IF(AND(MONTH(DATE(E533,F533,G533))=F533,DAY(DATE(E533,F533,G533))=G533),1,0),0)</f>
        <v>1</v>
      </c>
      <c r="I533" s="7">
        <f>IF(H533=1,DATE(E533,F533,G533),"")</f>
        <v>46176.0</v>
      </c>
      <c r="J533" s="7">
        <f>IF(AND(D533="DMY",H533=1),1,0)</f>
        <v>0</v>
      </c>
      <c r="K533" s="7">
        <f>IF(H533=0,1,0)</f>
        <v>0</v>
      </c>
      <c r="L533" s="7">
        <f>IF(TRIM(Raw_Bookings!I533&amp;"")="",1,0)</f>
        <v>0</v>
      </c>
      <c r="M533" s="7">
        <f>IF(L533=1,"",DATEVALUE(LEFT(Raw_Bookings!I533,10))+TIMEVALUE(MID(Raw_Bookings!I533,12,8)))</f>
        <v>46134.44336805555</v>
      </c>
      <c r="N533" s="7">
        <f>IF(AND(L533=0,H533=1),IF(INT(M533)&gt;I533,1,0),0)</f>
        <v>0</v>
      </c>
      <c r="O533" s="7" t="str">
        <f>UPPER(TRIM(Raw_Bookings!F533))</f>
        <v>MUM</v>
      </c>
      <c r="P533" s="7" t="str">
        <f>UPPER(TRIM(Raw_Bookings!G533))</f>
        <v>BEN</v>
      </c>
      <c r="Q533" s="7">
        <f>IF(COUNTIF(Lookup_Stations!$A$2:$A$33,O533)&gt;0,1,0)</f>
        <v>1</v>
      </c>
      <c r="R533" s="7">
        <f>IF(COUNTIF(Lookup_Stations!$A$2:$A$33,P533)&gt;0,1,0)</f>
        <v>1</v>
      </c>
      <c r="S533" s="7">
        <f>IF(OR(AND(Q533=1,NOT(EXACT(Raw_Bookings!F533,O533))),AND(R533=1,NOT(EXACT(Raw_Bookings!G533,P533)))),1,0)</f>
        <v>0</v>
      </c>
      <c r="T533" s="7">
        <f>IF(OR(Q533=0,R533=0),1,0)</f>
        <v>0</v>
      </c>
      <c r="U533" s="7">
        <f>IF(TRIM(Raw_Bookings!E533&amp;"")="",1,0)</f>
        <v>0</v>
      </c>
      <c r="V533" s="7" t="str">
        <f>IF(SUMPRODUCT(--(Lookup_Status!$A$2:$A$13=LOWER(TRIM(Raw_Bookings!K533))))=0,"",INDEX(Lookup_Status!$B$2:$B$13,SUMPRODUCT((Lookup_Status!$A$2:$A$13=LOWER(TRIM(Raw_Bookings!K533)))*(ROW(Lookup_Status!$A$2:$A$13)-1))))</f>
        <v>Confirmed</v>
      </c>
      <c r="W533" s="7">
        <f>IF(AND(V533&lt;&gt;"",NOT(EXACT(Raw_Bookings!K533,V533))),1,0)</f>
        <v>0</v>
      </c>
      <c r="X533" s="7">
        <f>IF(V533="",1,0)</f>
        <v>0</v>
      </c>
      <c r="Y533" s="7">
        <f>IF(TRIM(Raw_Bookings!L533&amp;"")="",1,0)</f>
        <v>0</v>
      </c>
      <c r="Z533" s="7">
        <f>IF(AND(ISTEXT(Raw_Bookings!L533),Y533=0),1,0)</f>
        <v>0</v>
      </c>
      <c r="AA533" s="7">
        <f>IF(Z533=1,IFERROR(VALUE(SUBSTITUTE(SUBSTITUTE(SUBSTITUTE(SUBSTITUTE(SUBSTITUTE(UPPER(Raw_Bookings!L533),"RS.",""),"₹",""),",","")," ",""),"INR","")),""),"")</f>
        <v/>
      </c>
      <c r="AB533" s="7">
        <f>IF(AND(Z533=1,ISNUMBER(AA533)),1,0)</f>
        <v>0</v>
      </c>
      <c r="AC533" s="7">
        <f>IF(B533=1,0,IF(NOT(ISNUMBER(Raw_Bookings!J533)),1,IF(Raw_Bookings!J533&lt;&gt;COUNTIFS(Work_Passengers!$B$2:$B$1336,Raw_Bookings!A533,Work_Passengers!$C$2:$C$1336,0),1,0)))</f>
        <v>0</v>
      </c>
    </row>
    <row r="534" spans="1:29">
      <c r="A534" s="7">
        <f>Raw_Bookings!A534</f>
        <v>1173778</v>
      </c>
      <c r="B534" s="7">
        <f>IF(COUNTIF(Raw_Bookings!$A$2:A534,Raw_Bookings!A534)&gt;1,1,0)</f>
        <v>0</v>
      </c>
      <c r="C534" s="7" t="str">
        <f>Raw_Bookings!D534&amp;""</f>
        <v>2026-05-27</v>
      </c>
      <c r="D534" s="7" t="str">
        <f>IF(AND(LEN(C534)=10,MID(C534,5,1)="-",MID(C534,8,1)="-"),"ISO",IF(AND(LEN(C534)=10,MID(C534,3,1)="-",MID(C534,6,1)="-"),"DMY","OTHER"))</f>
        <v>ISO</v>
      </c>
      <c r="E534" s="7">
        <f>IF(D534="ISO",VALUE(LEFT(C534,4)),IF(D534="DMY",VALUE(RIGHT(C534,4)),0))</f>
        <v>2026</v>
      </c>
      <c r="F534" s="7">
        <f>IF(D534="ISO",VALUE(MID(C534,6,2)),IF(D534="DMY",VALUE(MID(C534,4,2)),0))</f>
        <v>5</v>
      </c>
      <c r="G534" s="7">
        <f>IF(D534="ISO",VALUE(RIGHT(C534,2)),IF(D534="DMY",VALUE(LEFT(C534,2)),0))</f>
        <v>27</v>
      </c>
      <c r="H534" s="7">
        <f>IF(AND(D534&lt;&gt;"OTHER",F534&gt;=1,F534&lt;=12,G534&gt;=1,G534&lt;=31),IF(AND(MONTH(DATE(E534,F534,G534))=F534,DAY(DATE(E534,F534,G534))=G534),1,0),0)</f>
        <v>1</v>
      </c>
      <c r="I534" s="7">
        <f>IF(H534=1,DATE(E534,F534,G534),"")</f>
        <v>46169.0</v>
      </c>
      <c r="J534" s="7">
        <f>IF(AND(D534="DMY",H534=1),1,0)</f>
        <v>0</v>
      </c>
      <c r="K534" s="7">
        <f>IF(H534=0,1,0)</f>
        <v>0</v>
      </c>
      <c r="L534" s="7">
        <f>IF(TRIM(Raw_Bookings!I534&amp;"")="",1,0)</f>
        <v>0</v>
      </c>
      <c r="M534" s="7">
        <f>IF(L534=1,"",DATEVALUE(LEFT(Raw_Bookings!I534,10))+TIMEVALUE(MID(Raw_Bookings!I534,12,8)))</f>
        <v>46135.87422453704</v>
      </c>
      <c r="N534" s="7">
        <f>IF(AND(L534=0,H534=1),IF(INT(M534)&gt;I534,1,0),0)</f>
        <v>0</v>
      </c>
      <c r="O534" s="7" t="str">
        <f>UPPER(TRIM(Raw_Bookings!F534))</f>
        <v>BEN</v>
      </c>
      <c r="P534" s="7" t="str">
        <f>UPPER(TRIM(Raw_Bookings!G534))</f>
        <v>JOD</v>
      </c>
      <c r="Q534" s="7">
        <f>IF(COUNTIF(Lookup_Stations!$A$2:$A$33,O534)&gt;0,1,0)</f>
        <v>1</v>
      </c>
      <c r="R534" s="7">
        <f>IF(COUNTIF(Lookup_Stations!$A$2:$A$33,P534)&gt;0,1,0)</f>
        <v>1</v>
      </c>
      <c r="S534" s="7">
        <f>IF(OR(AND(Q534=1,NOT(EXACT(Raw_Bookings!F534,O534))),AND(R534=1,NOT(EXACT(Raw_Bookings!G534,P534)))),1,0)</f>
        <v>0</v>
      </c>
      <c r="T534" s="7">
        <f>IF(OR(Q534=0,R534=0),1,0)</f>
        <v>0</v>
      </c>
      <c r="U534" s="7">
        <f>IF(TRIM(Raw_Bookings!E534&amp;"")="",1,0)</f>
        <v>0</v>
      </c>
      <c r="V534" s="7" t="str">
        <f>IF(SUMPRODUCT(--(Lookup_Status!$A$2:$A$13=LOWER(TRIM(Raw_Bookings!K534))))=0,"",INDEX(Lookup_Status!$B$2:$B$13,SUMPRODUCT((Lookup_Status!$A$2:$A$13=LOWER(TRIM(Raw_Bookings!K534)))*(ROW(Lookup_Status!$A$2:$A$13)-1))))</f>
        <v>Confirmed</v>
      </c>
      <c r="W534" s="7">
        <f>IF(AND(V534&lt;&gt;"",NOT(EXACT(Raw_Bookings!K534,V534))),1,0)</f>
        <v>0</v>
      </c>
      <c r="X534" s="7">
        <f>IF(V534="",1,0)</f>
        <v>0</v>
      </c>
      <c r="Y534" s="7">
        <f>IF(TRIM(Raw_Bookings!L534&amp;"")="",1,0)</f>
        <v>0</v>
      </c>
      <c r="Z534" s="7">
        <f>IF(AND(ISTEXT(Raw_Bookings!L534),Y534=0),1,0)</f>
        <v>0</v>
      </c>
      <c r="AA534" s="7">
        <f>IF(Z534=1,IFERROR(VALUE(SUBSTITUTE(SUBSTITUTE(SUBSTITUTE(SUBSTITUTE(SUBSTITUTE(UPPER(Raw_Bookings!L534),"RS.",""),"₹",""),",","")," ",""),"INR","")),""),"")</f>
        <v/>
      </c>
      <c r="AB534" s="7">
        <f>IF(AND(Z534=1,ISNUMBER(AA534)),1,0)</f>
        <v>0</v>
      </c>
      <c r="AC534" s="7">
        <f>IF(B534=1,0,IF(NOT(ISNUMBER(Raw_Bookings!J534)),1,IF(Raw_Bookings!J534&lt;&gt;COUNTIFS(Work_Passengers!$B$2:$B$1336,Raw_Bookings!A534,Work_Passengers!$C$2:$C$1336,0),1,0)))</f>
        <v>0</v>
      </c>
    </row>
    <row r="535" spans="1:29">
      <c r="A535" s="7">
        <f>Raw_Bookings!A535</f>
        <v>1174427</v>
      </c>
      <c r="B535" s="7">
        <f>IF(COUNTIF(Raw_Bookings!$A$2:A535,Raw_Bookings!A535)&gt;1,1,0)</f>
        <v>0</v>
      </c>
      <c r="C535" s="7" t="str">
        <f>Raw_Bookings!D535&amp;""</f>
        <v>2026-05-19</v>
      </c>
      <c r="D535" s="7" t="str">
        <f>IF(AND(LEN(C535)=10,MID(C535,5,1)="-",MID(C535,8,1)="-"),"ISO",IF(AND(LEN(C535)=10,MID(C535,3,1)="-",MID(C535,6,1)="-"),"DMY","OTHER"))</f>
        <v>ISO</v>
      </c>
      <c r="E535" s="7">
        <f>IF(D535="ISO",VALUE(LEFT(C535,4)),IF(D535="DMY",VALUE(RIGHT(C535,4)),0))</f>
        <v>2026</v>
      </c>
      <c r="F535" s="7">
        <f>IF(D535="ISO",VALUE(MID(C535,6,2)),IF(D535="DMY",VALUE(MID(C535,4,2)),0))</f>
        <v>5</v>
      </c>
      <c r="G535" s="7">
        <f>IF(D535="ISO",VALUE(RIGHT(C535,2)),IF(D535="DMY",VALUE(LEFT(C535,2)),0))</f>
        <v>19</v>
      </c>
      <c r="H535" s="7">
        <f>IF(AND(D535&lt;&gt;"OTHER",F535&gt;=1,F535&lt;=12,G535&gt;=1,G535&lt;=31),IF(AND(MONTH(DATE(E535,F535,G535))=F535,DAY(DATE(E535,F535,G535))=G535),1,0),0)</f>
        <v>1</v>
      </c>
      <c r="I535" s="7">
        <f>IF(H535=1,DATE(E535,F535,G535),"")</f>
        <v>46161.0</v>
      </c>
      <c r="J535" s="7">
        <f>IF(AND(D535="DMY",H535=1),1,0)</f>
        <v>0</v>
      </c>
      <c r="K535" s="7">
        <f>IF(H535=0,1,0)</f>
        <v>0</v>
      </c>
      <c r="L535" s="7">
        <f>IF(TRIM(Raw_Bookings!I535&amp;"")="",1,0)</f>
        <v>0</v>
      </c>
      <c r="M535" s="7">
        <f>IF(L535=1,"",DATEVALUE(LEFT(Raw_Bookings!I535,10))+TIMEVALUE(MID(Raw_Bookings!I535,12,8)))</f>
        <v>46137.89130787037</v>
      </c>
      <c r="N535" s="7">
        <f>IF(AND(L535=0,H535=1),IF(INT(M535)&gt;I535,1,0),0)</f>
        <v>0</v>
      </c>
      <c r="O535" s="7" t="str">
        <f>UPPER(TRIM(Raw_Bookings!F535))</f>
        <v>MUM</v>
      </c>
      <c r="P535" s="7" t="str">
        <f>UPPER(TRIM(Raw_Bookings!G535))</f>
        <v>LUC</v>
      </c>
      <c r="Q535" s="7">
        <f>IF(COUNTIF(Lookup_Stations!$A$2:$A$33,O535)&gt;0,1,0)</f>
        <v>1</v>
      </c>
      <c r="R535" s="7">
        <f>IF(COUNTIF(Lookup_Stations!$A$2:$A$33,P535)&gt;0,1,0)</f>
        <v>1</v>
      </c>
      <c r="S535" s="7">
        <f>IF(OR(AND(Q535=1,NOT(EXACT(Raw_Bookings!F535,O535))),AND(R535=1,NOT(EXACT(Raw_Bookings!G535,P535)))),1,0)</f>
        <v>0</v>
      </c>
      <c r="T535" s="7">
        <f>IF(OR(Q535=0,R535=0),1,0)</f>
        <v>0</v>
      </c>
      <c r="U535" s="7">
        <f>IF(TRIM(Raw_Bookings!E535&amp;"")="",1,0)</f>
        <v>0</v>
      </c>
      <c r="V535" s="7" t="str">
        <f>IF(SUMPRODUCT(--(Lookup_Status!$A$2:$A$13=LOWER(TRIM(Raw_Bookings!K535))))=0,"",INDEX(Lookup_Status!$B$2:$B$13,SUMPRODUCT((Lookup_Status!$A$2:$A$13=LOWER(TRIM(Raw_Bookings!K535)))*(ROW(Lookup_Status!$A$2:$A$13)-1))))</f>
        <v>Confirmed</v>
      </c>
      <c r="W535" s="7">
        <f>IF(AND(V535&lt;&gt;"",NOT(EXACT(Raw_Bookings!K535,V535))),1,0)</f>
        <v>0</v>
      </c>
      <c r="X535" s="7">
        <f>IF(V535="",1,0)</f>
        <v>0</v>
      </c>
      <c r="Y535" s="7">
        <f>IF(TRIM(Raw_Bookings!L535&amp;"")="",1,0)</f>
        <v>0</v>
      </c>
      <c r="Z535" s="7">
        <f>IF(AND(ISTEXT(Raw_Bookings!L535),Y535=0),1,0)</f>
        <v>0</v>
      </c>
      <c r="AA535" s="7">
        <f>IF(Z535=1,IFERROR(VALUE(SUBSTITUTE(SUBSTITUTE(SUBSTITUTE(SUBSTITUTE(SUBSTITUTE(UPPER(Raw_Bookings!L535),"RS.",""),"₹",""),",","")," ",""),"INR","")),""),"")</f>
        <v/>
      </c>
      <c r="AB535" s="7">
        <f>IF(AND(Z535=1,ISNUMBER(AA535)),1,0)</f>
        <v>0</v>
      </c>
      <c r="AC535" s="7">
        <f>IF(B535=1,0,IF(NOT(ISNUMBER(Raw_Bookings!J535)),1,IF(Raw_Bookings!J535&lt;&gt;COUNTIFS(Work_Passengers!$B$2:$B$1336,Raw_Bookings!A535,Work_Passengers!$C$2:$C$1336,0),1,0)))</f>
        <v>0</v>
      </c>
    </row>
    <row r="536" spans="1:29">
      <c r="A536" s="7">
        <f>Raw_Bookings!A536</f>
        <v>1175305</v>
      </c>
      <c r="B536" s="7">
        <f>IF(COUNTIF(Raw_Bookings!$A$2:A536,Raw_Bookings!A536)&gt;1,1,0)</f>
        <v>0</v>
      </c>
      <c r="C536" s="7" t="str">
        <f>Raw_Bookings!D536&amp;""</f>
        <v>2026-05-09</v>
      </c>
      <c r="D536" s="7" t="str">
        <f>IF(AND(LEN(C536)=10,MID(C536,5,1)="-",MID(C536,8,1)="-"),"ISO",IF(AND(LEN(C536)=10,MID(C536,3,1)="-",MID(C536,6,1)="-"),"DMY","OTHER"))</f>
        <v>ISO</v>
      </c>
      <c r="E536" s="7">
        <f>IF(D536="ISO",VALUE(LEFT(C536,4)),IF(D536="DMY",VALUE(RIGHT(C536,4)),0))</f>
        <v>2026</v>
      </c>
      <c r="F536" s="7">
        <f>IF(D536="ISO",VALUE(MID(C536,6,2)),IF(D536="DMY",VALUE(MID(C536,4,2)),0))</f>
        <v>5</v>
      </c>
      <c r="G536" s="7">
        <f>IF(D536="ISO",VALUE(RIGHT(C536,2)),IF(D536="DMY",VALUE(LEFT(C536,2)),0))</f>
        <v>9</v>
      </c>
      <c r="H536" s="7">
        <f>IF(AND(D536&lt;&gt;"OTHER",F536&gt;=1,F536&lt;=12,G536&gt;=1,G536&lt;=31),IF(AND(MONTH(DATE(E536,F536,G536))=F536,DAY(DATE(E536,F536,G536))=G536),1,0),0)</f>
        <v>1</v>
      </c>
      <c r="I536" s="7">
        <f>IF(H536=1,DATE(E536,F536,G536),"")</f>
        <v>46151.0</v>
      </c>
      <c r="J536" s="7">
        <f>IF(AND(D536="DMY",H536=1),1,0)</f>
        <v>0</v>
      </c>
      <c r="K536" s="7">
        <f>IF(H536=0,1,0)</f>
        <v>0</v>
      </c>
      <c r="L536" s="7">
        <f>IF(TRIM(Raw_Bookings!I536&amp;"")="",1,0)</f>
        <v>0</v>
      </c>
      <c r="M536" s="7">
        <f>IF(L536=1,"",DATEVALUE(LEFT(Raw_Bookings!I536,10))+TIMEVALUE(MID(Raw_Bookings!I536,12,8)))</f>
        <v>46140.74177083333</v>
      </c>
      <c r="N536" s="7">
        <f>IF(AND(L536=0,H536=1),IF(INT(M536)&gt;I536,1,0),0)</f>
        <v>0</v>
      </c>
      <c r="O536" s="7" t="str">
        <f>UPPER(TRIM(Raw_Bookings!F536))</f>
        <v>AHM</v>
      </c>
      <c r="P536" s="7" t="str">
        <f>UPPER(TRIM(Raw_Bookings!G536))</f>
        <v>CHE</v>
      </c>
      <c r="Q536" s="7">
        <f>IF(COUNTIF(Lookup_Stations!$A$2:$A$33,O536)&gt;0,1,0)</f>
        <v>1</v>
      </c>
      <c r="R536" s="7">
        <f>IF(COUNTIF(Lookup_Stations!$A$2:$A$33,P536)&gt;0,1,0)</f>
        <v>1</v>
      </c>
      <c r="S536" s="7">
        <f>IF(OR(AND(Q536=1,NOT(EXACT(Raw_Bookings!F536,O536))),AND(R536=1,NOT(EXACT(Raw_Bookings!G536,P536)))),1,0)</f>
        <v>0</v>
      </c>
      <c r="T536" s="7">
        <f>IF(OR(Q536=0,R536=0),1,0)</f>
        <v>0</v>
      </c>
      <c r="U536" s="7">
        <f>IF(TRIM(Raw_Bookings!E536&amp;"")="",1,0)</f>
        <v>0</v>
      </c>
      <c r="V536" s="7" t="str">
        <f>IF(SUMPRODUCT(--(Lookup_Status!$A$2:$A$13=LOWER(TRIM(Raw_Bookings!K536))))=0,"",INDEX(Lookup_Status!$B$2:$B$13,SUMPRODUCT((Lookup_Status!$A$2:$A$13=LOWER(TRIM(Raw_Bookings!K536)))*(ROW(Lookup_Status!$A$2:$A$13)-1))))</f>
        <v>Waitlisted</v>
      </c>
      <c r="W536" s="7">
        <f>IF(AND(V536&lt;&gt;"",NOT(EXACT(Raw_Bookings!K536,V536))),1,0)</f>
        <v>0</v>
      </c>
      <c r="X536" s="7">
        <f>IF(V536="",1,0)</f>
        <v>0</v>
      </c>
      <c r="Y536" s="7">
        <f>IF(TRIM(Raw_Bookings!L536&amp;"")="",1,0)</f>
        <v>0</v>
      </c>
      <c r="Z536" s="7">
        <f>IF(AND(ISTEXT(Raw_Bookings!L536),Y536=0),1,0)</f>
        <v>1</v>
      </c>
      <c r="AA536" s="7">
        <f>IF(Z536=1,IFERROR(VALUE(SUBSTITUTE(SUBSTITUTE(SUBSTITUTE(SUBSTITUTE(SUBSTITUTE(UPPER(Raw_Bookings!L536),"RS.",""),"₹",""),",","")," ",""),"INR","")),""),"")</f>
        <v>2268</v>
      </c>
      <c r="AB536" s="7">
        <f>IF(AND(Z536=1,ISNUMBER(AA536)),1,0)</f>
        <v>1</v>
      </c>
      <c r="AC536" s="7">
        <f>IF(B536=1,0,IF(NOT(ISNUMBER(Raw_Bookings!J536)),1,IF(Raw_Bookings!J536&lt;&gt;COUNTIFS(Work_Passengers!$B$2:$B$1336,Raw_Bookings!A536,Work_Passengers!$C$2:$C$1336,0),1,0)))</f>
        <v>0</v>
      </c>
    </row>
    <row r="537" spans="1:29">
      <c r="A537" s="7">
        <f>Raw_Bookings!A537</f>
        <v>1175646</v>
      </c>
      <c r="B537" s="7">
        <f>IF(COUNTIF(Raw_Bookings!$A$2:A537,Raw_Bookings!A537)&gt;1,1,0)</f>
        <v>0</v>
      </c>
      <c r="C537" s="7" t="str">
        <f>Raw_Bookings!D537&amp;""</f>
        <v>2026-05-27</v>
      </c>
      <c r="D537" s="7" t="str">
        <f>IF(AND(LEN(C537)=10,MID(C537,5,1)="-",MID(C537,8,1)="-"),"ISO",IF(AND(LEN(C537)=10,MID(C537,3,1)="-",MID(C537,6,1)="-"),"DMY","OTHER"))</f>
        <v>ISO</v>
      </c>
      <c r="E537" s="7">
        <f>IF(D537="ISO",VALUE(LEFT(C537,4)),IF(D537="DMY",VALUE(RIGHT(C537,4)),0))</f>
        <v>2026</v>
      </c>
      <c r="F537" s="7">
        <f>IF(D537="ISO",VALUE(MID(C537,6,2)),IF(D537="DMY",VALUE(MID(C537,4,2)),0))</f>
        <v>5</v>
      </c>
      <c r="G537" s="7">
        <f>IF(D537="ISO",VALUE(RIGHT(C537,2)),IF(D537="DMY",VALUE(LEFT(C537,2)),0))</f>
        <v>27</v>
      </c>
      <c r="H537" s="7">
        <f>IF(AND(D537&lt;&gt;"OTHER",F537&gt;=1,F537&lt;=12,G537&gt;=1,G537&lt;=31),IF(AND(MONTH(DATE(E537,F537,G537))=F537,DAY(DATE(E537,F537,G537))=G537),1,0),0)</f>
        <v>1</v>
      </c>
      <c r="I537" s="7">
        <f>IF(H537=1,DATE(E537,F537,G537),"")</f>
        <v>46169.0</v>
      </c>
      <c r="J537" s="7">
        <f>IF(AND(D537="DMY",H537=1),1,0)</f>
        <v>0</v>
      </c>
      <c r="K537" s="7">
        <f>IF(H537=0,1,0)</f>
        <v>0</v>
      </c>
      <c r="L537" s="7">
        <f>IF(TRIM(Raw_Bookings!I537&amp;"")="",1,0)</f>
        <v>0</v>
      </c>
      <c r="M537" s="7">
        <f>IF(L537=1,"",DATEVALUE(LEFT(Raw_Bookings!I537,10))+TIMEVALUE(MID(Raw_Bookings!I537,12,8)))</f>
        <v>46141.83346064815</v>
      </c>
      <c r="N537" s="7">
        <f>IF(AND(L537=0,H537=1),IF(INT(M537)&gt;I537,1,0),0)</f>
        <v>0</v>
      </c>
      <c r="O537" s="7" t="str">
        <f>UPPER(TRIM(Raw_Bookings!F537))</f>
        <v>BEN</v>
      </c>
      <c r="P537" s="7" t="str">
        <f>UPPER(TRIM(Raw_Bookings!G537))</f>
        <v>JOD</v>
      </c>
      <c r="Q537" s="7">
        <f>IF(COUNTIF(Lookup_Stations!$A$2:$A$33,O537)&gt;0,1,0)</f>
        <v>1</v>
      </c>
      <c r="R537" s="7">
        <f>IF(COUNTIF(Lookup_Stations!$A$2:$A$33,P537)&gt;0,1,0)</f>
        <v>1</v>
      </c>
      <c r="S537" s="7">
        <f>IF(OR(AND(Q537=1,NOT(EXACT(Raw_Bookings!F537,O537))),AND(R537=1,NOT(EXACT(Raw_Bookings!G537,P537)))),1,0)</f>
        <v>0</v>
      </c>
      <c r="T537" s="7">
        <f>IF(OR(Q537=0,R537=0),1,0)</f>
        <v>0</v>
      </c>
      <c r="U537" s="7">
        <f>IF(TRIM(Raw_Bookings!E537&amp;"")="",1,0)</f>
        <v>0</v>
      </c>
      <c r="V537" s="7" t="str">
        <f>IF(SUMPRODUCT(--(Lookup_Status!$A$2:$A$13=LOWER(TRIM(Raw_Bookings!K537))))=0,"",INDEX(Lookup_Status!$B$2:$B$13,SUMPRODUCT((Lookup_Status!$A$2:$A$13=LOWER(TRIM(Raw_Bookings!K537)))*(ROW(Lookup_Status!$A$2:$A$13)-1))))</f>
        <v>Confirmed</v>
      </c>
      <c r="W537" s="7">
        <f>IF(AND(V537&lt;&gt;"",NOT(EXACT(Raw_Bookings!K537,V537))),1,0)</f>
        <v>0</v>
      </c>
      <c r="X537" s="7">
        <f>IF(V537="",1,0)</f>
        <v>0</v>
      </c>
      <c r="Y537" s="7">
        <f>IF(TRIM(Raw_Bookings!L537&amp;"")="",1,0)</f>
        <v>0</v>
      </c>
      <c r="Z537" s="7">
        <f>IF(AND(ISTEXT(Raw_Bookings!L537),Y537=0),1,0)</f>
        <v>0</v>
      </c>
      <c r="AA537" s="7">
        <f>IF(Z537=1,IFERROR(VALUE(SUBSTITUTE(SUBSTITUTE(SUBSTITUTE(SUBSTITUTE(SUBSTITUTE(UPPER(Raw_Bookings!L537),"RS.",""),"₹",""),",","")," ",""),"INR","")),""),"")</f>
        <v/>
      </c>
      <c r="AB537" s="7">
        <f>IF(AND(Z537=1,ISNUMBER(AA537)),1,0)</f>
        <v>0</v>
      </c>
      <c r="AC537" s="7">
        <f>IF(B537=1,0,IF(NOT(ISNUMBER(Raw_Bookings!J537)),1,IF(Raw_Bookings!J537&lt;&gt;COUNTIFS(Work_Passengers!$B$2:$B$1336,Raw_Bookings!A537,Work_Passengers!$C$2:$C$1336,0),1,0)))</f>
        <v>0</v>
      </c>
    </row>
    <row r="538" spans="1:29">
      <c r="A538" s="7">
        <f>Raw_Bookings!A538</f>
        <v>1175901</v>
      </c>
      <c r="B538" s="7">
        <f>IF(COUNTIF(Raw_Bookings!$A$2:A538,Raw_Bookings!A538)&gt;1,1,0)</f>
        <v>0</v>
      </c>
      <c r="C538" s="7" t="str">
        <f>Raw_Bookings!D538&amp;""</f>
        <v>2026-06-06</v>
      </c>
      <c r="D538" s="7" t="str">
        <f>IF(AND(LEN(C538)=10,MID(C538,5,1)="-",MID(C538,8,1)="-"),"ISO",IF(AND(LEN(C538)=10,MID(C538,3,1)="-",MID(C538,6,1)="-"),"DMY","OTHER"))</f>
        <v>ISO</v>
      </c>
      <c r="E538" s="7">
        <f>IF(D538="ISO",VALUE(LEFT(C538,4)),IF(D538="DMY",VALUE(RIGHT(C538,4)),0))</f>
        <v>2026</v>
      </c>
      <c r="F538" s="7">
        <f>IF(D538="ISO",VALUE(MID(C538,6,2)),IF(D538="DMY",VALUE(MID(C538,4,2)),0))</f>
        <v>6</v>
      </c>
      <c r="G538" s="7">
        <f>IF(D538="ISO",VALUE(RIGHT(C538,2)),IF(D538="DMY",VALUE(LEFT(C538,2)),0))</f>
        <v>6</v>
      </c>
      <c r="H538" s="7">
        <f>IF(AND(D538&lt;&gt;"OTHER",F538&gt;=1,F538&lt;=12,G538&gt;=1,G538&lt;=31),IF(AND(MONTH(DATE(E538,F538,G538))=F538,DAY(DATE(E538,F538,G538))=G538),1,0),0)</f>
        <v>1</v>
      </c>
      <c r="I538" s="7">
        <f>IF(H538=1,DATE(E538,F538,G538),"")</f>
        <v>46179.0</v>
      </c>
      <c r="J538" s="7">
        <f>IF(AND(D538="DMY",H538=1),1,0)</f>
        <v>0</v>
      </c>
      <c r="K538" s="7">
        <f>IF(H538=0,1,0)</f>
        <v>0</v>
      </c>
      <c r="L538" s="7">
        <f>IF(TRIM(Raw_Bookings!I538&amp;"")="",1,0)</f>
        <v>0</v>
      </c>
      <c r="M538" s="7">
        <f>IF(L538=1,"",DATEVALUE(LEFT(Raw_Bookings!I538,10))+TIMEVALUE(MID(Raw_Bookings!I538,12,8)))</f>
        <v>46142.753969907404</v>
      </c>
      <c r="N538" s="7">
        <f>IF(AND(L538=0,H538=1),IF(INT(M538)&gt;I538,1,0),0)</f>
        <v>0</v>
      </c>
      <c r="O538" s="7" t="str">
        <f>UPPER(TRIM(Raw_Bookings!F538))</f>
        <v>GUW</v>
      </c>
      <c r="P538" s="7" t="str">
        <f>UPPER(TRIM(Raw_Bookings!G538))</f>
        <v>BHO</v>
      </c>
      <c r="Q538" s="7">
        <f>IF(COUNTIF(Lookup_Stations!$A$2:$A$33,O538)&gt;0,1,0)</f>
        <v>1</v>
      </c>
      <c r="R538" s="7">
        <f>IF(COUNTIF(Lookup_Stations!$A$2:$A$33,P538)&gt;0,1,0)</f>
        <v>1</v>
      </c>
      <c r="S538" s="7">
        <f>IF(OR(AND(Q538=1,NOT(EXACT(Raw_Bookings!F538,O538))),AND(R538=1,NOT(EXACT(Raw_Bookings!G538,P538)))),1,0)</f>
        <v>0</v>
      </c>
      <c r="T538" s="7">
        <f>IF(OR(Q538=0,R538=0),1,0)</f>
        <v>0</v>
      </c>
      <c r="U538" s="7">
        <f>IF(TRIM(Raw_Bookings!E538&amp;"")="",1,0)</f>
        <v>0</v>
      </c>
      <c r="V538" s="7" t="str">
        <f>IF(SUMPRODUCT(--(Lookup_Status!$A$2:$A$13=LOWER(TRIM(Raw_Bookings!K538))))=0,"",INDEX(Lookup_Status!$B$2:$B$13,SUMPRODUCT((Lookup_Status!$A$2:$A$13=LOWER(TRIM(Raw_Bookings!K538)))*(ROW(Lookup_Status!$A$2:$A$13)-1))))</f>
        <v>Confirmed</v>
      </c>
      <c r="W538" s="7">
        <f>IF(AND(V538&lt;&gt;"",NOT(EXACT(Raw_Bookings!K538,V538))),1,0)</f>
        <v>0</v>
      </c>
      <c r="X538" s="7">
        <f>IF(V538="",1,0)</f>
        <v>0</v>
      </c>
      <c r="Y538" s="7">
        <f>IF(TRIM(Raw_Bookings!L538&amp;"")="",1,0)</f>
        <v>0</v>
      </c>
      <c r="Z538" s="7">
        <f>IF(AND(ISTEXT(Raw_Bookings!L538),Y538=0),1,0)</f>
        <v>0</v>
      </c>
      <c r="AA538" s="7">
        <f>IF(Z538=1,IFERROR(VALUE(SUBSTITUTE(SUBSTITUTE(SUBSTITUTE(SUBSTITUTE(SUBSTITUTE(UPPER(Raw_Bookings!L538),"RS.",""),"₹",""),",","")," ",""),"INR","")),""),"")</f>
        <v/>
      </c>
      <c r="AB538" s="7">
        <f>IF(AND(Z538=1,ISNUMBER(AA538)),1,0)</f>
        <v>0</v>
      </c>
      <c r="AC538" s="7">
        <f>IF(B538=1,0,IF(NOT(ISNUMBER(Raw_Bookings!J538)),1,IF(Raw_Bookings!J538&lt;&gt;COUNTIFS(Work_Passengers!$B$2:$B$1336,Raw_Bookings!A538,Work_Passengers!$C$2:$C$1336,0),1,0)))</f>
        <v>0</v>
      </c>
    </row>
    <row r="539" spans="1:29">
      <c r="A539" s="7">
        <f>Raw_Bookings!A539</f>
        <v>1175921</v>
      </c>
      <c r="B539" s="7">
        <f>IF(COUNTIF(Raw_Bookings!$A$2:A539,Raw_Bookings!A539)&gt;1,1,0)</f>
        <v>0</v>
      </c>
      <c r="C539" s="7" t="str">
        <f>Raw_Bookings!D539&amp;""</f>
        <v>2026-05-06</v>
      </c>
      <c r="D539" s="7" t="str">
        <f>IF(AND(LEN(C539)=10,MID(C539,5,1)="-",MID(C539,8,1)="-"),"ISO",IF(AND(LEN(C539)=10,MID(C539,3,1)="-",MID(C539,6,1)="-"),"DMY","OTHER"))</f>
        <v>ISO</v>
      </c>
      <c r="E539" s="7">
        <f>IF(D539="ISO",VALUE(LEFT(C539,4)),IF(D539="DMY",VALUE(RIGHT(C539,4)),0))</f>
        <v>2026</v>
      </c>
      <c r="F539" s="7">
        <f>IF(D539="ISO",VALUE(MID(C539,6,2)),IF(D539="DMY",VALUE(MID(C539,4,2)),0))</f>
        <v>5</v>
      </c>
      <c r="G539" s="7">
        <f>IF(D539="ISO",VALUE(RIGHT(C539,2)),IF(D539="DMY",VALUE(LEFT(C539,2)),0))</f>
        <v>6</v>
      </c>
      <c r="H539" s="7">
        <f>IF(AND(D539&lt;&gt;"OTHER",F539&gt;=1,F539&lt;=12,G539&gt;=1,G539&lt;=31),IF(AND(MONTH(DATE(E539,F539,G539))=F539,DAY(DATE(E539,F539,G539))=G539),1,0),0)</f>
        <v>1</v>
      </c>
      <c r="I539" s="7">
        <f>IF(H539=1,DATE(E539,F539,G539),"")</f>
        <v>46148.0</v>
      </c>
      <c r="J539" s="7">
        <f>IF(AND(D539="DMY",H539=1),1,0)</f>
        <v>0</v>
      </c>
      <c r="K539" s="7">
        <f>IF(H539=0,1,0)</f>
        <v>0</v>
      </c>
      <c r="L539" s="7">
        <f>IF(TRIM(Raw_Bookings!I539&amp;"")="",1,0)</f>
        <v>0</v>
      </c>
      <c r="M539" s="7">
        <f>IF(L539=1,"",DATEVALUE(LEFT(Raw_Bookings!I539,10))+TIMEVALUE(MID(Raw_Bookings!I539,12,8)))</f>
        <v>46142.79253472222</v>
      </c>
      <c r="N539" s="7">
        <f>IF(AND(L539=0,H539=1),IF(INT(M539)&gt;I539,1,0),0)</f>
        <v>0</v>
      </c>
      <c r="O539" s="7" t="str">
        <f>UPPER(TRIM(Raw_Bookings!F539))</f>
        <v>LUC</v>
      </c>
      <c r="P539" s="7" t="str">
        <f>UPPER(TRIM(Raw_Bookings!G539))</f>
        <v>MUM</v>
      </c>
      <c r="Q539" s="7">
        <f>IF(COUNTIF(Lookup_Stations!$A$2:$A$33,O539)&gt;0,1,0)</f>
        <v>1</v>
      </c>
      <c r="R539" s="7">
        <f>IF(COUNTIF(Lookup_Stations!$A$2:$A$33,P539)&gt;0,1,0)</f>
        <v>1</v>
      </c>
      <c r="S539" s="7">
        <f>IF(OR(AND(Q539=1,NOT(EXACT(Raw_Bookings!F539,O539))),AND(R539=1,NOT(EXACT(Raw_Bookings!G539,P539)))),1,0)</f>
        <v>0</v>
      </c>
      <c r="T539" s="7">
        <f>IF(OR(Q539=0,R539=0),1,0)</f>
        <v>0</v>
      </c>
      <c r="U539" s="7">
        <f>IF(TRIM(Raw_Bookings!E539&amp;"")="",1,0)</f>
        <v>0</v>
      </c>
      <c r="V539" s="7" t="str">
        <f>IF(SUMPRODUCT(--(Lookup_Status!$A$2:$A$13=LOWER(TRIM(Raw_Bookings!K539))))=0,"",INDEX(Lookup_Status!$B$2:$B$13,SUMPRODUCT((Lookup_Status!$A$2:$A$13=LOWER(TRIM(Raw_Bookings!K539)))*(ROW(Lookup_Status!$A$2:$A$13)-1))))</f>
        <v>Waitlisted</v>
      </c>
      <c r="W539" s="7">
        <f>IF(AND(V539&lt;&gt;"",NOT(EXACT(Raw_Bookings!K539,V539))),1,0)</f>
        <v>0</v>
      </c>
      <c r="X539" s="7">
        <f>IF(V539="",1,0)</f>
        <v>0</v>
      </c>
      <c r="Y539" s="7">
        <f>IF(TRIM(Raw_Bookings!L539&amp;"")="",1,0)</f>
        <v>0</v>
      </c>
      <c r="Z539" s="7">
        <f>IF(AND(ISTEXT(Raw_Bookings!L539),Y539=0),1,0)</f>
        <v>0</v>
      </c>
      <c r="AA539" s="7">
        <f>IF(Z539=1,IFERROR(VALUE(SUBSTITUTE(SUBSTITUTE(SUBSTITUTE(SUBSTITUTE(SUBSTITUTE(UPPER(Raw_Bookings!L539),"RS.",""),"₹",""),",","")," ",""),"INR","")),""),"")</f>
        <v/>
      </c>
      <c r="AB539" s="7">
        <f>IF(AND(Z539=1,ISNUMBER(AA539)),1,0)</f>
        <v>0</v>
      </c>
      <c r="AC539" s="7">
        <f>IF(B539=1,0,IF(NOT(ISNUMBER(Raw_Bookings!J539)),1,IF(Raw_Bookings!J539&lt;&gt;COUNTIFS(Work_Passengers!$B$2:$B$1336,Raw_Bookings!A539,Work_Passengers!$C$2:$C$1336,0),1,0)))</f>
        <v>0</v>
      </c>
    </row>
    <row r="540" spans="1:29">
      <c r="A540" s="7">
        <f>Raw_Bookings!A540</f>
        <v>1175968</v>
      </c>
      <c r="B540" s="7">
        <f>IF(COUNTIF(Raw_Bookings!$A$2:A540,Raw_Bookings!A540)&gt;1,1,0)</f>
        <v>0</v>
      </c>
      <c r="C540" s="7" t="str">
        <f>Raw_Bookings!D540&amp;""</f>
        <v>2026-05-21</v>
      </c>
      <c r="D540" s="7" t="str">
        <f>IF(AND(LEN(C540)=10,MID(C540,5,1)="-",MID(C540,8,1)="-"),"ISO",IF(AND(LEN(C540)=10,MID(C540,3,1)="-",MID(C540,6,1)="-"),"DMY","OTHER"))</f>
        <v>ISO</v>
      </c>
      <c r="E540" s="7">
        <f>IF(D540="ISO",VALUE(LEFT(C540,4)),IF(D540="DMY",VALUE(RIGHT(C540,4)),0))</f>
        <v>2026</v>
      </c>
      <c r="F540" s="7">
        <f>IF(D540="ISO",VALUE(MID(C540,6,2)),IF(D540="DMY",VALUE(MID(C540,4,2)),0))</f>
        <v>5</v>
      </c>
      <c r="G540" s="7">
        <f>IF(D540="ISO",VALUE(RIGHT(C540,2)),IF(D540="DMY",VALUE(LEFT(C540,2)),0))</f>
        <v>21</v>
      </c>
      <c r="H540" s="7">
        <f>IF(AND(D540&lt;&gt;"OTHER",F540&gt;=1,F540&lt;=12,G540&gt;=1,G540&lt;=31),IF(AND(MONTH(DATE(E540,F540,G540))=F540,DAY(DATE(E540,F540,G540))=G540),1,0),0)</f>
        <v>1</v>
      </c>
      <c r="I540" s="7">
        <f>IF(H540=1,DATE(E540,F540,G540),"")</f>
        <v>46163.0</v>
      </c>
      <c r="J540" s="7">
        <f>IF(AND(D540="DMY",H540=1),1,0)</f>
        <v>0</v>
      </c>
      <c r="K540" s="7">
        <f>IF(H540=0,1,0)</f>
        <v>0</v>
      </c>
      <c r="L540" s="7">
        <f>IF(TRIM(Raw_Bookings!I540&amp;"")="",1,0)</f>
        <v>0</v>
      </c>
      <c r="M540" s="7">
        <f>IF(L540=1,"",DATEVALUE(LEFT(Raw_Bookings!I540,10))+TIMEVALUE(MID(Raw_Bookings!I540,12,8)))</f>
        <v>46142.871516203704</v>
      </c>
      <c r="N540" s="7">
        <f>IF(AND(L540=0,H540=1),IF(INT(M540)&gt;I540,1,0),0)</f>
        <v>0</v>
      </c>
      <c r="O540" s="7" t="str">
        <f>UPPER(TRIM(Raw_Bookings!F540))</f>
        <v>HYD</v>
      </c>
      <c r="P540" s="7" t="str">
        <f>UPPER(TRIM(Raw_Bookings!G540))</f>
        <v>KOL</v>
      </c>
      <c r="Q540" s="7">
        <f>IF(COUNTIF(Lookup_Stations!$A$2:$A$33,O540)&gt;0,1,0)</f>
        <v>1</v>
      </c>
      <c r="R540" s="7">
        <f>IF(COUNTIF(Lookup_Stations!$A$2:$A$33,P540)&gt;0,1,0)</f>
        <v>1</v>
      </c>
      <c r="S540" s="7">
        <f>IF(OR(AND(Q540=1,NOT(EXACT(Raw_Bookings!F540,O540))),AND(R540=1,NOT(EXACT(Raw_Bookings!G540,P540)))),1,0)</f>
        <v>0</v>
      </c>
      <c r="T540" s="7">
        <f>IF(OR(Q540=0,R540=0),1,0)</f>
        <v>0</v>
      </c>
      <c r="U540" s="7">
        <f>IF(TRIM(Raw_Bookings!E540&amp;"")="",1,0)</f>
        <v>0</v>
      </c>
      <c r="V540" s="7" t="str">
        <f>IF(SUMPRODUCT(--(Lookup_Status!$A$2:$A$13=LOWER(TRIM(Raw_Bookings!K540))))=0,"",INDEX(Lookup_Status!$B$2:$B$13,SUMPRODUCT((Lookup_Status!$A$2:$A$13=LOWER(TRIM(Raw_Bookings!K540)))*(ROW(Lookup_Status!$A$2:$A$13)-1))))</f>
        <v>Confirmed</v>
      </c>
      <c r="W540" s="7">
        <f>IF(AND(V540&lt;&gt;"",NOT(EXACT(Raw_Bookings!K540,V540))),1,0)</f>
        <v>0</v>
      </c>
      <c r="X540" s="7">
        <f>IF(V540="",1,0)</f>
        <v>0</v>
      </c>
      <c r="Y540" s="7">
        <f>IF(TRIM(Raw_Bookings!L540&amp;"")="",1,0)</f>
        <v>0</v>
      </c>
      <c r="Z540" s="7">
        <f>IF(AND(ISTEXT(Raw_Bookings!L540),Y540=0),1,0)</f>
        <v>0</v>
      </c>
      <c r="AA540" s="7">
        <f>IF(Z540=1,IFERROR(VALUE(SUBSTITUTE(SUBSTITUTE(SUBSTITUTE(SUBSTITUTE(SUBSTITUTE(UPPER(Raw_Bookings!L540),"RS.",""),"₹",""),",","")," ",""),"INR","")),""),"")</f>
        <v/>
      </c>
      <c r="AB540" s="7">
        <f>IF(AND(Z540=1,ISNUMBER(AA540)),1,0)</f>
        <v>0</v>
      </c>
      <c r="AC540" s="7">
        <f>IF(B540=1,0,IF(NOT(ISNUMBER(Raw_Bookings!J540)),1,IF(Raw_Bookings!J540&lt;&gt;COUNTIFS(Work_Passengers!$B$2:$B$1336,Raw_Bookings!A540,Work_Passengers!$C$2:$C$1336,0),1,0)))</f>
        <v>0</v>
      </c>
    </row>
    <row r="541" spans="1:29">
      <c r="A541" s="7">
        <f>Raw_Bookings!A541</f>
        <v>1176094</v>
      </c>
      <c r="B541" s="7">
        <f>IF(COUNTIF(Raw_Bookings!$A$2:A541,Raw_Bookings!A541)&gt;1,1,0)</f>
        <v>0</v>
      </c>
      <c r="C541" s="7" t="str">
        <f>Raw_Bookings!D541&amp;""</f>
        <v>2026-05-19</v>
      </c>
      <c r="D541" s="7" t="str">
        <f>IF(AND(LEN(C541)=10,MID(C541,5,1)="-",MID(C541,8,1)="-"),"ISO",IF(AND(LEN(C541)=10,MID(C541,3,1)="-",MID(C541,6,1)="-"),"DMY","OTHER"))</f>
        <v>ISO</v>
      </c>
      <c r="E541" s="7">
        <f>IF(D541="ISO",VALUE(LEFT(C541,4)),IF(D541="DMY",VALUE(RIGHT(C541,4)),0))</f>
        <v>2026</v>
      </c>
      <c r="F541" s="7">
        <f>IF(D541="ISO",VALUE(MID(C541,6,2)),IF(D541="DMY",VALUE(MID(C541,4,2)),0))</f>
        <v>5</v>
      </c>
      <c r="G541" s="7">
        <f>IF(D541="ISO",VALUE(RIGHT(C541,2)),IF(D541="DMY",VALUE(LEFT(C541,2)),0))</f>
        <v>19</v>
      </c>
      <c r="H541" s="7">
        <f>IF(AND(D541&lt;&gt;"OTHER",F541&gt;=1,F541&lt;=12,G541&gt;=1,G541&lt;=31),IF(AND(MONTH(DATE(E541,F541,G541))=F541,DAY(DATE(E541,F541,G541))=G541),1,0),0)</f>
        <v>1</v>
      </c>
      <c r="I541" s="7">
        <f>IF(H541=1,DATE(E541,F541,G541),"")</f>
        <v>46161.0</v>
      </c>
      <c r="J541" s="7">
        <f>IF(AND(D541="DMY",H541=1),1,0)</f>
        <v>0</v>
      </c>
      <c r="K541" s="7">
        <f>IF(H541=0,1,0)</f>
        <v>0</v>
      </c>
      <c r="L541" s="7">
        <f>IF(TRIM(Raw_Bookings!I541&amp;"")="",1,0)</f>
        <v>0</v>
      </c>
      <c r="M541" s="7">
        <f>IF(L541=1,"",DATEVALUE(LEFT(Raw_Bookings!I541,10))+TIMEVALUE(MID(Raw_Bookings!I541,12,8)))</f>
        <v>46143.47665509259</v>
      </c>
      <c r="N541" s="7">
        <f>IF(AND(L541=0,H541=1),IF(INT(M541)&gt;I541,1,0),0)</f>
        <v>0</v>
      </c>
      <c r="O541" s="7" t="str">
        <f>UPPER(TRIM(Raw_Bookings!F541))</f>
        <v>RAN</v>
      </c>
      <c r="P541" s="7" t="str">
        <f>UPPER(TRIM(Raw_Bookings!G541))</f>
        <v>COI</v>
      </c>
      <c r="Q541" s="7">
        <f>IF(COUNTIF(Lookup_Stations!$A$2:$A$33,O541)&gt;0,1,0)</f>
        <v>1</v>
      </c>
      <c r="R541" s="7">
        <f>IF(COUNTIF(Lookup_Stations!$A$2:$A$33,P541)&gt;0,1,0)</f>
        <v>1</v>
      </c>
      <c r="S541" s="7">
        <f>IF(OR(AND(Q541=1,NOT(EXACT(Raw_Bookings!F541,O541))),AND(R541=1,NOT(EXACT(Raw_Bookings!G541,P541)))),1,0)</f>
        <v>0</v>
      </c>
      <c r="T541" s="7">
        <f>IF(OR(Q541=0,R541=0),1,0)</f>
        <v>0</v>
      </c>
      <c r="U541" s="7">
        <f>IF(TRIM(Raw_Bookings!E541&amp;"")="",1,0)</f>
        <v>0</v>
      </c>
      <c r="V541" s="7" t="str">
        <f>IF(SUMPRODUCT(--(Lookup_Status!$A$2:$A$13=LOWER(TRIM(Raw_Bookings!K541))))=0,"",INDEX(Lookup_Status!$B$2:$B$13,SUMPRODUCT((Lookup_Status!$A$2:$A$13=LOWER(TRIM(Raw_Bookings!K541)))*(ROW(Lookup_Status!$A$2:$A$13)-1))))</f>
        <v>Confirmed</v>
      </c>
      <c r="W541" s="7">
        <f>IF(AND(V541&lt;&gt;"",NOT(EXACT(Raw_Bookings!K541,V541))),1,0)</f>
        <v>0</v>
      </c>
      <c r="X541" s="7">
        <f>IF(V541="",1,0)</f>
        <v>0</v>
      </c>
      <c r="Y541" s="7">
        <f>IF(TRIM(Raw_Bookings!L541&amp;"")="",1,0)</f>
        <v>0</v>
      </c>
      <c r="Z541" s="7">
        <f>IF(AND(ISTEXT(Raw_Bookings!L541),Y541=0),1,0)</f>
        <v>0</v>
      </c>
      <c r="AA541" s="7">
        <f>IF(Z541=1,IFERROR(VALUE(SUBSTITUTE(SUBSTITUTE(SUBSTITUTE(SUBSTITUTE(SUBSTITUTE(UPPER(Raw_Bookings!L541),"RS.",""),"₹",""),",","")," ",""),"INR","")),""),"")</f>
        <v/>
      </c>
      <c r="AB541" s="7">
        <f>IF(AND(Z541=1,ISNUMBER(AA541)),1,0)</f>
        <v>0</v>
      </c>
      <c r="AC541" s="7">
        <f>IF(B541=1,0,IF(NOT(ISNUMBER(Raw_Bookings!J541)),1,IF(Raw_Bookings!J541&lt;&gt;COUNTIFS(Work_Passengers!$B$2:$B$1336,Raw_Bookings!A541,Work_Passengers!$C$2:$C$1336,0),1,0)))</f>
        <v>0</v>
      </c>
    </row>
    <row r="542" spans="1:29">
      <c r="A542" s="7">
        <f>Raw_Bookings!A542</f>
        <v>1176811</v>
      </c>
      <c r="B542" s="7">
        <f>IF(COUNTIF(Raw_Bookings!$A$2:A542,Raw_Bookings!A542)&gt;1,1,0)</f>
        <v>0</v>
      </c>
      <c r="C542" s="7" t="str">
        <f>Raw_Bookings!D542&amp;""</f>
        <v>2026-05-27</v>
      </c>
      <c r="D542" s="7" t="str">
        <f>IF(AND(LEN(C542)=10,MID(C542,5,1)="-",MID(C542,8,1)="-"),"ISO",IF(AND(LEN(C542)=10,MID(C542,3,1)="-",MID(C542,6,1)="-"),"DMY","OTHER"))</f>
        <v>ISO</v>
      </c>
      <c r="E542" s="7">
        <f>IF(D542="ISO",VALUE(LEFT(C542,4)),IF(D542="DMY",VALUE(RIGHT(C542,4)),0))</f>
        <v>2026</v>
      </c>
      <c r="F542" s="7">
        <f>IF(D542="ISO",VALUE(MID(C542,6,2)),IF(D542="DMY",VALUE(MID(C542,4,2)),0))</f>
        <v>5</v>
      </c>
      <c r="G542" s="7">
        <f>IF(D542="ISO",VALUE(RIGHT(C542,2)),IF(D542="DMY",VALUE(LEFT(C542,2)),0))</f>
        <v>27</v>
      </c>
      <c r="H542" s="7">
        <f>IF(AND(D542&lt;&gt;"OTHER",F542&gt;=1,F542&lt;=12,G542&gt;=1,G542&lt;=31),IF(AND(MONTH(DATE(E542,F542,G542))=F542,DAY(DATE(E542,F542,G542))=G542),1,0),0)</f>
        <v>1</v>
      </c>
      <c r="I542" s="7">
        <f>IF(H542=1,DATE(E542,F542,G542),"")</f>
        <v>46169.0</v>
      </c>
      <c r="J542" s="7">
        <f>IF(AND(D542="DMY",H542=1),1,0)</f>
        <v>0</v>
      </c>
      <c r="K542" s="7">
        <f>IF(H542=0,1,0)</f>
        <v>0</v>
      </c>
      <c r="L542" s="7">
        <f>IF(TRIM(Raw_Bookings!I542&amp;"")="",1,0)</f>
        <v>0</v>
      </c>
      <c r="M542" s="7">
        <f>IF(L542=1,"",DATEVALUE(LEFT(Raw_Bookings!I542,10))+TIMEVALUE(MID(Raw_Bookings!I542,12,8)))</f>
        <v>46145.72829861111</v>
      </c>
      <c r="N542" s="7">
        <f>IF(AND(L542=0,H542=1),IF(INT(M542)&gt;I542,1,0),0)</f>
        <v>0</v>
      </c>
      <c r="O542" s="7" t="str">
        <f>UPPER(TRIM(Raw_Bookings!F542))</f>
        <v>BEN</v>
      </c>
      <c r="P542" s="7" t="str">
        <f>UPPER(TRIM(Raw_Bookings!G542))</f>
        <v>JOD</v>
      </c>
      <c r="Q542" s="7">
        <f>IF(COUNTIF(Lookup_Stations!$A$2:$A$33,O542)&gt;0,1,0)</f>
        <v>1</v>
      </c>
      <c r="R542" s="7">
        <f>IF(COUNTIF(Lookup_Stations!$A$2:$A$33,P542)&gt;0,1,0)</f>
        <v>1</v>
      </c>
      <c r="S542" s="7">
        <f>IF(OR(AND(Q542=1,NOT(EXACT(Raw_Bookings!F542,O542))),AND(R542=1,NOT(EXACT(Raw_Bookings!G542,P542)))),1,0)</f>
        <v>0</v>
      </c>
      <c r="T542" s="7">
        <f>IF(OR(Q542=0,R542=0),1,0)</f>
        <v>0</v>
      </c>
      <c r="U542" s="7">
        <f>IF(TRIM(Raw_Bookings!E542&amp;"")="",1,0)</f>
        <v>0</v>
      </c>
      <c r="V542" s="7">
        <f>IF(SUMPRODUCT(--(Lookup_Status!$A$2:$A$13=LOWER(TRIM(Raw_Bookings!K542))))=0,"",INDEX(Lookup_Status!$B$2:$B$13,SUMPRODUCT((Lookup_Status!$A$2:$A$13=LOWER(TRIM(Raw_Bookings!K542)))*(ROW(Lookup_Status!$A$2:$A$13)-1))))</f>
        <v/>
      </c>
      <c r="W542" s="7">
        <f>IF(AND(V542&lt;&gt;"",NOT(EXACT(Raw_Bookings!K542,V542))),1,0)</f>
        <v>0</v>
      </c>
      <c r="X542" s="7">
        <f>IF(V542="",1,0)</f>
        <v>1</v>
      </c>
      <c r="Y542" s="7">
        <f>IF(TRIM(Raw_Bookings!L542&amp;"")="",1,0)</f>
        <v>0</v>
      </c>
      <c r="Z542" s="7">
        <f>IF(AND(ISTEXT(Raw_Bookings!L542),Y542=0),1,0)</f>
        <v>0</v>
      </c>
      <c r="AA542" s="7">
        <f>IF(Z542=1,IFERROR(VALUE(SUBSTITUTE(SUBSTITUTE(SUBSTITUTE(SUBSTITUTE(SUBSTITUTE(UPPER(Raw_Bookings!L542),"RS.",""),"₹",""),",","")," ",""),"INR","")),""),"")</f>
        <v/>
      </c>
      <c r="AB542" s="7">
        <f>IF(AND(Z542=1,ISNUMBER(AA542)),1,0)</f>
        <v>0</v>
      </c>
      <c r="AC542" s="7">
        <f>IF(B542=1,0,IF(NOT(ISNUMBER(Raw_Bookings!J542)),1,IF(Raw_Bookings!J542&lt;&gt;COUNTIFS(Work_Passengers!$B$2:$B$1336,Raw_Bookings!A542,Work_Passengers!$C$2:$C$1336,0),1,0)))</f>
        <v>0</v>
      </c>
    </row>
    <row r="543" spans="1:29">
      <c r="A543" s="7">
        <f>Raw_Bookings!A543</f>
        <v>1177167</v>
      </c>
      <c r="B543" s="7">
        <f>IF(COUNTIF(Raw_Bookings!$A$2:A543,Raw_Bookings!A543)&gt;1,1,0)</f>
        <v>0</v>
      </c>
      <c r="C543" s="7" t="str">
        <f>Raw_Bookings!D543&amp;""</f>
        <v>2026-06-03</v>
      </c>
      <c r="D543" s="7" t="str">
        <f>IF(AND(LEN(C543)=10,MID(C543,5,1)="-",MID(C543,8,1)="-"),"ISO",IF(AND(LEN(C543)=10,MID(C543,3,1)="-",MID(C543,6,1)="-"),"DMY","OTHER"))</f>
        <v>ISO</v>
      </c>
      <c r="E543" s="7">
        <f>IF(D543="ISO",VALUE(LEFT(C543,4)),IF(D543="DMY",VALUE(RIGHT(C543,4)),0))</f>
        <v>2026</v>
      </c>
      <c r="F543" s="7">
        <f>IF(D543="ISO",VALUE(MID(C543,6,2)),IF(D543="DMY",VALUE(MID(C543,4,2)),0))</f>
        <v>6</v>
      </c>
      <c r="G543" s="7">
        <f>IF(D543="ISO",VALUE(RIGHT(C543,2)),IF(D543="DMY",VALUE(LEFT(C543,2)),0))</f>
        <v>3</v>
      </c>
      <c r="H543" s="7">
        <f>IF(AND(D543&lt;&gt;"OTHER",F543&gt;=1,F543&lt;=12,G543&gt;=1,G543&lt;=31),IF(AND(MONTH(DATE(E543,F543,G543))=F543,DAY(DATE(E543,F543,G543))=G543),1,0),0)</f>
        <v>1</v>
      </c>
      <c r="I543" s="7">
        <f>IF(H543=1,DATE(E543,F543,G543),"")</f>
        <v>46176.0</v>
      </c>
      <c r="J543" s="7">
        <f>IF(AND(D543="DMY",H543=1),1,0)</f>
        <v>0</v>
      </c>
      <c r="K543" s="7">
        <f>IF(H543=0,1,0)</f>
        <v>0</v>
      </c>
      <c r="L543" s="7">
        <f>IF(TRIM(Raw_Bookings!I543&amp;"")="",1,0)</f>
        <v>0</v>
      </c>
      <c r="M543" s="7">
        <f>IF(L543=1,"",DATEVALUE(LEFT(Raw_Bookings!I543,10))+TIMEVALUE(MID(Raw_Bookings!I543,12,8)))</f>
        <v>46146.77076388889</v>
      </c>
      <c r="N543" s="7">
        <f>IF(AND(L543=0,H543=1),IF(INT(M543)&gt;I543,1,0),0)</f>
        <v>0</v>
      </c>
      <c r="O543" s="7" t="str">
        <f>UPPER(TRIM(Raw_Bookings!F543))</f>
        <v>KOL</v>
      </c>
      <c r="P543" s="7" t="str">
        <f>UPPER(TRIM(Raw_Bookings!G543))</f>
        <v>HYD</v>
      </c>
      <c r="Q543" s="7">
        <f>IF(COUNTIF(Lookup_Stations!$A$2:$A$33,O543)&gt;0,1,0)</f>
        <v>1</v>
      </c>
      <c r="R543" s="7">
        <f>IF(COUNTIF(Lookup_Stations!$A$2:$A$33,P543)&gt;0,1,0)</f>
        <v>1</v>
      </c>
      <c r="S543" s="7">
        <f>IF(OR(AND(Q543=1,NOT(EXACT(Raw_Bookings!F543,O543))),AND(R543=1,NOT(EXACT(Raw_Bookings!G543,P543)))),1,0)</f>
        <v>0</v>
      </c>
      <c r="T543" s="7">
        <f>IF(OR(Q543=0,R543=0),1,0)</f>
        <v>0</v>
      </c>
      <c r="U543" s="7">
        <f>IF(TRIM(Raw_Bookings!E543&amp;"")="",1,0)</f>
        <v>0</v>
      </c>
      <c r="V543" s="7" t="str">
        <f>IF(SUMPRODUCT(--(Lookup_Status!$A$2:$A$13=LOWER(TRIM(Raw_Bookings!K543))))=0,"",INDEX(Lookup_Status!$B$2:$B$13,SUMPRODUCT((Lookup_Status!$A$2:$A$13=LOWER(TRIM(Raw_Bookings!K543)))*(ROW(Lookup_Status!$A$2:$A$13)-1))))</f>
        <v>Cancelled</v>
      </c>
      <c r="W543" s="7">
        <f>IF(AND(V543&lt;&gt;"",NOT(EXACT(Raw_Bookings!K543,V543))),1,0)</f>
        <v>0</v>
      </c>
      <c r="X543" s="7">
        <f>IF(V543="",1,0)</f>
        <v>0</v>
      </c>
      <c r="Y543" s="7">
        <f>IF(TRIM(Raw_Bookings!L543&amp;"")="",1,0)</f>
        <v>0</v>
      </c>
      <c r="Z543" s="7">
        <f>IF(AND(ISTEXT(Raw_Bookings!L543),Y543=0),1,0)</f>
        <v>0</v>
      </c>
      <c r="AA543" s="7">
        <f>IF(Z543=1,IFERROR(VALUE(SUBSTITUTE(SUBSTITUTE(SUBSTITUTE(SUBSTITUTE(SUBSTITUTE(UPPER(Raw_Bookings!L543),"RS.",""),"₹",""),",","")," ",""),"INR","")),""),"")</f>
        <v/>
      </c>
      <c r="AB543" s="7">
        <f>IF(AND(Z543=1,ISNUMBER(AA543)),1,0)</f>
        <v>0</v>
      </c>
      <c r="AC543" s="7">
        <f>IF(B543=1,0,IF(NOT(ISNUMBER(Raw_Bookings!J543)),1,IF(Raw_Bookings!J543&lt;&gt;COUNTIFS(Work_Passengers!$B$2:$B$1336,Raw_Bookings!A543,Work_Passengers!$C$2:$C$1336,0),1,0)))</f>
        <v>0</v>
      </c>
    </row>
    <row r="544" spans="1:29">
      <c r="A544" s="7">
        <f>Raw_Bookings!A544</f>
        <v>1177292</v>
      </c>
      <c r="B544" s="7">
        <f>IF(COUNTIF(Raw_Bookings!$A$2:A544,Raw_Bookings!A544)&gt;1,1,0)</f>
        <v>0</v>
      </c>
      <c r="C544" s="7" t="str">
        <f>Raw_Bookings!D544&amp;""</f>
        <v>2026-06-15</v>
      </c>
      <c r="D544" s="7" t="str">
        <f>IF(AND(LEN(C544)=10,MID(C544,5,1)="-",MID(C544,8,1)="-"),"ISO",IF(AND(LEN(C544)=10,MID(C544,3,1)="-",MID(C544,6,1)="-"),"DMY","OTHER"))</f>
        <v>ISO</v>
      </c>
      <c r="E544" s="7">
        <f>IF(D544="ISO",VALUE(LEFT(C544,4)),IF(D544="DMY",VALUE(RIGHT(C544,4)),0))</f>
        <v>2026</v>
      </c>
      <c r="F544" s="7">
        <f>IF(D544="ISO",VALUE(MID(C544,6,2)),IF(D544="DMY",VALUE(MID(C544,4,2)),0))</f>
        <v>6</v>
      </c>
      <c r="G544" s="7">
        <f>IF(D544="ISO",VALUE(RIGHT(C544,2)),IF(D544="DMY",VALUE(LEFT(C544,2)),0))</f>
        <v>15</v>
      </c>
      <c r="H544" s="7">
        <f>IF(AND(D544&lt;&gt;"OTHER",F544&gt;=1,F544&lt;=12,G544&gt;=1,G544&lt;=31),IF(AND(MONTH(DATE(E544,F544,G544))=F544,DAY(DATE(E544,F544,G544))=G544),1,0),0)</f>
        <v>1</v>
      </c>
      <c r="I544" s="7">
        <f>IF(H544=1,DATE(E544,F544,G544),"")</f>
        <v>46188.0</v>
      </c>
      <c r="J544" s="7">
        <f>IF(AND(D544="DMY",H544=1),1,0)</f>
        <v>0</v>
      </c>
      <c r="K544" s="7">
        <f>IF(H544=0,1,0)</f>
        <v>0</v>
      </c>
      <c r="L544" s="7">
        <f>IF(TRIM(Raw_Bookings!I544&amp;"")="",1,0)</f>
        <v>0</v>
      </c>
      <c r="M544" s="7">
        <f>IF(L544=1,"",DATEVALUE(LEFT(Raw_Bookings!I544,10))+TIMEVALUE(MID(Raw_Bookings!I544,12,8)))</f>
        <v>46147.2349537037</v>
      </c>
      <c r="N544" s="7">
        <f>IF(AND(L544=0,H544=1),IF(INT(M544)&gt;I544,1,0),0)</f>
        <v>0</v>
      </c>
      <c r="O544" s="7" t="str">
        <f>UPPER(TRIM(Raw_Bookings!F544))</f>
        <v>DEL</v>
      </c>
      <c r="P544" s="7" t="str">
        <f>UPPER(TRIM(Raw_Bookings!G544))</f>
        <v>DIB</v>
      </c>
      <c r="Q544" s="7">
        <f>IF(COUNTIF(Lookup_Stations!$A$2:$A$33,O544)&gt;0,1,0)</f>
        <v>1</v>
      </c>
      <c r="R544" s="7">
        <f>IF(COUNTIF(Lookup_Stations!$A$2:$A$33,P544)&gt;0,1,0)</f>
        <v>1</v>
      </c>
      <c r="S544" s="7">
        <f>IF(OR(AND(Q544=1,NOT(EXACT(Raw_Bookings!F544,O544))),AND(R544=1,NOT(EXACT(Raw_Bookings!G544,P544)))),1,0)</f>
        <v>0</v>
      </c>
      <c r="T544" s="7">
        <f>IF(OR(Q544=0,R544=0),1,0)</f>
        <v>0</v>
      </c>
      <c r="U544" s="7">
        <f>IF(TRIM(Raw_Bookings!E544&amp;"")="",1,0)</f>
        <v>0</v>
      </c>
      <c r="V544" s="7" t="str">
        <f>IF(SUMPRODUCT(--(Lookup_Status!$A$2:$A$13=LOWER(TRIM(Raw_Bookings!K544))))=0,"",INDEX(Lookup_Status!$B$2:$B$13,SUMPRODUCT((Lookup_Status!$A$2:$A$13=LOWER(TRIM(Raw_Bookings!K544)))*(ROW(Lookup_Status!$A$2:$A$13)-1))))</f>
        <v>Confirmed</v>
      </c>
      <c r="W544" s="7">
        <f>IF(AND(V544&lt;&gt;"",NOT(EXACT(Raw_Bookings!K544,V544))),1,0)</f>
        <v>0</v>
      </c>
      <c r="X544" s="7">
        <f>IF(V544="",1,0)</f>
        <v>0</v>
      </c>
      <c r="Y544" s="7">
        <f>IF(TRIM(Raw_Bookings!L544&amp;"")="",1,0)</f>
        <v>0</v>
      </c>
      <c r="Z544" s="7">
        <f>IF(AND(ISTEXT(Raw_Bookings!L544),Y544=0),1,0)</f>
        <v>0</v>
      </c>
      <c r="AA544" s="7">
        <f>IF(Z544=1,IFERROR(VALUE(SUBSTITUTE(SUBSTITUTE(SUBSTITUTE(SUBSTITUTE(SUBSTITUTE(UPPER(Raw_Bookings!L544),"RS.",""),"₹",""),",","")," ",""),"INR","")),""),"")</f>
        <v/>
      </c>
      <c r="AB544" s="7">
        <f>IF(AND(Z544=1,ISNUMBER(AA544)),1,0)</f>
        <v>0</v>
      </c>
      <c r="AC544" s="7">
        <f>IF(B544=1,0,IF(NOT(ISNUMBER(Raw_Bookings!J544)),1,IF(Raw_Bookings!J544&lt;&gt;COUNTIFS(Work_Passengers!$B$2:$B$1336,Raw_Bookings!A544,Work_Passengers!$C$2:$C$1336,0),1,0)))</f>
        <v>0</v>
      </c>
    </row>
    <row r="545" spans="1:29">
      <c r="A545" s="7">
        <f>Raw_Bookings!A545</f>
        <v>1177417</v>
      </c>
      <c r="B545" s="7">
        <f>IF(COUNTIF(Raw_Bookings!$A$2:A545,Raw_Bookings!A545)&gt;1,1,0)</f>
        <v>0</v>
      </c>
      <c r="C545" s="7" t="str">
        <f>Raw_Bookings!D545&amp;""</f>
        <v>2026-06-03</v>
      </c>
      <c r="D545" s="7" t="str">
        <f>IF(AND(LEN(C545)=10,MID(C545,5,1)="-",MID(C545,8,1)="-"),"ISO",IF(AND(LEN(C545)=10,MID(C545,3,1)="-",MID(C545,6,1)="-"),"DMY","OTHER"))</f>
        <v>ISO</v>
      </c>
      <c r="E545" s="7">
        <f>IF(D545="ISO",VALUE(LEFT(C545,4)),IF(D545="DMY",VALUE(RIGHT(C545,4)),0))</f>
        <v>2026</v>
      </c>
      <c r="F545" s="7">
        <f>IF(D545="ISO",VALUE(MID(C545,6,2)),IF(D545="DMY",VALUE(MID(C545,4,2)),0))</f>
        <v>6</v>
      </c>
      <c r="G545" s="7">
        <f>IF(D545="ISO",VALUE(RIGHT(C545,2)),IF(D545="DMY",VALUE(LEFT(C545,2)),0))</f>
        <v>3</v>
      </c>
      <c r="H545" s="7">
        <f>IF(AND(D545&lt;&gt;"OTHER",F545&gt;=1,F545&lt;=12,G545&gt;=1,G545&lt;=31),IF(AND(MONTH(DATE(E545,F545,G545))=F545,DAY(DATE(E545,F545,G545))=G545),1,0),0)</f>
        <v>1</v>
      </c>
      <c r="I545" s="7">
        <f>IF(H545=1,DATE(E545,F545,G545),"")</f>
        <v>46176.0</v>
      </c>
      <c r="J545" s="7">
        <f>IF(AND(D545="DMY",H545=1),1,0)</f>
        <v>0</v>
      </c>
      <c r="K545" s="7">
        <f>IF(H545=0,1,0)</f>
        <v>0</v>
      </c>
      <c r="L545" s="7">
        <f>IF(TRIM(Raw_Bookings!I545&amp;"")="",1,0)</f>
        <v>0</v>
      </c>
      <c r="M545" s="7">
        <f>IF(L545=1,"",DATEVALUE(LEFT(Raw_Bookings!I545,10))+TIMEVALUE(MID(Raw_Bookings!I545,12,8)))</f>
        <v>46177.833333333336</v>
      </c>
      <c r="N545" s="7">
        <f>IF(AND(L545=0,H545=1),IF(INT(M545)&gt;I545,1,0),0)</f>
        <v>1</v>
      </c>
      <c r="O545" s="7" t="str">
        <f>UPPER(TRIM(Raw_Bookings!F545))</f>
        <v>MUM</v>
      </c>
      <c r="P545" s="7" t="str">
        <f>UPPER(TRIM(Raw_Bookings!G545))</f>
        <v>BEN</v>
      </c>
      <c r="Q545" s="7">
        <f>IF(COUNTIF(Lookup_Stations!$A$2:$A$33,O545)&gt;0,1,0)</f>
        <v>1</v>
      </c>
      <c r="R545" s="7">
        <f>IF(COUNTIF(Lookup_Stations!$A$2:$A$33,P545)&gt;0,1,0)</f>
        <v>1</v>
      </c>
      <c r="S545" s="7">
        <f>IF(OR(AND(Q545=1,NOT(EXACT(Raw_Bookings!F545,O545))),AND(R545=1,NOT(EXACT(Raw_Bookings!G545,P545)))),1,0)</f>
        <v>0</v>
      </c>
      <c r="T545" s="7">
        <f>IF(OR(Q545=0,R545=0),1,0)</f>
        <v>0</v>
      </c>
      <c r="U545" s="7">
        <f>IF(TRIM(Raw_Bookings!E545&amp;"")="",1,0)</f>
        <v>0</v>
      </c>
      <c r="V545" s="7" t="str">
        <f>IF(SUMPRODUCT(--(Lookup_Status!$A$2:$A$13=LOWER(TRIM(Raw_Bookings!K545))))=0,"",INDEX(Lookup_Status!$B$2:$B$13,SUMPRODUCT((Lookup_Status!$A$2:$A$13=LOWER(TRIM(Raw_Bookings!K545)))*(ROW(Lookup_Status!$A$2:$A$13)-1))))</f>
        <v>Confirmed</v>
      </c>
      <c r="W545" s="7">
        <f>IF(AND(V545&lt;&gt;"",NOT(EXACT(Raw_Bookings!K545,V545))),1,0)</f>
        <v>0</v>
      </c>
      <c r="X545" s="7">
        <f>IF(V545="",1,0)</f>
        <v>0</v>
      </c>
      <c r="Y545" s="7">
        <f>IF(TRIM(Raw_Bookings!L545&amp;"")="",1,0)</f>
        <v>0</v>
      </c>
      <c r="Z545" s="7">
        <f>IF(AND(ISTEXT(Raw_Bookings!L545),Y545=0),1,0)</f>
        <v>0</v>
      </c>
      <c r="AA545" s="7">
        <f>IF(Z545=1,IFERROR(VALUE(SUBSTITUTE(SUBSTITUTE(SUBSTITUTE(SUBSTITUTE(SUBSTITUTE(UPPER(Raw_Bookings!L545),"RS.",""),"₹",""),",","")," ",""),"INR","")),""),"")</f>
        <v/>
      </c>
      <c r="AB545" s="7">
        <f>IF(AND(Z545=1,ISNUMBER(AA545)),1,0)</f>
        <v>0</v>
      </c>
      <c r="AC545" s="7">
        <f>IF(B545=1,0,IF(NOT(ISNUMBER(Raw_Bookings!J545)),1,IF(Raw_Bookings!J545&lt;&gt;COUNTIFS(Work_Passengers!$B$2:$B$1336,Raw_Bookings!A545,Work_Passengers!$C$2:$C$1336,0),1,0)))</f>
        <v>0</v>
      </c>
    </row>
    <row r="546" spans="1:29">
      <c r="A546" s="7">
        <f>Raw_Bookings!A546</f>
        <v>1177463</v>
      </c>
      <c r="B546" s="7">
        <f>IF(COUNTIF(Raw_Bookings!$A$2:A546,Raw_Bookings!A546)&gt;1,1,0)</f>
        <v>0</v>
      </c>
      <c r="C546" s="7" t="str">
        <f>Raw_Bookings!D546&amp;""</f>
        <v>2026-06-07</v>
      </c>
      <c r="D546" s="7" t="str">
        <f>IF(AND(LEN(C546)=10,MID(C546,5,1)="-",MID(C546,8,1)="-"),"ISO",IF(AND(LEN(C546)=10,MID(C546,3,1)="-",MID(C546,6,1)="-"),"DMY","OTHER"))</f>
        <v>ISO</v>
      </c>
      <c r="E546" s="7">
        <f>IF(D546="ISO",VALUE(LEFT(C546,4)),IF(D546="DMY",VALUE(RIGHT(C546,4)),0))</f>
        <v>2026</v>
      </c>
      <c r="F546" s="7">
        <f>IF(D546="ISO",VALUE(MID(C546,6,2)),IF(D546="DMY",VALUE(MID(C546,4,2)),0))</f>
        <v>6</v>
      </c>
      <c r="G546" s="7">
        <f>IF(D546="ISO",VALUE(RIGHT(C546,2)),IF(D546="DMY",VALUE(LEFT(C546,2)),0))</f>
        <v>7</v>
      </c>
      <c r="H546" s="7">
        <f>IF(AND(D546&lt;&gt;"OTHER",F546&gt;=1,F546&lt;=12,G546&gt;=1,G546&lt;=31),IF(AND(MONTH(DATE(E546,F546,G546))=F546,DAY(DATE(E546,F546,G546))=G546),1,0),0)</f>
        <v>1</v>
      </c>
      <c r="I546" s="7">
        <f>IF(H546=1,DATE(E546,F546,G546),"")</f>
        <v>46180.0</v>
      </c>
      <c r="J546" s="7">
        <f>IF(AND(D546="DMY",H546=1),1,0)</f>
        <v>0</v>
      </c>
      <c r="K546" s="7">
        <f>IF(H546=0,1,0)</f>
        <v>0</v>
      </c>
      <c r="L546" s="7">
        <f>IF(TRIM(Raw_Bookings!I546&amp;"")="",1,0)</f>
        <v>0</v>
      </c>
      <c r="M546" s="7">
        <f>IF(L546=1,"",DATEVALUE(LEFT(Raw_Bookings!I546,10))+TIMEVALUE(MID(Raw_Bookings!I546,12,8)))</f>
        <v>46147.70883101852</v>
      </c>
      <c r="N546" s="7">
        <f>IF(AND(L546=0,H546=1),IF(INT(M546)&gt;I546,1,0),0)</f>
        <v>0</v>
      </c>
      <c r="O546" s="7" t="str">
        <f>UPPER(TRIM(Raw_Bookings!F546))</f>
        <v>AHM</v>
      </c>
      <c r="P546" s="7" t="str">
        <f>UPPER(TRIM(Raw_Bookings!G546))</f>
        <v>VAR</v>
      </c>
      <c r="Q546" s="7">
        <f>IF(COUNTIF(Lookup_Stations!$A$2:$A$33,O546)&gt;0,1,0)</f>
        <v>1</v>
      </c>
      <c r="R546" s="7">
        <f>IF(COUNTIF(Lookup_Stations!$A$2:$A$33,P546)&gt;0,1,0)</f>
        <v>1</v>
      </c>
      <c r="S546" s="7">
        <f>IF(OR(AND(Q546=1,NOT(EXACT(Raw_Bookings!F546,O546))),AND(R546=1,NOT(EXACT(Raw_Bookings!G546,P546)))),1,0)</f>
        <v>0</v>
      </c>
      <c r="T546" s="7">
        <f>IF(OR(Q546=0,R546=0),1,0)</f>
        <v>0</v>
      </c>
      <c r="U546" s="7">
        <f>IF(TRIM(Raw_Bookings!E546&amp;"")="",1,0)</f>
        <v>0</v>
      </c>
      <c r="V546" s="7" t="str">
        <f>IF(SUMPRODUCT(--(Lookup_Status!$A$2:$A$13=LOWER(TRIM(Raw_Bookings!K546))))=0,"",INDEX(Lookup_Status!$B$2:$B$13,SUMPRODUCT((Lookup_Status!$A$2:$A$13=LOWER(TRIM(Raw_Bookings!K546)))*(ROW(Lookup_Status!$A$2:$A$13)-1))))</f>
        <v>Confirmed</v>
      </c>
      <c r="W546" s="7">
        <f>IF(AND(V546&lt;&gt;"",NOT(EXACT(Raw_Bookings!K546,V546))),1,0)</f>
        <v>0</v>
      </c>
      <c r="X546" s="7">
        <f>IF(V546="",1,0)</f>
        <v>0</v>
      </c>
      <c r="Y546" s="7">
        <f>IF(TRIM(Raw_Bookings!L546&amp;"")="",1,0)</f>
        <v>0</v>
      </c>
      <c r="Z546" s="7">
        <f>IF(AND(ISTEXT(Raw_Bookings!L546),Y546=0),1,0)</f>
        <v>0</v>
      </c>
      <c r="AA546" s="7">
        <f>IF(Z546=1,IFERROR(VALUE(SUBSTITUTE(SUBSTITUTE(SUBSTITUTE(SUBSTITUTE(SUBSTITUTE(UPPER(Raw_Bookings!L546),"RS.",""),"₹",""),",","")," ",""),"INR","")),""),"")</f>
        <v/>
      </c>
      <c r="AB546" s="7">
        <f>IF(AND(Z546=1,ISNUMBER(AA546)),1,0)</f>
        <v>0</v>
      </c>
      <c r="AC546" s="7">
        <f>IF(B546=1,0,IF(NOT(ISNUMBER(Raw_Bookings!J546)),1,IF(Raw_Bookings!J546&lt;&gt;COUNTIFS(Work_Passengers!$B$2:$B$1336,Raw_Bookings!A546,Work_Passengers!$C$2:$C$1336,0),1,0)))</f>
        <v>0</v>
      </c>
    </row>
    <row r="547" spans="1:29">
      <c r="A547" s="7">
        <f>Raw_Bookings!A547</f>
        <v>1177481</v>
      </c>
      <c r="B547" s="7">
        <f>IF(COUNTIF(Raw_Bookings!$A$2:A547,Raw_Bookings!A547)&gt;1,1,0)</f>
        <v>0</v>
      </c>
      <c r="C547" s="7" t="str">
        <f>Raw_Bookings!D547&amp;""</f>
        <v>2026-05-15</v>
      </c>
      <c r="D547" s="7" t="str">
        <f>IF(AND(LEN(C547)=10,MID(C547,5,1)="-",MID(C547,8,1)="-"),"ISO",IF(AND(LEN(C547)=10,MID(C547,3,1)="-",MID(C547,6,1)="-"),"DMY","OTHER"))</f>
        <v>ISO</v>
      </c>
      <c r="E547" s="7">
        <f>IF(D547="ISO",VALUE(LEFT(C547,4)),IF(D547="DMY",VALUE(RIGHT(C547,4)),0))</f>
        <v>2026</v>
      </c>
      <c r="F547" s="7">
        <f>IF(D547="ISO",VALUE(MID(C547,6,2)),IF(D547="DMY",VALUE(MID(C547,4,2)),0))</f>
        <v>5</v>
      </c>
      <c r="G547" s="7">
        <f>IF(D547="ISO",VALUE(RIGHT(C547,2)),IF(D547="DMY",VALUE(LEFT(C547,2)),0))</f>
        <v>15</v>
      </c>
      <c r="H547" s="7">
        <f>IF(AND(D547&lt;&gt;"OTHER",F547&gt;=1,F547&lt;=12,G547&gt;=1,G547&lt;=31),IF(AND(MONTH(DATE(E547,F547,G547))=F547,DAY(DATE(E547,F547,G547))=G547),1,0),0)</f>
        <v>1</v>
      </c>
      <c r="I547" s="7">
        <f>IF(H547=1,DATE(E547,F547,G547),"")</f>
        <v>46157.0</v>
      </c>
      <c r="J547" s="7">
        <f>IF(AND(D547="DMY",H547=1),1,0)</f>
        <v>0</v>
      </c>
      <c r="K547" s="7">
        <f>IF(H547=0,1,0)</f>
        <v>0</v>
      </c>
      <c r="L547" s="7">
        <f>IF(TRIM(Raw_Bookings!I547&amp;"")="",1,0)</f>
        <v>0</v>
      </c>
      <c r="M547" s="7">
        <f>IF(L547=1,"",DATEVALUE(LEFT(Raw_Bookings!I547,10))+TIMEVALUE(MID(Raw_Bookings!I547,12,8)))</f>
        <v>46147.733078703706</v>
      </c>
      <c r="N547" s="7">
        <f>IF(AND(L547=0,H547=1),IF(INT(M547)&gt;I547,1,0),0)</f>
        <v>0</v>
      </c>
      <c r="O547" s="7" t="str">
        <f>UPPER(TRIM(Raw_Bookings!F547))</f>
        <v>MUM</v>
      </c>
      <c r="P547" s="7" t="str">
        <f>UPPER(TRIM(Raw_Bookings!G547))</f>
        <v>LUC</v>
      </c>
      <c r="Q547" s="7">
        <f>IF(COUNTIF(Lookup_Stations!$A$2:$A$33,O547)&gt;0,1,0)</f>
        <v>1</v>
      </c>
      <c r="R547" s="7">
        <f>IF(COUNTIF(Lookup_Stations!$A$2:$A$33,P547)&gt;0,1,0)</f>
        <v>1</v>
      </c>
      <c r="S547" s="7">
        <f>IF(OR(AND(Q547=1,NOT(EXACT(Raw_Bookings!F547,O547))),AND(R547=1,NOT(EXACT(Raw_Bookings!G547,P547)))),1,0)</f>
        <v>0</v>
      </c>
      <c r="T547" s="7">
        <f>IF(OR(Q547=0,R547=0),1,0)</f>
        <v>0</v>
      </c>
      <c r="U547" s="7">
        <f>IF(TRIM(Raw_Bookings!E547&amp;"")="",1,0)</f>
        <v>0</v>
      </c>
      <c r="V547" s="7" t="str">
        <f>IF(SUMPRODUCT(--(Lookup_Status!$A$2:$A$13=LOWER(TRIM(Raw_Bookings!K547))))=0,"",INDEX(Lookup_Status!$B$2:$B$13,SUMPRODUCT((Lookup_Status!$A$2:$A$13=LOWER(TRIM(Raw_Bookings!K547)))*(ROW(Lookup_Status!$A$2:$A$13)-1))))</f>
        <v>Cancelled</v>
      </c>
      <c r="W547" s="7">
        <f>IF(AND(V547&lt;&gt;"",NOT(EXACT(Raw_Bookings!K547,V547))),1,0)</f>
        <v>0</v>
      </c>
      <c r="X547" s="7">
        <f>IF(V547="",1,0)</f>
        <v>0</v>
      </c>
      <c r="Y547" s="7">
        <f>IF(TRIM(Raw_Bookings!L547&amp;"")="",1,0)</f>
        <v>0</v>
      </c>
      <c r="Z547" s="7">
        <f>IF(AND(ISTEXT(Raw_Bookings!L547),Y547=0),1,0)</f>
        <v>1</v>
      </c>
      <c r="AA547" s="7">
        <f>IF(Z547=1,IFERROR(VALUE(SUBSTITUTE(SUBSTITUTE(SUBSTITUTE(SUBSTITUTE(SUBSTITUTE(UPPER(Raw_Bookings!L547),"RS.",""),"₹",""),",","")," ",""),"INR","")),""),"")</f>
        <v>3026</v>
      </c>
      <c r="AB547" s="7">
        <f>IF(AND(Z547=1,ISNUMBER(AA547)),1,0)</f>
        <v>1</v>
      </c>
      <c r="AC547" s="7">
        <f>IF(B547=1,0,IF(NOT(ISNUMBER(Raw_Bookings!J547)),1,IF(Raw_Bookings!J547&lt;&gt;COUNTIFS(Work_Passengers!$B$2:$B$1336,Raw_Bookings!A547,Work_Passengers!$C$2:$C$1336,0),1,0)))</f>
        <v>0</v>
      </c>
    </row>
    <row r="548" spans="1:29">
      <c r="A548" s="7">
        <f>Raw_Bookings!A548</f>
        <v>1177797</v>
      </c>
      <c r="B548" s="7">
        <f>IF(COUNTIF(Raw_Bookings!$A$2:A548,Raw_Bookings!A548)&gt;1,1,0)</f>
        <v>0</v>
      </c>
      <c r="C548" s="7" t="str">
        <f>Raw_Bookings!D548&amp;""</f>
        <v>2026-06-05</v>
      </c>
      <c r="D548" s="7" t="str">
        <f>IF(AND(LEN(C548)=10,MID(C548,5,1)="-",MID(C548,8,1)="-"),"ISO",IF(AND(LEN(C548)=10,MID(C548,3,1)="-",MID(C548,6,1)="-"),"DMY","OTHER"))</f>
        <v>ISO</v>
      </c>
      <c r="E548" s="7">
        <f>IF(D548="ISO",VALUE(LEFT(C548,4)),IF(D548="DMY",VALUE(RIGHT(C548,4)),0))</f>
        <v>2026</v>
      </c>
      <c r="F548" s="7">
        <f>IF(D548="ISO",VALUE(MID(C548,6,2)),IF(D548="DMY",VALUE(MID(C548,4,2)),0))</f>
        <v>6</v>
      </c>
      <c r="G548" s="7">
        <f>IF(D548="ISO",VALUE(RIGHT(C548,2)),IF(D548="DMY",VALUE(LEFT(C548,2)),0))</f>
        <v>5</v>
      </c>
      <c r="H548" s="7">
        <f>IF(AND(D548&lt;&gt;"OTHER",F548&gt;=1,F548&lt;=12,G548&gt;=1,G548&lt;=31),IF(AND(MONTH(DATE(E548,F548,G548))=F548,DAY(DATE(E548,F548,G548))=G548),1,0),0)</f>
        <v>1</v>
      </c>
      <c r="I548" s="7">
        <f>IF(H548=1,DATE(E548,F548,G548),"")</f>
        <v>46178.0</v>
      </c>
      <c r="J548" s="7">
        <f>IF(AND(D548="DMY",H548=1),1,0)</f>
        <v>0</v>
      </c>
      <c r="K548" s="7">
        <f>IF(H548=0,1,0)</f>
        <v>0</v>
      </c>
      <c r="L548" s="7">
        <f>IF(TRIM(Raw_Bookings!I548&amp;"")="",1,0)</f>
        <v>0</v>
      </c>
      <c r="M548" s="7">
        <f>IF(L548=1,"",DATEVALUE(LEFT(Raw_Bookings!I548,10))+TIMEVALUE(MID(Raw_Bookings!I548,12,8)))</f>
        <v>46148.64543981481</v>
      </c>
      <c r="N548" s="7">
        <f>IF(AND(L548=0,H548=1),IF(INT(M548)&gt;I548,1,0),0)</f>
        <v>0</v>
      </c>
      <c r="O548" s="7" t="str">
        <f>UPPER(TRIM(Raw_Bookings!F548))</f>
        <v>JAI</v>
      </c>
      <c r="P548" s="7" t="str">
        <f>UPPER(TRIM(Raw_Bookings!G548))</f>
        <v>RAI</v>
      </c>
      <c r="Q548" s="7">
        <f>IF(COUNTIF(Lookup_Stations!$A$2:$A$33,O548)&gt;0,1,0)</f>
        <v>1</v>
      </c>
      <c r="R548" s="7">
        <f>IF(COUNTIF(Lookup_Stations!$A$2:$A$33,P548)&gt;0,1,0)</f>
        <v>1</v>
      </c>
      <c r="S548" s="7">
        <f>IF(OR(AND(Q548=1,NOT(EXACT(Raw_Bookings!F548,O548))),AND(R548=1,NOT(EXACT(Raw_Bookings!G548,P548)))),1,0)</f>
        <v>0</v>
      </c>
      <c r="T548" s="7">
        <f>IF(OR(Q548=0,R548=0),1,0)</f>
        <v>0</v>
      </c>
      <c r="U548" s="7">
        <f>IF(TRIM(Raw_Bookings!E548&amp;"")="",1,0)</f>
        <v>0</v>
      </c>
      <c r="V548" s="7" t="str">
        <f>IF(SUMPRODUCT(--(Lookup_Status!$A$2:$A$13=LOWER(TRIM(Raw_Bookings!K548))))=0,"",INDEX(Lookup_Status!$B$2:$B$13,SUMPRODUCT((Lookup_Status!$A$2:$A$13=LOWER(TRIM(Raw_Bookings!K548)))*(ROW(Lookup_Status!$A$2:$A$13)-1))))</f>
        <v>Confirmed</v>
      </c>
      <c r="W548" s="7">
        <f>IF(AND(V548&lt;&gt;"",NOT(EXACT(Raw_Bookings!K548,V548))),1,0)</f>
        <v>0</v>
      </c>
      <c r="X548" s="7">
        <f>IF(V548="",1,0)</f>
        <v>0</v>
      </c>
      <c r="Y548" s="7">
        <f>IF(TRIM(Raw_Bookings!L548&amp;"")="",1,0)</f>
        <v>0</v>
      </c>
      <c r="Z548" s="7">
        <f>IF(AND(ISTEXT(Raw_Bookings!L548),Y548=0),1,0)</f>
        <v>0</v>
      </c>
      <c r="AA548" s="7">
        <f>IF(Z548=1,IFERROR(VALUE(SUBSTITUTE(SUBSTITUTE(SUBSTITUTE(SUBSTITUTE(SUBSTITUTE(UPPER(Raw_Bookings!L548),"RS.",""),"₹",""),",","")," ",""),"INR","")),""),"")</f>
        <v/>
      </c>
      <c r="AB548" s="7">
        <f>IF(AND(Z548=1,ISNUMBER(AA548)),1,0)</f>
        <v>0</v>
      </c>
      <c r="AC548" s="7">
        <f>IF(B548=1,0,IF(NOT(ISNUMBER(Raw_Bookings!J548)),1,IF(Raw_Bookings!J548&lt;&gt;COUNTIFS(Work_Passengers!$B$2:$B$1336,Raw_Bookings!A548,Work_Passengers!$C$2:$C$1336,0),1,0)))</f>
        <v>0</v>
      </c>
    </row>
    <row r="549" spans="1:29">
      <c r="A549" s="7">
        <f>Raw_Bookings!A549</f>
        <v>1177952</v>
      </c>
      <c r="B549" s="7">
        <f>IF(COUNTIF(Raw_Bookings!$A$2:A549,Raw_Bookings!A549)&gt;1,1,0)</f>
        <v>0</v>
      </c>
      <c r="C549" s="7" t="str">
        <f>Raw_Bookings!D549&amp;""</f>
        <v>2026-06-03</v>
      </c>
      <c r="D549" s="7" t="str">
        <f>IF(AND(LEN(C549)=10,MID(C549,5,1)="-",MID(C549,8,1)="-"),"ISO",IF(AND(LEN(C549)=10,MID(C549,3,1)="-",MID(C549,6,1)="-"),"DMY","OTHER"))</f>
        <v>ISO</v>
      </c>
      <c r="E549" s="7">
        <f>IF(D549="ISO",VALUE(LEFT(C549,4)),IF(D549="DMY",VALUE(RIGHT(C549,4)),0))</f>
        <v>2026</v>
      </c>
      <c r="F549" s="7">
        <f>IF(D549="ISO",VALUE(MID(C549,6,2)),IF(D549="DMY",VALUE(MID(C549,4,2)),0))</f>
        <v>6</v>
      </c>
      <c r="G549" s="7">
        <f>IF(D549="ISO",VALUE(RIGHT(C549,2)),IF(D549="DMY",VALUE(LEFT(C549,2)),0))</f>
        <v>3</v>
      </c>
      <c r="H549" s="7">
        <f>IF(AND(D549&lt;&gt;"OTHER",F549&gt;=1,F549&lt;=12,G549&gt;=1,G549&lt;=31),IF(AND(MONTH(DATE(E549,F549,G549))=F549,DAY(DATE(E549,F549,G549))=G549),1,0),0)</f>
        <v>1</v>
      </c>
      <c r="I549" s="7">
        <f>IF(H549=1,DATE(E549,F549,G549),"")</f>
        <v>46176.0</v>
      </c>
      <c r="J549" s="7">
        <f>IF(AND(D549="DMY",H549=1),1,0)</f>
        <v>0</v>
      </c>
      <c r="K549" s="7">
        <f>IF(H549=0,1,0)</f>
        <v>0</v>
      </c>
      <c r="L549" s="7">
        <f>IF(TRIM(Raw_Bookings!I549&amp;"")="",1,0)</f>
        <v>0</v>
      </c>
      <c r="M549" s="7">
        <f>IF(L549=1,"",DATEVALUE(LEFT(Raw_Bookings!I549,10))+TIMEVALUE(MID(Raw_Bookings!I549,12,8)))</f>
        <v>46148.9671875</v>
      </c>
      <c r="N549" s="7">
        <f>IF(AND(L549=0,H549=1),IF(INT(M549)&gt;I549,1,0),0)</f>
        <v>0</v>
      </c>
      <c r="O549" s="7" t="str">
        <f>UPPER(TRIM(Raw_Bookings!F549))</f>
        <v>MUM</v>
      </c>
      <c r="P549" s="7" t="str">
        <f>UPPER(TRIM(Raw_Bookings!G549))</f>
        <v>BEN</v>
      </c>
      <c r="Q549" s="7">
        <f>IF(COUNTIF(Lookup_Stations!$A$2:$A$33,O549)&gt;0,1,0)</f>
        <v>1</v>
      </c>
      <c r="R549" s="7">
        <f>IF(COUNTIF(Lookup_Stations!$A$2:$A$33,P549)&gt;0,1,0)</f>
        <v>1</v>
      </c>
      <c r="S549" s="7">
        <f>IF(OR(AND(Q549=1,NOT(EXACT(Raw_Bookings!F549,O549))),AND(R549=1,NOT(EXACT(Raw_Bookings!G549,P549)))),1,0)</f>
        <v>0</v>
      </c>
      <c r="T549" s="7">
        <f>IF(OR(Q549=0,R549=0),1,0)</f>
        <v>0</v>
      </c>
      <c r="U549" s="7">
        <f>IF(TRIM(Raw_Bookings!E549&amp;"")="",1,0)</f>
        <v>0</v>
      </c>
      <c r="V549" s="7" t="str">
        <f>IF(SUMPRODUCT(--(Lookup_Status!$A$2:$A$13=LOWER(TRIM(Raw_Bookings!K549))))=0,"",INDEX(Lookup_Status!$B$2:$B$13,SUMPRODUCT((Lookup_Status!$A$2:$A$13=LOWER(TRIM(Raw_Bookings!K549)))*(ROW(Lookup_Status!$A$2:$A$13)-1))))</f>
        <v>Confirmed</v>
      </c>
      <c r="W549" s="7">
        <f>IF(AND(V549&lt;&gt;"",NOT(EXACT(Raw_Bookings!K549,V549))),1,0)</f>
        <v>0</v>
      </c>
      <c r="X549" s="7">
        <f>IF(V549="",1,0)</f>
        <v>0</v>
      </c>
      <c r="Y549" s="7">
        <f>IF(TRIM(Raw_Bookings!L549&amp;"")="",1,0)</f>
        <v>0</v>
      </c>
      <c r="Z549" s="7">
        <f>IF(AND(ISTEXT(Raw_Bookings!L549),Y549=0),1,0)</f>
        <v>0</v>
      </c>
      <c r="AA549" s="7">
        <f>IF(Z549=1,IFERROR(VALUE(SUBSTITUTE(SUBSTITUTE(SUBSTITUTE(SUBSTITUTE(SUBSTITUTE(UPPER(Raw_Bookings!L549),"RS.",""),"₹",""),",","")," ",""),"INR","")),""),"")</f>
        <v/>
      </c>
      <c r="AB549" s="7">
        <f>IF(AND(Z549=1,ISNUMBER(AA549)),1,0)</f>
        <v>0</v>
      </c>
      <c r="AC549" s="7">
        <f>IF(B549=1,0,IF(NOT(ISNUMBER(Raw_Bookings!J549)),1,IF(Raw_Bookings!J549&lt;&gt;COUNTIFS(Work_Passengers!$B$2:$B$1336,Raw_Bookings!A549,Work_Passengers!$C$2:$C$1336,0),1,0)))</f>
        <v>0</v>
      </c>
    </row>
    <row r="550" spans="1:29">
      <c r="A550" s="7">
        <f>Raw_Bookings!A550</f>
        <v>1178210</v>
      </c>
      <c r="B550" s="7">
        <f>IF(COUNTIF(Raw_Bookings!$A$2:A550,Raw_Bookings!A550)&gt;1,1,0)</f>
        <v>0</v>
      </c>
      <c r="C550" s="7" t="str">
        <f>Raw_Bookings!D550&amp;""</f>
        <v>2026-06-16</v>
      </c>
      <c r="D550" s="7" t="str">
        <f>IF(AND(LEN(C550)=10,MID(C550,5,1)="-",MID(C550,8,1)="-"),"ISO",IF(AND(LEN(C550)=10,MID(C550,3,1)="-",MID(C550,6,1)="-"),"DMY","OTHER"))</f>
        <v>ISO</v>
      </c>
      <c r="E550" s="7">
        <f>IF(D550="ISO",VALUE(LEFT(C550,4)),IF(D550="DMY",VALUE(RIGHT(C550,4)),0))</f>
        <v>2026</v>
      </c>
      <c r="F550" s="7">
        <f>IF(D550="ISO",VALUE(MID(C550,6,2)),IF(D550="DMY",VALUE(MID(C550,4,2)),0))</f>
        <v>6</v>
      </c>
      <c r="G550" s="7">
        <f>IF(D550="ISO",VALUE(RIGHT(C550,2)),IF(D550="DMY",VALUE(LEFT(C550,2)),0))</f>
        <v>16</v>
      </c>
      <c r="H550" s="7">
        <f>IF(AND(D550&lt;&gt;"OTHER",F550&gt;=1,F550&lt;=12,G550&gt;=1,G550&lt;=31),IF(AND(MONTH(DATE(E550,F550,G550))=F550,DAY(DATE(E550,F550,G550))=G550),1,0),0)</f>
        <v>1</v>
      </c>
      <c r="I550" s="7">
        <f>IF(H550=1,DATE(E550,F550,G550),"")</f>
        <v>46189.0</v>
      </c>
      <c r="J550" s="7">
        <f>IF(AND(D550="DMY",H550=1),1,0)</f>
        <v>0</v>
      </c>
      <c r="K550" s="7">
        <f>IF(H550=0,1,0)</f>
        <v>0</v>
      </c>
      <c r="L550" s="7">
        <f>IF(TRIM(Raw_Bookings!I550&amp;"")="",1,0)</f>
        <v>0</v>
      </c>
      <c r="M550" s="7">
        <f>IF(L550=1,"",DATEVALUE(LEFT(Raw_Bookings!I550,10))+TIMEVALUE(MID(Raw_Bookings!I550,12,8)))</f>
        <v>46149.79903935185</v>
      </c>
      <c r="N550" s="7">
        <f>IF(AND(L550=0,H550=1),IF(INT(M550)&gt;I550,1,0),0)</f>
        <v>0</v>
      </c>
      <c r="O550" s="7" t="str">
        <f>UPPER(TRIM(Raw_Bookings!F550))</f>
        <v>BEN</v>
      </c>
      <c r="P550" s="7" t="str">
        <f>UPPER(TRIM(Raw_Bookings!G550))</f>
        <v>JOD</v>
      </c>
      <c r="Q550" s="7">
        <f>IF(COUNTIF(Lookup_Stations!$A$2:$A$33,O550)&gt;0,1,0)</f>
        <v>1</v>
      </c>
      <c r="R550" s="7">
        <f>IF(COUNTIF(Lookup_Stations!$A$2:$A$33,P550)&gt;0,1,0)</f>
        <v>1</v>
      </c>
      <c r="S550" s="7">
        <f>IF(OR(AND(Q550=1,NOT(EXACT(Raw_Bookings!F550,O550))),AND(R550=1,NOT(EXACT(Raw_Bookings!G550,P550)))),1,0)</f>
        <v>0</v>
      </c>
      <c r="T550" s="7">
        <f>IF(OR(Q550=0,R550=0),1,0)</f>
        <v>0</v>
      </c>
      <c r="U550" s="7">
        <f>IF(TRIM(Raw_Bookings!E550&amp;"")="",1,0)</f>
        <v>0</v>
      </c>
      <c r="V550" s="7" t="str">
        <f>IF(SUMPRODUCT(--(Lookup_Status!$A$2:$A$13=LOWER(TRIM(Raw_Bookings!K550))))=0,"",INDEX(Lookup_Status!$B$2:$B$13,SUMPRODUCT((Lookup_Status!$A$2:$A$13=LOWER(TRIM(Raw_Bookings!K550)))*(ROW(Lookup_Status!$A$2:$A$13)-1))))</f>
        <v>Confirmed</v>
      </c>
      <c r="W550" s="7">
        <f>IF(AND(V550&lt;&gt;"",NOT(EXACT(Raw_Bookings!K550,V550))),1,0)</f>
        <v>0</v>
      </c>
      <c r="X550" s="7">
        <f>IF(V550="",1,0)</f>
        <v>0</v>
      </c>
      <c r="Y550" s="7">
        <f>IF(TRIM(Raw_Bookings!L550&amp;"")="",1,0)</f>
        <v>0</v>
      </c>
      <c r="Z550" s="7">
        <f>IF(AND(ISTEXT(Raw_Bookings!L550),Y550=0),1,0)</f>
        <v>0</v>
      </c>
      <c r="AA550" s="7">
        <f>IF(Z550=1,IFERROR(VALUE(SUBSTITUTE(SUBSTITUTE(SUBSTITUTE(SUBSTITUTE(SUBSTITUTE(UPPER(Raw_Bookings!L550),"RS.",""),"₹",""),",","")," ",""),"INR","")),""),"")</f>
        <v/>
      </c>
      <c r="AB550" s="7">
        <f>IF(AND(Z550=1,ISNUMBER(AA550)),1,0)</f>
        <v>0</v>
      </c>
      <c r="AC550" s="7">
        <f>IF(B550=1,0,IF(NOT(ISNUMBER(Raw_Bookings!J550)),1,IF(Raw_Bookings!J550&lt;&gt;COUNTIFS(Work_Passengers!$B$2:$B$1336,Raw_Bookings!A550,Work_Passengers!$C$2:$C$1336,0),1,0)))</f>
        <v>0</v>
      </c>
    </row>
    <row r="551" spans="1:29">
      <c r="A551" s="7">
        <f>Raw_Bookings!A551</f>
        <v>1178372</v>
      </c>
      <c r="B551" s="7">
        <f>IF(COUNTIF(Raw_Bookings!$A$2:A551,Raw_Bookings!A551)&gt;1,1,0)</f>
        <v>0</v>
      </c>
      <c r="C551" s="7" t="str">
        <f>Raw_Bookings!D551&amp;""</f>
        <v>2026-05-29</v>
      </c>
      <c r="D551" s="7" t="str">
        <f>IF(AND(LEN(C551)=10,MID(C551,5,1)="-",MID(C551,8,1)="-"),"ISO",IF(AND(LEN(C551)=10,MID(C551,3,1)="-",MID(C551,6,1)="-"),"DMY","OTHER"))</f>
        <v>ISO</v>
      </c>
      <c r="E551" s="7">
        <f>IF(D551="ISO",VALUE(LEFT(C551,4)),IF(D551="DMY",VALUE(RIGHT(C551,4)),0))</f>
        <v>2026</v>
      </c>
      <c r="F551" s="7">
        <f>IF(D551="ISO",VALUE(MID(C551,6,2)),IF(D551="DMY",VALUE(MID(C551,4,2)),0))</f>
        <v>5</v>
      </c>
      <c r="G551" s="7">
        <f>IF(D551="ISO",VALUE(RIGHT(C551,2)),IF(D551="DMY",VALUE(LEFT(C551,2)),0))</f>
        <v>29</v>
      </c>
      <c r="H551" s="7">
        <f>IF(AND(D551&lt;&gt;"OTHER",F551&gt;=1,F551&lt;=12,G551&gt;=1,G551&lt;=31),IF(AND(MONTH(DATE(E551,F551,G551))=F551,DAY(DATE(E551,F551,G551))=G551),1,0),0)</f>
        <v>1</v>
      </c>
      <c r="I551" s="7">
        <f>IF(H551=1,DATE(E551,F551,G551),"")</f>
        <v>46171.0</v>
      </c>
      <c r="J551" s="7">
        <f>IF(AND(D551="DMY",H551=1),1,0)</f>
        <v>0</v>
      </c>
      <c r="K551" s="7">
        <f>IF(H551=0,1,0)</f>
        <v>0</v>
      </c>
      <c r="L551" s="7">
        <f>IF(TRIM(Raw_Bookings!I551&amp;"")="",1,0)</f>
        <v>0</v>
      </c>
      <c r="M551" s="7">
        <f>IF(L551=1,"",DATEVALUE(LEFT(Raw_Bookings!I551,10))+TIMEVALUE(MID(Raw_Bookings!I551,12,8)))</f>
        <v>46150.35015046296</v>
      </c>
      <c r="N551" s="7">
        <f>IF(AND(L551=0,H551=1),IF(INT(M551)&gt;I551,1,0),0)</f>
        <v>0</v>
      </c>
      <c r="O551" s="7" t="str">
        <f>UPPER(TRIM(Raw_Bookings!F551))</f>
        <v>JOD</v>
      </c>
      <c r="P551" s="7" t="str">
        <f>UPPER(TRIM(Raw_Bookings!G551))</f>
        <v>BEN</v>
      </c>
      <c r="Q551" s="7">
        <f>IF(COUNTIF(Lookup_Stations!$A$2:$A$33,O551)&gt;0,1,0)</f>
        <v>1</v>
      </c>
      <c r="R551" s="7">
        <f>IF(COUNTIF(Lookup_Stations!$A$2:$A$33,P551)&gt;0,1,0)</f>
        <v>1</v>
      </c>
      <c r="S551" s="7">
        <f>IF(OR(AND(Q551=1,NOT(EXACT(Raw_Bookings!F551,O551))),AND(R551=1,NOT(EXACT(Raw_Bookings!G551,P551)))),1,0)</f>
        <v>0</v>
      </c>
      <c r="T551" s="7">
        <f>IF(OR(Q551=0,R551=0),1,0)</f>
        <v>0</v>
      </c>
      <c r="U551" s="7">
        <f>IF(TRIM(Raw_Bookings!E551&amp;"")="",1,0)</f>
        <v>0</v>
      </c>
      <c r="V551" s="7" t="str">
        <f>IF(SUMPRODUCT(--(Lookup_Status!$A$2:$A$13=LOWER(TRIM(Raw_Bookings!K551))))=0,"",INDEX(Lookup_Status!$B$2:$B$13,SUMPRODUCT((Lookup_Status!$A$2:$A$13=LOWER(TRIM(Raw_Bookings!K551)))*(ROW(Lookup_Status!$A$2:$A$13)-1))))</f>
        <v>Confirmed</v>
      </c>
      <c r="W551" s="7">
        <f>IF(AND(V551&lt;&gt;"",NOT(EXACT(Raw_Bookings!K551,V551))),1,0)</f>
        <v>0</v>
      </c>
      <c r="X551" s="7">
        <f>IF(V551="",1,0)</f>
        <v>0</v>
      </c>
      <c r="Y551" s="7">
        <f>IF(TRIM(Raw_Bookings!L551&amp;"")="",1,0)</f>
        <v>0</v>
      </c>
      <c r="Z551" s="7">
        <f>IF(AND(ISTEXT(Raw_Bookings!L551),Y551=0),1,0)</f>
        <v>0</v>
      </c>
      <c r="AA551" s="7">
        <f>IF(Z551=1,IFERROR(VALUE(SUBSTITUTE(SUBSTITUTE(SUBSTITUTE(SUBSTITUTE(SUBSTITUTE(UPPER(Raw_Bookings!L551),"RS.",""),"₹",""),",","")," ",""),"INR","")),""),"")</f>
        <v/>
      </c>
      <c r="AB551" s="7">
        <f>IF(AND(Z551=1,ISNUMBER(AA551)),1,0)</f>
        <v>0</v>
      </c>
      <c r="AC551" s="7">
        <f>IF(B551=1,0,IF(NOT(ISNUMBER(Raw_Bookings!J551)),1,IF(Raw_Bookings!J551&lt;&gt;COUNTIFS(Work_Passengers!$B$2:$B$1336,Raw_Bookings!A551,Work_Passengers!$C$2:$C$1336,0),1,0)))</f>
        <v>0</v>
      </c>
    </row>
    <row r="552" spans="1:29">
      <c r="A552" s="7">
        <f>Raw_Bookings!A552</f>
        <v>1178581</v>
      </c>
      <c r="B552" s="7">
        <f>IF(COUNTIF(Raw_Bookings!$A$2:A552,Raw_Bookings!A552)&gt;1,1,0)</f>
        <v>0</v>
      </c>
      <c r="C552" s="7" t="str">
        <f>Raw_Bookings!D552&amp;""</f>
        <v>2026-05-21</v>
      </c>
      <c r="D552" s="7" t="str">
        <f>IF(AND(LEN(C552)=10,MID(C552,5,1)="-",MID(C552,8,1)="-"),"ISO",IF(AND(LEN(C552)=10,MID(C552,3,1)="-",MID(C552,6,1)="-"),"DMY","OTHER"))</f>
        <v>ISO</v>
      </c>
      <c r="E552" s="7">
        <f>IF(D552="ISO",VALUE(LEFT(C552,4)),IF(D552="DMY",VALUE(RIGHT(C552,4)),0))</f>
        <v>2026</v>
      </c>
      <c r="F552" s="7">
        <f>IF(D552="ISO",VALUE(MID(C552,6,2)),IF(D552="DMY",VALUE(MID(C552,4,2)),0))</f>
        <v>5</v>
      </c>
      <c r="G552" s="7">
        <f>IF(D552="ISO",VALUE(RIGHT(C552,2)),IF(D552="DMY",VALUE(LEFT(C552,2)),0))</f>
        <v>21</v>
      </c>
      <c r="H552" s="7">
        <f>IF(AND(D552&lt;&gt;"OTHER",F552&gt;=1,F552&lt;=12,G552&gt;=1,G552&lt;=31),IF(AND(MONTH(DATE(E552,F552,G552))=F552,DAY(DATE(E552,F552,G552))=G552),1,0),0)</f>
        <v>1</v>
      </c>
      <c r="I552" s="7">
        <f>IF(H552=1,DATE(E552,F552,G552),"")</f>
        <v>46163.0</v>
      </c>
      <c r="J552" s="7">
        <f>IF(AND(D552="DMY",H552=1),1,0)</f>
        <v>0</v>
      </c>
      <c r="K552" s="7">
        <f>IF(H552=0,1,0)</f>
        <v>0</v>
      </c>
      <c r="L552" s="7">
        <f>IF(TRIM(Raw_Bookings!I552&amp;"")="",1,0)</f>
        <v>0</v>
      </c>
      <c r="M552" s="7">
        <f>IF(L552=1,"",DATEVALUE(LEFT(Raw_Bookings!I552,10))+TIMEVALUE(MID(Raw_Bookings!I552,12,8)))</f>
        <v>46150.78134259259</v>
      </c>
      <c r="N552" s="7">
        <f>IF(AND(L552=0,H552=1),IF(INT(M552)&gt;I552,1,0),0)</f>
        <v>0</v>
      </c>
      <c r="O552" s="7" t="str">
        <f>UPPER(TRIM(Raw_Bookings!F552))</f>
        <v>HYD</v>
      </c>
      <c r="P552" s="7" t="str">
        <f>UPPER(TRIM(Raw_Bookings!G552))</f>
        <v>KOL</v>
      </c>
      <c r="Q552" s="7">
        <f>IF(COUNTIF(Lookup_Stations!$A$2:$A$33,O552)&gt;0,1,0)</f>
        <v>1</v>
      </c>
      <c r="R552" s="7">
        <f>IF(COUNTIF(Lookup_Stations!$A$2:$A$33,P552)&gt;0,1,0)</f>
        <v>1</v>
      </c>
      <c r="S552" s="7">
        <f>IF(OR(AND(Q552=1,NOT(EXACT(Raw_Bookings!F552,O552))),AND(R552=1,NOT(EXACT(Raw_Bookings!G552,P552)))),1,0)</f>
        <v>0</v>
      </c>
      <c r="T552" s="7">
        <f>IF(OR(Q552=0,R552=0),1,0)</f>
        <v>0</v>
      </c>
      <c r="U552" s="7">
        <f>IF(TRIM(Raw_Bookings!E552&amp;"")="",1,0)</f>
        <v>0</v>
      </c>
      <c r="V552" s="7" t="str">
        <f>IF(SUMPRODUCT(--(Lookup_Status!$A$2:$A$13=LOWER(TRIM(Raw_Bookings!K552))))=0,"",INDEX(Lookup_Status!$B$2:$B$13,SUMPRODUCT((Lookup_Status!$A$2:$A$13=LOWER(TRIM(Raw_Bookings!K552)))*(ROW(Lookup_Status!$A$2:$A$13)-1))))</f>
        <v>RAC</v>
      </c>
      <c r="W552" s="7">
        <f>IF(AND(V552&lt;&gt;"",NOT(EXACT(Raw_Bookings!K552,V552))),1,0)</f>
        <v>0</v>
      </c>
      <c r="X552" s="7">
        <f>IF(V552="",1,0)</f>
        <v>0</v>
      </c>
      <c r="Y552" s="7">
        <f>IF(TRIM(Raw_Bookings!L552&amp;"")="",1,0)</f>
        <v>0</v>
      </c>
      <c r="Z552" s="7">
        <f>IF(AND(ISTEXT(Raw_Bookings!L552),Y552=0),1,0)</f>
        <v>0</v>
      </c>
      <c r="AA552" s="7">
        <f>IF(Z552=1,IFERROR(VALUE(SUBSTITUTE(SUBSTITUTE(SUBSTITUTE(SUBSTITUTE(SUBSTITUTE(UPPER(Raw_Bookings!L552),"RS.",""),"₹",""),",","")," ",""),"INR","")),""),"")</f>
        <v/>
      </c>
      <c r="AB552" s="7">
        <f>IF(AND(Z552=1,ISNUMBER(AA552)),1,0)</f>
        <v>0</v>
      </c>
      <c r="AC552" s="7">
        <f>IF(B552=1,0,IF(NOT(ISNUMBER(Raw_Bookings!J552)),1,IF(Raw_Bookings!J552&lt;&gt;COUNTIFS(Work_Passengers!$B$2:$B$1336,Raw_Bookings!A552,Work_Passengers!$C$2:$C$1336,0),1,0)))</f>
        <v>0</v>
      </c>
    </row>
    <row r="553" spans="1:29">
      <c r="A553" s="7">
        <f>Raw_Bookings!A553</f>
        <v>1178955</v>
      </c>
      <c r="B553" s="7">
        <f>IF(COUNTIF(Raw_Bookings!$A$2:A553,Raw_Bookings!A553)&gt;1,1,0)</f>
        <v>0</v>
      </c>
      <c r="C553" s="7" t="str">
        <f>Raw_Bookings!D553&amp;""</f>
        <v>2026-00-10</v>
      </c>
      <c r="D553" s="7" t="str">
        <f>IF(AND(LEN(C553)=10,MID(C553,5,1)="-",MID(C553,8,1)="-"),"ISO",IF(AND(LEN(C553)=10,MID(C553,3,1)="-",MID(C553,6,1)="-"),"DMY","OTHER"))</f>
        <v>ISO</v>
      </c>
      <c r="E553" s="7">
        <f>IF(D553="ISO",VALUE(LEFT(C553,4)),IF(D553="DMY",VALUE(RIGHT(C553,4)),0))</f>
        <v>2026</v>
      </c>
      <c r="F553" s="7">
        <f>IF(D553="ISO",VALUE(MID(C553,6,2)),IF(D553="DMY",VALUE(MID(C553,4,2)),0))</f>
        <v>0</v>
      </c>
      <c r="G553" s="7">
        <f>IF(D553="ISO",VALUE(RIGHT(C553,2)),IF(D553="DMY",VALUE(LEFT(C553,2)),0))</f>
        <v>10</v>
      </c>
      <c r="H553" s="7">
        <f>IF(AND(D553&lt;&gt;"OTHER",F553&gt;=1,F553&lt;=12,G553&gt;=1,G553&lt;=31),IF(AND(MONTH(DATE(E553,F553,G553))=F553,DAY(DATE(E553,F553,G553))=G553),1,0),0)</f>
        <v>0</v>
      </c>
      <c r="I553" s="7">
        <f>IF(H553=1,DATE(E553,F553,G553),"")</f>
        <v/>
      </c>
      <c r="J553" s="7">
        <f>IF(AND(D553="DMY",H553=1),1,0)</f>
        <v>0</v>
      </c>
      <c r="K553" s="7">
        <f>IF(H553=0,1,0)</f>
        <v>1</v>
      </c>
      <c r="L553" s="7">
        <f>IF(TRIM(Raw_Bookings!I553&amp;"")="",1,0)</f>
        <v>0</v>
      </c>
      <c r="M553" s="7">
        <f>IF(L553=1,"",DATEVALUE(LEFT(Raw_Bookings!I553,10))+TIMEVALUE(MID(Raw_Bookings!I553,12,8)))</f>
        <v>46151.81864583334</v>
      </c>
      <c r="N553" s="7">
        <f>IF(AND(L553=0,H553=1),IF(INT(M553)&gt;I553,1,0),0)</f>
        <v>0</v>
      </c>
      <c r="O553" s="7" t="str">
        <f>UPPER(TRIM(Raw_Bookings!F553))</f>
        <v>VIS</v>
      </c>
      <c r="P553" s="7" t="str">
        <f>UPPER(TRIM(Raw_Bookings!G553))</f>
        <v>CHA</v>
      </c>
      <c r="Q553" s="7">
        <f>IF(COUNTIF(Lookup_Stations!$A$2:$A$33,O553)&gt;0,1,0)</f>
        <v>1</v>
      </c>
      <c r="R553" s="7">
        <f>IF(COUNTIF(Lookup_Stations!$A$2:$A$33,P553)&gt;0,1,0)</f>
        <v>1</v>
      </c>
      <c r="S553" s="7">
        <f>IF(OR(AND(Q553=1,NOT(EXACT(Raw_Bookings!F553,O553))),AND(R553=1,NOT(EXACT(Raw_Bookings!G553,P553)))),1,0)</f>
        <v>0</v>
      </c>
      <c r="T553" s="7">
        <f>IF(OR(Q553=0,R553=0),1,0)</f>
        <v>0</v>
      </c>
      <c r="U553" s="7">
        <f>IF(TRIM(Raw_Bookings!E553&amp;"")="",1,0)</f>
        <v>0</v>
      </c>
      <c r="V553" s="7" t="str">
        <f>IF(SUMPRODUCT(--(Lookup_Status!$A$2:$A$13=LOWER(TRIM(Raw_Bookings!K553))))=0,"",INDEX(Lookup_Status!$B$2:$B$13,SUMPRODUCT((Lookup_Status!$A$2:$A$13=LOWER(TRIM(Raw_Bookings!K553)))*(ROW(Lookup_Status!$A$2:$A$13)-1))))</f>
        <v>Confirmed</v>
      </c>
      <c r="W553" s="7">
        <f>IF(AND(V553&lt;&gt;"",NOT(EXACT(Raw_Bookings!K553,V553))),1,0)</f>
        <v>0</v>
      </c>
      <c r="X553" s="7">
        <f>IF(V553="",1,0)</f>
        <v>0</v>
      </c>
      <c r="Y553" s="7">
        <f>IF(TRIM(Raw_Bookings!L553&amp;"")="",1,0)</f>
        <v>0</v>
      </c>
      <c r="Z553" s="7">
        <f>IF(AND(ISTEXT(Raw_Bookings!L553),Y553=0),1,0)</f>
        <v>0</v>
      </c>
      <c r="AA553" s="7">
        <f>IF(Z553=1,IFERROR(VALUE(SUBSTITUTE(SUBSTITUTE(SUBSTITUTE(SUBSTITUTE(SUBSTITUTE(UPPER(Raw_Bookings!L553),"RS.",""),"₹",""),",","")," ",""),"INR","")),""),"")</f>
        <v/>
      </c>
      <c r="AB553" s="7">
        <f>IF(AND(Z553=1,ISNUMBER(AA553)),1,0)</f>
        <v>0</v>
      </c>
      <c r="AC553" s="7">
        <f>IF(B553=1,0,IF(NOT(ISNUMBER(Raw_Bookings!J553)),1,IF(Raw_Bookings!J553&lt;&gt;COUNTIFS(Work_Passengers!$B$2:$B$1336,Raw_Bookings!A553,Work_Passengers!$C$2:$C$1336,0),1,0)))</f>
        <v>0</v>
      </c>
    </row>
    <row r="554" spans="1:29">
      <c r="A554" s="7">
        <f>Raw_Bookings!A554</f>
        <v>1179276</v>
      </c>
      <c r="B554" s="7">
        <f>IF(COUNTIF(Raw_Bookings!$A$2:A554,Raw_Bookings!A554)&gt;1,1,0)</f>
        <v>0</v>
      </c>
      <c r="C554" s="7" t="str">
        <f>Raw_Bookings!D554&amp;""</f>
        <v>2026-05-27</v>
      </c>
      <c r="D554" s="7" t="str">
        <f>IF(AND(LEN(C554)=10,MID(C554,5,1)="-",MID(C554,8,1)="-"),"ISO",IF(AND(LEN(C554)=10,MID(C554,3,1)="-",MID(C554,6,1)="-"),"DMY","OTHER"))</f>
        <v>ISO</v>
      </c>
      <c r="E554" s="7">
        <f>IF(D554="ISO",VALUE(LEFT(C554,4)),IF(D554="DMY",VALUE(RIGHT(C554,4)),0))</f>
        <v>2026</v>
      </c>
      <c r="F554" s="7">
        <f>IF(D554="ISO",VALUE(MID(C554,6,2)),IF(D554="DMY",VALUE(MID(C554,4,2)),0))</f>
        <v>5</v>
      </c>
      <c r="G554" s="7">
        <f>IF(D554="ISO",VALUE(RIGHT(C554,2)),IF(D554="DMY",VALUE(LEFT(C554,2)),0))</f>
        <v>27</v>
      </c>
      <c r="H554" s="7">
        <f>IF(AND(D554&lt;&gt;"OTHER",F554&gt;=1,F554&lt;=12,G554&gt;=1,G554&lt;=31),IF(AND(MONTH(DATE(E554,F554,G554))=F554,DAY(DATE(E554,F554,G554))=G554),1,0),0)</f>
        <v>1</v>
      </c>
      <c r="I554" s="7">
        <f>IF(H554=1,DATE(E554,F554,G554),"")</f>
        <v>46169.0</v>
      </c>
      <c r="J554" s="7">
        <f>IF(AND(D554="DMY",H554=1),1,0)</f>
        <v>0</v>
      </c>
      <c r="K554" s="7">
        <f>IF(H554=0,1,0)</f>
        <v>0</v>
      </c>
      <c r="L554" s="7">
        <f>IF(TRIM(Raw_Bookings!I554&amp;"")="",1,0)</f>
        <v>0</v>
      </c>
      <c r="M554" s="7">
        <f>IF(L554=1,"",DATEVALUE(LEFT(Raw_Bookings!I554,10))+TIMEVALUE(MID(Raw_Bookings!I554,12,8)))</f>
        <v>46152.75247685185</v>
      </c>
      <c r="N554" s="7">
        <f>IF(AND(L554=0,H554=1),IF(INT(M554)&gt;I554,1,0),0)</f>
        <v>0</v>
      </c>
      <c r="O554" s="7" t="str">
        <f>UPPER(TRIM(Raw_Bookings!F554))</f>
        <v>BEN</v>
      </c>
      <c r="P554" s="7" t="str">
        <f>UPPER(TRIM(Raw_Bookings!G554))</f>
        <v>JOD</v>
      </c>
      <c r="Q554" s="7">
        <f>IF(COUNTIF(Lookup_Stations!$A$2:$A$33,O554)&gt;0,1,0)</f>
        <v>1</v>
      </c>
      <c r="R554" s="7">
        <f>IF(COUNTIF(Lookup_Stations!$A$2:$A$33,P554)&gt;0,1,0)</f>
        <v>1</v>
      </c>
      <c r="S554" s="7">
        <f>IF(OR(AND(Q554=1,NOT(EXACT(Raw_Bookings!F554,O554))),AND(R554=1,NOT(EXACT(Raw_Bookings!G554,P554)))),1,0)</f>
        <v>0</v>
      </c>
      <c r="T554" s="7">
        <f>IF(OR(Q554=0,R554=0),1,0)</f>
        <v>0</v>
      </c>
      <c r="U554" s="7">
        <f>IF(TRIM(Raw_Bookings!E554&amp;"")="",1,0)</f>
        <v>0</v>
      </c>
      <c r="V554" s="7" t="str">
        <f>IF(SUMPRODUCT(--(Lookup_Status!$A$2:$A$13=LOWER(TRIM(Raw_Bookings!K554))))=0,"",INDEX(Lookup_Status!$B$2:$B$13,SUMPRODUCT((Lookup_Status!$A$2:$A$13=LOWER(TRIM(Raw_Bookings!K554)))*(ROW(Lookup_Status!$A$2:$A$13)-1))))</f>
        <v>Waitlisted</v>
      </c>
      <c r="W554" s="7">
        <f>IF(AND(V554&lt;&gt;"",NOT(EXACT(Raw_Bookings!K554,V554))),1,0)</f>
        <v>0</v>
      </c>
      <c r="X554" s="7">
        <f>IF(V554="",1,0)</f>
        <v>0</v>
      </c>
      <c r="Y554" s="7">
        <f>IF(TRIM(Raw_Bookings!L554&amp;"")="",1,0)</f>
        <v>0</v>
      </c>
      <c r="Z554" s="7">
        <f>IF(AND(ISTEXT(Raw_Bookings!L554),Y554=0),1,0)</f>
        <v>0</v>
      </c>
      <c r="AA554" s="7">
        <f>IF(Z554=1,IFERROR(VALUE(SUBSTITUTE(SUBSTITUTE(SUBSTITUTE(SUBSTITUTE(SUBSTITUTE(UPPER(Raw_Bookings!L554),"RS.",""),"₹",""),",","")," ",""),"INR","")),""),"")</f>
        <v/>
      </c>
      <c r="AB554" s="7">
        <f>IF(AND(Z554=1,ISNUMBER(AA554)),1,0)</f>
        <v>0</v>
      </c>
      <c r="AC554" s="7">
        <f>IF(B554=1,0,IF(NOT(ISNUMBER(Raw_Bookings!J554)),1,IF(Raw_Bookings!J554&lt;&gt;COUNTIFS(Work_Passengers!$B$2:$B$1336,Raw_Bookings!A554,Work_Passengers!$C$2:$C$1336,0),1,0)))</f>
        <v>0</v>
      </c>
    </row>
    <row r="555" spans="1:29">
      <c r="A555" s="7">
        <f>Raw_Bookings!A555</f>
        <v>1179384</v>
      </c>
      <c r="B555" s="7">
        <f>IF(COUNTIF(Raw_Bookings!$A$2:A555,Raw_Bookings!A555)&gt;1,1,0)</f>
        <v>0</v>
      </c>
      <c r="C555" s="7" t="str">
        <f>Raw_Bookings!D555&amp;""</f>
        <v>2026-05-18</v>
      </c>
      <c r="D555" s="7" t="str">
        <f>IF(AND(LEN(C555)=10,MID(C555,5,1)="-",MID(C555,8,1)="-"),"ISO",IF(AND(LEN(C555)=10,MID(C555,3,1)="-",MID(C555,6,1)="-"),"DMY","OTHER"))</f>
        <v>ISO</v>
      </c>
      <c r="E555" s="7">
        <f>IF(D555="ISO",VALUE(LEFT(C555,4)),IF(D555="DMY",VALUE(RIGHT(C555,4)),0))</f>
        <v>2026</v>
      </c>
      <c r="F555" s="7">
        <f>IF(D555="ISO",VALUE(MID(C555,6,2)),IF(D555="DMY",VALUE(MID(C555,4,2)),0))</f>
        <v>5</v>
      </c>
      <c r="G555" s="7">
        <f>IF(D555="ISO",VALUE(RIGHT(C555,2)),IF(D555="DMY",VALUE(LEFT(C555,2)),0))</f>
        <v>18</v>
      </c>
      <c r="H555" s="7">
        <f>IF(AND(D555&lt;&gt;"OTHER",F555&gt;=1,F555&lt;=12,G555&gt;=1,G555&lt;=31),IF(AND(MONTH(DATE(E555,F555,G555))=F555,DAY(DATE(E555,F555,G555))=G555),1,0),0)</f>
        <v>1</v>
      </c>
      <c r="I555" s="7">
        <f>IF(H555=1,DATE(E555,F555,G555),"")</f>
        <v>46160.0</v>
      </c>
      <c r="J555" s="7">
        <f>IF(AND(D555="DMY",H555=1),1,0)</f>
        <v>0</v>
      </c>
      <c r="K555" s="7">
        <f>IF(H555=0,1,0)</f>
        <v>0</v>
      </c>
      <c r="L555" s="7">
        <f>IF(TRIM(Raw_Bookings!I555&amp;"")="",1,0)</f>
        <v>0</v>
      </c>
      <c r="M555" s="7">
        <f>IF(L555=1,"",DATEVALUE(LEFT(Raw_Bookings!I555,10))+TIMEVALUE(MID(Raw_Bookings!I555,12,8)))</f>
        <v>46152.95346064815</v>
      </c>
      <c r="N555" s="7">
        <f>IF(AND(L555=0,H555=1),IF(INT(M555)&gt;I555,1,0),0)</f>
        <v>0</v>
      </c>
      <c r="O555" s="7" t="str">
        <f>UPPER(TRIM(Raw_Bookings!F555))</f>
        <v>CHE</v>
      </c>
      <c r="P555" s="7" t="str">
        <f>UPPER(TRIM(Raw_Bookings!G555))</f>
        <v>AHM</v>
      </c>
      <c r="Q555" s="7">
        <f>IF(COUNTIF(Lookup_Stations!$A$2:$A$33,O555)&gt;0,1,0)</f>
        <v>1</v>
      </c>
      <c r="R555" s="7">
        <f>IF(COUNTIF(Lookup_Stations!$A$2:$A$33,P555)&gt;0,1,0)</f>
        <v>1</v>
      </c>
      <c r="S555" s="7">
        <f>IF(OR(AND(Q555=1,NOT(EXACT(Raw_Bookings!F555,O555))),AND(R555=1,NOT(EXACT(Raw_Bookings!G555,P555)))),1,0)</f>
        <v>0</v>
      </c>
      <c r="T555" s="7">
        <f>IF(OR(Q555=0,R555=0),1,0)</f>
        <v>0</v>
      </c>
      <c r="U555" s="7">
        <f>IF(TRIM(Raw_Bookings!E555&amp;"")="",1,0)</f>
        <v>0</v>
      </c>
      <c r="V555" s="7" t="str">
        <f>IF(SUMPRODUCT(--(Lookup_Status!$A$2:$A$13=LOWER(TRIM(Raw_Bookings!K555))))=0,"",INDEX(Lookup_Status!$B$2:$B$13,SUMPRODUCT((Lookup_Status!$A$2:$A$13=LOWER(TRIM(Raw_Bookings!K555)))*(ROW(Lookup_Status!$A$2:$A$13)-1))))</f>
        <v>Confirmed</v>
      </c>
      <c r="W555" s="7">
        <f>IF(AND(V555&lt;&gt;"",NOT(EXACT(Raw_Bookings!K555,V555))),1,0)</f>
        <v>0</v>
      </c>
      <c r="X555" s="7">
        <f>IF(V555="",1,0)</f>
        <v>0</v>
      </c>
      <c r="Y555" s="7">
        <f>IF(TRIM(Raw_Bookings!L555&amp;"")="",1,0)</f>
        <v>0</v>
      </c>
      <c r="Z555" s="7">
        <f>IF(AND(ISTEXT(Raw_Bookings!L555),Y555=0),1,0)</f>
        <v>0</v>
      </c>
      <c r="AA555" s="7">
        <f>IF(Z555=1,IFERROR(VALUE(SUBSTITUTE(SUBSTITUTE(SUBSTITUTE(SUBSTITUTE(SUBSTITUTE(UPPER(Raw_Bookings!L555),"RS.",""),"₹",""),",","")," ",""),"INR","")),""),"")</f>
        <v/>
      </c>
      <c r="AB555" s="7">
        <f>IF(AND(Z555=1,ISNUMBER(AA555)),1,0)</f>
        <v>0</v>
      </c>
      <c r="AC555" s="7">
        <f>IF(B555=1,0,IF(NOT(ISNUMBER(Raw_Bookings!J555)),1,IF(Raw_Bookings!J555&lt;&gt;COUNTIFS(Work_Passengers!$B$2:$B$1336,Raw_Bookings!A555,Work_Passengers!$C$2:$C$1336,0),1,0)))</f>
        <v>0</v>
      </c>
    </row>
    <row r="556" spans="1:29">
      <c r="A556" s="7">
        <f>Raw_Bookings!A556</f>
        <v>1179482</v>
      </c>
      <c r="B556" s="7">
        <f>IF(COUNTIF(Raw_Bookings!$A$2:A556,Raw_Bookings!A556)&gt;1,1,0)</f>
        <v>0</v>
      </c>
      <c r="C556" s="7" t="str">
        <f>Raw_Bookings!D556&amp;""</f>
        <v>2026-05-14</v>
      </c>
      <c r="D556" s="7" t="str">
        <f>IF(AND(LEN(C556)=10,MID(C556,5,1)="-",MID(C556,8,1)="-"),"ISO",IF(AND(LEN(C556)=10,MID(C556,3,1)="-",MID(C556,6,1)="-"),"DMY","OTHER"))</f>
        <v>ISO</v>
      </c>
      <c r="E556" s="7">
        <f>IF(D556="ISO",VALUE(LEFT(C556,4)),IF(D556="DMY",VALUE(RIGHT(C556,4)),0))</f>
        <v>2026</v>
      </c>
      <c r="F556" s="7">
        <f>IF(D556="ISO",VALUE(MID(C556,6,2)),IF(D556="DMY",VALUE(MID(C556,4,2)),0))</f>
        <v>5</v>
      </c>
      <c r="G556" s="7">
        <f>IF(D556="ISO",VALUE(RIGHT(C556,2)),IF(D556="DMY",VALUE(LEFT(C556,2)),0))</f>
        <v>14</v>
      </c>
      <c r="H556" s="7">
        <f>IF(AND(D556&lt;&gt;"OTHER",F556&gt;=1,F556&lt;=12,G556&gt;=1,G556&lt;=31),IF(AND(MONTH(DATE(E556,F556,G556))=F556,DAY(DATE(E556,F556,G556))=G556),1,0),0)</f>
        <v>1</v>
      </c>
      <c r="I556" s="7">
        <f>IF(H556=1,DATE(E556,F556,G556),"")</f>
        <v>46156.0</v>
      </c>
      <c r="J556" s="7">
        <f>IF(AND(D556="DMY",H556=1),1,0)</f>
        <v>0</v>
      </c>
      <c r="K556" s="7">
        <f>IF(H556=0,1,0)</f>
        <v>0</v>
      </c>
      <c r="L556" s="7">
        <f>IF(TRIM(Raw_Bookings!I556&amp;"")="",1,0)</f>
        <v>0</v>
      </c>
      <c r="M556" s="7">
        <f>IF(L556=1,"",DATEVALUE(LEFT(Raw_Bookings!I556,10))+TIMEVALUE(MID(Raw_Bookings!I556,12,8)))</f>
        <v>46153.418645833335</v>
      </c>
      <c r="N556" s="7">
        <f>IF(AND(L556=0,H556=1),IF(INT(M556)&gt;I556,1,0),0)</f>
        <v>0</v>
      </c>
      <c r="O556" s="7" t="str">
        <f>UPPER(TRIM(Raw_Bookings!F556))</f>
        <v>CHE</v>
      </c>
      <c r="P556" s="7" t="str">
        <f>UPPER(TRIM(Raw_Bookings!G556))</f>
        <v>AHM</v>
      </c>
      <c r="Q556" s="7">
        <f>IF(COUNTIF(Lookup_Stations!$A$2:$A$33,O556)&gt;0,1,0)</f>
        <v>1</v>
      </c>
      <c r="R556" s="7">
        <f>IF(COUNTIF(Lookup_Stations!$A$2:$A$33,P556)&gt;0,1,0)</f>
        <v>1</v>
      </c>
      <c r="S556" s="7">
        <f>IF(OR(AND(Q556=1,NOT(EXACT(Raw_Bookings!F556,O556))),AND(R556=1,NOT(EXACT(Raw_Bookings!G556,P556)))),1,0)</f>
        <v>0</v>
      </c>
      <c r="T556" s="7">
        <f>IF(OR(Q556=0,R556=0),1,0)</f>
        <v>0</v>
      </c>
      <c r="U556" s="7">
        <f>IF(TRIM(Raw_Bookings!E556&amp;"")="",1,0)</f>
        <v>0</v>
      </c>
      <c r="V556" s="7" t="str">
        <f>IF(SUMPRODUCT(--(Lookup_Status!$A$2:$A$13=LOWER(TRIM(Raw_Bookings!K556))))=0,"",INDEX(Lookup_Status!$B$2:$B$13,SUMPRODUCT((Lookup_Status!$A$2:$A$13=LOWER(TRIM(Raw_Bookings!K556)))*(ROW(Lookup_Status!$A$2:$A$13)-1))))</f>
        <v>Waitlisted</v>
      </c>
      <c r="W556" s="7">
        <f>IF(AND(V556&lt;&gt;"",NOT(EXACT(Raw_Bookings!K556,V556))),1,0)</f>
        <v>0</v>
      </c>
      <c r="X556" s="7">
        <f>IF(V556="",1,0)</f>
        <v>0</v>
      </c>
      <c r="Y556" s="7">
        <f>IF(TRIM(Raw_Bookings!L556&amp;"")="",1,0)</f>
        <v>0</v>
      </c>
      <c r="Z556" s="7">
        <f>IF(AND(ISTEXT(Raw_Bookings!L556),Y556=0),1,0)</f>
        <v>0</v>
      </c>
      <c r="AA556" s="7">
        <f>IF(Z556=1,IFERROR(VALUE(SUBSTITUTE(SUBSTITUTE(SUBSTITUTE(SUBSTITUTE(SUBSTITUTE(UPPER(Raw_Bookings!L556),"RS.",""),"₹",""),",","")," ",""),"INR","")),""),"")</f>
        <v/>
      </c>
      <c r="AB556" s="7">
        <f>IF(AND(Z556=1,ISNUMBER(AA556)),1,0)</f>
        <v>0</v>
      </c>
      <c r="AC556" s="7">
        <f>IF(B556=1,0,IF(NOT(ISNUMBER(Raw_Bookings!J556)),1,IF(Raw_Bookings!J556&lt;&gt;COUNTIFS(Work_Passengers!$B$2:$B$1336,Raw_Bookings!A556,Work_Passengers!$C$2:$C$1336,0),1,0)))</f>
        <v>0</v>
      </c>
    </row>
    <row r="557" spans="1:29">
      <c r="A557" s="7">
        <f>Raw_Bookings!A557</f>
        <v>1179497</v>
      </c>
      <c r="B557" s="7">
        <f>IF(COUNTIF(Raw_Bookings!$A$2:A557,Raw_Bookings!A557)&gt;1,1,0)</f>
        <v>0</v>
      </c>
      <c r="C557" s="7" t="str">
        <f>Raw_Bookings!D557&amp;""</f>
        <v>2026-06-02</v>
      </c>
      <c r="D557" s="7" t="str">
        <f>IF(AND(LEN(C557)=10,MID(C557,5,1)="-",MID(C557,8,1)="-"),"ISO",IF(AND(LEN(C557)=10,MID(C557,3,1)="-",MID(C557,6,1)="-"),"DMY","OTHER"))</f>
        <v>ISO</v>
      </c>
      <c r="E557" s="7">
        <f>IF(D557="ISO",VALUE(LEFT(C557,4)),IF(D557="DMY",VALUE(RIGHT(C557,4)),0))</f>
        <v>2026</v>
      </c>
      <c r="F557" s="7">
        <f>IF(D557="ISO",VALUE(MID(C557,6,2)),IF(D557="DMY",VALUE(MID(C557,4,2)),0))</f>
        <v>6</v>
      </c>
      <c r="G557" s="7">
        <f>IF(D557="ISO",VALUE(RIGHT(C557,2)),IF(D557="DMY",VALUE(LEFT(C557,2)),0))</f>
        <v>2</v>
      </c>
      <c r="H557" s="7">
        <f>IF(AND(D557&lt;&gt;"OTHER",F557&gt;=1,F557&lt;=12,G557&gt;=1,G557&lt;=31),IF(AND(MONTH(DATE(E557,F557,G557))=F557,DAY(DATE(E557,F557,G557))=G557),1,0),0)</f>
        <v>1</v>
      </c>
      <c r="I557" s="7">
        <f>IF(H557=1,DATE(E557,F557,G557),"")</f>
        <v>46175.0</v>
      </c>
      <c r="J557" s="7">
        <f>IF(AND(D557="DMY",H557=1),1,0)</f>
        <v>0</v>
      </c>
      <c r="K557" s="7">
        <f>IF(H557=0,1,0)</f>
        <v>0</v>
      </c>
      <c r="L557" s="7">
        <f>IF(TRIM(Raw_Bookings!I557&amp;"")="",1,0)</f>
        <v>0</v>
      </c>
      <c r="M557" s="7">
        <f>IF(L557=1,"",DATEVALUE(LEFT(Raw_Bookings!I557,10))+TIMEVALUE(MID(Raw_Bookings!I557,12,8)))</f>
        <v>46153.46840277778</v>
      </c>
      <c r="N557" s="7">
        <f>IF(AND(L557=0,H557=1),IF(INT(M557)&gt;I557,1,0),0)</f>
        <v>0</v>
      </c>
      <c r="O557" s="7" t="str">
        <f>UPPER(TRIM(Raw_Bookings!F557))</f>
        <v>MUM</v>
      </c>
      <c r="P557" s="7" t="str">
        <f>UPPER(TRIM(Raw_Bookings!G557))</f>
        <v>LUC</v>
      </c>
      <c r="Q557" s="7">
        <f>IF(COUNTIF(Lookup_Stations!$A$2:$A$33,O557)&gt;0,1,0)</f>
        <v>1</v>
      </c>
      <c r="R557" s="7">
        <f>IF(COUNTIF(Lookup_Stations!$A$2:$A$33,P557)&gt;0,1,0)</f>
        <v>1</v>
      </c>
      <c r="S557" s="7">
        <f>IF(OR(AND(Q557=1,NOT(EXACT(Raw_Bookings!F557,O557))),AND(R557=1,NOT(EXACT(Raw_Bookings!G557,P557)))),1,0)</f>
        <v>0</v>
      </c>
      <c r="T557" s="7">
        <f>IF(OR(Q557=0,R557=0),1,0)</f>
        <v>0</v>
      </c>
      <c r="U557" s="7">
        <f>IF(TRIM(Raw_Bookings!E557&amp;"")="",1,0)</f>
        <v>0</v>
      </c>
      <c r="V557" s="7" t="str">
        <f>IF(SUMPRODUCT(--(Lookup_Status!$A$2:$A$13=LOWER(TRIM(Raw_Bookings!K557))))=0,"",INDEX(Lookup_Status!$B$2:$B$13,SUMPRODUCT((Lookup_Status!$A$2:$A$13=LOWER(TRIM(Raw_Bookings!K557)))*(ROW(Lookup_Status!$A$2:$A$13)-1))))</f>
        <v>Mixed</v>
      </c>
      <c r="W557" s="7">
        <f>IF(AND(V557&lt;&gt;"",NOT(EXACT(Raw_Bookings!K557,V557))),1,0)</f>
        <v>0</v>
      </c>
      <c r="X557" s="7">
        <f>IF(V557="",1,0)</f>
        <v>0</v>
      </c>
      <c r="Y557" s="7">
        <f>IF(TRIM(Raw_Bookings!L557&amp;"")="",1,0)</f>
        <v>0</v>
      </c>
      <c r="Z557" s="7">
        <f>IF(AND(ISTEXT(Raw_Bookings!L557),Y557=0),1,0)</f>
        <v>0</v>
      </c>
      <c r="AA557" s="7">
        <f>IF(Z557=1,IFERROR(VALUE(SUBSTITUTE(SUBSTITUTE(SUBSTITUTE(SUBSTITUTE(SUBSTITUTE(UPPER(Raw_Bookings!L557),"RS.",""),"₹",""),",","")," ",""),"INR","")),""),"")</f>
        <v/>
      </c>
      <c r="AB557" s="7">
        <f>IF(AND(Z557=1,ISNUMBER(AA557)),1,0)</f>
        <v>0</v>
      </c>
      <c r="AC557" s="7">
        <f>IF(B557=1,0,IF(NOT(ISNUMBER(Raw_Bookings!J557)),1,IF(Raw_Bookings!J557&lt;&gt;COUNTIFS(Work_Passengers!$B$2:$B$1336,Raw_Bookings!A557,Work_Passengers!$C$2:$C$1336,0),1,0)))</f>
        <v>0</v>
      </c>
    </row>
    <row r="558" spans="1:29">
      <c r="A558" s="7">
        <f>Raw_Bookings!A558</f>
        <v>1179635</v>
      </c>
      <c r="B558" s="7">
        <f>IF(COUNTIF(Raw_Bookings!$A$2:A558,Raw_Bookings!A558)&gt;1,1,0)</f>
        <v>0</v>
      </c>
      <c r="C558" s="7" t="str">
        <f>Raw_Bookings!D558&amp;""</f>
        <v>2026-05-18</v>
      </c>
      <c r="D558" s="7" t="str">
        <f>IF(AND(LEN(C558)=10,MID(C558,5,1)="-",MID(C558,8,1)="-"),"ISO",IF(AND(LEN(C558)=10,MID(C558,3,1)="-",MID(C558,6,1)="-"),"DMY","OTHER"))</f>
        <v>ISO</v>
      </c>
      <c r="E558" s="7">
        <f>IF(D558="ISO",VALUE(LEFT(C558,4)),IF(D558="DMY",VALUE(RIGHT(C558,4)),0))</f>
        <v>2026</v>
      </c>
      <c r="F558" s="7">
        <f>IF(D558="ISO",VALUE(MID(C558,6,2)),IF(D558="DMY",VALUE(MID(C558,4,2)),0))</f>
        <v>5</v>
      </c>
      <c r="G558" s="7">
        <f>IF(D558="ISO",VALUE(RIGHT(C558,2)),IF(D558="DMY",VALUE(LEFT(C558,2)),0))</f>
        <v>18</v>
      </c>
      <c r="H558" s="7">
        <f>IF(AND(D558&lt;&gt;"OTHER",F558&gt;=1,F558&lt;=12,G558&gt;=1,G558&lt;=31),IF(AND(MONTH(DATE(E558,F558,G558))=F558,DAY(DATE(E558,F558,G558))=G558),1,0),0)</f>
        <v>1</v>
      </c>
      <c r="I558" s="7">
        <f>IF(H558=1,DATE(E558,F558,G558),"")</f>
        <v>46160.0</v>
      </c>
      <c r="J558" s="7">
        <f>IF(AND(D558="DMY",H558=1),1,0)</f>
        <v>0</v>
      </c>
      <c r="K558" s="7">
        <f>IF(H558=0,1,0)</f>
        <v>0</v>
      </c>
      <c r="L558" s="7">
        <f>IF(TRIM(Raw_Bookings!I558&amp;"")="",1,0)</f>
        <v>0</v>
      </c>
      <c r="M558" s="7">
        <f>IF(L558=1,"",DATEVALUE(LEFT(Raw_Bookings!I558,10))+TIMEVALUE(MID(Raw_Bookings!I558,12,8)))</f>
        <v>46153.74395833333</v>
      </c>
      <c r="N558" s="7">
        <f>IF(AND(L558=0,H558=1),IF(INT(M558)&gt;I558,1,0),0)</f>
        <v>0</v>
      </c>
      <c r="O558" s="7" t="str">
        <f>UPPER(TRIM(Raw_Bookings!F558))</f>
        <v>BEN</v>
      </c>
      <c r="P558" s="7" t="str">
        <f>UPPER(TRIM(Raw_Bookings!G558))</f>
        <v>MUM</v>
      </c>
      <c r="Q558" s="7">
        <f>IF(COUNTIF(Lookup_Stations!$A$2:$A$33,O558)&gt;0,1,0)</f>
        <v>1</v>
      </c>
      <c r="R558" s="7">
        <f>IF(COUNTIF(Lookup_Stations!$A$2:$A$33,P558)&gt;0,1,0)</f>
        <v>1</v>
      </c>
      <c r="S558" s="7">
        <f>IF(OR(AND(Q558=1,NOT(EXACT(Raw_Bookings!F558,O558))),AND(R558=1,NOT(EXACT(Raw_Bookings!G558,P558)))),1,0)</f>
        <v>0</v>
      </c>
      <c r="T558" s="7">
        <f>IF(OR(Q558=0,R558=0),1,0)</f>
        <v>0</v>
      </c>
      <c r="U558" s="7">
        <f>IF(TRIM(Raw_Bookings!E558&amp;"")="",1,0)</f>
        <v>0</v>
      </c>
      <c r="V558" s="7" t="str">
        <f>IF(SUMPRODUCT(--(Lookup_Status!$A$2:$A$13=LOWER(TRIM(Raw_Bookings!K558))))=0,"",INDEX(Lookup_Status!$B$2:$B$13,SUMPRODUCT((Lookup_Status!$A$2:$A$13=LOWER(TRIM(Raw_Bookings!K558)))*(ROW(Lookup_Status!$A$2:$A$13)-1))))</f>
        <v>RAC</v>
      </c>
      <c r="W558" s="7">
        <f>IF(AND(V558&lt;&gt;"",NOT(EXACT(Raw_Bookings!K558,V558))),1,0)</f>
        <v>0</v>
      </c>
      <c r="X558" s="7">
        <f>IF(V558="",1,0)</f>
        <v>0</v>
      </c>
      <c r="Y558" s="7">
        <f>IF(TRIM(Raw_Bookings!L558&amp;"")="",1,0)</f>
        <v>0</v>
      </c>
      <c r="Z558" s="7">
        <f>IF(AND(ISTEXT(Raw_Bookings!L558),Y558=0),1,0)</f>
        <v>0</v>
      </c>
      <c r="AA558" s="7">
        <f>IF(Z558=1,IFERROR(VALUE(SUBSTITUTE(SUBSTITUTE(SUBSTITUTE(SUBSTITUTE(SUBSTITUTE(UPPER(Raw_Bookings!L558),"RS.",""),"₹",""),",","")," ",""),"INR","")),""),"")</f>
        <v/>
      </c>
      <c r="AB558" s="7">
        <f>IF(AND(Z558=1,ISNUMBER(AA558)),1,0)</f>
        <v>0</v>
      </c>
      <c r="AC558" s="7">
        <f>IF(B558=1,0,IF(NOT(ISNUMBER(Raw_Bookings!J558)),1,IF(Raw_Bookings!J558&lt;&gt;COUNTIFS(Work_Passengers!$B$2:$B$1336,Raw_Bookings!A558,Work_Passengers!$C$2:$C$1336,0),1,0)))</f>
        <v>0</v>
      </c>
    </row>
    <row r="559" spans="1:29">
      <c r="A559" s="7">
        <f>Raw_Bookings!A559</f>
        <v>1179722</v>
      </c>
      <c r="B559" s="7">
        <f>IF(COUNTIF(Raw_Bookings!$A$2:A559,Raw_Bookings!A559)&gt;1,1,0)</f>
        <v>0</v>
      </c>
      <c r="C559" s="7" t="str">
        <f>Raw_Bookings!D559&amp;""</f>
        <v>2026-05-28</v>
      </c>
      <c r="D559" s="7" t="str">
        <f>IF(AND(LEN(C559)=10,MID(C559,5,1)="-",MID(C559,8,1)="-"),"ISO",IF(AND(LEN(C559)=10,MID(C559,3,1)="-",MID(C559,6,1)="-"),"DMY","OTHER"))</f>
        <v>ISO</v>
      </c>
      <c r="E559" s="7">
        <f>IF(D559="ISO",VALUE(LEFT(C559,4)),IF(D559="DMY",VALUE(RIGHT(C559,4)),0))</f>
        <v>2026</v>
      </c>
      <c r="F559" s="7">
        <f>IF(D559="ISO",VALUE(MID(C559,6,2)),IF(D559="DMY",VALUE(MID(C559,4,2)),0))</f>
        <v>5</v>
      </c>
      <c r="G559" s="7">
        <f>IF(D559="ISO",VALUE(RIGHT(C559,2)),IF(D559="DMY",VALUE(LEFT(C559,2)),0))</f>
        <v>28</v>
      </c>
      <c r="H559" s="7">
        <f>IF(AND(D559&lt;&gt;"OTHER",F559&gt;=1,F559&lt;=12,G559&gt;=1,G559&lt;=31),IF(AND(MONTH(DATE(E559,F559,G559))=F559,DAY(DATE(E559,F559,G559))=G559),1,0),0)</f>
        <v>1</v>
      </c>
      <c r="I559" s="7">
        <f>IF(H559=1,DATE(E559,F559,G559),"")</f>
        <v>46170.0</v>
      </c>
      <c r="J559" s="7">
        <f>IF(AND(D559="DMY",H559=1),1,0)</f>
        <v>0</v>
      </c>
      <c r="K559" s="7">
        <f>IF(H559=0,1,0)</f>
        <v>0</v>
      </c>
      <c r="L559" s="7">
        <f>IF(TRIM(Raw_Bookings!I559&amp;"")="",1,0)</f>
        <v>0</v>
      </c>
      <c r="M559" s="7">
        <f>IF(L559=1,"",DATEVALUE(LEFT(Raw_Bookings!I559,10))+TIMEVALUE(MID(Raw_Bookings!I559,12,8)))</f>
        <v>46153.87664351852</v>
      </c>
      <c r="N559" s="7">
        <f>IF(AND(L559=0,H559=1),IF(INT(M559)&gt;I559,1,0),0)</f>
        <v>0</v>
      </c>
      <c r="O559" s="7" t="str">
        <f>UPPER(TRIM(Raw_Bookings!F559))</f>
        <v>DEL</v>
      </c>
      <c r="P559" s="7" t="str">
        <f>UPPER(TRIM(Raw_Bookings!G559))</f>
        <v>MAU</v>
      </c>
      <c r="Q559" s="7">
        <f>IF(COUNTIF(Lookup_Stations!$A$2:$A$33,O559)&gt;0,1,0)</f>
        <v>1</v>
      </c>
      <c r="R559" s="7">
        <f>IF(COUNTIF(Lookup_Stations!$A$2:$A$33,P559)&gt;0,1,0)</f>
        <v>1</v>
      </c>
      <c r="S559" s="7">
        <f>IF(OR(AND(Q559=1,NOT(EXACT(Raw_Bookings!F559,O559))),AND(R559=1,NOT(EXACT(Raw_Bookings!G559,P559)))),1,0)</f>
        <v>0</v>
      </c>
      <c r="T559" s="7">
        <f>IF(OR(Q559=0,R559=0),1,0)</f>
        <v>0</v>
      </c>
      <c r="U559" s="7">
        <f>IF(TRIM(Raw_Bookings!E559&amp;"")="",1,0)</f>
        <v>0</v>
      </c>
      <c r="V559" s="7" t="str">
        <f>IF(SUMPRODUCT(--(Lookup_Status!$A$2:$A$13=LOWER(TRIM(Raw_Bookings!K559))))=0,"",INDEX(Lookup_Status!$B$2:$B$13,SUMPRODUCT((Lookup_Status!$A$2:$A$13=LOWER(TRIM(Raw_Bookings!K559)))*(ROW(Lookup_Status!$A$2:$A$13)-1))))</f>
        <v>RAC</v>
      </c>
      <c r="W559" s="7">
        <f>IF(AND(V559&lt;&gt;"",NOT(EXACT(Raw_Bookings!K559,V559))),1,0)</f>
        <v>0</v>
      </c>
      <c r="X559" s="7">
        <f>IF(V559="",1,0)</f>
        <v>0</v>
      </c>
      <c r="Y559" s="7">
        <f>IF(TRIM(Raw_Bookings!L559&amp;"")="",1,0)</f>
        <v>0</v>
      </c>
      <c r="Z559" s="7">
        <f>IF(AND(ISTEXT(Raw_Bookings!L559),Y559=0),1,0)</f>
        <v>0</v>
      </c>
      <c r="AA559" s="7">
        <f>IF(Z559=1,IFERROR(VALUE(SUBSTITUTE(SUBSTITUTE(SUBSTITUTE(SUBSTITUTE(SUBSTITUTE(UPPER(Raw_Bookings!L559),"RS.",""),"₹",""),",","")," ",""),"INR","")),""),"")</f>
        <v/>
      </c>
      <c r="AB559" s="7">
        <f>IF(AND(Z559=1,ISNUMBER(AA559)),1,0)</f>
        <v>0</v>
      </c>
      <c r="AC559" s="7">
        <f>IF(B559=1,0,IF(NOT(ISNUMBER(Raw_Bookings!J559)),1,IF(Raw_Bookings!J559&lt;&gt;COUNTIFS(Work_Passengers!$B$2:$B$1336,Raw_Bookings!A559,Work_Passengers!$C$2:$C$1336,0),1,0)))</f>
        <v>0</v>
      </c>
    </row>
    <row r="560" spans="1:29">
      <c r="A560" s="7">
        <f>Raw_Bookings!A560</f>
        <v>1180229</v>
      </c>
      <c r="B560" s="7">
        <f>IF(COUNTIF(Raw_Bookings!$A$2:A560,Raw_Bookings!A560)&gt;1,1,0)</f>
        <v>0</v>
      </c>
      <c r="C560" s="7" t="str">
        <f>Raw_Bookings!D560&amp;""</f>
        <v>2026-07-31</v>
      </c>
      <c r="D560" s="7" t="str">
        <f>IF(AND(LEN(C560)=10,MID(C560,5,1)="-",MID(C560,8,1)="-"),"ISO",IF(AND(LEN(C560)=10,MID(C560,3,1)="-",MID(C560,6,1)="-"),"DMY","OTHER"))</f>
        <v>ISO</v>
      </c>
      <c r="E560" s="7">
        <f>IF(D560="ISO",VALUE(LEFT(C560,4)),IF(D560="DMY",VALUE(RIGHT(C560,4)),0))</f>
        <v>2026</v>
      </c>
      <c r="F560" s="7">
        <f>IF(D560="ISO",VALUE(MID(C560,6,2)),IF(D560="DMY",VALUE(MID(C560,4,2)),0))</f>
        <v>7</v>
      </c>
      <c r="G560" s="7">
        <f>IF(D560="ISO",VALUE(RIGHT(C560,2)),IF(D560="DMY",VALUE(LEFT(C560,2)),0))</f>
        <v>31</v>
      </c>
      <c r="H560" s="7">
        <f>IF(AND(D560&lt;&gt;"OTHER",F560&gt;=1,F560&lt;=12,G560&gt;=1,G560&lt;=31),IF(AND(MONTH(DATE(E560,F560,G560))=F560,DAY(DATE(E560,F560,G560))=G560),1,0),0)</f>
        <v>1</v>
      </c>
      <c r="I560" s="7">
        <f>IF(H560=1,DATE(E560,F560,G560),"")</f>
        <v>46234.0</v>
      </c>
      <c r="J560" s="7">
        <f>IF(AND(D560="DMY",H560=1),1,0)</f>
        <v>0</v>
      </c>
      <c r="K560" s="7">
        <f>IF(H560=0,1,0)</f>
        <v>0</v>
      </c>
      <c r="L560" s="7">
        <f>IF(TRIM(Raw_Bookings!I560&amp;"")="",1,0)</f>
        <v>0</v>
      </c>
      <c r="M560" s="7">
        <f>IF(L560=1,"",DATEVALUE(LEFT(Raw_Bookings!I560,10))+TIMEVALUE(MID(Raw_Bookings!I560,12,8)))</f>
        <v>46155.41584490741</v>
      </c>
      <c r="N560" s="7">
        <f>IF(AND(L560=0,H560=1),IF(INT(M560)&gt;I560,1,0),0)</f>
        <v>0</v>
      </c>
      <c r="O560" s="7" t="str">
        <f>UPPER(TRIM(Raw_Bookings!F560))</f>
        <v>LUC</v>
      </c>
      <c r="P560" s="7" t="str">
        <f>UPPER(TRIM(Raw_Bookings!G560))</f>
        <v>MUM</v>
      </c>
      <c r="Q560" s="7">
        <f>IF(COUNTIF(Lookup_Stations!$A$2:$A$33,O560)&gt;0,1,0)</f>
        <v>1</v>
      </c>
      <c r="R560" s="7">
        <f>IF(COUNTIF(Lookup_Stations!$A$2:$A$33,P560)&gt;0,1,0)</f>
        <v>1</v>
      </c>
      <c r="S560" s="7">
        <f>IF(OR(AND(Q560=1,NOT(EXACT(Raw_Bookings!F560,O560))),AND(R560=1,NOT(EXACT(Raw_Bookings!G560,P560)))),1,0)</f>
        <v>0</v>
      </c>
      <c r="T560" s="7">
        <f>IF(OR(Q560=0,R560=0),1,0)</f>
        <v>0</v>
      </c>
      <c r="U560" s="7">
        <f>IF(TRIM(Raw_Bookings!E560&amp;"")="",1,0)</f>
        <v>0</v>
      </c>
      <c r="V560" s="7">
        <f>IF(SUMPRODUCT(--(Lookup_Status!$A$2:$A$13=LOWER(TRIM(Raw_Bookings!K560))))=0,"",INDEX(Lookup_Status!$B$2:$B$13,SUMPRODUCT((Lookup_Status!$A$2:$A$13=LOWER(TRIM(Raw_Bookings!K560)))*(ROW(Lookup_Status!$A$2:$A$13)-1))))</f>
        <v/>
      </c>
      <c r="W560" s="7">
        <f>IF(AND(V560&lt;&gt;"",NOT(EXACT(Raw_Bookings!K560,V560))),1,0)</f>
        <v>0</v>
      </c>
      <c r="X560" s="7">
        <f>IF(V560="",1,0)</f>
        <v>1</v>
      </c>
      <c r="Y560" s="7">
        <f>IF(TRIM(Raw_Bookings!L560&amp;"")="",1,0)</f>
        <v>0</v>
      </c>
      <c r="Z560" s="7">
        <f>IF(AND(ISTEXT(Raw_Bookings!L560),Y560=0),1,0)</f>
        <v>0</v>
      </c>
      <c r="AA560" s="7">
        <f>IF(Z560=1,IFERROR(VALUE(SUBSTITUTE(SUBSTITUTE(SUBSTITUTE(SUBSTITUTE(SUBSTITUTE(UPPER(Raw_Bookings!L560),"RS.",""),"₹",""),",","")," ",""),"INR","")),""),"")</f>
        <v/>
      </c>
      <c r="AB560" s="7">
        <f>IF(AND(Z560=1,ISNUMBER(AA560)),1,0)</f>
        <v>0</v>
      </c>
      <c r="AC560" s="7">
        <f>IF(B560=1,0,IF(NOT(ISNUMBER(Raw_Bookings!J560)),1,IF(Raw_Bookings!J560&lt;&gt;COUNTIFS(Work_Passengers!$B$2:$B$1336,Raw_Bookings!A560,Work_Passengers!$C$2:$C$1336,0),1,0)))</f>
        <v>0</v>
      </c>
    </row>
    <row r="561" spans="1:29">
      <c r="A561" s="7">
        <f>Raw_Bookings!A561</f>
        <v>1180523</v>
      </c>
      <c r="B561" s="7">
        <f>IF(COUNTIF(Raw_Bookings!$A$2:A561,Raw_Bookings!A561)&gt;1,1,0)</f>
        <v>0</v>
      </c>
      <c r="C561" s="7" t="str">
        <f>Raw_Bookings!D561&amp;""</f>
        <v>2026-05-31</v>
      </c>
      <c r="D561" s="7" t="str">
        <f>IF(AND(LEN(C561)=10,MID(C561,5,1)="-",MID(C561,8,1)="-"),"ISO",IF(AND(LEN(C561)=10,MID(C561,3,1)="-",MID(C561,6,1)="-"),"DMY","OTHER"))</f>
        <v>ISO</v>
      </c>
      <c r="E561" s="7">
        <f>IF(D561="ISO",VALUE(LEFT(C561,4)),IF(D561="DMY",VALUE(RIGHT(C561,4)),0))</f>
        <v>2026</v>
      </c>
      <c r="F561" s="7">
        <f>IF(D561="ISO",VALUE(MID(C561,6,2)),IF(D561="DMY",VALUE(MID(C561,4,2)),0))</f>
        <v>5</v>
      </c>
      <c r="G561" s="7">
        <f>IF(D561="ISO",VALUE(RIGHT(C561,2)),IF(D561="DMY",VALUE(LEFT(C561,2)),0))</f>
        <v>31</v>
      </c>
      <c r="H561" s="7">
        <f>IF(AND(D561&lt;&gt;"OTHER",F561&gt;=1,F561&lt;=12,G561&gt;=1,G561&lt;=31),IF(AND(MONTH(DATE(E561,F561,G561))=F561,DAY(DATE(E561,F561,G561))=G561),1,0),0)</f>
        <v>1</v>
      </c>
      <c r="I561" s="7">
        <f>IF(H561=1,DATE(E561,F561,G561),"")</f>
        <v>46173.0</v>
      </c>
      <c r="J561" s="7">
        <f>IF(AND(D561="DMY",H561=1),1,0)</f>
        <v>0</v>
      </c>
      <c r="K561" s="7">
        <f>IF(H561=0,1,0)</f>
        <v>0</v>
      </c>
      <c r="L561" s="7">
        <f>IF(TRIM(Raw_Bookings!I561&amp;"")="",1,0)</f>
        <v>0</v>
      </c>
      <c r="M561" s="7">
        <f>IF(L561=1,"",DATEVALUE(LEFT(Raw_Bookings!I561,10))+TIMEVALUE(MID(Raw_Bookings!I561,12,8)))</f>
        <v>46156.30525462963</v>
      </c>
      <c r="N561" s="7">
        <f>IF(AND(L561=0,H561=1),IF(INT(M561)&gt;I561,1,0),0)</f>
        <v>0</v>
      </c>
      <c r="O561" s="7" t="str">
        <f>UPPER(TRIM(Raw_Bookings!F561))</f>
        <v>KOL</v>
      </c>
      <c r="P561" s="7" t="str">
        <f>UPPER(TRIM(Raw_Bookings!G561))</f>
        <v>HYD</v>
      </c>
      <c r="Q561" s="7">
        <f>IF(COUNTIF(Lookup_Stations!$A$2:$A$33,O561)&gt;0,1,0)</f>
        <v>1</v>
      </c>
      <c r="R561" s="7">
        <f>IF(COUNTIF(Lookup_Stations!$A$2:$A$33,P561)&gt;0,1,0)</f>
        <v>1</v>
      </c>
      <c r="S561" s="7">
        <f>IF(OR(AND(Q561=1,NOT(EXACT(Raw_Bookings!F561,O561))),AND(R561=1,NOT(EXACT(Raw_Bookings!G561,P561)))),1,0)</f>
        <v>0</v>
      </c>
      <c r="T561" s="7">
        <f>IF(OR(Q561=0,R561=0),1,0)</f>
        <v>0</v>
      </c>
      <c r="U561" s="7">
        <f>IF(TRIM(Raw_Bookings!E561&amp;"")="",1,0)</f>
        <v>0</v>
      </c>
      <c r="V561" s="7" t="str">
        <f>IF(SUMPRODUCT(--(Lookup_Status!$A$2:$A$13=LOWER(TRIM(Raw_Bookings!K561))))=0,"",INDEX(Lookup_Status!$B$2:$B$13,SUMPRODUCT((Lookup_Status!$A$2:$A$13=LOWER(TRIM(Raw_Bookings!K561)))*(ROW(Lookup_Status!$A$2:$A$13)-1))))</f>
        <v>Waitlisted</v>
      </c>
      <c r="W561" s="7">
        <f>IF(AND(V561&lt;&gt;"",NOT(EXACT(Raw_Bookings!K561,V561))),1,0)</f>
        <v>0</v>
      </c>
      <c r="X561" s="7">
        <f>IF(V561="",1,0)</f>
        <v>0</v>
      </c>
      <c r="Y561" s="7">
        <f>IF(TRIM(Raw_Bookings!L561&amp;"")="",1,0)</f>
        <v>0</v>
      </c>
      <c r="Z561" s="7">
        <f>IF(AND(ISTEXT(Raw_Bookings!L561),Y561=0),1,0)</f>
        <v>0</v>
      </c>
      <c r="AA561" s="7">
        <f>IF(Z561=1,IFERROR(VALUE(SUBSTITUTE(SUBSTITUTE(SUBSTITUTE(SUBSTITUTE(SUBSTITUTE(UPPER(Raw_Bookings!L561),"RS.",""),"₹",""),",","")," ",""),"INR","")),""),"")</f>
        <v/>
      </c>
      <c r="AB561" s="7">
        <f>IF(AND(Z561=1,ISNUMBER(AA561)),1,0)</f>
        <v>0</v>
      </c>
      <c r="AC561" s="7">
        <f>IF(B561=1,0,IF(NOT(ISNUMBER(Raw_Bookings!J561)),1,IF(Raw_Bookings!J561&lt;&gt;COUNTIFS(Work_Passengers!$B$2:$B$1336,Raw_Bookings!A561,Work_Passengers!$C$2:$C$1336,0),1,0)))</f>
        <v>0</v>
      </c>
    </row>
    <row r="562" spans="1:29">
      <c r="A562" s="7">
        <f>Raw_Bookings!A562</f>
        <v>1180732</v>
      </c>
      <c r="B562" s="7">
        <f>IF(COUNTIF(Raw_Bookings!$A$2:A562,Raw_Bookings!A562)&gt;1,1,0)</f>
        <v>0</v>
      </c>
      <c r="C562" s="7" t="str">
        <f>Raw_Bookings!D562&amp;""</f>
        <v>2026-05-22</v>
      </c>
      <c r="D562" s="7" t="str">
        <f>IF(AND(LEN(C562)=10,MID(C562,5,1)="-",MID(C562,8,1)="-"),"ISO",IF(AND(LEN(C562)=10,MID(C562,3,1)="-",MID(C562,6,1)="-"),"DMY","OTHER"))</f>
        <v>ISO</v>
      </c>
      <c r="E562" s="7">
        <f>IF(D562="ISO",VALUE(LEFT(C562,4)),IF(D562="DMY",VALUE(RIGHT(C562,4)),0))</f>
        <v>2026</v>
      </c>
      <c r="F562" s="7">
        <f>IF(D562="ISO",VALUE(MID(C562,6,2)),IF(D562="DMY",VALUE(MID(C562,4,2)),0))</f>
        <v>5</v>
      </c>
      <c r="G562" s="7">
        <f>IF(D562="ISO",VALUE(RIGHT(C562,2)),IF(D562="DMY",VALUE(LEFT(C562,2)),0))</f>
        <v>22</v>
      </c>
      <c r="H562" s="7">
        <f>IF(AND(D562&lt;&gt;"OTHER",F562&gt;=1,F562&lt;=12,G562&gt;=1,G562&lt;=31),IF(AND(MONTH(DATE(E562,F562,G562))=F562,DAY(DATE(E562,F562,G562))=G562),1,0),0)</f>
        <v>1</v>
      </c>
      <c r="I562" s="7">
        <f>IF(H562=1,DATE(E562,F562,G562),"")</f>
        <v>46164.0</v>
      </c>
      <c r="J562" s="7">
        <f>IF(AND(D562="DMY",H562=1),1,0)</f>
        <v>0</v>
      </c>
      <c r="K562" s="7">
        <f>IF(H562=0,1,0)</f>
        <v>0</v>
      </c>
      <c r="L562" s="7">
        <f>IF(TRIM(Raw_Bookings!I562&amp;"")="",1,0)</f>
        <v>0</v>
      </c>
      <c r="M562" s="7">
        <f>IF(L562=1,"",DATEVALUE(LEFT(Raw_Bookings!I562,10))+TIMEVALUE(MID(Raw_Bookings!I562,12,8)))</f>
        <v>46156.76013888889</v>
      </c>
      <c r="N562" s="7">
        <f>IF(AND(L562=0,H562=1),IF(INT(M562)&gt;I562,1,0),0)</f>
        <v>0</v>
      </c>
      <c r="O562" s="7" t="str">
        <f>UPPER(TRIM(Raw_Bookings!F562))</f>
        <v>JAI</v>
      </c>
      <c r="P562" s="7" t="str">
        <f>UPPER(TRIM(Raw_Bookings!G562))</f>
        <v>BHO</v>
      </c>
      <c r="Q562" s="7">
        <f>IF(COUNTIF(Lookup_Stations!$A$2:$A$33,O562)&gt;0,1,0)</f>
        <v>1</v>
      </c>
      <c r="R562" s="7">
        <f>IF(COUNTIF(Lookup_Stations!$A$2:$A$33,P562)&gt;0,1,0)</f>
        <v>1</v>
      </c>
      <c r="S562" s="7">
        <f>IF(OR(AND(Q562=1,NOT(EXACT(Raw_Bookings!F562,O562))),AND(R562=1,NOT(EXACT(Raw_Bookings!G562,P562)))),1,0)</f>
        <v>0</v>
      </c>
      <c r="T562" s="7">
        <f>IF(OR(Q562=0,R562=0),1,0)</f>
        <v>0</v>
      </c>
      <c r="U562" s="7">
        <f>IF(TRIM(Raw_Bookings!E562&amp;"")="",1,0)</f>
        <v>0</v>
      </c>
      <c r="V562" s="7" t="str">
        <f>IF(SUMPRODUCT(--(Lookup_Status!$A$2:$A$13=LOWER(TRIM(Raw_Bookings!K562))))=0,"",INDEX(Lookup_Status!$B$2:$B$13,SUMPRODUCT((Lookup_Status!$A$2:$A$13=LOWER(TRIM(Raw_Bookings!K562)))*(ROW(Lookup_Status!$A$2:$A$13)-1))))</f>
        <v>Confirmed</v>
      </c>
      <c r="W562" s="7">
        <f>IF(AND(V562&lt;&gt;"",NOT(EXACT(Raw_Bookings!K562,V562))),1,0)</f>
        <v>0</v>
      </c>
      <c r="X562" s="7">
        <f>IF(V562="",1,0)</f>
        <v>0</v>
      </c>
      <c r="Y562" s="7">
        <f>IF(TRIM(Raw_Bookings!L562&amp;"")="",1,0)</f>
        <v>0</v>
      </c>
      <c r="Z562" s="7">
        <f>IF(AND(ISTEXT(Raw_Bookings!L562),Y562=0),1,0)</f>
        <v>0</v>
      </c>
      <c r="AA562" s="7">
        <f>IF(Z562=1,IFERROR(VALUE(SUBSTITUTE(SUBSTITUTE(SUBSTITUTE(SUBSTITUTE(SUBSTITUTE(UPPER(Raw_Bookings!L562),"RS.",""),"₹",""),",","")," ",""),"INR","")),""),"")</f>
        <v/>
      </c>
      <c r="AB562" s="7">
        <f>IF(AND(Z562=1,ISNUMBER(AA562)),1,0)</f>
        <v>0</v>
      </c>
      <c r="AC562" s="7">
        <f>IF(B562=1,0,IF(NOT(ISNUMBER(Raw_Bookings!J562)),1,IF(Raw_Bookings!J562&lt;&gt;COUNTIFS(Work_Passengers!$B$2:$B$1336,Raw_Bookings!A562,Work_Passengers!$C$2:$C$1336,0),1,0)))</f>
        <v>0</v>
      </c>
    </row>
    <row r="563" spans="1:29">
      <c r="A563" s="7">
        <f>Raw_Bookings!A563</f>
        <v>1180749</v>
      </c>
      <c r="B563" s="7">
        <f>IF(COUNTIF(Raw_Bookings!$A$2:A563,Raw_Bookings!A563)&gt;1,1,0)</f>
        <v>0</v>
      </c>
      <c r="C563" s="7" t="str">
        <f>Raw_Bookings!D563&amp;""</f>
        <v>2026-05-15</v>
      </c>
      <c r="D563" s="7" t="str">
        <f>IF(AND(LEN(C563)=10,MID(C563,5,1)="-",MID(C563,8,1)="-"),"ISO",IF(AND(LEN(C563)=10,MID(C563,3,1)="-",MID(C563,6,1)="-"),"DMY","OTHER"))</f>
        <v>ISO</v>
      </c>
      <c r="E563" s="7">
        <f>IF(D563="ISO",VALUE(LEFT(C563,4)),IF(D563="DMY",VALUE(RIGHT(C563,4)),0))</f>
        <v>2026</v>
      </c>
      <c r="F563" s="7">
        <f>IF(D563="ISO",VALUE(MID(C563,6,2)),IF(D563="DMY",VALUE(MID(C563,4,2)),0))</f>
        <v>5</v>
      </c>
      <c r="G563" s="7">
        <f>IF(D563="ISO",VALUE(RIGHT(C563,2)),IF(D563="DMY",VALUE(LEFT(C563,2)),0))</f>
        <v>15</v>
      </c>
      <c r="H563" s="7">
        <f>IF(AND(D563&lt;&gt;"OTHER",F563&gt;=1,F563&lt;=12,G563&gt;=1,G563&lt;=31),IF(AND(MONTH(DATE(E563,F563,G563))=F563,DAY(DATE(E563,F563,G563))=G563),1,0),0)</f>
        <v>1</v>
      </c>
      <c r="I563" s="7">
        <f>IF(H563=1,DATE(E563,F563,G563),"")</f>
        <v>46157.0</v>
      </c>
      <c r="J563" s="7">
        <f>IF(AND(D563="DMY",H563=1),1,0)</f>
        <v>0</v>
      </c>
      <c r="K563" s="7">
        <f>IF(H563=0,1,0)</f>
        <v>0</v>
      </c>
      <c r="L563" s="7">
        <f>IF(TRIM(Raw_Bookings!I563&amp;"")="",1,0)</f>
        <v>0</v>
      </c>
      <c r="M563" s="7">
        <f>IF(L563=1,"",DATEVALUE(LEFT(Raw_Bookings!I563,10))+TIMEVALUE(MID(Raw_Bookings!I563,12,8)))</f>
        <v>46156.787152777775</v>
      </c>
      <c r="N563" s="7">
        <f>IF(AND(L563=0,H563=1),IF(INT(M563)&gt;I563,1,0),0)</f>
        <v>0</v>
      </c>
      <c r="O563" s="7" t="str">
        <f>UPPER(TRIM(Raw_Bookings!F563))</f>
        <v>VIJ</v>
      </c>
      <c r="P563" s="7" t="str">
        <f>UPPER(TRIM(Raw_Bookings!G563))</f>
        <v>PAT</v>
      </c>
      <c r="Q563" s="7">
        <f>IF(COUNTIF(Lookup_Stations!$A$2:$A$33,O563)&gt;0,1,0)</f>
        <v>1</v>
      </c>
      <c r="R563" s="7">
        <f>IF(COUNTIF(Lookup_Stations!$A$2:$A$33,P563)&gt;0,1,0)</f>
        <v>1</v>
      </c>
      <c r="S563" s="7">
        <f>IF(OR(AND(Q563=1,NOT(EXACT(Raw_Bookings!F563,O563))),AND(R563=1,NOT(EXACT(Raw_Bookings!G563,P563)))),1,0)</f>
        <v>0</v>
      </c>
      <c r="T563" s="7">
        <f>IF(OR(Q563=0,R563=0),1,0)</f>
        <v>0</v>
      </c>
      <c r="U563" s="7">
        <f>IF(TRIM(Raw_Bookings!E563&amp;"")="",1,0)</f>
        <v>0</v>
      </c>
      <c r="V563" s="7" t="str">
        <f>IF(SUMPRODUCT(--(Lookup_Status!$A$2:$A$13=LOWER(TRIM(Raw_Bookings!K563))))=0,"",INDEX(Lookup_Status!$B$2:$B$13,SUMPRODUCT((Lookup_Status!$A$2:$A$13=LOWER(TRIM(Raw_Bookings!K563)))*(ROW(Lookup_Status!$A$2:$A$13)-1))))</f>
        <v>Waitlisted</v>
      </c>
      <c r="W563" s="7">
        <f>IF(AND(V563&lt;&gt;"",NOT(EXACT(Raw_Bookings!K563,V563))),1,0)</f>
        <v>0</v>
      </c>
      <c r="X563" s="7">
        <f>IF(V563="",1,0)</f>
        <v>0</v>
      </c>
      <c r="Y563" s="7">
        <f>IF(TRIM(Raw_Bookings!L563&amp;"")="",1,0)</f>
        <v>0</v>
      </c>
      <c r="Z563" s="7">
        <f>IF(AND(ISTEXT(Raw_Bookings!L563),Y563=0),1,0)</f>
        <v>0</v>
      </c>
      <c r="AA563" s="7">
        <f>IF(Z563=1,IFERROR(VALUE(SUBSTITUTE(SUBSTITUTE(SUBSTITUTE(SUBSTITUTE(SUBSTITUTE(UPPER(Raw_Bookings!L563),"RS.",""),"₹",""),",","")," ",""),"INR","")),""),"")</f>
        <v/>
      </c>
      <c r="AB563" s="7">
        <f>IF(AND(Z563=1,ISNUMBER(AA563)),1,0)</f>
        <v>0</v>
      </c>
      <c r="AC563" s="7">
        <f>IF(B563=1,0,IF(NOT(ISNUMBER(Raw_Bookings!J563)),1,IF(Raw_Bookings!J563&lt;&gt;COUNTIFS(Work_Passengers!$B$2:$B$1336,Raw_Bookings!A563,Work_Passengers!$C$2:$C$1336,0),1,0)))</f>
        <v>0</v>
      </c>
    </row>
    <row r="564" spans="1:29">
      <c r="A564" s="7">
        <f>Raw_Bookings!A564</f>
        <v>1181937</v>
      </c>
      <c r="B564" s="7">
        <f>IF(COUNTIF(Raw_Bookings!$A$2:A564,Raw_Bookings!A564)&gt;1,1,0)</f>
        <v>0</v>
      </c>
      <c r="C564" s="7" t="str">
        <f>Raw_Bookings!D564&amp;""</f>
        <v>2026-05-19</v>
      </c>
      <c r="D564" s="7" t="str">
        <f>IF(AND(LEN(C564)=10,MID(C564,5,1)="-",MID(C564,8,1)="-"),"ISO",IF(AND(LEN(C564)=10,MID(C564,3,1)="-",MID(C564,6,1)="-"),"DMY","OTHER"))</f>
        <v>ISO</v>
      </c>
      <c r="E564" s="7">
        <f>IF(D564="ISO",VALUE(LEFT(C564,4)),IF(D564="DMY",VALUE(RIGHT(C564,4)),0))</f>
        <v>2026</v>
      </c>
      <c r="F564" s="7">
        <f>IF(D564="ISO",VALUE(MID(C564,6,2)),IF(D564="DMY",VALUE(MID(C564,4,2)),0))</f>
        <v>5</v>
      </c>
      <c r="G564" s="7">
        <f>IF(D564="ISO",VALUE(RIGHT(C564,2)),IF(D564="DMY",VALUE(LEFT(C564,2)),0))</f>
        <v>19</v>
      </c>
      <c r="H564" s="7">
        <f>IF(AND(D564&lt;&gt;"OTHER",F564&gt;=1,F564&lt;=12,G564&gt;=1,G564&lt;=31),IF(AND(MONTH(DATE(E564,F564,G564))=F564,DAY(DATE(E564,F564,G564))=G564),1,0),0)</f>
        <v>1</v>
      </c>
      <c r="I564" s="7">
        <f>IF(H564=1,DATE(E564,F564,G564),"")</f>
        <v>46161.0</v>
      </c>
      <c r="J564" s="7">
        <f>IF(AND(D564="DMY",H564=1),1,0)</f>
        <v>0</v>
      </c>
      <c r="K564" s="7">
        <f>IF(H564=0,1,0)</f>
        <v>0</v>
      </c>
      <c r="L564" s="7">
        <f>IF(TRIM(Raw_Bookings!I564&amp;"")="",1,0)</f>
        <v>0</v>
      </c>
      <c r="M564" s="7">
        <f>IF(L564=1,"",DATEVALUE(LEFT(Raw_Bookings!I564,10))+TIMEVALUE(MID(Raw_Bookings!I564,12,8)))</f>
        <v>46160.26806712963</v>
      </c>
      <c r="N564" s="7">
        <f>IF(AND(L564=0,H564=1),IF(INT(M564)&gt;I564,1,0),0)</f>
        <v>0</v>
      </c>
      <c r="O564" s="7" t="str">
        <f>UPPER(TRIM(Raw_Bookings!F564))</f>
        <v>MAD</v>
      </c>
      <c r="P564" s="7" t="str">
        <f>UPPER(TRIM(Raw_Bookings!G564))</f>
        <v>MAU</v>
      </c>
      <c r="Q564" s="7">
        <f>IF(COUNTIF(Lookup_Stations!$A$2:$A$33,O564)&gt;0,1,0)</f>
        <v>1</v>
      </c>
      <c r="R564" s="7">
        <f>IF(COUNTIF(Lookup_Stations!$A$2:$A$33,P564)&gt;0,1,0)</f>
        <v>1</v>
      </c>
      <c r="S564" s="7">
        <f>IF(OR(AND(Q564=1,NOT(EXACT(Raw_Bookings!F564,O564))),AND(R564=1,NOT(EXACT(Raw_Bookings!G564,P564)))),1,0)</f>
        <v>0</v>
      </c>
      <c r="T564" s="7">
        <f>IF(OR(Q564=0,R564=0),1,0)</f>
        <v>0</v>
      </c>
      <c r="U564" s="7">
        <f>IF(TRIM(Raw_Bookings!E564&amp;"")="",1,0)</f>
        <v>0</v>
      </c>
      <c r="V564" s="7" t="str">
        <f>IF(SUMPRODUCT(--(Lookup_Status!$A$2:$A$13=LOWER(TRIM(Raw_Bookings!K564))))=0,"",INDEX(Lookup_Status!$B$2:$B$13,SUMPRODUCT((Lookup_Status!$A$2:$A$13=LOWER(TRIM(Raw_Bookings!K564)))*(ROW(Lookup_Status!$A$2:$A$13)-1))))</f>
        <v>Confirmed</v>
      </c>
      <c r="W564" s="7">
        <f>IF(AND(V564&lt;&gt;"",NOT(EXACT(Raw_Bookings!K564,V564))),1,0)</f>
        <v>0</v>
      </c>
      <c r="X564" s="7">
        <f>IF(V564="",1,0)</f>
        <v>0</v>
      </c>
      <c r="Y564" s="7">
        <f>IF(TRIM(Raw_Bookings!L564&amp;"")="",1,0)</f>
        <v>0</v>
      </c>
      <c r="Z564" s="7">
        <f>IF(AND(ISTEXT(Raw_Bookings!L564),Y564=0),1,0)</f>
        <v>0</v>
      </c>
      <c r="AA564" s="7">
        <f>IF(Z564=1,IFERROR(VALUE(SUBSTITUTE(SUBSTITUTE(SUBSTITUTE(SUBSTITUTE(SUBSTITUTE(UPPER(Raw_Bookings!L564),"RS.",""),"₹",""),",","")," ",""),"INR","")),""),"")</f>
        <v/>
      </c>
      <c r="AB564" s="7">
        <f>IF(AND(Z564=1,ISNUMBER(AA564)),1,0)</f>
        <v>0</v>
      </c>
      <c r="AC564" s="7">
        <f>IF(B564=1,0,IF(NOT(ISNUMBER(Raw_Bookings!J564)),1,IF(Raw_Bookings!J564&lt;&gt;COUNTIFS(Work_Passengers!$B$2:$B$1336,Raw_Bookings!A564,Work_Passengers!$C$2:$C$1336,0),1,0)))</f>
        <v>0</v>
      </c>
    </row>
    <row r="565" spans="1:29">
      <c r="A565" s="7">
        <f>Raw_Bookings!A565</f>
        <v>1182073</v>
      </c>
      <c r="B565" s="7">
        <f>IF(COUNTIF(Raw_Bookings!$A$2:A565,Raw_Bookings!A565)&gt;1,1,0)</f>
        <v>0</v>
      </c>
      <c r="C565" s="7" t="str">
        <f>Raw_Bookings!D565&amp;""</f>
        <v>2026-05-21</v>
      </c>
      <c r="D565" s="7" t="str">
        <f>IF(AND(LEN(C565)=10,MID(C565,5,1)="-",MID(C565,8,1)="-"),"ISO",IF(AND(LEN(C565)=10,MID(C565,3,1)="-",MID(C565,6,1)="-"),"DMY","OTHER"))</f>
        <v>ISO</v>
      </c>
      <c r="E565" s="7">
        <f>IF(D565="ISO",VALUE(LEFT(C565,4)),IF(D565="DMY",VALUE(RIGHT(C565,4)),0))</f>
        <v>2026</v>
      </c>
      <c r="F565" s="7">
        <f>IF(D565="ISO",VALUE(MID(C565,6,2)),IF(D565="DMY",VALUE(MID(C565,4,2)),0))</f>
        <v>5</v>
      </c>
      <c r="G565" s="7">
        <f>IF(D565="ISO",VALUE(RIGHT(C565,2)),IF(D565="DMY",VALUE(LEFT(C565,2)),0))</f>
        <v>21</v>
      </c>
      <c r="H565" s="7">
        <f>IF(AND(D565&lt;&gt;"OTHER",F565&gt;=1,F565&lt;=12,G565&gt;=1,G565&lt;=31),IF(AND(MONTH(DATE(E565,F565,G565))=F565,DAY(DATE(E565,F565,G565))=G565),1,0),0)</f>
        <v>1</v>
      </c>
      <c r="I565" s="7">
        <f>IF(H565=1,DATE(E565,F565,G565),"")</f>
        <v>46163.0</v>
      </c>
      <c r="J565" s="7">
        <f>IF(AND(D565="DMY",H565=1),1,0)</f>
        <v>0</v>
      </c>
      <c r="K565" s="7">
        <f>IF(H565=0,1,0)</f>
        <v>0</v>
      </c>
      <c r="L565" s="7">
        <f>IF(TRIM(Raw_Bookings!I565&amp;"")="",1,0)</f>
        <v>0</v>
      </c>
      <c r="M565" s="7">
        <f>IF(L565=1,"",DATEVALUE(LEFT(Raw_Bookings!I565,10))+TIMEVALUE(MID(Raw_Bookings!I565,12,8)))</f>
        <v>46160.55613425926</v>
      </c>
      <c r="N565" s="7">
        <f>IF(AND(L565=0,H565=1),IF(INT(M565)&gt;I565,1,0),0)</f>
        <v>0</v>
      </c>
      <c r="O565" s="7" t="str">
        <f>UPPER(TRIM(Raw_Bookings!F565))</f>
        <v>HYD</v>
      </c>
      <c r="P565" s="7" t="str">
        <f>UPPER(TRIM(Raw_Bookings!G565))</f>
        <v>KOL</v>
      </c>
      <c r="Q565" s="7">
        <f>IF(COUNTIF(Lookup_Stations!$A$2:$A$33,O565)&gt;0,1,0)</f>
        <v>1</v>
      </c>
      <c r="R565" s="7">
        <f>IF(COUNTIF(Lookup_Stations!$A$2:$A$33,P565)&gt;0,1,0)</f>
        <v>1</v>
      </c>
      <c r="S565" s="7">
        <f>IF(OR(AND(Q565=1,NOT(EXACT(Raw_Bookings!F565,O565))),AND(R565=1,NOT(EXACT(Raw_Bookings!G565,P565)))),1,0)</f>
        <v>0</v>
      </c>
      <c r="T565" s="7">
        <f>IF(OR(Q565=0,R565=0),1,0)</f>
        <v>0</v>
      </c>
      <c r="U565" s="7">
        <f>IF(TRIM(Raw_Bookings!E565&amp;"")="",1,0)</f>
        <v>0</v>
      </c>
      <c r="V565" s="7" t="str">
        <f>IF(SUMPRODUCT(--(Lookup_Status!$A$2:$A$13=LOWER(TRIM(Raw_Bookings!K565))))=0,"",INDEX(Lookup_Status!$B$2:$B$13,SUMPRODUCT((Lookup_Status!$A$2:$A$13=LOWER(TRIM(Raw_Bookings!K565)))*(ROW(Lookup_Status!$A$2:$A$13)-1))))</f>
        <v>Waitlisted</v>
      </c>
      <c r="W565" s="7">
        <f>IF(AND(V565&lt;&gt;"",NOT(EXACT(Raw_Bookings!K565,V565))),1,0)</f>
        <v>0</v>
      </c>
      <c r="X565" s="7">
        <f>IF(V565="",1,0)</f>
        <v>0</v>
      </c>
      <c r="Y565" s="7">
        <f>IF(TRIM(Raw_Bookings!L565&amp;"")="",1,0)</f>
        <v>0</v>
      </c>
      <c r="Z565" s="7">
        <f>IF(AND(ISTEXT(Raw_Bookings!L565),Y565=0),1,0)</f>
        <v>0</v>
      </c>
      <c r="AA565" s="7">
        <f>IF(Z565=1,IFERROR(VALUE(SUBSTITUTE(SUBSTITUTE(SUBSTITUTE(SUBSTITUTE(SUBSTITUTE(UPPER(Raw_Bookings!L565),"RS.",""),"₹",""),",","")," ",""),"INR","")),""),"")</f>
        <v/>
      </c>
      <c r="AB565" s="7">
        <f>IF(AND(Z565=1,ISNUMBER(AA565)),1,0)</f>
        <v>0</v>
      </c>
      <c r="AC565" s="7">
        <f>IF(B565=1,0,IF(NOT(ISNUMBER(Raw_Bookings!J565)),1,IF(Raw_Bookings!J565&lt;&gt;COUNTIFS(Work_Passengers!$B$2:$B$1336,Raw_Bookings!A565,Work_Passengers!$C$2:$C$1336,0),1,0)))</f>
        <v>0</v>
      </c>
    </row>
    <row r="566" spans="1:29">
      <c r="A566" s="7">
        <f>Raw_Bookings!A566</f>
        <v>1182788</v>
      </c>
      <c r="B566" s="7">
        <f>IF(COUNTIF(Raw_Bookings!$A$2:A566,Raw_Bookings!A566)&gt;1,1,0)</f>
        <v>0</v>
      </c>
      <c r="C566" s="7" t="str">
        <f>Raw_Bookings!D566&amp;""</f>
        <v>2026-05-27</v>
      </c>
      <c r="D566" s="7" t="str">
        <f>IF(AND(LEN(C566)=10,MID(C566,5,1)="-",MID(C566,8,1)="-"),"ISO",IF(AND(LEN(C566)=10,MID(C566,3,1)="-",MID(C566,6,1)="-"),"DMY","OTHER"))</f>
        <v>ISO</v>
      </c>
      <c r="E566" s="7">
        <f>IF(D566="ISO",VALUE(LEFT(C566,4)),IF(D566="DMY",VALUE(RIGHT(C566,4)),0))</f>
        <v>2026</v>
      </c>
      <c r="F566" s="7">
        <f>IF(D566="ISO",VALUE(MID(C566,6,2)),IF(D566="DMY",VALUE(MID(C566,4,2)),0))</f>
        <v>5</v>
      </c>
      <c r="G566" s="7">
        <f>IF(D566="ISO",VALUE(RIGHT(C566,2)),IF(D566="DMY",VALUE(LEFT(C566,2)),0))</f>
        <v>27</v>
      </c>
      <c r="H566" s="7">
        <f>IF(AND(D566&lt;&gt;"OTHER",F566&gt;=1,F566&lt;=12,G566&gt;=1,G566&lt;=31),IF(AND(MONTH(DATE(E566,F566,G566))=F566,DAY(DATE(E566,F566,G566))=G566),1,0),0)</f>
        <v>1</v>
      </c>
      <c r="I566" s="7">
        <f>IF(H566=1,DATE(E566,F566,G566),"")</f>
        <v>46169.0</v>
      </c>
      <c r="J566" s="7">
        <f>IF(AND(D566="DMY",H566=1),1,0)</f>
        <v>0</v>
      </c>
      <c r="K566" s="7">
        <f>IF(H566=0,1,0)</f>
        <v>0</v>
      </c>
      <c r="L566" s="7">
        <f>IF(TRIM(Raw_Bookings!I566&amp;"")="",1,0)</f>
        <v>0</v>
      </c>
      <c r="M566" s="7">
        <f>IF(L566=1,"",DATEVALUE(LEFT(Raw_Bookings!I566,10))+TIMEVALUE(MID(Raw_Bookings!I566,12,8)))</f>
        <v>46162.758472222224</v>
      </c>
      <c r="N566" s="7">
        <f>IF(AND(L566=0,H566=1),IF(INT(M566)&gt;I566,1,0),0)</f>
        <v>0</v>
      </c>
      <c r="O566" s="7" t="str">
        <f>UPPER(TRIM(Raw_Bookings!F566))</f>
        <v>BEN</v>
      </c>
      <c r="P566" s="7" t="str">
        <f>UPPER(TRIM(Raw_Bookings!G566))</f>
        <v>JOD</v>
      </c>
      <c r="Q566" s="7">
        <f>IF(COUNTIF(Lookup_Stations!$A$2:$A$33,O566)&gt;0,1,0)</f>
        <v>1</v>
      </c>
      <c r="R566" s="7">
        <f>IF(COUNTIF(Lookup_Stations!$A$2:$A$33,P566)&gt;0,1,0)</f>
        <v>1</v>
      </c>
      <c r="S566" s="7">
        <f>IF(OR(AND(Q566=1,NOT(EXACT(Raw_Bookings!F566,O566))),AND(R566=1,NOT(EXACT(Raw_Bookings!G566,P566)))),1,0)</f>
        <v>0</v>
      </c>
      <c r="T566" s="7">
        <f>IF(OR(Q566=0,R566=0),1,0)</f>
        <v>0</v>
      </c>
      <c r="U566" s="7">
        <f>IF(TRIM(Raw_Bookings!E566&amp;"")="",1,0)</f>
        <v>0</v>
      </c>
      <c r="V566" s="7" t="str">
        <f>IF(SUMPRODUCT(--(Lookup_Status!$A$2:$A$13=LOWER(TRIM(Raw_Bookings!K566))))=0,"",INDEX(Lookup_Status!$B$2:$B$13,SUMPRODUCT((Lookup_Status!$A$2:$A$13=LOWER(TRIM(Raw_Bookings!K566)))*(ROW(Lookup_Status!$A$2:$A$13)-1))))</f>
        <v>Cancelled</v>
      </c>
      <c r="W566" s="7">
        <f>IF(AND(V566&lt;&gt;"",NOT(EXACT(Raw_Bookings!K566,V566))),1,0)</f>
        <v>0</v>
      </c>
      <c r="X566" s="7">
        <f>IF(V566="",1,0)</f>
        <v>0</v>
      </c>
      <c r="Y566" s="7">
        <f>IF(TRIM(Raw_Bookings!L566&amp;"")="",1,0)</f>
        <v>0</v>
      </c>
      <c r="Z566" s="7">
        <f>IF(AND(ISTEXT(Raw_Bookings!L566),Y566=0),1,0)</f>
        <v>0</v>
      </c>
      <c r="AA566" s="7">
        <f>IF(Z566=1,IFERROR(VALUE(SUBSTITUTE(SUBSTITUTE(SUBSTITUTE(SUBSTITUTE(SUBSTITUTE(UPPER(Raw_Bookings!L566),"RS.",""),"₹",""),",","")," ",""),"INR","")),""),"")</f>
        <v/>
      </c>
      <c r="AB566" s="7">
        <f>IF(AND(Z566=1,ISNUMBER(AA566)),1,0)</f>
        <v>0</v>
      </c>
      <c r="AC566" s="7">
        <f>IF(B566=1,0,IF(NOT(ISNUMBER(Raw_Bookings!J566)),1,IF(Raw_Bookings!J566&lt;&gt;COUNTIFS(Work_Passengers!$B$2:$B$1336,Raw_Bookings!A566,Work_Passengers!$C$2:$C$1336,0),1,0)))</f>
        <v>0</v>
      </c>
    </row>
    <row r="567" spans="1:29">
      <c r="A567" s="7">
        <f>Raw_Bookings!A567</f>
        <v>1183047</v>
      </c>
      <c r="B567" s="7">
        <f>IF(COUNTIF(Raw_Bookings!$A$2:A567,Raw_Bookings!A567)&gt;1,1,0)</f>
        <v>0</v>
      </c>
      <c r="C567" s="7" t="str">
        <f>Raw_Bookings!D567&amp;""</f>
        <v>2026-06-21</v>
      </c>
      <c r="D567" s="7" t="str">
        <f>IF(AND(LEN(C567)=10,MID(C567,5,1)="-",MID(C567,8,1)="-"),"ISO",IF(AND(LEN(C567)=10,MID(C567,3,1)="-",MID(C567,6,1)="-"),"DMY","OTHER"))</f>
        <v>ISO</v>
      </c>
      <c r="E567" s="7">
        <f>IF(D567="ISO",VALUE(LEFT(C567,4)),IF(D567="DMY",VALUE(RIGHT(C567,4)),0))</f>
        <v>2026</v>
      </c>
      <c r="F567" s="7">
        <f>IF(D567="ISO",VALUE(MID(C567,6,2)),IF(D567="DMY",VALUE(MID(C567,4,2)),0))</f>
        <v>6</v>
      </c>
      <c r="G567" s="7">
        <f>IF(D567="ISO",VALUE(RIGHT(C567,2)),IF(D567="DMY",VALUE(LEFT(C567,2)),0))</f>
        <v>21</v>
      </c>
      <c r="H567" s="7">
        <f>IF(AND(D567&lt;&gt;"OTHER",F567&gt;=1,F567&lt;=12,G567&gt;=1,G567&lt;=31),IF(AND(MONTH(DATE(E567,F567,G567))=F567,DAY(DATE(E567,F567,G567))=G567),1,0),0)</f>
        <v>1</v>
      </c>
      <c r="I567" s="7">
        <f>IF(H567=1,DATE(E567,F567,G567),"")</f>
        <v>46194.0</v>
      </c>
      <c r="J567" s="7">
        <f>IF(AND(D567="DMY",H567=1),1,0)</f>
        <v>0</v>
      </c>
      <c r="K567" s="7">
        <f>IF(H567=0,1,0)</f>
        <v>0</v>
      </c>
      <c r="L567" s="7">
        <f>IF(TRIM(Raw_Bookings!I567&amp;"")="",1,0)</f>
        <v>0</v>
      </c>
      <c r="M567" s="7">
        <f>IF(L567=1,"",DATEVALUE(LEFT(Raw_Bookings!I567,10))+TIMEVALUE(MID(Raw_Bookings!I567,12,8)))</f>
        <v>46163.68082175926</v>
      </c>
      <c r="N567" s="7">
        <f>IF(AND(L567=0,H567=1),IF(INT(M567)&gt;I567,1,0),0)</f>
        <v>0</v>
      </c>
      <c r="O567" s="7" t="str">
        <f>UPPER(TRIM(Raw_Bookings!F567))</f>
        <v>UNK</v>
      </c>
      <c r="P567" s="7" t="str">
        <f>UPPER(TRIM(Raw_Bookings!G567))</f>
        <v>CHA</v>
      </c>
      <c r="Q567" s="7">
        <f>IF(COUNTIF(Lookup_Stations!$A$2:$A$33,O567)&gt;0,1,0)</f>
        <v>0</v>
      </c>
      <c r="R567" s="7">
        <f>IF(COUNTIF(Lookup_Stations!$A$2:$A$33,P567)&gt;0,1,0)</f>
        <v>1</v>
      </c>
      <c r="S567" s="7">
        <f>IF(OR(AND(Q567=1,NOT(EXACT(Raw_Bookings!F567,O567))),AND(R567=1,NOT(EXACT(Raw_Bookings!G567,P567)))),1,0)</f>
        <v>0</v>
      </c>
      <c r="T567" s="7">
        <f>IF(OR(Q567=0,R567=0),1,0)</f>
        <v>1</v>
      </c>
      <c r="U567" s="7">
        <f>IF(TRIM(Raw_Bookings!E567&amp;"")="",1,0)</f>
        <v>0</v>
      </c>
      <c r="V567" s="7" t="str">
        <f>IF(SUMPRODUCT(--(Lookup_Status!$A$2:$A$13=LOWER(TRIM(Raw_Bookings!K567))))=0,"",INDEX(Lookup_Status!$B$2:$B$13,SUMPRODUCT((Lookup_Status!$A$2:$A$13=LOWER(TRIM(Raw_Bookings!K567)))*(ROW(Lookup_Status!$A$2:$A$13)-1))))</f>
        <v>Confirmed</v>
      </c>
      <c r="W567" s="7">
        <f>IF(AND(V567&lt;&gt;"",NOT(EXACT(Raw_Bookings!K567,V567))),1,0)</f>
        <v>0</v>
      </c>
      <c r="X567" s="7">
        <f>IF(V567="",1,0)</f>
        <v>0</v>
      </c>
      <c r="Y567" s="7">
        <f>IF(TRIM(Raw_Bookings!L567&amp;"")="",1,0)</f>
        <v>0</v>
      </c>
      <c r="Z567" s="7">
        <f>IF(AND(ISTEXT(Raw_Bookings!L567),Y567=0),1,0)</f>
        <v>0</v>
      </c>
      <c r="AA567" s="7">
        <f>IF(Z567=1,IFERROR(VALUE(SUBSTITUTE(SUBSTITUTE(SUBSTITUTE(SUBSTITUTE(SUBSTITUTE(UPPER(Raw_Bookings!L567),"RS.",""),"₹",""),",","")," ",""),"INR","")),""),"")</f>
        <v/>
      </c>
      <c r="AB567" s="7">
        <f>IF(AND(Z567=1,ISNUMBER(AA567)),1,0)</f>
        <v>0</v>
      </c>
      <c r="AC567" s="7">
        <f>IF(B567=1,0,IF(NOT(ISNUMBER(Raw_Bookings!J567)),1,IF(Raw_Bookings!J567&lt;&gt;COUNTIFS(Work_Passengers!$B$2:$B$1336,Raw_Bookings!A567,Work_Passengers!$C$2:$C$1336,0),1,0)))</f>
        <v>0</v>
      </c>
    </row>
    <row r="568" spans="1:29">
      <c r="A568" s="7">
        <f>Raw_Bookings!A568</f>
        <v>1183346</v>
      </c>
      <c r="B568" s="7">
        <f>IF(COUNTIF(Raw_Bookings!$A$2:A568,Raw_Bookings!A568)&gt;1,1,0)</f>
        <v>0</v>
      </c>
      <c r="C568" s="7" t="str">
        <f>Raw_Bookings!D568&amp;""</f>
        <v>2026-06-15</v>
      </c>
      <c r="D568" s="7" t="str">
        <f>IF(AND(LEN(C568)=10,MID(C568,5,1)="-",MID(C568,8,1)="-"),"ISO",IF(AND(LEN(C568)=10,MID(C568,3,1)="-",MID(C568,6,1)="-"),"DMY","OTHER"))</f>
        <v>ISO</v>
      </c>
      <c r="E568" s="7">
        <f>IF(D568="ISO",VALUE(LEFT(C568,4)),IF(D568="DMY",VALUE(RIGHT(C568,4)),0))</f>
        <v>2026</v>
      </c>
      <c r="F568" s="7">
        <f>IF(D568="ISO",VALUE(MID(C568,6,2)),IF(D568="DMY",VALUE(MID(C568,4,2)),0))</f>
        <v>6</v>
      </c>
      <c r="G568" s="7">
        <f>IF(D568="ISO",VALUE(RIGHT(C568,2)),IF(D568="DMY",VALUE(LEFT(C568,2)),0))</f>
        <v>15</v>
      </c>
      <c r="H568" s="7">
        <f>IF(AND(D568&lt;&gt;"OTHER",F568&gt;=1,F568&lt;=12,G568&gt;=1,G568&lt;=31),IF(AND(MONTH(DATE(E568,F568,G568))=F568,DAY(DATE(E568,F568,G568))=G568),1,0),0)</f>
        <v>1</v>
      </c>
      <c r="I568" s="7">
        <f>IF(H568=1,DATE(E568,F568,G568),"")</f>
        <v>46188.0</v>
      </c>
      <c r="J568" s="7">
        <f>IF(AND(D568="DMY",H568=1),1,0)</f>
        <v>0</v>
      </c>
      <c r="K568" s="7">
        <f>IF(H568=0,1,0)</f>
        <v>0</v>
      </c>
      <c r="L568" s="7">
        <f>IF(TRIM(Raw_Bookings!I568&amp;"")="",1,0)</f>
        <v>0</v>
      </c>
      <c r="M568" s="7">
        <f>IF(L568=1,"",DATEVALUE(LEFT(Raw_Bookings!I568,10))+TIMEVALUE(MID(Raw_Bookings!I568,12,8)))</f>
        <v>46164.75368055556</v>
      </c>
      <c r="N568" s="7">
        <f>IF(AND(L568=0,H568=1),IF(INT(M568)&gt;I568,1,0),0)</f>
        <v>0</v>
      </c>
      <c r="O568" s="7" t="str">
        <f>UPPER(TRIM(Raw_Bookings!F568))</f>
        <v>LUC</v>
      </c>
      <c r="P568" s="7" t="str">
        <f>UPPER(TRIM(Raw_Bookings!G568))</f>
        <v>MUM</v>
      </c>
      <c r="Q568" s="7">
        <f>IF(COUNTIF(Lookup_Stations!$A$2:$A$33,O568)&gt;0,1,0)</f>
        <v>1</v>
      </c>
      <c r="R568" s="7">
        <f>IF(COUNTIF(Lookup_Stations!$A$2:$A$33,P568)&gt;0,1,0)</f>
        <v>1</v>
      </c>
      <c r="S568" s="7">
        <f>IF(OR(AND(Q568=1,NOT(EXACT(Raw_Bookings!F568,O568))),AND(R568=1,NOT(EXACT(Raw_Bookings!G568,P568)))),1,0)</f>
        <v>0</v>
      </c>
      <c r="T568" s="7">
        <f>IF(OR(Q568=0,R568=0),1,0)</f>
        <v>0</v>
      </c>
      <c r="U568" s="7">
        <f>IF(TRIM(Raw_Bookings!E568&amp;"")="",1,0)</f>
        <v>0</v>
      </c>
      <c r="V568" s="7" t="str">
        <f>IF(SUMPRODUCT(--(Lookup_Status!$A$2:$A$13=LOWER(TRIM(Raw_Bookings!K568))))=0,"",INDEX(Lookup_Status!$B$2:$B$13,SUMPRODUCT((Lookup_Status!$A$2:$A$13=LOWER(TRIM(Raw_Bookings!K568)))*(ROW(Lookup_Status!$A$2:$A$13)-1))))</f>
        <v>RAC</v>
      </c>
      <c r="W568" s="7">
        <f>IF(AND(V568&lt;&gt;"",NOT(EXACT(Raw_Bookings!K568,V568))),1,0)</f>
        <v>0</v>
      </c>
      <c r="X568" s="7">
        <f>IF(V568="",1,0)</f>
        <v>0</v>
      </c>
      <c r="Y568" s="7">
        <f>IF(TRIM(Raw_Bookings!L568&amp;"")="",1,0)</f>
        <v>0</v>
      </c>
      <c r="Z568" s="7">
        <f>IF(AND(ISTEXT(Raw_Bookings!L568),Y568=0),1,0)</f>
        <v>0</v>
      </c>
      <c r="AA568" s="7">
        <f>IF(Z568=1,IFERROR(VALUE(SUBSTITUTE(SUBSTITUTE(SUBSTITUTE(SUBSTITUTE(SUBSTITUTE(UPPER(Raw_Bookings!L568),"RS.",""),"₹",""),",","")," ",""),"INR","")),""),"")</f>
        <v/>
      </c>
      <c r="AB568" s="7">
        <f>IF(AND(Z568=1,ISNUMBER(AA568)),1,0)</f>
        <v>0</v>
      </c>
      <c r="AC568" s="7">
        <f>IF(B568=1,0,IF(NOT(ISNUMBER(Raw_Bookings!J568)),1,IF(Raw_Bookings!J568&lt;&gt;COUNTIFS(Work_Passengers!$B$2:$B$1336,Raw_Bookings!A568,Work_Passengers!$C$2:$C$1336,0),1,0)))</f>
        <v>0</v>
      </c>
    </row>
    <row r="569" spans="1:29">
      <c r="A569" s="7">
        <f>Raw_Bookings!A569</f>
        <v>1183483</v>
      </c>
      <c r="B569" s="7">
        <f>IF(COUNTIF(Raw_Bookings!$A$2:A569,Raw_Bookings!A569)&gt;1,1,0)</f>
        <v>0</v>
      </c>
      <c r="C569" s="7" t="str">
        <f>Raw_Bookings!D569&amp;""</f>
        <v>2026-06-02</v>
      </c>
      <c r="D569" s="7" t="str">
        <f>IF(AND(LEN(C569)=10,MID(C569,5,1)="-",MID(C569,8,1)="-"),"ISO",IF(AND(LEN(C569)=10,MID(C569,3,1)="-",MID(C569,6,1)="-"),"DMY","OTHER"))</f>
        <v>ISO</v>
      </c>
      <c r="E569" s="7">
        <f>IF(D569="ISO",VALUE(LEFT(C569,4)),IF(D569="DMY",VALUE(RIGHT(C569,4)),0))</f>
        <v>2026</v>
      </c>
      <c r="F569" s="7">
        <f>IF(D569="ISO",VALUE(MID(C569,6,2)),IF(D569="DMY",VALUE(MID(C569,4,2)),0))</f>
        <v>6</v>
      </c>
      <c r="G569" s="7">
        <f>IF(D569="ISO",VALUE(RIGHT(C569,2)),IF(D569="DMY",VALUE(LEFT(C569,2)),0))</f>
        <v>2</v>
      </c>
      <c r="H569" s="7">
        <f>IF(AND(D569&lt;&gt;"OTHER",F569&gt;=1,F569&lt;=12,G569&gt;=1,G569&lt;=31),IF(AND(MONTH(DATE(E569,F569,G569))=F569,DAY(DATE(E569,F569,G569))=G569),1,0),0)</f>
        <v>1</v>
      </c>
      <c r="I569" s="7">
        <f>IF(H569=1,DATE(E569,F569,G569),"")</f>
        <v>46175.0</v>
      </c>
      <c r="J569" s="7">
        <f>IF(AND(D569="DMY",H569=1),1,0)</f>
        <v>0</v>
      </c>
      <c r="K569" s="7">
        <f>IF(H569=0,1,0)</f>
        <v>0</v>
      </c>
      <c r="L569" s="7">
        <f>IF(TRIM(Raw_Bookings!I569&amp;"")="",1,0)</f>
        <v>0</v>
      </c>
      <c r="M569" s="7">
        <f>IF(L569=1,"",DATEVALUE(LEFT(Raw_Bookings!I569,10))+TIMEVALUE(MID(Raw_Bookings!I569,12,8)))</f>
        <v>46165.31317129629</v>
      </c>
      <c r="N569" s="7">
        <f>IF(AND(L569=0,H569=1),IF(INT(M569)&gt;I569,1,0),0)</f>
        <v>0</v>
      </c>
      <c r="O569" s="7" t="str">
        <f>UPPER(TRIM(Raw_Bookings!F569))</f>
        <v>MUM</v>
      </c>
      <c r="P569" s="7" t="str">
        <f>UPPER(TRIM(Raw_Bookings!G569))</f>
        <v>LUC</v>
      </c>
      <c r="Q569" s="7">
        <f>IF(COUNTIF(Lookup_Stations!$A$2:$A$33,O569)&gt;0,1,0)</f>
        <v>1</v>
      </c>
      <c r="R569" s="7">
        <f>IF(COUNTIF(Lookup_Stations!$A$2:$A$33,P569)&gt;0,1,0)</f>
        <v>1</v>
      </c>
      <c r="S569" s="7">
        <f>IF(OR(AND(Q569=1,NOT(EXACT(Raw_Bookings!F569,O569))),AND(R569=1,NOT(EXACT(Raw_Bookings!G569,P569)))),1,0)</f>
        <v>0</v>
      </c>
      <c r="T569" s="7">
        <f>IF(OR(Q569=0,R569=0),1,0)</f>
        <v>0</v>
      </c>
      <c r="U569" s="7">
        <f>IF(TRIM(Raw_Bookings!E569&amp;"")="",1,0)</f>
        <v>0</v>
      </c>
      <c r="V569" s="7" t="str">
        <f>IF(SUMPRODUCT(--(Lookup_Status!$A$2:$A$13=LOWER(TRIM(Raw_Bookings!K569))))=0,"",INDEX(Lookup_Status!$B$2:$B$13,SUMPRODUCT((Lookup_Status!$A$2:$A$13=LOWER(TRIM(Raw_Bookings!K569)))*(ROW(Lookup_Status!$A$2:$A$13)-1))))</f>
        <v>RAC</v>
      </c>
      <c r="W569" s="7">
        <f>IF(AND(V569&lt;&gt;"",NOT(EXACT(Raw_Bookings!K569,V569))),1,0)</f>
        <v>0</v>
      </c>
      <c r="X569" s="7">
        <f>IF(V569="",1,0)</f>
        <v>0</v>
      </c>
      <c r="Y569" s="7">
        <f>IF(TRIM(Raw_Bookings!L569&amp;"")="",1,0)</f>
        <v>0</v>
      </c>
      <c r="Z569" s="7">
        <f>IF(AND(ISTEXT(Raw_Bookings!L569),Y569=0),1,0)</f>
        <v>0</v>
      </c>
      <c r="AA569" s="7">
        <f>IF(Z569=1,IFERROR(VALUE(SUBSTITUTE(SUBSTITUTE(SUBSTITUTE(SUBSTITUTE(SUBSTITUTE(UPPER(Raw_Bookings!L569),"RS.",""),"₹",""),",","")," ",""),"INR","")),""),"")</f>
        <v/>
      </c>
      <c r="AB569" s="7">
        <f>IF(AND(Z569=1,ISNUMBER(AA569)),1,0)</f>
        <v>0</v>
      </c>
      <c r="AC569" s="7">
        <f>IF(B569=1,0,IF(NOT(ISNUMBER(Raw_Bookings!J569)),1,IF(Raw_Bookings!J569&lt;&gt;COUNTIFS(Work_Passengers!$B$2:$B$1336,Raw_Bookings!A569,Work_Passengers!$C$2:$C$1336,0),1,0)))</f>
        <v>0</v>
      </c>
    </row>
    <row r="570" spans="1:29">
      <c r="A570" s="7">
        <f>Raw_Bookings!A570</f>
        <v>1183539</v>
      </c>
      <c r="B570" s="7">
        <f>IF(COUNTIF(Raw_Bookings!$A$2:A570,Raw_Bookings!A570)&gt;1,1,0)</f>
        <v>0</v>
      </c>
      <c r="C570" s="7" t="str">
        <f>Raw_Bookings!D570&amp;""</f>
        <v>2026-08-28</v>
      </c>
      <c r="D570" s="7" t="str">
        <f>IF(AND(LEN(C570)=10,MID(C570,5,1)="-",MID(C570,8,1)="-"),"ISO",IF(AND(LEN(C570)=10,MID(C570,3,1)="-",MID(C570,6,1)="-"),"DMY","OTHER"))</f>
        <v>ISO</v>
      </c>
      <c r="E570" s="7">
        <f>IF(D570="ISO",VALUE(LEFT(C570,4)),IF(D570="DMY",VALUE(RIGHT(C570,4)),0))</f>
        <v>2026</v>
      </c>
      <c r="F570" s="7">
        <f>IF(D570="ISO",VALUE(MID(C570,6,2)),IF(D570="DMY",VALUE(MID(C570,4,2)),0))</f>
        <v>8</v>
      </c>
      <c r="G570" s="7">
        <f>IF(D570="ISO",VALUE(RIGHT(C570,2)),IF(D570="DMY",VALUE(LEFT(C570,2)),0))</f>
        <v>28</v>
      </c>
      <c r="H570" s="7">
        <f>IF(AND(D570&lt;&gt;"OTHER",F570&gt;=1,F570&lt;=12,G570&gt;=1,G570&lt;=31),IF(AND(MONTH(DATE(E570,F570,G570))=F570,DAY(DATE(E570,F570,G570))=G570),1,0),0)</f>
        <v>1</v>
      </c>
      <c r="I570" s="7">
        <f>IF(H570=1,DATE(E570,F570,G570),"")</f>
        <v>46262.0</v>
      </c>
      <c r="J570" s="7">
        <f>IF(AND(D570="DMY",H570=1),1,0)</f>
        <v>0</v>
      </c>
      <c r="K570" s="7">
        <f>IF(H570=0,1,0)</f>
        <v>0</v>
      </c>
      <c r="L570" s="7">
        <f>IF(TRIM(Raw_Bookings!I570&amp;"")="",1,0)</f>
        <v>1</v>
      </c>
      <c r="M570" s="7">
        <f>IF(L570=1,"",DATEVALUE(LEFT(Raw_Bookings!I570,10))+TIMEVALUE(MID(Raw_Bookings!I570,12,8)))</f>
        <v/>
      </c>
      <c r="N570" s="7">
        <f>IF(AND(L570=0,H570=1),IF(INT(M570)&gt;I570,1,0),0)</f>
        <v>0</v>
      </c>
      <c r="O570" s="7" t="str">
        <f>UPPER(TRIM(Raw_Bookings!F570))</f>
        <v>JOD</v>
      </c>
      <c r="P570" s="7" t="str">
        <f>UPPER(TRIM(Raw_Bookings!G570))</f>
        <v>BEN</v>
      </c>
      <c r="Q570" s="7">
        <f>IF(COUNTIF(Lookup_Stations!$A$2:$A$33,O570)&gt;0,1,0)</f>
        <v>1</v>
      </c>
      <c r="R570" s="7">
        <f>IF(COUNTIF(Lookup_Stations!$A$2:$A$33,P570)&gt;0,1,0)</f>
        <v>1</v>
      </c>
      <c r="S570" s="7">
        <f>IF(OR(AND(Q570=1,NOT(EXACT(Raw_Bookings!F570,O570))),AND(R570=1,NOT(EXACT(Raw_Bookings!G570,P570)))),1,0)</f>
        <v>0</v>
      </c>
      <c r="T570" s="7">
        <f>IF(OR(Q570=0,R570=0),1,0)</f>
        <v>0</v>
      </c>
      <c r="U570" s="7">
        <f>IF(TRIM(Raw_Bookings!E570&amp;"")="",1,0)</f>
        <v>0</v>
      </c>
      <c r="V570" s="7" t="str">
        <f>IF(SUMPRODUCT(--(Lookup_Status!$A$2:$A$13=LOWER(TRIM(Raw_Bookings!K570))))=0,"",INDEX(Lookup_Status!$B$2:$B$13,SUMPRODUCT((Lookup_Status!$A$2:$A$13=LOWER(TRIM(Raw_Bookings!K570)))*(ROW(Lookup_Status!$A$2:$A$13)-1))))</f>
        <v>Confirmed</v>
      </c>
      <c r="W570" s="7">
        <f>IF(AND(V570&lt;&gt;"",NOT(EXACT(Raw_Bookings!K570,V570))),1,0)</f>
        <v>0</v>
      </c>
      <c r="X570" s="7">
        <f>IF(V570="",1,0)</f>
        <v>0</v>
      </c>
      <c r="Y570" s="7">
        <f>IF(TRIM(Raw_Bookings!L570&amp;"")="",1,0)</f>
        <v>0</v>
      </c>
      <c r="Z570" s="7">
        <f>IF(AND(ISTEXT(Raw_Bookings!L570),Y570=0),1,0)</f>
        <v>0</v>
      </c>
      <c r="AA570" s="7">
        <f>IF(Z570=1,IFERROR(VALUE(SUBSTITUTE(SUBSTITUTE(SUBSTITUTE(SUBSTITUTE(SUBSTITUTE(UPPER(Raw_Bookings!L570),"RS.",""),"₹",""),",","")," ",""),"INR","")),""),"")</f>
        <v/>
      </c>
      <c r="AB570" s="7">
        <f>IF(AND(Z570=1,ISNUMBER(AA570)),1,0)</f>
        <v>0</v>
      </c>
      <c r="AC570" s="7">
        <f>IF(B570=1,0,IF(NOT(ISNUMBER(Raw_Bookings!J570)),1,IF(Raw_Bookings!J570&lt;&gt;COUNTIFS(Work_Passengers!$B$2:$B$1336,Raw_Bookings!A570,Work_Passengers!$C$2:$C$1336,0),1,0)))</f>
        <v>0</v>
      </c>
    </row>
    <row r="571" spans="1:29">
      <c r="A571" s="7">
        <f>Raw_Bookings!A571</f>
        <v>1183685</v>
      </c>
      <c r="B571" s="7">
        <f>IF(COUNTIF(Raw_Bookings!$A$2:A571,Raw_Bookings!A571)&gt;1,1,0)</f>
        <v>0</v>
      </c>
      <c r="C571" s="7" t="str">
        <f>Raw_Bookings!D571&amp;""</f>
        <v>2026-06-06</v>
      </c>
      <c r="D571" s="7" t="str">
        <f>IF(AND(LEN(C571)=10,MID(C571,5,1)="-",MID(C571,8,1)="-"),"ISO",IF(AND(LEN(C571)=10,MID(C571,3,1)="-",MID(C571,6,1)="-"),"DMY","OTHER"))</f>
        <v>ISO</v>
      </c>
      <c r="E571" s="7">
        <f>IF(D571="ISO",VALUE(LEFT(C571,4)),IF(D571="DMY",VALUE(RIGHT(C571,4)),0))</f>
        <v>2026</v>
      </c>
      <c r="F571" s="7">
        <f>IF(D571="ISO",VALUE(MID(C571,6,2)),IF(D571="DMY",VALUE(MID(C571,4,2)),0))</f>
        <v>6</v>
      </c>
      <c r="G571" s="7">
        <f>IF(D571="ISO",VALUE(RIGHT(C571,2)),IF(D571="DMY",VALUE(LEFT(C571,2)),0))</f>
        <v>6</v>
      </c>
      <c r="H571" s="7">
        <f>IF(AND(D571&lt;&gt;"OTHER",F571&gt;=1,F571&lt;=12,G571&gt;=1,G571&lt;=31),IF(AND(MONTH(DATE(E571,F571,G571))=F571,DAY(DATE(E571,F571,G571))=G571),1,0),0)</f>
        <v>1</v>
      </c>
      <c r="I571" s="7">
        <f>IF(H571=1,DATE(E571,F571,G571),"")</f>
        <v>46179.0</v>
      </c>
      <c r="J571" s="7">
        <f>IF(AND(D571="DMY",H571=1),1,0)</f>
        <v>0</v>
      </c>
      <c r="K571" s="7">
        <f>IF(H571=0,1,0)</f>
        <v>0</v>
      </c>
      <c r="L571" s="7">
        <f>IF(TRIM(Raw_Bookings!I571&amp;"")="",1,0)</f>
        <v>0</v>
      </c>
      <c r="M571" s="7">
        <f>IF(L571=1,"",DATEVALUE(LEFT(Raw_Bookings!I571,10))+TIMEVALUE(MID(Raw_Bookings!I571,12,8)))</f>
        <v>46165.85202546296</v>
      </c>
      <c r="N571" s="7">
        <f>IF(AND(L571=0,H571=1),IF(INT(M571)&gt;I571,1,0),0)</f>
        <v>0</v>
      </c>
      <c r="O571" s="7" t="str">
        <f>UPPER(TRIM(Raw_Bookings!F571))</f>
        <v>DEL</v>
      </c>
      <c r="P571" s="7" t="str">
        <f>UPPER(TRIM(Raw_Bookings!G571))</f>
        <v>MAU</v>
      </c>
      <c r="Q571" s="7">
        <f>IF(COUNTIF(Lookup_Stations!$A$2:$A$33,O571)&gt;0,1,0)</f>
        <v>1</v>
      </c>
      <c r="R571" s="7">
        <f>IF(COUNTIF(Lookup_Stations!$A$2:$A$33,P571)&gt;0,1,0)</f>
        <v>1</v>
      </c>
      <c r="S571" s="7">
        <f>IF(OR(AND(Q571=1,NOT(EXACT(Raw_Bookings!F571,O571))),AND(R571=1,NOT(EXACT(Raw_Bookings!G571,P571)))),1,0)</f>
        <v>0</v>
      </c>
      <c r="T571" s="7">
        <f>IF(OR(Q571=0,R571=0),1,0)</f>
        <v>0</v>
      </c>
      <c r="U571" s="7">
        <f>IF(TRIM(Raw_Bookings!E571&amp;"")="",1,0)</f>
        <v>0</v>
      </c>
      <c r="V571" s="7" t="str">
        <f>IF(SUMPRODUCT(--(Lookup_Status!$A$2:$A$13=LOWER(TRIM(Raw_Bookings!K571))))=0,"",INDEX(Lookup_Status!$B$2:$B$13,SUMPRODUCT((Lookup_Status!$A$2:$A$13=LOWER(TRIM(Raw_Bookings!K571)))*(ROW(Lookup_Status!$A$2:$A$13)-1))))</f>
        <v>Confirmed</v>
      </c>
      <c r="W571" s="7">
        <f>IF(AND(V571&lt;&gt;"",NOT(EXACT(Raw_Bookings!K571,V571))),1,0)</f>
        <v>0</v>
      </c>
      <c r="X571" s="7">
        <f>IF(V571="",1,0)</f>
        <v>0</v>
      </c>
      <c r="Y571" s="7">
        <f>IF(TRIM(Raw_Bookings!L571&amp;"")="",1,0)</f>
        <v>0</v>
      </c>
      <c r="Z571" s="7">
        <f>IF(AND(ISTEXT(Raw_Bookings!L571),Y571=0),1,0)</f>
        <v>0</v>
      </c>
      <c r="AA571" s="7">
        <f>IF(Z571=1,IFERROR(VALUE(SUBSTITUTE(SUBSTITUTE(SUBSTITUTE(SUBSTITUTE(SUBSTITUTE(UPPER(Raw_Bookings!L571),"RS.",""),"₹",""),",","")," ",""),"INR","")),""),"")</f>
        <v/>
      </c>
      <c r="AB571" s="7">
        <f>IF(AND(Z571=1,ISNUMBER(AA571)),1,0)</f>
        <v>0</v>
      </c>
      <c r="AC571" s="7">
        <f>IF(B571=1,0,IF(NOT(ISNUMBER(Raw_Bookings!J571)),1,IF(Raw_Bookings!J571&lt;&gt;COUNTIFS(Work_Passengers!$B$2:$B$1336,Raw_Bookings!A571,Work_Passengers!$C$2:$C$1336,0),1,0)))</f>
        <v>0</v>
      </c>
    </row>
    <row r="572" spans="1:29">
      <c r="A572" s="7">
        <f>Raw_Bookings!A572</f>
        <v>1183814</v>
      </c>
      <c r="B572" s="7">
        <f>IF(COUNTIF(Raw_Bookings!$A$2:A572,Raw_Bookings!A572)&gt;1,1,0)</f>
        <v>0</v>
      </c>
      <c r="C572" s="7" t="str">
        <f>Raw_Bookings!D572&amp;""</f>
        <v>2026-06-15</v>
      </c>
      <c r="D572" s="7" t="str">
        <f>IF(AND(LEN(C572)=10,MID(C572,5,1)="-",MID(C572,8,1)="-"),"ISO",IF(AND(LEN(C572)=10,MID(C572,3,1)="-",MID(C572,6,1)="-"),"DMY","OTHER"))</f>
        <v>ISO</v>
      </c>
      <c r="E572" s="7">
        <f>IF(D572="ISO",VALUE(LEFT(C572,4)),IF(D572="DMY",VALUE(RIGHT(C572,4)),0))</f>
        <v>2026</v>
      </c>
      <c r="F572" s="7">
        <f>IF(D572="ISO",VALUE(MID(C572,6,2)),IF(D572="DMY",VALUE(MID(C572,4,2)),0))</f>
        <v>6</v>
      </c>
      <c r="G572" s="7">
        <f>IF(D572="ISO",VALUE(RIGHT(C572,2)),IF(D572="DMY",VALUE(LEFT(C572,2)),0))</f>
        <v>15</v>
      </c>
      <c r="H572" s="7">
        <f>IF(AND(D572&lt;&gt;"OTHER",F572&gt;=1,F572&lt;=12,G572&gt;=1,G572&lt;=31),IF(AND(MONTH(DATE(E572,F572,G572))=F572,DAY(DATE(E572,F572,G572))=G572),1,0),0)</f>
        <v>1</v>
      </c>
      <c r="I572" s="7">
        <f>IF(H572=1,DATE(E572,F572,G572),"")</f>
        <v>46188.0</v>
      </c>
      <c r="J572" s="7">
        <f>IF(AND(D572="DMY",H572=1),1,0)</f>
        <v>0</v>
      </c>
      <c r="K572" s="7">
        <f>IF(H572=0,1,0)</f>
        <v>0</v>
      </c>
      <c r="L572" s="7">
        <f>IF(TRIM(Raw_Bookings!I572&amp;"")="",1,0)</f>
        <v>0</v>
      </c>
      <c r="M572" s="7">
        <f>IF(L572=1,"",DATEVALUE(LEFT(Raw_Bookings!I572,10))+TIMEVALUE(MID(Raw_Bookings!I572,12,8)))</f>
        <v>46166.37598379629</v>
      </c>
      <c r="N572" s="7">
        <f>IF(AND(L572=0,H572=1),IF(INT(M572)&gt;I572,1,0),0)</f>
        <v>0</v>
      </c>
      <c r="O572" s="7" t="str">
        <f>UPPER(TRIM(Raw_Bookings!F572))</f>
        <v>LUC</v>
      </c>
      <c r="P572" s="7" t="str">
        <f>UPPER(TRIM(Raw_Bookings!G572))</f>
        <v>MUM</v>
      </c>
      <c r="Q572" s="7">
        <f>IF(COUNTIF(Lookup_Stations!$A$2:$A$33,O572)&gt;0,1,0)</f>
        <v>1</v>
      </c>
      <c r="R572" s="7">
        <f>IF(COUNTIF(Lookup_Stations!$A$2:$A$33,P572)&gt;0,1,0)</f>
        <v>1</v>
      </c>
      <c r="S572" s="7">
        <f>IF(OR(AND(Q572=1,NOT(EXACT(Raw_Bookings!F572,O572))),AND(R572=1,NOT(EXACT(Raw_Bookings!G572,P572)))),1,0)</f>
        <v>0</v>
      </c>
      <c r="T572" s="7">
        <f>IF(OR(Q572=0,R572=0),1,0)</f>
        <v>0</v>
      </c>
      <c r="U572" s="7">
        <f>IF(TRIM(Raw_Bookings!E572&amp;"")="",1,0)</f>
        <v>0</v>
      </c>
      <c r="V572" s="7" t="str">
        <f>IF(SUMPRODUCT(--(Lookup_Status!$A$2:$A$13=LOWER(TRIM(Raw_Bookings!K572))))=0,"",INDEX(Lookup_Status!$B$2:$B$13,SUMPRODUCT((Lookup_Status!$A$2:$A$13=LOWER(TRIM(Raw_Bookings!K572)))*(ROW(Lookup_Status!$A$2:$A$13)-1))))</f>
        <v>Confirmed</v>
      </c>
      <c r="W572" s="7">
        <f>IF(AND(V572&lt;&gt;"",NOT(EXACT(Raw_Bookings!K572,V572))),1,0)</f>
        <v>0</v>
      </c>
      <c r="X572" s="7">
        <f>IF(V572="",1,0)</f>
        <v>0</v>
      </c>
      <c r="Y572" s="7">
        <f>IF(TRIM(Raw_Bookings!L572&amp;"")="",1,0)</f>
        <v>0</v>
      </c>
      <c r="Z572" s="7">
        <f>IF(AND(ISTEXT(Raw_Bookings!L572),Y572=0),1,0)</f>
        <v>0</v>
      </c>
      <c r="AA572" s="7">
        <f>IF(Z572=1,IFERROR(VALUE(SUBSTITUTE(SUBSTITUTE(SUBSTITUTE(SUBSTITUTE(SUBSTITUTE(UPPER(Raw_Bookings!L572),"RS.",""),"₹",""),",","")," ",""),"INR","")),""),"")</f>
        <v/>
      </c>
      <c r="AB572" s="7">
        <f>IF(AND(Z572=1,ISNUMBER(AA572)),1,0)</f>
        <v>0</v>
      </c>
      <c r="AC572" s="7">
        <f>IF(B572=1,0,IF(NOT(ISNUMBER(Raw_Bookings!J572)),1,IF(Raw_Bookings!J572&lt;&gt;COUNTIFS(Work_Passengers!$B$2:$B$1336,Raw_Bookings!A572,Work_Passengers!$C$2:$C$1336,0),1,0)))</f>
        <v>0</v>
      </c>
    </row>
    <row r="573" spans="1:29">
      <c r="A573" s="7">
        <f>Raw_Bookings!A573</f>
        <v>1183934</v>
      </c>
      <c r="B573" s="7">
        <f>IF(COUNTIF(Raw_Bookings!$A$2:A573,Raw_Bookings!A573)&gt;1,1,0)</f>
        <v>0</v>
      </c>
      <c r="C573" s="7" t="str">
        <f>Raw_Bookings!D573&amp;""</f>
        <v>2026-06-03</v>
      </c>
      <c r="D573" s="7" t="str">
        <f>IF(AND(LEN(C573)=10,MID(C573,5,1)="-",MID(C573,8,1)="-"),"ISO",IF(AND(LEN(C573)=10,MID(C573,3,1)="-",MID(C573,6,1)="-"),"DMY","OTHER"))</f>
        <v>ISO</v>
      </c>
      <c r="E573" s="7">
        <f>IF(D573="ISO",VALUE(LEFT(C573,4)),IF(D573="DMY",VALUE(RIGHT(C573,4)),0))</f>
        <v>2026</v>
      </c>
      <c r="F573" s="7">
        <f>IF(D573="ISO",VALUE(MID(C573,6,2)),IF(D573="DMY",VALUE(MID(C573,4,2)),0))</f>
        <v>6</v>
      </c>
      <c r="G573" s="7">
        <f>IF(D573="ISO",VALUE(RIGHT(C573,2)),IF(D573="DMY",VALUE(LEFT(C573,2)),0))</f>
        <v>3</v>
      </c>
      <c r="H573" s="7">
        <f>IF(AND(D573&lt;&gt;"OTHER",F573&gt;=1,F573&lt;=12,G573&gt;=1,G573&lt;=31),IF(AND(MONTH(DATE(E573,F573,G573))=F573,DAY(DATE(E573,F573,G573))=G573),1,0),0)</f>
        <v>1</v>
      </c>
      <c r="I573" s="7">
        <f>IF(H573=1,DATE(E573,F573,G573),"")</f>
        <v>46176.0</v>
      </c>
      <c r="J573" s="7">
        <f>IF(AND(D573="DMY",H573=1),1,0)</f>
        <v>0</v>
      </c>
      <c r="K573" s="7">
        <f>IF(H573=0,1,0)</f>
        <v>0</v>
      </c>
      <c r="L573" s="7">
        <f>IF(TRIM(Raw_Bookings!I573&amp;"")="",1,0)</f>
        <v>0</v>
      </c>
      <c r="M573" s="7">
        <f>IF(L573=1,"",DATEVALUE(LEFT(Raw_Bookings!I573,10))+TIMEVALUE(MID(Raw_Bookings!I573,12,8)))</f>
        <v>46166.64971064815</v>
      </c>
      <c r="N573" s="7">
        <f>IF(AND(L573=0,H573=1),IF(INT(M573)&gt;I573,1,0),0)</f>
        <v>0</v>
      </c>
      <c r="O573" s="7" t="str">
        <f>UPPER(TRIM(Raw_Bookings!F573))</f>
        <v>KOL</v>
      </c>
      <c r="P573" s="7" t="str">
        <f>UPPER(TRIM(Raw_Bookings!G573))</f>
        <v>HYD</v>
      </c>
      <c r="Q573" s="7">
        <f>IF(COUNTIF(Lookup_Stations!$A$2:$A$33,O573)&gt;0,1,0)</f>
        <v>1</v>
      </c>
      <c r="R573" s="7">
        <f>IF(COUNTIF(Lookup_Stations!$A$2:$A$33,P573)&gt;0,1,0)</f>
        <v>1</v>
      </c>
      <c r="S573" s="7">
        <f>IF(OR(AND(Q573=1,NOT(EXACT(Raw_Bookings!F573,O573))),AND(R573=1,NOT(EXACT(Raw_Bookings!G573,P573)))),1,0)</f>
        <v>0</v>
      </c>
      <c r="T573" s="7">
        <f>IF(OR(Q573=0,R573=0),1,0)</f>
        <v>0</v>
      </c>
      <c r="U573" s="7">
        <f>IF(TRIM(Raw_Bookings!E573&amp;"")="",1,0)</f>
        <v>0</v>
      </c>
      <c r="V573" s="7" t="str">
        <f>IF(SUMPRODUCT(--(Lookup_Status!$A$2:$A$13=LOWER(TRIM(Raw_Bookings!K573))))=0,"",INDEX(Lookup_Status!$B$2:$B$13,SUMPRODUCT((Lookup_Status!$A$2:$A$13=LOWER(TRIM(Raw_Bookings!K573)))*(ROW(Lookup_Status!$A$2:$A$13)-1))))</f>
        <v>Waitlisted</v>
      </c>
      <c r="W573" s="7">
        <f>IF(AND(V573&lt;&gt;"",NOT(EXACT(Raw_Bookings!K573,V573))),1,0)</f>
        <v>0</v>
      </c>
      <c r="X573" s="7">
        <f>IF(V573="",1,0)</f>
        <v>0</v>
      </c>
      <c r="Y573" s="7">
        <f>IF(TRIM(Raw_Bookings!L573&amp;"")="",1,0)</f>
        <v>0</v>
      </c>
      <c r="Z573" s="7">
        <f>IF(AND(ISTEXT(Raw_Bookings!L573),Y573=0),1,0)</f>
        <v>0</v>
      </c>
      <c r="AA573" s="7">
        <f>IF(Z573=1,IFERROR(VALUE(SUBSTITUTE(SUBSTITUTE(SUBSTITUTE(SUBSTITUTE(SUBSTITUTE(UPPER(Raw_Bookings!L573),"RS.",""),"₹",""),",","")," ",""),"INR","")),""),"")</f>
        <v/>
      </c>
      <c r="AB573" s="7">
        <f>IF(AND(Z573=1,ISNUMBER(AA573)),1,0)</f>
        <v>0</v>
      </c>
      <c r="AC573" s="7">
        <f>IF(B573=1,0,IF(NOT(ISNUMBER(Raw_Bookings!J573)),1,IF(Raw_Bookings!J573&lt;&gt;COUNTIFS(Work_Passengers!$B$2:$B$1336,Raw_Bookings!A573,Work_Passengers!$C$2:$C$1336,0),1,0)))</f>
        <v>0</v>
      </c>
    </row>
    <row r="574" spans="1:29">
      <c r="A574" s="7">
        <f>Raw_Bookings!A574</f>
        <v>1184347</v>
      </c>
      <c r="B574" s="7">
        <f>IF(COUNTIF(Raw_Bookings!$A$2:A574,Raw_Bookings!A574)&gt;1,1,0)</f>
        <v>0</v>
      </c>
      <c r="C574" s="7" t="str">
        <f>Raw_Bookings!D574&amp;""</f>
        <v>2026-06-11</v>
      </c>
      <c r="D574" s="7" t="str">
        <f>IF(AND(LEN(C574)=10,MID(C574,5,1)="-",MID(C574,8,1)="-"),"ISO",IF(AND(LEN(C574)=10,MID(C574,3,1)="-",MID(C574,6,1)="-"),"DMY","OTHER"))</f>
        <v>ISO</v>
      </c>
      <c r="E574" s="7">
        <f>IF(D574="ISO",VALUE(LEFT(C574,4)),IF(D574="DMY",VALUE(RIGHT(C574,4)),0))</f>
        <v>2026</v>
      </c>
      <c r="F574" s="7">
        <f>IF(D574="ISO",VALUE(MID(C574,6,2)),IF(D574="DMY",VALUE(MID(C574,4,2)),0))</f>
        <v>6</v>
      </c>
      <c r="G574" s="7">
        <f>IF(D574="ISO",VALUE(RIGHT(C574,2)),IF(D574="DMY",VALUE(LEFT(C574,2)),0))</f>
        <v>11</v>
      </c>
      <c r="H574" s="7">
        <f>IF(AND(D574&lt;&gt;"OTHER",F574&gt;=1,F574&lt;=12,G574&gt;=1,G574&lt;=31),IF(AND(MONTH(DATE(E574,F574,G574))=F574,DAY(DATE(E574,F574,G574))=G574),1,0),0)</f>
        <v>1</v>
      </c>
      <c r="I574" s="7">
        <f>IF(H574=1,DATE(E574,F574,G574),"")</f>
        <v>46184.0</v>
      </c>
      <c r="J574" s="7">
        <f>IF(AND(D574="DMY",H574=1),1,0)</f>
        <v>0</v>
      </c>
      <c r="K574" s="7">
        <f>IF(H574=0,1,0)</f>
        <v>0</v>
      </c>
      <c r="L574" s="7">
        <f>IF(TRIM(Raw_Bookings!I574&amp;"")="",1,0)</f>
        <v>0</v>
      </c>
      <c r="M574" s="7">
        <f>IF(L574=1,"",DATEVALUE(LEFT(Raw_Bookings!I574,10))+TIMEVALUE(MID(Raw_Bookings!I574,12,8)))</f>
        <v>46167.91539351852</v>
      </c>
      <c r="N574" s="7">
        <f>IF(AND(L574=0,H574=1),IF(INT(M574)&gt;I574,1,0),0)</f>
        <v>0</v>
      </c>
      <c r="O574" s="7" t="str">
        <f>UPPER(TRIM(Raw_Bookings!F574))</f>
        <v>DIB</v>
      </c>
      <c r="P574" s="7" t="str">
        <f>UPPER(TRIM(Raw_Bookings!G574))</f>
        <v>DEL</v>
      </c>
      <c r="Q574" s="7">
        <f>IF(COUNTIF(Lookup_Stations!$A$2:$A$33,O574)&gt;0,1,0)</f>
        <v>1</v>
      </c>
      <c r="R574" s="7">
        <f>IF(COUNTIF(Lookup_Stations!$A$2:$A$33,P574)&gt;0,1,0)</f>
        <v>1</v>
      </c>
      <c r="S574" s="7">
        <f>IF(OR(AND(Q574=1,NOT(EXACT(Raw_Bookings!F574,O574))),AND(R574=1,NOT(EXACT(Raw_Bookings!G574,P574)))),1,0)</f>
        <v>0</v>
      </c>
      <c r="T574" s="7">
        <f>IF(OR(Q574=0,R574=0),1,0)</f>
        <v>0</v>
      </c>
      <c r="U574" s="7">
        <f>IF(TRIM(Raw_Bookings!E574&amp;"")="",1,0)</f>
        <v>0</v>
      </c>
      <c r="V574" s="7" t="str">
        <f>IF(SUMPRODUCT(--(Lookup_Status!$A$2:$A$13=LOWER(TRIM(Raw_Bookings!K574))))=0,"",INDEX(Lookup_Status!$B$2:$B$13,SUMPRODUCT((Lookup_Status!$A$2:$A$13=LOWER(TRIM(Raw_Bookings!K574)))*(ROW(Lookup_Status!$A$2:$A$13)-1))))</f>
        <v>Confirmed</v>
      </c>
      <c r="W574" s="7">
        <f>IF(AND(V574&lt;&gt;"",NOT(EXACT(Raw_Bookings!K574,V574))),1,0)</f>
        <v>0</v>
      </c>
      <c r="X574" s="7">
        <f>IF(V574="",1,0)</f>
        <v>0</v>
      </c>
      <c r="Y574" s="7">
        <f>IF(TRIM(Raw_Bookings!L574&amp;"")="",1,0)</f>
        <v>0</v>
      </c>
      <c r="Z574" s="7">
        <f>IF(AND(ISTEXT(Raw_Bookings!L574),Y574=0),1,0)</f>
        <v>0</v>
      </c>
      <c r="AA574" s="7">
        <f>IF(Z574=1,IFERROR(VALUE(SUBSTITUTE(SUBSTITUTE(SUBSTITUTE(SUBSTITUTE(SUBSTITUTE(UPPER(Raw_Bookings!L574),"RS.",""),"₹",""),",","")," ",""),"INR","")),""),"")</f>
        <v/>
      </c>
      <c r="AB574" s="7">
        <f>IF(AND(Z574=1,ISNUMBER(AA574)),1,0)</f>
        <v>0</v>
      </c>
      <c r="AC574" s="7">
        <f>IF(B574=1,0,IF(NOT(ISNUMBER(Raw_Bookings!J574)),1,IF(Raw_Bookings!J574&lt;&gt;COUNTIFS(Work_Passengers!$B$2:$B$1336,Raw_Bookings!A574,Work_Passengers!$C$2:$C$1336,0),1,0)))</f>
        <v>0</v>
      </c>
    </row>
    <row r="575" spans="1:29">
      <c r="A575" s="7">
        <f>Raw_Bookings!A575</f>
        <v>1184489</v>
      </c>
      <c r="B575" s="7">
        <f>IF(COUNTIF(Raw_Bookings!$A$2:A575,Raw_Bookings!A575)&gt;1,1,0)</f>
        <v>0</v>
      </c>
      <c r="C575" s="7" t="str">
        <f>Raw_Bookings!D575&amp;""</f>
        <v>2026-06-16</v>
      </c>
      <c r="D575" s="7" t="str">
        <f>IF(AND(LEN(C575)=10,MID(C575,5,1)="-",MID(C575,8,1)="-"),"ISO",IF(AND(LEN(C575)=10,MID(C575,3,1)="-",MID(C575,6,1)="-"),"DMY","OTHER"))</f>
        <v>ISO</v>
      </c>
      <c r="E575" s="7">
        <f>IF(D575="ISO",VALUE(LEFT(C575,4)),IF(D575="DMY",VALUE(RIGHT(C575,4)),0))</f>
        <v>2026</v>
      </c>
      <c r="F575" s="7">
        <f>IF(D575="ISO",VALUE(MID(C575,6,2)),IF(D575="DMY",VALUE(MID(C575,4,2)),0))</f>
        <v>6</v>
      </c>
      <c r="G575" s="7">
        <f>IF(D575="ISO",VALUE(RIGHT(C575,2)),IF(D575="DMY",VALUE(LEFT(C575,2)),0))</f>
        <v>16</v>
      </c>
      <c r="H575" s="7">
        <f>IF(AND(D575&lt;&gt;"OTHER",F575&gt;=1,F575&lt;=12,G575&gt;=1,G575&lt;=31),IF(AND(MONTH(DATE(E575,F575,G575))=F575,DAY(DATE(E575,F575,G575))=G575),1,0),0)</f>
        <v>1</v>
      </c>
      <c r="I575" s="7">
        <f>IF(H575=1,DATE(E575,F575,G575),"")</f>
        <v>46189.0</v>
      </c>
      <c r="J575" s="7">
        <f>IF(AND(D575="DMY",H575=1),1,0)</f>
        <v>0</v>
      </c>
      <c r="K575" s="7">
        <f>IF(H575=0,1,0)</f>
        <v>0</v>
      </c>
      <c r="L575" s="7">
        <f>IF(TRIM(Raw_Bookings!I575&amp;"")="",1,0)</f>
        <v>0</v>
      </c>
      <c r="M575" s="7">
        <f>IF(L575=1,"",DATEVALUE(LEFT(Raw_Bookings!I575,10))+TIMEVALUE(MID(Raw_Bookings!I575,12,8)))</f>
        <v>46168.58027777778</v>
      </c>
      <c r="N575" s="7">
        <f>IF(AND(L575=0,H575=1),IF(INT(M575)&gt;I575,1,0),0)</f>
        <v>0</v>
      </c>
      <c r="O575" s="7" t="str">
        <f>UPPER(TRIM(Raw_Bookings!F575))</f>
        <v>BEN</v>
      </c>
      <c r="P575" s="7" t="str">
        <f>UPPER(TRIM(Raw_Bookings!G575))</f>
        <v>JOD</v>
      </c>
      <c r="Q575" s="7">
        <f>IF(COUNTIF(Lookup_Stations!$A$2:$A$33,O575)&gt;0,1,0)</f>
        <v>1</v>
      </c>
      <c r="R575" s="7">
        <f>IF(COUNTIF(Lookup_Stations!$A$2:$A$33,P575)&gt;0,1,0)</f>
        <v>1</v>
      </c>
      <c r="S575" s="7">
        <f>IF(OR(AND(Q575=1,NOT(EXACT(Raw_Bookings!F575,O575))),AND(R575=1,NOT(EXACT(Raw_Bookings!G575,P575)))),1,0)</f>
        <v>0</v>
      </c>
      <c r="T575" s="7">
        <f>IF(OR(Q575=0,R575=0),1,0)</f>
        <v>0</v>
      </c>
      <c r="U575" s="7">
        <f>IF(TRIM(Raw_Bookings!E575&amp;"")="",1,0)</f>
        <v>0</v>
      </c>
      <c r="V575" s="7" t="str">
        <f>IF(SUMPRODUCT(--(Lookup_Status!$A$2:$A$13=LOWER(TRIM(Raw_Bookings!K575))))=0,"",INDEX(Lookup_Status!$B$2:$B$13,SUMPRODUCT((Lookup_Status!$A$2:$A$13=LOWER(TRIM(Raw_Bookings!K575)))*(ROW(Lookup_Status!$A$2:$A$13)-1))))</f>
        <v>Confirmed</v>
      </c>
      <c r="W575" s="7">
        <f>IF(AND(V575&lt;&gt;"",NOT(EXACT(Raw_Bookings!K575,V575))),1,0)</f>
        <v>0</v>
      </c>
      <c r="X575" s="7">
        <f>IF(V575="",1,0)</f>
        <v>0</v>
      </c>
      <c r="Y575" s="7">
        <f>IF(TRIM(Raw_Bookings!L575&amp;"")="",1,0)</f>
        <v>0</v>
      </c>
      <c r="Z575" s="7">
        <f>IF(AND(ISTEXT(Raw_Bookings!L575),Y575=0),1,0)</f>
        <v>0</v>
      </c>
      <c r="AA575" s="7">
        <f>IF(Z575=1,IFERROR(VALUE(SUBSTITUTE(SUBSTITUTE(SUBSTITUTE(SUBSTITUTE(SUBSTITUTE(UPPER(Raw_Bookings!L575),"RS.",""),"₹",""),",","")," ",""),"INR","")),""),"")</f>
        <v/>
      </c>
      <c r="AB575" s="7">
        <f>IF(AND(Z575=1,ISNUMBER(AA575)),1,0)</f>
        <v>0</v>
      </c>
      <c r="AC575" s="7">
        <f>IF(B575=1,0,IF(NOT(ISNUMBER(Raw_Bookings!J575)),1,IF(Raw_Bookings!J575&lt;&gt;COUNTIFS(Work_Passengers!$B$2:$B$1336,Raw_Bookings!A575,Work_Passengers!$C$2:$C$1336,0),1,0)))</f>
        <v>0</v>
      </c>
    </row>
    <row r="576" spans="1:29">
      <c r="A576" s="7">
        <f>Raw_Bookings!A576</f>
        <v>1184742</v>
      </c>
      <c r="B576" s="7">
        <f>IF(COUNTIF(Raw_Bookings!$A$2:A576,Raw_Bookings!A576)&gt;1,1,0)</f>
        <v>0</v>
      </c>
      <c r="C576" s="7" t="str">
        <f>Raw_Bookings!D576&amp;""</f>
        <v>2026-06-09</v>
      </c>
      <c r="D576" s="7" t="str">
        <f>IF(AND(LEN(C576)=10,MID(C576,5,1)="-",MID(C576,8,1)="-"),"ISO",IF(AND(LEN(C576)=10,MID(C576,3,1)="-",MID(C576,6,1)="-"),"DMY","OTHER"))</f>
        <v>ISO</v>
      </c>
      <c r="E576" s="7">
        <f>IF(D576="ISO",VALUE(LEFT(C576,4)),IF(D576="DMY",VALUE(RIGHT(C576,4)),0))</f>
        <v>2026</v>
      </c>
      <c r="F576" s="7">
        <f>IF(D576="ISO",VALUE(MID(C576,6,2)),IF(D576="DMY",VALUE(MID(C576,4,2)),0))</f>
        <v>6</v>
      </c>
      <c r="G576" s="7">
        <f>IF(D576="ISO",VALUE(RIGHT(C576,2)),IF(D576="DMY",VALUE(LEFT(C576,2)),0))</f>
        <v>9</v>
      </c>
      <c r="H576" s="7">
        <f>IF(AND(D576&lt;&gt;"OTHER",F576&gt;=1,F576&lt;=12,G576&gt;=1,G576&lt;=31),IF(AND(MONTH(DATE(E576,F576,G576))=F576,DAY(DATE(E576,F576,G576))=G576),1,0),0)</f>
        <v>1</v>
      </c>
      <c r="I576" s="7">
        <f>IF(H576=1,DATE(E576,F576,G576),"")</f>
        <v>46182.0</v>
      </c>
      <c r="J576" s="7">
        <f>IF(AND(D576="DMY",H576=1),1,0)</f>
        <v>0</v>
      </c>
      <c r="K576" s="7">
        <f>IF(H576=0,1,0)</f>
        <v>0</v>
      </c>
      <c r="L576" s="7">
        <f>IF(TRIM(Raw_Bookings!I576&amp;"")="",1,0)</f>
        <v>0</v>
      </c>
      <c r="M576" s="7">
        <f>IF(L576=1,"",DATEVALUE(LEFT(Raw_Bookings!I576,10))+TIMEVALUE(MID(Raw_Bookings!I576,12,8)))</f>
        <v>46169.486875</v>
      </c>
      <c r="N576" s="7">
        <f>IF(AND(L576=0,H576=1),IF(INT(M576)&gt;I576,1,0),0)</f>
        <v>0</v>
      </c>
      <c r="O576" s="7" t="str">
        <f>UPPER(TRIM(Raw_Bookings!F576))</f>
        <v>MAU</v>
      </c>
      <c r="P576" s="7" t="str">
        <f>UPPER(TRIM(Raw_Bookings!G576))</f>
        <v>DEL</v>
      </c>
      <c r="Q576" s="7">
        <f>IF(COUNTIF(Lookup_Stations!$A$2:$A$33,O576)&gt;0,1,0)</f>
        <v>1</v>
      </c>
      <c r="R576" s="7">
        <f>IF(COUNTIF(Lookup_Stations!$A$2:$A$33,P576)&gt;0,1,0)</f>
        <v>1</v>
      </c>
      <c r="S576" s="7">
        <f>IF(OR(AND(Q576=1,NOT(EXACT(Raw_Bookings!F576,O576))),AND(R576=1,NOT(EXACT(Raw_Bookings!G576,P576)))),1,0)</f>
        <v>0</v>
      </c>
      <c r="T576" s="7">
        <f>IF(OR(Q576=0,R576=0),1,0)</f>
        <v>0</v>
      </c>
      <c r="U576" s="7">
        <f>IF(TRIM(Raw_Bookings!E576&amp;"")="",1,0)</f>
        <v>0</v>
      </c>
      <c r="V576" s="7" t="str">
        <f>IF(SUMPRODUCT(--(Lookup_Status!$A$2:$A$13=LOWER(TRIM(Raw_Bookings!K576))))=0,"",INDEX(Lookup_Status!$B$2:$B$13,SUMPRODUCT((Lookup_Status!$A$2:$A$13=LOWER(TRIM(Raw_Bookings!K576)))*(ROW(Lookup_Status!$A$2:$A$13)-1))))</f>
        <v>Mixed</v>
      </c>
      <c r="W576" s="7">
        <f>IF(AND(V576&lt;&gt;"",NOT(EXACT(Raw_Bookings!K576,V576))),1,0)</f>
        <v>0</v>
      </c>
      <c r="X576" s="7">
        <f>IF(V576="",1,0)</f>
        <v>0</v>
      </c>
      <c r="Y576" s="7">
        <f>IF(TRIM(Raw_Bookings!L576&amp;"")="",1,0)</f>
        <v>0</v>
      </c>
      <c r="Z576" s="7">
        <f>IF(AND(ISTEXT(Raw_Bookings!L576),Y576=0),1,0)</f>
        <v>0</v>
      </c>
      <c r="AA576" s="7">
        <f>IF(Z576=1,IFERROR(VALUE(SUBSTITUTE(SUBSTITUTE(SUBSTITUTE(SUBSTITUTE(SUBSTITUTE(UPPER(Raw_Bookings!L576),"RS.",""),"₹",""),",","")," ",""),"INR","")),""),"")</f>
        <v/>
      </c>
      <c r="AB576" s="7">
        <f>IF(AND(Z576=1,ISNUMBER(AA576)),1,0)</f>
        <v>0</v>
      </c>
      <c r="AC576" s="7">
        <f>IF(B576=1,0,IF(NOT(ISNUMBER(Raw_Bookings!J576)),1,IF(Raw_Bookings!J576&lt;&gt;COUNTIFS(Work_Passengers!$B$2:$B$1336,Raw_Bookings!A576,Work_Passengers!$C$2:$C$1336,0),1,0)))</f>
        <v>0</v>
      </c>
    </row>
    <row r="577" spans="1:29">
      <c r="A577" s="7">
        <f>Raw_Bookings!A577</f>
        <v>1184805</v>
      </c>
      <c r="B577" s="7">
        <f>IF(COUNTIF(Raw_Bookings!$A$2:A577,Raw_Bookings!A577)&gt;1,1,0)</f>
        <v>0</v>
      </c>
      <c r="C577" s="7" t="str">
        <f>Raw_Bookings!D577&amp;""</f>
        <v>2026-06-15</v>
      </c>
      <c r="D577" s="7" t="str">
        <f>IF(AND(LEN(C577)=10,MID(C577,5,1)="-",MID(C577,8,1)="-"),"ISO",IF(AND(LEN(C577)=10,MID(C577,3,1)="-",MID(C577,6,1)="-"),"DMY","OTHER"))</f>
        <v>ISO</v>
      </c>
      <c r="E577" s="7">
        <f>IF(D577="ISO",VALUE(LEFT(C577,4)),IF(D577="DMY",VALUE(RIGHT(C577,4)),0))</f>
        <v>2026</v>
      </c>
      <c r="F577" s="7">
        <f>IF(D577="ISO",VALUE(MID(C577,6,2)),IF(D577="DMY",VALUE(MID(C577,4,2)),0))</f>
        <v>6</v>
      </c>
      <c r="G577" s="7">
        <f>IF(D577="ISO",VALUE(RIGHT(C577,2)),IF(D577="DMY",VALUE(LEFT(C577,2)),0))</f>
        <v>15</v>
      </c>
      <c r="H577" s="7">
        <f>IF(AND(D577&lt;&gt;"OTHER",F577&gt;=1,F577&lt;=12,G577&gt;=1,G577&lt;=31),IF(AND(MONTH(DATE(E577,F577,G577))=F577,DAY(DATE(E577,F577,G577))=G577),1,0),0)</f>
        <v>1</v>
      </c>
      <c r="I577" s="7">
        <f>IF(H577=1,DATE(E577,F577,G577),"")</f>
        <v>46188.0</v>
      </c>
      <c r="J577" s="7">
        <f>IF(AND(D577="DMY",H577=1),1,0)</f>
        <v>0</v>
      </c>
      <c r="K577" s="7">
        <f>IF(H577=0,1,0)</f>
        <v>0</v>
      </c>
      <c r="L577" s="7">
        <f>IF(TRIM(Raw_Bookings!I577&amp;"")="",1,0)</f>
        <v>0</v>
      </c>
      <c r="M577" s="7">
        <f>IF(L577=1,"",DATEVALUE(LEFT(Raw_Bookings!I577,10))+TIMEVALUE(MID(Raw_Bookings!I577,12,8)))</f>
        <v>46169.66079861111</v>
      </c>
      <c r="N577" s="7">
        <f>IF(AND(L577=0,H577=1),IF(INT(M577)&gt;I577,1,0),0)</f>
        <v>0</v>
      </c>
      <c r="O577" s="7" t="str">
        <f>UPPER(TRIM(Raw_Bookings!F577))</f>
        <v>LUC</v>
      </c>
      <c r="P577" s="7" t="str">
        <f>UPPER(TRIM(Raw_Bookings!G577))</f>
        <v>MUM</v>
      </c>
      <c r="Q577" s="7">
        <f>IF(COUNTIF(Lookup_Stations!$A$2:$A$33,O577)&gt;0,1,0)</f>
        <v>1</v>
      </c>
      <c r="R577" s="7">
        <f>IF(COUNTIF(Lookup_Stations!$A$2:$A$33,P577)&gt;0,1,0)</f>
        <v>1</v>
      </c>
      <c r="S577" s="7">
        <f>IF(OR(AND(Q577=1,NOT(EXACT(Raw_Bookings!F577,O577))),AND(R577=1,NOT(EXACT(Raw_Bookings!G577,P577)))),1,0)</f>
        <v>0</v>
      </c>
      <c r="T577" s="7">
        <f>IF(OR(Q577=0,R577=0),1,0)</f>
        <v>0</v>
      </c>
      <c r="U577" s="7">
        <f>IF(TRIM(Raw_Bookings!E577&amp;"")="",1,0)</f>
        <v>0</v>
      </c>
      <c r="V577" s="7" t="str">
        <f>IF(SUMPRODUCT(--(Lookup_Status!$A$2:$A$13=LOWER(TRIM(Raw_Bookings!K577))))=0,"",INDEX(Lookup_Status!$B$2:$B$13,SUMPRODUCT((Lookup_Status!$A$2:$A$13=LOWER(TRIM(Raw_Bookings!K577)))*(ROW(Lookup_Status!$A$2:$A$13)-1))))</f>
        <v>Waitlisted</v>
      </c>
      <c r="W577" s="7">
        <f>IF(AND(V577&lt;&gt;"",NOT(EXACT(Raw_Bookings!K577,V577))),1,0)</f>
        <v>0</v>
      </c>
      <c r="X577" s="7">
        <f>IF(V577="",1,0)</f>
        <v>0</v>
      </c>
      <c r="Y577" s="7">
        <f>IF(TRIM(Raw_Bookings!L577&amp;"")="",1,0)</f>
        <v>0</v>
      </c>
      <c r="Z577" s="7">
        <f>IF(AND(ISTEXT(Raw_Bookings!L577),Y577=0),1,0)</f>
        <v>0</v>
      </c>
      <c r="AA577" s="7">
        <f>IF(Z577=1,IFERROR(VALUE(SUBSTITUTE(SUBSTITUTE(SUBSTITUTE(SUBSTITUTE(SUBSTITUTE(UPPER(Raw_Bookings!L577),"RS.",""),"₹",""),",","")," ",""),"INR","")),""),"")</f>
        <v/>
      </c>
      <c r="AB577" s="7">
        <f>IF(AND(Z577=1,ISNUMBER(AA577)),1,0)</f>
        <v>0</v>
      </c>
      <c r="AC577" s="7">
        <f>IF(B577=1,0,IF(NOT(ISNUMBER(Raw_Bookings!J577)),1,IF(Raw_Bookings!J577&lt;&gt;COUNTIFS(Work_Passengers!$B$2:$B$1336,Raw_Bookings!A577,Work_Passengers!$C$2:$C$1336,0),1,0)))</f>
        <v>0</v>
      </c>
    </row>
    <row r="578" spans="1:29">
      <c r="A578" s="7">
        <f>Raw_Bookings!A578</f>
        <v>1184897</v>
      </c>
      <c r="B578" s="7">
        <f>IF(COUNTIF(Raw_Bookings!$A$2:A578,Raw_Bookings!A578)&gt;1,1,0)</f>
        <v>0</v>
      </c>
      <c r="C578" s="7" t="str">
        <f>Raw_Bookings!D578&amp;""</f>
        <v>2026-06-15</v>
      </c>
      <c r="D578" s="7" t="str">
        <f>IF(AND(LEN(C578)=10,MID(C578,5,1)="-",MID(C578,8,1)="-"),"ISO",IF(AND(LEN(C578)=10,MID(C578,3,1)="-",MID(C578,6,1)="-"),"DMY","OTHER"))</f>
        <v>ISO</v>
      </c>
      <c r="E578" s="7">
        <f>IF(D578="ISO",VALUE(LEFT(C578,4)),IF(D578="DMY",VALUE(RIGHT(C578,4)),0))</f>
        <v>2026</v>
      </c>
      <c r="F578" s="7">
        <f>IF(D578="ISO",VALUE(MID(C578,6,2)),IF(D578="DMY",VALUE(MID(C578,4,2)),0))</f>
        <v>6</v>
      </c>
      <c r="G578" s="7">
        <f>IF(D578="ISO",VALUE(RIGHT(C578,2)),IF(D578="DMY",VALUE(LEFT(C578,2)),0))</f>
        <v>15</v>
      </c>
      <c r="H578" s="7">
        <f>IF(AND(D578&lt;&gt;"OTHER",F578&gt;=1,F578&lt;=12,G578&gt;=1,G578&lt;=31),IF(AND(MONTH(DATE(E578,F578,G578))=F578,DAY(DATE(E578,F578,G578))=G578),1,0),0)</f>
        <v>1</v>
      </c>
      <c r="I578" s="7">
        <f>IF(H578=1,DATE(E578,F578,G578),"")</f>
        <v>46188.0</v>
      </c>
      <c r="J578" s="7">
        <f>IF(AND(D578="DMY",H578=1),1,0)</f>
        <v>0</v>
      </c>
      <c r="K578" s="7">
        <f>IF(H578=0,1,0)</f>
        <v>0</v>
      </c>
      <c r="L578" s="7">
        <f>IF(TRIM(Raw_Bookings!I578&amp;"")="",1,0)</f>
        <v>0</v>
      </c>
      <c r="M578" s="7">
        <f>IF(L578=1,"",DATEVALUE(LEFT(Raw_Bookings!I578,10))+TIMEVALUE(MID(Raw_Bookings!I578,12,8)))</f>
        <v>46169.93728009259</v>
      </c>
      <c r="N578" s="7">
        <f>IF(AND(L578=0,H578=1),IF(INT(M578)&gt;I578,1,0),0)</f>
        <v>0</v>
      </c>
      <c r="O578" s="7" t="str">
        <f>UPPER(TRIM(Raw_Bookings!F578))</f>
        <v>AHM</v>
      </c>
      <c r="P578" s="7" t="str">
        <f>UPPER(TRIM(Raw_Bookings!G578))</f>
        <v>CHE</v>
      </c>
      <c r="Q578" s="7">
        <f>IF(COUNTIF(Lookup_Stations!$A$2:$A$33,O578)&gt;0,1,0)</f>
        <v>1</v>
      </c>
      <c r="R578" s="7">
        <f>IF(COUNTIF(Lookup_Stations!$A$2:$A$33,P578)&gt;0,1,0)</f>
        <v>1</v>
      </c>
      <c r="S578" s="7">
        <f>IF(OR(AND(Q578=1,NOT(EXACT(Raw_Bookings!F578,O578))),AND(R578=1,NOT(EXACT(Raw_Bookings!G578,P578)))),1,0)</f>
        <v>0</v>
      </c>
      <c r="T578" s="7">
        <f>IF(OR(Q578=0,R578=0),1,0)</f>
        <v>0</v>
      </c>
      <c r="U578" s="7">
        <f>IF(TRIM(Raw_Bookings!E578&amp;"")="",1,0)</f>
        <v>0</v>
      </c>
      <c r="V578" s="7" t="str">
        <f>IF(SUMPRODUCT(--(Lookup_Status!$A$2:$A$13=LOWER(TRIM(Raw_Bookings!K578))))=0,"",INDEX(Lookup_Status!$B$2:$B$13,SUMPRODUCT((Lookup_Status!$A$2:$A$13=LOWER(TRIM(Raw_Bookings!K578)))*(ROW(Lookup_Status!$A$2:$A$13)-1))))</f>
        <v>Confirmed</v>
      </c>
      <c r="W578" s="7">
        <f>IF(AND(V578&lt;&gt;"",NOT(EXACT(Raw_Bookings!K578,V578))),1,0)</f>
        <v>0</v>
      </c>
      <c r="X578" s="7">
        <f>IF(V578="",1,0)</f>
        <v>0</v>
      </c>
      <c r="Y578" s="7">
        <f>IF(TRIM(Raw_Bookings!L578&amp;"")="",1,0)</f>
        <v>0</v>
      </c>
      <c r="Z578" s="7">
        <f>IF(AND(ISTEXT(Raw_Bookings!L578),Y578=0),1,0)</f>
        <v>0</v>
      </c>
      <c r="AA578" s="7">
        <f>IF(Z578=1,IFERROR(VALUE(SUBSTITUTE(SUBSTITUTE(SUBSTITUTE(SUBSTITUTE(SUBSTITUTE(UPPER(Raw_Bookings!L578),"RS.",""),"₹",""),",","")," ",""),"INR","")),""),"")</f>
        <v/>
      </c>
      <c r="AB578" s="7">
        <f>IF(AND(Z578=1,ISNUMBER(AA578)),1,0)</f>
        <v>0</v>
      </c>
      <c r="AC578" s="7">
        <f>IF(B578=1,0,IF(NOT(ISNUMBER(Raw_Bookings!J578)),1,IF(Raw_Bookings!J578&lt;&gt;COUNTIFS(Work_Passengers!$B$2:$B$1336,Raw_Bookings!A578,Work_Passengers!$C$2:$C$1336,0),1,0)))</f>
        <v>0</v>
      </c>
    </row>
    <row r="579" spans="1:29">
      <c r="A579" s="7">
        <f>Raw_Bookings!A579</f>
        <v>1185029</v>
      </c>
      <c r="B579" s="7">
        <f>IF(COUNTIF(Raw_Bookings!$A$2:A579,Raw_Bookings!A579)&gt;1,1,0)</f>
        <v>0</v>
      </c>
      <c r="C579" s="7" t="str">
        <f>Raw_Bookings!D579&amp;""</f>
        <v>2026-06-19</v>
      </c>
      <c r="D579" s="7" t="str">
        <f>IF(AND(LEN(C579)=10,MID(C579,5,1)="-",MID(C579,8,1)="-"),"ISO",IF(AND(LEN(C579)=10,MID(C579,3,1)="-",MID(C579,6,1)="-"),"DMY","OTHER"))</f>
        <v>ISO</v>
      </c>
      <c r="E579" s="7">
        <f>IF(D579="ISO",VALUE(LEFT(C579,4)),IF(D579="DMY",VALUE(RIGHT(C579,4)),0))</f>
        <v>2026</v>
      </c>
      <c r="F579" s="7">
        <f>IF(D579="ISO",VALUE(MID(C579,6,2)),IF(D579="DMY",VALUE(MID(C579,4,2)),0))</f>
        <v>6</v>
      </c>
      <c r="G579" s="7">
        <f>IF(D579="ISO",VALUE(RIGHT(C579,2)),IF(D579="DMY",VALUE(LEFT(C579,2)),0))</f>
        <v>19</v>
      </c>
      <c r="H579" s="7">
        <f>IF(AND(D579&lt;&gt;"OTHER",F579&gt;=1,F579&lt;=12,G579&gt;=1,G579&lt;=31),IF(AND(MONTH(DATE(E579,F579,G579))=F579,DAY(DATE(E579,F579,G579))=G579),1,0),0)</f>
        <v>1</v>
      </c>
      <c r="I579" s="7">
        <f>IF(H579=1,DATE(E579,F579,G579),"")</f>
        <v>46192.0</v>
      </c>
      <c r="J579" s="7">
        <f>IF(AND(D579="DMY",H579=1),1,0)</f>
        <v>0</v>
      </c>
      <c r="K579" s="7">
        <f>IF(H579=0,1,0)</f>
        <v>0</v>
      </c>
      <c r="L579" s="7">
        <f>IF(TRIM(Raw_Bookings!I579&amp;"")="",1,0)</f>
        <v>0</v>
      </c>
      <c r="M579" s="7">
        <f>IF(L579=1,"",DATEVALUE(LEFT(Raw_Bookings!I579,10))+TIMEVALUE(MID(Raw_Bookings!I579,12,8)))</f>
        <v>46170.54023148148</v>
      </c>
      <c r="N579" s="7">
        <f>IF(AND(L579=0,H579=1),IF(INT(M579)&gt;I579,1,0),0)</f>
        <v>0</v>
      </c>
      <c r="O579" s="7" t="str">
        <f>UPPER(TRIM(Raw_Bookings!F579))</f>
        <v>MUM</v>
      </c>
      <c r="P579" s="7" t="str">
        <f>UPPER(TRIM(Raw_Bookings!G579))</f>
        <v>LUC</v>
      </c>
      <c r="Q579" s="7">
        <f>IF(COUNTIF(Lookup_Stations!$A$2:$A$33,O579)&gt;0,1,0)</f>
        <v>1</v>
      </c>
      <c r="R579" s="7">
        <f>IF(COUNTIF(Lookup_Stations!$A$2:$A$33,P579)&gt;0,1,0)</f>
        <v>1</v>
      </c>
      <c r="S579" s="7">
        <f>IF(OR(AND(Q579=1,NOT(EXACT(Raw_Bookings!F579,O579))),AND(R579=1,NOT(EXACT(Raw_Bookings!G579,P579)))),1,0)</f>
        <v>0</v>
      </c>
      <c r="T579" s="7">
        <f>IF(OR(Q579=0,R579=0),1,0)</f>
        <v>0</v>
      </c>
      <c r="U579" s="7">
        <f>IF(TRIM(Raw_Bookings!E579&amp;"")="",1,0)</f>
        <v>0</v>
      </c>
      <c r="V579" s="7" t="str">
        <f>IF(SUMPRODUCT(--(Lookup_Status!$A$2:$A$13=LOWER(TRIM(Raw_Bookings!K579))))=0,"",INDEX(Lookup_Status!$B$2:$B$13,SUMPRODUCT((Lookup_Status!$A$2:$A$13=LOWER(TRIM(Raw_Bookings!K579)))*(ROW(Lookup_Status!$A$2:$A$13)-1))))</f>
        <v>Mixed</v>
      </c>
      <c r="W579" s="7">
        <f>IF(AND(V579&lt;&gt;"",NOT(EXACT(Raw_Bookings!K579,V579))),1,0)</f>
        <v>0</v>
      </c>
      <c r="X579" s="7">
        <f>IF(V579="",1,0)</f>
        <v>0</v>
      </c>
      <c r="Y579" s="7">
        <f>IF(TRIM(Raw_Bookings!L579&amp;"")="",1,0)</f>
        <v>0</v>
      </c>
      <c r="Z579" s="7">
        <f>IF(AND(ISTEXT(Raw_Bookings!L579),Y579=0),1,0)</f>
        <v>0</v>
      </c>
      <c r="AA579" s="7">
        <f>IF(Z579=1,IFERROR(VALUE(SUBSTITUTE(SUBSTITUTE(SUBSTITUTE(SUBSTITUTE(SUBSTITUTE(UPPER(Raw_Bookings!L579),"RS.",""),"₹",""),",","")," ",""),"INR","")),""),"")</f>
        <v/>
      </c>
      <c r="AB579" s="7">
        <f>IF(AND(Z579=1,ISNUMBER(AA579)),1,0)</f>
        <v>0</v>
      </c>
      <c r="AC579" s="7">
        <f>IF(B579=1,0,IF(NOT(ISNUMBER(Raw_Bookings!J579)),1,IF(Raw_Bookings!J579&lt;&gt;COUNTIFS(Work_Passengers!$B$2:$B$1336,Raw_Bookings!A579,Work_Passengers!$C$2:$C$1336,0),1,0)))</f>
        <v>0</v>
      </c>
    </row>
    <row r="580" spans="1:29">
      <c r="A580" s="7">
        <f>Raw_Bookings!A580</f>
        <v>1185140</v>
      </c>
      <c r="B580" s="7">
        <f>IF(COUNTIF(Raw_Bookings!$A$2:A580,Raw_Bookings!A580)&gt;1,1,0)</f>
        <v>0</v>
      </c>
      <c r="C580" s="7" t="str">
        <f>Raw_Bookings!D580&amp;""</f>
        <v>2026-04-31</v>
      </c>
      <c r="D580" s="7" t="str">
        <f>IF(AND(LEN(C580)=10,MID(C580,5,1)="-",MID(C580,8,1)="-"),"ISO",IF(AND(LEN(C580)=10,MID(C580,3,1)="-",MID(C580,6,1)="-"),"DMY","OTHER"))</f>
        <v>ISO</v>
      </c>
      <c r="E580" s="7">
        <f>IF(D580="ISO",VALUE(LEFT(C580,4)),IF(D580="DMY",VALUE(RIGHT(C580,4)),0))</f>
        <v>2026</v>
      </c>
      <c r="F580" s="7">
        <f>IF(D580="ISO",VALUE(MID(C580,6,2)),IF(D580="DMY",VALUE(MID(C580,4,2)),0))</f>
        <v>4</v>
      </c>
      <c r="G580" s="7">
        <f>IF(D580="ISO",VALUE(RIGHT(C580,2)),IF(D580="DMY",VALUE(LEFT(C580,2)),0))</f>
        <v>31</v>
      </c>
      <c r="H580" s="7">
        <f>IF(AND(D580&lt;&gt;"OTHER",F580&gt;=1,F580&lt;=12,G580&gt;=1,G580&lt;=31),IF(AND(MONTH(DATE(E580,F580,G580))=F580,DAY(DATE(E580,F580,G580))=G580),1,0),0)</f>
        <v>0</v>
      </c>
      <c r="I580" s="7">
        <f>IF(H580=1,DATE(E580,F580,G580),"")</f>
        <v/>
      </c>
      <c r="J580" s="7">
        <f>IF(AND(D580="DMY",H580=1),1,0)</f>
        <v>0</v>
      </c>
      <c r="K580" s="7">
        <f>IF(H580=0,1,0)</f>
        <v>1</v>
      </c>
      <c r="L580" s="7">
        <f>IF(TRIM(Raw_Bookings!I580&amp;"")="",1,0)</f>
        <v>0</v>
      </c>
      <c r="M580" s="7">
        <f>IF(L580=1,"",DATEVALUE(LEFT(Raw_Bookings!I580,10))+TIMEVALUE(MID(Raw_Bookings!I580,12,8)))</f>
        <v>46170.82784722222</v>
      </c>
      <c r="N580" s="7">
        <f>IF(AND(L580=0,H580=1),IF(INT(M580)&gt;I580,1,0),0)</f>
        <v>0</v>
      </c>
      <c r="O580" s="7" t="str">
        <f>UPPER(TRIM(Raw_Bookings!F580))</f>
        <v>IND</v>
      </c>
      <c r="P580" s="7" t="str">
        <f>UPPER(TRIM(Raw_Bookings!G580))</f>
        <v>AMR</v>
      </c>
      <c r="Q580" s="7">
        <f>IF(COUNTIF(Lookup_Stations!$A$2:$A$33,O580)&gt;0,1,0)</f>
        <v>1</v>
      </c>
      <c r="R580" s="7">
        <f>IF(COUNTIF(Lookup_Stations!$A$2:$A$33,P580)&gt;0,1,0)</f>
        <v>1</v>
      </c>
      <c r="S580" s="7">
        <f>IF(OR(AND(Q580=1,NOT(EXACT(Raw_Bookings!F580,O580))),AND(R580=1,NOT(EXACT(Raw_Bookings!G580,P580)))),1,0)</f>
        <v>0</v>
      </c>
      <c r="T580" s="7">
        <f>IF(OR(Q580=0,R580=0),1,0)</f>
        <v>0</v>
      </c>
      <c r="U580" s="7">
        <f>IF(TRIM(Raw_Bookings!E580&amp;"")="",1,0)</f>
        <v>0</v>
      </c>
      <c r="V580" s="7" t="str">
        <f>IF(SUMPRODUCT(--(Lookup_Status!$A$2:$A$13=LOWER(TRIM(Raw_Bookings!K580))))=0,"",INDEX(Lookup_Status!$B$2:$B$13,SUMPRODUCT((Lookup_Status!$A$2:$A$13=LOWER(TRIM(Raw_Bookings!K580)))*(ROW(Lookup_Status!$A$2:$A$13)-1))))</f>
        <v>Confirmed</v>
      </c>
      <c r="W580" s="7">
        <f>IF(AND(V580&lt;&gt;"",NOT(EXACT(Raw_Bookings!K580,V580))),1,0)</f>
        <v>0</v>
      </c>
      <c r="X580" s="7">
        <f>IF(V580="",1,0)</f>
        <v>0</v>
      </c>
      <c r="Y580" s="7">
        <f>IF(TRIM(Raw_Bookings!L580&amp;"")="",1,0)</f>
        <v>0</v>
      </c>
      <c r="Z580" s="7">
        <f>IF(AND(ISTEXT(Raw_Bookings!L580),Y580=0),1,0)</f>
        <v>0</v>
      </c>
      <c r="AA580" s="7">
        <f>IF(Z580=1,IFERROR(VALUE(SUBSTITUTE(SUBSTITUTE(SUBSTITUTE(SUBSTITUTE(SUBSTITUTE(UPPER(Raw_Bookings!L580),"RS.",""),"₹",""),",","")," ",""),"INR","")),""),"")</f>
        <v/>
      </c>
      <c r="AB580" s="7">
        <f>IF(AND(Z580=1,ISNUMBER(AA580)),1,0)</f>
        <v>0</v>
      </c>
      <c r="AC580" s="7">
        <f>IF(B580=1,0,IF(NOT(ISNUMBER(Raw_Bookings!J580)),1,IF(Raw_Bookings!J580&lt;&gt;COUNTIFS(Work_Passengers!$B$2:$B$1336,Raw_Bookings!A580,Work_Passengers!$C$2:$C$1336,0),1,0)))</f>
        <v>0</v>
      </c>
    </row>
    <row r="581" spans="1:29">
      <c r="A581" s="7">
        <f>Raw_Bookings!A581</f>
        <v>1185328</v>
      </c>
      <c r="B581" s="7">
        <f>IF(COUNTIF(Raw_Bookings!$A$2:A581,Raw_Bookings!A581)&gt;1,1,0)</f>
        <v>0</v>
      </c>
      <c r="C581" s="7" t="str">
        <f>Raw_Bookings!D581&amp;""</f>
        <v>2026-06-08</v>
      </c>
      <c r="D581" s="7" t="str">
        <f>IF(AND(LEN(C581)=10,MID(C581,5,1)="-",MID(C581,8,1)="-"),"ISO",IF(AND(LEN(C581)=10,MID(C581,3,1)="-",MID(C581,6,1)="-"),"DMY","OTHER"))</f>
        <v>ISO</v>
      </c>
      <c r="E581" s="7">
        <f>IF(D581="ISO",VALUE(LEFT(C581,4)),IF(D581="DMY",VALUE(RIGHT(C581,4)),0))</f>
        <v>2026</v>
      </c>
      <c r="F581" s="7">
        <f>IF(D581="ISO",VALUE(MID(C581,6,2)),IF(D581="DMY",VALUE(MID(C581,4,2)),0))</f>
        <v>6</v>
      </c>
      <c r="G581" s="7">
        <f>IF(D581="ISO",VALUE(RIGHT(C581,2)),IF(D581="DMY",VALUE(LEFT(C581,2)),0))</f>
        <v>8</v>
      </c>
      <c r="H581" s="7">
        <f>IF(AND(D581&lt;&gt;"OTHER",F581&gt;=1,F581&lt;=12,G581&gt;=1,G581&lt;=31),IF(AND(MONTH(DATE(E581,F581,G581))=F581,DAY(DATE(E581,F581,G581))=G581),1,0),0)</f>
        <v>1</v>
      </c>
      <c r="I581" s="7">
        <f>IF(H581=1,DATE(E581,F581,G581),"")</f>
        <v>46181.0</v>
      </c>
      <c r="J581" s="7">
        <f>IF(AND(D581="DMY",H581=1),1,0)</f>
        <v>0</v>
      </c>
      <c r="K581" s="7">
        <f>IF(H581=0,1,0)</f>
        <v>0</v>
      </c>
      <c r="L581" s="7">
        <f>IF(TRIM(Raw_Bookings!I581&amp;"")="",1,0)</f>
        <v>0</v>
      </c>
      <c r="M581" s="7">
        <f>IF(L581=1,"",DATEVALUE(LEFT(Raw_Bookings!I581,10))+TIMEVALUE(MID(Raw_Bookings!I581,12,8)))</f>
        <v>46171.705046296294</v>
      </c>
      <c r="N581" s="7">
        <f>IF(AND(L581=0,H581=1),IF(INT(M581)&gt;I581,1,0),0)</f>
        <v>0</v>
      </c>
      <c r="O581" s="7" t="str">
        <f>UPPER(TRIM(Raw_Bookings!F581))</f>
        <v>BHO</v>
      </c>
      <c r="P581" s="7" t="str">
        <f>UPPER(TRIM(Raw_Bookings!G581))</f>
        <v>GUW</v>
      </c>
      <c r="Q581" s="7">
        <f>IF(COUNTIF(Lookup_Stations!$A$2:$A$33,O581)&gt;0,1,0)</f>
        <v>1</v>
      </c>
      <c r="R581" s="7">
        <f>IF(COUNTIF(Lookup_Stations!$A$2:$A$33,P581)&gt;0,1,0)</f>
        <v>1</v>
      </c>
      <c r="S581" s="7">
        <f>IF(OR(AND(Q581=1,NOT(EXACT(Raw_Bookings!F581,O581))),AND(R581=1,NOT(EXACT(Raw_Bookings!G581,P581)))),1,0)</f>
        <v>0</v>
      </c>
      <c r="T581" s="7">
        <f>IF(OR(Q581=0,R581=0),1,0)</f>
        <v>0</v>
      </c>
      <c r="U581" s="7">
        <f>IF(TRIM(Raw_Bookings!E581&amp;"")="",1,0)</f>
        <v>0</v>
      </c>
      <c r="V581" s="7" t="str">
        <f>IF(SUMPRODUCT(--(Lookup_Status!$A$2:$A$13=LOWER(TRIM(Raw_Bookings!K581))))=0,"",INDEX(Lookup_Status!$B$2:$B$13,SUMPRODUCT((Lookup_Status!$A$2:$A$13=LOWER(TRIM(Raw_Bookings!K581)))*(ROW(Lookup_Status!$A$2:$A$13)-1))))</f>
        <v>Confirmed</v>
      </c>
      <c r="W581" s="7">
        <f>IF(AND(V581&lt;&gt;"",NOT(EXACT(Raw_Bookings!K581,V581))),1,0)</f>
        <v>0</v>
      </c>
      <c r="X581" s="7">
        <f>IF(V581="",1,0)</f>
        <v>0</v>
      </c>
      <c r="Y581" s="7">
        <f>IF(TRIM(Raw_Bookings!L581&amp;"")="",1,0)</f>
        <v>0</v>
      </c>
      <c r="Z581" s="7">
        <f>IF(AND(ISTEXT(Raw_Bookings!L581),Y581=0),1,0)</f>
        <v>0</v>
      </c>
      <c r="AA581" s="7">
        <f>IF(Z581=1,IFERROR(VALUE(SUBSTITUTE(SUBSTITUTE(SUBSTITUTE(SUBSTITUTE(SUBSTITUTE(UPPER(Raw_Bookings!L581),"RS.",""),"₹",""),",","")," ",""),"INR","")),""),"")</f>
        <v/>
      </c>
      <c r="AB581" s="7">
        <f>IF(AND(Z581=1,ISNUMBER(AA581)),1,0)</f>
        <v>0</v>
      </c>
      <c r="AC581" s="7">
        <f>IF(B581=1,0,IF(NOT(ISNUMBER(Raw_Bookings!J581)),1,IF(Raw_Bookings!J581&lt;&gt;COUNTIFS(Work_Passengers!$B$2:$B$1336,Raw_Bookings!A581,Work_Passengers!$C$2:$C$1336,0),1,0)))</f>
        <v>0</v>
      </c>
    </row>
    <row r="582" spans="1:29">
      <c r="A582" s="7">
        <f>Raw_Bookings!A582</f>
        <v>1185986</v>
      </c>
      <c r="B582" s="7">
        <f>IF(COUNTIF(Raw_Bookings!$A$2:A582,Raw_Bookings!A582)&gt;1,1,0)</f>
        <v>0</v>
      </c>
      <c r="C582" s="7" t="str">
        <f>Raw_Bookings!D582&amp;""</f>
        <v>2026-07-24</v>
      </c>
      <c r="D582" s="7" t="str">
        <f>IF(AND(LEN(C582)=10,MID(C582,5,1)="-",MID(C582,8,1)="-"),"ISO",IF(AND(LEN(C582)=10,MID(C582,3,1)="-",MID(C582,6,1)="-"),"DMY","OTHER"))</f>
        <v>ISO</v>
      </c>
      <c r="E582" s="7">
        <f>IF(D582="ISO",VALUE(LEFT(C582,4)),IF(D582="DMY",VALUE(RIGHT(C582,4)),0))</f>
        <v>2026</v>
      </c>
      <c r="F582" s="7">
        <f>IF(D582="ISO",VALUE(MID(C582,6,2)),IF(D582="DMY",VALUE(MID(C582,4,2)),0))</f>
        <v>7</v>
      </c>
      <c r="G582" s="7">
        <f>IF(D582="ISO",VALUE(RIGHT(C582,2)),IF(D582="DMY",VALUE(LEFT(C582,2)),0))</f>
        <v>24</v>
      </c>
      <c r="H582" s="7">
        <f>IF(AND(D582&lt;&gt;"OTHER",F582&gt;=1,F582&lt;=12,G582&gt;=1,G582&lt;=31),IF(AND(MONTH(DATE(E582,F582,G582))=F582,DAY(DATE(E582,F582,G582))=G582),1,0),0)</f>
        <v>1</v>
      </c>
      <c r="I582" s="7">
        <f>IF(H582=1,DATE(E582,F582,G582),"")</f>
        <v>46227.0</v>
      </c>
      <c r="J582" s="7">
        <f>IF(AND(D582="DMY",H582=1),1,0)</f>
        <v>0</v>
      </c>
      <c r="K582" s="7">
        <f>IF(H582=0,1,0)</f>
        <v>0</v>
      </c>
      <c r="L582" s="7">
        <f>IF(TRIM(Raw_Bookings!I582&amp;"")="",1,0)</f>
        <v>0</v>
      </c>
      <c r="M582" s="7">
        <f>IF(L582=1,"",DATEVALUE(LEFT(Raw_Bookings!I582,10))+TIMEVALUE(MID(Raw_Bookings!I582,12,8)))</f>
        <v>46174.43467592593</v>
      </c>
      <c r="N582" s="7">
        <f>IF(AND(L582=0,H582=1),IF(INT(M582)&gt;I582,1,0),0)</f>
        <v>0</v>
      </c>
      <c r="O582" s="7" t="str">
        <f>UPPER(TRIM(Raw_Bookings!F582))</f>
        <v>KOL</v>
      </c>
      <c r="P582" s="7" t="str">
        <f>UPPER(TRIM(Raw_Bookings!G582))</f>
        <v>HYD</v>
      </c>
      <c r="Q582" s="7">
        <f>IF(COUNTIF(Lookup_Stations!$A$2:$A$33,O582)&gt;0,1,0)</f>
        <v>1</v>
      </c>
      <c r="R582" s="7">
        <f>IF(COUNTIF(Lookup_Stations!$A$2:$A$33,P582)&gt;0,1,0)</f>
        <v>1</v>
      </c>
      <c r="S582" s="7">
        <f>IF(OR(AND(Q582=1,NOT(EXACT(Raw_Bookings!F582,O582))),AND(R582=1,NOT(EXACT(Raw_Bookings!G582,P582)))),1,0)</f>
        <v>0</v>
      </c>
      <c r="T582" s="7">
        <f>IF(OR(Q582=0,R582=0),1,0)</f>
        <v>0</v>
      </c>
      <c r="U582" s="7">
        <f>IF(TRIM(Raw_Bookings!E582&amp;"")="",1,0)</f>
        <v>0</v>
      </c>
      <c r="V582" s="7" t="str">
        <f>IF(SUMPRODUCT(--(Lookup_Status!$A$2:$A$13=LOWER(TRIM(Raw_Bookings!K582))))=0,"",INDEX(Lookup_Status!$B$2:$B$13,SUMPRODUCT((Lookup_Status!$A$2:$A$13=LOWER(TRIM(Raw_Bookings!K582)))*(ROW(Lookup_Status!$A$2:$A$13)-1))))</f>
        <v>Confirmed</v>
      </c>
      <c r="W582" s="7">
        <f>IF(AND(V582&lt;&gt;"",NOT(EXACT(Raw_Bookings!K582,V582))),1,0)</f>
        <v>0</v>
      </c>
      <c r="X582" s="7">
        <f>IF(V582="",1,0)</f>
        <v>0</v>
      </c>
      <c r="Y582" s="7">
        <f>IF(TRIM(Raw_Bookings!L582&amp;"")="",1,0)</f>
        <v>0</v>
      </c>
      <c r="Z582" s="7">
        <f>IF(AND(ISTEXT(Raw_Bookings!L582),Y582=0),1,0)</f>
        <v>0</v>
      </c>
      <c r="AA582" s="7">
        <f>IF(Z582=1,IFERROR(VALUE(SUBSTITUTE(SUBSTITUTE(SUBSTITUTE(SUBSTITUTE(SUBSTITUTE(UPPER(Raw_Bookings!L582),"RS.",""),"₹",""),",","")," ",""),"INR","")),""),"")</f>
        <v/>
      </c>
      <c r="AB582" s="7">
        <f>IF(AND(Z582=1,ISNUMBER(AA582)),1,0)</f>
        <v>0</v>
      </c>
      <c r="AC582" s="7">
        <f>IF(B582=1,0,IF(NOT(ISNUMBER(Raw_Bookings!J582)),1,IF(Raw_Bookings!J582&lt;&gt;COUNTIFS(Work_Passengers!$B$2:$B$1336,Raw_Bookings!A582,Work_Passengers!$C$2:$C$1336,0),1,0)))</f>
        <v>0</v>
      </c>
    </row>
    <row r="583" spans="1:29">
      <c r="A583" s="7">
        <f>Raw_Bookings!A583</f>
        <v>1186076</v>
      </c>
      <c r="B583" s="7">
        <f>IF(COUNTIF(Raw_Bookings!$A$2:A583,Raw_Bookings!A583)&gt;1,1,0)</f>
        <v>0</v>
      </c>
      <c r="C583" s="7" t="str">
        <f>Raw_Bookings!D583&amp;""</f>
        <v>2026-06-03</v>
      </c>
      <c r="D583" s="7" t="str">
        <f>IF(AND(LEN(C583)=10,MID(C583,5,1)="-",MID(C583,8,1)="-"),"ISO",IF(AND(LEN(C583)=10,MID(C583,3,1)="-",MID(C583,6,1)="-"),"DMY","OTHER"))</f>
        <v>ISO</v>
      </c>
      <c r="E583" s="7">
        <f>IF(D583="ISO",VALUE(LEFT(C583,4)),IF(D583="DMY",VALUE(RIGHT(C583,4)),0))</f>
        <v>2026</v>
      </c>
      <c r="F583" s="7">
        <f>IF(D583="ISO",VALUE(MID(C583,6,2)),IF(D583="DMY",VALUE(MID(C583,4,2)),0))</f>
        <v>6</v>
      </c>
      <c r="G583" s="7">
        <f>IF(D583="ISO",VALUE(RIGHT(C583,2)),IF(D583="DMY",VALUE(LEFT(C583,2)),0))</f>
        <v>3</v>
      </c>
      <c r="H583" s="7">
        <f>IF(AND(D583&lt;&gt;"OTHER",F583&gt;=1,F583&lt;=12,G583&gt;=1,G583&lt;=31),IF(AND(MONTH(DATE(E583,F583,G583))=F583,DAY(DATE(E583,F583,G583))=G583),1,0),0)</f>
        <v>1</v>
      </c>
      <c r="I583" s="7">
        <f>IF(H583=1,DATE(E583,F583,G583),"")</f>
        <v>46176.0</v>
      </c>
      <c r="J583" s="7">
        <f>IF(AND(D583="DMY",H583=1),1,0)</f>
        <v>0</v>
      </c>
      <c r="K583" s="7">
        <f>IF(H583=0,1,0)</f>
        <v>0</v>
      </c>
      <c r="L583" s="7">
        <f>IF(TRIM(Raw_Bookings!I583&amp;"")="",1,0)</f>
        <v>0</v>
      </c>
      <c r="M583" s="7">
        <f>IF(L583=1,"",DATEVALUE(LEFT(Raw_Bookings!I583,10))+TIMEVALUE(MID(Raw_Bookings!I583,12,8)))</f>
        <v>46174.74234953704</v>
      </c>
      <c r="N583" s="7">
        <f>IF(AND(L583=0,H583=1),IF(INT(M583)&gt;I583,1,0),0)</f>
        <v>0</v>
      </c>
      <c r="O583" s="7" t="str">
        <f>UPPER(TRIM(Raw_Bookings!F583))</f>
        <v>MUM</v>
      </c>
      <c r="P583" s="7" t="str">
        <f>UPPER(TRIM(Raw_Bookings!G583))</f>
        <v>BEN</v>
      </c>
      <c r="Q583" s="7">
        <f>IF(COUNTIF(Lookup_Stations!$A$2:$A$33,O583)&gt;0,1,0)</f>
        <v>1</v>
      </c>
      <c r="R583" s="7">
        <f>IF(COUNTIF(Lookup_Stations!$A$2:$A$33,P583)&gt;0,1,0)</f>
        <v>1</v>
      </c>
      <c r="S583" s="7">
        <f>IF(OR(AND(Q583=1,NOT(EXACT(Raw_Bookings!F583,O583))),AND(R583=1,NOT(EXACT(Raw_Bookings!G583,P583)))),1,0)</f>
        <v>0</v>
      </c>
      <c r="T583" s="7">
        <f>IF(OR(Q583=0,R583=0),1,0)</f>
        <v>0</v>
      </c>
      <c r="U583" s="7">
        <f>IF(TRIM(Raw_Bookings!E583&amp;"")="",1,0)</f>
        <v>0</v>
      </c>
      <c r="V583" s="7" t="str">
        <f>IF(SUMPRODUCT(--(Lookup_Status!$A$2:$A$13=LOWER(TRIM(Raw_Bookings!K583))))=0,"",INDEX(Lookup_Status!$B$2:$B$13,SUMPRODUCT((Lookup_Status!$A$2:$A$13=LOWER(TRIM(Raw_Bookings!K583)))*(ROW(Lookup_Status!$A$2:$A$13)-1))))</f>
        <v>Waitlisted</v>
      </c>
      <c r="W583" s="7">
        <f>IF(AND(V583&lt;&gt;"",NOT(EXACT(Raw_Bookings!K583,V583))),1,0)</f>
        <v>0</v>
      </c>
      <c r="X583" s="7">
        <f>IF(V583="",1,0)</f>
        <v>0</v>
      </c>
      <c r="Y583" s="7">
        <f>IF(TRIM(Raw_Bookings!L583&amp;"")="",1,0)</f>
        <v>0</v>
      </c>
      <c r="Z583" s="7">
        <f>IF(AND(ISTEXT(Raw_Bookings!L583),Y583=0),1,0)</f>
        <v>0</v>
      </c>
      <c r="AA583" s="7">
        <f>IF(Z583=1,IFERROR(VALUE(SUBSTITUTE(SUBSTITUTE(SUBSTITUTE(SUBSTITUTE(SUBSTITUTE(UPPER(Raw_Bookings!L583),"RS.",""),"₹",""),",","")," ",""),"INR","")),""),"")</f>
        <v/>
      </c>
      <c r="AB583" s="7">
        <f>IF(AND(Z583=1,ISNUMBER(AA583)),1,0)</f>
        <v>0</v>
      </c>
      <c r="AC583" s="7">
        <f>IF(B583=1,0,IF(NOT(ISNUMBER(Raw_Bookings!J583)),1,IF(Raw_Bookings!J583&lt;&gt;COUNTIFS(Work_Passengers!$B$2:$B$1336,Raw_Bookings!A583,Work_Passengers!$C$2:$C$1336,0),1,0)))</f>
        <v>0</v>
      </c>
    </row>
    <row r="584" spans="1:29">
      <c r="A584" s="7">
        <f>Raw_Bookings!A584</f>
        <v>1186306</v>
      </c>
      <c r="B584" s="7">
        <f>IF(COUNTIF(Raw_Bookings!$A$2:A584,Raw_Bookings!A584)&gt;1,1,0)</f>
        <v>0</v>
      </c>
      <c r="C584" s="7" t="str">
        <f>Raw_Bookings!D584&amp;""</f>
        <v>2026-06-16</v>
      </c>
      <c r="D584" s="7" t="str">
        <f>IF(AND(LEN(C584)=10,MID(C584,5,1)="-",MID(C584,8,1)="-"),"ISO",IF(AND(LEN(C584)=10,MID(C584,3,1)="-",MID(C584,6,1)="-"),"DMY","OTHER"))</f>
        <v>ISO</v>
      </c>
      <c r="E584" s="7">
        <f>IF(D584="ISO",VALUE(LEFT(C584,4)),IF(D584="DMY",VALUE(RIGHT(C584,4)),0))</f>
        <v>2026</v>
      </c>
      <c r="F584" s="7">
        <f>IF(D584="ISO",VALUE(MID(C584,6,2)),IF(D584="DMY",VALUE(MID(C584,4,2)),0))</f>
        <v>6</v>
      </c>
      <c r="G584" s="7">
        <f>IF(D584="ISO",VALUE(RIGHT(C584,2)),IF(D584="DMY",VALUE(LEFT(C584,2)),0))</f>
        <v>16</v>
      </c>
      <c r="H584" s="7">
        <f>IF(AND(D584&lt;&gt;"OTHER",F584&gt;=1,F584&lt;=12,G584&gt;=1,G584&lt;=31),IF(AND(MONTH(DATE(E584,F584,G584))=F584,DAY(DATE(E584,F584,G584))=G584),1,0),0)</f>
        <v>1</v>
      </c>
      <c r="I584" s="7">
        <f>IF(H584=1,DATE(E584,F584,G584),"")</f>
        <v>46189.0</v>
      </c>
      <c r="J584" s="7">
        <f>IF(AND(D584="DMY",H584=1),1,0)</f>
        <v>0</v>
      </c>
      <c r="K584" s="7">
        <f>IF(H584=0,1,0)</f>
        <v>0</v>
      </c>
      <c r="L584" s="7">
        <f>IF(TRIM(Raw_Bookings!I584&amp;"")="",1,0)</f>
        <v>0</v>
      </c>
      <c r="M584" s="7">
        <f>IF(L584=1,"",DATEVALUE(LEFT(Raw_Bookings!I584,10))+TIMEVALUE(MID(Raw_Bookings!I584,12,8)))</f>
        <v>46175.7040625</v>
      </c>
      <c r="N584" s="7">
        <f>IF(AND(L584=0,H584=1),IF(INT(M584)&gt;I584,1,0),0)</f>
        <v>0</v>
      </c>
      <c r="O584" s="7" t="str">
        <f>UPPER(TRIM(Raw_Bookings!F584))</f>
        <v>BEN</v>
      </c>
      <c r="P584" s="7" t="str">
        <f>UPPER(TRIM(Raw_Bookings!G584))</f>
        <v>JOD</v>
      </c>
      <c r="Q584" s="7">
        <f>IF(COUNTIF(Lookup_Stations!$A$2:$A$33,O584)&gt;0,1,0)</f>
        <v>1</v>
      </c>
      <c r="R584" s="7">
        <f>IF(COUNTIF(Lookup_Stations!$A$2:$A$33,P584)&gt;0,1,0)</f>
        <v>1</v>
      </c>
      <c r="S584" s="7">
        <f>IF(OR(AND(Q584=1,NOT(EXACT(Raw_Bookings!F584,O584))),AND(R584=1,NOT(EXACT(Raw_Bookings!G584,P584)))),1,0)</f>
        <v>0</v>
      </c>
      <c r="T584" s="7">
        <f>IF(OR(Q584=0,R584=0),1,0)</f>
        <v>0</v>
      </c>
      <c r="U584" s="7">
        <f>IF(TRIM(Raw_Bookings!E584&amp;"")="",1,0)</f>
        <v>0</v>
      </c>
      <c r="V584" s="7" t="str">
        <f>IF(SUMPRODUCT(--(Lookup_Status!$A$2:$A$13=LOWER(TRIM(Raw_Bookings!K584))))=0,"",INDEX(Lookup_Status!$B$2:$B$13,SUMPRODUCT((Lookup_Status!$A$2:$A$13=LOWER(TRIM(Raw_Bookings!K584)))*(ROW(Lookup_Status!$A$2:$A$13)-1))))</f>
        <v>Confirmed</v>
      </c>
      <c r="W584" s="7">
        <f>IF(AND(V584&lt;&gt;"",NOT(EXACT(Raw_Bookings!K584,V584))),1,0)</f>
        <v>0</v>
      </c>
      <c r="X584" s="7">
        <f>IF(V584="",1,0)</f>
        <v>0</v>
      </c>
      <c r="Y584" s="7">
        <f>IF(TRIM(Raw_Bookings!L584&amp;"")="",1,0)</f>
        <v>0</v>
      </c>
      <c r="Z584" s="7">
        <f>IF(AND(ISTEXT(Raw_Bookings!L584),Y584=0),1,0)</f>
        <v>0</v>
      </c>
      <c r="AA584" s="7">
        <f>IF(Z584=1,IFERROR(VALUE(SUBSTITUTE(SUBSTITUTE(SUBSTITUTE(SUBSTITUTE(SUBSTITUTE(UPPER(Raw_Bookings!L584),"RS.",""),"₹",""),",","")," ",""),"INR","")),""),"")</f>
        <v/>
      </c>
      <c r="AB584" s="7">
        <f>IF(AND(Z584=1,ISNUMBER(AA584)),1,0)</f>
        <v>0</v>
      </c>
      <c r="AC584" s="7">
        <f>IF(B584=1,0,IF(NOT(ISNUMBER(Raw_Bookings!J584)),1,IF(Raw_Bookings!J584&lt;&gt;COUNTIFS(Work_Passengers!$B$2:$B$1336,Raw_Bookings!A584,Work_Passengers!$C$2:$C$1336,0),1,0)))</f>
        <v>0</v>
      </c>
    </row>
    <row r="585" spans="1:29">
      <c r="A585" s="7">
        <f>Raw_Bookings!A585</f>
        <v>1186631</v>
      </c>
      <c r="B585" s="7">
        <f>IF(COUNTIF(Raw_Bookings!$A$2:A585,Raw_Bookings!A585)&gt;1,1,0)</f>
        <v>0</v>
      </c>
      <c r="C585" s="7" t="str">
        <f>Raw_Bookings!D585&amp;""</f>
        <v>2026-08-31</v>
      </c>
      <c r="D585" s="7" t="str">
        <f>IF(AND(LEN(C585)=10,MID(C585,5,1)="-",MID(C585,8,1)="-"),"ISO",IF(AND(LEN(C585)=10,MID(C585,3,1)="-",MID(C585,6,1)="-"),"DMY","OTHER"))</f>
        <v>ISO</v>
      </c>
      <c r="E585" s="7">
        <f>IF(D585="ISO",VALUE(LEFT(C585,4)),IF(D585="DMY",VALUE(RIGHT(C585,4)),0))</f>
        <v>2026</v>
      </c>
      <c r="F585" s="7">
        <f>IF(D585="ISO",VALUE(MID(C585,6,2)),IF(D585="DMY",VALUE(MID(C585,4,2)),0))</f>
        <v>8</v>
      </c>
      <c r="G585" s="7">
        <f>IF(D585="ISO",VALUE(RIGHT(C585,2)),IF(D585="DMY",VALUE(LEFT(C585,2)),0))</f>
        <v>31</v>
      </c>
      <c r="H585" s="7">
        <f>IF(AND(D585&lt;&gt;"OTHER",F585&gt;=1,F585&lt;=12,G585&gt;=1,G585&lt;=31),IF(AND(MONTH(DATE(E585,F585,G585))=F585,DAY(DATE(E585,F585,G585))=G585),1,0),0)</f>
        <v>1</v>
      </c>
      <c r="I585" s="7">
        <f>IF(H585=1,DATE(E585,F585,G585),"")</f>
        <v>46265.0</v>
      </c>
      <c r="J585" s="7">
        <f>IF(AND(D585="DMY",H585=1),1,0)</f>
        <v>0</v>
      </c>
      <c r="K585" s="7">
        <f>IF(H585=0,1,0)</f>
        <v>0</v>
      </c>
      <c r="L585" s="7">
        <f>IF(TRIM(Raw_Bookings!I585&amp;"")="",1,0)</f>
        <v>0</v>
      </c>
      <c r="M585" s="7">
        <f>IF(L585=1,"",DATEVALUE(LEFT(Raw_Bookings!I585,10))+TIMEVALUE(MID(Raw_Bookings!I585,12,8)))</f>
        <v>46176.85560185185</v>
      </c>
      <c r="N585" s="7">
        <f>IF(AND(L585=0,H585=1),IF(INT(M585)&gt;I585,1,0),0)</f>
        <v>0</v>
      </c>
      <c r="O585" s="7" t="str">
        <f>UPPER(TRIM(Raw_Bookings!F585))</f>
        <v>RAI</v>
      </c>
      <c r="P585" s="7" t="str">
        <f>UPPER(TRIM(Raw_Bookings!G585))</f>
        <v>JAI</v>
      </c>
      <c r="Q585" s="7">
        <f>IF(COUNTIF(Lookup_Stations!$A$2:$A$33,O585)&gt;0,1,0)</f>
        <v>1</v>
      </c>
      <c r="R585" s="7">
        <f>IF(COUNTIF(Lookup_Stations!$A$2:$A$33,P585)&gt;0,1,0)</f>
        <v>1</v>
      </c>
      <c r="S585" s="7">
        <f>IF(OR(AND(Q585=1,NOT(EXACT(Raw_Bookings!F585,O585))),AND(R585=1,NOT(EXACT(Raw_Bookings!G585,P585)))),1,0)</f>
        <v>0</v>
      </c>
      <c r="T585" s="7">
        <f>IF(OR(Q585=0,R585=0),1,0)</f>
        <v>0</v>
      </c>
      <c r="U585" s="7">
        <f>IF(TRIM(Raw_Bookings!E585&amp;"")="",1,0)</f>
        <v>0</v>
      </c>
      <c r="V585" s="7" t="str">
        <f>IF(SUMPRODUCT(--(Lookup_Status!$A$2:$A$13=LOWER(TRIM(Raw_Bookings!K585))))=0,"",INDEX(Lookup_Status!$B$2:$B$13,SUMPRODUCT((Lookup_Status!$A$2:$A$13=LOWER(TRIM(Raw_Bookings!K585)))*(ROW(Lookup_Status!$A$2:$A$13)-1))))</f>
        <v>Confirmed</v>
      </c>
      <c r="W585" s="7">
        <f>IF(AND(V585&lt;&gt;"",NOT(EXACT(Raw_Bookings!K585,V585))),1,0)</f>
        <v>0</v>
      </c>
      <c r="X585" s="7">
        <f>IF(V585="",1,0)</f>
        <v>0</v>
      </c>
      <c r="Y585" s="7">
        <f>IF(TRIM(Raw_Bookings!L585&amp;"")="",1,0)</f>
        <v>0</v>
      </c>
      <c r="Z585" s="7">
        <f>IF(AND(ISTEXT(Raw_Bookings!L585),Y585=0),1,0)</f>
        <v>0</v>
      </c>
      <c r="AA585" s="7">
        <f>IF(Z585=1,IFERROR(VALUE(SUBSTITUTE(SUBSTITUTE(SUBSTITUTE(SUBSTITUTE(SUBSTITUTE(UPPER(Raw_Bookings!L585),"RS.",""),"₹",""),",","")," ",""),"INR","")),""),"")</f>
        <v/>
      </c>
      <c r="AB585" s="7">
        <f>IF(AND(Z585=1,ISNUMBER(AA585)),1,0)</f>
        <v>0</v>
      </c>
      <c r="AC585" s="7">
        <f>IF(B585=1,0,IF(NOT(ISNUMBER(Raw_Bookings!J585)),1,IF(Raw_Bookings!J585&lt;&gt;COUNTIFS(Work_Passengers!$B$2:$B$1336,Raw_Bookings!A585,Work_Passengers!$C$2:$C$1336,0),1,0)))</f>
        <v>0</v>
      </c>
    </row>
    <row r="586" spans="1:29">
      <c r="A586" s="7">
        <f>Raw_Bookings!A586</f>
        <v>1186718</v>
      </c>
      <c r="B586" s="7">
        <f>IF(COUNTIF(Raw_Bookings!$A$2:A586,Raw_Bookings!A586)&gt;1,1,0)</f>
        <v>0</v>
      </c>
      <c r="C586" s="7" t="str">
        <f>Raw_Bookings!D586&amp;""</f>
        <v>2026-07-21</v>
      </c>
      <c r="D586" s="7" t="str">
        <f>IF(AND(LEN(C586)=10,MID(C586,5,1)="-",MID(C586,8,1)="-"),"ISO",IF(AND(LEN(C586)=10,MID(C586,3,1)="-",MID(C586,6,1)="-"),"DMY","OTHER"))</f>
        <v>ISO</v>
      </c>
      <c r="E586" s="7">
        <f>IF(D586="ISO",VALUE(LEFT(C586,4)),IF(D586="DMY",VALUE(RIGHT(C586,4)),0))</f>
        <v>2026</v>
      </c>
      <c r="F586" s="7">
        <f>IF(D586="ISO",VALUE(MID(C586,6,2)),IF(D586="DMY",VALUE(MID(C586,4,2)),0))</f>
        <v>7</v>
      </c>
      <c r="G586" s="7">
        <f>IF(D586="ISO",VALUE(RIGHT(C586,2)),IF(D586="DMY",VALUE(LEFT(C586,2)),0))</f>
        <v>21</v>
      </c>
      <c r="H586" s="7">
        <f>IF(AND(D586&lt;&gt;"OTHER",F586&gt;=1,F586&lt;=12,G586&gt;=1,G586&lt;=31),IF(AND(MONTH(DATE(E586,F586,G586))=F586,DAY(DATE(E586,F586,G586))=G586),1,0),0)</f>
        <v>1</v>
      </c>
      <c r="I586" s="7">
        <f>IF(H586=1,DATE(E586,F586,G586),"")</f>
        <v>46224.0</v>
      </c>
      <c r="J586" s="7">
        <f>IF(AND(D586="DMY",H586=1),1,0)</f>
        <v>0</v>
      </c>
      <c r="K586" s="7">
        <f>IF(H586=0,1,0)</f>
        <v>0</v>
      </c>
      <c r="L586" s="7">
        <f>IF(TRIM(Raw_Bookings!I586&amp;"")="",1,0)</f>
        <v>0</v>
      </c>
      <c r="M586" s="7">
        <f>IF(L586=1,"",DATEVALUE(LEFT(Raw_Bookings!I586,10))+TIMEVALUE(MID(Raw_Bookings!I586,12,8)))</f>
        <v>46177.358194444445</v>
      </c>
      <c r="N586" s="7">
        <f>IF(AND(L586=0,H586=1),IF(INT(M586)&gt;I586,1,0),0)</f>
        <v>0</v>
      </c>
      <c r="O586" s="7" t="str">
        <f>UPPER(TRIM(Raw_Bookings!F586))</f>
        <v>COI</v>
      </c>
      <c r="P586" s="7" t="str">
        <f>UPPER(TRIM(Raw_Bookings!G586))</f>
        <v>RAN</v>
      </c>
      <c r="Q586" s="7">
        <f>IF(COUNTIF(Lookup_Stations!$A$2:$A$33,O586)&gt;0,1,0)</f>
        <v>1</v>
      </c>
      <c r="R586" s="7">
        <f>IF(COUNTIF(Lookup_Stations!$A$2:$A$33,P586)&gt;0,1,0)</f>
        <v>1</v>
      </c>
      <c r="S586" s="7">
        <f>IF(OR(AND(Q586=1,NOT(EXACT(Raw_Bookings!F586,O586))),AND(R586=1,NOT(EXACT(Raw_Bookings!G586,P586)))),1,0)</f>
        <v>0</v>
      </c>
      <c r="T586" s="7">
        <f>IF(OR(Q586=0,R586=0),1,0)</f>
        <v>0</v>
      </c>
      <c r="U586" s="7">
        <f>IF(TRIM(Raw_Bookings!E586&amp;"")="",1,0)</f>
        <v>0</v>
      </c>
      <c r="V586" s="7" t="str">
        <f>IF(SUMPRODUCT(--(Lookup_Status!$A$2:$A$13=LOWER(TRIM(Raw_Bookings!K586))))=0,"",INDEX(Lookup_Status!$B$2:$B$13,SUMPRODUCT((Lookup_Status!$A$2:$A$13=LOWER(TRIM(Raw_Bookings!K586)))*(ROW(Lookup_Status!$A$2:$A$13)-1))))</f>
        <v>Confirmed</v>
      </c>
      <c r="W586" s="7">
        <f>IF(AND(V586&lt;&gt;"",NOT(EXACT(Raw_Bookings!K586,V586))),1,0)</f>
        <v>0</v>
      </c>
      <c r="X586" s="7">
        <f>IF(V586="",1,0)</f>
        <v>0</v>
      </c>
      <c r="Y586" s="7">
        <f>IF(TRIM(Raw_Bookings!L586&amp;"")="",1,0)</f>
        <v>0</v>
      </c>
      <c r="Z586" s="7">
        <f>IF(AND(ISTEXT(Raw_Bookings!L586),Y586=0),1,0)</f>
        <v>0</v>
      </c>
      <c r="AA586" s="7">
        <f>IF(Z586=1,IFERROR(VALUE(SUBSTITUTE(SUBSTITUTE(SUBSTITUTE(SUBSTITUTE(SUBSTITUTE(UPPER(Raw_Bookings!L586),"RS.",""),"₹",""),",","")," ",""),"INR","")),""),"")</f>
        <v/>
      </c>
      <c r="AB586" s="7">
        <f>IF(AND(Z586=1,ISNUMBER(AA586)),1,0)</f>
        <v>0</v>
      </c>
      <c r="AC586" s="7">
        <f>IF(B586=1,0,IF(NOT(ISNUMBER(Raw_Bookings!J586)),1,IF(Raw_Bookings!J586&lt;&gt;COUNTIFS(Work_Passengers!$B$2:$B$1336,Raw_Bookings!A586,Work_Passengers!$C$2:$C$1336,0),1,0)))</f>
        <v>0</v>
      </c>
    </row>
    <row r="587" spans="1:29">
      <c r="A587" s="7">
        <f>Raw_Bookings!A587</f>
        <v>1186780</v>
      </c>
      <c r="B587" s="7">
        <f>IF(COUNTIF(Raw_Bookings!$A$2:A587,Raw_Bookings!A587)&gt;1,1,0)</f>
        <v>0</v>
      </c>
      <c r="C587" s="7" t="str">
        <f>Raw_Bookings!D587&amp;""</f>
        <v>2026-06-15</v>
      </c>
      <c r="D587" s="7" t="str">
        <f>IF(AND(LEN(C587)=10,MID(C587,5,1)="-",MID(C587,8,1)="-"),"ISO",IF(AND(LEN(C587)=10,MID(C587,3,1)="-",MID(C587,6,1)="-"),"DMY","OTHER"))</f>
        <v>ISO</v>
      </c>
      <c r="E587" s="7">
        <f>IF(D587="ISO",VALUE(LEFT(C587,4)),IF(D587="DMY",VALUE(RIGHT(C587,4)),0))</f>
        <v>2026</v>
      </c>
      <c r="F587" s="7">
        <f>IF(D587="ISO",VALUE(MID(C587,6,2)),IF(D587="DMY",VALUE(MID(C587,4,2)),0))</f>
        <v>6</v>
      </c>
      <c r="G587" s="7">
        <f>IF(D587="ISO",VALUE(RIGHT(C587,2)),IF(D587="DMY",VALUE(LEFT(C587,2)),0))</f>
        <v>15</v>
      </c>
      <c r="H587" s="7">
        <f>IF(AND(D587&lt;&gt;"OTHER",F587&gt;=1,F587&lt;=12,G587&gt;=1,G587&lt;=31),IF(AND(MONTH(DATE(E587,F587,G587))=F587,DAY(DATE(E587,F587,G587))=G587),1,0),0)</f>
        <v>1</v>
      </c>
      <c r="I587" s="7">
        <f>IF(H587=1,DATE(E587,F587,G587),"")</f>
        <v>46188.0</v>
      </c>
      <c r="J587" s="7">
        <f>IF(AND(D587="DMY",H587=1),1,0)</f>
        <v>0</v>
      </c>
      <c r="K587" s="7">
        <f>IF(H587=0,1,0)</f>
        <v>0</v>
      </c>
      <c r="L587" s="7">
        <f>IF(TRIM(Raw_Bookings!I587&amp;"")="",1,0)</f>
        <v>0</v>
      </c>
      <c r="M587" s="7">
        <f>IF(L587=1,"",DATEVALUE(LEFT(Raw_Bookings!I587,10))+TIMEVALUE(MID(Raw_Bookings!I587,12,8)))</f>
        <v>46177.55946759259</v>
      </c>
      <c r="N587" s="7">
        <f>IF(AND(L587=0,H587=1),IF(INT(M587)&gt;I587,1,0),0)</f>
        <v>0</v>
      </c>
      <c r="O587" s="7" t="str">
        <f>UPPER(TRIM(Raw_Bookings!F587))</f>
        <v>AHM</v>
      </c>
      <c r="P587" s="7" t="str">
        <f>UPPER(TRIM(Raw_Bookings!G587))</f>
        <v>CHE</v>
      </c>
      <c r="Q587" s="7">
        <f>IF(COUNTIF(Lookup_Stations!$A$2:$A$33,O587)&gt;0,1,0)</f>
        <v>1</v>
      </c>
      <c r="R587" s="7">
        <f>IF(COUNTIF(Lookup_Stations!$A$2:$A$33,P587)&gt;0,1,0)</f>
        <v>1</v>
      </c>
      <c r="S587" s="7">
        <f>IF(OR(AND(Q587=1,NOT(EXACT(Raw_Bookings!F587,O587))),AND(R587=1,NOT(EXACT(Raw_Bookings!G587,P587)))),1,0)</f>
        <v>0</v>
      </c>
      <c r="T587" s="7">
        <f>IF(OR(Q587=0,R587=0),1,0)</f>
        <v>0</v>
      </c>
      <c r="U587" s="7">
        <f>IF(TRIM(Raw_Bookings!E587&amp;"")="",1,0)</f>
        <v>0</v>
      </c>
      <c r="V587" s="7" t="str">
        <f>IF(SUMPRODUCT(--(Lookup_Status!$A$2:$A$13=LOWER(TRIM(Raw_Bookings!K587))))=0,"",INDEX(Lookup_Status!$B$2:$B$13,SUMPRODUCT((Lookup_Status!$A$2:$A$13=LOWER(TRIM(Raw_Bookings!K587)))*(ROW(Lookup_Status!$A$2:$A$13)-1))))</f>
        <v>Confirmed</v>
      </c>
      <c r="W587" s="7">
        <f>IF(AND(V587&lt;&gt;"",NOT(EXACT(Raw_Bookings!K587,V587))),1,0)</f>
        <v>0</v>
      </c>
      <c r="X587" s="7">
        <f>IF(V587="",1,0)</f>
        <v>0</v>
      </c>
      <c r="Y587" s="7">
        <f>IF(TRIM(Raw_Bookings!L587&amp;"")="",1,0)</f>
        <v>0</v>
      </c>
      <c r="Z587" s="7">
        <f>IF(AND(ISTEXT(Raw_Bookings!L587),Y587=0),1,0)</f>
        <v>0</v>
      </c>
      <c r="AA587" s="7">
        <f>IF(Z587=1,IFERROR(VALUE(SUBSTITUTE(SUBSTITUTE(SUBSTITUTE(SUBSTITUTE(SUBSTITUTE(UPPER(Raw_Bookings!L587),"RS.",""),"₹",""),",","")," ",""),"INR","")),""),"")</f>
        <v/>
      </c>
      <c r="AB587" s="7">
        <f>IF(AND(Z587=1,ISNUMBER(AA587)),1,0)</f>
        <v>0</v>
      </c>
      <c r="AC587" s="7">
        <f>IF(B587=1,0,IF(NOT(ISNUMBER(Raw_Bookings!J587)),1,IF(Raw_Bookings!J587&lt;&gt;COUNTIFS(Work_Passengers!$B$2:$B$1336,Raw_Bookings!A587,Work_Passengers!$C$2:$C$1336,0),1,0)))</f>
        <v>0</v>
      </c>
    </row>
    <row r="588" spans="1:29">
      <c r="A588" s="7">
        <f>Raw_Bookings!A588</f>
        <v>1186842</v>
      </c>
      <c r="B588" s="7">
        <f>IF(COUNTIF(Raw_Bookings!$A$2:A588,Raw_Bookings!A588)&gt;1,1,0)</f>
        <v>0</v>
      </c>
      <c r="C588" s="7" t="str">
        <f>Raw_Bookings!D588&amp;""</f>
        <v>2026-07-20</v>
      </c>
      <c r="D588" s="7" t="str">
        <f>IF(AND(LEN(C588)=10,MID(C588,5,1)="-",MID(C588,8,1)="-"),"ISO",IF(AND(LEN(C588)=10,MID(C588,3,1)="-",MID(C588,6,1)="-"),"DMY","OTHER"))</f>
        <v>ISO</v>
      </c>
      <c r="E588" s="7">
        <f>IF(D588="ISO",VALUE(LEFT(C588,4)),IF(D588="DMY",VALUE(RIGHT(C588,4)),0))</f>
        <v>2026</v>
      </c>
      <c r="F588" s="7">
        <f>IF(D588="ISO",VALUE(MID(C588,6,2)),IF(D588="DMY",VALUE(MID(C588,4,2)),0))</f>
        <v>7</v>
      </c>
      <c r="G588" s="7">
        <f>IF(D588="ISO",VALUE(RIGHT(C588,2)),IF(D588="DMY",VALUE(LEFT(C588,2)),0))</f>
        <v>20</v>
      </c>
      <c r="H588" s="7">
        <f>IF(AND(D588&lt;&gt;"OTHER",F588&gt;=1,F588&lt;=12,G588&gt;=1,G588&lt;=31),IF(AND(MONTH(DATE(E588,F588,G588))=F588,DAY(DATE(E588,F588,G588))=G588),1,0),0)</f>
        <v>1</v>
      </c>
      <c r="I588" s="7">
        <f>IF(H588=1,DATE(E588,F588,G588),"")</f>
        <v>46223.0</v>
      </c>
      <c r="J588" s="7">
        <f>IF(AND(D588="DMY",H588=1),1,0)</f>
        <v>0</v>
      </c>
      <c r="K588" s="7">
        <f>IF(H588=0,1,0)</f>
        <v>0</v>
      </c>
      <c r="L588" s="7">
        <f>IF(TRIM(Raw_Bookings!I588&amp;"")="",1,0)</f>
        <v>0</v>
      </c>
      <c r="M588" s="7">
        <f>IF(L588=1,"",DATEVALUE(LEFT(Raw_Bookings!I588,10))+TIMEVALUE(MID(Raw_Bookings!I588,12,8)))</f>
        <v>46177.75010416667</v>
      </c>
      <c r="N588" s="7">
        <f>IF(AND(L588=0,H588=1),IF(INT(M588)&gt;I588,1,0),0)</f>
        <v>0</v>
      </c>
      <c r="O588" s="7" t="str">
        <f>UPPER(TRIM(Raw_Bookings!F588))</f>
        <v>BHO</v>
      </c>
      <c r="P588" s="7" t="str">
        <f>UPPER(TRIM(Raw_Bookings!G588))</f>
        <v>GUW</v>
      </c>
      <c r="Q588" s="7">
        <f>IF(COUNTIF(Lookup_Stations!$A$2:$A$33,O588)&gt;0,1,0)</f>
        <v>1</v>
      </c>
      <c r="R588" s="7">
        <f>IF(COUNTIF(Lookup_Stations!$A$2:$A$33,P588)&gt;0,1,0)</f>
        <v>1</v>
      </c>
      <c r="S588" s="7">
        <f>IF(OR(AND(Q588=1,NOT(EXACT(Raw_Bookings!F588,O588))),AND(R588=1,NOT(EXACT(Raw_Bookings!G588,P588)))),1,0)</f>
        <v>0</v>
      </c>
      <c r="T588" s="7">
        <f>IF(OR(Q588=0,R588=0),1,0)</f>
        <v>0</v>
      </c>
      <c r="U588" s="7">
        <f>IF(TRIM(Raw_Bookings!E588&amp;"")="",1,0)</f>
        <v>0</v>
      </c>
      <c r="V588" s="7" t="str">
        <f>IF(SUMPRODUCT(--(Lookup_Status!$A$2:$A$13=LOWER(TRIM(Raw_Bookings!K588))))=0,"",INDEX(Lookup_Status!$B$2:$B$13,SUMPRODUCT((Lookup_Status!$A$2:$A$13=LOWER(TRIM(Raw_Bookings!K588)))*(ROW(Lookup_Status!$A$2:$A$13)-1))))</f>
        <v>Confirmed</v>
      </c>
      <c r="W588" s="7">
        <f>IF(AND(V588&lt;&gt;"",NOT(EXACT(Raw_Bookings!K588,V588))),1,0)</f>
        <v>0</v>
      </c>
      <c r="X588" s="7">
        <f>IF(V588="",1,0)</f>
        <v>0</v>
      </c>
      <c r="Y588" s="7">
        <f>IF(TRIM(Raw_Bookings!L588&amp;"")="",1,0)</f>
        <v>0</v>
      </c>
      <c r="Z588" s="7">
        <f>IF(AND(ISTEXT(Raw_Bookings!L588),Y588=0),1,0)</f>
        <v>0</v>
      </c>
      <c r="AA588" s="7">
        <f>IF(Z588=1,IFERROR(VALUE(SUBSTITUTE(SUBSTITUTE(SUBSTITUTE(SUBSTITUTE(SUBSTITUTE(UPPER(Raw_Bookings!L588),"RS.",""),"₹",""),",","")," ",""),"INR","")),""),"")</f>
        <v/>
      </c>
      <c r="AB588" s="7">
        <f>IF(AND(Z588=1,ISNUMBER(AA588)),1,0)</f>
        <v>0</v>
      </c>
      <c r="AC588" s="7">
        <f>IF(B588=1,0,IF(NOT(ISNUMBER(Raw_Bookings!J588)),1,IF(Raw_Bookings!J588&lt;&gt;COUNTIFS(Work_Passengers!$B$2:$B$1336,Raw_Bookings!A588,Work_Passengers!$C$2:$C$1336,0),1,0)))</f>
        <v>0</v>
      </c>
    </row>
    <row r="589" spans="1:29">
      <c r="A589" s="7">
        <f>Raw_Bookings!A589</f>
        <v>1187089</v>
      </c>
      <c r="B589" s="7">
        <f>IF(COUNTIF(Raw_Bookings!$A$2:A589,Raw_Bookings!A589)&gt;1,1,0)</f>
        <v>0</v>
      </c>
      <c r="C589" s="7" t="str">
        <f>Raw_Bookings!D589&amp;""</f>
        <v>2026-06-15</v>
      </c>
      <c r="D589" s="7" t="str">
        <f>IF(AND(LEN(C589)=10,MID(C589,5,1)="-",MID(C589,8,1)="-"),"ISO",IF(AND(LEN(C589)=10,MID(C589,3,1)="-",MID(C589,6,1)="-"),"DMY","OTHER"))</f>
        <v>ISO</v>
      </c>
      <c r="E589" s="7">
        <f>IF(D589="ISO",VALUE(LEFT(C589,4)),IF(D589="DMY",VALUE(RIGHT(C589,4)),0))</f>
        <v>2026</v>
      </c>
      <c r="F589" s="7">
        <f>IF(D589="ISO",VALUE(MID(C589,6,2)),IF(D589="DMY",VALUE(MID(C589,4,2)),0))</f>
        <v>6</v>
      </c>
      <c r="G589" s="7">
        <f>IF(D589="ISO",VALUE(RIGHT(C589,2)),IF(D589="DMY",VALUE(LEFT(C589,2)),0))</f>
        <v>15</v>
      </c>
      <c r="H589" s="7">
        <f>IF(AND(D589&lt;&gt;"OTHER",F589&gt;=1,F589&lt;=12,G589&gt;=1,G589&lt;=31),IF(AND(MONTH(DATE(E589,F589,G589))=F589,DAY(DATE(E589,F589,G589))=G589),1,0),0)</f>
        <v>1</v>
      </c>
      <c r="I589" s="7">
        <f>IF(H589=1,DATE(E589,F589,G589),"")</f>
        <v>46188.0</v>
      </c>
      <c r="J589" s="7">
        <f>IF(AND(D589="DMY",H589=1),1,0)</f>
        <v>0</v>
      </c>
      <c r="K589" s="7">
        <f>IF(H589=0,1,0)</f>
        <v>0</v>
      </c>
      <c r="L589" s="7">
        <f>IF(TRIM(Raw_Bookings!I589&amp;"")="",1,0)</f>
        <v>0</v>
      </c>
      <c r="M589" s="7">
        <f>IF(L589=1,"",DATEVALUE(LEFT(Raw_Bookings!I589,10))+TIMEVALUE(MID(Raw_Bookings!I589,12,8)))</f>
        <v>46178.734085648146</v>
      </c>
      <c r="N589" s="7">
        <f>IF(AND(L589=0,H589=1),IF(INT(M589)&gt;I589,1,0),0)</f>
        <v>0</v>
      </c>
      <c r="O589" s="7" t="str">
        <f>UPPER(TRIM(Raw_Bookings!F589))</f>
        <v>LUC</v>
      </c>
      <c r="P589" s="7" t="str">
        <f>UPPER(TRIM(Raw_Bookings!G589))</f>
        <v>MUM</v>
      </c>
      <c r="Q589" s="7">
        <f>IF(COUNTIF(Lookup_Stations!$A$2:$A$33,O589)&gt;0,1,0)</f>
        <v>1</v>
      </c>
      <c r="R589" s="7">
        <f>IF(COUNTIF(Lookup_Stations!$A$2:$A$33,P589)&gt;0,1,0)</f>
        <v>1</v>
      </c>
      <c r="S589" s="7">
        <f>IF(OR(AND(Q589=1,NOT(EXACT(Raw_Bookings!F589,O589))),AND(R589=1,NOT(EXACT(Raw_Bookings!G589,P589)))),1,0)</f>
        <v>0</v>
      </c>
      <c r="T589" s="7">
        <f>IF(OR(Q589=0,R589=0),1,0)</f>
        <v>0</v>
      </c>
      <c r="U589" s="7">
        <f>IF(TRIM(Raw_Bookings!E589&amp;"")="",1,0)</f>
        <v>0</v>
      </c>
      <c r="V589" s="7" t="str">
        <f>IF(SUMPRODUCT(--(Lookup_Status!$A$2:$A$13=LOWER(TRIM(Raw_Bookings!K589))))=0,"",INDEX(Lookup_Status!$B$2:$B$13,SUMPRODUCT((Lookup_Status!$A$2:$A$13=LOWER(TRIM(Raw_Bookings!K589)))*(ROW(Lookup_Status!$A$2:$A$13)-1))))</f>
        <v>Waitlisted</v>
      </c>
      <c r="W589" s="7">
        <f>IF(AND(V589&lt;&gt;"",NOT(EXACT(Raw_Bookings!K589,V589))),1,0)</f>
        <v>0</v>
      </c>
      <c r="X589" s="7">
        <f>IF(V589="",1,0)</f>
        <v>0</v>
      </c>
      <c r="Y589" s="7">
        <f>IF(TRIM(Raw_Bookings!L589&amp;"")="",1,0)</f>
        <v>0</v>
      </c>
      <c r="Z589" s="7">
        <f>IF(AND(ISTEXT(Raw_Bookings!L589),Y589=0),1,0)</f>
        <v>0</v>
      </c>
      <c r="AA589" s="7">
        <f>IF(Z589=1,IFERROR(VALUE(SUBSTITUTE(SUBSTITUTE(SUBSTITUTE(SUBSTITUTE(SUBSTITUTE(UPPER(Raw_Bookings!L589),"RS.",""),"₹",""),",","")," ",""),"INR","")),""),"")</f>
        <v/>
      </c>
      <c r="AB589" s="7">
        <f>IF(AND(Z589=1,ISNUMBER(AA589)),1,0)</f>
        <v>0</v>
      </c>
      <c r="AC589" s="7">
        <f>IF(B589=1,0,IF(NOT(ISNUMBER(Raw_Bookings!J589)),1,IF(Raw_Bookings!J589&lt;&gt;COUNTIFS(Work_Passengers!$B$2:$B$1336,Raw_Bookings!A589,Work_Passengers!$C$2:$C$1336,0),1,0)))</f>
        <v>0</v>
      </c>
    </row>
    <row r="590" spans="1:29">
      <c r="A590" s="7">
        <f>Raw_Bookings!A590</f>
        <v>1187256</v>
      </c>
      <c r="B590" s="7">
        <f>IF(COUNTIF(Raw_Bookings!$A$2:A590,Raw_Bookings!A590)&gt;1,1,0)</f>
        <v>0</v>
      </c>
      <c r="C590" s="7" t="str">
        <f>Raw_Bookings!D590&amp;""</f>
        <v>2026-08-09</v>
      </c>
      <c r="D590" s="7" t="str">
        <f>IF(AND(LEN(C590)=10,MID(C590,5,1)="-",MID(C590,8,1)="-"),"ISO",IF(AND(LEN(C590)=10,MID(C590,3,1)="-",MID(C590,6,1)="-"),"DMY","OTHER"))</f>
        <v>ISO</v>
      </c>
      <c r="E590" s="7">
        <f>IF(D590="ISO",VALUE(LEFT(C590,4)),IF(D590="DMY",VALUE(RIGHT(C590,4)),0))</f>
        <v>2026</v>
      </c>
      <c r="F590" s="7">
        <f>IF(D590="ISO",VALUE(MID(C590,6,2)),IF(D590="DMY",VALUE(MID(C590,4,2)),0))</f>
        <v>8</v>
      </c>
      <c r="G590" s="7">
        <f>IF(D590="ISO",VALUE(RIGHT(C590,2)),IF(D590="DMY",VALUE(LEFT(C590,2)),0))</f>
        <v>9</v>
      </c>
      <c r="H590" s="7">
        <f>IF(AND(D590&lt;&gt;"OTHER",F590&gt;=1,F590&lt;=12,G590&gt;=1,G590&lt;=31),IF(AND(MONTH(DATE(E590,F590,G590))=F590,DAY(DATE(E590,F590,G590))=G590),1,0),0)</f>
        <v>1</v>
      </c>
      <c r="I590" s="7">
        <f>IF(H590=1,DATE(E590,F590,G590),"")</f>
        <v>46243.0</v>
      </c>
      <c r="J590" s="7">
        <f>IF(AND(D590="DMY",H590=1),1,0)</f>
        <v>0</v>
      </c>
      <c r="K590" s="7">
        <f>IF(H590=0,1,0)</f>
        <v>0</v>
      </c>
      <c r="L590" s="7">
        <f>IF(TRIM(Raw_Bookings!I590&amp;"")="",1,0)</f>
        <v>0</v>
      </c>
      <c r="M590" s="7">
        <f>IF(L590=1,"",DATEVALUE(LEFT(Raw_Bookings!I590,10))+TIMEVALUE(MID(Raw_Bookings!I590,12,8)))</f>
        <v>46179.45344907408</v>
      </c>
      <c r="N590" s="7">
        <f>IF(AND(L590=0,H590=1),IF(INT(M590)&gt;I590,1,0),0)</f>
        <v>0</v>
      </c>
      <c r="O590" s="7" t="str">
        <f>UPPER(TRIM(Raw_Bookings!F590))</f>
        <v>DEL</v>
      </c>
      <c r="P590" s="7" t="str">
        <f>UPPER(TRIM(Raw_Bookings!G590))</f>
        <v>MAU</v>
      </c>
      <c r="Q590" s="7">
        <f>IF(COUNTIF(Lookup_Stations!$A$2:$A$33,O590)&gt;0,1,0)</f>
        <v>1</v>
      </c>
      <c r="R590" s="7">
        <f>IF(COUNTIF(Lookup_Stations!$A$2:$A$33,P590)&gt;0,1,0)</f>
        <v>1</v>
      </c>
      <c r="S590" s="7">
        <f>IF(OR(AND(Q590=1,NOT(EXACT(Raw_Bookings!F590,O590))),AND(R590=1,NOT(EXACT(Raw_Bookings!G590,P590)))),1,0)</f>
        <v>0</v>
      </c>
      <c r="T590" s="7">
        <f>IF(OR(Q590=0,R590=0),1,0)</f>
        <v>0</v>
      </c>
      <c r="U590" s="7">
        <f>IF(TRIM(Raw_Bookings!E590&amp;"")="",1,0)</f>
        <v>0</v>
      </c>
      <c r="V590" s="7" t="str">
        <f>IF(SUMPRODUCT(--(Lookup_Status!$A$2:$A$13=LOWER(TRIM(Raw_Bookings!K590))))=0,"",INDEX(Lookup_Status!$B$2:$B$13,SUMPRODUCT((Lookup_Status!$A$2:$A$13=LOWER(TRIM(Raw_Bookings!K590)))*(ROW(Lookup_Status!$A$2:$A$13)-1))))</f>
        <v>Confirmed</v>
      </c>
      <c r="W590" s="7">
        <f>IF(AND(V590&lt;&gt;"",NOT(EXACT(Raw_Bookings!K590,V590))),1,0)</f>
        <v>0</v>
      </c>
      <c r="X590" s="7">
        <f>IF(V590="",1,0)</f>
        <v>0</v>
      </c>
      <c r="Y590" s="7">
        <f>IF(TRIM(Raw_Bookings!L590&amp;"")="",1,0)</f>
        <v>0</v>
      </c>
      <c r="Z590" s="7">
        <f>IF(AND(ISTEXT(Raw_Bookings!L590),Y590=0),1,0)</f>
        <v>0</v>
      </c>
      <c r="AA590" s="7">
        <f>IF(Z590=1,IFERROR(VALUE(SUBSTITUTE(SUBSTITUTE(SUBSTITUTE(SUBSTITUTE(SUBSTITUTE(UPPER(Raw_Bookings!L590),"RS.",""),"₹",""),",","")," ",""),"INR","")),""),"")</f>
        <v/>
      </c>
      <c r="AB590" s="7">
        <f>IF(AND(Z590=1,ISNUMBER(AA590)),1,0)</f>
        <v>0</v>
      </c>
      <c r="AC590" s="7">
        <f>IF(B590=1,0,IF(NOT(ISNUMBER(Raw_Bookings!J590)),1,IF(Raw_Bookings!J590&lt;&gt;COUNTIFS(Work_Passengers!$B$2:$B$1336,Raw_Bookings!A590,Work_Passengers!$C$2:$C$1336,0),1,0)))</f>
        <v>0</v>
      </c>
    </row>
    <row r="591" spans="1:29">
      <c r="A591" s="7">
        <f>Raw_Bookings!A591</f>
        <v>1187585</v>
      </c>
      <c r="B591" s="7">
        <f>IF(COUNTIF(Raw_Bookings!$A$2:A591,Raw_Bookings!A591)&gt;1,1,0)</f>
        <v>0</v>
      </c>
      <c r="C591" s="7" t="str">
        <f>Raw_Bookings!D591&amp;""</f>
        <v>2026-07-16</v>
      </c>
      <c r="D591" s="7" t="str">
        <f>IF(AND(LEN(C591)=10,MID(C591,5,1)="-",MID(C591,8,1)="-"),"ISO",IF(AND(LEN(C591)=10,MID(C591,3,1)="-",MID(C591,6,1)="-"),"DMY","OTHER"))</f>
        <v>ISO</v>
      </c>
      <c r="E591" s="7">
        <f>IF(D591="ISO",VALUE(LEFT(C591,4)),IF(D591="DMY",VALUE(RIGHT(C591,4)),0))</f>
        <v>2026</v>
      </c>
      <c r="F591" s="7">
        <f>IF(D591="ISO",VALUE(MID(C591,6,2)),IF(D591="DMY",VALUE(MID(C591,4,2)),0))</f>
        <v>7</v>
      </c>
      <c r="G591" s="7">
        <f>IF(D591="ISO",VALUE(RIGHT(C591,2)),IF(D591="DMY",VALUE(LEFT(C591,2)),0))</f>
        <v>16</v>
      </c>
      <c r="H591" s="7">
        <f>IF(AND(D591&lt;&gt;"OTHER",F591&gt;=1,F591&lt;=12,G591&gt;=1,G591&lt;=31),IF(AND(MONTH(DATE(E591,F591,G591))=F591,DAY(DATE(E591,F591,G591))=G591),1,0),0)</f>
        <v>1</v>
      </c>
      <c r="I591" s="7">
        <f>IF(H591=1,DATE(E591,F591,G591),"")</f>
        <v>46219.0</v>
      </c>
      <c r="J591" s="7">
        <f>IF(AND(D591="DMY",H591=1),1,0)</f>
        <v>0</v>
      </c>
      <c r="K591" s="7">
        <f>IF(H591=0,1,0)</f>
        <v>0</v>
      </c>
      <c r="L591" s="7">
        <f>IF(TRIM(Raw_Bookings!I591&amp;"")="",1,0)</f>
        <v>0</v>
      </c>
      <c r="M591" s="7">
        <f>IF(L591=1,"",DATEVALUE(LEFT(Raw_Bookings!I591,10))+TIMEVALUE(MID(Raw_Bookings!I591,12,8)))</f>
        <v>46180.90027777778</v>
      </c>
      <c r="N591" s="7">
        <f>IF(AND(L591=0,H591=1),IF(INT(M591)&gt;I591,1,0),0)</f>
        <v>0</v>
      </c>
      <c r="O591" s="7" t="str">
        <f>UPPER(TRIM(Raw_Bookings!F591))</f>
        <v>VAR</v>
      </c>
      <c r="P591" s="7" t="str">
        <f>UPPER(TRIM(Raw_Bookings!G591))</f>
        <v>SUR</v>
      </c>
      <c r="Q591" s="7">
        <f>IF(COUNTIF(Lookup_Stations!$A$2:$A$33,O591)&gt;0,1,0)</f>
        <v>1</v>
      </c>
      <c r="R591" s="7">
        <f>IF(COUNTIF(Lookup_Stations!$A$2:$A$33,P591)&gt;0,1,0)</f>
        <v>1</v>
      </c>
      <c r="S591" s="7">
        <f>IF(OR(AND(Q591=1,NOT(EXACT(Raw_Bookings!F591,O591))),AND(R591=1,NOT(EXACT(Raw_Bookings!G591,P591)))),1,0)</f>
        <v>0</v>
      </c>
      <c r="T591" s="7">
        <f>IF(OR(Q591=0,R591=0),1,0)</f>
        <v>0</v>
      </c>
      <c r="U591" s="7">
        <f>IF(TRIM(Raw_Bookings!E591&amp;"")="",1,0)</f>
        <v>0</v>
      </c>
      <c r="V591" s="7" t="str">
        <f>IF(SUMPRODUCT(--(Lookup_Status!$A$2:$A$13=LOWER(TRIM(Raw_Bookings!K591))))=0,"",INDEX(Lookup_Status!$B$2:$B$13,SUMPRODUCT((Lookup_Status!$A$2:$A$13=LOWER(TRIM(Raw_Bookings!K591)))*(ROW(Lookup_Status!$A$2:$A$13)-1))))</f>
        <v>Confirmed</v>
      </c>
      <c r="W591" s="7">
        <f>IF(AND(V591&lt;&gt;"",NOT(EXACT(Raw_Bookings!K591,V591))),1,0)</f>
        <v>0</v>
      </c>
      <c r="X591" s="7">
        <f>IF(V591="",1,0)</f>
        <v>0</v>
      </c>
      <c r="Y591" s="7">
        <f>IF(TRIM(Raw_Bookings!L591&amp;"")="",1,0)</f>
        <v>0</v>
      </c>
      <c r="Z591" s="7">
        <f>IF(AND(ISTEXT(Raw_Bookings!L591),Y591=0),1,0)</f>
        <v>0</v>
      </c>
      <c r="AA591" s="7">
        <f>IF(Z591=1,IFERROR(VALUE(SUBSTITUTE(SUBSTITUTE(SUBSTITUTE(SUBSTITUTE(SUBSTITUTE(UPPER(Raw_Bookings!L591),"RS.",""),"₹",""),",","")," ",""),"INR","")),""),"")</f>
        <v/>
      </c>
      <c r="AB591" s="7">
        <f>IF(AND(Z591=1,ISNUMBER(AA591)),1,0)</f>
        <v>0</v>
      </c>
      <c r="AC591" s="7">
        <f>IF(B591=1,0,IF(NOT(ISNUMBER(Raw_Bookings!J591)),1,IF(Raw_Bookings!J591&lt;&gt;COUNTIFS(Work_Passengers!$B$2:$B$1336,Raw_Bookings!A591,Work_Passengers!$C$2:$C$1336,0),1,0)))</f>
        <v>0</v>
      </c>
    </row>
    <row r="592" spans="1:29">
      <c r="A592" s="7">
        <f>Raw_Bookings!A592</f>
        <v>1188878</v>
      </c>
      <c r="B592" s="7">
        <f>IF(COUNTIF(Raw_Bookings!$A$2:A592,Raw_Bookings!A592)&gt;1,1,0)</f>
        <v>0</v>
      </c>
      <c r="C592" s="7" t="str">
        <f>Raw_Bookings!D592&amp;""</f>
        <v>2026-07-31</v>
      </c>
      <c r="D592" s="7" t="str">
        <f>IF(AND(LEN(C592)=10,MID(C592,5,1)="-",MID(C592,8,1)="-"),"ISO",IF(AND(LEN(C592)=10,MID(C592,3,1)="-",MID(C592,6,1)="-"),"DMY","OTHER"))</f>
        <v>ISO</v>
      </c>
      <c r="E592" s="7">
        <f>IF(D592="ISO",VALUE(LEFT(C592,4)),IF(D592="DMY",VALUE(RIGHT(C592,4)),0))</f>
        <v>2026</v>
      </c>
      <c r="F592" s="7">
        <f>IF(D592="ISO",VALUE(MID(C592,6,2)),IF(D592="DMY",VALUE(MID(C592,4,2)),0))</f>
        <v>7</v>
      </c>
      <c r="G592" s="7">
        <f>IF(D592="ISO",VALUE(RIGHT(C592,2)),IF(D592="DMY",VALUE(LEFT(C592,2)),0))</f>
        <v>31</v>
      </c>
      <c r="H592" s="7">
        <f>IF(AND(D592&lt;&gt;"OTHER",F592&gt;=1,F592&lt;=12,G592&gt;=1,G592&lt;=31),IF(AND(MONTH(DATE(E592,F592,G592))=F592,DAY(DATE(E592,F592,G592))=G592),1,0),0)</f>
        <v>1</v>
      </c>
      <c r="I592" s="7">
        <f>IF(H592=1,DATE(E592,F592,G592),"")</f>
        <v>46234.0</v>
      </c>
      <c r="J592" s="7">
        <f>IF(AND(D592="DMY",H592=1),1,0)</f>
        <v>0</v>
      </c>
      <c r="K592" s="7">
        <f>IF(H592=0,1,0)</f>
        <v>0</v>
      </c>
      <c r="L592" s="7">
        <f>IF(TRIM(Raw_Bookings!I592&amp;"")="",1,0)</f>
        <v>0</v>
      </c>
      <c r="M592" s="7">
        <f>IF(L592=1,"",DATEVALUE(LEFT(Raw_Bookings!I592,10))+TIMEVALUE(MID(Raw_Bookings!I592,12,8)))</f>
        <v>46186.77364583333</v>
      </c>
      <c r="N592" s="7">
        <f>IF(AND(L592=0,H592=1),IF(INT(M592)&gt;I592,1,0),0)</f>
        <v>0</v>
      </c>
      <c r="O592" s="7" t="str">
        <f>UPPER(TRIM(Raw_Bookings!F592))</f>
        <v>LUC</v>
      </c>
      <c r="P592" s="7" t="str">
        <f>UPPER(TRIM(Raw_Bookings!G592))</f>
        <v>MUM</v>
      </c>
      <c r="Q592" s="7">
        <f>IF(COUNTIF(Lookup_Stations!$A$2:$A$33,O592)&gt;0,1,0)</f>
        <v>1</v>
      </c>
      <c r="R592" s="7">
        <f>IF(COUNTIF(Lookup_Stations!$A$2:$A$33,P592)&gt;0,1,0)</f>
        <v>1</v>
      </c>
      <c r="S592" s="7">
        <f>IF(OR(AND(Q592=1,NOT(EXACT(Raw_Bookings!F592,O592))),AND(R592=1,NOT(EXACT(Raw_Bookings!G592,P592)))),1,0)</f>
        <v>0</v>
      </c>
      <c r="T592" s="7">
        <f>IF(OR(Q592=0,R592=0),1,0)</f>
        <v>0</v>
      </c>
      <c r="U592" s="7">
        <f>IF(TRIM(Raw_Bookings!E592&amp;"")="",1,0)</f>
        <v>0</v>
      </c>
      <c r="V592" s="7" t="str">
        <f>IF(SUMPRODUCT(--(Lookup_Status!$A$2:$A$13=LOWER(TRIM(Raw_Bookings!K592))))=0,"",INDEX(Lookup_Status!$B$2:$B$13,SUMPRODUCT((Lookup_Status!$A$2:$A$13=LOWER(TRIM(Raw_Bookings!K592)))*(ROW(Lookup_Status!$A$2:$A$13)-1))))</f>
        <v>Cancelled</v>
      </c>
      <c r="W592" s="7">
        <f>IF(AND(V592&lt;&gt;"",NOT(EXACT(Raw_Bookings!K592,V592))),1,0)</f>
        <v>0</v>
      </c>
      <c r="X592" s="7">
        <f>IF(V592="",1,0)</f>
        <v>0</v>
      </c>
      <c r="Y592" s="7">
        <f>IF(TRIM(Raw_Bookings!L592&amp;"")="",1,0)</f>
        <v>0</v>
      </c>
      <c r="Z592" s="7">
        <f>IF(AND(ISTEXT(Raw_Bookings!L592),Y592=0),1,0)</f>
        <v>0</v>
      </c>
      <c r="AA592" s="7">
        <f>IF(Z592=1,IFERROR(VALUE(SUBSTITUTE(SUBSTITUTE(SUBSTITUTE(SUBSTITUTE(SUBSTITUTE(UPPER(Raw_Bookings!L592),"RS.",""),"₹",""),",","")," ",""),"INR","")),""),"")</f>
        <v/>
      </c>
      <c r="AB592" s="7">
        <f>IF(AND(Z592=1,ISNUMBER(AA592)),1,0)</f>
        <v>0</v>
      </c>
      <c r="AC592" s="7">
        <f>IF(B592=1,0,IF(NOT(ISNUMBER(Raw_Bookings!J592)),1,IF(Raw_Bookings!J592&lt;&gt;COUNTIFS(Work_Passengers!$B$2:$B$1336,Raw_Bookings!A592,Work_Passengers!$C$2:$C$1336,0),1,0)))</f>
        <v>0</v>
      </c>
    </row>
    <row r="593" spans="1:29">
      <c r="A593" s="7">
        <f>Raw_Bookings!A593</f>
        <v>1189426</v>
      </c>
      <c r="B593" s="7">
        <f>IF(COUNTIF(Raw_Bookings!$A$2:A593,Raw_Bookings!A593)&gt;1,1,0)</f>
        <v>0</v>
      </c>
      <c r="C593" s="7" t="str">
        <f>Raw_Bookings!D593&amp;""</f>
        <v>2026-08-13</v>
      </c>
      <c r="D593" s="7" t="str">
        <f>IF(AND(LEN(C593)=10,MID(C593,5,1)="-",MID(C593,8,1)="-"),"ISO",IF(AND(LEN(C593)=10,MID(C593,3,1)="-",MID(C593,6,1)="-"),"DMY","OTHER"))</f>
        <v>ISO</v>
      </c>
      <c r="E593" s="7">
        <f>IF(D593="ISO",VALUE(LEFT(C593,4)),IF(D593="DMY",VALUE(RIGHT(C593,4)),0))</f>
        <v>2026</v>
      </c>
      <c r="F593" s="7">
        <f>IF(D593="ISO",VALUE(MID(C593,6,2)),IF(D593="DMY",VALUE(MID(C593,4,2)),0))</f>
        <v>8</v>
      </c>
      <c r="G593" s="7">
        <f>IF(D593="ISO",VALUE(RIGHT(C593,2)),IF(D593="DMY",VALUE(LEFT(C593,2)),0))</f>
        <v>13</v>
      </c>
      <c r="H593" s="7">
        <f>IF(AND(D593&lt;&gt;"OTHER",F593&gt;=1,F593&lt;=12,G593&gt;=1,G593&lt;=31),IF(AND(MONTH(DATE(E593,F593,G593))=F593,DAY(DATE(E593,F593,G593))=G593),1,0),0)</f>
        <v>1</v>
      </c>
      <c r="I593" s="7">
        <f>IF(H593=1,DATE(E593,F593,G593),"")</f>
        <v>46247.0</v>
      </c>
      <c r="J593" s="7">
        <f>IF(AND(D593="DMY",H593=1),1,0)</f>
        <v>0</v>
      </c>
      <c r="K593" s="7">
        <f>IF(H593=0,1,0)</f>
        <v>0</v>
      </c>
      <c r="L593" s="7">
        <f>IF(TRIM(Raw_Bookings!I593&amp;"")="",1,0)</f>
        <v>0</v>
      </c>
      <c r="M593" s="7">
        <f>IF(L593=1,"",DATEVALUE(LEFT(Raw_Bookings!I593,10))+TIMEVALUE(MID(Raw_Bookings!I593,12,8)))</f>
        <v>46189.40604166667</v>
      </c>
      <c r="N593" s="7">
        <f>IF(AND(L593=0,H593=1),IF(INT(M593)&gt;I593,1,0),0)</f>
        <v>0</v>
      </c>
      <c r="O593" s="7" t="str">
        <f>UPPER(TRIM(Raw_Bookings!F593))</f>
        <v>DIB</v>
      </c>
      <c r="P593" s="7" t="str">
        <f>UPPER(TRIM(Raw_Bookings!G593))</f>
        <v>DEL</v>
      </c>
      <c r="Q593" s="7">
        <f>IF(COUNTIF(Lookup_Stations!$A$2:$A$33,O593)&gt;0,1,0)</f>
        <v>1</v>
      </c>
      <c r="R593" s="7">
        <f>IF(COUNTIF(Lookup_Stations!$A$2:$A$33,P593)&gt;0,1,0)</f>
        <v>1</v>
      </c>
      <c r="S593" s="7">
        <f>IF(OR(AND(Q593=1,NOT(EXACT(Raw_Bookings!F593,O593))),AND(R593=1,NOT(EXACT(Raw_Bookings!G593,P593)))),1,0)</f>
        <v>0</v>
      </c>
      <c r="T593" s="7">
        <f>IF(OR(Q593=0,R593=0),1,0)</f>
        <v>0</v>
      </c>
      <c r="U593" s="7">
        <f>IF(TRIM(Raw_Bookings!E593&amp;"")="",1,0)</f>
        <v>0</v>
      </c>
      <c r="V593" s="7" t="str">
        <f>IF(SUMPRODUCT(--(Lookup_Status!$A$2:$A$13=LOWER(TRIM(Raw_Bookings!K593))))=0,"",INDEX(Lookup_Status!$B$2:$B$13,SUMPRODUCT((Lookup_Status!$A$2:$A$13=LOWER(TRIM(Raw_Bookings!K593)))*(ROW(Lookup_Status!$A$2:$A$13)-1))))</f>
        <v>Confirmed</v>
      </c>
      <c r="W593" s="7">
        <f>IF(AND(V593&lt;&gt;"",NOT(EXACT(Raw_Bookings!K593,V593))),1,0)</f>
        <v>0</v>
      </c>
      <c r="X593" s="7">
        <f>IF(V593="",1,0)</f>
        <v>0</v>
      </c>
      <c r="Y593" s="7">
        <f>IF(TRIM(Raw_Bookings!L593&amp;"")="",1,0)</f>
        <v>0</v>
      </c>
      <c r="Z593" s="7">
        <f>IF(AND(ISTEXT(Raw_Bookings!L593),Y593=0),1,0)</f>
        <v>0</v>
      </c>
      <c r="AA593" s="7">
        <f>IF(Z593=1,IFERROR(VALUE(SUBSTITUTE(SUBSTITUTE(SUBSTITUTE(SUBSTITUTE(SUBSTITUTE(UPPER(Raw_Bookings!L593),"RS.",""),"₹",""),",","")," ",""),"INR","")),""),"")</f>
        <v/>
      </c>
      <c r="AB593" s="7">
        <f>IF(AND(Z593=1,ISNUMBER(AA593)),1,0)</f>
        <v>0</v>
      </c>
      <c r="AC593" s="7">
        <f>IF(B593=1,0,IF(NOT(ISNUMBER(Raw_Bookings!J593)),1,IF(Raw_Bookings!J593&lt;&gt;COUNTIFS(Work_Passengers!$B$2:$B$1336,Raw_Bookings!A593,Work_Passengers!$C$2:$C$1336,0),1,0)))</f>
        <v>0</v>
      </c>
    </row>
    <row r="594" spans="1:29">
      <c r="A594" s="7">
        <f>Raw_Bookings!A594</f>
        <v>1189659</v>
      </c>
      <c r="B594" s="7">
        <f>IF(COUNTIF(Raw_Bookings!$A$2:A594,Raw_Bookings!A594)&gt;1,1,0)</f>
        <v>0</v>
      </c>
      <c r="C594" s="7" t="str">
        <f>Raw_Bookings!D594&amp;""</f>
        <v>2026-08-03</v>
      </c>
      <c r="D594" s="7" t="str">
        <f>IF(AND(LEN(C594)=10,MID(C594,5,1)="-",MID(C594,8,1)="-"),"ISO",IF(AND(LEN(C594)=10,MID(C594,3,1)="-",MID(C594,6,1)="-"),"DMY","OTHER"))</f>
        <v>ISO</v>
      </c>
      <c r="E594" s="7">
        <f>IF(D594="ISO",VALUE(LEFT(C594,4)),IF(D594="DMY",VALUE(RIGHT(C594,4)),0))</f>
        <v>2026</v>
      </c>
      <c r="F594" s="7">
        <f>IF(D594="ISO",VALUE(MID(C594,6,2)),IF(D594="DMY",VALUE(MID(C594,4,2)),0))</f>
        <v>8</v>
      </c>
      <c r="G594" s="7">
        <f>IF(D594="ISO",VALUE(RIGHT(C594,2)),IF(D594="DMY",VALUE(LEFT(C594,2)),0))</f>
        <v>3</v>
      </c>
      <c r="H594" s="7">
        <f>IF(AND(D594&lt;&gt;"OTHER",F594&gt;=1,F594&lt;=12,G594&gt;=1,G594&lt;=31),IF(AND(MONTH(DATE(E594,F594,G594))=F594,DAY(DATE(E594,F594,G594))=G594),1,0),0)</f>
        <v>1</v>
      </c>
      <c r="I594" s="7">
        <f>IF(H594=1,DATE(E594,F594,G594),"")</f>
        <v>46237.0</v>
      </c>
      <c r="J594" s="7">
        <f>IF(AND(D594="DMY",H594=1),1,0)</f>
        <v>0</v>
      </c>
      <c r="K594" s="7">
        <f>IF(H594=0,1,0)</f>
        <v>0</v>
      </c>
      <c r="L594" s="7">
        <f>IF(TRIM(Raw_Bookings!I594&amp;"")="",1,0)</f>
        <v>0</v>
      </c>
      <c r="M594" s="7">
        <f>IF(L594=1,"",DATEVALUE(LEFT(Raw_Bookings!I594,10))+TIMEVALUE(MID(Raw_Bookings!I594,12,8)))</f>
        <v>46190.508356481485</v>
      </c>
      <c r="N594" s="7">
        <f>IF(AND(L594=0,H594=1),IF(INT(M594)&gt;I594,1,0),0)</f>
        <v>0</v>
      </c>
      <c r="O594" s="7" t="str">
        <f>UPPER(TRIM(Raw_Bookings!F594))</f>
        <v>CHE</v>
      </c>
      <c r="P594" s="7" t="str">
        <f>UPPER(TRIM(Raw_Bookings!G594))</f>
        <v>AHM</v>
      </c>
      <c r="Q594" s="7">
        <f>IF(COUNTIF(Lookup_Stations!$A$2:$A$33,O594)&gt;0,1,0)</f>
        <v>1</v>
      </c>
      <c r="R594" s="7">
        <f>IF(COUNTIF(Lookup_Stations!$A$2:$A$33,P594)&gt;0,1,0)</f>
        <v>1</v>
      </c>
      <c r="S594" s="7">
        <f>IF(OR(AND(Q594=1,NOT(EXACT(Raw_Bookings!F594,O594))),AND(R594=1,NOT(EXACT(Raw_Bookings!G594,P594)))),1,0)</f>
        <v>0</v>
      </c>
      <c r="T594" s="7">
        <f>IF(OR(Q594=0,R594=0),1,0)</f>
        <v>0</v>
      </c>
      <c r="U594" s="7">
        <f>IF(TRIM(Raw_Bookings!E594&amp;"")="",1,0)</f>
        <v>0</v>
      </c>
      <c r="V594" s="7" t="str">
        <f>IF(SUMPRODUCT(--(Lookup_Status!$A$2:$A$13=LOWER(TRIM(Raw_Bookings!K594))))=0,"",INDEX(Lookup_Status!$B$2:$B$13,SUMPRODUCT((Lookup_Status!$A$2:$A$13=LOWER(TRIM(Raw_Bookings!K594)))*(ROW(Lookup_Status!$A$2:$A$13)-1))))</f>
        <v>Confirmed</v>
      </c>
      <c r="W594" s="7">
        <f>IF(AND(V594&lt;&gt;"",NOT(EXACT(Raw_Bookings!K594,V594))),1,0)</f>
        <v>0</v>
      </c>
      <c r="X594" s="7">
        <f>IF(V594="",1,0)</f>
        <v>0</v>
      </c>
      <c r="Y594" s="7">
        <f>IF(TRIM(Raw_Bookings!L594&amp;"")="",1,0)</f>
        <v>0</v>
      </c>
      <c r="Z594" s="7">
        <f>IF(AND(ISTEXT(Raw_Bookings!L594),Y594=0),1,0)</f>
        <v>0</v>
      </c>
      <c r="AA594" s="7">
        <f>IF(Z594=1,IFERROR(VALUE(SUBSTITUTE(SUBSTITUTE(SUBSTITUTE(SUBSTITUTE(SUBSTITUTE(UPPER(Raw_Bookings!L594),"RS.",""),"₹",""),",","")," ",""),"INR","")),""),"")</f>
        <v/>
      </c>
      <c r="AB594" s="7">
        <f>IF(AND(Z594=1,ISNUMBER(AA594)),1,0)</f>
        <v>0</v>
      </c>
      <c r="AC594" s="7">
        <f>IF(B594=1,0,IF(NOT(ISNUMBER(Raw_Bookings!J594)),1,IF(Raw_Bookings!J594&lt;&gt;COUNTIFS(Work_Passengers!$B$2:$B$1336,Raw_Bookings!A594,Work_Passengers!$C$2:$C$1336,0),1,0)))</f>
        <v>0</v>
      </c>
    </row>
    <row r="595" spans="1:29">
      <c r="A595" s="7">
        <f>Raw_Bookings!A595</f>
        <v>1189966</v>
      </c>
      <c r="B595" s="7">
        <f>IF(COUNTIF(Raw_Bookings!$A$2:A595,Raw_Bookings!A595)&gt;1,1,0)</f>
        <v>0</v>
      </c>
      <c r="C595" s="7" t="str">
        <f>Raw_Bookings!D595&amp;""</f>
        <v>2026-07-31</v>
      </c>
      <c r="D595" s="7" t="str">
        <f>IF(AND(LEN(C595)=10,MID(C595,5,1)="-",MID(C595,8,1)="-"),"ISO",IF(AND(LEN(C595)=10,MID(C595,3,1)="-",MID(C595,6,1)="-"),"DMY","OTHER"))</f>
        <v>ISO</v>
      </c>
      <c r="E595" s="7">
        <f>IF(D595="ISO",VALUE(LEFT(C595,4)),IF(D595="DMY",VALUE(RIGHT(C595,4)),0))</f>
        <v>2026</v>
      </c>
      <c r="F595" s="7">
        <f>IF(D595="ISO",VALUE(MID(C595,6,2)),IF(D595="DMY",VALUE(MID(C595,4,2)),0))</f>
        <v>7</v>
      </c>
      <c r="G595" s="7">
        <f>IF(D595="ISO",VALUE(RIGHT(C595,2)),IF(D595="DMY",VALUE(LEFT(C595,2)),0))</f>
        <v>31</v>
      </c>
      <c r="H595" s="7">
        <f>IF(AND(D595&lt;&gt;"OTHER",F595&gt;=1,F595&lt;=12,G595&gt;=1,G595&lt;=31),IF(AND(MONTH(DATE(E595,F595,G595))=F595,DAY(DATE(E595,F595,G595))=G595),1,0),0)</f>
        <v>1</v>
      </c>
      <c r="I595" s="7">
        <f>IF(H595=1,DATE(E595,F595,G595),"")</f>
        <v>46234.0</v>
      </c>
      <c r="J595" s="7">
        <f>IF(AND(D595="DMY",H595=1),1,0)</f>
        <v>0</v>
      </c>
      <c r="K595" s="7">
        <f>IF(H595=0,1,0)</f>
        <v>0</v>
      </c>
      <c r="L595" s="7">
        <f>IF(TRIM(Raw_Bookings!I595&amp;"")="",1,0)</f>
        <v>0</v>
      </c>
      <c r="M595" s="7">
        <f>IF(L595=1,"",DATEVALUE(LEFT(Raw_Bookings!I595,10))+TIMEVALUE(MID(Raw_Bookings!I595,12,8)))</f>
        <v>46191.82716435185</v>
      </c>
      <c r="N595" s="7">
        <f>IF(AND(L595=0,H595=1),IF(INT(M595)&gt;I595,1,0),0)</f>
        <v>0</v>
      </c>
      <c r="O595" s="7" t="str">
        <f>UPPER(TRIM(Raw_Bookings!F595))</f>
        <v>LUC</v>
      </c>
      <c r="P595" s="7" t="str">
        <f>UPPER(TRIM(Raw_Bookings!G595))</f>
        <v>MUM</v>
      </c>
      <c r="Q595" s="7">
        <f>IF(COUNTIF(Lookup_Stations!$A$2:$A$33,O595)&gt;0,1,0)</f>
        <v>1</v>
      </c>
      <c r="R595" s="7">
        <f>IF(COUNTIF(Lookup_Stations!$A$2:$A$33,P595)&gt;0,1,0)</f>
        <v>1</v>
      </c>
      <c r="S595" s="7">
        <f>IF(OR(AND(Q595=1,NOT(EXACT(Raw_Bookings!F595,O595))),AND(R595=1,NOT(EXACT(Raw_Bookings!G595,P595)))),1,0)</f>
        <v>0</v>
      </c>
      <c r="T595" s="7">
        <f>IF(OR(Q595=0,R595=0),1,0)</f>
        <v>0</v>
      </c>
      <c r="U595" s="7">
        <f>IF(TRIM(Raw_Bookings!E595&amp;"")="",1,0)</f>
        <v>0</v>
      </c>
      <c r="V595" s="7" t="str">
        <f>IF(SUMPRODUCT(--(Lookup_Status!$A$2:$A$13=LOWER(TRIM(Raw_Bookings!K595))))=0,"",INDEX(Lookup_Status!$B$2:$B$13,SUMPRODUCT((Lookup_Status!$A$2:$A$13=LOWER(TRIM(Raw_Bookings!K595)))*(ROW(Lookup_Status!$A$2:$A$13)-1))))</f>
        <v>Confirmed</v>
      </c>
      <c r="W595" s="7">
        <f>IF(AND(V595&lt;&gt;"",NOT(EXACT(Raw_Bookings!K595,V595))),1,0)</f>
        <v>0</v>
      </c>
      <c r="X595" s="7">
        <f>IF(V595="",1,0)</f>
        <v>0</v>
      </c>
      <c r="Y595" s="7">
        <f>IF(TRIM(Raw_Bookings!L595&amp;"")="",1,0)</f>
        <v>0</v>
      </c>
      <c r="Z595" s="7">
        <f>IF(AND(ISTEXT(Raw_Bookings!L595),Y595=0),1,0)</f>
        <v>0</v>
      </c>
      <c r="AA595" s="7">
        <f>IF(Z595=1,IFERROR(VALUE(SUBSTITUTE(SUBSTITUTE(SUBSTITUTE(SUBSTITUTE(SUBSTITUTE(UPPER(Raw_Bookings!L595),"RS.",""),"₹",""),",","")," ",""),"INR","")),""),"")</f>
        <v/>
      </c>
      <c r="AB595" s="7">
        <f>IF(AND(Z595=1,ISNUMBER(AA595)),1,0)</f>
        <v>0</v>
      </c>
      <c r="AC595" s="7">
        <f>IF(B595=1,0,IF(NOT(ISNUMBER(Raw_Bookings!J595)),1,IF(Raw_Bookings!J595&lt;&gt;COUNTIFS(Work_Passengers!$B$2:$B$1336,Raw_Bookings!A595,Work_Passengers!$C$2:$C$1336,0),1,0)))</f>
        <v>0</v>
      </c>
    </row>
    <row r="596" spans="1:29">
      <c r="A596" s="7">
        <f>Raw_Bookings!A596</f>
        <v>1189972</v>
      </c>
      <c r="B596" s="7">
        <f>IF(COUNTIF(Raw_Bookings!$A$2:A596,Raw_Bookings!A596)&gt;1,1,0)</f>
        <v>0</v>
      </c>
      <c r="C596" s="7" t="str">
        <f>Raw_Bookings!D596&amp;""</f>
        <v>2026-07-27</v>
      </c>
      <c r="D596" s="7" t="str">
        <f>IF(AND(LEN(C596)=10,MID(C596,5,1)="-",MID(C596,8,1)="-"),"ISO",IF(AND(LEN(C596)=10,MID(C596,3,1)="-",MID(C596,6,1)="-"),"DMY","OTHER"))</f>
        <v>ISO</v>
      </c>
      <c r="E596" s="7">
        <f>IF(D596="ISO",VALUE(LEFT(C596,4)),IF(D596="DMY",VALUE(RIGHT(C596,4)),0))</f>
        <v>2026</v>
      </c>
      <c r="F596" s="7">
        <f>IF(D596="ISO",VALUE(MID(C596,6,2)),IF(D596="DMY",VALUE(MID(C596,4,2)),0))</f>
        <v>7</v>
      </c>
      <c r="G596" s="7">
        <f>IF(D596="ISO",VALUE(RIGHT(C596,2)),IF(D596="DMY",VALUE(LEFT(C596,2)),0))</f>
        <v>27</v>
      </c>
      <c r="H596" s="7">
        <f>IF(AND(D596&lt;&gt;"OTHER",F596&gt;=1,F596&lt;=12,G596&gt;=1,G596&lt;=31),IF(AND(MONTH(DATE(E596,F596,G596))=F596,DAY(DATE(E596,F596,G596))=G596),1,0),0)</f>
        <v>1</v>
      </c>
      <c r="I596" s="7">
        <f>IF(H596=1,DATE(E596,F596,G596),"")</f>
        <v>46230.0</v>
      </c>
      <c r="J596" s="7">
        <f>IF(AND(D596="DMY",H596=1),1,0)</f>
        <v>0</v>
      </c>
      <c r="K596" s="7">
        <f>IF(H596=0,1,0)</f>
        <v>0</v>
      </c>
      <c r="L596" s="7">
        <f>IF(TRIM(Raw_Bookings!I596&amp;"")="",1,0)</f>
        <v>0</v>
      </c>
      <c r="M596" s="7">
        <f>IF(L596=1,"",DATEVALUE(LEFT(Raw_Bookings!I596,10))+TIMEVALUE(MID(Raw_Bookings!I596,12,8)))</f>
        <v>46191.848703703705</v>
      </c>
      <c r="N596" s="7">
        <f>IF(AND(L596=0,H596=1),IF(INT(M596)&gt;I596,1,0),0)</f>
        <v>0</v>
      </c>
      <c r="O596" s="7" t="str">
        <f>UPPER(TRIM(Raw_Bookings!F596))</f>
        <v>DEL</v>
      </c>
      <c r="P596" s="7" t="str">
        <f>UPPER(TRIM(Raw_Bookings!G596))</f>
        <v>MAU</v>
      </c>
      <c r="Q596" s="7">
        <f>IF(COUNTIF(Lookup_Stations!$A$2:$A$33,O596)&gt;0,1,0)</f>
        <v>1</v>
      </c>
      <c r="R596" s="7">
        <f>IF(COUNTIF(Lookup_Stations!$A$2:$A$33,P596)&gt;0,1,0)</f>
        <v>1</v>
      </c>
      <c r="S596" s="7">
        <f>IF(OR(AND(Q596=1,NOT(EXACT(Raw_Bookings!F596,O596))),AND(R596=1,NOT(EXACT(Raw_Bookings!G596,P596)))),1,0)</f>
        <v>0</v>
      </c>
      <c r="T596" s="7">
        <f>IF(OR(Q596=0,R596=0),1,0)</f>
        <v>0</v>
      </c>
      <c r="U596" s="7">
        <f>IF(TRIM(Raw_Bookings!E596&amp;"")="",1,0)</f>
        <v>0</v>
      </c>
      <c r="V596" s="7" t="str">
        <f>IF(SUMPRODUCT(--(Lookup_Status!$A$2:$A$13=LOWER(TRIM(Raw_Bookings!K596))))=0,"",INDEX(Lookup_Status!$B$2:$B$13,SUMPRODUCT((Lookup_Status!$A$2:$A$13=LOWER(TRIM(Raw_Bookings!K596)))*(ROW(Lookup_Status!$A$2:$A$13)-1))))</f>
        <v>Confirmed</v>
      </c>
      <c r="W596" s="7">
        <f>IF(AND(V596&lt;&gt;"",NOT(EXACT(Raw_Bookings!K596,V596))),1,0)</f>
        <v>0</v>
      </c>
      <c r="X596" s="7">
        <f>IF(V596="",1,0)</f>
        <v>0</v>
      </c>
      <c r="Y596" s="7">
        <f>IF(TRIM(Raw_Bookings!L596&amp;"")="",1,0)</f>
        <v>0</v>
      </c>
      <c r="Z596" s="7">
        <f>IF(AND(ISTEXT(Raw_Bookings!L596),Y596=0),1,0)</f>
        <v>0</v>
      </c>
      <c r="AA596" s="7">
        <f>IF(Z596=1,IFERROR(VALUE(SUBSTITUTE(SUBSTITUTE(SUBSTITUTE(SUBSTITUTE(SUBSTITUTE(UPPER(Raw_Bookings!L596),"RS.",""),"₹",""),",","")," ",""),"INR","")),""),"")</f>
        <v/>
      </c>
      <c r="AB596" s="7">
        <f>IF(AND(Z596=1,ISNUMBER(AA596)),1,0)</f>
        <v>0</v>
      </c>
      <c r="AC596" s="7">
        <f>IF(B596=1,0,IF(NOT(ISNUMBER(Raw_Bookings!J596)),1,IF(Raw_Bookings!J596&lt;&gt;COUNTIFS(Work_Passengers!$B$2:$B$1336,Raw_Bookings!A596,Work_Passengers!$C$2:$C$1336,0),1,0)))</f>
        <v>0</v>
      </c>
    </row>
    <row r="597" spans="1:29">
      <c r="A597" s="7">
        <f>Raw_Bookings!A597</f>
        <v>1190022</v>
      </c>
      <c r="B597" s="7">
        <f>IF(COUNTIF(Raw_Bookings!$A$2:A597,Raw_Bookings!A597)&gt;1,1,0)</f>
        <v>0</v>
      </c>
      <c r="C597" s="7" t="str">
        <f>Raw_Bookings!D597&amp;""</f>
        <v>2026-07-31</v>
      </c>
      <c r="D597" s="7" t="str">
        <f>IF(AND(LEN(C597)=10,MID(C597,5,1)="-",MID(C597,8,1)="-"),"ISO",IF(AND(LEN(C597)=10,MID(C597,3,1)="-",MID(C597,6,1)="-"),"DMY","OTHER"))</f>
        <v>ISO</v>
      </c>
      <c r="E597" s="7">
        <f>IF(D597="ISO",VALUE(LEFT(C597,4)),IF(D597="DMY",VALUE(RIGHT(C597,4)),0))</f>
        <v>2026</v>
      </c>
      <c r="F597" s="7">
        <f>IF(D597="ISO",VALUE(MID(C597,6,2)),IF(D597="DMY",VALUE(MID(C597,4,2)),0))</f>
        <v>7</v>
      </c>
      <c r="G597" s="7">
        <f>IF(D597="ISO",VALUE(RIGHT(C597,2)),IF(D597="DMY",VALUE(LEFT(C597,2)),0))</f>
        <v>31</v>
      </c>
      <c r="H597" s="7">
        <f>IF(AND(D597&lt;&gt;"OTHER",F597&gt;=1,F597&lt;=12,G597&gt;=1,G597&lt;=31),IF(AND(MONTH(DATE(E597,F597,G597))=F597,DAY(DATE(E597,F597,G597))=G597),1,0),0)</f>
        <v>1</v>
      </c>
      <c r="I597" s="7">
        <f>IF(H597=1,DATE(E597,F597,G597),"")</f>
        <v>46234.0</v>
      </c>
      <c r="J597" s="7">
        <f>IF(AND(D597="DMY",H597=1),1,0)</f>
        <v>0</v>
      </c>
      <c r="K597" s="7">
        <f>IF(H597=0,1,0)</f>
        <v>0</v>
      </c>
      <c r="L597" s="7">
        <f>IF(TRIM(Raw_Bookings!I597&amp;"")="",1,0)</f>
        <v>0</v>
      </c>
      <c r="M597" s="7">
        <f>IF(L597=1,"",DATEVALUE(LEFT(Raw_Bookings!I597,10))+TIMEVALUE(MID(Raw_Bookings!I597,12,8)))</f>
        <v>46192.25915509259</v>
      </c>
      <c r="N597" s="7">
        <f>IF(AND(L597=0,H597=1),IF(INT(M597)&gt;I597,1,0),0)</f>
        <v>0</v>
      </c>
      <c r="O597" s="7" t="str">
        <f>UPPER(TRIM(Raw_Bookings!F597))</f>
        <v>LUC</v>
      </c>
      <c r="P597" s="7" t="str">
        <f>UPPER(TRIM(Raw_Bookings!G597))</f>
        <v>MUM</v>
      </c>
      <c r="Q597" s="7">
        <f>IF(COUNTIF(Lookup_Stations!$A$2:$A$33,O597)&gt;0,1,0)</f>
        <v>1</v>
      </c>
      <c r="R597" s="7">
        <f>IF(COUNTIF(Lookup_Stations!$A$2:$A$33,P597)&gt;0,1,0)</f>
        <v>1</v>
      </c>
      <c r="S597" s="7">
        <f>IF(OR(AND(Q597=1,NOT(EXACT(Raw_Bookings!F597,O597))),AND(R597=1,NOT(EXACT(Raw_Bookings!G597,P597)))),1,0)</f>
        <v>0</v>
      </c>
      <c r="T597" s="7">
        <f>IF(OR(Q597=0,R597=0),1,0)</f>
        <v>0</v>
      </c>
      <c r="U597" s="7">
        <f>IF(TRIM(Raw_Bookings!E597&amp;"")="",1,0)</f>
        <v>0</v>
      </c>
      <c r="V597" s="7" t="str">
        <f>IF(SUMPRODUCT(--(Lookup_Status!$A$2:$A$13=LOWER(TRIM(Raw_Bookings!K597))))=0,"",INDEX(Lookup_Status!$B$2:$B$13,SUMPRODUCT((Lookup_Status!$A$2:$A$13=LOWER(TRIM(Raw_Bookings!K597)))*(ROW(Lookup_Status!$A$2:$A$13)-1))))</f>
        <v>Confirmed</v>
      </c>
      <c r="W597" s="7">
        <f>IF(AND(V597&lt;&gt;"",NOT(EXACT(Raw_Bookings!K597,V597))),1,0)</f>
        <v>0</v>
      </c>
      <c r="X597" s="7">
        <f>IF(V597="",1,0)</f>
        <v>0</v>
      </c>
      <c r="Y597" s="7">
        <f>IF(TRIM(Raw_Bookings!L597&amp;"")="",1,0)</f>
        <v>0</v>
      </c>
      <c r="Z597" s="7">
        <f>IF(AND(ISTEXT(Raw_Bookings!L597),Y597=0),1,0)</f>
        <v>0</v>
      </c>
      <c r="AA597" s="7">
        <f>IF(Z597=1,IFERROR(VALUE(SUBSTITUTE(SUBSTITUTE(SUBSTITUTE(SUBSTITUTE(SUBSTITUTE(UPPER(Raw_Bookings!L597),"RS.",""),"₹",""),",","")," ",""),"INR","")),""),"")</f>
        <v/>
      </c>
      <c r="AB597" s="7">
        <f>IF(AND(Z597=1,ISNUMBER(AA597)),1,0)</f>
        <v>0</v>
      </c>
      <c r="AC597" s="7">
        <f>IF(B597=1,0,IF(NOT(ISNUMBER(Raw_Bookings!J597)),1,IF(Raw_Bookings!J597&lt;&gt;COUNTIFS(Work_Passengers!$B$2:$B$1336,Raw_Bookings!A597,Work_Passengers!$C$2:$C$1336,0),1,0)))</f>
        <v>0</v>
      </c>
    </row>
    <row r="598" spans="1:29">
      <c r="A598" s="7">
        <f>Raw_Bookings!A598</f>
        <v>1190134</v>
      </c>
      <c r="B598" s="7">
        <f>IF(COUNTIF(Raw_Bookings!$A$2:A598,Raw_Bookings!A598)&gt;1,1,0)</f>
        <v>0</v>
      </c>
      <c r="C598" s="7" t="str">
        <f>Raw_Bookings!D598&amp;""</f>
        <v>2026-08-13</v>
      </c>
      <c r="D598" s="7" t="str">
        <f>IF(AND(LEN(C598)=10,MID(C598,5,1)="-",MID(C598,8,1)="-"),"ISO",IF(AND(LEN(C598)=10,MID(C598,3,1)="-",MID(C598,6,1)="-"),"DMY","OTHER"))</f>
        <v>ISO</v>
      </c>
      <c r="E598" s="7">
        <f>IF(D598="ISO",VALUE(LEFT(C598,4)),IF(D598="DMY",VALUE(RIGHT(C598,4)),0))</f>
        <v>2026</v>
      </c>
      <c r="F598" s="7">
        <f>IF(D598="ISO",VALUE(MID(C598,6,2)),IF(D598="DMY",VALUE(MID(C598,4,2)),0))</f>
        <v>8</v>
      </c>
      <c r="G598" s="7">
        <f>IF(D598="ISO",VALUE(RIGHT(C598,2)),IF(D598="DMY",VALUE(LEFT(C598,2)),0))</f>
        <v>13</v>
      </c>
      <c r="H598" s="7">
        <f>IF(AND(D598&lt;&gt;"OTHER",F598&gt;=1,F598&lt;=12,G598&gt;=1,G598&lt;=31),IF(AND(MONTH(DATE(E598,F598,G598))=F598,DAY(DATE(E598,F598,G598))=G598),1,0),0)</f>
        <v>1</v>
      </c>
      <c r="I598" s="7">
        <f>IF(H598=1,DATE(E598,F598,G598),"")</f>
        <v>46247.0</v>
      </c>
      <c r="J598" s="7">
        <f>IF(AND(D598="DMY",H598=1),1,0)</f>
        <v>0</v>
      </c>
      <c r="K598" s="7">
        <f>IF(H598=0,1,0)</f>
        <v>0</v>
      </c>
      <c r="L598" s="7">
        <f>IF(TRIM(Raw_Bookings!I598&amp;"")="",1,0)</f>
        <v>1</v>
      </c>
      <c r="M598" s="7">
        <f>IF(L598=1,"",DATEVALUE(LEFT(Raw_Bookings!I598,10))+TIMEVALUE(MID(Raw_Bookings!I598,12,8)))</f>
        <v/>
      </c>
      <c r="N598" s="7">
        <f>IF(AND(L598=0,H598=1),IF(INT(M598)&gt;I598,1,0),0)</f>
        <v>0</v>
      </c>
      <c r="O598" s="7" t="str">
        <f>UPPER(TRIM(Raw_Bookings!F598))</f>
        <v>DIB</v>
      </c>
      <c r="P598" s="7" t="str">
        <f>UPPER(TRIM(Raw_Bookings!G598))</f>
        <v>DEL</v>
      </c>
      <c r="Q598" s="7">
        <f>IF(COUNTIF(Lookup_Stations!$A$2:$A$33,O598)&gt;0,1,0)</f>
        <v>1</v>
      </c>
      <c r="R598" s="7">
        <f>IF(COUNTIF(Lookup_Stations!$A$2:$A$33,P598)&gt;0,1,0)</f>
        <v>1</v>
      </c>
      <c r="S598" s="7">
        <f>IF(OR(AND(Q598=1,NOT(EXACT(Raw_Bookings!F598,O598))),AND(R598=1,NOT(EXACT(Raw_Bookings!G598,P598)))),1,0)</f>
        <v>0</v>
      </c>
      <c r="T598" s="7">
        <f>IF(OR(Q598=0,R598=0),1,0)</f>
        <v>0</v>
      </c>
      <c r="U598" s="7">
        <f>IF(TRIM(Raw_Bookings!E598&amp;"")="",1,0)</f>
        <v>0</v>
      </c>
      <c r="V598" s="7" t="str">
        <f>IF(SUMPRODUCT(--(Lookup_Status!$A$2:$A$13=LOWER(TRIM(Raw_Bookings!K598))))=0,"",INDEX(Lookup_Status!$B$2:$B$13,SUMPRODUCT((Lookup_Status!$A$2:$A$13=LOWER(TRIM(Raw_Bookings!K598)))*(ROW(Lookup_Status!$A$2:$A$13)-1))))</f>
        <v>Confirmed</v>
      </c>
      <c r="W598" s="7">
        <f>IF(AND(V598&lt;&gt;"",NOT(EXACT(Raw_Bookings!K598,V598))),1,0)</f>
        <v>0</v>
      </c>
      <c r="X598" s="7">
        <f>IF(V598="",1,0)</f>
        <v>0</v>
      </c>
      <c r="Y598" s="7">
        <f>IF(TRIM(Raw_Bookings!L598&amp;"")="",1,0)</f>
        <v>0</v>
      </c>
      <c r="Z598" s="7">
        <f>IF(AND(ISTEXT(Raw_Bookings!L598),Y598=0),1,0)</f>
        <v>0</v>
      </c>
      <c r="AA598" s="7">
        <f>IF(Z598=1,IFERROR(VALUE(SUBSTITUTE(SUBSTITUTE(SUBSTITUTE(SUBSTITUTE(SUBSTITUTE(UPPER(Raw_Bookings!L598),"RS.",""),"₹",""),",","")," ",""),"INR","")),""),"")</f>
        <v/>
      </c>
      <c r="AB598" s="7">
        <f>IF(AND(Z598=1,ISNUMBER(AA598)),1,0)</f>
        <v>0</v>
      </c>
      <c r="AC598" s="7">
        <f>IF(B598=1,0,IF(NOT(ISNUMBER(Raw_Bookings!J598)),1,IF(Raw_Bookings!J598&lt;&gt;COUNTIFS(Work_Passengers!$B$2:$B$1336,Raw_Bookings!A598,Work_Passengers!$C$2:$C$1336,0),1,0)))</f>
        <v>0</v>
      </c>
    </row>
    <row r="599" spans="1:29">
      <c r="A599" s="7">
        <f>Raw_Bookings!A599</f>
        <v>1190251</v>
      </c>
      <c r="B599" s="7">
        <f>IF(COUNTIF(Raw_Bookings!$A$2:A599,Raw_Bookings!A599)&gt;1,1,0)</f>
        <v>0</v>
      </c>
      <c r="C599" s="7" t="str">
        <f>Raw_Bookings!D599&amp;""</f>
        <v>2026-06-29</v>
      </c>
      <c r="D599" s="7" t="str">
        <f>IF(AND(LEN(C599)=10,MID(C599,5,1)="-",MID(C599,8,1)="-"),"ISO",IF(AND(LEN(C599)=10,MID(C599,3,1)="-",MID(C599,6,1)="-"),"DMY","OTHER"))</f>
        <v>ISO</v>
      </c>
      <c r="E599" s="7">
        <f>IF(D599="ISO",VALUE(LEFT(C599,4)),IF(D599="DMY",VALUE(RIGHT(C599,4)),0))</f>
        <v>2026</v>
      </c>
      <c r="F599" s="7">
        <f>IF(D599="ISO",VALUE(MID(C599,6,2)),IF(D599="DMY",VALUE(MID(C599,4,2)),0))</f>
        <v>6</v>
      </c>
      <c r="G599" s="7">
        <f>IF(D599="ISO",VALUE(RIGHT(C599,2)),IF(D599="DMY",VALUE(LEFT(C599,2)),0))</f>
        <v>29</v>
      </c>
      <c r="H599" s="7">
        <f>IF(AND(D599&lt;&gt;"OTHER",F599&gt;=1,F599&lt;=12,G599&gt;=1,G599&lt;=31),IF(AND(MONTH(DATE(E599,F599,G599))=F599,DAY(DATE(E599,F599,G599))=G599),1,0),0)</f>
        <v>1</v>
      </c>
      <c r="I599" s="7">
        <f>IF(H599=1,DATE(E599,F599,G599),"")</f>
        <v>46202.0</v>
      </c>
      <c r="J599" s="7">
        <f>IF(AND(D599="DMY",H599=1),1,0)</f>
        <v>0</v>
      </c>
      <c r="K599" s="7">
        <f>IF(H599=0,1,0)</f>
        <v>0</v>
      </c>
      <c r="L599" s="7">
        <f>IF(TRIM(Raw_Bookings!I599&amp;"")="",1,0)</f>
        <v>0</v>
      </c>
      <c r="M599" s="7">
        <f>IF(L599=1,"",DATEVALUE(LEFT(Raw_Bookings!I599,10))+TIMEVALUE(MID(Raw_Bookings!I599,12,8)))</f>
        <v>46193.4028587963</v>
      </c>
      <c r="N599" s="7">
        <f>IF(AND(L599=0,H599=1),IF(INT(M599)&gt;I599,1,0),0)</f>
        <v>0</v>
      </c>
      <c r="O599" s="7" t="str">
        <f>UPPER(TRIM(Raw_Bookings!F599))</f>
        <v>BEN</v>
      </c>
      <c r="P599" s="7" t="str">
        <f>UPPER(TRIM(Raw_Bookings!G599))</f>
        <v>MUM</v>
      </c>
      <c r="Q599" s="7">
        <f>IF(COUNTIF(Lookup_Stations!$A$2:$A$33,O599)&gt;0,1,0)</f>
        <v>1</v>
      </c>
      <c r="R599" s="7">
        <f>IF(COUNTIF(Lookup_Stations!$A$2:$A$33,P599)&gt;0,1,0)</f>
        <v>1</v>
      </c>
      <c r="S599" s="7">
        <f>IF(OR(AND(Q599=1,NOT(EXACT(Raw_Bookings!F599,O599))),AND(R599=1,NOT(EXACT(Raw_Bookings!G599,P599)))),1,0)</f>
        <v>0</v>
      </c>
      <c r="T599" s="7">
        <f>IF(OR(Q599=0,R599=0),1,0)</f>
        <v>0</v>
      </c>
      <c r="U599" s="7">
        <f>IF(TRIM(Raw_Bookings!E599&amp;"")="",1,0)</f>
        <v>0</v>
      </c>
      <c r="V599" s="7" t="str">
        <f>IF(SUMPRODUCT(--(Lookup_Status!$A$2:$A$13=LOWER(TRIM(Raw_Bookings!K599))))=0,"",INDEX(Lookup_Status!$B$2:$B$13,SUMPRODUCT((Lookup_Status!$A$2:$A$13=LOWER(TRIM(Raw_Bookings!K599)))*(ROW(Lookup_Status!$A$2:$A$13)-1))))</f>
        <v>Confirmed</v>
      </c>
      <c r="W599" s="7">
        <f>IF(AND(V599&lt;&gt;"",NOT(EXACT(Raw_Bookings!K599,V599))),1,0)</f>
        <v>0</v>
      </c>
      <c r="X599" s="7">
        <f>IF(V599="",1,0)</f>
        <v>0</v>
      </c>
      <c r="Y599" s="7">
        <f>IF(TRIM(Raw_Bookings!L599&amp;"")="",1,0)</f>
        <v>0</v>
      </c>
      <c r="Z599" s="7">
        <f>IF(AND(ISTEXT(Raw_Bookings!L599),Y599=0),1,0)</f>
        <v>1</v>
      </c>
      <c r="AA599" s="7">
        <f>IF(Z599=1,IFERROR(VALUE(SUBSTITUTE(SUBSTITUTE(SUBSTITUTE(SUBSTITUTE(SUBSTITUTE(UPPER(Raw_Bookings!L599),"RS.",""),"₹",""),",","")," ",""),"INR","")),""),"")</f>
        <v>326</v>
      </c>
      <c r="AB599" s="7">
        <f>IF(AND(Z599=1,ISNUMBER(AA599)),1,0)</f>
        <v>1</v>
      </c>
      <c r="AC599" s="7">
        <f>IF(B599=1,0,IF(NOT(ISNUMBER(Raw_Bookings!J599)),1,IF(Raw_Bookings!J599&lt;&gt;COUNTIFS(Work_Passengers!$B$2:$B$1336,Raw_Bookings!A599,Work_Passengers!$C$2:$C$1336,0),1,0)))</f>
        <v>0</v>
      </c>
    </row>
    <row r="600" spans="1:29">
      <c r="A600" s="7">
        <f>Raw_Bookings!A600</f>
        <v>1191314</v>
      </c>
      <c r="B600" s="7">
        <f>IF(COUNTIF(Raw_Bookings!$A$2:A600,Raw_Bookings!A600)&gt;1,1,0)</f>
        <v>0</v>
      </c>
      <c r="C600" s="7" t="str">
        <f>Raw_Bookings!D600&amp;""</f>
        <v>2026-08-15</v>
      </c>
      <c r="D600" s="7" t="str">
        <f>IF(AND(LEN(C600)=10,MID(C600,5,1)="-",MID(C600,8,1)="-"),"ISO",IF(AND(LEN(C600)=10,MID(C600,3,1)="-",MID(C600,6,1)="-"),"DMY","OTHER"))</f>
        <v>ISO</v>
      </c>
      <c r="E600" s="7">
        <f>IF(D600="ISO",VALUE(LEFT(C600,4)),IF(D600="DMY",VALUE(RIGHT(C600,4)),0))</f>
        <v>2026</v>
      </c>
      <c r="F600" s="7">
        <f>IF(D600="ISO",VALUE(MID(C600,6,2)),IF(D600="DMY",VALUE(MID(C600,4,2)),0))</f>
        <v>8</v>
      </c>
      <c r="G600" s="7">
        <f>IF(D600="ISO",VALUE(RIGHT(C600,2)),IF(D600="DMY",VALUE(LEFT(C600,2)),0))</f>
        <v>15</v>
      </c>
      <c r="H600" s="7">
        <f>IF(AND(D600&lt;&gt;"OTHER",F600&gt;=1,F600&lt;=12,G600&gt;=1,G600&lt;=31),IF(AND(MONTH(DATE(E600,F600,G600))=F600,DAY(DATE(E600,F600,G600))=G600),1,0),0)</f>
        <v>1</v>
      </c>
      <c r="I600" s="7">
        <f>IF(H600=1,DATE(E600,F600,G600),"")</f>
        <v>46249.0</v>
      </c>
      <c r="J600" s="7">
        <f>IF(AND(D600="DMY",H600=1),1,0)</f>
        <v>0</v>
      </c>
      <c r="K600" s="7">
        <f>IF(H600=0,1,0)</f>
        <v>0</v>
      </c>
      <c r="L600" s="7">
        <f>IF(TRIM(Raw_Bookings!I600&amp;"")="",1,0)</f>
        <v>0</v>
      </c>
      <c r="M600" s="7">
        <f>IF(L600=1,"",DATEVALUE(LEFT(Raw_Bookings!I600,10))+TIMEVALUE(MID(Raw_Bookings!I600,12,8)))</f>
        <v>46198.731354166666</v>
      </c>
      <c r="N600" s="7">
        <f>IF(AND(L600=0,H600=1),IF(INT(M600)&gt;I600,1,0),0)</f>
        <v>0</v>
      </c>
      <c r="O600" s="7" t="str">
        <f>UPPER(TRIM(Raw_Bookings!F600))</f>
        <v>JAI</v>
      </c>
      <c r="P600" s="7" t="str">
        <f>UPPER(TRIM(Raw_Bookings!G600))</f>
        <v>BHO</v>
      </c>
      <c r="Q600" s="7">
        <f>IF(COUNTIF(Lookup_Stations!$A$2:$A$33,O600)&gt;0,1,0)</f>
        <v>1</v>
      </c>
      <c r="R600" s="7">
        <f>IF(COUNTIF(Lookup_Stations!$A$2:$A$33,P600)&gt;0,1,0)</f>
        <v>1</v>
      </c>
      <c r="S600" s="7">
        <f>IF(OR(AND(Q600=1,NOT(EXACT(Raw_Bookings!F600,O600))),AND(R600=1,NOT(EXACT(Raw_Bookings!G600,P600)))),1,0)</f>
        <v>0</v>
      </c>
      <c r="T600" s="7">
        <f>IF(OR(Q600=0,R600=0),1,0)</f>
        <v>0</v>
      </c>
      <c r="U600" s="7">
        <f>IF(TRIM(Raw_Bookings!E600&amp;"")="",1,0)</f>
        <v>0</v>
      </c>
      <c r="V600" s="7" t="str">
        <f>IF(SUMPRODUCT(--(Lookup_Status!$A$2:$A$13=LOWER(TRIM(Raw_Bookings!K600))))=0,"",INDEX(Lookup_Status!$B$2:$B$13,SUMPRODUCT((Lookup_Status!$A$2:$A$13=LOWER(TRIM(Raw_Bookings!K600)))*(ROW(Lookup_Status!$A$2:$A$13)-1))))</f>
        <v>Mixed</v>
      </c>
      <c r="W600" s="7">
        <f>IF(AND(V600&lt;&gt;"",NOT(EXACT(Raw_Bookings!K600,V600))),1,0)</f>
        <v>0</v>
      </c>
      <c r="X600" s="7">
        <f>IF(V600="",1,0)</f>
        <v>0</v>
      </c>
      <c r="Y600" s="7">
        <f>IF(TRIM(Raw_Bookings!L600&amp;"")="",1,0)</f>
        <v>0</v>
      </c>
      <c r="Z600" s="7">
        <f>IF(AND(ISTEXT(Raw_Bookings!L600),Y600=0),1,0)</f>
        <v>0</v>
      </c>
      <c r="AA600" s="7">
        <f>IF(Z600=1,IFERROR(VALUE(SUBSTITUTE(SUBSTITUTE(SUBSTITUTE(SUBSTITUTE(SUBSTITUTE(UPPER(Raw_Bookings!L600),"RS.",""),"₹",""),",","")," ",""),"INR","")),""),"")</f>
        <v/>
      </c>
      <c r="AB600" s="7">
        <f>IF(AND(Z600=1,ISNUMBER(AA600)),1,0)</f>
        <v>0</v>
      </c>
      <c r="AC600" s="7">
        <f>IF(B600=1,0,IF(NOT(ISNUMBER(Raw_Bookings!J600)),1,IF(Raw_Bookings!J600&lt;&gt;COUNTIFS(Work_Passengers!$B$2:$B$1336,Raw_Bookings!A600,Work_Passengers!$C$2:$C$1336,0),1,0)))</f>
        <v>0</v>
      </c>
    </row>
    <row r="601" spans="1:29">
      <c r="A601" s="7">
        <f>Raw_Bookings!A601</f>
        <v>1191336</v>
      </c>
      <c r="B601" s="7">
        <f>IF(COUNTIF(Raw_Bookings!$A$2:A601,Raw_Bookings!A601)&gt;1,1,0)</f>
        <v>0</v>
      </c>
      <c r="C601" s="7" t="str">
        <f>Raw_Bookings!D601&amp;""</f>
        <v>2026-08-28</v>
      </c>
      <c r="D601" s="7" t="str">
        <f>IF(AND(LEN(C601)=10,MID(C601,5,1)="-",MID(C601,8,1)="-"),"ISO",IF(AND(LEN(C601)=10,MID(C601,3,1)="-",MID(C601,6,1)="-"),"DMY","OTHER"))</f>
        <v>ISO</v>
      </c>
      <c r="E601" s="7">
        <f>IF(D601="ISO",VALUE(LEFT(C601,4)),IF(D601="DMY",VALUE(RIGHT(C601,4)),0))</f>
        <v>2026</v>
      </c>
      <c r="F601" s="7">
        <f>IF(D601="ISO",VALUE(MID(C601,6,2)),IF(D601="DMY",VALUE(MID(C601,4,2)),0))</f>
        <v>8</v>
      </c>
      <c r="G601" s="7">
        <f>IF(D601="ISO",VALUE(RIGHT(C601,2)),IF(D601="DMY",VALUE(LEFT(C601,2)),0))</f>
        <v>28</v>
      </c>
      <c r="H601" s="7">
        <f>IF(AND(D601&lt;&gt;"OTHER",F601&gt;=1,F601&lt;=12,G601&gt;=1,G601&lt;=31),IF(AND(MONTH(DATE(E601,F601,G601))=F601,DAY(DATE(E601,F601,G601))=G601),1,0),0)</f>
        <v>1</v>
      </c>
      <c r="I601" s="7">
        <f>IF(H601=1,DATE(E601,F601,G601),"")</f>
        <v>46262.0</v>
      </c>
      <c r="J601" s="7">
        <f>IF(AND(D601="DMY",H601=1),1,0)</f>
        <v>0</v>
      </c>
      <c r="K601" s="7">
        <f>IF(H601=0,1,0)</f>
        <v>0</v>
      </c>
      <c r="L601" s="7">
        <f>IF(TRIM(Raw_Bookings!I601&amp;"")="",1,0)</f>
        <v>0</v>
      </c>
      <c r="M601" s="7">
        <f>IF(L601=1,"",DATEVALUE(LEFT(Raw_Bookings!I601,10))+TIMEVALUE(MID(Raw_Bookings!I601,12,8)))</f>
        <v>46198.803935185184</v>
      </c>
      <c r="N601" s="7">
        <f>IF(AND(L601=0,H601=1),IF(INT(M601)&gt;I601,1,0),0)</f>
        <v>0</v>
      </c>
      <c r="O601" s="7" t="str">
        <f>UPPER(TRIM(Raw_Bookings!F601))</f>
        <v>JOD</v>
      </c>
      <c r="P601" s="7" t="str">
        <f>UPPER(TRIM(Raw_Bookings!G601))</f>
        <v>BEN</v>
      </c>
      <c r="Q601" s="7">
        <f>IF(COUNTIF(Lookup_Stations!$A$2:$A$33,O601)&gt;0,1,0)</f>
        <v>1</v>
      </c>
      <c r="R601" s="7">
        <f>IF(COUNTIF(Lookup_Stations!$A$2:$A$33,P601)&gt;0,1,0)</f>
        <v>1</v>
      </c>
      <c r="S601" s="7">
        <f>IF(OR(AND(Q601=1,NOT(EXACT(Raw_Bookings!F601,O601))),AND(R601=1,NOT(EXACT(Raw_Bookings!G601,P601)))),1,0)</f>
        <v>0</v>
      </c>
      <c r="T601" s="7">
        <f>IF(OR(Q601=0,R601=0),1,0)</f>
        <v>0</v>
      </c>
      <c r="U601" s="7">
        <f>IF(TRIM(Raw_Bookings!E601&amp;"")="",1,0)</f>
        <v>0</v>
      </c>
      <c r="V601" s="7" t="str">
        <f>IF(SUMPRODUCT(--(Lookup_Status!$A$2:$A$13=LOWER(TRIM(Raw_Bookings!K601))))=0,"",INDEX(Lookup_Status!$B$2:$B$13,SUMPRODUCT((Lookup_Status!$A$2:$A$13=LOWER(TRIM(Raw_Bookings!K601)))*(ROW(Lookup_Status!$A$2:$A$13)-1))))</f>
        <v>Confirmed</v>
      </c>
      <c r="W601" s="7">
        <f>IF(AND(V601&lt;&gt;"",NOT(EXACT(Raw_Bookings!K601,V601))),1,0)</f>
        <v>0</v>
      </c>
      <c r="X601" s="7">
        <f>IF(V601="",1,0)</f>
        <v>0</v>
      </c>
      <c r="Y601" s="7">
        <f>IF(TRIM(Raw_Bookings!L601&amp;"")="",1,0)</f>
        <v>0</v>
      </c>
      <c r="Z601" s="7">
        <f>IF(AND(ISTEXT(Raw_Bookings!L601),Y601=0),1,0)</f>
        <v>0</v>
      </c>
      <c r="AA601" s="7">
        <f>IF(Z601=1,IFERROR(VALUE(SUBSTITUTE(SUBSTITUTE(SUBSTITUTE(SUBSTITUTE(SUBSTITUTE(UPPER(Raw_Bookings!L601),"RS.",""),"₹",""),",","")," ",""),"INR","")),""),"")</f>
        <v/>
      </c>
      <c r="AB601" s="7">
        <f>IF(AND(Z601=1,ISNUMBER(AA601)),1,0)</f>
        <v>0</v>
      </c>
      <c r="AC601" s="7">
        <f>IF(B601=1,0,IF(NOT(ISNUMBER(Raw_Bookings!J601)),1,IF(Raw_Bookings!J601&lt;&gt;COUNTIFS(Work_Passengers!$B$2:$B$1336,Raw_Bookings!A601,Work_Passengers!$C$2:$C$1336,0),1,0)))</f>
        <v>0</v>
      </c>
    </row>
    <row r="602" spans="1:29">
      <c r="A602" s="7">
        <f>Raw_Bookings!A602</f>
        <v>1191528</v>
      </c>
      <c r="B602" s="7">
        <f>IF(COUNTIF(Raw_Bookings!$A$2:A602,Raw_Bookings!A602)&gt;1,1,0)</f>
        <v>0</v>
      </c>
      <c r="C602" s="7" t="str">
        <f>Raw_Bookings!D602&amp;""</f>
        <v>2026-07-31</v>
      </c>
      <c r="D602" s="7" t="str">
        <f>IF(AND(LEN(C602)=10,MID(C602,5,1)="-",MID(C602,8,1)="-"),"ISO",IF(AND(LEN(C602)=10,MID(C602,3,1)="-",MID(C602,6,1)="-"),"DMY","OTHER"))</f>
        <v>ISO</v>
      </c>
      <c r="E602" s="7">
        <f>IF(D602="ISO",VALUE(LEFT(C602,4)),IF(D602="DMY",VALUE(RIGHT(C602,4)),0))</f>
        <v>2026</v>
      </c>
      <c r="F602" s="7">
        <f>IF(D602="ISO",VALUE(MID(C602,6,2)),IF(D602="DMY",VALUE(MID(C602,4,2)),0))</f>
        <v>7</v>
      </c>
      <c r="G602" s="7">
        <f>IF(D602="ISO",VALUE(RIGHT(C602,2)),IF(D602="DMY",VALUE(LEFT(C602,2)),0))</f>
        <v>31</v>
      </c>
      <c r="H602" s="7">
        <f>IF(AND(D602&lt;&gt;"OTHER",F602&gt;=1,F602&lt;=12,G602&gt;=1,G602&lt;=31),IF(AND(MONTH(DATE(E602,F602,G602))=F602,DAY(DATE(E602,F602,G602))=G602),1,0),0)</f>
        <v>1</v>
      </c>
      <c r="I602" s="7">
        <f>IF(H602=1,DATE(E602,F602,G602),"")</f>
        <v>46234.0</v>
      </c>
      <c r="J602" s="7">
        <f>IF(AND(D602="DMY",H602=1),1,0)</f>
        <v>0</v>
      </c>
      <c r="K602" s="7">
        <f>IF(H602=0,1,0)</f>
        <v>0</v>
      </c>
      <c r="L602" s="7">
        <f>IF(TRIM(Raw_Bookings!I602&amp;"")="",1,0)</f>
        <v>0</v>
      </c>
      <c r="M602" s="7">
        <f>IF(L602=1,"",DATEVALUE(LEFT(Raw_Bookings!I602,10))+TIMEVALUE(MID(Raw_Bookings!I602,12,8)))</f>
        <v>46199.741689814815</v>
      </c>
      <c r="N602" s="7">
        <f>IF(AND(L602=0,H602=1),IF(INT(M602)&gt;I602,1,0),0)</f>
        <v>0</v>
      </c>
      <c r="O602" s="7" t="str">
        <f>UPPER(TRIM(Raw_Bookings!F602))</f>
        <v>LUC</v>
      </c>
      <c r="P602" s="7" t="str">
        <f>UPPER(TRIM(Raw_Bookings!G602))</f>
        <v>MUM</v>
      </c>
      <c r="Q602" s="7">
        <f>IF(COUNTIF(Lookup_Stations!$A$2:$A$33,O602)&gt;0,1,0)</f>
        <v>1</v>
      </c>
      <c r="R602" s="7">
        <f>IF(COUNTIF(Lookup_Stations!$A$2:$A$33,P602)&gt;0,1,0)</f>
        <v>1</v>
      </c>
      <c r="S602" s="7">
        <f>IF(OR(AND(Q602=1,NOT(EXACT(Raw_Bookings!F602,O602))),AND(R602=1,NOT(EXACT(Raw_Bookings!G602,P602)))),1,0)</f>
        <v>0</v>
      </c>
      <c r="T602" s="7">
        <f>IF(OR(Q602=0,R602=0),1,0)</f>
        <v>0</v>
      </c>
      <c r="U602" s="7">
        <f>IF(TRIM(Raw_Bookings!E602&amp;"")="",1,0)</f>
        <v>0</v>
      </c>
      <c r="V602" s="7" t="str">
        <f>IF(SUMPRODUCT(--(Lookup_Status!$A$2:$A$13=LOWER(TRIM(Raw_Bookings!K602))))=0,"",INDEX(Lookup_Status!$B$2:$B$13,SUMPRODUCT((Lookup_Status!$A$2:$A$13=LOWER(TRIM(Raw_Bookings!K602)))*(ROW(Lookup_Status!$A$2:$A$13)-1))))</f>
        <v>Confirmed</v>
      </c>
      <c r="W602" s="7">
        <f>IF(AND(V602&lt;&gt;"",NOT(EXACT(Raw_Bookings!K602,V602))),1,0)</f>
        <v>0</v>
      </c>
      <c r="X602" s="7">
        <f>IF(V602="",1,0)</f>
        <v>0</v>
      </c>
      <c r="Y602" s="7">
        <f>IF(TRIM(Raw_Bookings!L602&amp;"")="",1,0)</f>
        <v>0</v>
      </c>
      <c r="Z602" s="7">
        <f>IF(AND(ISTEXT(Raw_Bookings!L602),Y602=0),1,0)</f>
        <v>0</v>
      </c>
      <c r="AA602" s="7">
        <f>IF(Z602=1,IFERROR(VALUE(SUBSTITUTE(SUBSTITUTE(SUBSTITUTE(SUBSTITUTE(SUBSTITUTE(UPPER(Raw_Bookings!L602),"RS.",""),"₹",""),",","")," ",""),"INR","")),""),"")</f>
        <v/>
      </c>
      <c r="AB602" s="7">
        <f>IF(AND(Z602=1,ISNUMBER(AA602)),1,0)</f>
        <v>0</v>
      </c>
      <c r="AC602" s="7">
        <f>IF(B602=1,0,IF(NOT(ISNUMBER(Raw_Bookings!J602)),1,IF(Raw_Bookings!J602&lt;&gt;COUNTIFS(Work_Passengers!$B$2:$B$1336,Raw_Bookings!A602,Work_Passengers!$C$2:$C$1336,0),1,0)))</f>
        <v>0</v>
      </c>
    </row>
    <row r="603" spans="1:29">
      <c r="A603" s="7">
        <f>Raw_Bookings!A603</f>
        <v>1191703</v>
      </c>
      <c r="B603" s="7">
        <f>IF(COUNTIF(Raw_Bookings!$A$2:A603,Raw_Bookings!A603)&gt;1,1,0)</f>
        <v>0</v>
      </c>
      <c r="C603" s="7" t="str">
        <f>Raw_Bookings!D603&amp;""</f>
        <v>2026-07-21</v>
      </c>
      <c r="D603" s="7" t="str">
        <f>IF(AND(LEN(C603)=10,MID(C603,5,1)="-",MID(C603,8,1)="-"),"ISO",IF(AND(LEN(C603)=10,MID(C603,3,1)="-",MID(C603,6,1)="-"),"DMY","OTHER"))</f>
        <v>ISO</v>
      </c>
      <c r="E603" s="7">
        <f>IF(D603="ISO",VALUE(LEFT(C603,4)),IF(D603="DMY",VALUE(RIGHT(C603,4)),0))</f>
        <v>2026</v>
      </c>
      <c r="F603" s="7">
        <f>IF(D603="ISO",VALUE(MID(C603,6,2)),IF(D603="DMY",VALUE(MID(C603,4,2)),0))</f>
        <v>7</v>
      </c>
      <c r="G603" s="7">
        <f>IF(D603="ISO",VALUE(RIGHT(C603,2)),IF(D603="DMY",VALUE(LEFT(C603,2)),0))</f>
        <v>21</v>
      </c>
      <c r="H603" s="7">
        <f>IF(AND(D603&lt;&gt;"OTHER",F603&gt;=1,F603&lt;=12,G603&gt;=1,G603&lt;=31),IF(AND(MONTH(DATE(E603,F603,G603))=F603,DAY(DATE(E603,F603,G603))=G603),1,0),0)</f>
        <v>1</v>
      </c>
      <c r="I603" s="7">
        <f>IF(H603=1,DATE(E603,F603,G603),"")</f>
        <v>46224.0</v>
      </c>
      <c r="J603" s="7">
        <f>IF(AND(D603="DMY",H603=1),1,0)</f>
        <v>0</v>
      </c>
      <c r="K603" s="7">
        <f>IF(H603=0,1,0)</f>
        <v>0</v>
      </c>
      <c r="L603" s="7">
        <f>IF(TRIM(Raw_Bookings!I603&amp;"")="",1,0)</f>
        <v>0</v>
      </c>
      <c r="M603" s="7">
        <f>IF(L603=1,"",DATEVALUE(LEFT(Raw_Bookings!I603,10))+TIMEVALUE(MID(Raw_Bookings!I603,12,8)))</f>
        <v>46200.61548611111</v>
      </c>
      <c r="N603" s="7">
        <f>IF(AND(L603=0,H603=1),IF(INT(M603)&gt;I603,1,0),0)</f>
        <v>0</v>
      </c>
      <c r="O603" s="7" t="str">
        <f>UPPER(TRIM(Raw_Bookings!F603))</f>
        <v>BEN</v>
      </c>
      <c r="P603" s="7" t="str">
        <f>UPPER(TRIM(Raw_Bookings!G603))</f>
        <v>MUM</v>
      </c>
      <c r="Q603" s="7">
        <f>IF(COUNTIF(Lookup_Stations!$A$2:$A$33,O603)&gt;0,1,0)</f>
        <v>1</v>
      </c>
      <c r="R603" s="7">
        <f>IF(COUNTIF(Lookup_Stations!$A$2:$A$33,P603)&gt;0,1,0)</f>
        <v>1</v>
      </c>
      <c r="S603" s="7">
        <f>IF(OR(AND(Q603=1,NOT(EXACT(Raw_Bookings!F603,O603))),AND(R603=1,NOT(EXACT(Raw_Bookings!G603,P603)))),1,0)</f>
        <v>0</v>
      </c>
      <c r="T603" s="7">
        <f>IF(OR(Q603=0,R603=0),1,0)</f>
        <v>0</v>
      </c>
      <c r="U603" s="7">
        <f>IF(TRIM(Raw_Bookings!E603&amp;"")="",1,0)</f>
        <v>0</v>
      </c>
      <c r="V603" s="7" t="str">
        <f>IF(SUMPRODUCT(--(Lookup_Status!$A$2:$A$13=LOWER(TRIM(Raw_Bookings!K603))))=0,"",INDEX(Lookup_Status!$B$2:$B$13,SUMPRODUCT((Lookup_Status!$A$2:$A$13=LOWER(TRIM(Raw_Bookings!K603)))*(ROW(Lookup_Status!$A$2:$A$13)-1))))</f>
        <v>Cancelled</v>
      </c>
      <c r="W603" s="7">
        <f>IF(AND(V603&lt;&gt;"",NOT(EXACT(Raw_Bookings!K603,V603))),1,0)</f>
        <v>0</v>
      </c>
      <c r="X603" s="7">
        <f>IF(V603="",1,0)</f>
        <v>0</v>
      </c>
      <c r="Y603" s="7">
        <f>IF(TRIM(Raw_Bookings!L603&amp;"")="",1,0)</f>
        <v>0</v>
      </c>
      <c r="Z603" s="7">
        <f>IF(AND(ISTEXT(Raw_Bookings!L603),Y603=0),1,0)</f>
        <v>0</v>
      </c>
      <c r="AA603" s="7">
        <f>IF(Z603=1,IFERROR(VALUE(SUBSTITUTE(SUBSTITUTE(SUBSTITUTE(SUBSTITUTE(SUBSTITUTE(UPPER(Raw_Bookings!L603),"RS.",""),"₹",""),",","")," ",""),"INR","")),""),"")</f>
        <v/>
      </c>
      <c r="AB603" s="7">
        <f>IF(AND(Z603=1,ISNUMBER(AA603)),1,0)</f>
        <v>0</v>
      </c>
      <c r="AC603" s="7">
        <f>IF(B603=1,0,IF(NOT(ISNUMBER(Raw_Bookings!J603)),1,IF(Raw_Bookings!J603&lt;&gt;COUNTIFS(Work_Passengers!$B$2:$B$1336,Raw_Bookings!A603,Work_Passengers!$C$2:$C$1336,0),1,0)))</f>
        <v>0</v>
      </c>
    </row>
    <row r="604" spans="1:29">
      <c r="A604" s="7">
        <f>Raw_Bookings!A604</f>
        <v>1192481</v>
      </c>
      <c r="B604" s="7">
        <f>IF(COUNTIF(Raw_Bookings!$A$2:A604,Raw_Bookings!A604)&gt;1,1,0)</f>
        <v>0</v>
      </c>
      <c r="C604" s="7" t="str">
        <f>Raw_Bookings!D604&amp;""</f>
        <v>2026-07-06</v>
      </c>
      <c r="D604" s="7" t="str">
        <f>IF(AND(LEN(C604)=10,MID(C604,5,1)="-",MID(C604,8,1)="-"),"ISO",IF(AND(LEN(C604)=10,MID(C604,3,1)="-",MID(C604,6,1)="-"),"DMY","OTHER"))</f>
        <v>ISO</v>
      </c>
      <c r="E604" s="7">
        <f>IF(D604="ISO",VALUE(LEFT(C604,4)),IF(D604="DMY",VALUE(RIGHT(C604,4)),0))</f>
        <v>2026</v>
      </c>
      <c r="F604" s="7">
        <f>IF(D604="ISO",VALUE(MID(C604,6,2)),IF(D604="DMY",VALUE(MID(C604,4,2)),0))</f>
        <v>7</v>
      </c>
      <c r="G604" s="7">
        <f>IF(D604="ISO",VALUE(RIGHT(C604,2)),IF(D604="DMY",VALUE(LEFT(C604,2)),0))</f>
        <v>6</v>
      </c>
      <c r="H604" s="7">
        <f>IF(AND(D604&lt;&gt;"OTHER",F604&gt;=1,F604&lt;=12,G604&gt;=1,G604&lt;=31),IF(AND(MONTH(DATE(E604,F604,G604))=F604,DAY(DATE(E604,F604,G604))=G604),1,0),0)</f>
        <v>1</v>
      </c>
      <c r="I604" s="7">
        <f>IF(H604=1,DATE(E604,F604,G604),"")</f>
        <v>46209.0</v>
      </c>
      <c r="J604" s="7">
        <f>IF(AND(D604="DMY",H604=1),1,0)</f>
        <v>0</v>
      </c>
      <c r="K604" s="7">
        <f>IF(H604=0,1,0)</f>
        <v>0</v>
      </c>
      <c r="L604" s="7">
        <f>IF(TRIM(Raw_Bookings!I604&amp;"")="",1,0)</f>
        <v>0</v>
      </c>
      <c r="M604" s="7">
        <f>IF(L604=1,"",DATEVALUE(LEFT(Raw_Bookings!I604,10))+TIMEVALUE(MID(Raw_Bookings!I604,12,8)))</f>
        <v>46204.22796296296</v>
      </c>
      <c r="N604" s="7">
        <f>IF(AND(L604=0,H604=1),IF(INT(M604)&gt;I604,1,0),0)</f>
        <v>0</v>
      </c>
      <c r="O604" s="7" t="str">
        <f>UPPER(TRIM(Raw_Bookings!F604))</f>
        <v>AHM</v>
      </c>
      <c r="P604" s="7" t="str">
        <f>UPPER(TRIM(Raw_Bookings!G604))</f>
        <v>VAR</v>
      </c>
      <c r="Q604" s="7">
        <f>IF(COUNTIF(Lookup_Stations!$A$2:$A$33,O604)&gt;0,1,0)</f>
        <v>1</v>
      </c>
      <c r="R604" s="7">
        <f>IF(COUNTIF(Lookup_Stations!$A$2:$A$33,P604)&gt;0,1,0)</f>
        <v>1</v>
      </c>
      <c r="S604" s="7">
        <f>IF(OR(AND(Q604=1,NOT(EXACT(Raw_Bookings!F604,O604))),AND(R604=1,NOT(EXACT(Raw_Bookings!G604,P604)))),1,0)</f>
        <v>0</v>
      </c>
      <c r="T604" s="7">
        <f>IF(OR(Q604=0,R604=0),1,0)</f>
        <v>0</v>
      </c>
      <c r="U604" s="7">
        <f>IF(TRIM(Raw_Bookings!E604&amp;"")="",1,0)</f>
        <v>0</v>
      </c>
      <c r="V604" s="7" t="str">
        <f>IF(SUMPRODUCT(--(Lookup_Status!$A$2:$A$13=LOWER(TRIM(Raw_Bookings!K604))))=0,"",INDEX(Lookup_Status!$B$2:$B$13,SUMPRODUCT((Lookup_Status!$A$2:$A$13=LOWER(TRIM(Raw_Bookings!K604)))*(ROW(Lookup_Status!$A$2:$A$13)-1))))</f>
        <v>Cancelled</v>
      </c>
      <c r="W604" s="7">
        <f>IF(AND(V604&lt;&gt;"",NOT(EXACT(Raw_Bookings!K604,V604))),1,0)</f>
        <v>0</v>
      </c>
      <c r="X604" s="7">
        <f>IF(V604="",1,0)</f>
        <v>0</v>
      </c>
      <c r="Y604" s="7">
        <f>IF(TRIM(Raw_Bookings!L604&amp;"")="",1,0)</f>
        <v>0</v>
      </c>
      <c r="Z604" s="7">
        <f>IF(AND(ISTEXT(Raw_Bookings!L604),Y604=0),1,0)</f>
        <v>0</v>
      </c>
      <c r="AA604" s="7">
        <f>IF(Z604=1,IFERROR(VALUE(SUBSTITUTE(SUBSTITUTE(SUBSTITUTE(SUBSTITUTE(SUBSTITUTE(UPPER(Raw_Bookings!L604),"RS.",""),"₹",""),",","")," ",""),"INR","")),""),"")</f>
        <v/>
      </c>
      <c r="AB604" s="7">
        <f>IF(AND(Z604=1,ISNUMBER(AA604)),1,0)</f>
        <v>0</v>
      </c>
      <c r="AC604" s="7">
        <f>IF(B604=1,0,IF(NOT(ISNUMBER(Raw_Bookings!J604)),1,IF(Raw_Bookings!J604&lt;&gt;COUNTIFS(Work_Passengers!$B$2:$B$1336,Raw_Bookings!A604,Work_Passengers!$C$2:$C$1336,0),1,0)))</f>
        <v>0</v>
      </c>
    </row>
    <row r="605" spans="1:29">
      <c r="A605" s="7">
        <f>Raw_Bookings!A605</f>
        <v>1192749</v>
      </c>
      <c r="B605" s="7">
        <f>IF(COUNTIF(Raw_Bookings!$A$2:A605,Raw_Bookings!A605)&gt;1,1,0)</f>
        <v>0</v>
      </c>
      <c r="C605" s="7" t="str">
        <f>Raw_Bookings!D605&amp;""</f>
        <v>2026-08-19</v>
      </c>
      <c r="D605" s="7" t="str">
        <f>IF(AND(LEN(C605)=10,MID(C605,5,1)="-",MID(C605,8,1)="-"),"ISO",IF(AND(LEN(C605)=10,MID(C605,3,1)="-",MID(C605,6,1)="-"),"DMY","OTHER"))</f>
        <v>ISO</v>
      </c>
      <c r="E605" s="7">
        <f>IF(D605="ISO",VALUE(LEFT(C605,4)),IF(D605="DMY",VALUE(RIGHT(C605,4)),0))</f>
        <v>2026</v>
      </c>
      <c r="F605" s="7">
        <f>IF(D605="ISO",VALUE(MID(C605,6,2)),IF(D605="DMY",VALUE(MID(C605,4,2)),0))</f>
        <v>8</v>
      </c>
      <c r="G605" s="7">
        <f>IF(D605="ISO",VALUE(RIGHT(C605,2)),IF(D605="DMY",VALUE(LEFT(C605,2)),0))</f>
        <v>19</v>
      </c>
      <c r="H605" s="7">
        <f>IF(AND(D605&lt;&gt;"OTHER",F605&gt;=1,F605&lt;=12,G605&gt;=1,G605&lt;=31),IF(AND(MONTH(DATE(E605,F605,G605))=F605,DAY(DATE(E605,F605,G605))=G605),1,0),0)</f>
        <v>1</v>
      </c>
      <c r="I605" s="7">
        <f>IF(H605=1,DATE(E605,F605,G605),"")</f>
        <v>46253.0</v>
      </c>
      <c r="J605" s="7">
        <f>IF(AND(D605="DMY",H605=1),1,0)</f>
        <v>0</v>
      </c>
      <c r="K605" s="7">
        <f>IF(H605=0,1,0)</f>
        <v>0</v>
      </c>
      <c r="L605" s="7">
        <f>IF(TRIM(Raw_Bookings!I605&amp;"")="",1,0)</f>
        <v>0</v>
      </c>
      <c r="M605" s="7">
        <f>IF(L605=1,"",DATEVALUE(LEFT(Raw_Bookings!I605,10))+TIMEVALUE(MID(Raw_Bookings!I605,12,8)))</f>
        <v>46205.40883101852</v>
      </c>
      <c r="N605" s="7">
        <f>IF(AND(L605=0,H605=1),IF(INT(M605)&gt;I605,1,0),0)</f>
        <v>0</v>
      </c>
      <c r="O605" s="7" t="str">
        <f>UPPER(TRIM(Raw_Bookings!F605))</f>
        <v>LUC</v>
      </c>
      <c r="P605" s="7" t="str">
        <f>UPPER(TRIM(Raw_Bookings!G605))</f>
        <v>MUM</v>
      </c>
      <c r="Q605" s="7">
        <f>IF(COUNTIF(Lookup_Stations!$A$2:$A$33,O605)&gt;0,1,0)</f>
        <v>1</v>
      </c>
      <c r="R605" s="7">
        <f>IF(COUNTIF(Lookup_Stations!$A$2:$A$33,P605)&gt;0,1,0)</f>
        <v>1</v>
      </c>
      <c r="S605" s="7">
        <f>IF(OR(AND(Q605=1,NOT(EXACT(Raw_Bookings!F605,O605))),AND(R605=1,NOT(EXACT(Raw_Bookings!G605,P605)))),1,0)</f>
        <v>0</v>
      </c>
      <c r="T605" s="7">
        <f>IF(OR(Q605=0,R605=0),1,0)</f>
        <v>0</v>
      </c>
      <c r="U605" s="7">
        <f>IF(TRIM(Raw_Bookings!E605&amp;"")="",1,0)</f>
        <v>0</v>
      </c>
      <c r="V605" s="7" t="str">
        <f>IF(SUMPRODUCT(--(Lookup_Status!$A$2:$A$13=LOWER(TRIM(Raw_Bookings!K605))))=0,"",INDEX(Lookup_Status!$B$2:$B$13,SUMPRODUCT((Lookup_Status!$A$2:$A$13=LOWER(TRIM(Raw_Bookings!K605)))*(ROW(Lookup_Status!$A$2:$A$13)-1))))</f>
        <v>Confirmed</v>
      </c>
      <c r="W605" s="7">
        <f>IF(AND(V605&lt;&gt;"",NOT(EXACT(Raw_Bookings!K605,V605))),1,0)</f>
        <v>0</v>
      </c>
      <c r="X605" s="7">
        <f>IF(V605="",1,0)</f>
        <v>0</v>
      </c>
      <c r="Y605" s="7">
        <f>IF(TRIM(Raw_Bookings!L605&amp;"")="",1,0)</f>
        <v>0</v>
      </c>
      <c r="Z605" s="7">
        <f>IF(AND(ISTEXT(Raw_Bookings!L605),Y605=0),1,0)</f>
        <v>0</v>
      </c>
      <c r="AA605" s="7">
        <f>IF(Z605=1,IFERROR(VALUE(SUBSTITUTE(SUBSTITUTE(SUBSTITUTE(SUBSTITUTE(SUBSTITUTE(UPPER(Raw_Bookings!L605),"RS.",""),"₹",""),",","")," ",""),"INR","")),""),"")</f>
        <v/>
      </c>
      <c r="AB605" s="7">
        <f>IF(AND(Z605=1,ISNUMBER(AA605)),1,0)</f>
        <v>0</v>
      </c>
      <c r="AC605" s="7">
        <f>IF(B605=1,0,IF(NOT(ISNUMBER(Raw_Bookings!J605)),1,IF(Raw_Bookings!J605&lt;&gt;COUNTIFS(Work_Passengers!$B$2:$B$1336,Raw_Bookings!A605,Work_Passengers!$C$2:$C$1336,0),1,0)))</f>
        <v>0</v>
      </c>
    </row>
    <row r="606" spans="1:29">
      <c r="A606" s="7">
        <f>Raw_Bookings!A606</f>
        <v>1192751</v>
      </c>
      <c r="B606" s="7">
        <f>IF(COUNTIF(Raw_Bookings!$A$2:A606,Raw_Bookings!A606)&gt;1,1,0)</f>
        <v>0</v>
      </c>
      <c r="C606" s="7" t="str">
        <f>Raw_Bookings!D606&amp;""</f>
        <v>2026-07-05</v>
      </c>
      <c r="D606" s="7" t="str">
        <f>IF(AND(LEN(C606)=10,MID(C606,5,1)="-",MID(C606,8,1)="-"),"ISO",IF(AND(LEN(C606)=10,MID(C606,3,1)="-",MID(C606,6,1)="-"),"DMY","OTHER"))</f>
        <v>ISO</v>
      </c>
      <c r="E606" s="7">
        <f>IF(D606="ISO",VALUE(LEFT(C606,4)),IF(D606="DMY",VALUE(RIGHT(C606,4)),0))</f>
        <v>2026</v>
      </c>
      <c r="F606" s="7">
        <f>IF(D606="ISO",VALUE(MID(C606,6,2)),IF(D606="DMY",VALUE(MID(C606,4,2)),0))</f>
        <v>7</v>
      </c>
      <c r="G606" s="7">
        <f>IF(D606="ISO",VALUE(RIGHT(C606,2)),IF(D606="DMY",VALUE(LEFT(C606,2)),0))</f>
        <v>5</v>
      </c>
      <c r="H606" s="7">
        <f>IF(AND(D606&lt;&gt;"OTHER",F606&gt;=1,F606&lt;=12,G606&gt;=1,G606&lt;=31),IF(AND(MONTH(DATE(E606,F606,G606))=F606,DAY(DATE(E606,F606,G606))=G606),1,0),0)</f>
        <v>1</v>
      </c>
      <c r="I606" s="7">
        <f>IF(H606=1,DATE(E606,F606,G606),"")</f>
        <v>46208.0</v>
      </c>
      <c r="J606" s="7">
        <f>IF(AND(D606="DMY",H606=1),1,0)</f>
        <v>0</v>
      </c>
      <c r="K606" s="7">
        <f>IF(H606=0,1,0)</f>
        <v>0</v>
      </c>
      <c r="L606" s="7">
        <f>IF(TRIM(Raw_Bookings!I606&amp;"")="",1,0)</f>
        <v>0</v>
      </c>
      <c r="M606" s="7">
        <f>IF(L606=1,"",DATEVALUE(LEFT(Raw_Bookings!I606,10))+TIMEVALUE(MID(Raw_Bookings!I606,12,8)))</f>
        <v>46205.42144675926</v>
      </c>
      <c r="N606" s="7">
        <f>IF(AND(L606=0,H606=1),IF(INT(M606)&gt;I606,1,0),0)</f>
        <v>0</v>
      </c>
      <c r="O606" s="7" t="str">
        <f>UPPER(TRIM(Raw_Bookings!F606))</f>
        <v>MUM</v>
      </c>
      <c r="P606" s="7" t="str">
        <f>UPPER(TRIM(Raw_Bookings!G606))</f>
        <v>LUC</v>
      </c>
      <c r="Q606" s="7">
        <f>IF(COUNTIF(Lookup_Stations!$A$2:$A$33,O606)&gt;0,1,0)</f>
        <v>1</v>
      </c>
      <c r="R606" s="7">
        <f>IF(COUNTIF(Lookup_Stations!$A$2:$A$33,P606)&gt;0,1,0)</f>
        <v>1</v>
      </c>
      <c r="S606" s="7">
        <f>IF(OR(AND(Q606=1,NOT(EXACT(Raw_Bookings!F606,O606))),AND(R606=1,NOT(EXACT(Raw_Bookings!G606,P606)))),1,0)</f>
        <v>0</v>
      </c>
      <c r="T606" s="7">
        <f>IF(OR(Q606=0,R606=0),1,0)</f>
        <v>0</v>
      </c>
      <c r="U606" s="7">
        <f>IF(TRIM(Raw_Bookings!E606&amp;"")="",1,0)</f>
        <v>0</v>
      </c>
      <c r="V606" s="7" t="str">
        <f>IF(SUMPRODUCT(--(Lookup_Status!$A$2:$A$13=LOWER(TRIM(Raw_Bookings!K606))))=0,"",INDEX(Lookup_Status!$B$2:$B$13,SUMPRODUCT((Lookup_Status!$A$2:$A$13=LOWER(TRIM(Raw_Bookings!K606)))*(ROW(Lookup_Status!$A$2:$A$13)-1))))</f>
        <v>Confirmed</v>
      </c>
      <c r="W606" s="7">
        <f>IF(AND(V606&lt;&gt;"",NOT(EXACT(Raw_Bookings!K606,V606))),1,0)</f>
        <v>0</v>
      </c>
      <c r="X606" s="7">
        <f>IF(V606="",1,0)</f>
        <v>0</v>
      </c>
      <c r="Y606" s="7">
        <f>IF(TRIM(Raw_Bookings!L606&amp;"")="",1,0)</f>
        <v>0</v>
      </c>
      <c r="Z606" s="7">
        <f>IF(AND(ISTEXT(Raw_Bookings!L606),Y606=0),1,0)</f>
        <v>0</v>
      </c>
      <c r="AA606" s="7">
        <f>IF(Z606=1,IFERROR(VALUE(SUBSTITUTE(SUBSTITUTE(SUBSTITUTE(SUBSTITUTE(SUBSTITUTE(UPPER(Raw_Bookings!L606),"RS.",""),"₹",""),",","")," ",""),"INR","")),""),"")</f>
        <v/>
      </c>
      <c r="AB606" s="7">
        <f>IF(AND(Z606=1,ISNUMBER(AA606)),1,0)</f>
        <v>0</v>
      </c>
      <c r="AC606" s="7">
        <f>IF(B606=1,0,IF(NOT(ISNUMBER(Raw_Bookings!J606)),1,IF(Raw_Bookings!J606&lt;&gt;COUNTIFS(Work_Passengers!$B$2:$B$1336,Raw_Bookings!A606,Work_Passengers!$C$2:$C$1336,0),1,0)))</f>
        <v>0</v>
      </c>
    </row>
    <row r="607" spans="1:29">
      <c r="A607" s="7">
        <f>Raw_Bookings!A607</f>
        <v>1192802</v>
      </c>
      <c r="B607" s="7">
        <f>IF(COUNTIF(Raw_Bookings!$A$2:A607,Raw_Bookings!A607)&gt;1,1,0)</f>
        <v>0</v>
      </c>
      <c r="C607" s="7" t="str">
        <f>Raw_Bookings!D607&amp;""</f>
        <v>2026-07-15</v>
      </c>
      <c r="D607" s="7" t="str">
        <f>IF(AND(LEN(C607)=10,MID(C607,5,1)="-",MID(C607,8,1)="-"),"ISO",IF(AND(LEN(C607)=10,MID(C607,3,1)="-",MID(C607,6,1)="-"),"DMY","OTHER"))</f>
        <v>ISO</v>
      </c>
      <c r="E607" s="7">
        <f>IF(D607="ISO",VALUE(LEFT(C607,4)),IF(D607="DMY",VALUE(RIGHT(C607,4)),0))</f>
        <v>2026</v>
      </c>
      <c r="F607" s="7">
        <f>IF(D607="ISO",VALUE(MID(C607,6,2)),IF(D607="DMY",VALUE(MID(C607,4,2)),0))</f>
        <v>7</v>
      </c>
      <c r="G607" s="7">
        <f>IF(D607="ISO",VALUE(RIGHT(C607,2)),IF(D607="DMY",VALUE(LEFT(C607,2)),0))</f>
        <v>15</v>
      </c>
      <c r="H607" s="7">
        <f>IF(AND(D607&lt;&gt;"OTHER",F607&gt;=1,F607&lt;=12,G607&gt;=1,G607&lt;=31),IF(AND(MONTH(DATE(E607,F607,G607))=F607,DAY(DATE(E607,F607,G607))=G607),1,0),0)</f>
        <v>1</v>
      </c>
      <c r="I607" s="7">
        <f>IF(H607=1,DATE(E607,F607,G607),"")</f>
        <v>46218.0</v>
      </c>
      <c r="J607" s="7">
        <f>IF(AND(D607="DMY",H607=1),1,0)</f>
        <v>0</v>
      </c>
      <c r="K607" s="7">
        <f>IF(H607=0,1,0)</f>
        <v>0</v>
      </c>
      <c r="L607" s="7">
        <f>IF(TRIM(Raw_Bookings!I607&amp;"")="",1,0)</f>
        <v>0</v>
      </c>
      <c r="M607" s="7">
        <f>IF(L607=1,"",DATEVALUE(LEFT(Raw_Bookings!I607,10))+TIMEVALUE(MID(Raw_Bookings!I607,12,8)))</f>
        <v>46205.63196759259</v>
      </c>
      <c r="N607" s="7">
        <f>IF(AND(L607=0,H607=1),IF(INT(M607)&gt;I607,1,0),0)</f>
        <v>0</v>
      </c>
      <c r="O607" s="7" t="str">
        <f>UPPER(TRIM(Raw_Bookings!F607))</f>
        <v>HYD</v>
      </c>
      <c r="P607" s="7" t="str">
        <f>UPPER(TRIM(Raw_Bookings!G607))</f>
        <v>KOL</v>
      </c>
      <c r="Q607" s="7">
        <f>IF(COUNTIF(Lookup_Stations!$A$2:$A$33,O607)&gt;0,1,0)</f>
        <v>1</v>
      </c>
      <c r="R607" s="7">
        <f>IF(COUNTIF(Lookup_Stations!$A$2:$A$33,P607)&gt;0,1,0)</f>
        <v>1</v>
      </c>
      <c r="S607" s="7">
        <f>IF(OR(AND(Q607=1,NOT(EXACT(Raw_Bookings!F607,O607))),AND(R607=1,NOT(EXACT(Raw_Bookings!G607,P607)))),1,0)</f>
        <v>0</v>
      </c>
      <c r="T607" s="7">
        <f>IF(OR(Q607=0,R607=0),1,0)</f>
        <v>0</v>
      </c>
      <c r="U607" s="7">
        <f>IF(TRIM(Raw_Bookings!E607&amp;"")="",1,0)</f>
        <v>0</v>
      </c>
      <c r="V607" s="7" t="str">
        <f>IF(SUMPRODUCT(--(Lookup_Status!$A$2:$A$13=LOWER(TRIM(Raw_Bookings!K607))))=0,"",INDEX(Lookup_Status!$B$2:$B$13,SUMPRODUCT((Lookup_Status!$A$2:$A$13=LOWER(TRIM(Raw_Bookings!K607)))*(ROW(Lookup_Status!$A$2:$A$13)-1))))</f>
        <v>Confirmed</v>
      </c>
      <c r="W607" s="7">
        <f>IF(AND(V607&lt;&gt;"",NOT(EXACT(Raw_Bookings!K607,V607))),1,0)</f>
        <v>0</v>
      </c>
      <c r="X607" s="7">
        <f>IF(V607="",1,0)</f>
        <v>0</v>
      </c>
      <c r="Y607" s="7">
        <f>IF(TRIM(Raw_Bookings!L607&amp;"")="",1,0)</f>
        <v>0</v>
      </c>
      <c r="Z607" s="7">
        <f>IF(AND(ISTEXT(Raw_Bookings!L607),Y607=0),1,0)</f>
        <v>0</v>
      </c>
      <c r="AA607" s="7">
        <f>IF(Z607=1,IFERROR(VALUE(SUBSTITUTE(SUBSTITUTE(SUBSTITUTE(SUBSTITUTE(SUBSTITUTE(UPPER(Raw_Bookings!L607),"RS.",""),"₹",""),",","")," ",""),"INR","")),""),"")</f>
        <v/>
      </c>
      <c r="AB607" s="7">
        <f>IF(AND(Z607=1,ISNUMBER(AA607)),1,0)</f>
        <v>0</v>
      </c>
      <c r="AC607" s="7">
        <f>IF(B607=1,0,IF(NOT(ISNUMBER(Raw_Bookings!J607)),1,IF(Raw_Bookings!J607&lt;&gt;COUNTIFS(Work_Passengers!$B$2:$B$1336,Raw_Bookings!A607,Work_Passengers!$C$2:$C$1336,0),1,0)))</f>
        <v>0</v>
      </c>
    </row>
    <row r="608" spans="1:29">
      <c r="A608" s="7">
        <f>Raw_Bookings!A608</f>
        <v>1193016</v>
      </c>
      <c r="B608" s="7">
        <f>IF(COUNTIF(Raw_Bookings!$A$2:A608,Raw_Bookings!A608)&gt;1,1,0)</f>
        <v>0</v>
      </c>
      <c r="C608" s="7" t="str">
        <f>Raw_Bookings!D608&amp;""</f>
        <v>2026-07-15</v>
      </c>
      <c r="D608" s="7" t="str">
        <f>IF(AND(LEN(C608)=10,MID(C608,5,1)="-",MID(C608,8,1)="-"),"ISO",IF(AND(LEN(C608)=10,MID(C608,3,1)="-",MID(C608,6,1)="-"),"DMY","OTHER"))</f>
        <v>ISO</v>
      </c>
      <c r="E608" s="7">
        <f>IF(D608="ISO",VALUE(LEFT(C608,4)),IF(D608="DMY",VALUE(RIGHT(C608,4)),0))</f>
        <v>2026</v>
      </c>
      <c r="F608" s="7">
        <f>IF(D608="ISO",VALUE(MID(C608,6,2)),IF(D608="DMY",VALUE(MID(C608,4,2)),0))</f>
        <v>7</v>
      </c>
      <c r="G608" s="7">
        <f>IF(D608="ISO",VALUE(RIGHT(C608,2)),IF(D608="DMY",VALUE(LEFT(C608,2)),0))</f>
        <v>15</v>
      </c>
      <c r="H608" s="7">
        <f>IF(AND(D608&lt;&gt;"OTHER",F608&gt;=1,F608&lt;=12,G608&gt;=1,G608&lt;=31),IF(AND(MONTH(DATE(E608,F608,G608))=F608,DAY(DATE(E608,F608,G608))=G608),1,0),0)</f>
        <v>1</v>
      </c>
      <c r="I608" s="7">
        <f>IF(H608=1,DATE(E608,F608,G608),"")</f>
        <v>46218.0</v>
      </c>
      <c r="J608" s="7">
        <f>IF(AND(D608="DMY",H608=1),1,0)</f>
        <v>0</v>
      </c>
      <c r="K608" s="7">
        <f>IF(H608=0,1,0)</f>
        <v>0</v>
      </c>
      <c r="L608" s="7">
        <f>IF(TRIM(Raw_Bookings!I608&amp;"")="",1,0)</f>
        <v>0</v>
      </c>
      <c r="M608" s="7">
        <f>IF(L608=1,"",DATEVALUE(LEFT(Raw_Bookings!I608,10))+TIMEVALUE(MID(Raw_Bookings!I608,12,8)))</f>
        <v>46206.60152777778</v>
      </c>
      <c r="N608" s="7">
        <f>IF(AND(L608=0,H608=1),IF(INT(M608)&gt;I608,1,0),0)</f>
        <v>0</v>
      </c>
      <c r="O608" s="7" t="str">
        <f>UPPER(TRIM(Raw_Bookings!F608))</f>
        <v>HYD</v>
      </c>
      <c r="P608" s="7" t="str">
        <f>UPPER(TRIM(Raw_Bookings!G608))</f>
        <v>KOL</v>
      </c>
      <c r="Q608" s="7">
        <f>IF(COUNTIF(Lookup_Stations!$A$2:$A$33,O608)&gt;0,1,0)</f>
        <v>1</v>
      </c>
      <c r="R608" s="7">
        <f>IF(COUNTIF(Lookup_Stations!$A$2:$A$33,P608)&gt;0,1,0)</f>
        <v>1</v>
      </c>
      <c r="S608" s="7">
        <f>IF(OR(AND(Q608=1,NOT(EXACT(Raw_Bookings!F608,O608))),AND(R608=1,NOT(EXACT(Raw_Bookings!G608,P608)))),1,0)</f>
        <v>0</v>
      </c>
      <c r="T608" s="7">
        <f>IF(OR(Q608=0,R608=0),1,0)</f>
        <v>0</v>
      </c>
      <c r="U608" s="7">
        <f>IF(TRIM(Raw_Bookings!E608&amp;"")="",1,0)</f>
        <v>0</v>
      </c>
      <c r="V608" s="7" t="str">
        <f>IF(SUMPRODUCT(--(Lookup_Status!$A$2:$A$13=LOWER(TRIM(Raw_Bookings!K608))))=0,"",INDEX(Lookup_Status!$B$2:$B$13,SUMPRODUCT((Lookup_Status!$A$2:$A$13=LOWER(TRIM(Raw_Bookings!K608)))*(ROW(Lookup_Status!$A$2:$A$13)-1))))</f>
        <v>Confirmed</v>
      </c>
      <c r="W608" s="7">
        <f>IF(AND(V608&lt;&gt;"",NOT(EXACT(Raw_Bookings!K608,V608))),1,0)</f>
        <v>0</v>
      </c>
      <c r="X608" s="7">
        <f>IF(V608="",1,0)</f>
        <v>0</v>
      </c>
      <c r="Y608" s="7">
        <f>IF(TRIM(Raw_Bookings!L608&amp;"")="",1,0)</f>
        <v>0</v>
      </c>
      <c r="Z608" s="7">
        <f>IF(AND(ISTEXT(Raw_Bookings!L608),Y608=0),1,0)</f>
        <v>0</v>
      </c>
      <c r="AA608" s="7">
        <f>IF(Z608=1,IFERROR(VALUE(SUBSTITUTE(SUBSTITUTE(SUBSTITUTE(SUBSTITUTE(SUBSTITUTE(UPPER(Raw_Bookings!L608),"RS.",""),"₹",""),",","")," ",""),"INR","")),""),"")</f>
        <v/>
      </c>
      <c r="AB608" s="7">
        <f>IF(AND(Z608=1,ISNUMBER(AA608)),1,0)</f>
        <v>0</v>
      </c>
      <c r="AC608" s="7">
        <f>IF(B608=1,0,IF(NOT(ISNUMBER(Raw_Bookings!J608)),1,IF(Raw_Bookings!J608&lt;&gt;COUNTIFS(Work_Passengers!$B$2:$B$1336,Raw_Bookings!A608,Work_Passengers!$C$2:$C$1336,0),1,0)))</f>
        <v>0</v>
      </c>
    </row>
    <row r="609" spans="1:29">
      <c r="A609" s="7">
        <f>Raw_Bookings!A609</f>
        <v>1193245</v>
      </c>
      <c r="B609" s="7">
        <f>IF(COUNTIF(Raw_Bookings!$A$2:A609,Raw_Bookings!A609)&gt;1,1,0)</f>
        <v>0</v>
      </c>
      <c r="C609" s="7" t="str">
        <f>Raw_Bookings!D609&amp;""</f>
        <v>2026-07-31</v>
      </c>
      <c r="D609" s="7" t="str">
        <f>IF(AND(LEN(C609)=10,MID(C609,5,1)="-",MID(C609,8,1)="-"),"ISO",IF(AND(LEN(C609)=10,MID(C609,3,1)="-",MID(C609,6,1)="-"),"DMY","OTHER"))</f>
        <v>ISO</v>
      </c>
      <c r="E609" s="7">
        <f>IF(D609="ISO",VALUE(LEFT(C609,4)),IF(D609="DMY",VALUE(RIGHT(C609,4)),0))</f>
        <v>2026</v>
      </c>
      <c r="F609" s="7">
        <f>IF(D609="ISO",VALUE(MID(C609,6,2)),IF(D609="DMY",VALUE(MID(C609,4,2)),0))</f>
        <v>7</v>
      </c>
      <c r="G609" s="7">
        <f>IF(D609="ISO",VALUE(RIGHT(C609,2)),IF(D609="DMY",VALUE(LEFT(C609,2)),0))</f>
        <v>31</v>
      </c>
      <c r="H609" s="7">
        <f>IF(AND(D609&lt;&gt;"OTHER",F609&gt;=1,F609&lt;=12,G609&gt;=1,G609&lt;=31),IF(AND(MONTH(DATE(E609,F609,G609))=F609,DAY(DATE(E609,F609,G609))=G609),1,0),0)</f>
        <v>1</v>
      </c>
      <c r="I609" s="7">
        <f>IF(H609=1,DATE(E609,F609,G609),"")</f>
        <v>46234.0</v>
      </c>
      <c r="J609" s="7">
        <f>IF(AND(D609="DMY",H609=1),1,0)</f>
        <v>0</v>
      </c>
      <c r="K609" s="7">
        <f>IF(H609=0,1,0)</f>
        <v>0</v>
      </c>
      <c r="L609" s="7">
        <f>IF(TRIM(Raw_Bookings!I609&amp;"")="",1,0)</f>
        <v>0</v>
      </c>
      <c r="M609" s="7">
        <f>IF(L609=1,"",DATEVALUE(LEFT(Raw_Bookings!I609,10))+TIMEVALUE(MID(Raw_Bookings!I609,12,8)))</f>
        <v>46207.51133101852</v>
      </c>
      <c r="N609" s="7">
        <f>IF(AND(L609=0,H609=1),IF(INT(M609)&gt;I609,1,0),0)</f>
        <v>0</v>
      </c>
      <c r="O609" s="7" t="str">
        <f>UPPER(TRIM(Raw_Bookings!F609))</f>
        <v>LUC</v>
      </c>
      <c r="P609" s="7" t="str">
        <f>UPPER(TRIM(Raw_Bookings!G609))</f>
        <v>MUM</v>
      </c>
      <c r="Q609" s="7">
        <f>IF(COUNTIF(Lookup_Stations!$A$2:$A$33,O609)&gt;0,1,0)</f>
        <v>1</v>
      </c>
      <c r="R609" s="7">
        <f>IF(COUNTIF(Lookup_Stations!$A$2:$A$33,P609)&gt;0,1,0)</f>
        <v>1</v>
      </c>
      <c r="S609" s="7">
        <f>IF(OR(AND(Q609=1,NOT(EXACT(Raw_Bookings!F609,O609))),AND(R609=1,NOT(EXACT(Raw_Bookings!G609,P609)))),1,0)</f>
        <v>0</v>
      </c>
      <c r="T609" s="7">
        <f>IF(OR(Q609=0,R609=0),1,0)</f>
        <v>0</v>
      </c>
      <c r="U609" s="7">
        <f>IF(TRIM(Raw_Bookings!E609&amp;"")="",1,0)</f>
        <v>0</v>
      </c>
      <c r="V609" s="7" t="str">
        <f>IF(SUMPRODUCT(--(Lookup_Status!$A$2:$A$13=LOWER(TRIM(Raw_Bookings!K609))))=0,"",INDEX(Lookup_Status!$B$2:$B$13,SUMPRODUCT((Lookup_Status!$A$2:$A$13=LOWER(TRIM(Raw_Bookings!K609)))*(ROW(Lookup_Status!$A$2:$A$13)-1))))</f>
        <v>RAC</v>
      </c>
      <c r="W609" s="7">
        <f>IF(AND(V609&lt;&gt;"",NOT(EXACT(Raw_Bookings!K609,V609))),1,0)</f>
        <v>0</v>
      </c>
      <c r="X609" s="7">
        <f>IF(V609="",1,0)</f>
        <v>0</v>
      </c>
      <c r="Y609" s="7">
        <f>IF(TRIM(Raw_Bookings!L609&amp;"")="",1,0)</f>
        <v>0</v>
      </c>
      <c r="Z609" s="7">
        <f>IF(AND(ISTEXT(Raw_Bookings!L609),Y609=0),1,0)</f>
        <v>0</v>
      </c>
      <c r="AA609" s="7">
        <f>IF(Z609=1,IFERROR(VALUE(SUBSTITUTE(SUBSTITUTE(SUBSTITUTE(SUBSTITUTE(SUBSTITUTE(UPPER(Raw_Bookings!L609),"RS.",""),"₹",""),",","")," ",""),"INR","")),""),"")</f>
        <v/>
      </c>
      <c r="AB609" s="7">
        <f>IF(AND(Z609=1,ISNUMBER(AA609)),1,0)</f>
        <v>0</v>
      </c>
      <c r="AC609" s="7">
        <f>IF(B609=1,0,IF(NOT(ISNUMBER(Raw_Bookings!J609)),1,IF(Raw_Bookings!J609&lt;&gt;COUNTIFS(Work_Passengers!$B$2:$B$1336,Raw_Bookings!A609,Work_Passengers!$C$2:$C$1336,0),1,0)))</f>
        <v>0</v>
      </c>
    </row>
    <row r="610" spans="1:29">
      <c r="A610" s="7">
        <f>Raw_Bookings!A610</f>
        <v>1193481</v>
      </c>
      <c r="B610" s="7">
        <f>IF(COUNTIF(Raw_Bookings!$A$2:A610,Raw_Bookings!A610)&gt;1,1,0)</f>
        <v>0</v>
      </c>
      <c r="C610" s="7" t="str">
        <f>Raw_Bookings!D610&amp;""</f>
        <v>2026-08-29</v>
      </c>
      <c r="D610" s="7" t="str">
        <f>IF(AND(LEN(C610)=10,MID(C610,5,1)="-",MID(C610,8,1)="-"),"ISO",IF(AND(LEN(C610)=10,MID(C610,3,1)="-",MID(C610,6,1)="-"),"DMY","OTHER"))</f>
        <v>ISO</v>
      </c>
      <c r="E610" s="7">
        <f>IF(D610="ISO",VALUE(LEFT(C610,4)),IF(D610="DMY",VALUE(RIGHT(C610,4)),0))</f>
        <v>2026</v>
      </c>
      <c r="F610" s="7">
        <f>IF(D610="ISO",VALUE(MID(C610,6,2)),IF(D610="DMY",VALUE(MID(C610,4,2)),0))</f>
        <v>8</v>
      </c>
      <c r="G610" s="7">
        <f>IF(D610="ISO",VALUE(RIGHT(C610,2)),IF(D610="DMY",VALUE(LEFT(C610,2)),0))</f>
        <v>29</v>
      </c>
      <c r="H610" s="7">
        <f>IF(AND(D610&lt;&gt;"OTHER",F610&gt;=1,F610&lt;=12,G610&gt;=1,G610&lt;=31),IF(AND(MONTH(DATE(E610,F610,G610))=F610,DAY(DATE(E610,F610,G610))=G610),1,0),0)</f>
        <v>1</v>
      </c>
      <c r="I610" s="7">
        <f>IF(H610=1,DATE(E610,F610,G610),"")</f>
        <v>46263.0</v>
      </c>
      <c r="J610" s="7">
        <f>IF(AND(D610="DMY",H610=1),1,0)</f>
        <v>0</v>
      </c>
      <c r="K610" s="7">
        <f>IF(H610=0,1,0)</f>
        <v>0</v>
      </c>
      <c r="L610" s="7">
        <f>IF(TRIM(Raw_Bookings!I610&amp;"")="",1,0)</f>
        <v>0</v>
      </c>
      <c r="M610" s="7">
        <f>IF(L610=1,"",DATEVALUE(LEFT(Raw_Bookings!I610,10))+TIMEVALUE(MID(Raw_Bookings!I610,12,8)))</f>
        <v>46208.475011574075</v>
      </c>
      <c r="N610" s="7">
        <f>IF(AND(L610=0,H610=1),IF(INT(M610)&gt;I610,1,0),0)</f>
        <v>0</v>
      </c>
      <c r="O610" s="7" t="str">
        <f>UPPER(TRIM(Raw_Bookings!F610))</f>
        <v>DIB</v>
      </c>
      <c r="P610" s="7" t="str">
        <f>UPPER(TRIM(Raw_Bookings!G610))</f>
        <v>DEL</v>
      </c>
      <c r="Q610" s="7">
        <f>IF(COUNTIF(Lookup_Stations!$A$2:$A$33,O610)&gt;0,1,0)</f>
        <v>1</v>
      </c>
      <c r="R610" s="7">
        <f>IF(COUNTIF(Lookup_Stations!$A$2:$A$33,P610)&gt;0,1,0)</f>
        <v>1</v>
      </c>
      <c r="S610" s="7">
        <f>IF(OR(AND(Q610=1,NOT(EXACT(Raw_Bookings!F610,O610))),AND(R610=1,NOT(EXACT(Raw_Bookings!G610,P610)))),1,0)</f>
        <v>0</v>
      </c>
      <c r="T610" s="7">
        <f>IF(OR(Q610=0,R610=0),1,0)</f>
        <v>0</v>
      </c>
      <c r="U610" s="7">
        <f>IF(TRIM(Raw_Bookings!E610&amp;"")="",1,0)</f>
        <v>0</v>
      </c>
      <c r="V610" s="7" t="str">
        <f>IF(SUMPRODUCT(--(Lookup_Status!$A$2:$A$13=LOWER(TRIM(Raw_Bookings!K610))))=0,"",INDEX(Lookup_Status!$B$2:$B$13,SUMPRODUCT((Lookup_Status!$A$2:$A$13=LOWER(TRIM(Raw_Bookings!K610)))*(ROW(Lookup_Status!$A$2:$A$13)-1))))</f>
        <v>Confirmed</v>
      </c>
      <c r="W610" s="7">
        <f>IF(AND(V610&lt;&gt;"",NOT(EXACT(Raw_Bookings!K610,V610))),1,0)</f>
        <v>0</v>
      </c>
      <c r="X610" s="7">
        <f>IF(V610="",1,0)</f>
        <v>0</v>
      </c>
      <c r="Y610" s="7">
        <f>IF(TRIM(Raw_Bookings!L610&amp;"")="",1,0)</f>
        <v>0</v>
      </c>
      <c r="Z610" s="7">
        <f>IF(AND(ISTEXT(Raw_Bookings!L610),Y610=0),1,0)</f>
        <v>0</v>
      </c>
      <c r="AA610" s="7">
        <f>IF(Z610=1,IFERROR(VALUE(SUBSTITUTE(SUBSTITUTE(SUBSTITUTE(SUBSTITUTE(SUBSTITUTE(UPPER(Raw_Bookings!L610),"RS.",""),"₹",""),",","")," ",""),"INR","")),""),"")</f>
        <v/>
      </c>
      <c r="AB610" s="7">
        <f>IF(AND(Z610=1,ISNUMBER(AA610)),1,0)</f>
        <v>0</v>
      </c>
      <c r="AC610" s="7">
        <f>IF(B610=1,0,IF(NOT(ISNUMBER(Raw_Bookings!J610)),1,IF(Raw_Bookings!J610&lt;&gt;COUNTIFS(Work_Passengers!$B$2:$B$1336,Raw_Bookings!A610,Work_Passengers!$C$2:$C$1336,0),1,0)))</f>
        <v>0</v>
      </c>
    </row>
    <row r="611" spans="1:29">
      <c r="A611" s="7">
        <f>Raw_Bookings!A611</f>
        <v>1194649</v>
      </c>
      <c r="B611" s="7">
        <f>IF(COUNTIF(Raw_Bookings!$A$2:A611,Raw_Bookings!A611)&gt;1,1,0)</f>
        <v>0</v>
      </c>
      <c r="C611" s="7" t="str">
        <f>Raw_Bookings!D611&amp;""</f>
        <v>2026-08-11</v>
      </c>
      <c r="D611" s="7" t="str">
        <f>IF(AND(LEN(C611)=10,MID(C611,5,1)="-",MID(C611,8,1)="-"),"ISO",IF(AND(LEN(C611)=10,MID(C611,3,1)="-",MID(C611,6,1)="-"),"DMY","OTHER"))</f>
        <v>ISO</v>
      </c>
      <c r="E611" s="7">
        <f>IF(D611="ISO",VALUE(LEFT(C611,4)),IF(D611="DMY",VALUE(RIGHT(C611,4)),0))</f>
        <v>2026</v>
      </c>
      <c r="F611" s="7">
        <f>IF(D611="ISO",VALUE(MID(C611,6,2)),IF(D611="DMY",VALUE(MID(C611,4,2)),0))</f>
        <v>8</v>
      </c>
      <c r="G611" s="7">
        <f>IF(D611="ISO",VALUE(RIGHT(C611,2)),IF(D611="DMY",VALUE(LEFT(C611,2)),0))</f>
        <v>11</v>
      </c>
      <c r="H611" s="7">
        <f>IF(AND(D611&lt;&gt;"OTHER",F611&gt;=1,F611&lt;=12,G611&gt;=1,G611&lt;=31),IF(AND(MONTH(DATE(E611,F611,G611))=F611,DAY(DATE(E611,F611,G611))=G611),1,0),0)</f>
        <v>1</v>
      </c>
      <c r="I611" s="7">
        <f>IF(H611=1,DATE(E611,F611,G611),"")</f>
        <v>46245.0</v>
      </c>
      <c r="J611" s="7">
        <f>IF(AND(D611="DMY",H611=1),1,0)</f>
        <v>0</v>
      </c>
      <c r="K611" s="7">
        <f>IF(H611=0,1,0)</f>
        <v>0</v>
      </c>
      <c r="L611" s="7">
        <f>IF(TRIM(Raw_Bookings!I611&amp;"")="",1,0)</f>
        <v>0</v>
      </c>
      <c r="M611" s="7">
        <f>IF(L611=1,"",DATEVALUE(LEFT(Raw_Bookings!I611,10))+TIMEVALUE(MID(Raw_Bookings!I611,12,8)))</f>
        <v>46213.889699074076</v>
      </c>
      <c r="N611" s="7">
        <f>IF(AND(L611=0,H611=1),IF(INT(M611)&gt;I611,1,0),0)</f>
        <v>0</v>
      </c>
      <c r="O611" s="7" t="str">
        <f>UPPER(TRIM(Raw_Bookings!F611))</f>
        <v>BHO</v>
      </c>
      <c r="P611" s="7" t="str">
        <f>UPPER(TRIM(Raw_Bookings!G611))</f>
        <v>JAI</v>
      </c>
      <c r="Q611" s="7">
        <f>IF(COUNTIF(Lookup_Stations!$A$2:$A$33,O611)&gt;0,1,0)</f>
        <v>1</v>
      </c>
      <c r="R611" s="7">
        <f>IF(COUNTIF(Lookup_Stations!$A$2:$A$33,P611)&gt;0,1,0)</f>
        <v>1</v>
      </c>
      <c r="S611" s="7">
        <f>IF(OR(AND(Q611=1,NOT(EXACT(Raw_Bookings!F611,O611))),AND(R611=1,NOT(EXACT(Raw_Bookings!G611,P611)))),1,0)</f>
        <v>0</v>
      </c>
      <c r="T611" s="7">
        <f>IF(OR(Q611=0,R611=0),1,0)</f>
        <v>0</v>
      </c>
      <c r="U611" s="7">
        <f>IF(TRIM(Raw_Bookings!E611&amp;"")="",1,0)</f>
        <v>0</v>
      </c>
      <c r="V611" s="7" t="str">
        <f>IF(SUMPRODUCT(--(Lookup_Status!$A$2:$A$13=LOWER(TRIM(Raw_Bookings!K611))))=0,"",INDEX(Lookup_Status!$B$2:$B$13,SUMPRODUCT((Lookup_Status!$A$2:$A$13=LOWER(TRIM(Raw_Bookings!K611)))*(ROW(Lookup_Status!$A$2:$A$13)-1))))</f>
        <v>Confirmed</v>
      </c>
      <c r="W611" s="7">
        <f>IF(AND(V611&lt;&gt;"",NOT(EXACT(Raw_Bookings!K611,V611))),1,0)</f>
        <v>0</v>
      </c>
      <c r="X611" s="7">
        <f>IF(V611="",1,0)</f>
        <v>0</v>
      </c>
      <c r="Y611" s="7">
        <f>IF(TRIM(Raw_Bookings!L611&amp;"")="",1,0)</f>
        <v>0</v>
      </c>
      <c r="Z611" s="7">
        <f>IF(AND(ISTEXT(Raw_Bookings!L611),Y611=0),1,0)</f>
        <v>0</v>
      </c>
      <c r="AA611" s="7">
        <f>IF(Z611=1,IFERROR(VALUE(SUBSTITUTE(SUBSTITUTE(SUBSTITUTE(SUBSTITUTE(SUBSTITUTE(UPPER(Raw_Bookings!L611),"RS.",""),"₹",""),",","")," ",""),"INR","")),""),"")</f>
        <v/>
      </c>
      <c r="AB611" s="7">
        <f>IF(AND(Z611=1,ISNUMBER(AA611)),1,0)</f>
        <v>0</v>
      </c>
      <c r="AC611" s="7">
        <f>IF(B611=1,0,IF(NOT(ISNUMBER(Raw_Bookings!J611)),1,IF(Raw_Bookings!J611&lt;&gt;COUNTIFS(Work_Passengers!$B$2:$B$1336,Raw_Bookings!A611,Work_Passengers!$C$2:$C$1336,0),1,0)))</f>
        <v>0</v>
      </c>
    </row>
    <row r="612" spans="1:29">
      <c r="A612" s="7">
        <f>Raw_Bookings!A612</f>
        <v>1194709</v>
      </c>
      <c r="B612" s="7">
        <f>IF(COUNTIF(Raw_Bookings!$A$2:A612,Raw_Bookings!A612)&gt;1,1,0)</f>
        <v>0</v>
      </c>
      <c r="C612" s="7" t="str">
        <f>Raw_Bookings!D612&amp;""</f>
        <v>2026-07-24</v>
      </c>
      <c r="D612" s="7" t="str">
        <f>IF(AND(LEN(C612)=10,MID(C612,5,1)="-",MID(C612,8,1)="-"),"ISO",IF(AND(LEN(C612)=10,MID(C612,3,1)="-",MID(C612,6,1)="-"),"DMY","OTHER"))</f>
        <v>ISO</v>
      </c>
      <c r="E612" s="7">
        <f>IF(D612="ISO",VALUE(LEFT(C612,4)),IF(D612="DMY",VALUE(RIGHT(C612,4)),0))</f>
        <v>2026</v>
      </c>
      <c r="F612" s="7">
        <f>IF(D612="ISO",VALUE(MID(C612,6,2)),IF(D612="DMY",VALUE(MID(C612,4,2)),0))</f>
        <v>7</v>
      </c>
      <c r="G612" s="7">
        <f>IF(D612="ISO",VALUE(RIGHT(C612,2)),IF(D612="DMY",VALUE(LEFT(C612,2)),0))</f>
        <v>24</v>
      </c>
      <c r="H612" s="7">
        <f>IF(AND(D612&lt;&gt;"OTHER",F612&gt;=1,F612&lt;=12,G612&gt;=1,G612&lt;=31),IF(AND(MONTH(DATE(E612,F612,G612))=F612,DAY(DATE(E612,F612,G612))=G612),1,0),0)</f>
        <v>1</v>
      </c>
      <c r="I612" s="7">
        <f>IF(H612=1,DATE(E612,F612,G612),"")</f>
        <v>46227.0</v>
      </c>
      <c r="J612" s="7">
        <f>IF(AND(D612="DMY",H612=1),1,0)</f>
        <v>0</v>
      </c>
      <c r="K612" s="7">
        <f>IF(H612=0,1,0)</f>
        <v>0</v>
      </c>
      <c r="L612" s="7">
        <f>IF(TRIM(Raw_Bookings!I612&amp;"")="",1,0)</f>
        <v>0</v>
      </c>
      <c r="M612" s="7">
        <f>IF(L612=1,"",DATEVALUE(LEFT(Raw_Bookings!I612,10))+TIMEVALUE(MID(Raw_Bookings!I612,12,8)))</f>
        <v>46214.34085648148</v>
      </c>
      <c r="N612" s="7">
        <f>IF(AND(L612=0,H612=1),IF(INT(M612)&gt;I612,1,0),0)</f>
        <v>0</v>
      </c>
      <c r="O612" s="7" t="str">
        <f>UPPER(TRIM(Raw_Bookings!F612))</f>
        <v>KOL</v>
      </c>
      <c r="P612" s="7" t="str">
        <f>UPPER(TRIM(Raw_Bookings!G612))</f>
        <v>HYD</v>
      </c>
      <c r="Q612" s="7">
        <f>IF(COUNTIF(Lookup_Stations!$A$2:$A$33,O612)&gt;0,1,0)</f>
        <v>1</v>
      </c>
      <c r="R612" s="7">
        <f>IF(COUNTIF(Lookup_Stations!$A$2:$A$33,P612)&gt;0,1,0)</f>
        <v>1</v>
      </c>
      <c r="S612" s="7">
        <f>IF(OR(AND(Q612=1,NOT(EXACT(Raw_Bookings!F612,O612))),AND(R612=1,NOT(EXACT(Raw_Bookings!G612,P612)))),1,0)</f>
        <v>0</v>
      </c>
      <c r="T612" s="7">
        <f>IF(OR(Q612=0,R612=0),1,0)</f>
        <v>0</v>
      </c>
      <c r="U612" s="7">
        <f>IF(TRIM(Raw_Bookings!E612&amp;"")="",1,0)</f>
        <v>0</v>
      </c>
      <c r="V612" s="7" t="str">
        <f>IF(SUMPRODUCT(--(Lookup_Status!$A$2:$A$13=LOWER(TRIM(Raw_Bookings!K612))))=0,"",INDEX(Lookup_Status!$B$2:$B$13,SUMPRODUCT((Lookup_Status!$A$2:$A$13=LOWER(TRIM(Raw_Bookings!K612)))*(ROW(Lookup_Status!$A$2:$A$13)-1))))</f>
        <v>RAC</v>
      </c>
      <c r="W612" s="7">
        <f>IF(AND(V612&lt;&gt;"",NOT(EXACT(Raw_Bookings!K612,V612))),1,0)</f>
        <v>0</v>
      </c>
      <c r="X612" s="7">
        <f>IF(V612="",1,0)</f>
        <v>0</v>
      </c>
      <c r="Y612" s="7">
        <f>IF(TRIM(Raw_Bookings!L612&amp;"")="",1,0)</f>
        <v>0</v>
      </c>
      <c r="Z612" s="7">
        <f>IF(AND(ISTEXT(Raw_Bookings!L612),Y612=0),1,0)</f>
        <v>0</v>
      </c>
      <c r="AA612" s="7">
        <f>IF(Z612=1,IFERROR(VALUE(SUBSTITUTE(SUBSTITUTE(SUBSTITUTE(SUBSTITUTE(SUBSTITUTE(UPPER(Raw_Bookings!L612),"RS.",""),"₹",""),",","")," ",""),"INR","")),""),"")</f>
        <v/>
      </c>
      <c r="AB612" s="7">
        <f>IF(AND(Z612=1,ISNUMBER(AA612)),1,0)</f>
        <v>0</v>
      </c>
      <c r="AC612" s="7">
        <f>IF(B612=1,0,IF(NOT(ISNUMBER(Raw_Bookings!J612)),1,IF(Raw_Bookings!J612&lt;&gt;COUNTIFS(Work_Passengers!$B$2:$B$1336,Raw_Bookings!A612,Work_Passengers!$C$2:$C$1336,0),1,0)))</f>
        <v>0</v>
      </c>
    </row>
    <row r="613" spans="1:29">
      <c r="A613" s="7">
        <f>Raw_Bookings!A613</f>
        <v>1195275</v>
      </c>
      <c r="B613" s="7">
        <f>IF(COUNTIF(Raw_Bookings!$A$2:A613,Raw_Bookings!A613)&gt;1,1,0)</f>
        <v>0</v>
      </c>
      <c r="C613" s="7" t="str">
        <f>Raw_Bookings!D613&amp;""</f>
        <v>20-07-2026</v>
      </c>
      <c r="D613" s="7" t="str">
        <f>IF(AND(LEN(C613)=10,MID(C613,5,1)="-",MID(C613,8,1)="-"),"ISO",IF(AND(LEN(C613)=10,MID(C613,3,1)="-",MID(C613,6,1)="-"),"DMY","OTHER"))</f>
        <v>DMY</v>
      </c>
      <c r="E613" s="7">
        <f>IF(D613="ISO",VALUE(LEFT(C613,4)),IF(D613="DMY",VALUE(RIGHT(C613,4)),0))</f>
        <v>2026</v>
      </c>
      <c r="F613" s="7">
        <f>IF(D613="ISO",VALUE(MID(C613,6,2)),IF(D613="DMY",VALUE(MID(C613,4,2)),0))</f>
        <v>7</v>
      </c>
      <c r="G613" s="7">
        <f>IF(D613="ISO",VALUE(RIGHT(C613,2)),IF(D613="DMY",VALUE(LEFT(C613,2)),0))</f>
        <v>20</v>
      </c>
      <c r="H613" s="7">
        <f>IF(AND(D613&lt;&gt;"OTHER",F613&gt;=1,F613&lt;=12,G613&gt;=1,G613&lt;=31),IF(AND(MONTH(DATE(E613,F613,G613))=F613,DAY(DATE(E613,F613,G613))=G613),1,0),0)</f>
        <v>1</v>
      </c>
      <c r="I613" s="7">
        <f>IF(H613=1,DATE(E613,F613,G613),"")</f>
        <v>46223.0</v>
      </c>
      <c r="J613" s="7">
        <f>IF(AND(D613="DMY",H613=1),1,0)</f>
        <v>1</v>
      </c>
      <c r="K613" s="7">
        <f>IF(H613=0,1,0)</f>
        <v>0</v>
      </c>
      <c r="L613" s="7">
        <f>IF(TRIM(Raw_Bookings!I613&amp;"")="",1,0)</f>
        <v>0</v>
      </c>
      <c r="M613" s="7">
        <f>IF(L613=1,"",DATEVALUE(LEFT(Raw_Bookings!I613,10))+TIMEVALUE(MID(Raw_Bookings!I613,12,8)))</f>
        <v>46216.92883101852</v>
      </c>
      <c r="N613" s="7">
        <f>IF(AND(L613=0,H613=1),IF(INT(M613)&gt;I613,1,0),0)</f>
        <v>0</v>
      </c>
      <c r="O613" s="7" t="str">
        <f>UPPER(TRIM(Raw_Bookings!F613))</f>
        <v>AHM</v>
      </c>
      <c r="P613" s="7" t="str">
        <f>UPPER(TRIM(Raw_Bookings!G613))</f>
        <v>CHE</v>
      </c>
      <c r="Q613" s="7">
        <f>IF(COUNTIF(Lookup_Stations!$A$2:$A$33,O613)&gt;0,1,0)</f>
        <v>1</v>
      </c>
      <c r="R613" s="7">
        <f>IF(COUNTIF(Lookup_Stations!$A$2:$A$33,P613)&gt;0,1,0)</f>
        <v>1</v>
      </c>
      <c r="S613" s="7">
        <f>IF(OR(AND(Q613=1,NOT(EXACT(Raw_Bookings!F613,O613))),AND(R613=1,NOT(EXACT(Raw_Bookings!G613,P613)))),1,0)</f>
        <v>0</v>
      </c>
      <c r="T613" s="7">
        <f>IF(OR(Q613=0,R613=0),1,0)</f>
        <v>0</v>
      </c>
      <c r="U613" s="7">
        <f>IF(TRIM(Raw_Bookings!E613&amp;"")="",1,0)</f>
        <v>0</v>
      </c>
      <c r="V613" s="7" t="str">
        <f>IF(SUMPRODUCT(--(Lookup_Status!$A$2:$A$13=LOWER(TRIM(Raw_Bookings!K613))))=0,"",INDEX(Lookup_Status!$B$2:$B$13,SUMPRODUCT((Lookup_Status!$A$2:$A$13=LOWER(TRIM(Raw_Bookings!K613)))*(ROW(Lookup_Status!$A$2:$A$13)-1))))</f>
        <v>Cancelled</v>
      </c>
      <c r="W613" s="7">
        <f>IF(AND(V613&lt;&gt;"",NOT(EXACT(Raw_Bookings!K613,V613))),1,0)</f>
        <v>0</v>
      </c>
      <c r="X613" s="7">
        <f>IF(V613="",1,0)</f>
        <v>0</v>
      </c>
      <c r="Y613" s="7">
        <f>IF(TRIM(Raw_Bookings!L613&amp;"")="",1,0)</f>
        <v>0</v>
      </c>
      <c r="Z613" s="7">
        <f>IF(AND(ISTEXT(Raw_Bookings!L613),Y613=0),1,0)</f>
        <v>0</v>
      </c>
      <c r="AA613" s="7">
        <f>IF(Z613=1,IFERROR(VALUE(SUBSTITUTE(SUBSTITUTE(SUBSTITUTE(SUBSTITUTE(SUBSTITUTE(UPPER(Raw_Bookings!L613),"RS.",""),"₹",""),",","")," ",""),"INR","")),""),"")</f>
        <v/>
      </c>
      <c r="AB613" s="7">
        <f>IF(AND(Z613=1,ISNUMBER(AA613)),1,0)</f>
        <v>0</v>
      </c>
      <c r="AC613" s="7">
        <f>IF(B613=1,0,IF(NOT(ISNUMBER(Raw_Bookings!J613)),1,IF(Raw_Bookings!J613&lt;&gt;COUNTIFS(Work_Passengers!$B$2:$B$1336,Raw_Bookings!A613,Work_Passengers!$C$2:$C$1336,0),1,0)))</f>
        <v>0</v>
      </c>
    </row>
    <row r="614" spans="1:29">
      <c r="A614" s="7">
        <f>Raw_Bookings!A614</f>
        <v>1195699</v>
      </c>
      <c r="B614" s="7">
        <f>IF(COUNTIF(Raw_Bookings!$A$2:A614,Raw_Bookings!A614)&gt;1,1,0)</f>
        <v>0</v>
      </c>
      <c r="C614" s="7" t="str">
        <f>Raw_Bookings!D614&amp;""</f>
        <v>2026-08-09</v>
      </c>
      <c r="D614" s="7" t="str">
        <f>IF(AND(LEN(C614)=10,MID(C614,5,1)="-",MID(C614,8,1)="-"),"ISO",IF(AND(LEN(C614)=10,MID(C614,3,1)="-",MID(C614,6,1)="-"),"DMY","OTHER"))</f>
        <v>ISO</v>
      </c>
      <c r="E614" s="7">
        <f>IF(D614="ISO",VALUE(LEFT(C614,4)),IF(D614="DMY",VALUE(RIGHT(C614,4)),0))</f>
        <v>2026</v>
      </c>
      <c r="F614" s="7">
        <f>IF(D614="ISO",VALUE(MID(C614,6,2)),IF(D614="DMY",VALUE(MID(C614,4,2)),0))</f>
        <v>8</v>
      </c>
      <c r="G614" s="7">
        <f>IF(D614="ISO",VALUE(RIGHT(C614,2)),IF(D614="DMY",VALUE(LEFT(C614,2)),0))</f>
        <v>9</v>
      </c>
      <c r="H614" s="7">
        <f>IF(AND(D614&lt;&gt;"OTHER",F614&gt;=1,F614&lt;=12,G614&gt;=1,G614&lt;=31),IF(AND(MONTH(DATE(E614,F614,G614))=F614,DAY(DATE(E614,F614,G614))=G614),1,0),0)</f>
        <v>1</v>
      </c>
      <c r="I614" s="7">
        <f>IF(H614=1,DATE(E614,F614,G614),"")</f>
        <v>46243.0</v>
      </c>
      <c r="J614" s="7">
        <f>IF(AND(D614="DMY",H614=1),1,0)</f>
        <v>0</v>
      </c>
      <c r="K614" s="7">
        <f>IF(H614=0,1,0)</f>
        <v>0</v>
      </c>
      <c r="L614" s="7">
        <f>IF(TRIM(Raw_Bookings!I614&amp;"")="",1,0)</f>
        <v>0</v>
      </c>
      <c r="M614" s="7">
        <f>IF(L614=1,"",DATEVALUE(LEFT(Raw_Bookings!I614,10))+TIMEVALUE(MID(Raw_Bookings!I614,12,8)))</f>
        <v>46219.16707175926</v>
      </c>
      <c r="N614" s="7">
        <f>IF(AND(L614=0,H614=1),IF(INT(M614)&gt;I614,1,0),0)</f>
        <v>0</v>
      </c>
      <c r="O614" s="7" t="str">
        <f>UPPER(TRIM(Raw_Bookings!F614))</f>
        <v>DEL</v>
      </c>
      <c r="P614" s="7" t="str">
        <f>UPPER(TRIM(Raw_Bookings!G614))</f>
        <v>MAU</v>
      </c>
      <c r="Q614" s="7">
        <f>IF(COUNTIF(Lookup_Stations!$A$2:$A$33,O614)&gt;0,1,0)</f>
        <v>1</v>
      </c>
      <c r="R614" s="7">
        <f>IF(COUNTIF(Lookup_Stations!$A$2:$A$33,P614)&gt;0,1,0)</f>
        <v>1</v>
      </c>
      <c r="S614" s="7">
        <f>IF(OR(AND(Q614=1,NOT(EXACT(Raw_Bookings!F614,O614))),AND(R614=1,NOT(EXACT(Raw_Bookings!G614,P614)))),1,0)</f>
        <v>0</v>
      </c>
      <c r="T614" s="7">
        <f>IF(OR(Q614=0,R614=0),1,0)</f>
        <v>0</v>
      </c>
      <c r="U614" s="7">
        <f>IF(TRIM(Raw_Bookings!E614&amp;"")="",1,0)</f>
        <v>0</v>
      </c>
      <c r="V614" s="7" t="str">
        <f>IF(SUMPRODUCT(--(Lookup_Status!$A$2:$A$13=LOWER(TRIM(Raw_Bookings!K614))))=0,"",INDEX(Lookup_Status!$B$2:$B$13,SUMPRODUCT((Lookup_Status!$A$2:$A$13=LOWER(TRIM(Raw_Bookings!K614)))*(ROW(Lookup_Status!$A$2:$A$13)-1))))</f>
        <v>Confirmed</v>
      </c>
      <c r="W614" s="7">
        <f>IF(AND(V614&lt;&gt;"",NOT(EXACT(Raw_Bookings!K614,V614))),1,0)</f>
        <v>1</v>
      </c>
      <c r="X614" s="7">
        <f>IF(V614="",1,0)</f>
        <v>0</v>
      </c>
      <c r="Y614" s="7">
        <f>IF(TRIM(Raw_Bookings!L614&amp;"")="",1,0)</f>
        <v>0</v>
      </c>
      <c r="Z614" s="7">
        <f>IF(AND(ISTEXT(Raw_Bookings!L614),Y614=0),1,0)</f>
        <v>0</v>
      </c>
      <c r="AA614" s="7">
        <f>IF(Z614=1,IFERROR(VALUE(SUBSTITUTE(SUBSTITUTE(SUBSTITUTE(SUBSTITUTE(SUBSTITUTE(UPPER(Raw_Bookings!L614),"RS.",""),"₹",""),",","")," ",""),"INR","")),""),"")</f>
        <v/>
      </c>
      <c r="AB614" s="7">
        <f>IF(AND(Z614=1,ISNUMBER(AA614)),1,0)</f>
        <v>0</v>
      </c>
      <c r="AC614" s="7">
        <f>IF(B614=1,0,IF(NOT(ISNUMBER(Raw_Bookings!J614)),1,IF(Raw_Bookings!J614&lt;&gt;COUNTIFS(Work_Passengers!$B$2:$B$1336,Raw_Bookings!A614,Work_Passengers!$C$2:$C$1336,0),1,0)))</f>
        <v>0</v>
      </c>
    </row>
    <row r="615" spans="1:29">
      <c r="A615" s="7">
        <f>Raw_Bookings!A615</f>
        <v>1195755</v>
      </c>
      <c r="B615" s="7">
        <f>IF(COUNTIF(Raw_Bookings!$A$2:A615,Raw_Bookings!A615)&gt;1,1,0)</f>
        <v>0</v>
      </c>
      <c r="C615" s="7" t="str">
        <f>Raw_Bookings!D615&amp;""</f>
        <v>2026-07-21</v>
      </c>
      <c r="D615" s="7" t="str">
        <f>IF(AND(LEN(C615)=10,MID(C615,5,1)="-",MID(C615,8,1)="-"),"ISO",IF(AND(LEN(C615)=10,MID(C615,3,1)="-",MID(C615,6,1)="-"),"DMY","OTHER"))</f>
        <v>ISO</v>
      </c>
      <c r="E615" s="7">
        <f>IF(D615="ISO",VALUE(LEFT(C615,4)),IF(D615="DMY",VALUE(RIGHT(C615,4)),0))</f>
        <v>2026</v>
      </c>
      <c r="F615" s="7">
        <f>IF(D615="ISO",VALUE(MID(C615,6,2)),IF(D615="DMY",VALUE(MID(C615,4,2)),0))</f>
        <v>7</v>
      </c>
      <c r="G615" s="7">
        <f>IF(D615="ISO",VALUE(RIGHT(C615,2)),IF(D615="DMY",VALUE(LEFT(C615,2)),0))</f>
        <v>21</v>
      </c>
      <c r="H615" s="7">
        <f>IF(AND(D615&lt;&gt;"OTHER",F615&gt;=1,F615&lt;=12,G615&gt;=1,G615&lt;=31),IF(AND(MONTH(DATE(E615,F615,G615))=F615,DAY(DATE(E615,F615,G615))=G615),1,0),0)</f>
        <v>1</v>
      </c>
      <c r="I615" s="7">
        <f>IF(H615=1,DATE(E615,F615,G615),"")</f>
        <v>46224.0</v>
      </c>
      <c r="J615" s="7">
        <f>IF(AND(D615="DMY",H615=1),1,0)</f>
        <v>0</v>
      </c>
      <c r="K615" s="7">
        <f>IF(H615=0,1,0)</f>
        <v>0</v>
      </c>
      <c r="L615" s="7">
        <f>IF(TRIM(Raw_Bookings!I615&amp;"")="",1,0)</f>
        <v>0</v>
      </c>
      <c r="M615" s="7">
        <f>IF(L615=1,"",DATEVALUE(LEFT(Raw_Bookings!I615,10))+TIMEVALUE(MID(Raw_Bookings!I615,12,8)))</f>
        <v>46219.4506712963</v>
      </c>
      <c r="N615" s="7">
        <f>IF(AND(L615=0,H615=1),IF(INT(M615)&gt;I615,1,0),0)</f>
        <v>0</v>
      </c>
      <c r="O615" s="7" t="str">
        <f>UPPER(TRIM(Raw_Bookings!F615))</f>
        <v>MUM</v>
      </c>
      <c r="P615" s="7" t="str">
        <f>UPPER(TRIM(Raw_Bookings!G615))</f>
        <v>BEN</v>
      </c>
      <c r="Q615" s="7">
        <f>IF(COUNTIF(Lookup_Stations!$A$2:$A$33,O615)&gt;0,1,0)</f>
        <v>1</v>
      </c>
      <c r="R615" s="7">
        <f>IF(COUNTIF(Lookup_Stations!$A$2:$A$33,P615)&gt;0,1,0)</f>
        <v>1</v>
      </c>
      <c r="S615" s="7">
        <f>IF(OR(AND(Q615=1,NOT(EXACT(Raw_Bookings!F615,O615))),AND(R615=1,NOT(EXACT(Raw_Bookings!G615,P615)))),1,0)</f>
        <v>0</v>
      </c>
      <c r="T615" s="7">
        <f>IF(OR(Q615=0,R615=0),1,0)</f>
        <v>0</v>
      </c>
      <c r="U615" s="7">
        <f>IF(TRIM(Raw_Bookings!E615&amp;"")="",1,0)</f>
        <v>0</v>
      </c>
      <c r="V615" s="7" t="str">
        <f>IF(SUMPRODUCT(--(Lookup_Status!$A$2:$A$13=LOWER(TRIM(Raw_Bookings!K615))))=0,"",INDEX(Lookup_Status!$B$2:$B$13,SUMPRODUCT((Lookup_Status!$A$2:$A$13=LOWER(TRIM(Raw_Bookings!K615)))*(ROW(Lookup_Status!$A$2:$A$13)-1))))</f>
        <v>Confirmed</v>
      </c>
      <c r="W615" s="7">
        <f>IF(AND(V615&lt;&gt;"",NOT(EXACT(Raw_Bookings!K615,V615))),1,0)</f>
        <v>0</v>
      </c>
      <c r="X615" s="7">
        <f>IF(V615="",1,0)</f>
        <v>0</v>
      </c>
      <c r="Y615" s="7">
        <f>IF(TRIM(Raw_Bookings!L615&amp;"")="",1,0)</f>
        <v>0</v>
      </c>
      <c r="Z615" s="7">
        <f>IF(AND(ISTEXT(Raw_Bookings!L615),Y615=0),1,0)</f>
        <v>0</v>
      </c>
      <c r="AA615" s="7">
        <f>IF(Z615=1,IFERROR(VALUE(SUBSTITUTE(SUBSTITUTE(SUBSTITUTE(SUBSTITUTE(SUBSTITUTE(UPPER(Raw_Bookings!L615),"RS.",""),"₹",""),",","")," ",""),"INR","")),""),"")</f>
        <v/>
      </c>
      <c r="AB615" s="7">
        <f>IF(AND(Z615=1,ISNUMBER(AA615)),1,0)</f>
        <v>0</v>
      </c>
      <c r="AC615" s="7">
        <f>IF(B615=1,0,IF(NOT(ISNUMBER(Raw_Bookings!J615)),1,IF(Raw_Bookings!J615&lt;&gt;COUNTIFS(Work_Passengers!$B$2:$B$1336,Raw_Bookings!A615,Work_Passengers!$C$2:$C$1336,0),1,0)))</f>
        <v>0</v>
      </c>
    </row>
    <row r="616" spans="1:29">
      <c r="A616" s="7">
        <f>Raw_Bookings!A616</f>
        <v>1196392</v>
      </c>
      <c r="B616" s="7">
        <f>IF(COUNTIF(Raw_Bookings!$A$2:A616,Raw_Bookings!A616)&gt;1,1,0)</f>
        <v>0</v>
      </c>
      <c r="C616" s="7" t="str">
        <f>Raw_Bookings!D616&amp;""</f>
        <v>2026-08-28</v>
      </c>
      <c r="D616" s="7" t="str">
        <f>IF(AND(LEN(C616)=10,MID(C616,5,1)="-",MID(C616,8,1)="-"),"ISO",IF(AND(LEN(C616)=10,MID(C616,3,1)="-",MID(C616,6,1)="-"),"DMY","OTHER"))</f>
        <v>ISO</v>
      </c>
      <c r="E616" s="7">
        <f>IF(D616="ISO",VALUE(LEFT(C616,4)),IF(D616="DMY",VALUE(RIGHT(C616,4)),0))</f>
        <v>2026</v>
      </c>
      <c r="F616" s="7">
        <f>IF(D616="ISO",VALUE(MID(C616,6,2)),IF(D616="DMY",VALUE(MID(C616,4,2)),0))</f>
        <v>8</v>
      </c>
      <c r="G616" s="7">
        <f>IF(D616="ISO",VALUE(RIGHT(C616,2)),IF(D616="DMY",VALUE(LEFT(C616,2)),0))</f>
        <v>28</v>
      </c>
      <c r="H616" s="7">
        <f>IF(AND(D616&lt;&gt;"OTHER",F616&gt;=1,F616&lt;=12,G616&gt;=1,G616&lt;=31),IF(AND(MONTH(DATE(E616,F616,G616))=F616,DAY(DATE(E616,F616,G616))=G616),1,0),0)</f>
        <v>1</v>
      </c>
      <c r="I616" s="7">
        <f>IF(H616=1,DATE(E616,F616,G616),"")</f>
        <v>46262.0</v>
      </c>
      <c r="J616" s="7">
        <f>IF(AND(D616="DMY",H616=1),1,0)</f>
        <v>0</v>
      </c>
      <c r="K616" s="7">
        <f>IF(H616=0,1,0)</f>
        <v>0</v>
      </c>
      <c r="L616" s="7">
        <f>IF(TRIM(Raw_Bookings!I616&amp;"")="",1,0)</f>
        <v>0</v>
      </c>
      <c r="M616" s="7">
        <f>IF(L616=1,"",DATEVALUE(LEFT(Raw_Bookings!I616,10))+TIMEVALUE(MID(Raw_Bookings!I616,12,8)))</f>
        <v>46222.694444444445</v>
      </c>
      <c r="N616" s="7">
        <f>IF(AND(L616=0,H616=1),IF(INT(M616)&gt;I616,1,0),0)</f>
        <v>0</v>
      </c>
      <c r="O616" s="7" t="str">
        <f>UPPER(TRIM(Raw_Bookings!F616))</f>
        <v>JOD</v>
      </c>
      <c r="P616" s="7" t="str">
        <f>UPPER(TRIM(Raw_Bookings!G616))</f>
        <v>BEN</v>
      </c>
      <c r="Q616" s="7">
        <f>IF(COUNTIF(Lookup_Stations!$A$2:$A$33,O616)&gt;0,1,0)</f>
        <v>1</v>
      </c>
      <c r="R616" s="7">
        <f>IF(COUNTIF(Lookup_Stations!$A$2:$A$33,P616)&gt;0,1,0)</f>
        <v>1</v>
      </c>
      <c r="S616" s="7">
        <f>IF(OR(AND(Q616=1,NOT(EXACT(Raw_Bookings!F616,O616))),AND(R616=1,NOT(EXACT(Raw_Bookings!G616,P616)))),1,0)</f>
        <v>0</v>
      </c>
      <c r="T616" s="7">
        <f>IF(OR(Q616=0,R616=0),1,0)</f>
        <v>0</v>
      </c>
      <c r="U616" s="7">
        <f>IF(TRIM(Raw_Bookings!E616&amp;"")="",1,0)</f>
        <v>0</v>
      </c>
      <c r="V616" s="7" t="str">
        <f>IF(SUMPRODUCT(--(Lookup_Status!$A$2:$A$13=LOWER(TRIM(Raw_Bookings!K616))))=0,"",INDEX(Lookup_Status!$B$2:$B$13,SUMPRODUCT((Lookup_Status!$A$2:$A$13=LOWER(TRIM(Raw_Bookings!K616)))*(ROW(Lookup_Status!$A$2:$A$13)-1))))</f>
        <v>Confirmed</v>
      </c>
      <c r="W616" s="7">
        <f>IF(AND(V616&lt;&gt;"",NOT(EXACT(Raw_Bookings!K616,V616))),1,0)</f>
        <v>0</v>
      </c>
      <c r="X616" s="7">
        <f>IF(V616="",1,0)</f>
        <v>0</v>
      </c>
      <c r="Y616" s="7">
        <f>IF(TRIM(Raw_Bookings!L616&amp;"")="",1,0)</f>
        <v>0</v>
      </c>
      <c r="Z616" s="7">
        <f>IF(AND(ISTEXT(Raw_Bookings!L616),Y616=0),1,0)</f>
        <v>0</v>
      </c>
      <c r="AA616" s="7">
        <f>IF(Z616=1,IFERROR(VALUE(SUBSTITUTE(SUBSTITUTE(SUBSTITUTE(SUBSTITUTE(SUBSTITUTE(UPPER(Raw_Bookings!L616),"RS.",""),"₹",""),",","")," ",""),"INR","")),""),"")</f>
        <v/>
      </c>
      <c r="AB616" s="7">
        <f>IF(AND(Z616=1,ISNUMBER(AA616)),1,0)</f>
        <v>0</v>
      </c>
      <c r="AC616" s="7">
        <f>IF(B616=1,0,IF(NOT(ISNUMBER(Raw_Bookings!J616)),1,IF(Raw_Bookings!J616&lt;&gt;COUNTIFS(Work_Passengers!$B$2:$B$1336,Raw_Bookings!A616,Work_Passengers!$C$2:$C$1336,0),1,0)))</f>
        <v>0</v>
      </c>
    </row>
    <row r="617" spans="1:29">
      <c r="A617" s="7">
        <f>Raw_Bookings!A617</f>
        <v>1197007</v>
      </c>
      <c r="B617" s="7">
        <f>IF(COUNTIF(Raw_Bookings!$A$2:A617,Raw_Bookings!A617)&gt;1,1,0)</f>
        <v>0</v>
      </c>
      <c r="C617" s="7" t="str">
        <f>Raw_Bookings!D617&amp;""</f>
        <v>2026-08-04</v>
      </c>
      <c r="D617" s="7" t="str">
        <f>IF(AND(LEN(C617)=10,MID(C617,5,1)="-",MID(C617,8,1)="-"),"ISO",IF(AND(LEN(C617)=10,MID(C617,3,1)="-",MID(C617,6,1)="-"),"DMY","OTHER"))</f>
        <v>ISO</v>
      </c>
      <c r="E617" s="7">
        <f>IF(D617="ISO",VALUE(LEFT(C617,4)),IF(D617="DMY",VALUE(RIGHT(C617,4)),0))</f>
        <v>2026</v>
      </c>
      <c r="F617" s="7">
        <f>IF(D617="ISO",VALUE(MID(C617,6,2)),IF(D617="DMY",VALUE(MID(C617,4,2)),0))</f>
        <v>8</v>
      </c>
      <c r="G617" s="7">
        <f>IF(D617="ISO",VALUE(RIGHT(C617,2)),IF(D617="DMY",VALUE(LEFT(C617,2)),0))</f>
        <v>4</v>
      </c>
      <c r="H617" s="7">
        <f>IF(AND(D617&lt;&gt;"OTHER",F617&gt;=1,F617&lt;=12,G617&gt;=1,G617&lt;=31),IF(AND(MONTH(DATE(E617,F617,G617))=F617,DAY(DATE(E617,F617,G617))=G617),1,0),0)</f>
        <v>1</v>
      </c>
      <c r="I617" s="7">
        <f>IF(H617=1,DATE(E617,F617,G617),"")</f>
        <v>46238.0</v>
      </c>
      <c r="J617" s="7">
        <f>IF(AND(D617="DMY",H617=1),1,0)</f>
        <v>0</v>
      </c>
      <c r="K617" s="7">
        <f>IF(H617=0,1,0)</f>
        <v>0</v>
      </c>
      <c r="L617" s="7">
        <f>IF(TRIM(Raw_Bookings!I617&amp;"")="",1,0)</f>
        <v>0</v>
      </c>
      <c r="M617" s="7">
        <f>IF(L617=1,"",DATEVALUE(LEFT(Raw_Bookings!I617,10))+TIMEVALUE(MID(Raw_Bookings!I617,12,8)))</f>
        <v>46225.72318287037</v>
      </c>
      <c r="N617" s="7">
        <f>IF(AND(L617=0,H617=1),IF(INT(M617)&gt;I617,1,0),0)</f>
        <v>0</v>
      </c>
      <c r="O617" s="7" t="str">
        <f>UPPER(TRIM(Raw_Bookings!F617))</f>
        <v>IND</v>
      </c>
      <c r="P617" s="7" t="str">
        <f>UPPER(TRIM(Raw_Bookings!G617))</f>
        <v>AMR</v>
      </c>
      <c r="Q617" s="7">
        <f>IF(COUNTIF(Lookup_Stations!$A$2:$A$33,O617)&gt;0,1,0)</f>
        <v>1</v>
      </c>
      <c r="R617" s="7">
        <f>IF(COUNTIF(Lookup_Stations!$A$2:$A$33,P617)&gt;0,1,0)</f>
        <v>1</v>
      </c>
      <c r="S617" s="7">
        <f>IF(OR(AND(Q617=1,NOT(EXACT(Raw_Bookings!F617,O617))),AND(R617=1,NOT(EXACT(Raw_Bookings!G617,P617)))),1,0)</f>
        <v>0</v>
      </c>
      <c r="T617" s="7">
        <f>IF(OR(Q617=0,R617=0),1,0)</f>
        <v>0</v>
      </c>
      <c r="U617" s="7">
        <f>IF(TRIM(Raw_Bookings!E617&amp;"")="",1,0)</f>
        <v>0</v>
      </c>
      <c r="V617" s="7" t="str">
        <f>IF(SUMPRODUCT(--(Lookup_Status!$A$2:$A$13=LOWER(TRIM(Raw_Bookings!K617))))=0,"",INDEX(Lookup_Status!$B$2:$B$13,SUMPRODUCT((Lookup_Status!$A$2:$A$13=LOWER(TRIM(Raw_Bookings!K617)))*(ROW(Lookup_Status!$A$2:$A$13)-1))))</f>
        <v>Confirmed</v>
      </c>
      <c r="W617" s="7">
        <f>IF(AND(V617&lt;&gt;"",NOT(EXACT(Raw_Bookings!K617,V617))),1,0)</f>
        <v>0</v>
      </c>
      <c r="X617" s="7">
        <f>IF(V617="",1,0)</f>
        <v>0</v>
      </c>
      <c r="Y617" s="7">
        <f>IF(TRIM(Raw_Bookings!L617&amp;"")="",1,0)</f>
        <v>0</v>
      </c>
      <c r="Z617" s="7">
        <f>IF(AND(ISTEXT(Raw_Bookings!L617),Y617=0),1,0)</f>
        <v>0</v>
      </c>
      <c r="AA617" s="7">
        <f>IF(Z617=1,IFERROR(VALUE(SUBSTITUTE(SUBSTITUTE(SUBSTITUTE(SUBSTITUTE(SUBSTITUTE(UPPER(Raw_Bookings!L617),"RS.",""),"₹",""),",","")," ",""),"INR","")),""),"")</f>
        <v/>
      </c>
      <c r="AB617" s="7">
        <f>IF(AND(Z617=1,ISNUMBER(AA617)),1,0)</f>
        <v>0</v>
      </c>
      <c r="AC617" s="7">
        <f>IF(B617=1,0,IF(NOT(ISNUMBER(Raw_Bookings!J617)),1,IF(Raw_Bookings!J617&lt;&gt;COUNTIFS(Work_Passengers!$B$2:$B$1336,Raw_Bookings!A617,Work_Passengers!$C$2:$C$1336,0),1,0)))</f>
        <v>0</v>
      </c>
    </row>
    <row r="618" spans="1:29">
      <c r="A618" s="7">
        <f>Raw_Bookings!A618</f>
        <v>1197470</v>
      </c>
      <c r="B618" s="7">
        <f>IF(COUNTIF(Raw_Bookings!$A$2:A618,Raw_Bookings!A618)&gt;1,1,0)</f>
        <v>0</v>
      </c>
      <c r="C618" s="7" t="str">
        <f>Raw_Bookings!D618&amp;""</f>
        <v>2026-07-27</v>
      </c>
      <c r="D618" s="7" t="str">
        <f>IF(AND(LEN(C618)=10,MID(C618,5,1)="-",MID(C618,8,1)="-"),"ISO",IF(AND(LEN(C618)=10,MID(C618,3,1)="-",MID(C618,6,1)="-"),"DMY","OTHER"))</f>
        <v>ISO</v>
      </c>
      <c r="E618" s="7">
        <f>IF(D618="ISO",VALUE(LEFT(C618,4)),IF(D618="DMY",VALUE(RIGHT(C618,4)),0))</f>
        <v>2026</v>
      </c>
      <c r="F618" s="7">
        <f>IF(D618="ISO",VALUE(MID(C618,6,2)),IF(D618="DMY",VALUE(MID(C618,4,2)),0))</f>
        <v>7</v>
      </c>
      <c r="G618" s="7">
        <f>IF(D618="ISO",VALUE(RIGHT(C618,2)),IF(D618="DMY",VALUE(LEFT(C618,2)),0))</f>
        <v>27</v>
      </c>
      <c r="H618" s="7">
        <f>IF(AND(D618&lt;&gt;"OTHER",F618&gt;=1,F618&lt;=12,G618&gt;=1,G618&lt;=31),IF(AND(MONTH(DATE(E618,F618,G618))=F618,DAY(DATE(E618,F618,G618))=G618),1,0),0)</f>
        <v>1</v>
      </c>
      <c r="I618" s="7">
        <f>IF(H618=1,DATE(E618,F618,G618),"")</f>
        <v>46230.0</v>
      </c>
      <c r="J618" s="7">
        <f>IF(AND(D618="DMY",H618=1),1,0)</f>
        <v>0</v>
      </c>
      <c r="K618" s="7">
        <f>IF(H618=0,1,0)</f>
        <v>0</v>
      </c>
      <c r="L618" s="7">
        <f>IF(TRIM(Raw_Bookings!I618&amp;"")="",1,0)</f>
        <v>0</v>
      </c>
      <c r="M618" s="7">
        <f>IF(L618=1,"",DATEVALUE(LEFT(Raw_Bookings!I618,10))+TIMEVALUE(MID(Raw_Bookings!I618,12,8)))</f>
        <v>46228.35936342592</v>
      </c>
      <c r="N618" s="7">
        <f>IF(AND(L618=0,H618=1),IF(INT(M618)&gt;I618,1,0),0)</f>
        <v>0</v>
      </c>
      <c r="O618" s="7" t="str">
        <f>UPPER(TRIM(Raw_Bookings!F618))</f>
        <v>DEL</v>
      </c>
      <c r="P618" s="7" t="str">
        <f>UPPER(TRIM(Raw_Bookings!G618))</f>
        <v>MAU</v>
      </c>
      <c r="Q618" s="7">
        <f>IF(COUNTIF(Lookup_Stations!$A$2:$A$33,O618)&gt;0,1,0)</f>
        <v>1</v>
      </c>
      <c r="R618" s="7">
        <f>IF(COUNTIF(Lookup_Stations!$A$2:$A$33,P618)&gt;0,1,0)</f>
        <v>1</v>
      </c>
      <c r="S618" s="7">
        <f>IF(OR(AND(Q618=1,NOT(EXACT(Raw_Bookings!F618,O618))),AND(R618=1,NOT(EXACT(Raw_Bookings!G618,P618)))),1,0)</f>
        <v>0</v>
      </c>
      <c r="T618" s="7">
        <f>IF(OR(Q618=0,R618=0),1,0)</f>
        <v>0</v>
      </c>
      <c r="U618" s="7">
        <f>IF(TRIM(Raw_Bookings!E618&amp;"")="",1,0)</f>
        <v>0</v>
      </c>
      <c r="V618" s="7" t="str">
        <f>IF(SUMPRODUCT(--(Lookup_Status!$A$2:$A$13=LOWER(TRIM(Raw_Bookings!K618))))=0,"",INDEX(Lookup_Status!$B$2:$B$13,SUMPRODUCT((Lookup_Status!$A$2:$A$13=LOWER(TRIM(Raw_Bookings!K618)))*(ROW(Lookup_Status!$A$2:$A$13)-1))))</f>
        <v>Waitlisted</v>
      </c>
      <c r="W618" s="7">
        <f>IF(AND(V618&lt;&gt;"",NOT(EXACT(Raw_Bookings!K618,V618))),1,0)</f>
        <v>0</v>
      </c>
      <c r="X618" s="7">
        <f>IF(V618="",1,0)</f>
        <v>0</v>
      </c>
      <c r="Y618" s="7">
        <f>IF(TRIM(Raw_Bookings!L618&amp;"")="",1,0)</f>
        <v>0</v>
      </c>
      <c r="Z618" s="7">
        <f>IF(AND(ISTEXT(Raw_Bookings!L618),Y618=0),1,0)</f>
        <v>0</v>
      </c>
      <c r="AA618" s="7">
        <f>IF(Z618=1,IFERROR(VALUE(SUBSTITUTE(SUBSTITUTE(SUBSTITUTE(SUBSTITUTE(SUBSTITUTE(UPPER(Raw_Bookings!L618),"RS.",""),"₹",""),",","")," ",""),"INR","")),""),"")</f>
        <v/>
      </c>
      <c r="AB618" s="7">
        <f>IF(AND(Z618=1,ISNUMBER(AA618)),1,0)</f>
        <v>0</v>
      </c>
      <c r="AC618" s="7">
        <f>IF(B618=1,0,IF(NOT(ISNUMBER(Raw_Bookings!J618)),1,IF(Raw_Bookings!J618&lt;&gt;COUNTIFS(Work_Passengers!$B$2:$B$1336,Raw_Bookings!A618,Work_Passengers!$C$2:$C$1336,0),1,0)))</f>
        <v>0</v>
      </c>
    </row>
    <row r="619" spans="1:29">
      <c r="A619" s="7">
        <f>Raw_Bookings!A619</f>
        <v>1197742</v>
      </c>
      <c r="B619" s="7">
        <f>IF(COUNTIF(Raw_Bookings!$A$2:A619,Raw_Bookings!A619)&gt;1,1,0)</f>
        <v>0</v>
      </c>
      <c r="C619" s="7" t="str">
        <f>Raw_Bookings!D619&amp;""</f>
        <v>2026-07-31</v>
      </c>
      <c r="D619" s="7" t="str">
        <f>IF(AND(LEN(C619)=10,MID(C619,5,1)="-",MID(C619,8,1)="-"),"ISO",IF(AND(LEN(C619)=10,MID(C619,3,1)="-",MID(C619,6,1)="-"),"DMY","OTHER"))</f>
        <v>ISO</v>
      </c>
      <c r="E619" s="7">
        <f>IF(D619="ISO",VALUE(LEFT(C619,4)),IF(D619="DMY",VALUE(RIGHT(C619,4)),0))</f>
        <v>2026</v>
      </c>
      <c r="F619" s="7">
        <f>IF(D619="ISO",VALUE(MID(C619,6,2)),IF(D619="DMY",VALUE(MID(C619,4,2)),0))</f>
        <v>7</v>
      </c>
      <c r="G619" s="7">
        <f>IF(D619="ISO",VALUE(RIGHT(C619,2)),IF(D619="DMY",VALUE(LEFT(C619,2)),0))</f>
        <v>31</v>
      </c>
      <c r="H619" s="7">
        <f>IF(AND(D619&lt;&gt;"OTHER",F619&gt;=1,F619&lt;=12,G619&gt;=1,G619&lt;=31),IF(AND(MONTH(DATE(E619,F619,G619))=F619,DAY(DATE(E619,F619,G619))=G619),1,0),0)</f>
        <v>1</v>
      </c>
      <c r="I619" s="7">
        <f>IF(H619=1,DATE(E619,F619,G619),"")</f>
        <v>46234.0</v>
      </c>
      <c r="J619" s="7">
        <f>IF(AND(D619="DMY",H619=1),1,0)</f>
        <v>0</v>
      </c>
      <c r="K619" s="7">
        <f>IF(H619=0,1,0)</f>
        <v>0</v>
      </c>
      <c r="L619" s="7">
        <f>IF(TRIM(Raw_Bookings!I619&amp;"")="",1,0)</f>
        <v>0</v>
      </c>
      <c r="M619" s="7">
        <f>IF(L619=1,"",DATEVALUE(LEFT(Raw_Bookings!I619,10))+TIMEVALUE(MID(Raw_Bookings!I619,12,8)))</f>
        <v>46229.755208333336</v>
      </c>
      <c r="N619" s="7">
        <f>IF(AND(L619=0,H619=1),IF(INT(M619)&gt;I619,1,0),0)</f>
        <v>0</v>
      </c>
      <c r="O619" s="7" t="str">
        <f>UPPER(TRIM(Raw_Bookings!F619))</f>
        <v>RAN</v>
      </c>
      <c r="P619" s="7" t="str">
        <f>UPPER(TRIM(Raw_Bookings!G619))</f>
        <v>COI</v>
      </c>
      <c r="Q619" s="7">
        <f>IF(COUNTIF(Lookup_Stations!$A$2:$A$33,O619)&gt;0,1,0)</f>
        <v>1</v>
      </c>
      <c r="R619" s="7">
        <f>IF(COUNTIF(Lookup_Stations!$A$2:$A$33,P619)&gt;0,1,0)</f>
        <v>1</v>
      </c>
      <c r="S619" s="7">
        <f>IF(OR(AND(Q619=1,NOT(EXACT(Raw_Bookings!F619,O619))),AND(R619=1,NOT(EXACT(Raw_Bookings!G619,P619)))),1,0)</f>
        <v>0</v>
      </c>
      <c r="T619" s="7">
        <f>IF(OR(Q619=0,R619=0),1,0)</f>
        <v>0</v>
      </c>
      <c r="U619" s="7">
        <f>IF(TRIM(Raw_Bookings!E619&amp;"")="",1,0)</f>
        <v>0</v>
      </c>
      <c r="V619" s="7" t="str">
        <f>IF(SUMPRODUCT(--(Lookup_Status!$A$2:$A$13=LOWER(TRIM(Raw_Bookings!K619))))=0,"",INDEX(Lookup_Status!$B$2:$B$13,SUMPRODUCT((Lookup_Status!$A$2:$A$13=LOWER(TRIM(Raw_Bookings!K619)))*(ROW(Lookup_Status!$A$2:$A$13)-1))))</f>
        <v>Confirmed</v>
      </c>
      <c r="W619" s="7">
        <f>IF(AND(V619&lt;&gt;"",NOT(EXACT(Raw_Bookings!K619,V619))),1,0)</f>
        <v>0</v>
      </c>
      <c r="X619" s="7">
        <f>IF(V619="",1,0)</f>
        <v>0</v>
      </c>
      <c r="Y619" s="7">
        <f>IF(TRIM(Raw_Bookings!L619&amp;"")="",1,0)</f>
        <v>0</v>
      </c>
      <c r="Z619" s="7">
        <f>IF(AND(ISTEXT(Raw_Bookings!L619),Y619=0),1,0)</f>
        <v>0</v>
      </c>
      <c r="AA619" s="7">
        <f>IF(Z619=1,IFERROR(VALUE(SUBSTITUTE(SUBSTITUTE(SUBSTITUTE(SUBSTITUTE(SUBSTITUTE(UPPER(Raw_Bookings!L619),"RS.",""),"₹",""),",","")," ",""),"INR","")),""),"")</f>
        <v/>
      </c>
      <c r="AB619" s="7">
        <f>IF(AND(Z619=1,ISNUMBER(AA619)),1,0)</f>
        <v>0</v>
      </c>
      <c r="AC619" s="7">
        <f>IF(B619=1,0,IF(NOT(ISNUMBER(Raw_Bookings!J619)),1,IF(Raw_Bookings!J619&lt;&gt;COUNTIFS(Work_Passengers!$B$2:$B$1336,Raw_Bookings!A619,Work_Passengers!$C$2:$C$1336,0),1,0)))</f>
        <v>0</v>
      </c>
    </row>
    <row r="620" spans="1:29">
      <c r="A620" s="7">
        <f>Raw_Bookings!A620</f>
        <v>1197896</v>
      </c>
      <c r="B620" s="7">
        <f>IF(COUNTIF(Raw_Bookings!$A$2:A620,Raw_Bookings!A620)&gt;1,1,0)</f>
        <v>0</v>
      </c>
      <c r="C620" s="7" t="str">
        <f>Raw_Bookings!D620&amp;""</f>
        <v>2026-08-03</v>
      </c>
      <c r="D620" s="7" t="str">
        <f>IF(AND(LEN(C620)=10,MID(C620,5,1)="-",MID(C620,8,1)="-"),"ISO",IF(AND(LEN(C620)=10,MID(C620,3,1)="-",MID(C620,6,1)="-"),"DMY","OTHER"))</f>
        <v>ISO</v>
      </c>
      <c r="E620" s="7">
        <f>IF(D620="ISO",VALUE(LEFT(C620,4)),IF(D620="DMY",VALUE(RIGHT(C620,4)),0))</f>
        <v>2026</v>
      </c>
      <c r="F620" s="7">
        <f>IF(D620="ISO",VALUE(MID(C620,6,2)),IF(D620="DMY",VALUE(MID(C620,4,2)),0))</f>
        <v>8</v>
      </c>
      <c r="G620" s="7">
        <f>IF(D620="ISO",VALUE(RIGHT(C620,2)),IF(D620="DMY",VALUE(LEFT(C620,2)),0))</f>
        <v>3</v>
      </c>
      <c r="H620" s="7">
        <f>IF(AND(D620&lt;&gt;"OTHER",F620&gt;=1,F620&lt;=12,G620&gt;=1,G620&lt;=31),IF(AND(MONTH(DATE(E620,F620,G620))=F620,DAY(DATE(E620,F620,G620))=G620),1,0),0)</f>
        <v>1</v>
      </c>
      <c r="I620" s="7">
        <f>IF(H620=1,DATE(E620,F620,G620),"")</f>
        <v>46237.0</v>
      </c>
      <c r="J620" s="7">
        <f>IF(AND(D620="DMY",H620=1),1,0)</f>
        <v>0</v>
      </c>
      <c r="K620" s="7">
        <f>IF(H620=0,1,0)</f>
        <v>0</v>
      </c>
      <c r="L620" s="7">
        <f>IF(TRIM(Raw_Bookings!I620&amp;"")="",1,0)</f>
        <v>0</v>
      </c>
      <c r="M620" s="7">
        <f>IF(L620=1,"",DATEVALUE(LEFT(Raw_Bookings!I620,10))+TIMEVALUE(MID(Raw_Bookings!I620,12,8)))</f>
        <v>46230.482094907406</v>
      </c>
      <c r="N620" s="7">
        <f>IF(AND(L620=0,H620=1),IF(INT(M620)&gt;I620,1,0),0)</f>
        <v>0</v>
      </c>
      <c r="O620" s="7" t="str">
        <f>UPPER(TRIM(Raw_Bookings!F620))</f>
        <v>KOL</v>
      </c>
      <c r="P620" s="7" t="str">
        <f>UPPER(TRIM(Raw_Bookings!G620))</f>
        <v>HYD</v>
      </c>
      <c r="Q620" s="7">
        <f>IF(COUNTIF(Lookup_Stations!$A$2:$A$33,O620)&gt;0,1,0)</f>
        <v>1</v>
      </c>
      <c r="R620" s="7">
        <f>IF(COUNTIF(Lookup_Stations!$A$2:$A$33,P620)&gt;0,1,0)</f>
        <v>1</v>
      </c>
      <c r="S620" s="7">
        <f>IF(OR(AND(Q620=1,NOT(EXACT(Raw_Bookings!F620,O620))),AND(R620=1,NOT(EXACT(Raw_Bookings!G620,P620)))),1,0)</f>
        <v>0</v>
      </c>
      <c r="T620" s="7">
        <f>IF(OR(Q620=0,R620=0),1,0)</f>
        <v>0</v>
      </c>
      <c r="U620" s="7">
        <f>IF(TRIM(Raw_Bookings!E620&amp;"")="",1,0)</f>
        <v>0</v>
      </c>
      <c r="V620" s="7" t="str">
        <f>IF(SUMPRODUCT(--(Lookup_Status!$A$2:$A$13=LOWER(TRIM(Raw_Bookings!K620))))=0,"",INDEX(Lookup_Status!$B$2:$B$13,SUMPRODUCT((Lookup_Status!$A$2:$A$13=LOWER(TRIM(Raw_Bookings!K620)))*(ROW(Lookup_Status!$A$2:$A$13)-1))))</f>
        <v>Waitlisted</v>
      </c>
      <c r="W620" s="7">
        <f>IF(AND(V620&lt;&gt;"",NOT(EXACT(Raw_Bookings!K620,V620))),1,0)</f>
        <v>0</v>
      </c>
      <c r="X620" s="7">
        <f>IF(V620="",1,0)</f>
        <v>0</v>
      </c>
      <c r="Y620" s="7">
        <f>IF(TRIM(Raw_Bookings!L620&amp;"")="",1,0)</f>
        <v>0</v>
      </c>
      <c r="Z620" s="7">
        <f>IF(AND(ISTEXT(Raw_Bookings!L620),Y620=0),1,0)</f>
        <v>0</v>
      </c>
      <c r="AA620" s="7">
        <f>IF(Z620=1,IFERROR(VALUE(SUBSTITUTE(SUBSTITUTE(SUBSTITUTE(SUBSTITUTE(SUBSTITUTE(UPPER(Raw_Bookings!L620),"RS.",""),"₹",""),",","")," ",""),"INR","")),""),"")</f>
        <v/>
      </c>
      <c r="AB620" s="7">
        <f>IF(AND(Z620=1,ISNUMBER(AA620)),1,0)</f>
        <v>0</v>
      </c>
      <c r="AC620" s="7">
        <f>IF(B620=1,0,IF(NOT(ISNUMBER(Raw_Bookings!J620)),1,IF(Raw_Bookings!J620&lt;&gt;COUNTIFS(Work_Passengers!$B$2:$B$1336,Raw_Bookings!A620,Work_Passengers!$C$2:$C$1336,0),1,0)))</f>
        <v>0</v>
      </c>
    </row>
    <row r="621" spans="1:29">
      <c r="A621" s="7">
        <f>Raw_Bookings!A621</f>
        <v>1197993</v>
      </c>
      <c r="B621" s="7">
        <f>IF(COUNTIF(Raw_Bookings!$A$2:A621,Raw_Bookings!A621)&gt;1,1,0)</f>
        <v>0</v>
      </c>
      <c r="C621" s="7" t="str">
        <f>Raw_Bookings!D621&amp;""</f>
        <v>2026-07-28</v>
      </c>
      <c r="D621" s="7" t="str">
        <f>IF(AND(LEN(C621)=10,MID(C621,5,1)="-",MID(C621,8,1)="-"),"ISO",IF(AND(LEN(C621)=10,MID(C621,3,1)="-",MID(C621,6,1)="-"),"DMY","OTHER"))</f>
        <v>ISO</v>
      </c>
      <c r="E621" s="7">
        <f>IF(D621="ISO",VALUE(LEFT(C621,4)),IF(D621="DMY",VALUE(RIGHT(C621,4)),0))</f>
        <v>2026</v>
      </c>
      <c r="F621" s="7">
        <f>IF(D621="ISO",VALUE(MID(C621,6,2)),IF(D621="DMY",VALUE(MID(C621,4,2)),0))</f>
        <v>7</v>
      </c>
      <c r="G621" s="7">
        <f>IF(D621="ISO",VALUE(RIGHT(C621,2)),IF(D621="DMY",VALUE(LEFT(C621,2)),0))</f>
        <v>28</v>
      </c>
      <c r="H621" s="7">
        <f>IF(AND(D621&lt;&gt;"OTHER",F621&gt;=1,F621&lt;=12,G621&gt;=1,G621&lt;=31),IF(AND(MONTH(DATE(E621,F621,G621))=F621,DAY(DATE(E621,F621,G621))=G621),1,0),0)</f>
        <v>1</v>
      </c>
      <c r="I621" s="7">
        <f>IF(H621=1,DATE(E621,F621,G621),"")</f>
        <v>46231.0</v>
      </c>
      <c r="J621" s="7">
        <f>IF(AND(D621="DMY",H621=1),1,0)</f>
        <v>0</v>
      </c>
      <c r="K621" s="7">
        <f>IF(H621=0,1,0)</f>
        <v>0</v>
      </c>
      <c r="L621" s="7">
        <f>IF(TRIM(Raw_Bookings!I621&amp;"")="",1,0)</f>
        <v>0</v>
      </c>
      <c r="M621" s="7">
        <f>IF(L621=1,"",DATEVALUE(LEFT(Raw_Bookings!I621,10))+TIMEVALUE(MID(Raw_Bookings!I621,12,8)))</f>
        <v>46230.90206018519</v>
      </c>
      <c r="N621" s="7">
        <f>IF(AND(L621=0,H621=1),IF(INT(M621)&gt;I621,1,0),0)</f>
        <v>0</v>
      </c>
      <c r="O621" s="7" t="str">
        <f>UPPER(TRIM(Raw_Bookings!F621))</f>
        <v>BHU</v>
      </c>
      <c r="P621" s="7" t="str">
        <f>UPPER(TRIM(Raw_Bookings!G621))</f>
        <v>KOC</v>
      </c>
      <c r="Q621" s="7">
        <f>IF(COUNTIF(Lookup_Stations!$A$2:$A$33,O621)&gt;0,1,0)</f>
        <v>1</v>
      </c>
      <c r="R621" s="7">
        <f>IF(COUNTIF(Lookup_Stations!$A$2:$A$33,P621)&gt;0,1,0)</f>
        <v>1</v>
      </c>
      <c r="S621" s="7">
        <f>IF(OR(AND(Q621=1,NOT(EXACT(Raw_Bookings!F621,O621))),AND(R621=1,NOT(EXACT(Raw_Bookings!G621,P621)))),1,0)</f>
        <v>0</v>
      </c>
      <c r="T621" s="7">
        <f>IF(OR(Q621=0,R621=0),1,0)</f>
        <v>0</v>
      </c>
      <c r="U621" s="7">
        <f>IF(TRIM(Raw_Bookings!E621&amp;"")="",1,0)</f>
        <v>0</v>
      </c>
      <c r="V621" s="7" t="str">
        <f>IF(SUMPRODUCT(--(Lookup_Status!$A$2:$A$13=LOWER(TRIM(Raw_Bookings!K621))))=0,"",INDEX(Lookup_Status!$B$2:$B$13,SUMPRODUCT((Lookup_Status!$A$2:$A$13=LOWER(TRIM(Raw_Bookings!K621)))*(ROW(Lookup_Status!$A$2:$A$13)-1))))</f>
        <v>Confirmed</v>
      </c>
      <c r="W621" s="7">
        <f>IF(AND(V621&lt;&gt;"",NOT(EXACT(Raw_Bookings!K621,V621))),1,0)</f>
        <v>0</v>
      </c>
      <c r="X621" s="7">
        <f>IF(V621="",1,0)</f>
        <v>0</v>
      </c>
      <c r="Y621" s="7">
        <f>IF(TRIM(Raw_Bookings!L621&amp;"")="",1,0)</f>
        <v>0</v>
      </c>
      <c r="Z621" s="7">
        <f>IF(AND(ISTEXT(Raw_Bookings!L621),Y621=0),1,0)</f>
        <v>0</v>
      </c>
      <c r="AA621" s="7">
        <f>IF(Z621=1,IFERROR(VALUE(SUBSTITUTE(SUBSTITUTE(SUBSTITUTE(SUBSTITUTE(SUBSTITUTE(UPPER(Raw_Bookings!L621),"RS.",""),"₹",""),",","")," ",""),"INR","")),""),"")</f>
        <v/>
      </c>
      <c r="AB621" s="7">
        <f>IF(AND(Z621=1,ISNUMBER(AA621)),1,0)</f>
        <v>0</v>
      </c>
      <c r="AC621" s="7">
        <f>IF(B621=1,0,IF(NOT(ISNUMBER(Raw_Bookings!J621)),1,IF(Raw_Bookings!J621&lt;&gt;COUNTIFS(Work_Passengers!$B$2:$B$1336,Raw_Bookings!A621,Work_Passengers!$C$2:$C$1336,0),1,0)))</f>
        <v>0</v>
      </c>
    </row>
    <row r="622" spans="1:29">
      <c r="A622" s="7">
        <f>Raw_Bookings!A622</f>
        <v>1198119</v>
      </c>
      <c r="B622" s="7">
        <f>IF(COUNTIF(Raw_Bookings!$A$2:A622,Raw_Bookings!A622)&gt;1,1,0)</f>
        <v>0</v>
      </c>
      <c r="C622" s="7" t="str">
        <f>Raw_Bookings!D622&amp;""</f>
        <v>2026-08-03</v>
      </c>
      <c r="D622" s="7" t="str">
        <f>IF(AND(LEN(C622)=10,MID(C622,5,1)="-",MID(C622,8,1)="-"),"ISO",IF(AND(LEN(C622)=10,MID(C622,3,1)="-",MID(C622,6,1)="-"),"DMY","OTHER"))</f>
        <v>ISO</v>
      </c>
      <c r="E622" s="7">
        <f>IF(D622="ISO",VALUE(LEFT(C622,4)),IF(D622="DMY",VALUE(RIGHT(C622,4)),0))</f>
        <v>2026</v>
      </c>
      <c r="F622" s="7">
        <f>IF(D622="ISO",VALUE(MID(C622,6,2)),IF(D622="DMY",VALUE(MID(C622,4,2)),0))</f>
        <v>8</v>
      </c>
      <c r="G622" s="7">
        <f>IF(D622="ISO",VALUE(RIGHT(C622,2)),IF(D622="DMY",VALUE(LEFT(C622,2)),0))</f>
        <v>3</v>
      </c>
      <c r="H622" s="7">
        <f>IF(AND(D622&lt;&gt;"OTHER",F622&gt;=1,F622&lt;=12,G622&gt;=1,G622&lt;=31),IF(AND(MONTH(DATE(E622,F622,G622))=F622,DAY(DATE(E622,F622,G622))=G622),1,0),0)</f>
        <v>1</v>
      </c>
      <c r="I622" s="7">
        <f>IF(H622=1,DATE(E622,F622,G622),"")</f>
        <v>46237.0</v>
      </c>
      <c r="J622" s="7">
        <f>IF(AND(D622="DMY",H622=1),1,0)</f>
        <v>0</v>
      </c>
      <c r="K622" s="7">
        <f>IF(H622=0,1,0)</f>
        <v>0</v>
      </c>
      <c r="L622" s="7">
        <f>IF(TRIM(Raw_Bookings!I622&amp;"")="",1,0)</f>
        <v>0</v>
      </c>
      <c r="M622" s="7">
        <f>IF(L622=1,"",DATEVALUE(LEFT(Raw_Bookings!I622,10))+TIMEVALUE(MID(Raw_Bookings!I622,12,8)))</f>
        <v>46231.794016203705</v>
      </c>
      <c r="N622" s="7">
        <f>IF(AND(L622=0,H622=1),IF(INT(M622)&gt;I622,1,0),0)</f>
        <v>0</v>
      </c>
      <c r="O622" s="7" t="str">
        <f>UPPER(TRIM(Raw_Bookings!F622))</f>
        <v>KOL</v>
      </c>
      <c r="P622" s="7" t="str">
        <f>UPPER(TRIM(Raw_Bookings!G622))</f>
        <v>HYD</v>
      </c>
      <c r="Q622" s="7">
        <f>IF(COUNTIF(Lookup_Stations!$A$2:$A$33,O622)&gt;0,1,0)</f>
        <v>1</v>
      </c>
      <c r="R622" s="7">
        <f>IF(COUNTIF(Lookup_Stations!$A$2:$A$33,P622)&gt;0,1,0)</f>
        <v>1</v>
      </c>
      <c r="S622" s="7">
        <f>IF(OR(AND(Q622=1,NOT(EXACT(Raw_Bookings!F622,O622))),AND(R622=1,NOT(EXACT(Raw_Bookings!G622,P622)))),1,0)</f>
        <v>0</v>
      </c>
      <c r="T622" s="7">
        <f>IF(OR(Q622=0,R622=0),1,0)</f>
        <v>0</v>
      </c>
      <c r="U622" s="7">
        <f>IF(TRIM(Raw_Bookings!E622&amp;"")="",1,0)</f>
        <v>0</v>
      </c>
      <c r="V622" s="7" t="str">
        <f>IF(SUMPRODUCT(--(Lookup_Status!$A$2:$A$13=LOWER(TRIM(Raw_Bookings!K622))))=0,"",INDEX(Lookup_Status!$B$2:$B$13,SUMPRODUCT((Lookup_Status!$A$2:$A$13=LOWER(TRIM(Raw_Bookings!K622)))*(ROW(Lookup_Status!$A$2:$A$13)-1))))</f>
        <v>Confirmed</v>
      </c>
      <c r="W622" s="7">
        <f>IF(AND(V622&lt;&gt;"",NOT(EXACT(Raw_Bookings!K622,V622))),1,0)</f>
        <v>0</v>
      </c>
      <c r="X622" s="7">
        <f>IF(V622="",1,0)</f>
        <v>0</v>
      </c>
      <c r="Y622" s="7">
        <f>IF(TRIM(Raw_Bookings!L622&amp;"")="",1,0)</f>
        <v>0</v>
      </c>
      <c r="Z622" s="7">
        <f>IF(AND(ISTEXT(Raw_Bookings!L622),Y622=0),1,0)</f>
        <v>0</v>
      </c>
      <c r="AA622" s="7">
        <f>IF(Z622=1,IFERROR(VALUE(SUBSTITUTE(SUBSTITUTE(SUBSTITUTE(SUBSTITUTE(SUBSTITUTE(UPPER(Raw_Bookings!L622),"RS.",""),"₹",""),",","")," ",""),"INR","")),""),"")</f>
        <v/>
      </c>
      <c r="AB622" s="7">
        <f>IF(AND(Z622=1,ISNUMBER(AA622)),1,0)</f>
        <v>0</v>
      </c>
      <c r="AC622" s="7">
        <f>IF(B622=1,0,IF(NOT(ISNUMBER(Raw_Bookings!J622)),1,IF(Raw_Bookings!J622&lt;&gt;COUNTIFS(Work_Passengers!$B$2:$B$1336,Raw_Bookings!A622,Work_Passengers!$C$2:$C$1336,0),1,0)))</f>
        <v>0</v>
      </c>
    </row>
    <row r="623" spans="1:29">
      <c r="A623" s="7">
        <f>Raw_Bookings!A623</f>
        <v>1198169</v>
      </c>
      <c r="B623" s="7">
        <f>IF(COUNTIF(Raw_Bookings!$A$2:A623,Raw_Bookings!A623)&gt;1,1,0)</f>
        <v>0</v>
      </c>
      <c r="C623" s="7" t="str">
        <f>Raw_Bookings!D623&amp;""</f>
        <v>2026-08-19</v>
      </c>
      <c r="D623" s="7" t="str">
        <f>IF(AND(LEN(C623)=10,MID(C623,5,1)="-",MID(C623,8,1)="-"),"ISO",IF(AND(LEN(C623)=10,MID(C623,3,1)="-",MID(C623,6,1)="-"),"DMY","OTHER"))</f>
        <v>ISO</v>
      </c>
      <c r="E623" s="7">
        <f>IF(D623="ISO",VALUE(LEFT(C623,4)),IF(D623="DMY",VALUE(RIGHT(C623,4)),0))</f>
        <v>2026</v>
      </c>
      <c r="F623" s="7">
        <f>IF(D623="ISO",VALUE(MID(C623,6,2)),IF(D623="DMY",VALUE(MID(C623,4,2)),0))</f>
        <v>8</v>
      </c>
      <c r="G623" s="7">
        <f>IF(D623="ISO",VALUE(RIGHT(C623,2)),IF(D623="DMY",VALUE(LEFT(C623,2)),0))</f>
        <v>19</v>
      </c>
      <c r="H623" s="7">
        <f>IF(AND(D623&lt;&gt;"OTHER",F623&gt;=1,F623&lt;=12,G623&gt;=1,G623&lt;=31),IF(AND(MONTH(DATE(E623,F623,G623))=F623,DAY(DATE(E623,F623,G623))=G623),1,0),0)</f>
        <v>1</v>
      </c>
      <c r="I623" s="7">
        <f>IF(H623=1,DATE(E623,F623,G623),"")</f>
        <v>46253.0</v>
      </c>
      <c r="J623" s="7">
        <f>IF(AND(D623="DMY",H623=1),1,0)</f>
        <v>0</v>
      </c>
      <c r="K623" s="7">
        <f>IF(H623=0,1,0)</f>
        <v>0</v>
      </c>
      <c r="L623" s="7">
        <f>IF(TRIM(Raw_Bookings!I623&amp;"")="",1,0)</f>
        <v>0</v>
      </c>
      <c r="M623" s="7">
        <f>IF(L623=1,"",DATEVALUE(LEFT(Raw_Bookings!I623,10))+TIMEVALUE(MID(Raw_Bookings!I623,12,8)))</f>
        <v>46232.24392361111</v>
      </c>
      <c r="N623" s="7">
        <f>IF(AND(L623=0,H623=1),IF(INT(M623)&gt;I623,1,0),0)</f>
        <v>0</v>
      </c>
      <c r="O623" s="7" t="str">
        <f>UPPER(TRIM(Raw_Bookings!F623))</f>
        <v>LUC</v>
      </c>
      <c r="P623" s="7" t="str">
        <f>UPPER(TRIM(Raw_Bookings!G623))</f>
        <v>MUM</v>
      </c>
      <c r="Q623" s="7">
        <f>IF(COUNTIF(Lookup_Stations!$A$2:$A$33,O623)&gt;0,1,0)</f>
        <v>1</v>
      </c>
      <c r="R623" s="7">
        <f>IF(COUNTIF(Lookup_Stations!$A$2:$A$33,P623)&gt;0,1,0)</f>
        <v>1</v>
      </c>
      <c r="S623" s="7">
        <f>IF(OR(AND(Q623=1,NOT(EXACT(Raw_Bookings!F623,O623))),AND(R623=1,NOT(EXACT(Raw_Bookings!G623,P623)))),1,0)</f>
        <v>0</v>
      </c>
      <c r="T623" s="7">
        <f>IF(OR(Q623=0,R623=0),1,0)</f>
        <v>0</v>
      </c>
      <c r="U623" s="7">
        <f>IF(TRIM(Raw_Bookings!E623&amp;"")="",1,0)</f>
        <v>0</v>
      </c>
      <c r="V623" s="7" t="str">
        <f>IF(SUMPRODUCT(--(Lookup_Status!$A$2:$A$13=LOWER(TRIM(Raw_Bookings!K623))))=0,"",INDEX(Lookup_Status!$B$2:$B$13,SUMPRODUCT((Lookup_Status!$A$2:$A$13=LOWER(TRIM(Raw_Bookings!K623)))*(ROW(Lookup_Status!$A$2:$A$13)-1))))</f>
        <v>Confirmed</v>
      </c>
      <c r="W623" s="7">
        <f>IF(AND(V623&lt;&gt;"",NOT(EXACT(Raw_Bookings!K623,V623))),1,0)</f>
        <v>0</v>
      </c>
      <c r="X623" s="7">
        <f>IF(V623="",1,0)</f>
        <v>0</v>
      </c>
      <c r="Y623" s="7">
        <f>IF(TRIM(Raw_Bookings!L623&amp;"")="",1,0)</f>
        <v>0</v>
      </c>
      <c r="Z623" s="7">
        <f>IF(AND(ISTEXT(Raw_Bookings!L623),Y623=0),1,0)</f>
        <v>0</v>
      </c>
      <c r="AA623" s="7">
        <f>IF(Z623=1,IFERROR(VALUE(SUBSTITUTE(SUBSTITUTE(SUBSTITUTE(SUBSTITUTE(SUBSTITUTE(UPPER(Raw_Bookings!L623),"RS.",""),"₹",""),",","")," ",""),"INR","")),""),"")</f>
        <v/>
      </c>
      <c r="AB623" s="7">
        <f>IF(AND(Z623=1,ISNUMBER(AA623)),1,0)</f>
        <v>0</v>
      </c>
      <c r="AC623" s="7">
        <f>IF(B623=1,0,IF(NOT(ISNUMBER(Raw_Bookings!J623)),1,IF(Raw_Bookings!J623&lt;&gt;COUNTIFS(Work_Passengers!$B$2:$B$1336,Raw_Bookings!A623,Work_Passengers!$C$2:$C$1336,0),1,0)))</f>
        <v>0</v>
      </c>
    </row>
    <row r="624" spans="1:29">
      <c r="A624" s="7">
        <f>Raw_Bookings!A624</f>
        <v>1198822</v>
      </c>
      <c r="B624" s="7">
        <f>IF(COUNTIF(Raw_Bookings!$A$2:A624,Raw_Bookings!A624)&gt;1,1,0)</f>
        <v>0</v>
      </c>
      <c r="C624" s="7" t="str">
        <f>Raw_Bookings!D624&amp;""</f>
        <v>2026-08-29</v>
      </c>
      <c r="D624" s="7" t="str">
        <f>IF(AND(LEN(C624)=10,MID(C624,5,1)="-",MID(C624,8,1)="-"),"ISO",IF(AND(LEN(C624)=10,MID(C624,3,1)="-",MID(C624,6,1)="-"),"DMY","OTHER"))</f>
        <v>ISO</v>
      </c>
      <c r="E624" s="7">
        <f>IF(D624="ISO",VALUE(LEFT(C624,4)),IF(D624="DMY",VALUE(RIGHT(C624,4)),0))</f>
        <v>2026</v>
      </c>
      <c r="F624" s="7">
        <f>IF(D624="ISO",VALUE(MID(C624,6,2)),IF(D624="DMY",VALUE(MID(C624,4,2)),0))</f>
        <v>8</v>
      </c>
      <c r="G624" s="7">
        <f>IF(D624="ISO",VALUE(RIGHT(C624,2)),IF(D624="DMY",VALUE(LEFT(C624,2)),0))</f>
        <v>29</v>
      </c>
      <c r="H624" s="7">
        <f>IF(AND(D624&lt;&gt;"OTHER",F624&gt;=1,F624&lt;=12,G624&gt;=1,G624&lt;=31),IF(AND(MONTH(DATE(E624,F624,G624))=F624,DAY(DATE(E624,F624,G624))=G624),1,0),0)</f>
        <v>1</v>
      </c>
      <c r="I624" s="7">
        <f>IF(H624=1,DATE(E624,F624,G624),"")</f>
        <v>46263.0</v>
      </c>
      <c r="J624" s="7">
        <f>IF(AND(D624="DMY",H624=1),1,0)</f>
        <v>0</v>
      </c>
      <c r="K624" s="7">
        <f>IF(H624=0,1,0)</f>
        <v>0</v>
      </c>
      <c r="L624" s="7">
        <f>IF(TRIM(Raw_Bookings!I624&amp;"")="",1,0)</f>
        <v>0</v>
      </c>
      <c r="M624" s="7">
        <f>IF(L624=1,"",DATEVALUE(LEFT(Raw_Bookings!I624,10))+TIMEVALUE(MID(Raw_Bookings!I624,12,8)))</f>
        <v>46235.94217592593</v>
      </c>
      <c r="N624" s="7">
        <f>IF(AND(L624=0,H624=1),IF(INT(M624)&gt;I624,1,0),0)</f>
        <v>0</v>
      </c>
      <c r="O624" s="7" t="str">
        <f>UPPER(TRIM(Raw_Bookings!F624))</f>
        <v>KOL</v>
      </c>
      <c r="P624" s="7" t="str">
        <f>UPPER(TRIM(Raw_Bookings!G624))</f>
        <v>HYD</v>
      </c>
      <c r="Q624" s="7">
        <f>IF(COUNTIF(Lookup_Stations!$A$2:$A$33,O624)&gt;0,1,0)</f>
        <v>1</v>
      </c>
      <c r="R624" s="7">
        <f>IF(COUNTIF(Lookup_Stations!$A$2:$A$33,P624)&gt;0,1,0)</f>
        <v>1</v>
      </c>
      <c r="S624" s="7">
        <f>IF(OR(AND(Q624=1,NOT(EXACT(Raw_Bookings!F624,O624))),AND(R624=1,NOT(EXACT(Raw_Bookings!G624,P624)))),1,0)</f>
        <v>0</v>
      </c>
      <c r="T624" s="7">
        <f>IF(OR(Q624=0,R624=0),1,0)</f>
        <v>0</v>
      </c>
      <c r="U624" s="7">
        <f>IF(TRIM(Raw_Bookings!E624&amp;"")="",1,0)</f>
        <v>0</v>
      </c>
      <c r="V624" s="7" t="str">
        <f>IF(SUMPRODUCT(--(Lookup_Status!$A$2:$A$13=LOWER(TRIM(Raw_Bookings!K624))))=0,"",INDEX(Lookup_Status!$B$2:$B$13,SUMPRODUCT((Lookup_Status!$A$2:$A$13=LOWER(TRIM(Raw_Bookings!K624)))*(ROW(Lookup_Status!$A$2:$A$13)-1))))</f>
        <v>Confirmed</v>
      </c>
      <c r="W624" s="7">
        <f>IF(AND(V624&lt;&gt;"",NOT(EXACT(Raw_Bookings!K624,V624))),1,0)</f>
        <v>0</v>
      </c>
      <c r="X624" s="7">
        <f>IF(V624="",1,0)</f>
        <v>0</v>
      </c>
      <c r="Y624" s="7">
        <f>IF(TRIM(Raw_Bookings!L624&amp;"")="",1,0)</f>
        <v>0</v>
      </c>
      <c r="Z624" s="7">
        <f>IF(AND(ISTEXT(Raw_Bookings!L624),Y624=0),1,0)</f>
        <v>0</v>
      </c>
      <c r="AA624" s="7">
        <f>IF(Z624=1,IFERROR(VALUE(SUBSTITUTE(SUBSTITUTE(SUBSTITUTE(SUBSTITUTE(SUBSTITUTE(UPPER(Raw_Bookings!L624),"RS.",""),"₹",""),",","")," ",""),"INR","")),""),"")</f>
        <v/>
      </c>
      <c r="AB624" s="7">
        <f>IF(AND(Z624=1,ISNUMBER(AA624)),1,0)</f>
        <v>0</v>
      </c>
      <c r="AC624" s="7">
        <f>IF(B624=1,0,IF(NOT(ISNUMBER(Raw_Bookings!J624)),1,IF(Raw_Bookings!J624&lt;&gt;COUNTIFS(Work_Passengers!$B$2:$B$1336,Raw_Bookings!A624,Work_Passengers!$C$2:$C$1336,0),1,0)))</f>
        <v>0</v>
      </c>
    </row>
    <row r="625" spans="1:29">
      <c r="A625" s="7">
        <f>Raw_Bookings!A625</f>
        <v>1199119</v>
      </c>
      <c r="B625" s="7">
        <f>IF(COUNTIF(Raw_Bookings!$A$2:A625,Raw_Bookings!A625)&gt;1,1,0)</f>
        <v>0</v>
      </c>
      <c r="C625" s="7" t="str">
        <f>Raw_Bookings!D625&amp;""</f>
        <v>2026-08-09</v>
      </c>
      <c r="D625" s="7" t="str">
        <f>IF(AND(LEN(C625)=10,MID(C625,5,1)="-",MID(C625,8,1)="-"),"ISO",IF(AND(LEN(C625)=10,MID(C625,3,1)="-",MID(C625,6,1)="-"),"DMY","OTHER"))</f>
        <v>ISO</v>
      </c>
      <c r="E625" s="7">
        <f>IF(D625="ISO",VALUE(LEFT(C625,4)),IF(D625="DMY",VALUE(RIGHT(C625,4)),0))</f>
        <v>2026</v>
      </c>
      <c r="F625" s="7">
        <f>IF(D625="ISO",VALUE(MID(C625,6,2)),IF(D625="DMY",VALUE(MID(C625,4,2)),0))</f>
        <v>8</v>
      </c>
      <c r="G625" s="7">
        <f>IF(D625="ISO",VALUE(RIGHT(C625,2)),IF(D625="DMY",VALUE(LEFT(C625,2)),0))</f>
        <v>9</v>
      </c>
      <c r="H625" s="7">
        <f>IF(AND(D625&lt;&gt;"OTHER",F625&gt;=1,F625&lt;=12,G625&gt;=1,G625&lt;=31),IF(AND(MONTH(DATE(E625,F625,G625))=F625,DAY(DATE(E625,F625,G625))=G625),1,0),0)</f>
        <v>1</v>
      </c>
      <c r="I625" s="7">
        <f>IF(H625=1,DATE(E625,F625,G625),"")</f>
        <v>46243.0</v>
      </c>
      <c r="J625" s="7">
        <f>IF(AND(D625="DMY",H625=1),1,0)</f>
        <v>0</v>
      </c>
      <c r="K625" s="7">
        <f>IF(H625=0,1,0)</f>
        <v>0</v>
      </c>
      <c r="L625" s="7">
        <f>IF(TRIM(Raw_Bookings!I625&amp;"")="",1,0)</f>
        <v>0</v>
      </c>
      <c r="M625" s="7">
        <f>IF(L625=1,"",DATEVALUE(LEFT(Raw_Bookings!I625,10))+TIMEVALUE(MID(Raw_Bookings!I625,12,8)))</f>
        <v>46237.733761574076</v>
      </c>
      <c r="N625" s="7">
        <f>IF(AND(L625=0,H625=1),IF(INT(M625)&gt;I625,1,0),0)</f>
        <v>0</v>
      </c>
      <c r="O625" s="7" t="str">
        <f>UPPER(TRIM(Raw_Bookings!F625))</f>
        <v>DEL</v>
      </c>
      <c r="P625" s="7" t="str">
        <f>UPPER(TRIM(Raw_Bookings!G625))</f>
        <v>MAU</v>
      </c>
      <c r="Q625" s="7">
        <f>IF(COUNTIF(Lookup_Stations!$A$2:$A$33,O625)&gt;0,1,0)</f>
        <v>1</v>
      </c>
      <c r="R625" s="7">
        <f>IF(COUNTIF(Lookup_Stations!$A$2:$A$33,P625)&gt;0,1,0)</f>
        <v>1</v>
      </c>
      <c r="S625" s="7">
        <f>IF(OR(AND(Q625=1,NOT(EXACT(Raw_Bookings!F625,O625))),AND(R625=1,NOT(EXACT(Raw_Bookings!G625,P625)))),1,0)</f>
        <v>0</v>
      </c>
      <c r="T625" s="7">
        <f>IF(OR(Q625=0,R625=0),1,0)</f>
        <v>0</v>
      </c>
      <c r="U625" s="7">
        <f>IF(TRIM(Raw_Bookings!E625&amp;"")="",1,0)</f>
        <v>0</v>
      </c>
      <c r="V625" s="7" t="str">
        <f>IF(SUMPRODUCT(--(Lookup_Status!$A$2:$A$13=LOWER(TRIM(Raw_Bookings!K625))))=0,"",INDEX(Lookup_Status!$B$2:$B$13,SUMPRODUCT((Lookup_Status!$A$2:$A$13=LOWER(TRIM(Raw_Bookings!K625)))*(ROW(Lookup_Status!$A$2:$A$13)-1))))</f>
        <v>Waitlisted</v>
      </c>
      <c r="W625" s="7">
        <f>IF(AND(V625&lt;&gt;"",NOT(EXACT(Raw_Bookings!K625,V625))),1,0)</f>
        <v>0</v>
      </c>
      <c r="X625" s="7">
        <f>IF(V625="",1,0)</f>
        <v>0</v>
      </c>
      <c r="Y625" s="7">
        <f>IF(TRIM(Raw_Bookings!L625&amp;"")="",1,0)</f>
        <v>0</v>
      </c>
      <c r="Z625" s="7">
        <f>IF(AND(ISTEXT(Raw_Bookings!L625),Y625=0),1,0)</f>
        <v>0</v>
      </c>
      <c r="AA625" s="7">
        <f>IF(Z625=1,IFERROR(VALUE(SUBSTITUTE(SUBSTITUTE(SUBSTITUTE(SUBSTITUTE(SUBSTITUTE(UPPER(Raw_Bookings!L625),"RS.",""),"₹",""),",","")," ",""),"INR","")),""),"")</f>
        <v/>
      </c>
      <c r="AB625" s="7">
        <f>IF(AND(Z625=1,ISNUMBER(AA625)),1,0)</f>
        <v>0</v>
      </c>
      <c r="AC625" s="7">
        <f>IF(B625=1,0,IF(NOT(ISNUMBER(Raw_Bookings!J625)),1,IF(Raw_Bookings!J625&lt;&gt;COUNTIFS(Work_Passengers!$B$2:$B$1336,Raw_Bookings!A625,Work_Passengers!$C$2:$C$1336,0),1,0)))</f>
        <v>0</v>
      </c>
    </row>
    <row r="626" spans="1:29">
      <c r="A626" s="7">
        <f>Raw_Bookings!A626</f>
        <v>1199281</v>
      </c>
      <c r="B626" s="7">
        <f>IF(COUNTIF(Raw_Bookings!$A$2:A626,Raw_Bookings!A626)&gt;1,1,0)</f>
        <v>0</v>
      </c>
      <c r="C626" s="7" t="str">
        <f>Raw_Bookings!D626&amp;""</f>
        <v>2026-08-11</v>
      </c>
      <c r="D626" s="7" t="str">
        <f>IF(AND(LEN(C626)=10,MID(C626,5,1)="-",MID(C626,8,1)="-"),"ISO",IF(AND(LEN(C626)=10,MID(C626,3,1)="-",MID(C626,6,1)="-"),"DMY","OTHER"))</f>
        <v>ISO</v>
      </c>
      <c r="E626" s="7">
        <f>IF(D626="ISO",VALUE(LEFT(C626,4)),IF(D626="DMY",VALUE(RIGHT(C626,4)),0))</f>
        <v>2026</v>
      </c>
      <c r="F626" s="7">
        <f>IF(D626="ISO",VALUE(MID(C626,6,2)),IF(D626="DMY",VALUE(MID(C626,4,2)),0))</f>
        <v>8</v>
      </c>
      <c r="G626" s="7">
        <f>IF(D626="ISO",VALUE(RIGHT(C626,2)),IF(D626="DMY",VALUE(LEFT(C626,2)),0))</f>
        <v>11</v>
      </c>
      <c r="H626" s="7">
        <f>IF(AND(D626&lt;&gt;"OTHER",F626&gt;=1,F626&lt;=12,G626&gt;=1,G626&lt;=31),IF(AND(MONTH(DATE(E626,F626,G626))=F626,DAY(DATE(E626,F626,G626))=G626),1,0),0)</f>
        <v>1</v>
      </c>
      <c r="I626" s="7">
        <f>IF(H626=1,DATE(E626,F626,G626),"")</f>
        <v>46245.0</v>
      </c>
      <c r="J626" s="7">
        <f>IF(AND(D626="DMY",H626=1),1,0)</f>
        <v>0</v>
      </c>
      <c r="K626" s="7">
        <f>IF(H626=0,1,0)</f>
        <v>0</v>
      </c>
      <c r="L626" s="7">
        <f>IF(TRIM(Raw_Bookings!I626&amp;"")="",1,0)</f>
        <v>0</v>
      </c>
      <c r="M626" s="7">
        <f>IF(L626=1,"",DATEVALUE(LEFT(Raw_Bookings!I626,10))+TIMEVALUE(MID(Raw_Bookings!I626,12,8)))</f>
        <v>46238.70795138889</v>
      </c>
      <c r="N626" s="7">
        <f>IF(AND(L626=0,H626=1),IF(INT(M626)&gt;I626,1,0),0)</f>
        <v>0</v>
      </c>
      <c r="O626" s="7" t="str">
        <f>UPPER(TRIM(Raw_Bookings!F626))</f>
        <v>BHO</v>
      </c>
      <c r="P626" s="7" t="str">
        <f>UPPER(TRIM(Raw_Bookings!G626))</f>
        <v>JAI</v>
      </c>
      <c r="Q626" s="7">
        <f>IF(COUNTIF(Lookup_Stations!$A$2:$A$33,O626)&gt;0,1,0)</f>
        <v>1</v>
      </c>
      <c r="R626" s="7">
        <f>IF(COUNTIF(Lookup_Stations!$A$2:$A$33,P626)&gt;0,1,0)</f>
        <v>1</v>
      </c>
      <c r="S626" s="7">
        <f>IF(OR(AND(Q626=1,NOT(EXACT(Raw_Bookings!F626,O626))),AND(R626=1,NOT(EXACT(Raw_Bookings!G626,P626)))),1,0)</f>
        <v>0</v>
      </c>
      <c r="T626" s="7">
        <f>IF(OR(Q626=0,R626=0),1,0)</f>
        <v>0</v>
      </c>
      <c r="U626" s="7">
        <f>IF(TRIM(Raw_Bookings!E626&amp;"")="",1,0)</f>
        <v>0</v>
      </c>
      <c r="V626" s="7" t="str">
        <f>IF(SUMPRODUCT(--(Lookup_Status!$A$2:$A$13=LOWER(TRIM(Raw_Bookings!K626))))=0,"",INDEX(Lookup_Status!$B$2:$B$13,SUMPRODUCT((Lookup_Status!$A$2:$A$13=LOWER(TRIM(Raw_Bookings!K626)))*(ROW(Lookup_Status!$A$2:$A$13)-1))))</f>
        <v>Confirmed</v>
      </c>
      <c r="W626" s="7">
        <f>IF(AND(V626&lt;&gt;"",NOT(EXACT(Raw_Bookings!K626,V626))),1,0)</f>
        <v>0</v>
      </c>
      <c r="X626" s="7">
        <f>IF(V626="",1,0)</f>
        <v>0</v>
      </c>
      <c r="Y626" s="7">
        <f>IF(TRIM(Raw_Bookings!L626&amp;"")="",1,0)</f>
        <v>0</v>
      </c>
      <c r="Z626" s="7">
        <f>IF(AND(ISTEXT(Raw_Bookings!L626),Y626=0),1,0)</f>
        <v>0</v>
      </c>
      <c r="AA626" s="7">
        <f>IF(Z626=1,IFERROR(VALUE(SUBSTITUTE(SUBSTITUTE(SUBSTITUTE(SUBSTITUTE(SUBSTITUTE(UPPER(Raw_Bookings!L626),"RS.",""),"₹",""),",","")," ",""),"INR","")),""),"")</f>
        <v/>
      </c>
      <c r="AB626" s="7">
        <f>IF(AND(Z626=1,ISNUMBER(AA626)),1,0)</f>
        <v>0</v>
      </c>
      <c r="AC626" s="7">
        <f>IF(B626=1,0,IF(NOT(ISNUMBER(Raw_Bookings!J626)),1,IF(Raw_Bookings!J626&lt;&gt;COUNTIFS(Work_Passengers!$B$2:$B$1336,Raw_Bookings!A626,Work_Passengers!$C$2:$C$1336,0),1,0)))</f>
        <v>0</v>
      </c>
    </row>
    <row r="627" spans="1:29">
      <c r="A627" s="7">
        <f>Raw_Bookings!A627</f>
        <v>1199549</v>
      </c>
      <c r="B627" s="7">
        <f>IF(COUNTIF(Raw_Bookings!$A$2:A627,Raw_Bookings!A627)&gt;1,1,0)</f>
        <v>0</v>
      </c>
      <c r="C627" s="7" t="str">
        <f>Raw_Bookings!D627&amp;""</f>
        <v>2026-08-17</v>
      </c>
      <c r="D627" s="7" t="str">
        <f>IF(AND(LEN(C627)=10,MID(C627,5,1)="-",MID(C627,8,1)="-"),"ISO",IF(AND(LEN(C627)=10,MID(C627,3,1)="-",MID(C627,6,1)="-"),"DMY","OTHER"))</f>
        <v>ISO</v>
      </c>
      <c r="E627" s="7">
        <f>IF(D627="ISO",VALUE(LEFT(C627,4)),IF(D627="DMY",VALUE(RIGHT(C627,4)),0))</f>
        <v>2026</v>
      </c>
      <c r="F627" s="7">
        <f>IF(D627="ISO",VALUE(MID(C627,6,2)),IF(D627="DMY",VALUE(MID(C627,4,2)),0))</f>
        <v>8</v>
      </c>
      <c r="G627" s="7">
        <f>IF(D627="ISO",VALUE(RIGHT(C627,2)),IF(D627="DMY",VALUE(LEFT(C627,2)),0))</f>
        <v>17</v>
      </c>
      <c r="H627" s="7">
        <f>IF(AND(D627&lt;&gt;"OTHER",F627&gt;=1,F627&lt;=12,G627&gt;=1,G627&lt;=31),IF(AND(MONTH(DATE(E627,F627,G627))=F627,DAY(DATE(E627,F627,G627))=G627),1,0),0)</f>
        <v>1</v>
      </c>
      <c r="I627" s="7">
        <f>IF(H627=1,DATE(E627,F627,G627),"")</f>
        <v>46251.0</v>
      </c>
      <c r="J627" s="7">
        <f>IF(AND(D627="DMY",H627=1),1,0)</f>
        <v>0</v>
      </c>
      <c r="K627" s="7">
        <f>IF(H627=0,1,0)</f>
        <v>0</v>
      </c>
      <c r="L627" s="7">
        <f>IF(TRIM(Raw_Bookings!I627&amp;"")="",1,0)</f>
        <v>0</v>
      </c>
      <c r="M627" s="7">
        <f>IF(L627=1,"",DATEVALUE(LEFT(Raw_Bookings!I627,10))+TIMEVALUE(MID(Raw_Bookings!I627,12,8)))</f>
        <v>46240.689363425925</v>
      </c>
      <c r="N627" s="7">
        <f>IF(AND(L627=0,H627=1),IF(INT(M627)&gt;I627,1,0),0)</f>
        <v>0</v>
      </c>
      <c r="O627" s="7" t="str">
        <f>UPPER(TRIM(Raw_Bookings!F627))</f>
        <v>HYD</v>
      </c>
      <c r="P627" s="7" t="str">
        <f>UPPER(TRIM(Raw_Bookings!G627))</f>
        <v>KOL</v>
      </c>
      <c r="Q627" s="7">
        <f>IF(COUNTIF(Lookup_Stations!$A$2:$A$33,O627)&gt;0,1,0)</f>
        <v>1</v>
      </c>
      <c r="R627" s="7">
        <f>IF(COUNTIF(Lookup_Stations!$A$2:$A$33,P627)&gt;0,1,0)</f>
        <v>1</v>
      </c>
      <c r="S627" s="7">
        <f>IF(OR(AND(Q627=1,NOT(EXACT(Raw_Bookings!F627,O627))),AND(R627=1,NOT(EXACT(Raw_Bookings!G627,P627)))),1,0)</f>
        <v>0</v>
      </c>
      <c r="T627" s="7">
        <f>IF(OR(Q627=0,R627=0),1,0)</f>
        <v>0</v>
      </c>
      <c r="U627" s="7">
        <f>IF(TRIM(Raw_Bookings!E627&amp;"")="",1,0)</f>
        <v>0</v>
      </c>
      <c r="V627" s="7" t="str">
        <f>IF(SUMPRODUCT(--(Lookup_Status!$A$2:$A$13=LOWER(TRIM(Raw_Bookings!K627))))=0,"",INDEX(Lookup_Status!$B$2:$B$13,SUMPRODUCT((Lookup_Status!$A$2:$A$13=LOWER(TRIM(Raw_Bookings!K627)))*(ROW(Lookup_Status!$A$2:$A$13)-1))))</f>
        <v>Confirmed</v>
      </c>
      <c r="W627" s="7">
        <f>IF(AND(V627&lt;&gt;"",NOT(EXACT(Raw_Bookings!K627,V627))),1,0)</f>
        <v>0</v>
      </c>
      <c r="X627" s="7">
        <f>IF(V627="",1,0)</f>
        <v>0</v>
      </c>
      <c r="Y627" s="7">
        <f>IF(TRIM(Raw_Bookings!L627&amp;"")="",1,0)</f>
        <v>0</v>
      </c>
      <c r="Z627" s="7">
        <f>IF(AND(ISTEXT(Raw_Bookings!L627),Y627=0),1,0)</f>
        <v>0</v>
      </c>
      <c r="AA627" s="7">
        <f>IF(Z627=1,IFERROR(VALUE(SUBSTITUTE(SUBSTITUTE(SUBSTITUTE(SUBSTITUTE(SUBSTITUTE(UPPER(Raw_Bookings!L627),"RS.",""),"₹",""),",","")," ",""),"INR","")),""),"")</f>
        <v/>
      </c>
      <c r="AB627" s="7">
        <f>IF(AND(Z627=1,ISNUMBER(AA627)),1,0)</f>
        <v>0</v>
      </c>
      <c r="AC627" s="7">
        <f>IF(B627=1,0,IF(NOT(ISNUMBER(Raw_Bookings!J627)),1,IF(Raw_Bookings!J627&lt;&gt;COUNTIFS(Work_Passengers!$B$2:$B$1336,Raw_Bookings!A627,Work_Passengers!$C$2:$C$1336,0),1,0)))</f>
        <v>0</v>
      </c>
    </row>
    <row r="628" spans="1:29">
      <c r="A628" s="7">
        <f>Raw_Bookings!A628</f>
        <v>1199562</v>
      </c>
      <c r="B628" s="7">
        <f>IF(COUNTIF(Raw_Bookings!$A$2:A628,Raw_Bookings!A628)&gt;1,1,0)</f>
        <v>0</v>
      </c>
      <c r="C628" s="7" t="str">
        <f>Raw_Bookings!D628&amp;""</f>
        <v>2026-08-26</v>
      </c>
      <c r="D628" s="7" t="str">
        <f>IF(AND(LEN(C628)=10,MID(C628,5,1)="-",MID(C628,8,1)="-"),"ISO",IF(AND(LEN(C628)=10,MID(C628,3,1)="-",MID(C628,6,1)="-"),"DMY","OTHER"))</f>
        <v>ISO</v>
      </c>
      <c r="E628" s="7">
        <f>IF(D628="ISO",VALUE(LEFT(C628,4)),IF(D628="DMY",VALUE(RIGHT(C628,4)),0))</f>
        <v>2026</v>
      </c>
      <c r="F628" s="7">
        <f>IF(D628="ISO",VALUE(MID(C628,6,2)),IF(D628="DMY",VALUE(MID(C628,4,2)),0))</f>
        <v>8</v>
      </c>
      <c r="G628" s="7">
        <f>IF(D628="ISO",VALUE(RIGHT(C628,2)),IF(D628="DMY",VALUE(LEFT(C628,2)),0))</f>
        <v>26</v>
      </c>
      <c r="H628" s="7">
        <f>IF(AND(D628&lt;&gt;"OTHER",F628&gt;=1,F628&lt;=12,G628&gt;=1,G628&lt;=31),IF(AND(MONTH(DATE(E628,F628,G628))=F628,DAY(DATE(E628,F628,G628))=G628),1,0),0)</f>
        <v>1</v>
      </c>
      <c r="I628" s="7">
        <f>IF(H628=1,DATE(E628,F628,G628),"")</f>
        <v>46260.0</v>
      </c>
      <c r="J628" s="7">
        <f>IF(AND(D628="DMY",H628=1),1,0)</f>
        <v>0</v>
      </c>
      <c r="K628" s="7">
        <f>IF(H628=0,1,0)</f>
        <v>0</v>
      </c>
      <c r="L628" s="7">
        <f>IF(TRIM(Raw_Bookings!I628&amp;"")="",1,0)</f>
        <v>0</v>
      </c>
      <c r="M628" s="7">
        <f>IF(L628=1,"",DATEVALUE(LEFT(Raw_Bookings!I628,10))+TIMEVALUE(MID(Raw_Bookings!I628,12,8)))</f>
        <v>46240.78748842593</v>
      </c>
      <c r="N628" s="7">
        <f>IF(AND(L628=0,H628=1),IF(INT(M628)&gt;I628,1,0),0)</f>
        <v>0</v>
      </c>
      <c r="O628" s="7" t="str">
        <f>UPPER(TRIM(Raw_Bookings!F628))</f>
        <v>VIJ</v>
      </c>
      <c r="P628" s="7" t="str">
        <f>UPPER(TRIM(Raw_Bookings!G628))</f>
        <v>PAT</v>
      </c>
      <c r="Q628" s="7">
        <f>IF(COUNTIF(Lookup_Stations!$A$2:$A$33,O628)&gt;0,1,0)</f>
        <v>1</v>
      </c>
      <c r="R628" s="7">
        <f>IF(COUNTIF(Lookup_Stations!$A$2:$A$33,P628)&gt;0,1,0)</f>
        <v>1</v>
      </c>
      <c r="S628" s="7">
        <f>IF(OR(AND(Q628=1,NOT(EXACT(Raw_Bookings!F628,O628))),AND(R628=1,NOT(EXACT(Raw_Bookings!G628,P628)))),1,0)</f>
        <v>0</v>
      </c>
      <c r="T628" s="7">
        <f>IF(OR(Q628=0,R628=0),1,0)</f>
        <v>0</v>
      </c>
      <c r="U628" s="7">
        <f>IF(TRIM(Raw_Bookings!E628&amp;"")="",1,0)</f>
        <v>1</v>
      </c>
      <c r="V628" s="7" t="str">
        <f>IF(SUMPRODUCT(--(Lookup_Status!$A$2:$A$13=LOWER(TRIM(Raw_Bookings!K628))))=0,"",INDEX(Lookup_Status!$B$2:$B$13,SUMPRODUCT((Lookup_Status!$A$2:$A$13=LOWER(TRIM(Raw_Bookings!K628)))*(ROW(Lookup_Status!$A$2:$A$13)-1))))</f>
        <v>Confirmed</v>
      </c>
      <c r="W628" s="7">
        <f>IF(AND(V628&lt;&gt;"",NOT(EXACT(Raw_Bookings!K628,V628))),1,0)</f>
        <v>0</v>
      </c>
      <c r="X628" s="7">
        <f>IF(V628="",1,0)</f>
        <v>0</v>
      </c>
      <c r="Y628" s="7">
        <f>IF(TRIM(Raw_Bookings!L628&amp;"")="",1,0)</f>
        <v>0</v>
      </c>
      <c r="Z628" s="7">
        <f>IF(AND(ISTEXT(Raw_Bookings!L628),Y628=0),1,0)</f>
        <v>0</v>
      </c>
      <c r="AA628" s="7">
        <f>IF(Z628=1,IFERROR(VALUE(SUBSTITUTE(SUBSTITUTE(SUBSTITUTE(SUBSTITUTE(SUBSTITUTE(UPPER(Raw_Bookings!L628),"RS.",""),"₹",""),",","")," ",""),"INR","")),""),"")</f>
        <v/>
      </c>
      <c r="AB628" s="7">
        <f>IF(AND(Z628=1,ISNUMBER(AA628)),1,0)</f>
        <v>0</v>
      </c>
      <c r="AC628" s="7">
        <f>IF(B628=1,0,IF(NOT(ISNUMBER(Raw_Bookings!J628)),1,IF(Raw_Bookings!J628&lt;&gt;COUNTIFS(Work_Passengers!$B$2:$B$1336,Raw_Bookings!A628,Work_Passengers!$C$2:$C$1336,0),1,0)))</f>
        <v>0</v>
      </c>
    </row>
    <row r="629" spans="1:29">
      <c r="A629" s="7">
        <f>Raw_Bookings!A629</f>
        <v>1199769</v>
      </c>
      <c r="B629" s="7">
        <f>IF(COUNTIF(Raw_Bookings!$A$2:A629,Raw_Bookings!A629)&gt;1,1,0)</f>
        <v>0</v>
      </c>
      <c r="C629" s="7" t="str">
        <f>Raw_Bookings!D629&amp;""</f>
        <v>13-08-2026</v>
      </c>
      <c r="D629" s="7" t="str">
        <f>IF(AND(LEN(C629)=10,MID(C629,5,1)="-",MID(C629,8,1)="-"),"ISO",IF(AND(LEN(C629)=10,MID(C629,3,1)="-",MID(C629,6,1)="-"),"DMY","OTHER"))</f>
        <v>DMY</v>
      </c>
      <c r="E629" s="7">
        <f>IF(D629="ISO",VALUE(LEFT(C629,4)),IF(D629="DMY",VALUE(RIGHT(C629,4)),0))</f>
        <v>2026</v>
      </c>
      <c r="F629" s="7">
        <f>IF(D629="ISO",VALUE(MID(C629,6,2)),IF(D629="DMY",VALUE(MID(C629,4,2)),0))</f>
        <v>8</v>
      </c>
      <c r="G629" s="7">
        <f>IF(D629="ISO",VALUE(RIGHT(C629,2)),IF(D629="DMY",VALUE(LEFT(C629,2)),0))</f>
        <v>13</v>
      </c>
      <c r="H629" s="7">
        <f>IF(AND(D629&lt;&gt;"OTHER",F629&gt;=1,F629&lt;=12,G629&gt;=1,G629&lt;=31),IF(AND(MONTH(DATE(E629,F629,G629))=F629,DAY(DATE(E629,F629,G629))=G629),1,0),0)</f>
        <v>1</v>
      </c>
      <c r="I629" s="7">
        <f>IF(H629=1,DATE(E629,F629,G629),"")</f>
        <v>46247.0</v>
      </c>
      <c r="J629" s="7">
        <f>IF(AND(D629="DMY",H629=1),1,0)</f>
        <v>1</v>
      </c>
      <c r="K629" s="7">
        <f>IF(H629=0,1,0)</f>
        <v>0</v>
      </c>
      <c r="L629" s="7">
        <f>IF(TRIM(Raw_Bookings!I629&amp;"")="",1,0)</f>
        <v>0</v>
      </c>
      <c r="M629" s="7">
        <f>IF(L629=1,"",DATEVALUE(LEFT(Raw_Bookings!I629,10))+TIMEVALUE(MID(Raw_Bookings!I629,12,8)))</f>
        <v>46242.28128472222</v>
      </c>
      <c r="N629" s="7">
        <f>IF(AND(L629=0,H629=1),IF(INT(M629)&gt;I629,1,0),0)</f>
        <v>0</v>
      </c>
      <c r="O629" s="7" t="str">
        <f>UPPER(TRIM(Raw_Bookings!F629))</f>
        <v>DIB</v>
      </c>
      <c r="P629" s="7" t="str">
        <f>UPPER(TRIM(Raw_Bookings!G629))</f>
        <v>DEL</v>
      </c>
      <c r="Q629" s="7">
        <f>IF(COUNTIF(Lookup_Stations!$A$2:$A$33,O629)&gt;0,1,0)</f>
        <v>1</v>
      </c>
      <c r="R629" s="7">
        <f>IF(COUNTIF(Lookup_Stations!$A$2:$A$33,P629)&gt;0,1,0)</f>
        <v>1</v>
      </c>
      <c r="S629" s="7">
        <f>IF(OR(AND(Q629=1,NOT(EXACT(Raw_Bookings!F629,O629))),AND(R629=1,NOT(EXACT(Raw_Bookings!G629,P629)))),1,0)</f>
        <v>0</v>
      </c>
      <c r="T629" s="7">
        <f>IF(OR(Q629=0,R629=0),1,0)</f>
        <v>0</v>
      </c>
      <c r="U629" s="7">
        <f>IF(TRIM(Raw_Bookings!E629&amp;"")="",1,0)</f>
        <v>0</v>
      </c>
      <c r="V629" s="7" t="str">
        <f>IF(SUMPRODUCT(--(Lookup_Status!$A$2:$A$13=LOWER(TRIM(Raw_Bookings!K629))))=0,"",INDEX(Lookup_Status!$B$2:$B$13,SUMPRODUCT((Lookup_Status!$A$2:$A$13=LOWER(TRIM(Raw_Bookings!K629)))*(ROW(Lookup_Status!$A$2:$A$13)-1))))</f>
        <v>Confirmed</v>
      </c>
      <c r="W629" s="7">
        <f>IF(AND(V629&lt;&gt;"",NOT(EXACT(Raw_Bookings!K629,V629))),1,0)</f>
        <v>0</v>
      </c>
      <c r="X629" s="7">
        <f>IF(V629="",1,0)</f>
        <v>0</v>
      </c>
      <c r="Y629" s="7">
        <f>IF(TRIM(Raw_Bookings!L629&amp;"")="",1,0)</f>
        <v>0</v>
      </c>
      <c r="Z629" s="7">
        <f>IF(AND(ISTEXT(Raw_Bookings!L629),Y629=0),1,0)</f>
        <v>0</v>
      </c>
      <c r="AA629" s="7">
        <f>IF(Z629=1,IFERROR(VALUE(SUBSTITUTE(SUBSTITUTE(SUBSTITUTE(SUBSTITUTE(SUBSTITUTE(UPPER(Raw_Bookings!L629),"RS.",""),"₹",""),",","")," ",""),"INR","")),""),"")</f>
        <v/>
      </c>
      <c r="AB629" s="7">
        <f>IF(AND(Z629=1,ISNUMBER(AA629)),1,0)</f>
        <v>0</v>
      </c>
      <c r="AC629" s="7">
        <f>IF(B629=1,0,IF(NOT(ISNUMBER(Raw_Bookings!J629)),1,IF(Raw_Bookings!J629&lt;&gt;COUNTIFS(Work_Passengers!$B$2:$B$1336,Raw_Bookings!A629,Work_Passengers!$C$2:$C$1336,0),1,0)))</f>
        <v>0</v>
      </c>
    </row>
    <row r="630" spans="1:29">
      <c r="A630" s="7">
        <f>Raw_Bookings!A630</f>
        <v>1200060</v>
      </c>
      <c r="B630" s="7">
        <f>IF(COUNTIF(Raw_Bookings!$A$2:A630,Raw_Bookings!A630)&gt;1,1,0)</f>
        <v>0</v>
      </c>
      <c r="C630" s="7" t="str">
        <f>Raw_Bookings!D630&amp;""</f>
        <v>2026-08-17</v>
      </c>
      <c r="D630" s="7" t="str">
        <f>IF(AND(LEN(C630)=10,MID(C630,5,1)="-",MID(C630,8,1)="-"),"ISO",IF(AND(LEN(C630)=10,MID(C630,3,1)="-",MID(C630,6,1)="-"),"DMY","OTHER"))</f>
        <v>ISO</v>
      </c>
      <c r="E630" s="7">
        <f>IF(D630="ISO",VALUE(LEFT(C630,4)),IF(D630="DMY",VALUE(RIGHT(C630,4)),0))</f>
        <v>2026</v>
      </c>
      <c r="F630" s="7">
        <f>IF(D630="ISO",VALUE(MID(C630,6,2)),IF(D630="DMY",VALUE(MID(C630,4,2)),0))</f>
        <v>8</v>
      </c>
      <c r="G630" s="7">
        <f>IF(D630="ISO",VALUE(RIGHT(C630,2)),IF(D630="DMY",VALUE(LEFT(C630,2)),0))</f>
        <v>17</v>
      </c>
      <c r="H630" s="7">
        <f>IF(AND(D630&lt;&gt;"OTHER",F630&gt;=1,F630&lt;=12,G630&gt;=1,G630&lt;=31),IF(AND(MONTH(DATE(E630,F630,G630))=F630,DAY(DATE(E630,F630,G630))=G630),1,0),0)</f>
        <v>1</v>
      </c>
      <c r="I630" s="7">
        <f>IF(H630=1,DATE(E630,F630,G630),"")</f>
        <v>46251.0</v>
      </c>
      <c r="J630" s="7">
        <f>IF(AND(D630="DMY",H630=1),1,0)</f>
        <v>0</v>
      </c>
      <c r="K630" s="7">
        <f>IF(H630=0,1,0)</f>
        <v>0</v>
      </c>
      <c r="L630" s="7">
        <f>IF(TRIM(Raw_Bookings!I630&amp;"")="",1,0)</f>
        <v>0</v>
      </c>
      <c r="M630" s="7">
        <f>IF(L630=1,"",DATEVALUE(LEFT(Raw_Bookings!I630,10))+TIMEVALUE(MID(Raw_Bookings!I630,12,8)))</f>
        <v>46244.453206018516</v>
      </c>
      <c r="N630" s="7">
        <f>IF(AND(L630=0,H630=1),IF(INT(M630)&gt;I630,1,0),0)</f>
        <v>0</v>
      </c>
      <c r="O630" s="7" t="str">
        <f>UPPER(TRIM(Raw_Bookings!F630))</f>
        <v>HYD</v>
      </c>
      <c r="P630" s="7" t="str">
        <f>UPPER(TRIM(Raw_Bookings!G630))</f>
        <v>KOL</v>
      </c>
      <c r="Q630" s="7">
        <f>IF(COUNTIF(Lookup_Stations!$A$2:$A$33,O630)&gt;0,1,0)</f>
        <v>1</v>
      </c>
      <c r="R630" s="7">
        <f>IF(COUNTIF(Lookup_Stations!$A$2:$A$33,P630)&gt;0,1,0)</f>
        <v>1</v>
      </c>
      <c r="S630" s="7">
        <f>IF(OR(AND(Q630=1,NOT(EXACT(Raw_Bookings!F630,O630))),AND(R630=1,NOT(EXACT(Raw_Bookings!G630,P630)))),1,0)</f>
        <v>0</v>
      </c>
      <c r="T630" s="7">
        <f>IF(OR(Q630=0,R630=0),1,0)</f>
        <v>0</v>
      </c>
      <c r="U630" s="7">
        <f>IF(TRIM(Raw_Bookings!E630&amp;"")="",1,0)</f>
        <v>0</v>
      </c>
      <c r="V630" s="7" t="str">
        <f>IF(SUMPRODUCT(--(Lookup_Status!$A$2:$A$13=LOWER(TRIM(Raw_Bookings!K630))))=0,"",INDEX(Lookup_Status!$B$2:$B$13,SUMPRODUCT((Lookup_Status!$A$2:$A$13=LOWER(TRIM(Raw_Bookings!K630)))*(ROW(Lookup_Status!$A$2:$A$13)-1))))</f>
        <v>Confirmed</v>
      </c>
      <c r="W630" s="7">
        <f>IF(AND(V630&lt;&gt;"",NOT(EXACT(Raw_Bookings!K630,V630))),1,0)</f>
        <v>0</v>
      </c>
      <c r="X630" s="7">
        <f>IF(V630="",1,0)</f>
        <v>0</v>
      </c>
      <c r="Y630" s="7">
        <f>IF(TRIM(Raw_Bookings!L630&amp;"")="",1,0)</f>
        <v>0</v>
      </c>
      <c r="Z630" s="7">
        <f>IF(AND(ISTEXT(Raw_Bookings!L630),Y630=0),1,0)</f>
        <v>0</v>
      </c>
      <c r="AA630" s="7">
        <f>IF(Z630=1,IFERROR(VALUE(SUBSTITUTE(SUBSTITUTE(SUBSTITUTE(SUBSTITUTE(SUBSTITUTE(UPPER(Raw_Bookings!L630),"RS.",""),"₹",""),",","")," ",""),"INR","")),""),"")</f>
        <v/>
      </c>
      <c r="AB630" s="7">
        <f>IF(AND(Z630=1,ISNUMBER(AA630)),1,0)</f>
        <v>0</v>
      </c>
      <c r="AC630" s="7">
        <f>IF(B630=1,0,IF(NOT(ISNUMBER(Raw_Bookings!J630)),1,IF(Raw_Bookings!J630&lt;&gt;COUNTIFS(Work_Passengers!$B$2:$B$1336,Raw_Bookings!A630,Work_Passengers!$C$2:$C$1336,0),1,0)))</f>
        <v>0</v>
      </c>
    </row>
    <row r="631" spans="1:29">
      <c r="A631" s="7">
        <f>Raw_Bookings!A631</f>
        <v>1200160</v>
      </c>
      <c r="B631" s="7">
        <f>IF(COUNTIF(Raw_Bookings!$A$2:A631,Raw_Bookings!A631)&gt;1,1,0)</f>
        <v>0</v>
      </c>
      <c r="C631" s="7" t="str">
        <f>Raw_Bookings!D631&amp;""</f>
        <v>2026-08-19</v>
      </c>
      <c r="D631" s="7" t="str">
        <f>IF(AND(LEN(C631)=10,MID(C631,5,1)="-",MID(C631,8,1)="-"),"ISO",IF(AND(LEN(C631)=10,MID(C631,3,1)="-",MID(C631,6,1)="-"),"DMY","OTHER"))</f>
        <v>ISO</v>
      </c>
      <c r="E631" s="7">
        <f>IF(D631="ISO",VALUE(LEFT(C631,4)),IF(D631="DMY",VALUE(RIGHT(C631,4)),0))</f>
        <v>2026</v>
      </c>
      <c r="F631" s="7">
        <f>IF(D631="ISO",VALUE(MID(C631,6,2)),IF(D631="DMY",VALUE(MID(C631,4,2)),0))</f>
        <v>8</v>
      </c>
      <c r="G631" s="7">
        <f>IF(D631="ISO",VALUE(RIGHT(C631,2)),IF(D631="DMY",VALUE(LEFT(C631,2)),0))</f>
        <v>19</v>
      </c>
      <c r="H631" s="7">
        <f>IF(AND(D631&lt;&gt;"OTHER",F631&gt;=1,F631&lt;=12,G631&gt;=1,G631&lt;=31),IF(AND(MONTH(DATE(E631,F631,G631))=F631,DAY(DATE(E631,F631,G631))=G631),1,0),0)</f>
        <v>1</v>
      </c>
      <c r="I631" s="7">
        <f>IF(H631=1,DATE(E631,F631,G631),"")</f>
        <v>46253.0</v>
      </c>
      <c r="J631" s="7">
        <f>IF(AND(D631="DMY",H631=1),1,0)</f>
        <v>0</v>
      </c>
      <c r="K631" s="7">
        <f>IF(H631=0,1,0)</f>
        <v>0</v>
      </c>
      <c r="L631" s="7">
        <f>IF(TRIM(Raw_Bookings!I631&amp;"")="",1,0)</f>
        <v>0</v>
      </c>
      <c r="M631" s="7">
        <f>IF(L631=1,"",DATEVALUE(LEFT(Raw_Bookings!I631,10))+TIMEVALUE(MID(Raw_Bookings!I631,12,8)))</f>
        <v>46245.13334490741</v>
      </c>
      <c r="N631" s="7">
        <f>IF(AND(L631=0,H631=1),IF(INT(M631)&gt;I631,1,0),0)</f>
        <v>0</v>
      </c>
      <c r="O631" s="7" t="str">
        <f>UPPER(TRIM(Raw_Bookings!F631))</f>
        <v>LUC</v>
      </c>
      <c r="P631" s="7" t="str">
        <f>UPPER(TRIM(Raw_Bookings!G631))</f>
        <v>MUM</v>
      </c>
      <c r="Q631" s="7">
        <f>IF(COUNTIF(Lookup_Stations!$A$2:$A$33,O631)&gt;0,1,0)</f>
        <v>1</v>
      </c>
      <c r="R631" s="7">
        <f>IF(COUNTIF(Lookup_Stations!$A$2:$A$33,P631)&gt;0,1,0)</f>
        <v>1</v>
      </c>
      <c r="S631" s="7">
        <f>IF(OR(AND(Q631=1,NOT(EXACT(Raw_Bookings!F631,O631))),AND(R631=1,NOT(EXACT(Raw_Bookings!G631,P631)))),1,0)</f>
        <v>0</v>
      </c>
      <c r="T631" s="7">
        <f>IF(OR(Q631=0,R631=0),1,0)</f>
        <v>0</v>
      </c>
      <c r="U631" s="7">
        <f>IF(TRIM(Raw_Bookings!E631&amp;"")="",1,0)</f>
        <v>0</v>
      </c>
      <c r="V631" s="7" t="str">
        <f>IF(SUMPRODUCT(--(Lookup_Status!$A$2:$A$13=LOWER(TRIM(Raw_Bookings!K631))))=0,"",INDEX(Lookup_Status!$B$2:$B$13,SUMPRODUCT((Lookup_Status!$A$2:$A$13=LOWER(TRIM(Raw_Bookings!K631)))*(ROW(Lookup_Status!$A$2:$A$13)-1))))</f>
        <v>Waitlisted</v>
      </c>
      <c r="W631" s="7">
        <f>IF(AND(V631&lt;&gt;"",NOT(EXACT(Raw_Bookings!K631,V631))),1,0)</f>
        <v>0</v>
      </c>
      <c r="X631" s="7">
        <f>IF(V631="",1,0)</f>
        <v>0</v>
      </c>
      <c r="Y631" s="7">
        <f>IF(TRIM(Raw_Bookings!L631&amp;"")="",1,0)</f>
        <v>0</v>
      </c>
      <c r="Z631" s="7">
        <f>IF(AND(ISTEXT(Raw_Bookings!L631),Y631=0),1,0)</f>
        <v>0</v>
      </c>
      <c r="AA631" s="7">
        <f>IF(Z631=1,IFERROR(VALUE(SUBSTITUTE(SUBSTITUTE(SUBSTITUTE(SUBSTITUTE(SUBSTITUTE(UPPER(Raw_Bookings!L631),"RS.",""),"₹",""),",","")," ",""),"INR","")),""),"")</f>
        <v/>
      </c>
      <c r="AB631" s="7">
        <f>IF(AND(Z631=1,ISNUMBER(AA631)),1,0)</f>
        <v>0</v>
      </c>
      <c r="AC631" s="7">
        <f>IF(B631=1,0,IF(NOT(ISNUMBER(Raw_Bookings!J631)),1,IF(Raw_Bookings!J631&lt;&gt;COUNTIFS(Work_Passengers!$B$2:$B$1336,Raw_Bookings!A631,Work_Passengers!$C$2:$C$1336,0),1,0)))</f>
        <v>0</v>
      </c>
    </row>
    <row r="632" spans="1:29">
      <c r="A632" s="7">
        <f>Raw_Bookings!A632</f>
        <v>1200394</v>
      </c>
      <c r="B632" s="7">
        <f>IF(COUNTIF(Raw_Bookings!$A$2:A632,Raw_Bookings!A632)&gt;1,1,0)</f>
        <v>0</v>
      </c>
      <c r="C632" s="7" t="str">
        <f>Raw_Bookings!D632&amp;""</f>
        <v>2026-08-14</v>
      </c>
      <c r="D632" s="7" t="str">
        <f>IF(AND(LEN(C632)=10,MID(C632,5,1)="-",MID(C632,8,1)="-"),"ISO",IF(AND(LEN(C632)=10,MID(C632,3,1)="-",MID(C632,6,1)="-"),"DMY","OTHER"))</f>
        <v>ISO</v>
      </c>
      <c r="E632" s="7">
        <f>IF(D632="ISO",VALUE(LEFT(C632,4)),IF(D632="DMY",VALUE(RIGHT(C632,4)),0))</f>
        <v>2026</v>
      </c>
      <c r="F632" s="7">
        <f>IF(D632="ISO",VALUE(MID(C632,6,2)),IF(D632="DMY",VALUE(MID(C632,4,2)),0))</f>
        <v>8</v>
      </c>
      <c r="G632" s="7">
        <f>IF(D632="ISO",VALUE(RIGHT(C632,2)),IF(D632="DMY",VALUE(LEFT(C632,2)),0))</f>
        <v>14</v>
      </c>
      <c r="H632" s="7">
        <f>IF(AND(D632&lt;&gt;"OTHER",F632&gt;=1,F632&lt;=12,G632&gt;=1,G632&lt;=31),IF(AND(MONTH(DATE(E632,F632,G632))=F632,DAY(DATE(E632,F632,G632))=G632),1,0),0)</f>
        <v>1</v>
      </c>
      <c r="I632" s="7">
        <f>IF(H632=1,DATE(E632,F632,G632),"")</f>
        <v>46248.0</v>
      </c>
      <c r="J632" s="7">
        <f>IF(AND(D632="DMY",H632=1),1,0)</f>
        <v>0</v>
      </c>
      <c r="K632" s="7">
        <f>IF(H632=0,1,0)</f>
        <v>0</v>
      </c>
      <c r="L632" s="7">
        <f>IF(TRIM(Raw_Bookings!I632&amp;"")="",1,0)</f>
        <v>0</v>
      </c>
      <c r="M632" s="7">
        <f>IF(L632=1,"",DATEVALUE(LEFT(Raw_Bookings!I632,10))+TIMEVALUE(MID(Raw_Bookings!I632,12,8)))</f>
        <v>46246.83377314815</v>
      </c>
      <c r="N632" s="7">
        <f>IF(AND(L632=0,H632=1),IF(INT(M632)&gt;I632,1,0),0)</f>
        <v>0</v>
      </c>
      <c r="O632" s="7" t="str">
        <f>UPPER(TRIM(Raw_Bookings!F632))</f>
        <v>HYD</v>
      </c>
      <c r="P632" s="7" t="str">
        <f>UPPER(TRIM(Raw_Bookings!G632))</f>
        <v>KOL</v>
      </c>
      <c r="Q632" s="7">
        <f>IF(COUNTIF(Lookup_Stations!$A$2:$A$33,O632)&gt;0,1,0)</f>
        <v>1</v>
      </c>
      <c r="R632" s="7">
        <f>IF(COUNTIF(Lookup_Stations!$A$2:$A$33,P632)&gt;0,1,0)</f>
        <v>1</v>
      </c>
      <c r="S632" s="7">
        <f>IF(OR(AND(Q632=1,NOT(EXACT(Raw_Bookings!F632,O632))),AND(R632=1,NOT(EXACT(Raw_Bookings!G632,P632)))),1,0)</f>
        <v>0</v>
      </c>
      <c r="T632" s="7">
        <f>IF(OR(Q632=0,R632=0),1,0)</f>
        <v>0</v>
      </c>
      <c r="U632" s="7">
        <f>IF(TRIM(Raw_Bookings!E632&amp;"")="",1,0)</f>
        <v>0</v>
      </c>
      <c r="V632" s="7" t="str">
        <f>IF(SUMPRODUCT(--(Lookup_Status!$A$2:$A$13=LOWER(TRIM(Raw_Bookings!K632))))=0,"",INDEX(Lookup_Status!$B$2:$B$13,SUMPRODUCT((Lookup_Status!$A$2:$A$13=LOWER(TRIM(Raw_Bookings!K632)))*(ROW(Lookup_Status!$A$2:$A$13)-1))))</f>
        <v>Confirmed</v>
      </c>
      <c r="W632" s="7">
        <f>IF(AND(V632&lt;&gt;"",NOT(EXACT(Raw_Bookings!K632,V632))),1,0)</f>
        <v>0</v>
      </c>
      <c r="X632" s="7">
        <f>IF(V632="",1,0)</f>
        <v>0</v>
      </c>
      <c r="Y632" s="7">
        <f>IF(TRIM(Raw_Bookings!L632&amp;"")="",1,0)</f>
        <v>0</v>
      </c>
      <c r="Z632" s="7">
        <f>IF(AND(ISTEXT(Raw_Bookings!L632),Y632=0),1,0)</f>
        <v>0</v>
      </c>
      <c r="AA632" s="7">
        <f>IF(Z632=1,IFERROR(VALUE(SUBSTITUTE(SUBSTITUTE(SUBSTITUTE(SUBSTITUTE(SUBSTITUTE(UPPER(Raw_Bookings!L632),"RS.",""),"₹",""),",","")," ",""),"INR","")),""),"")</f>
        <v/>
      </c>
      <c r="AB632" s="7">
        <f>IF(AND(Z632=1,ISNUMBER(AA632)),1,0)</f>
        <v>0</v>
      </c>
      <c r="AC632" s="7">
        <f>IF(B632=1,0,IF(NOT(ISNUMBER(Raw_Bookings!J632)),1,IF(Raw_Bookings!J632&lt;&gt;COUNTIFS(Work_Passengers!$B$2:$B$1336,Raw_Bookings!A632,Work_Passengers!$C$2:$C$1336,0),1,0)))</f>
        <v>0</v>
      </c>
    </row>
    <row r="633" spans="1:29">
      <c r="A633" s="7">
        <f>Raw_Bookings!A633</f>
        <v>1200433</v>
      </c>
      <c r="B633" s="7">
        <f>IF(COUNTIF(Raw_Bookings!$A$2:A633,Raw_Bookings!A633)&gt;1,1,0)</f>
        <v>0</v>
      </c>
      <c r="C633" s="7" t="str">
        <f>Raw_Bookings!D633&amp;""</f>
        <v>2026-08-14</v>
      </c>
      <c r="D633" s="7" t="str">
        <f>IF(AND(LEN(C633)=10,MID(C633,5,1)="-",MID(C633,8,1)="-"),"ISO",IF(AND(LEN(C633)=10,MID(C633,3,1)="-",MID(C633,6,1)="-"),"DMY","OTHER"))</f>
        <v>ISO</v>
      </c>
      <c r="E633" s="7">
        <f>IF(D633="ISO",VALUE(LEFT(C633,4)),IF(D633="DMY",VALUE(RIGHT(C633,4)),0))</f>
        <v>2026</v>
      </c>
      <c r="F633" s="7">
        <f>IF(D633="ISO",VALUE(MID(C633,6,2)),IF(D633="DMY",VALUE(MID(C633,4,2)),0))</f>
        <v>8</v>
      </c>
      <c r="G633" s="7">
        <f>IF(D633="ISO",VALUE(RIGHT(C633,2)),IF(D633="DMY",VALUE(LEFT(C633,2)),0))</f>
        <v>14</v>
      </c>
      <c r="H633" s="7">
        <f>IF(AND(D633&lt;&gt;"OTHER",F633&gt;=1,F633&lt;=12,G633&gt;=1,G633&lt;=31),IF(AND(MONTH(DATE(E633,F633,G633))=F633,DAY(DATE(E633,F633,G633))=G633),1,0),0)</f>
        <v>1</v>
      </c>
      <c r="I633" s="7">
        <f>IF(H633=1,DATE(E633,F633,G633),"")</f>
        <v>46248.0</v>
      </c>
      <c r="J633" s="7">
        <f>IF(AND(D633="DMY",H633=1),1,0)</f>
        <v>0</v>
      </c>
      <c r="K633" s="7">
        <f>IF(H633=0,1,0)</f>
        <v>0</v>
      </c>
      <c r="L633" s="7">
        <f>IF(TRIM(Raw_Bookings!I633&amp;"")="",1,0)</f>
        <v>0</v>
      </c>
      <c r="M633" s="7">
        <f>IF(L633=1,"",DATEVALUE(LEFT(Raw_Bookings!I633,10))+TIMEVALUE(MID(Raw_Bookings!I633,12,8)))</f>
        <v>46247.26715277778</v>
      </c>
      <c r="N633" s="7">
        <f>IF(AND(L633=0,H633=1),IF(INT(M633)&gt;I633,1,0),0)</f>
        <v>0</v>
      </c>
      <c r="O633" s="7" t="str">
        <f>UPPER(TRIM(Raw_Bookings!F633))</f>
        <v>HYD</v>
      </c>
      <c r="P633" s="7" t="str">
        <f>UPPER(TRIM(Raw_Bookings!G633))</f>
        <v>KOL</v>
      </c>
      <c r="Q633" s="7">
        <f>IF(COUNTIF(Lookup_Stations!$A$2:$A$33,O633)&gt;0,1,0)</f>
        <v>1</v>
      </c>
      <c r="R633" s="7">
        <f>IF(COUNTIF(Lookup_Stations!$A$2:$A$33,P633)&gt;0,1,0)</f>
        <v>1</v>
      </c>
      <c r="S633" s="7">
        <f>IF(OR(AND(Q633=1,NOT(EXACT(Raw_Bookings!F633,O633))),AND(R633=1,NOT(EXACT(Raw_Bookings!G633,P633)))),1,0)</f>
        <v>0</v>
      </c>
      <c r="T633" s="7">
        <f>IF(OR(Q633=0,R633=0),1,0)</f>
        <v>0</v>
      </c>
      <c r="U633" s="7">
        <f>IF(TRIM(Raw_Bookings!E633&amp;"")="",1,0)</f>
        <v>0</v>
      </c>
      <c r="V633" s="7" t="str">
        <f>IF(SUMPRODUCT(--(Lookup_Status!$A$2:$A$13=LOWER(TRIM(Raw_Bookings!K633))))=0,"",INDEX(Lookup_Status!$B$2:$B$13,SUMPRODUCT((Lookup_Status!$A$2:$A$13=LOWER(TRIM(Raw_Bookings!K633)))*(ROW(Lookup_Status!$A$2:$A$13)-1))))</f>
        <v>Cancelled</v>
      </c>
      <c r="W633" s="7">
        <f>IF(AND(V633&lt;&gt;"",NOT(EXACT(Raw_Bookings!K633,V633))),1,0)</f>
        <v>0</v>
      </c>
      <c r="X633" s="7">
        <f>IF(V633="",1,0)</f>
        <v>0</v>
      </c>
      <c r="Y633" s="7">
        <f>IF(TRIM(Raw_Bookings!L633&amp;"")="",1,0)</f>
        <v>0</v>
      </c>
      <c r="Z633" s="7">
        <f>IF(AND(ISTEXT(Raw_Bookings!L633),Y633=0),1,0)</f>
        <v>0</v>
      </c>
      <c r="AA633" s="7">
        <f>IF(Z633=1,IFERROR(VALUE(SUBSTITUTE(SUBSTITUTE(SUBSTITUTE(SUBSTITUTE(SUBSTITUTE(UPPER(Raw_Bookings!L633),"RS.",""),"₹",""),",","")," ",""),"INR","")),""),"")</f>
        <v/>
      </c>
      <c r="AB633" s="7">
        <f>IF(AND(Z633=1,ISNUMBER(AA633)),1,0)</f>
        <v>0</v>
      </c>
      <c r="AC633" s="7">
        <f>IF(B633=1,0,IF(NOT(ISNUMBER(Raw_Bookings!J633)),1,IF(Raw_Bookings!J633&lt;&gt;COUNTIFS(Work_Passengers!$B$2:$B$1336,Raw_Bookings!A633,Work_Passengers!$C$2:$C$1336,0),1,0)))</f>
        <v>0</v>
      </c>
    </row>
    <row r="634" spans="1:29">
      <c r="A634" s="7">
        <f>Raw_Bookings!A634</f>
        <v>1200653</v>
      </c>
      <c r="B634" s="7">
        <f>IF(COUNTIF(Raw_Bookings!$A$2:A634,Raw_Bookings!A634)&gt;1,1,0)</f>
        <v>0</v>
      </c>
      <c r="C634" s="7" t="str">
        <f>Raw_Bookings!D634&amp;""</f>
        <v>2026-08-21</v>
      </c>
      <c r="D634" s="7" t="str">
        <f>IF(AND(LEN(C634)=10,MID(C634,5,1)="-",MID(C634,8,1)="-"),"ISO",IF(AND(LEN(C634)=10,MID(C634,3,1)="-",MID(C634,6,1)="-"),"DMY","OTHER"))</f>
        <v>ISO</v>
      </c>
      <c r="E634" s="7">
        <f>IF(D634="ISO",VALUE(LEFT(C634,4)),IF(D634="DMY",VALUE(RIGHT(C634,4)),0))</f>
        <v>2026</v>
      </c>
      <c r="F634" s="7">
        <f>IF(D634="ISO",VALUE(MID(C634,6,2)),IF(D634="DMY",VALUE(MID(C634,4,2)),0))</f>
        <v>8</v>
      </c>
      <c r="G634" s="7">
        <f>IF(D634="ISO",VALUE(RIGHT(C634,2)),IF(D634="DMY",VALUE(LEFT(C634,2)),0))</f>
        <v>21</v>
      </c>
      <c r="H634" s="7">
        <f>IF(AND(D634&lt;&gt;"OTHER",F634&gt;=1,F634&lt;=12,G634&gt;=1,G634&lt;=31),IF(AND(MONTH(DATE(E634,F634,G634))=F634,DAY(DATE(E634,F634,G634))=G634),1,0),0)</f>
        <v>1</v>
      </c>
      <c r="I634" s="7">
        <f>IF(H634=1,DATE(E634,F634,G634),"")</f>
        <v>46255.0</v>
      </c>
      <c r="J634" s="7">
        <f>IF(AND(D634="DMY",H634=1),1,0)</f>
        <v>0</v>
      </c>
      <c r="K634" s="7">
        <f>IF(H634=0,1,0)</f>
        <v>0</v>
      </c>
      <c r="L634" s="7">
        <f>IF(TRIM(Raw_Bookings!I634&amp;"")="",1,0)</f>
        <v>1</v>
      </c>
      <c r="M634" s="7">
        <f>IF(L634=1,"",DATEVALUE(LEFT(Raw_Bookings!I634,10))+TIMEVALUE(MID(Raw_Bookings!I634,12,8)))</f>
        <v/>
      </c>
      <c r="N634" s="7">
        <f>IF(AND(L634=0,H634=1),IF(INT(M634)&gt;I634,1,0),0)</f>
        <v>0</v>
      </c>
      <c r="O634" s="7" t="str">
        <f>UPPER(TRIM(Raw_Bookings!F634))</f>
        <v>MUM</v>
      </c>
      <c r="P634" s="7" t="str">
        <f>UPPER(TRIM(Raw_Bookings!G634))</f>
        <v>LUC</v>
      </c>
      <c r="Q634" s="7">
        <f>IF(COUNTIF(Lookup_Stations!$A$2:$A$33,O634)&gt;0,1,0)</f>
        <v>1</v>
      </c>
      <c r="R634" s="7">
        <f>IF(COUNTIF(Lookup_Stations!$A$2:$A$33,P634)&gt;0,1,0)</f>
        <v>1</v>
      </c>
      <c r="S634" s="7">
        <f>IF(OR(AND(Q634=1,NOT(EXACT(Raw_Bookings!F634,O634))),AND(R634=1,NOT(EXACT(Raw_Bookings!G634,P634)))),1,0)</f>
        <v>0</v>
      </c>
      <c r="T634" s="7">
        <f>IF(OR(Q634=0,R634=0),1,0)</f>
        <v>0</v>
      </c>
      <c r="U634" s="7">
        <f>IF(TRIM(Raw_Bookings!E634&amp;"")="",1,0)</f>
        <v>0</v>
      </c>
      <c r="V634" s="7" t="str">
        <f>IF(SUMPRODUCT(--(Lookup_Status!$A$2:$A$13=LOWER(TRIM(Raw_Bookings!K634))))=0,"",INDEX(Lookup_Status!$B$2:$B$13,SUMPRODUCT((Lookup_Status!$A$2:$A$13=LOWER(TRIM(Raw_Bookings!K634)))*(ROW(Lookup_Status!$A$2:$A$13)-1))))</f>
        <v>Cancelled</v>
      </c>
      <c r="W634" s="7">
        <f>IF(AND(V634&lt;&gt;"",NOT(EXACT(Raw_Bookings!K634,V634))),1,0)</f>
        <v>0</v>
      </c>
      <c r="X634" s="7">
        <f>IF(V634="",1,0)</f>
        <v>0</v>
      </c>
      <c r="Y634" s="7">
        <f>IF(TRIM(Raw_Bookings!L634&amp;"")="",1,0)</f>
        <v>0</v>
      </c>
      <c r="Z634" s="7">
        <f>IF(AND(ISTEXT(Raw_Bookings!L634),Y634=0),1,0)</f>
        <v>0</v>
      </c>
      <c r="AA634" s="7">
        <f>IF(Z634=1,IFERROR(VALUE(SUBSTITUTE(SUBSTITUTE(SUBSTITUTE(SUBSTITUTE(SUBSTITUTE(UPPER(Raw_Bookings!L634),"RS.",""),"₹",""),",","")," ",""),"INR","")),""),"")</f>
        <v/>
      </c>
      <c r="AB634" s="7">
        <f>IF(AND(Z634=1,ISNUMBER(AA634)),1,0)</f>
        <v>0</v>
      </c>
      <c r="AC634" s="7">
        <f>IF(B634=1,0,IF(NOT(ISNUMBER(Raw_Bookings!J634)),1,IF(Raw_Bookings!J634&lt;&gt;COUNTIFS(Work_Passengers!$B$2:$B$1336,Raw_Bookings!A634,Work_Passengers!$C$2:$C$1336,0),1,0)))</f>
        <v>0</v>
      </c>
    </row>
    <row r="635" spans="1:29">
      <c r="A635" s="7">
        <f>Raw_Bookings!A635</f>
        <v>1201266</v>
      </c>
      <c r="B635" s="7">
        <f>IF(COUNTIF(Raw_Bookings!$A$2:A635,Raw_Bookings!A635)&gt;1,1,0)</f>
        <v>0</v>
      </c>
      <c r="C635" s="7" t="str">
        <f>Raw_Bookings!D635&amp;""</f>
        <v>2026-08-23</v>
      </c>
      <c r="D635" s="7" t="str">
        <f>IF(AND(LEN(C635)=10,MID(C635,5,1)="-",MID(C635,8,1)="-"),"ISO",IF(AND(LEN(C635)=10,MID(C635,3,1)="-",MID(C635,6,1)="-"),"DMY","OTHER"))</f>
        <v>ISO</v>
      </c>
      <c r="E635" s="7">
        <f>IF(D635="ISO",VALUE(LEFT(C635,4)),IF(D635="DMY",VALUE(RIGHT(C635,4)),0))</f>
        <v>2026</v>
      </c>
      <c r="F635" s="7">
        <f>IF(D635="ISO",VALUE(MID(C635,6,2)),IF(D635="DMY",VALUE(MID(C635,4,2)),0))</f>
        <v>8</v>
      </c>
      <c r="G635" s="7">
        <f>IF(D635="ISO",VALUE(RIGHT(C635,2)),IF(D635="DMY",VALUE(LEFT(C635,2)),0))</f>
        <v>23</v>
      </c>
      <c r="H635" s="7">
        <f>IF(AND(D635&lt;&gt;"OTHER",F635&gt;=1,F635&lt;=12,G635&gt;=1,G635&lt;=31),IF(AND(MONTH(DATE(E635,F635,G635))=F635,DAY(DATE(E635,F635,G635))=G635),1,0),0)</f>
        <v>1</v>
      </c>
      <c r="I635" s="7">
        <f>IF(H635=1,DATE(E635,F635,G635),"")</f>
        <v>46257.0</v>
      </c>
      <c r="J635" s="7">
        <f>IF(AND(D635="DMY",H635=1),1,0)</f>
        <v>0</v>
      </c>
      <c r="K635" s="7">
        <f>IF(H635=0,1,0)</f>
        <v>0</v>
      </c>
      <c r="L635" s="7">
        <f>IF(TRIM(Raw_Bookings!I635&amp;"")="",1,0)</f>
        <v>0</v>
      </c>
      <c r="M635" s="7">
        <f>IF(L635=1,"",DATEVALUE(LEFT(Raw_Bookings!I635,10))+TIMEVALUE(MID(Raw_Bookings!I635,12,8)))</f>
        <v>46255.02071759259</v>
      </c>
      <c r="N635" s="7">
        <f>IF(AND(L635=0,H635=1),IF(INT(M635)&gt;I635,1,0),0)</f>
        <v>0</v>
      </c>
      <c r="O635" s="7" t="str">
        <f>UPPER(TRIM(Raw_Bookings!F635))</f>
        <v>MAU</v>
      </c>
      <c r="P635" s="7" t="str">
        <f>UPPER(TRIM(Raw_Bookings!G635))</f>
        <v>DEL</v>
      </c>
      <c r="Q635" s="7">
        <f>IF(COUNTIF(Lookup_Stations!$A$2:$A$33,O635)&gt;0,1,0)</f>
        <v>1</v>
      </c>
      <c r="R635" s="7">
        <f>IF(COUNTIF(Lookup_Stations!$A$2:$A$33,P635)&gt;0,1,0)</f>
        <v>1</v>
      </c>
      <c r="S635" s="7">
        <f>IF(OR(AND(Q635=1,NOT(EXACT(Raw_Bookings!F635,O635))),AND(R635=1,NOT(EXACT(Raw_Bookings!G635,P635)))),1,0)</f>
        <v>0</v>
      </c>
      <c r="T635" s="7">
        <f>IF(OR(Q635=0,R635=0),1,0)</f>
        <v>0</v>
      </c>
      <c r="U635" s="7">
        <f>IF(TRIM(Raw_Bookings!E635&amp;"")="",1,0)</f>
        <v>0</v>
      </c>
      <c r="V635" s="7" t="str">
        <f>IF(SUMPRODUCT(--(Lookup_Status!$A$2:$A$13=LOWER(TRIM(Raw_Bookings!K635))))=0,"",INDEX(Lookup_Status!$B$2:$B$13,SUMPRODUCT((Lookup_Status!$A$2:$A$13=LOWER(TRIM(Raw_Bookings!K635)))*(ROW(Lookup_Status!$A$2:$A$13)-1))))</f>
        <v>RAC</v>
      </c>
      <c r="W635" s="7">
        <f>IF(AND(V635&lt;&gt;"",NOT(EXACT(Raw_Bookings!K635,V635))),1,0)</f>
        <v>0</v>
      </c>
      <c r="X635" s="7">
        <f>IF(V635="",1,0)</f>
        <v>0</v>
      </c>
      <c r="Y635" s="7">
        <f>IF(TRIM(Raw_Bookings!L635&amp;"")="",1,0)</f>
        <v>0</v>
      </c>
      <c r="Z635" s="7">
        <f>IF(AND(ISTEXT(Raw_Bookings!L635),Y635=0),1,0)</f>
        <v>0</v>
      </c>
      <c r="AA635" s="7">
        <f>IF(Z635=1,IFERROR(VALUE(SUBSTITUTE(SUBSTITUTE(SUBSTITUTE(SUBSTITUTE(SUBSTITUTE(UPPER(Raw_Bookings!L635),"RS.",""),"₹",""),",","")," ",""),"INR","")),""),"")</f>
        <v/>
      </c>
      <c r="AB635" s="7">
        <f>IF(AND(Z635=1,ISNUMBER(AA635)),1,0)</f>
        <v>0</v>
      </c>
      <c r="AC635" s="7">
        <f>IF(B635=1,0,IF(NOT(ISNUMBER(Raw_Bookings!J635)),1,IF(Raw_Bookings!J635&lt;&gt;COUNTIFS(Work_Passengers!$B$2:$B$1336,Raw_Bookings!A635,Work_Passengers!$C$2:$C$1336,0),1,0)))</f>
        <v>0</v>
      </c>
    </row>
    <row r="636" spans="1:29">
      <c r="A636" s="7">
        <f>Raw_Bookings!A636</f>
        <v>1201381</v>
      </c>
      <c r="B636" s="7">
        <f>IF(COUNTIF(Raw_Bookings!$A$2:A636,Raw_Bookings!A636)&gt;1,1,0)</f>
        <v>0</v>
      </c>
      <c r="C636" s="7" t="str">
        <f>Raw_Bookings!D636&amp;""</f>
        <v>2026-08-27</v>
      </c>
      <c r="D636" s="7" t="str">
        <f>IF(AND(LEN(C636)=10,MID(C636,5,1)="-",MID(C636,8,1)="-"),"ISO",IF(AND(LEN(C636)=10,MID(C636,3,1)="-",MID(C636,6,1)="-"),"DMY","OTHER"))</f>
        <v>ISO</v>
      </c>
      <c r="E636" s="7">
        <f>IF(D636="ISO",VALUE(LEFT(C636,4)),IF(D636="DMY",VALUE(RIGHT(C636,4)),0))</f>
        <v>2026</v>
      </c>
      <c r="F636" s="7">
        <f>IF(D636="ISO",VALUE(MID(C636,6,2)),IF(D636="DMY",VALUE(MID(C636,4,2)),0))</f>
        <v>8</v>
      </c>
      <c r="G636" s="7">
        <f>IF(D636="ISO",VALUE(RIGHT(C636,2)),IF(D636="DMY",VALUE(LEFT(C636,2)),0))</f>
        <v>27</v>
      </c>
      <c r="H636" s="7">
        <f>IF(AND(D636&lt;&gt;"OTHER",F636&gt;=1,F636&lt;=12,G636&gt;=1,G636&lt;=31),IF(AND(MONTH(DATE(E636,F636,G636))=F636,DAY(DATE(E636,F636,G636))=G636),1,0),0)</f>
        <v>1</v>
      </c>
      <c r="I636" s="7">
        <f>IF(H636=1,DATE(E636,F636,G636),"")</f>
        <v>46261.0</v>
      </c>
      <c r="J636" s="7">
        <f>IF(AND(D636="DMY",H636=1),1,0)</f>
        <v>0</v>
      </c>
      <c r="K636" s="7">
        <f>IF(H636=0,1,0)</f>
        <v>0</v>
      </c>
      <c r="L636" s="7">
        <f>IF(TRIM(Raw_Bookings!I636&amp;"")="",1,0)</f>
        <v>0</v>
      </c>
      <c r="M636" s="7">
        <f>IF(L636=1,"",DATEVALUE(LEFT(Raw_Bookings!I636,10))+TIMEVALUE(MID(Raw_Bookings!I636,12,8)))</f>
        <v>46256.00034722222</v>
      </c>
      <c r="N636" s="7">
        <f>IF(AND(L636=0,H636=1),IF(INT(M636)&gt;I636,1,0),0)</f>
        <v>0</v>
      </c>
      <c r="O636" s="7" t="str">
        <f>UPPER(TRIM(Raw_Bookings!F636))</f>
        <v>VAR</v>
      </c>
      <c r="P636" s="7" t="str">
        <f>UPPER(TRIM(Raw_Bookings!G636))</f>
        <v>AHM</v>
      </c>
      <c r="Q636" s="7">
        <f>IF(COUNTIF(Lookup_Stations!$A$2:$A$33,O636)&gt;0,1,0)</f>
        <v>1</v>
      </c>
      <c r="R636" s="7">
        <f>IF(COUNTIF(Lookup_Stations!$A$2:$A$33,P636)&gt;0,1,0)</f>
        <v>1</v>
      </c>
      <c r="S636" s="7">
        <f>IF(OR(AND(Q636=1,NOT(EXACT(Raw_Bookings!F636,O636))),AND(R636=1,NOT(EXACT(Raw_Bookings!G636,P636)))),1,0)</f>
        <v>0</v>
      </c>
      <c r="T636" s="7">
        <f>IF(OR(Q636=0,R636=0),1,0)</f>
        <v>0</v>
      </c>
      <c r="U636" s="7">
        <f>IF(TRIM(Raw_Bookings!E636&amp;"")="",1,0)</f>
        <v>0</v>
      </c>
      <c r="V636" s="7" t="str">
        <f>IF(SUMPRODUCT(--(Lookup_Status!$A$2:$A$13=LOWER(TRIM(Raw_Bookings!K636))))=0,"",INDEX(Lookup_Status!$B$2:$B$13,SUMPRODUCT((Lookup_Status!$A$2:$A$13=LOWER(TRIM(Raw_Bookings!K636)))*(ROW(Lookup_Status!$A$2:$A$13)-1))))</f>
        <v>Confirmed</v>
      </c>
      <c r="W636" s="7">
        <f>IF(AND(V636&lt;&gt;"",NOT(EXACT(Raw_Bookings!K636,V636))),1,0)</f>
        <v>0</v>
      </c>
      <c r="X636" s="7">
        <f>IF(V636="",1,0)</f>
        <v>0</v>
      </c>
      <c r="Y636" s="7">
        <f>IF(TRIM(Raw_Bookings!L636&amp;"")="",1,0)</f>
        <v>0</v>
      </c>
      <c r="Z636" s="7">
        <f>IF(AND(ISTEXT(Raw_Bookings!L636),Y636=0),1,0)</f>
        <v>0</v>
      </c>
      <c r="AA636" s="7">
        <f>IF(Z636=1,IFERROR(VALUE(SUBSTITUTE(SUBSTITUTE(SUBSTITUTE(SUBSTITUTE(SUBSTITUTE(UPPER(Raw_Bookings!L636),"RS.",""),"₹",""),",","")," ",""),"INR","")),""),"")</f>
        <v/>
      </c>
      <c r="AB636" s="7">
        <f>IF(AND(Z636=1,ISNUMBER(AA636)),1,0)</f>
        <v>0</v>
      </c>
      <c r="AC636" s="7">
        <f>IF(B636=1,0,IF(NOT(ISNUMBER(Raw_Bookings!J636)),1,IF(Raw_Bookings!J636&lt;&gt;COUNTIFS(Work_Passengers!$B$2:$B$1336,Raw_Bookings!A636,Work_Passengers!$C$2:$C$1336,0),1,0)))</f>
        <v>0</v>
      </c>
    </row>
    <row r="637" spans="1:29">
      <c r="A637" s="7">
        <f>Raw_Bookings!A637</f>
        <v>1201444</v>
      </c>
      <c r="B637" s="7">
        <f>IF(COUNTIF(Raw_Bookings!$A$2:A637,Raw_Bookings!A637)&gt;1,1,0)</f>
        <v>0</v>
      </c>
      <c r="C637" s="7" t="str">
        <f>Raw_Bookings!D637&amp;""</f>
        <v>2026-08-28</v>
      </c>
      <c r="D637" s="7" t="str">
        <f>IF(AND(LEN(C637)=10,MID(C637,5,1)="-",MID(C637,8,1)="-"),"ISO",IF(AND(LEN(C637)=10,MID(C637,3,1)="-",MID(C637,6,1)="-"),"DMY","OTHER"))</f>
        <v>ISO</v>
      </c>
      <c r="E637" s="7">
        <f>IF(D637="ISO",VALUE(LEFT(C637,4)),IF(D637="DMY",VALUE(RIGHT(C637,4)),0))</f>
        <v>2026</v>
      </c>
      <c r="F637" s="7">
        <f>IF(D637="ISO",VALUE(MID(C637,6,2)),IF(D637="DMY",VALUE(MID(C637,4,2)),0))</f>
        <v>8</v>
      </c>
      <c r="G637" s="7">
        <f>IF(D637="ISO",VALUE(RIGHT(C637,2)),IF(D637="DMY",VALUE(LEFT(C637,2)),0))</f>
        <v>28</v>
      </c>
      <c r="H637" s="7">
        <f>IF(AND(D637&lt;&gt;"OTHER",F637&gt;=1,F637&lt;=12,G637&gt;=1,G637&lt;=31),IF(AND(MONTH(DATE(E637,F637,G637))=F637,DAY(DATE(E637,F637,G637))=G637),1,0),0)</f>
        <v>1</v>
      </c>
      <c r="I637" s="7">
        <f>IF(H637=1,DATE(E637,F637,G637),"")</f>
        <v>46262.0</v>
      </c>
      <c r="J637" s="7">
        <f>IF(AND(D637="DMY",H637=1),1,0)</f>
        <v>0</v>
      </c>
      <c r="K637" s="7">
        <f>IF(H637=0,1,0)</f>
        <v>0</v>
      </c>
      <c r="L637" s="7">
        <f>IF(TRIM(Raw_Bookings!I637&amp;"")="",1,0)</f>
        <v>0</v>
      </c>
      <c r="M637" s="7">
        <f>IF(L637=1,"",DATEVALUE(LEFT(Raw_Bookings!I637,10))+TIMEVALUE(MID(Raw_Bookings!I637,12,8)))</f>
        <v>46256.825902777775</v>
      </c>
      <c r="N637" s="7">
        <f>IF(AND(L637=0,H637=1),IF(INT(M637)&gt;I637,1,0),0)</f>
        <v>0</v>
      </c>
      <c r="O637" s="7" t="str">
        <f>UPPER(TRIM(Raw_Bookings!F637))</f>
        <v>JOD</v>
      </c>
      <c r="P637" s="7" t="str">
        <f>UPPER(TRIM(Raw_Bookings!G637))</f>
        <v>BEN</v>
      </c>
      <c r="Q637" s="7">
        <f>IF(COUNTIF(Lookup_Stations!$A$2:$A$33,O637)&gt;0,1,0)</f>
        <v>1</v>
      </c>
      <c r="R637" s="7">
        <f>IF(COUNTIF(Lookup_Stations!$A$2:$A$33,P637)&gt;0,1,0)</f>
        <v>1</v>
      </c>
      <c r="S637" s="7">
        <f>IF(OR(AND(Q637=1,NOT(EXACT(Raw_Bookings!F637,O637))),AND(R637=1,NOT(EXACT(Raw_Bookings!G637,P637)))),1,0)</f>
        <v>0</v>
      </c>
      <c r="T637" s="7">
        <f>IF(OR(Q637=0,R637=0),1,0)</f>
        <v>0</v>
      </c>
      <c r="U637" s="7">
        <f>IF(TRIM(Raw_Bookings!E637&amp;"")="",1,0)</f>
        <v>0</v>
      </c>
      <c r="V637" s="7" t="str">
        <f>IF(SUMPRODUCT(--(Lookup_Status!$A$2:$A$13=LOWER(TRIM(Raw_Bookings!K637))))=0,"",INDEX(Lookup_Status!$B$2:$B$13,SUMPRODUCT((Lookup_Status!$A$2:$A$13=LOWER(TRIM(Raw_Bookings!K637)))*(ROW(Lookup_Status!$A$2:$A$13)-1))))</f>
        <v>Confirmed</v>
      </c>
      <c r="W637" s="7">
        <f>IF(AND(V637&lt;&gt;"",NOT(EXACT(Raw_Bookings!K637,V637))),1,0)</f>
        <v>0</v>
      </c>
      <c r="X637" s="7">
        <f>IF(V637="",1,0)</f>
        <v>0</v>
      </c>
      <c r="Y637" s="7">
        <f>IF(TRIM(Raw_Bookings!L637&amp;"")="",1,0)</f>
        <v>0</v>
      </c>
      <c r="Z637" s="7">
        <f>IF(AND(ISTEXT(Raw_Bookings!L637),Y637=0),1,0)</f>
        <v>0</v>
      </c>
      <c r="AA637" s="7">
        <f>IF(Z637=1,IFERROR(VALUE(SUBSTITUTE(SUBSTITUTE(SUBSTITUTE(SUBSTITUTE(SUBSTITUTE(UPPER(Raw_Bookings!L637),"RS.",""),"₹",""),",","")," ",""),"INR","")),""),"")</f>
        <v/>
      </c>
      <c r="AB637" s="7">
        <f>IF(AND(Z637=1,ISNUMBER(AA637)),1,0)</f>
        <v>0</v>
      </c>
      <c r="AC637" s="7">
        <f>IF(B637=1,0,IF(NOT(ISNUMBER(Raw_Bookings!J637)),1,IF(Raw_Bookings!J637&lt;&gt;COUNTIFS(Work_Passengers!$B$2:$B$1336,Raw_Bookings!A637,Work_Passengers!$C$2:$C$1336,0),1,0)))</f>
        <v>0</v>
      </c>
    </row>
    <row r="638" spans="1:29">
      <c r="A638" s="7">
        <f>Raw_Bookings!A638</f>
        <v>1201825</v>
      </c>
      <c r="B638" s="7">
        <f>IF(COUNTIF(Raw_Bookings!$A$2:A638,Raw_Bookings!A638)&gt;1,1,0)</f>
        <v>0</v>
      </c>
      <c r="C638" s="7" t="str">
        <f>Raw_Bookings!D638&amp;""</f>
        <v>2026-08-31</v>
      </c>
      <c r="D638" s="7" t="str">
        <f>IF(AND(LEN(C638)=10,MID(C638,5,1)="-",MID(C638,8,1)="-"),"ISO",IF(AND(LEN(C638)=10,MID(C638,3,1)="-",MID(C638,6,1)="-"),"DMY","OTHER"))</f>
        <v>ISO</v>
      </c>
      <c r="E638" s="7">
        <f>IF(D638="ISO",VALUE(LEFT(C638,4)),IF(D638="DMY",VALUE(RIGHT(C638,4)),0))</f>
        <v>2026</v>
      </c>
      <c r="F638" s="7">
        <f>IF(D638="ISO",VALUE(MID(C638,6,2)),IF(D638="DMY",VALUE(MID(C638,4,2)),0))</f>
        <v>8</v>
      </c>
      <c r="G638" s="7">
        <f>IF(D638="ISO",VALUE(RIGHT(C638,2)),IF(D638="DMY",VALUE(LEFT(C638,2)),0))</f>
        <v>31</v>
      </c>
      <c r="H638" s="7">
        <f>IF(AND(D638&lt;&gt;"OTHER",F638&gt;=1,F638&lt;=12,G638&gt;=1,G638&lt;=31),IF(AND(MONTH(DATE(E638,F638,G638))=F638,DAY(DATE(E638,F638,G638))=G638),1,0),0)</f>
        <v>1</v>
      </c>
      <c r="I638" s="7">
        <f>IF(H638=1,DATE(E638,F638,G638),"")</f>
        <v>46265.0</v>
      </c>
      <c r="J638" s="7">
        <f>IF(AND(D638="DMY",H638=1),1,0)</f>
        <v>0</v>
      </c>
      <c r="K638" s="7">
        <f>IF(H638=0,1,0)</f>
        <v>0</v>
      </c>
      <c r="L638" s="7">
        <f>IF(TRIM(Raw_Bookings!I638&amp;"")="",1,0)</f>
        <v>0</v>
      </c>
      <c r="M638" s="7">
        <f>IF(L638=1,"",DATEVALUE(LEFT(Raw_Bookings!I638,10))+TIMEVALUE(MID(Raw_Bookings!I638,12,8)))</f>
        <v>46262.399143518516</v>
      </c>
      <c r="N638" s="7">
        <f>IF(AND(L638=0,H638=1),IF(INT(M638)&gt;I638,1,0),0)</f>
        <v>0</v>
      </c>
      <c r="O638" s="7" t="str">
        <f>UPPER(TRIM(Raw_Bookings!F638))</f>
        <v>BHO</v>
      </c>
      <c r="P638" s="7" t="str">
        <f>UPPER(TRIM(Raw_Bookings!G638))</f>
        <v>GUW</v>
      </c>
      <c r="Q638" s="7">
        <f>IF(COUNTIF(Lookup_Stations!$A$2:$A$33,O638)&gt;0,1,0)</f>
        <v>1</v>
      </c>
      <c r="R638" s="7">
        <f>IF(COUNTIF(Lookup_Stations!$A$2:$A$33,P638)&gt;0,1,0)</f>
        <v>1</v>
      </c>
      <c r="S638" s="7">
        <f>IF(OR(AND(Q638=1,NOT(EXACT(Raw_Bookings!F638,O638))),AND(R638=1,NOT(EXACT(Raw_Bookings!G638,P638)))),1,0)</f>
        <v>0</v>
      </c>
      <c r="T638" s="7">
        <f>IF(OR(Q638=0,R638=0),1,0)</f>
        <v>0</v>
      </c>
      <c r="U638" s="7">
        <f>IF(TRIM(Raw_Bookings!E638&amp;"")="",1,0)</f>
        <v>0</v>
      </c>
      <c r="V638" s="7" t="str">
        <f>IF(SUMPRODUCT(--(Lookup_Status!$A$2:$A$13=LOWER(TRIM(Raw_Bookings!K638))))=0,"",INDEX(Lookup_Status!$B$2:$B$13,SUMPRODUCT((Lookup_Status!$A$2:$A$13=LOWER(TRIM(Raw_Bookings!K638)))*(ROW(Lookup_Status!$A$2:$A$13)-1))))</f>
        <v>Cancelled</v>
      </c>
      <c r="W638" s="7">
        <f>IF(AND(V638&lt;&gt;"",NOT(EXACT(Raw_Bookings!K638,V638))),1,0)</f>
        <v>0</v>
      </c>
      <c r="X638" s="7">
        <f>IF(V638="",1,0)</f>
        <v>0</v>
      </c>
      <c r="Y638" s="7">
        <f>IF(TRIM(Raw_Bookings!L638&amp;"")="",1,0)</f>
        <v>0</v>
      </c>
      <c r="Z638" s="7">
        <f>IF(AND(ISTEXT(Raw_Bookings!L638),Y638=0),1,0)</f>
        <v>0</v>
      </c>
      <c r="AA638" s="7">
        <f>IF(Z638=1,IFERROR(VALUE(SUBSTITUTE(SUBSTITUTE(SUBSTITUTE(SUBSTITUTE(SUBSTITUTE(UPPER(Raw_Bookings!L638),"RS.",""),"₹",""),",","")," ",""),"INR","")),""),"")</f>
        <v/>
      </c>
      <c r="AB638" s="7">
        <f>IF(AND(Z638=1,ISNUMBER(AA638)),1,0)</f>
        <v>0</v>
      </c>
      <c r="AC638" s="7">
        <f>IF(B638=1,0,IF(NOT(ISNUMBER(Raw_Bookings!J638)),1,IF(Raw_Bookings!J638&lt;&gt;COUNTIFS(Work_Passengers!$B$2:$B$1336,Raw_Bookings!A638,Work_Passengers!$C$2:$C$1336,0),1,0)))</f>
        <v>0</v>
      </c>
    </row>
    <row r="639" spans="1:29">
      <c r="A639" s="7">
        <f>Raw_Bookings!A639</f>
        <v>1201915</v>
      </c>
      <c r="B639" s="7">
        <f>IF(COUNTIF(Raw_Bookings!$A$2:A639,Raw_Bookings!A639)&gt;1,1,0)</f>
        <v>0</v>
      </c>
      <c r="C639" s="7" t="str">
        <f>Raw_Bookings!D639&amp;""</f>
        <v>2026-08-31</v>
      </c>
      <c r="D639" s="7" t="str">
        <f>IF(AND(LEN(C639)=10,MID(C639,5,1)="-",MID(C639,8,1)="-"),"ISO",IF(AND(LEN(C639)=10,MID(C639,3,1)="-",MID(C639,6,1)="-"),"DMY","OTHER"))</f>
        <v>ISO</v>
      </c>
      <c r="E639" s="7">
        <f>IF(D639="ISO",VALUE(LEFT(C639,4)),IF(D639="DMY",VALUE(RIGHT(C639,4)),0))</f>
        <v>2026</v>
      </c>
      <c r="F639" s="7">
        <f>IF(D639="ISO",VALUE(MID(C639,6,2)),IF(D639="DMY",VALUE(MID(C639,4,2)),0))</f>
        <v>8</v>
      </c>
      <c r="G639" s="7">
        <f>IF(D639="ISO",VALUE(RIGHT(C639,2)),IF(D639="DMY",VALUE(LEFT(C639,2)),0))</f>
        <v>31</v>
      </c>
      <c r="H639" s="7">
        <f>IF(AND(D639&lt;&gt;"OTHER",F639&gt;=1,F639&lt;=12,G639&gt;=1,G639&lt;=31),IF(AND(MONTH(DATE(E639,F639,G639))=F639,DAY(DATE(E639,F639,G639))=G639),1,0),0)</f>
        <v>1</v>
      </c>
      <c r="I639" s="7">
        <f>IF(H639=1,DATE(E639,F639,G639),"")</f>
        <v>46265.0</v>
      </c>
      <c r="J639" s="7">
        <f>IF(AND(D639="DMY",H639=1),1,0)</f>
        <v>0</v>
      </c>
      <c r="K639" s="7">
        <f>IF(H639=0,1,0)</f>
        <v>0</v>
      </c>
      <c r="L639" s="7">
        <f>IF(TRIM(Raw_Bookings!I639&amp;"")="",1,0)</f>
        <v>1</v>
      </c>
      <c r="M639" s="7">
        <f>IF(L639=1,"",DATEVALUE(LEFT(Raw_Bookings!I639,10))+TIMEVALUE(MID(Raw_Bookings!I639,12,8)))</f>
        <v/>
      </c>
      <c r="N639" s="7">
        <f>IF(AND(L639=0,H639=1),IF(INT(M639)&gt;I639,1,0),0)</f>
        <v>0</v>
      </c>
      <c r="O639" s="7" t="str">
        <f>UPPER(TRIM(Raw_Bookings!F639))</f>
        <v>BHO</v>
      </c>
      <c r="P639" s="7" t="str">
        <f>UPPER(TRIM(Raw_Bookings!G639))</f>
        <v>GUW</v>
      </c>
      <c r="Q639" s="7">
        <f>IF(COUNTIF(Lookup_Stations!$A$2:$A$33,O639)&gt;0,1,0)</f>
        <v>1</v>
      </c>
      <c r="R639" s="7">
        <f>IF(COUNTIF(Lookup_Stations!$A$2:$A$33,P639)&gt;0,1,0)</f>
        <v>1</v>
      </c>
      <c r="S639" s="7">
        <f>IF(OR(AND(Q639=1,NOT(EXACT(Raw_Bookings!F639,O639))),AND(R639=1,NOT(EXACT(Raw_Bookings!G639,P639)))),1,0)</f>
        <v>0</v>
      </c>
      <c r="T639" s="7">
        <f>IF(OR(Q639=0,R639=0),1,0)</f>
        <v>0</v>
      </c>
      <c r="U639" s="7">
        <f>IF(TRIM(Raw_Bookings!E639&amp;"")="",1,0)</f>
        <v>0</v>
      </c>
      <c r="V639" s="7" t="str">
        <f>IF(SUMPRODUCT(--(Lookup_Status!$A$2:$A$13=LOWER(TRIM(Raw_Bookings!K639))))=0,"",INDEX(Lookup_Status!$B$2:$B$13,SUMPRODUCT((Lookup_Status!$A$2:$A$13=LOWER(TRIM(Raw_Bookings!K639)))*(ROW(Lookup_Status!$A$2:$A$13)-1))))</f>
        <v>Confirmed</v>
      </c>
      <c r="W639" s="7">
        <f>IF(AND(V639&lt;&gt;"",NOT(EXACT(Raw_Bookings!K639,V639))),1,0)</f>
        <v>0</v>
      </c>
      <c r="X639" s="7">
        <f>IF(V639="",1,0)</f>
        <v>0</v>
      </c>
      <c r="Y639" s="7">
        <f>IF(TRIM(Raw_Bookings!L639&amp;"")="",1,0)</f>
        <v>0</v>
      </c>
      <c r="Z639" s="7">
        <f>IF(AND(ISTEXT(Raw_Bookings!L639),Y639=0),1,0)</f>
        <v>0</v>
      </c>
      <c r="AA639" s="7">
        <f>IF(Z639=1,IFERROR(VALUE(SUBSTITUTE(SUBSTITUTE(SUBSTITUTE(SUBSTITUTE(SUBSTITUTE(UPPER(Raw_Bookings!L639),"RS.",""),"₹",""),",","")," ",""),"INR","")),""),"")</f>
        <v/>
      </c>
      <c r="AB639" s="7">
        <f>IF(AND(Z639=1,ISNUMBER(AA639)),1,0)</f>
        <v>0</v>
      </c>
      <c r="AC639" s="7">
        <f>IF(B639=1,0,IF(NOT(ISNUMBER(Raw_Bookings!J639)),1,IF(Raw_Bookings!J639&lt;&gt;COUNTIFS(Work_Passengers!$B$2:$B$1336,Raw_Bookings!A639,Work_Passengers!$C$2:$C$1336,0),1,0)))</f>
        <v>0</v>
      </c>
    </row>
    <row r="640" spans="1:29">
      <c r="A640" s="7">
        <f>Raw_Bookings!A640</f>
        <v>1126291</v>
      </c>
      <c r="B640" s="7">
        <f>IF(COUNTIF(Raw_Bookings!$A$2:A640,Raw_Bookings!A640)&gt;1,1,0)</f>
        <v>1</v>
      </c>
      <c r="C640" s="7" t="str">
        <f>Raw_Bookings!D640&amp;""</f>
        <v>2026-03-11</v>
      </c>
      <c r="D640" s="7" t="str">
        <f>IF(AND(LEN(C640)=10,MID(C640,5,1)="-",MID(C640,8,1)="-"),"ISO",IF(AND(LEN(C640)=10,MID(C640,3,1)="-",MID(C640,6,1)="-"),"DMY","OTHER"))</f>
        <v>ISO</v>
      </c>
      <c r="E640" s="7">
        <f>IF(D640="ISO",VALUE(LEFT(C640,4)),IF(D640="DMY",VALUE(RIGHT(C640,4)),0))</f>
        <v>2026</v>
      </c>
      <c r="F640" s="7">
        <f>IF(D640="ISO",VALUE(MID(C640,6,2)),IF(D640="DMY",VALUE(MID(C640,4,2)),0))</f>
        <v>3</v>
      </c>
      <c r="G640" s="7">
        <f>IF(D640="ISO",VALUE(RIGHT(C640,2)),IF(D640="DMY",VALUE(LEFT(C640,2)),0))</f>
        <v>11</v>
      </c>
      <c r="H640" s="7">
        <f>IF(AND(D640&lt;&gt;"OTHER",F640&gt;=1,F640&lt;=12,G640&gt;=1,G640&lt;=31),IF(AND(MONTH(DATE(E640,F640,G640))=F640,DAY(DATE(E640,F640,G640))=G640),1,0),0)</f>
        <v>1</v>
      </c>
      <c r="I640" s="7">
        <f>IF(H640=1,DATE(E640,F640,G640),"")</f>
        <v>46092.0</v>
      </c>
      <c r="J640" s="7">
        <f>IF(AND(D640="DMY",H640=1),1,0)</f>
        <v>0</v>
      </c>
      <c r="K640" s="7">
        <f>IF(H640=0,1,0)</f>
        <v>0</v>
      </c>
      <c r="L640" s="7">
        <f>IF(TRIM(Raw_Bookings!I640&amp;"")="",1,0)</f>
        <v>0</v>
      </c>
      <c r="M640" s="7">
        <f>IF(L640=1,"",DATEVALUE(LEFT(Raw_Bookings!I640,10))+TIMEVALUE(MID(Raw_Bookings!I640,12,8)))</f>
        <v>45981.85076388889</v>
      </c>
      <c r="N640" s="7">
        <f>IF(AND(L640=0,H640=1),IF(INT(M640)&gt;I640,1,0),0)</f>
        <v>0</v>
      </c>
      <c r="O640" s="7" t="str">
        <f>UPPER(TRIM(Raw_Bookings!F640))</f>
        <v>MAU</v>
      </c>
      <c r="P640" s="7" t="str">
        <f>UPPER(TRIM(Raw_Bookings!G640))</f>
        <v>DEL</v>
      </c>
      <c r="Q640" s="7">
        <f>IF(COUNTIF(Lookup_Stations!$A$2:$A$33,O640)&gt;0,1,0)</f>
        <v>1</v>
      </c>
      <c r="R640" s="7">
        <f>IF(COUNTIF(Lookup_Stations!$A$2:$A$33,P640)&gt;0,1,0)</f>
        <v>1</v>
      </c>
      <c r="S640" s="7">
        <f>IF(OR(AND(Q640=1,NOT(EXACT(Raw_Bookings!F640,O640))),AND(R640=1,NOT(EXACT(Raw_Bookings!G640,P640)))),1,0)</f>
        <v>0</v>
      </c>
      <c r="T640" s="7">
        <f>IF(OR(Q640=0,R640=0),1,0)</f>
        <v>0</v>
      </c>
      <c r="U640" s="7">
        <f>IF(TRIM(Raw_Bookings!E640&amp;"")="",1,0)</f>
        <v>0</v>
      </c>
      <c r="V640" s="7" t="str">
        <f>IF(SUMPRODUCT(--(Lookup_Status!$A$2:$A$13=LOWER(TRIM(Raw_Bookings!K640))))=0,"",INDEX(Lookup_Status!$B$2:$B$13,SUMPRODUCT((Lookup_Status!$A$2:$A$13=LOWER(TRIM(Raw_Bookings!K640)))*(ROW(Lookup_Status!$A$2:$A$13)-1))))</f>
        <v>Cancelled</v>
      </c>
      <c r="W640" s="7">
        <f>IF(AND(V640&lt;&gt;"",NOT(EXACT(Raw_Bookings!K640,V640))),1,0)</f>
        <v>0</v>
      </c>
      <c r="X640" s="7">
        <f>IF(V640="",1,0)</f>
        <v>0</v>
      </c>
      <c r="Y640" s="7">
        <f>IF(TRIM(Raw_Bookings!L640&amp;"")="",1,0)</f>
        <v>0</v>
      </c>
      <c r="Z640" s="7">
        <f>IF(AND(ISTEXT(Raw_Bookings!L640),Y640=0),1,0)</f>
        <v>0</v>
      </c>
      <c r="AA640" s="7">
        <f>IF(Z640=1,IFERROR(VALUE(SUBSTITUTE(SUBSTITUTE(SUBSTITUTE(SUBSTITUTE(SUBSTITUTE(UPPER(Raw_Bookings!L640),"RS.",""),"₹",""),",","")," ",""),"INR","")),""),"")</f>
        <v/>
      </c>
      <c r="AB640" s="7">
        <f>IF(AND(Z640=1,ISNUMBER(AA640)),1,0)</f>
        <v>0</v>
      </c>
      <c r="AC640" s="7">
        <f>IF(B640=1,0,IF(NOT(ISNUMBER(Raw_Bookings!J640)),1,IF(Raw_Bookings!J640&lt;&gt;COUNTIFS(Work_Passengers!$B$2:$B$1336,Raw_Bookings!A640,Work_Passengers!$C$2:$C$1336,0),1,0)))</f>
        <v>0</v>
      </c>
    </row>
    <row r="641" spans="1:29">
      <c r="A641" s="7">
        <f>Raw_Bookings!A641</f>
        <v>1098923</v>
      </c>
      <c r="B641" s="7">
        <f>IF(COUNTIF(Raw_Bookings!$A$2:A641,Raw_Bookings!A641)&gt;1,1,0)</f>
        <v>1</v>
      </c>
      <c r="C641" s="7" t="str">
        <f>Raw_Bookings!D641&amp;""</f>
        <v>2025-08-18</v>
      </c>
      <c r="D641" s="7" t="str">
        <f>IF(AND(LEN(C641)=10,MID(C641,5,1)="-",MID(C641,8,1)="-"),"ISO",IF(AND(LEN(C641)=10,MID(C641,3,1)="-",MID(C641,6,1)="-"),"DMY","OTHER"))</f>
        <v>ISO</v>
      </c>
      <c r="E641" s="7">
        <f>IF(D641="ISO",VALUE(LEFT(C641,4)),IF(D641="DMY",VALUE(RIGHT(C641,4)),0))</f>
        <v>2025</v>
      </c>
      <c r="F641" s="7">
        <f>IF(D641="ISO",VALUE(MID(C641,6,2)),IF(D641="DMY",VALUE(MID(C641,4,2)),0))</f>
        <v>8</v>
      </c>
      <c r="G641" s="7">
        <f>IF(D641="ISO",VALUE(RIGHT(C641,2)),IF(D641="DMY",VALUE(LEFT(C641,2)),0))</f>
        <v>18</v>
      </c>
      <c r="H641" s="7">
        <f>IF(AND(D641&lt;&gt;"OTHER",F641&gt;=1,F641&lt;=12,G641&gt;=1,G641&lt;=31),IF(AND(MONTH(DATE(E641,F641,G641))=F641,DAY(DATE(E641,F641,G641))=G641),1,0),0)</f>
        <v>1</v>
      </c>
      <c r="I641" s="7">
        <f>IF(H641=1,DATE(E641,F641,G641),"")</f>
        <v>45887.0</v>
      </c>
      <c r="J641" s="7">
        <f>IF(AND(D641="DMY",H641=1),1,0)</f>
        <v>0</v>
      </c>
      <c r="K641" s="7">
        <f>IF(H641=0,1,0)</f>
        <v>0</v>
      </c>
      <c r="L641" s="7">
        <f>IF(TRIM(Raw_Bookings!I641&amp;"")="",1,0)</f>
        <v>0</v>
      </c>
      <c r="M641" s="7">
        <f>IF(L641=1,"",DATEVALUE(LEFT(Raw_Bookings!I641,10))+TIMEVALUE(MID(Raw_Bookings!I641,12,8)))</f>
        <v>45881.35444444444</v>
      </c>
      <c r="N641" s="7">
        <f>IF(AND(L641=0,H641=1),IF(INT(M641)&gt;I641,1,0),0)</f>
        <v>0</v>
      </c>
      <c r="O641" s="7" t="str">
        <f>UPPER(TRIM(Raw_Bookings!F641))</f>
        <v>BEN</v>
      </c>
      <c r="P641" s="7" t="str">
        <f>UPPER(TRIM(Raw_Bookings!G641))</f>
        <v>MUM</v>
      </c>
      <c r="Q641" s="7">
        <f>IF(COUNTIF(Lookup_Stations!$A$2:$A$33,O641)&gt;0,1,0)</f>
        <v>1</v>
      </c>
      <c r="R641" s="7">
        <f>IF(COUNTIF(Lookup_Stations!$A$2:$A$33,P641)&gt;0,1,0)</f>
        <v>1</v>
      </c>
      <c r="S641" s="7">
        <f>IF(OR(AND(Q641=1,NOT(EXACT(Raw_Bookings!F641,O641))),AND(R641=1,NOT(EXACT(Raw_Bookings!G641,P641)))),1,0)</f>
        <v>0</v>
      </c>
      <c r="T641" s="7">
        <f>IF(OR(Q641=0,R641=0),1,0)</f>
        <v>0</v>
      </c>
      <c r="U641" s="7">
        <f>IF(TRIM(Raw_Bookings!E641&amp;"")="",1,0)</f>
        <v>0</v>
      </c>
      <c r="V641" s="7" t="str">
        <f>IF(SUMPRODUCT(--(Lookup_Status!$A$2:$A$13=LOWER(TRIM(Raw_Bookings!K641))))=0,"",INDEX(Lookup_Status!$B$2:$B$13,SUMPRODUCT((Lookup_Status!$A$2:$A$13=LOWER(TRIM(Raw_Bookings!K641)))*(ROW(Lookup_Status!$A$2:$A$13)-1))))</f>
        <v>Waitlisted</v>
      </c>
      <c r="W641" s="7">
        <f>IF(AND(V641&lt;&gt;"",NOT(EXACT(Raw_Bookings!K641,V641))),1,0)</f>
        <v>0</v>
      </c>
      <c r="X641" s="7">
        <f>IF(V641="",1,0)</f>
        <v>0</v>
      </c>
      <c r="Y641" s="7">
        <f>IF(TRIM(Raw_Bookings!L641&amp;"")="",1,0)</f>
        <v>0</v>
      </c>
      <c r="Z641" s="7">
        <f>IF(AND(ISTEXT(Raw_Bookings!L641),Y641=0),1,0)</f>
        <v>0</v>
      </c>
      <c r="AA641" s="7">
        <f>IF(Z641=1,IFERROR(VALUE(SUBSTITUTE(SUBSTITUTE(SUBSTITUTE(SUBSTITUTE(SUBSTITUTE(UPPER(Raw_Bookings!L641),"RS.",""),"₹",""),",","")," ",""),"INR","")),""),"")</f>
        <v/>
      </c>
      <c r="AB641" s="7">
        <f>IF(AND(Z641=1,ISNUMBER(AA641)),1,0)</f>
        <v>0</v>
      </c>
      <c r="AC641" s="7">
        <f>IF(B641=1,0,IF(NOT(ISNUMBER(Raw_Bookings!J641)),1,IF(Raw_Bookings!J641&lt;&gt;COUNTIFS(Work_Passengers!$B$2:$B$1336,Raw_Bookings!A641,Work_Passengers!$C$2:$C$1336,0),1,0)))</f>
        <v>0</v>
      </c>
    </row>
    <row r="642" spans="1:29">
      <c r="A642" s="7">
        <f>Raw_Bookings!A642</f>
        <v>1000611</v>
      </c>
      <c r="B642" s="7">
        <f>IF(COUNTIF(Raw_Bookings!$A$2:A642,Raw_Bookings!A642)&gt;1,1,0)</f>
        <v>1</v>
      </c>
      <c r="C642" s="7" t="str">
        <f>Raw_Bookings!D642&amp;""</f>
        <v>2024-09-04</v>
      </c>
      <c r="D642" s="7" t="str">
        <f>IF(AND(LEN(C642)=10,MID(C642,5,1)="-",MID(C642,8,1)="-"),"ISO",IF(AND(LEN(C642)=10,MID(C642,3,1)="-",MID(C642,6,1)="-"),"DMY","OTHER"))</f>
        <v>ISO</v>
      </c>
      <c r="E642" s="7">
        <f>IF(D642="ISO",VALUE(LEFT(C642,4)),IF(D642="DMY",VALUE(RIGHT(C642,4)),0))</f>
        <v>2024</v>
      </c>
      <c r="F642" s="7">
        <f>IF(D642="ISO",VALUE(MID(C642,6,2)),IF(D642="DMY",VALUE(MID(C642,4,2)),0))</f>
        <v>9</v>
      </c>
      <c r="G642" s="7">
        <f>IF(D642="ISO",VALUE(RIGHT(C642,2)),IF(D642="DMY",VALUE(LEFT(C642,2)),0))</f>
        <v>4</v>
      </c>
      <c r="H642" s="7">
        <f>IF(AND(D642&lt;&gt;"OTHER",F642&gt;=1,F642&lt;=12,G642&gt;=1,G642&lt;=31),IF(AND(MONTH(DATE(E642,F642,G642))=F642,DAY(DATE(E642,F642,G642))=G642),1,0),0)</f>
        <v>1</v>
      </c>
      <c r="I642" s="7">
        <f>IF(H642=1,DATE(E642,F642,G642),"")</f>
        <v>45539.0</v>
      </c>
      <c r="J642" s="7">
        <f>IF(AND(D642="DMY",H642=1),1,0)</f>
        <v>0</v>
      </c>
      <c r="K642" s="7">
        <f>IF(H642=0,1,0)</f>
        <v>0</v>
      </c>
      <c r="L642" s="7">
        <f>IF(TRIM(Raw_Bookings!I642&amp;"")="",1,0)</f>
        <v>0</v>
      </c>
      <c r="M642" s="7">
        <f>IF(L642=1,"",DATEVALUE(LEFT(Raw_Bookings!I642,10))+TIMEVALUE(MID(Raw_Bookings!I642,12,8)))</f>
        <v>45470.842002314814</v>
      </c>
      <c r="N642" s="7">
        <f>IF(AND(L642=0,H642=1),IF(INT(M642)&gt;I642,1,0),0)</f>
        <v>0</v>
      </c>
      <c r="O642" s="7" t="str">
        <f>UPPER(TRIM(Raw_Bookings!F642))</f>
        <v>MAU</v>
      </c>
      <c r="P642" s="7" t="str">
        <f>UPPER(TRIM(Raw_Bookings!G642))</f>
        <v>DEL</v>
      </c>
      <c r="Q642" s="7">
        <f>IF(COUNTIF(Lookup_Stations!$A$2:$A$33,O642)&gt;0,1,0)</f>
        <v>1</v>
      </c>
      <c r="R642" s="7">
        <f>IF(COUNTIF(Lookup_Stations!$A$2:$A$33,P642)&gt;0,1,0)</f>
        <v>1</v>
      </c>
      <c r="S642" s="7">
        <f>IF(OR(AND(Q642=1,NOT(EXACT(Raw_Bookings!F642,O642))),AND(R642=1,NOT(EXACT(Raw_Bookings!G642,P642)))),1,0)</f>
        <v>0</v>
      </c>
      <c r="T642" s="7">
        <f>IF(OR(Q642=0,R642=0),1,0)</f>
        <v>0</v>
      </c>
      <c r="U642" s="7">
        <f>IF(TRIM(Raw_Bookings!E642&amp;"")="",1,0)</f>
        <v>0</v>
      </c>
      <c r="V642" s="7" t="str">
        <f>IF(SUMPRODUCT(--(Lookup_Status!$A$2:$A$13=LOWER(TRIM(Raw_Bookings!K642))))=0,"",INDEX(Lookup_Status!$B$2:$B$13,SUMPRODUCT((Lookup_Status!$A$2:$A$13=LOWER(TRIM(Raw_Bookings!K642)))*(ROW(Lookup_Status!$A$2:$A$13)-1))))</f>
        <v>Confirmed</v>
      </c>
      <c r="W642" s="7">
        <f>IF(AND(V642&lt;&gt;"",NOT(EXACT(Raw_Bookings!K642,V642))),1,0)</f>
        <v>0</v>
      </c>
      <c r="X642" s="7">
        <f>IF(V642="",1,0)</f>
        <v>0</v>
      </c>
      <c r="Y642" s="7">
        <f>IF(TRIM(Raw_Bookings!L642&amp;"")="",1,0)</f>
        <v>0</v>
      </c>
      <c r="Z642" s="7">
        <f>IF(AND(ISTEXT(Raw_Bookings!L642),Y642=0),1,0)</f>
        <v>0</v>
      </c>
      <c r="AA642" s="7">
        <f>IF(Z642=1,IFERROR(VALUE(SUBSTITUTE(SUBSTITUTE(SUBSTITUTE(SUBSTITUTE(SUBSTITUTE(UPPER(Raw_Bookings!L642),"RS.",""),"₹",""),",","")," ",""),"INR","")),""),"")</f>
        <v/>
      </c>
      <c r="AB642" s="7">
        <f>IF(AND(Z642=1,ISNUMBER(AA642)),1,0)</f>
        <v>0</v>
      </c>
      <c r="AC642" s="7">
        <f>IF(B642=1,0,IF(NOT(ISNUMBER(Raw_Bookings!J642)),1,IF(Raw_Bookings!J642&lt;&gt;COUNTIFS(Work_Passengers!$B$2:$B$1336,Raw_Bookings!A642,Work_Passengers!$C$2:$C$1336,0),1,0)))</f>
        <v>0</v>
      </c>
    </row>
    <row r="643" spans="1:29">
      <c r="A643" s="7">
        <f>Raw_Bookings!A643</f>
        <v>1064376</v>
      </c>
      <c r="B643" s="7">
        <f>IF(COUNTIF(Raw_Bookings!$A$2:A643,Raw_Bookings!A643)&gt;1,1,0)</f>
        <v>1</v>
      </c>
      <c r="C643" s="7" t="str">
        <f>Raw_Bookings!D643&amp;""</f>
        <v>2025-05-24</v>
      </c>
      <c r="D643" s="7" t="str">
        <f>IF(AND(LEN(C643)=10,MID(C643,5,1)="-",MID(C643,8,1)="-"),"ISO",IF(AND(LEN(C643)=10,MID(C643,3,1)="-",MID(C643,6,1)="-"),"DMY","OTHER"))</f>
        <v>ISO</v>
      </c>
      <c r="E643" s="7">
        <f>IF(D643="ISO",VALUE(LEFT(C643,4)),IF(D643="DMY",VALUE(RIGHT(C643,4)),0))</f>
        <v>2025</v>
      </c>
      <c r="F643" s="7">
        <f>IF(D643="ISO",VALUE(MID(C643,6,2)),IF(D643="DMY",VALUE(MID(C643,4,2)),0))</f>
        <v>5</v>
      </c>
      <c r="G643" s="7">
        <f>IF(D643="ISO",VALUE(RIGHT(C643,2)),IF(D643="DMY",VALUE(LEFT(C643,2)),0))</f>
        <v>24</v>
      </c>
      <c r="H643" s="7">
        <f>IF(AND(D643&lt;&gt;"OTHER",F643&gt;=1,F643&lt;=12,G643&gt;=1,G643&lt;=31),IF(AND(MONTH(DATE(E643,F643,G643))=F643,DAY(DATE(E643,F643,G643))=G643),1,0),0)</f>
        <v>1</v>
      </c>
      <c r="I643" s="7">
        <f>IF(H643=1,DATE(E643,F643,G643),"")</f>
        <v>45801.0</v>
      </c>
      <c r="J643" s="7">
        <f>IF(AND(D643="DMY",H643=1),1,0)</f>
        <v>0</v>
      </c>
      <c r="K643" s="7">
        <f>IF(H643=0,1,0)</f>
        <v>0</v>
      </c>
      <c r="L643" s="7">
        <f>IF(TRIM(Raw_Bookings!I643&amp;"")="",1,0)</f>
        <v>0</v>
      </c>
      <c r="M643" s="7">
        <f>IF(L643=1,"",DATEVALUE(LEFT(Raw_Bookings!I643,10))+TIMEVALUE(MID(Raw_Bookings!I643,12,8)))</f>
        <v>45751.36797453704</v>
      </c>
      <c r="N643" s="7">
        <f>IF(AND(L643=0,H643=1),IF(INT(M643)&gt;I643,1,0),0)</f>
        <v>0</v>
      </c>
      <c r="O643" s="7" t="str">
        <f>UPPER(TRIM(Raw_Bookings!F643))</f>
        <v>DIB</v>
      </c>
      <c r="P643" s="7" t="str">
        <f>UPPER(TRIM(Raw_Bookings!G643))</f>
        <v>DEL</v>
      </c>
      <c r="Q643" s="7">
        <f>IF(COUNTIF(Lookup_Stations!$A$2:$A$33,O643)&gt;0,1,0)</f>
        <v>1</v>
      </c>
      <c r="R643" s="7">
        <f>IF(COUNTIF(Lookup_Stations!$A$2:$A$33,P643)&gt;0,1,0)</f>
        <v>1</v>
      </c>
      <c r="S643" s="7">
        <f>IF(OR(AND(Q643=1,NOT(EXACT(Raw_Bookings!F643,O643))),AND(R643=1,NOT(EXACT(Raw_Bookings!G643,P643)))),1,0)</f>
        <v>0</v>
      </c>
      <c r="T643" s="7">
        <f>IF(OR(Q643=0,R643=0),1,0)</f>
        <v>0</v>
      </c>
      <c r="U643" s="7">
        <f>IF(TRIM(Raw_Bookings!E643&amp;"")="",1,0)</f>
        <v>0</v>
      </c>
      <c r="V643" s="7" t="str">
        <f>IF(SUMPRODUCT(--(Lookup_Status!$A$2:$A$13=LOWER(TRIM(Raw_Bookings!K643))))=0,"",INDEX(Lookup_Status!$B$2:$B$13,SUMPRODUCT((Lookup_Status!$A$2:$A$13=LOWER(TRIM(Raw_Bookings!K643)))*(ROW(Lookup_Status!$A$2:$A$13)-1))))</f>
        <v>Confirmed</v>
      </c>
      <c r="W643" s="7">
        <f>IF(AND(V643&lt;&gt;"",NOT(EXACT(Raw_Bookings!K643,V643))),1,0)</f>
        <v>0</v>
      </c>
      <c r="X643" s="7">
        <f>IF(V643="",1,0)</f>
        <v>0</v>
      </c>
      <c r="Y643" s="7">
        <f>IF(TRIM(Raw_Bookings!L643&amp;"")="",1,0)</f>
        <v>0</v>
      </c>
      <c r="Z643" s="7">
        <f>IF(AND(ISTEXT(Raw_Bookings!L643),Y643=0),1,0)</f>
        <v>0</v>
      </c>
      <c r="AA643" s="7">
        <f>IF(Z643=1,IFERROR(VALUE(SUBSTITUTE(SUBSTITUTE(SUBSTITUTE(SUBSTITUTE(SUBSTITUTE(UPPER(Raw_Bookings!L643),"RS.",""),"₹",""),",","")," ",""),"INR","")),""),"")</f>
        <v/>
      </c>
      <c r="AB643" s="7">
        <f>IF(AND(Z643=1,ISNUMBER(AA643)),1,0)</f>
        <v>0</v>
      </c>
      <c r="AC643" s="7">
        <f>IF(B643=1,0,IF(NOT(ISNUMBER(Raw_Bookings!J643)),1,IF(Raw_Bookings!J643&lt;&gt;COUNTIFS(Work_Passengers!$B$2:$B$1336,Raw_Bookings!A643,Work_Passengers!$C$2:$C$1336,0),1,0)))</f>
        <v>0</v>
      </c>
    </row>
    <row r="644" spans="1:29">
      <c r="A644" s="7">
        <f>Raw_Bookings!A644</f>
        <v>1007455</v>
      </c>
      <c r="B644" s="7">
        <f>IF(COUNTIF(Raw_Bookings!$A$2:A644,Raw_Bookings!A644)&gt;1,1,0)</f>
        <v>1</v>
      </c>
      <c r="C644" s="7" t="str">
        <f>Raw_Bookings!D644&amp;""</f>
        <v>2024-11-02</v>
      </c>
      <c r="D644" s="7" t="str">
        <f>IF(AND(LEN(C644)=10,MID(C644,5,1)="-",MID(C644,8,1)="-"),"ISO",IF(AND(LEN(C644)=10,MID(C644,3,1)="-",MID(C644,6,1)="-"),"DMY","OTHER"))</f>
        <v>ISO</v>
      </c>
      <c r="E644" s="7">
        <f>IF(D644="ISO",VALUE(LEFT(C644,4)),IF(D644="DMY",VALUE(RIGHT(C644,4)),0))</f>
        <v>2024</v>
      </c>
      <c r="F644" s="7">
        <f>IF(D644="ISO",VALUE(MID(C644,6,2)),IF(D644="DMY",VALUE(MID(C644,4,2)),0))</f>
        <v>11</v>
      </c>
      <c r="G644" s="7">
        <f>IF(D644="ISO",VALUE(RIGHT(C644,2)),IF(D644="DMY",VALUE(LEFT(C644,2)),0))</f>
        <v>2</v>
      </c>
      <c r="H644" s="7">
        <f>IF(AND(D644&lt;&gt;"OTHER",F644&gt;=1,F644&lt;=12,G644&gt;=1,G644&lt;=31),IF(AND(MONTH(DATE(E644,F644,G644))=F644,DAY(DATE(E644,F644,G644))=G644),1,0),0)</f>
        <v>1</v>
      </c>
      <c r="I644" s="7">
        <f>IF(H644=1,DATE(E644,F644,G644),"")</f>
        <v>45598.0</v>
      </c>
      <c r="J644" s="7">
        <f>IF(AND(D644="DMY",H644=1),1,0)</f>
        <v>0</v>
      </c>
      <c r="K644" s="7">
        <f>IF(H644=0,1,0)</f>
        <v>0</v>
      </c>
      <c r="L644" s="7">
        <f>IF(TRIM(Raw_Bookings!I644&amp;"")="",1,0)</f>
        <v>0</v>
      </c>
      <c r="M644" s="7">
        <f>IF(L644=1,"",DATEVALUE(LEFT(Raw_Bookings!I644,10))+TIMEVALUE(MID(Raw_Bookings!I644,12,8)))</f>
        <v>45540.54583333333</v>
      </c>
      <c r="N644" s="7">
        <f>IF(AND(L644=0,H644=1),IF(INT(M644)&gt;I644,1,0),0)</f>
        <v>0</v>
      </c>
      <c r="O644" s="7" t="str">
        <f>UPPER(TRIM(Raw_Bookings!F644))</f>
        <v>PAT</v>
      </c>
      <c r="P644" s="7" t="str">
        <f>UPPER(TRIM(Raw_Bookings!G644))</f>
        <v>VIJ</v>
      </c>
      <c r="Q644" s="7">
        <f>IF(COUNTIF(Lookup_Stations!$A$2:$A$33,O644)&gt;0,1,0)</f>
        <v>1</v>
      </c>
      <c r="R644" s="7">
        <f>IF(COUNTIF(Lookup_Stations!$A$2:$A$33,P644)&gt;0,1,0)</f>
        <v>1</v>
      </c>
      <c r="S644" s="7">
        <f>IF(OR(AND(Q644=1,NOT(EXACT(Raw_Bookings!F644,O644))),AND(R644=1,NOT(EXACT(Raw_Bookings!G644,P644)))),1,0)</f>
        <v>0</v>
      </c>
      <c r="T644" s="7">
        <f>IF(OR(Q644=0,R644=0),1,0)</f>
        <v>0</v>
      </c>
      <c r="U644" s="7">
        <f>IF(TRIM(Raw_Bookings!E644&amp;"")="",1,0)</f>
        <v>0</v>
      </c>
      <c r="V644" s="7" t="str">
        <f>IF(SUMPRODUCT(--(Lookup_Status!$A$2:$A$13=LOWER(TRIM(Raw_Bookings!K644))))=0,"",INDEX(Lookup_Status!$B$2:$B$13,SUMPRODUCT((Lookup_Status!$A$2:$A$13=LOWER(TRIM(Raw_Bookings!K644)))*(ROW(Lookup_Status!$A$2:$A$13)-1))))</f>
        <v>Confirmed</v>
      </c>
      <c r="W644" s="7">
        <f>IF(AND(V644&lt;&gt;"",NOT(EXACT(Raw_Bookings!K644,V644))),1,0)</f>
        <v>0</v>
      </c>
      <c r="X644" s="7">
        <f>IF(V644="",1,0)</f>
        <v>0</v>
      </c>
      <c r="Y644" s="7">
        <f>IF(TRIM(Raw_Bookings!L644&amp;"")="",1,0)</f>
        <v>0</v>
      </c>
      <c r="Z644" s="7">
        <f>IF(AND(ISTEXT(Raw_Bookings!L644),Y644=0),1,0)</f>
        <v>0</v>
      </c>
      <c r="AA644" s="7">
        <f>IF(Z644=1,IFERROR(VALUE(SUBSTITUTE(SUBSTITUTE(SUBSTITUTE(SUBSTITUTE(SUBSTITUTE(UPPER(Raw_Bookings!L644),"RS.",""),"₹",""),",","")," ",""),"INR","")),""),"")</f>
        <v/>
      </c>
      <c r="AB644" s="7">
        <f>IF(AND(Z644=1,ISNUMBER(AA644)),1,0)</f>
        <v>0</v>
      </c>
      <c r="AC644" s="7">
        <f>IF(B644=1,0,IF(NOT(ISNUMBER(Raw_Bookings!J644)),1,IF(Raw_Bookings!J644&lt;&gt;COUNTIFS(Work_Passengers!$B$2:$B$1336,Raw_Bookings!A644,Work_Passengers!$C$2:$C$1336,0),1,0)))</f>
        <v>0</v>
      </c>
    </row>
    <row r="645" spans="1:29">
      <c r="A645" s="7">
        <f>Raw_Bookings!A645</f>
        <v>1122534</v>
      </c>
      <c r="B645" s="7">
        <f>IF(COUNTIF(Raw_Bookings!$A$2:A645,Raw_Bookings!A645)&gt;1,1,0)</f>
        <v>1</v>
      </c>
      <c r="C645" s="7" t="str">
        <f>Raw_Bookings!D645&amp;""</f>
        <v>2025-11-18</v>
      </c>
      <c r="D645" s="7" t="str">
        <f>IF(AND(LEN(C645)=10,MID(C645,5,1)="-",MID(C645,8,1)="-"),"ISO",IF(AND(LEN(C645)=10,MID(C645,3,1)="-",MID(C645,6,1)="-"),"DMY","OTHER"))</f>
        <v>ISO</v>
      </c>
      <c r="E645" s="7">
        <f>IF(D645="ISO",VALUE(LEFT(C645,4)),IF(D645="DMY",VALUE(RIGHT(C645,4)),0))</f>
        <v>2025</v>
      </c>
      <c r="F645" s="7">
        <f>IF(D645="ISO",VALUE(MID(C645,6,2)),IF(D645="DMY",VALUE(MID(C645,4,2)),0))</f>
        <v>11</v>
      </c>
      <c r="G645" s="7">
        <f>IF(D645="ISO",VALUE(RIGHT(C645,2)),IF(D645="DMY",VALUE(LEFT(C645,2)),0))</f>
        <v>18</v>
      </c>
      <c r="H645" s="7">
        <f>IF(AND(D645&lt;&gt;"OTHER",F645&gt;=1,F645&lt;=12,G645&gt;=1,G645&lt;=31),IF(AND(MONTH(DATE(E645,F645,G645))=F645,DAY(DATE(E645,F645,G645))=G645),1,0),0)</f>
        <v>1</v>
      </c>
      <c r="I645" s="7">
        <f>IF(H645=1,DATE(E645,F645,G645),"")</f>
        <v>45979.0</v>
      </c>
      <c r="J645" s="7">
        <f>IF(AND(D645="DMY",H645=1),1,0)</f>
        <v>0</v>
      </c>
      <c r="K645" s="7">
        <f>IF(H645=0,1,0)</f>
        <v>0</v>
      </c>
      <c r="L645" s="7">
        <f>IF(TRIM(Raw_Bookings!I645&amp;"")="",1,0)</f>
        <v>0</v>
      </c>
      <c r="M645" s="7">
        <f>IF(L645=1,"",DATEVALUE(LEFT(Raw_Bookings!I645,10))+TIMEVALUE(MID(Raw_Bookings!I645,12,8)))</f>
        <v>45968.52583333333</v>
      </c>
      <c r="N645" s="7">
        <f>IF(AND(L645=0,H645=1),IF(INT(M645)&gt;I645,1,0),0)</f>
        <v>0</v>
      </c>
      <c r="O645" s="7" t="str">
        <f>UPPER(TRIM(Raw_Bookings!F645))</f>
        <v>BEN</v>
      </c>
      <c r="P645" s="7" t="str">
        <f>UPPER(TRIM(Raw_Bookings!G645))</f>
        <v>JOD</v>
      </c>
      <c r="Q645" s="7">
        <f>IF(COUNTIF(Lookup_Stations!$A$2:$A$33,O645)&gt;0,1,0)</f>
        <v>1</v>
      </c>
      <c r="R645" s="7">
        <f>IF(COUNTIF(Lookup_Stations!$A$2:$A$33,P645)&gt;0,1,0)</f>
        <v>1</v>
      </c>
      <c r="S645" s="7">
        <f>IF(OR(AND(Q645=1,NOT(EXACT(Raw_Bookings!F645,O645))),AND(R645=1,NOT(EXACT(Raw_Bookings!G645,P645)))),1,0)</f>
        <v>0</v>
      </c>
      <c r="T645" s="7">
        <f>IF(OR(Q645=0,R645=0),1,0)</f>
        <v>0</v>
      </c>
      <c r="U645" s="7">
        <f>IF(TRIM(Raw_Bookings!E645&amp;"")="",1,0)</f>
        <v>0</v>
      </c>
      <c r="V645" s="7" t="str">
        <f>IF(SUMPRODUCT(--(Lookup_Status!$A$2:$A$13=LOWER(TRIM(Raw_Bookings!K645))))=0,"",INDEX(Lookup_Status!$B$2:$B$13,SUMPRODUCT((Lookup_Status!$A$2:$A$13=LOWER(TRIM(Raw_Bookings!K645)))*(ROW(Lookup_Status!$A$2:$A$13)-1))))</f>
        <v>Cancelled</v>
      </c>
      <c r="W645" s="7">
        <f>IF(AND(V645&lt;&gt;"",NOT(EXACT(Raw_Bookings!K645,V645))),1,0)</f>
        <v>0</v>
      </c>
      <c r="X645" s="7">
        <f>IF(V645="",1,0)</f>
        <v>0</v>
      </c>
      <c r="Y645" s="7">
        <f>IF(TRIM(Raw_Bookings!L645&amp;"")="",1,0)</f>
        <v>0</v>
      </c>
      <c r="Z645" s="7">
        <f>IF(AND(ISTEXT(Raw_Bookings!L645),Y645=0),1,0)</f>
        <v>0</v>
      </c>
      <c r="AA645" s="7">
        <f>IF(Z645=1,IFERROR(VALUE(SUBSTITUTE(SUBSTITUTE(SUBSTITUTE(SUBSTITUTE(SUBSTITUTE(UPPER(Raw_Bookings!L645),"RS.",""),"₹",""),",","")," ",""),"INR","")),""),"")</f>
        <v/>
      </c>
      <c r="AB645" s="7">
        <f>IF(AND(Z645=1,ISNUMBER(AA645)),1,0)</f>
        <v>0</v>
      </c>
      <c r="AC645" s="7">
        <f>IF(B645=1,0,IF(NOT(ISNUMBER(Raw_Bookings!J645)),1,IF(Raw_Bookings!J645&lt;&gt;COUNTIFS(Work_Passengers!$B$2:$B$1336,Raw_Bookings!A645,Work_Passengers!$C$2:$C$1336,0),1,0)))</f>
        <v>0</v>
      </c>
    </row>
    <row r="646" spans="1:29">
      <c r="A646" s="7">
        <f>Raw_Bookings!A646</f>
        <v>1114785</v>
      </c>
      <c r="B646" s="7">
        <f>IF(COUNTIF(Raw_Bookings!$A$2:A646,Raw_Bookings!A646)&gt;1,1,0)</f>
        <v>1</v>
      </c>
      <c r="C646" s="7" t="str">
        <f>Raw_Bookings!D646&amp;""</f>
        <v>2025-11-06</v>
      </c>
      <c r="D646" s="7" t="str">
        <f>IF(AND(LEN(C646)=10,MID(C646,5,1)="-",MID(C646,8,1)="-"),"ISO",IF(AND(LEN(C646)=10,MID(C646,3,1)="-",MID(C646,6,1)="-"),"DMY","OTHER"))</f>
        <v>ISO</v>
      </c>
      <c r="E646" s="7">
        <f>IF(D646="ISO",VALUE(LEFT(C646,4)),IF(D646="DMY",VALUE(RIGHT(C646,4)),0))</f>
        <v>2025</v>
      </c>
      <c r="F646" s="7">
        <f>IF(D646="ISO",VALUE(MID(C646,6,2)),IF(D646="DMY",VALUE(MID(C646,4,2)),0))</f>
        <v>11</v>
      </c>
      <c r="G646" s="7">
        <f>IF(D646="ISO",VALUE(RIGHT(C646,2)),IF(D646="DMY",VALUE(LEFT(C646,2)),0))</f>
        <v>6</v>
      </c>
      <c r="H646" s="7">
        <f>IF(AND(D646&lt;&gt;"OTHER",F646&gt;=1,F646&lt;=12,G646&gt;=1,G646&lt;=31),IF(AND(MONTH(DATE(E646,F646,G646))=F646,DAY(DATE(E646,F646,G646))=G646),1,0),0)</f>
        <v>1</v>
      </c>
      <c r="I646" s="7">
        <f>IF(H646=1,DATE(E646,F646,G646),"")</f>
        <v>45967.0</v>
      </c>
      <c r="J646" s="7">
        <f>IF(AND(D646="DMY",H646=1),1,0)</f>
        <v>0</v>
      </c>
      <c r="K646" s="7">
        <f>IF(H646=0,1,0)</f>
        <v>0</v>
      </c>
      <c r="L646" s="7">
        <f>IF(TRIM(Raw_Bookings!I646&amp;"")="",1,0)</f>
        <v>0</v>
      </c>
      <c r="M646" s="7">
        <f>IF(L646=1,"",DATEVALUE(LEFT(Raw_Bookings!I646,10))+TIMEVALUE(MID(Raw_Bookings!I646,12,8)))</f>
        <v>45940.837222222224</v>
      </c>
      <c r="N646" s="7">
        <f>IF(AND(L646=0,H646=1),IF(INT(M646)&gt;I646,1,0),0)</f>
        <v>0</v>
      </c>
      <c r="O646" s="7" t="str">
        <f>UPPER(TRIM(Raw_Bookings!F646))</f>
        <v>DEL</v>
      </c>
      <c r="P646" s="7" t="str">
        <f>UPPER(TRIM(Raw_Bookings!G646))</f>
        <v>MAU</v>
      </c>
      <c r="Q646" s="7">
        <f>IF(COUNTIF(Lookup_Stations!$A$2:$A$33,O646)&gt;0,1,0)</f>
        <v>1</v>
      </c>
      <c r="R646" s="7">
        <f>IF(COUNTIF(Lookup_Stations!$A$2:$A$33,P646)&gt;0,1,0)</f>
        <v>1</v>
      </c>
      <c r="S646" s="7">
        <f>IF(OR(AND(Q646=1,NOT(EXACT(Raw_Bookings!F646,O646))),AND(R646=1,NOT(EXACT(Raw_Bookings!G646,P646)))),1,0)</f>
        <v>0</v>
      </c>
      <c r="T646" s="7">
        <f>IF(OR(Q646=0,R646=0),1,0)</f>
        <v>0</v>
      </c>
      <c r="U646" s="7">
        <f>IF(TRIM(Raw_Bookings!E646&amp;"")="",1,0)</f>
        <v>0</v>
      </c>
      <c r="V646" s="7" t="str">
        <f>IF(SUMPRODUCT(--(Lookup_Status!$A$2:$A$13=LOWER(TRIM(Raw_Bookings!K646))))=0,"",INDEX(Lookup_Status!$B$2:$B$13,SUMPRODUCT((Lookup_Status!$A$2:$A$13=LOWER(TRIM(Raw_Bookings!K646)))*(ROW(Lookup_Status!$A$2:$A$13)-1))))</f>
        <v>Confirmed</v>
      </c>
      <c r="W646" s="7">
        <f>IF(AND(V646&lt;&gt;"",NOT(EXACT(Raw_Bookings!K646,V646))),1,0)</f>
        <v>0</v>
      </c>
      <c r="X646" s="7">
        <f>IF(V646="",1,0)</f>
        <v>0</v>
      </c>
      <c r="Y646" s="7">
        <f>IF(TRIM(Raw_Bookings!L646&amp;"")="",1,0)</f>
        <v>0</v>
      </c>
      <c r="Z646" s="7">
        <f>IF(AND(ISTEXT(Raw_Bookings!L646),Y646=0),1,0)</f>
        <v>0</v>
      </c>
      <c r="AA646" s="7">
        <f>IF(Z646=1,IFERROR(VALUE(SUBSTITUTE(SUBSTITUTE(SUBSTITUTE(SUBSTITUTE(SUBSTITUTE(UPPER(Raw_Bookings!L646),"RS.",""),"₹",""),",","")," ",""),"INR","")),""),"")</f>
        <v/>
      </c>
      <c r="AB646" s="7">
        <f>IF(AND(Z646=1,ISNUMBER(AA646)),1,0)</f>
        <v>0</v>
      </c>
      <c r="AC646" s="7">
        <f>IF(B646=1,0,IF(NOT(ISNUMBER(Raw_Bookings!J646)),1,IF(Raw_Bookings!J646&lt;&gt;COUNTIFS(Work_Passengers!$B$2:$B$1336,Raw_Bookings!A646,Work_Passengers!$C$2:$C$1336,0),1,0)))</f>
        <v>0</v>
      </c>
    </row>
    <row r="647" spans="1:29">
      <c r="A647" s="7">
        <f>Raw_Bookings!A647</f>
        <v>1065300</v>
      </c>
      <c r="B647" s="7">
        <f>IF(COUNTIF(Raw_Bookings!$A$2:A647,Raw_Bookings!A647)&gt;1,1,0)</f>
        <v>1</v>
      </c>
      <c r="C647" s="7" t="str">
        <f>Raw_Bookings!D647&amp;""</f>
        <v>2025-06-04</v>
      </c>
      <c r="D647" s="7" t="str">
        <f>IF(AND(LEN(C647)=10,MID(C647,5,1)="-",MID(C647,8,1)="-"),"ISO",IF(AND(LEN(C647)=10,MID(C647,3,1)="-",MID(C647,6,1)="-"),"DMY","OTHER"))</f>
        <v>ISO</v>
      </c>
      <c r="E647" s="7">
        <f>IF(D647="ISO",VALUE(LEFT(C647,4)),IF(D647="DMY",VALUE(RIGHT(C647,4)),0))</f>
        <v>2025</v>
      </c>
      <c r="F647" s="7">
        <f>IF(D647="ISO",VALUE(MID(C647,6,2)),IF(D647="DMY",VALUE(MID(C647,4,2)),0))</f>
        <v>6</v>
      </c>
      <c r="G647" s="7">
        <f>IF(D647="ISO",VALUE(RIGHT(C647,2)),IF(D647="DMY",VALUE(LEFT(C647,2)),0))</f>
        <v>4</v>
      </c>
      <c r="H647" s="7">
        <f>IF(AND(D647&lt;&gt;"OTHER",F647&gt;=1,F647&lt;=12,G647&gt;=1,G647&lt;=31),IF(AND(MONTH(DATE(E647,F647,G647))=F647,DAY(DATE(E647,F647,G647))=G647),1,0),0)</f>
        <v>1</v>
      </c>
      <c r="I647" s="7">
        <f>IF(H647=1,DATE(E647,F647,G647),"")</f>
        <v>45812.0</v>
      </c>
      <c r="J647" s="7">
        <f>IF(AND(D647="DMY",H647=1),1,0)</f>
        <v>0</v>
      </c>
      <c r="K647" s="7">
        <f>IF(H647=0,1,0)</f>
        <v>0</v>
      </c>
      <c r="L647" s="7">
        <f>IF(TRIM(Raw_Bookings!I647&amp;"")="",1,0)</f>
        <v>0</v>
      </c>
      <c r="M647" s="7">
        <f>IF(L647=1,"",DATEVALUE(LEFT(Raw_Bookings!I647,10))+TIMEVALUE(MID(Raw_Bookings!I647,12,8)))</f>
        <v>45754.45925925926</v>
      </c>
      <c r="N647" s="7">
        <f>IF(AND(L647=0,H647=1),IF(INT(M647)&gt;I647,1,0),0)</f>
        <v>0</v>
      </c>
      <c r="O647" s="7" t="str">
        <f>UPPER(TRIM(Raw_Bookings!F647))</f>
        <v>DEL</v>
      </c>
      <c r="P647" s="7" t="str">
        <f>UPPER(TRIM(Raw_Bookings!G647))</f>
        <v>DIB</v>
      </c>
      <c r="Q647" s="7">
        <f>IF(COUNTIF(Lookup_Stations!$A$2:$A$33,O647)&gt;0,1,0)</f>
        <v>1</v>
      </c>
      <c r="R647" s="7">
        <f>IF(COUNTIF(Lookup_Stations!$A$2:$A$33,P647)&gt;0,1,0)</f>
        <v>1</v>
      </c>
      <c r="S647" s="7">
        <f>IF(OR(AND(Q647=1,NOT(EXACT(Raw_Bookings!F647,O647))),AND(R647=1,NOT(EXACT(Raw_Bookings!G647,P647)))),1,0)</f>
        <v>0</v>
      </c>
      <c r="T647" s="7">
        <f>IF(OR(Q647=0,R647=0),1,0)</f>
        <v>0</v>
      </c>
      <c r="U647" s="7">
        <f>IF(TRIM(Raw_Bookings!E647&amp;"")="",1,0)</f>
        <v>0</v>
      </c>
      <c r="V647" s="7" t="str">
        <f>IF(SUMPRODUCT(--(Lookup_Status!$A$2:$A$13=LOWER(TRIM(Raw_Bookings!K647))))=0,"",INDEX(Lookup_Status!$B$2:$B$13,SUMPRODUCT((Lookup_Status!$A$2:$A$13=LOWER(TRIM(Raw_Bookings!K647)))*(ROW(Lookup_Status!$A$2:$A$13)-1))))</f>
        <v>Confirmed</v>
      </c>
      <c r="W647" s="7">
        <f>IF(AND(V647&lt;&gt;"",NOT(EXACT(Raw_Bookings!K647,V647))),1,0)</f>
        <v>0</v>
      </c>
      <c r="X647" s="7">
        <f>IF(V647="",1,0)</f>
        <v>0</v>
      </c>
      <c r="Y647" s="7">
        <f>IF(TRIM(Raw_Bookings!L647&amp;"")="",1,0)</f>
        <v>0</v>
      </c>
      <c r="Z647" s="7">
        <f>IF(AND(ISTEXT(Raw_Bookings!L647),Y647=0),1,0)</f>
        <v>0</v>
      </c>
      <c r="AA647" s="7">
        <f>IF(Z647=1,IFERROR(VALUE(SUBSTITUTE(SUBSTITUTE(SUBSTITUTE(SUBSTITUTE(SUBSTITUTE(UPPER(Raw_Bookings!L647),"RS.",""),"₹",""),",","")," ",""),"INR","")),""),"")</f>
        <v/>
      </c>
      <c r="AB647" s="7">
        <f>IF(AND(Z647=1,ISNUMBER(AA647)),1,0)</f>
        <v>0</v>
      </c>
      <c r="AC647" s="7">
        <f>IF(B647=1,0,IF(NOT(ISNUMBER(Raw_Bookings!J647)),1,IF(Raw_Bookings!J647&lt;&gt;COUNTIFS(Work_Passengers!$B$2:$B$1336,Raw_Bookings!A647,Work_Passengers!$C$2:$C$1336,0),1,0)))</f>
        <v>0</v>
      </c>
    </row>
    <row r="648" spans="1:29">
      <c r="A648" s="7">
        <f>Raw_Bookings!A648</f>
        <v>1050196</v>
      </c>
      <c r="B648" s="7">
        <f>IF(COUNTIF(Raw_Bookings!$A$2:A648,Raw_Bookings!A648)&gt;1,1,0)</f>
        <v>1</v>
      </c>
      <c r="C648" s="7" t="str">
        <f>Raw_Bookings!D648&amp;""</f>
        <v>2025-02-19</v>
      </c>
      <c r="D648" s="7" t="str">
        <f>IF(AND(LEN(C648)=10,MID(C648,5,1)="-",MID(C648,8,1)="-"),"ISO",IF(AND(LEN(C648)=10,MID(C648,3,1)="-",MID(C648,6,1)="-"),"DMY","OTHER"))</f>
        <v>ISO</v>
      </c>
      <c r="E648" s="7">
        <f>IF(D648="ISO",VALUE(LEFT(C648,4)),IF(D648="DMY",VALUE(RIGHT(C648,4)),0))</f>
        <v>2025</v>
      </c>
      <c r="F648" s="7">
        <f>IF(D648="ISO",VALUE(MID(C648,6,2)),IF(D648="DMY",VALUE(MID(C648,4,2)),0))</f>
        <v>2</v>
      </c>
      <c r="G648" s="7">
        <f>IF(D648="ISO",VALUE(RIGHT(C648,2)),IF(D648="DMY",VALUE(LEFT(C648,2)),0))</f>
        <v>19</v>
      </c>
      <c r="H648" s="7">
        <f>IF(AND(D648&lt;&gt;"OTHER",F648&gt;=1,F648&lt;=12,G648&gt;=1,G648&lt;=31),IF(AND(MONTH(DATE(E648,F648,G648))=F648,DAY(DATE(E648,F648,G648))=G648),1,0),0)</f>
        <v>1</v>
      </c>
      <c r="I648" s="7">
        <f>IF(H648=1,DATE(E648,F648,G648),"")</f>
        <v>45707.0</v>
      </c>
      <c r="J648" s="7">
        <f>IF(AND(D648="DMY",H648=1),1,0)</f>
        <v>0</v>
      </c>
      <c r="K648" s="7">
        <f>IF(H648=0,1,0)</f>
        <v>0</v>
      </c>
      <c r="L648" s="7">
        <f>IF(TRIM(Raw_Bookings!I648&amp;"")="",1,0)</f>
        <v>0</v>
      </c>
      <c r="M648" s="7">
        <f>IF(L648=1,"",DATEVALUE(LEFT(Raw_Bookings!I648,10))+TIMEVALUE(MID(Raw_Bookings!I648,12,8)))</f>
        <v>45704.864907407406</v>
      </c>
      <c r="N648" s="7">
        <f>IF(AND(L648=0,H648=1),IF(INT(M648)&gt;I648,1,0),0)</f>
        <v>0</v>
      </c>
      <c r="O648" s="7" t="str">
        <f>UPPER(TRIM(Raw_Bookings!F648))</f>
        <v>HYD</v>
      </c>
      <c r="P648" s="7" t="str">
        <f>UPPER(TRIM(Raw_Bookings!G648))</f>
        <v>KOL</v>
      </c>
      <c r="Q648" s="7">
        <f>IF(COUNTIF(Lookup_Stations!$A$2:$A$33,O648)&gt;0,1,0)</f>
        <v>1</v>
      </c>
      <c r="R648" s="7">
        <f>IF(COUNTIF(Lookup_Stations!$A$2:$A$33,P648)&gt;0,1,0)</f>
        <v>1</v>
      </c>
      <c r="S648" s="7">
        <f>IF(OR(AND(Q648=1,NOT(EXACT(Raw_Bookings!F648,O648))),AND(R648=1,NOT(EXACT(Raw_Bookings!G648,P648)))),1,0)</f>
        <v>0</v>
      </c>
      <c r="T648" s="7">
        <f>IF(OR(Q648=0,R648=0),1,0)</f>
        <v>0</v>
      </c>
      <c r="U648" s="7">
        <f>IF(TRIM(Raw_Bookings!E648&amp;"")="",1,0)</f>
        <v>0</v>
      </c>
      <c r="V648" s="7" t="str">
        <f>IF(SUMPRODUCT(--(Lookup_Status!$A$2:$A$13=LOWER(TRIM(Raw_Bookings!K648))))=0,"",INDEX(Lookup_Status!$B$2:$B$13,SUMPRODUCT((Lookup_Status!$A$2:$A$13=LOWER(TRIM(Raw_Bookings!K648)))*(ROW(Lookup_Status!$A$2:$A$13)-1))))</f>
        <v>Waitlisted</v>
      </c>
      <c r="W648" s="7">
        <f>IF(AND(V648&lt;&gt;"",NOT(EXACT(Raw_Bookings!K648,V648))),1,0)</f>
        <v>0</v>
      </c>
      <c r="X648" s="7">
        <f>IF(V648="",1,0)</f>
        <v>0</v>
      </c>
      <c r="Y648" s="7">
        <f>IF(TRIM(Raw_Bookings!L648&amp;"")="",1,0)</f>
        <v>0</v>
      </c>
      <c r="Z648" s="7">
        <f>IF(AND(ISTEXT(Raw_Bookings!L648),Y648=0),1,0)</f>
        <v>0</v>
      </c>
      <c r="AA648" s="7">
        <f>IF(Z648=1,IFERROR(VALUE(SUBSTITUTE(SUBSTITUTE(SUBSTITUTE(SUBSTITUTE(SUBSTITUTE(UPPER(Raw_Bookings!L648),"RS.",""),"₹",""),",","")," ",""),"INR","")),""),"")</f>
        <v/>
      </c>
      <c r="AB648" s="7">
        <f>IF(AND(Z648=1,ISNUMBER(AA648)),1,0)</f>
        <v>0</v>
      </c>
      <c r="AC648" s="7">
        <f>IF(B648=1,0,IF(NOT(ISNUMBER(Raw_Bookings!J648)),1,IF(Raw_Bookings!J648&lt;&gt;COUNTIFS(Work_Passengers!$B$2:$B$1336,Raw_Bookings!A648,Work_Passengers!$C$2:$C$1336,0),1,0)))</f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rgb="FF2E75B6"/>
  </sheetPr>
  <dimension ref="A1:O1336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4" width="15.7109375" customWidth="1"/>
  </cols>
  <sheetData>
    <row r="1" spans="1:15">
      <c r="A1" s="5" t="s">
        <v>1927</v>
      </c>
      <c r="B1" s="5" t="s">
        <v>1957</v>
      </c>
      <c r="C1" s="5" t="s">
        <v>1928</v>
      </c>
      <c r="D1" s="5" t="s">
        <v>1958</v>
      </c>
      <c r="E1" s="5" t="s">
        <v>1959</v>
      </c>
      <c r="F1" s="5" t="s">
        <v>1960</v>
      </c>
      <c r="G1" s="5" t="s">
        <v>1961</v>
      </c>
      <c r="H1" s="5" t="s">
        <v>1962</v>
      </c>
      <c r="I1" s="5" t="s">
        <v>1963</v>
      </c>
      <c r="J1" s="5" t="s">
        <v>1964</v>
      </c>
      <c r="K1" s="5" t="s">
        <v>1949</v>
      </c>
      <c r="L1" s="5" t="s">
        <v>1965</v>
      </c>
      <c r="M1" s="5" t="s">
        <v>1966</v>
      </c>
      <c r="O1" s="9" t="s">
        <v>1956</v>
      </c>
    </row>
    <row r="2" spans="1:15">
      <c r="A2" s="7">
        <f>Raw_Passengers!A2</f>
        <v>1257</v>
      </c>
      <c r="B2" s="7">
        <f>Raw_Passengers!B2</f>
        <v>1000611</v>
      </c>
      <c r="C2" s="7">
        <f>IF(COUNTIF(Raw_Passengers!$A$2:A2,Raw_Passengers!A2)&gt;1,1,0)</f>
        <v>0</v>
      </c>
      <c r="D2" s="7">
        <f>IF(COUNTIF(Raw_Bookings!$A$2:$A$648,Raw_Passengers!B2)=0,1,0)</f>
        <v>0</v>
      </c>
      <c r="E2" s="7">
        <f>IF(OR(C2=1,D2=1),0,IF(NOT(ISNUMBER(Raw_Passengers!E2)),1,IF(Raw_Passengers!E2&lt;=0,1,0)))</f>
        <v>0</v>
      </c>
      <c r="F2" s="7">
        <f>IF(AND(C2=0,D2=0,TRIM(Raw_Passengers!D2&amp;"")=""),1,0)</f>
        <v>0</v>
      </c>
      <c r="G2" s="7" t="str">
        <f>IF(SUMPRODUCT(--(Lookup_Status!$A$2:$A$13=LOWER(TRIM(Raw_Passengers!F2))))=0,"",INDEX(Lookup_Status!$B$2:$B$13,SUMPRODUCT((Lookup_Status!$A$2:$A$13=LOWER(TRIM(Raw_Passengers!F2)))*(ROW(Lookup_Status!$A$2:$A$13)-1))))</f>
        <v>Confirmed</v>
      </c>
      <c r="H2" s="7" t="str">
        <f>IF(SUMPRODUCT(--(Lookup_Status!$A$2:$A$13=LOWER(TRIM(Raw_Passengers!G2))))=0,"",INDEX(Lookup_Status!$B$2:$B$13,SUMPRODUCT((Lookup_Status!$A$2:$A$13=LOWER(TRIM(Raw_Passengers!G2)))*(ROW(Lookup_Status!$A$2:$A$13)-1))))</f>
        <v>Confirmed</v>
      </c>
      <c r="I2" s="7">
        <f>IF(OR(G2="",G2="Cancelled",G2="Mixed"),1,0)</f>
        <v>0</v>
      </c>
      <c r="J2" s="7">
        <f>IF(OR(H2="",H2="Mixed"),1,0)</f>
        <v>0</v>
      </c>
      <c r="K2" s="7">
        <f>IF(AND(C2=0,D2=0),IF(OR(AND(I2=0,NOT(EXACT(Raw_Passengers!F2,G2))),AND(J2=0,NOT(EXACT(Raw_Passengers!G2,H2)))),1,0),0)</f>
        <v>0</v>
      </c>
      <c r="L2" s="7">
        <f>IF(AND(C2=0,D2=0,I2=1),1,0)</f>
        <v>0</v>
      </c>
      <c r="M2" s="7">
        <f>IF(AND(C2=0,D2=0,J2=1),1,0)</f>
        <v>0</v>
      </c>
    </row>
    <row r="3" spans="1:15">
      <c r="A3" s="7">
        <f>Raw_Passengers!A3</f>
        <v>1258</v>
      </c>
      <c r="B3" s="7">
        <f>Raw_Passengers!B3</f>
        <v>1000611</v>
      </c>
      <c r="C3" s="7">
        <f>IF(COUNTIF(Raw_Passengers!$A$2:A3,Raw_Passengers!A3)&gt;1,1,0)</f>
        <v>0</v>
      </c>
      <c r="D3" s="7">
        <f>IF(COUNTIF(Raw_Bookings!$A$2:$A$648,Raw_Passengers!B3)=0,1,0)</f>
        <v>0</v>
      </c>
      <c r="E3" s="7">
        <f>IF(OR(C3=1,D3=1),0,IF(NOT(ISNUMBER(Raw_Passengers!E3)),1,IF(Raw_Passengers!E3&lt;=0,1,0)))</f>
        <v>0</v>
      </c>
      <c r="F3" s="7">
        <f>IF(AND(C3=0,D3=0,TRIM(Raw_Passengers!D3&amp;"")=""),1,0)</f>
        <v>0</v>
      </c>
      <c r="G3" s="7" t="str">
        <f>IF(SUMPRODUCT(--(Lookup_Status!$A$2:$A$13=LOWER(TRIM(Raw_Passengers!F3))))=0,"",INDEX(Lookup_Status!$B$2:$B$13,SUMPRODUCT((Lookup_Status!$A$2:$A$13=LOWER(TRIM(Raw_Passengers!F3)))*(ROW(Lookup_Status!$A$2:$A$13)-1))))</f>
        <v>Confirmed</v>
      </c>
      <c r="H3" s="7" t="str">
        <f>IF(SUMPRODUCT(--(Lookup_Status!$A$2:$A$13=LOWER(TRIM(Raw_Passengers!G3))))=0,"",INDEX(Lookup_Status!$B$2:$B$13,SUMPRODUCT((Lookup_Status!$A$2:$A$13=LOWER(TRIM(Raw_Passengers!G3)))*(ROW(Lookup_Status!$A$2:$A$13)-1))))</f>
        <v>Confirmed</v>
      </c>
      <c r="I3" s="7">
        <f>IF(OR(G3="",G3="Cancelled",G3="Mixed"),1,0)</f>
        <v>0</v>
      </c>
      <c r="J3" s="7">
        <f>IF(OR(H3="",H3="Mixed"),1,0)</f>
        <v>0</v>
      </c>
      <c r="K3" s="7">
        <f>IF(AND(C3=0,D3=0),IF(OR(AND(I3=0,NOT(EXACT(Raw_Passengers!F3,G3))),AND(J3=0,NOT(EXACT(Raw_Passengers!G3,H3)))),1,0),0)</f>
        <v>0</v>
      </c>
      <c r="L3" s="7">
        <f>IF(AND(C3=0,D3=0,I3=1),1,0)</f>
        <v>0</v>
      </c>
      <c r="M3" s="7">
        <f>IF(AND(C3=0,D3=0,J3=1),1,0)</f>
        <v>0</v>
      </c>
    </row>
    <row r="4" spans="1:15">
      <c r="A4" s="7">
        <f>Raw_Passengers!A4</f>
        <v>1259</v>
      </c>
      <c r="B4" s="7">
        <f>Raw_Passengers!B4</f>
        <v>1000611</v>
      </c>
      <c r="C4" s="7">
        <f>IF(COUNTIF(Raw_Passengers!$A$2:A4,Raw_Passengers!A4)&gt;1,1,0)</f>
        <v>0</v>
      </c>
      <c r="D4" s="7">
        <f>IF(COUNTIF(Raw_Bookings!$A$2:$A$648,Raw_Passengers!B4)=0,1,0)</f>
        <v>0</v>
      </c>
      <c r="E4" s="7">
        <f>IF(OR(C4=1,D4=1),0,IF(NOT(ISNUMBER(Raw_Passengers!E4)),1,IF(Raw_Passengers!E4&lt;=0,1,0)))</f>
        <v>0</v>
      </c>
      <c r="F4" s="7">
        <f>IF(AND(C4=0,D4=0,TRIM(Raw_Passengers!D4&amp;"")=""),1,0)</f>
        <v>0</v>
      </c>
      <c r="G4" s="7" t="str">
        <f>IF(SUMPRODUCT(--(Lookup_Status!$A$2:$A$13=LOWER(TRIM(Raw_Passengers!F4))))=0,"",INDEX(Lookup_Status!$B$2:$B$13,SUMPRODUCT((Lookup_Status!$A$2:$A$13=LOWER(TRIM(Raw_Passengers!F4)))*(ROW(Lookup_Status!$A$2:$A$13)-1))))</f>
        <v>Confirmed</v>
      </c>
      <c r="H4" s="7" t="str">
        <f>IF(SUMPRODUCT(--(Lookup_Status!$A$2:$A$13=LOWER(TRIM(Raw_Passengers!G4))))=0,"",INDEX(Lookup_Status!$B$2:$B$13,SUMPRODUCT((Lookup_Status!$A$2:$A$13=LOWER(TRIM(Raw_Passengers!G4)))*(ROW(Lookup_Status!$A$2:$A$13)-1))))</f>
        <v>Confirmed</v>
      </c>
      <c r="I4" s="7">
        <f>IF(OR(G4="",G4="Cancelled",G4="Mixed"),1,0)</f>
        <v>0</v>
      </c>
      <c r="J4" s="7">
        <f>IF(OR(H4="",H4="Mixed"),1,0)</f>
        <v>0</v>
      </c>
      <c r="K4" s="7">
        <f>IF(AND(C4=0,D4=0),IF(OR(AND(I4=0,NOT(EXACT(Raw_Passengers!F4,G4))),AND(J4=0,NOT(EXACT(Raw_Passengers!G4,H4)))),1,0),0)</f>
        <v>0</v>
      </c>
      <c r="L4" s="7">
        <f>IF(AND(C4=0,D4=0,I4=1),1,0)</f>
        <v>0</v>
      </c>
      <c r="M4" s="7">
        <f>IF(AND(C4=0,D4=0,J4=1),1,0)</f>
        <v>0</v>
      </c>
    </row>
    <row r="5" spans="1:15">
      <c r="A5" s="7">
        <f>Raw_Passengers!A5</f>
        <v>1260</v>
      </c>
      <c r="B5" s="7">
        <f>Raw_Passengers!B5</f>
        <v>1000611</v>
      </c>
      <c r="C5" s="7">
        <f>IF(COUNTIF(Raw_Passengers!$A$2:A5,Raw_Passengers!A5)&gt;1,1,0)</f>
        <v>0</v>
      </c>
      <c r="D5" s="7">
        <f>IF(COUNTIF(Raw_Bookings!$A$2:$A$648,Raw_Passengers!B5)=0,1,0)</f>
        <v>0</v>
      </c>
      <c r="E5" s="7">
        <f>IF(OR(C5=1,D5=1),0,IF(NOT(ISNUMBER(Raw_Passengers!E5)),1,IF(Raw_Passengers!E5&lt;=0,1,0)))</f>
        <v>0</v>
      </c>
      <c r="F5" s="7">
        <f>IF(AND(C5=0,D5=0,TRIM(Raw_Passengers!D5&amp;"")=""),1,0)</f>
        <v>0</v>
      </c>
      <c r="G5" s="7" t="str">
        <f>IF(SUMPRODUCT(--(Lookup_Status!$A$2:$A$13=LOWER(TRIM(Raw_Passengers!F5))))=0,"",INDEX(Lookup_Status!$B$2:$B$13,SUMPRODUCT((Lookup_Status!$A$2:$A$13=LOWER(TRIM(Raw_Passengers!F5)))*(ROW(Lookup_Status!$A$2:$A$13)-1))))</f>
        <v>Confirmed</v>
      </c>
      <c r="H5" s="7" t="str">
        <f>IF(SUMPRODUCT(--(Lookup_Status!$A$2:$A$13=LOWER(TRIM(Raw_Passengers!G5))))=0,"",INDEX(Lookup_Status!$B$2:$B$13,SUMPRODUCT((Lookup_Status!$A$2:$A$13=LOWER(TRIM(Raw_Passengers!G5)))*(ROW(Lookup_Status!$A$2:$A$13)-1))))</f>
        <v>Confirmed</v>
      </c>
      <c r="I5" s="7">
        <f>IF(OR(G5="",G5="Cancelled",G5="Mixed"),1,0)</f>
        <v>0</v>
      </c>
      <c r="J5" s="7">
        <f>IF(OR(H5="",H5="Mixed"),1,0)</f>
        <v>0</v>
      </c>
      <c r="K5" s="7">
        <f>IF(AND(C5=0,D5=0),IF(OR(AND(I5=0,NOT(EXACT(Raw_Passengers!F5,G5))),AND(J5=0,NOT(EXACT(Raw_Passengers!G5,H5)))),1,0),0)</f>
        <v>0</v>
      </c>
      <c r="L5" s="7">
        <f>IF(AND(C5=0,D5=0,I5=1),1,0)</f>
        <v>0</v>
      </c>
      <c r="M5" s="7">
        <f>IF(AND(C5=0,D5=0,J5=1),1,0)</f>
        <v>0</v>
      </c>
    </row>
    <row r="6" spans="1:15">
      <c r="A6" s="7">
        <f>Raw_Passengers!A6</f>
        <v>3797</v>
      </c>
      <c r="B6" s="7">
        <f>Raw_Passengers!B6</f>
        <v>1001896</v>
      </c>
      <c r="C6" s="7">
        <f>IF(COUNTIF(Raw_Passengers!$A$2:A6,Raw_Passengers!A6)&gt;1,1,0)</f>
        <v>0</v>
      </c>
      <c r="D6" s="7">
        <f>IF(COUNTIF(Raw_Bookings!$A$2:$A$648,Raw_Passengers!B6)=0,1,0)</f>
        <v>0</v>
      </c>
      <c r="E6" s="7">
        <f>IF(OR(C6=1,D6=1),0,IF(NOT(ISNUMBER(Raw_Passengers!E6)),1,IF(Raw_Passengers!E6&lt;=0,1,0)))</f>
        <v>0</v>
      </c>
      <c r="F6" s="7">
        <f>IF(AND(C6=0,D6=0,TRIM(Raw_Passengers!D6&amp;"")=""),1,0)</f>
        <v>0</v>
      </c>
      <c r="G6" s="7" t="str">
        <f>IF(SUMPRODUCT(--(Lookup_Status!$A$2:$A$13=LOWER(TRIM(Raw_Passengers!F6))))=0,"",INDEX(Lookup_Status!$B$2:$B$13,SUMPRODUCT((Lookup_Status!$A$2:$A$13=LOWER(TRIM(Raw_Passengers!F6)))*(ROW(Lookup_Status!$A$2:$A$13)-1))))</f>
        <v>Confirmed</v>
      </c>
      <c r="H6" s="7" t="str">
        <f>IF(SUMPRODUCT(--(Lookup_Status!$A$2:$A$13=LOWER(TRIM(Raw_Passengers!G6))))=0,"",INDEX(Lookup_Status!$B$2:$B$13,SUMPRODUCT((Lookup_Status!$A$2:$A$13=LOWER(TRIM(Raw_Passengers!G6)))*(ROW(Lookup_Status!$A$2:$A$13)-1))))</f>
        <v>Confirmed</v>
      </c>
      <c r="I6" s="7">
        <f>IF(OR(G6="",G6="Cancelled",G6="Mixed"),1,0)</f>
        <v>0</v>
      </c>
      <c r="J6" s="7">
        <f>IF(OR(H6="",H6="Mixed"),1,0)</f>
        <v>0</v>
      </c>
      <c r="K6" s="7">
        <f>IF(AND(C6=0,D6=0),IF(OR(AND(I6=0,NOT(EXACT(Raw_Passengers!F6,G6))),AND(J6=0,NOT(EXACT(Raw_Passengers!G6,H6)))),1,0),0)</f>
        <v>0</v>
      </c>
      <c r="L6" s="7">
        <f>IF(AND(C6=0,D6=0,I6=1),1,0)</f>
        <v>0</v>
      </c>
      <c r="M6" s="7">
        <f>IF(AND(C6=0,D6=0,J6=1),1,0)</f>
        <v>0</v>
      </c>
    </row>
    <row r="7" spans="1:15">
      <c r="A7" s="7">
        <f>Raw_Passengers!A7</f>
        <v>3798</v>
      </c>
      <c r="B7" s="7">
        <f>Raw_Passengers!B7</f>
        <v>1001896</v>
      </c>
      <c r="C7" s="7">
        <f>IF(COUNTIF(Raw_Passengers!$A$2:A7,Raw_Passengers!A7)&gt;1,1,0)</f>
        <v>0</v>
      </c>
      <c r="D7" s="7">
        <f>IF(COUNTIF(Raw_Bookings!$A$2:$A$648,Raw_Passengers!B7)=0,1,0)</f>
        <v>0</v>
      </c>
      <c r="E7" s="7">
        <f>IF(OR(C7=1,D7=1),0,IF(NOT(ISNUMBER(Raw_Passengers!E7)),1,IF(Raw_Passengers!E7&lt;=0,1,0)))</f>
        <v>0</v>
      </c>
      <c r="F7" s="7">
        <f>IF(AND(C7=0,D7=0,TRIM(Raw_Passengers!D7&amp;"")=""),1,0)</f>
        <v>0</v>
      </c>
      <c r="G7" s="7" t="str">
        <f>IF(SUMPRODUCT(--(Lookup_Status!$A$2:$A$13=LOWER(TRIM(Raw_Passengers!F7))))=0,"",INDEX(Lookup_Status!$B$2:$B$13,SUMPRODUCT((Lookup_Status!$A$2:$A$13=LOWER(TRIM(Raw_Passengers!F7)))*(ROW(Lookup_Status!$A$2:$A$13)-1))))</f>
        <v>Confirmed</v>
      </c>
      <c r="H7" s="7" t="str">
        <f>IF(SUMPRODUCT(--(Lookup_Status!$A$2:$A$13=LOWER(TRIM(Raw_Passengers!G7))))=0,"",INDEX(Lookup_Status!$B$2:$B$13,SUMPRODUCT((Lookup_Status!$A$2:$A$13=LOWER(TRIM(Raw_Passengers!G7)))*(ROW(Lookup_Status!$A$2:$A$13)-1))))</f>
        <v>Confirmed</v>
      </c>
      <c r="I7" s="7">
        <f>IF(OR(G7="",G7="Cancelled",G7="Mixed"),1,0)</f>
        <v>0</v>
      </c>
      <c r="J7" s="7">
        <f>IF(OR(H7="",H7="Mixed"),1,0)</f>
        <v>0</v>
      </c>
      <c r="K7" s="7">
        <f>IF(AND(C7=0,D7=0),IF(OR(AND(I7=0,NOT(EXACT(Raw_Passengers!F7,G7))),AND(J7=0,NOT(EXACT(Raw_Passengers!G7,H7)))),1,0),0)</f>
        <v>0</v>
      </c>
      <c r="L7" s="7">
        <f>IF(AND(C7=0,D7=0,I7=1),1,0)</f>
        <v>0</v>
      </c>
      <c r="M7" s="7">
        <f>IF(AND(C7=0,D7=0,J7=1),1,0)</f>
        <v>0</v>
      </c>
    </row>
    <row r="8" spans="1:15">
      <c r="A8" s="7">
        <f>Raw_Passengers!A8</f>
        <v>3799</v>
      </c>
      <c r="B8" s="7">
        <f>Raw_Passengers!B8</f>
        <v>1001896</v>
      </c>
      <c r="C8" s="7">
        <f>IF(COUNTIF(Raw_Passengers!$A$2:A8,Raw_Passengers!A8)&gt;1,1,0)</f>
        <v>0</v>
      </c>
      <c r="D8" s="7">
        <f>IF(COUNTIF(Raw_Bookings!$A$2:$A$648,Raw_Passengers!B8)=0,1,0)</f>
        <v>0</v>
      </c>
      <c r="E8" s="7">
        <f>IF(OR(C8=1,D8=1),0,IF(NOT(ISNUMBER(Raw_Passengers!E8)),1,IF(Raw_Passengers!E8&lt;=0,1,0)))</f>
        <v>0</v>
      </c>
      <c r="F8" s="7">
        <f>IF(AND(C8=0,D8=0,TRIM(Raw_Passengers!D8&amp;"")=""),1,0)</f>
        <v>0</v>
      </c>
      <c r="G8" s="7" t="str">
        <f>IF(SUMPRODUCT(--(Lookup_Status!$A$2:$A$13=LOWER(TRIM(Raw_Passengers!F8))))=0,"",INDEX(Lookup_Status!$B$2:$B$13,SUMPRODUCT((Lookup_Status!$A$2:$A$13=LOWER(TRIM(Raw_Passengers!F8)))*(ROW(Lookup_Status!$A$2:$A$13)-1))))</f>
        <v>Confirmed</v>
      </c>
      <c r="H8" s="7" t="str">
        <f>IF(SUMPRODUCT(--(Lookup_Status!$A$2:$A$13=LOWER(TRIM(Raw_Passengers!G8))))=0,"",INDEX(Lookup_Status!$B$2:$B$13,SUMPRODUCT((Lookup_Status!$A$2:$A$13=LOWER(TRIM(Raw_Passengers!G8)))*(ROW(Lookup_Status!$A$2:$A$13)-1))))</f>
        <v>Confirmed</v>
      </c>
      <c r="I8" s="7">
        <f>IF(OR(G8="",G8="Cancelled",G8="Mixed"),1,0)</f>
        <v>0</v>
      </c>
      <c r="J8" s="7">
        <f>IF(OR(H8="",H8="Mixed"),1,0)</f>
        <v>0</v>
      </c>
      <c r="K8" s="7">
        <f>IF(AND(C8=0,D8=0),IF(OR(AND(I8=0,NOT(EXACT(Raw_Passengers!F8,G8))),AND(J8=0,NOT(EXACT(Raw_Passengers!G8,H8)))),1,0),0)</f>
        <v>0</v>
      </c>
      <c r="L8" s="7">
        <f>IF(AND(C8=0,D8=0,I8=1),1,0)</f>
        <v>0</v>
      </c>
      <c r="M8" s="7">
        <f>IF(AND(C8=0,D8=0,J8=1),1,0)</f>
        <v>0</v>
      </c>
    </row>
    <row r="9" spans="1:15">
      <c r="A9" s="7">
        <f>Raw_Passengers!A9</f>
        <v>4015</v>
      </c>
      <c r="B9" s="7">
        <f>Raw_Passengers!B9</f>
        <v>1002009</v>
      </c>
      <c r="C9" s="7">
        <f>IF(COUNTIF(Raw_Passengers!$A$2:A9,Raw_Passengers!A9)&gt;1,1,0)</f>
        <v>0</v>
      </c>
      <c r="D9" s="7">
        <f>IF(COUNTIF(Raw_Bookings!$A$2:$A$648,Raw_Passengers!B9)=0,1,0)</f>
        <v>0</v>
      </c>
      <c r="E9" s="7">
        <f>IF(OR(C9=1,D9=1),0,IF(NOT(ISNUMBER(Raw_Passengers!E9)),1,IF(Raw_Passengers!E9&lt;=0,1,0)))</f>
        <v>0</v>
      </c>
      <c r="F9" s="7">
        <f>IF(AND(C9=0,D9=0,TRIM(Raw_Passengers!D9&amp;"")=""),1,0)</f>
        <v>0</v>
      </c>
      <c r="G9" s="7" t="str">
        <f>IF(SUMPRODUCT(--(Lookup_Status!$A$2:$A$13=LOWER(TRIM(Raw_Passengers!F9))))=0,"",INDEX(Lookup_Status!$B$2:$B$13,SUMPRODUCT((Lookup_Status!$A$2:$A$13=LOWER(TRIM(Raw_Passengers!F9)))*(ROW(Lookup_Status!$A$2:$A$13)-1))))</f>
        <v>Confirmed</v>
      </c>
      <c r="H9" s="7" t="str">
        <f>IF(SUMPRODUCT(--(Lookup_Status!$A$2:$A$13=LOWER(TRIM(Raw_Passengers!G9))))=0,"",INDEX(Lookup_Status!$B$2:$B$13,SUMPRODUCT((Lookup_Status!$A$2:$A$13=LOWER(TRIM(Raw_Passengers!G9)))*(ROW(Lookup_Status!$A$2:$A$13)-1))))</f>
        <v>Confirmed</v>
      </c>
      <c r="I9" s="7">
        <f>IF(OR(G9="",G9="Cancelled",G9="Mixed"),1,0)</f>
        <v>0</v>
      </c>
      <c r="J9" s="7">
        <f>IF(OR(H9="",H9="Mixed"),1,0)</f>
        <v>0</v>
      </c>
      <c r="K9" s="7">
        <f>IF(AND(C9=0,D9=0),IF(OR(AND(I9=0,NOT(EXACT(Raw_Passengers!F9,G9))),AND(J9=0,NOT(EXACT(Raw_Passengers!G9,H9)))),1,0),0)</f>
        <v>0</v>
      </c>
      <c r="L9" s="7">
        <f>IF(AND(C9=0,D9=0,I9=1),1,0)</f>
        <v>0</v>
      </c>
      <c r="M9" s="7">
        <f>IF(AND(C9=0,D9=0,J9=1),1,0)</f>
        <v>0</v>
      </c>
    </row>
    <row r="10" spans="1:15">
      <c r="A10" s="7">
        <f>Raw_Passengers!A10</f>
        <v>4016</v>
      </c>
      <c r="B10" s="7">
        <f>Raw_Passengers!B10</f>
        <v>1002009</v>
      </c>
      <c r="C10" s="7">
        <f>IF(COUNTIF(Raw_Passengers!$A$2:A10,Raw_Passengers!A10)&gt;1,1,0)</f>
        <v>0</v>
      </c>
      <c r="D10" s="7">
        <f>IF(COUNTIF(Raw_Bookings!$A$2:$A$648,Raw_Passengers!B10)=0,1,0)</f>
        <v>0</v>
      </c>
      <c r="E10" s="7">
        <f>IF(OR(C10=1,D10=1),0,IF(NOT(ISNUMBER(Raw_Passengers!E10)),1,IF(Raw_Passengers!E10&lt;=0,1,0)))</f>
        <v>0</v>
      </c>
      <c r="F10" s="7">
        <f>IF(AND(C10=0,D10=0,TRIM(Raw_Passengers!D10&amp;"")=""),1,0)</f>
        <v>0</v>
      </c>
      <c r="G10" s="7" t="str">
        <f>IF(SUMPRODUCT(--(Lookup_Status!$A$2:$A$13=LOWER(TRIM(Raw_Passengers!F10))))=0,"",INDEX(Lookup_Status!$B$2:$B$13,SUMPRODUCT((Lookup_Status!$A$2:$A$13=LOWER(TRIM(Raw_Passengers!F10)))*(ROW(Lookup_Status!$A$2:$A$13)-1))))</f>
        <v>Confirmed</v>
      </c>
      <c r="H10" s="7" t="str">
        <f>IF(SUMPRODUCT(--(Lookup_Status!$A$2:$A$13=LOWER(TRIM(Raw_Passengers!G10))))=0,"",INDEX(Lookup_Status!$B$2:$B$13,SUMPRODUCT((Lookup_Status!$A$2:$A$13=LOWER(TRIM(Raw_Passengers!G10)))*(ROW(Lookup_Status!$A$2:$A$13)-1))))</f>
        <v>Confirmed</v>
      </c>
      <c r="I10" s="7">
        <f>IF(OR(G10="",G10="Cancelled",G10="Mixed"),1,0)</f>
        <v>0</v>
      </c>
      <c r="J10" s="7">
        <f>IF(OR(H10="",H10="Mixed"),1,0)</f>
        <v>0</v>
      </c>
      <c r="K10" s="7">
        <f>IF(AND(C10=0,D10=0),IF(OR(AND(I10=0,NOT(EXACT(Raw_Passengers!F10,G10))),AND(J10=0,NOT(EXACT(Raw_Passengers!G10,H10)))),1,0),0)</f>
        <v>0</v>
      </c>
      <c r="L10" s="7">
        <f>IF(AND(C10=0,D10=0,I10=1),1,0)</f>
        <v>0</v>
      </c>
      <c r="M10" s="7">
        <f>IF(AND(C10=0,D10=0,J10=1),1,0)</f>
        <v>0</v>
      </c>
    </row>
    <row r="11" spans="1:15">
      <c r="A11" s="7">
        <f>Raw_Passengers!A11</f>
        <v>4783</v>
      </c>
      <c r="B11" s="7">
        <f>Raw_Passengers!B11</f>
        <v>1002389</v>
      </c>
      <c r="C11" s="7">
        <f>IF(COUNTIF(Raw_Passengers!$A$2:A11,Raw_Passengers!A11)&gt;1,1,0)</f>
        <v>0</v>
      </c>
      <c r="D11" s="7">
        <f>IF(COUNTIF(Raw_Bookings!$A$2:$A$648,Raw_Passengers!B11)=0,1,0)</f>
        <v>0</v>
      </c>
      <c r="E11" s="7">
        <f>IF(OR(C11=1,D11=1),0,IF(NOT(ISNUMBER(Raw_Passengers!E11)),1,IF(Raw_Passengers!E11&lt;=0,1,0)))</f>
        <v>0</v>
      </c>
      <c r="F11" s="7">
        <f>IF(AND(C11=0,D11=0,TRIM(Raw_Passengers!D11&amp;"")=""),1,0)</f>
        <v>0</v>
      </c>
      <c r="G11" s="7" t="str">
        <f>IF(SUMPRODUCT(--(Lookup_Status!$A$2:$A$13=LOWER(TRIM(Raw_Passengers!F11))))=0,"",INDEX(Lookup_Status!$B$2:$B$13,SUMPRODUCT((Lookup_Status!$A$2:$A$13=LOWER(TRIM(Raw_Passengers!F11)))*(ROW(Lookup_Status!$A$2:$A$13)-1))))</f>
        <v>Confirmed</v>
      </c>
      <c r="H11" s="7" t="str">
        <f>IF(SUMPRODUCT(--(Lookup_Status!$A$2:$A$13=LOWER(TRIM(Raw_Passengers!G11))))=0,"",INDEX(Lookup_Status!$B$2:$B$13,SUMPRODUCT((Lookup_Status!$A$2:$A$13=LOWER(TRIM(Raw_Passengers!G11)))*(ROW(Lookup_Status!$A$2:$A$13)-1))))</f>
        <v>Confirmed</v>
      </c>
      <c r="I11" s="7">
        <f>IF(OR(G11="",G11="Cancelled",G11="Mixed"),1,0)</f>
        <v>0</v>
      </c>
      <c r="J11" s="7">
        <f>IF(OR(H11="",H11="Mixed"),1,0)</f>
        <v>0</v>
      </c>
      <c r="K11" s="7">
        <f>IF(AND(C11=0,D11=0),IF(OR(AND(I11=0,NOT(EXACT(Raw_Passengers!F11,G11))),AND(J11=0,NOT(EXACT(Raw_Passengers!G11,H11)))),1,0),0)</f>
        <v>0</v>
      </c>
      <c r="L11" s="7">
        <f>IF(AND(C11=0,D11=0,I11=1),1,0)</f>
        <v>0</v>
      </c>
      <c r="M11" s="7">
        <f>IF(AND(C11=0,D11=0,J11=1),1,0)</f>
        <v>0</v>
      </c>
    </row>
    <row r="12" spans="1:15">
      <c r="A12" s="7">
        <f>Raw_Passengers!A12</f>
        <v>4784</v>
      </c>
      <c r="B12" s="7">
        <f>Raw_Passengers!B12</f>
        <v>1002389</v>
      </c>
      <c r="C12" s="7">
        <f>IF(COUNTIF(Raw_Passengers!$A$2:A12,Raw_Passengers!A12)&gt;1,1,0)</f>
        <v>0</v>
      </c>
      <c r="D12" s="7">
        <f>IF(COUNTIF(Raw_Bookings!$A$2:$A$648,Raw_Passengers!B12)=0,1,0)</f>
        <v>0</v>
      </c>
      <c r="E12" s="7">
        <f>IF(OR(C12=1,D12=1),0,IF(NOT(ISNUMBER(Raw_Passengers!E12)),1,IF(Raw_Passengers!E12&lt;=0,1,0)))</f>
        <v>0</v>
      </c>
      <c r="F12" s="7">
        <f>IF(AND(C12=0,D12=0,TRIM(Raw_Passengers!D12&amp;"")=""),1,0)</f>
        <v>0</v>
      </c>
      <c r="G12" s="7" t="str">
        <f>IF(SUMPRODUCT(--(Lookup_Status!$A$2:$A$13=LOWER(TRIM(Raw_Passengers!F12))))=0,"",INDEX(Lookup_Status!$B$2:$B$13,SUMPRODUCT((Lookup_Status!$A$2:$A$13=LOWER(TRIM(Raw_Passengers!F12)))*(ROW(Lookup_Status!$A$2:$A$13)-1))))</f>
        <v>Confirmed</v>
      </c>
      <c r="H12" s="7" t="str">
        <f>IF(SUMPRODUCT(--(Lookup_Status!$A$2:$A$13=LOWER(TRIM(Raw_Passengers!G12))))=0,"",INDEX(Lookup_Status!$B$2:$B$13,SUMPRODUCT((Lookup_Status!$A$2:$A$13=LOWER(TRIM(Raw_Passengers!G12)))*(ROW(Lookup_Status!$A$2:$A$13)-1))))</f>
        <v>Confirmed</v>
      </c>
      <c r="I12" s="7">
        <f>IF(OR(G12="",G12="Cancelled",G12="Mixed"),1,0)</f>
        <v>0</v>
      </c>
      <c r="J12" s="7">
        <f>IF(OR(H12="",H12="Mixed"),1,0)</f>
        <v>0</v>
      </c>
      <c r="K12" s="7">
        <f>IF(AND(C12=0,D12=0),IF(OR(AND(I12=0,NOT(EXACT(Raw_Passengers!F12,G12))),AND(J12=0,NOT(EXACT(Raw_Passengers!G12,H12)))),1,0),0)</f>
        <v>0</v>
      </c>
      <c r="L12" s="7">
        <f>IF(AND(C12=0,D12=0,I12=1),1,0)</f>
        <v>0</v>
      </c>
      <c r="M12" s="7">
        <f>IF(AND(C12=0,D12=0,J12=1),1,0)</f>
        <v>0</v>
      </c>
    </row>
    <row r="13" spans="1:15">
      <c r="A13" s="7">
        <f>Raw_Passengers!A13</f>
        <v>5077</v>
      </c>
      <c r="B13" s="7">
        <f>Raw_Passengers!B13</f>
        <v>1002524</v>
      </c>
      <c r="C13" s="7">
        <f>IF(COUNTIF(Raw_Passengers!$A$2:A13,Raw_Passengers!A13)&gt;1,1,0)</f>
        <v>0</v>
      </c>
      <c r="D13" s="7">
        <f>IF(COUNTIF(Raw_Bookings!$A$2:$A$648,Raw_Passengers!B13)=0,1,0)</f>
        <v>0</v>
      </c>
      <c r="E13" s="7">
        <f>IF(OR(C13=1,D13=1),0,IF(NOT(ISNUMBER(Raw_Passengers!E13)),1,IF(Raw_Passengers!E13&lt;=0,1,0)))</f>
        <v>0</v>
      </c>
      <c r="F13" s="7">
        <f>IF(AND(C13=0,D13=0,TRIM(Raw_Passengers!D13&amp;"")=""),1,0)</f>
        <v>0</v>
      </c>
      <c r="G13" s="7" t="str">
        <f>IF(SUMPRODUCT(--(Lookup_Status!$A$2:$A$13=LOWER(TRIM(Raw_Passengers!F13))))=0,"",INDEX(Lookup_Status!$B$2:$B$13,SUMPRODUCT((Lookup_Status!$A$2:$A$13=LOWER(TRIM(Raw_Passengers!F13)))*(ROW(Lookup_Status!$A$2:$A$13)-1))))</f>
        <v>Confirmed</v>
      </c>
      <c r="H13" s="7" t="str">
        <f>IF(SUMPRODUCT(--(Lookup_Status!$A$2:$A$13=LOWER(TRIM(Raw_Passengers!G13))))=0,"",INDEX(Lookup_Status!$B$2:$B$13,SUMPRODUCT((Lookup_Status!$A$2:$A$13=LOWER(TRIM(Raw_Passengers!G13)))*(ROW(Lookup_Status!$A$2:$A$13)-1))))</f>
        <v>Confirmed</v>
      </c>
      <c r="I13" s="7">
        <f>IF(OR(G13="",G13="Cancelled",G13="Mixed"),1,0)</f>
        <v>0</v>
      </c>
      <c r="J13" s="7">
        <f>IF(OR(H13="",H13="Mixed"),1,0)</f>
        <v>0</v>
      </c>
      <c r="K13" s="7">
        <f>IF(AND(C13=0,D13=0),IF(OR(AND(I13=0,NOT(EXACT(Raw_Passengers!F13,G13))),AND(J13=0,NOT(EXACT(Raw_Passengers!G13,H13)))),1,0),0)</f>
        <v>0</v>
      </c>
      <c r="L13" s="7">
        <f>IF(AND(C13=0,D13=0,I13=1),1,0)</f>
        <v>0</v>
      </c>
      <c r="M13" s="7">
        <f>IF(AND(C13=0,D13=0,J13=1),1,0)</f>
        <v>0</v>
      </c>
    </row>
    <row r="14" spans="1:15">
      <c r="A14" s="7">
        <f>Raw_Passengers!A14</f>
        <v>5078</v>
      </c>
      <c r="B14" s="7">
        <f>Raw_Passengers!B14</f>
        <v>1002524</v>
      </c>
      <c r="C14" s="7">
        <f>IF(COUNTIF(Raw_Passengers!$A$2:A14,Raw_Passengers!A14)&gt;1,1,0)</f>
        <v>0</v>
      </c>
      <c r="D14" s="7">
        <f>IF(COUNTIF(Raw_Bookings!$A$2:$A$648,Raw_Passengers!B14)=0,1,0)</f>
        <v>0</v>
      </c>
      <c r="E14" s="7">
        <f>IF(OR(C14=1,D14=1),0,IF(NOT(ISNUMBER(Raw_Passengers!E14)),1,IF(Raw_Passengers!E14&lt;=0,1,0)))</f>
        <v>0</v>
      </c>
      <c r="F14" s="7">
        <f>IF(AND(C14=0,D14=0,TRIM(Raw_Passengers!D14&amp;"")=""),1,0)</f>
        <v>0</v>
      </c>
      <c r="G14" s="7" t="str">
        <f>IF(SUMPRODUCT(--(Lookup_Status!$A$2:$A$13=LOWER(TRIM(Raw_Passengers!F14))))=0,"",INDEX(Lookup_Status!$B$2:$B$13,SUMPRODUCT((Lookup_Status!$A$2:$A$13=LOWER(TRIM(Raw_Passengers!F14)))*(ROW(Lookup_Status!$A$2:$A$13)-1))))</f>
        <v>Confirmed</v>
      </c>
      <c r="H14" s="7" t="str">
        <f>IF(SUMPRODUCT(--(Lookup_Status!$A$2:$A$13=LOWER(TRIM(Raw_Passengers!G14))))=0,"",INDEX(Lookup_Status!$B$2:$B$13,SUMPRODUCT((Lookup_Status!$A$2:$A$13=LOWER(TRIM(Raw_Passengers!G14)))*(ROW(Lookup_Status!$A$2:$A$13)-1))))</f>
        <v>Confirmed</v>
      </c>
      <c r="I14" s="7">
        <f>IF(OR(G14="",G14="Cancelled",G14="Mixed"),1,0)</f>
        <v>0</v>
      </c>
      <c r="J14" s="7">
        <f>IF(OR(H14="",H14="Mixed"),1,0)</f>
        <v>0</v>
      </c>
      <c r="K14" s="7">
        <f>IF(AND(C14=0,D14=0),IF(OR(AND(I14=0,NOT(EXACT(Raw_Passengers!F14,G14))),AND(J14=0,NOT(EXACT(Raw_Passengers!G14,H14)))),1,0),0)</f>
        <v>0</v>
      </c>
      <c r="L14" s="7">
        <f>IF(AND(C14=0,D14=0,I14=1),1,0)</f>
        <v>0</v>
      </c>
      <c r="M14" s="7">
        <f>IF(AND(C14=0,D14=0,J14=1),1,0)</f>
        <v>0</v>
      </c>
    </row>
    <row r="15" spans="1:15">
      <c r="A15" s="7">
        <f>Raw_Passengers!A15</f>
        <v>5891</v>
      </c>
      <c r="B15" s="7">
        <f>Raw_Passengers!B15</f>
        <v>1002921</v>
      </c>
      <c r="C15" s="7">
        <f>IF(COUNTIF(Raw_Passengers!$A$2:A15,Raw_Passengers!A15)&gt;1,1,0)</f>
        <v>0</v>
      </c>
      <c r="D15" s="7">
        <f>IF(COUNTIF(Raw_Bookings!$A$2:$A$648,Raw_Passengers!B15)=0,1,0)</f>
        <v>0</v>
      </c>
      <c r="E15" s="7">
        <f>IF(OR(C15=1,D15=1),0,IF(NOT(ISNUMBER(Raw_Passengers!E15)),1,IF(Raw_Passengers!E15&lt;=0,1,0)))</f>
        <v>0</v>
      </c>
      <c r="F15" s="7">
        <f>IF(AND(C15=0,D15=0,TRIM(Raw_Passengers!D15&amp;"")=""),1,0)</f>
        <v>0</v>
      </c>
      <c r="G15" s="7" t="str">
        <f>IF(SUMPRODUCT(--(Lookup_Status!$A$2:$A$13=LOWER(TRIM(Raw_Passengers!F15))))=0,"",INDEX(Lookup_Status!$B$2:$B$13,SUMPRODUCT((Lookup_Status!$A$2:$A$13=LOWER(TRIM(Raw_Passengers!F15)))*(ROW(Lookup_Status!$A$2:$A$13)-1))))</f>
        <v>Confirmed</v>
      </c>
      <c r="H15" s="7" t="str">
        <f>IF(SUMPRODUCT(--(Lookup_Status!$A$2:$A$13=LOWER(TRIM(Raw_Passengers!G15))))=0,"",INDEX(Lookup_Status!$B$2:$B$13,SUMPRODUCT((Lookup_Status!$A$2:$A$13=LOWER(TRIM(Raw_Passengers!G15)))*(ROW(Lookup_Status!$A$2:$A$13)-1))))</f>
        <v>Confirmed</v>
      </c>
      <c r="I15" s="7">
        <f>IF(OR(G15="",G15="Cancelled",G15="Mixed"),1,0)</f>
        <v>0</v>
      </c>
      <c r="J15" s="7">
        <f>IF(OR(H15="",H15="Mixed"),1,0)</f>
        <v>0</v>
      </c>
      <c r="K15" s="7">
        <f>IF(AND(C15=0,D15=0),IF(OR(AND(I15=0,NOT(EXACT(Raw_Passengers!F15,G15))),AND(J15=0,NOT(EXACT(Raw_Passengers!G15,H15)))),1,0),0)</f>
        <v>0</v>
      </c>
      <c r="L15" s="7">
        <f>IF(AND(C15=0,D15=0,I15=1),1,0)</f>
        <v>0</v>
      </c>
      <c r="M15" s="7">
        <f>IF(AND(C15=0,D15=0,J15=1),1,0)</f>
        <v>0</v>
      </c>
    </row>
    <row r="16" spans="1:15">
      <c r="A16" s="7">
        <f>Raw_Passengers!A16</f>
        <v>5892</v>
      </c>
      <c r="B16" s="7">
        <f>Raw_Passengers!B16</f>
        <v>1002921</v>
      </c>
      <c r="C16" s="7">
        <f>IF(COUNTIF(Raw_Passengers!$A$2:A16,Raw_Passengers!A16)&gt;1,1,0)</f>
        <v>0</v>
      </c>
      <c r="D16" s="7">
        <f>IF(COUNTIF(Raw_Bookings!$A$2:$A$648,Raw_Passengers!B16)=0,1,0)</f>
        <v>0</v>
      </c>
      <c r="E16" s="7">
        <f>IF(OR(C16=1,D16=1),0,IF(NOT(ISNUMBER(Raw_Passengers!E16)),1,IF(Raw_Passengers!E16&lt;=0,1,0)))</f>
        <v>0</v>
      </c>
      <c r="F16" s="7">
        <f>IF(AND(C16=0,D16=0,TRIM(Raw_Passengers!D16&amp;"")=""),1,0)</f>
        <v>0</v>
      </c>
      <c r="G16" s="7" t="str">
        <f>IF(SUMPRODUCT(--(Lookup_Status!$A$2:$A$13=LOWER(TRIM(Raw_Passengers!F16))))=0,"",INDEX(Lookup_Status!$B$2:$B$13,SUMPRODUCT((Lookup_Status!$A$2:$A$13=LOWER(TRIM(Raw_Passengers!F16)))*(ROW(Lookup_Status!$A$2:$A$13)-1))))</f>
        <v>Confirmed</v>
      </c>
      <c r="H16" s="7" t="str">
        <f>IF(SUMPRODUCT(--(Lookup_Status!$A$2:$A$13=LOWER(TRIM(Raw_Passengers!G16))))=0,"",INDEX(Lookup_Status!$B$2:$B$13,SUMPRODUCT((Lookup_Status!$A$2:$A$13=LOWER(TRIM(Raw_Passengers!G16)))*(ROW(Lookup_Status!$A$2:$A$13)-1))))</f>
        <v>Confirmed</v>
      </c>
      <c r="I16" s="7">
        <f>IF(OR(G16="",G16="Cancelled",G16="Mixed"),1,0)</f>
        <v>0</v>
      </c>
      <c r="J16" s="7">
        <f>IF(OR(H16="",H16="Mixed"),1,0)</f>
        <v>0</v>
      </c>
      <c r="K16" s="7">
        <f>IF(AND(C16=0,D16=0),IF(OR(AND(I16=0,NOT(EXACT(Raw_Passengers!F16,G16))),AND(J16=0,NOT(EXACT(Raw_Passengers!G16,H16)))),1,0),0)</f>
        <v>0</v>
      </c>
      <c r="L16" s="7">
        <f>IF(AND(C16=0,D16=0,I16=1),1,0)</f>
        <v>0</v>
      </c>
      <c r="M16" s="7">
        <f>IF(AND(C16=0,D16=0,J16=1),1,0)</f>
        <v>0</v>
      </c>
    </row>
    <row r="17" spans="1:13">
      <c r="A17" s="7">
        <f>Raw_Passengers!A17</f>
        <v>6027</v>
      </c>
      <c r="B17" s="7">
        <f>Raw_Passengers!B17</f>
        <v>1002990</v>
      </c>
      <c r="C17" s="7">
        <f>IF(COUNTIF(Raw_Passengers!$A$2:A17,Raw_Passengers!A17)&gt;1,1,0)</f>
        <v>0</v>
      </c>
      <c r="D17" s="7">
        <f>IF(COUNTIF(Raw_Bookings!$A$2:$A$648,Raw_Passengers!B17)=0,1,0)</f>
        <v>0</v>
      </c>
      <c r="E17" s="7">
        <f>IF(OR(C17=1,D17=1),0,IF(NOT(ISNUMBER(Raw_Passengers!E17)),1,IF(Raw_Passengers!E17&lt;=0,1,0)))</f>
        <v>0</v>
      </c>
      <c r="F17" s="7">
        <f>IF(AND(C17=0,D17=0,TRIM(Raw_Passengers!D17&amp;"")=""),1,0)</f>
        <v>0</v>
      </c>
      <c r="G17" s="7" t="str">
        <f>IF(SUMPRODUCT(--(Lookup_Status!$A$2:$A$13=LOWER(TRIM(Raw_Passengers!F17))))=0,"",INDEX(Lookup_Status!$B$2:$B$13,SUMPRODUCT((Lookup_Status!$A$2:$A$13=LOWER(TRIM(Raw_Passengers!F17)))*(ROW(Lookup_Status!$A$2:$A$13)-1))))</f>
        <v>Confirmed</v>
      </c>
      <c r="H17" s="7" t="str">
        <f>IF(SUMPRODUCT(--(Lookup_Status!$A$2:$A$13=LOWER(TRIM(Raw_Passengers!G17))))=0,"",INDEX(Lookup_Status!$B$2:$B$13,SUMPRODUCT((Lookup_Status!$A$2:$A$13=LOWER(TRIM(Raw_Passengers!G17)))*(ROW(Lookup_Status!$A$2:$A$13)-1))))</f>
        <v>Confirmed</v>
      </c>
      <c r="I17" s="7">
        <f>IF(OR(G17="",G17="Cancelled",G17="Mixed"),1,0)</f>
        <v>0</v>
      </c>
      <c r="J17" s="7">
        <f>IF(OR(H17="",H17="Mixed"),1,0)</f>
        <v>0</v>
      </c>
      <c r="K17" s="7">
        <f>IF(AND(C17=0,D17=0),IF(OR(AND(I17=0,NOT(EXACT(Raw_Passengers!F17,G17))),AND(J17=0,NOT(EXACT(Raw_Passengers!G17,H17)))),1,0),0)</f>
        <v>0</v>
      </c>
      <c r="L17" s="7">
        <f>IF(AND(C17=0,D17=0,I17=1),1,0)</f>
        <v>0</v>
      </c>
      <c r="M17" s="7">
        <f>IF(AND(C17=0,D17=0,J17=1),1,0)</f>
        <v>0</v>
      </c>
    </row>
    <row r="18" spans="1:13">
      <c r="A18" s="7">
        <f>Raw_Passengers!A18</f>
        <v>6183</v>
      </c>
      <c r="B18" s="7">
        <f>Raw_Passengers!B18</f>
        <v>1003061</v>
      </c>
      <c r="C18" s="7">
        <f>IF(COUNTIF(Raw_Passengers!$A$2:A18,Raw_Passengers!A18)&gt;1,1,0)</f>
        <v>0</v>
      </c>
      <c r="D18" s="7">
        <f>IF(COUNTIF(Raw_Bookings!$A$2:$A$648,Raw_Passengers!B18)=0,1,0)</f>
        <v>0</v>
      </c>
      <c r="E18" s="7">
        <f>IF(OR(C18=1,D18=1),0,IF(NOT(ISNUMBER(Raw_Passengers!E18)),1,IF(Raw_Passengers!E18&lt;=0,1,0)))</f>
        <v>0</v>
      </c>
      <c r="F18" s="7">
        <f>IF(AND(C18=0,D18=0,TRIM(Raw_Passengers!D18&amp;"")=""),1,0)</f>
        <v>0</v>
      </c>
      <c r="G18" s="7" t="str">
        <f>IF(SUMPRODUCT(--(Lookup_Status!$A$2:$A$13=LOWER(TRIM(Raw_Passengers!F18))))=0,"",INDEX(Lookup_Status!$B$2:$B$13,SUMPRODUCT((Lookup_Status!$A$2:$A$13=LOWER(TRIM(Raw_Passengers!F18)))*(ROW(Lookup_Status!$A$2:$A$13)-1))))</f>
        <v>Confirmed</v>
      </c>
      <c r="H18" s="7" t="str">
        <f>IF(SUMPRODUCT(--(Lookup_Status!$A$2:$A$13=LOWER(TRIM(Raw_Passengers!G18))))=0,"",INDEX(Lookup_Status!$B$2:$B$13,SUMPRODUCT((Lookup_Status!$A$2:$A$13=LOWER(TRIM(Raw_Passengers!G18)))*(ROW(Lookup_Status!$A$2:$A$13)-1))))</f>
        <v>Confirmed</v>
      </c>
      <c r="I18" s="7">
        <f>IF(OR(G18="",G18="Cancelled",G18="Mixed"),1,0)</f>
        <v>0</v>
      </c>
      <c r="J18" s="7">
        <f>IF(OR(H18="",H18="Mixed"),1,0)</f>
        <v>0</v>
      </c>
      <c r="K18" s="7">
        <f>IF(AND(C18=0,D18=0),IF(OR(AND(I18=0,NOT(EXACT(Raw_Passengers!F18,G18))),AND(J18=0,NOT(EXACT(Raw_Passengers!G18,H18)))),1,0),0)</f>
        <v>0</v>
      </c>
      <c r="L18" s="7">
        <f>IF(AND(C18=0,D18=0,I18=1),1,0)</f>
        <v>0</v>
      </c>
      <c r="M18" s="7">
        <f>IF(AND(C18=0,D18=0,J18=1),1,0)</f>
        <v>0</v>
      </c>
    </row>
    <row r="19" spans="1:13">
      <c r="A19" s="7">
        <f>Raw_Passengers!A19</f>
        <v>6184</v>
      </c>
      <c r="B19" s="7">
        <f>Raw_Passengers!B19</f>
        <v>1003061</v>
      </c>
      <c r="C19" s="7">
        <f>IF(COUNTIF(Raw_Passengers!$A$2:A19,Raw_Passengers!A19)&gt;1,1,0)</f>
        <v>0</v>
      </c>
      <c r="D19" s="7">
        <f>IF(COUNTIF(Raw_Bookings!$A$2:$A$648,Raw_Passengers!B19)=0,1,0)</f>
        <v>0</v>
      </c>
      <c r="E19" s="7">
        <f>IF(OR(C19=1,D19=1),0,IF(NOT(ISNUMBER(Raw_Passengers!E19)),1,IF(Raw_Passengers!E19&lt;=0,1,0)))</f>
        <v>0</v>
      </c>
      <c r="F19" s="7">
        <f>IF(AND(C19=0,D19=0,TRIM(Raw_Passengers!D19&amp;"")=""),1,0)</f>
        <v>0</v>
      </c>
      <c r="G19" s="7" t="str">
        <f>IF(SUMPRODUCT(--(Lookup_Status!$A$2:$A$13=LOWER(TRIM(Raw_Passengers!F19))))=0,"",INDEX(Lookup_Status!$B$2:$B$13,SUMPRODUCT((Lookup_Status!$A$2:$A$13=LOWER(TRIM(Raw_Passengers!F19)))*(ROW(Lookup_Status!$A$2:$A$13)-1))))</f>
        <v>Confirmed</v>
      </c>
      <c r="H19" s="7" t="str">
        <f>IF(SUMPRODUCT(--(Lookup_Status!$A$2:$A$13=LOWER(TRIM(Raw_Passengers!G19))))=0,"",INDEX(Lookup_Status!$B$2:$B$13,SUMPRODUCT((Lookup_Status!$A$2:$A$13=LOWER(TRIM(Raw_Passengers!G19)))*(ROW(Lookup_Status!$A$2:$A$13)-1))))</f>
        <v>Confirmed</v>
      </c>
      <c r="I19" s="7">
        <f>IF(OR(G19="",G19="Cancelled",G19="Mixed"),1,0)</f>
        <v>0</v>
      </c>
      <c r="J19" s="7">
        <f>IF(OR(H19="",H19="Mixed"),1,0)</f>
        <v>0</v>
      </c>
      <c r="K19" s="7">
        <f>IF(AND(C19=0,D19=0),IF(OR(AND(I19=0,NOT(EXACT(Raw_Passengers!F19,G19))),AND(J19=0,NOT(EXACT(Raw_Passengers!G19,H19)))),1,0),0)</f>
        <v>0</v>
      </c>
      <c r="L19" s="7">
        <f>IF(AND(C19=0,D19=0,I19=1),1,0)</f>
        <v>0</v>
      </c>
      <c r="M19" s="7">
        <f>IF(AND(C19=0,D19=0,J19=1),1,0)</f>
        <v>0</v>
      </c>
    </row>
    <row r="20" spans="1:13">
      <c r="A20" s="7">
        <f>Raw_Passengers!A20</f>
        <v>6275</v>
      </c>
      <c r="B20" s="7">
        <f>Raw_Passengers!B20</f>
        <v>1003110</v>
      </c>
      <c r="C20" s="7">
        <f>IF(COUNTIF(Raw_Passengers!$A$2:A20,Raw_Passengers!A20)&gt;1,1,0)</f>
        <v>0</v>
      </c>
      <c r="D20" s="7">
        <f>IF(COUNTIF(Raw_Bookings!$A$2:$A$648,Raw_Passengers!B20)=0,1,0)</f>
        <v>0</v>
      </c>
      <c r="E20" s="7">
        <f>IF(OR(C20=1,D20=1),0,IF(NOT(ISNUMBER(Raw_Passengers!E20)),1,IF(Raw_Passengers!E20&lt;=0,1,0)))</f>
        <v>0</v>
      </c>
      <c r="F20" s="7">
        <f>IF(AND(C20=0,D20=0,TRIM(Raw_Passengers!D20&amp;"")=""),1,0)</f>
        <v>0</v>
      </c>
      <c r="G20" s="7" t="str">
        <f>IF(SUMPRODUCT(--(Lookup_Status!$A$2:$A$13=LOWER(TRIM(Raw_Passengers!F20))))=0,"",INDEX(Lookup_Status!$B$2:$B$13,SUMPRODUCT((Lookup_Status!$A$2:$A$13=LOWER(TRIM(Raw_Passengers!F20)))*(ROW(Lookup_Status!$A$2:$A$13)-1))))</f>
        <v>Confirmed</v>
      </c>
      <c r="H20" s="7" t="str">
        <f>IF(SUMPRODUCT(--(Lookup_Status!$A$2:$A$13=LOWER(TRIM(Raw_Passengers!G20))))=0,"",INDEX(Lookup_Status!$B$2:$B$13,SUMPRODUCT((Lookup_Status!$A$2:$A$13=LOWER(TRIM(Raw_Passengers!G20)))*(ROW(Lookup_Status!$A$2:$A$13)-1))))</f>
        <v>Confirmed</v>
      </c>
      <c r="I20" s="7">
        <f>IF(OR(G20="",G20="Cancelled",G20="Mixed"),1,0)</f>
        <v>0</v>
      </c>
      <c r="J20" s="7">
        <f>IF(OR(H20="",H20="Mixed"),1,0)</f>
        <v>0</v>
      </c>
      <c r="K20" s="7">
        <f>IF(AND(C20=0,D20=0),IF(OR(AND(I20=0,NOT(EXACT(Raw_Passengers!F20,G20))),AND(J20=0,NOT(EXACT(Raw_Passengers!G20,H20)))),1,0),0)</f>
        <v>0</v>
      </c>
      <c r="L20" s="7">
        <f>IF(AND(C20=0,D20=0,I20=1),1,0)</f>
        <v>0</v>
      </c>
      <c r="M20" s="7">
        <f>IF(AND(C20=0,D20=0,J20=1),1,0)</f>
        <v>0</v>
      </c>
    </row>
    <row r="21" spans="1:13">
      <c r="A21" s="7">
        <f>Raw_Passengers!A21</f>
        <v>6276</v>
      </c>
      <c r="B21" s="7">
        <f>Raw_Passengers!B21</f>
        <v>1003110</v>
      </c>
      <c r="C21" s="7">
        <f>IF(COUNTIF(Raw_Passengers!$A$2:A21,Raw_Passengers!A21)&gt;1,1,0)</f>
        <v>0</v>
      </c>
      <c r="D21" s="7">
        <f>IF(COUNTIF(Raw_Bookings!$A$2:$A$648,Raw_Passengers!B21)=0,1,0)</f>
        <v>0</v>
      </c>
      <c r="E21" s="7">
        <f>IF(OR(C21=1,D21=1),0,IF(NOT(ISNUMBER(Raw_Passengers!E21)),1,IF(Raw_Passengers!E21&lt;=0,1,0)))</f>
        <v>0</v>
      </c>
      <c r="F21" s="7">
        <f>IF(AND(C21=0,D21=0,TRIM(Raw_Passengers!D21&amp;"")=""),1,0)</f>
        <v>0</v>
      </c>
      <c r="G21" s="7" t="str">
        <f>IF(SUMPRODUCT(--(Lookup_Status!$A$2:$A$13=LOWER(TRIM(Raw_Passengers!F21))))=0,"",INDEX(Lookup_Status!$B$2:$B$13,SUMPRODUCT((Lookup_Status!$A$2:$A$13=LOWER(TRIM(Raw_Passengers!F21)))*(ROW(Lookup_Status!$A$2:$A$13)-1))))</f>
        <v>Confirmed</v>
      </c>
      <c r="H21" s="7" t="str">
        <f>IF(SUMPRODUCT(--(Lookup_Status!$A$2:$A$13=LOWER(TRIM(Raw_Passengers!G21))))=0,"",INDEX(Lookup_Status!$B$2:$B$13,SUMPRODUCT((Lookup_Status!$A$2:$A$13=LOWER(TRIM(Raw_Passengers!G21)))*(ROW(Lookup_Status!$A$2:$A$13)-1))))</f>
        <v>Confirmed</v>
      </c>
      <c r="I21" s="7">
        <f>IF(OR(G21="",G21="Cancelled",G21="Mixed"),1,0)</f>
        <v>0</v>
      </c>
      <c r="J21" s="7">
        <f>IF(OR(H21="",H21="Mixed"),1,0)</f>
        <v>0</v>
      </c>
      <c r="K21" s="7">
        <f>IF(AND(C21=0,D21=0),IF(OR(AND(I21=0,NOT(EXACT(Raw_Passengers!F21,G21))),AND(J21=0,NOT(EXACT(Raw_Passengers!G21,H21)))),1,0),0)</f>
        <v>0</v>
      </c>
      <c r="L21" s="7">
        <f>IF(AND(C21=0,D21=0,I21=1),1,0)</f>
        <v>0</v>
      </c>
      <c r="M21" s="7">
        <f>IF(AND(C21=0,D21=0,J21=1),1,0)</f>
        <v>0</v>
      </c>
    </row>
    <row r="22" spans="1:13">
      <c r="A22" s="7">
        <f>Raw_Passengers!A22</f>
        <v>6277</v>
      </c>
      <c r="B22" s="7">
        <f>Raw_Passengers!B22</f>
        <v>1003110</v>
      </c>
      <c r="C22" s="7">
        <f>IF(COUNTIF(Raw_Passengers!$A$2:A22,Raw_Passengers!A22)&gt;1,1,0)</f>
        <v>0</v>
      </c>
      <c r="D22" s="7">
        <f>IF(COUNTIF(Raw_Bookings!$A$2:$A$648,Raw_Passengers!B22)=0,1,0)</f>
        <v>0</v>
      </c>
      <c r="E22" s="7">
        <f>IF(OR(C22=1,D22=1),0,IF(NOT(ISNUMBER(Raw_Passengers!E22)),1,IF(Raw_Passengers!E22&lt;=0,1,0)))</f>
        <v>0</v>
      </c>
      <c r="F22" s="7">
        <f>IF(AND(C22=0,D22=0,TRIM(Raw_Passengers!D22&amp;"")=""),1,0)</f>
        <v>0</v>
      </c>
      <c r="G22" s="7" t="str">
        <f>IF(SUMPRODUCT(--(Lookup_Status!$A$2:$A$13=LOWER(TRIM(Raw_Passengers!F22))))=0,"",INDEX(Lookup_Status!$B$2:$B$13,SUMPRODUCT((Lookup_Status!$A$2:$A$13=LOWER(TRIM(Raw_Passengers!F22)))*(ROW(Lookup_Status!$A$2:$A$13)-1))))</f>
        <v>Confirmed</v>
      </c>
      <c r="H22" s="7" t="str">
        <f>IF(SUMPRODUCT(--(Lookup_Status!$A$2:$A$13=LOWER(TRIM(Raw_Passengers!G22))))=0,"",INDEX(Lookup_Status!$B$2:$B$13,SUMPRODUCT((Lookup_Status!$A$2:$A$13=LOWER(TRIM(Raw_Passengers!G22)))*(ROW(Lookup_Status!$A$2:$A$13)-1))))</f>
        <v>Confirmed</v>
      </c>
      <c r="I22" s="7">
        <f>IF(OR(G22="",G22="Cancelled",G22="Mixed"),1,0)</f>
        <v>0</v>
      </c>
      <c r="J22" s="7">
        <f>IF(OR(H22="",H22="Mixed"),1,0)</f>
        <v>0</v>
      </c>
      <c r="K22" s="7">
        <f>IF(AND(C22=0,D22=0),IF(OR(AND(I22=0,NOT(EXACT(Raw_Passengers!F22,G22))),AND(J22=0,NOT(EXACT(Raw_Passengers!G22,H22)))),1,0),0)</f>
        <v>0</v>
      </c>
      <c r="L22" s="7">
        <f>IF(AND(C22=0,D22=0,I22=1),1,0)</f>
        <v>0</v>
      </c>
      <c r="M22" s="7">
        <f>IF(AND(C22=0,D22=0,J22=1),1,0)</f>
        <v>0</v>
      </c>
    </row>
    <row r="23" spans="1:13">
      <c r="A23" s="7">
        <f>Raw_Passengers!A23</f>
        <v>6278</v>
      </c>
      <c r="B23" s="7">
        <f>Raw_Passengers!B23</f>
        <v>1003110</v>
      </c>
      <c r="C23" s="7">
        <f>IF(COUNTIF(Raw_Passengers!$A$2:A23,Raw_Passengers!A23)&gt;1,1,0)</f>
        <v>0</v>
      </c>
      <c r="D23" s="7">
        <f>IF(COUNTIF(Raw_Bookings!$A$2:$A$648,Raw_Passengers!B23)=0,1,0)</f>
        <v>0</v>
      </c>
      <c r="E23" s="7">
        <f>IF(OR(C23=1,D23=1),0,IF(NOT(ISNUMBER(Raw_Passengers!E23)),1,IF(Raw_Passengers!E23&lt;=0,1,0)))</f>
        <v>0</v>
      </c>
      <c r="F23" s="7">
        <f>IF(AND(C23=0,D23=0,TRIM(Raw_Passengers!D23&amp;"")=""),1,0)</f>
        <v>0</v>
      </c>
      <c r="G23" s="7" t="str">
        <f>IF(SUMPRODUCT(--(Lookup_Status!$A$2:$A$13=LOWER(TRIM(Raw_Passengers!F23))))=0,"",INDEX(Lookup_Status!$B$2:$B$13,SUMPRODUCT((Lookup_Status!$A$2:$A$13=LOWER(TRIM(Raw_Passengers!F23)))*(ROW(Lookup_Status!$A$2:$A$13)-1))))</f>
        <v>Confirmed</v>
      </c>
      <c r="H23" s="7" t="str">
        <f>IF(SUMPRODUCT(--(Lookup_Status!$A$2:$A$13=LOWER(TRIM(Raw_Passengers!G23))))=0,"",INDEX(Lookup_Status!$B$2:$B$13,SUMPRODUCT((Lookup_Status!$A$2:$A$13=LOWER(TRIM(Raw_Passengers!G23)))*(ROW(Lookup_Status!$A$2:$A$13)-1))))</f>
        <v>Confirmed</v>
      </c>
      <c r="I23" s="7">
        <f>IF(OR(G23="",G23="Cancelled",G23="Mixed"),1,0)</f>
        <v>0</v>
      </c>
      <c r="J23" s="7">
        <f>IF(OR(H23="",H23="Mixed"),1,0)</f>
        <v>0</v>
      </c>
      <c r="K23" s="7">
        <f>IF(AND(C23=0,D23=0),IF(OR(AND(I23=0,NOT(EXACT(Raw_Passengers!F23,G23))),AND(J23=0,NOT(EXACT(Raw_Passengers!G23,H23)))),1,0),0)</f>
        <v>0</v>
      </c>
      <c r="L23" s="7">
        <f>IF(AND(C23=0,D23=0,I23=1),1,0)</f>
        <v>0</v>
      </c>
      <c r="M23" s="7">
        <f>IF(AND(C23=0,D23=0,J23=1),1,0)</f>
        <v>0</v>
      </c>
    </row>
    <row r="24" spans="1:13">
      <c r="A24" s="7">
        <f>Raw_Passengers!A24</f>
        <v>7310</v>
      </c>
      <c r="B24" s="7">
        <f>Raw_Passengers!B24</f>
        <v>1003617</v>
      </c>
      <c r="C24" s="7">
        <f>IF(COUNTIF(Raw_Passengers!$A$2:A24,Raw_Passengers!A24)&gt;1,1,0)</f>
        <v>0</v>
      </c>
      <c r="D24" s="7">
        <f>IF(COUNTIF(Raw_Bookings!$A$2:$A$648,Raw_Passengers!B24)=0,1,0)</f>
        <v>0</v>
      </c>
      <c r="E24" s="7">
        <f>IF(OR(C24=1,D24=1),0,IF(NOT(ISNUMBER(Raw_Passengers!E24)),1,IF(Raw_Passengers!E24&lt;=0,1,0)))</f>
        <v>0</v>
      </c>
      <c r="F24" s="7">
        <f>IF(AND(C24=0,D24=0,TRIM(Raw_Passengers!D24&amp;"")=""),1,0)</f>
        <v>0</v>
      </c>
      <c r="G24" s="7">
        <f>IF(SUMPRODUCT(--(Lookup_Status!$A$2:$A$13=LOWER(TRIM(Raw_Passengers!F24))))=0,"",INDEX(Lookup_Status!$B$2:$B$13,SUMPRODUCT((Lookup_Status!$A$2:$A$13=LOWER(TRIM(Raw_Passengers!F24)))*(ROW(Lookup_Status!$A$2:$A$13)-1))))</f>
        <v/>
      </c>
      <c r="H24" s="7" t="str">
        <f>IF(SUMPRODUCT(--(Lookup_Status!$A$2:$A$13=LOWER(TRIM(Raw_Passengers!G24))))=0,"",INDEX(Lookup_Status!$B$2:$B$13,SUMPRODUCT((Lookup_Status!$A$2:$A$13=LOWER(TRIM(Raw_Passengers!G24)))*(ROW(Lookup_Status!$A$2:$A$13)-1))))</f>
        <v>Confirmed</v>
      </c>
      <c r="I24" s="7">
        <f>IF(OR(G24="",G24="Cancelled",G24="Mixed"),1,0)</f>
        <v>1</v>
      </c>
      <c r="J24" s="7">
        <f>IF(OR(H24="",H24="Mixed"),1,0)</f>
        <v>0</v>
      </c>
      <c r="K24" s="7">
        <f>IF(AND(C24=0,D24=0),IF(OR(AND(I24=0,NOT(EXACT(Raw_Passengers!F24,G24))),AND(J24=0,NOT(EXACT(Raw_Passengers!G24,H24)))),1,0),0)</f>
        <v>0</v>
      </c>
      <c r="L24" s="7">
        <f>IF(AND(C24=0,D24=0,I24=1),1,0)</f>
        <v>1</v>
      </c>
      <c r="M24" s="7">
        <f>IF(AND(C24=0,D24=0,J24=1),1,0)</f>
        <v>0</v>
      </c>
    </row>
    <row r="25" spans="1:13">
      <c r="A25" s="7">
        <f>Raw_Passengers!A25</f>
        <v>7311</v>
      </c>
      <c r="B25" s="7">
        <f>Raw_Passengers!B25</f>
        <v>1003617</v>
      </c>
      <c r="C25" s="7">
        <f>IF(COUNTIF(Raw_Passengers!$A$2:A25,Raw_Passengers!A25)&gt;1,1,0)</f>
        <v>0</v>
      </c>
      <c r="D25" s="7">
        <f>IF(COUNTIF(Raw_Bookings!$A$2:$A$648,Raw_Passengers!B25)=0,1,0)</f>
        <v>0</v>
      </c>
      <c r="E25" s="7">
        <f>IF(OR(C25=1,D25=1),0,IF(NOT(ISNUMBER(Raw_Passengers!E25)),1,IF(Raw_Passengers!E25&lt;=0,1,0)))</f>
        <v>0</v>
      </c>
      <c r="F25" s="7">
        <f>IF(AND(C25=0,D25=0,TRIM(Raw_Passengers!D25&amp;"")=""),1,0)</f>
        <v>0</v>
      </c>
      <c r="G25" s="7" t="str">
        <f>IF(SUMPRODUCT(--(Lookup_Status!$A$2:$A$13=LOWER(TRIM(Raw_Passengers!F25))))=0,"",INDEX(Lookup_Status!$B$2:$B$13,SUMPRODUCT((Lookup_Status!$A$2:$A$13=LOWER(TRIM(Raw_Passengers!F25)))*(ROW(Lookup_Status!$A$2:$A$13)-1))))</f>
        <v>Confirmed</v>
      </c>
      <c r="H25" s="7" t="str">
        <f>IF(SUMPRODUCT(--(Lookup_Status!$A$2:$A$13=LOWER(TRIM(Raw_Passengers!G25))))=0,"",INDEX(Lookup_Status!$B$2:$B$13,SUMPRODUCT((Lookup_Status!$A$2:$A$13=LOWER(TRIM(Raw_Passengers!G25)))*(ROW(Lookup_Status!$A$2:$A$13)-1))))</f>
        <v>Confirmed</v>
      </c>
      <c r="I25" s="7">
        <f>IF(OR(G25="",G25="Cancelled",G25="Mixed"),1,0)</f>
        <v>0</v>
      </c>
      <c r="J25" s="7">
        <f>IF(OR(H25="",H25="Mixed"),1,0)</f>
        <v>0</v>
      </c>
      <c r="K25" s="7">
        <f>IF(AND(C25=0,D25=0),IF(OR(AND(I25=0,NOT(EXACT(Raw_Passengers!F25,G25))),AND(J25=0,NOT(EXACT(Raw_Passengers!G25,H25)))),1,0),0)</f>
        <v>0</v>
      </c>
      <c r="L25" s="7">
        <f>IF(AND(C25=0,D25=0,I25=1),1,0)</f>
        <v>0</v>
      </c>
      <c r="M25" s="7">
        <f>IF(AND(C25=0,D25=0,J25=1),1,0)</f>
        <v>0</v>
      </c>
    </row>
    <row r="26" spans="1:13">
      <c r="A26" s="7">
        <f>Raw_Passengers!A26</f>
        <v>7312</v>
      </c>
      <c r="B26" s="7">
        <f>Raw_Passengers!B26</f>
        <v>1003617</v>
      </c>
      <c r="C26" s="7">
        <f>IF(COUNTIF(Raw_Passengers!$A$2:A26,Raw_Passengers!A26)&gt;1,1,0)</f>
        <v>0</v>
      </c>
      <c r="D26" s="7">
        <f>IF(COUNTIF(Raw_Bookings!$A$2:$A$648,Raw_Passengers!B26)=0,1,0)</f>
        <v>0</v>
      </c>
      <c r="E26" s="7">
        <f>IF(OR(C26=1,D26=1),0,IF(NOT(ISNUMBER(Raw_Passengers!E26)),1,IF(Raw_Passengers!E26&lt;=0,1,0)))</f>
        <v>0</v>
      </c>
      <c r="F26" s="7">
        <f>IF(AND(C26=0,D26=0,TRIM(Raw_Passengers!D26&amp;"")=""),1,0)</f>
        <v>0</v>
      </c>
      <c r="G26" s="7" t="str">
        <f>IF(SUMPRODUCT(--(Lookup_Status!$A$2:$A$13=LOWER(TRIM(Raw_Passengers!F26))))=0,"",INDEX(Lookup_Status!$B$2:$B$13,SUMPRODUCT((Lookup_Status!$A$2:$A$13=LOWER(TRIM(Raw_Passengers!F26)))*(ROW(Lookup_Status!$A$2:$A$13)-1))))</f>
        <v>Confirmed</v>
      </c>
      <c r="H26" s="7" t="str">
        <f>IF(SUMPRODUCT(--(Lookup_Status!$A$2:$A$13=LOWER(TRIM(Raw_Passengers!G26))))=0,"",INDEX(Lookup_Status!$B$2:$B$13,SUMPRODUCT((Lookup_Status!$A$2:$A$13=LOWER(TRIM(Raw_Passengers!G26)))*(ROW(Lookup_Status!$A$2:$A$13)-1))))</f>
        <v>Confirmed</v>
      </c>
      <c r="I26" s="7">
        <f>IF(OR(G26="",G26="Cancelled",G26="Mixed"),1,0)</f>
        <v>0</v>
      </c>
      <c r="J26" s="7">
        <f>IF(OR(H26="",H26="Mixed"),1,0)</f>
        <v>0</v>
      </c>
      <c r="K26" s="7">
        <f>IF(AND(C26=0,D26=0),IF(OR(AND(I26=0,NOT(EXACT(Raw_Passengers!F26,G26))),AND(J26=0,NOT(EXACT(Raw_Passengers!G26,H26)))),1,0),0)</f>
        <v>0</v>
      </c>
      <c r="L26" s="7">
        <f>IF(AND(C26=0,D26=0,I26=1),1,0)</f>
        <v>0</v>
      </c>
      <c r="M26" s="7">
        <f>IF(AND(C26=0,D26=0,J26=1),1,0)</f>
        <v>0</v>
      </c>
    </row>
    <row r="27" spans="1:13">
      <c r="A27" s="7">
        <f>Raw_Passengers!A27</f>
        <v>7806</v>
      </c>
      <c r="B27" s="7">
        <f>Raw_Passengers!B27</f>
        <v>1003866</v>
      </c>
      <c r="C27" s="7">
        <f>IF(COUNTIF(Raw_Passengers!$A$2:A27,Raw_Passengers!A27)&gt;1,1,0)</f>
        <v>0</v>
      </c>
      <c r="D27" s="7">
        <f>IF(COUNTIF(Raw_Bookings!$A$2:$A$648,Raw_Passengers!B27)=0,1,0)</f>
        <v>0</v>
      </c>
      <c r="E27" s="7">
        <f>IF(OR(C27=1,D27=1),0,IF(NOT(ISNUMBER(Raw_Passengers!E27)),1,IF(Raw_Passengers!E27&lt;=0,1,0)))</f>
        <v>0</v>
      </c>
      <c r="F27" s="7">
        <f>IF(AND(C27=0,D27=0,TRIM(Raw_Passengers!D27&amp;"")=""),1,0)</f>
        <v>0</v>
      </c>
      <c r="G27" s="7" t="str">
        <f>IF(SUMPRODUCT(--(Lookup_Status!$A$2:$A$13=LOWER(TRIM(Raw_Passengers!F27))))=0,"",INDEX(Lookup_Status!$B$2:$B$13,SUMPRODUCT((Lookup_Status!$A$2:$A$13=LOWER(TRIM(Raw_Passengers!F27)))*(ROW(Lookup_Status!$A$2:$A$13)-1))))</f>
        <v>Confirmed</v>
      </c>
      <c r="H27" s="7" t="str">
        <f>IF(SUMPRODUCT(--(Lookup_Status!$A$2:$A$13=LOWER(TRIM(Raw_Passengers!G27))))=0,"",INDEX(Lookup_Status!$B$2:$B$13,SUMPRODUCT((Lookup_Status!$A$2:$A$13=LOWER(TRIM(Raw_Passengers!G27)))*(ROW(Lookup_Status!$A$2:$A$13)-1))))</f>
        <v>Confirmed</v>
      </c>
      <c r="I27" s="7">
        <f>IF(OR(G27="",G27="Cancelled",G27="Mixed"),1,0)</f>
        <v>0</v>
      </c>
      <c r="J27" s="7">
        <f>IF(OR(H27="",H27="Mixed"),1,0)</f>
        <v>0</v>
      </c>
      <c r="K27" s="7">
        <f>IF(AND(C27=0,D27=0),IF(OR(AND(I27=0,NOT(EXACT(Raw_Passengers!F27,G27))),AND(J27=0,NOT(EXACT(Raw_Passengers!G27,H27)))),1,0),0)</f>
        <v>0</v>
      </c>
      <c r="L27" s="7">
        <f>IF(AND(C27=0,D27=0,I27=1),1,0)</f>
        <v>0</v>
      </c>
      <c r="M27" s="7">
        <f>IF(AND(C27=0,D27=0,J27=1),1,0)</f>
        <v>0</v>
      </c>
    </row>
    <row r="28" spans="1:13">
      <c r="A28" s="7">
        <f>Raw_Passengers!A28</f>
        <v>8988</v>
      </c>
      <c r="B28" s="7">
        <f>Raw_Passengers!B28</f>
        <v>1004416</v>
      </c>
      <c r="C28" s="7">
        <f>IF(COUNTIF(Raw_Passengers!$A$2:A28,Raw_Passengers!A28)&gt;1,1,0)</f>
        <v>0</v>
      </c>
      <c r="D28" s="7">
        <f>IF(COUNTIF(Raw_Bookings!$A$2:$A$648,Raw_Passengers!B28)=0,1,0)</f>
        <v>0</v>
      </c>
      <c r="E28" s="7">
        <f>IF(OR(C28=1,D28=1),0,IF(NOT(ISNUMBER(Raw_Passengers!E28)),1,IF(Raw_Passengers!E28&lt;=0,1,0)))</f>
        <v>0</v>
      </c>
      <c r="F28" s="7">
        <f>IF(AND(C28=0,D28=0,TRIM(Raw_Passengers!D28&amp;"")=""),1,0)</f>
        <v>0</v>
      </c>
      <c r="G28" s="7" t="str">
        <f>IF(SUMPRODUCT(--(Lookup_Status!$A$2:$A$13=LOWER(TRIM(Raw_Passengers!F28))))=0,"",INDEX(Lookup_Status!$B$2:$B$13,SUMPRODUCT((Lookup_Status!$A$2:$A$13=LOWER(TRIM(Raw_Passengers!F28)))*(ROW(Lookup_Status!$A$2:$A$13)-1))))</f>
        <v>Confirmed</v>
      </c>
      <c r="H28" s="7" t="str">
        <f>IF(SUMPRODUCT(--(Lookup_Status!$A$2:$A$13=LOWER(TRIM(Raw_Passengers!G28))))=0,"",INDEX(Lookup_Status!$B$2:$B$13,SUMPRODUCT((Lookup_Status!$A$2:$A$13=LOWER(TRIM(Raw_Passengers!G28)))*(ROW(Lookup_Status!$A$2:$A$13)-1))))</f>
        <v>Confirmed</v>
      </c>
      <c r="I28" s="7">
        <f>IF(OR(G28="",G28="Cancelled",G28="Mixed"),1,0)</f>
        <v>0</v>
      </c>
      <c r="J28" s="7">
        <f>IF(OR(H28="",H28="Mixed"),1,0)</f>
        <v>0</v>
      </c>
      <c r="K28" s="7">
        <f>IF(AND(C28=0,D28=0),IF(OR(AND(I28=0,NOT(EXACT(Raw_Passengers!F28,G28))),AND(J28=0,NOT(EXACT(Raw_Passengers!G28,H28)))),1,0),0)</f>
        <v>0</v>
      </c>
      <c r="L28" s="7">
        <f>IF(AND(C28=0,D28=0,I28=1),1,0)</f>
        <v>0</v>
      </c>
      <c r="M28" s="7">
        <f>IF(AND(C28=0,D28=0,J28=1),1,0)</f>
        <v>0</v>
      </c>
    </row>
    <row r="29" spans="1:13">
      <c r="A29" s="7">
        <f>Raw_Passengers!A29</f>
        <v>9483</v>
      </c>
      <c r="B29" s="7">
        <f>Raw_Passengers!B29</f>
        <v>1004645</v>
      </c>
      <c r="C29" s="7">
        <f>IF(COUNTIF(Raw_Passengers!$A$2:A29,Raw_Passengers!A29)&gt;1,1,0)</f>
        <v>0</v>
      </c>
      <c r="D29" s="7">
        <f>IF(COUNTIF(Raw_Bookings!$A$2:$A$648,Raw_Passengers!B29)=0,1,0)</f>
        <v>0</v>
      </c>
      <c r="E29" s="7">
        <f>IF(OR(C29=1,D29=1),0,IF(NOT(ISNUMBER(Raw_Passengers!E29)),1,IF(Raw_Passengers!E29&lt;=0,1,0)))</f>
        <v>0</v>
      </c>
      <c r="F29" s="7">
        <f>IF(AND(C29=0,D29=0,TRIM(Raw_Passengers!D29&amp;"")=""),1,0)</f>
        <v>0</v>
      </c>
      <c r="G29" s="7" t="str">
        <f>IF(SUMPRODUCT(--(Lookup_Status!$A$2:$A$13=LOWER(TRIM(Raw_Passengers!F29))))=0,"",INDEX(Lookup_Status!$B$2:$B$13,SUMPRODUCT((Lookup_Status!$A$2:$A$13=LOWER(TRIM(Raw_Passengers!F29)))*(ROW(Lookup_Status!$A$2:$A$13)-1))))</f>
        <v>Confirmed</v>
      </c>
      <c r="H29" s="7" t="str">
        <f>IF(SUMPRODUCT(--(Lookup_Status!$A$2:$A$13=LOWER(TRIM(Raw_Passengers!G29))))=0,"",INDEX(Lookup_Status!$B$2:$B$13,SUMPRODUCT((Lookup_Status!$A$2:$A$13=LOWER(TRIM(Raw_Passengers!G29)))*(ROW(Lookup_Status!$A$2:$A$13)-1))))</f>
        <v>Confirmed</v>
      </c>
      <c r="I29" s="7">
        <f>IF(OR(G29="",G29="Cancelled",G29="Mixed"),1,0)</f>
        <v>0</v>
      </c>
      <c r="J29" s="7">
        <f>IF(OR(H29="",H29="Mixed"),1,0)</f>
        <v>0</v>
      </c>
      <c r="K29" s="7">
        <f>IF(AND(C29=0,D29=0),IF(OR(AND(I29=0,NOT(EXACT(Raw_Passengers!F29,G29))),AND(J29=0,NOT(EXACT(Raw_Passengers!G29,H29)))),1,0),0)</f>
        <v>0</v>
      </c>
      <c r="L29" s="7">
        <f>IF(AND(C29=0,D29=0,I29=1),1,0)</f>
        <v>0</v>
      </c>
      <c r="M29" s="7">
        <f>IF(AND(C29=0,D29=0,J29=1),1,0)</f>
        <v>0</v>
      </c>
    </row>
    <row r="30" spans="1:13">
      <c r="A30" s="7">
        <f>Raw_Passengers!A30</f>
        <v>9822</v>
      </c>
      <c r="B30" s="7">
        <f>Raw_Passengers!B30</f>
        <v>1004815</v>
      </c>
      <c r="C30" s="7">
        <f>IF(COUNTIF(Raw_Passengers!$A$2:A30,Raw_Passengers!A30)&gt;1,1,0)</f>
        <v>0</v>
      </c>
      <c r="D30" s="7">
        <f>IF(COUNTIF(Raw_Bookings!$A$2:$A$648,Raw_Passengers!B30)=0,1,0)</f>
        <v>0</v>
      </c>
      <c r="E30" s="7">
        <f>IF(OR(C30=1,D30=1),0,IF(NOT(ISNUMBER(Raw_Passengers!E30)),1,IF(Raw_Passengers!E30&lt;=0,1,0)))</f>
        <v>0</v>
      </c>
      <c r="F30" s="7">
        <f>IF(AND(C30=0,D30=0,TRIM(Raw_Passengers!D30&amp;"")=""),1,0)</f>
        <v>0</v>
      </c>
      <c r="G30" s="7" t="str">
        <f>IF(SUMPRODUCT(--(Lookup_Status!$A$2:$A$13=LOWER(TRIM(Raw_Passengers!F30))))=0,"",INDEX(Lookup_Status!$B$2:$B$13,SUMPRODUCT((Lookup_Status!$A$2:$A$13=LOWER(TRIM(Raw_Passengers!F30)))*(ROW(Lookup_Status!$A$2:$A$13)-1))))</f>
        <v>Confirmed</v>
      </c>
      <c r="H30" s="7" t="str">
        <f>IF(SUMPRODUCT(--(Lookup_Status!$A$2:$A$13=LOWER(TRIM(Raw_Passengers!G30))))=0,"",INDEX(Lookup_Status!$B$2:$B$13,SUMPRODUCT((Lookup_Status!$A$2:$A$13=LOWER(TRIM(Raw_Passengers!G30)))*(ROW(Lookup_Status!$A$2:$A$13)-1))))</f>
        <v>Cancelled</v>
      </c>
      <c r="I30" s="7">
        <f>IF(OR(G30="",G30="Cancelled",G30="Mixed"),1,0)</f>
        <v>0</v>
      </c>
      <c r="J30" s="7">
        <f>IF(OR(H30="",H30="Mixed"),1,0)</f>
        <v>0</v>
      </c>
      <c r="K30" s="7">
        <f>IF(AND(C30=0,D30=0),IF(OR(AND(I30=0,NOT(EXACT(Raw_Passengers!F30,G30))),AND(J30=0,NOT(EXACT(Raw_Passengers!G30,H30)))),1,0),0)</f>
        <v>0</v>
      </c>
      <c r="L30" s="7">
        <f>IF(AND(C30=0,D30=0,I30=1),1,0)</f>
        <v>0</v>
      </c>
      <c r="M30" s="7">
        <f>IF(AND(C30=0,D30=0,J30=1),1,0)</f>
        <v>0</v>
      </c>
    </row>
    <row r="31" spans="1:13">
      <c r="A31" s="7">
        <f>Raw_Passengers!A31</f>
        <v>9892</v>
      </c>
      <c r="B31" s="7">
        <f>Raw_Passengers!B31</f>
        <v>1004847</v>
      </c>
      <c r="C31" s="7">
        <f>IF(COUNTIF(Raw_Passengers!$A$2:A31,Raw_Passengers!A31)&gt;1,1,0)</f>
        <v>0</v>
      </c>
      <c r="D31" s="7">
        <f>IF(COUNTIF(Raw_Bookings!$A$2:$A$648,Raw_Passengers!B31)=0,1,0)</f>
        <v>0</v>
      </c>
      <c r="E31" s="7">
        <f>IF(OR(C31=1,D31=1),0,IF(NOT(ISNUMBER(Raw_Passengers!E31)),1,IF(Raw_Passengers!E31&lt;=0,1,0)))</f>
        <v>0</v>
      </c>
      <c r="F31" s="7">
        <f>IF(AND(C31=0,D31=0,TRIM(Raw_Passengers!D31&amp;"")=""),1,0)</f>
        <v>0</v>
      </c>
      <c r="G31" s="7" t="str">
        <f>IF(SUMPRODUCT(--(Lookup_Status!$A$2:$A$13=LOWER(TRIM(Raw_Passengers!F31))))=0,"",INDEX(Lookup_Status!$B$2:$B$13,SUMPRODUCT((Lookup_Status!$A$2:$A$13=LOWER(TRIM(Raw_Passengers!F31)))*(ROW(Lookup_Status!$A$2:$A$13)-1))))</f>
        <v>Confirmed</v>
      </c>
      <c r="H31" s="7" t="str">
        <f>IF(SUMPRODUCT(--(Lookup_Status!$A$2:$A$13=LOWER(TRIM(Raw_Passengers!G31))))=0,"",INDEX(Lookup_Status!$B$2:$B$13,SUMPRODUCT((Lookup_Status!$A$2:$A$13=LOWER(TRIM(Raw_Passengers!G31)))*(ROW(Lookup_Status!$A$2:$A$13)-1))))</f>
        <v>Cancelled</v>
      </c>
      <c r="I31" s="7">
        <f>IF(OR(G31="",G31="Cancelled",G31="Mixed"),1,0)</f>
        <v>0</v>
      </c>
      <c r="J31" s="7">
        <f>IF(OR(H31="",H31="Mixed"),1,0)</f>
        <v>0</v>
      </c>
      <c r="K31" s="7">
        <f>IF(AND(C31=0,D31=0),IF(OR(AND(I31=0,NOT(EXACT(Raw_Passengers!F31,G31))),AND(J31=0,NOT(EXACT(Raw_Passengers!G31,H31)))),1,0),0)</f>
        <v>0</v>
      </c>
      <c r="L31" s="7">
        <f>IF(AND(C31=0,D31=0,I31=1),1,0)</f>
        <v>0</v>
      </c>
      <c r="M31" s="7">
        <f>IF(AND(C31=0,D31=0,J31=1),1,0)</f>
        <v>0</v>
      </c>
    </row>
    <row r="32" spans="1:13">
      <c r="A32" s="7">
        <f>Raw_Passengers!A32</f>
        <v>10555</v>
      </c>
      <c r="B32" s="7">
        <f>Raw_Passengers!B32</f>
        <v>1005162</v>
      </c>
      <c r="C32" s="7">
        <f>IF(COUNTIF(Raw_Passengers!$A$2:A32,Raw_Passengers!A32)&gt;1,1,0)</f>
        <v>0</v>
      </c>
      <c r="D32" s="7">
        <f>IF(COUNTIF(Raw_Bookings!$A$2:$A$648,Raw_Passengers!B32)=0,1,0)</f>
        <v>0</v>
      </c>
      <c r="E32" s="7">
        <f>IF(OR(C32=1,D32=1),0,IF(NOT(ISNUMBER(Raw_Passengers!E32)),1,IF(Raw_Passengers!E32&lt;=0,1,0)))</f>
        <v>0</v>
      </c>
      <c r="F32" s="7">
        <f>IF(AND(C32=0,D32=0,TRIM(Raw_Passengers!D32&amp;"")=""),1,0)</f>
        <v>0</v>
      </c>
      <c r="G32" s="7" t="str">
        <f>IF(SUMPRODUCT(--(Lookup_Status!$A$2:$A$13=LOWER(TRIM(Raw_Passengers!F32))))=0,"",INDEX(Lookup_Status!$B$2:$B$13,SUMPRODUCT((Lookup_Status!$A$2:$A$13=LOWER(TRIM(Raw_Passengers!F32)))*(ROW(Lookup_Status!$A$2:$A$13)-1))))</f>
        <v>Confirmed</v>
      </c>
      <c r="H32" s="7" t="str">
        <f>IF(SUMPRODUCT(--(Lookup_Status!$A$2:$A$13=LOWER(TRIM(Raw_Passengers!G32))))=0,"",INDEX(Lookup_Status!$B$2:$B$13,SUMPRODUCT((Lookup_Status!$A$2:$A$13=LOWER(TRIM(Raw_Passengers!G32)))*(ROW(Lookup_Status!$A$2:$A$13)-1))))</f>
        <v>Confirmed</v>
      </c>
      <c r="I32" s="7">
        <f>IF(OR(G32="",G32="Cancelled",G32="Mixed"),1,0)</f>
        <v>0</v>
      </c>
      <c r="J32" s="7">
        <f>IF(OR(H32="",H32="Mixed"),1,0)</f>
        <v>0</v>
      </c>
      <c r="K32" s="7">
        <f>IF(AND(C32=0,D32=0),IF(OR(AND(I32=0,NOT(EXACT(Raw_Passengers!F32,G32))),AND(J32=0,NOT(EXACT(Raw_Passengers!G32,H32)))),1,0),0)</f>
        <v>0</v>
      </c>
      <c r="L32" s="7">
        <f>IF(AND(C32=0,D32=0,I32=1),1,0)</f>
        <v>0</v>
      </c>
      <c r="M32" s="7">
        <f>IF(AND(C32=0,D32=0,J32=1),1,0)</f>
        <v>0</v>
      </c>
    </row>
    <row r="33" spans="1:13">
      <c r="A33" s="7">
        <f>Raw_Passengers!A33</f>
        <v>11394</v>
      </c>
      <c r="B33" s="7">
        <f>Raw_Passengers!B33</f>
        <v>1005562</v>
      </c>
      <c r="C33" s="7">
        <f>IF(COUNTIF(Raw_Passengers!$A$2:A33,Raw_Passengers!A33)&gt;1,1,0)</f>
        <v>0</v>
      </c>
      <c r="D33" s="7">
        <f>IF(COUNTIF(Raw_Bookings!$A$2:$A$648,Raw_Passengers!B33)=0,1,0)</f>
        <v>0</v>
      </c>
      <c r="E33" s="7">
        <f>IF(OR(C33=1,D33=1),0,IF(NOT(ISNUMBER(Raw_Passengers!E33)),1,IF(Raw_Passengers!E33&lt;=0,1,0)))</f>
        <v>0</v>
      </c>
      <c r="F33" s="7">
        <f>IF(AND(C33=0,D33=0,TRIM(Raw_Passengers!D33&amp;"")=""),1,0)</f>
        <v>0</v>
      </c>
      <c r="G33" s="7" t="str">
        <f>IF(SUMPRODUCT(--(Lookup_Status!$A$2:$A$13=LOWER(TRIM(Raw_Passengers!F33))))=0,"",INDEX(Lookup_Status!$B$2:$B$13,SUMPRODUCT((Lookup_Status!$A$2:$A$13=LOWER(TRIM(Raw_Passengers!F33)))*(ROW(Lookup_Status!$A$2:$A$13)-1))))</f>
        <v>Confirmed</v>
      </c>
      <c r="H33" s="7" t="str">
        <f>IF(SUMPRODUCT(--(Lookup_Status!$A$2:$A$13=LOWER(TRIM(Raw_Passengers!G33))))=0,"",INDEX(Lookup_Status!$B$2:$B$13,SUMPRODUCT((Lookup_Status!$A$2:$A$13=LOWER(TRIM(Raw_Passengers!G33)))*(ROW(Lookup_Status!$A$2:$A$13)-1))))</f>
        <v>Confirmed</v>
      </c>
      <c r="I33" s="7">
        <f>IF(OR(G33="",G33="Cancelled",G33="Mixed"),1,0)</f>
        <v>0</v>
      </c>
      <c r="J33" s="7">
        <f>IF(OR(H33="",H33="Mixed"),1,0)</f>
        <v>0</v>
      </c>
      <c r="K33" s="7">
        <f>IF(AND(C33=0,D33=0),IF(OR(AND(I33=0,NOT(EXACT(Raw_Passengers!F33,G33))),AND(J33=0,NOT(EXACT(Raw_Passengers!G33,H33)))),1,0),0)</f>
        <v>0</v>
      </c>
      <c r="L33" s="7">
        <f>IF(AND(C33=0,D33=0,I33=1),1,0)</f>
        <v>0</v>
      </c>
      <c r="M33" s="7">
        <f>IF(AND(C33=0,D33=0,J33=1),1,0)</f>
        <v>0</v>
      </c>
    </row>
    <row r="34" spans="1:13">
      <c r="A34" s="7">
        <f>Raw_Passengers!A34</f>
        <v>11395</v>
      </c>
      <c r="B34" s="7">
        <f>Raw_Passengers!B34</f>
        <v>1005562</v>
      </c>
      <c r="C34" s="7">
        <f>IF(COUNTIF(Raw_Passengers!$A$2:A34,Raw_Passengers!A34)&gt;1,1,0)</f>
        <v>0</v>
      </c>
      <c r="D34" s="7">
        <f>IF(COUNTIF(Raw_Bookings!$A$2:$A$648,Raw_Passengers!B34)=0,1,0)</f>
        <v>0</v>
      </c>
      <c r="E34" s="7">
        <f>IF(OR(C34=1,D34=1),0,IF(NOT(ISNUMBER(Raw_Passengers!E34)),1,IF(Raw_Passengers!E34&lt;=0,1,0)))</f>
        <v>0</v>
      </c>
      <c r="F34" s="7">
        <f>IF(AND(C34=0,D34=0,TRIM(Raw_Passengers!D34&amp;"")=""),1,0)</f>
        <v>0</v>
      </c>
      <c r="G34" s="7" t="str">
        <f>IF(SUMPRODUCT(--(Lookup_Status!$A$2:$A$13=LOWER(TRIM(Raw_Passengers!F34))))=0,"",INDEX(Lookup_Status!$B$2:$B$13,SUMPRODUCT((Lookup_Status!$A$2:$A$13=LOWER(TRIM(Raw_Passengers!F34)))*(ROW(Lookup_Status!$A$2:$A$13)-1))))</f>
        <v>Confirmed</v>
      </c>
      <c r="H34" s="7" t="str">
        <f>IF(SUMPRODUCT(--(Lookup_Status!$A$2:$A$13=LOWER(TRIM(Raw_Passengers!G34))))=0,"",INDEX(Lookup_Status!$B$2:$B$13,SUMPRODUCT((Lookup_Status!$A$2:$A$13=LOWER(TRIM(Raw_Passengers!G34)))*(ROW(Lookup_Status!$A$2:$A$13)-1))))</f>
        <v>Confirmed</v>
      </c>
      <c r="I34" s="7">
        <f>IF(OR(G34="",G34="Cancelled",G34="Mixed"),1,0)</f>
        <v>0</v>
      </c>
      <c r="J34" s="7">
        <f>IF(OR(H34="",H34="Mixed"),1,0)</f>
        <v>0</v>
      </c>
      <c r="K34" s="7">
        <f>IF(AND(C34=0,D34=0),IF(OR(AND(I34=0,NOT(EXACT(Raw_Passengers!F34,G34))),AND(J34=0,NOT(EXACT(Raw_Passengers!G34,H34)))),1,0),0)</f>
        <v>0</v>
      </c>
      <c r="L34" s="7">
        <f>IF(AND(C34=0,D34=0,I34=1),1,0)</f>
        <v>0</v>
      </c>
      <c r="M34" s="7">
        <f>IF(AND(C34=0,D34=0,J34=1),1,0)</f>
        <v>0</v>
      </c>
    </row>
    <row r="35" spans="1:13">
      <c r="A35" s="7">
        <f>Raw_Passengers!A35</f>
        <v>11428</v>
      </c>
      <c r="B35" s="7">
        <f>Raw_Passengers!B35</f>
        <v>1005583</v>
      </c>
      <c r="C35" s="7">
        <f>IF(COUNTIF(Raw_Passengers!$A$2:A35,Raw_Passengers!A35)&gt;1,1,0)</f>
        <v>0</v>
      </c>
      <c r="D35" s="7">
        <f>IF(COUNTIF(Raw_Bookings!$A$2:$A$648,Raw_Passengers!B35)=0,1,0)</f>
        <v>0</v>
      </c>
      <c r="E35" s="7">
        <f>IF(OR(C35=1,D35=1),0,IF(NOT(ISNUMBER(Raw_Passengers!E35)),1,IF(Raw_Passengers!E35&lt;=0,1,0)))</f>
        <v>0</v>
      </c>
      <c r="F35" s="7">
        <f>IF(AND(C35=0,D35=0,TRIM(Raw_Passengers!D35&amp;"")=""),1,0)</f>
        <v>0</v>
      </c>
      <c r="G35" s="7" t="str">
        <f>IF(SUMPRODUCT(--(Lookup_Status!$A$2:$A$13=LOWER(TRIM(Raw_Passengers!F35))))=0,"",INDEX(Lookup_Status!$B$2:$B$13,SUMPRODUCT((Lookup_Status!$A$2:$A$13=LOWER(TRIM(Raw_Passengers!F35)))*(ROW(Lookup_Status!$A$2:$A$13)-1))))</f>
        <v>Confirmed</v>
      </c>
      <c r="H35" s="7" t="str">
        <f>IF(SUMPRODUCT(--(Lookup_Status!$A$2:$A$13=LOWER(TRIM(Raw_Passengers!G35))))=0,"",INDEX(Lookup_Status!$B$2:$B$13,SUMPRODUCT((Lookup_Status!$A$2:$A$13=LOWER(TRIM(Raw_Passengers!G35)))*(ROW(Lookup_Status!$A$2:$A$13)-1))))</f>
        <v>Confirmed</v>
      </c>
      <c r="I35" s="7">
        <f>IF(OR(G35="",G35="Cancelled",G35="Mixed"),1,0)</f>
        <v>0</v>
      </c>
      <c r="J35" s="7">
        <f>IF(OR(H35="",H35="Mixed"),1,0)</f>
        <v>0</v>
      </c>
      <c r="K35" s="7">
        <f>IF(AND(C35=0,D35=0),IF(OR(AND(I35=0,NOT(EXACT(Raw_Passengers!F35,G35))),AND(J35=0,NOT(EXACT(Raw_Passengers!G35,H35)))),1,0),0)</f>
        <v>0</v>
      </c>
      <c r="L35" s="7">
        <f>IF(AND(C35=0,D35=0,I35=1),1,0)</f>
        <v>0</v>
      </c>
      <c r="M35" s="7">
        <f>IF(AND(C35=0,D35=0,J35=1),1,0)</f>
        <v>0</v>
      </c>
    </row>
    <row r="36" spans="1:13">
      <c r="A36" s="7">
        <f>Raw_Passengers!A36</f>
        <v>12364</v>
      </c>
      <c r="B36" s="7">
        <f>Raw_Passengers!B36</f>
        <v>1006037</v>
      </c>
      <c r="C36" s="7">
        <f>IF(COUNTIF(Raw_Passengers!$A$2:A36,Raw_Passengers!A36)&gt;1,1,0)</f>
        <v>0</v>
      </c>
      <c r="D36" s="7">
        <f>IF(COUNTIF(Raw_Bookings!$A$2:$A$648,Raw_Passengers!B36)=0,1,0)</f>
        <v>0</v>
      </c>
      <c r="E36" s="7">
        <f>IF(OR(C36=1,D36=1),0,IF(NOT(ISNUMBER(Raw_Passengers!E36)),1,IF(Raw_Passengers!E36&lt;=0,1,0)))</f>
        <v>0</v>
      </c>
      <c r="F36" s="7">
        <f>IF(AND(C36=0,D36=0,TRIM(Raw_Passengers!D36&amp;"")=""),1,0)</f>
        <v>0</v>
      </c>
      <c r="G36" s="7" t="str">
        <f>IF(SUMPRODUCT(--(Lookup_Status!$A$2:$A$13=LOWER(TRIM(Raw_Passengers!F36))))=0,"",INDEX(Lookup_Status!$B$2:$B$13,SUMPRODUCT((Lookup_Status!$A$2:$A$13=LOWER(TRIM(Raw_Passengers!F36)))*(ROW(Lookup_Status!$A$2:$A$13)-1))))</f>
        <v>Confirmed</v>
      </c>
      <c r="H36" s="7" t="str">
        <f>IF(SUMPRODUCT(--(Lookup_Status!$A$2:$A$13=LOWER(TRIM(Raw_Passengers!G36))))=0,"",INDEX(Lookup_Status!$B$2:$B$13,SUMPRODUCT((Lookup_Status!$A$2:$A$13=LOWER(TRIM(Raw_Passengers!G36)))*(ROW(Lookup_Status!$A$2:$A$13)-1))))</f>
        <v>Confirmed</v>
      </c>
      <c r="I36" s="7">
        <f>IF(OR(G36="",G36="Cancelled",G36="Mixed"),1,0)</f>
        <v>0</v>
      </c>
      <c r="J36" s="7">
        <f>IF(OR(H36="",H36="Mixed"),1,0)</f>
        <v>0</v>
      </c>
      <c r="K36" s="7">
        <f>IF(AND(C36=0,D36=0),IF(OR(AND(I36=0,NOT(EXACT(Raw_Passengers!F36,G36))),AND(J36=0,NOT(EXACT(Raw_Passengers!G36,H36)))),1,0),0)</f>
        <v>0</v>
      </c>
      <c r="L36" s="7">
        <f>IF(AND(C36=0,D36=0,I36=1),1,0)</f>
        <v>0</v>
      </c>
      <c r="M36" s="7">
        <f>IF(AND(C36=0,D36=0,J36=1),1,0)</f>
        <v>0</v>
      </c>
    </row>
    <row r="37" spans="1:13">
      <c r="A37" s="7">
        <f>Raw_Passengers!A37</f>
        <v>12365</v>
      </c>
      <c r="B37" s="7">
        <f>Raw_Passengers!B37</f>
        <v>1006037</v>
      </c>
      <c r="C37" s="7">
        <f>IF(COUNTIF(Raw_Passengers!$A$2:A37,Raw_Passengers!A37)&gt;1,1,0)</f>
        <v>0</v>
      </c>
      <c r="D37" s="7">
        <f>IF(COUNTIF(Raw_Bookings!$A$2:$A$648,Raw_Passengers!B37)=0,1,0)</f>
        <v>0</v>
      </c>
      <c r="E37" s="7">
        <f>IF(OR(C37=1,D37=1),0,IF(NOT(ISNUMBER(Raw_Passengers!E37)),1,IF(Raw_Passengers!E37&lt;=0,1,0)))</f>
        <v>0</v>
      </c>
      <c r="F37" s="7">
        <f>IF(AND(C37=0,D37=0,TRIM(Raw_Passengers!D37&amp;"")=""),1,0)</f>
        <v>0</v>
      </c>
      <c r="G37" s="7" t="str">
        <f>IF(SUMPRODUCT(--(Lookup_Status!$A$2:$A$13=LOWER(TRIM(Raw_Passengers!F37))))=0,"",INDEX(Lookup_Status!$B$2:$B$13,SUMPRODUCT((Lookup_Status!$A$2:$A$13=LOWER(TRIM(Raw_Passengers!F37)))*(ROW(Lookup_Status!$A$2:$A$13)-1))))</f>
        <v>Confirmed</v>
      </c>
      <c r="H37" s="7" t="str">
        <f>IF(SUMPRODUCT(--(Lookup_Status!$A$2:$A$13=LOWER(TRIM(Raw_Passengers!G37))))=0,"",INDEX(Lookup_Status!$B$2:$B$13,SUMPRODUCT((Lookup_Status!$A$2:$A$13=LOWER(TRIM(Raw_Passengers!G37)))*(ROW(Lookup_Status!$A$2:$A$13)-1))))</f>
        <v>Confirmed</v>
      </c>
      <c r="I37" s="7">
        <f>IF(OR(G37="",G37="Cancelled",G37="Mixed"),1,0)</f>
        <v>0</v>
      </c>
      <c r="J37" s="7">
        <f>IF(OR(H37="",H37="Mixed"),1,0)</f>
        <v>0</v>
      </c>
      <c r="K37" s="7">
        <f>IF(AND(C37=0,D37=0),IF(OR(AND(I37=0,NOT(EXACT(Raw_Passengers!F37,G37))),AND(J37=0,NOT(EXACT(Raw_Passengers!G37,H37)))),1,0),0)</f>
        <v>0</v>
      </c>
      <c r="L37" s="7">
        <f>IF(AND(C37=0,D37=0,I37=1),1,0)</f>
        <v>0</v>
      </c>
      <c r="M37" s="7">
        <f>IF(AND(C37=0,D37=0,J37=1),1,0)</f>
        <v>0</v>
      </c>
    </row>
    <row r="38" spans="1:13">
      <c r="A38" s="7">
        <f>Raw_Passengers!A38</f>
        <v>12366</v>
      </c>
      <c r="B38" s="7">
        <f>Raw_Passengers!B38</f>
        <v>1006037</v>
      </c>
      <c r="C38" s="7">
        <f>IF(COUNTIF(Raw_Passengers!$A$2:A38,Raw_Passengers!A38)&gt;1,1,0)</f>
        <v>0</v>
      </c>
      <c r="D38" s="7">
        <f>IF(COUNTIF(Raw_Bookings!$A$2:$A$648,Raw_Passengers!B38)=0,1,0)</f>
        <v>0</v>
      </c>
      <c r="E38" s="7">
        <f>IF(OR(C38=1,D38=1),0,IF(NOT(ISNUMBER(Raw_Passengers!E38)),1,IF(Raw_Passengers!E38&lt;=0,1,0)))</f>
        <v>0</v>
      </c>
      <c r="F38" s="7">
        <f>IF(AND(C38=0,D38=0,TRIM(Raw_Passengers!D38&amp;"")=""),1,0)</f>
        <v>0</v>
      </c>
      <c r="G38" s="7" t="str">
        <f>IF(SUMPRODUCT(--(Lookup_Status!$A$2:$A$13=LOWER(TRIM(Raw_Passengers!F38))))=0,"",INDEX(Lookup_Status!$B$2:$B$13,SUMPRODUCT((Lookup_Status!$A$2:$A$13=LOWER(TRIM(Raw_Passengers!F38)))*(ROW(Lookup_Status!$A$2:$A$13)-1))))</f>
        <v>Confirmed</v>
      </c>
      <c r="H38" s="7" t="str">
        <f>IF(SUMPRODUCT(--(Lookup_Status!$A$2:$A$13=LOWER(TRIM(Raw_Passengers!G38))))=0,"",INDEX(Lookup_Status!$B$2:$B$13,SUMPRODUCT((Lookup_Status!$A$2:$A$13=LOWER(TRIM(Raw_Passengers!G38)))*(ROW(Lookup_Status!$A$2:$A$13)-1))))</f>
        <v>Confirmed</v>
      </c>
      <c r="I38" s="7">
        <f>IF(OR(G38="",G38="Cancelled",G38="Mixed"),1,0)</f>
        <v>0</v>
      </c>
      <c r="J38" s="7">
        <f>IF(OR(H38="",H38="Mixed"),1,0)</f>
        <v>0</v>
      </c>
      <c r="K38" s="7">
        <f>IF(AND(C38=0,D38=0),IF(OR(AND(I38=0,NOT(EXACT(Raw_Passengers!F38,G38))),AND(J38=0,NOT(EXACT(Raw_Passengers!G38,H38)))),1,0),0)</f>
        <v>0</v>
      </c>
      <c r="L38" s="7">
        <f>IF(AND(C38=0,D38=0,I38=1),1,0)</f>
        <v>0</v>
      </c>
      <c r="M38" s="7">
        <f>IF(AND(C38=0,D38=0,J38=1),1,0)</f>
        <v>0</v>
      </c>
    </row>
    <row r="39" spans="1:13">
      <c r="A39" s="7">
        <f>Raw_Passengers!A39</f>
        <v>13013</v>
      </c>
      <c r="B39" s="7">
        <f>Raw_Passengers!B39</f>
        <v>1006359</v>
      </c>
      <c r="C39" s="7">
        <f>IF(COUNTIF(Raw_Passengers!$A$2:A39,Raw_Passengers!A39)&gt;1,1,0)</f>
        <v>0</v>
      </c>
      <c r="D39" s="7">
        <f>IF(COUNTIF(Raw_Bookings!$A$2:$A$648,Raw_Passengers!B39)=0,1,0)</f>
        <v>0</v>
      </c>
      <c r="E39" s="7">
        <f>IF(OR(C39=1,D39=1),0,IF(NOT(ISNUMBER(Raw_Passengers!E39)),1,IF(Raw_Passengers!E39&lt;=0,1,0)))</f>
        <v>0</v>
      </c>
      <c r="F39" s="7">
        <f>IF(AND(C39=0,D39=0,TRIM(Raw_Passengers!D39&amp;"")=""),1,0)</f>
        <v>0</v>
      </c>
      <c r="G39" s="7" t="str">
        <f>IF(SUMPRODUCT(--(Lookup_Status!$A$2:$A$13=LOWER(TRIM(Raw_Passengers!F39))))=0,"",INDEX(Lookup_Status!$B$2:$B$13,SUMPRODUCT((Lookup_Status!$A$2:$A$13=LOWER(TRIM(Raw_Passengers!F39)))*(ROW(Lookup_Status!$A$2:$A$13)-1))))</f>
        <v>Confirmed</v>
      </c>
      <c r="H39" s="7" t="str">
        <f>IF(SUMPRODUCT(--(Lookup_Status!$A$2:$A$13=LOWER(TRIM(Raw_Passengers!G39))))=0,"",INDEX(Lookup_Status!$B$2:$B$13,SUMPRODUCT((Lookup_Status!$A$2:$A$13=LOWER(TRIM(Raw_Passengers!G39)))*(ROW(Lookup_Status!$A$2:$A$13)-1))))</f>
        <v>Cancelled</v>
      </c>
      <c r="I39" s="7">
        <f>IF(OR(G39="",G39="Cancelled",G39="Mixed"),1,0)</f>
        <v>0</v>
      </c>
      <c r="J39" s="7">
        <f>IF(OR(H39="",H39="Mixed"),1,0)</f>
        <v>0</v>
      </c>
      <c r="K39" s="7">
        <f>IF(AND(C39=0,D39=0),IF(OR(AND(I39=0,NOT(EXACT(Raw_Passengers!F39,G39))),AND(J39=0,NOT(EXACT(Raw_Passengers!G39,H39)))),1,0),0)</f>
        <v>0</v>
      </c>
      <c r="L39" s="7">
        <f>IF(AND(C39=0,D39=0,I39=1),1,0)</f>
        <v>0</v>
      </c>
      <c r="M39" s="7">
        <f>IF(AND(C39=0,D39=0,J39=1),1,0)</f>
        <v>0</v>
      </c>
    </row>
    <row r="40" spans="1:13">
      <c r="A40" s="7">
        <f>Raw_Passengers!A40</f>
        <v>13257</v>
      </c>
      <c r="B40" s="7">
        <f>Raw_Passengers!B40</f>
        <v>1006475</v>
      </c>
      <c r="C40" s="7">
        <f>IF(COUNTIF(Raw_Passengers!$A$2:A40,Raw_Passengers!A40)&gt;1,1,0)</f>
        <v>0</v>
      </c>
      <c r="D40" s="7">
        <f>IF(COUNTIF(Raw_Bookings!$A$2:$A$648,Raw_Passengers!B40)=0,1,0)</f>
        <v>0</v>
      </c>
      <c r="E40" s="7">
        <f>IF(OR(C40=1,D40=1),0,IF(NOT(ISNUMBER(Raw_Passengers!E40)),1,IF(Raw_Passengers!E40&lt;=0,1,0)))</f>
        <v>0</v>
      </c>
      <c r="F40" s="7">
        <f>IF(AND(C40=0,D40=0,TRIM(Raw_Passengers!D40&amp;"")=""),1,0)</f>
        <v>0</v>
      </c>
      <c r="G40" s="7" t="str">
        <f>IF(SUMPRODUCT(--(Lookup_Status!$A$2:$A$13=LOWER(TRIM(Raw_Passengers!F40))))=0,"",INDEX(Lookup_Status!$B$2:$B$13,SUMPRODUCT((Lookup_Status!$A$2:$A$13=LOWER(TRIM(Raw_Passengers!F40)))*(ROW(Lookup_Status!$A$2:$A$13)-1))))</f>
        <v>Confirmed</v>
      </c>
      <c r="H40" s="7" t="str">
        <f>IF(SUMPRODUCT(--(Lookup_Status!$A$2:$A$13=LOWER(TRIM(Raw_Passengers!G40))))=0,"",INDEX(Lookup_Status!$B$2:$B$13,SUMPRODUCT((Lookup_Status!$A$2:$A$13=LOWER(TRIM(Raw_Passengers!G40)))*(ROW(Lookup_Status!$A$2:$A$13)-1))))</f>
        <v>Confirmed</v>
      </c>
      <c r="I40" s="7">
        <f>IF(OR(G40="",G40="Cancelled",G40="Mixed"),1,0)</f>
        <v>0</v>
      </c>
      <c r="J40" s="7">
        <f>IF(OR(H40="",H40="Mixed"),1,0)</f>
        <v>0</v>
      </c>
      <c r="K40" s="7">
        <f>IF(AND(C40=0,D40=0),IF(OR(AND(I40=0,NOT(EXACT(Raw_Passengers!F40,G40))),AND(J40=0,NOT(EXACT(Raw_Passengers!G40,H40)))),1,0),0)</f>
        <v>0</v>
      </c>
      <c r="L40" s="7">
        <f>IF(AND(C40=0,D40=0,I40=1),1,0)</f>
        <v>0</v>
      </c>
      <c r="M40" s="7">
        <f>IF(AND(C40=0,D40=0,J40=1),1,0)</f>
        <v>0</v>
      </c>
    </row>
    <row r="41" spans="1:13">
      <c r="A41" s="7">
        <f>Raw_Passengers!A41</f>
        <v>13258</v>
      </c>
      <c r="B41" s="7">
        <f>Raw_Passengers!B41</f>
        <v>1006475</v>
      </c>
      <c r="C41" s="7">
        <f>IF(COUNTIF(Raw_Passengers!$A$2:A41,Raw_Passengers!A41)&gt;1,1,0)</f>
        <v>0</v>
      </c>
      <c r="D41" s="7">
        <f>IF(COUNTIF(Raw_Bookings!$A$2:$A$648,Raw_Passengers!B41)=0,1,0)</f>
        <v>0</v>
      </c>
      <c r="E41" s="7">
        <f>IF(OR(C41=1,D41=1),0,IF(NOT(ISNUMBER(Raw_Passengers!E41)),1,IF(Raw_Passengers!E41&lt;=0,1,0)))</f>
        <v>0</v>
      </c>
      <c r="F41" s="7">
        <f>IF(AND(C41=0,D41=0,TRIM(Raw_Passengers!D41&amp;"")=""),1,0)</f>
        <v>0</v>
      </c>
      <c r="G41" s="7" t="str">
        <f>IF(SUMPRODUCT(--(Lookup_Status!$A$2:$A$13=LOWER(TRIM(Raw_Passengers!F41))))=0,"",INDEX(Lookup_Status!$B$2:$B$13,SUMPRODUCT((Lookup_Status!$A$2:$A$13=LOWER(TRIM(Raw_Passengers!F41)))*(ROW(Lookup_Status!$A$2:$A$13)-1))))</f>
        <v>Confirmed</v>
      </c>
      <c r="H41" s="7" t="str">
        <f>IF(SUMPRODUCT(--(Lookup_Status!$A$2:$A$13=LOWER(TRIM(Raw_Passengers!G41))))=0,"",INDEX(Lookup_Status!$B$2:$B$13,SUMPRODUCT((Lookup_Status!$A$2:$A$13=LOWER(TRIM(Raw_Passengers!G41)))*(ROW(Lookup_Status!$A$2:$A$13)-1))))</f>
        <v>Confirmed</v>
      </c>
      <c r="I41" s="7">
        <f>IF(OR(G41="",G41="Cancelled",G41="Mixed"),1,0)</f>
        <v>0</v>
      </c>
      <c r="J41" s="7">
        <f>IF(OR(H41="",H41="Mixed"),1,0)</f>
        <v>0</v>
      </c>
      <c r="K41" s="7">
        <f>IF(AND(C41=0,D41=0),IF(OR(AND(I41=0,NOT(EXACT(Raw_Passengers!F41,G41))),AND(J41=0,NOT(EXACT(Raw_Passengers!G41,H41)))),1,0),0)</f>
        <v>0</v>
      </c>
      <c r="L41" s="7">
        <f>IF(AND(C41=0,D41=0,I41=1),1,0)</f>
        <v>0</v>
      </c>
      <c r="M41" s="7">
        <f>IF(AND(C41=0,D41=0,J41=1),1,0)</f>
        <v>0</v>
      </c>
    </row>
    <row r="42" spans="1:13">
      <c r="A42" s="7">
        <f>Raw_Passengers!A42</f>
        <v>13659</v>
      </c>
      <c r="B42" s="7">
        <f>Raw_Passengers!B42</f>
        <v>1006678</v>
      </c>
      <c r="C42" s="7">
        <f>IF(COUNTIF(Raw_Passengers!$A$2:A42,Raw_Passengers!A42)&gt;1,1,0)</f>
        <v>0</v>
      </c>
      <c r="D42" s="7">
        <f>IF(COUNTIF(Raw_Bookings!$A$2:$A$648,Raw_Passengers!B42)=0,1,0)</f>
        <v>0</v>
      </c>
      <c r="E42" s="7">
        <f>IF(OR(C42=1,D42=1),0,IF(NOT(ISNUMBER(Raw_Passengers!E42)),1,IF(Raw_Passengers!E42&lt;=0,1,0)))</f>
        <v>0</v>
      </c>
      <c r="F42" s="7">
        <f>IF(AND(C42=0,D42=0,TRIM(Raw_Passengers!D42&amp;"")=""),1,0)</f>
        <v>0</v>
      </c>
      <c r="G42" s="7" t="str">
        <f>IF(SUMPRODUCT(--(Lookup_Status!$A$2:$A$13=LOWER(TRIM(Raw_Passengers!F42))))=0,"",INDEX(Lookup_Status!$B$2:$B$13,SUMPRODUCT((Lookup_Status!$A$2:$A$13=LOWER(TRIM(Raw_Passengers!F42)))*(ROW(Lookup_Status!$A$2:$A$13)-1))))</f>
        <v>Confirmed</v>
      </c>
      <c r="H42" s="7" t="str">
        <f>IF(SUMPRODUCT(--(Lookup_Status!$A$2:$A$13=LOWER(TRIM(Raw_Passengers!G42))))=0,"",INDEX(Lookup_Status!$B$2:$B$13,SUMPRODUCT((Lookup_Status!$A$2:$A$13=LOWER(TRIM(Raw_Passengers!G42)))*(ROW(Lookup_Status!$A$2:$A$13)-1))))</f>
        <v>Confirmed</v>
      </c>
      <c r="I42" s="7">
        <f>IF(OR(G42="",G42="Cancelled",G42="Mixed"),1,0)</f>
        <v>0</v>
      </c>
      <c r="J42" s="7">
        <f>IF(OR(H42="",H42="Mixed"),1,0)</f>
        <v>0</v>
      </c>
      <c r="K42" s="7">
        <f>IF(AND(C42=0,D42=0),IF(OR(AND(I42=0,NOT(EXACT(Raw_Passengers!F42,G42))),AND(J42=0,NOT(EXACT(Raw_Passengers!G42,H42)))),1,0),0)</f>
        <v>0</v>
      </c>
      <c r="L42" s="7">
        <f>IF(AND(C42=0,D42=0,I42=1),1,0)</f>
        <v>0</v>
      </c>
      <c r="M42" s="7">
        <f>IF(AND(C42=0,D42=0,J42=1),1,0)</f>
        <v>0</v>
      </c>
    </row>
    <row r="43" spans="1:13">
      <c r="A43" s="7">
        <f>Raw_Passengers!A43</f>
        <v>13660</v>
      </c>
      <c r="B43" s="7">
        <f>Raw_Passengers!B43</f>
        <v>1006678</v>
      </c>
      <c r="C43" s="7">
        <f>IF(COUNTIF(Raw_Passengers!$A$2:A43,Raw_Passengers!A43)&gt;1,1,0)</f>
        <v>0</v>
      </c>
      <c r="D43" s="7">
        <f>IF(COUNTIF(Raw_Bookings!$A$2:$A$648,Raw_Passengers!B43)=0,1,0)</f>
        <v>0</v>
      </c>
      <c r="E43" s="7">
        <f>IF(OR(C43=1,D43=1),0,IF(NOT(ISNUMBER(Raw_Passengers!E43)),1,IF(Raw_Passengers!E43&lt;=0,1,0)))</f>
        <v>0</v>
      </c>
      <c r="F43" s="7">
        <f>IF(AND(C43=0,D43=0,TRIM(Raw_Passengers!D43&amp;"")=""),1,0)</f>
        <v>0</v>
      </c>
      <c r="G43" s="7" t="str">
        <f>IF(SUMPRODUCT(--(Lookup_Status!$A$2:$A$13=LOWER(TRIM(Raw_Passengers!F43))))=0,"",INDEX(Lookup_Status!$B$2:$B$13,SUMPRODUCT((Lookup_Status!$A$2:$A$13=LOWER(TRIM(Raw_Passengers!F43)))*(ROW(Lookup_Status!$A$2:$A$13)-1))))</f>
        <v>Confirmed</v>
      </c>
      <c r="H43" s="7" t="str">
        <f>IF(SUMPRODUCT(--(Lookup_Status!$A$2:$A$13=LOWER(TRIM(Raw_Passengers!G43))))=0,"",INDEX(Lookup_Status!$B$2:$B$13,SUMPRODUCT((Lookup_Status!$A$2:$A$13=LOWER(TRIM(Raw_Passengers!G43)))*(ROW(Lookup_Status!$A$2:$A$13)-1))))</f>
        <v>Confirmed</v>
      </c>
      <c r="I43" s="7">
        <f>IF(OR(G43="",G43="Cancelled",G43="Mixed"),1,0)</f>
        <v>0</v>
      </c>
      <c r="J43" s="7">
        <f>IF(OR(H43="",H43="Mixed"),1,0)</f>
        <v>0</v>
      </c>
      <c r="K43" s="7">
        <f>IF(AND(C43=0,D43=0),IF(OR(AND(I43=0,NOT(EXACT(Raw_Passengers!F43,G43))),AND(J43=0,NOT(EXACT(Raw_Passengers!G43,H43)))),1,0),0)</f>
        <v>0</v>
      </c>
      <c r="L43" s="7">
        <f>IF(AND(C43=0,D43=0,I43=1),1,0)</f>
        <v>0</v>
      </c>
      <c r="M43" s="7">
        <f>IF(AND(C43=0,D43=0,J43=1),1,0)</f>
        <v>0</v>
      </c>
    </row>
    <row r="44" spans="1:13">
      <c r="A44" s="7">
        <f>Raw_Passengers!A44</f>
        <v>13661</v>
      </c>
      <c r="B44" s="7">
        <f>Raw_Passengers!B44</f>
        <v>1006678</v>
      </c>
      <c r="C44" s="7">
        <f>IF(COUNTIF(Raw_Passengers!$A$2:A44,Raw_Passengers!A44)&gt;1,1,0)</f>
        <v>0</v>
      </c>
      <c r="D44" s="7">
        <f>IF(COUNTIF(Raw_Bookings!$A$2:$A$648,Raw_Passengers!B44)=0,1,0)</f>
        <v>0</v>
      </c>
      <c r="E44" s="7">
        <f>IF(OR(C44=1,D44=1),0,IF(NOT(ISNUMBER(Raw_Passengers!E44)),1,IF(Raw_Passengers!E44&lt;=0,1,0)))</f>
        <v>0</v>
      </c>
      <c r="F44" s="7">
        <f>IF(AND(C44=0,D44=0,TRIM(Raw_Passengers!D44&amp;"")=""),1,0)</f>
        <v>0</v>
      </c>
      <c r="G44" s="7" t="str">
        <f>IF(SUMPRODUCT(--(Lookup_Status!$A$2:$A$13=LOWER(TRIM(Raw_Passengers!F44))))=0,"",INDEX(Lookup_Status!$B$2:$B$13,SUMPRODUCT((Lookup_Status!$A$2:$A$13=LOWER(TRIM(Raw_Passengers!F44)))*(ROW(Lookup_Status!$A$2:$A$13)-1))))</f>
        <v>Confirmed</v>
      </c>
      <c r="H44" s="7" t="str">
        <f>IF(SUMPRODUCT(--(Lookup_Status!$A$2:$A$13=LOWER(TRIM(Raw_Passengers!G44))))=0,"",INDEX(Lookup_Status!$B$2:$B$13,SUMPRODUCT((Lookup_Status!$A$2:$A$13=LOWER(TRIM(Raw_Passengers!G44)))*(ROW(Lookup_Status!$A$2:$A$13)-1))))</f>
        <v>Confirmed</v>
      </c>
      <c r="I44" s="7">
        <f>IF(OR(G44="",G44="Cancelled",G44="Mixed"),1,0)</f>
        <v>0</v>
      </c>
      <c r="J44" s="7">
        <f>IF(OR(H44="",H44="Mixed"),1,0)</f>
        <v>0</v>
      </c>
      <c r="K44" s="7">
        <f>IF(AND(C44=0,D44=0),IF(OR(AND(I44=0,NOT(EXACT(Raw_Passengers!F44,G44))),AND(J44=0,NOT(EXACT(Raw_Passengers!G44,H44)))),1,0),0)</f>
        <v>0</v>
      </c>
      <c r="L44" s="7">
        <f>IF(AND(C44=0,D44=0,I44=1),1,0)</f>
        <v>0</v>
      </c>
      <c r="M44" s="7">
        <f>IF(AND(C44=0,D44=0,J44=1),1,0)</f>
        <v>0</v>
      </c>
    </row>
    <row r="45" spans="1:13">
      <c r="A45" s="7">
        <f>Raw_Passengers!A45</f>
        <v>13662</v>
      </c>
      <c r="B45" s="7">
        <f>Raw_Passengers!B45</f>
        <v>1006678</v>
      </c>
      <c r="C45" s="7">
        <f>IF(COUNTIF(Raw_Passengers!$A$2:A45,Raw_Passengers!A45)&gt;1,1,0)</f>
        <v>0</v>
      </c>
      <c r="D45" s="7">
        <f>IF(COUNTIF(Raw_Bookings!$A$2:$A$648,Raw_Passengers!B45)=0,1,0)</f>
        <v>0</v>
      </c>
      <c r="E45" s="7">
        <f>IF(OR(C45=1,D45=1),0,IF(NOT(ISNUMBER(Raw_Passengers!E45)),1,IF(Raw_Passengers!E45&lt;=0,1,0)))</f>
        <v>0</v>
      </c>
      <c r="F45" s="7">
        <f>IF(AND(C45=0,D45=0,TRIM(Raw_Passengers!D45&amp;"")=""),1,0)</f>
        <v>0</v>
      </c>
      <c r="G45" s="7" t="str">
        <f>IF(SUMPRODUCT(--(Lookup_Status!$A$2:$A$13=LOWER(TRIM(Raw_Passengers!F45))))=0,"",INDEX(Lookup_Status!$B$2:$B$13,SUMPRODUCT((Lookup_Status!$A$2:$A$13=LOWER(TRIM(Raw_Passengers!F45)))*(ROW(Lookup_Status!$A$2:$A$13)-1))))</f>
        <v>Confirmed</v>
      </c>
      <c r="H45" s="7" t="str">
        <f>IF(SUMPRODUCT(--(Lookup_Status!$A$2:$A$13=LOWER(TRIM(Raw_Passengers!G45))))=0,"",INDEX(Lookup_Status!$B$2:$B$13,SUMPRODUCT((Lookup_Status!$A$2:$A$13=LOWER(TRIM(Raw_Passengers!G45)))*(ROW(Lookup_Status!$A$2:$A$13)-1))))</f>
        <v>Confirmed</v>
      </c>
      <c r="I45" s="7">
        <f>IF(OR(G45="",G45="Cancelled",G45="Mixed"),1,0)</f>
        <v>0</v>
      </c>
      <c r="J45" s="7">
        <f>IF(OR(H45="",H45="Mixed"),1,0)</f>
        <v>0</v>
      </c>
      <c r="K45" s="7">
        <f>IF(AND(C45=0,D45=0),IF(OR(AND(I45=0,NOT(EXACT(Raw_Passengers!F45,G45))),AND(J45=0,NOT(EXACT(Raw_Passengers!G45,H45)))),1,0),0)</f>
        <v>0</v>
      </c>
      <c r="L45" s="7">
        <f>IF(AND(C45=0,D45=0,I45=1),1,0)</f>
        <v>0</v>
      </c>
      <c r="M45" s="7">
        <f>IF(AND(C45=0,D45=0,J45=1),1,0)</f>
        <v>0</v>
      </c>
    </row>
    <row r="46" spans="1:13">
      <c r="A46" s="7">
        <f>Raw_Passengers!A46</f>
        <v>13663</v>
      </c>
      <c r="B46" s="7">
        <f>Raw_Passengers!B46</f>
        <v>1006678</v>
      </c>
      <c r="C46" s="7">
        <f>IF(COUNTIF(Raw_Passengers!$A$2:A46,Raw_Passengers!A46)&gt;1,1,0)</f>
        <v>0</v>
      </c>
      <c r="D46" s="7">
        <f>IF(COUNTIF(Raw_Bookings!$A$2:$A$648,Raw_Passengers!B46)=0,1,0)</f>
        <v>0</v>
      </c>
      <c r="E46" s="7">
        <f>IF(OR(C46=1,D46=1),0,IF(NOT(ISNUMBER(Raw_Passengers!E46)),1,IF(Raw_Passengers!E46&lt;=0,1,0)))</f>
        <v>0</v>
      </c>
      <c r="F46" s="7">
        <f>IF(AND(C46=0,D46=0,TRIM(Raw_Passengers!D46&amp;"")=""),1,0)</f>
        <v>0</v>
      </c>
      <c r="G46" s="7" t="str">
        <f>IF(SUMPRODUCT(--(Lookup_Status!$A$2:$A$13=LOWER(TRIM(Raw_Passengers!F46))))=0,"",INDEX(Lookup_Status!$B$2:$B$13,SUMPRODUCT((Lookup_Status!$A$2:$A$13=LOWER(TRIM(Raw_Passengers!F46)))*(ROW(Lookup_Status!$A$2:$A$13)-1))))</f>
        <v>Confirmed</v>
      </c>
      <c r="H46" s="7" t="str">
        <f>IF(SUMPRODUCT(--(Lookup_Status!$A$2:$A$13=LOWER(TRIM(Raw_Passengers!G46))))=0,"",INDEX(Lookup_Status!$B$2:$B$13,SUMPRODUCT((Lookup_Status!$A$2:$A$13=LOWER(TRIM(Raw_Passengers!G46)))*(ROW(Lookup_Status!$A$2:$A$13)-1))))</f>
        <v>Confirmed</v>
      </c>
      <c r="I46" s="7">
        <f>IF(OR(G46="",G46="Cancelled",G46="Mixed"),1,0)</f>
        <v>0</v>
      </c>
      <c r="J46" s="7">
        <f>IF(OR(H46="",H46="Mixed"),1,0)</f>
        <v>0</v>
      </c>
      <c r="K46" s="7">
        <f>IF(AND(C46=0,D46=0),IF(OR(AND(I46=0,NOT(EXACT(Raw_Passengers!F46,G46))),AND(J46=0,NOT(EXACT(Raw_Passengers!G46,H46)))),1,0),0)</f>
        <v>0</v>
      </c>
      <c r="L46" s="7">
        <f>IF(AND(C46=0,D46=0,I46=1),1,0)</f>
        <v>0</v>
      </c>
      <c r="M46" s="7">
        <f>IF(AND(C46=0,D46=0,J46=1),1,0)</f>
        <v>0</v>
      </c>
    </row>
    <row r="47" spans="1:13">
      <c r="A47" s="7">
        <f>Raw_Passengers!A47</f>
        <v>13664</v>
      </c>
      <c r="B47" s="7">
        <f>Raw_Passengers!B47</f>
        <v>1006678</v>
      </c>
      <c r="C47" s="7">
        <f>IF(COUNTIF(Raw_Passengers!$A$2:A47,Raw_Passengers!A47)&gt;1,1,0)</f>
        <v>0</v>
      </c>
      <c r="D47" s="7">
        <f>IF(COUNTIF(Raw_Bookings!$A$2:$A$648,Raw_Passengers!B47)=0,1,0)</f>
        <v>0</v>
      </c>
      <c r="E47" s="7">
        <f>IF(OR(C47=1,D47=1),0,IF(NOT(ISNUMBER(Raw_Passengers!E47)),1,IF(Raw_Passengers!E47&lt;=0,1,0)))</f>
        <v>0</v>
      </c>
      <c r="F47" s="7">
        <f>IF(AND(C47=0,D47=0,TRIM(Raw_Passengers!D47&amp;"")=""),1,0)</f>
        <v>0</v>
      </c>
      <c r="G47" s="7" t="str">
        <f>IF(SUMPRODUCT(--(Lookup_Status!$A$2:$A$13=LOWER(TRIM(Raw_Passengers!F47))))=0,"",INDEX(Lookup_Status!$B$2:$B$13,SUMPRODUCT((Lookup_Status!$A$2:$A$13=LOWER(TRIM(Raw_Passengers!F47)))*(ROW(Lookup_Status!$A$2:$A$13)-1))))</f>
        <v>Confirmed</v>
      </c>
      <c r="H47" s="7" t="str">
        <f>IF(SUMPRODUCT(--(Lookup_Status!$A$2:$A$13=LOWER(TRIM(Raw_Passengers!G47))))=0,"",INDEX(Lookup_Status!$B$2:$B$13,SUMPRODUCT((Lookup_Status!$A$2:$A$13=LOWER(TRIM(Raw_Passengers!G47)))*(ROW(Lookup_Status!$A$2:$A$13)-1))))</f>
        <v>Confirmed</v>
      </c>
      <c r="I47" s="7">
        <f>IF(OR(G47="",G47="Cancelled",G47="Mixed"),1,0)</f>
        <v>0</v>
      </c>
      <c r="J47" s="7">
        <f>IF(OR(H47="",H47="Mixed"),1,0)</f>
        <v>0</v>
      </c>
      <c r="K47" s="7">
        <f>IF(AND(C47=0,D47=0),IF(OR(AND(I47=0,NOT(EXACT(Raw_Passengers!F47,G47))),AND(J47=0,NOT(EXACT(Raw_Passengers!G47,H47)))),1,0),0)</f>
        <v>0</v>
      </c>
      <c r="L47" s="7">
        <f>IF(AND(C47=0,D47=0,I47=1),1,0)</f>
        <v>0</v>
      </c>
      <c r="M47" s="7">
        <f>IF(AND(C47=0,D47=0,J47=1),1,0)</f>
        <v>0</v>
      </c>
    </row>
    <row r="48" spans="1:13">
      <c r="A48" s="7">
        <f>Raw_Passengers!A48</f>
        <v>13672</v>
      </c>
      <c r="B48" s="7">
        <f>Raw_Passengers!B48</f>
        <v>1006682</v>
      </c>
      <c r="C48" s="7">
        <f>IF(COUNTIF(Raw_Passengers!$A$2:A48,Raw_Passengers!A48)&gt;1,1,0)</f>
        <v>0</v>
      </c>
      <c r="D48" s="7">
        <f>IF(COUNTIF(Raw_Bookings!$A$2:$A$648,Raw_Passengers!B48)=0,1,0)</f>
        <v>0</v>
      </c>
      <c r="E48" s="7">
        <f>IF(OR(C48=1,D48=1),0,IF(NOT(ISNUMBER(Raw_Passengers!E48)),1,IF(Raw_Passengers!E48&lt;=0,1,0)))</f>
        <v>0</v>
      </c>
      <c r="F48" s="7">
        <f>IF(AND(C48=0,D48=0,TRIM(Raw_Passengers!D48&amp;"")=""),1,0)</f>
        <v>0</v>
      </c>
      <c r="G48" s="7" t="str">
        <f>IF(SUMPRODUCT(--(Lookup_Status!$A$2:$A$13=LOWER(TRIM(Raw_Passengers!F48))))=0,"",INDEX(Lookup_Status!$B$2:$B$13,SUMPRODUCT((Lookup_Status!$A$2:$A$13=LOWER(TRIM(Raw_Passengers!F48)))*(ROW(Lookup_Status!$A$2:$A$13)-1))))</f>
        <v>Confirmed</v>
      </c>
      <c r="H48" s="7" t="str">
        <f>IF(SUMPRODUCT(--(Lookup_Status!$A$2:$A$13=LOWER(TRIM(Raw_Passengers!G48))))=0,"",INDEX(Lookup_Status!$B$2:$B$13,SUMPRODUCT((Lookup_Status!$A$2:$A$13=LOWER(TRIM(Raw_Passengers!G48)))*(ROW(Lookup_Status!$A$2:$A$13)-1))))</f>
        <v>Confirmed</v>
      </c>
      <c r="I48" s="7">
        <f>IF(OR(G48="",G48="Cancelled",G48="Mixed"),1,0)</f>
        <v>0</v>
      </c>
      <c r="J48" s="7">
        <f>IF(OR(H48="",H48="Mixed"),1,0)</f>
        <v>0</v>
      </c>
      <c r="K48" s="7">
        <f>IF(AND(C48=0,D48=0),IF(OR(AND(I48=0,NOT(EXACT(Raw_Passengers!F48,G48))),AND(J48=0,NOT(EXACT(Raw_Passengers!G48,H48)))),1,0),0)</f>
        <v>0</v>
      </c>
      <c r="L48" s="7">
        <f>IF(AND(C48=0,D48=0,I48=1),1,0)</f>
        <v>0</v>
      </c>
      <c r="M48" s="7">
        <f>IF(AND(C48=0,D48=0,J48=1),1,0)</f>
        <v>0</v>
      </c>
    </row>
    <row r="49" spans="1:13">
      <c r="A49" s="7">
        <f>Raw_Passengers!A49</f>
        <v>13673</v>
      </c>
      <c r="B49" s="7">
        <f>Raw_Passengers!B49</f>
        <v>1006682</v>
      </c>
      <c r="C49" s="7">
        <f>IF(COUNTIF(Raw_Passengers!$A$2:A49,Raw_Passengers!A49)&gt;1,1,0)</f>
        <v>0</v>
      </c>
      <c r="D49" s="7">
        <f>IF(COUNTIF(Raw_Bookings!$A$2:$A$648,Raw_Passengers!B49)=0,1,0)</f>
        <v>0</v>
      </c>
      <c r="E49" s="7">
        <f>IF(OR(C49=1,D49=1),0,IF(NOT(ISNUMBER(Raw_Passengers!E49)),1,IF(Raw_Passengers!E49&lt;=0,1,0)))</f>
        <v>0</v>
      </c>
      <c r="F49" s="7">
        <f>IF(AND(C49=0,D49=0,TRIM(Raw_Passengers!D49&amp;"")=""),1,0)</f>
        <v>0</v>
      </c>
      <c r="G49" s="7" t="str">
        <f>IF(SUMPRODUCT(--(Lookup_Status!$A$2:$A$13=LOWER(TRIM(Raw_Passengers!F49))))=0,"",INDEX(Lookup_Status!$B$2:$B$13,SUMPRODUCT((Lookup_Status!$A$2:$A$13=LOWER(TRIM(Raw_Passengers!F49)))*(ROW(Lookup_Status!$A$2:$A$13)-1))))</f>
        <v>Confirmed</v>
      </c>
      <c r="H49" s="7" t="str">
        <f>IF(SUMPRODUCT(--(Lookup_Status!$A$2:$A$13=LOWER(TRIM(Raw_Passengers!G49))))=0,"",INDEX(Lookup_Status!$B$2:$B$13,SUMPRODUCT((Lookup_Status!$A$2:$A$13=LOWER(TRIM(Raw_Passengers!G49)))*(ROW(Lookup_Status!$A$2:$A$13)-1))))</f>
        <v>Confirmed</v>
      </c>
      <c r="I49" s="7">
        <f>IF(OR(G49="",G49="Cancelled",G49="Mixed"),1,0)</f>
        <v>0</v>
      </c>
      <c r="J49" s="7">
        <f>IF(OR(H49="",H49="Mixed"),1,0)</f>
        <v>0</v>
      </c>
      <c r="K49" s="7">
        <f>IF(AND(C49=0,D49=0),IF(OR(AND(I49=0,NOT(EXACT(Raw_Passengers!F49,G49))),AND(J49=0,NOT(EXACT(Raw_Passengers!G49,H49)))),1,0),0)</f>
        <v>0</v>
      </c>
      <c r="L49" s="7">
        <f>IF(AND(C49=0,D49=0,I49=1),1,0)</f>
        <v>0</v>
      </c>
      <c r="M49" s="7">
        <f>IF(AND(C49=0,D49=0,J49=1),1,0)</f>
        <v>0</v>
      </c>
    </row>
    <row r="50" spans="1:13">
      <c r="A50" s="7">
        <f>Raw_Passengers!A50</f>
        <v>13674</v>
      </c>
      <c r="B50" s="7">
        <f>Raw_Passengers!B50</f>
        <v>1006682</v>
      </c>
      <c r="C50" s="7">
        <f>IF(COUNTIF(Raw_Passengers!$A$2:A50,Raw_Passengers!A50)&gt;1,1,0)</f>
        <v>0</v>
      </c>
      <c r="D50" s="7">
        <f>IF(COUNTIF(Raw_Bookings!$A$2:$A$648,Raw_Passengers!B50)=0,1,0)</f>
        <v>0</v>
      </c>
      <c r="E50" s="7">
        <f>IF(OR(C50=1,D50=1),0,IF(NOT(ISNUMBER(Raw_Passengers!E50)),1,IF(Raw_Passengers!E50&lt;=0,1,0)))</f>
        <v>0</v>
      </c>
      <c r="F50" s="7">
        <f>IF(AND(C50=0,D50=0,TRIM(Raw_Passengers!D50&amp;"")=""),1,0)</f>
        <v>0</v>
      </c>
      <c r="G50" s="7" t="str">
        <f>IF(SUMPRODUCT(--(Lookup_Status!$A$2:$A$13=LOWER(TRIM(Raw_Passengers!F50))))=0,"",INDEX(Lookup_Status!$B$2:$B$13,SUMPRODUCT((Lookup_Status!$A$2:$A$13=LOWER(TRIM(Raw_Passengers!F50)))*(ROW(Lookup_Status!$A$2:$A$13)-1))))</f>
        <v>Confirmed</v>
      </c>
      <c r="H50" s="7" t="str">
        <f>IF(SUMPRODUCT(--(Lookup_Status!$A$2:$A$13=LOWER(TRIM(Raw_Passengers!G50))))=0,"",INDEX(Lookup_Status!$B$2:$B$13,SUMPRODUCT((Lookup_Status!$A$2:$A$13=LOWER(TRIM(Raw_Passengers!G50)))*(ROW(Lookup_Status!$A$2:$A$13)-1))))</f>
        <v>Confirmed</v>
      </c>
      <c r="I50" s="7">
        <f>IF(OR(G50="",G50="Cancelled",G50="Mixed"),1,0)</f>
        <v>0</v>
      </c>
      <c r="J50" s="7">
        <f>IF(OR(H50="",H50="Mixed"),1,0)</f>
        <v>0</v>
      </c>
      <c r="K50" s="7">
        <f>IF(AND(C50=0,D50=0),IF(OR(AND(I50=0,NOT(EXACT(Raw_Passengers!F50,G50))),AND(J50=0,NOT(EXACT(Raw_Passengers!G50,H50)))),1,0),0)</f>
        <v>0</v>
      </c>
      <c r="L50" s="7">
        <f>IF(AND(C50=0,D50=0,I50=1),1,0)</f>
        <v>0</v>
      </c>
      <c r="M50" s="7">
        <f>IF(AND(C50=0,D50=0,J50=1),1,0)</f>
        <v>0</v>
      </c>
    </row>
    <row r="51" spans="1:13">
      <c r="A51" s="7">
        <f>Raw_Passengers!A51</f>
        <v>13675</v>
      </c>
      <c r="B51" s="7">
        <f>Raw_Passengers!B51</f>
        <v>1006682</v>
      </c>
      <c r="C51" s="7">
        <f>IF(COUNTIF(Raw_Passengers!$A$2:A51,Raw_Passengers!A51)&gt;1,1,0)</f>
        <v>0</v>
      </c>
      <c r="D51" s="7">
        <f>IF(COUNTIF(Raw_Bookings!$A$2:$A$648,Raw_Passengers!B51)=0,1,0)</f>
        <v>0</v>
      </c>
      <c r="E51" s="7">
        <f>IF(OR(C51=1,D51=1),0,IF(NOT(ISNUMBER(Raw_Passengers!E51)),1,IF(Raw_Passengers!E51&lt;=0,1,0)))</f>
        <v>0</v>
      </c>
      <c r="F51" s="7">
        <f>IF(AND(C51=0,D51=0,TRIM(Raw_Passengers!D51&amp;"")=""),1,0)</f>
        <v>0</v>
      </c>
      <c r="G51" s="7" t="str">
        <f>IF(SUMPRODUCT(--(Lookup_Status!$A$2:$A$13=LOWER(TRIM(Raw_Passengers!F51))))=0,"",INDEX(Lookup_Status!$B$2:$B$13,SUMPRODUCT((Lookup_Status!$A$2:$A$13=LOWER(TRIM(Raw_Passengers!F51)))*(ROW(Lookup_Status!$A$2:$A$13)-1))))</f>
        <v>Confirmed</v>
      </c>
      <c r="H51" s="7" t="str">
        <f>IF(SUMPRODUCT(--(Lookup_Status!$A$2:$A$13=LOWER(TRIM(Raw_Passengers!G51))))=0,"",INDEX(Lookup_Status!$B$2:$B$13,SUMPRODUCT((Lookup_Status!$A$2:$A$13=LOWER(TRIM(Raw_Passengers!G51)))*(ROW(Lookup_Status!$A$2:$A$13)-1))))</f>
        <v>Confirmed</v>
      </c>
      <c r="I51" s="7">
        <f>IF(OR(G51="",G51="Cancelled",G51="Mixed"),1,0)</f>
        <v>0</v>
      </c>
      <c r="J51" s="7">
        <f>IF(OR(H51="",H51="Mixed"),1,0)</f>
        <v>0</v>
      </c>
      <c r="K51" s="7">
        <f>IF(AND(C51=0,D51=0),IF(OR(AND(I51=0,NOT(EXACT(Raw_Passengers!F51,G51))),AND(J51=0,NOT(EXACT(Raw_Passengers!G51,H51)))),1,0),0)</f>
        <v>0</v>
      </c>
      <c r="L51" s="7">
        <f>IF(AND(C51=0,D51=0,I51=1),1,0)</f>
        <v>0</v>
      </c>
      <c r="M51" s="7">
        <f>IF(AND(C51=0,D51=0,J51=1),1,0)</f>
        <v>0</v>
      </c>
    </row>
    <row r="52" spans="1:13">
      <c r="A52" s="7">
        <f>Raw_Passengers!A52</f>
        <v>13715</v>
      </c>
      <c r="B52" s="7">
        <f>Raw_Passengers!B52</f>
        <v>1006706</v>
      </c>
      <c r="C52" s="7">
        <f>IF(COUNTIF(Raw_Passengers!$A$2:A52,Raw_Passengers!A52)&gt;1,1,0)</f>
        <v>0</v>
      </c>
      <c r="D52" s="7">
        <f>IF(COUNTIF(Raw_Bookings!$A$2:$A$648,Raw_Passengers!B52)=0,1,0)</f>
        <v>0</v>
      </c>
      <c r="E52" s="7">
        <f>IF(OR(C52=1,D52=1),0,IF(NOT(ISNUMBER(Raw_Passengers!E52)),1,IF(Raw_Passengers!E52&lt;=0,1,0)))</f>
        <v>0</v>
      </c>
      <c r="F52" s="7">
        <f>IF(AND(C52=0,D52=0,TRIM(Raw_Passengers!D52&amp;"")=""),1,0)</f>
        <v>0</v>
      </c>
      <c r="G52" s="7" t="str">
        <f>IF(SUMPRODUCT(--(Lookup_Status!$A$2:$A$13=LOWER(TRIM(Raw_Passengers!F52))))=0,"",INDEX(Lookup_Status!$B$2:$B$13,SUMPRODUCT((Lookup_Status!$A$2:$A$13=LOWER(TRIM(Raw_Passengers!F52)))*(ROW(Lookup_Status!$A$2:$A$13)-1))))</f>
        <v>Confirmed</v>
      </c>
      <c r="H52" s="7">
        <f>IF(SUMPRODUCT(--(Lookup_Status!$A$2:$A$13=LOWER(TRIM(Raw_Passengers!G52))))=0,"",INDEX(Lookup_Status!$B$2:$B$13,SUMPRODUCT((Lookup_Status!$A$2:$A$13=LOWER(TRIM(Raw_Passengers!G52)))*(ROW(Lookup_Status!$A$2:$A$13)-1))))</f>
        <v/>
      </c>
      <c r="I52" s="7">
        <f>IF(OR(G52="",G52="Cancelled",G52="Mixed"),1,0)</f>
        <v>0</v>
      </c>
      <c r="J52" s="7">
        <f>IF(OR(H52="",H52="Mixed"),1,0)</f>
        <v>1</v>
      </c>
      <c r="K52" s="7">
        <f>IF(AND(C52=0,D52=0),IF(OR(AND(I52=0,NOT(EXACT(Raw_Passengers!F52,G52))),AND(J52=0,NOT(EXACT(Raw_Passengers!G52,H52)))),1,0),0)</f>
        <v>0</v>
      </c>
      <c r="L52" s="7">
        <f>IF(AND(C52=0,D52=0,I52=1),1,0)</f>
        <v>0</v>
      </c>
      <c r="M52" s="7">
        <f>IF(AND(C52=0,D52=0,J52=1),1,0)</f>
        <v>1</v>
      </c>
    </row>
    <row r="53" spans="1:13">
      <c r="A53" s="7">
        <f>Raw_Passengers!A53</f>
        <v>14078</v>
      </c>
      <c r="B53" s="7">
        <f>Raw_Passengers!B53</f>
        <v>1006886</v>
      </c>
      <c r="C53" s="7">
        <f>IF(COUNTIF(Raw_Passengers!$A$2:A53,Raw_Passengers!A53)&gt;1,1,0)</f>
        <v>0</v>
      </c>
      <c r="D53" s="7">
        <f>IF(COUNTIF(Raw_Bookings!$A$2:$A$648,Raw_Passengers!B53)=0,1,0)</f>
        <v>0</v>
      </c>
      <c r="E53" s="7">
        <f>IF(OR(C53=1,D53=1),0,IF(NOT(ISNUMBER(Raw_Passengers!E53)),1,IF(Raw_Passengers!E53&lt;=0,1,0)))</f>
        <v>0</v>
      </c>
      <c r="F53" s="7">
        <f>IF(AND(C53=0,D53=0,TRIM(Raw_Passengers!D53&amp;"")=""),1,0)</f>
        <v>0</v>
      </c>
      <c r="G53" s="7" t="str">
        <f>IF(SUMPRODUCT(--(Lookup_Status!$A$2:$A$13=LOWER(TRIM(Raw_Passengers!F53))))=0,"",INDEX(Lookup_Status!$B$2:$B$13,SUMPRODUCT((Lookup_Status!$A$2:$A$13=LOWER(TRIM(Raw_Passengers!F53)))*(ROW(Lookup_Status!$A$2:$A$13)-1))))</f>
        <v>Confirmed</v>
      </c>
      <c r="H53" s="7" t="str">
        <f>IF(SUMPRODUCT(--(Lookup_Status!$A$2:$A$13=LOWER(TRIM(Raw_Passengers!G53))))=0,"",INDEX(Lookup_Status!$B$2:$B$13,SUMPRODUCT((Lookup_Status!$A$2:$A$13=LOWER(TRIM(Raw_Passengers!G53)))*(ROW(Lookup_Status!$A$2:$A$13)-1))))</f>
        <v>Confirmed</v>
      </c>
      <c r="I53" s="7">
        <f>IF(OR(G53="",G53="Cancelled",G53="Mixed"),1,0)</f>
        <v>0</v>
      </c>
      <c r="J53" s="7">
        <f>IF(OR(H53="",H53="Mixed"),1,0)</f>
        <v>0</v>
      </c>
      <c r="K53" s="7">
        <f>IF(AND(C53=0,D53=0),IF(OR(AND(I53=0,NOT(EXACT(Raw_Passengers!F53,G53))),AND(J53=0,NOT(EXACT(Raw_Passengers!G53,H53)))),1,0),0)</f>
        <v>0</v>
      </c>
      <c r="L53" s="7">
        <f>IF(AND(C53=0,D53=0,I53=1),1,0)</f>
        <v>0</v>
      </c>
      <c r="M53" s="7">
        <f>IF(AND(C53=0,D53=0,J53=1),1,0)</f>
        <v>0</v>
      </c>
    </row>
    <row r="54" spans="1:13">
      <c r="A54" s="7">
        <f>Raw_Passengers!A54</f>
        <v>15276</v>
      </c>
      <c r="B54" s="7">
        <f>Raw_Passengers!B54</f>
        <v>1007455</v>
      </c>
      <c r="C54" s="7">
        <f>IF(COUNTIF(Raw_Passengers!$A$2:A54,Raw_Passengers!A54)&gt;1,1,0)</f>
        <v>0</v>
      </c>
      <c r="D54" s="7">
        <f>IF(COUNTIF(Raw_Bookings!$A$2:$A$648,Raw_Passengers!B54)=0,1,0)</f>
        <v>0</v>
      </c>
      <c r="E54" s="7">
        <f>IF(OR(C54=1,D54=1),0,IF(NOT(ISNUMBER(Raw_Passengers!E54)),1,IF(Raw_Passengers!E54&lt;=0,1,0)))</f>
        <v>0</v>
      </c>
      <c r="F54" s="7">
        <f>IF(AND(C54=0,D54=0,TRIM(Raw_Passengers!D54&amp;"")=""),1,0)</f>
        <v>0</v>
      </c>
      <c r="G54" s="7" t="str">
        <f>IF(SUMPRODUCT(--(Lookup_Status!$A$2:$A$13=LOWER(TRIM(Raw_Passengers!F54))))=0,"",INDEX(Lookup_Status!$B$2:$B$13,SUMPRODUCT((Lookup_Status!$A$2:$A$13=LOWER(TRIM(Raw_Passengers!F54)))*(ROW(Lookup_Status!$A$2:$A$13)-1))))</f>
        <v>Confirmed</v>
      </c>
      <c r="H54" s="7" t="str">
        <f>IF(SUMPRODUCT(--(Lookup_Status!$A$2:$A$13=LOWER(TRIM(Raw_Passengers!G54))))=0,"",INDEX(Lookup_Status!$B$2:$B$13,SUMPRODUCT((Lookup_Status!$A$2:$A$13=LOWER(TRIM(Raw_Passengers!G54)))*(ROW(Lookup_Status!$A$2:$A$13)-1))))</f>
        <v>Confirmed</v>
      </c>
      <c r="I54" s="7">
        <f>IF(OR(G54="",G54="Cancelled",G54="Mixed"),1,0)</f>
        <v>0</v>
      </c>
      <c r="J54" s="7">
        <f>IF(OR(H54="",H54="Mixed"),1,0)</f>
        <v>0</v>
      </c>
      <c r="K54" s="7">
        <f>IF(AND(C54=0,D54=0),IF(OR(AND(I54=0,NOT(EXACT(Raw_Passengers!F54,G54))),AND(J54=0,NOT(EXACT(Raw_Passengers!G54,H54)))),1,0),0)</f>
        <v>0</v>
      </c>
      <c r="L54" s="7">
        <f>IF(AND(C54=0,D54=0,I54=1),1,0)</f>
        <v>0</v>
      </c>
      <c r="M54" s="7">
        <f>IF(AND(C54=0,D54=0,J54=1),1,0)</f>
        <v>0</v>
      </c>
    </row>
    <row r="55" spans="1:13">
      <c r="A55" s="7">
        <f>Raw_Passengers!A55</f>
        <v>15602</v>
      </c>
      <c r="B55" s="7">
        <f>Raw_Passengers!B55</f>
        <v>1007632</v>
      </c>
      <c r="C55" s="7">
        <f>IF(COUNTIF(Raw_Passengers!$A$2:A55,Raw_Passengers!A55)&gt;1,1,0)</f>
        <v>0</v>
      </c>
      <c r="D55" s="7">
        <f>IF(COUNTIF(Raw_Bookings!$A$2:$A$648,Raw_Passengers!B55)=0,1,0)</f>
        <v>0</v>
      </c>
      <c r="E55" s="7">
        <f>IF(OR(C55=1,D55=1),0,IF(NOT(ISNUMBER(Raw_Passengers!E55)),1,IF(Raw_Passengers!E55&lt;=0,1,0)))</f>
        <v>0</v>
      </c>
      <c r="F55" s="7">
        <f>IF(AND(C55=0,D55=0,TRIM(Raw_Passengers!D55&amp;"")=""),1,0)</f>
        <v>0</v>
      </c>
      <c r="G55" s="7" t="str">
        <f>IF(SUMPRODUCT(--(Lookup_Status!$A$2:$A$13=LOWER(TRIM(Raw_Passengers!F55))))=0,"",INDEX(Lookup_Status!$B$2:$B$13,SUMPRODUCT((Lookup_Status!$A$2:$A$13=LOWER(TRIM(Raw_Passengers!F55)))*(ROW(Lookup_Status!$A$2:$A$13)-1))))</f>
        <v>Confirmed</v>
      </c>
      <c r="H55" s="7" t="str">
        <f>IF(SUMPRODUCT(--(Lookup_Status!$A$2:$A$13=LOWER(TRIM(Raw_Passengers!G55))))=0,"",INDEX(Lookup_Status!$B$2:$B$13,SUMPRODUCT((Lookup_Status!$A$2:$A$13=LOWER(TRIM(Raw_Passengers!G55)))*(ROW(Lookup_Status!$A$2:$A$13)-1))))</f>
        <v>Confirmed</v>
      </c>
      <c r="I55" s="7">
        <f>IF(OR(G55="",G55="Cancelled",G55="Mixed"),1,0)</f>
        <v>0</v>
      </c>
      <c r="J55" s="7">
        <f>IF(OR(H55="",H55="Mixed"),1,0)</f>
        <v>0</v>
      </c>
      <c r="K55" s="7">
        <f>IF(AND(C55=0,D55=0),IF(OR(AND(I55=0,NOT(EXACT(Raw_Passengers!F55,G55))),AND(J55=0,NOT(EXACT(Raw_Passengers!G55,H55)))),1,0),0)</f>
        <v>0</v>
      </c>
      <c r="L55" s="7">
        <f>IF(AND(C55=0,D55=0,I55=1),1,0)</f>
        <v>0</v>
      </c>
      <c r="M55" s="7">
        <f>IF(AND(C55=0,D55=0,J55=1),1,0)</f>
        <v>0</v>
      </c>
    </row>
    <row r="56" spans="1:13">
      <c r="A56" s="7">
        <f>Raw_Passengers!A56</f>
        <v>15603</v>
      </c>
      <c r="B56" s="7">
        <f>Raw_Passengers!B56</f>
        <v>1007632</v>
      </c>
      <c r="C56" s="7">
        <f>IF(COUNTIF(Raw_Passengers!$A$2:A56,Raw_Passengers!A56)&gt;1,1,0)</f>
        <v>0</v>
      </c>
      <c r="D56" s="7">
        <f>IF(COUNTIF(Raw_Bookings!$A$2:$A$648,Raw_Passengers!B56)=0,1,0)</f>
        <v>0</v>
      </c>
      <c r="E56" s="7">
        <f>IF(OR(C56=1,D56=1),0,IF(NOT(ISNUMBER(Raw_Passengers!E56)),1,IF(Raw_Passengers!E56&lt;=0,1,0)))</f>
        <v>0</v>
      </c>
      <c r="F56" s="7">
        <f>IF(AND(C56=0,D56=0,TRIM(Raw_Passengers!D56&amp;"")=""),1,0)</f>
        <v>0</v>
      </c>
      <c r="G56" s="7" t="str">
        <f>IF(SUMPRODUCT(--(Lookup_Status!$A$2:$A$13=LOWER(TRIM(Raw_Passengers!F56))))=0,"",INDEX(Lookup_Status!$B$2:$B$13,SUMPRODUCT((Lookup_Status!$A$2:$A$13=LOWER(TRIM(Raw_Passengers!F56)))*(ROW(Lookup_Status!$A$2:$A$13)-1))))</f>
        <v>Confirmed</v>
      </c>
      <c r="H56" s="7" t="str">
        <f>IF(SUMPRODUCT(--(Lookup_Status!$A$2:$A$13=LOWER(TRIM(Raw_Passengers!G56))))=0,"",INDEX(Lookup_Status!$B$2:$B$13,SUMPRODUCT((Lookup_Status!$A$2:$A$13=LOWER(TRIM(Raw_Passengers!G56)))*(ROW(Lookup_Status!$A$2:$A$13)-1))))</f>
        <v>Confirmed</v>
      </c>
      <c r="I56" s="7">
        <f>IF(OR(G56="",G56="Cancelled",G56="Mixed"),1,0)</f>
        <v>0</v>
      </c>
      <c r="J56" s="7">
        <f>IF(OR(H56="",H56="Mixed"),1,0)</f>
        <v>0</v>
      </c>
      <c r="K56" s="7">
        <f>IF(AND(C56=0,D56=0),IF(OR(AND(I56=0,NOT(EXACT(Raw_Passengers!F56,G56))),AND(J56=0,NOT(EXACT(Raw_Passengers!G56,H56)))),1,0),0)</f>
        <v>0</v>
      </c>
      <c r="L56" s="7">
        <f>IF(AND(C56=0,D56=0,I56=1),1,0)</f>
        <v>0</v>
      </c>
      <c r="M56" s="7">
        <f>IF(AND(C56=0,D56=0,J56=1),1,0)</f>
        <v>0</v>
      </c>
    </row>
    <row r="57" spans="1:13">
      <c r="A57" s="7">
        <f>Raw_Passengers!A57</f>
        <v>15673</v>
      </c>
      <c r="B57" s="7">
        <f>Raw_Passengers!B57</f>
        <v>1007669</v>
      </c>
      <c r="C57" s="7">
        <f>IF(COUNTIF(Raw_Passengers!$A$2:A57,Raw_Passengers!A57)&gt;1,1,0)</f>
        <v>0</v>
      </c>
      <c r="D57" s="7">
        <f>IF(COUNTIF(Raw_Bookings!$A$2:$A$648,Raw_Passengers!B57)=0,1,0)</f>
        <v>0</v>
      </c>
      <c r="E57" s="7">
        <f>IF(OR(C57=1,D57=1),0,IF(NOT(ISNUMBER(Raw_Passengers!E57)),1,IF(Raw_Passengers!E57&lt;=0,1,0)))</f>
        <v>0</v>
      </c>
      <c r="F57" s="7">
        <f>IF(AND(C57=0,D57=0,TRIM(Raw_Passengers!D57&amp;"")=""),1,0)</f>
        <v>1</v>
      </c>
      <c r="G57" s="7" t="str">
        <f>IF(SUMPRODUCT(--(Lookup_Status!$A$2:$A$13=LOWER(TRIM(Raw_Passengers!F57))))=0,"",INDEX(Lookup_Status!$B$2:$B$13,SUMPRODUCT((Lookup_Status!$A$2:$A$13=LOWER(TRIM(Raw_Passengers!F57)))*(ROW(Lookup_Status!$A$2:$A$13)-1))))</f>
        <v>Confirmed</v>
      </c>
      <c r="H57" s="7" t="str">
        <f>IF(SUMPRODUCT(--(Lookup_Status!$A$2:$A$13=LOWER(TRIM(Raw_Passengers!G57))))=0,"",INDEX(Lookup_Status!$B$2:$B$13,SUMPRODUCT((Lookup_Status!$A$2:$A$13=LOWER(TRIM(Raw_Passengers!G57)))*(ROW(Lookup_Status!$A$2:$A$13)-1))))</f>
        <v>Confirmed</v>
      </c>
      <c r="I57" s="7">
        <f>IF(OR(G57="",G57="Cancelled",G57="Mixed"),1,0)</f>
        <v>0</v>
      </c>
      <c r="J57" s="7">
        <f>IF(OR(H57="",H57="Mixed"),1,0)</f>
        <v>0</v>
      </c>
      <c r="K57" s="7">
        <f>IF(AND(C57=0,D57=0),IF(OR(AND(I57=0,NOT(EXACT(Raw_Passengers!F57,G57))),AND(J57=0,NOT(EXACT(Raw_Passengers!G57,H57)))),1,0),0)</f>
        <v>0</v>
      </c>
      <c r="L57" s="7">
        <f>IF(AND(C57=0,D57=0,I57=1),1,0)</f>
        <v>0</v>
      </c>
      <c r="M57" s="7">
        <f>IF(AND(C57=0,D57=0,J57=1),1,0)</f>
        <v>0</v>
      </c>
    </row>
    <row r="58" spans="1:13">
      <c r="A58" s="7">
        <f>Raw_Passengers!A58</f>
        <v>15674</v>
      </c>
      <c r="B58" s="7">
        <f>Raw_Passengers!B58</f>
        <v>1007669</v>
      </c>
      <c r="C58" s="7">
        <f>IF(COUNTIF(Raw_Passengers!$A$2:A58,Raw_Passengers!A58)&gt;1,1,0)</f>
        <v>0</v>
      </c>
      <c r="D58" s="7">
        <f>IF(COUNTIF(Raw_Bookings!$A$2:$A$648,Raw_Passengers!B58)=0,1,0)</f>
        <v>0</v>
      </c>
      <c r="E58" s="7">
        <f>IF(OR(C58=1,D58=1),0,IF(NOT(ISNUMBER(Raw_Passengers!E58)),1,IF(Raw_Passengers!E58&lt;=0,1,0)))</f>
        <v>0</v>
      </c>
      <c r="F58" s="7">
        <f>IF(AND(C58=0,D58=0,TRIM(Raw_Passengers!D58&amp;"")=""),1,0)</f>
        <v>0</v>
      </c>
      <c r="G58" s="7" t="str">
        <f>IF(SUMPRODUCT(--(Lookup_Status!$A$2:$A$13=LOWER(TRIM(Raw_Passengers!F58))))=0,"",INDEX(Lookup_Status!$B$2:$B$13,SUMPRODUCT((Lookup_Status!$A$2:$A$13=LOWER(TRIM(Raw_Passengers!F58)))*(ROW(Lookup_Status!$A$2:$A$13)-1))))</f>
        <v>Confirmed</v>
      </c>
      <c r="H58" s="7" t="str">
        <f>IF(SUMPRODUCT(--(Lookup_Status!$A$2:$A$13=LOWER(TRIM(Raw_Passengers!G58))))=0,"",INDEX(Lookup_Status!$B$2:$B$13,SUMPRODUCT((Lookup_Status!$A$2:$A$13=LOWER(TRIM(Raw_Passengers!G58)))*(ROW(Lookup_Status!$A$2:$A$13)-1))))</f>
        <v>Confirmed</v>
      </c>
      <c r="I58" s="7">
        <f>IF(OR(G58="",G58="Cancelled",G58="Mixed"),1,0)</f>
        <v>0</v>
      </c>
      <c r="J58" s="7">
        <f>IF(OR(H58="",H58="Mixed"),1,0)</f>
        <v>0</v>
      </c>
      <c r="K58" s="7">
        <f>IF(AND(C58=0,D58=0),IF(OR(AND(I58=0,NOT(EXACT(Raw_Passengers!F58,G58))),AND(J58=0,NOT(EXACT(Raw_Passengers!G58,H58)))),1,0),0)</f>
        <v>0</v>
      </c>
      <c r="L58" s="7">
        <f>IF(AND(C58=0,D58=0,I58=1),1,0)</f>
        <v>0</v>
      </c>
      <c r="M58" s="7">
        <f>IF(AND(C58=0,D58=0,J58=1),1,0)</f>
        <v>0</v>
      </c>
    </row>
    <row r="59" spans="1:13">
      <c r="A59" s="7">
        <f>Raw_Passengers!A59</f>
        <v>16793</v>
      </c>
      <c r="B59" s="7">
        <f>Raw_Passengers!B59</f>
        <v>1008214</v>
      </c>
      <c r="C59" s="7">
        <f>IF(COUNTIF(Raw_Passengers!$A$2:A59,Raw_Passengers!A59)&gt;1,1,0)</f>
        <v>0</v>
      </c>
      <c r="D59" s="7">
        <f>IF(COUNTIF(Raw_Bookings!$A$2:$A$648,Raw_Passengers!B59)=0,1,0)</f>
        <v>0</v>
      </c>
      <c r="E59" s="7">
        <f>IF(OR(C59=1,D59=1),0,IF(NOT(ISNUMBER(Raw_Passengers!E59)),1,IF(Raw_Passengers!E59&lt;=0,1,0)))</f>
        <v>0</v>
      </c>
      <c r="F59" s="7">
        <f>IF(AND(C59=0,D59=0,TRIM(Raw_Passengers!D59&amp;"")=""),1,0)</f>
        <v>0</v>
      </c>
      <c r="G59" s="7" t="str">
        <f>IF(SUMPRODUCT(--(Lookup_Status!$A$2:$A$13=LOWER(TRIM(Raw_Passengers!F59))))=0,"",INDEX(Lookup_Status!$B$2:$B$13,SUMPRODUCT((Lookup_Status!$A$2:$A$13=LOWER(TRIM(Raw_Passengers!F59)))*(ROW(Lookup_Status!$A$2:$A$13)-1))))</f>
        <v>Confirmed</v>
      </c>
      <c r="H59" s="7" t="str">
        <f>IF(SUMPRODUCT(--(Lookup_Status!$A$2:$A$13=LOWER(TRIM(Raw_Passengers!G59))))=0,"",INDEX(Lookup_Status!$B$2:$B$13,SUMPRODUCT((Lookup_Status!$A$2:$A$13=LOWER(TRIM(Raw_Passengers!G59)))*(ROW(Lookup_Status!$A$2:$A$13)-1))))</f>
        <v>Confirmed</v>
      </c>
      <c r="I59" s="7">
        <f>IF(OR(G59="",G59="Cancelled",G59="Mixed"),1,0)</f>
        <v>0</v>
      </c>
      <c r="J59" s="7">
        <f>IF(OR(H59="",H59="Mixed"),1,0)</f>
        <v>0</v>
      </c>
      <c r="K59" s="7">
        <f>IF(AND(C59=0,D59=0),IF(OR(AND(I59=0,NOT(EXACT(Raw_Passengers!F59,G59))),AND(J59=0,NOT(EXACT(Raw_Passengers!G59,H59)))),1,0),0)</f>
        <v>0</v>
      </c>
      <c r="L59" s="7">
        <f>IF(AND(C59=0,D59=0,I59=1),1,0)</f>
        <v>0</v>
      </c>
      <c r="M59" s="7">
        <f>IF(AND(C59=0,D59=0,J59=1),1,0)</f>
        <v>0</v>
      </c>
    </row>
    <row r="60" spans="1:13">
      <c r="A60" s="7">
        <f>Raw_Passengers!A60</f>
        <v>16794</v>
      </c>
      <c r="B60" s="7">
        <f>Raw_Passengers!B60</f>
        <v>1008214</v>
      </c>
      <c r="C60" s="7">
        <f>IF(COUNTIF(Raw_Passengers!$A$2:A60,Raw_Passengers!A60)&gt;1,1,0)</f>
        <v>0</v>
      </c>
      <c r="D60" s="7">
        <f>IF(COUNTIF(Raw_Bookings!$A$2:$A$648,Raw_Passengers!B60)=0,1,0)</f>
        <v>0</v>
      </c>
      <c r="E60" s="7">
        <f>IF(OR(C60=1,D60=1),0,IF(NOT(ISNUMBER(Raw_Passengers!E60)),1,IF(Raw_Passengers!E60&lt;=0,1,0)))</f>
        <v>0</v>
      </c>
      <c r="F60" s="7">
        <f>IF(AND(C60=0,D60=0,TRIM(Raw_Passengers!D60&amp;"")=""),1,0)</f>
        <v>0</v>
      </c>
      <c r="G60" s="7" t="str">
        <f>IF(SUMPRODUCT(--(Lookup_Status!$A$2:$A$13=LOWER(TRIM(Raw_Passengers!F60))))=0,"",INDEX(Lookup_Status!$B$2:$B$13,SUMPRODUCT((Lookup_Status!$A$2:$A$13=LOWER(TRIM(Raw_Passengers!F60)))*(ROW(Lookup_Status!$A$2:$A$13)-1))))</f>
        <v>Confirmed</v>
      </c>
      <c r="H60" s="7" t="str">
        <f>IF(SUMPRODUCT(--(Lookup_Status!$A$2:$A$13=LOWER(TRIM(Raw_Passengers!G60))))=0,"",INDEX(Lookup_Status!$B$2:$B$13,SUMPRODUCT((Lookup_Status!$A$2:$A$13=LOWER(TRIM(Raw_Passengers!G60)))*(ROW(Lookup_Status!$A$2:$A$13)-1))))</f>
        <v>Confirmed</v>
      </c>
      <c r="I60" s="7">
        <f>IF(OR(G60="",G60="Cancelled",G60="Mixed"),1,0)</f>
        <v>0</v>
      </c>
      <c r="J60" s="7">
        <f>IF(OR(H60="",H60="Mixed"),1,0)</f>
        <v>0</v>
      </c>
      <c r="K60" s="7">
        <f>IF(AND(C60=0,D60=0),IF(OR(AND(I60=0,NOT(EXACT(Raw_Passengers!F60,G60))),AND(J60=0,NOT(EXACT(Raw_Passengers!G60,H60)))),1,0),0)</f>
        <v>0</v>
      </c>
      <c r="L60" s="7">
        <f>IF(AND(C60=0,D60=0,I60=1),1,0)</f>
        <v>0</v>
      </c>
      <c r="M60" s="7">
        <f>IF(AND(C60=0,D60=0,J60=1),1,0)</f>
        <v>0</v>
      </c>
    </row>
    <row r="61" spans="1:13">
      <c r="A61" s="7">
        <f>Raw_Passengers!A61</f>
        <v>16795</v>
      </c>
      <c r="B61" s="7">
        <f>Raw_Passengers!B61</f>
        <v>1008214</v>
      </c>
      <c r="C61" s="7">
        <f>IF(COUNTIF(Raw_Passengers!$A$2:A61,Raw_Passengers!A61)&gt;1,1,0)</f>
        <v>0</v>
      </c>
      <c r="D61" s="7">
        <f>IF(COUNTIF(Raw_Bookings!$A$2:$A$648,Raw_Passengers!B61)=0,1,0)</f>
        <v>0</v>
      </c>
      <c r="E61" s="7">
        <f>IF(OR(C61=1,D61=1),0,IF(NOT(ISNUMBER(Raw_Passengers!E61)),1,IF(Raw_Passengers!E61&lt;=0,1,0)))</f>
        <v>0</v>
      </c>
      <c r="F61" s="7">
        <f>IF(AND(C61=0,D61=0,TRIM(Raw_Passengers!D61&amp;"")=""),1,0)</f>
        <v>0</v>
      </c>
      <c r="G61" s="7" t="str">
        <f>IF(SUMPRODUCT(--(Lookup_Status!$A$2:$A$13=LOWER(TRIM(Raw_Passengers!F61))))=0,"",INDEX(Lookup_Status!$B$2:$B$13,SUMPRODUCT((Lookup_Status!$A$2:$A$13=LOWER(TRIM(Raw_Passengers!F61)))*(ROW(Lookup_Status!$A$2:$A$13)-1))))</f>
        <v>Confirmed</v>
      </c>
      <c r="H61" s="7" t="str">
        <f>IF(SUMPRODUCT(--(Lookup_Status!$A$2:$A$13=LOWER(TRIM(Raw_Passengers!G61))))=0,"",INDEX(Lookup_Status!$B$2:$B$13,SUMPRODUCT((Lookup_Status!$A$2:$A$13=LOWER(TRIM(Raw_Passengers!G61)))*(ROW(Lookup_Status!$A$2:$A$13)-1))))</f>
        <v>Confirmed</v>
      </c>
      <c r="I61" s="7">
        <f>IF(OR(G61="",G61="Cancelled",G61="Mixed"),1,0)</f>
        <v>0</v>
      </c>
      <c r="J61" s="7">
        <f>IF(OR(H61="",H61="Mixed"),1,0)</f>
        <v>0</v>
      </c>
      <c r="K61" s="7">
        <f>IF(AND(C61=0,D61=0),IF(OR(AND(I61=0,NOT(EXACT(Raw_Passengers!F61,G61))),AND(J61=0,NOT(EXACT(Raw_Passengers!G61,H61)))),1,0),0)</f>
        <v>0</v>
      </c>
      <c r="L61" s="7">
        <f>IF(AND(C61=0,D61=0,I61=1),1,0)</f>
        <v>0</v>
      </c>
      <c r="M61" s="7">
        <f>IF(AND(C61=0,D61=0,J61=1),1,0)</f>
        <v>0</v>
      </c>
    </row>
    <row r="62" spans="1:13">
      <c r="A62" s="7">
        <f>Raw_Passengers!A62</f>
        <v>18053</v>
      </c>
      <c r="B62" s="7">
        <f>Raw_Passengers!B62</f>
        <v>1008844</v>
      </c>
      <c r="C62" s="7">
        <f>IF(COUNTIF(Raw_Passengers!$A$2:A62,Raw_Passengers!A62)&gt;1,1,0)</f>
        <v>0</v>
      </c>
      <c r="D62" s="7">
        <f>IF(COUNTIF(Raw_Bookings!$A$2:$A$648,Raw_Passengers!B62)=0,1,0)</f>
        <v>0</v>
      </c>
      <c r="E62" s="7">
        <f>IF(OR(C62=1,D62=1),0,IF(NOT(ISNUMBER(Raw_Passengers!E62)),1,IF(Raw_Passengers!E62&lt;=0,1,0)))</f>
        <v>0</v>
      </c>
      <c r="F62" s="7">
        <f>IF(AND(C62=0,D62=0,TRIM(Raw_Passengers!D62&amp;"")=""),1,0)</f>
        <v>0</v>
      </c>
      <c r="G62" s="7" t="str">
        <f>IF(SUMPRODUCT(--(Lookup_Status!$A$2:$A$13=LOWER(TRIM(Raw_Passengers!F62))))=0,"",INDEX(Lookup_Status!$B$2:$B$13,SUMPRODUCT((Lookup_Status!$A$2:$A$13=LOWER(TRIM(Raw_Passengers!F62)))*(ROW(Lookup_Status!$A$2:$A$13)-1))))</f>
        <v>Confirmed</v>
      </c>
      <c r="H62" s="7" t="str">
        <f>IF(SUMPRODUCT(--(Lookup_Status!$A$2:$A$13=LOWER(TRIM(Raw_Passengers!G62))))=0,"",INDEX(Lookup_Status!$B$2:$B$13,SUMPRODUCT((Lookup_Status!$A$2:$A$13=LOWER(TRIM(Raw_Passengers!G62)))*(ROW(Lookup_Status!$A$2:$A$13)-1))))</f>
        <v>Confirmed</v>
      </c>
      <c r="I62" s="7">
        <f>IF(OR(G62="",G62="Cancelled",G62="Mixed"),1,0)</f>
        <v>0</v>
      </c>
      <c r="J62" s="7">
        <f>IF(OR(H62="",H62="Mixed"),1,0)</f>
        <v>0</v>
      </c>
      <c r="K62" s="7">
        <f>IF(AND(C62=0,D62=0),IF(OR(AND(I62=0,NOT(EXACT(Raw_Passengers!F62,G62))),AND(J62=0,NOT(EXACT(Raw_Passengers!G62,H62)))),1,0),0)</f>
        <v>0</v>
      </c>
      <c r="L62" s="7">
        <f>IF(AND(C62=0,D62=0,I62=1),1,0)</f>
        <v>0</v>
      </c>
      <c r="M62" s="7">
        <f>IF(AND(C62=0,D62=0,J62=1),1,0)</f>
        <v>0</v>
      </c>
    </row>
    <row r="63" spans="1:13">
      <c r="A63" s="7">
        <f>Raw_Passengers!A63</f>
        <v>18054</v>
      </c>
      <c r="B63" s="7">
        <f>Raw_Passengers!B63</f>
        <v>1008844</v>
      </c>
      <c r="C63" s="7">
        <f>IF(COUNTIF(Raw_Passengers!$A$2:A63,Raw_Passengers!A63)&gt;1,1,0)</f>
        <v>0</v>
      </c>
      <c r="D63" s="7">
        <f>IF(COUNTIF(Raw_Bookings!$A$2:$A$648,Raw_Passengers!B63)=0,1,0)</f>
        <v>0</v>
      </c>
      <c r="E63" s="7">
        <f>IF(OR(C63=1,D63=1),0,IF(NOT(ISNUMBER(Raw_Passengers!E63)),1,IF(Raw_Passengers!E63&lt;=0,1,0)))</f>
        <v>0</v>
      </c>
      <c r="F63" s="7">
        <f>IF(AND(C63=0,D63=0,TRIM(Raw_Passengers!D63&amp;"")=""),1,0)</f>
        <v>0</v>
      </c>
      <c r="G63" s="7" t="str">
        <f>IF(SUMPRODUCT(--(Lookup_Status!$A$2:$A$13=LOWER(TRIM(Raw_Passengers!F63))))=0,"",INDEX(Lookup_Status!$B$2:$B$13,SUMPRODUCT((Lookup_Status!$A$2:$A$13=LOWER(TRIM(Raw_Passengers!F63)))*(ROW(Lookup_Status!$A$2:$A$13)-1))))</f>
        <v>Confirmed</v>
      </c>
      <c r="H63" s="7" t="str">
        <f>IF(SUMPRODUCT(--(Lookup_Status!$A$2:$A$13=LOWER(TRIM(Raw_Passengers!G63))))=0,"",INDEX(Lookup_Status!$B$2:$B$13,SUMPRODUCT((Lookup_Status!$A$2:$A$13=LOWER(TRIM(Raw_Passengers!G63)))*(ROW(Lookup_Status!$A$2:$A$13)-1))))</f>
        <v>Cancelled</v>
      </c>
      <c r="I63" s="7">
        <f>IF(OR(G63="",G63="Cancelled",G63="Mixed"),1,0)</f>
        <v>0</v>
      </c>
      <c r="J63" s="7">
        <f>IF(OR(H63="",H63="Mixed"),1,0)</f>
        <v>0</v>
      </c>
      <c r="K63" s="7">
        <f>IF(AND(C63=0,D63=0),IF(OR(AND(I63=0,NOT(EXACT(Raw_Passengers!F63,G63))),AND(J63=0,NOT(EXACT(Raw_Passengers!G63,H63)))),1,0),0)</f>
        <v>0</v>
      </c>
      <c r="L63" s="7">
        <f>IF(AND(C63=0,D63=0,I63=1),1,0)</f>
        <v>0</v>
      </c>
      <c r="M63" s="7">
        <f>IF(AND(C63=0,D63=0,J63=1),1,0)</f>
        <v>0</v>
      </c>
    </row>
    <row r="64" spans="1:13">
      <c r="A64" s="7">
        <f>Raw_Passengers!A64</f>
        <v>18055</v>
      </c>
      <c r="B64" s="7">
        <f>Raw_Passengers!B64</f>
        <v>1008844</v>
      </c>
      <c r="C64" s="7">
        <f>IF(COUNTIF(Raw_Passengers!$A$2:A64,Raw_Passengers!A64)&gt;1,1,0)</f>
        <v>0</v>
      </c>
      <c r="D64" s="7">
        <f>IF(COUNTIF(Raw_Bookings!$A$2:$A$648,Raw_Passengers!B64)=0,1,0)</f>
        <v>0</v>
      </c>
      <c r="E64" s="7">
        <f>IF(OR(C64=1,D64=1),0,IF(NOT(ISNUMBER(Raw_Passengers!E64)),1,IF(Raw_Passengers!E64&lt;=0,1,0)))</f>
        <v>0</v>
      </c>
      <c r="F64" s="7">
        <f>IF(AND(C64=0,D64=0,TRIM(Raw_Passengers!D64&amp;"")=""),1,0)</f>
        <v>0</v>
      </c>
      <c r="G64" s="7" t="str">
        <f>IF(SUMPRODUCT(--(Lookup_Status!$A$2:$A$13=LOWER(TRIM(Raw_Passengers!F64))))=0,"",INDEX(Lookup_Status!$B$2:$B$13,SUMPRODUCT((Lookup_Status!$A$2:$A$13=LOWER(TRIM(Raw_Passengers!F64)))*(ROW(Lookup_Status!$A$2:$A$13)-1))))</f>
        <v>Confirmed</v>
      </c>
      <c r="H64" s="7" t="str">
        <f>IF(SUMPRODUCT(--(Lookup_Status!$A$2:$A$13=LOWER(TRIM(Raw_Passengers!G64))))=0,"",INDEX(Lookup_Status!$B$2:$B$13,SUMPRODUCT((Lookup_Status!$A$2:$A$13=LOWER(TRIM(Raw_Passengers!G64)))*(ROW(Lookup_Status!$A$2:$A$13)-1))))</f>
        <v>Cancelled</v>
      </c>
      <c r="I64" s="7">
        <f>IF(OR(G64="",G64="Cancelled",G64="Mixed"),1,0)</f>
        <v>0</v>
      </c>
      <c r="J64" s="7">
        <f>IF(OR(H64="",H64="Mixed"),1,0)</f>
        <v>0</v>
      </c>
      <c r="K64" s="7">
        <f>IF(AND(C64=0,D64=0),IF(OR(AND(I64=0,NOT(EXACT(Raw_Passengers!F64,G64))),AND(J64=0,NOT(EXACT(Raw_Passengers!G64,H64)))),1,0),0)</f>
        <v>0</v>
      </c>
      <c r="L64" s="7">
        <f>IF(AND(C64=0,D64=0,I64=1),1,0)</f>
        <v>0</v>
      </c>
      <c r="M64" s="7">
        <f>IF(AND(C64=0,D64=0,J64=1),1,0)</f>
        <v>0</v>
      </c>
    </row>
    <row r="65" spans="1:13">
      <c r="A65" s="7">
        <f>Raw_Passengers!A65</f>
        <v>18092</v>
      </c>
      <c r="B65" s="7">
        <f>Raw_Passengers!B65</f>
        <v>1008865</v>
      </c>
      <c r="C65" s="7">
        <f>IF(COUNTIF(Raw_Passengers!$A$2:A65,Raw_Passengers!A65)&gt;1,1,0)</f>
        <v>0</v>
      </c>
      <c r="D65" s="7">
        <f>IF(COUNTIF(Raw_Bookings!$A$2:$A$648,Raw_Passengers!B65)=0,1,0)</f>
        <v>0</v>
      </c>
      <c r="E65" s="7">
        <f>IF(OR(C65=1,D65=1),0,IF(NOT(ISNUMBER(Raw_Passengers!E65)),1,IF(Raw_Passengers!E65&lt;=0,1,0)))</f>
        <v>0</v>
      </c>
      <c r="F65" s="7">
        <f>IF(AND(C65=0,D65=0,TRIM(Raw_Passengers!D65&amp;"")=""),1,0)</f>
        <v>0</v>
      </c>
      <c r="G65" s="7" t="str">
        <f>IF(SUMPRODUCT(--(Lookup_Status!$A$2:$A$13=LOWER(TRIM(Raw_Passengers!F65))))=0,"",INDEX(Lookup_Status!$B$2:$B$13,SUMPRODUCT((Lookup_Status!$A$2:$A$13=LOWER(TRIM(Raw_Passengers!F65)))*(ROW(Lookup_Status!$A$2:$A$13)-1))))</f>
        <v>Confirmed</v>
      </c>
      <c r="H65" s="7" t="str">
        <f>IF(SUMPRODUCT(--(Lookup_Status!$A$2:$A$13=LOWER(TRIM(Raw_Passengers!G65))))=0,"",INDEX(Lookup_Status!$B$2:$B$13,SUMPRODUCT((Lookup_Status!$A$2:$A$13=LOWER(TRIM(Raw_Passengers!G65)))*(ROW(Lookup_Status!$A$2:$A$13)-1))))</f>
        <v>Confirmed</v>
      </c>
      <c r="I65" s="7">
        <f>IF(OR(G65="",G65="Cancelled",G65="Mixed"),1,0)</f>
        <v>0</v>
      </c>
      <c r="J65" s="7">
        <f>IF(OR(H65="",H65="Mixed"),1,0)</f>
        <v>0</v>
      </c>
      <c r="K65" s="7">
        <f>IF(AND(C65=0,D65=0),IF(OR(AND(I65=0,NOT(EXACT(Raw_Passengers!F65,G65))),AND(J65=0,NOT(EXACT(Raw_Passengers!G65,H65)))),1,0),0)</f>
        <v>0</v>
      </c>
      <c r="L65" s="7">
        <f>IF(AND(C65=0,D65=0,I65=1),1,0)</f>
        <v>0</v>
      </c>
      <c r="M65" s="7">
        <f>IF(AND(C65=0,D65=0,J65=1),1,0)</f>
        <v>0</v>
      </c>
    </row>
    <row r="66" spans="1:13">
      <c r="A66" s="7">
        <f>Raw_Passengers!A66</f>
        <v>18529</v>
      </c>
      <c r="B66" s="7">
        <f>Raw_Passengers!B66</f>
        <v>1009096</v>
      </c>
      <c r="C66" s="7">
        <f>IF(COUNTIF(Raw_Passengers!$A$2:A66,Raw_Passengers!A66)&gt;1,1,0)</f>
        <v>0</v>
      </c>
      <c r="D66" s="7">
        <f>IF(COUNTIF(Raw_Bookings!$A$2:$A$648,Raw_Passengers!B66)=0,1,0)</f>
        <v>0</v>
      </c>
      <c r="E66" s="7">
        <f>IF(OR(C66=1,D66=1),0,IF(NOT(ISNUMBER(Raw_Passengers!E66)),1,IF(Raw_Passengers!E66&lt;=0,1,0)))</f>
        <v>0</v>
      </c>
      <c r="F66" s="7">
        <f>IF(AND(C66=0,D66=0,TRIM(Raw_Passengers!D66&amp;"")=""),1,0)</f>
        <v>0</v>
      </c>
      <c r="G66" s="7" t="str">
        <f>IF(SUMPRODUCT(--(Lookup_Status!$A$2:$A$13=LOWER(TRIM(Raw_Passengers!F66))))=0,"",INDEX(Lookup_Status!$B$2:$B$13,SUMPRODUCT((Lookup_Status!$A$2:$A$13=LOWER(TRIM(Raw_Passengers!F66)))*(ROW(Lookup_Status!$A$2:$A$13)-1))))</f>
        <v>Confirmed</v>
      </c>
      <c r="H66" s="7" t="str">
        <f>IF(SUMPRODUCT(--(Lookup_Status!$A$2:$A$13=LOWER(TRIM(Raw_Passengers!G66))))=0,"",INDEX(Lookup_Status!$B$2:$B$13,SUMPRODUCT((Lookup_Status!$A$2:$A$13=LOWER(TRIM(Raw_Passengers!G66)))*(ROW(Lookup_Status!$A$2:$A$13)-1))))</f>
        <v>Confirmed</v>
      </c>
      <c r="I66" s="7">
        <f>IF(OR(G66="",G66="Cancelled",G66="Mixed"),1,0)</f>
        <v>0</v>
      </c>
      <c r="J66" s="7">
        <f>IF(OR(H66="",H66="Mixed"),1,0)</f>
        <v>0</v>
      </c>
      <c r="K66" s="7">
        <f>IF(AND(C66=0,D66=0),IF(OR(AND(I66=0,NOT(EXACT(Raw_Passengers!F66,G66))),AND(J66=0,NOT(EXACT(Raw_Passengers!G66,H66)))),1,0),0)</f>
        <v>0</v>
      </c>
      <c r="L66" s="7">
        <f>IF(AND(C66=0,D66=0,I66=1),1,0)</f>
        <v>0</v>
      </c>
      <c r="M66" s="7">
        <f>IF(AND(C66=0,D66=0,J66=1),1,0)</f>
        <v>0</v>
      </c>
    </row>
    <row r="67" spans="1:13">
      <c r="A67" s="7">
        <f>Raw_Passengers!A67</f>
        <v>18530</v>
      </c>
      <c r="B67" s="7">
        <f>Raw_Passengers!B67</f>
        <v>1009096</v>
      </c>
      <c r="C67" s="7">
        <f>IF(COUNTIF(Raw_Passengers!$A$2:A67,Raw_Passengers!A67)&gt;1,1,0)</f>
        <v>0</v>
      </c>
      <c r="D67" s="7">
        <f>IF(COUNTIF(Raw_Bookings!$A$2:$A$648,Raw_Passengers!B67)=0,1,0)</f>
        <v>0</v>
      </c>
      <c r="E67" s="7">
        <f>IF(OR(C67=1,D67=1),0,IF(NOT(ISNUMBER(Raw_Passengers!E67)),1,IF(Raw_Passengers!E67&lt;=0,1,0)))</f>
        <v>0</v>
      </c>
      <c r="F67" s="7">
        <f>IF(AND(C67=0,D67=0,TRIM(Raw_Passengers!D67&amp;"")=""),1,0)</f>
        <v>0</v>
      </c>
      <c r="G67" s="7" t="str">
        <f>IF(SUMPRODUCT(--(Lookup_Status!$A$2:$A$13=LOWER(TRIM(Raw_Passengers!F67))))=0,"",INDEX(Lookup_Status!$B$2:$B$13,SUMPRODUCT((Lookup_Status!$A$2:$A$13=LOWER(TRIM(Raw_Passengers!F67)))*(ROW(Lookup_Status!$A$2:$A$13)-1))))</f>
        <v>Confirmed</v>
      </c>
      <c r="H67" s="7" t="str">
        <f>IF(SUMPRODUCT(--(Lookup_Status!$A$2:$A$13=LOWER(TRIM(Raw_Passengers!G67))))=0,"",INDEX(Lookup_Status!$B$2:$B$13,SUMPRODUCT((Lookup_Status!$A$2:$A$13=LOWER(TRIM(Raw_Passengers!G67)))*(ROW(Lookup_Status!$A$2:$A$13)-1))))</f>
        <v>Confirmed</v>
      </c>
      <c r="I67" s="7">
        <f>IF(OR(G67="",G67="Cancelled",G67="Mixed"),1,0)</f>
        <v>0</v>
      </c>
      <c r="J67" s="7">
        <f>IF(OR(H67="",H67="Mixed"),1,0)</f>
        <v>0</v>
      </c>
      <c r="K67" s="7">
        <f>IF(AND(C67=0,D67=0),IF(OR(AND(I67=0,NOT(EXACT(Raw_Passengers!F67,G67))),AND(J67=0,NOT(EXACT(Raw_Passengers!G67,H67)))),1,0),0)</f>
        <v>0</v>
      </c>
      <c r="L67" s="7">
        <f>IF(AND(C67=0,D67=0,I67=1),1,0)</f>
        <v>0</v>
      </c>
      <c r="M67" s="7">
        <f>IF(AND(C67=0,D67=0,J67=1),1,0)</f>
        <v>0</v>
      </c>
    </row>
    <row r="68" spans="1:13">
      <c r="A68" s="7">
        <f>Raw_Passengers!A68</f>
        <v>22226</v>
      </c>
      <c r="B68" s="7">
        <f>Raw_Passengers!B68</f>
        <v>1010912</v>
      </c>
      <c r="C68" s="7">
        <f>IF(COUNTIF(Raw_Passengers!$A$2:A68,Raw_Passengers!A68)&gt;1,1,0)</f>
        <v>0</v>
      </c>
      <c r="D68" s="7">
        <f>IF(COUNTIF(Raw_Bookings!$A$2:$A$648,Raw_Passengers!B68)=0,1,0)</f>
        <v>0</v>
      </c>
      <c r="E68" s="7">
        <f>IF(OR(C68=1,D68=1),0,IF(NOT(ISNUMBER(Raw_Passengers!E68)),1,IF(Raw_Passengers!E68&lt;=0,1,0)))</f>
        <v>0</v>
      </c>
      <c r="F68" s="7">
        <f>IF(AND(C68=0,D68=0,TRIM(Raw_Passengers!D68&amp;"")=""),1,0)</f>
        <v>0</v>
      </c>
      <c r="G68" s="7" t="str">
        <f>IF(SUMPRODUCT(--(Lookup_Status!$A$2:$A$13=LOWER(TRIM(Raw_Passengers!F68))))=0,"",INDEX(Lookup_Status!$B$2:$B$13,SUMPRODUCT((Lookup_Status!$A$2:$A$13=LOWER(TRIM(Raw_Passengers!F68)))*(ROW(Lookup_Status!$A$2:$A$13)-1))))</f>
        <v>Waitlisted</v>
      </c>
      <c r="H68" s="7" t="str">
        <f>IF(SUMPRODUCT(--(Lookup_Status!$A$2:$A$13=LOWER(TRIM(Raw_Passengers!G68))))=0,"",INDEX(Lookup_Status!$B$2:$B$13,SUMPRODUCT((Lookup_Status!$A$2:$A$13=LOWER(TRIM(Raw_Passengers!G68)))*(ROW(Lookup_Status!$A$2:$A$13)-1))))</f>
        <v>Waitlisted</v>
      </c>
      <c r="I68" s="7">
        <f>IF(OR(G68="",G68="Cancelled",G68="Mixed"),1,0)</f>
        <v>0</v>
      </c>
      <c r="J68" s="7">
        <f>IF(OR(H68="",H68="Mixed"),1,0)</f>
        <v>0</v>
      </c>
      <c r="K68" s="7">
        <f>IF(AND(C68=0,D68=0),IF(OR(AND(I68=0,NOT(EXACT(Raw_Passengers!F68,G68))),AND(J68=0,NOT(EXACT(Raw_Passengers!G68,H68)))),1,0),0)</f>
        <v>0</v>
      </c>
      <c r="L68" s="7">
        <f>IF(AND(C68=0,D68=0,I68=1),1,0)</f>
        <v>0</v>
      </c>
      <c r="M68" s="7">
        <f>IF(AND(C68=0,D68=0,J68=1),1,0)</f>
        <v>0</v>
      </c>
    </row>
    <row r="69" spans="1:13">
      <c r="A69" s="7">
        <f>Raw_Passengers!A69</f>
        <v>23043</v>
      </c>
      <c r="B69" s="7">
        <f>Raw_Passengers!B69</f>
        <v>1011314</v>
      </c>
      <c r="C69" s="7">
        <f>IF(COUNTIF(Raw_Passengers!$A$2:A69,Raw_Passengers!A69)&gt;1,1,0)</f>
        <v>0</v>
      </c>
      <c r="D69" s="7">
        <f>IF(COUNTIF(Raw_Bookings!$A$2:$A$648,Raw_Passengers!B69)=0,1,0)</f>
        <v>0</v>
      </c>
      <c r="E69" s="7">
        <f>IF(OR(C69=1,D69=1),0,IF(NOT(ISNUMBER(Raw_Passengers!E69)),1,IF(Raw_Passengers!E69&lt;=0,1,0)))</f>
        <v>0</v>
      </c>
      <c r="F69" s="7">
        <f>IF(AND(C69=0,D69=0,TRIM(Raw_Passengers!D69&amp;"")=""),1,0)</f>
        <v>0</v>
      </c>
      <c r="G69" s="7" t="str">
        <f>IF(SUMPRODUCT(--(Lookup_Status!$A$2:$A$13=LOWER(TRIM(Raw_Passengers!F69))))=0,"",INDEX(Lookup_Status!$B$2:$B$13,SUMPRODUCT((Lookup_Status!$A$2:$A$13=LOWER(TRIM(Raw_Passengers!F69)))*(ROW(Lookup_Status!$A$2:$A$13)-1))))</f>
        <v>Confirmed</v>
      </c>
      <c r="H69" s="7" t="str">
        <f>IF(SUMPRODUCT(--(Lookup_Status!$A$2:$A$13=LOWER(TRIM(Raw_Passengers!G69))))=0,"",INDEX(Lookup_Status!$B$2:$B$13,SUMPRODUCT((Lookup_Status!$A$2:$A$13=LOWER(TRIM(Raw_Passengers!G69)))*(ROW(Lookup_Status!$A$2:$A$13)-1))))</f>
        <v>Cancelled</v>
      </c>
      <c r="I69" s="7">
        <f>IF(OR(G69="",G69="Cancelled",G69="Mixed"),1,0)</f>
        <v>0</v>
      </c>
      <c r="J69" s="7">
        <f>IF(OR(H69="",H69="Mixed"),1,0)</f>
        <v>0</v>
      </c>
      <c r="K69" s="7">
        <f>IF(AND(C69=0,D69=0),IF(OR(AND(I69=0,NOT(EXACT(Raw_Passengers!F69,G69))),AND(J69=0,NOT(EXACT(Raw_Passengers!G69,H69)))),1,0),0)</f>
        <v>0</v>
      </c>
      <c r="L69" s="7">
        <f>IF(AND(C69=0,D69=0,I69=1),1,0)</f>
        <v>0</v>
      </c>
      <c r="M69" s="7">
        <f>IF(AND(C69=0,D69=0,J69=1),1,0)</f>
        <v>0</v>
      </c>
    </row>
    <row r="70" spans="1:13">
      <c r="A70" s="7">
        <f>Raw_Passengers!A70</f>
        <v>23745</v>
      </c>
      <c r="B70" s="7">
        <f>Raw_Passengers!B70</f>
        <v>1011658</v>
      </c>
      <c r="C70" s="7">
        <f>IF(COUNTIF(Raw_Passengers!$A$2:A70,Raw_Passengers!A70)&gt;1,1,0)</f>
        <v>0</v>
      </c>
      <c r="D70" s="7">
        <f>IF(COUNTIF(Raw_Bookings!$A$2:$A$648,Raw_Passengers!B70)=0,1,0)</f>
        <v>0</v>
      </c>
      <c r="E70" s="7">
        <f>IF(OR(C70=1,D70=1),0,IF(NOT(ISNUMBER(Raw_Passengers!E70)),1,IF(Raw_Passengers!E70&lt;=0,1,0)))</f>
        <v>0</v>
      </c>
      <c r="F70" s="7">
        <f>IF(AND(C70=0,D70=0,TRIM(Raw_Passengers!D70&amp;"")=""),1,0)</f>
        <v>0</v>
      </c>
      <c r="G70" s="7" t="str">
        <f>IF(SUMPRODUCT(--(Lookup_Status!$A$2:$A$13=LOWER(TRIM(Raw_Passengers!F70))))=0,"",INDEX(Lookup_Status!$B$2:$B$13,SUMPRODUCT((Lookup_Status!$A$2:$A$13=LOWER(TRIM(Raw_Passengers!F70)))*(ROW(Lookup_Status!$A$2:$A$13)-1))))</f>
        <v>Confirmed</v>
      </c>
      <c r="H70" s="7" t="str">
        <f>IF(SUMPRODUCT(--(Lookup_Status!$A$2:$A$13=LOWER(TRIM(Raw_Passengers!G70))))=0,"",INDEX(Lookup_Status!$B$2:$B$13,SUMPRODUCT((Lookup_Status!$A$2:$A$13=LOWER(TRIM(Raw_Passengers!G70)))*(ROW(Lookup_Status!$A$2:$A$13)-1))))</f>
        <v>Confirmed</v>
      </c>
      <c r="I70" s="7">
        <f>IF(OR(G70="",G70="Cancelled",G70="Mixed"),1,0)</f>
        <v>0</v>
      </c>
      <c r="J70" s="7">
        <f>IF(OR(H70="",H70="Mixed"),1,0)</f>
        <v>0</v>
      </c>
      <c r="K70" s="7">
        <f>IF(AND(C70=0,D70=0),IF(OR(AND(I70=0,NOT(EXACT(Raw_Passengers!F70,G70))),AND(J70=0,NOT(EXACT(Raw_Passengers!G70,H70)))),1,0),0)</f>
        <v>0</v>
      </c>
      <c r="L70" s="7">
        <f>IF(AND(C70=0,D70=0,I70=1),1,0)</f>
        <v>0</v>
      </c>
      <c r="M70" s="7">
        <f>IF(AND(C70=0,D70=0,J70=1),1,0)</f>
        <v>0</v>
      </c>
    </row>
    <row r="71" spans="1:13">
      <c r="A71" s="7">
        <f>Raw_Passengers!A71</f>
        <v>23746</v>
      </c>
      <c r="B71" s="7">
        <f>Raw_Passengers!B71</f>
        <v>1011658</v>
      </c>
      <c r="C71" s="7">
        <f>IF(COUNTIF(Raw_Passengers!$A$2:A71,Raw_Passengers!A71)&gt;1,1,0)</f>
        <v>0</v>
      </c>
      <c r="D71" s="7">
        <f>IF(COUNTIF(Raw_Bookings!$A$2:$A$648,Raw_Passengers!B71)=0,1,0)</f>
        <v>0</v>
      </c>
      <c r="E71" s="7">
        <f>IF(OR(C71=1,D71=1),0,IF(NOT(ISNUMBER(Raw_Passengers!E71)),1,IF(Raw_Passengers!E71&lt;=0,1,0)))</f>
        <v>0</v>
      </c>
      <c r="F71" s="7">
        <f>IF(AND(C71=0,D71=0,TRIM(Raw_Passengers!D71&amp;"")=""),1,0)</f>
        <v>0</v>
      </c>
      <c r="G71" s="7" t="str">
        <f>IF(SUMPRODUCT(--(Lookup_Status!$A$2:$A$13=LOWER(TRIM(Raw_Passengers!F71))))=0,"",INDEX(Lookup_Status!$B$2:$B$13,SUMPRODUCT((Lookup_Status!$A$2:$A$13=LOWER(TRIM(Raw_Passengers!F71)))*(ROW(Lookup_Status!$A$2:$A$13)-1))))</f>
        <v>Confirmed</v>
      </c>
      <c r="H71" s="7" t="str">
        <f>IF(SUMPRODUCT(--(Lookup_Status!$A$2:$A$13=LOWER(TRIM(Raw_Passengers!G71))))=0,"",INDEX(Lookup_Status!$B$2:$B$13,SUMPRODUCT((Lookup_Status!$A$2:$A$13=LOWER(TRIM(Raw_Passengers!G71)))*(ROW(Lookup_Status!$A$2:$A$13)-1))))</f>
        <v>Confirmed</v>
      </c>
      <c r="I71" s="7">
        <f>IF(OR(G71="",G71="Cancelled",G71="Mixed"),1,0)</f>
        <v>0</v>
      </c>
      <c r="J71" s="7">
        <f>IF(OR(H71="",H71="Mixed"),1,0)</f>
        <v>0</v>
      </c>
      <c r="K71" s="7">
        <f>IF(AND(C71=0,D71=0),IF(OR(AND(I71=0,NOT(EXACT(Raw_Passengers!F71,G71))),AND(J71=0,NOT(EXACT(Raw_Passengers!G71,H71)))),1,0),0)</f>
        <v>0</v>
      </c>
      <c r="L71" s="7">
        <f>IF(AND(C71=0,D71=0,I71=1),1,0)</f>
        <v>0</v>
      </c>
      <c r="M71" s="7">
        <f>IF(AND(C71=0,D71=0,J71=1),1,0)</f>
        <v>0</v>
      </c>
    </row>
    <row r="72" spans="1:13">
      <c r="A72" s="7">
        <f>Raw_Passengers!A72</f>
        <v>23747</v>
      </c>
      <c r="B72" s="7">
        <f>Raw_Passengers!B72</f>
        <v>1011658</v>
      </c>
      <c r="C72" s="7">
        <f>IF(COUNTIF(Raw_Passengers!$A$2:A72,Raw_Passengers!A72)&gt;1,1,0)</f>
        <v>0</v>
      </c>
      <c r="D72" s="7">
        <f>IF(COUNTIF(Raw_Bookings!$A$2:$A$648,Raw_Passengers!B72)=0,1,0)</f>
        <v>0</v>
      </c>
      <c r="E72" s="7">
        <f>IF(OR(C72=1,D72=1),0,IF(NOT(ISNUMBER(Raw_Passengers!E72)),1,IF(Raw_Passengers!E72&lt;=0,1,0)))</f>
        <v>0</v>
      </c>
      <c r="F72" s="7">
        <f>IF(AND(C72=0,D72=0,TRIM(Raw_Passengers!D72&amp;"")=""),1,0)</f>
        <v>0</v>
      </c>
      <c r="G72" s="7" t="str">
        <f>IF(SUMPRODUCT(--(Lookup_Status!$A$2:$A$13=LOWER(TRIM(Raw_Passengers!F72))))=0,"",INDEX(Lookup_Status!$B$2:$B$13,SUMPRODUCT((Lookup_Status!$A$2:$A$13=LOWER(TRIM(Raw_Passengers!F72)))*(ROW(Lookup_Status!$A$2:$A$13)-1))))</f>
        <v>Confirmed</v>
      </c>
      <c r="H72" s="7" t="str">
        <f>IF(SUMPRODUCT(--(Lookup_Status!$A$2:$A$13=LOWER(TRIM(Raw_Passengers!G72))))=0,"",INDEX(Lookup_Status!$B$2:$B$13,SUMPRODUCT((Lookup_Status!$A$2:$A$13=LOWER(TRIM(Raw_Passengers!G72)))*(ROW(Lookup_Status!$A$2:$A$13)-1))))</f>
        <v>Confirmed</v>
      </c>
      <c r="I72" s="7">
        <f>IF(OR(G72="",G72="Cancelled",G72="Mixed"),1,0)</f>
        <v>0</v>
      </c>
      <c r="J72" s="7">
        <f>IF(OR(H72="",H72="Mixed"),1,0)</f>
        <v>0</v>
      </c>
      <c r="K72" s="7">
        <f>IF(AND(C72=0,D72=0),IF(OR(AND(I72=0,NOT(EXACT(Raw_Passengers!F72,G72))),AND(J72=0,NOT(EXACT(Raw_Passengers!G72,H72)))),1,0),0)</f>
        <v>0</v>
      </c>
      <c r="L72" s="7">
        <f>IF(AND(C72=0,D72=0,I72=1),1,0)</f>
        <v>0</v>
      </c>
      <c r="M72" s="7">
        <f>IF(AND(C72=0,D72=0,J72=1),1,0)</f>
        <v>0</v>
      </c>
    </row>
    <row r="73" spans="1:13">
      <c r="A73" s="7">
        <f>Raw_Passengers!A73</f>
        <v>23748</v>
      </c>
      <c r="B73" s="7">
        <f>Raw_Passengers!B73</f>
        <v>1011658</v>
      </c>
      <c r="C73" s="7">
        <f>IF(COUNTIF(Raw_Passengers!$A$2:A73,Raw_Passengers!A73)&gt;1,1,0)</f>
        <v>0</v>
      </c>
      <c r="D73" s="7">
        <f>IF(COUNTIF(Raw_Bookings!$A$2:$A$648,Raw_Passengers!B73)=0,1,0)</f>
        <v>0</v>
      </c>
      <c r="E73" s="7">
        <f>IF(OR(C73=1,D73=1),0,IF(NOT(ISNUMBER(Raw_Passengers!E73)),1,IF(Raw_Passengers!E73&lt;=0,1,0)))</f>
        <v>0</v>
      </c>
      <c r="F73" s="7">
        <f>IF(AND(C73=0,D73=0,TRIM(Raw_Passengers!D73&amp;"")=""),1,0)</f>
        <v>0</v>
      </c>
      <c r="G73" s="7" t="str">
        <f>IF(SUMPRODUCT(--(Lookup_Status!$A$2:$A$13=LOWER(TRIM(Raw_Passengers!F73))))=0,"",INDEX(Lookup_Status!$B$2:$B$13,SUMPRODUCT((Lookup_Status!$A$2:$A$13=LOWER(TRIM(Raw_Passengers!F73)))*(ROW(Lookup_Status!$A$2:$A$13)-1))))</f>
        <v>Confirmed</v>
      </c>
      <c r="H73" s="7" t="str">
        <f>IF(SUMPRODUCT(--(Lookup_Status!$A$2:$A$13=LOWER(TRIM(Raw_Passengers!G73))))=0,"",INDEX(Lookup_Status!$B$2:$B$13,SUMPRODUCT((Lookup_Status!$A$2:$A$13=LOWER(TRIM(Raw_Passengers!G73)))*(ROW(Lookup_Status!$A$2:$A$13)-1))))</f>
        <v>Confirmed</v>
      </c>
      <c r="I73" s="7">
        <f>IF(OR(G73="",G73="Cancelled",G73="Mixed"),1,0)</f>
        <v>0</v>
      </c>
      <c r="J73" s="7">
        <f>IF(OR(H73="",H73="Mixed"),1,0)</f>
        <v>0</v>
      </c>
      <c r="K73" s="7">
        <f>IF(AND(C73=0,D73=0),IF(OR(AND(I73=0,NOT(EXACT(Raw_Passengers!F73,G73))),AND(J73=0,NOT(EXACT(Raw_Passengers!G73,H73)))),1,0),0)</f>
        <v>0</v>
      </c>
      <c r="L73" s="7">
        <f>IF(AND(C73=0,D73=0,I73=1),1,0)</f>
        <v>0</v>
      </c>
      <c r="M73" s="7">
        <f>IF(AND(C73=0,D73=0,J73=1),1,0)</f>
        <v>0</v>
      </c>
    </row>
    <row r="74" spans="1:13">
      <c r="A74" s="7">
        <f>Raw_Passengers!A74</f>
        <v>24309</v>
      </c>
      <c r="B74" s="7">
        <f>Raw_Passengers!B74</f>
        <v>1011942</v>
      </c>
      <c r="C74" s="7">
        <f>IF(COUNTIF(Raw_Passengers!$A$2:A74,Raw_Passengers!A74)&gt;1,1,0)</f>
        <v>0</v>
      </c>
      <c r="D74" s="7">
        <f>IF(COUNTIF(Raw_Bookings!$A$2:$A$648,Raw_Passengers!B74)=0,1,0)</f>
        <v>0</v>
      </c>
      <c r="E74" s="7">
        <f>IF(OR(C74=1,D74=1),0,IF(NOT(ISNUMBER(Raw_Passengers!E74)),1,IF(Raw_Passengers!E74&lt;=0,1,0)))</f>
        <v>0</v>
      </c>
      <c r="F74" s="7">
        <f>IF(AND(C74=0,D74=0,TRIM(Raw_Passengers!D74&amp;"")=""),1,0)</f>
        <v>0</v>
      </c>
      <c r="G74" s="7" t="str">
        <f>IF(SUMPRODUCT(--(Lookup_Status!$A$2:$A$13=LOWER(TRIM(Raw_Passengers!F74))))=0,"",INDEX(Lookup_Status!$B$2:$B$13,SUMPRODUCT((Lookup_Status!$A$2:$A$13=LOWER(TRIM(Raw_Passengers!F74)))*(ROW(Lookup_Status!$A$2:$A$13)-1))))</f>
        <v>Confirmed</v>
      </c>
      <c r="H74" s="7" t="str">
        <f>IF(SUMPRODUCT(--(Lookup_Status!$A$2:$A$13=LOWER(TRIM(Raw_Passengers!G74))))=0,"",INDEX(Lookup_Status!$B$2:$B$13,SUMPRODUCT((Lookup_Status!$A$2:$A$13=LOWER(TRIM(Raw_Passengers!G74)))*(ROW(Lookup_Status!$A$2:$A$13)-1))))</f>
        <v>Confirmed</v>
      </c>
      <c r="I74" s="7">
        <f>IF(OR(G74="",G74="Cancelled",G74="Mixed"),1,0)</f>
        <v>0</v>
      </c>
      <c r="J74" s="7">
        <f>IF(OR(H74="",H74="Mixed"),1,0)</f>
        <v>0</v>
      </c>
      <c r="K74" s="7">
        <f>IF(AND(C74=0,D74=0),IF(OR(AND(I74=0,NOT(EXACT(Raw_Passengers!F74,G74))),AND(J74=0,NOT(EXACT(Raw_Passengers!G74,H74)))),1,0),0)</f>
        <v>0</v>
      </c>
      <c r="L74" s="7">
        <f>IF(AND(C74=0,D74=0,I74=1),1,0)</f>
        <v>0</v>
      </c>
      <c r="M74" s="7">
        <f>IF(AND(C74=0,D74=0,J74=1),1,0)</f>
        <v>0</v>
      </c>
    </row>
    <row r="75" spans="1:13">
      <c r="A75" s="7">
        <f>Raw_Passengers!A75</f>
        <v>24490</v>
      </c>
      <c r="B75" s="7">
        <f>Raw_Passengers!B75</f>
        <v>1012042</v>
      </c>
      <c r="C75" s="7">
        <f>IF(COUNTIF(Raw_Passengers!$A$2:A75,Raw_Passengers!A75)&gt;1,1,0)</f>
        <v>0</v>
      </c>
      <c r="D75" s="7">
        <f>IF(COUNTIF(Raw_Bookings!$A$2:$A$648,Raw_Passengers!B75)=0,1,0)</f>
        <v>0</v>
      </c>
      <c r="E75" s="7">
        <f>IF(OR(C75=1,D75=1),0,IF(NOT(ISNUMBER(Raw_Passengers!E75)),1,IF(Raw_Passengers!E75&lt;=0,1,0)))</f>
        <v>0</v>
      </c>
      <c r="F75" s="7">
        <f>IF(AND(C75=0,D75=0,TRIM(Raw_Passengers!D75&amp;"")=""),1,0)</f>
        <v>0</v>
      </c>
      <c r="G75" s="7" t="str">
        <f>IF(SUMPRODUCT(--(Lookup_Status!$A$2:$A$13=LOWER(TRIM(Raw_Passengers!F75))))=0,"",INDEX(Lookup_Status!$B$2:$B$13,SUMPRODUCT((Lookup_Status!$A$2:$A$13=LOWER(TRIM(Raw_Passengers!F75)))*(ROW(Lookup_Status!$A$2:$A$13)-1))))</f>
        <v>Confirmed</v>
      </c>
      <c r="H75" s="7" t="str">
        <f>IF(SUMPRODUCT(--(Lookup_Status!$A$2:$A$13=LOWER(TRIM(Raw_Passengers!G75))))=0,"",INDEX(Lookup_Status!$B$2:$B$13,SUMPRODUCT((Lookup_Status!$A$2:$A$13=LOWER(TRIM(Raw_Passengers!G75)))*(ROW(Lookup_Status!$A$2:$A$13)-1))))</f>
        <v>Confirmed</v>
      </c>
      <c r="I75" s="7">
        <f>IF(OR(G75="",G75="Cancelled",G75="Mixed"),1,0)</f>
        <v>0</v>
      </c>
      <c r="J75" s="7">
        <f>IF(OR(H75="",H75="Mixed"),1,0)</f>
        <v>0</v>
      </c>
      <c r="K75" s="7">
        <f>IF(AND(C75=0,D75=0),IF(OR(AND(I75=0,NOT(EXACT(Raw_Passengers!F75,G75))),AND(J75=0,NOT(EXACT(Raw_Passengers!G75,H75)))),1,0),0)</f>
        <v>0</v>
      </c>
      <c r="L75" s="7">
        <f>IF(AND(C75=0,D75=0,I75=1),1,0)</f>
        <v>0</v>
      </c>
      <c r="M75" s="7">
        <f>IF(AND(C75=0,D75=0,J75=1),1,0)</f>
        <v>0</v>
      </c>
    </row>
    <row r="76" spans="1:13">
      <c r="A76" s="7">
        <f>Raw_Passengers!A76</f>
        <v>25179</v>
      </c>
      <c r="B76" s="7">
        <f>Raw_Passengers!B76</f>
        <v>1012374</v>
      </c>
      <c r="C76" s="7">
        <f>IF(COUNTIF(Raw_Passengers!$A$2:A76,Raw_Passengers!A76)&gt;1,1,0)</f>
        <v>0</v>
      </c>
      <c r="D76" s="7">
        <f>IF(COUNTIF(Raw_Bookings!$A$2:$A$648,Raw_Passengers!B76)=0,1,0)</f>
        <v>0</v>
      </c>
      <c r="E76" s="7">
        <f>IF(OR(C76=1,D76=1),0,IF(NOT(ISNUMBER(Raw_Passengers!E76)),1,IF(Raw_Passengers!E76&lt;=0,1,0)))</f>
        <v>0</v>
      </c>
      <c r="F76" s="7">
        <f>IF(AND(C76=0,D76=0,TRIM(Raw_Passengers!D76&amp;"")=""),1,0)</f>
        <v>0</v>
      </c>
      <c r="G76" s="7" t="str">
        <f>IF(SUMPRODUCT(--(Lookup_Status!$A$2:$A$13=LOWER(TRIM(Raw_Passengers!F76))))=0,"",INDEX(Lookup_Status!$B$2:$B$13,SUMPRODUCT((Lookup_Status!$A$2:$A$13=LOWER(TRIM(Raw_Passengers!F76)))*(ROW(Lookup_Status!$A$2:$A$13)-1))))</f>
        <v>Confirmed</v>
      </c>
      <c r="H76" s="7" t="str">
        <f>IF(SUMPRODUCT(--(Lookup_Status!$A$2:$A$13=LOWER(TRIM(Raw_Passengers!G76))))=0,"",INDEX(Lookup_Status!$B$2:$B$13,SUMPRODUCT((Lookup_Status!$A$2:$A$13=LOWER(TRIM(Raw_Passengers!G76)))*(ROW(Lookup_Status!$A$2:$A$13)-1))))</f>
        <v>Cancelled</v>
      </c>
      <c r="I76" s="7">
        <f>IF(OR(G76="",G76="Cancelled",G76="Mixed"),1,0)</f>
        <v>0</v>
      </c>
      <c r="J76" s="7">
        <f>IF(OR(H76="",H76="Mixed"),1,0)</f>
        <v>0</v>
      </c>
      <c r="K76" s="7">
        <f>IF(AND(C76=0,D76=0),IF(OR(AND(I76=0,NOT(EXACT(Raw_Passengers!F76,G76))),AND(J76=0,NOT(EXACT(Raw_Passengers!G76,H76)))),1,0),0)</f>
        <v>0</v>
      </c>
      <c r="L76" s="7">
        <f>IF(AND(C76=0,D76=0,I76=1),1,0)</f>
        <v>0</v>
      </c>
      <c r="M76" s="7">
        <f>IF(AND(C76=0,D76=0,J76=1),1,0)</f>
        <v>0</v>
      </c>
    </row>
    <row r="77" spans="1:13">
      <c r="A77" s="7">
        <f>Raw_Passengers!A77</f>
        <v>25363</v>
      </c>
      <c r="B77" s="7">
        <f>Raw_Passengers!B77</f>
        <v>1012464</v>
      </c>
      <c r="C77" s="7">
        <f>IF(COUNTIF(Raw_Passengers!$A$2:A77,Raw_Passengers!A77)&gt;1,1,0)</f>
        <v>0</v>
      </c>
      <c r="D77" s="7">
        <f>IF(COUNTIF(Raw_Bookings!$A$2:$A$648,Raw_Passengers!B77)=0,1,0)</f>
        <v>0</v>
      </c>
      <c r="E77" s="7">
        <f>IF(OR(C77=1,D77=1),0,IF(NOT(ISNUMBER(Raw_Passengers!E77)),1,IF(Raw_Passengers!E77&lt;=0,1,0)))</f>
        <v>0</v>
      </c>
      <c r="F77" s="7">
        <f>IF(AND(C77=0,D77=0,TRIM(Raw_Passengers!D77&amp;"")=""),1,0)</f>
        <v>0</v>
      </c>
      <c r="G77" s="7" t="str">
        <f>IF(SUMPRODUCT(--(Lookup_Status!$A$2:$A$13=LOWER(TRIM(Raw_Passengers!F77))))=0,"",INDEX(Lookup_Status!$B$2:$B$13,SUMPRODUCT((Lookup_Status!$A$2:$A$13=LOWER(TRIM(Raw_Passengers!F77)))*(ROW(Lookup_Status!$A$2:$A$13)-1))))</f>
        <v>RAC</v>
      </c>
      <c r="H77" s="7" t="str">
        <f>IF(SUMPRODUCT(--(Lookup_Status!$A$2:$A$13=LOWER(TRIM(Raw_Passengers!G77))))=0,"",INDEX(Lookup_Status!$B$2:$B$13,SUMPRODUCT((Lookup_Status!$A$2:$A$13=LOWER(TRIM(Raw_Passengers!G77)))*(ROW(Lookup_Status!$A$2:$A$13)-1))))</f>
        <v>RAC</v>
      </c>
      <c r="I77" s="7">
        <f>IF(OR(G77="",G77="Cancelled",G77="Mixed"),1,0)</f>
        <v>0</v>
      </c>
      <c r="J77" s="7">
        <f>IF(OR(H77="",H77="Mixed"),1,0)</f>
        <v>0</v>
      </c>
      <c r="K77" s="7">
        <f>IF(AND(C77=0,D77=0),IF(OR(AND(I77=0,NOT(EXACT(Raw_Passengers!F77,G77))),AND(J77=0,NOT(EXACT(Raw_Passengers!G77,H77)))),1,0),0)</f>
        <v>0</v>
      </c>
      <c r="L77" s="7">
        <f>IF(AND(C77=0,D77=0,I77=1),1,0)</f>
        <v>0</v>
      </c>
      <c r="M77" s="7">
        <f>IF(AND(C77=0,D77=0,J77=1),1,0)</f>
        <v>0</v>
      </c>
    </row>
    <row r="78" spans="1:13">
      <c r="A78" s="7">
        <f>Raw_Passengers!A78</f>
        <v>25722</v>
      </c>
      <c r="B78" s="7">
        <f>Raw_Passengers!B78</f>
        <v>1012655</v>
      </c>
      <c r="C78" s="7">
        <f>IF(COUNTIF(Raw_Passengers!$A$2:A78,Raw_Passengers!A78)&gt;1,1,0)</f>
        <v>0</v>
      </c>
      <c r="D78" s="7">
        <f>IF(COUNTIF(Raw_Bookings!$A$2:$A$648,Raw_Passengers!B78)=0,1,0)</f>
        <v>0</v>
      </c>
      <c r="E78" s="7">
        <f>IF(OR(C78=1,D78=1),0,IF(NOT(ISNUMBER(Raw_Passengers!E78)),1,IF(Raw_Passengers!E78&lt;=0,1,0)))</f>
        <v>0</v>
      </c>
      <c r="F78" s="7">
        <f>IF(AND(C78=0,D78=0,TRIM(Raw_Passengers!D78&amp;"")=""),1,0)</f>
        <v>0</v>
      </c>
      <c r="G78" s="7">
        <f>IF(SUMPRODUCT(--(Lookup_Status!$A$2:$A$13=LOWER(TRIM(Raw_Passengers!F78))))=0,"",INDEX(Lookup_Status!$B$2:$B$13,SUMPRODUCT((Lookup_Status!$A$2:$A$13=LOWER(TRIM(Raw_Passengers!F78)))*(ROW(Lookup_Status!$A$2:$A$13)-1))))</f>
        <v/>
      </c>
      <c r="H78" s="7" t="str">
        <f>IF(SUMPRODUCT(--(Lookup_Status!$A$2:$A$13=LOWER(TRIM(Raw_Passengers!G78))))=0,"",INDEX(Lookup_Status!$B$2:$B$13,SUMPRODUCT((Lookup_Status!$A$2:$A$13=LOWER(TRIM(Raw_Passengers!G78)))*(ROW(Lookup_Status!$A$2:$A$13)-1))))</f>
        <v>Confirmed</v>
      </c>
      <c r="I78" s="7">
        <f>IF(OR(G78="",G78="Cancelled",G78="Mixed"),1,0)</f>
        <v>1</v>
      </c>
      <c r="J78" s="7">
        <f>IF(OR(H78="",H78="Mixed"),1,0)</f>
        <v>0</v>
      </c>
      <c r="K78" s="7">
        <f>IF(AND(C78=0,D78=0),IF(OR(AND(I78=0,NOT(EXACT(Raw_Passengers!F78,G78))),AND(J78=0,NOT(EXACT(Raw_Passengers!G78,H78)))),1,0),0)</f>
        <v>0</v>
      </c>
      <c r="L78" s="7">
        <f>IF(AND(C78=0,D78=0,I78=1),1,0)</f>
        <v>1</v>
      </c>
      <c r="M78" s="7">
        <f>IF(AND(C78=0,D78=0,J78=1),1,0)</f>
        <v>0</v>
      </c>
    </row>
    <row r="79" spans="1:13">
      <c r="A79" s="7">
        <f>Raw_Passengers!A79</f>
        <v>25723</v>
      </c>
      <c r="B79" s="7">
        <f>Raw_Passengers!B79</f>
        <v>1012655</v>
      </c>
      <c r="C79" s="7">
        <f>IF(COUNTIF(Raw_Passengers!$A$2:A79,Raw_Passengers!A79)&gt;1,1,0)</f>
        <v>0</v>
      </c>
      <c r="D79" s="7">
        <f>IF(COUNTIF(Raw_Bookings!$A$2:$A$648,Raw_Passengers!B79)=0,1,0)</f>
        <v>0</v>
      </c>
      <c r="E79" s="7">
        <f>IF(OR(C79=1,D79=1),0,IF(NOT(ISNUMBER(Raw_Passengers!E79)),1,IF(Raw_Passengers!E79&lt;=0,1,0)))</f>
        <v>0</v>
      </c>
      <c r="F79" s="7">
        <f>IF(AND(C79=0,D79=0,TRIM(Raw_Passengers!D79&amp;"")=""),1,0)</f>
        <v>0</v>
      </c>
      <c r="G79" s="7" t="str">
        <f>IF(SUMPRODUCT(--(Lookup_Status!$A$2:$A$13=LOWER(TRIM(Raw_Passengers!F79))))=0,"",INDEX(Lookup_Status!$B$2:$B$13,SUMPRODUCT((Lookup_Status!$A$2:$A$13=LOWER(TRIM(Raw_Passengers!F79)))*(ROW(Lookup_Status!$A$2:$A$13)-1))))</f>
        <v>Confirmed</v>
      </c>
      <c r="H79" s="7" t="str">
        <f>IF(SUMPRODUCT(--(Lookup_Status!$A$2:$A$13=LOWER(TRIM(Raw_Passengers!G79))))=0,"",INDEX(Lookup_Status!$B$2:$B$13,SUMPRODUCT((Lookup_Status!$A$2:$A$13=LOWER(TRIM(Raw_Passengers!G79)))*(ROW(Lookup_Status!$A$2:$A$13)-1))))</f>
        <v>Confirmed</v>
      </c>
      <c r="I79" s="7">
        <f>IF(OR(G79="",G79="Cancelled",G79="Mixed"),1,0)</f>
        <v>0</v>
      </c>
      <c r="J79" s="7">
        <f>IF(OR(H79="",H79="Mixed"),1,0)</f>
        <v>0</v>
      </c>
      <c r="K79" s="7">
        <f>IF(AND(C79=0,D79=0),IF(OR(AND(I79=0,NOT(EXACT(Raw_Passengers!F79,G79))),AND(J79=0,NOT(EXACT(Raw_Passengers!G79,H79)))),1,0),0)</f>
        <v>0</v>
      </c>
      <c r="L79" s="7">
        <f>IF(AND(C79=0,D79=0,I79=1),1,0)</f>
        <v>0</v>
      </c>
      <c r="M79" s="7">
        <f>IF(AND(C79=0,D79=0,J79=1),1,0)</f>
        <v>0</v>
      </c>
    </row>
    <row r="80" spans="1:13">
      <c r="A80" s="7">
        <f>Raw_Passengers!A80</f>
        <v>25724</v>
      </c>
      <c r="B80" s="7">
        <f>Raw_Passengers!B80</f>
        <v>1012655</v>
      </c>
      <c r="C80" s="7">
        <f>IF(COUNTIF(Raw_Passengers!$A$2:A80,Raw_Passengers!A80)&gt;1,1,0)</f>
        <v>0</v>
      </c>
      <c r="D80" s="7">
        <f>IF(COUNTIF(Raw_Bookings!$A$2:$A$648,Raw_Passengers!B80)=0,1,0)</f>
        <v>0</v>
      </c>
      <c r="E80" s="7">
        <f>IF(OR(C80=1,D80=1),0,IF(NOT(ISNUMBER(Raw_Passengers!E80)),1,IF(Raw_Passengers!E80&lt;=0,1,0)))</f>
        <v>0</v>
      </c>
      <c r="F80" s="7">
        <f>IF(AND(C80=0,D80=0,TRIM(Raw_Passengers!D80&amp;"")=""),1,0)</f>
        <v>0</v>
      </c>
      <c r="G80" s="7" t="str">
        <f>IF(SUMPRODUCT(--(Lookup_Status!$A$2:$A$13=LOWER(TRIM(Raw_Passengers!F80))))=0,"",INDEX(Lookup_Status!$B$2:$B$13,SUMPRODUCT((Lookup_Status!$A$2:$A$13=LOWER(TRIM(Raw_Passengers!F80)))*(ROW(Lookup_Status!$A$2:$A$13)-1))))</f>
        <v>Confirmed</v>
      </c>
      <c r="H80" s="7" t="str">
        <f>IF(SUMPRODUCT(--(Lookup_Status!$A$2:$A$13=LOWER(TRIM(Raw_Passengers!G80))))=0,"",INDEX(Lookup_Status!$B$2:$B$13,SUMPRODUCT((Lookup_Status!$A$2:$A$13=LOWER(TRIM(Raw_Passengers!G80)))*(ROW(Lookup_Status!$A$2:$A$13)-1))))</f>
        <v>Confirmed</v>
      </c>
      <c r="I80" s="7">
        <f>IF(OR(G80="",G80="Cancelled",G80="Mixed"),1,0)</f>
        <v>0</v>
      </c>
      <c r="J80" s="7">
        <f>IF(OR(H80="",H80="Mixed"),1,0)</f>
        <v>0</v>
      </c>
      <c r="K80" s="7">
        <f>IF(AND(C80=0,D80=0),IF(OR(AND(I80=0,NOT(EXACT(Raw_Passengers!F80,G80))),AND(J80=0,NOT(EXACT(Raw_Passengers!G80,H80)))),1,0),0)</f>
        <v>0</v>
      </c>
      <c r="L80" s="7">
        <f>IF(AND(C80=0,D80=0,I80=1),1,0)</f>
        <v>0</v>
      </c>
      <c r="M80" s="7">
        <f>IF(AND(C80=0,D80=0,J80=1),1,0)</f>
        <v>0</v>
      </c>
    </row>
    <row r="81" spans="1:13">
      <c r="A81" s="7">
        <f>Raw_Passengers!A81</f>
        <v>25725</v>
      </c>
      <c r="B81" s="7">
        <f>Raw_Passengers!B81</f>
        <v>1012655</v>
      </c>
      <c r="C81" s="7">
        <f>IF(COUNTIF(Raw_Passengers!$A$2:A81,Raw_Passengers!A81)&gt;1,1,0)</f>
        <v>0</v>
      </c>
      <c r="D81" s="7">
        <f>IF(COUNTIF(Raw_Bookings!$A$2:$A$648,Raw_Passengers!B81)=0,1,0)</f>
        <v>0</v>
      </c>
      <c r="E81" s="7">
        <f>IF(OR(C81=1,D81=1),0,IF(NOT(ISNUMBER(Raw_Passengers!E81)),1,IF(Raw_Passengers!E81&lt;=0,1,0)))</f>
        <v>0</v>
      </c>
      <c r="F81" s="7">
        <f>IF(AND(C81=0,D81=0,TRIM(Raw_Passengers!D81&amp;"")=""),1,0)</f>
        <v>0</v>
      </c>
      <c r="G81" s="7" t="str">
        <f>IF(SUMPRODUCT(--(Lookup_Status!$A$2:$A$13=LOWER(TRIM(Raw_Passengers!F81))))=0,"",INDEX(Lookup_Status!$B$2:$B$13,SUMPRODUCT((Lookup_Status!$A$2:$A$13=LOWER(TRIM(Raw_Passengers!F81)))*(ROW(Lookup_Status!$A$2:$A$13)-1))))</f>
        <v>Confirmed</v>
      </c>
      <c r="H81" s="7" t="str">
        <f>IF(SUMPRODUCT(--(Lookup_Status!$A$2:$A$13=LOWER(TRIM(Raw_Passengers!G81))))=0,"",INDEX(Lookup_Status!$B$2:$B$13,SUMPRODUCT((Lookup_Status!$A$2:$A$13=LOWER(TRIM(Raw_Passengers!G81)))*(ROW(Lookup_Status!$A$2:$A$13)-1))))</f>
        <v>Confirmed</v>
      </c>
      <c r="I81" s="7">
        <f>IF(OR(G81="",G81="Cancelled",G81="Mixed"),1,0)</f>
        <v>0</v>
      </c>
      <c r="J81" s="7">
        <f>IF(OR(H81="",H81="Mixed"),1,0)</f>
        <v>0</v>
      </c>
      <c r="K81" s="7">
        <f>IF(AND(C81=0,D81=0),IF(OR(AND(I81=0,NOT(EXACT(Raw_Passengers!F81,G81))),AND(J81=0,NOT(EXACT(Raw_Passengers!G81,H81)))),1,0),0)</f>
        <v>0</v>
      </c>
      <c r="L81" s="7">
        <f>IF(AND(C81=0,D81=0,I81=1),1,0)</f>
        <v>0</v>
      </c>
      <c r="M81" s="7">
        <f>IF(AND(C81=0,D81=0,J81=1),1,0)</f>
        <v>0</v>
      </c>
    </row>
    <row r="82" spans="1:13">
      <c r="A82" s="7">
        <f>Raw_Passengers!A82</f>
        <v>25986</v>
      </c>
      <c r="B82" s="7">
        <f>Raw_Passengers!B82</f>
        <v>1012794</v>
      </c>
      <c r="C82" s="7">
        <f>IF(COUNTIF(Raw_Passengers!$A$2:A82,Raw_Passengers!A82)&gt;1,1,0)</f>
        <v>0</v>
      </c>
      <c r="D82" s="7">
        <f>IF(COUNTIF(Raw_Bookings!$A$2:$A$648,Raw_Passengers!B82)=0,1,0)</f>
        <v>0</v>
      </c>
      <c r="E82" s="7">
        <f>IF(OR(C82=1,D82=1),0,IF(NOT(ISNUMBER(Raw_Passengers!E82)),1,IF(Raw_Passengers!E82&lt;=0,1,0)))</f>
        <v>0</v>
      </c>
      <c r="F82" s="7">
        <f>IF(AND(C82=0,D82=0,TRIM(Raw_Passengers!D82&amp;"")=""),1,0)</f>
        <v>0</v>
      </c>
      <c r="G82" s="7" t="str">
        <f>IF(SUMPRODUCT(--(Lookup_Status!$A$2:$A$13=LOWER(TRIM(Raw_Passengers!F82))))=0,"",INDEX(Lookup_Status!$B$2:$B$13,SUMPRODUCT((Lookup_Status!$A$2:$A$13=LOWER(TRIM(Raw_Passengers!F82)))*(ROW(Lookup_Status!$A$2:$A$13)-1))))</f>
        <v>Confirmed</v>
      </c>
      <c r="H82" s="7" t="str">
        <f>IF(SUMPRODUCT(--(Lookup_Status!$A$2:$A$13=LOWER(TRIM(Raw_Passengers!G82))))=0,"",INDEX(Lookup_Status!$B$2:$B$13,SUMPRODUCT((Lookup_Status!$A$2:$A$13=LOWER(TRIM(Raw_Passengers!G82)))*(ROW(Lookup_Status!$A$2:$A$13)-1))))</f>
        <v>Confirmed</v>
      </c>
      <c r="I82" s="7">
        <f>IF(OR(G82="",G82="Cancelled",G82="Mixed"),1,0)</f>
        <v>0</v>
      </c>
      <c r="J82" s="7">
        <f>IF(OR(H82="",H82="Mixed"),1,0)</f>
        <v>0</v>
      </c>
      <c r="K82" s="7">
        <f>IF(AND(C82=0,D82=0),IF(OR(AND(I82=0,NOT(EXACT(Raw_Passengers!F82,G82))),AND(J82=0,NOT(EXACT(Raw_Passengers!G82,H82)))),1,0),0)</f>
        <v>0</v>
      </c>
      <c r="L82" s="7">
        <f>IF(AND(C82=0,D82=0,I82=1),1,0)</f>
        <v>0</v>
      </c>
      <c r="M82" s="7">
        <f>IF(AND(C82=0,D82=0,J82=1),1,0)</f>
        <v>0</v>
      </c>
    </row>
    <row r="83" spans="1:13">
      <c r="A83" s="7">
        <f>Raw_Passengers!A83</f>
        <v>25987</v>
      </c>
      <c r="B83" s="7">
        <f>Raw_Passengers!B83</f>
        <v>1012794</v>
      </c>
      <c r="C83" s="7">
        <f>IF(COUNTIF(Raw_Passengers!$A$2:A83,Raw_Passengers!A83)&gt;1,1,0)</f>
        <v>0</v>
      </c>
      <c r="D83" s="7">
        <f>IF(COUNTIF(Raw_Bookings!$A$2:$A$648,Raw_Passengers!B83)=0,1,0)</f>
        <v>0</v>
      </c>
      <c r="E83" s="7">
        <f>IF(OR(C83=1,D83=1),0,IF(NOT(ISNUMBER(Raw_Passengers!E83)),1,IF(Raw_Passengers!E83&lt;=0,1,0)))</f>
        <v>0</v>
      </c>
      <c r="F83" s="7">
        <f>IF(AND(C83=0,D83=0,TRIM(Raw_Passengers!D83&amp;"")=""),1,0)</f>
        <v>0</v>
      </c>
      <c r="G83" s="7" t="str">
        <f>IF(SUMPRODUCT(--(Lookup_Status!$A$2:$A$13=LOWER(TRIM(Raw_Passengers!F83))))=0,"",INDEX(Lookup_Status!$B$2:$B$13,SUMPRODUCT((Lookup_Status!$A$2:$A$13=LOWER(TRIM(Raw_Passengers!F83)))*(ROW(Lookup_Status!$A$2:$A$13)-1))))</f>
        <v>Confirmed</v>
      </c>
      <c r="H83" s="7" t="str">
        <f>IF(SUMPRODUCT(--(Lookup_Status!$A$2:$A$13=LOWER(TRIM(Raw_Passengers!G83))))=0,"",INDEX(Lookup_Status!$B$2:$B$13,SUMPRODUCT((Lookup_Status!$A$2:$A$13=LOWER(TRIM(Raw_Passengers!G83)))*(ROW(Lookup_Status!$A$2:$A$13)-1))))</f>
        <v>Confirmed</v>
      </c>
      <c r="I83" s="7">
        <f>IF(OR(G83="",G83="Cancelled",G83="Mixed"),1,0)</f>
        <v>0</v>
      </c>
      <c r="J83" s="7">
        <f>IF(OR(H83="",H83="Mixed"),1,0)</f>
        <v>0</v>
      </c>
      <c r="K83" s="7">
        <f>IF(AND(C83=0,D83=0),IF(OR(AND(I83=0,NOT(EXACT(Raw_Passengers!F83,G83))),AND(J83=0,NOT(EXACT(Raw_Passengers!G83,H83)))),1,0),0)</f>
        <v>0</v>
      </c>
      <c r="L83" s="7">
        <f>IF(AND(C83=0,D83=0,I83=1),1,0)</f>
        <v>0</v>
      </c>
      <c r="M83" s="7">
        <f>IF(AND(C83=0,D83=0,J83=1),1,0)</f>
        <v>0</v>
      </c>
    </row>
    <row r="84" spans="1:13">
      <c r="A84" s="7">
        <f>Raw_Passengers!A84</f>
        <v>26888</v>
      </c>
      <c r="B84" s="7">
        <f>Raw_Passengers!B84</f>
        <v>1013233</v>
      </c>
      <c r="C84" s="7">
        <f>IF(COUNTIF(Raw_Passengers!$A$2:A84,Raw_Passengers!A84)&gt;1,1,0)</f>
        <v>0</v>
      </c>
      <c r="D84" s="7">
        <f>IF(COUNTIF(Raw_Bookings!$A$2:$A$648,Raw_Passengers!B84)=0,1,0)</f>
        <v>0</v>
      </c>
      <c r="E84" s="7">
        <f>IF(OR(C84=1,D84=1),0,IF(NOT(ISNUMBER(Raw_Passengers!E84)),1,IF(Raw_Passengers!E84&lt;=0,1,0)))</f>
        <v>0</v>
      </c>
      <c r="F84" s="7">
        <f>IF(AND(C84=0,D84=0,TRIM(Raw_Passengers!D84&amp;"")=""),1,0)</f>
        <v>0</v>
      </c>
      <c r="G84" s="7" t="str">
        <f>IF(SUMPRODUCT(--(Lookup_Status!$A$2:$A$13=LOWER(TRIM(Raw_Passengers!F84))))=0,"",INDEX(Lookup_Status!$B$2:$B$13,SUMPRODUCT((Lookup_Status!$A$2:$A$13=LOWER(TRIM(Raw_Passengers!F84)))*(ROW(Lookup_Status!$A$2:$A$13)-1))))</f>
        <v>Confirmed</v>
      </c>
      <c r="H84" s="7" t="str">
        <f>IF(SUMPRODUCT(--(Lookup_Status!$A$2:$A$13=LOWER(TRIM(Raw_Passengers!G84))))=0,"",INDEX(Lookup_Status!$B$2:$B$13,SUMPRODUCT((Lookup_Status!$A$2:$A$13=LOWER(TRIM(Raw_Passengers!G84)))*(ROW(Lookup_Status!$A$2:$A$13)-1))))</f>
        <v>Cancelled</v>
      </c>
      <c r="I84" s="7">
        <f>IF(OR(G84="",G84="Cancelled",G84="Mixed"),1,0)</f>
        <v>0</v>
      </c>
      <c r="J84" s="7">
        <f>IF(OR(H84="",H84="Mixed"),1,0)</f>
        <v>0</v>
      </c>
      <c r="K84" s="7">
        <f>IF(AND(C84=0,D84=0),IF(OR(AND(I84=0,NOT(EXACT(Raw_Passengers!F84,G84))),AND(J84=0,NOT(EXACT(Raw_Passengers!G84,H84)))),1,0),0)</f>
        <v>0</v>
      </c>
      <c r="L84" s="7">
        <f>IF(AND(C84=0,D84=0,I84=1),1,0)</f>
        <v>0</v>
      </c>
      <c r="M84" s="7">
        <f>IF(AND(C84=0,D84=0,J84=1),1,0)</f>
        <v>0</v>
      </c>
    </row>
    <row r="85" spans="1:13">
      <c r="A85" s="7">
        <f>Raw_Passengers!A85</f>
        <v>26961</v>
      </c>
      <c r="B85" s="7">
        <f>Raw_Passengers!B85</f>
        <v>1013270</v>
      </c>
      <c r="C85" s="7">
        <f>IF(COUNTIF(Raw_Passengers!$A$2:A85,Raw_Passengers!A85)&gt;1,1,0)</f>
        <v>0</v>
      </c>
      <c r="D85" s="7">
        <f>IF(COUNTIF(Raw_Bookings!$A$2:$A$648,Raw_Passengers!B85)=0,1,0)</f>
        <v>0</v>
      </c>
      <c r="E85" s="7">
        <f>IF(OR(C85=1,D85=1),0,IF(NOT(ISNUMBER(Raw_Passengers!E85)),1,IF(Raw_Passengers!E85&lt;=0,1,0)))</f>
        <v>0</v>
      </c>
      <c r="F85" s="7">
        <f>IF(AND(C85=0,D85=0,TRIM(Raw_Passengers!D85&amp;"")=""),1,0)</f>
        <v>0</v>
      </c>
      <c r="G85" s="7" t="str">
        <f>IF(SUMPRODUCT(--(Lookup_Status!$A$2:$A$13=LOWER(TRIM(Raw_Passengers!F85))))=0,"",INDEX(Lookup_Status!$B$2:$B$13,SUMPRODUCT((Lookup_Status!$A$2:$A$13=LOWER(TRIM(Raw_Passengers!F85)))*(ROW(Lookup_Status!$A$2:$A$13)-1))))</f>
        <v>Confirmed</v>
      </c>
      <c r="H85" s="7" t="str">
        <f>IF(SUMPRODUCT(--(Lookup_Status!$A$2:$A$13=LOWER(TRIM(Raw_Passengers!G85))))=0,"",INDEX(Lookup_Status!$B$2:$B$13,SUMPRODUCT((Lookup_Status!$A$2:$A$13=LOWER(TRIM(Raw_Passengers!G85)))*(ROW(Lookup_Status!$A$2:$A$13)-1))))</f>
        <v>Cancelled</v>
      </c>
      <c r="I85" s="7">
        <f>IF(OR(G85="",G85="Cancelled",G85="Mixed"),1,0)</f>
        <v>0</v>
      </c>
      <c r="J85" s="7">
        <f>IF(OR(H85="",H85="Mixed"),1,0)</f>
        <v>0</v>
      </c>
      <c r="K85" s="7">
        <f>IF(AND(C85=0,D85=0),IF(OR(AND(I85=0,NOT(EXACT(Raw_Passengers!F85,G85))),AND(J85=0,NOT(EXACT(Raw_Passengers!G85,H85)))),1,0),0)</f>
        <v>0</v>
      </c>
      <c r="L85" s="7">
        <f>IF(AND(C85=0,D85=0,I85=1),1,0)</f>
        <v>0</v>
      </c>
      <c r="M85" s="7">
        <f>IF(AND(C85=0,D85=0,J85=1),1,0)</f>
        <v>0</v>
      </c>
    </row>
    <row r="86" spans="1:13">
      <c r="A86" s="7">
        <f>Raw_Passengers!A86</f>
        <v>27417</v>
      </c>
      <c r="B86" s="7">
        <f>Raw_Passengers!B86</f>
        <v>1013494</v>
      </c>
      <c r="C86" s="7">
        <f>IF(COUNTIF(Raw_Passengers!$A$2:A86,Raw_Passengers!A86)&gt;1,1,0)</f>
        <v>0</v>
      </c>
      <c r="D86" s="7">
        <f>IF(COUNTIF(Raw_Bookings!$A$2:$A$648,Raw_Passengers!B86)=0,1,0)</f>
        <v>0</v>
      </c>
      <c r="E86" s="7">
        <f>IF(OR(C86=1,D86=1),0,IF(NOT(ISNUMBER(Raw_Passengers!E86)),1,IF(Raw_Passengers!E86&lt;=0,1,0)))</f>
        <v>0</v>
      </c>
      <c r="F86" s="7">
        <f>IF(AND(C86=0,D86=0,TRIM(Raw_Passengers!D86&amp;"")=""),1,0)</f>
        <v>0</v>
      </c>
      <c r="G86" s="7" t="str">
        <f>IF(SUMPRODUCT(--(Lookup_Status!$A$2:$A$13=LOWER(TRIM(Raw_Passengers!F86))))=0,"",INDEX(Lookup_Status!$B$2:$B$13,SUMPRODUCT((Lookup_Status!$A$2:$A$13=LOWER(TRIM(Raw_Passengers!F86)))*(ROW(Lookup_Status!$A$2:$A$13)-1))))</f>
        <v>Confirmed</v>
      </c>
      <c r="H86" s="7" t="str">
        <f>IF(SUMPRODUCT(--(Lookup_Status!$A$2:$A$13=LOWER(TRIM(Raw_Passengers!G86))))=0,"",INDEX(Lookup_Status!$B$2:$B$13,SUMPRODUCT((Lookup_Status!$A$2:$A$13=LOWER(TRIM(Raw_Passengers!G86)))*(ROW(Lookup_Status!$A$2:$A$13)-1))))</f>
        <v>Confirmed</v>
      </c>
      <c r="I86" s="7">
        <f>IF(OR(G86="",G86="Cancelled",G86="Mixed"),1,0)</f>
        <v>0</v>
      </c>
      <c r="J86" s="7">
        <f>IF(OR(H86="",H86="Mixed"),1,0)</f>
        <v>0</v>
      </c>
      <c r="K86" s="7">
        <f>IF(AND(C86=0,D86=0),IF(OR(AND(I86=0,NOT(EXACT(Raw_Passengers!F86,G86))),AND(J86=0,NOT(EXACT(Raw_Passengers!G86,H86)))),1,0),0)</f>
        <v>0</v>
      </c>
      <c r="L86" s="7">
        <f>IF(AND(C86=0,D86=0,I86=1),1,0)</f>
        <v>0</v>
      </c>
      <c r="M86" s="7">
        <f>IF(AND(C86=0,D86=0,J86=1),1,0)</f>
        <v>0</v>
      </c>
    </row>
    <row r="87" spans="1:13">
      <c r="A87" s="7">
        <f>Raw_Passengers!A87</f>
        <v>27418</v>
      </c>
      <c r="B87" s="7">
        <f>Raw_Passengers!B87</f>
        <v>1013494</v>
      </c>
      <c r="C87" s="7">
        <f>IF(COUNTIF(Raw_Passengers!$A$2:A87,Raw_Passengers!A87)&gt;1,1,0)</f>
        <v>0</v>
      </c>
      <c r="D87" s="7">
        <f>IF(COUNTIF(Raw_Bookings!$A$2:$A$648,Raw_Passengers!B87)=0,1,0)</f>
        <v>0</v>
      </c>
      <c r="E87" s="7">
        <f>IF(OR(C87=1,D87=1),0,IF(NOT(ISNUMBER(Raw_Passengers!E87)),1,IF(Raw_Passengers!E87&lt;=0,1,0)))</f>
        <v>0</v>
      </c>
      <c r="F87" s="7">
        <f>IF(AND(C87=0,D87=0,TRIM(Raw_Passengers!D87&amp;"")=""),1,0)</f>
        <v>0</v>
      </c>
      <c r="G87" s="7" t="str">
        <f>IF(SUMPRODUCT(--(Lookup_Status!$A$2:$A$13=LOWER(TRIM(Raw_Passengers!F87))))=0,"",INDEX(Lookup_Status!$B$2:$B$13,SUMPRODUCT((Lookup_Status!$A$2:$A$13=LOWER(TRIM(Raw_Passengers!F87)))*(ROW(Lookup_Status!$A$2:$A$13)-1))))</f>
        <v>Confirmed</v>
      </c>
      <c r="H87" s="7" t="str">
        <f>IF(SUMPRODUCT(--(Lookup_Status!$A$2:$A$13=LOWER(TRIM(Raw_Passengers!G87))))=0,"",INDEX(Lookup_Status!$B$2:$B$13,SUMPRODUCT((Lookup_Status!$A$2:$A$13=LOWER(TRIM(Raw_Passengers!G87)))*(ROW(Lookup_Status!$A$2:$A$13)-1))))</f>
        <v>Confirmed</v>
      </c>
      <c r="I87" s="7">
        <f>IF(OR(G87="",G87="Cancelled",G87="Mixed"),1,0)</f>
        <v>0</v>
      </c>
      <c r="J87" s="7">
        <f>IF(OR(H87="",H87="Mixed"),1,0)</f>
        <v>0</v>
      </c>
      <c r="K87" s="7">
        <f>IF(AND(C87=0,D87=0),IF(OR(AND(I87=0,NOT(EXACT(Raw_Passengers!F87,G87))),AND(J87=0,NOT(EXACT(Raw_Passengers!G87,H87)))),1,0),0)</f>
        <v>0</v>
      </c>
      <c r="L87" s="7">
        <f>IF(AND(C87=0,D87=0,I87=1),1,0)</f>
        <v>0</v>
      </c>
      <c r="M87" s="7">
        <f>IF(AND(C87=0,D87=0,J87=1),1,0)</f>
        <v>0</v>
      </c>
    </row>
    <row r="88" spans="1:13">
      <c r="A88" s="7">
        <f>Raw_Passengers!A88</f>
        <v>27419</v>
      </c>
      <c r="B88" s="7">
        <f>Raw_Passengers!B88</f>
        <v>1013494</v>
      </c>
      <c r="C88" s="7">
        <f>IF(COUNTIF(Raw_Passengers!$A$2:A88,Raw_Passengers!A88)&gt;1,1,0)</f>
        <v>0</v>
      </c>
      <c r="D88" s="7">
        <f>IF(COUNTIF(Raw_Bookings!$A$2:$A$648,Raw_Passengers!B88)=0,1,0)</f>
        <v>0</v>
      </c>
      <c r="E88" s="7">
        <f>IF(OR(C88=1,D88=1),0,IF(NOT(ISNUMBER(Raw_Passengers!E88)),1,IF(Raw_Passengers!E88&lt;=0,1,0)))</f>
        <v>0</v>
      </c>
      <c r="F88" s="7">
        <f>IF(AND(C88=0,D88=0,TRIM(Raw_Passengers!D88&amp;"")=""),1,0)</f>
        <v>0</v>
      </c>
      <c r="G88" s="7" t="str">
        <f>IF(SUMPRODUCT(--(Lookup_Status!$A$2:$A$13=LOWER(TRIM(Raw_Passengers!F88))))=0,"",INDEX(Lookup_Status!$B$2:$B$13,SUMPRODUCT((Lookup_Status!$A$2:$A$13=LOWER(TRIM(Raw_Passengers!F88)))*(ROW(Lookup_Status!$A$2:$A$13)-1))))</f>
        <v>Confirmed</v>
      </c>
      <c r="H88" s="7" t="str">
        <f>IF(SUMPRODUCT(--(Lookup_Status!$A$2:$A$13=LOWER(TRIM(Raw_Passengers!G88))))=0,"",INDEX(Lookup_Status!$B$2:$B$13,SUMPRODUCT((Lookup_Status!$A$2:$A$13=LOWER(TRIM(Raw_Passengers!G88)))*(ROW(Lookup_Status!$A$2:$A$13)-1))))</f>
        <v>Confirmed</v>
      </c>
      <c r="I88" s="7">
        <f>IF(OR(G88="",G88="Cancelled",G88="Mixed"),1,0)</f>
        <v>0</v>
      </c>
      <c r="J88" s="7">
        <f>IF(OR(H88="",H88="Mixed"),1,0)</f>
        <v>0</v>
      </c>
      <c r="K88" s="7">
        <f>IF(AND(C88=0,D88=0),IF(OR(AND(I88=0,NOT(EXACT(Raw_Passengers!F88,G88))),AND(J88=0,NOT(EXACT(Raw_Passengers!G88,H88)))),1,0),0)</f>
        <v>0</v>
      </c>
      <c r="L88" s="7">
        <f>IF(AND(C88=0,D88=0,I88=1),1,0)</f>
        <v>0</v>
      </c>
      <c r="M88" s="7">
        <f>IF(AND(C88=0,D88=0,J88=1),1,0)</f>
        <v>0</v>
      </c>
    </row>
    <row r="89" spans="1:13">
      <c r="A89" s="7">
        <f>Raw_Passengers!A89</f>
        <v>27422</v>
      </c>
      <c r="B89" s="7">
        <f>Raw_Passengers!B89</f>
        <v>1013497</v>
      </c>
      <c r="C89" s="7">
        <f>IF(COUNTIF(Raw_Passengers!$A$2:A89,Raw_Passengers!A89)&gt;1,1,0)</f>
        <v>0</v>
      </c>
      <c r="D89" s="7">
        <f>IF(COUNTIF(Raw_Bookings!$A$2:$A$648,Raw_Passengers!B89)=0,1,0)</f>
        <v>0</v>
      </c>
      <c r="E89" s="7">
        <f>IF(OR(C89=1,D89=1),0,IF(NOT(ISNUMBER(Raw_Passengers!E89)),1,IF(Raw_Passengers!E89&lt;=0,1,0)))</f>
        <v>0</v>
      </c>
      <c r="F89" s="7">
        <f>IF(AND(C89=0,D89=0,TRIM(Raw_Passengers!D89&amp;"")=""),1,0)</f>
        <v>0</v>
      </c>
      <c r="G89" s="7" t="str">
        <f>IF(SUMPRODUCT(--(Lookup_Status!$A$2:$A$13=LOWER(TRIM(Raw_Passengers!F89))))=0,"",INDEX(Lookup_Status!$B$2:$B$13,SUMPRODUCT((Lookup_Status!$A$2:$A$13=LOWER(TRIM(Raw_Passengers!F89)))*(ROW(Lookup_Status!$A$2:$A$13)-1))))</f>
        <v>Confirmed</v>
      </c>
      <c r="H89" s="7" t="str">
        <f>IF(SUMPRODUCT(--(Lookup_Status!$A$2:$A$13=LOWER(TRIM(Raw_Passengers!G89))))=0,"",INDEX(Lookup_Status!$B$2:$B$13,SUMPRODUCT((Lookup_Status!$A$2:$A$13=LOWER(TRIM(Raw_Passengers!G89)))*(ROW(Lookup_Status!$A$2:$A$13)-1))))</f>
        <v>Confirmed</v>
      </c>
      <c r="I89" s="7">
        <f>IF(OR(G89="",G89="Cancelled",G89="Mixed"),1,0)</f>
        <v>0</v>
      </c>
      <c r="J89" s="7">
        <f>IF(OR(H89="",H89="Mixed"),1,0)</f>
        <v>0</v>
      </c>
      <c r="K89" s="7">
        <f>IF(AND(C89=0,D89=0),IF(OR(AND(I89=0,NOT(EXACT(Raw_Passengers!F89,G89))),AND(J89=0,NOT(EXACT(Raw_Passengers!G89,H89)))),1,0),0)</f>
        <v>0</v>
      </c>
      <c r="L89" s="7">
        <f>IF(AND(C89=0,D89=0,I89=1),1,0)</f>
        <v>0</v>
      </c>
      <c r="M89" s="7">
        <f>IF(AND(C89=0,D89=0,J89=1),1,0)</f>
        <v>0</v>
      </c>
    </row>
    <row r="90" spans="1:13">
      <c r="A90" s="7">
        <f>Raw_Passengers!A90</f>
        <v>27423</v>
      </c>
      <c r="B90" s="7">
        <f>Raw_Passengers!B90</f>
        <v>1013497</v>
      </c>
      <c r="C90" s="7">
        <f>IF(COUNTIF(Raw_Passengers!$A$2:A90,Raw_Passengers!A90)&gt;1,1,0)</f>
        <v>0</v>
      </c>
      <c r="D90" s="7">
        <f>IF(COUNTIF(Raw_Bookings!$A$2:$A$648,Raw_Passengers!B90)=0,1,0)</f>
        <v>0</v>
      </c>
      <c r="E90" s="7">
        <f>IF(OR(C90=1,D90=1),0,IF(NOT(ISNUMBER(Raw_Passengers!E90)),1,IF(Raw_Passengers!E90&lt;=0,1,0)))</f>
        <v>0</v>
      </c>
      <c r="F90" s="7">
        <f>IF(AND(C90=0,D90=0,TRIM(Raw_Passengers!D90&amp;"")=""),1,0)</f>
        <v>0</v>
      </c>
      <c r="G90" s="7" t="str">
        <f>IF(SUMPRODUCT(--(Lookup_Status!$A$2:$A$13=LOWER(TRIM(Raw_Passengers!F90))))=0,"",INDEX(Lookup_Status!$B$2:$B$13,SUMPRODUCT((Lookup_Status!$A$2:$A$13=LOWER(TRIM(Raw_Passengers!F90)))*(ROW(Lookup_Status!$A$2:$A$13)-1))))</f>
        <v>Confirmed</v>
      </c>
      <c r="H90" s="7" t="str">
        <f>IF(SUMPRODUCT(--(Lookup_Status!$A$2:$A$13=LOWER(TRIM(Raw_Passengers!G90))))=0,"",INDEX(Lookup_Status!$B$2:$B$13,SUMPRODUCT((Lookup_Status!$A$2:$A$13=LOWER(TRIM(Raw_Passengers!G90)))*(ROW(Lookup_Status!$A$2:$A$13)-1))))</f>
        <v>Cancelled</v>
      </c>
      <c r="I90" s="7">
        <f>IF(OR(G90="",G90="Cancelled",G90="Mixed"),1,0)</f>
        <v>0</v>
      </c>
      <c r="J90" s="7">
        <f>IF(OR(H90="",H90="Mixed"),1,0)</f>
        <v>0</v>
      </c>
      <c r="K90" s="7">
        <f>IF(AND(C90=0,D90=0),IF(OR(AND(I90=0,NOT(EXACT(Raw_Passengers!F90,G90))),AND(J90=0,NOT(EXACT(Raw_Passengers!G90,H90)))),1,0),0)</f>
        <v>0</v>
      </c>
      <c r="L90" s="7">
        <f>IF(AND(C90=0,D90=0,I90=1),1,0)</f>
        <v>0</v>
      </c>
      <c r="M90" s="7">
        <f>IF(AND(C90=0,D90=0,J90=1),1,0)</f>
        <v>0</v>
      </c>
    </row>
    <row r="91" spans="1:13">
      <c r="A91" s="7">
        <f>Raw_Passengers!A91</f>
        <v>27897</v>
      </c>
      <c r="B91" s="7">
        <f>Raw_Passengers!B91</f>
        <v>1013731</v>
      </c>
      <c r="C91" s="7">
        <f>IF(COUNTIF(Raw_Passengers!$A$2:A91,Raw_Passengers!A91)&gt;1,1,0)</f>
        <v>0</v>
      </c>
      <c r="D91" s="7">
        <f>IF(COUNTIF(Raw_Bookings!$A$2:$A$648,Raw_Passengers!B91)=0,1,0)</f>
        <v>0</v>
      </c>
      <c r="E91" s="7">
        <f>IF(OR(C91=1,D91=1),0,IF(NOT(ISNUMBER(Raw_Passengers!E91)),1,IF(Raw_Passengers!E91&lt;=0,1,0)))</f>
        <v>0</v>
      </c>
      <c r="F91" s="7">
        <f>IF(AND(C91=0,D91=0,TRIM(Raw_Passengers!D91&amp;"")=""),1,0)</f>
        <v>0</v>
      </c>
      <c r="G91" s="7" t="str">
        <f>IF(SUMPRODUCT(--(Lookup_Status!$A$2:$A$13=LOWER(TRIM(Raw_Passengers!F91))))=0,"",INDEX(Lookup_Status!$B$2:$B$13,SUMPRODUCT((Lookup_Status!$A$2:$A$13=LOWER(TRIM(Raw_Passengers!F91)))*(ROW(Lookup_Status!$A$2:$A$13)-1))))</f>
        <v>Confirmed</v>
      </c>
      <c r="H91" s="7" t="str">
        <f>IF(SUMPRODUCT(--(Lookup_Status!$A$2:$A$13=LOWER(TRIM(Raw_Passengers!G91))))=0,"",INDEX(Lookup_Status!$B$2:$B$13,SUMPRODUCT((Lookup_Status!$A$2:$A$13=LOWER(TRIM(Raw_Passengers!G91)))*(ROW(Lookup_Status!$A$2:$A$13)-1))))</f>
        <v>Confirmed</v>
      </c>
      <c r="I91" s="7">
        <f>IF(OR(G91="",G91="Cancelled",G91="Mixed"),1,0)</f>
        <v>0</v>
      </c>
      <c r="J91" s="7">
        <f>IF(OR(H91="",H91="Mixed"),1,0)</f>
        <v>0</v>
      </c>
      <c r="K91" s="7">
        <f>IF(AND(C91=0,D91=0),IF(OR(AND(I91=0,NOT(EXACT(Raw_Passengers!F91,G91))),AND(J91=0,NOT(EXACT(Raw_Passengers!G91,H91)))),1,0),0)</f>
        <v>0</v>
      </c>
      <c r="L91" s="7">
        <f>IF(AND(C91=0,D91=0,I91=1),1,0)</f>
        <v>0</v>
      </c>
      <c r="M91" s="7">
        <f>IF(AND(C91=0,D91=0,J91=1),1,0)</f>
        <v>0</v>
      </c>
    </row>
    <row r="92" spans="1:13">
      <c r="A92" s="7">
        <f>Raw_Passengers!A92</f>
        <v>27898</v>
      </c>
      <c r="B92" s="7">
        <f>Raw_Passengers!B92</f>
        <v>1013731</v>
      </c>
      <c r="C92" s="7">
        <f>IF(COUNTIF(Raw_Passengers!$A$2:A92,Raw_Passengers!A92)&gt;1,1,0)</f>
        <v>0</v>
      </c>
      <c r="D92" s="7">
        <f>IF(COUNTIF(Raw_Bookings!$A$2:$A$648,Raw_Passengers!B92)=0,1,0)</f>
        <v>0</v>
      </c>
      <c r="E92" s="7">
        <f>IF(OR(C92=1,D92=1),0,IF(NOT(ISNUMBER(Raw_Passengers!E92)),1,IF(Raw_Passengers!E92&lt;=0,1,0)))</f>
        <v>0</v>
      </c>
      <c r="F92" s="7">
        <f>IF(AND(C92=0,D92=0,TRIM(Raw_Passengers!D92&amp;"")=""),1,0)</f>
        <v>0</v>
      </c>
      <c r="G92" s="7" t="str">
        <f>IF(SUMPRODUCT(--(Lookup_Status!$A$2:$A$13=LOWER(TRIM(Raw_Passengers!F92))))=0,"",INDEX(Lookup_Status!$B$2:$B$13,SUMPRODUCT((Lookup_Status!$A$2:$A$13=LOWER(TRIM(Raw_Passengers!F92)))*(ROW(Lookup_Status!$A$2:$A$13)-1))))</f>
        <v>Confirmed</v>
      </c>
      <c r="H92" s="7" t="str">
        <f>IF(SUMPRODUCT(--(Lookup_Status!$A$2:$A$13=LOWER(TRIM(Raw_Passengers!G92))))=0,"",INDEX(Lookup_Status!$B$2:$B$13,SUMPRODUCT((Lookup_Status!$A$2:$A$13=LOWER(TRIM(Raw_Passengers!G92)))*(ROW(Lookup_Status!$A$2:$A$13)-1))))</f>
        <v>Confirmed</v>
      </c>
      <c r="I92" s="7">
        <f>IF(OR(G92="",G92="Cancelled",G92="Mixed"),1,0)</f>
        <v>0</v>
      </c>
      <c r="J92" s="7">
        <f>IF(OR(H92="",H92="Mixed"),1,0)</f>
        <v>0</v>
      </c>
      <c r="K92" s="7">
        <f>IF(AND(C92=0,D92=0),IF(OR(AND(I92=0,NOT(EXACT(Raw_Passengers!F92,G92))),AND(J92=0,NOT(EXACT(Raw_Passengers!G92,H92)))),1,0),0)</f>
        <v>0</v>
      </c>
      <c r="L92" s="7">
        <f>IF(AND(C92=0,D92=0,I92=1),1,0)</f>
        <v>0</v>
      </c>
      <c r="M92" s="7">
        <f>IF(AND(C92=0,D92=0,J92=1),1,0)</f>
        <v>0</v>
      </c>
    </row>
    <row r="93" spans="1:13">
      <c r="A93" s="7">
        <f>Raw_Passengers!A93</f>
        <v>27899</v>
      </c>
      <c r="B93" s="7">
        <f>Raw_Passengers!B93</f>
        <v>1013731</v>
      </c>
      <c r="C93" s="7">
        <f>IF(COUNTIF(Raw_Passengers!$A$2:A93,Raw_Passengers!A93)&gt;1,1,0)</f>
        <v>0</v>
      </c>
      <c r="D93" s="7">
        <f>IF(COUNTIF(Raw_Bookings!$A$2:$A$648,Raw_Passengers!B93)=0,1,0)</f>
        <v>0</v>
      </c>
      <c r="E93" s="7">
        <f>IF(OR(C93=1,D93=1),0,IF(NOT(ISNUMBER(Raw_Passengers!E93)),1,IF(Raw_Passengers!E93&lt;=0,1,0)))</f>
        <v>0</v>
      </c>
      <c r="F93" s="7">
        <f>IF(AND(C93=0,D93=0,TRIM(Raw_Passengers!D93&amp;"")=""),1,0)</f>
        <v>0</v>
      </c>
      <c r="G93" s="7" t="str">
        <f>IF(SUMPRODUCT(--(Lookup_Status!$A$2:$A$13=LOWER(TRIM(Raw_Passengers!F93))))=0,"",INDEX(Lookup_Status!$B$2:$B$13,SUMPRODUCT((Lookup_Status!$A$2:$A$13=LOWER(TRIM(Raw_Passengers!F93)))*(ROW(Lookup_Status!$A$2:$A$13)-1))))</f>
        <v>Confirmed</v>
      </c>
      <c r="H93" s="7" t="str">
        <f>IF(SUMPRODUCT(--(Lookup_Status!$A$2:$A$13=LOWER(TRIM(Raw_Passengers!G93))))=0,"",INDEX(Lookup_Status!$B$2:$B$13,SUMPRODUCT((Lookup_Status!$A$2:$A$13=LOWER(TRIM(Raw_Passengers!G93)))*(ROW(Lookup_Status!$A$2:$A$13)-1))))</f>
        <v>Confirmed</v>
      </c>
      <c r="I93" s="7">
        <f>IF(OR(G93="",G93="Cancelled",G93="Mixed"),1,0)</f>
        <v>0</v>
      </c>
      <c r="J93" s="7">
        <f>IF(OR(H93="",H93="Mixed"),1,0)</f>
        <v>0</v>
      </c>
      <c r="K93" s="7">
        <f>IF(AND(C93=0,D93=0),IF(OR(AND(I93=0,NOT(EXACT(Raw_Passengers!F93,G93))),AND(J93=0,NOT(EXACT(Raw_Passengers!G93,H93)))),1,0),0)</f>
        <v>0</v>
      </c>
      <c r="L93" s="7">
        <f>IF(AND(C93=0,D93=0,I93=1),1,0)</f>
        <v>0</v>
      </c>
      <c r="M93" s="7">
        <f>IF(AND(C93=0,D93=0,J93=1),1,0)</f>
        <v>0</v>
      </c>
    </row>
    <row r="94" spans="1:13">
      <c r="A94" s="7">
        <f>Raw_Passengers!A94</f>
        <v>28319</v>
      </c>
      <c r="B94" s="7">
        <f>Raw_Passengers!B94</f>
        <v>1013942</v>
      </c>
      <c r="C94" s="7">
        <f>IF(COUNTIF(Raw_Passengers!$A$2:A94,Raw_Passengers!A94)&gt;1,1,0)</f>
        <v>0</v>
      </c>
      <c r="D94" s="7">
        <f>IF(COUNTIF(Raw_Bookings!$A$2:$A$648,Raw_Passengers!B94)=0,1,0)</f>
        <v>0</v>
      </c>
      <c r="E94" s="7">
        <f>IF(OR(C94=1,D94=1),0,IF(NOT(ISNUMBER(Raw_Passengers!E94)),1,IF(Raw_Passengers!E94&lt;=0,1,0)))</f>
        <v>0</v>
      </c>
      <c r="F94" s="7">
        <f>IF(AND(C94=0,D94=0,TRIM(Raw_Passengers!D94&amp;"")=""),1,0)</f>
        <v>0</v>
      </c>
      <c r="G94" s="7" t="str">
        <f>IF(SUMPRODUCT(--(Lookup_Status!$A$2:$A$13=LOWER(TRIM(Raw_Passengers!F94))))=0,"",INDEX(Lookup_Status!$B$2:$B$13,SUMPRODUCT((Lookup_Status!$A$2:$A$13=LOWER(TRIM(Raw_Passengers!F94)))*(ROW(Lookup_Status!$A$2:$A$13)-1))))</f>
        <v>Confirmed</v>
      </c>
      <c r="H94" s="7" t="str">
        <f>IF(SUMPRODUCT(--(Lookup_Status!$A$2:$A$13=LOWER(TRIM(Raw_Passengers!G94))))=0,"",INDEX(Lookup_Status!$B$2:$B$13,SUMPRODUCT((Lookup_Status!$A$2:$A$13=LOWER(TRIM(Raw_Passengers!G94)))*(ROW(Lookup_Status!$A$2:$A$13)-1))))</f>
        <v>Confirmed</v>
      </c>
      <c r="I94" s="7">
        <f>IF(OR(G94="",G94="Cancelled",G94="Mixed"),1,0)</f>
        <v>0</v>
      </c>
      <c r="J94" s="7">
        <f>IF(OR(H94="",H94="Mixed"),1,0)</f>
        <v>0</v>
      </c>
      <c r="K94" s="7">
        <f>IF(AND(C94=0,D94=0),IF(OR(AND(I94=0,NOT(EXACT(Raw_Passengers!F94,G94))),AND(J94=0,NOT(EXACT(Raw_Passengers!G94,H94)))),1,0),0)</f>
        <v>0</v>
      </c>
      <c r="L94" s="7">
        <f>IF(AND(C94=0,D94=0,I94=1),1,0)</f>
        <v>0</v>
      </c>
      <c r="M94" s="7">
        <f>IF(AND(C94=0,D94=0,J94=1),1,0)</f>
        <v>0</v>
      </c>
    </row>
    <row r="95" spans="1:13">
      <c r="A95" s="7">
        <f>Raw_Passengers!A95</f>
        <v>28509</v>
      </c>
      <c r="B95" s="7">
        <f>Raw_Passengers!B95</f>
        <v>1014041</v>
      </c>
      <c r="C95" s="7">
        <f>IF(COUNTIF(Raw_Passengers!$A$2:A95,Raw_Passengers!A95)&gt;1,1,0)</f>
        <v>0</v>
      </c>
      <c r="D95" s="7">
        <f>IF(COUNTIF(Raw_Bookings!$A$2:$A$648,Raw_Passengers!B95)=0,1,0)</f>
        <v>0</v>
      </c>
      <c r="E95" s="7">
        <f>IF(OR(C95=1,D95=1),0,IF(NOT(ISNUMBER(Raw_Passengers!E95)),1,IF(Raw_Passengers!E95&lt;=0,1,0)))</f>
        <v>0</v>
      </c>
      <c r="F95" s="7">
        <f>IF(AND(C95=0,D95=0,TRIM(Raw_Passengers!D95&amp;"")=""),1,0)</f>
        <v>0</v>
      </c>
      <c r="G95" s="7" t="str">
        <f>IF(SUMPRODUCT(--(Lookup_Status!$A$2:$A$13=LOWER(TRIM(Raw_Passengers!F95))))=0,"",INDEX(Lookup_Status!$B$2:$B$13,SUMPRODUCT((Lookup_Status!$A$2:$A$13=LOWER(TRIM(Raw_Passengers!F95)))*(ROW(Lookup_Status!$A$2:$A$13)-1))))</f>
        <v>Confirmed</v>
      </c>
      <c r="H95" s="7" t="str">
        <f>IF(SUMPRODUCT(--(Lookup_Status!$A$2:$A$13=LOWER(TRIM(Raw_Passengers!G95))))=0,"",INDEX(Lookup_Status!$B$2:$B$13,SUMPRODUCT((Lookup_Status!$A$2:$A$13=LOWER(TRIM(Raw_Passengers!G95)))*(ROW(Lookup_Status!$A$2:$A$13)-1))))</f>
        <v>Cancelled</v>
      </c>
      <c r="I95" s="7">
        <f>IF(OR(G95="",G95="Cancelled",G95="Mixed"),1,0)</f>
        <v>0</v>
      </c>
      <c r="J95" s="7">
        <f>IF(OR(H95="",H95="Mixed"),1,0)</f>
        <v>0</v>
      </c>
      <c r="K95" s="7">
        <f>IF(AND(C95=0,D95=0),IF(OR(AND(I95=0,NOT(EXACT(Raw_Passengers!F95,G95))),AND(J95=0,NOT(EXACT(Raw_Passengers!G95,H95)))),1,0),0)</f>
        <v>0</v>
      </c>
      <c r="L95" s="7">
        <f>IF(AND(C95=0,D95=0,I95=1),1,0)</f>
        <v>0</v>
      </c>
      <c r="M95" s="7">
        <f>IF(AND(C95=0,D95=0,J95=1),1,0)</f>
        <v>0</v>
      </c>
    </row>
    <row r="96" spans="1:13">
      <c r="A96" s="7">
        <f>Raw_Passengers!A96</f>
        <v>28510</v>
      </c>
      <c r="B96" s="7">
        <f>Raw_Passengers!B96</f>
        <v>1014041</v>
      </c>
      <c r="C96" s="7">
        <f>IF(COUNTIF(Raw_Passengers!$A$2:A96,Raw_Passengers!A96)&gt;1,1,0)</f>
        <v>0</v>
      </c>
      <c r="D96" s="7">
        <f>IF(COUNTIF(Raw_Bookings!$A$2:$A$648,Raw_Passengers!B96)=0,1,0)</f>
        <v>0</v>
      </c>
      <c r="E96" s="7">
        <f>IF(OR(C96=1,D96=1),0,IF(NOT(ISNUMBER(Raw_Passengers!E96)),1,IF(Raw_Passengers!E96&lt;=0,1,0)))</f>
        <v>0</v>
      </c>
      <c r="F96" s="7">
        <f>IF(AND(C96=0,D96=0,TRIM(Raw_Passengers!D96&amp;"")=""),1,0)</f>
        <v>0</v>
      </c>
      <c r="G96" s="7" t="str">
        <f>IF(SUMPRODUCT(--(Lookup_Status!$A$2:$A$13=LOWER(TRIM(Raw_Passengers!F96))))=0,"",INDEX(Lookup_Status!$B$2:$B$13,SUMPRODUCT((Lookup_Status!$A$2:$A$13=LOWER(TRIM(Raw_Passengers!F96)))*(ROW(Lookup_Status!$A$2:$A$13)-1))))</f>
        <v>Confirmed</v>
      </c>
      <c r="H96" s="7" t="str">
        <f>IF(SUMPRODUCT(--(Lookup_Status!$A$2:$A$13=LOWER(TRIM(Raw_Passengers!G96))))=0,"",INDEX(Lookup_Status!$B$2:$B$13,SUMPRODUCT((Lookup_Status!$A$2:$A$13=LOWER(TRIM(Raw_Passengers!G96)))*(ROW(Lookup_Status!$A$2:$A$13)-1))))</f>
        <v>Cancelled</v>
      </c>
      <c r="I96" s="7">
        <f>IF(OR(G96="",G96="Cancelled",G96="Mixed"),1,0)</f>
        <v>0</v>
      </c>
      <c r="J96" s="7">
        <f>IF(OR(H96="",H96="Mixed"),1,0)</f>
        <v>0</v>
      </c>
      <c r="K96" s="7">
        <f>IF(AND(C96=0,D96=0),IF(OR(AND(I96=0,NOT(EXACT(Raw_Passengers!F96,G96))),AND(J96=0,NOT(EXACT(Raw_Passengers!G96,H96)))),1,0),0)</f>
        <v>0</v>
      </c>
      <c r="L96" s="7">
        <f>IF(AND(C96=0,D96=0,I96=1),1,0)</f>
        <v>0</v>
      </c>
      <c r="M96" s="7">
        <f>IF(AND(C96=0,D96=0,J96=1),1,0)</f>
        <v>0</v>
      </c>
    </row>
    <row r="97" spans="1:13">
      <c r="A97" s="7">
        <f>Raw_Passengers!A97</f>
        <v>30557</v>
      </c>
      <c r="B97" s="7">
        <f>Raw_Passengers!B97</f>
        <v>1015068</v>
      </c>
      <c r="C97" s="7">
        <f>IF(COUNTIF(Raw_Passengers!$A$2:A97,Raw_Passengers!A97)&gt;1,1,0)</f>
        <v>0</v>
      </c>
      <c r="D97" s="7">
        <f>IF(COUNTIF(Raw_Bookings!$A$2:$A$648,Raw_Passengers!B97)=0,1,0)</f>
        <v>0</v>
      </c>
      <c r="E97" s="7">
        <f>IF(OR(C97=1,D97=1),0,IF(NOT(ISNUMBER(Raw_Passengers!E97)),1,IF(Raw_Passengers!E97&lt;=0,1,0)))</f>
        <v>0</v>
      </c>
      <c r="F97" s="7">
        <f>IF(AND(C97=0,D97=0,TRIM(Raw_Passengers!D97&amp;"")=""),1,0)</f>
        <v>0</v>
      </c>
      <c r="G97" s="7" t="str">
        <f>IF(SUMPRODUCT(--(Lookup_Status!$A$2:$A$13=LOWER(TRIM(Raw_Passengers!F97))))=0,"",INDEX(Lookup_Status!$B$2:$B$13,SUMPRODUCT((Lookup_Status!$A$2:$A$13=LOWER(TRIM(Raw_Passengers!F97)))*(ROW(Lookup_Status!$A$2:$A$13)-1))))</f>
        <v>Confirmed</v>
      </c>
      <c r="H97" s="7" t="str">
        <f>IF(SUMPRODUCT(--(Lookup_Status!$A$2:$A$13=LOWER(TRIM(Raw_Passengers!G97))))=0,"",INDEX(Lookup_Status!$B$2:$B$13,SUMPRODUCT((Lookup_Status!$A$2:$A$13=LOWER(TRIM(Raw_Passengers!G97)))*(ROW(Lookup_Status!$A$2:$A$13)-1))))</f>
        <v>Confirmed</v>
      </c>
      <c r="I97" s="7">
        <f>IF(OR(G97="",G97="Cancelled",G97="Mixed"),1,0)</f>
        <v>0</v>
      </c>
      <c r="J97" s="7">
        <f>IF(OR(H97="",H97="Mixed"),1,0)</f>
        <v>0</v>
      </c>
      <c r="K97" s="7">
        <f>IF(AND(C97=0,D97=0),IF(OR(AND(I97=0,NOT(EXACT(Raw_Passengers!F97,G97))),AND(J97=0,NOT(EXACT(Raw_Passengers!G97,H97)))),1,0),0)</f>
        <v>0</v>
      </c>
      <c r="L97" s="7">
        <f>IF(AND(C97=0,D97=0,I97=1),1,0)</f>
        <v>0</v>
      </c>
      <c r="M97" s="7">
        <f>IF(AND(C97=0,D97=0,J97=1),1,0)</f>
        <v>0</v>
      </c>
    </row>
    <row r="98" spans="1:13">
      <c r="A98" s="7">
        <f>Raw_Passengers!A98</f>
        <v>30798</v>
      </c>
      <c r="B98" s="7">
        <f>Raw_Passengers!B98</f>
        <v>1015189</v>
      </c>
      <c r="C98" s="7">
        <f>IF(COUNTIF(Raw_Passengers!$A$2:A98,Raw_Passengers!A98)&gt;1,1,0)</f>
        <v>0</v>
      </c>
      <c r="D98" s="7">
        <f>IF(COUNTIF(Raw_Bookings!$A$2:$A$648,Raw_Passengers!B98)=0,1,0)</f>
        <v>0</v>
      </c>
      <c r="E98" s="7">
        <f>IF(OR(C98=1,D98=1),0,IF(NOT(ISNUMBER(Raw_Passengers!E98)),1,IF(Raw_Passengers!E98&lt;=0,1,0)))</f>
        <v>0</v>
      </c>
      <c r="F98" s="7">
        <f>IF(AND(C98=0,D98=0,TRIM(Raw_Passengers!D98&amp;"")=""),1,0)</f>
        <v>0</v>
      </c>
      <c r="G98" s="7" t="str">
        <f>IF(SUMPRODUCT(--(Lookup_Status!$A$2:$A$13=LOWER(TRIM(Raw_Passengers!F98))))=0,"",INDEX(Lookup_Status!$B$2:$B$13,SUMPRODUCT((Lookup_Status!$A$2:$A$13=LOWER(TRIM(Raw_Passengers!F98)))*(ROW(Lookup_Status!$A$2:$A$13)-1))))</f>
        <v>Confirmed</v>
      </c>
      <c r="H98" s="7" t="str">
        <f>IF(SUMPRODUCT(--(Lookup_Status!$A$2:$A$13=LOWER(TRIM(Raw_Passengers!G98))))=0,"",INDEX(Lookup_Status!$B$2:$B$13,SUMPRODUCT((Lookup_Status!$A$2:$A$13=LOWER(TRIM(Raw_Passengers!G98)))*(ROW(Lookup_Status!$A$2:$A$13)-1))))</f>
        <v>Confirmed</v>
      </c>
      <c r="I98" s="7">
        <f>IF(OR(G98="",G98="Cancelled",G98="Mixed"),1,0)</f>
        <v>0</v>
      </c>
      <c r="J98" s="7">
        <f>IF(OR(H98="",H98="Mixed"),1,0)</f>
        <v>0</v>
      </c>
      <c r="K98" s="7">
        <f>IF(AND(C98=0,D98=0),IF(OR(AND(I98=0,NOT(EXACT(Raw_Passengers!F98,G98))),AND(J98=0,NOT(EXACT(Raw_Passengers!G98,H98)))),1,0),0)</f>
        <v>0</v>
      </c>
      <c r="L98" s="7">
        <f>IF(AND(C98=0,D98=0,I98=1),1,0)</f>
        <v>0</v>
      </c>
      <c r="M98" s="7">
        <f>IF(AND(C98=0,D98=0,J98=1),1,0)</f>
        <v>0</v>
      </c>
    </row>
    <row r="99" spans="1:13">
      <c r="A99" s="7">
        <f>Raw_Passengers!A99</f>
        <v>30799</v>
      </c>
      <c r="B99" s="7">
        <f>Raw_Passengers!B99</f>
        <v>1015189</v>
      </c>
      <c r="C99" s="7">
        <f>IF(COUNTIF(Raw_Passengers!$A$2:A99,Raw_Passengers!A99)&gt;1,1,0)</f>
        <v>0</v>
      </c>
      <c r="D99" s="7">
        <f>IF(COUNTIF(Raw_Bookings!$A$2:$A$648,Raw_Passengers!B99)=0,1,0)</f>
        <v>0</v>
      </c>
      <c r="E99" s="7">
        <f>IF(OR(C99=1,D99=1),0,IF(NOT(ISNUMBER(Raw_Passengers!E99)),1,IF(Raw_Passengers!E99&lt;=0,1,0)))</f>
        <v>0</v>
      </c>
      <c r="F99" s="7">
        <f>IF(AND(C99=0,D99=0,TRIM(Raw_Passengers!D99&amp;"")=""),1,0)</f>
        <v>0</v>
      </c>
      <c r="G99" s="7" t="str">
        <f>IF(SUMPRODUCT(--(Lookup_Status!$A$2:$A$13=LOWER(TRIM(Raw_Passengers!F99))))=0,"",INDEX(Lookup_Status!$B$2:$B$13,SUMPRODUCT((Lookup_Status!$A$2:$A$13=LOWER(TRIM(Raw_Passengers!F99)))*(ROW(Lookup_Status!$A$2:$A$13)-1))))</f>
        <v>Confirmed</v>
      </c>
      <c r="H99" s="7" t="str">
        <f>IF(SUMPRODUCT(--(Lookup_Status!$A$2:$A$13=LOWER(TRIM(Raw_Passengers!G99))))=0,"",INDEX(Lookup_Status!$B$2:$B$13,SUMPRODUCT((Lookup_Status!$A$2:$A$13=LOWER(TRIM(Raw_Passengers!G99)))*(ROW(Lookup_Status!$A$2:$A$13)-1))))</f>
        <v>Confirmed</v>
      </c>
      <c r="I99" s="7">
        <f>IF(OR(G99="",G99="Cancelled",G99="Mixed"),1,0)</f>
        <v>0</v>
      </c>
      <c r="J99" s="7">
        <f>IF(OR(H99="",H99="Mixed"),1,0)</f>
        <v>0</v>
      </c>
      <c r="K99" s="7">
        <f>IF(AND(C99=0,D99=0),IF(OR(AND(I99=0,NOT(EXACT(Raw_Passengers!F99,G99))),AND(J99=0,NOT(EXACT(Raw_Passengers!G99,H99)))),1,0),0)</f>
        <v>0</v>
      </c>
      <c r="L99" s="7">
        <f>IF(AND(C99=0,D99=0,I99=1),1,0)</f>
        <v>0</v>
      </c>
      <c r="M99" s="7">
        <f>IF(AND(C99=0,D99=0,J99=1),1,0)</f>
        <v>0</v>
      </c>
    </row>
    <row r="100" spans="1:13">
      <c r="A100" s="7">
        <f>Raw_Passengers!A100</f>
        <v>30800</v>
      </c>
      <c r="B100" s="7">
        <f>Raw_Passengers!B100</f>
        <v>1015189</v>
      </c>
      <c r="C100" s="7">
        <f>IF(COUNTIF(Raw_Passengers!$A$2:A100,Raw_Passengers!A100)&gt;1,1,0)</f>
        <v>0</v>
      </c>
      <c r="D100" s="7">
        <f>IF(COUNTIF(Raw_Bookings!$A$2:$A$648,Raw_Passengers!B100)=0,1,0)</f>
        <v>0</v>
      </c>
      <c r="E100" s="7">
        <f>IF(OR(C100=1,D100=1),0,IF(NOT(ISNUMBER(Raw_Passengers!E100)),1,IF(Raw_Passengers!E100&lt;=0,1,0)))</f>
        <v>0</v>
      </c>
      <c r="F100" s="7">
        <f>IF(AND(C100=0,D100=0,TRIM(Raw_Passengers!D100&amp;"")=""),1,0)</f>
        <v>0</v>
      </c>
      <c r="G100" s="7" t="str">
        <f>IF(SUMPRODUCT(--(Lookup_Status!$A$2:$A$13=LOWER(TRIM(Raw_Passengers!F100))))=0,"",INDEX(Lookup_Status!$B$2:$B$13,SUMPRODUCT((Lookup_Status!$A$2:$A$13=LOWER(TRIM(Raw_Passengers!F100)))*(ROW(Lookup_Status!$A$2:$A$13)-1))))</f>
        <v>Confirmed</v>
      </c>
      <c r="H100" s="7" t="str">
        <f>IF(SUMPRODUCT(--(Lookup_Status!$A$2:$A$13=LOWER(TRIM(Raw_Passengers!G100))))=0,"",INDEX(Lookup_Status!$B$2:$B$13,SUMPRODUCT((Lookup_Status!$A$2:$A$13=LOWER(TRIM(Raw_Passengers!G100)))*(ROW(Lookup_Status!$A$2:$A$13)-1))))</f>
        <v>Confirmed</v>
      </c>
      <c r="I100" s="7">
        <f>IF(OR(G100="",G100="Cancelled",G100="Mixed"),1,0)</f>
        <v>0</v>
      </c>
      <c r="J100" s="7">
        <f>IF(OR(H100="",H100="Mixed"),1,0)</f>
        <v>0</v>
      </c>
      <c r="K100" s="7">
        <f>IF(AND(C100=0,D100=0),IF(OR(AND(I100=0,NOT(EXACT(Raw_Passengers!F100,G100))),AND(J100=0,NOT(EXACT(Raw_Passengers!G100,H100)))),1,0),0)</f>
        <v>0</v>
      </c>
      <c r="L100" s="7">
        <f>IF(AND(C100=0,D100=0,I100=1),1,0)</f>
        <v>0</v>
      </c>
      <c r="M100" s="7">
        <f>IF(AND(C100=0,D100=0,J100=1),1,0)</f>
        <v>0</v>
      </c>
    </row>
    <row r="101" spans="1:13">
      <c r="A101" s="7">
        <f>Raw_Passengers!A101</f>
        <v>30964</v>
      </c>
      <c r="B101" s="7">
        <f>Raw_Passengers!B101</f>
        <v>1015275</v>
      </c>
      <c r="C101" s="7">
        <f>IF(COUNTIF(Raw_Passengers!$A$2:A101,Raw_Passengers!A101)&gt;1,1,0)</f>
        <v>0</v>
      </c>
      <c r="D101" s="7">
        <f>IF(COUNTIF(Raw_Bookings!$A$2:$A$648,Raw_Passengers!B101)=0,1,0)</f>
        <v>0</v>
      </c>
      <c r="E101" s="7">
        <f>IF(OR(C101=1,D101=1),0,IF(NOT(ISNUMBER(Raw_Passengers!E101)),1,IF(Raw_Passengers!E101&lt;=0,1,0)))</f>
        <v>0</v>
      </c>
      <c r="F101" s="7">
        <f>IF(AND(C101=0,D101=0,TRIM(Raw_Passengers!D101&amp;"")=""),1,0)</f>
        <v>0</v>
      </c>
      <c r="G101" s="7" t="str">
        <f>IF(SUMPRODUCT(--(Lookup_Status!$A$2:$A$13=LOWER(TRIM(Raw_Passengers!F101))))=0,"",INDEX(Lookup_Status!$B$2:$B$13,SUMPRODUCT((Lookup_Status!$A$2:$A$13=LOWER(TRIM(Raw_Passengers!F101)))*(ROW(Lookup_Status!$A$2:$A$13)-1))))</f>
        <v>Confirmed</v>
      </c>
      <c r="H101" s="7" t="str">
        <f>IF(SUMPRODUCT(--(Lookup_Status!$A$2:$A$13=LOWER(TRIM(Raw_Passengers!G101))))=0,"",INDEX(Lookup_Status!$B$2:$B$13,SUMPRODUCT((Lookup_Status!$A$2:$A$13=LOWER(TRIM(Raw_Passengers!G101)))*(ROW(Lookup_Status!$A$2:$A$13)-1))))</f>
        <v>Cancelled</v>
      </c>
      <c r="I101" s="7">
        <f>IF(OR(G101="",G101="Cancelled",G101="Mixed"),1,0)</f>
        <v>0</v>
      </c>
      <c r="J101" s="7">
        <f>IF(OR(H101="",H101="Mixed"),1,0)</f>
        <v>0</v>
      </c>
      <c r="K101" s="7">
        <f>IF(AND(C101=0,D101=0),IF(OR(AND(I101=0,NOT(EXACT(Raw_Passengers!F101,G101))),AND(J101=0,NOT(EXACT(Raw_Passengers!G101,H101)))),1,0),0)</f>
        <v>0</v>
      </c>
      <c r="L101" s="7">
        <f>IF(AND(C101=0,D101=0,I101=1),1,0)</f>
        <v>0</v>
      </c>
      <c r="M101" s="7">
        <f>IF(AND(C101=0,D101=0,J101=1),1,0)</f>
        <v>0</v>
      </c>
    </row>
    <row r="102" spans="1:13">
      <c r="A102" s="7">
        <f>Raw_Passengers!A102</f>
        <v>30965</v>
      </c>
      <c r="B102" s="7">
        <f>Raw_Passengers!B102</f>
        <v>1015275</v>
      </c>
      <c r="C102" s="7">
        <f>IF(COUNTIF(Raw_Passengers!$A$2:A102,Raw_Passengers!A102)&gt;1,1,0)</f>
        <v>0</v>
      </c>
      <c r="D102" s="7">
        <f>IF(COUNTIF(Raw_Bookings!$A$2:$A$648,Raw_Passengers!B102)=0,1,0)</f>
        <v>0</v>
      </c>
      <c r="E102" s="7">
        <f>IF(OR(C102=1,D102=1),0,IF(NOT(ISNUMBER(Raw_Passengers!E102)),1,IF(Raw_Passengers!E102&lt;=0,1,0)))</f>
        <v>0</v>
      </c>
      <c r="F102" s="7">
        <f>IF(AND(C102=0,D102=0,TRIM(Raw_Passengers!D102&amp;"")=""),1,0)</f>
        <v>0</v>
      </c>
      <c r="G102" s="7" t="str">
        <f>IF(SUMPRODUCT(--(Lookup_Status!$A$2:$A$13=LOWER(TRIM(Raw_Passengers!F102))))=0,"",INDEX(Lookup_Status!$B$2:$B$13,SUMPRODUCT((Lookup_Status!$A$2:$A$13=LOWER(TRIM(Raw_Passengers!F102)))*(ROW(Lookup_Status!$A$2:$A$13)-1))))</f>
        <v>Confirmed</v>
      </c>
      <c r="H102" s="7" t="str">
        <f>IF(SUMPRODUCT(--(Lookup_Status!$A$2:$A$13=LOWER(TRIM(Raw_Passengers!G102))))=0,"",INDEX(Lookup_Status!$B$2:$B$13,SUMPRODUCT((Lookup_Status!$A$2:$A$13=LOWER(TRIM(Raw_Passengers!G102)))*(ROW(Lookup_Status!$A$2:$A$13)-1))))</f>
        <v>Cancelled</v>
      </c>
      <c r="I102" s="7">
        <f>IF(OR(G102="",G102="Cancelled",G102="Mixed"),1,0)</f>
        <v>0</v>
      </c>
      <c r="J102" s="7">
        <f>IF(OR(H102="",H102="Mixed"),1,0)</f>
        <v>0</v>
      </c>
      <c r="K102" s="7">
        <f>IF(AND(C102=0,D102=0),IF(OR(AND(I102=0,NOT(EXACT(Raw_Passengers!F102,G102))),AND(J102=0,NOT(EXACT(Raw_Passengers!G102,H102)))),1,0),0)</f>
        <v>0</v>
      </c>
      <c r="L102" s="7">
        <f>IF(AND(C102=0,D102=0,I102=1),1,0)</f>
        <v>0</v>
      </c>
      <c r="M102" s="7">
        <f>IF(AND(C102=0,D102=0,J102=1),1,0)</f>
        <v>0</v>
      </c>
    </row>
    <row r="103" spans="1:13">
      <c r="A103" s="7">
        <f>Raw_Passengers!A103</f>
        <v>31307</v>
      </c>
      <c r="B103" s="7">
        <f>Raw_Passengers!B103</f>
        <v>1015447</v>
      </c>
      <c r="C103" s="7">
        <f>IF(COUNTIF(Raw_Passengers!$A$2:A103,Raw_Passengers!A103)&gt;1,1,0)</f>
        <v>0</v>
      </c>
      <c r="D103" s="7">
        <f>IF(COUNTIF(Raw_Bookings!$A$2:$A$648,Raw_Passengers!B103)=0,1,0)</f>
        <v>0</v>
      </c>
      <c r="E103" s="7">
        <f>IF(OR(C103=1,D103=1),0,IF(NOT(ISNUMBER(Raw_Passengers!E103)),1,IF(Raw_Passengers!E103&lt;=0,1,0)))</f>
        <v>0</v>
      </c>
      <c r="F103" s="7">
        <f>IF(AND(C103=0,D103=0,TRIM(Raw_Passengers!D103&amp;"")=""),1,0)</f>
        <v>0</v>
      </c>
      <c r="G103" s="7" t="str">
        <f>IF(SUMPRODUCT(--(Lookup_Status!$A$2:$A$13=LOWER(TRIM(Raw_Passengers!F103))))=0,"",INDEX(Lookup_Status!$B$2:$B$13,SUMPRODUCT((Lookup_Status!$A$2:$A$13=LOWER(TRIM(Raw_Passengers!F103)))*(ROW(Lookup_Status!$A$2:$A$13)-1))))</f>
        <v>Confirmed</v>
      </c>
      <c r="H103" s="7" t="str">
        <f>IF(SUMPRODUCT(--(Lookup_Status!$A$2:$A$13=LOWER(TRIM(Raw_Passengers!G103))))=0,"",INDEX(Lookup_Status!$B$2:$B$13,SUMPRODUCT((Lookup_Status!$A$2:$A$13=LOWER(TRIM(Raw_Passengers!G103)))*(ROW(Lookup_Status!$A$2:$A$13)-1))))</f>
        <v>Cancelled</v>
      </c>
      <c r="I103" s="7">
        <f>IF(OR(G103="",G103="Cancelled",G103="Mixed"),1,0)</f>
        <v>0</v>
      </c>
      <c r="J103" s="7">
        <f>IF(OR(H103="",H103="Mixed"),1,0)</f>
        <v>0</v>
      </c>
      <c r="K103" s="7">
        <f>IF(AND(C103=0,D103=0),IF(OR(AND(I103=0,NOT(EXACT(Raw_Passengers!F103,G103))),AND(J103=0,NOT(EXACT(Raw_Passengers!G103,H103)))),1,0),0)</f>
        <v>0</v>
      </c>
      <c r="L103" s="7">
        <f>IF(AND(C103=0,D103=0,I103=1),1,0)</f>
        <v>0</v>
      </c>
      <c r="M103" s="7">
        <f>IF(AND(C103=0,D103=0,J103=1),1,0)</f>
        <v>0</v>
      </c>
    </row>
    <row r="104" spans="1:13">
      <c r="A104" s="7">
        <f>Raw_Passengers!A104</f>
        <v>31308</v>
      </c>
      <c r="B104" s="7">
        <f>Raw_Passengers!B104</f>
        <v>1015447</v>
      </c>
      <c r="C104" s="7">
        <f>IF(COUNTIF(Raw_Passengers!$A$2:A104,Raw_Passengers!A104)&gt;1,1,0)</f>
        <v>0</v>
      </c>
      <c r="D104" s="7">
        <f>IF(COUNTIF(Raw_Bookings!$A$2:$A$648,Raw_Passengers!B104)=0,1,0)</f>
        <v>0</v>
      </c>
      <c r="E104" s="7">
        <f>IF(OR(C104=1,D104=1),0,IF(NOT(ISNUMBER(Raw_Passengers!E104)),1,IF(Raw_Passengers!E104&lt;=0,1,0)))</f>
        <v>0</v>
      </c>
      <c r="F104" s="7">
        <f>IF(AND(C104=0,D104=0,TRIM(Raw_Passengers!D104&amp;"")=""),1,0)</f>
        <v>0</v>
      </c>
      <c r="G104" s="7" t="str">
        <f>IF(SUMPRODUCT(--(Lookup_Status!$A$2:$A$13=LOWER(TRIM(Raw_Passengers!F104))))=0,"",INDEX(Lookup_Status!$B$2:$B$13,SUMPRODUCT((Lookup_Status!$A$2:$A$13=LOWER(TRIM(Raw_Passengers!F104)))*(ROW(Lookup_Status!$A$2:$A$13)-1))))</f>
        <v>Confirmed</v>
      </c>
      <c r="H104" s="7" t="str">
        <f>IF(SUMPRODUCT(--(Lookup_Status!$A$2:$A$13=LOWER(TRIM(Raw_Passengers!G104))))=0,"",INDEX(Lookup_Status!$B$2:$B$13,SUMPRODUCT((Lookup_Status!$A$2:$A$13=LOWER(TRIM(Raw_Passengers!G104)))*(ROW(Lookup_Status!$A$2:$A$13)-1))))</f>
        <v>Confirmed</v>
      </c>
      <c r="I104" s="7">
        <f>IF(OR(G104="",G104="Cancelled",G104="Mixed"),1,0)</f>
        <v>0</v>
      </c>
      <c r="J104" s="7">
        <f>IF(OR(H104="",H104="Mixed"),1,0)</f>
        <v>0</v>
      </c>
      <c r="K104" s="7">
        <f>IF(AND(C104=0,D104=0),IF(OR(AND(I104=0,NOT(EXACT(Raw_Passengers!F104,G104))),AND(J104=0,NOT(EXACT(Raw_Passengers!G104,H104)))),1,0),0)</f>
        <v>0</v>
      </c>
      <c r="L104" s="7">
        <f>IF(AND(C104=0,D104=0,I104=1),1,0)</f>
        <v>0</v>
      </c>
      <c r="M104" s="7">
        <f>IF(AND(C104=0,D104=0,J104=1),1,0)</f>
        <v>0</v>
      </c>
    </row>
    <row r="105" spans="1:13">
      <c r="A105" s="7">
        <f>Raw_Passengers!A105</f>
        <v>31309</v>
      </c>
      <c r="B105" s="7">
        <f>Raw_Passengers!B105</f>
        <v>1015447</v>
      </c>
      <c r="C105" s="7">
        <f>IF(COUNTIF(Raw_Passengers!$A$2:A105,Raw_Passengers!A105)&gt;1,1,0)</f>
        <v>0</v>
      </c>
      <c r="D105" s="7">
        <f>IF(COUNTIF(Raw_Bookings!$A$2:$A$648,Raw_Passengers!B105)=0,1,0)</f>
        <v>0</v>
      </c>
      <c r="E105" s="7">
        <f>IF(OR(C105=1,D105=1),0,IF(NOT(ISNUMBER(Raw_Passengers!E105)),1,IF(Raw_Passengers!E105&lt;=0,1,0)))</f>
        <v>0</v>
      </c>
      <c r="F105" s="7">
        <f>IF(AND(C105=0,D105=0,TRIM(Raw_Passengers!D105&amp;"")=""),1,0)</f>
        <v>0</v>
      </c>
      <c r="G105" s="7" t="str">
        <f>IF(SUMPRODUCT(--(Lookup_Status!$A$2:$A$13=LOWER(TRIM(Raw_Passengers!F105))))=0,"",INDEX(Lookup_Status!$B$2:$B$13,SUMPRODUCT((Lookup_Status!$A$2:$A$13=LOWER(TRIM(Raw_Passengers!F105)))*(ROW(Lookup_Status!$A$2:$A$13)-1))))</f>
        <v>Confirmed</v>
      </c>
      <c r="H105" s="7" t="str">
        <f>IF(SUMPRODUCT(--(Lookup_Status!$A$2:$A$13=LOWER(TRIM(Raw_Passengers!G105))))=0,"",INDEX(Lookup_Status!$B$2:$B$13,SUMPRODUCT((Lookup_Status!$A$2:$A$13=LOWER(TRIM(Raw_Passengers!G105)))*(ROW(Lookup_Status!$A$2:$A$13)-1))))</f>
        <v>Confirmed</v>
      </c>
      <c r="I105" s="7">
        <f>IF(OR(G105="",G105="Cancelled",G105="Mixed"),1,0)</f>
        <v>0</v>
      </c>
      <c r="J105" s="7">
        <f>IF(OR(H105="",H105="Mixed"),1,0)</f>
        <v>0</v>
      </c>
      <c r="K105" s="7">
        <f>IF(AND(C105=0,D105=0),IF(OR(AND(I105=0,NOT(EXACT(Raw_Passengers!F105,G105))),AND(J105=0,NOT(EXACT(Raw_Passengers!G105,H105)))),1,0),0)</f>
        <v>0</v>
      </c>
      <c r="L105" s="7">
        <f>IF(AND(C105=0,D105=0,I105=1),1,0)</f>
        <v>0</v>
      </c>
      <c r="M105" s="7">
        <f>IF(AND(C105=0,D105=0,J105=1),1,0)</f>
        <v>0</v>
      </c>
    </row>
    <row r="106" spans="1:13">
      <c r="A106" s="7">
        <f>Raw_Passengers!A106</f>
        <v>31957</v>
      </c>
      <c r="B106" s="7">
        <f>Raw_Passengers!B106</f>
        <v>1015771</v>
      </c>
      <c r="C106" s="7">
        <f>IF(COUNTIF(Raw_Passengers!$A$2:A106,Raw_Passengers!A106)&gt;1,1,0)</f>
        <v>0</v>
      </c>
      <c r="D106" s="7">
        <f>IF(COUNTIF(Raw_Bookings!$A$2:$A$648,Raw_Passengers!B106)=0,1,0)</f>
        <v>0</v>
      </c>
      <c r="E106" s="7">
        <f>IF(OR(C106=1,D106=1),0,IF(NOT(ISNUMBER(Raw_Passengers!E106)),1,IF(Raw_Passengers!E106&lt;=0,1,0)))</f>
        <v>0</v>
      </c>
      <c r="F106" s="7">
        <f>IF(AND(C106=0,D106=0,TRIM(Raw_Passengers!D106&amp;"")=""),1,0)</f>
        <v>0</v>
      </c>
      <c r="G106" s="7" t="str">
        <f>IF(SUMPRODUCT(--(Lookup_Status!$A$2:$A$13=LOWER(TRIM(Raw_Passengers!F106))))=0,"",INDEX(Lookup_Status!$B$2:$B$13,SUMPRODUCT((Lookup_Status!$A$2:$A$13=LOWER(TRIM(Raw_Passengers!F106)))*(ROW(Lookup_Status!$A$2:$A$13)-1))))</f>
        <v>Confirmed</v>
      </c>
      <c r="H106" s="7" t="str">
        <f>IF(SUMPRODUCT(--(Lookup_Status!$A$2:$A$13=LOWER(TRIM(Raw_Passengers!G106))))=0,"",INDEX(Lookup_Status!$B$2:$B$13,SUMPRODUCT((Lookup_Status!$A$2:$A$13=LOWER(TRIM(Raw_Passengers!G106)))*(ROW(Lookup_Status!$A$2:$A$13)-1))))</f>
        <v>Confirmed</v>
      </c>
      <c r="I106" s="7">
        <f>IF(OR(G106="",G106="Cancelled",G106="Mixed"),1,0)</f>
        <v>0</v>
      </c>
      <c r="J106" s="7">
        <f>IF(OR(H106="",H106="Mixed"),1,0)</f>
        <v>0</v>
      </c>
      <c r="K106" s="7">
        <f>IF(AND(C106=0,D106=0),IF(OR(AND(I106=0,NOT(EXACT(Raw_Passengers!F106,G106))),AND(J106=0,NOT(EXACT(Raw_Passengers!G106,H106)))),1,0),0)</f>
        <v>0</v>
      </c>
      <c r="L106" s="7">
        <f>IF(AND(C106=0,D106=0,I106=1),1,0)</f>
        <v>0</v>
      </c>
      <c r="M106" s="7">
        <f>IF(AND(C106=0,D106=0,J106=1),1,0)</f>
        <v>0</v>
      </c>
    </row>
    <row r="107" spans="1:13">
      <c r="A107" s="7">
        <f>Raw_Passengers!A107</f>
        <v>31958</v>
      </c>
      <c r="B107" s="7">
        <f>Raw_Passengers!B107</f>
        <v>1015771</v>
      </c>
      <c r="C107" s="7">
        <f>IF(COUNTIF(Raw_Passengers!$A$2:A107,Raw_Passengers!A107)&gt;1,1,0)</f>
        <v>0</v>
      </c>
      <c r="D107" s="7">
        <f>IF(COUNTIF(Raw_Bookings!$A$2:$A$648,Raw_Passengers!B107)=0,1,0)</f>
        <v>0</v>
      </c>
      <c r="E107" s="7">
        <f>IF(OR(C107=1,D107=1),0,IF(NOT(ISNUMBER(Raw_Passengers!E107)),1,IF(Raw_Passengers!E107&lt;=0,1,0)))</f>
        <v>0</v>
      </c>
      <c r="F107" s="7">
        <f>IF(AND(C107=0,D107=0,TRIM(Raw_Passengers!D107&amp;"")=""),1,0)</f>
        <v>0</v>
      </c>
      <c r="G107" s="7" t="str">
        <f>IF(SUMPRODUCT(--(Lookup_Status!$A$2:$A$13=LOWER(TRIM(Raw_Passengers!F107))))=0,"",INDEX(Lookup_Status!$B$2:$B$13,SUMPRODUCT((Lookup_Status!$A$2:$A$13=LOWER(TRIM(Raw_Passengers!F107)))*(ROW(Lookup_Status!$A$2:$A$13)-1))))</f>
        <v>Confirmed</v>
      </c>
      <c r="H107" s="7" t="str">
        <f>IF(SUMPRODUCT(--(Lookup_Status!$A$2:$A$13=LOWER(TRIM(Raw_Passengers!G107))))=0,"",INDEX(Lookup_Status!$B$2:$B$13,SUMPRODUCT((Lookup_Status!$A$2:$A$13=LOWER(TRIM(Raw_Passengers!G107)))*(ROW(Lookup_Status!$A$2:$A$13)-1))))</f>
        <v>Confirmed</v>
      </c>
      <c r="I107" s="7">
        <f>IF(OR(G107="",G107="Cancelled",G107="Mixed"),1,0)</f>
        <v>0</v>
      </c>
      <c r="J107" s="7">
        <f>IF(OR(H107="",H107="Mixed"),1,0)</f>
        <v>0</v>
      </c>
      <c r="K107" s="7">
        <f>IF(AND(C107=0,D107=0),IF(OR(AND(I107=0,NOT(EXACT(Raw_Passengers!F107,G107))),AND(J107=0,NOT(EXACT(Raw_Passengers!G107,H107)))),1,0),0)</f>
        <v>0</v>
      </c>
      <c r="L107" s="7">
        <f>IF(AND(C107=0,D107=0,I107=1),1,0)</f>
        <v>0</v>
      </c>
      <c r="M107" s="7">
        <f>IF(AND(C107=0,D107=0,J107=1),1,0)</f>
        <v>0</v>
      </c>
    </row>
    <row r="108" spans="1:13">
      <c r="A108" s="7">
        <f>Raw_Passengers!A108</f>
        <v>31995</v>
      </c>
      <c r="B108" s="7">
        <f>Raw_Passengers!B108</f>
        <v>1015789</v>
      </c>
      <c r="C108" s="7">
        <f>IF(COUNTIF(Raw_Passengers!$A$2:A108,Raw_Passengers!A108)&gt;1,1,0)</f>
        <v>0</v>
      </c>
      <c r="D108" s="7">
        <f>IF(COUNTIF(Raw_Bookings!$A$2:$A$648,Raw_Passengers!B108)=0,1,0)</f>
        <v>0</v>
      </c>
      <c r="E108" s="7">
        <f>IF(OR(C108=1,D108=1),0,IF(NOT(ISNUMBER(Raw_Passengers!E108)),1,IF(Raw_Passengers!E108&lt;=0,1,0)))</f>
        <v>0</v>
      </c>
      <c r="F108" s="7">
        <f>IF(AND(C108=0,D108=0,TRIM(Raw_Passengers!D108&amp;"")=""),1,0)</f>
        <v>0</v>
      </c>
      <c r="G108" s="7" t="str">
        <f>IF(SUMPRODUCT(--(Lookup_Status!$A$2:$A$13=LOWER(TRIM(Raw_Passengers!F108))))=0,"",INDEX(Lookup_Status!$B$2:$B$13,SUMPRODUCT((Lookup_Status!$A$2:$A$13=LOWER(TRIM(Raw_Passengers!F108)))*(ROW(Lookup_Status!$A$2:$A$13)-1))))</f>
        <v>Confirmed</v>
      </c>
      <c r="H108" s="7" t="str">
        <f>IF(SUMPRODUCT(--(Lookup_Status!$A$2:$A$13=LOWER(TRIM(Raw_Passengers!G108))))=0,"",INDEX(Lookup_Status!$B$2:$B$13,SUMPRODUCT((Lookup_Status!$A$2:$A$13=LOWER(TRIM(Raw_Passengers!G108)))*(ROW(Lookup_Status!$A$2:$A$13)-1))))</f>
        <v>Confirmed</v>
      </c>
      <c r="I108" s="7">
        <f>IF(OR(G108="",G108="Cancelled",G108="Mixed"),1,0)</f>
        <v>0</v>
      </c>
      <c r="J108" s="7">
        <f>IF(OR(H108="",H108="Mixed"),1,0)</f>
        <v>0</v>
      </c>
      <c r="K108" s="7">
        <f>IF(AND(C108=0,D108=0),IF(OR(AND(I108=0,NOT(EXACT(Raw_Passengers!F108,G108))),AND(J108=0,NOT(EXACT(Raw_Passengers!G108,H108)))),1,0),0)</f>
        <v>0</v>
      </c>
      <c r="L108" s="7">
        <f>IF(AND(C108=0,D108=0,I108=1),1,0)</f>
        <v>0</v>
      </c>
      <c r="M108" s="7">
        <f>IF(AND(C108=0,D108=0,J108=1),1,0)</f>
        <v>0</v>
      </c>
    </row>
    <row r="109" spans="1:13">
      <c r="A109" s="7">
        <f>Raw_Passengers!A109</f>
        <v>31996</v>
      </c>
      <c r="B109" s="7">
        <f>Raw_Passengers!B109</f>
        <v>1015789</v>
      </c>
      <c r="C109" s="7">
        <f>IF(COUNTIF(Raw_Passengers!$A$2:A109,Raw_Passengers!A109)&gt;1,1,0)</f>
        <v>0</v>
      </c>
      <c r="D109" s="7">
        <f>IF(COUNTIF(Raw_Bookings!$A$2:$A$648,Raw_Passengers!B109)=0,1,0)</f>
        <v>0</v>
      </c>
      <c r="E109" s="7">
        <f>IF(OR(C109=1,D109=1),0,IF(NOT(ISNUMBER(Raw_Passengers!E109)),1,IF(Raw_Passengers!E109&lt;=0,1,0)))</f>
        <v>0</v>
      </c>
      <c r="F109" s="7">
        <f>IF(AND(C109=0,D109=0,TRIM(Raw_Passengers!D109&amp;"")=""),1,0)</f>
        <v>0</v>
      </c>
      <c r="G109" s="7" t="str">
        <f>IF(SUMPRODUCT(--(Lookup_Status!$A$2:$A$13=LOWER(TRIM(Raw_Passengers!F109))))=0,"",INDEX(Lookup_Status!$B$2:$B$13,SUMPRODUCT((Lookup_Status!$A$2:$A$13=LOWER(TRIM(Raw_Passengers!F109)))*(ROW(Lookup_Status!$A$2:$A$13)-1))))</f>
        <v>Confirmed</v>
      </c>
      <c r="H109" s="7" t="str">
        <f>IF(SUMPRODUCT(--(Lookup_Status!$A$2:$A$13=LOWER(TRIM(Raw_Passengers!G109))))=0,"",INDEX(Lookup_Status!$B$2:$B$13,SUMPRODUCT((Lookup_Status!$A$2:$A$13=LOWER(TRIM(Raw_Passengers!G109)))*(ROW(Lookup_Status!$A$2:$A$13)-1))))</f>
        <v>Confirmed</v>
      </c>
      <c r="I109" s="7">
        <f>IF(OR(G109="",G109="Cancelled",G109="Mixed"),1,0)</f>
        <v>0</v>
      </c>
      <c r="J109" s="7">
        <f>IF(OR(H109="",H109="Mixed"),1,0)</f>
        <v>0</v>
      </c>
      <c r="K109" s="7">
        <f>IF(AND(C109=0,D109=0),IF(OR(AND(I109=0,NOT(EXACT(Raw_Passengers!F109,G109))),AND(J109=0,NOT(EXACT(Raw_Passengers!G109,H109)))),1,0),0)</f>
        <v>0</v>
      </c>
      <c r="L109" s="7">
        <f>IF(AND(C109=0,D109=0,I109=1),1,0)</f>
        <v>0</v>
      </c>
      <c r="M109" s="7">
        <f>IF(AND(C109=0,D109=0,J109=1),1,0)</f>
        <v>0</v>
      </c>
    </row>
    <row r="110" spans="1:13">
      <c r="A110" s="7">
        <f>Raw_Passengers!A110</f>
        <v>31997</v>
      </c>
      <c r="B110" s="7">
        <f>Raw_Passengers!B110</f>
        <v>1015789</v>
      </c>
      <c r="C110" s="7">
        <f>IF(COUNTIF(Raw_Passengers!$A$2:A110,Raw_Passengers!A110)&gt;1,1,0)</f>
        <v>0</v>
      </c>
      <c r="D110" s="7">
        <f>IF(COUNTIF(Raw_Bookings!$A$2:$A$648,Raw_Passengers!B110)=0,1,0)</f>
        <v>0</v>
      </c>
      <c r="E110" s="7">
        <f>IF(OR(C110=1,D110=1),0,IF(NOT(ISNUMBER(Raw_Passengers!E110)),1,IF(Raw_Passengers!E110&lt;=0,1,0)))</f>
        <v>0</v>
      </c>
      <c r="F110" s="7">
        <f>IF(AND(C110=0,D110=0,TRIM(Raw_Passengers!D110&amp;"")=""),1,0)</f>
        <v>0</v>
      </c>
      <c r="G110" s="7" t="str">
        <f>IF(SUMPRODUCT(--(Lookup_Status!$A$2:$A$13=LOWER(TRIM(Raw_Passengers!F110))))=0,"",INDEX(Lookup_Status!$B$2:$B$13,SUMPRODUCT((Lookup_Status!$A$2:$A$13=LOWER(TRIM(Raw_Passengers!F110)))*(ROW(Lookup_Status!$A$2:$A$13)-1))))</f>
        <v>Confirmed</v>
      </c>
      <c r="H110" s="7" t="str">
        <f>IF(SUMPRODUCT(--(Lookup_Status!$A$2:$A$13=LOWER(TRIM(Raw_Passengers!G110))))=0,"",INDEX(Lookup_Status!$B$2:$B$13,SUMPRODUCT((Lookup_Status!$A$2:$A$13=LOWER(TRIM(Raw_Passengers!G110)))*(ROW(Lookup_Status!$A$2:$A$13)-1))))</f>
        <v>Confirmed</v>
      </c>
      <c r="I110" s="7">
        <f>IF(OR(G110="",G110="Cancelled",G110="Mixed"),1,0)</f>
        <v>0</v>
      </c>
      <c r="J110" s="7">
        <f>IF(OR(H110="",H110="Mixed"),1,0)</f>
        <v>0</v>
      </c>
      <c r="K110" s="7">
        <f>IF(AND(C110=0,D110=0),IF(OR(AND(I110=0,NOT(EXACT(Raw_Passengers!F110,G110))),AND(J110=0,NOT(EXACT(Raw_Passengers!G110,H110)))),1,0),0)</f>
        <v>0</v>
      </c>
      <c r="L110" s="7">
        <f>IF(AND(C110=0,D110=0,I110=1),1,0)</f>
        <v>0</v>
      </c>
      <c r="M110" s="7">
        <f>IF(AND(C110=0,D110=0,J110=1),1,0)</f>
        <v>0</v>
      </c>
    </row>
    <row r="111" spans="1:13">
      <c r="A111" s="7">
        <f>Raw_Passengers!A111</f>
        <v>31998</v>
      </c>
      <c r="B111" s="7">
        <f>Raw_Passengers!B111</f>
        <v>1015789</v>
      </c>
      <c r="C111" s="7">
        <f>IF(COUNTIF(Raw_Passengers!$A$2:A111,Raw_Passengers!A111)&gt;1,1,0)</f>
        <v>0</v>
      </c>
      <c r="D111" s="7">
        <f>IF(COUNTIF(Raw_Bookings!$A$2:$A$648,Raw_Passengers!B111)=0,1,0)</f>
        <v>0</v>
      </c>
      <c r="E111" s="7">
        <f>IF(OR(C111=1,D111=1),0,IF(NOT(ISNUMBER(Raw_Passengers!E111)),1,IF(Raw_Passengers!E111&lt;=0,1,0)))</f>
        <v>0</v>
      </c>
      <c r="F111" s="7">
        <f>IF(AND(C111=0,D111=0,TRIM(Raw_Passengers!D111&amp;"")=""),1,0)</f>
        <v>0</v>
      </c>
      <c r="G111" s="7" t="str">
        <f>IF(SUMPRODUCT(--(Lookup_Status!$A$2:$A$13=LOWER(TRIM(Raw_Passengers!F111))))=0,"",INDEX(Lookup_Status!$B$2:$B$13,SUMPRODUCT((Lookup_Status!$A$2:$A$13=LOWER(TRIM(Raw_Passengers!F111)))*(ROW(Lookup_Status!$A$2:$A$13)-1))))</f>
        <v>Confirmed</v>
      </c>
      <c r="H111" s="7" t="str">
        <f>IF(SUMPRODUCT(--(Lookup_Status!$A$2:$A$13=LOWER(TRIM(Raw_Passengers!G111))))=0,"",INDEX(Lookup_Status!$B$2:$B$13,SUMPRODUCT((Lookup_Status!$A$2:$A$13=LOWER(TRIM(Raw_Passengers!G111)))*(ROW(Lookup_Status!$A$2:$A$13)-1))))</f>
        <v>Confirmed</v>
      </c>
      <c r="I111" s="7">
        <f>IF(OR(G111="",G111="Cancelled",G111="Mixed"),1,0)</f>
        <v>0</v>
      </c>
      <c r="J111" s="7">
        <f>IF(OR(H111="",H111="Mixed"),1,0)</f>
        <v>0</v>
      </c>
      <c r="K111" s="7">
        <f>IF(AND(C111=0,D111=0),IF(OR(AND(I111=0,NOT(EXACT(Raw_Passengers!F111,G111))),AND(J111=0,NOT(EXACT(Raw_Passengers!G111,H111)))),1,0),0)</f>
        <v>0</v>
      </c>
      <c r="L111" s="7">
        <f>IF(AND(C111=0,D111=0,I111=1),1,0)</f>
        <v>0</v>
      </c>
      <c r="M111" s="7">
        <f>IF(AND(C111=0,D111=0,J111=1),1,0)</f>
        <v>0</v>
      </c>
    </row>
    <row r="112" spans="1:13">
      <c r="A112" s="7">
        <f>Raw_Passengers!A112</f>
        <v>32076</v>
      </c>
      <c r="B112" s="7">
        <f>Raw_Passengers!B112</f>
        <v>1015827</v>
      </c>
      <c r="C112" s="7">
        <f>IF(COUNTIF(Raw_Passengers!$A$2:A112,Raw_Passengers!A112)&gt;1,1,0)</f>
        <v>0</v>
      </c>
      <c r="D112" s="7">
        <f>IF(COUNTIF(Raw_Bookings!$A$2:$A$648,Raw_Passengers!B112)=0,1,0)</f>
        <v>0</v>
      </c>
      <c r="E112" s="7">
        <f>IF(OR(C112=1,D112=1),0,IF(NOT(ISNUMBER(Raw_Passengers!E112)),1,IF(Raw_Passengers!E112&lt;=0,1,0)))</f>
        <v>0</v>
      </c>
      <c r="F112" s="7">
        <f>IF(AND(C112=0,D112=0,TRIM(Raw_Passengers!D112&amp;"")=""),1,0)</f>
        <v>0</v>
      </c>
      <c r="G112" s="7" t="str">
        <f>IF(SUMPRODUCT(--(Lookup_Status!$A$2:$A$13=LOWER(TRIM(Raw_Passengers!F112))))=0,"",INDEX(Lookup_Status!$B$2:$B$13,SUMPRODUCT((Lookup_Status!$A$2:$A$13=LOWER(TRIM(Raw_Passengers!F112)))*(ROW(Lookup_Status!$A$2:$A$13)-1))))</f>
        <v>Confirmed</v>
      </c>
      <c r="H112" s="7" t="str">
        <f>IF(SUMPRODUCT(--(Lookup_Status!$A$2:$A$13=LOWER(TRIM(Raw_Passengers!G112))))=0,"",INDEX(Lookup_Status!$B$2:$B$13,SUMPRODUCT((Lookup_Status!$A$2:$A$13=LOWER(TRIM(Raw_Passengers!G112)))*(ROW(Lookup_Status!$A$2:$A$13)-1))))</f>
        <v>Confirmed</v>
      </c>
      <c r="I112" s="7">
        <f>IF(OR(G112="",G112="Cancelled",G112="Mixed"),1,0)</f>
        <v>0</v>
      </c>
      <c r="J112" s="7">
        <f>IF(OR(H112="",H112="Mixed"),1,0)</f>
        <v>0</v>
      </c>
      <c r="K112" s="7">
        <f>IF(AND(C112=0,D112=0),IF(OR(AND(I112=0,NOT(EXACT(Raw_Passengers!F112,G112))),AND(J112=0,NOT(EXACT(Raw_Passengers!G112,H112)))),1,0),0)</f>
        <v>0</v>
      </c>
      <c r="L112" s="7">
        <f>IF(AND(C112=0,D112=0,I112=1),1,0)</f>
        <v>0</v>
      </c>
      <c r="M112" s="7">
        <f>IF(AND(C112=0,D112=0,J112=1),1,0)</f>
        <v>0</v>
      </c>
    </row>
    <row r="113" spans="1:13">
      <c r="A113" s="7">
        <f>Raw_Passengers!A113</f>
        <v>33872</v>
      </c>
      <c r="B113" s="7">
        <f>Raw_Passengers!B113</f>
        <v>1016727</v>
      </c>
      <c r="C113" s="7">
        <f>IF(COUNTIF(Raw_Passengers!$A$2:A113,Raw_Passengers!A113)&gt;1,1,0)</f>
        <v>0</v>
      </c>
      <c r="D113" s="7">
        <f>IF(COUNTIF(Raw_Bookings!$A$2:$A$648,Raw_Passengers!B113)=0,1,0)</f>
        <v>0</v>
      </c>
      <c r="E113" s="7">
        <f>IF(OR(C113=1,D113=1),0,IF(NOT(ISNUMBER(Raw_Passengers!E113)),1,IF(Raw_Passengers!E113&lt;=0,1,0)))</f>
        <v>0</v>
      </c>
      <c r="F113" s="7">
        <f>IF(AND(C113=0,D113=0,TRIM(Raw_Passengers!D113&amp;"")=""),1,0)</f>
        <v>0</v>
      </c>
      <c r="G113" s="7" t="str">
        <f>IF(SUMPRODUCT(--(Lookup_Status!$A$2:$A$13=LOWER(TRIM(Raw_Passengers!F113))))=0,"",INDEX(Lookup_Status!$B$2:$B$13,SUMPRODUCT((Lookup_Status!$A$2:$A$13=LOWER(TRIM(Raw_Passengers!F113)))*(ROW(Lookup_Status!$A$2:$A$13)-1))))</f>
        <v>Confirmed</v>
      </c>
      <c r="H113" s="7" t="str">
        <f>IF(SUMPRODUCT(--(Lookup_Status!$A$2:$A$13=LOWER(TRIM(Raw_Passengers!G113))))=0,"",INDEX(Lookup_Status!$B$2:$B$13,SUMPRODUCT((Lookup_Status!$A$2:$A$13=LOWER(TRIM(Raw_Passengers!G113)))*(ROW(Lookup_Status!$A$2:$A$13)-1))))</f>
        <v>Confirmed</v>
      </c>
      <c r="I113" s="7">
        <f>IF(OR(G113="",G113="Cancelled",G113="Mixed"),1,0)</f>
        <v>0</v>
      </c>
      <c r="J113" s="7">
        <f>IF(OR(H113="",H113="Mixed"),1,0)</f>
        <v>0</v>
      </c>
      <c r="K113" s="7">
        <f>IF(AND(C113=0,D113=0),IF(OR(AND(I113=0,NOT(EXACT(Raw_Passengers!F113,G113))),AND(J113=0,NOT(EXACT(Raw_Passengers!G113,H113)))),1,0),0)</f>
        <v>0</v>
      </c>
      <c r="L113" s="7">
        <f>IF(AND(C113=0,D113=0,I113=1),1,0)</f>
        <v>0</v>
      </c>
      <c r="M113" s="7">
        <f>IF(AND(C113=0,D113=0,J113=1),1,0)</f>
        <v>0</v>
      </c>
    </row>
    <row r="114" spans="1:13">
      <c r="A114" s="7">
        <f>Raw_Passengers!A114</f>
        <v>34059</v>
      </c>
      <c r="B114" s="7">
        <f>Raw_Passengers!B114</f>
        <v>1016823</v>
      </c>
      <c r="C114" s="7">
        <f>IF(COUNTIF(Raw_Passengers!$A$2:A114,Raw_Passengers!A114)&gt;1,1,0)</f>
        <v>0</v>
      </c>
      <c r="D114" s="7">
        <f>IF(COUNTIF(Raw_Bookings!$A$2:$A$648,Raw_Passengers!B114)=0,1,0)</f>
        <v>0</v>
      </c>
      <c r="E114" s="7">
        <f>IF(OR(C114=1,D114=1),0,IF(NOT(ISNUMBER(Raw_Passengers!E114)),1,IF(Raw_Passengers!E114&lt;=0,1,0)))</f>
        <v>0</v>
      </c>
      <c r="F114" s="7">
        <f>IF(AND(C114=0,D114=0,TRIM(Raw_Passengers!D114&amp;"")=""),1,0)</f>
        <v>0</v>
      </c>
      <c r="G114" s="7" t="str">
        <f>IF(SUMPRODUCT(--(Lookup_Status!$A$2:$A$13=LOWER(TRIM(Raw_Passengers!F114))))=0,"",INDEX(Lookup_Status!$B$2:$B$13,SUMPRODUCT((Lookup_Status!$A$2:$A$13=LOWER(TRIM(Raw_Passengers!F114)))*(ROW(Lookup_Status!$A$2:$A$13)-1))))</f>
        <v>Confirmed</v>
      </c>
      <c r="H114" s="7" t="str">
        <f>IF(SUMPRODUCT(--(Lookup_Status!$A$2:$A$13=LOWER(TRIM(Raw_Passengers!G114))))=0,"",INDEX(Lookup_Status!$B$2:$B$13,SUMPRODUCT((Lookup_Status!$A$2:$A$13=LOWER(TRIM(Raw_Passengers!G114)))*(ROW(Lookup_Status!$A$2:$A$13)-1))))</f>
        <v>Confirmed</v>
      </c>
      <c r="I114" s="7">
        <f>IF(OR(G114="",G114="Cancelled",G114="Mixed"),1,0)</f>
        <v>0</v>
      </c>
      <c r="J114" s="7">
        <f>IF(OR(H114="",H114="Mixed"),1,0)</f>
        <v>0</v>
      </c>
      <c r="K114" s="7">
        <f>IF(AND(C114=0,D114=0),IF(OR(AND(I114=0,NOT(EXACT(Raw_Passengers!F114,G114))),AND(J114=0,NOT(EXACT(Raw_Passengers!G114,H114)))),1,0),0)</f>
        <v>0</v>
      </c>
      <c r="L114" s="7">
        <f>IF(AND(C114=0,D114=0,I114=1),1,0)</f>
        <v>0</v>
      </c>
      <c r="M114" s="7">
        <f>IF(AND(C114=0,D114=0,J114=1),1,0)</f>
        <v>0</v>
      </c>
    </row>
    <row r="115" spans="1:13">
      <c r="A115" s="7">
        <f>Raw_Passengers!A115</f>
        <v>34060</v>
      </c>
      <c r="B115" s="7">
        <f>Raw_Passengers!B115</f>
        <v>1016823</v>
      </c>
      <c r="C115" s="7">
        <f>IF(COUNTIF(Raw_Passengers!$A$2:A115,Raw_Passengers!A115)&gt;1,1,0)</f>
        <v>0</v>
      </c>
      <c r="D115" s="7">
        <f>IF(COUNTIF(Raw_Bookings!$A$2:$A$648,Raw_Passengers!B115)=0,1,0)</f>
        <v>0</v>
      </c>
      <c r="E115" s="7">
        <f>IF(OR(C115=1,D115=1),0,IF(NOT(ISNUMBER(Raw_Passengers!E115)),1,IF(Raw_Passengers!E115&lt;=0,1,0)))</f>
        <v>0</v>
      </c>
      <c r="F115" s="7">
        <f>IF(AND(C115=0,D115=0,TRIM(Raw_Passengers!D115&amp;"")=""),1,0)</f>
        <v>0</v>
      </c>
      <c r="G115" s="7" t="str">
        <f>IF(SUMPRODUCT(--(Lookup_Status!$A$2:$A$13=LOWER(TRIM(Raw_Passengers!F115))))=0,"",INDEX(Lookup_Status!$B$2:$B$13,SUMPRODUCT((Lookup_Status!$A$2:$A$13=LOWER(TRIM(Raw_Passengers!F115)))*(ROW(Lookup_Status!$A$2:$A$13)-1))))</f>
        <v>Confirmed</v>
      </c>
      <c r="H115" s="7" t="str">
        <f>IF(SUMPRODUCT(--(Lookup_Status!$A$2:$A$13=LOWER(TRIM(Raw_Passengers!G115))))=0,"",INDEX(Lookup_Status!$B$2:$B$13,SUMPRODUCT((Lookup_Status!$A$2:$A$13=LOWER(TRIM(Raw_Passengers!G115)))*(ROW(Lookup_Status!$A$2:$A$13)-1))))</f>
        <v>Confirmed</v>
      </c>
      <c r="I115" s="7">
        <f>IF(OR(G115="",G115="Cancelled",G115="Mixed"),1,0)</f>
        <v>0</v>
      </c>
      <c r="J115" s="7">
        <f>IF(OR(H115="",H115="Mixed"),1,0)</f>
        <v>0</v>
      </c>
      <c r="K115" s="7">
        <f>IF(AND(C115=0,D115=0),IF(OR(AND(I115=0,NOT(EXACT(Raw_Passengers!F115,G115))),AND(J115=0,NOT(EXACT(Raw_Passengers!G115,H115)))),1,0),0)</f>
        <v>0</v>
      </c>
      <c r="L115" s="7">
        <f>IF(AND(C115=0,D115=0,I115=1),1,0)</f>
        <v>0</v>
      </c>
      <c r="M115" s="7">
        <f>IF(AND(C115=0,D115=0,J115=1),1,0)</f>
        <v>0</v>
      </c>
    </row>
    <row r="116" spans="1:13">
      <c r="A116" s="7">
        <f>Raw_Passengers!A116</f>
        <v>34695</v>
      </c>
      <c r="B116" s="7">
        <f>Raw_Passengers!B116</f>
        <v>1017132</v>
      </c>
      <c r="C116" s="7">
        <f>IF(COUNTIF(Raw_Passengers!$A$2:A116,Raw_Passengers!A116)&gt;1,1,0)</f>
        <v>0</v>
      </c>
      <c r="D116" s="7">
        <f>IF(COUNTIF(Raw_Bookings!$A$2:$A$648,Raw_Passengers!B116)=0,1,0)</f>
        <v>0</v>
      </c>
      <c r="E116" s="7">
        <f>IF(OR(C116=1,D116=1),0,IF(NOT(ISNUMBER(Raw_Passengers!E116)),1,IF(Raw_Passengers!E116&lt;=0,1,0)))</f>
        <v>0</v>
      </c>
      <c r="F116" s="7">
        <f>IF(AND(C116=0,D116=0,TRIM(Raw_Passengers!D116&amp;"")=""),1,0)</f>
        <v>0</v>
      </c>
      <c r="G116" s="7" t="str">
        <f>IF(SUMPRODUCT(--(Lookup_Status!$A$2:$A$13=LOWER(TRIM(Raw_Passengers!F116))))=0,"",INDEX(Lookup_Status!$B$2:$B$13,SUMPRODUCT((Lookup_Status!$A$2:$A$13=LOWER(TRIM(Raw_Passengers!F116)))*(ROW(Lookup_Status!$A$2:$A$13)-1))))</f>
        <v>Confirmed</v>
      </c>
      <c r="H116" s="7" t="str">
        <f>IF(SUMPRODUCT(--(Lookup_Status!$A$2:$A$13=LOWER(TRIM(Raw_Passengers!G116))))=0,"",INDEX(Lookup_Status!$B$2:$B$13,SUMPRODUCT((Lookup_Status!$A$2:$A$13=LOWER(TRIM(Raw_Passengers!G116)))*(ROW(Lookup_Status!$A$2:$A$13)-1))))</f>
        <v>Confirmed</v>
      </c>
      <c r="I116" s="7">
        <f>IF(OR(G116="",G116="Cancelled",G116="Mixed"),1,0)</f>
        <v>0</v>
      </c>
      <c r="J116" s="7">
        <f>IF(OR(H116="",H116="Mixed"),1,0)</f>
        <v>0</v>
      </c>
      <c r="K116" s="7">
        <f>IF(AND(C116=0,D116=0),IF(OR(AND(I116=0,NOT(EXACT(Raw_Passengers!F116,G116))),AND(J116=0,NOT(EXACT(Raw_Passengers!G116,H116)))),1,0),0)</f>
        <v>0</v>
      </c>
      <c r="L116" s="7">
        <f>IF(AND(C116=0,D116=0,I116=1),1,0)</f>
        <v>0</v>
      </c>
      <c r="M116" s="7">
        <f>IF(AND(C116=0,D116=0,J116=1),1,0)</f>
        <v>0</v>
      </c>
    </row>
    <row r="117" spans="1:13">
      <c r="A117" s="7">
        <f>Raw_Passengers!A117</f>
        <v>35024</v>
      </c>
      <c r="B117" s="7">
        <f>Raw_Passengers!B117</f>
        <v>1017303</v>
      </c>
      <c r="C117" s="7">
        <f>IF(COUNTIF(Raw_Passengers!$A$2:A117,Raw_Passengers!A117)&gt;1,1,0)</f>
        <v>0</v>
      </c>
      <c r="D117" s="7">
        <f>IF(COUNTIF(Raw_Bookings!$A$2:$A$648,Raw_Passengers!B117)=0,1,0)</f>
        <v>0</v>
      </c>
      <c r="E117" s="7">
        <f>IF(OR(C117=1,D117=1),0,IF(NOT(ISNUMBER(Raw_Passengers!E117)),1,IF(Raw_Passengers!E117&lt;=0,1,0)))</f>
        <v>0</v>
      </c>
      <c r="F117" s="7">
        <f>IF(AND(C117=0,D117=0,TRIM(Raw_Passengers!D117&amp;"")=""),1,0)</f>
        <v>0</v>
      </c>
      <c r="G117" s="7" t="str">
        <f>IF(SUMPRODUCT(--(Lookup_Status!$A$2:$A$13=LOWER(TRIM(Raw_Passengers!F117))))=0,"",INDEX(Lookup_Status!$B$2:$B$13,SUMPRODUCT((Lookup_Status!$A$2:$A$13=LOWER(TRIM(Raw_Passengers!F117)))*(ROW(Lookup_Status!$A$2:$A$13)-1))))</f>
        <v>Confirmed</v>
      </c>
      <c r="H117" s="7" t="str">
        <f>IF(SUMPRODUCT(--(Lookup_Status!$A$2:$A$13=LOWER(TRIM(Raw_Passengers!G117))))=0,"",INDEX(Lookup_Status!$B$2:$B$13,SUMPRODUCT((Lookup_Status!$A$2:$A$13=LOWER(TRIM(Raw_Passengers!G117)))*(ROW(Lookup_Status!$A$2:$A$13)-1))))</f>
        <v>Confirmed</v>
      </c>
      <c r="I117" s="7">
        <f>IF(OR(G117="",G117="Cancelled",G117="Mixed"),1,0)</f>
        <v>0</v>
      </c>
      <c r="J117" s="7">
        <f>IF(OR(H117="",H117="Mixed"),1,0)</f>
        <v>0</v>
      </c>
      <c r="K117" s="7">
        <f>IF(AND(C117=0,D117=0),IF(OR(AND(I117=0,NOT(EXACT(Raw_Passengers!F117,G117))),AND(J117=0,NOT(EXACT(Raw_Passengers!G117,H117)))),1,0),0)</f>
        <v>0</v>
      </c>
      <c r="L117" s="7">
        <f>IF(AND(C117=0,D117=0,I117=1),1,0)</f>
        <v>0</v>
      </c>
      <c r="M117" s="7">
        <f>IF(AND(C117=0,D117=0,J117=1),1,0)</f>
        <v>0</v>
      </c>
    </row>
    <row r="118" spans="1:13">
      <c r="A118" s="7">
        <f>Raw_Passengers!A118</f>
        <v>35025</v>
      </c>
      <c r="B118" s="7">
        <f>Raw_Passengers!B118</f>
        <v>1017303</v>
      </c>
      <c r="C118" s="7">
        <f>IF(COUNTIF(Raw_Passengers!$A$2:A118,Raw_Passengers!A118)&gt;1,1,0)</f>
        <v>0</v>
      </c>
      <c r="D118" s="7">
        <f>IF(COUNTIF(Raw_Bookings!$A$2:$A$648,Raw_Passengers!B118)=0,1,0)</f>
        <v>0</v>
      </c>
      <c r="E118" s="7">
        <f>IF(OR(C118=1,D118=1),0,IF(NOT(ISNUMBER(Raw_Passengers!E118)),1,IF(Raw_Passengers!E118&lt;=0,1,0)))</f>
        <v>0</v>
      </c>
      <c r="F118" s="7">
        <f>IF(AND(C118=0,D118=0,TRIM(Raw_Passengers!D118&amp;"")=""),1,0)</f>
        <v>0</v>
      </c>
      <c r="G118" s="7" t="str">
        <f>IF(SUMPRODUCT(--(Lookup_Status!$A$2:$A$13=LOWER(TRIM(Raw_Passengers!F118))))=0,"",INDEX(Lookup_Status!$B$2:$B$13,SUMPRODUCT((Lookup_Status!$A$2:$A$13=LOWER(TRIM(Raw_Passengers!F118)))*(ROW(Lookup_Status!$A$2:$A$13)-1))))</f>
        <v>Confirmed</v>
      </c>
      <c r="H118" s="7" t="str">
        <f>IF(SUMPRODUCT(--(Lookup_Status!$A$2:$A$13=LOWER(TRIM(Raw_Passengers!G118))))=0,"",INDEX(Lookup_Status!$B$2:$B$13,SUMPRODUCT((Lookup_Status!$A$2:$A$13=LOWER(TRIM(Raw_Passengers!G118)))*(ROW(Lookup_Status!$A$2:$A$13)-1))))</f>
        <v>Confirmed</v>
      </c>
      <c r="I118" s="7">
        <f>IF(OR(G118="",G118="Cancelled",G118="Mixed"),1,0)</f>
        <v>0</v>
      </c>
      <c r="J118" s="7">
        <f>IF(OR(H118="",H118="Mixed"),1,0)</f>
        <v>0</v>
      </c>
      <c r="K118" s="7">
        <f>IF(AND(C118=0,D118=0),IF(OR(AND(I118=0,NOT(EXACT(Raw_Passengers!F118,G118))),AND(J118=0,NOT(EXACT(Raw_Passengers!G118,H118)))),1,0),0)</f>
        <v>0</v>
      </c>
      <c r="L118" s="7">
        <f>IF(AND(C118=0,D118=0,I118=1),1,0)</f>
        <v>0</v>
      </c>
      <c r="M118" s="7">
        <f>IF(AND(C118=0,D118=0,J118=1),1,0)</f>
        <v>0</v>
      </c>
    </row>
    <row r="119" spans="1:13">
      <c r="A119" s="7">
        <f>Raw_Passengers!A119</f>
        <v>35026</v>
      </c>
      <c r="B119" s="7">
        <f>Raw_Passengers!B119</f>
        <v>1017303</v>
      </c>
      <c r="C119" s="7">
        <f>IF(COUNTIF(Raw_Passengers!$A$2:A119,Raw_Passengers!A119)&gt;1,1,0)</f>
        <v>0</v>
      </c>
      <c r="D119" s="7">
        <f>IF(COUNTIF(Raw_Bookings!$A$2:$A$648,Raw_Passengers!B119)=0,1,0)</f>
        <v>0</v>
      </c>
      <c r="E119" s="7">
        <f>IF(OR(C119=1,D119=1),0,IF(NOT(ISNUMBER(Raw_Passengers!E119)),1,IF(Raw_Passengers!E119&lt;=0,1,0)))</f>
        <v>0</v>
      </c>
      <c r="F119" s="7">
        <f>IF(AND(C119=0,D119=0,TRIM(Raw_Passengers!D119&amp;"")=""),1,0)</f>
        <v>0</v>
      </c>
      <c r="G119" s="7" t="str">
        <f>IF(SUMPRODUCT(--(Lookup_Status!$A$2:$A$13=LOWER(TRIM(Raw_Passengers!F119))))=0,"",INDEX(Lookup_Status!$B$2:$B$13,SUMPRODUCT((Lookup_Status!$A$2:$A$13=LOWER(TRIM(Raw_Passengers!F119)))*(ROW(Lookup_Status!$A$2:$A$13)-1))))</f>
        <v>Confirmed</v>
      </c>
      <c r="H119" s="7" t="str">
        <f>IF(SUMPRODUCT(--(Lookup_Status!$A$2:$A$13=LOWER(TRIM(Raw_Passengers!G119))))=0,"",INDEX(Lookup_Status!$B$2:$B$13,SUMPRODUCT((Lookup_Status!$A$2:$A$13=LOWER(TRIM(Raw_Passengers!G119)))*(ROW(Lookup_Status!$A$2:$A$13)-1))))</f>
        <v>Confirmed</v>
      </c>
      <c r="I119" s="7">
        <f>IF(OR(G119="",G119="Cancelled",G119="Mixed"),1,0)</f>
        <v>0</v>
      </c>
      <c r="J119" s="7">
        <f>IF(OR(H119="",H119="Mixed"),1,0)</f>
        <v>0</v>
      </c>
      <c r="K119" s="7">
        <f>IF(AND(C119=0,D119=0),IF(OR(AND(I119=0,NOT(EXACT(Raw_Passengers!F119,G119))),AND(J119=0,NOT(EXACT(Raw_Passengers!G119,H119)))),1,0),0)</f>
        <v>0</v>
      </c>
      <c r="L119" s="7">
        <f>IF(AND(C119=0,D119=0,I119=1),1,0)</f>
        <v>0</v>
      </c>
      <c r="M119" s="7">
        <f>IF(AND(C119=0,D119=0,J119=1),1,0)</f>
        <v>0</v>
      </c>
    </row>
    <row r="120" spans="1:13">
      <c r="A120" s="7">
        <f>Raw_Passengers!A120</f>
        <v>35027</v>
      </c>
      <c r="B120" s="7">
        <f>Raw_Passengers!B120</f>
        <v>1017303</v>
      </c>
      <c r="C120" s="7">
        <f>IF(COUNTIF(Raw_Passengers!$A$2:A120,Raw_Passengers!A120)&gt;1,1,0)</f>
        <v>0</v>
      </c>
      <c r="D120" s="7">
        <f>IF(COUNTIF(Raw_Bookings!$A$2:$A$648,Raw_Passengers!B120)=0,1,0)</f>
        <v>0</v>
      </c>
      <c r="E120" s="7">
        <f>IF(OR(C120=1,D120=1),0,IF(NOT(ISNUMBER(Raw_Passengers!E120)),1,IF(Raw_Passengers!E120&lt;=0,1,0)))</f>
        <v>0</v>
      </c>
      <c r="F120" s="7">
        <f>IF(AND(C120=0,D120=0,TRIM(Raw_Passengers!D120&amp;"")=""),1,0)</f>
        <v>0</v>
      </c>
      <c r="G120" s="7" t="str">
        <f>IF(SUMPRODUCT(--(Lookup_Status!$A$2:$A$13=LOWER(TRIM(Raw_Passengers!F120))))=0,"",INDEX(Lookup_Status!$B$2:$B$13,SUMPRODUCT((Lookup_Status!$A$2:$A$13=LOWER(TRIM(Raw_Passengers!F120)))*(ROW(Lookup_Status!$A$2:$A$13)-1))))</f>
        <v>Confirmed</v>
      </c>
      <c r="H120" s="7" t="str">
        <f>IF(SUMPRODUCT(--(Lookup_Status!$A$2:$A$13=LOWER(TRIM(Raw_Passengers!G120))))=0,"",INDEX(Lookup_Status!$B$2:$B$13,SUMPRODUCT((Lookup_Status!$A$2:$A$13=LOWER(TRIM(Raw_Passengers!G120)))*(ROW(Lookup_Status!$A$2:$A$13)-1))))</f>
        <v>Confirmed</v>
      </c>
      <c r="I120" s="7">
        <f>IF(OR(G120="",G120="Cancelled",G120="Mixed"),1,0)</f>
        <v>0</v>
      </c>
      <c r="J120" s="7">
        <f>IF(OR(H120="",H120="Mixed"),1,0)</f>
        <v>0</v>
      </c>
      <c r="K120" s="7">
        <f>IF(AND(C120=0,D120=0),IF(OR(AND(I120=0,NOT(EXACT(Raw_Passengers!F120,G120))),AND(J120=0,NOT(EXACT(Raw_Passengers!G120,H120)))),1,0),0)</f>
        <v>0</v>
      </c>
      <c r="L120" s="7">
        <f>IF(AND(C120=0,D120=0,I120=1),1,0)</f>
        <v>0</v>
      </c>
      <c r="M120" s="7">
        <f>IF(AND(C120=0,D120=0,J120=1),1,0)</f>
        <v>0</v>
      </c>
    </row>
    <row r="121" spans="1:13">
      <c r="A121" s="7">
        <f>Raw_Passengers!A121</f>
        <v>35311</v>
      </c>
      <c r="B121" s="7">
        <f>Raw_Passengers!B121</f>
        <v>1017459</v>
      </c>
      <c r="C121" s="7">
        <f>IF(COUNTIF(Raw_Passengers!$A$2:A121,Raw_Passengers!A121)&gt;1,1,0)</f>
        <v>0</v>
      </c>
      <c r="D121" s="7">
        <f>IF(COUNTIF(Raw_Bookings!$A$2:$A$648,Raw_Passengers!B121)=0,1,0)</f>
        <v>0</v>
      </c>
      <c r="E121" s="7">
        <f>IF(OR(C121=1,D121=1),0,IF(NOT(ISNUMBER(Raw_Passengers!E121)),1,IF(Raw_Passengers!E121&lt;=0,1,0)))</f>
        <v>0</v>
      </c>
      <c r="F121" s="7">
        <f>IF(AND(C121=0,D121=0,TRIM(Raw_Passengers!D121&amp;"")=""),1,0)</f>
        <v>0</v>
      </c>
      <c r="G121" s="7" t="str">
        <f>IF(SUMPRODUCT(--(Lookup_Status!$A$2:$A$13=LOWER(TRIM(Raw_Passengers!F121))))=0,"",INDEX(Lookup_Status!$B$2:$B$13,SUMPRODUCT((Lookup_Status!$A$2:$A$13=LOWER(TRIM(Raw_Passengers!F121)))*(ROW(Lookup_Status!$A$2:$A$13)-1))))</f>
        <v>Confirmed</v>
      </c>
      <c r="H121" s="7" t="str">
        <f>IF(SUMPRODUCT(--(Lookup_Status!$A$2:$A$13=LOWER(TRIM(Raw_Passengers!G121))))=0,"",INDEX(Lookup_Status!$B$2:$B$13,SUMPRODUCT((Lookup_Status!$A$2:$A$13=LOWER(TRIM(Raw_Passengers!G121)))*(ROW(Lookup_Status!$A$2:$A$13)-1))))</f>
        <v>Confirmed</v>
      </c>
      <c r="I121" s="7">
        <f>IF(OR(G121="",G121="Cancelled",G121="Mixed"),1,0)</f>
        <v>0</v>
      </c>
      <c r="J121" s="7">
        <f>IF(OR(H121="",H121="Mixed"),1,0)</f>
        <v>0</v>
      </c>
      <c r="K121" s="7">
        <f>IF(AND(C121=0,D121=0),IF(OR(AND(I121=0,NOT(EXACT(Raw_Passengers!F121,G121))),AND(J121=0,NOT(EXACT(Raw_Passengers!G121,H121)))),1,0),0)</f>
        <v>0</v>
      </c>
      <c r="L121" s="7">
        <f>IF(AND(C121=0,D121=0,I121=1),1,0)</f>
        <v>0</v>
      </c>
      <c r="M121" s="7">
        <f>IF(AND(C121=0,D121=0,J121=1),1,0)</f>
        <v>0</v>
      </c>
    </row>
    <row r="122" spans="1:13">
      <c r="A122" s="7">
        <f>Raw_Passengers!A122</f>
        <v>35565</v>
      </c>
      <c r="B122" s="7">
        <f>Raw_Passengers!B122</f>
        <v>1017579</v>
      </c>
      <c r="C122" s="7">
        <f>IF(COUNTIF(Raw_Passengers!$A$2:A122,Raw_Passengers!A122)&gt;1,1,0)</f>
        <v>0</v>
      </c>
      <c r="D122" s="7">
        <f>IF(COUNTIF(Raw_Bookings!$A$2:$A$648,Raw_Passengers!B122)=0,1,0)</f>
        <v>0</v>
      </c>
      <c r="E122" s="7">
        <f>IF(OR(C122=1,D122=1),0,IF(NOT(ISNUMBER(Raw_Passengers!E122)),1,IF(Raw_Passengers!E122&lt;=0,1,0)))</f>
        <v>0</v>
      </c>
      <c r="F122" s="7">
        <f>IF(AND(C122=0,D122=0,TRIM(Raw_Passengers!D122&amp;"")=""),1,0)</f>
        <v>0</v>
      </c>
      <c r="G122" s="7" t="str">
        <f>IF(SUMPRODUCT(--(Lookup_Status!$A$2:$A$13=LOWER(TRIM(Raw_Passengers!F122))))=0,"",INDEX(Lookup_Status!$B$2:$B$13,SUMPRODUCT((Lookup_Status!$A$2:$A$13=LOWER(TRIM(Raw_Passengers!F122)))*(ROW(Lookup_Status!$A$2:$A$13)-1))))</f>
        <v>Confirmed</v>
      </c>
      <c r="H122" s="7" t="str">
        <f>IF(SUMPRODUCT(--(Lookup_Status!$A$2:$A$13=LOWER(TRIM(Raw_Passengers!G122))))=0,"",INDEX(Lookup_Status!$B$2:$B$13,SUMPRODUCT((Lookup_Status!$A$2:$A$13=LOWER(TRIM(Raw_Passengers!G122)))*(ROW(Lookup_Status!$A$2:$A$13)-1))))</f>
        <v>Confirmed</v>
      </c>
      <c r="I122" s="7">
        <f>IF(OR(G122="",G122="Cancelled",G122="Mixed"),1,0)</f>
        <v>0</v>
      </c>
      <c r="J122" s="7">
        <f>IF(OR(H122="",H122="Mixed"),1,0)</f>
        <v>0</v>
      </c>
      <c r="K122" s="7">
        <f>IF(AND(C122=0,D122=0),IF(OR(AND(I122=0,NOT(EXACT(Raw_Passengers!F122,G122))),AND(J122=0,NOT(EXACT(Raw_Passengers!G122,H122)))),1,0),0)</f>
        <v>0</v>
      </c>
      <c r="L122" s="7">
        <f>IF(AND(C122=0,D122=0,I122=1),1,0)</f>
        <v>0</v>
      </c>
      <c r="M122" s="7">
        <f>IF(AND(C122=0,D122=0,J122=1),1,0)</f>
        <v>0</v>
      </c>
    </row>
    <row r="123" spans="1:13">
      <c r="A123" s="7">
        <f>Raw_Passengers!A123</f>
        <v>35566</v>
      </c>
      <c r="B123" s="7">
        <f>Raw_Passengers!B123</f>
        <v>1017579</v>
      </c>
      <c r="C123" s="7">
        <f>IF(COUNTIF(Raw_Passengers!$A$2:A123,Raw_Passengers!A123)&gt;1,1,0)</f>
        <v>0</v>
      </c>
      <c r="D123" s="7">
        <f>IF(COUNTIF(Raw_Bookings!$A$2:$A$648,Raw_Passengers!B123)=0,1,0)</f>
        <v>0</v>
      </c>
      <c r="E123" s="7">
        <f>IF(OR(C123=1,D123=1),0,IF(NOT(ISNUMBER(Raw_Passengers!E123)),1,IF(Raw_Passengers!E123&lt;=0,1,0)))</f>
        <v>0</v>
      </c>
      <c r="F123" s="7">
        <f>IF(AND(C123=0,D123=0,TRIM(Raw_Passengers!D123&amp;"")=""),1,0)</f>
        <v>0</v>
      </c>
      <c r="G123" s="7" t="str">
        <f>IF(SUMPRODUCT(--(Lookup_Status!$A$2:$A$13=LOWER(TRIM(Raw_Passengers!F123))))=0,"",INDEX(Lookup_Status!$B$2:$B$13,SUMPRODUCT((Lookup_Status!$A$2:$A$13=LOWER(TRIM(Raw_Passengers!F123)))*(ROW(Lookup_Status!$A$2:$A$13)-1))))</f>
        <v>Confirmed</v>
      </c>
      <c r="H123" s="7" t="str">
        <f>IF(SUMPRODUCT(--(Lookup_Status!$A$2:$A$13=LOWER(TRIM(Raw_Passengers!G123))))=0,"",INDEX(Lookup_Status!$B$2:$B$13,SUMPRODUCT((Lookup_Status!$A$2:$A$13=LOWER(TRIM(Raw_Passengers!G123)))*(ROW(Lookup_Status!$A$2:$A$13)-1))))</f>
        <v>Confirmed</v>
      </c>
      <c r="I123" s="7">
        <f>IF(OR(G123="",G123="Cancelled",G123="Mixed"),1,0)</f>
        <v>0</v>
      </c>
      <c r="J123" s="7">
        <f>IF(OR(H123="",H123="Mixed"),1,0)</f>
        <v>0</v>
      </c>
      <c r="K123" s="7">
        <f>IF(AND(C123=0,D123=0),IF(OR(AND(I123=0,NOT(EXACT(Raw_Passengers!F123,G123))),AND(J123=0,NOT(EXACT(Raw_Passengers!G123,H123)))),1,0),0)</f>
        <v>0</v>
      </c>
      <c r="L123" s="7">
        <f>IF(AND(C123=0,D123=0,I123=1),1,0)</f>
        <v>0</v>
      </c>
      <c r="M123" s="7">
        <f>IF(AND(C123=0,D123=0,J123=1),1,0)</f>
        <v>0</v>
      </c>
    </row>
    <row r="124" spans="1:13">
      <c r="A124" s="7">
        <f>Raw_Passengers!A124</f>
        <v>35567</v>
      </c>
      <c r="B124" s="7">
        <f>Raw_Passengers!B124</f>
        <v>1017579</v>
      </c>
      <c r="C124" s="7">
        <f>IF(COUNTIF(Raw_Passengers!$A$2:A124,Raw_Passengers!A124)&gt;1,1,0)</f>
        <v>0</v>
      </c>
      <c r="D124" s="7">
        <f>IF(COUNTIF(Raw_Bookings!$A$2:$A$648,Raw_Passengers!B124)=0,1,0)</f>
        <v>0</v>
      </c>
      <c r="E124" s="7">
        <f>IF(OR(C124=1,D124=1),0,IF(NOT(ISNUMBER(Raw_Passengers!E124)),1,IF(Raw_Passengers!E124&lt;=0,1,0)))</f>
        <v>0</v>
      </c>
      <c r="F124" s="7">
        <f>IF(AND(C124=0,D124=0,TRIM(Raw_Passengers!D124&amp;"")=""),1,0)</f>
        <v>0</v>
      </c>
      <c r="G124" s="7" t="str">
        <f>IF(SUMPRODUCT(--(Lookup_Status!$A$2:$A$13=LOWER(TRIM(Raw_Passengers!F124))))=0,"",INDEX(Lookup_Status!$B$2:$B$13,SUMPRODUCT((Lookup_Status!$A$2:$A$13=LOWER(TRIM(Raw_Passengers!F124)))*(ROW(Lookup_Status!$A$2:$A$13)-1))))</f>
        <v>Confirmed</v>
      </c>
      <c r="H124" s="7" t="str">
        <f>IF(SUMPRODUCT(--(Lookup_Status!$A$2:$A$13=LOWER(TRIM(Raw_Passengers!G124))))=0,"",INDEX(Lookup_Status!$B$2:$B$13,SUMPRODUCT((Lookup_Status!$A$2:$A$13=LOWER(TRIM(Raw_Passengers!G124)))*(ROW(Lookup_Status!$A$2:$A$13)-1))))</f>
        <v>Confirmed</v>
      </c>
      <c r="I124" s="7">
        <f>IF(OR(G124="",G124="Cancelled",G124="Mixed"),1,0)</f>
        <v>0</v>
      </c>
      <c r="J124" s="7">
        <f>IF(OR(H124="",H124="Mixed"),1,0)</f>
        <v>0</v>
      </c>
      <c r="K124" s="7">
        <f>IF(AND(C124=0,D124=0),IF(OR(AND(I124=0,NOT(EXACT(Raw_Passengers!F124,G124))),AND(J124=0,NOT(EXACT(Raw_Passengers!G124,H124)))),1,0),0)</f>
        <v>0</v>
      </c>
      <c r="L124" s="7">
        <f>IF(AND(C124=0,D124=0,I124=1),1,0)</f>
        <v>0</v>
      </c>
      <c r="M124" s="7">
        <f>IF(AND(C124=0,D124=0,J124=1),1,0)</f>
        <v>0</v>
      </c>
    </row>
    <row r="125" spans="1:13">
      <c r="A125" s="7">
        <f>Raw_Passengers!A125</f>
        <v>35590</v>
      </c>
      <c r="B125" s="7">
        <f>Raw_Passengers!B125</f>
        <v>1017595</v>
      </c>
      <c r="C125" s="7">
        <f>IF(COUNTIF(Raw_Passengers!$A$2:A125,Raw_Passengers!A125)&gt;1,1,0)</f>
        <v>0</v>
      </c>
      <c r="D125" s="7">
        <f>IF(COUNTIF(Raw_Bookings!$A$2:$A$648,Raw_Passengers!B125)=0,1,0)</f>
        <v>0</v>
      </c>
      <c r="E125" s="7">
        <f>IF(OR(C125=1,D125=1),0,IF(NOT(ISNUMBER(Raw_Passengers!E125)),1,IF(Raw_Passengers!E125&lt;=0,1,0)))</f>
        <v>0</v>
      </c>
      <c r="F125" s="7">
        <f>IF(AND(C125=0,D125=0,TRIM(Raw_Passengers!D125&amp;"")=""),1,0)</f>
        <v>0</v>
      </c>
      <c r="G125" s="7" t="str">
        <f>IF(SUMPRODUCT(--(Lookup_Status!$A$2:$A$13=LOWER(TRIM(Raw_Passengers!F125))))=0,"",INDEX(Lookup_Status!$B$2:$B$13,SUMPRODUCT((Lookup_Status!$A$2:$A$13=LOWER(TRIM(Raw_Passengers!F125)))*(ROW(Lookup_Status!$A$2:$A$13)-1))))</f>
        <v>Confirmed</v>
      </c>
      <c r="H125" s="7" t="str">
        <f>IF(SUMPRODUCT(--(Lookup_Status!$A$2:$A$13=LOWER(TRIM(Raw_Passengers!G125))))=0,"",INDEX(Lookup_Status!$B$2:$B$13,SUMPRODUCT((Lookup_Status!$A$2:$A$13=LOWER(TRIM(Raw_Passengers!G125)))*(ROW(Lookup_Status!$A$2:$A$13)-1))))</f>
        <v>Confirmed</v>
      </c>
      <c r="I125" s="7">
        <f>IF(OR(G125="",G125="Cancelled",G125="Mixed"),1,0)</f>
        <v>0</v>
      </c>
      <c r="J125" s="7">
        <f>IF(OR(H125="",H125="Mixed"),1,0)</f>
        <v>0</v>
      </c>
      <c r="K125" s="7">
        <f>IF(AND(C125=0,D125=0),IF(OR(AND(I125=0,NOT(EXACT(Raw_Passengers!F125,G125))),AND(J125=0,NOT(EXACT(Raw_Passengers!G125,H125)))),1,0),0)</f>
        <v>0</v>
      </c>
      <c r="L125" s="7">
        <f>IF(AND(C125=0,D125=0,I125=1),1,0)</f>
        <v>0</v>
      </c>
      <c r="M125" s="7">
        <f>IF(AND(C125=0,D125=0,J125=1),1,0)</f>
        <v>0</v>
      </c>
    </row>
    <row r="126" spans="1:13">
      <c r="A126" s="7">
        <f>Raw_Passengers!A126</f>
        <v>35591</v>
      </c>
      <c r="B126" s="7">
        <f>Raw_Passengers!B126</f>
        <v>1017595</v>
      </c>
      <c r="C126" s="7">
        <f>IF(COUNTIF(Raw_Passengers!$A$2:A126,Raw_Passengers!A126)&gt;1,1,0)</f>
        <v>0</v>
      </c>
      <c r="D126" s="7">
        <f>IF(COUNTIF(Raw_Bookings!$A$2:$A$648,Raw_Passengers!B126)=0,1,0)</f>
        <v>0</v>
      </c>
      <c r="E126" s="7">
        <f>IF(OR(C126=1,D126=1),0,IF(NOT(ISNUMBER(Raw_Passengers!E126)),1,IF(Raw_Passengers!E126&lt;=0,1,0)))</f>
        <v>0</v>
      </c>
      <c r="F126" s="7">
        <f>IF(AND(C126=0,D126=0,TRIM(Raw_Passengers!D126&amp;"")=""),1,0)</f>
        <v>0</v>
      </c>
      <c r="G126" s="7" t="str">
        <f>IF(SUMPRODUCT(--(Lookup_Status!$A$2:$A$13=LOWER(TRIM(Raw_Passengers!F126))))=0,"",INDEX(Lookup_Status!$B$2:$B$13,SUMPRODUCT((Lookup_Status!$A$2:$A$13=LOWER(TRIM(Raw_Passengers!F126)))*(ROW(Lookup_Status!$A$2:$A$13)-1))))</f>
        <v>Confirmed</v>
      </c>
      <c r="H126" s="7" t="str">
        <f>IF(SUMPRODUCT(--(Lookup_Status!$A$2:$A$13=LOWER(TRIM(Raw_Passengers!G126))))=0,"",INDEX(Lookup_Status!$B$2:$B$13,SUMPRODUCT((Lookup_Status!$A$2:$A$13=LOWER(TRIM(Raw_Passengers!G126)))*(ROW(Lookup_Status!$A$2:$A$13)-1))))</f>
        <v>Confirmed</v>
      </c>
      <c r="I126" s="7">
        <f>IF(OR(G126="",G126="Cancelled",G126="Mixed"),1,0)</f>
        <v>0</v>
      </c>
      <c r="J126" s="7">
        <f>IF(OR(H126="",H126="Mixed"),1,0)</f>
        <v>0</v>
      </c>
      <c r="K126" s="7">
        <f>IF(AND(C126=0,D126=0),IF(OR(AND(I126=0,NOT(EXACT(Raw_Passengers!F126,G126))),AND(J126=0,NOT(EXACT(Raw_Passengers!G126,H126)))),1,0),0)</f>
        <v>0</v>
      </c>
      <c r="L126" s="7">
        <f>IF(AND(C126=0,D126=0,I126=1),1,0)</f>
        <v>0</v>
      </c>
      <c r="M126" s="7">
        <f>IF(AND(C126=0,D126=0,J126=1),1,0)</f>
        <v>0</v>
      </c>
    </row>
    <row r="127" spans="1:13">
      <c r="A127" s="7">
        <f>Raw_Passengers!A127</f>
        <v>35592</v>
      </c>
      <c r="B127" s="7">
        <f>Raw_Passengers!B127</f>
        <v>1017595</v>
      </c>
      <c r="C127" s="7">
        <f>IF(COUNTIF(Raw_Passengers!$A$2:A127,Raw_Passengers!A127)&gt;1,1,0)</f>
        <v>0</v>
      </c>
      <c r="D127" s="7">
        <f>IF(COUNTIF(Raw_Bookings!$A$2:$A$648,Raw_Passengers!B127)=0,1,0)</f>
        <v>0</v>
      </c>
      <c r="E127" s="7">
        <f>IF(OR(C127=1,D127=1),0,IF(NOT(ISNUMBER(Raw_Passengers!E127)),1,IF(Raw_Passengers!E127&lt;=0,1,0)))</f>
        <v>0</v>
      </c>
      <c r="F127" s="7">
        <f>IF(AND(C127=0,D127=0,TRIM(Raw_Passengers!D127&amp;"")=""),1,0)</f>
        <v>0</v>
      </c>
      <c r="G127" s="7" t="str">
        <f>IF(SUMPRODUCT(--(Lookup_Status!$A$2:$A$13=LOWER(TRIM(Raw_Passengers!F127))))=0,"",INDEX(Lookup_Status!$B$2:$B$13,SUMPRODUCT((Lookup_Status!$A$2:$A$13=LOWER(TRIM(Raw_Passengers!F127)))*(ROW(Lookup_Status!$A$2:$A$13)-1))))</f>
        <v>Confirmed</v>
      </c>
      <c r="H127" s="7" t="str">
        <f>IF(SUMPRODUCT(--(Lookup_Status!$A$2:$A$13=LOWER(TRIM(Raw_Passengers!G127))))=0,"",INDEX(Lookup_Status!$B$2:$B$13,SUMPRODUCT((Lookup_Status!$A$2:$A$13=LOWER(TRIM(Raw_Passengers!G127)))*(ROW(Lookup_Status!$A$2:$A$13)-1))))</f>
        <v>Confirmed</v>
      </c>
      <c r="I127" s="7">
        <f>IF(OR(G127="",G127="Cancelled",G127="Mixed"),1,0)</f>
        <v>0</v>
      </c>
      <c r="J127" s="7">
        <f>IF(OR(H127="",H127="Mixed"),1,0)</f>
        <v>0</v>
      </c>
      <c r="K127" s="7">
        <f>IF(AND(C127=0,D127=0),IF(OR(AND(I127=0,NOT(EXACT(Raw_Passengers!F127,G127))),AND(J127=0,NOT(EXACT(Raw_Passengers!G127,H127)))),1,0),0)</f>
        <v>0</v>
      </c>
      <c r="L127" s="7">
        <f>IF(AND(C127=0,D127=0,I127=1),1,0)</f>
        <v>0</v>
      </c>
      <c r="M127" s="7">
        <f>IF(AND(C127=0,D127=0,J127=1),1,0)</f>
        <v>0</v>
      </c>
    </row>
    <row r="128" spans="1:13">
      <c r="A128" s="7">
        <f>Raw_Passengers!A128</f>
        <v>35593</v>
      </c>
      <c r="B128" s="7">
        <f>Raw_Passengers!B128</f>
        <v>1017595</v>
      </c>
      <c r="C128" s="7">
        <f>IF(COUNTIF(Raw_Passengers!$A$2:A128,Raw_Passengers!A128)&gt;1,1,0)</f>
        <v>0</v>
      </c>
      <c r="D128" s="7">
        <f>IF(COUNTIF(Raw_Bookings!$A$2:$A$648,Raw_Passengers!B128)=0,1,0)</f>
        <v>0</v>
      </c>
      <c r="E128" s="7">
        <f>IF(OR(C128=1,D128=1),0,IF(NOT(ISNUMBER(Raw_Passengers!E128)),1,IF(Raw_Passengers!E128&lt;=0,1,0)))</f>
        <v>0</v>
      </c>
      <c r="F128" s="7">
        <f>IF(AND(C128=0,D128=0,TRIM(Raw_Passengers!D128&amp;"")=""),1,0)</f>
        <v>0</v>
      </c>
      <c r="G128" s="7" t="str">
        <f>IF(SUMPRODUCT(--(Lookup_Status!$A$2:$A$13=LOWER(TRIM(Raw_Passengers!F128))))=0,"",INDEX(Lookup_Status!$B$2:$B$13,SUMPRODUCT((Lookup_Status!$A$2:$A$13=LOWER(TRIM(Raw_Passengers!F128)))*(ROW(Lookup_Status!$A$2:$A$13)-1))))</f>
        <v>Confirmed</v>
      </c>
      <c r="H128" s="7" t="str">
        <f>IF(SUMPRODUCT(--(Lookup_Status!$A$2:$A$13=LOWER(TRIM(Raw_Passengers!G128))))=0,"",INDEX(Lookup_Status!$B$2:$B$13,SUMPRODUCT((Lookup_Status!$A$2:$A$13=LOWER(TRIM(Raw_Passengers!G128)))*(ROW(Lookup_Status!$A$2:$A$13)-1))))</f>
        <v>Confirmed</v>
      </c>
      <c r="I128" s="7">
        <f>IF(OR(G128="",G128="Cancelled",G128="Mixed"),1,0)</f>
        <v>0</v>
      </c>
      <c r="J128" s="7">
        <f>IF(OR(H128="",H128="Mixed"),1,0)</f>
        <v>0</v>
      </c>
      <c r="K128" s="7">
        <f>IF(AND(C128=0,D128=0),IF(OR(AND(I128=0,NOT(EXACT(Raw_Passengers!F128,G128))),AND(J128=0,NOT(EXACT(Raw_Passengers!G128,H128)))),1,0),0)</f>
        <v>0</v>
      </c>
      <c r="L128" s="7">
        <f>IF(AND(C128=0,D128=0,I128=1),1,0)</f>
        <v>0</v>
      </c>
      <c r="M128" s="7">
        <f>IF(AND(C128=0,D128=0,J128=1),1,0)</f>
        <v>0</v>
      </c>
    </row>
    <row r="129" spans="1:13">
      <c r="A129" s="7">
        <f>Raw_Passengers!A129</f>
        <v>37215</v>
      </c>
      <c r="B129" s="7">
        <f>Raw_Passengers!B129</f>
        <v>1018391</v>
      </c>
      <c r="C129" s="7">
        <f>IF(COUNTIF(Raw_Passengers!$A$2:A129,Raw_Passengers!A129)&gt;1,1,0)</f>
        <v>0</v>
      </c>
      <c r="D129" s="7">
        <f>IF(COUNTIF(Raw_Bookings!$A$2:$A$648,Raw_Passengers!B129)=0,1,0)</f>
        <v>0</v>
      </c>
      <c r="E129" s="7">
        <f>IF(OR(C129=1,D129=1),0,IF(NOT(ISNUMBER(Raw_Passengers!E129)),1,IF(Raw_Passengers!E129&lt;=0,1,0)))</f>
        <v>0</v>
      </c>
      <c r="F129" s="7">
        <f>IF(AND(C129=0,D129=0,TRIM(Raw_Passengers!D129&amp;"")=""),1,0)</f>
        <v>0</v>
      </c>
      <c r="G129" s="7" t="str">
        <f>IF(SUMPRODUCT(--(Lookup_Status!$A$2:$A$13=LOWER(TRIM(Raw_Passengers!F129))))=0,"",INDEX(Lookup_Status!$B$2:$B$13,SUMPRODUCT((Lookup_Status!$A$2:$A$13=LOWER(TRIM(Raw_Passengers!F129)))*(ROW(Lookup_Status!$A$2:$A$13)-1))))</f>
        <v>Confirmed</v>
      </c>
      <c r="H129" s="7" t="str">
        <f>IF(SUMPRODUCT(--(Lookup_Status!$A$2:$A$13=LOWER(TRIM(Raw_Passengers!G129))))=0,"",INDEX(Lookup_Status!$B$2:$B$13,SUMPRODUCT((Lookup_Status!$A$2:$A$13=LOWER(TRIM(Raw_Passengers!G129)))*(ROW(Lookup_Status!$A$2:$A$13)-1))))</f>
        <v>Confirmed</v>
      </c>
      <c r="I129" s="7">
        <f>IF(OR(G129="",G129="Cancelled",G129="Mixed"),1,0)</f>
        <v>0</v>
      </c>
      <c r="J129" s="7">
        <f>IF(OR(H129="",H129="Mixed"),1,0)</f>
        <v>0</v>
      </c>
      <c r="K129" s="7">
        <f>IF(AND(C129=0,D129=0),IF(OR(AND(I129=0,NOT(EXACT(Raw_Passengers!F129,G129))),AND(J129=0,NOT(EXACT(Raw_Passengers!G129,H129)))),1,0),0)</f>
        <v>0</v>
      </c>
      <c r="L129" s="7">
        <f>IF(AND(C129=0,D129=0,I129=1),1,0)</f>
        <v>0</v>
      </c>
      <c r="M129" s="7">
        <f>IF(AND(C129=0,D129=0,J129=1),1,0)</f>
        <v>0</v>
      </c>
    </row>
    <row r="130" spans="1:13">
      <c r="A130" s="7">
        <f>Raw_Passengers!A130</f>
        <v>37216</v>
      </c>
      <c r="B130" s="7">
        <f>Raw_Passengers!B130</f>
        <v>1018391</v>
      </c>
      <c r="C130" s="7">
        <f>IF(COUNTIF(Raw_Passengers!$A$2:A130,Raw_Passengers!A130)&gt;1,1,0)</f>
        <v>0</v>
      </c>
      <c r="D130" s="7">
        <f>IF(COUNTIF(Raw_Bookings!$A$2:$A$648,Raw_Passengers!B130)=0,1,0)</f>
        <v>0</v>
      </c>
      <c r="E130" s="7">
        <f>IF(OR(C130=1,D130=1),0,IF(NOT(ISNUMBER(Raw_Passengers!E130)),1,IF(Raw_Passengers!E130&lt;=0,1,0)))</f>
        <v>0</v>
      </c>
      <c r="F130" s="7">
        <f>IF(AND(C130=0,D130=0,TRIM(Raw_Passengers!D130&amp;"")=""),1,0)</f>
        <v>0</v>
      </c>
      <c r="G130" s="7" t="str">
        <f>IF(SUMPRODUCT(--(Lookup_Status!$A$2:$A$13=LOWER(TRIM(Raw_Passengers!F130))))=0,"",INDEX(Lookup_Status!$B$2:$B$13,SUMPRODUCT((Lookup_Status!$A$2:$A$13=LOWER(TRIM(Raw_Passengers!F130)))*(ROW(Lookup_Status!$A$2:$A$13)-1))))</f>
        <v>Confirmed</v>
      </c>
      <c r="H130" s="7" t="str">
        <f>IF(SUMPRODUCT(--(Lookup_Status!$A$2:$A$13=LOWER(TRIM(Raw_Passengers!G130))))=0,"",INDEX(Lookup_Status!$B$2:$B$13,SUMPRODUCT((Lookup_Status!$A$2:$A$13=LOWER(TRIM(Raw_Passengers!G130)))*(ROW(Lookup_Status!$A$2:$A$13)-1))))</f>
        <v>Confirmed</v>
      </c>
      <c r="I130" s="7">
        <f>IF(OR(G130="",G130="Cancelled",G130="Mixed"),1,0)</f>
        <v>0</v>
      </c>
      <c r="J130" s="7">
        <f>IF(OR(H130="",H130="Mixed"),1,0)</f>
        <v>0</v>
      </c>
      <c r="K130" s="7">
        <f>IF(AND(C130=0,D130=0),IF(OR(AND(I130=0,NOT(EXACT(Raw_Passengers!F130,G130))),AND(J130=0,NOT(EXACT(Raw_Passengers!G130,H130)))),1,0),0)</f>
        <v>0</v>
      </c>
      <c r="L130" s="7">
        <f>IF(AND(C130=0,D130=0,I130=1),1,0)</f>
        <v>0</v>
      </c>
      <c r="M130" s="7">
        <f>IF(AND(C130=0,D130=0,J130=1),1,0)</f>
        <v>0</v>
      </c>
    </row>
    <row r="131" spans="1:13">
      <c r="A131" s="7">
        <f>Raw_Passengers!A131</f>
        <v>37217</v>
      </c>
      <c r="B131" s="7">
        <f>Raw_Passengers!B131</f>
        <v>1018391</v>
      </c>
      <c r="C131" s="7">
        <f>IF(COUNTIF(Raw_Passengers!$A$2:A131,Raw_Passengers!A131)&gt;1,1,0)</f>
        <v>0</v>
      </c>
      <c r="D131" s="7">
        <f>IF(COUNTIF(Raw_Bookings!$A$2:$A$648,Raw_Passengers!B131)=0,1,0)</f>
        <v>0</v>
      </c>
      <c r="E131" s="7">
        <f>IF(OR(C131=1,D131=1),0,IF(NOT(ISNUMBER(Raw_Passengers!E131)),1,IF(Raw_Passengers!E131&lt;=0,1,0)))</f>
        <v>0</v>
      </c>
      <c r="F131" s="7">
        <f>IF(AND(C131=0,D131=0,TRIM(Raw_Passengers!D131&amp;"")=""),1,0)</f>
        <v>0</v>
      </c>
      <c r="G131" s="7" t="str">
        <f>IF(SUMPRODUCT(--(Lookup_Status!$A$2:$A$13=LOWER(TRIM(Raw_Passengers!F131))))=0,"",INDEX(Lookup_Status!$B$2:$B$13,SUMPRODUCT((Lookup_Status!$A$2:$A$13=LOWER(TRIM(Raw_Passengers!F131)))*(ROW(Lookup_Status!$A$2:$A$13)-1))))</f>
        <v>Confirmed</v>
      </c>
      <c r="H131" s="7" t="str">
        <f>IF(SUMPRODUCT(--(Lookup_Status!$A$2:$A$13=LOWER(TRIM(Raw_Passengers!G131))))=0,"",INDEX(Lookup_Status!$B$2:$B$13,SUMPRODUCT((Lookup_Status!$A$2:$A$13=LOWER(TRIM(Raw_Passengers!G131)))*(ROW(Lookup_Status!$A$2:$A$13)-1))))</f>
        <v>Confirmed</v>
      </c>
      <c r="I131" s="7">
        <f>IF(OR(G131="",G131="Cancelled",G131="Mixed"),1,0)</f>
        <v>0</v>
      </c>
      <c r="J131" s="7">
        <f>IF(OR(H131="",H131="Mixed"),1,0)</f>
        <v>0</v>
      </c>
      <c r="K131" s="7">
        <f>IF(AND(C131=0,D131=0),IF(OR(AND(I131=0,NOT(EXACT(Raw_Passengers!F131,G131))),AND(J131=0,NOT(EXACT(Raw_Passengers!G131,H131)))),1,0),0)</f>
        <v>0</v>
      </c>
      <c r="L131" s="7">
        <f>IF(AND(C131=0,D131=0,I131=1),1,0)</f>
        <v>0</v>
      </c>
      <c r="M131" s="7">
        <f>IF(AND(C131=0,D131=0,J131=1),1,0)</f>
        <v>0</v>
      </c>
    </row>
    <row r="132" spans="1:13">
      <c r="A132" s="7">
        <f>Raw_Passengers!A132</f>
        <v>37218</v>
      </c>
      <c r="B132" s="7">
        <f>Raw_Passengers!B132</f>
        <v>1018391</v>
      </c>
      <c r="C132" s="7">
        <f>IF(COUNTIF(Raw_Passengers!$A$2:A132,Raw_Passengers!A132)&gt;1,1,0)</f>
        <v>0</v>
      </c>
      <c r="D132" s="7">
        <f>IF(COUNTIF(Raw_Bookings!$A$2:$A$648,Raw_Passengers!B132)=0,1,0)</f>
        <v>0</v>
      </c>
      <c r="E132" s="7">
        <f>IF(OR(C132=1,D132=1),0,IF(NOT(ISNUMBER(Raw_Passengers!E132)),1,IF(Raw_Passengers!E132&lt;=0,1,0)))</f>
        <v>0</v>
      </c>
      <c r="F132" s="7">
        <f>IF(AND(C132=0,D132=0,TRIM(Raw_Passengers!D132&amp;"")=""),1,0)</f>
        <v>0</v>
      </c>
      <c r="G132" s="7" t="str">
        <f>IF(SUMPRODUCT(--(Lookup_Status!$A$2:$A$13=LOWER(TRIM(Raw_Passengers!F132))))=0,"",INDEX(Lookup_Status!$B$2:$B$13,SUMPRODUCT((Lookup_Status!$A$2:$A$13=LOWER(TRIM(Raw_Passengers!F132)))*(ROW(Lookup_Status!$A$2:$A$13)-1))))</f>
        <v>Confirmed</v>
      </c>
      <c r="H132" s="7" t="str">
        <f>IF(SUMPRODUCT(--(Lookup_Status!$A$2:$A$13=LOWER(TRIM(Raw_Passengers!G132))))=0,"",INDEX(Lookup_Status!$B$2:$B$13,SUMPRODUCT((Lookup_Status!$A$2:$A$13=LOWER(TRIM(Raw_Passengers!G132)))*(ROW(Lookup_Status!$A$2:$A$13)-1))))</f>
        <v>Confirmed</v>
      </c>
      <c r="I132" s="7">
        <f>IF(OR(G132="",G132="Cancelled",G132="Mixed"),1,0)</f>
        <v>0</v>
      </c>
      <c r="J132" s="7">
        <f>IF(OR(H132="",H132="Mixed"),1,0)</f>
        <v>0</v>
      </c>
      <c r="K132" s="7">
        <f>IF(AND(C132=0,D132=0),IF(OR(AND(I132=0,NOT(EXACT(Raw_Passengers!F132,G132))),AND(J132=0,NOT(EXACT(Raw_Passengers!G132,H132)))),1,0),0)</f>
        <v>0</v>
      </c>
      <c r="L132" s="7">
        <f>IF(AND(C132=0,D132=0,I132=1),1,0)</f>
        <v>0</v>
      </c>
      <c r="M132" s="7">
        <f>IF(AND(C132=0,D132=0,J132=1),1,0)</f>
        <v>0</v>
      </c>
    </row>
    <row r="133" spans="1:13">
      <c r="A133" s="7">
        <f>Raw_Passengers!A133</f>
        <v>37219</v>
      </c>
      <c r="B133" s="7">
        <f>Raw_Passengers!B133</f>
        <v>1018391</v>
      </c>
      <c r="C133" s="7">
        <f>IF(COUNTIF(Raw_Passengers!$A$2:A133,Raw_Passengers!A133)&gt;1,1,0)</f>
        <v>0</v>
      </c>
      <c r="D133" s="7">
        <f>IF(COUNTIF(Raw_Bookings!$A$2:$A$648,Raw_Passengers!B133)=0,1,0)</f>
        <v>0</v>
      </c>
      <c r="E133" s="7">
        <f>IF(OR(C133=1,D133=1),0,IF(NOT(ISNUMBER(Raw_Passengers!E133)),1,IF(Raw_Passengers!E133&lt;=0,1,0)))</f>
        <v>0</v>
      </c>
      <c r="F133" s="7">
        <f>IF(AND(C133=0,D133=0,TRIM(Raw_Passengers!D133&amp;"")=""),1,0)</f>
        <v>0</v>
      </c>
      <c r="G133" s="7" t="str">
        <f>IF(SUMPRODUCT(--(Lookup_Status!$A$2:$A$13=LOWER(TRIM(Raw_Passengers!F133))))=0,"",INDEX(Lookup_Status!$B$2:$B$13,SUMPRODUCT((Lookup_Status!$A$2:$A$13=LOWER(TRIM(Raw_Passengers!F133)))*(ROW(Lookup_Status!$A$2:$A$13)-1))))</f>
        <v>Confirmed</v>
      </c>
      <c r="H133" s="7" t="str">
        <f>IF(SUMPRODUCT(--(Lookup_Status!$A$2:$A$13=LOWER(TRIM(Raw_Passengers!G133))))=0,"",INDEX(Lookup_Status!$B$2:$B$13,SUMPRODUCT((Lookup_Status!$A$2:$A$13=LOWER(TRIM(Raw_Passengers!G133)))*(ROW(Lookup_Status!$A$2:$A$13)-1))))</f>
        <v>Confirmed</v>
      </c>
      <c r="I133" s="7">
        <f>IF(OR(G133="",G133="Cancelled",G133="Mixed"),1,0)</f>
        <v>0</v>
      </c>
      <c r="J133" s="7">
        <f>IF(OR(H133="",H133="Mixed"),1,0)</f>
        <v>0</v>
      </c>
      <c r="K133" s="7">
        <f>IF(AND(C133=0,D133=0),IF(OR(AND(I133=0,NOT(EXACT(Raw_Passengers!F133,G133))),AND(J133=0,NOT(EXACT(Raw_Passengers!G133,H133)))),1,0),0)</f>
        <v>0</v>
      </c>
      <c r="L133" s="7">
        <f>IF(AND(C133=0,D133=0,I133=1),1,0)</f>
        <v>0</v>
      </c>
      <c r="M133" s="7">
        <f>IF(AND(C133=0,D133=0,J133=1),1,0)</f>
        <v>0</v>
      </c>
    </row>
    <row r="134" spans="1:13">
      <c r="A134" s="7">
        <f>Raw_Passengers!A134</f>
        <v>38789</v>
      </c>
      <c r="B134" s="7">
        <f>Raw_Passengers!B134</f>
        <v>1019199</v>
      </c>
      <c r="C134" s="7">
        <f>IF(COUNTIF(Raw_Passengers!$A$2:A134,Raw_Passengers!A134)&gt;1,1,0)</f>
        <v>0</v>
      </c>
      <c r="D134" s="7">
        <f>IF(COUNTIF(Raw_Bookings!$A$2:$A$648,Raw_Passengers!B134)=0,1,0)</f>
        <v>0</v>
      </c>
      <c r="E134" s="7">
        <f>IF(OR(C134=1,D134=1),0,IF(NOT(ISNUMBER(Raw_Passengers!E134)),1,IF(Raw_Passengers!E134&lt;=0,1,0)))</f>
        <v>0</v>
      </c>
      <c r="F134" s="7">
        <f>IF(AND(C134=0,D134=0,TRIM(Raw_Passengers!D134&amp;"")=""),1,0)</f>
        <v>0</v>
      </c>
      <c r="G134" s="7" t="str">
        <f>IF(SUMPRODUCT(--(Lookup_Status!$A$2:$A$13=LOWER(TRIM(Raw_Passengers!F134))))=0,"",INDEX(Lookup_Status!$B$2:$B$13,SUMPRODUCT((Lookup_Status!$A$2:$A$13=LOWER(TRIM(Raw_Passengers!F134)))*(ROW(Lookup_Status!$A$2:$A$13)-1))))</f>
        <v>Waitlisted</v>
      </c>
      <c r="H134" s="7" t="str">
        <f>IF(SUMPRODUCT(--(Lookup_Status!$A$2:$A$13=LOWER(TRIM(Raw_Passengers!G134))))=0,"",INDEX(Lookup_Status!$B$2:$B$13,SUMPRODUCT((Lookup_Status!$A$2:$A$13=LOWER(TRIM(Raw_Passengers!G134)))*(ROW(Lookup_Status!$A$2:$A$13)-1))))</f>
        <v>Waitlisted</v>
      </c>
      <c r="I134" s="7">
        <f>IF(OR(G134="",G134="Cancelled",G134="Mixed"),1,0)</f>
        <v>0</v>
      </c>
      <c r="J134" s="7">
        <f>IF(OR(H134="",H134="Mixed"),1,0)</f>
        <v>0</v>
      </c>
      <c r="K134" s="7">
        <f>IF(AND(C134=0,D134=0),IF(OR(AND(I134=0,NOT(EXACT(Raw_Passengers!F134,G134))),AND(J134=0,NOT(EXACT(Raw_Passengers!G134,H134)))),1,0),0)</f>
        <v>0</v>
      </c>
      <c r="L134" s="7">
        <f>IF(AND(C134=0,D134=0,I134=1),1,0)</f>
        <v>0</v>
      </c>
      <c r="M134" s="7">
        <f>IF(AND(C134=0,D134=0,J134=1),1,0)</f>
        <v>0</v>
      </c>
    </row>
    <row r="135" spans="1:13">
      <c r="A135" s="7">
        <f>Raw_Passengers!A135</f>
        <v>38790</v>
      </c>
      <c r="B135" s="7">
        <f>Raw_Passengers!B135</f>
        <v>1019199</v>
      </c>
      <c r="C135" s="7">
        <f>IF(COUNTIF(Raw_Passengers!$A$2:A135,Raw_Passengers!A135)&gt;1,1,0)</f>
        <v>0</v>
      </c>
      <c r="D135" s="7">
        <f>IF(COUNTIF(Raw_Bookings!$A$2:$A$648,Raw_Passengers!B135)=0,1,0)</f>
        <v>0</v>
      </c>
      <c r="E135" s="7">
        <f>IF(OR(C135=1,D135=1),0,IF(NOT(ISNUMBER(Raw_Passengers!E135)),1,IF(Raw_Passengers!E135&lt;=0,1,0)))</f>
        <v>0</v>
      </c>
      <c r="F135" s="7">
        <f>IF(AND(C135=0,D135=0,TRIM(Raw_Passengers!D135&amp;"")=""),1,0)</f>
        <v>0</v>
      </c>
      <c r="G135" s="7" t="str">
        <f>IF(SUMPRODUCT(--(Lookup_Status!$A$2:$A$13=LOWER(TRIM(Raw_Passengers!F135))))=0,"",INDEX(Lookup_Status!$B$2:$B$13,SUMPRODUCT((Lookup_Status!$A$2:$A$13=LOWER(TRIM(Raw_Passengers!F135)))*(ROW(Lookup_Status!$A$2:$A$13)-1))))</f>
        <v>Waitlisted</v>
      </c>
      <c r="H135" s="7" t="str">
        <f>IF(SUMPRODUCT(--(Lookup_Status!$A$2:$A$13=LOWER(TRIM(Raw_Passengers!G135))))=0,"",INDEX(Lookup_Status!$B$2:$B$13,SUMPRODUCT((Lookup_Status!$A$2:$A$13=LOWER(TRIM(Raw_Passengers!G135)))*(ROW(Lookup_Status!$A$2:$A$13)-1))))</f>
        <v>Waitlisted</v>
      </c>
      <c r="I135" s="7">
        <f>IF(OR(G135="",G135="Cancelled",G135="Mixed"),1,0)</f>
        <v>0</v>
      </c>
      <c r="J135" s="7">
        <f>IF(OR(H135="",H135="Mixed"),1,0)</f>
        <v>0</v>
      </c>
      <c r="K135" s="7">
        <f>IF(AND(C135=0,D135=0),IF(OR(AND(I135=0,NOT(EXACT(Raw_Passengers!F135,G135))),AND(J135=0,NOT(EXACT(Raw_Passengers!G135,H135)))),1,0),0)</f>
        <v>0</v>
      </c>
      <c r="L135" s="7">
        <f>IF(AND(C135=0,D135=0,I135=1),1,0)</f>
        <v>0</v>
      </c>
      <c r="M135" s="7">
        <f>IF(AND(C135=0,D135=0,J135=1),1,0)</f>
        <v>0</v>
      </c>
    </row>
    <row r="136" spans="1:13">
      <c r="A136" s="7">
        <f>Raw_Passengers!A136</f>
        <v>38791</v>
      </c>
      <c r="B136" s="7">
        <f>Raw_Passengers!B136</f>
        <v>1019199</v>
      </c>
      <c r="C136" s="7">
        <f>IF(COUNTIF(Raw_Passengers!$A$2:A136,Raw_Passengers!A136)&gt;1,1,0)</f>
        <v>0</v>
      </c>
      <c r="D136" s="7">
        <f>IF(COUNTIF(Raw_Bookings!$A$2:$A$648,Raw_Passengers!B136)=0,1,0)</f>
        <v>0</v>
      </c>
      <c r="E136" s="7">
        <f>IF(OR(C136=1,D136=1),0,IF(NOT(ISNUMBER(Raw_Passengers!E136)),1,IF(Raw_Passengers!E136&lt;=0,1,0)))</f>
        <v>0</v>
      </c>
      <c r="F136" s="7">
        <f>IF(AND(C136=0,D136=0,TRIM(Raw_Passengers!D136&amp;"")=""),1,0)</f>
        <v>0</v>
      </c>
      <c r="G136" s="7" t="str">
        <f>IF(SUMPRODUCT(--(Lookup_Status!$A$2:$A$13=LOWER(TRIM(Raw_Passengers!F136))))=0,"",INDEX(Lookup_Status!$B$2:$B$13,SUMPRODUCT((Lookup_Status!$A$2:$A$13=LOWER(TRIM(Raw_Passengers!F136)))*(ROW(Lookup_Status!$A$2:$A$13)-1))))</f>
        <v>Waitlisted</v>
      </c>
      <c r="H136" s="7" t="str">
        <f>IF(SUMPRODUCT(--(Lookup_Status!$A$2:$A$13=LOWER(TRIM(Raw_Passengers!G136))))=0,"",INDEX(Lookup_Status!$B$2:$B$13,SUMPRODUCT((Lookup_Status!$A$2:$A$13=LOWER(TRIM(Raw_Passengers!G136)))*(ROW(Lookup_Status!$A$2:$A$13)-1))))</f>
        <v>Waitlisted</v>
      </c>
      <c r="I136" s="7">
        <f>IF(OR(G136="",G136="Cancelled",G136="Mixed"),1,0)</f>
        <v>0</v>
      </c>
      <c r="J136" s="7">
        <f>IF(OR(H136="",H136="Mixed"),1,0)</f>
        <v>0</v>
      </c>
      <c r="K136" s="7">
        <f>IF(AND(C136=0,D136=0),IF(OR(AND(I136=0,NOT(EXACT(Raw_Passengers!F136,G136))),AND(J136=0,NOT(EXACT(Raw_Passengers!G136,H136)))),1,0),0)</f>
        <v>0</v>
      </c>
      <c r="L136" s="7">
        <f>IF(AND(C136=0,D136=0,I136=1),1,0)</f>
        <v>0</v>
      </c>
      <c r="M136" s="7">
        <f>IF(AND(C136=0,D136=0,J136=1),1,0)</f>
        <v>0</v>
      </c>
    </row>
    <row r="137" spans="1:13">
      <c r="A137" s="7">
        <f>Raw_Passengers!A137</f>
        <v>40321</v>
      </c>
      <c r="B137" s="7">
        <f>Raw_Passengers!B137</f>
        <v>1019981</v>
      </c>
      <c r="C137" s="7">
        <f>IF(COUNTIF(Raw_Passengers!$A$2:A137,Raw_Passengers!A137)&gt;1,1,0)</f>
        <v>0</v>
      </c>
      <c r="D137" s="7">
        <f>IF(COUNTIF(Raw_Bookings!$A$2:$A$648,Raw_Passengers!B137)=0,1,0)</f>
        <v>0</v>
      </c>
      <c r="E137" s="7">
        <f>IF(OR(C137=1,D137=1),0,IF(NOT(ISNUMBER(Raw_Passengers!E137)),1,IF(Raw_Passengers!E137&lt;=0,1,0)))</f>
        <v>0</v>
      </c>
      <c r="F137" s="7">
        <f>IF(AND(C137=0,D137=0,TRIM(Raw_Passengers!D137&amp;"")=""),1,0)</f>
        <v>0</v>
      </c>
      <c r="G137" s="7" t="str">
        <f>IF(SUMPRODUCT(--(Lookup_Status!$A$2:$A$13=LOWER(TRIM(Raw_Passengers!F137))))=0,"",INDEX(Lookup_Status!$B$2:$B$13,SUMPRODUCT((Lookup_Status!$A$2:$A$13=LOWER(TRIM(Raw_Passengers!F137)))*(ROW(Lookup_Status!$A$2:$A$13)-1))))</f>
        <v>Confirmed</v>
      </c>
      <c r="H137" s="7" t="str">
        <f>IF(SUMPRODUCT(--(Lookup_Status!$A$2:$A$13=LOWER(TRIM(Raw_Passengers!G137))))=0,"",INDEX(Lookup_Status!$B$2:$B$13,SUMPRODUCT((Lookup_Status!$A$2:$A$13=LOWER(TRIM(Raw_Passengers!G137)))*(ROW(Lookup_Status!$A$2:$A$13)-1))))</f>
        <v>Confirmed</v>
      </c>
      <c r="I137" s="7">
        <f>IF(OR(G137="",G137="Cancelled",G137="Mixed"),1,0)</f>
        <v>0</v>
      </c>
      <c r="J137" s="7">
        <f>IF(OR(H137="",H137="Mixed"),1,0)</f>
        <v>0</v>
      </c>
      <c r="K137" s="7">
        <f>IF(AND(C137=0,D137=0),IF(OR(AND(I137=0,NOT(EXACT(Raw_Passengers!F137,G137))),AND(J137=0,NOT(EXACT(Raw_Passengers!G137,H137)))),1,0),0)</f>
        <v>0</v>
      </c>
      <c r="L137" s="7">
        <f>IF(AND(C137=0,D137=0,I137=1),1,0)</f>
        <v>0</v>
      </c>
      <c r="M137" s="7">
        <f>IF(AND(C137=0,D137=0,J137=1),1,0)</f>
        <v>0</v>
      </c>
    </row>
    <row r="138" spans="1:13">
      <c r="A138" s="7">
        <f>Raw_Passengers!A138</f>
        <v>40322</v>
      </c>
      <c r="B138" s="7">
        <f>Raw_Passengers!B138</f>
        <v>1019981</v>
      </c>
      <c r="C138" s="7">
        <f>IF(COUNTIF(Raw_Passengers!$A$2:A138,Raw_Passengers!A138)&gt;1,1,0)</f>
        <v>0</v>
      </c>
      <c r="D138" s="7">
        <f>IF(COUNTIF(Raw_Bookings!$A$2:$A$648,Raw_Passengers!B138)=0,1,0)</f>
        <v>0</v>
      </c>
      <c r="E138" s="7">
        <f>IF(OR(C138=1,D138=1),0,IF(NOT(ISNUMBER(Raw_Passengers!E138)),1,IF(Raw_Passengers!E138&lt;=0,1,0)))</f>
        <v>0</v>
      </c>
      <c r="F138" s="7">
        <f>IF(AND(C138=0,D138=0,TRIM(Raw_Passengers!D138&amp;"")=""),1,0)</f>
        <v>0</v>
      </c>
      <c r="G138" s="7" t="str">
        <f>IF(SUMPRODUCT(--(Lookup_Status!$A$2:$A$13=LOWER(TRIM(Raw_Passengers!F138))))=0,"",INDEX(Lookup_Status!$B$2:$B$13,SUMPRODUCT((Lookup_Status!$A$2:$A$13=LOWER(TRIM(Raw_Passengers!F138)))*(ROW(Lookup_Status!$A$2:$A$13)-1))))</f>
        <v>Confirmed</v>
      </c>
      <c r="H138" s="7" t="str">
        <f>IF(SUMPRODUCT(--(Lookup_Status!$A$2:$A$13=LOWER(TRIM(Raw_Passengers!G138))))=0,"",INDEX(Lookup_Status!$B$2:$B$13,SUMPRODUCT((Lookup_Status!$A$2:$A$13=LOWER(TRIM(Raw_Passengers!G138)))*(ROW(Lookup_Status!$A$2:$A$13)-1))))</f>
        <v>Confirmed</v>
      </c>
      <c r="I138" s="7">
        <f>IF(OR(G138="",G138="Cancelled",G138="Mixed"),1,0)</f>
        <v>0</v>
      </c>
      <c r="J138" s="7">
        <f>IF(OR(H138="",H138="Mixed"),1,0)</f>
        <v>0</v>
      </c>
      <c r="K138" s="7">
        <f>IF(AND(C138=0,D138=0),IF(OR(AND(I138=0,NOT(EXACT(Raw_Passengers!F138,G138))),AND(J138=0,NOT(EXACT(Raw_Passengers!G138,H138)))),1,0),0)</f>
        <v>0</v>
      </c>
      <c r="L138" s="7">
        <f>IF(AND(C138=0,D138=0,I138=1),1,0)</f>
        <v>0</v>
      </c>
      <c r="M138" s="7">
        <f>IF(AND(C138=0,D138=0,J138=1),1,0)</f>
        <v>0</v>
      </c>
    </row>
    <row r="139" spans="1:13">
      <c r="A139" s="7">
        <f>Raw_Passengers!A139</f>
        <v>41307</v>
      </c>
      <c r="B139" s="7">
        <f>Raw_Passengers!B139</f>
        <v>1020492</v>
      </c>
      <c r="C139" s="7">
        <f>IF(COUNTIF(Raw_Passengers!$A$2:A139,Raw_Passengers!A139)&gt;1,1,0)</f>
        <v>0</v>
      </c>
      <c r="D139" s="7">
        <f>IF(COUNTIF(Raw_Bookings!$A$2:$A$648,Raw_Passengers!B139)=0,1,0)</f>
        <v>0</v>
      </c>
      <c r="E139" s="7">
        <f>IF(OR(C139=1,D139=1),0,IF(NOT(ISNUMBER(Raw_Passengers!E139)),1,IF(Raw_Passengers!E139&lt;=0,1,0)))</f>
        <v>0</v>
      </c>
      <c r="F139" s="7">
        <f>IF(AND(C139=0,D139=0,TRIM(Raw_Passengers!D139&amp;"")=""),1,0)</f>
        <v>1</v>
      </c>
      <c r="G139" s="7" t="str">
        <f>IF(SUMPRODUCT(--(Lookup_Status!$A$2:$A$13=LOWER(TRIM(Raw_Passengers!F139))))=0,"",INDEX(Lookup_Status!$B$2:$B$13,SUMPRODUCT((Lookup_Status!$A$2:$A$13=LOWER(TRIM(Raw_Passengers!F139)))*(ROW(Lookup_Status!$A$2:$A$13)-1))))</f>
        <v>RAC</v>
      </c>
      <c r="H139" s="7" t="str">
        <f>IF(SUMPRODUCT(--(Lookup_Status!$A$2:$A$13=LOWER(TRIM(Raw_Passengers!G139))))=0,"",INDEX(Lookup_Status!$B$2:$B$13,SUMPRODUCT((Lookup_Status!$A$2:$A$13=LOWER(TRIM(Raw_Passengers!G139)))*(ROW(Lookup_Status!$A$2:$A$13)-1))))</f>
        <v>RAC</v>
      </c>
      <c r="I139" s="7">
        <f>IF(OR(G139="",G139="Cancelled",G139="Mixed"),1,0)</f>
        <v>0</v>
      </c>
      <c r="J139" s="7">
        <f>IF(OR(H139="",H139="Mixed"),1,0)</f>
        <v>0</v>
      </c>
      <c r="K139" s="7">
        <f>IF(AND(C139=0,D139=0),IF(OR(AND(I139=0,NOT(EXACT(Raw_Passengers!F139,G139))),AND(J139=0,NOT(EXACT(Raw_Passengers!G139,H139)))),1,0),0)</f>
        <v>0</v>
      </c>
      <c r="L139" s="7">
        <f>IF(AND(C139=0,D139=0,I139=1),1,0)</f>
        <v>0</v>
      </c>
      <c r="M139" s="7">
        <f>IF(AND(C139=0,D139=0,J139=1),1,0)</f>
        <v>0</v>
      </c>
    </row>
    <row r="140" spans="1:13">
      <c r="A140" s="7">
        <f>Raw_Passengers!A140</f>
        <v>41308</v>
      </c>
      <c r="B140" s="7">
        <f>Raw_Passengers!B140</f>
        <v>1020492</v>
      </c>
      <c r="C140" s="7">
        <f>IF(COUNTIF(Raw_Passengers!$A$2:A140,Raw_Passengers!A140)&gt;1,1,0)</f>
        <v>0</v>
      </c>
      <c r="D140" s="7">
        <f>IF(COUNTIF(Raw_Bookings!$A$2:$A$648,Raw_Passengers!B140)=0,1,0)</f>
        <v>0</v>
      </c>
      <c r="E140" s="7">
        <f>IF(OR(C140=1,D140=1),0,IF(NOT(ISNUMBER(Raw_Passengers!E140)),1,IF(Raw_Passengers!E140&lt;=0,1,0)))</f>
        <v>0</v>
      </c>
      <c r="F140" s="7">
        <f>IF(AND(C140=0,D140=0,TRIM(Raw_Passengers!D140&amp;"")=""),1,0)</f>
        <v>0</v>
      </c>
      <c r="G140" s="7" t="str">
        <f>IF(SUMPRODUCT(--(Lookup_Status!$A$2:$A$13=LOWER(TRIM(Raw_Passengers!F140))))=0,"",INDEX(Lookup_Status!$B$2:$B$13,SUMPRODUCT((Lookup_Status!$A$2:$A$13=LOWER(TRIM(Raw_Passengers!F140)))*(ROW(Lookup_Status!$A$2:$A$13)-1))))</f>
        <v>RAC</v>
      </c>
      <c r="H140" s="7" t="str">
        <f>IF(SUMPRODUCT(--(Lookup_Status!$A$2:$A$13=LOWER(TRIM(Raw_Passengers!G140))))=0,"",INDEX(Lookup_Status!$B$2:$B$13,SUMPRODUCT((Lookup_Status!$A$2:$A$13=LOWER(TRIM(Raw_Passengers!G140)))*(ROW(Lookup_Status!$A$2:$A$13)-1))))</f>
        <v>RAC</v>
      </c>
      <c r="I140" s="7">
        <f>IF(OR(G140="",G140="Cancelled",G140="Mixed"),1,0)</f>
        <v>0</v>
      </c>
      <c r="J140" s="7">
        <f>IF(OR(H140="",H140="Mixed"),1,0)</f>
        <v>0</v>
      </c>
      <c r="K140" s="7">
        <f>IF(AND(C140=0,D140=0),IF(OR(AND(I140=0,NOT(EXACT(Raw_Passengers!F140,G140))),AND(J140=0,NOT(EXACT(Raw_Passengers!G140,H140)))),1,0),0)</f>
        <v>0</v>
      </c>
      <c r="L140" s="7">
        <f>IF(AND(C140=0,D140=0,I140=1),1,0)</f>
        <v>0</v>
      </c>
      <c r="M140" s="7">
        <f>IF(AND(C140=0,D140=0,J140=1),1,0)</f>
        <v>0</v>
      </c>
    </row>
    <row r="141" spans="1:13">
      <c r="A141" s="7">
        <f>Raw_Passengers!A141</f>
        <v>42344</v>
      </c>
      <c r="B141" s="7">
        <f>Raw_Passengers!B141</f>
        <v>1020992</v>
      </c>
      <c r="C141" s="7">
        <f>IF(COUNTIF(Raw_Passengers!$A$2:A141,Raw_Passengers!A141)&gt;1,1,0)</f>
        <v>0</v>
      </c>
      <c r="D141" s="7">
        <f>IF(COUNTIF(Raw_Bookings!$A$2:$A$648,Raw_Passengers!B141)=0,1,0)</f>
        <v>0</v>
      </c>
      <c r="E141" s="7">
        <f>IF(OR(C141=1,D141=1),0,IF(NOT(ISNUMBER(Raw_Passengers!E141)),1,IF(Raw_Passengers!E141&lt;=0,1,0)))</f>
        <v>0</v>
      </c>
      <c r="F141" s="7">
        <f>IF(AND(C141=0,D141=0,TRIM(Raw_Passengers!D141&amp;"")=""),1,0)</f>
        <v>0</v>
      </c>
      <c r="G141" s="7" t="str">
        <f>IF(SUMPRODUCT(--(Lookup_Status!$A$2:$A$13=LOWER(TRIM(Raw_Passengers!F141))))=0,"",INDEX(Lookup_Status!$B$2:$B$13,SUMPRODUCT((Lookup_Status!$A$2:$A$13=LOWER(TRIM(Raw_Passengers!F141)))*(ROW(Lookup_Status!$A$2:$A$13)-1))))</f>
        <v>Confirmed</v>
      </c>
      <c r="H141" s="7" t="str">
        <f>IF(SUMPRODUCT(--(Lookup_Status!$A$2:$A$13=LOWER(TRIM(Raw_Passengers!G141))))=0,"",INDEX(Lookup_Status!$B$2:$B$13,SUMPRODUCT((Lookup_Status!$A$2:$A$13=LOWER(TRIM(Raw_Passengers!G141)))*(ROW(Lookup_Status!$A$2:$A$13)-1))))</f>
        <v>Confirmed</v>
      </c>
      <c r="I141" s="7">
        <f>IF(OR(G141="",G141="Cancelled",G141="Mixed"),1,0)</f>
        <v>0</v>
      </c>
      <c r="J141" s="7">
        <f>IF(OR(H141="",H141="Mixed"),1,0)</f>
        <v>0</v>
      </c>
      <c r="K141" s="7">
        <f>IF(AND(C141=0,D141=0),IF(OR(AND(I141=0,NOT(EXACT(Raw_Passengers!F141,G141))),AND(J141=0,NOT(EXACT(Raw_Passengers!G141,H141)))),1,0),0)</f>
        <v>0</v>
      </c>
      <c r="L141" s="7">
        <f>IF(AND(C141=0,D141=0,I141=1),1,0)</f>
        <v>0</v>
      </c>
      <c r="M141" s="7">
        <f>IF(AND(C141=0,D141=0,J141=1),1,0)</f>
        <v>0</v>
      </c>
    </row>
    <row r="142" spans="1:13">
      <c r="A142" s="7">
        <f>Raw_Passengers!A142</f>
        <v>42345</v>
      </c>
      <c r="B142" s="7">
        <f>Raw_Passengers!B142</f>
        <v>1020992</v>
      </c>
      <c r="C142" s="7">
        <f>IF(COUNTIF(Raw_Passengers!$A$2:A142,Raw_Passengers!A142)&gt;1,1,0)</f>
        <v>0</v>
      </c>
      <c r="D142" s="7">
        <f>IF(COUNTIF(Raw_Bookings!$A$2:$A$648,Raw_Passengers!B142)=0,1,0)</f>
        <v>0</v>
      </c>
      <c r="E142" s="7">
        <f>IF(OR(C142=1,D142=1),0,IF(NOT(ISNUMBER(Raw_Passengers!E142)),1,IF(Raw_Passengers!E142&lt;=0,1,0)))</f>
        <v>0</v>
      </c>
      <c r="F142" s="7">
        <f>IF(AND(C142=0,D142=0,TRIM(Raw_Passengers!D142&amp;"")=""),1,0)</f>
        <v>0</v>
      </c>
      <c r="G142" s="7" t="str">
        <f>IF(SUMPRODUCT(--(Lookup_Status!$A$2:$A$13=LOWER(TRIM(Raw_Passengers!F142))))=0,"",INDEX(Lookup_Status!$B$2:$B$13,SUMPRODUCT((Lookup_Status!$A$2:$A$13=LOWER(TRIM(Raw_Passengers!F142)))*(ROW(Lookup_Status!$A$2:$A$13)-1))))</f>
        <v>Confirmed</v>
      </c>
      <c r="H142" s="7" t="str">
        <f>IF(SUMPRODUCT(--(Lookup_Status!$A$2:$A$13=LOWER(TRIM(Raw_Passengers!G142))))=0,"",INDEX(Lookup_Status!$B$2:$B$13,SUMPRODUCT((Lookup_Status!$A$2:$A$13=LOWER(TRIM(Raw_Passengers!G142)))*(ROW(Lookup_Status!$A$2:$A$13)-1))))</f>
        <v>Confirmed</v>
      </c>
      <c r="I142" s="7">
        <f>IF(OR(G142="",G142="Cancelled",G142="Mixed"),1,0)</f>
        <v>0</v>
      </c>
      <c r="J142" s="7">
        <f>IF(OR(H142="",H142="Mixed"),1,0)</f>
        <v>0</v>
      </c>
      <c r="K142" s="7">
        <f>IF(AND(C142=0,D142=0),IF(OR(AND(I142=0,NOT(EXACT(Raw_Passengers!F142,G142))),AND(J142=0,NOT(EXACT(Raw_Passengers!G142,H142)))),1,0),0)</f>
        <v>0</v>
      </c>
      <c r="L142" s="7">
        <f>IF(AND(C142=0,D142=0,I142=1),1,0)</f>
        <v>0</v>
      </c>
      <c r="M142" s="7">
        <f>IF(AND(C142=0,D142=0,J142=1),1,0)</f>
        <v>0</v>
      </c>
    </row>
    <row r="143" spans="1:13">
      <c r="A143" s="7">
        <f>Raw_Passengers!A143</f>
        <v>42383</v>
      </c>
      <c r="B143" s="7">
        <f>Raw_Passengers!B143</f>
        <v>1021010</v>
      </c>
      <c r="C143" s="7">
        <f>IF(COUNTIF(Raw_Passengers!$A$2:A143,Raw_Passengers!A143)&gt;1,1,0)</f>
        <v>0</v>
      </c>
      <c r="D143" s="7">
        <f>IF(COUNTIF(Raw_Bookings!$A$2:$A$648,Raw_Passengers!B143)=0,1,0)</f>
        <v>0</v>
      </c>
      <c r="E143" s="7">
        <f>IF(OR(C143=1,D143=1),0,IF(NOT(ISNUMBER(Raw_Passengers!E143)),1,IF(Raw_Passengers!E143&lt;=0,1,0)))</f>
        <v>0</v>
      </c>
      <c r="F143" s="7">
        <f>IF(AND(C143=0,D143=0,TRIM(Raw_Passengers!D143&amp;"")=""),1,0)</f>
        <v>0</v>
      </c>
      <c r="G143" s="7" t="str">
        <f>IF(SUMPRODUCT(--(Lookup_Status!$A$2:$A$13=LOWER(TRIM(Raw_Passengers!F143))))=0,"",INDEX(Lookup_Status!$B$2:$B$13,SUMPRODUCT((Lookup_Status!$A$2:$A$13=LOWER(TRIM(Raw_Passengers!F143)))*(ROW(Lookup_Status!$A$2:$A$13)-1))))</f>
        <v>Confirmed</v>
      </c>
      <c r="H143" s="7" t="str">
        <f>IF(SUMPRODUCT(--(Lookup_Status!$A$2:$A$13=LOWER(TRIM(Raw_Passengers!G143))))=0,"",INDEX(Lookup_Status!$B$2:$B$13,SUMPRODUCT((Lookup_Status!$A$2:$A$13=LOWER(TRIM(Raw_Passengers!G143)))*(ROW(Lookup_Status!$A$2:$A$13)-1))))</f>
        <v>Cancelled</v>
      </c>
      <c r="I143" s="7">
        <f>IF(OR(G143="",G143="Cancelled",G143="Mixed"),1,0)</f>
        <v>0</v>
      </c>
      <c r="J143" s="7">
        <f>IF(OR(H143="",H143="Mixed"),1,0)</f>
        <v>0</v>
      </c>
      <c r="K143" s="7">
        <f>IF(AND(C143=0,D143=0),IF(OR(AND(I143=0,NOT(EXACT(Raw_Passengers!F143,G143))),AND(J143=0,NOT(EXACT(Raw_Passengers!G143,H143)))),1,0),0)</f>
        <v>0</v>
      </c>
      <c r="L143" s="7">
        <f>IF(AND(C143=0,D143=0,I143=1),1,0)</f>
        <v>0</v>
      </c>
      <c r="M143" s="7">
        <f>IF(AND(C143=0,D143=0,J143=1),1,0)</f>
        <v>0</v>
      </c>
    </row>
    <row r="144" spans="1:13">
      <c r="A144" s="7">
        <f>Raw_Passengers!A144</f>
        <v>42498</v>
      </c>
      <c r="B144" s="7">
        <f>Raw_Passengers!B144</f>
        <v>1021072</v>
      </c>
      <c r="C144" s="7">
        <f>IF(COUNTIF(Raw_Passengers!$A$2:A144,Raw_Passengers!A144)&gt;1,1,0)</f>
        <v>0</v>
      </c>
      <c r="D144" s="7">
        <f>IF(COUNTIF(Raw_Bookings!$A$2:$A$648,Raw_Passengers!B144)=0,1,0)</f>
        <v>0</v>
      </c>
      <c r="E144" s="7">
        <f>IF(OR(C144=1,D144=1),0,IF(NOT(ISNUMBER(Raw_Passengers!E144)),1,IF(Raw_Passengers!E144&lt;=0,1,0)))</f>
        <v>0</v>
      </c>
      <c r="F144" s="7">
        <f>IF(AND(C144=0,D144=0,TRIM(Raw_Passengers!D144&amp;"")=""),1,0)</f>
        <v>0</v>
      </c>
      <c r="G144" s="7" t="str">
        <f>IF(SUMPRODUCT(--(Lookup_Status!$A$2:$A$13=LOWER(TRIM(Raw_Passengers!F144))))=0,"",INDEX(Lookup_Status!$B$2:$B$13,SUMPRODUCT((Lookup_Status!$A$2:$A$13=LOWER(TRIM(Raw_Passengers!F144)))*(ROW(Lookup_Status!$A$2:$A$13)-1))))</f>
        <v>Confirmed</v>
      </c>
      <c r="H144" s="7" t="str">
        <f>IF(SUMPRODUCT(--(Lookup_Status!$A$2:$A$13=LOWER(TRIM(Raw_Passengers!G144))))=0,"",INDEX(Lookup_Status!$B$2:$B$13,SUMPRODUCT((Lookup_Status!$A$2:$A$13=LOWER(TRIM(Raw_Passengers!G144)))*(ROW(Lookup_Status!$A$2:$A$13)-1))))</f>
        <v>Confirmed</v>
      </c>
      <c r="I144" s="7">
        <f>IF(OR(G144="",G144="Cancelled",G144="Mixed"),1,0)</f>
        <v>0</v>
      </c>
      <c r="J144" s="7">
        <f>IF(OR(H144="",H144="Mixed"),1,0)</f>
        <v>0</v>
      </c>
      <c r="K144" s="7">
        <f>IF(AND(C144=0,D144=0),IF(OR(AND(I144=0,NOT(EXACT(Raw_Passengers!F144,G144))),AND(J144=0,NOT(EXACT(Raw_Passengers!G144,H144)))),1,0),0)</f>
        <v>0</v>
      </c>
      <c r="L144" s="7">
        <f>IF(AND(C144=0,D144=0,I144=1),1,0)</f>
        <v>0</v>
      </c>
      <c r="M144" s="7">
        <f>IF(AND(C144=0,D144=0,J144=1),1,0)</f>
        <v>0</v>
      </c>
    </row>
    <row r="145" spans="1:13">
      <c r="A145" s="7">
        <f>Raw_Passengers!A145</f>
        <v>42499</v>
      </c>
      <c r="B145" s="7">
        <f>Raw_Passengers!B145</f>
        <v>1021072</v>
      </c>
      <c r="C145" s="7">
        <f>IF(COUNTIF(Raw_Passengers!$A$2:A145,Raw_Passengers!A145)&gt;1,1,0)</f>
        <v>0</v>
      </c>
      <c r="D145" s="7">
        <f>IF(COUNTIF(Raw_Bookings!$A$2:$A$648,Raw_Passengers!B145)=0,1,0)</f>
        <v>0</v>
      </c>
      <c r="E145" s="7">
        <f>IF(OR(C145=1,D145=1),0,IF(NOT(ISNUMBER(Raw_Passengers!E145)),1,IF(Raw_Passengers!E145&lt;=0,1,0)))</f>
        <v>0</v>
      </c>
      <c r="F145" s="7">
        <f>IF(AND(C145=0,D145=0,TRIM(Raw_Passengers!D145&amp;"")=""),1,0)</f>
        <v>0</v>
      </c>
      <c r="G145" s="7" t="str">
        <f>IF(SUMPRODUCT(--(Lookup_Status!$A$2:$A$13=LOWER(TRIM(Raw_Passengers!F145))))=0,"",INDEX(Lookup_Status!$B$2:$B$13,SUMPRODUCT((Lookup_Status!$A$2:$A$13=LOWER(TRIM(Raw_Passengers!F145)))*(ROW(Lookup_Status!$A$2:$A$13)-1))))</f>
        <v>Confirmed</v>
      </c>
      <c r="H145" s="7" t="str">
        <f>IF(SUMPRODUCT(--(Lookup_Status!$A$2:$A$13=LOWER(TRIM(Raw_Passengers!G145))))=0,"",INDEX(Lookup_Status!$B$2:$B$13,SUMPRODUCT((Lookup_Status!$A$2:$A$13=LOWER(TRIM(Raw_Passengers!G145)))*(ROW(Lookup_Status!$A$2:$A$13)-1))))</f>
        <v>Confirmed</v>
      </c>
      <c r="I145" s="7">
        <f>IF(OR(G145="",G145="Cancelled",G145="Mixed"),1,0)</f>
        <v>0</v>
      </c>
      <c r="J145" s="7">
        <f>IF(OR(H145="",H145="Mixed"),1,0)</f>
        <v>0</v>
      </c>
      <c r="K145" s="7">
        <f>IF(AND(C145=0,D145=0),IF(OR(AND(I145=0,NOT(EXACT(Raw_Passengers!F145,G145))),AND(J145=0,NOT(EXACT(Raw_Passengers!G145,H145)))),1,0),0)</f>
        <v>0</v>
      </c>
      <c r="L145" s="7">
        <f>IF(AND(C145=0,D145=0,I145=1),1,0)</f>
        <v>0</v>
      </c>
      <c r="M145" s="7">
        <f>IF(AND(C145=0,D145=0,J145=1),1,0)</f>
        <v>0</v>
      </c>
    </row>
    <row r="146" spans="1:13">
      <c r="A146" s="7">
        <f>Raw_Passengers!A146</f>
        <v>43214</v>
      </c>
      <c r="B146" s="7">
        <f>Raw_Passengers!B146</f>
        <v>1021441</v>
      </c>
      <c r="C146" s="7">
        <f>IF(COUNTIF(Raw_Passengers!$A$2:A146,Raw_Passengers!A146)&gt;1,1,0)</f>
        <v>0</v>
      </c>
      <c r="D146" s="7">
        <f>IF(COUNTIF(Raw_Bookings!$A$2:$A$648,Raw_Passengers!B146)=0,1,0)</f>
        <v>0</v>
      </c>
      <c r="E146" s="7">
        <f>IF(OR(C146=1,D146=1),0,IF(NOT(ISNUMBER(Raw_Passengers!E146)),1,IF(Raw_Passengers!E146&lt;=0,1,0)))</f>
        <v>0</v>
      </c>
      <c r="F146" s="7">
        <f>IF(AND(C146=0,D146=0,TRIM(Raw_Passengers!D146&amp;"")=""),1,0)</f>
        <v>0</v>
      </c>
      <c r="G146" s="7" t="str">
        <f>IF(SUMPRODUCT(--(Lookup_Status!$A$2:$A$13=LOWER(TRIM(Raw_Passengers!F146))))=0,"",INDEX(Lookup_Status!$B$2:$B$13,SUMPRODUCT((Lookup_Status!$A$2:$A$13=LOWER(TRIM(Raw_Passengers!F146)))*(ROW(Lookup_Status!$A$2:$A$13)-1))))</f>
        <v>Confirmed</v>
      </c>
      <c r="H146" s="7" t="str">
        <f>IF(SUMPRODUCT(--(Lookup_Status!$A$2:$A$13=LOWER(TRIM(Raw_Passengers!G146))))=0,"",INDEX(Lookup_Status!$B$2:$B$13,SUMPRODUCT((Lookup_Status!$A$2:$A$13=LOWER(TRIM(Raw_Passengers!G146)))*(ROW(Lookup_Status!$A$2:$A$13)-1))))</f>
        <v>Confirmed</v>
      </c>
      <c r="I146" s="7">
        <f>IF(OR(G146="",G146="Cancelled",G146="Mixed"),1,0)</f>
        <v>0</v>
      </c>
      <c r="J146" s="7">
        <f>IF(OR(H146="",H146="Mixed"),1,0)</f>
        <v>0</v>
      </c>
      <c r="K146" s="7">
        <f>IF(AND(C146=0,D146=0),IF(OR(AND(I146=0,NOT(EXACT(Raw_Passengers!F146,G146))),AND(J146=0,NOT(EXACT(Raw_Passengers!G146,H146)))),1,0),0)</f>
        <v>0</v>
      </c>
      <c r="L146" s="7">
        <f>IF(AND(C146=0,D146=0,I146=1),1,0)</f>
        <v>0</v>
      </c>
      <c r="M146" s="7">
        <f>IF(AND(C146=0,D146=0,J146=1),1,0)</f>
        <v>0</v>
      </c>
    </row>
    <row r="147" spans="1:13">
      <c r="A147" s="7">
        <f>Raw_Passengers!A147</f>
        <v>43215</v>
      </c>
      <c r="B147" s="7">
        <f>Raw_Passengers!B147</f>
        <v>1021441</v>
      </c>
      <c r="C147" s="7">
        <f>IF(COUNTIF(Raw_Passengers!$A$2:A147,Raw_Passengers!A147)&gt;1,1,0)</f>
        <v>0</v>
      </c>
      <c r="D147" s="7">
        <f>IF(COUNTIF(Raw_Bookings!$A$2:$A$648,Raw_Passengers!B147)=0,1,0)</f>
        <v>0</v>
      </c>
      <c r="E147" s="7">
        <f>IF(OR(C147=1,D147=1),0,IF(NOT(ISNUMBER(Raw_Passengers!E147)),1,IF(Raw_Passengers!E147&lt;=0,1,0)))</f>
        <v>0</v>
      </c>
      <c r="F147" s="7">
        <f>IF(AND(C147=0,D147=0,TRIM(Raw_Passengers!D147&amp;"")=""),1,0)</f>
        <v>0</v>
      </c>
      <c r="G147" s="7" t="str">
        <f>IF(SUMPRODUCT(--(Lookup_Status!$A$2:$A$13=LOWER(TRIM(Raw_Passengers!F147))))=0,"",INDEX(Lookup_Status!$B$2:$B$13,SUMPRODUCT((Lookup_Status!$A$2:$A$13=LOWER(TRIM(Raw_Passengers!F147)))*(ROW(Lookup_Status!$A$2:$A$13)-1))))</f>
        <v>Confirmed</v>
      </c>
      <c r="H147" s="7" t="str">
        <f>IF(SUMPRODUCT(--(Lookup_Status!$A$2:$A$13=LOWER(TRIM(Raw_Passengers!G147))))=0,"",INDEX(Lookup_Status!$B$2:$B$13,SUMPRODUCT((Lookup_Status!$A$2:$A$13=LOWER(TRIM(Raw_Passengers!G147)))*(ROW(Lookup_Status!$A$2:$A$13)-1))))</f>
        <v>Confirmed</v>
      </c>
      <c r="I147" s="7">
        <f>IF(OR(G147="",G147="Cancelled",G147="Mixed"),1,0)</f>
        <v>0</v>
      </c>
      <c r="J147" s="7">
        <f>IF(OR(H147="",H147="Mixed"),1,0)</f>
        <v>0</v>
      </c>
      <c r="K147" s="7">
        <f>IF(AND(C147=0,D147=0),IF(OR(AND(I147=0,NOT(EXACT(Raw_Passengers!F147,G147))),AND(J147=0,NOT(EXACT(Raw_Passengers!G147,H147)))),1,0),0)</f>
        <v>0</v>
      </c>
      <c r="L147" s="7">
        <f>IF(AND(C147=0,D147=0,I147=1),1,0)</f>
        <v>0</v>
      </c>
      <c r="M147" s="7">
        <f>IF(AND(C147=0,D147=0,J147=1),1,0)</f>
        <v>0</v>
      </c>
    </row>
    <row r="148" spans="1:13">
      <c r="A148" s="7">
        <f>Raw_Passengers!A148</f>
        <v>43216</v>
      </c>
      <c r="B148" s="7">
        <f>Raw_Passengers!B148</f>
        <v>1021441</v>
      </c>
      <c r="C148" s="7">
        <f>IF(COUNTIF(Raw_Passengers!$A$2:A148,Raw_Passengers!A148)&gt;1,1,0)</f>
        <v>0</v>
      </c>
      <c r="D148" s="7">
        <f>IF(COUNTIF(Raw_Bookings!$A$2:$A$648,Raw_Passengers!B148)=0,1,0)</f>
        <v>0</v>
      </c>
      <c r="E148" s="7">
        <f>IF(OR(C148=1,D148=1),0,IF(NOT(ISNUMBER(Raw_Passengers!E148)),1,IF(Raw_Passengers!E148&lt;=0,1,0)))</f>
        <v>0</v>
      </c>
      <c r="F148" s="7">
        <f>IF(AND(C148=0,D148=0,TRIM(Raw_Passengers!D148&amp;"")=""),1,0)</f>
        <v>0</v>
      </c>
      <c r="G148" s="7" t="str">
        <f>IF(SUMPRODUCT(--(Lookup_Status!$A$2:$A$13=LOWER(TRIM(Raw_Passengers!F148))))=0,"",INDEX(Lookup_Status!$B$2:$B$13,SUMPRODUCT((Lookup_Status!$A$2:$A$13=LOWER(TRIM(Raw_Passengers!F148)))*(ROW(Lookup_Status!$A$2:$A$13)-1))))</f>
        <v>Confirmed</v>
      </c>
      <c r="H148" s="7" t="str">
        <f>IF(SUMPRODUCT(--(Lookup_Status!$A$2:$A$13=LOWER(TRIM(Raw_Passengers!G148))))=0,"",INDEX(Lookup_Status!$B$2:$B$13,SUMPRODUCT((Lookup_Status!$A$2:$A$13=LOWER(TRIM(Raw_Passengers!G148)))*(ROW(Lookup_Status!$A$2:$A$13)-1))))</f>
        <v>Confirmed</v>
      </c>
      <c r="I148" s="7">
        <f>IF(OR(G148="",G148="Cancelled",G148="Mixed"),1,0)</f>
        <v>0</v>
      </c>
      <c r="J148" s="7">
        <f>IF(OR(H148="",H148="Mixed"),1,0)</f>
        <v>0</v>
      </c>
      <c r="K148" s="7">
        <f>IF(AND(C148=0,D148=0),IF(OR(AND(I148=0,NOT(EXACT(Raw_Passengers!F148,G148))),AND(J148=0,NOT(EXACT(Raw_Passengers!G148,H148)))),1,0),0)</f>
        <v>0</v>
      </c>
      <c r="L148" s="7">
        <f>IF(AND(C148=0,D148=0,I148=1),1,0)</f>
        <v>0</v>
      </c>
      <c r="M148" s="7">
        <f>IF(AND(C148=0,D148=0,J148=1),1,0)</f>
        <v>0</v>
      </c>
    </row>
    <row r="149" spans="1:13">
      <c r="A149" s="7">
        <f>Raw_Passengers!A149</f>
        <v>43217</v>
      </c>
      <c r="B149" s="7">
        <f>Raw_Passengers!B149</f>
        <v>1021441</v>
      </c>
      <c r="C149" s="7">
        <f>IF(COUNTIF(Raw_Passengers!$A$2:A149,Raw_Passengers!A149)&gt;1,1,0)</f>
        <v>0</v>
      </c>
      <c r="D149" s="7">
        <f>IF(COUNTIF(Raw_Bookings!$A$2:$A$648,Raw_Passengers!B149)=0,1,0)</f>
        <v>0</v>
      </c>
      <c r="E149" s="7">
        <f>IF(OR(C149=1,D149=1),0,IF(NOT(ISNUMBER(Raw_Passengers!E149)),1,IF(Raw_Passengers!E149&lt;=0,1,0)))</f>
        <v>0</v>
      </c>
      <c r="F149" s="7">
        <f>IF(AND(C149=0,D149=0,TRIM(Raw_Passengers!D149&amp;"")=""),1,0)</f>
        <v>0</v>
      </c>
      <c r="G149" s="7" t="str">
        <f>IF(SUMPRODUCT(--(Lookup_Status!$A$2:$A$13=LOWER(TRIM(Raw_Passengers!F149))))=0,"",INDEX(Lookup_Status!$B$2:$B$13,SUMPRODUCT((Lookup_Status!$A$2:$A$13=LOWER(TRIM(Raw_Passengers!F149)))*(ROW(Lookup_Status!$A$2:$A$13)-1))))</f>
        <v>Confirmed</v>
      </c>
      <c r="H149" s="7" t="str">
        <f>IF(SUMPRODUCT(--(Lookup_Status!$A$2:$A$13=LOWER(TRIM(Raw_Passengers!G149))))=0,"",INDEX(Lookup_Status!$B$2:$B$13,SUMPRODUCT((Lookup_Status!$A$2:$A$13=LOWER(TRIM(Raw_Passengers!G149)))*(ROW(Lookup_Status!$A$2:$A$13)-1))))</f>
        <v>Confirmed</v>
      </c>
      <c r="I149" s="7">
        <f>IF(OR(G149="",G149="Cancelled",G149="Mixed"),1,0)</f>
        <v>0</v>
      </c>
      <c r="J149" s="7">
        <f>IF(OR(H149="",H149="Mixed"),1,0)</f>
        <v>0</v>
      </c>
      <c r="K149" s="7">
        <f>IF(AND(C149=0,D149=0),IF(OR(AND(I149=0,NOT(EXACT(Raw_Passengers!F149,G149))),AND(J149=0,NOT(EXACT(Raw_Passengers!G149,H149)))),1,0),0)</f>
        <v>0</v>
      </c>
      <c r="L149" s="7">
        <f>IF(AND(C149=0,D149=0,I149=1),1,0)</f>
        <v>0</v>
      </c>
      <c r="M149" s="7">
        <f>IF(AND(C149=0,D149=0,J149=1),1,0)</f>
        <v>0</v>
      </c>
    </row>
    <row r="150" spans="1:13">
      <c r="A150" s="7">
        <f>Raw_Passengers!A150</f>
        <v>43218</v>
      </c>
      <c r="B150" s="7">
        <f>Raw_Passengers!B150</f>
        <v>1021441</v>
      </c>
      <c r="C150" s="7">
        <f>IF(COUNTIF(Raw_Passengers!$A$2:A150,Raw_Passengers!A150)&gt;1,1,0)</f>
        <v>0</v>
      </c>
      <c r="D150" s="7">
        <f>IF(COUNTIF(Raw_Bookings!$A$2:$A$648,Raw_Passengers!B150)=0,1,0)</f>
        <v>0</v>
      </c>
      <c r="E150" s="7">
        <f>IF(OR(C150=1,D150=1),0,IF(NOT(ISNUMBER(Raw_Passengers!E150)),1,IF(Raw_Passengers!E150&lt;=0,1,0)))</f>
        <v>0</v>
      </c>
      <c r="F150" s="7">
        <f>IF(AND(C150=0,D150=0,TRIM(Raw_Passengers!D150&amp;"")=""),1,0)</f>
        <v>0</v>
      </c>
      <c r="G150" s="7" t="str">
        <f>IF(SUMPRODUCT(--(Lookup_Status!$A$2:$A$13=LOWER(TRIM(Raw_Passengers!F150))))=0,"",INDEX(Lookup_Status!$B$2:$B$13,SUMPRODUCT((Lookup_Status!$A$2:$A$13=LOWER(TRIM(Raw_Passengers!F150)))*(ROW(Lookup_Status!$A$2:$A$13)-1))))</f>
        <v>Confirmed</v>
      </c>
      <c r="H150" s="7" t="str">
        <f>IF(SUMPRODUCT(--(Lookup_Status!$A$2:$A$13=LOWER(TRIM(Raw_Passengers!G150))))=0,"",INDEX(Lookup_Status!$B$2:$B$13,SUMPRODUCT((Lookup_Status!$A$2:$A$13=LOWER(TRIM(Raw_Passengers!G150)))*(ROW(Lookup_Status!$A$2:$A$13)-1))))</f>
        <v>Confirmed</v>
      </c>
      <c r="I150" s="7">
        <f>IF(OR(G150="",G150="Cancelled",G150="Mixed"),1,0)</f>
        <v>0</v>
      </c>
      <c r="J150" s="7">
        <f>IF(OR(H150="",H150="Mixed"),1,0)</f>
        <v>0</v>
      </c>
      <c r="K150" s="7">
        <f>IF(AND(C150=0,D150=0),IF(OR(AND(I150=0,NOT(EXACT(Raw_Passengers!F150,G150))),AND(J150=0,NOT(EXACT(Raw_Passengers!G150,H150)))),1,0),0)</f>
        <v>0</v>
      </c>
      <c r="L150" s="7">
        <f>IF(AND(C150=0,D150=0,I150=1),1,0)</f>
        <v>0</v>
      </c>
      <c r="M150" s="7">
        <f>IF(AND(C150=0,D150=0,J150=1),1,0)</f>
        <v>0</v>
      </c>
    </row>
    <row r="151" spans="1:13">
      <c r="A151" s="7">
        <f>Raw_Passengers!A151</f>
        <v>43219</v>
      </c>
      <c r="B151" s="7">
        <f>Raw_Passengers!B151</f>
        <v>1021441</v>
      </c>
      <c r="C151" s="7">
        <f>IF(COUNTIF(Raw_Passengers!$A$2:A151,Raw_Passengers!A151)&gt;1,1,0)</f>
        <v>0</v>
      </c>
      <c r="D151" s="7">
        <f>IF(COUNTIF(Raw_Bookings!$A$2:$A$648,Raw_Passengers!B151)=0,1,0)</f>
        <v>0</v>
      </c>
      <c r="E151" s="7">
        <f>IF(OR(C151=1,D151=1),0,IF(NOT(ISNUMBER(Raw_Passengers!E151)),1,IF(Raw_Passengers!E151&lt;=0,1,0)))</f>
        <v>0</v>
      </c>
      <c r="F151" s="7">
        <f>IF(AND(C151=0,D151=0,TRIM(Raw_Passengers!D151&amp;"")=""),1,0)</f>
        <v>0</v>
      </c>
      <c r="G151" s="7" t="str">
        <f>IF(SUMPRODUCT(--(Lookup_Status!$A$2:$A$13=LOWER(TRIM(Raw_Passengers!F151))))=0,"",INDEX(Lookup_Status!$B$2:$B$13,SUMPRODUCT((Lookup_Status!$A$2:$A$13=LOWER(TRIM(Raw_Passengers!F151)))*(ROW(Lookup_Status!$A$2:$A$13)-1))))</f>
        <v>Confirmed</v>
      </c>
      <c r="H151" s="7" t="str">
        <f>IF(SUMPRODUCT(--(Lookup_Status!$A$2:$A$13=LOWER(TRIM(Raw_Passengers!G151))))=0,"",INDEX(Lookup_Status!$B$2:$B$13,SUMPRODUCT((Lookup_Status!$A$2:$A$13=LOWER(TRIM(Raw_Passengers!G151)))*(ROW(Lookup_Status!$A$2:$A$13)-1))))</f>
        <v>Confirmed</v>
      </c>
      <c r="I151" s="7">
        <f>IF(OR(G151="",G151="Cancelled",G151="Mixed"),1,0)</f>
        <v>0</v>
      </c>
      <c r="J151" s="7">
        <f>IF(OR(H151="",H151="Mixed"),1,0)</f>
        <v>0</v>
      </c>
      <c r="K151" s="7">
        <f>IF(AND(C151=0,D151=0),IF(OR(AND(I151=0,NOT(EXACT(Raw_Passengers!F151,G151))),AND(J151=0,NOT(EXACT(Raw_Passengers!G151,H151)))),1,0),0)</f>
        <v>0</v>
      </c>
      <c r="L151" s="7">
        <f>IF(AND(C151=0,D151=0,I151=1),1,0)</f>
        <v>0</v>
      </c>
      <c r="M151" s="7">
        <f>IF(AND(C151=0,D151=0,J151=1),1,0)</f>
        <v>0</v>
      </c>
    </row>
    <row r="152" spans="1:13">
      <c r="A152" s="7">
        <f>Raw_Passengers!A152</f>
        <v>44065</v>
      </c>
      <c r="B152" s="7">
        <f>Raw_Passengers!B152</f>
        <v>1021854</v>
      </c>
      <c r="C152" s="7">
        <f>IF(COUNTIF(Raw_Passengers!$A$2:A152,Raw_Passengers!A152)&gt;1,1,0)</f>
        <v>0</v>
      </c>
      <c r="D152" s="7">
        <f>IF(COUNTIF(Raw_Bookings!$A$2:$A$648,Raw_Passengers!B152)=0,1,0)</f>
        <v>0</v>
      </c>
      <c r="E152" s="7">
        <f>IF(OR(C152=1,D152=1),0,IF(NOT(ISNUMBER(Raw_Passengers!E152)),1,IF(Raw_Passengers!E152&lt;=0,1,0)))</f>
        <v>0</v>
      </c>
      <c r="F152" s="7">
        <f>IF(AND(C152=0,D152=0,TRIM(Raw_Passengers!D152&amp;"")=""),1,0)</f>
        <v>0</v>
      </c>
      <c r="G152" s="7" t="str">
        <f>IF(SUMPRODUCT(--(Lookup_Status!$A$2:$A$13=LOWER(TRIM(Raw_Passengers!F152))))=0,"",INDEX(Lookup_Status!$B$2:$B$13,SUMPRODUCT((Lookup_Status!$A$2:$A$13=LOWER(TRIM(Raw_Passengers!F152)))*(ROW(Lookup_Status!$A$2:$A$13)-1))))</f>
        <v>Confirmed</v>
      </c>
      <c r="H152" s="7" t="str">
        <f>IF(SUMPRODUCT(--(Lookup_Status!$A$2:$A$13=LOWER(TRIM(Raw_Passengers!G152))))=0,"",INDEX(Lookup_Status!$B$2:$B$13,SUMPRODUCT((Lookup_Status!$A$2:$A$13=LOWER(TRIM(Raw_Passengers!G152)))*(ROW(Lookup_Status!$A$2:$A$13)-1))))</f>
        <v>Confirmed</v>
      </c>
      <c r="I152" s="7">
        <f>IF(OR(G152="",G152="Cancelled",G152="Mixed"),1,0)</f>
        <v>0</v>
      </c>
      <c r="J152" s="7">
        <f>IF(OR(H152="",H152="Mixed"),1,0)</f>
        <v>0</v>
      </c>
      <c r="K152" s="7">
        <f>IF(AND(C152=0,D152=0),IF(OR(AND(I152=0,NOT(EXACT(Raw_Passengers!F152,G152))),AND(J152=0,NOT(EXACT(Raw_Passengers!G152,H152)))),1,0),0)</f>
        <v>0</v>
      </c>
      <c r="L152" s="7">
        <f>IF(AND(C152=0,D152=0,I152=1),1,0)</f>
        <v>0</v>
      </c>
      <c r="M152" s="7">
        <f>IF(AND(C152=0,D152=0,J152=1),1,0)</f>
        <v>0</v>
      </c>
    </row>
    <row r="153" spans="1:13">
      <c r="A153" s="7">
        <f>Raw_Passengers!A153</f>
        <v>44066</v>
      </c>
      <c r="B153" s="7">
        <f>Raw_Passengers!B153</f>
        <v>1021854</v>
      </c>
      <c r="C153" s="7">
        <f>IF(COUNTIF(Raw_Passengers!$A$2:A153,Raw_Passengers!A153)&gt;1,1,0)</f>
        <v>0</v>
      </c>
      <c r="D153" s="7">
        <f>IF(COUNTIF(Raw_Bookings!$A$2:$A$648,Raw_Passengers!B153)=0,1,0)</f>
        <v>0</v>
      </c>
      <c r="E153" s="7">
        <f>IF(OR(C153=1,D153=1),0,IF(NOT(ISNUMBER(Raw_Passengers!E153)),1,IF(Raw_Passengers!E153&lt;=0,1,0)))</f>
        <v>0</v>
      </c>
      <c r="F153" s="7">
        <f>IF(AND(C153=0,D153=0,TRIM(Raw_Passengers!D153&amp;"")=""),1,0)</f>
        <v>0</v>
      </c>
      <c r="G153" s="7" t="str">
        <f>IF(SUMPRODUCT(--(Lookup_Status!$A$2:$A$13=LOWER(TRIM(Raw_Passengers!F153))))=0,"",INDEX(Lookup_Status!$B$2:$B$13,SUMPRODUCT((Lookup_Status!$A$2:$A$13=LOWER(TRIM(Raw_Passengers!F153)))*(ROW(Lookup_Status!$A$2:$A$13)-1))))</f>
        <v>Confirmed</v>
      </c>
      <c r="H153" s="7" t="str">
        <f>IF(SUMPRODUCT(--(Lookup_Status!$A$2:$A$13=LOWER(TRIM(Raw_Passengers!G153))))=0,"",INDEX(Lookup_Status!$B$2:$B$13,SUMPRODUCT((Lookup_Status!$A$2:$A$13=LOWER(TRIM(Raw_Passengers!G153)))*(ROW(Lookup_Status!$A$2:$A$13)-1))))</f>
        <v>Confirmed</v>
      </c>
      <c r="I153" s="7">
        <f>IF(OR(G153="",G153="Cancelled",G153="Mixed"),1,0)</f>
        <v>0</v>
      </c>
      <c r="J153" s="7">
        <f>IF(OR(H153="",H153="Mixed"),1,0)</f>
        <v>0</v>
      </c>
      <c r="K153" s="7">
        <f>IF(AND(C153=0,D153=0),IF(OR(AND(I153=0,NOT(EXACT(Raw_Passengers!F153,G153))),AND(J153=0,NOT(EXACT(Raw_Passengers!G153,H153)))),1,0),0)</f>
        <v>0</v>
      </c>
      <c r="L153" s="7">
        <f>IF(AND(C153=0,D153=0,I153=1),1,0)</f>
        <v>0</v>
      </c>
      <c r="M153" s="7">
        <f>IF(AND(C153=0,D153=0,J153=1),1,0)</f>
        <v>0</v>
      </c>
    </row>
    <row r="154" spans="1:13">
      <c r="A154" s="7">
        <f>Raw_Passengers!A154</f>
        <v>44229</v>
      </c>
      <c r="B154" s="7">
        <f>Raw_Passengers!B154</f>
        <v>1021946</v>
      </c>
      <c r="C154" s="7">
        <f>IF(COUNTIF(Raw_Passengers!$A$2:A154,Raw_Passengers!A154)&gt;1,1,0)</f>
        <v>0</v>
      </c>
      <c r="D154" s="7">
        <f>IF(COUNTIF(Raw_Bookings!$A$2:$A$648,Raw_Passengers!B154)=0,1,0)</f>
        <v>0</v>
      </c>
      <c r="E154" s="7">
        <f>IF(OR(C154=1,D154=1),0,IF(NOT(ISNUMBER(Raw_Passengers!E154)),1,IF(Raw_Passengers!E154&lt;=0,1,0)))</f>
        <v>0</v>
      </c>
      <c r="F154" s="7">
        <f>IF(AND(C154=0,D154=0,TRIM(Raw_Passengers!D154&amp;"")=""),1,0)</f>
        <v>0</v>
      </c>
      <c r="G154" s="7" t="str">
        <f>IF(SUMPRODUCT(--(Lookup_Status!$A$2:$A$13=LOWER(TRIM(Raw_Passengers!F154))))=0,"",INDEX(Lookup_Status!$B$2:$B$13,SUMPRODUCT((Lookup_Status!$A$2:$A$13=LOWER(TRIM(Raw_Passengers!F154)))*(ROW(Lookup_Status!$A$2:$A$13)-1))))</f>
        <v>RAC</v>
      </c>
      <c r="H154" s="7" t="str">
        <f>IF(SUMPRODUCT(--(Lookup_Status!$A$2:$A$13=LOWER(TRIM(Raw_Passengers!G154))))=0,"",INDEX(Lookup_Status!$B$2:$B$13,SUMPRODUCT((Lookup_Status!$A$2:$A$13=LOWER(TRIM(Raw_Passengers!G154)))*(ROW(Lookup_Status!$A$2:$A$13)-1))))</f>
        <v>Cancelled</v>
      </c>
      <c r="I154" s="7">
        <f>IF(OR(G154="",G154="Cancelled",G154="Mixed"),1,0)</f>
        <v>0</v>
      </c>
      <c r="J154" s="7">
        <f>IF(OR(H154="",H154="Mixed"),1,0)</f>
        <v>0</v>
      </c>
      <c r="K154" s="7">
        <f>IF(AND(C154=0,D154=0),IF(OR(AND(I154=0,NOT(EXACT(Raw_Passengers!F154,G154))),AND(J154=0,NOT(EXACT(Raw_Passengers!G154,H154)))),1,0),0)</f>
        <v>0</v>
      </c>
      <c r="L154" s="7">
        <f>IF(AND(C154=0,D154=0,I154=1),1,0)</f>
        <v>0</v>
      </c>
      <c r="M154" s="7">
        <f>IF(AND(C154=0,D154=0,J154=1),1,0)</f>
        <v>0</v>
      </c>
    </row>
    <row r="155" spans="1:13">
      <c r="A155" s="7">
        <f>Raw_Passengers!A155</f>
        <v>44230</v>
      </c>
      <c r="B155" s="7">
        <f>Raw_Passengers!B155</f>
        <v>1021946</v>
      </c>
      <c r="C155" s="7">
        <f>IF(COUNTIF(Raw_Passengers!$A$2:A155,Raw_Passengers!A155)&gt;1,1,0)</f>
        <v>0</v>
      </c>
      <c r="D155" s="7">
        <f>IF(COUNTIF(Raw_Bookings!$A$2:$A$648,Raw_Passengers!B155)=0,1,0)</f>
        <v>0</v>
      </c>
      <c r="E155" s="7">
        <f>IF(OR(C155=1,D155=1),0,IF(NOT(ISNUMBER(Raw_Passengers!E155)),1,IF(Raw_Passengers!E155&lt;=0,1,0)))</f>
        <v>0</v>
      </c>
      <c r="F155" s="7">
        <f>IF(AND(C155=0,D155=0,TRIM(Raw_Passengers!D155&amp;"")=""),1,0)</f>
        <v>0</v>
      </c>
      <c r="G155" s="7" t="str">
        <f>IF(SUMPRODUCT(--(Lookup_Status!$A$2:$A$13=LOWER(TRIM(Raw_Passengers!F155))))=0,"",INDEX(Lookup_Status!$B$2:$B$13,SUMPRODUCT((Lookup_Status!$A$2:$A$13=LOWER(TRIM(Raw_Passengers!F155)))*(ROW(Lookup_Status!$A$2:$A$13)-1))))</f>
        <v>RAC</v>
      </c>
      <c r="H155" s="7" t="str">
        <f>IF(SUMPRODUCT(--(Lookup_Status!$A$2:$A$13=LOWER(TRIM(Raw_Passengers!G155))))=0,"",INDEX(Lookup_Status!$B$2:$B$13,SUMPRODUCT((Lookup_Status!$A$2:$A$13=LOWER(TRIM(Raw_Passengers!G155)))*(ROW(Lookup_Status!$A$2:$A$13)-1))))</f>
        <v>Cancelled</v>
      </c>
      <c r="I155" s="7">
        <f>IF(OR(G155="",G155="Cancelled",G155="Mixed"),1,0)</f>
        <v>0</v>
      </c>
      <c r="J155" s="7">
        <f>IF(OR(H155="",H155="Mixed"),1,0)</f>
        <v>0</v>
      </c>
      <c r="K155" s="7">
        <f>IF(AND(C155=0,D155=0),IF(OR(AND(I155=0,NOT(EXACT(Raw_Passengers!F155,G155))),AND(J155=0,NOT(EXACT(Raw_Passengers!G155,H155)))),1,0),0)</f>
        <v>0</v>
      </c>
      <c r="L155" s="7">
        <f>IF(AND(C155=0,D155=0,I155=1),1,0)</f>
        <v>0</v>
      </c>
      <c r="M155" s="7">
        <f>IF(AND(C155=0,D155=0,J155=1),1,0)</f>
        <v>0</v>
      </c>
    </row>
    <row r="156" spans="1:13">
      <c r="A156" s="7">
        <f>Raw_Passengers!A156</f>
        <v>44706</v>
      </c>
      <c r="B156" s="7">
        <f>Raw_Passengers!B156</f>
        <v>1022190</v>
      </c>
      <c r="C156" s="7">
        <f>IF(COUNTIF(Raw_Passengers!$A$2:A156,Raw_Passengers!A156)&gt;1,1,0)</f>
        <v>0</v>
      </c>
      <c r="D156" s="7">
        <f>IF(COUNTIF(Raw_Bookings!$A$2:$A$648,Raw_Passengers!B156)=0,1,0)</f>
        <v>0</v>
      </c>
      <c r="E156" s="7">
        <f>IF(OR(C156=1,D156=1),0,IF(NOT(ISNUMBER(Raw_Passengers!E156)),1,IF(Raw_Passengers!E156&lt;=0,1,0)))</f>
        <v>1</v>
      </c>
      <c r="F156" s="7">
        <f>IF(AND(C156=0,D156=0,TRIM(Raw_Passengers!D156&amp;"")=""),1,0)</f>
        <v>0</v>
      </c>
      <c r="G156" s="7" t="str">
        <f>IF(SUMPRODUCT(--(Lookup_Status!$A$2:$A$13=LOWER(TRIM(Raw_Passengers!F156))))=0,"",INDEX(Lookup_Status!$B$2:$B$13,SUMPRODUCT((Lookup_Status!$A$2:$A$13=LOWER(TRIM(Raw_Passengers!F156)))*(ROW(Lookup_Status!$A$2:$A$13)-1))))</f>
        <v>Waitlisted</v>
      </c>
      <c r="H156" s="7" t="str">
        <f>IF(SUMPRODUCT(--(Lookup_Status!$A$2:$A$13=LOWER(TRIM(Raw_Passengers!G156))))=0,"",INDEX(Lookup_Status!$B$2:$B$13,SUMPRODUCT((Lookup_Status!$A$2:$A$13=LOWER(TRIM(Raw_Passengers!G156)))*(ROW(Lookup_Status!$A$2:$A$13)-1))))</f>
        <v>Waitlisted</v>
      </c>
      <c r="I156" s="7">
        <f>IF(OR(G156="",G156="Cancelled",G156="Mixed"),1,0)</f>
        <v>0</v>
      </c>
      <c r="J156" s="7">
        <f>IF(OR(H156="",H156="Mixed"),1,0)</f>
        <v>0</v>
      </c>
      <c r="K156" s="7">
        <f>IF(AND(C156=0,D156=0),IF(OR(AND(I156=0,NOT(EXACT(Raw_Passengers!F156,G156))),AND(J156=0,NOT(EXACT(Raw_Passengers!G156,H156)))),1,0),0)</f>
        <v>0</v>
      </c>
      <c r="L156" s="7">
        <f>IF(AND(C156=0,D156=0,I156=1),1,0)</f>
        <v>0</v>
      </c>
      <c r="M156" s="7">
        <f>IF(AND(C156=0,D156=0,J156=1),1,0)</f>
        <v>0</v>
      </c>
    </row>
    <row r="157" spans="1:13">
      <c r="A157" s="7">
        <f>Raw_Passengers!A157</f>
        <v>44707</v>
      </c>
      <c r="B157" s="7">
        <f>Raw_Passengers!B157</f>
        <v>1022190</v>
      </c>
      <c r="C157" s="7">
        <f>IF(COUNTIF(Raw_Passengers!$A$2:A157,Raw_Passengers!A157)&gt;1,1,0)</f>
        <v>0</v>
      </c>
      <c r="D157" s="7">
        <f>IF(COUNTIF(Raw_Bookings!$A$2:$A$648,Raw_Passengers!B157)=0,1,0)</f>
        <v>0</v>
      </c>
      <c r="E157" s="7">
        <f>IF(OR(C157=1,D157=1),0,IF(NOT(ISNUMBER(Raw_Passengers!E157)),1,IF(Raw_Passengers!E157&lt;=0,1,0)))</f>
        <v>0</v>
      </c>
      <c r="F157" s="7">
        <f>IF(AND(C157=0,D157=0,TRIM(Raw_Passengers!D157&amp;"")=""),1,0)</f>
        <v>0</v>
      </c>
      <c r="G157" s="7" t="str">
        <f>IF(SUMPRODUCT(--(Lookup_Status!$A$2:$A$13=LOWER(TRIM(Raw_Passengers!F157))))=0,"",INDEX(Lookup_Status!$B$2:$B$13,SUMPRODUCT((Lookup_Status!$A$2:$A$13=LOWER(TRIM(Raw_Passengers!F157)))*(ROW(Lookup_Status!$A$2:$A$13)-1))))</f>
        <v>Waitlisted</v>
      </c>
      <c r="H157" s="7" t="str">
        <f>IF(SUMPRODUCT(--(Lookup_Status!$A$2:$A$13=LOWER(TRIM(Raw_Passengers!G157))))=0,"",INDEX(Lookup_Status!$B$2:$B$13,SUMPRODUCT((Lookup_Status!$A$2:$A$13=LOWER(TRIM(Raw_Passengers!G157)))*(ROW(Lookup_Status!$A$2:$A$13)-1))))</f>
        <v>Waitlisted</v>
      </c>
      <c r="I157" s="7">
        <f>IF(OR(G157="",G157="Cancelled",G157="Mixed"),1,0)</f>
        <v>0</v>
      </c>
      <c r="J157" s="7">
        <f>IF(OR(H157="",H157="Mixed"),1,0)</f>
        <v>0</v>
      </c>
      <c r="K157" s="7">
        <f>IF(AND(C157=0,D157=0),IF(OR(AND(I157=0,NOT(EXACT(Raw_Passengers!F157,G157))),AND(J157=0,NOT(EXACT(Raw_Passengers!G157,H157)))),1,0),0)</f>
        <v>0</v>
      </c>
      <c r="L157" s="7">
        <f>IF(AND(C157=0,D157=0,I157=1),1,0)</f>
        <v>0</v>
      </c>
      <c r="M157" s="7">
        <f>IF(AND(C157=0,D157=0,J157=1),1,0)</f>
        <v>0</v>
      </c>
    </row>
    <row r="158" spans="1:13">
      <c r="A158" s="7">
        <f>Raw_Passengers!A158</f>
        <v>44708</v>
      </c>
      <c r="B158" s="7">
        <f>Raw_Passengers!B158</f>
        <v>1022190</v>
      </c>
      <c r="C158" s="7">
        <f>IF(COUNTIF(Raw_Passengers!$A$2:A158,Raw_Passengers!A158)&gt;1,1,0)</f>
        <v>0</v>
      </c>
      <c r="D158" s="7">
        <f>IF(COUNTIF(Raw_Bookings!$A$2:$A$648,Raw_Passengers!B158)=0,1,0)</f>
        <v>0</v>
      </c>
      <c r="E158" s="7">
        <f>IF(OR(C158=1,D158=1),0,IF(NOT(ISNUMBER(Raw_Passengers!E158)),1,IF(Raw_Passengers!E158&lt;=0,1,0)))</f>
        <v>0</v>
      </c>
      <c r="F158" s="7">
        <f>IF(AND(C158=0,D158=0,TRIM(Raw_Passengers!D158&amp;"")=""),1,0)</f>
        <v>0</v>
      </c>
      <c r="G158" s="7" t="str">
        <f>IF(SUMPRODUCT(--(Lookup_Status!$A$2:$A$13=LOWER(TRIM(Raw_Passengers!F158))))=0,"",INDEX(Lookup_Status!$B$2:$B$13,SUMPRODUCT((Lookup_Status!$A$2:$A$13=LOWER(TRIM(Raw_Passengers!F158)))*(ROW(Lookup_Status!$A$2:$A$13)-1))))</f>
        <v>Waitlisted</v>
      </c>
      <c r="H158" s="7" t="str">
        <f>IF(SUMPRODUCT(--(Lookup_Status!$A$2:$A$13=LOWER(TRIM(Raw_Passengers!G158))))=0,"",INDEX(Lookup_Status!$B$2:$B$13,SUMPRODUCT((Lookup_Status!$A$2:$A$13=LOWER(TRIM(Raw_Passengers!G158)))*(ROW(Lookup_Status!$A$2:$A$13)-1))))</f>
        <v>Waitlisted</v>
      </c>
      <c r="I158" s="7">
        <f>IF(OR(G158="",G158="Cancelled",G158="Mixed"),1,0)</f>
        <v>0</v>
      </c>
      <c r="J158" s="7">
        <f>IF(OR(H158="",H158="Mixed"),1,0)</f>
        <v>0</v>
      </c>
      <c r="K158" s="7">
        <f>IF(AND(C158=0,D158=0),IF(OR(AND(I158=0,NOT(EXACT(Raw_Passengers!F158,G158))),AND(J158=0,NOT(EXACT(Raw_Passengers!G158,H158)))),1,0),0)</f>
        <v>0</v>
      </c>
      <c r="L158" s="7">
        <f>IF(AND(C158=0,D158=0,I158=1),1,0)</f>
        <v>0</v>
      </c>
      <c r="M158" s="7">
        <f>IF(AND(C158=0,D158=0,J158=1),1,0)</f>
        <v>0</v>
      </c>
    </row>
    <row r="159" spans="1:13">
      <c r="A159" s="7">
        <f>Raw_Passengers!A159</f>
        <v>44709</v>
      </c>
      <c r="B159" s="7">
        <f>Raw_Passengers!B159</f>
        <v>1022190</v>
      </c>
      <c r="C159" s="7">
        <f>IF(COUNTIF(Raw_Passengers!$A$2:A159,Raw_Passengers!A159)&gt;1,1,0)</f>
        <v>0</v>
      </c>
      <c r="D159" s="7">
        <f>IF(COUNTIF(Raw_Bookings!$A$2:$A$648,Raw_Passengers!B159)=0,1,0)</f>
        <v>0</v>
      </c>
      <c r="E159" s="7">
        <f>IF(OR(C159=1,D159=1),0,IF(NOT(ISNUMBER(Raw_Passengers!E159)),1,IF(Raw_Passengers!E159&lt;=0,1,0)))</f>
        <v>0</v>
      </c>
      <c r="F159" s="7">
        <f>IF(AND(C159=0,D159=0,TRIM(Raw_Passengers!D159&amp;"")=""),1,0)</f>
        <v>0</v>
      </c>
      <c r="G159" s="7" t="str">
        <f>IF(SUMPRODUCT(--(Lookup_Status!$A$2:$A$13=LOWER(TRIM(Raw_Passengers!F159))))=0,"",INDEX(Lookup_Status!$B$2:$B$13,SUMPRODUCT((Lookup_Status!$A$2:$A$13=LOWER(TRIM(Raw_Passengers!F159)))*(ROW(Lookup_Status!$A$2:$A$13)-1))))</f>
        <v>Waitlisted</v>
      </c>
      <c r="H159" s="7" t="str">
        <f>IF(SUMPRODUCT(--(Lookup_Status!$A$2:$A$13=LOWER(TRIM(Raw_Passengers!G159))))=0,"",INDEX(Lookup_Status!$B$2:$B$13,SUMPRODUCT((Lookup_Status!$A$2:$A$13=LOWER(TRIM(Raw_Passengers!G159)))*(ROW(Lookup_Status!$A$2:$A$13)-1))))</f>
        <v>Waitlisted</v>
      </c>
      <c r="I159" s="7">
        <f>IF(OR(G159="",G159="Cancelled",G159="Mixed"),1,0)</f>
        <v>0</v>
      </c>
      <c r="J159" s="7">
        <f>IF(OR(H159="",H159="Mixed"),1,0)</f>
        <v>0</v>
      </c>
      <c r="K159" s="7">
        <f>IF(AND(C159=0,D159=0),IF(OR(AND(I159=0,NOT(EXACT(Raw_Passengers!F159,G159))),AND(J159=0,NOT(EXACT(Raw_Passengers!G159,H159)))),1,0),0)</f>
        <v>0</v>
      </c>
      <c r="L159" s="7">
        <f>IF(AND(C159=0,D159=0,I159=1),1,0)</f>
        <v>0</v>
      </c>
      <c r="M159" s="7">
        <f>IF(AND(C159=0,D159=0,J159=1),1,0)</f>
        <v>0</v>
      </c>
    </row>
    <row r="160" spans="1:13">
      <c r="A160" s="7">
        <f>Raw_Passengers!A160</f>
        <v>45143</v>
      </c>
      <c r="B160" s="7">
        <f>Raw_Passengers!B160</f>
        <v>1022407</v>
      </c>
      <c r="C160" s="7">
        <f>IF(COUNTIF(Raw_Passengers!$A$2:A160,Raw_Passengers!A160)&gt;1,1,0)</f>
        <v>0</v>
      </c>
      <c r="D160" s="7">
        <f>IF(COUNTIF(Raw_Bookings!$A$2:$A$648,Raw_Passengers!B160)=0,1,0)</f>
        <v>0</v>
      </c>
      <c r="E160" s="7">
        <f>IF(OR(C160=1,D160=1),0,IF(NOT(ISNUMBER(Raw_Passengers!E160)),1,IF(Raw_Passengers!E160&lt;=0,1,0)))</f>
        <v>0</v>
      </c>
      <c r="F160" s="7">
        <f>IF(AND(C160=0,D160=0,TRIM(Raw_Passengers!D160&amp;"")=""),1,0)</f>
        <v>0</v>
      </c>
      <c r="G160" s="7" t="str">
        <f>IF(SUMPRODUCT(--(Lookup_Status!$A$2:$A$13=LOWER(TRIM(Raw_Passengers!F160))))=0,"",INDEX(Lookup_Status!$B$2:$B$13,SUMPRODUCT((Lookup_Status!$A$2:$A$13=LOWER(TRIM(Raw_Passengers!F160)))*(ROW(Lookup_Status!$A$2:$A$13)-1))))</f>
        <v>Confirmed</v>
      </c>
      <c r="H160" s="7" t="str">
        <f>IF(SUMPRODUCT(--(Lookup_Status!$A$2:$A$13=LOWER(TRIM(Raw_Passengers!G160))))=0,"",INDEX(Lookup_Status!$B$2:$B$13,SUMPRODUCT((Lookup_Status!$A$2:$A$13=LOWER(TRIM(Raw_Passengers!G160)))*(ROW(Lookup_Status!$A$2:$A$13)-1))))</f>
        <v>Confirmed</v>
      </c>
      <c r="I160" s="7">
        <f>IF(OR(G160="",G160="Cancelled",G160="Mixed"),1,0)</f>
        <v>0</v>
      </c>
      <c r="J160" s="7">
        <f>IF(OR(H160="",H160="Mixed"),1,0)</f>
        <v>0</v>
      </c>
      <c r="K160" s="7">
        <f>IF(AND(C160=0,D160=0),IF(OR(AND(I160=0,NOT(EXACT(Raw_Passengers!F160,G160))),AND(J160=0,NOT(EXACT(Raw_Passengers!G160,H160)))),1,0),0)</f>
        <v>0</v>
      </c>
      <c r="L160" s="7">
        <f>IF(AND(C160=0,D160=0,I160=1),1,0)</f>
        <v>0</v>
      </c>
      <c r="M160" s="7">
        <f>IF(AND(C160=0,D160=0,J160=1),1,0)</f>
        <v>0</v>
      </c>
    </row>
    <row r="161" spans="1:13">
      <c r="A161" s="7">
        <f>Raw_Passengers!A161</f>
        <v>45144</v>
      </c>
      <c r="B161" s="7">
        <f>Raw_Passengers!B161</f>
        <v>1022407</v>
      </c>
      <c r="C161" s="7">
        <f>IF(COUNTIF(Raw_Passengers!$A$2:A161,Raw_Passengers!A161)&gt;1,1,0)</f>
        <v>0</v>
      </c>
      <c r="D161" s="7">
        <f>IF(COUNTIF(Raw_Bookings!$A$2:$A$648,Raw_Passengers!B161)=0,1,0)</f>
        <v>0</v>
      </c>
      <c r="E161" s="7">
        <f>IF(OR(C161=1,D161=1),0,IF(NOT(ISNUMBER(Raw_Passengers!E161)),1,IF(Raw_Passengers!E161&lt;=0,1,0)))</f>
        <v>0</v>
      </c>
      <c r="F161" s="7">
        <f>IF(AND(C161=0,D161=0,TRIM(Raw_Passengers!D161&amp;"")=""),1,0)</f>
        <v>0</v>
      </c>
      <c r="G161" s="7" t="str">
        <f>IF(SUMPRODUCT(--(Lookup_Status!$A$2:$A$13=LOWER(TRIM(Raw_Passengers!F161))))=0,"",INDEX(Lookup_Status!$B$2:$B$13,SUMPRODUCT((Lookup_Status!$A$2:$A$13=LOWER(TRIM(Raw_Passengers!F161)))*(ROW(Lookup_Status!$A$2:$A$13)-1))))</f>
        <v>Confirmed</v>
      </c>
      <c r="H161" s="7" t="str">
        <f>IF(SUMPRODUCT(--(Lookup_Status!$A$2:$A$13=LOWER(TRIM(Raw_Passengers!G161))))=0,"",INDEX(Lookup_Status!$B$2:$B$13,SUMPRODUCT((Lookup_Status!$A$2:$A$13=LOWER(TRIM(Raw_Passengers!G161)))*(ROW(Lookup_Status!$A$2:$A$13)-1))))</f>
        <v>Confirmed</v>
      </c>
      <c r="I161" s="7">
        <f>IF(OR(G161="",G161="Cancelled",G161="Mixed"),1,0)</f>
        <v>0</v>
      </c>
      <c r="J161" s="7">
        <f>IF(OR(H161="",H161="Mixed"),1,0)</f>
        <v>0</v>
      </c>
      <c r="K161" s="7">
        <f>IF(AND(C161=0,D161=0),IF(OR(AND(I161=0,NOT(EXACT(Raw_Passengers!F161,G161))),AND(J161=0,NOT(EXACT(Raw_Passengers!G161,H161)))),1,0),0)</f>
        <v>0</v>
      </c>
      <c r="L161" s="7">
        <f>IF(AND(C161=0,D161=0,I161=1),1,0)</f>
        <v>0</v>
      </c>
      <c r="M161" s="7">
        <f>IF(AND(C161=0,D161=0,J161=1),1,0)</f>
        <v>0</v>
      </c>
    </row>
    <row r="162" spans="1:13">
      <c r="A162" s="7">
        <f>Raw_Passengers!A162</f>
        <v>45145</v>
      </c>
      <c r="B162" s="7">
        <f>Raw_Passengers!B162</f>
        <v>1022407</v>
      </c>
      <c r="C162" s="7">
        <f>IF(COUNTIF(Raw_Passengers!$A$2:A162,Raw_Passengers!A162)&gt;1,1,0)</f>
        <v>0</v>
      </c>
      <c r="D162" s="7">
        <f>IF(COUNTIF(Raw_Bookings!$A$2:$A$648,Raw_Passengers!B162)=0,1,0)</f>
        <v>0</v>
      </c>
      <c r="E162" s="7">
        <f>IF(OR(C162=1,D162=1),0,IF(NOT(ISNUMBER(Raw_Passengers!E162)),1,IF(Raw_Passengers!E162&lt;=0,1,0)))</f>
        <v>0</v>
      </c>
      <c r="F162" s="7">
        <f>IF(AND(C162=0,D162=0,TRIM(Raw_Passengers!D162&amp;"")=""),1,0)</f>
        <v>0</v>
      </c>
      <c r="G162" s="7" t="str">
        <f>IF(SUMPRODUCT(--(Lookup_Status!$A$2:$A$13=LOWER(TRIM(Raw_Passengers!F162))))=0,"",INDEX(Lookup_Status!$B$2:$B$13,SUMPRODUCT((Lookup_Status!$A$2:$A$13=LOWER(TRIM(Raw_Passengers!F162)))*(ROW(Lookup_Status!$A$2:$A$13)-1))))</f>
        <v>Confirmed</v>
      </c>
      <c r="H162" s="7" t="str">
        <f>IF(SUMPRODUCT(--(Lookup_Status!$A$2:$A$13=LOWER(TRIM(Raw_Passengers!G162))))=0,"",INDEX(Lookup_Status!$B$2:$B$13,SUMPRODUCT((Lookup_Status!$A$2:$A$13=LOWER(TRIM(Raw_Passengers!G162)))*(ROW(Lookup_Status!$A$2:$A$13)-1))))</f>
        <v>Confirmed</v>
      </c>
      <c r="I162" s="7">
        <f>IF(OR(G162="",G162="Cancelled",G162="Mixed"),1,0)</f>
        <v>0</v>
      </c>
      <c r="J162" s="7">
        <f>IF(OR(H162="",H162="Mixed"),1,0)</f>
        <v>0</v>
      </c>
      <c r="K162" s="7">
        <f>IF(AND(C162=0,D162=0),IF(OR(AND(I162=0,NOT(EXACT(Raw_Passengers!F162,G162))),AND(J162=0,NOT(EXACT(Raw_Passengers!G162,H162)))),1,0),0)</f>
        <v>0</v>
      </c>
      <c r="L162" s="7">
        <f>IF(AND(C162=0,D162=0,I162=1),1,0)</f>
        <v>0</v>
      </c>
      <c r="M162" s="7">
        <f>IF(AND(C162=0,D162=0,J162=1),1,0)</f>
        <v>0</v>
      </c>
    </row>
    <row r="163" spans="1:13">
      <c r="A163" s="7">
        <f>Raw_Passengers!A163</f>
        <v>45146</v>
      </c>
      <c r="B163" s="7">
        <f>Raw_Passengers!B163</f>
        <v>1022407</v>
      </c>
      <c r="C163" s="7">
        <f>IF(COUNTIF(Raw_Passengers!$A$2:A163,Raw_Passengers!A163)&gt;1,1,0)</f>
        <v>0</v>
      </c>
      <c r="D163" s="7">
        <f>IF(COUNTIF(Raw_Bookings!$A$2:$A$648,Raw_Passengers!B163)=0,1,0)</f>
        <v>0</v>
      </c>
      <c r="E163" s="7">
        <f>IF(OR(C163=1,D163=1),0,IF(NOT(ISNUMBER(Raw_Passengers!E163)),1,IF(Raw_Passengers!E163&lt;=0,1,0)))</f>
        <v>0</v>
      </c>
      <c r="F163" s="7">
        <f>IF(AND(C163=0,D163=0,TRIM(Raw_Passengers!D163&amp;"")=""),1,0)</f>
        <v>0</v>
      </c>
      <c r="G163" s="7" t="str">
        <f>IF(SUMPRODUCT(--(Lookup_Status!$A$2:$A$13=LOWER(TRIM(Raw_Passengers!F163))))=0,"",INDEX(Lookup_Status!$B$2:$B$13,SUMPRODUCT((Lookup_Status!$A$2:$A$13=LOWER(TRIM(Raw_Passengers!F163)))*(ROW(Lookup_Status!$A$2:$A$13)-1))))</f>
        <v>Confirmed</v>
      </c>
      <c r="H163" s="7" t="str">
        <f>IF(SUMPRODUCT(--(Lookup_Status!$A$2:$A$13=LOWER(TRIM(Raw_Passengers!G163))))=0,"",INDEX(Lookup_Status!$B$2:$B$13,SUMPRODUCT((Lookup_Status!$A$2:$A$13=LOWER(TRIM(Raw_Passengers!G163)))*(ROW(Lookup_Status!$A$2:$A$13)-1))))</f>
        <v>Confirmed</v>
      </c>
      <c r="I163" s="7">
        <f>IF(OR(G163="",G163="Cancelled",G163="Mixed"),1,0)</f>
        <v>0</v>
      </c>
      <c r="J163" s="7">
        <f>IF(OR(H163="",H163="Mixed"),1,0)</f>
        <v>0</v>
      </c>
      <c r="K163" s="7">
        <f>IF(AND(C163=0,D163=0),IF(OR(AND(I163=0,NOT(EXACT(Raw_Passengers!F163,G163))),AND(J163=0,NOT(EXACT(Raw_Passengers!G163,H163)))),1,0),0)</f>
        <v>0</v>
      </c>
      <c r="L163" s="7">
        <f>IF(AND(C163=0,D163=0,I163=1),1,0)</f>
        <v>0</v>
      </c>
      <c r="M163" s="7">
        <f>IF(AND(C163=0,D163=0,J163=1),1,0)</f>
        <v>0</v>
      </c>
    </row>
    <row r="164" spans="1:13">
      <c r="A164" s="7">
        <f>Raw_Passengers!A164</f>
        <v>45147</v>
      </c>
      <c r="B164" s="7">
        <f>Raw_Passengers!B164</f>
        <v>1022407</v>
      </c>
      <c r="C164" s="7">
        <f>IF(COUNTIF(Raw_Passengers!$A$2:A164,Raw_Passengers!A164)&gt;1,1,0)</f>
        <v>0</v>
      </c>
      <c r="D164" s="7">
        <f>IF(COUNTIF(Raw_Bookings!$A$2:$A$648,Raw_Passengers!B164)=0,1,0)</f>
        <v>0</v>
      </c>
      <c r="E164" s="7">
        <f>IF(OR(C164=1,D164=1),0,IF(NOT(ISNUMBER(Raw_Passengers!E164)),1,IF(Raw_Passengers!E164&lt;=0,1,0)))</f>
        <v>0</v>
      </c>
      <c r="F164" s="7">
        <f>IF(AND(C164=0,D164=0,TRIM(Raw_Passengers!D164&amp;"")=""),1,0)</f>
        <v>0</v>
      </c>
      <c r="G164" s="7" t="str">
        <f>IF(SUMPRODUCT(--(Lookup_Status!$A$2:$A$13=LOWER(TRIM(Raw_Passengers!F164))))=0,"",INDEX(Lookup_Status!$B$2:$B$13,SUMPRODUCT((Lookup_Status!$A$2:$A$13=LOWER(TRIM(Raw_Passengers!F164)))*(ROW(Lookup_Status!$A$2:$A$13)-1))))</f>
        <v>Confirmed</v>
      </c>
      <c r="H164" s="7" t="str">
        <f>IF(SUMPRODUCT(--(Lookup_Status!$A$2:$A$13=LOWER(TRIM(Raw_Passengers!G164))))=0,"",INDEX(Lookup_Status!$B$2:$B$13,SUMPRODUCT((Lookup_Status!$A$2:$A$13=LOWER(TRIM(Raw_Passengers!G164)))*(ROW(Lookup_Status!$A$2:$A$13)-1))))</f>
        <v>Confirmed</v>
      </c>
      <c r="I164" s="7">
        <f>IF(OR(G164="",G164="Cancelled",G164="Mixed"),1,0)</f>
        <v>0</v>
      </c>
      <c r="J164" s="7">
        <f>IF(OR(H164="",H164="Mixed"),1,0)</f>
        <v>0</v>
      </c>
      <c r="K164" s="7">
        <f>IF(AND(C164=0,D164=0),IF(OR(AND(I164=0,NOT(EXACT(Raw_Passengers!F164,G164))),AND(J164=0,NOT(EXACT(Raw_Passengers!G164,H164)))),1,0),0)</f>
        <v>0</v>
      </c>
      <c r="L164" s="7">
        <f>IF(AND(C164=0,D164=0,I164=1),1,0)</f>
        <v>0</v>
      </c>
      <c r="M164" s="7">
        <f>IF(AND(C164=0,D164=0,J164=1),1,0)</f>
        <v>0</v>
      </c>
    </row>
    <row r="165" spans="1:13">
      <c r="A165" s="7">
        <f>Raw_Passengers!A165</f>
        <v>45719</v>
      </c>
      <c r="B165" s="7">
        <f>Raw_Passengers!B165</f>
        <v>1022690</v>
      </c>
      <c r="C165" s="7">
        <f>IF(COUNTIF(Raw_Passengers!$A$2:A165,Raw_Passengers!A165)&gt;1,1,0)</f>
        <v>0</v>
      </c>
      <c r="D165" s="7">
        <f>IF(COUNTIF(Raw_Bookings!$A$2:$A$648,Raw_Passengers!B165)=0,1,0)</f>
        <v>0</v>
      </c>
      <c r="E165" s="7">
        <f>IF(OR(C165=1,D165=1),0,IF(NOT(ISNUMBER(Raw_Passengers!E165)),1,IF(Raw_Passengers!E165&lt;=0,1,0)))</f>
        <v>0</v>
      </c>
      <c r="F165" s="7">
        <f>IF(AND(C165=0,D165=0,TRIM(Raw_Passengers!D165&amp;"")=""),1,0)</f>
        <v>0</v>
      </c>
      <c r="G165" s="7" t="str">
        <f>IF(SUMPRODUCT(--(Lookup_Status!$A$2:$A$13=LOWER(TRIM(Raw_Passengers!F165))))=0,"",INDEX(Lookup_Status!$B$2:$B$13,SUMPRODUCT((Lookup_Status!$A$2:$A$13=LOWER(TRIM(Raw_Passengers!F165)))*(ROW(Lookup_Status!$A$2:$A$13)-1))))</f>
        <v>Waitlisted</v>
      </c>
      <c r="H165" s="7" t="str">
        <f>IF(SUMPRODUCT(--(Lookup_Status!$A$2:$A$13=LOWER(TRIM(Raw_Passengers!G165))))=0,"",INDEX(Lookup_Status!$B$2:$B$13,SUMPRODUCT((Lookup_Status!$A$2:$A$13=LOWER(TRIM(Raw_Passengers!G165)))*(ROW(Lookup_Status!$A$2:$A$13)-1))))</f>
        <v>RAC</v>
      </c>
      <c r="I165" s="7">
        <f>IF(OR(G165="",G165="Cancelled",G165="Mixed"),1,0)</f>
        <v>0</v>
      </c>
      <c r="J165" s="7">
        <f>IF(OR(H165="",H165="Mixed"),1,0)</f>
        <v>0</v>
      </c>
      <c r="K165" s="7">
        <f>IF(AND(C165=0,D165=0),IF(OR(AND(I165=0,NOT(EXACT(Raw_Passengers!F165,G165))),AND(J165=0,NOT(EXACT(Raw_Passengers!G165,H165)))),1,0),0)</f>
        <v>0</v>
      </c>
      <c r="L165" s="7">
        <f>IF(AND(C165=0,D165=0,I165=1),1,0)</f>
        <v>0</v>
      </c>
      <c r="M165" s="7">
        <f>IF(AND(C165=0,D165=0,J165=1),1,0)</f>
        <v>0</v>
      </c>
    </row>
    <row r="166" spans="1:13">
      <c r="A166" s="7">
        <f>Raw_Passengers!A166</f>
        <v>45720</v>
      </c>
      <c r="B166" s="7">
        <f>Raw_Passengers!B166</f>
        <v>1022690</v>
      </c>
      <c r="C166" s="7">
        <f>IF(COUNTIF(Raw_Passengers!$A$2:A166,Raw_Passengers!A166)&gt;1,1,0)</f>
        <v>0</v>
      </c>
      <c r="D166" s="7">
        <f>IF(COUNTIF(Raw_Bookings!$A$2:$A$648,Raw_Passengers!B166)=0,1,0)</f>
        <v>0</v>
      </c>
      <c r="E166" s="7">
        <f>IF(OR(C166=1,D166=1),0,IF(NOT(ISNUMBER(Raw_Passengers!E166)),1,IF(Raw_Passengers!E166&lt;=0,1,0)))</f>
        <v>0</v>
      </c>
      <c r="F166" s="7">
        <f>IF(AND(C166=0,D166=0,TRIM(Raw_Passengers!D166&amp;"")=""),1,0)</f>
        <v>0</v>
      </c>
      <c r="G166" s="7" t="str">
        <f>IF(SUMPRODUCT(--(Lookup_Status!$A$2:$A$13=LOWER(TRIM(Raw_Passengers!F166))))=0,"",INDEX(Lookup_Status!$B$2:$B$13,SUMPRODUCT((Lookup_Status!$A$2:$A$13=LOWER(TRIM(Raw_Passengers!F166)))*(ROW(Lookup_Status!$A$2:$A$13)-1))))</f>
        <v>Waitlisted</v>
      </c>
      <c r="H166" s="7" t="str">
        <f>IF(SUMPRODUCT(--(Lookup_Status!$A$2:$A$13=LOWER(TRIM(Raw_Passengers!G166))))=0,"",INDEX(Lookup_Status!$B$2:$B$13,SUMPRODUCT((Lookup_Status!$A$2:$A$13=LOWER(TRIM(Raw_Passengers!G166)))*(ROW(Lookup_Status!$A$2:$A$13)-1))))</f>
        <v>RAC</v>
      </c>
      <c r="I166" s="7">
        <f>IF(OR(G166="",G166="Cancelled",G166="Mixed"),1,0)</f>
        <v>0</v>
      </c>
      <c r="J166" s="7">
        <f>IF(OR(H166="",H166="Mixed"),1,0)</f>
        <v>0</v>
      </c>
      <c r="K166" s="7">
        <f>IF(AND(C166=0,D166=0),IF(OR(AND(I166=0,NOT(EXACT(Raw_Passengers!F166,G166))),AND(J166=0,NOT(EXACT(Raw_Passengers!G166,H166)))),1,0),0)</f>
        <v>0</v>
      </c>
      <c r="L166" s="7">
        <f>IF(AND(C166=0,D166=0,I166=1),1,0)</f>
        <v>0</v>
      </c>
      <c r="M166" s="7">
        <f>IF(AND(C166=0,D166=0,J166=1),1,0)</f>
        <v>0</v>
      </c>
    </row>
    <row r="167" spans="1:13">
      <c r="A167" s="7">
        <f>Raw_Passengers!A167</f>
        <v>46311</v>
      </c>
      <c r="B167" s="7">
        <f>Raw_Passengers!B167</f>
        <v>1022972</v>
      </c>
      <c r="C167" s="7">
        <f>IF(COUNTIF(Raw_Passengers!$A$2:A167,Raw_Passengers!A167)&gt;1,1,0)</f>
        <v>0</v>
      </c>
      <c r="D167" s="7">
        <f>IF(COUNTIF(Raw_Bookings!$A$2:$A$648,Raw_Passengers!B167)=0,1,0)</f>
        <v>0</v>
      </c>
      <c r="E167" s="7">
        <f>IF(OR(C167=1,D167=1),0,IF(NOT(ISNUMBER(Raw_Passengers!E167)),1,IF(Raw_Passengers!E167&lt;=0,1,0)))</f>
        <v>0</v>
      </c>
      <c r="F167" s="7">
        <f>IF(AND(C167=0,D167=0,TRIM(Raw_Passengers!D167&amp;"")=""),1,0)</f>
        <v>0</v>
      </c>
      <c r="G167" s="7" t="str">
        <f>IF(SUMPRODUCT(--(Lookup_Status!$A$2:$A$13=LOWER(TRIM(Raw_Passengers!F167))))=0,"",INDEX(Lookup_Status!$B$2:$B$13,SUMPRODUCT((Lookup_Status!$A$2:$A$13=LOWER(TRIM(Raw_Passengers!F167)))*(ROW(Lookup_Status!$A$2:$A$13)-1))))</f>
        <v>Waitlisted</v>
      </c>
      <c r="H167" s="7" t="str">
        <f>IF(SUMPRODUCT(--(Lookup_Status!$A$2:$A$13=LOWER(TRIM(Raw_Passengers!G167))))=0,"",INDEX(Lookup_Status!$B$2:$B$13,SUMPRODUCT((Lookup_Status!$A$2:$A$13=LOWER(TRIM(Raw_Passengers!G167)))*(ROW(Lookup_Status!$A$2:$A$13)-1))))</f>
        <v>Waitlisted</v>
      </c>
      <c r="I167" s="7">
        <f>IF(OR(G167="",G167="Cancelled",G167="Mixed"),1,0)</f>
        <v>0</v>
      </c>
      <c r="J167" s="7">
        <f>IF(OR(H167="",H167="Mixed"),1,0)</f>
        <v>0</v>
      </c>
      <c r="K167" s="7">
        <f>IF(AND(C167=0,D167=0),IF(OR(AND(I167=0,NOT(EXACT(Raw_Passengers!F167,G167))),AND(J167=0,NOT(EXACT(Raw_Passengers!G167,H167)))),1,0),0)</f>
        <v>0</v>
      </c>
      <c r="L167" s="7">
        <f>IF(AND(C167=0,D167=0,I167=1),1,0)</f>
        <v>0</v>
      </c>
      <c r="M167" s="7">
        <f>IF(AND(C167=0,D167=0,J167=1),1,0)</f>
        <v>0</v>
      </c>
    </row>
    <row r="168" spans="1:13">
      <c r="A168" s="7">
        <f>Raw_Passengers!A168</f>
        <v>46401</v>
      </c>
      <c r="B168" s="7">
        <f>Raw_Passengers!B168</f>
        <v>1023016</v>
      </c>
      <c r="C168" s="7">
        <f>IF(COUNTIF(Raw_Passengers!$A$2:A168,Raw_Passengers!A168)&gt;1,1,0)</f>
        <v>0</v>
      </c>
      <c r="D168" s="7">
        <f>IF(COUNTIF(Raw_Bookings!$A$2:$A$648,Raw_Passengers!B168)=0,1,0)</f>
        <v>0</v>
      </c>
      <c r="E168" s="7">
        <f>IF(OR(C168=1,D168=1),0,IF(NOT(ISNUMBER(Raw_Passengers!E168)),1,IF(Raw_Passengers!E168&lt;=0,1,0)))</f>
        <v>0</v>
      </c>
      <c r="F168" s="7">
        <f>IF(AND(C168=0,D168=0,TRIM(Raw_Passengers!D168&amp;"")=""),1,0)</f>
        <v>0</v>
      </c>
      <c r="G168" s="7" t="str">
        <f>IF(SUMPRODUCT(--(Lookup_Status!$A$2:$A$13=LOWER(TRIM(Raw_Passengers!F168))))=0,"",INDEX(Lookup_Status!$B$2:$B$13,SUMPRODUCT((Lookup_Status!$A$2:$A$13=LOWER(TRIM(Raw_Passengers!F168)))*(ROW(Lookup_Status!$A$2:$A$13)-1))))</f>
        <v>Confirmed</v>
      </c>
      <c r="H168" s="7" t="str">
        <f>IF(SUMPRODUCT(--(Lookup_Status!$A$2:$A$13=LOWER(TRIM(Raw_Passengers!G168))))=0,"",INDEX(Lookup_Status!$B$2:$B$13,SUMPRODUCT((Lookup_Status!$A$2:$A$13=LOWER(TRIM(Raw_Passengers!G168)))*(ROW(Lookup_Status!$A$2:$A$13)-1))))</f>
        <v>Cancelled</v>
      </c>
      <c r="I168" s="7">
        <f>IF(OR(G168="",G168="Cancelled",G168="Mixed"),1,0)</f>
        <v>0</v>
      </c>
      <c r="J168" s="7">
        <f>IF(OR(H168="",H168="Mixed"),1,0)</f>
        <v>0</v>
      </c>
      <c r="K168" s="7">
        <f>IF(AND(C168=0,D168=0),IF(OR(AND(I168=0,NOT(EXACT(Raw_Passengers!F168,G168))),AND(J168=0,NOT(EXACT(Raw_Passengers!G168,H168)))),1,0),0)</f>
        <v>0</v>
      </c>
      <c r="L168" s="7">
        <f>IF(AND(C168=0,D168=0,I168=1),1,0)</f>
        <v>0</v>
      </c>
      <c r="M168" s="7">
        <f>IF(AND(C168=0,D168=0,J168=1),1,0)</f>
        <v>0</v>
      </c>
    </row>
    <row r="169" spans="1:13">
      <c r="A169" s="7">
        <f>Raw_Passengers!A169</f>
        <v>48555</v>
      </c>
      <c r="B169" s="7">
        <f>Raw_Passengers!B169</f>
        <v>1024071</v>
      </c>
      <c r="C169" s="7">
        <f>IF(COUNTIF(Raw_Passengers!$A$2:A169,Raw_Passengers!A169)&gt;1,1,0)</f>
        <v>0</v>
      </c>
      <c r="D169" s="7">
        <f>IF(COUNTIF(Raw_Bookings!$A$2:$A$648,Raw_Passengers!B169)=0,1,0)</f>
        <v>0</v>
      </c>
      <c r="E169" s="7">
        <f>IF(OR(C169=1,D169=1),0,IF(NOT(ISNUMBER(Raw_Passengers!E169)),1,IF(Raw_Passengers!E169&lt;=0,1,0)))</f>
        <v>0</v>
      </c>
      <c r="F169" s="7">
        <f>IF(AND(C169=0,D169=0,TRIM(Raw_Passengers!D169&amp;"")=""),1,0)</f>
        <v>0</v>
      </c>
      <c r="G169" s="7" t="str">
        <f>IF(SUMPRODUCT(--(Lookup_Status!$A$2:$A$13=LOWER(TRIM(Raw_Passengers!F169))))=0,"",INDEX(Lookup_Status!$B$2:$B$13,SUMPRODUCT((Lookup_Status!$A$2:$A$13=LOWER(TRIM(Raw_Passengers!F169)))*(ROW(Lookup_Status!$A$2:$A$13)-1))))</f>
        <v>Confirmed</v>
      </c>
      <c r="H169" s="7" t="str">
        <f>IF(SUMPRODUCT(--(Lookup_Status!$A$2:$A$13=LOWER(TRIM(Raw_Passengers!G169))))=0,"",INDEX(Lookup_Status!$B$2:$B$13,SUMPRODUCT((Lookup_Status!$A$2:$A$13=LOWER(TRIM(Raw_Passengers!G169)))*(ROW(Lookup_Status!$A$2:$A$13)-1))))</f>
        <v>Confirmed</v>
      </c>
      <c r="I169" s="7">
        <f>IF(OR(G169="",G169="Cancelled",G169="Mixed"),1,0)</f>
        <v>0</v>
      </c>
      <c r="J169" s="7">
        <f>IF(OR(H169="",H169="Mixed"),1,0)</f>
        <v>0</v>
      </c>
      <c r="K169" s="7">
        <f>IF(AND(C169=0,D169=0),IF(OR(AND(I169=0,NOT(EXACT(Raw_Passengers!F169,G169))),AND(J169=0,NOT(EXACT(Raw_Passengers!G169,H169)))),1,0),0)</f>
        <v>0</v>
      </c>
      <c r="L169" s="7">
        <f>IF(AND(C169=0,D169=0,I169=1),1,0)</f>
        <v>0</v>
      </c>
      <c r="M169" s="7">
        <f>IF(AND(C169=0,D169=0,J169=1),1,0)</f>
        <v>0</v>
      </c>
    </row>
    <row r="170" spans="1:13">
      <c r="A170" s="7">
        <f>Raw_Passengers!A170</f>
        <v>48556</v>
      </c>
      <c r="B170" s="7">
        <f>Raw_Passengers!B170</f>
        <v>1024071</v>
      </c>
      <c r="C170" s="7">
        <f>IF(COUNTIF(Raw_Passengers!$A$2:A170,Raw_Passengers!A170)&gt;1,1,0)</f>
        <v>0</v>
      </c>
      <c r="D170" s="7">
        <f>IF(COUNTIF(Raw_Bookings!$A$2:$A$648,Raw_Passengers!B170)=0,1,0)</f>
        <v>0</v>
      </c>
      <c r="E170" s="7">
        <f>IF(OR(C170=1,D170=1),0,IF(NOT(ISNUMBER(Raw_Passengers!E170)),1,IF(Raw_Passengers!E170&lt;=0,1,0)))</f>
        <v>0</v>
      </c>
      <c r="F170" s="7">
        <f>IF(AND(C170=0,D170=0,TRIM(Raw_Passengers!D170&amp;"")=""),1,0)</f>
        <v>0</v>
      </c>
      <c r="G170" s="7" t="str">
        <f>IF(SUMPRODUCT(--(Lookup_Status!$A$2:$A$13=LOWER(TRIM(Raw_Passengers!F170))))=0,"",INDEX(Lookup_Status!$B$2:$B$13,SUMPRODUCT((Lookup_Status!$A$2:$A$13=LOWER(TRIM(Raw_Passengers!F170)))*(ROW(Lookup_Status!$A$2:$A$13)-1))))</f>
        <v>Confirmed</v>
      </c>
      <c r="H170" s="7" t="str">
        <f>IF(SUMPRODUCT(--(Lookup_Status!$A$2:$A$13=LOWER(TRIM(Raw_Passengers!G170))))=0,"",INDEX(Lookup_Status!$B$2:$B$13,SUMPRODUCT((Lookup_Status!$A$2:$A$13=LOWER(TRIM(Raw_Passengers!G170)))*(ROW(Lookup_Status!$A$2:$A$13)-1))))</f>
        <v>Confirmed</v>
      </c>
      <c r="I170" s="7">
        <f>IF(OR(G170="",G170="Cancelled",G170="Mixed"),1,0)</f>
        <v>0</v>
      </c>
      <c r="J170" s="7">
        <f>IF(OR(H170="",H170="Mixed"),1,0)</f>
        <v>0</v>
      </c>
      <c r="K170" s="7">
        <f>IF(AND(C170=0,D170=0),IF(OR(AND(I170=0,NOT(EXACT(Raw_Passengers!F170,G170))),AND(J170=0,NOT(EXACT(Raw_Passengers!G170,H170)))),1,0),0)</f>
        <v>0</v>
      </c>
      <c r="L170" s="7">
        <f>IF(AND(C170=0,D170=0,I170=1),1,0)</f>
        <v>0</v>
      </c>
      <c r="M170" s="7">
        <f>IF(AND(C170=0,D170=0,J170=1),1,0)</f>
        <v>0</v>
      </c>
    </row>
    <row r="171" spans="1:13">
      <c r="A171" s="7">
        <f>Raw_Passengers!A171</f>
        <v>48922</v>
      </c>
      <c r="B171" s="7">
        <f>Raw_Passengers!B171</f>
        <v>1024249</v>
      </c>
      <c r="C171" s="7">
        <f>IF(COUNTIF(Raw_Passengers!$A$2:A171,Raw_Passengers!A171)&gt;1,1,0)</f>
        <v>0</v>
      </c>
      <c r="D171" s="7">
        <f>IF(COUNTIF(Raw_Bookings!$A$2:$A$648,Raw_Passengers!B171)=0,1,0)</f>
        <v>0</v>
      </c>
      <c r="E171" s="7">
        <f>IF(OR(C171=1,D171=1),0,IF(NOT(ISNUMBER(Raw_Passengers!E171)),1,IF(Raw_Passengers!E171&lt;=0,1,0)))</f>
        <v>0</v>
      </c>
      <c r="F171" s="7">
        <f>IF(AND(C171=0,D171=0,TRIM(Raw_Passengers!D171&amp;"")=""),1,0)</f>
        <v>0</v>
      </c>
      <c r="G171" s="7" t="str">
        <f>IF(SUMPRODUCT(--(Lookup_Status!$A$2:$A$13=LOWER(TRIM(Raw_Passengers!F171))))=0,"",INDEX(Lookup_Status!$B$2:$B$13,SUMPRODUCT((Lookup_Status!$A$2:$A$13=LOWER(TRIM(Raw_Passengers!F171)))*(ROW(Lookup_Status!$A$2:$A$13)-1))))</f>
        <v>Confirmed</v>
      </c>
      <c r="H171" s="7" t="str">
        <f>IF(SUMPRODUCT(--(Lookup_Status!$A$2:$A$13=LOWER(TRIM(Raw_Passengers!G171))))=0,"",INDEX(Lookup_Status!$B$2:$B$13,SUMPRODUCT((Lookup_Status!$A$2:$A$13=LOWER(TRIM(Raw_Passengers!G171)))*(ROW(Lookup_Status!$A$2:$A$13)-1))))</f>
        <v>Confirmed</v>
      </c>
      <c r="I171" s="7">
        <f>IF(OR(G171="",G171="Cancelled",G171="Mixed"),1,0)</f>
        <v>0</v>
      </c>
      <c r="J171" s="7">
        <f>IF(OR(H171="",H171="Mixed"),1,0)</f>
        <v>0</v>
      </c>
      <c r="K171" s="7">
        <f>IF(AND(C171=0,D171=0),IF(OR(AND(I171=0,NOT(EXACT(Raw_Passengers!F171,G171))),AND(J171=0,NOT(EXACT(Raw_Passengers!G171,H171)))),1,0),0)</f>
        <v>0</v>
      </c>
      <c r="L171" s="7">
        <f>IF(AND(C171=0,D171=0,I171=1),1,0)</f>
        <v>0</v>
      </c>
      <c r="M171" s="7">
        <f>IF(AND(C171=0,D171=0,J171=1),1,0)</f>
        <v>0</v>
      </c>
    </row>
    <row r="172" spans="1:13">
      <c r="A172" s="7">
        <f>Raw_Passengers!A172</f>
        <v>48923</v>
      </c>
      <c r="B172" s="7">
        <f>Raw_Passengers!B172</f>
        <v>1024249</v>
      </c>
      <c r="C172" s="7">
        <f>IF(COUNTIF(Raw_Passengers!$A$2:A172,Raw_Passengers!A172)&gt;1,1,0)</f>
        <v>0</v>
      </c>
      <c r="D172" s="7">
        <f>IF(COUNTIF(Raw_Bookings!$A$2:$A$648,Raw_Passengers!B172)=0,1,0)</f>
        <v>0</v>
      </c>
      <c r="E172" s="7">
        <f>IF(OR(C172=1,D172=1),0,IF(NOT(ISNUMBER(Raw_Passengers!E172)),1,IF(Raw_Passengers!E172&lt;=0,1,0)))</f>
        <v>0</v>
      </c>
      <c r="F172" s="7">
        <f>IF(AND(C172=0,D172=0,TRIM(Raw_Passengers!D172&amp;"")=""),1,0)</f>
        <v>0</v>
      </c>
      <c r="G172" s="7" t="str">
        <f>IF(SUMPRODUCT(--(Lookup_Status!$A$2:$A$13=LOWER(TRIM(Raw_Passengers!F172))))=0,"",INDEX(Lookup_Status!$B$2:$B$13,SUMPRODUCT((Lookup_Status!$A$2:$A$13=LOWER(TRIM(Raw_Passengers!F172)))*(ROW(Lookup_Status!$A$2:$A$13)-1))))</f>
        <v>Confirmed</v>
      </c>
      <c r="H172" s="7" t="str">
        <f>IF(SUMPRODUCT(--(Lookup_Status!$A$2:$A$13=LOWER(TRIM(Raw_Passengers!G172))))=0,"",INDEX(Lookup_Status!$B$2:$B$13,SUMPRODUCT((Lookup_Status!$A$2:$A$13=LOWER(TRIM(Raw_Passengers!G172)))*(ROW(Lookup_Status!$A$2:$A$13)-1))))</f>
        <v>Confirmed</v>
      </c>
      <c r="I172" s="7">
        <f>IF(OR(G172="",G172="Cancelled",G172="Mixed"),1,0)</f>
        <v>0</v>
      </c>
      <c r="J172" s="7">
        <f>IF(OR(H172="",H172="Mixed"),1,0)</f>
        <v>0</v>
      </c>
      <c r="K172" s="7">
        <f>IF(AND(C172=0,D172=0),IF(OR(AND(I172=0,NOT(EXACT(Raw_Passengers!F172,G172))),AND(J172=0,NOT(EXACT(Raw_Passengers!G172,H172)))),1,0),0)</f>
        <v>0</v>
      </c>
      <c r="L172" s="7">
        <f>IF(AND(C172=0,D172=0,I172=1),1,0)</f>
        <v>0</v>
      </c>
      <c r="M172" s="7">
        <f>IF(AND(C172=0,D172=0,J172=1),1,0)</f>
        <v>0</v>
      </c>
    </row>
    <row r="173" spans="1:13">
      <c r="A173" s="7">
        <f>Raw_Passengers!A173</f>
        <v>49407</v>
      </c>
      <c r="B173" s="7">
        <f>Raw_Passengers!B173</f>
        <v>1024488</v>
      </c>
      <c r="C173" s="7">
        <f>IF(COUNTIF(Raw_Passengers!$A$2:A173,Raw_Passengers!A173)&gt;1,1,0)</f>
        <v>0</v>
      </c>
      <c r="D173" s="7">
        <f>IF(COUNTIF(Raw_Bookings!$A$2:$A$648,Raw_Passengers!B173)=0,1,0)</f>
        <v>0</v>
      </c>
      <c r="E173" s="7">
        <f>IF(OR(C173=1,D173=1),0,IF(NOT(ISNUMBER(Raw_Passengers!E173)),1,IF(Raw_Passengers!E173&lt;=0,1,0)))</f>
        <v>0</v>
      </c>
      <c r="F173" s="7">
        <f>IF(AND(C173=0,D173=0,TRIM(Raw_Passengers!D173&amp;"")=""),1,0)</f>
        <v>0</v>
      </c>
      <c r="G173" s="7" t="str">
        <f>IF(SUMPRODUCT(--(Lookup_Status!$A$2:$A$13=LOWER(TRIM(Raw_Passengers!F173))))=0,"",INDEX(Lookup_Status!$B$2:$B$13,SUMPRODUCT((Lookup_Status!$A$2:$A$13=LOWER(TRIM(Raw_Passengers!F173)))*(ROW(Lookup_Status!$A$2:$A$13)-1))))</f>
        <v>Confirmed</v>
      </c>
      <c r="H173" s="7" t="str">
        <f>IF(SUMPRODUCT(--(Lookup_Status!$A$2:$A$13=LOWER(TRIM(Raw_Passengers!G173))))=0,"",INDEX(Lookup_Status!$B$2:$B$13,SUMPRODUCT((Lookup_Status!$A$2:$A$13=LOWER(TRIM(Raw_Passengers!G173)))*(ROW(Lookup_Status!$A$2:$A$13)-1))))</f>
        <v>Confirmed</v>
      </c>
      <c r="I173" s="7">
        <f>IF(OR(G173="",G173="Cancelled",G173="Mixed"),1,0)</f>
        <v>0</v>
      </c>
      <c r="J173" s="7">
        <f>IF(OR(H173="",H173="Mixed"),1,0)</f>
        <v>0</v>
      </c>
      <c r="K173" s="7">
        <f>IF(AND(C173=0,D173=0),IF(OR(AND(I173=0,NOT(EXACT(Raw_Passengers!F173,G173))),AND(J173=0,NOT(EXACT(Raw_Passengers!G173,H173)))),1,0),0)</f>
        <v>0</v>
      </c>
      <c r="L173" s="7">
        <f>IF(AND(C173=0,D173=0,I173=1),1,0)</f>
        <v>0</v>
      </c>
      <c r="M173" s="7">
        <f>IF(AND(C173=0,D173=0,J173=1),1,0)</f>
        <v>0</v>
      </c>
    </row>
    <row r="174" spans="1:13">
      <c r="A174" s="7">
        <f>Raw_Passengers!A174</f>
        <v>50566</v>
      </c>
      <c r="B174" s="7">
        <f>Raw_Passengers!B174</f>
        <v>1025070</v>
      </c>
      <c r="C174" s="7">
        <f>IF(COUNTIF(Raw_Passengers!$A$2:A174,Raw_Passengers!A174)&gt;1,1,0)</f>
        <v>0</v>
      </c>
      <c r="D174" s="7">
        <f>IF(COUNTIF(Raw_Bookings!$A$2:$A$648,Raw_Passengers!B174)=0,1,0)</f>
        <v>0</v>
      </c>
      <c r="E174" s="7">
        <f>IF(OR(C174=1,D174=1),0,IF(NOT(ISNUMBER(Raw_Passengers!E174)),1,IF(Raw_Passengers!E174&lt;=0,1,0)))</f>
        <v>0</v>
      </c>
      <c r="F174" s="7">
        <f>IF(AND(C174=0,D174=0,TRIM(Raw_Passengers!D174&amp;"")=""),1,0)</f>
        <v>0</v>
      </c>
      <c r="G174" s="7" t="str">
        <f>IF(SUMPRODUCT(--(Lookup_Status!$A$2:$A$13=LOWER(TRIM(Raw_Passengers!F174))))=0,"",INDEX(Lookup_Status!$B$2:$B$13,SUMPRODUCT((Lookup_Status!$A$2:$A$13=LOWER(TRIM(Raw_Passengers!F174)))*(ROW(Lookup_Status!$A$2:$A$13)-1))))</f>
        <v>Confirmed</v>
      </c>
      <c r="H174" s="7" t="str">
        <f>IF(SUMPRODUCT(--(Lookup_Status!$A$2:$A$13=LOWER(TRIM(Raw_Passengers!G174))))=0,"",INDEX(Lookup_Status!$B$2:$B$13,SUMPRODUCT((Lookup_Status!$A$2:$A$13=LOWER(TRIM(Raw_Passengers!G174)))*(ROW(Lookup_Status!$A$2:$A$13)-1))))</f>
        <v>Confirmed</v>
      </c>
      <c r="I174" s="7">
        <f>IF(OR(G174="",G174="Cancelled",G174="Mixed"),1,0)</f>
        <v>0</v>
      </c>
      <c r="J174" s="7">
        <f>IF(OR(H174="",H174="Mixed"),1,0)</f>
        <v>0</v>
      </c>
      <c r="K174" s="7">
        <f>IF(AND(C174=0,D174=0),IF(OR(AND(I174=0,NOT(EXACT(Raw_Passengers!F174,G174))),AND(J174=0,NOT(EXACT(Raw_Passengers!G174,H174)))),1,0),0)</f>
        <v>0</v>
      </c>
      <c r="L174" s="7">
        <f>IF(AND(C174=0,D174=0,I174=1),1,0)</f>
        <v>0</v>
      </c>
      <c r="M174" s="7">
        <f>IF(AND(C174=0,D174=0,J174=1),1,0)</f>
        <v>0</v>
      </c>
    </row>
    <row r="175" spans="1:13">
      <c r="A175" s="7">
        <f>Raw_Passengers!A175</f>
        <v>51408</v>
      </c>
      <c r="B175" s="7">
        <f>Raw_Passengers!B175</f>
        <v>1025466</v>
      </c>
      <c r="C175" s="7">
        <f>IF(COUNTIF(Raw_Passengers!$A$2:A175,Raw_Passengers!A175)&gt;1,1,0)</f>
        <v>0</v>
      </c>
      <c r="D175" s="7">
        <f>IF(COUNTIF(Raw_Bookings!$A$2:$A$648,Raw_Passengers!B175)=0,1,0)</f>
        <v>0</v>
      </c>
      <c r="E175" s="7">
        <f>IF(OR(C175=1,D175=1),0,IF(NOT(ISNUMBER(Raw_Passengers!E175)),1,IF(Raw_Passengers!E175&lt;=0,1,0)))</f>
        <v>0</v>
      </c>
      <c r="F175" s="7">
        <f>IF(AND(C175=0,D175=0,TRIM(Raw_Passengers!D175&amp;"")=""),1,0)</f>
        <v>0</v>
      </c>
      <c r="G175" s="7" t="str">
        <f>IF(SUMPRODUCT(--(Lookup_Status!$A$2:$A$13=LOWER(TRIM(Raw_Passengers!F175))))=0,"",INDEX(Lookup_Status!$B$2:$B$13,SUMPRODUCT((Lookup_Status!$A$2:$A$13=LOWER(TRIM(Raw_Passengers!F175)))*(ROW(Lookup_Status!$A$2:$A$13)-1))))</f>
        <v>Confirmed</v>
      </c>
      <c r="H175" s="7" t="str">
        <f>IF(SUMPRODUCT(--(Lookup_Status!$A$2:$A$13=LOWER(TRIM(Raw_Passengers!G175))))=0,"",INDEX(Lookup_Status!$B$2:$B$13,SUMPRODUCT((Lookup_Status!$A$2:$A$13=LOWER(TRIM(Raw_Passengers!G175)))*(ROW(Lookup_Status!$A$2:$A$13)-1))))</f>
        <v>Confirmed</v>
      </c>
      <c r="I175" s="7">
        <f>IF(OR(G175="",G175="Cancelled",G175="Mixed"),1,0)</f>
        <v>0</v>
      </c>
      <c r="J175" s="7">
        <f>IF(OR(H175="",H175="Mixed"),1,0)</f>
        <v>0</v>
      </c>
      <c r="K175" s="7">
        <f>IF(AND(C175=0,D175=0),IF(OR(AND(I175=0,NOT(EXACT(Raw_Passengers!F175,G175))),AND(J175=0,NOT(EXACT(Raw_Passengers!G175,H175)))),1,0),0)</f>
        <v>0</v>
      </c>
      <c r="L175" s="7">
        <f>IF(AND(C175=0,D175=0,I175=1),1,0)</f>
        <v>0</v>
      </c>
      <c r="M175" s="7">
        <f>IF(AND(C175=0,D175=0,J175=1),1,0)</f>
        <v>0</v>
      </c>
    </row>
    <row r="176" spans="1:13">
      <c r="A176" s="7">
        <f>Raw_Passengers!A176</f>
        <v>52289</v>
      </c>
      <c r="B176" s="7">
        <f>Raw_Passengers!B176</f>
        <v>1025907</v>
      </c>
      <c r="C176" s="7">
        <f>IF(COUNTIF(Raw_Passengers!$A$2:A176,Raw_Passengers!A176)&gt;1,1,0)</f>
        <v>0</v>
      </c>
      <c r="D176" s="7">
        <f>IF(COUNTIF(Raw_Bookings!$A$2:$A$648,Raw_Passengers!B176)=0,1,0)</f>
        <v>0</v>
      </c>
      <c r="E176" s="7">
        <f>IF(OR(C176=1,D176=1),0,IF(NOT(ISNUMBER(Raw_Passengers!E176)),1,IF(Raw_Passengers!E176&lt;=0,1,0)))</f>
        <v>0</v>
      </c>
      <c r="F176" s="7">
        <f>IF(AND(C176=0,D176=0,TRIM(Raw_Passengers!D176&amp;"")=""),1,0)</f>
        <v>0</v>
      </c>
      <c r="G176" s="7" t="str">
        <f>IF(SUMPRODUCT(--(Lookup_Status!$A$2:$A$13=LOWER(TRIM(Raw_Passengers!F176))))=0,"",INDEX(Lookup_Status!$B$2:$B$13,SUMPRODUCT((Lookup_Status!$A$2:$A$13=LOWER(TRIM(Raw_Passengers!F176)))*(ROW(Lookup_Status!$A$2:$A$13)-1))))</f>
        <v>Confirmed</v>
      </c>
      <c r="H176" s="7" t="str">
        <f>IF(SUMPRODUCT(--(Lookup_Status!$A$2:$A$13=LOWER(TRIM(Raw_Passengers!G176))))=0,"",INDEX(Lookup_Status!$B$2:$B$13,SUMPRODUCT((Lookup_Status!$A$2:$A$13=LOWER(TRIM(Raw_Passengers!G176)))*(ROW(Lookup_Status!$A$2:$A$13)-1))))</f>
        <v>Confirmed</v>
      </c>
      <c r="I176" s="7">
        <f>IF(OR(G176="",G176="Cancelled",G176="Mixed"),1,0)</f>
        <v>0</v>
      </c>
      <c r="J176" s="7">
        <f>IF(OR(H176="",H176="Mixed"),1,0)</f>
        <v>0</v>
      </c>
      <c r="K176" s="7">
        <f>IF(AND(C176=0,D176=0),IF(OR(AND(I176=0,NOT(EXACT(Raw_Passengers!F176,G176))),AND(J176=0,NOT(EXACT(Raw_Passengers!G176,H176)))),1,0),0)</f>
        <v>0</v>
      </c>
      <c r="L176" s="7">
        <f>IF(AND(C176=0,D176=0,I176=1),1,0)</f>
        <v>0</v>
      </c>
      <c r="M176" s="7">
        <f>IF(AND(C176=0,D176=0,J176=1),1,0)</f>
        <v>0</v>
      </c>
    </row>
    <row r="177" spans="1:13">
      <c r="A177" s="7">
        <f>Raw_Passengers!A177</f>
        <v>52506</v>
      </c>
      <c r="B177" s="7">
        <f>Raw_Passengers!B177</f>
        <v>1026016</v>
      </c>
      <c r="C177" s="7">
        <f>IF(COUNTIF(Raw_Passengers!$A$2:A177,Raw_Passengers!A177)&gt;1,1,0)</f>
        <v>0</v>
      </c>
      <c r="D177" s="7">
        <f>IF(COUNTIF(Raw_Bookings!$A$2:$A$648,Raw_Passengers!B177)=0,1,0)</f>
        <v>0</v>
      </c>
      <c r="E177" s="7">
        <f>IF(OR(C177=1,D177=1),0,IF(NOT(ISNUMBER(Raw_Passengers!E177)),1,IF(Raw_Passengers!E177&lt;=0,1,0)))</f>
        <v>0</v>
      </c>
      <c r="F177" s="7">
        <f>IF(AND(C177=0,D177=0,TRIM(Raw_Passengers!D177&amp;"")=""),1,0)</f>
        <v>0</v>
      </c>
      <c r="G177" s="7" t="str">
        <f>IF(SUMPRODUCT(--(Lookup_Status!$A$2:$A$13=LOWER(TRIM(Raw_Passengers!F177))))=0,"",INDEX(Lookup_Status!$B$2:$B$13,SUMPRODUCT((Lookup_Status!$A$2:$A$13=LOWER(TRIM(Raw_Passengers!F177)))*(ROW(Lookup_Status!$A$2:$A$13)-1))))</f>
        <v>Waitlisted</v>
      </c>
      <c r="H177" s="7" t="str">
        <f>IF(SUMPRODUCT(--(Lookup_Status!$A$2:$A$13=LOWER(TRIM(Raw_Passengers!G177))))=0,"",INDEX(Lookup_Status!$B$2:$B$13,SUMPRODUCT((Lookup_Status!$A$2:$A$13=LOWER(TRIM(Raw_Passengers!G177)))*(ROW(Lookup_Status!$A$2:$A$13)-1))))</f>
        <v>Waitlisted</v>
      </c>
      <c r="I177" s="7">
        <f>IF(OR(G177="",G177="Cancelled",G177="Mixed"),1,0)</f>
        <v>0</v>
      </c>
      <c r="J177" s="7">
        <f>IF(OR(H177="",H177="Mixed"),1,0)</f>
        <v>0</v>
      </c>
      <c r="K177" s="7">
        <f>IF(AND(C177=0,D177=0),IF(OR(AND(I177=0,NOT(EXACT(Raw_Passengers!F177,G177))),AND(J177=0,NOT(EXACT(Raw_Passengers!G177,H177)))),1,0),0)</f>
        <v>0</v>
      </c>
      <c r="L177" s="7">
        <f>IF(AND(C177=0,D177=0,I177=1),1,0)</f>
        <v>0</v>
      </c>
      <c r="M177" s="7">
        <f>IF(AND(C177=0,D177=0,J177=1),1,0)</f>
        <v>0</v>
      </c>
    </row>
    <row r="178" spans="1:13">
      <c r="A178" s="7">
        <f>Raw_Passengers!A178</f>
        <v>52507</v>
      </c>
      <c r="B178" s="7">
        <f>Raw_Passengers!B178</f>
        <v>1026016</v>
      </c>
      <c r="C178" s="7">
        <f>IF(COUNTIF(Raw_Passengers!$A$2:A178,Raw_Passengers!A178)&gt;1,1,0)</f>
        <v>0</v>
      </c>
      <c r="D178" s="7">
        <f>IF(COUNTIF(Raw_Bookings!$A$2:$A$648,Raw_Passengers!B178)=0,1,0)</f>
        <v>0</v>
      </c>
      <c r="E178" s="7">
        <f>IF(OR(C178=1,D178=1),0,IF(NOT(ISNUMBER(Raw_Passengers!E178)),1,IF(Raw_Passengers!E178&lt;=0,1,0)))</f>
        <v>0</v>
      </c>
      <c r="F178" s="7">
        <f>IF(AND(C178=0,D178=0,TRIM(Raw_Passengers!D178&amp;"")=""),1,0)</f>
        <v>0</v>
      </c>
      <c r="G178" s="7" t="str">
        <f>IF(SUMPRODUCT(--(Lookup_Status!$A$2:$A$13=LOWER(TRIM(Raw_Passengers!F178))))=0,"",INDEX(Lookup_Status!$B$2:$B$13,SUMPRODUCT((Lookup_Status!$A$2:$A$13=LOWER(TRIM(Raw_Passengers!F178)))*(ROW(Lookup_Status!$A$2:$A$13)-1))))</f>
        <v>Waitlisted</v>
      </c>
      <c r="H178" s="7" t="str">
        <f>IF(SUMPRODUCT(--(Lookup_Status!$A$2:$A$13=LOWER(TRIM(Raw_Passengers!G178))))=0,"",INDEX(Lookup_Status!$B$2:$B$13,SUMPRODUCT((Lookup_Status!$A$2:$A$13=LOWER(TRIM(Raw_Passengers!G178)))*(ROW(Lookup_Status!$A$2:$A$13)-1))))</f>
        <v>Waitlisted</v>
      </c>
      <c r="I178" s="7">
        <f>IF(OR(G178="",G178="Cancelled",G178="Mixed"),1,0)</f>
        <v>0</v>
      </c>
      <c r="J178" s="7">
        <f>IF(OR(H178="",H178="Mixed"),1,0)</f>
        <v>0</v>
      </c>
      <c r="K178" s="7">
        <f>IF(AND(C178=0,D178=0),IF(OR(AND(I178=0,NOT(EXACT(Raw_Passengers!F178,G178))),AND(J178=0,NOT(EXACT(Raw_Passengers!G178,H178)))),1,0),0)</f>
        <v>0</v>
      </c>
      <c r="L178" s="7">
        <f>IF(AND(C178=0,D178=0,I178=1),1,0)</f>
        <v>0</v>
      </c>
      <c r="M178" s="7">
        <f>IF(AND(C178=0,D178=0,J178=1),1,0)</f>
        <v>0</v>
      </c>
    </row>
    <row r="179" spans="1:13">
      <c r="A179" s="7">
        <f>Raw_Passengers!A179</f>
        <v>53475</v>
      </c>
      <c r="B179" s="7">
        <f>Raw_Passengers!B179</f>
        <v>1026503</v>
      </c>
      <c r="C179" s="7">
        <f>IF(COUNTIF(Raw_Passengers!$A$2:A179,Raw_Passengers!A179)&gt;1,1,0)</f>
        <v>0</v>
      </c>
      <c r="D179" s="7">
        <f>IF(COUNTIF(Raw_Bookings!$A$2:$A$648,Raw_Passengers!B179)=0,1,0)</f>
        <v>0</v>
      </c>
      <c r="E179" s="7">
        <f>IF(OR(C179=1,D179=1),0,IF(NOT(ISNUMBER(Raw_Passengers!E179)),1,IF(Raw_Passengers!E179&lt;=0,1,0)))</f>
        <v>0</v>
      </c>
      <c r="F179" s="7">
        <f>IF(AND(C179=0,D179=0,TRIM(Raw_Passengers!D179&amp;"")=""),1,0)</f>
        <v>0</v>
      </c>
      <c r="G179" s="7" t="str">
        <f>IF(SUMPRODUCT(--(Lookup_Status!$A$2:$A$13=LOWER(TRIM(Raw_Passengers!F179))))=0,"",INDEX(Lookup_Status!$B$2:$B$13,SUMPRODUCT((Lookup_Status!$A$2:$A$13=LOWER(TRIM(Raw_Passengers!F179)))*(ROW(Lookup_Status!$A$2:$A$13)-1))))</f>
        <v>Confirmed</v>
      </c>
      <c r="H179" s="7" t="str">
        <f>IF(SUMPRODUCT(--(Lookup_Status!$A$2:$A$13=LOWER(TRIM(Raw_Passengers!G179))))=0,"",INDEX(Lookup_Status!$B$2:$B$13,SUMPRODUCT((Lookup_Status!$A$2:$A$13=LOWER(TRIM(Raw_Passengers!G179)))*(ROW(Lookup_Status!$A$2:$A$13)-1))))</f>
        <v>Confirmed</v>
      </c>
      <c r="I179" s="7">
        <f>IF(OR(G179="",G179="Cancelled",G179="Mixed"),1,0)</f>
        <v>0</v>
      </c>
      <c r="J179" s="7">
        <f>IF(OR(H179="",H179="Mixed"),1,0)</f>
        <v>0</v>
      </c>
      <c r="K179" s="7">
        <f>IF(AND(C179=0,D179=0),IF(OR(AND(I179=0,NOT(EXACT(Raw_Passengers!F179,G179))),AND(J179=0,NOT(EXACT(Raw_Passengers!G179,H179)))),1,0),0)</f>
        <v>0</v>
      </c>
      <c r="L179" s="7">
        <f>IF(AND(C179=0,D179=0,I179=1),1,0)</f>
        <v>0</v>
      </c>
      <c r="M179" s="7">
        <f>IF(AND(C179=0,D179=0,J179=1),1,0)</f>
        <v>0</v>
      </c>
    </row>
    <row r="180" spans="1:13">
      <c r="A180" s="7">
        <f>Raw_Passengers!A180</f>
        <v>53476</v>
      </c>
      <c r="B180" s="7">
        <f>Raw_Passengers!B180</f>
        <v>1026503</v>
      </c>
      <c r="C180" s="7">
        <f>IF(COUNTIF(Raw_Passengers!$A$2:A180,Raw_Passengers!A180)&gt;1,1,0)</f>
        <v>0</v>
      </c>
      <c r="D180" s="7">
        <f>IF(COUNTIF(Raw_Bookings!$A$2:$A$648,Raw_Passengers!B180)=0,1,0)</f>
        <v>0</v>
      </c>
      <c r="E180" s="7">
        <f>IF(OR(C180=1,D180=1),0,IF(NOT(ISNUMBER(Raw_Passengers!E180)),1,IF(Raw_Passengers!E180&lt;=0,1,0)))</f>
        <v>0</v>
      </c>
      <c r="F180" s="7">
        <f>IF(AND(C180=0,D180=0,TRIM(Raw_Passengers!D180&amp;"")=""),1,0)</f>
        <v>0</v>
      </c>
      <c r="G180" s="7" t="str">
        <f>IF(SUMPRODUCT(--(Lookup_Status!$A$2:$A$13=LOWER(TRIM(Raw_Passengers!F180))))=0,"",INDEX(Lookup_Status!$B$2:$B$13,SUMPRODUCT((Lookup_Status!$A$2:$A$13=LOWER(TRIM(Raw_Passengers!F180)))*(ROW(Lookup_Status!$A$2:$A$13)-1))))</f>
        <v>Confirmed</v>
      </c>
      <c r="H180" s="7" t="str">
        <f>IF(SUMPRODUCT(--(Lookup_Status!$A$2:$A$13=LOWER(TRIM(Raw_Passengers!G180))))=0,"",INDEX(Lookup_Status!$B$2:$B$13,SUMPRODUCT((Lookup_Status!$A$2:$A$13=LOWER(TRIM(Raw_Passengers!G180)))*(ROW(Lookup_Status!$A$2:$A$13)-1))))</f>
        <v>Confirmed</v>
      </c>
      <c r="I180" s="7">
        <f>IF(OR(G180="",G180="Cancelled",G180="Mixed"),1,0)</f>
        <v>0</v>
      </c>
      <c r="J180" s="7">
        <f>IF(OR(H180="",H180="Mixed"),1,0)</f>
        <v>0</v>
      </c>
      <c r="K180" s="7">
        <f>IF(AND(C180=0,D180=0),IF(OR(AND(I180=0,NOT(EXACT(Raw_Passengers!F180,G180))),AND(J180=0,NOT(EXACT(Raw_Passengers!G180,H180)))),1,0),0)</f>
        <v>0</v>
      </c>
      <c r="L180" s="7">
        <f>IF(AND(C180=0,D180=0,I180=1),1,0)</f>
        <v>0</v>
      </c>
      <c r="M180" s="7">
        <f>IF(AND(C180=0,D180=0,J180=1),1,0)</f>
        <v>0</v>
      </c>
    </row>
    <row r="181" spans="1:13">
      <c r="A181" s="7">
        <f>Raw_Passengers!A181</f>
        <v>53477</v>
      </c>
      <c r="B181" s="7">
        <f>Raw_Passengers!B181</f>
        <v>1026503</v>
      </c>
      <c r="C181" s="7">
        <f>IF(COUNTIF(Raw_Passengers!$A$2:A181,Raw_Passengers!A181)&gt;1,1,0)</f>
        <v>0</v>
      </c>
      <c r="D181" s="7">
        <f>IF(COUNTIF(Raw_Bookings!$A$2:$A$648,Raw_Passengers!B181)=0,1,0)</f>
        <v>0</v>
      </c>
      <c r="E181" s="7">
        <f>IF(OR(C181=1,D181=1),0,IF(NOT(ISNUMBER(Raw_Passengers!E181)),1,IF(Raw_Passengers!E181&lt;=0,1,0)))</f>
        <v>0</v>
      </c>
      <c r="F181" s="7">
        <f>IF(AND(C181=0,D181=0,TRIM(Raw_Passengers!D181&amp;"")=""),1,0)</f>
        <v>0</v>
      </c>
      <c r="G181" s="7" t="str">
        <f>IF(SUMPRODUCT(--(Lookup_Status!$A$2:$A$13=LOWER(TRIM(Raw_Passengers!F181))))=0,"",INDEX(Lookup_Status!$B$2:$B$13,SUMPRODUCT((Lookup_Status!$A$2:$A$13=LOWER(TRIM(Raw_Passengers!F181)))*(ROW(Lookup_Status!$A$2:$A$13)-1))))</f>
        <v>Confirmed</v>
      </c>
      <c r="H181" s="7" t="str">
        <f>IF(SUMPRODUCT(--(Lookup_Status!$A$2:$A$13=LOWER(TRIM(Raw_Passengers!G181))))=0,"",INDEX(Lookup_Status!$B$2:$B$13,SUMPRODUCT((Lookup_Status!$A$2:$A$13=LOWER(TRIM(Raw_Passengers!G181)))*(ROW(Lookup_Status!$A$2:$A$13)-1))))</f>
        <v>Confirmed</v>
      </c>
      <c r="I181" s="7">
        <f>IF(OR(G181="",G181="Cancelled",G181="Mixed"),1,0)</f>
        <v>0</v>
      </c>
      <c r="J181" s="7">
        <f>IF(OR(H181="",H181="Mixed"),1,0)</f>
        <v>0</v>
      </c>
      <c r="K181" s="7">
        <f>IF(AND(C181=0,D181=0),IF(OR(AND(I181=0,NOT(EXACT(Raw_Passengers!F181,G181))),AND(J181=0,NOT(EXACT(Raw_Passengers!G181,H181)))),1,0),0)</f>
        <v>0</v>
      </c>
      <c r="L181" s="7">
        <f>IF(AND(C181=0,D181=0,I181=1),1,0)</f>
        <v>0</v>
      </c>
      <c r="M181" s="7">
        <f>IF(AND(C181=0,D181=0,J181=1),1,0)</f>
        <v>0</v>
      </c>
    </row>
    <row r="182" spans="1:13">
      <c r="A182" s="7">
        <f>Raw_Passengers!A182</f>
        <v>54021</v>
      </c>
      <c r="B182" s="7">
        <f>Raw_Passengers!B182</f>
        <v>1026767</v>
      </c>
      <c r="C182" s="7">
        <f>IF(COUNTIF(Raw_Passengers!$A$2:A182,Raw_Passengers!A182)&gt;1,1,0)</f>
        <v>0</v>
      </c>
      <c r="D182" s="7">
        <f>IF(COUNTIF(Raw_Bookings!$A$2:$A$648,Raw_Passengers!B182)=0,1,0)</f>
        <v>0</v>
      </c>
      <c r="E182" s="7">
        <f>IF(OR(C182=1,D182=1),0,IF(NOT(ISNUMBER(Raw_Passengers!E182)),1,IF(Raw_Passengers!E182&lt;=0,1,0)))</f>
        <v>0</v>
      </c>
      <c r="F182" s="7">
        <f>IF(AND(C182=0,D182=0,TRIM(Raw_Passengers!D182&amp;"")=""),1,0)</f>
        <v>0</v>
      </c>
      <c r="G182" s="7" t="str">
        <f>IF(SUMPRODUCT(--(Lookup_Status!$A$2:$A$13=LOWER(TRIM(Raw_Passengers!F182))))=0,"",INDEX(Lookup_Status!$B$2:$B$13,SUMPRODUCT((Lookup_Status!$A$2:$A$13=LOWER(TRIM(Raw_Passengers!F182)))*(ROW(Lookup_Status!$A$2:$A$13)-1))))</f>
        <v>Confirmed</v>
      </c>
      <c r="H182" s="7" t="str">
        <f>IF(SUMPRODUCT(--(Lookup_Status!$A$2:$A$13=LOWER(TRIM(Raw_Passengers!G182))))=0,"",INDEX(Lookup_Status!$B$2:$B$13,SUMPRODUCT((Lookup_Status!$A$2:$A$13=LOWER(TRIM(Raw_Passengers!G182)))*(ROW(Lookup_Status!$A$2:$A$13)-1))))</f>
        <v>Confirmed</v>
      </c>
      <c r="I182" s="7">
        <f>IF(OR(G182="",G182="Cancelled",G182="Mixed"),1,0)</f>
        <v>0</v>
      </c>
      <c r="J182" s="7">
        <f>IF(OR(H182="",H182="Mixed"),1,0)</f>
        <v>0</v>
      </c>
      <c r="K182" s="7">
        <f>IF(AND(C182=0,D182=0),IF(OR(AND(I182=0,NOT(EXACT(Raw_Passengers!F182,G182))),AND(J182=0,NOT(EXACT(Raw_Passengers!G182,H182)))),1,0),0)</f>
        <v>0</v>
      </c>
      <c r="L182" s="7">
        <f>IF(AND(C182=0,D182=0,I182=1),1,0)</f>
        <v>0</v>
      </c>
      <c r="M182" s="7">
        <f>IF(AND(C182=0,D182=0,J182=1),1,0)</f>
        <v>0</v>
      </c>
    </row>
    <row r="183" spans="1:13">
      <c r="A183" s="7">
        <f>Raw_Passengers!A183</f>
        <v>54051</v>
      </c>
      <c r="B183" s="7">
        <f>Raw_Passengers!B183</f>
        <v>1026783</v>
      </c>
      <c r="C183" s="7">
        <f>IF(COUNTIF(Raw_Passengers!$A$2:A183,Raw_Passengers!A183)&gt;1,1,0)</f>
        <v>0</v>
      </c>
      <c r="D183" s="7">
        <f>IF(COUNTIF(Raw_Bookings!$A$2:$A$648,Raw_Passengers!B183)=0,1,0)</f>
        <v>0</v>
      </c>
      <c r="E183" s="7">
        <f>IF(OR(C183=1,D183=1),0,IF(NOT(ISNUMBER(Raw_Passengers!E183)),1,IF(Raw_Passengers!E183&lt;=0,1,0)))</f>
        <v>0</v>
      </c>
      <c r="F183" s="7">
        <f>IF(AND(C183=0,D183=0,TRIM(Raw_Passengers!D183&amp;"")=""),1,0)</f>
        <v>0</v>
      </c>
      <c r="G183" s="7" t="str">
        <f>IF(SUMPRODUCT(--(Lookup_Status!$A$2:$A$13=LOWER(TRIM(Raw_Passengers!F183))))=0,"",INDEX(Lookup_Status!$B$2:$B$13,SUMPRODUCT((Lookup_Status!$A$2:$A$13=LOWER(TRIM(Raw_Passengers!F183)))*(ROW(Lookup_Status!$A$2:$A$13)-1))))</f>
        <v>Confirmed</v>
      </c>
      <c r="H183" s="7" t="str">
        <f>IF(SUMPRODUCT(--(Lookup_Status!$A$2:$A$13=LOWER(TRIM(Raw_Passengers!G183))))=0,"",INDEX(Lookup_Status!$B$2:$B$13,SUMPRODUCT((Lookup_Status!$A$2:$A$13=LOWER(TRIM(Raw_Passengers!G183)))*(ROW(Lookup_Status!$A$2:$A$13)-1))))</f>
        <v>Confirmed</v>
      </c>
      <c r="I183" s="7">
        <f>IF(OR(G183="",G183="Cancelled",G183="Mixed"),1,0)</f>
        <v>0</v>
      </c>
      <c r="J183" s="7">
        <f>IF(OR(H183="",H183="Mixed"),1,0)</f>
        <v>0</v>
      </c>
      <c r="K183" s="7">
        <f>IF(AND(C183=0,D183=0),IF(OR(AND(I183=0,NOT(EXACT(Raw_Passengers!F183,G183))),AND(J183=0,NOT(EXACT(Raw_Passengers!G183,H183)))),1,0),0)</f>
        <v>0</v>
      </c>
      <c r="L183" s="7">
        <f>IF(AND(C183=0,D183=0,I183=1),1,0)</f>
        <v>0</v>
      </c>
      <c r="M183" s="7">
        <f>IF(AND(C183=0,D183=0,J183=1),1,0)</f>
        <v>0</v>
      </c>
    </row>
    <row r="184" spans="1:13">
      <c r="A184" s="7">
        <f>Raw_Passengers!A184</f>
        <v>54438</v>
      </c>
      <c r="B184" s="7">
        <f>Raw_Passengers!B184</f>
        <v>1026979</v>
      </c>
      <c r="C184" s="7">
        <f>IF(COUNTIF(Raw_Passengers!$A$2:A184,Raw_Passengers!A184)&gt;1,1,0)</f>
        <v>0</v>
      </c>
      <c r="D184" s="7">
        <f>IF(COUNTIF(Raw_Bookings!$A$2:$A$648,Raw_Passengers!B184)=0,1,0)</f>
        <v>0</v>
      </c>
      <c r="E184" s="7">
        <f>IF(OR(C184=1,D184=1),0,IF(NOT(ISNUMBER(Raw_Passengers!E184)),1,IF(Raw_Passengers!E184&lt;=0,1,0)))</f>
        <v>0</v>
      </c>
      <c r="F184" s="7">
        <f>IF(AND(C184=0,D184=0,TRIM(Raw_Passengers!D184&amp;"")=""),1,0)</f>
        <v>0</v>
      </c>
      <c r="G184" s="7" t="str">
        <f>IF(SUMPRODUCT(--(Lookup_Status!$A$2:$A$13=LOWER(TRIM(Raw_Passengers!F184))))=0,"",INDEX(Lookup_Status!$B$2:$B$13,SUMPRODUCT((Lookup_Status!$A$2:$A$13=LOWER(TRIM(Raw_Passengers!F184)))*(ROW(Lookup_Status!$A$2:$A$13)-1))))</f>
        <v>Confirmed</v>
      </c>
      <c r="H184" s="7" t="str">
        <f>IF(SUMPRODUCT(--(Lookup_Status!$A$2:$A$13=LOWER(TRIM(Raw_Passengers!G184))))=0,"",INDEX(Lookup_Status!$B$2:$B$13,SUMPRODUCT((Lookup_Status!$A$2:$A$13=LOWER(TRIM(Raw_Passengers!G184)))*(ROW(Lookup_Status!$A$2:$A$13)-1))))</f>
        <v>Confirmed</v>
      </c>
      <c r="I184" s="7">
        <f>IF(OR(G184="",G184="Cancelled",G184="Mixed"),1,0)</f>
        <v>0</v>
      </c>
      <c r="J184" s="7">
        <f>IF(OR(H184="",H184="Mixed"),1,0)</f>
        <v>0</v>
      </c>
      <c r="K184" s="7">
        <f>IF(AND(C184=0,D184=0),IF(OR(AND(I184=0,NOT(EXACT(Raw_Passengers!F184,G184))),AND(J184=0,NOT(EXACT(Raw_Passengers!G184,H184)))),1,0),0)</f>
        <v>0</v>
      </c>
      <c r="L184" s="7">
        <f>IF(AND(C184=0,D184=0,I184=1),1,0)</f>
        <v>0</v>
      </c>
      <c r="M184" s="7">
        <f>IF(AND(C184=0,D184=0,J184=1),1,0)</f>
        <v>0</v>
      </c>
    </row>
    <row r="185" spans="1:13">
      <c r="A185" s="7">
        <f>Raw_Passengers!A185</f>
        <v>54869</v>
      </c>
      <c r="B185" s="7">
        <f>Raw_Passengers!B185</f>
        <v>1027209</v>
      </c>
      <c r="C185" s="7">
        <f>IF(COUNTIF(Raw_Passengers!$A$2:A185,Raw_Passengers!A185)&gt;1,1,0)</f>
        <v>0</v>
      </c>
      <c r="D185" s="7">
        <f>IF(COUNTIF(Raw_Bookings!$A$2:$A$648,Raw_Passengers!B185)=0,1,0)</f>
        <v>0</v>
      </c>
      <c r="E185" s="7">
        <f>IF(OR(C185=1,D185=1),0,IF(NOT(ISNUMBER(Raw_Passengers!E185)),1,IF(Raw_Passengers!E185&lt;=0,1,0)))</f>
        <v>0</v>
      </c>
      <c r="F185" s="7">
        <f>IF(AND(C185=0,D185=0,TRIM(Raw_Passengers!D185&amp;"")=""),1,0)</f>
        <v>0</v>
      </c>
      <c r="G185" s="7" t="str">
        <f>IF(SUMPRODUCT(--(Lookup_Status!$A$2:$A$13=LOWER(TRIM(Raw_Passengers!F185))))=0,"",INDEX(Lookup_Status!$B$2:$B$13,SUMPRODUCT((Lookup_Status!$A$2:$A$13=LOWER(TRIM(Raw_Passengers!F185)))*(ROW(Lookup_Status!$A$2:$A$13)-1))))</f>
        <v>Confirmed</v>
      </c>
      <c r="H185" s="7" t="str">
        <f>IF(SUMPRODUCT(--(Lookup_Status!$A$2:$A$13=LOWER(TRIM(Raw_Passengers!G185))))=0,"",INDEX(Lookup_Status!$B$2:$B$13,SUMPRODUCT((Lookup_Status!$A$2:$A$13=LOWER(TRIM(Raw_Passengers!G185)))*(ROW(Lookup_Status!$A$2:$A$13)-1))))</f>
        <v>Confirmed</v>
      </c>
      <c r="I185" s="7">
        <f>IF(OR(G185="",G185="Cancelled",G185="Mixed"),1,0)</f>
        <v>0</v>
      </c>
      <c r="J185" s="7">
        <f>IF(OR(H185="",H185="Mixed"),1,0)</f>
        <v>0</v>
      </c>
      <c r="K185" s="7">
        <f>IF(AND(C185=0,D185=0),IF(OR(AND(I185=0,NOT(EXACT(Raw_Passengers!F185,G185))),AND(J185=0,NOT(EXACT(Raw_Passengers!G185,H185)))),1,0),0)</f>
        <v>0</v>
      </c>
      <c r="L185" s="7">
        <f>IF(AND(C185=0,D185=0,I185=1),1,0)</f>
        <v>0</v>
      </c>
      <c r="M185" s="7">
        <f>IF(AND(C185=0,D185=0,J185=1),1,0)</f>
        <v>0</v>
      </c>
    </row>
    <row r="186" spans="1:13">
      <c r="A186" s="7">
        <f>Raw_Passengers!A186</f>
        <v>54870</v>
      </c>
      <c r="B186" s="7">
        <f>Raw_Passengers!B186</f>
        <v>1027209</v>
      </c>
      <c r="C186" s="7">
        <f>IF(COUNTIF(Raw_Passengers!$A$2:A186,Raw_Passengers!A186)&gt;1,1,0)</f>
        <v>0</v>
      </c>
      <c r="D186" s="7">
        <f>IF(COUNTIF(Raw_Bookings!$A$2:$A$648,Raw_Passengers!B186)=0,1,0)</f>
        <v>0</v>
      </c>
      <c r="E186" s="7">
        <f>IF(OR(C186=1,D186=1),0,IF(NOT(ISNUMBER(Raw_Passengers!E186)),1,IF(Raw_Passengers!E186&lt;=0,1,0)))</f>
        <v>0</v>
      </c>
      <c r="F186" s="7">
        <f>IF(AND(C186=0,D186=0,TRIM(Raw_Passengers!D186&amp;"")=""),1,0)</f>
        <v>0</v>
      </c>
      <c r="G186" s="7" t="str">
        <f>IF(SUMPRODUCT(--(Lookup_Status!$A$2:$A$13=LOWER(TRIM(Raw_Passengers!F186))))=0,"",INDEX(Lookup_Status!$B$2:$B$13,SUMPRODUCT((Lookup_Status!$A$2:$A$13=LOWER(TRIM(Raw_Passengers!F186)))*(ROW(Lookup_Status!$A$2:$A$13)-1))))</f>
        <v>Confirmed</v>
      </c>
      <c r="H186" s="7" t="str">
        <f>IF(SUMPRODUCT(--(Lookup_Status!$A$2:$A$13=LOWER(TRIM(Raw_Passengers!G186))))=0,"",INDEX(Lookup_Status!$B$2:$B$13,SUMPRODUCT((Lookup_Status!$A$2:$A$13=LOWER(TRIM(Raw_Passengers!G186)))*(ROW(Lookup_Status!$A$2:$A$13)-1))))</f>
        <v>Confirmed</v>
      </c>
      <c r="I186" s="7">
        <f>IF(OR(G186="",G186="Cancelled",G186="Mixed"),1,0)</f>
        <v>0</v>
      </c>
      <c r="J186" s="7">
        <f>IF(OR(H186="",H186="Mixed"),1,0)</f>
        <v>0</v>
      </c>
      <c r="K186" s="7">
        <f>IF(AND(C186=0,D186=0),IF(OR(AND(I186=0,NOT(EXACT(Raw_Passengers!F186,G186))),AND(J186=0,NOT(EXACT(Raw_Passengers!G186,H186)))),1,0),0)</f>
        <v>0</v>
      </c>
      <c r="L186" s="7">
        <f>IF(AND(C186=0,D186=0,I186=1),1,0)</f>
        <v>0</v>
      </c>
      <c r="M186" s="7">
        <f>IF(AND(C186=0,D186=0,J186=1),1,0)</f>
        <v>0</v>
      </c>
    </row>
    <row r="187" spans="1:13">
      <c r="A187" s="7">
        <f>Raw_Passengers!A187</f>
        <v>56527</v>
      </c>
      <c r="B187" s="7">
        <f>Raw_Passengers!B187</f>
        <v>1028041</v>
      </c>
      <c r="C187" s="7">
        <f>IF(COUNTIF(Raw_Passengers!$A$2:A187,Raw_Passengers!A187)&gt;1,1,0)</f>
        <v>0</v>
      </c>
      <c r="D187" s="7">
        <f>IF(COUNTIF(Raw_Bookings!$A$2:$A$648,Raw_Passengers!B187)=0,1,0)</f>
        <v>0</v>
      </c>
      <c r="E187" s="7">
        <f>IF(OR(C187=1,D187=1),0,IF(NOT(ISNUMBER(Raw_Passengers!E187)),1,IF(Raw_Passengers!E187&lt;=0,1,0)))</f>
        <v>0</v>
      </c>
      <c r="F187" s="7">
        <f>IF(AND(C187=0,D187=0,TRIM(Raw_Passengers!D187&amp;"")=""),1,0)</f>
        <v>0</v>
      </c>
      <c r="G187" s="7" t="str">
        <f>IF(SUMPRODUCT(--(Lookup_Status!$A$2:$A$13=LOWER(TRIM(Raw_Passengers!F187))))=0,"",INDEX(Lookup_Status!$B$2:$B$13,SUMPRODUCT((Lookup_Status!$A$2:$A$13=LOWER(TRIM(Raw_Passengers!F187)))*(ROW(Lookup_Status!$A$2:$A$13)-1))))</f>
        <v>Confirmed</v>
      </c>
      <c r="H187" s="7" t="str">
        <f>IF(SUMPRODUCT(--(Lookup_Status!$A$2:$A$13=LOWER(TRIM(Raw_Passengers!G187))))=0,"",INDEX(Lookup_Status!$B$2:$B$13,SUMPRODUCT((Lookup_Status!$A$2:$A$13=LOWER(TRIM(Raw_Passengers!G187)))*(ROW(Lookup_Status!$A$2:$A$13)-1))))</f>
        <v>Confirmed</v>
      </c>
      <c r="I187" s="7">
        <f>IF(OR(G187="",G187="Cancelled",G187="Mixed"),1,0)</f>
        <v>0</v>
      </c>
      <c r="J187" s="7">
        <f>IF(OR(H187="",H187="Mixed"),1,0)</f>
        <v>0</v>
      </c>
      <c r="K187" s="7">
        <f>IF(AND(C187=0,D187=0),IF(OR(AND(I187=0,NOT(EXACT(Raw_Passengers!F187,G187))),AND(J187=0,NOT(EXACT(Raw_Passengers!G187,H187)))),1,0),0)</f>
        <v>0</v>
      </c>
      <c r="L187" s="7">
        <f>IF(AND(C187=0,D187=0,I187=1),1,0)</f>
        <v>0</v>
      </c>
      <c r="M187" s="7">
        <f>IF(AND(C187=0,D187=0,J187=1),1,0)</f>
        <v>0</v>
      </c>
    </row>
    <row r="188" spans="1:13">
      <c r="A188" s="7">
        <f>Raw_Passengers!A188</f>
        <v>57426</v>
      </c>
      <c r="B188" s="7">
        <f>Raw_Passengers!B188</f>
        <v>1028506</v>
      </c>
      <c r="C188" s="7">
        <f>IF(COUNTIF(Raw_Passengers!$A$2:A188,Raw_Passengers!A188)&gt;1,1,0)</f>
        <v>0</v>
      </c>
      <c r="D188" s="7">
        <f>IF(COUNTIF(Raw_Bookings!$A$2:$A$648,Raw_Passengers!B188)=0,1,0)</f>
        <v>0</v>
      </c>
      <c r="E188" s="7">
        <f>IF(OR(C188=1,D188=1),0,IF(NOT(ISNUMBER(Raw_Passengers!E188)),1,IF(Raw_Passengers!E188&lt;=0,1,0)))</f>
        <v>0</v>
      </c>
      <c r="F188" s="7">
        <f>IF(AND(C188=0,D188=0,TRIM(Raw_Passengers!D188&amp;"")=""),1,0)</f>
        <v>0</v>
      </c>
      <c r="G188" s="7" t="str">
        <f>IF(SUMPRODUCT(--(Lookup_Status!$A$2:$A$13=LOWER(TRIM(Raw_Passengers!F188))))=0,"",INDEX(Lookup_Status!$B$2:$B$13,SUMPRODUCT((Lookup_Status!$A$2:$A$13=LOWER(TRIM(Raw_Passengers!F188)))*(ROW(Lookup_Status!$A$2:$A$13)-1))))</f>
        <v>Confirmed</v>
      </c>
      <c r="H188" s="7" t="str">
        <f>IF(SUMPRODUCT(--(Lookup_Status!$A$2:$A$13=LOWER(TRIM(Raw_Passengers!G188))))=0,"",INDEX(Lookup_Status!$B$2:$B$13,SUMPRODUCT((Lookup_Status!$A$2:$A$13=LOWER(TRIM(Raw_Passengers!G188)))*(ROW(Lookup_Status!$A$2:$A$13)-1))))</f>
        <v>Confirmed</v>
      </c>
      <c r="I188" s="7">
        <f>IF(OR(G188="",G188="Cancelled",G188="Mixed"),1,0)</f>
        <v>0</v>
      </c>
      <c r="J188" s="7">
        <f>IF(OR(H188="",H188="Mixed"),1,0)</f>
        <v>0</v>
      </c>
      <c r="K188" s="7">
        <f>IF(AND(C188=0,D188=0),IF(OR(AND(I188=0,NOT(EXACT(Raw_Passengers!F188,G188))),AND(J188=0,NOT(EXACT(Raw_Passengers!G188,H188)))),1,0),0)</f>
        <v>0</v>
      </c>
      <c r="L188" s="7">
        <f>IF(AND(C188=0,D188=0,I188=1),1,0)</f>
        <v>0</v>
      </c>
      <c r="M188" s="7">
        <f>IF(AND(C188=0,D188=0,J188=1),1,0)</f>
        <v>0</v>
      </c>
    </row>
    <row r="189" spans="1:13">
      <c r="A189" s="7">
        <f>Raw_Passengers!A189</f>
        <v>57427</v>
      </c>
      <c r="B189" s="7">
        <f>Raw_Passengers!B189</f>
        <v>1028506</v>
      </c>
      <c r="C189" s="7">
        <f>IF(COUNTIF(Raw_Passengers!$A$2:A189,Raw_Passengers!A189)&gt;1,1,0)</f>
        <v>0</v>
      </c>
      <c r="D189" s="7">
        <f>IF(COUNTIF(Raw_Bookings!$A$2:$A$648,Raw_Passengers!B189)=0,1,0)</f>
        <v>0</v>
      </c>
      <c r="E189" s="7">
        <f>IF(OR(C189=1,D189=1),0,IF(NOT(ISNUMBER(Raw_Passengers!E189)),1,IF(Raw_Passengers!E189&lt;=0,1,0)))</f>
        <v>0</v>
      </c>
      <c r="F189" s="7">
        <f>IF(AND(C189=0,D189=0,TRIM(Raw_Passengers!D189&amp;"")=""),1,0)</f>
        <v>0</v>
      </c>
      <c r="G189" s="7" t="str">
        <f>IF(SUMPRODUCT(--(Lookup_Status!$A$2:$A$13=LOWER(TRIM(Raw_Passengers!F189))))=0,"",INDEX(Lookup_Status!$B$2:$B$13,SUMPRODUCT((Lookup_Status!$A$2:$A$13=LOWER(TRIM(Raw_Passengers!F189)))*(ROW(Lookup_Status!$A$2:$A$13)-1))))</f>
        <v>Confirmed</v>
      </c>
      <c r="H189" s="7" t="str">
        <f>IF(SUMPRODUCT(--(Lookup_Status!$A$2:$A$13=LOWER(TRIM(Raw_Passengers!G189))))=0,"",INDEX(Lookup_Status!$B$2:$B$13,SUMPRODUCT((Lookup_Status!$A$2:$A$13=LOWER(TRIM(Raw_Passengers!G189)))*(ROW(Lookup_Status!$A$2:$A$13)-1))))</f>
        <v>Confirmed</v>
      </c>
      <c r="I189" s="7">
        <f>IF(OR(G189="",G189="Cancelled",G189="Mixed"),1,0)</f>
        <v>0</v>
      </c>
      <c r="J189" s="7">
        <f>IF(OR(H189="",H189="Mixed"),1,0)</f>
        <v>0</v>
      </c>
      <c r="K189" s="7">
        <f>IF(AND(C189=0,D189=0),IF(OR(AND(I189=0,NOT(EXACT(Raw_Passengers!F189,G189))),AND(J189=0,NOT(EXACT(Raw_Passengers!G189,H189)))),1,0),0)</f>
        <v>0</v>
      </c>
      <c r="L189" s="7">
        <f>IF(AND(C189=0,D189=0,I189=1),1,0)</f>
        <v>0</v>
      </c>
      <c r="M189" s="7">
        <f>IF(AND(C189=0,D189=0,J189=1),1,0)</f>
        <v>0</v>
      </c>
    </row>
    <row r="190" spans="1:13">
      <c r="A190" s="7">
        <f>Raw_Passengers!A190</f>
        <v>57953</v>
      </c>
      <c r="B190" s="7">
        <f>Raw_Passengers!B190</f>
        <v>1028750</v>
      </c>
      <c r="C190" s="7">
        <f>IF(COUNTIF(Raw_Passengers!$A$2:A190,Raw_Passengers!A190)&gt;1,1,0)</f>
        <v>0</v>
      </c>
      <c r="D190" s="7">
        <f>IF(COUNTIF(Raw_Bookings!$A$2:$A$648,Raw_Passengers!B190)=0,1,0)</f>
        <v>0</v>
      </c>
      <c r="E190" s="7">
        <f>IF(OR(C190=1,D190=1),0,IF(NOT(ISNUMBER(Raw_Passengers!E190)),1,IF(Raw_Passengers!E190&lt;=0,1,0)))</f>
        <v>0</v>
      </c>
      <c r="F190" s="7">
        <f>IF(AND(C190=0,D190=0,TRIM(Raw_Passengers!D190&amp;"")=""),1,0)</f>
        <v>0</v>
      </c>
      <c r="G190" s="7" t="str">
        <f>IF(SUMPRODUCT(--(Lookup_Status!$A$2:$A$13=LOWER(TRIM(Raw_Passengers!F190))))=0,"",INDEX(Lookup_Status!$B$2:$B$13,SUMPRODUCT((Lookup_Status!$A$2:$A$13=LOWER(TRIM(Raw_Passengers!F190)))*(ROW(Lookup_Status!$A$2:$A$13)-1))))</f>
        <v>Confirmed</v>
      </c>
      <c r="H190" s="7" t="str">
        <f>IF(SUMPRODUCT(--(Lookup_Status!$A$2:$A$13=LOWER(TRIM(Raw_Passengers!G190))))=0,"",INDEX(Lookup_Status!$B$2:$B$13,SUMPRODUCT((Lookup_Status!$A$2:$A$13=LOWER(TRIM(Raw_Passengers!G190)))*(ROW(Lookup_Status!$A$2:$A$13)-1))))</f>
        <v>Cancelled</v>
      </c>
      <c r="I190" s="7">
        <f>IF(OR(G190="",G190="Cancelled",G190="Mixed"),1,0)</f>
        <v>0</v>
      </c>
      <c r="J190" s="7">
        <f>IF(OR(H190="",H190="Mixed"),1,0)</f>
        <v>0</v>
      </c>
      <c r="K190" s="7">
        <f>IF(AND(C190=0,D190=0),IF(OR(AND(I190=0,NOT(EXACT(Raw_Passengers!F190,G190))),AND(J190=0,NOT(EXACT(Raw_Passengers!G190,H190)))),1,0),0)</f>
        <v>0</v>
      </c>
      <c r="L190" s="7">
        <f>IF(AND(C190=0,D190=0,I190=1),1,0)</f>
        <v>0</v>
      </c>
      <c r="M190" s="7">
        <f>IF(AND(C190=0,D190=0,J190=1),1,0)</f>
        <v>0</v>
      </c>
    </row>
    <row r="191" spans="1:13">
      <c r="A191" s="7">
        <f>Raw_Passengers!A191</f>
        <v>58814</v>
      </c>
      <c r="B191" s="7">
        <f>Raw_Passengers!B191</f>
        <v>1029155</v>
      </c>
      <c r="C191" s="7">
        <f>IF(COUNTIF(Raw_Passengers!$A$2:A191,Raw_Passengers!A191)&gt;1,1,0)</f>
        <v>0</v>
      </c>
      <c r="D191" s="7">
        <f>IF(COUNTIF(Raw_Bookings!$A$2:$A$648,Raw_Passengers!B191)=0,1,0)</f>
        <v>0</v>
      </c>
      <c r="E191" s="7">
        <f>IF(OR(C191=1,D191=1),0,IF(NOT(ISNUMBER(Raw_Passengers!E191)),1,IF(Raw_Passengers!E191&lt;=0,1,0)))</f>
        <v>0</v>
      </c>
      <c r="F191" s="7">
        <f>IF(AND(C191=0,D191=0,TRIM(Raw_Passengers!D191&amp;"")=""),1,0)</f>
        <v>0</v>
      </c>
      <c r="G191" s="7" t="str">
        <f>IF(SUMPRODUCT(--(Lookup_Status!$A$2:$A$13=LOWER(TRIM(Raw_Passengers!F191))))=0,"",INDEX(Lookup_Status!$B$2:$B$13,SUMPRODUCT((Lookup_Status!$A$2:$A$13=LOWER(TRIM(Raw_Passengers!F191)))*(ROW(Lookup_Status!$A$2:$A$13)-1))))</f>
        <v>Confirmed</v>
      </c>
      <c r="H191" s="7" t="str">
        <f>IF(SUMPRODUCT(--(Lookup_Status!$A$2:$A$13=LOWER(TRIM(Raw_Passengers!G191))))=0,"",INDEX(Lookup_Status!$B$2:$B$13,SUMPRODUCT((Lookup_Status!$A$2:$A$13=LOWER(TRIM(Raw_Passengers!G191)))*(ROW(Lookup_Status!$A$2:$A$13)-1))))</f>
        <v>Confirmed</v>
      </c>
      <c r="I191" s="7">
        <f>IF(OR(G191="",G191="Cancelled",G191="Mixed"),1,0)</f>
        <v>0</v>
      </c>
      <c r="J191" s="7">
        <f>IF(OR(H191="",H191="Mixed"),1,0)</f>
        <v>0</v>
      </c>
      <c r="K191" s="7">
        <f>IF(AND(C191=0,D191=0),IF(OR(AND(I191=0,NOT(EXACT(Raw_Passengers!F191,G191))),AND(J191=0,NOT(EXACT(Raw_Passengers!G191,H191)))),1,0),0)</f>
        <v>0</v>
      </c>
      <c r="L191" s="7">
        <f>IF(AND(C191=0,D191=0,I191=1),1,0)</f>
        <v>0</v>
      </c>
      <c r="M191" s="7">
        <f>IF(AND(C191=0,D191=0,J191=1),1,0)</f>
        <v>0</v>
      </c>
    </row>
    <row r="192" spans="1:13">
      <c r="A192" s="7">
        <f>Raw_Passengers!A192</f>
        <v>58815</v>
      </c>
      <c r="B192" s="7">
        <f>Raw_Passengers!B192</f>
        <v>1029155</v>
      </c>
      <c r="C192" s="7">
        <f>IF(COUNTIF(Raw_Passengers!$A$2:A192,Raw_Passengers!A192)&gt;1,1,0)</f>
        <v>0</v>
      </c>
      <c r="D192" s="7">
        <f>IF(COUNTIF(Raw_Bookings!$A$2:$A$648,Raw_Passengers!B192)=0,1,0)</f>
        <v>0</v>
      </c>
      <c r="E192" s="7">
        <f>IF(OR(C192=1,D192=1),0,IF(NOT(ISNUMBER(Raw_Passengers!E192)),1,IF(Raw_Passengers!E192&lt;=0,1,0)))</f>
        <v>0</v>
      </c>
      <c r="F192" s="7">
        <f>IF(AND(C192=0,D192=0,TRIM(Raw_Passengers!D192&amp;"")=""),1,0)</f>
        <v>0</v>
      </c>
      <c r="G192" s="7" t="str">
        <f>IF(SUMPRODUCT(--(Lookup_Status!$A$2:$A$13=LOWER(TRIM(Raw_Passengers!F192))))=0,"",INDEX(Lookup_Status!$B$2:$B$13,SUMPRODUCT((Lookup_Status!$A$2:$A$13=LOWER(TRIM(Raw_Passengers!F192)))*(ROW(Lookup_Status!$A$2:$A$13)-1))))</f>
        <v>Confirmed</v>
      </c>
      <c r="H192" s="7" t="str">
        <f>IF(SUMPRODUCT(--(Lookup_Status!$A$2:$A$13=LOWER(TRIM(Raw_Passengers!G192))))=0,"",INDEX(Lookup_Status!$B$2:$B$13,SUMPRODUCT((Lookup_Status!$A$2:$A$13=LOWER(TRIM(Raw_Passengers!G192)))*(ROW(Lookup_Status!$A$2:$A$13)-1))))</f>
        <v>Confirmed</v>
      </c>
      <c r="I192" s="7">
        <f>IF(OR(G192="",G192="Cancelled",G192="Mixed"),1,0)</f>
        <v>0</v>
      </c>
      <c r="J192" s="7">
        <f>IF(OR(H192="",H192="Mixed"),1,0)</f>
        <v>0</v>
      </c>
      <c r="K192" s="7">
        <f>IF(AND(C192=0,D192=0),IF(OR(AND(I192=0,NOT(EXACT(Raw_Passengers!F192,G192))),AND(J192=0,NOT(EXACT(Raw_Passengers!G192,H192)))),1,0),0)</f>
        <v>0</v>
      </c>
      <c r="L192" s="7">
        <f>IF(AND(C192=0,D192=0,I192=1),1,0)</f>
        <v>0</v>
      </c>
      <c r="M192" s="7">
        <f>IF(AND(C192=0,D192=0,J192=1),1,0)</f>
        <v>0</v>
      </c>
    </row>
    <row r="193" spans="1:13">
      <c r="A193" s="7">
        <f>Raw_Passengers!A193</f>
        <v>58872</v>
      </c>
      <c r="B193" s="7">
        <f>Raw_Passengers!B193</f>
        <v>1029181</v>
      </c>
      <c r="C193" s="7">
        <f>IF(COUNTIF(Raw_Passengers!$A$2:A193,Raw_Passengers!A193)&gt;1,1,0)</f>
        <v>0</v>
      </c>
      <c r="D193" s="7">
        <f>IF(COUNTIF(Raw_Bookings!$A$2:$A$648,Raw_Passengers!B193)=0,1,0)</f>
        <v>0</v>
      </c>
      <c r="E193" s="7">
        <f>IF(OR(C193=1,D193=1),0,IF(NOT(ISNUMBER(Raw_Passengers!E193)),1,IF(Raw_Passengers!E193&lt;=0,1,0)))</f>
        <v>0</v>
      </c>
      <c r="F193" s="7">
        <f>IF(AND(C193=0,D193=0,TRIM(Raw_Passengers!D193&amp;"")=""),1,0)</f>
        <v>0</v>
      </c>
      <c r="G193" s="7" t="str">
        <f>IF(SUMPRODUCT(--(Lookup_Status!$A$2:$A$13=LOWER(TRIM(Raw_Passengers!F193))))=0,"",INDEX(Lookup_Status!$B$2:$B$13,SUMPRODUCT((Lookup_Status!$A$2:$A$13=LOWER(TRIM(Raw_Passengers!F193)))*(ROW(Lookup_Status!$A$2:$A$13)-1))))</f>
        <v>Confirmed</v>
      </c>
      <c r="H193" s="7" t="str">
        <f>IF(SUMPRODUCT(--(Lookup_Status!$A$2:$A$13=LOWER(TRIM(Raw_Passengers!G193))))=0,"",INDEX(Lookup_Status!$B$2:$B$13,SUMPRODUCT((Lookup_Status!$A$2:$A$13=LOWER(TRIM(Raw_Passengers!G193)))*(ROW(Lookup_Status!$A$2:$A$13)-1))))</f>
        <v>Confirmed</v>
      </c>
      <c r="I193" s="7">
        <f>IF(OR(G193="",G193="Cancelled",G193="Mixed"),1,0)</f>
        <v>0</v>
      </c>
      <c r="J193" s="7">
        <f>IF(OR(H193="",H193="Mixed"),1,0)</f>
        <v>0</v>
      </c>
      <c r="K193" s="7">
        <f>IF(AND(C193=0,D193=0),IF(OR(AND(I193=0,NOT(EXACT(Raw_Passengers!F193,G193))),AND(J193=0,NOT(EXACT(Raw_Passengers!G193,H193)))),1,0),0)</f>
        <v>0</v>
      </c>
      <c r="L193" s="7">
        <f>IF(AND(C193=0,D193=0,I193=1),1,0)</f>
        <v>0</v>
      </c>
      <c r="M193" s="7">
        <f>IF(AND(C193=0,D193=0,J193=1),1,0)</f>
        <v>0</v>
      </c>
    </row>
    <row r="194" spans="1:13">
      <c r="A194" s="7">
        <f>Raw_Passengers!A194</f>
        <v>59234</v>
      </c>
      <c r="B194" s="7">
        <f>Raw_Passengers!B194</f>
        <v>1029353</v>
      </c>
      <c r="C194" s="7">
        <f>IF(COUNTIF(Raw_Passengers!$A$2:A194,Raw_Passengers!A194)&gt;1,1,0)</f>
        <v>0</v>
      </c>
      <c r="D194" s="7">
        <f>IF(COUNTIF(Raw_Bookings!$A$2:$A$648,Raw_Passengers!B194)=0,1,0)</f>
        <v>0</v>
      </c>
      <c r="E194" s="7">
        <f>IF(OR(C194=1,D194=1),0,IF(NOT(ISNUMBER(Raw_Passengers!E194)),1,IF(Raw_Passengers!E194&lt;=0,1,0)))</f>
        <v>0</v>
      </c>
      <c r="F194" s="7">
        <f>IF(AND(C194=0,D194=0,TRIM(Raw_Passengers!D194&amp;"")=""),1,0)</f>
        <v>0</v>
      </c>
      <c r="G194" s="7" t="str">
        <f>IF(SUMPRODUCT(--(Lookup_Status!$A$2:$A$13=LOWER(TRIM(Raw_Passengers!F194))))=0,"",INDEX(Lookup_Status!$B$2:$B$13,SUMPRODUCT((Lookup_Status!$A$2:$A$13=LOWER(TRIM(Raw_Passengers!F194)))*(ROW(Lookup_Status!$A$2:$A$13)-1))))</f>
        <v>Confirmed</v>
      </c>
      <c r="H194" s="7" t="str">
        <f>IF(SUMPRODUCT(--(Lookup_Status!$A$2:$A$13=LOWER(TRIM(Raw_Passengers!G194))))=0,"",INDEX(Lookup_Status!$B$2:$B$13,SUMPRODUCT((Lookup_Status!$A$2:$A$13=LOWER(TRIM(Raw_Passengers!G194)))*(ROW(Lookup_Status!$A$2:$A$13)-1))))</f>
        <v>Confirmed</v>
      </c>
      <c r="I194" s="7">
        <f>IF(OR(G194="",G194="Cancelled",G194="Mixed"),1,0)</f>
        <v>0</v>
      </c>
      <c r="J194" s="7">
        <f>IF(OR(H194="",H194="Mixed"),1,0)</f>
        <v>0</v>
      </c>
      <c r="K194" s="7">
        <f>IF(AND(C194=0,D194=0),IF(OR(AND(I194=0,NOT(EXACT(Raw_Passengers!F194,G194))),AND(J194=0,NOT(EXACT(Raw_Passengers!G194,H194)))),1,0),0)</f>
        <v>0</v>
      </c>
      <c r="L194" s="7">
        <f>IF(AND(C194=0,D194=0,I194=1),1,0)</f>
        <v>0</v>
      </c>
      <c r="M194" s="7">
        <f>IF(AND(C194=0,D194=0,J194=1),1,0)</f>
        <v>0</v>
      </c>
    </row>
    <row r="195" spans="1:13">
      <c r="A195" s="7">
        <f>Raw_Passengers!A195</f>
        <v>59235</v>
      </c>
      <c r="B195" s="7">
        <f>Raw_Passengers!B195</f>
        <v>1029353</v>
      </c>
      <c r="C195" s="7">
        <f>IF(COUNTIF(Raw_Passengers!$A$2:A195,Raw_Passengers!A195)&gt;1,1,0)</f>
        <v>0</v>
      </c>
      <c r="D195" s="7">
        <f>IF(COUNTIF(Raw_Bookings!$A$2:$A$648,Raw_Passengers!B195)=0,1,0)</f>
        <v>0</v>
      </c>
      <c r="E195" s="7">
        <f>IF(OR(C195=1,D195=1),0,IF(NOT(ISNUMBER(Raw_Passengers!E195)),1,IF(Raw_Passengers!E195&lt;=0,1,0)))</f>
        <v>0</v>
      </c>
      <c r="F195" s="7">
        <f>IF(AND(C195=0,D195=0,TRIM(Raw_Passengers!D195&amp;"")=""),1,0)</f>
        <v>0</v>
      </c>
      <c r="G195" s="7" t="str">
        <f>IF(SUMPRODUCT(--(Lookup_Status!$A$2:$A$13=LOWER(TRIM(Raw_Passengers!F195))))=0,"",INDEX(Lookup_Status!$B$2:$B$13,SUMPRODUCT((Lookup_Status!$A$2:$A$13=LOWER(TRIM(Raw_Passengers!F195)))*(ROW(Lookup_Status!$A$2:$A$13)-1))))</f>
        <v>Confirmed</v>
      </c>
      <c r="H195" s="7" t="str">
        <f>IF(SUMPRODUCT(--(Lookup_Status!$A$2:$A$13=LOWER(TRIM(Raw_Passengers!G195))))=0,"",INDEX(Lookup_Status!$B$2:$B$13,SUMPRODUCT((Lookup_Status!$A$2:$A$13=LOWER(TRIM(Raw_Passengers!G195)))*(ROW(Lookup_Status!$A$2:$A$13)-1))))</f>
        <v>Confirmed</v>
      </c>
      <c r="I195" s="7">
        <f>IF(OR(G195="",G195="Cancelled",G195="Mixed"),1,0)</f>
        <v>0</v>
      </c>
      <c r="J195" s="7">
        <f>IF(OR(H195="",H195="Mixed"),1,0)</f>
        <v>0</v>
      </c>
      <c r="K195" s="7">
        <f>IF(AND(C195=0,D195=0),IF(OR(AND(I195=0,NOT(EXACT(Raw_Passengers!F195,G195))),AND(J195=0,NOT(EXACT(Raw_Passengers!G195,H195)))),1,0),0)</f>
        <v>0</v>
      </c>
      <c r="L195" s="7">
        <f>IF(AND(C195=0,D195=0,I195=1),1,0)</f>
        <v>0</v>
      </c>
      <c r="M195" s="7">
        <f>IF(AND(C195=0,D195=0,J195=1),1,0)</f>
        <v>0</v>
      </c>
    </row>
    <row r="196" spans="1:13">
      <c r="A196" s="7">
        <f>Raw_Passengers!A196</f>
        <v>59613</v>
      </c>
      <c r="B196" s="7">
        <f>Raw_Passengers!B196</f>
        <v>1029548</v>
      </c>
      <c r="C196" s="7">
        <f>IF(COUNTIF(Raw_Passengers!$A$2:A196,Raw_Passengers!A196)&gt;1,1,0)</f>
        <v>0</v>
      </c>
      <c r="D196" s="7">
        <f>IF(COUNTIF(Raw_Bookings!$A$2:$A$648,Raw_Passengers!B196)=0,1,0)</f>
        <v>0</v>
      </c>
      <c r="E196" s="7">
        <f>IF(OR(C196=1,D196=1),0,IF(NOT(ISNUMBER(Raw_Passengers!E196)),1,IF(Raw_Passengers!E196&lt;=0,1,0)))</f>
        <v>0</v>
      </c>
      <c r="F196" s="7">
        <f>IF(AND(C196=0,D196=0,TRIM(Raw_Passengers!D196&amp;"")=""),1,0)</f>
        <v>0</v>
      </c>
      <c r="G196" s="7" t="str">
        <f>IF(SUMPRODUCT(--(Lookup_Status!$A$2:$A$13=LOWER(TRIM(Raw_Passengers!F196))))=0,"",INDEX(Lookup_Status!$B$2:$B$13,SUMPRODUCT((Lookup_Status!$A$2:$A$13=LOWER(TRIM(Raw_Passengers!F196)))*(ROW(Lookup_Status!$A$2:$A$13)-1))))</f>
        <v>Confirmed</v>
      </c>
      <c r="H196" s="7" t="str">
        <f>IF(SUMPRODUCT(--(Lookup_Status!$A$2:$A$13=LOWER(TRIM(Raw_Passengers!G196))))=0,"",INDEX(Lookup_Status!$B$2:$B$13,SUMPRODUCT((Lookup_Status!$A$2:$A$13=LOWER(TRIM(Raw_Passengers!G196)))*(ROW(Lookup_Status!$A$2:$A$13)-1))))</f>
        <v>Confirmed</v>
      </c>
      <c r="I196" s="7">
        <f>IF(OR(G196="",G196="Cancelled",G196="Mixed"),1,0)</f>
        <v>0</v>
      </c>
      <c r="J196" s="7">
        <f>IF(OR(H196="",H196="Mixed"),1,0)</f>
        <v>0</v>
      </c>
      <c r="K196" s="7">
        <f>IF(AND(C196=0,D196=0),IF(OR(AND(I196=0,NOT(EXACT(Raw_Passengers!F196,G196))),AND(J196=0,NOT(EXACT(Raw_Passengers!G196,H196)))),1,0),0)</f>
        <v>0</v>
      </c>
      <c r="L196" s="7">
        <f>IF(AND(C196=0,D196=0,I196=1),1,0)</f>
        <v>0</v>
      </c>
      <c r="M196" s="7">
        <f>IF(AND(C196=0,D196=0,J196=1),1,0)</f>
        <v>0</v>
      </c>
    </row>
    <row r="197" spans="1:13">
      <c r="A197" s="7">
        <f>Raw_Passengers!A197</f>
        <v>59614</v>
      </c>
      <c r="B197" s="7">
        <f>Raw_Passengers!B197</f>
        <v>1029548</v>
      </c>
      <c r="C197" s="7">
        <f>IF(COUNTIF(Raw_Passengers!$A$2:A197,Raw_Passengers!A197)&gt;1,1,0)</f>
        <v>0</v>
      </c>
      <c r="D197" s="7">
        <f>IF(COUNTIF(Raw_Bookings!$A$2:$A$648,Raw_Passengers!B197)=0,1,0)</f>
        <v>0</v>
      </c>
      <c r="E197" s="7">
        <f>IF(OR(C197=1,D197=1),0,IF(NOT(ISNUMBER(Raw_Passengers!E197)),1,IF(Raw_Passengers!E197&lt;=0,1,0)))</f>
        <v>0</v>
      </c>
      <c r="F197" s="7">
        <f>IF(AND(C197=0,D197=0,TRIM(Raw_Passengers!D197&amp;"")=""),1,0)</f>
        <v>0</v>
      </c>
      <c r="G197" s="7" t="str">
        <f>IF(SUMPRODUCT(--(Lookup_Status!$A$2:$A$13=LOWER(TRIM(Raw_Passengers!F197))))=0,"",INDEX(Lookup_Status!$B$2:$B$13,SUMPRODUCT((Lookup_Status!$A$2:$A$13=LOWER(TRIM(Raw_Passengers!F197)))*(ROW(Lookup_Status!$A$2:$A$13)-1))))</f>
        <v>Confirmed</v>
      </c>
      <c r="H197" s="7" t="str">
        <f>IF(SUMPRODUCT(--(Lookup_Status!$A$2:$A$13=LOWER(TRIM(Raw_Passengers!G197))))=0,"",INDEX(Lookup_Status!$B$2:$B$13,SUMPRODUCT((Lookup_Status!$A$2:$A$13=LOWER(TRIM(Raw_Passengers!G197)))*(ROW(Lookup_Status!$A$2:$A$13)-1))))</f>
        <v>Confirmed</v>
      </c>
      <c r="I197" s="7">
        <f>IF(OR(G197="",G197="Cancelled",G197="Mixed"),1,0)</f>
        <v>0</v>
      </c>
      <c r="J197" s="7">
        <f>IF(OR(H197="",H197="Mixed"),1,0)</f>
        <v>0</v>
      </c>
      <c r="K197" s="7">
        <f>IF(AND(C197=0,D197=0),IF(OR(AND(I197=0,NOT(EXACT(Raw_Passengers!F197,G197))),AND(J197=0,NOT(EXACT(Raw_Passengers!G197,H197)))),1,0),0)</f>
        <v>0</v>
      </c>
      <c r="L197" s="7">
        <f>IF(AND(C197=0,D197=0,I197=1),1,0)</f>
        <v>0</v>
      </c>
      <c r="M197" s="7">
        <f>IF(AND(C197=0,D197=0,J197=1),1,0)</f>
        <v>0</v>
      </c>
    </row>
    <row r="198" spans="1:13">
      <c r="A198" s="7">
        <f>Raw_Passengers!A198</f>
        <v>59700</v>
      </c>
      <c r="B198" s="7">
        <f>Raw_Passengers!B198</f>
        <v>1029590</v>
      </c>
      <c r="C198" s="7">
        <f>IF(COUNTIF(Raw_Passengers!$A$2:A198,Raw_Passengers!A198)&gt;1,1,0)</f>
        <v>0</v>
      </c>
      <c r="D198" s="7">
        <f>IF(COUNTIF(Raw_Bookings!$A$2:$A$648,Raw_Passengers!B198)=0,1,0)</f>
        <v>0</v>
      </c>
      <c r="E198" s="7">
        <f>IF(OR(C198=1,D198=1),0,IF(NOT(ISNUMBER(Raw_Passengers!E198)),1,IF(Raw_Passengers!E198&lt;=0,1,0)))</f>
        <v>0</v>
      </c>
      <c r="F198" s="7">
        <f>IF(AND(C198=0,D198=0,TRIM(Raw_Passengers!D198&amp;"")=""),1,0)</f>
        <v>0</v>
      </c>
      <c r="G198" s="7" t="str">
        <f>IF(SUMPRODUCT(--(Lookup_Status!$A$2:$A$13=LOWER(TRIM(Raw_Passengers!F198))))=0,"",INDEX(Lookup_Status!$B$2:$B$13,SUMPRODUCT((Lookup_Status!$A$2:$A$13=LOWER(TRIM(Raw_Passengers!F198)))*(ROW(Lookup_Status!$A$2:$A$13)-1))))</f>
        <v>Confirmed</v>
      </c>
      <c r="H198" s="7" t="str">
        <f>IF(SUMPRODUCT(--(Lookup_Status!$A$2:$A$13=LOWER(TRIM(Raw_Passengers!G198))))=0,"",INDEX(Lookup_Status!$B$2:$B$13,SUMPRODUCT((Lookup_Status!$A$2:$A$13=LOWER(TRIM(Raw_Passengers!G198)))*(ROW(Lookup_Status!$A$2:$A$13)-1))))</f>
        <v>Confirmed</v>
      </c>
      <c r="I198" s="7">
        <f>IF(OR(G198="",G198="Cancelled",G198="Mixed"),1,0)</f>
        <v>0</v>
      </c>
      <c r="J198" s="7">
        <f>IF(OR(H198="",H198="Mixed"),1,0)</f>
        <v>0</v>
      </c>
      <c r="K198" s="7">
        <f>IF(AND(C198=0,D198=0),IF(OR(AND(I198=0,NOT(EXACT(Raw_Passengers!F198,G198))),AND(J198=0,NOT(EXACT(Raw_Passengers!G198,H198)))),1,0),0)</f>
        <v>0</v>
      </c>
      <c r="L198" s="7">
        <f>IF(AND(C198=0,D198=0,I198=1),1,0)</f>
        <v>0</v>
      </c>
      <c r="M198" s="7">
        <f>IF(AND(C198=0,D198=0,J198=1),1,0)</f>
        <v>0</v>
      </c>
    </row>
    <row r="199" spans="1:13">
      <c r="A199" s="7">
        <f>Raw_Passengers!A199</f>
        <v>59701</v>
      </c>
      <c r="B199" s="7">
        <f>Raw_Passengers!B199</f>
        <v>1029590</v>
      </c>
      <c r="C199" s="7">
        <f>IF(COUNTIF(Raw_Passengers!$A$2:A199,Raw_Passengers!A199)&gt;1,1,0)</f>
        <v>0</v>
      </c>
      <c r="D199" s="7">
        <f>IF(COUNTIF(Raw_Bookings!$A$2:$A$648,Raw_Passengers!B199)=0,1,0)</f>
        <v>0</v>
      </c>
      <c r="E199" s="7">
        <f>IF(OR(C199=1,D199=1),0,IF(NOT(ISNUMBER(Raw_Passengers!E199)),1,IF(Raw_Passengers!E199&lt;=0,1,0)))</f>
        <v>0</v>
      </c>
      <c r="F199" s="7">
        <f>IF(AND(C199=0,D199=0,TRIM(Raw_Passengers!D199&amp;"")=""),1,0)</f>
        <v>0</v>
      </c>
      <c r="G199" s="7" t="str">
        <f>IF(SUMPRODUCT(--(Lookup_Status!$A$2:$A$13=LOWER(TRIM(Raw_Passengers!F199))))=0,"",INDEX(Lookup_Status!$B$2:$B$13,SUMPRODUCT((Lookup_Status!$A$2:$A$13=LOWER(TRIM(Raw_Passengers!F199)))*(ROW(Lookup_Status!$A$2:$A$13)-1))))</f>
        <v>Confirmed</v>
      </c>
      <c r="H199" s="7" t="str">
        <f>IF(SUMPRODUCT(--(Lookup_Status!$A$2:$A$13=LOWER(TRIM(Raw_Passengers!G199))))=0,"",INDEX(Lookup_Status!$B$2:$B$13,SUMPRODUCT((Lookup_Status!$A$2:$A$13=LOWER(TRIM(Raw_Passengers!G199)))*(ROW(Lookup_Status!$A$2:$A$13)-1))))</f>
        <v>Confirmed</v>
      </c>
      <c r="I199" s="7">
        <f>IF(OR(G199="",G199="Cancelled",G199="Mixed"),1,0)</f>
        <v>0</v>
      </c>
      <c r="J199" s="7">
        <f>IF(OR(H199="",H199="Mixed"),1,0)</f>
        <v>0</v>
      </c>
      <c r="K199" s="7">
        <f>IF(AND(C199=0,D199=0),IF(OR(AND(I199=0,NOT(EXACT(Raw_Passengers!F199,G199))),AND(J199=0,NOT(EXACT(Raw_Passengers!G199,H199)))),1,0),0)</f>
        <v>0</v>
      </c>
      <c r="L199" s="7">
        <f>IF(AND(C199=0,D199=0,I199=1),1,0)</f>
        <v>0</v>
      </c>
      <c r="M199" s="7">
        <f>IF(AND(C199=0,D199=0,J199=1),1,0)</f>
        <v>0</v>
      </c>
    </row>
    <row r="200" spans="1:13">
      <c r="A200" s="7">
        <f>Raw_Passengers!A200</f>
        <v>60501</v>
      </c>
      <c r="B200" s="7">
        <f>Raw_Passengers!B200</f>
        <v>1029993</v>
      </c>
      <c r="C200" s="7">
        <f>IF(COUNTIF(Raw_Passengers!$A$2:A200,Raw_Passengers!A200)&gt;1,1,0)</f>
        <v>0</v>
      </c>
      <c r="D200" s="7">
        <f>IF(COUNTIF(Raw_Bookings!$A$2:$A$648,Raw_Passengers!B200)=0,1,0)</f>
        <v>0</v>
      </c>
      <c r="E200" s="7">
        <f>IF(OR(C200=1,D200=1),0,IF(NOT(ISNUMBER(Raw_Passengers!E200)),1,IF(Raw_Passengers!E200&lt;=0,1,0)))</f>
        <v>0</v>
      </c>
      <c r="F200" s="7">
        <f>IF(AND(C200=0,D200=0,TRIM(Raw_Passengers!D200&amp;"")=""),1,0)</f>
        <v>0</v>
      </c>
      <c r="G200" s="7" t="str">
        <f>IF(SUMPRODUCT(--(Lookup_Status!$A$2:$A$13=LOWER(TRIM(Raw_Passengers!F200))))=0,"",INDEX(Lookup_Status!$B$2:$B$13,SUMPRODUCT((Lookup_Status!$A$2:$A$13=LOWER(TRIM(Raw_Passengers!F200)))*(ROW(Lookup_Status!$A$2:$A$13)-1))))</f>
        <v>Confirmed</v>
      </c>
      <c r="H200" s="7" t="str">
        <f>IF(SUMPRODUCT(--(Lookup_Status!$A$2:$A$13=LOWER(TRIM(Raw_Passengers!G200))))=0,"",INDEX(Lookup_Status!$B$2:$B$13,SUMPRODUCT((Lookup_Status!$A$2:$A$13=LOWER(TRIM(Raw_Passengers!G200)))*(ROW(Lookup_Status!$A$2:$A$13)-1))))</f>
        <v>Cancelled</v>
      </c>
      <c r="I200" s="7">
        <f>IF(OR(G200="",G200="Cancelled",G200="Mixed"),1,0)</f>
        <v>0</v>
      </c>
      <c r="J200" s="7">
        <f>IF(OR(H200="",H200="Mixed"),1,0)</f>
        <v>0</v>
      </c>
      <c r="K200" s="7">
        <f>IF(AND(C200=0,D200=0),IF(OR(AND(I200=0,NOT(EXACT(Raw_Passengers!F200,G200))),AND(J200=0,NOT(EXACT(Raw_Passengers!G200,H200)))),1,0),0)</f>
        <v>0</v>
      </c>
      <c r="L200" s="7">
        <f>IF(AND(C200=0,D200=0,I200=1),1,0)</f>
        <v>0</v>
      </c>
      <c r="M200" s="7">
        <f>IF(AND(C200=0,D200=0,J200=1),1,0)</f>
        <v>0</v>
      </c>
    </row>
    <row r="201" spans="1:13">
      <c r="A201" s="7">
        <f>Raw_Passengers!A201</f>
        <v>61317</v>
      </c>
      <c r="B201" s="7">
        <f>Raw_Passengers!B201</f>
        <v>1030387</v>
      </c>
      <c r="C201" s="7">
        <f>IF(COUNTIF(Raw_Passengers!$A$2:A201,Raw_Passengers!A201)&gt;1,1,0)</f>
        <v>0</v>
      </c>
      <c r="D201" s="7">
        <f>IF(COUNTIF(Raw_Bookings!$A$2:$A$648,Raw_Passengers!B201)=0,1,0)</f>
        <v>0</v>
      </c>
      <c r="E201" s="7">
        <f>IF(OR(C201=1,D201=1),0,IF(NOT(ISNUMBER(Raw_Passengers!E201)),1,IF(Raw_Passengers!E201&lt;=0,1,0)))</f>
        <v>0</v>
      </c>
      <c r="F201" s="7">
        <f>IF(AND(C201=0,D201=0,TRIM(Raw_Passengers!D201&amp;"")=""),1,0)</f>
        <v>0</v>
      </c>
      <c r="G201" s="7" t="str">
        <f>IF(SUMPRODUCT(--(Lookup_Status!$A$2:$A$13=LOWER(TRIM(Raw_Passengers!F201))))=0,"",INDEX(Lookup_Status!$B$2:$B$13,SUMPRODUCT((Lookup_Status!$A$2:$A$13=LOWER(TRIM(Raw_Passengers!F201)))*(ROW(Lookup_Status!$A$2:$A$13)-1))))</f>
        <v>Confirmed</v>
      </c>
      <c r="H201" s="7" t="str">
        <f>IF(SUMPRODUCT(--(Lookup_Status!$A$2:$A$13=LOWER(TRIM(Raw_Passengers!G201))))=0,"",INDEX(Lookup_Status!$B$2:$B$13,SUMPRODUCT((Lookup_Status!$A$2:$A$13=LOWER(TRIM(Raw_Passengers!G201)))*(ROW(Lookup_Status!$A$2:$A$13)-1))))</f>
        <v>Confirmed</v>
      </c>
      <c r="I201" s="7">
        <f>IF(OR(G201="",G201="Cancelled",G201="Mixed"),1,0)</f>
        <v>0</v>
      </c>
      <c r="J201" s="7">
        <f>IF(OR(H201="",H201="Mixed"),1,0)</f>
        <v>0</v>
      </c>
      <c r="K201" s="7">
        <f>IF(AND(C201=0,D201=0),IF(OR(AND(I201=0,NOT(EXACT(Raw_Passengers!F201,G201))),AND(J201=0,NOT(EXACT(Raw_Passengers!G201,H201)))),1,0),0)</f>
        <v>0</v>
      </c>
      <c r="L201" s="7">
        <f>IF(AND(C201=0,D201=0,I201=1),1,0)</f>
        <v>0</v>
      </c>
      <c r="M201" s="7">
        <f>IF(AND(C201=0,D201=0,J201=1),1,0)</f>
        <v>0</v>
      </c>
    </row>
    <row r="202" spans="1:13">
      <c r="A202" s="7">
        <f>Raw_Passengers!A202</f>
        <v>62936</v>
      </c>
      <c r="B202" s="7">
        <f>Raw_Passengers!B202</f>
        <v>1031206</v>
      </c>
      <c r="C202" s="7">
        <f>IF(COUNTIF(Raw_Passengers!$A$2:A202,Raw_Passengers!A202)&gt;1,1,0)</f>
        <v>0</v>
      </c>
      <c r="D202" s="7">
        <f>IF(COUNTIF(Raw_Bookings!$A$2:$A$648,Raw_Passengers!B202)=0,1,0)</f>
        <v>0</v>
      </c>
      <c r="E202" s="7">
        <f>IF(OR(C202=1,D202=1),0,IF(NOT(ISNUMBER(Raw_Passengers!E202)),1,IF(Raw_Passengers!E202&lt;=0,1,0)))</f>
        <v>0</v>
      </c>
      <c r="F202" s="7">
        <f>IF(AND(C202=0,D202=0,TRIM(Raw_Passengers!D202&amp;"")=""),1,0)</f>
        <v>0</v>
      </c>
      <c r="G202" s="7" t="str">
        <f>IF(SUMPRODUCT(--(Lookup_Status!$A$2:$A$13=LOWER(TRIM(Raw_Passengers!F202))))=0,"",INDEX(Lookup_Status!$B$2:$B$13,SUMPRODUCT((Lookup_Status!$A$2:$A$13=LOWER(TRIM(Raw_Passengers!F202)))*(ROW(Lookup_Status!$A$2:$A$13)-1))))</f>
        <v>Confirmed</v>
      </c>
      <c r="H202" s="7" t="str">
        <f>IF(SUMPRODUCT(--(Lookup_Status!$A$2:$A$13=LOWER(TRIM(Raw_Passengers!G202))))=0,"",INDEX(Lookup_Status!$B$2:$B$13,SUMPRODUCT((Lookup_Status!$A$2:$A$13=LOWER(TRIM(Raw_Passengers!G202)))*(ROW(Lookup_Status!$A$2:$A$13)-1))))</f>
        <v>Cancelled</v>
      </c>
      <c r="I202" s="7">
        <f>IF(OR(G202="",G202="Cancelled",G202="Mixed"),1,0)</f>
        <v>0</v>
      </c>
      <c r="J202" s="7">
        <f>IF(OR(H202="",H202="Mixed"),1,0)</f>
        <v>0</v>
      </c>
      <c r="K202" s="7">
        <f>IF(AND(C202=0,D202=0),IF(OR(AND(I202=0,NOT(EXACT(Raw_Passengers!F202,G202))),AND(J202=0,NOT(EXACT(Raw_Passengers!G202,H202)))),1,0),0)</f>
        <v>0</v>
      </c>
      <c r="L202" s="7">
        <f>IF(AND(C202=0,D202=0,I202=1),1,0)</f>
        <v>0</v>
      </c>
      <c r="M202" s="7">
        <f>IF(AND(C202=0,D202=0,J202=1),1,0)</f>
        <v>0</v>
      </c>
    </row>
    <row r="203" spans="1:13">
      <c r="A203" s="7">
        <f>Raw_Passengers!A203</f>
        <v>64127</v>
      </c>
      <c r="B203" s="7">
        <f>Raw_Passengers!B203</f>
        <v>1031770</v>
      </c>
      <c r="C203" s="7">
        <f>IF(COUNTIF(Raw_Passengers!$A$2:A203,Raw_Passengers!A203)&gt;1,1,0)</f>
        <v>0</v>
      </c>
      <c r="D203" s="7">
        <f>IF(COUNTIF(Raw_Bookings!$A$2:$A$648,Raw_Passengers!B203)=0,1,0)</f>
        <v>0</v>
      </c>
      <c r="E203" s="7">
        <f>IF(OR(C203=1,D203=1),0,IF(NOT(ISNUMBER(Raw_Passengers!E203)),1,IF(Raw_Passengers!E203&lt;=0,1,0)))</f>
        <v>0</v>
      </c>
      <c r="F203" s="7">
        <f>IF(AND(C203=0,D203=0,TRIM(Raw_Passengers!D203&amp;"")=""),1,0)</f>
        <v>0</v>
      </c>
      <c r="G203" s="7" t="str">
        <f>IF(SUMPRODUCT(--(Lookup_Status!$A$2:$A$13=LOWER(TRIM(Raw_Passengers!F203))))=0,"",INDEX(Lookup_Status!$B$2:$B$13,SUMPRODUCT((Lookup_Status!$A$2:$A$13=LOWER(TRIM(Raw_Passengers!F203)))*(ROW(Lookup_Status!$A$2:$A$13)-1))))</f>
        <v>Confirmed</v>
      </c>
      <c r="H203" s="7" t="str">
        <f>IF(SUMPRODUCT(--(Lookup_Status!$A$2:$A$13=LOWER(TRIM(Raw_Passengers!G203))))=0,"",INDEX(Lookup_Status!$B$2:$B$13,SUMPRODUCT((Lookup_Status!$A$2:$A$13=LOWER(TRIM(Raw_Passengers!G203)))*(ROW(Lookup_Status!$A$2:$A$13)-1))))</f>
        <v>Confirmed</v>
      </c>
      <c r="I203" s="7">
        <f>IF(OR(G203="",G203="Cancelled",G203="Mixed"),1,0)</f>
        <v>0</v>
      </c>
      <c r="J203" s="7">
        <f>IF(OR(H203="",H203="Mixed"),1,0)</f>
        <v>0</v>
      </c>
      <c r="K203" s="7">
        <f>IF(AND(C203=0,D203=0),IF(OR(AND(I203=0,NOT(EXACT(Raw_Passengers!F203,G203))),AND(J203=0,NOT(EXACT(Raw_Passengers!G203,H203)))),1,0),0)</f>
        <v>0</v>
      </c>
      <c r="L203" s="7">
        <f>IF(AND(C203=0,D203=0,I203=1),1,0)</f>
        <v>0</v>
      </c>
      <c r="M203" s="7">
        <f>IF(AND(C203=0,D203=0,J203=1),1,0)</f>
        <v>0</v>
      </c>
    </row>
    <row r="204" spans="1:13">
      <c r="A204" s="7">
        <f>Raw_Passengers!A204</f>
        <v>64591</v>
      </c>
      <c r="B204" s="7">
        <f>Raw_Passengers!B204</f>
        <v>1032006</v>
      </c>
      <c r="C204" s="7">
        <f>IF(COUNTIF(Raw_Passengers!$A$2:A204,Raw_Passengers!A204)&gt;1,1,0)</f>
        <v>0</v>
      </c>
      <c r="D204" s="7">
        <f>IF(COUNTIF(Raw_Bookings!$A$2:$A$648,Raw_Passengers!B204)=0,1,0)</f>
        <v>0</v>
      </c>
      <c r="E204" s="7">
        <f>IF(OR(C204=1,D204=1),0,IF(NOT(ISNUMBER(Raw_Passengers!E204)),1,IF(Raw_Passengers!E204&lt;=0,1,0)))</f>
        <v>0</v>
      </c>
      <c r="F204" s="7">
        <f>IF(AND(C204=0,D204=0,TRIM(Raw_Passengers!D204&amp;"")=""),1,0)</f>
        <v>0</v>
      </c>
      <c r="G204" s="7" t="str">
        <f>IF(SUMPRODUCT(--(Lookup_Status!$A$2:$A$13=LOWER(TRIM(Raw_Passengers!F204))))=0,"",INDEX(Lookup_Status!$B$2:$B$13,SUMPRODUCT((Lookup_Status!$A$2:$A$13=LOWER(TRIM(Raw_Passengers!F204)))*(ROW(Lookup_Status!$A$2:$A$13)-1))))</f>
        <v>Confirmed</v>
      </c>
      <c r="H204" s="7" t="str">
        <f>IF(SUMPRODUCT(--(Lookup_Status!$A$2:$A$13=LOWER(TRIM(Raw_Passengers!G204))))=0,"",INDEX(Lookup_Status!$B$2:$B$13,SUMPRODUCT((Lookup_Status!$A$2:$A$13=LOWER(TRIM(Raw_Passengers!G204)))*(ROW(Lookup_Status!$A$2:$A$13)-1))))</f>
        <v>Confirmed</v>
      </c>
      <c r="I204" s="7">
        <f>IF(OR(G204="",G204="Cancelled",G204="Mixed"),1,0)</f>
        <v>0</v>
      </c>
      <c r="J204" s="7">
        <f>IF(OR(H204="",H204="Mixed"),1,0)</f>
        <v>0</v>
      </c>
      <c r="K204" s="7">
        <f>IF(AND(C204=0,D204=0),IF(OR(AND(I204=0,NOT(EXACT(Raw_Passengers!F204,G204))),AND(J204=0,NOT(EXACT(Raw_Passengers!G204,H204)))),1,0),0)</f>
        <v>0</v>
      </c>
      <c r="L204" s="7">
        <f>IF(AND(C204=0,D204=0,I204=1),1,0)</f>
        <v>0</v>
      </c>
      <c r="M204" s="7">
        <f>IF(AND(C204=0,D204=0,J204=1),1,0)</f>
        <v>0</v>
      </c>
    </row>
    <row r="205" spans="1:13">
      <c r="A205" s="7">
        <f>Raw_Passengers!A205</f>
        <v>64592</v>
      </c>
      <c r="B205" s="7">
        <f>Raw_Passengers!B205</f>
        <v>1032006</v>
      </c>
      <c r="C205" s="7">
        <f>IF(COUNTIF(Raw_Passengers!$A$2:A205,Raw_Passengers!A205)&gt;1,1,0)</f>
        <v>0</v>
      </c>
      <c r="D205" s="7">
        <f>IF(COUNTIF(Raw_Bookings!$A$2:$A$648,Raw_Passengers!B205)=0,1,0)</f>
        <v>0</v>
      </c>
      <c r="E205" s="7">
        <f>IF(OR(C205=1,D205=1),0,IF(NOT(ISNUMBER(Raw_Passengers!E205)),1,IF(Raw_Passengers!E205&lt;=0,1,0)))</f>
        <v>0</v>
      </c>
      <c r="F205" s="7">
        <f>IF(AND(C205=0,D205=0,TRIM(Raw_Passengers!D205&amp;"")=""),1,0)</f>
        <v>0</v>
      </c>
      <c r="G205" s="7" t="str">
        <f>IF(SUMPRODUCT(--(Lookup_Status!$A$2:$A$13=LOWER(TRIM(Raw_Passengers!F205))))=0,"",INDEX(Lookup_Status!$B$2:$B$13,SUMPRODUCT((Lookup_Status!$A$2:$A$13=LOWER(TRIM(Raw_Passengers!F205)))*(ROW(Lookup_Status!$A$2:$A$13)-1))))</f>
        <v>Confirmed</v>
      </c>
      <c r="H205" s="7" t="str">
        <f>IF(SUMPRODUCT(--(Lookup_Status!$A$2:$A$13=LOWER(TRIM(Raw_Passengers!G205))))=0,"",INDEX(Lookup_Status!$B$2:$B$13,SUMPRODUCT((Lookup_Status!$A$2:$A$13=LOWER(TRIM(Raw_Passengers!G205)))*(ROW(Lookup_Status!$A$2:$A$13)-1))))</f>
        <v>Confirmed</v>
      </c>
      <c r="I205" s="7">
        <f>IF(OR(G205="",G205="Cancelled",G205="Mixed"),1,0)</f>
        <v>0</v>
      </c>
      <c r="J205" s="7">
        <f>IF(OR(H205="",H205="Mixed"),1,0)</f>
        <v>0</v>
      </c>
      <c r="K205" s="7">
        <f>IF(AND(C205=0,D205=0),IF(OR(AND(I205=0,NOT(EXACT(Raw_Passengers!F205,G205))),AND(J205=0,NOT(EXACT(Raw_Passengers!G205,H205)))),1,0),0)</f>
        <v>0</v>
      </c>
      <c r="L205" s="7">
        <f>IF(AND(C205=0,D205=0,I205=1),1,0)</f>
        <v>0</v>
      </c>
      <c r="M205" s="7">
        <f>IF(AND(C205=0,D205=0,J205=1),1,0)</f>
        <v>0</v>
      </c>
    </row>
    <row r="206" spans="1:13">
      <c r="A206" s="7">
        <f>Raw_Passengers!A206</f>
        <v>64730</v>
      </c>
      <c r="B206" s="7">
        <f>Raw_Passengers!B206</f>
        <v>1032070</v>
      </c>
      <c r="C206" s="7">
        <f>IF(COUNTIF(Raw_Passengers!$A$2:A206,Raw_Passengers!A206)&gt;1,1,0)</f>
        <v>0</v>
      </c>
      <c r="D206" s="7">
        <f>IF(COUNTIF(Raw_Bookings!$A$2:$A$648,Raw_Passengers!B206)=0,1,0)</f>
        <v>0</v>
      </c>
      <c r="E206" s="7">
        <f>IF(OR(C206=1,D206=1),0,IF(NOT(ISNUMBER(Raw_Passengers!E206)),1,IF(Raw_Passengers!E206&lt;=0,1,0)))</f>
        <v>0</v>
      </c>
      <c r="F206" s="7">
        <f>IF(AND(C206=0,D206=0,TRIM(Raw_Passengers!D206&amp;"")=""),1,0)</f>
        <v>0</v>
      </c>
      <c r="G206" s="7" t="str">
        <f>IF(SUMPRODUCT(--(Lookup_Status!$A$2:$A$13=LOWER(TRIM(Raw_Passengers!F206))))=0,"",INDEX(Lookup_Status!$B$2:$B$13,SUMPRODUCT((Lookup_Status!$A$2:$A$13=LOWER(TRIM(Raw_Passengers!F206)))*(ROW(Lookup_Status!$A$2:$A$13)-1))))</f>
        <v>Confirmed</v>
      </c>
      <c r="H206" s="7" t="str">
        <f>IF(SUMPRODUCT(--(Lookup_Status!$A$2:$A$13=LOWER(TRIM(Raw_Passengers!G206))))=0,"",INDEX(Lookup_Status!$B$2:$B$13,SUMPRODUCT((Lookup_Status!$A$2:$A$13=LOWER(TRIM(Raw_Passengers!G206)))*(ROW(Lookup_Status!$A$2:$A$13)-1))))</f>
        <v>Confirmed</v>
      </c>
      <c r="I206" s="7">
        <f>IF(OR(G206="",G206="Cancelled",G206="Mixed"),1,0)</f>
        <v>0</v>
      </c>
      <c r="J206" s="7">
        <f>IF(OR(H206="",H206="Mixed"),1,0)</f>
        <v>0</v>
      </c>
      <c r="K206" s="7">
        <f>IF(AND(C206=0,D206=0),IF(OR(AND(I206=0,NOT(EXACT(Raw_Passengers!F206,G206))),AND(J206=0,NOT(EXACT(Raw_Passengers!G206,H206)))),1,0),0)</f>
        <v>0</v>
      </c>
      <c r="L206" s="7">
        <f>IF(AND(C206=0,D206=0,I206=1),1,0)</f>
        <v>0</v>
      </c>
      <c r="M206" s="7">
        <f>IF(AND(C206=0,D206=0,J206=1),1,0)</f>
        <v>0</v>
      </c>
    </row>
    <row r="207" spans="1:13">
      <c r="A207" s="7">
        <f>Raw_Passengers!A207</f>
        <v>64731</v>
      </c>
      <c r="B207" s="7">
        <f>Raw_Passengers!B207</f>
        <v>1032070</v>
      </c>
      <c r="C207" s="7">
        <f>IF(COUNTIF(Raw_Passengers!$A$2:A207,Raw_Passengers!A207)&gt;1,1,0)</f>
        <v>0</v>
      </c>
      <c r="D207" s="7">
        <f>IF(COUNTIF(Raw_Bookings!$A$2:$A$648,Raw_Passengers!B207)=0,1,0)</f>
        <v>0</v>
      </c>
      <c r="E207" s="7">
        <f>IF(OR(C207=1,D207=1),0,IF(NOT(ISNUMBER(Raw_Passengers!E207)),1,IF(Raw_Passengers!E207&lt;=0,1,0)))</f>
        <v>0</v>
      </c>
      <c r="F207" s="7">
        <f>IF(AND(C207=0,D207=0,TRIM(Raw_Passengers!D207&amp;"")=""),1,0)</f>
        <v>0</v>
      </c>
      <c r="G207" s="7" t="str">
        <f>IF(SUMPRODUCT(--(Lookup_Status!$A$2:$A$13=LOWER(TRIM(Raw_Passengers!F207))))=0,"",INDEX(Lookup_Status!$B$2:$B$13,SUMPRODUCT((Lookup_Status!$A$2:$A$13=LOWER(TRIM(Raw_Passengers!F207)))*(ROW(Lookup_Status!$A$2:$A$13)-1))))</f>
        <v>Confirmed</v>
      </c>
      <c r="H207" s="7" t="str">
        <f>IF(SUMPRODUCT(--(Lookup_Status!$A$2:$A$13=LOWER(TRIM(Raw_Passengers!G207))))=0,"",INDEX(Lookup_Status!$B$2:$B$13,SUMPRODUCT((Lookup_Status!$A$2:$A$13=LOWER(TRIM(Raw_Passengers!G207)))*(ROW(Lookup_Status!$A$2:$A$13)-1))))</f>
        <v>Confirmed</v>
      </c>
      <c r="I207" s="7">
        <f>IF(OR(G207="",G207="Cancelled",G207="Mixed"),1,0)</f>
        <v>0</v>
      </c>
      <c r="J207" s="7">
        <f>IF(OR(H207="",H207="Mixed"),1,0)</f>
        <v>0</v>
      </c>
      <c r="K207" s="7">
        <f>IF(AND(C207=0,D207=0),IF(OR(AND(I207=0,NOT(EXACT(Raw_Passengers!F207,G207))),AND(J207=0,NOT(EXACT(Raw_Passengers!G207,H207)))),1,0),0)</f>
        <v>0</v>
      </c>
      <c r="L207" s="7">
        <f>IF(AND(C207=0,D207=0,I207=1),1,0)</f>
        <v>0</v>
      </c>
      <c r="M207" s="7">
        <f>IF(AND(C207=0,D207=0,J207=1),1,0)</f>
        <v>0</v>
      </c>
    </row>
    <row r="208" spans="1:13">
      <c r="A208" s="7">
        <f>Raw_Passengers!A208</f>
        <v>64732</v>
      </c>
      <c r="B208" s="7">
        <f>Raw_Passengers!B208</f>
        <v>1032070</v>
      </c>
      <c r="C208" s="7">
        <f>IF(COUNTIF(Raw_Passengers!$A$2:A208,Raw_Passengers!A208)&gt;1,1,0)</f>
        <v>0</v>
      </c>
      <c r="D208" s="7">
        <f>IF(COUNTIF(Raw_Bookings!$A$2:$A$648,Raw_Passengers!B208)=0,1,0)</f>
        <v>0</v>
      </c>
      <c r="E208" s="7">
        <f>IF(OR(C208=1,D208=1),0,IF(NOT(ISNUMBER(Raw_Passengers!E208)),1,IF(Raw_Passengers!E208&lt;=0,1,0)))</f>
        <v>0</v>
      </c>
      <c r="F208" s="7">
        <f>IF(AND(C208=0,D208=0,TRIM(Raw_Passengers!D208&amp;"")=""),1,0)</f>
        <v>0</v>
      </c>
      <c r="G208" s="7" t="str">
        <f>IF(SUMPRODUCT(--(Lookup_Status!$A$2:$A$13=LOWER(TRIM(Raw_Passengers!F208))))=0,"",INDEX(Lookup_Status!$B$2:$B$13,SUMPRODUCT((Lookup_Status!$A$2:$A$13=LOWER(TRIM(Raw_Passengers!F208)))*(ROW(Lookup_Status!$A$2:$A$13)-1))))</f>
        <v>Confirmed</v>
      </c>
      <c r="H208" s="7" t="str">
        <f>IF(SUMPRODUCT(--(Lookup_Status!$A$2:$A$13=LOWER(TRIM(Raw_Passengers!G208))))=0,"",INDEX(Lookup_Status!$B$2:$B$13,SUMPRODUCT((Lookup_Status!$A$2:$A$13=LOWER(TRIM(Raw_Passengers!G208)))*(ROW(Lookup_Status!$A$2:$A$13)-1))))</f>
        <v>Confirmed</v>
      </c>
      <c r="I208" s="7">
        <f>IF(OR(G208="",G208="Cancelled",G208="Mixed"),1,0)</f>
        <v>0</v>
      </c>
      <c r="J208" s="7">
        <f>IF(OR(H208="",H208="Mixed"),1,0)</f>
        <v>0</v>
      </c>
      <c r="K208" s="7">
        <f>IF(AND(C208=0,D208=0),IF(OR(AND(I208=0,NOT(EXACT(Raw_Passengers!F208,G208))),AND(J208=0,NOT(EXACT(Raw_Passengers!G208,H208)))),1,0),0)</f>
        <v>0</v>
      </c>
      <c r="L208" s="7">
        <f>IF(AND(C208=0,D208=0,I208=1),1,0)</f>
        <v>0</v>
      </c>
      <c r="M208" s="7">
        <f>IF(AND(C208=0,D208=0,J208=1),1,0)</f>
        <v>0</v>
      </c>
    </row>
    <row r="209" spans="1:13">
      <c r="A209" s="7">
        <f>Raw_Passengers!A209</f>
        <v>64733</v>
      </c>
      <c r="B209" s="7">
        <f>Raw_Passengers!B209</f>
        <v>1032070</v>
      </c>
      <c r="C209" s="7">
        <f>IF(COUNTIF(Raw_Passengers!$A$2:A209,Raw_Passengers!A209)&gt;1,1,0)</f>
        <v>0</v>
      </c>
      <c r="D209" s="7">
        <f>IF(COUNTIF(Raw_Bookings!$A$2:$A$648,Raw_Passengers!B209)=0,1,0)</f>
        <v>0</v>
      </c>
      <c r="E209" s="7">
        <f>IF(OR(C209=1,D209=1),0,IF(NOT(ISNUMBER(Raw_Passengers!E209)),1,IF(Raw_Passengers!E209&lt;=0,1,0)))</f>
        <v>0</v>
      </c>
      <c r="F209" s="7">
        <f>IF(AND(C209=0,D209=0,TRIM(Raw_Passengers!D209&amp;"")=""),1,0)</f>
        <v>0</v>
      </c>
      <c r="G209" s="7" t="str">
        <f>IF(SUMPRODUCT(--(Lookup_Status!$A$2:$A$13=LOWER(TRIM(Raw_Passengers!F209))))=0,"",INDEX(Lookup_Status!$B$2:$B$13,SUMPRODUCT((Lookup_Status!$A$2:$A$13=LOWER(TRIM(Raw_Passengers!F209)))*(ROW(Lookup_Status!$A$2:$A$13)-1))))</f>
        <v>Confirmed</v>
      </c>
      <c r="H209" s="7" t="str">
        <f>IF(SUMPRODUCT(--(Lookup_Status!$A$2:$A$13=LOWER(TRIM(Raw_Passengers!G209))))=0,"",INDEX(Lookup_Status!$B$2:$B$13,SUMPRODUCT((Lookup_Status!$A$2:$A$13=LOWER(TRIM(Raw_Passengers!G209)))*(ROW(Lookup_Status!$A$2:$A$13)-1))))</f>
        <v>Confirmed</v>
      </c>
      <c r="I209" s="7">
        <f>IF(OR(G209="",G209="Cancelled",G209="Mixed"),1,0)</f>
        <v>0</v>
      </c>
      <c r="J209" s="7">
        <f>IF(OR(H209="",H209="Mixed"),1,0)</f>
        <v>0</v>
      </c>
      <c r="K209" s="7">
        <f>IF(AND(C209=0,D209=0),IF(OR(AND(I209=0,NOT(EXACT(Raw_Passengers!F209,G209))),AND(J209=0,NOT(EXACT(Raw_Passengers!G209,H209)))),1,0),0)</f>
        <v>0</v>
      </c>
      <c r="L209" s="7">
        <f>IF(AND(C209=0,D209=0,I209=1),1,0)</f>
        <v>0</v>
      </c>
      <c r="M209" s="7">
        <f>IF(AND(C209=0,D209=0,J209=1),1,0)</f>
        <v>0</v>
      </c>
    </row>
    <row r="210" spans="1:13">
      <c r="A210" s="7">
        <f>Raw_Passengers!A210</f>
        <v>64780</v>
      </c>
      <c r="B210" s="7">
        <f>Raw_Passengers!B210</f>
        <v>1032096</v>
      </c>
      <c r="C210" s="7">
        <f>IF(COUNTIF(Raw_Passengers!$A$2:A210,Raw_Passengers!A210)&gt;1,1,0)</f>
        <v>0</v>
      </c>
      <c r="D210" s="7">
        <f>IF(COUNTIF(Raw_Bookings!$A$2:$A$648,Raw_Passengers!B210)=0,1,0)</f>
        <v>0</v>
      </c>
      <c r="E210" s="7">
        <f>IF(OR(C210=1,D210=1),0,IF(NOT(ISNUMBER(Raw_Passengers!E210)),1,IF(Raw_Passengers!E210&lt;=0,1,0)))</f>
        <v>0</v>
      </c>
      <c r="F210" s="7">
        <f>IF(AND(C210=0,D210=0,TRIM(Raw_Passengers!D210&amp;"")=""),1,0)</f>
        <v>0</v>
      </c>
      <c r="G210" s="7" t="str">
        <f>IF(SUMPRODUCT(--(Lookup_Status!$A$2:$A$13=LOWER(TRIM(Raw_Passengers!F210))))=0,"",INDEX(Lookup_Status!$B$2:$B$13,SUMPRODUCT((Lookup_Status!$A$2:$A$13=LOWER(TRIM(Raw_Passengers!F210)))*(ROW(Lookup_Status!$A$2:$A$13)-1))))</f>
        <v>Confirmed</v>
      </c>
      <c r="H210" s="7" t="str">
        <f>IF(SUMPRODUCT(--(Lookup_Status!$A$2:$A$13=LOWER(TRIM(Raw_Passengers!G210))))=0,"",INDEX(Lookup_Status!$B$2:$B$13,SUMPRODUCT((Lookup_Status!$A$2:$A$13=LOWER(TRIM(Raw_Passengers!G210)))*(ROW(Lookup_Status!$A$2:$A$13)-1))))</f>
        <v>Confirmed</v>
      </c>
      <c r="I210" s="7">
        <f>IF(OR(G210="",G210="Cancelled",G210="Mixed"),1,0)</f>
        <v>0</v>
      </c>
      <c r="J210" s="7">
        <f>IF(OR(H210="",H210="Mixed"),1,0)</f>
        <v>0</v>
      </c>
      <c r="K210" s="7">
        <f>IF(AND(C210=0,D210=0),IF(OR(AND(I210=0,NOT(EXACT(Raw_Passengers!F210,G210))),AND(J210=0,NOT(EXACT(Raw_Passengers!G210,H210)))),1,0),0)</f>
        <v>0</v>
      </c>
      <c r="L210" s="7">
        <f>IF(AND(C210=0,D210=0,I210=1),1,0)</f>
        <v>0</v>
      </c>
      <c r="M210" s="7">
        <f>IF(AND(C210=0,D210=0,J210=1),1,0)</f>
        <v>0</v>
      </c>
    </row>
    <row r="211" spans="1:13">
      <c r="A211" s="7">
        <f>Raw_Passengers!A211</f>
        <v>65216</v>
      </c>
      <c r="B211" s="7">
        <f>Raw_Passengers!B211</f>
        <v>1032311</v>
      </c>
      <c r="C211" s="7">
        <f>IF(COUNTIF(Raw_Passengers!$A$2:A211,Raw_Passengers!A211)&gt;1,1,0)</f>
        <v>0</v>
      </c>
      <c r="D211" s="7">
        <f>IF(COUNTIF(Raw_Bookings!$A$2:$A$648,Raw_Passengers!B211)=0,1,0)</f>
        <v>0</v>
      </c>
      <c r="E211" s="7">
        <f>IF(OR(C211=1,D211=1),0,IF(NOT(ISNUMBER(Raw_Passengers!E211)),1,IF(Raw_Passengers!E211&lt;=0,1,0)))</f>
        <v>0</v>
      </c>
      <c r="F211" s="7">
        <f>IF(AND(C211=0,D211=0,TRIM(Raw_Passengers!D211&amp;"")=""),1,0)</f>
        <v>0</v>
      </c>
      <c r="G211" s="7" t="str">
        <f>IF(SUMPRODUCT(--(Lookup_Status!$A$2:$A$13=LOWER(TRIM(Raw_Passengers!F211))))=0,"",INDEX(Lookup_Status!$B$2:$B$13,SUMPRODUCT((Lookup_Status!$A$2:$A$13=LOWER(TRIM(Raw_Passengers!F211)))*(ROW(Lookup_Status!$A$2:$A$13)-1))))</f>
        <v>Confirmed</v>
      </c>
      <c r="H211" s="7" t="str">
        <f>IF(SUMPRODUCT(--(Lookup_Status!$A$2:$A$13=LOWER(TRIM(Raw_Passengers!G211))))=0,"",INDEX(Lookup_Status!$B$2:$B$13,SUMPRODUCT((Lookup_Status!$A$2:$A$13=LOWER(TRIM(Raw_Passengers!G211)))*(ROW(Lookup_Status!$A$2:$A$13)-1))))</f>
        <v>Confirmed</v>
      </c>
      <c r="I211" s="7">
        <f>IF(OR(G211="",G211="Cancelled",G211="Mixed"),1,0)</f>
        <v>0</v>
      </c>
      <c r="J211" s="7">
        <f>IF(OR(H211="",H211="Mixed"),1,0)</f>
        <v>0</v>
      </c>
      <c r="K211" s="7">
        <f>IF(AND(C211=0,D211=0),IF(OR(AND(I211=0,NOT(EXACT(Raw_Passengers!F211,G211))),AND(J211=0,NOT(EXACT(Raw_Passengers!G211,H211)))),1,0),0)</f>
        <v>0</v>
      </c>
      <c r="L211" s="7">
        <f>IF(AND(C211=0,D211=0,I211=1),1,0)</f>
        <v>0</v>
      </c>
      <c r="M211" s="7">
        <f>IF(AND(C211=0,D211=0,J211=1),1,0)</f>
        <v>0</v>
      </c>
    </row>
    <row r="212" spans="1:13">
      <c r="A212" s="7">
        <f>Raw_Passengers!A212</f>
        <v>65217</v>
      </c>
      <c r="B212" s="7">
        <f>Raw_Passengers!B212</f>
        <v>1032311</v>
      </c>
      <c r="C212" s="7">
        <f>IF(COUNTIF(Raw_Passengers!$A$2:A212,Raw_Passengers!A212)&gt;1,1,0)</f>
        <v>0</v>
      </c>
      <c r="D212" s="7">
        <f>IF(COUNTIF(Raw_Bookings!$A$2:$A$648,Raw_Passengers!B212)=0,1,0)</f>
        <v>0</v>
      </c>
      <c r="E212" s="7">
        <f>IF(OR(C212=1,D212=1),0,IF(NOT(ISNUMBER(Raw_Passengers!E212)),1,IF(Raw_Passengers!E212&lt;=0,1,0)))</f>
        <v>0</v>
      </c>
      <c r="F212" s="7">
        <f>IF(AND(C212=0,D212=0,TRIM(Raw_Passengers!D212&amp;"")=""),1,0)</f>
        <v>0</v>
      </c>
      <c r="G212" s="7" t="str">
        <f>IF(SUMPRODUCT(--(Lookup_Status!$A$2:$A$13=LOWER(TRIM(Raw_Passengers!F212))))=0,"",INDEX(Lookup_Status!$B$2:$B$13,SUMPRODUCT((Lookup_Status!$A$2:$A$13=LOWER(TRIM(Raw_Passengers!F212)))*(ROW(Lookup_Status!$A$2:$A$13)-1))))</f>
        <v>Confirmed</v>
      </c>
      <c r="H212" s="7" t="str">
        <f>IF(SUMPRODUCT(--(Lookup_Status!$A$2:$A$13=LOWER(TRIM(Raw_Passengers!G212))))=0,"",INDEX(Lookup_Status!$B$2:$B$13,SUMPRODUCT((Lookup_Status!$A$2:$A$13=LOWER(TRIM(Raw_Passengers!G212)))*(ROW(Lookup_Status!$A$2:$A$13)-1))))</f>
        <v>Confirmed</v>
      </c>
      <c r="I212" s="7">
        <f>IF(OR(G212="",G212="Cancelled",G212="Mixed"),1,0)</f>
        <v>0</v>
      </c>
      <c r="J212" s="7">
        <f>IF(OR(H212="",H212="Mixed"),1,0)</f>
        <v>0</v>
      </c>
      <c r="K212" s="7">
        <f>IF(AND(C212=0,D212=0),IF(OR(AND(I212=0,NOT(EXACT(Raw_Passengers!F212,G212))),AND(J212=0,NOT(EXACT(Raw_Passengers!G212,H212)))),1,0),0)</f>
        <v>0</v>
      </c>
      <c r="L212" s="7">
        <f>IF(AND(C212=0,D212=0,I212=1),1,0)</f>
        <v>0</v>
      </c>
      <c r="M212" s="7">
        <f>IF(AND(C212=0,D212=0,J212=1),1,0)</f>
        <v>0</v>
      </c>
    </row>
    <row r="213" spans="1:13">
      <c r="A213" s="7">
        <f>Raw_Passengers!A213</f>
        <v>65990</v>
      </c>
      <c r="B213" s="7">
        <f>Raw_Passengers!B213</f>
        <v>1032683</v>
      </c>
      <c r="C213" s="7">
        <f>IF(COUNTIF(Raw_Passengers!$A$2:A213,Raw_Passengers!A213)&gt;1,1,0)</f>
        <v>0</v>
      </c>
      <c r="D213" s="7">
        <f>IF(COUNTIF(Raw_Bookings!$A$2:$A$648,Raw_Passengers!B213)=0,1,0)</f>
        <v>0</v>
      </c>
      <c r="E213" s="7">
        <f>IF(OR(C213=1,D213=1),0,IF(NOT(ISNUMBER(Raw_Passengers!E213)),1,IF(Raw_Passengers!E213&lt;=0,1,0)))</f>
        <v>0</v>
      </c>
      <c r="F213" s="7">
        <f>IF(AND(C213=0,D213=0,TRIM(Raw_Passengers!D213&amp;"")=""),1,0)</f>
        <v>0</v>
      </c>
      <c r="G213" s="7" t="str">
        <f>IF(SUMPRODUCT(--(Lookup_Status!$A$2:$A$13=LOWER(TRIM(Raw_Passengers!F213))))=0,"",INDEX(Lookup_Status!$B$2:$B$13,SUMPRODUCT((Lookup_Status!$A$2:$A$13=LOWER(TRIM(Raw_Passengers!F213)))*(ROW(Lookup_Status!$A$2:$A$13)-1))))</f>
        <v>Confirmed</v>
      </c>
      <c r="H213" s="7" t="str">
        <f>IF(SUMPRODUCT(--(Lookup_Status!$A$2:$A$13=LOWER(TRIM(Raw_Passengers!G213))))=0,"",INDEX(Lookup_Status!$B$2:$B$13,SUMPRODUCT((Lookup_Status!$A$2:$A$13=LOWER(TRIM(Raw_Passengers!G213)))*(ROW(Lookup_Status!$A$2:$A$13)-1))))</f>
        <v>Confirmed</v>
      </c>
      <c r="I213" s="7">
        <f>IF(OR(G213="",G213="Cancelled",G213="Mixed"),1,0)</f>
        <v>0</v>
      </c>
      <c r="J213" s="7">
        <f>IF(OR(H213="",H213="Mixed"),1,0)</f>
        <v>0</v>
      </c>
      <c r="K213" s="7">
        <f>IF(AND(C213=0,D213=0),IF(OR(AND(I213=0,NOT(EXACT(Raw_Passengers!F213,G213))),AND(J213=0,NOT(EXACT(Raw_Passengers!G213,H213)))),1,0),0)</f>
        <v>0</v>
      </c>
      <c r="L213" s="7">
        <f>IF(AND(C213=0,D213=0,I213=1),1,0)</f>
        <v>0</v>
      </c>
      <c r="M213" s="7">
        <f>IF(AND(C213=0,D213=0,J213=1),1,0)</f>
        <v>0</v>
      </c>
    </row>
    <row r="214" spans="1:13">
      <c r="A214" s="7">
        <f>Raw_Passengers!A214</f>
        <v>66149</v>
      </c>
      <c r="B214" s="7">
        <f>Raw_Passengers!B214</f>
        <v>1032751</v>
      </c>
      <c r="C214" s="7">
        <f>IF(COUNTIF(Raw_Passengers!$A$2:A214,Raw_Passengers!A214)&gt;1,1,0)</f>
        <v>0</v>
      </c>
      <c r="D214" s="7">
        <f>IF(COUNTIF(Raw_Bookings!$A$2:$A$648,Raw_Passengers!B214)=0,1,0)</f>
        <v>0</v>
      </c>
      <c r="E214" s="7">
        <f>IF(OR(C214=1,D214=1),0,IF(NOT(ISNUMBER(Raw_Passengers!E214)),1,IF(Raw_Passengers!E214&lt;=0,1,0)))</f>
        <v>0</v>
      </c>
      <c r="F214" s="7">
        <f>IF(AND(C214=0,D214=0,TRIM(Raw_Passengers!D214&amp;"")=""),1,0)</f>
        <v>0</v>
      </c>
      <c r="G214" s="7" t="str">
        <f>IF(SUMPRODUCT(--(Lookup_Status!$A$2:$A$13=LOWER(TRIM(Raw_Passengers!F214))))=0,"",INDEX(Lookup_Status!$B$2:$B$13,SUMPRODUCT((Lookup_Status!$A$2:$A$13=LOWER(TRIM(Raw_Passengers!F214)))*(ROW(Lookup_Status!$A$2:$A$13)-1))))</f>
        <v>Confirmed</v>
      </c>
      <c r="H214" s="7" t="str">
        <f>IF(SUMPRODUCT(--(Lookup_Status!$A$2:$A$13=LOWER(TRIM(Raw_Passengers!G214))))=0,"",INDEX(Lookup_Status!$B$2:$B$13,SUMPRODUCT((Lookup_Status!$A$2:$A$13=LOWER(TRIM(Raw_Passengers!G214)))*(ROW(Lookup_Status!$A$2:$A$13)-1))))</f>
        <v>Cancelled</v>
      </c>
      <c r="I214" s="7">
        <f>IF(OR(G214="",G214="Cancelled",G214="Mixed"),1,0)</f>
        <v>0</v>
      </c>
      <c r="J214" s="7">
        <f>IF(OR(H214="",H214="Mixed"),1,0)</f>
        <v>0</v>
      </c>
      <c r="K214" s="7">
        <f>IF(AND(C214=0,D214=0),IF(OR(AND(I214=0,NOT(EXACT(Raw_Passengers!F214,G214))),AND(J214=0,NOT(EXACT(Raw_Passengers!G214,H214)))),1,0),0)</f>
        <v>0</v>
      </c>
      <c r="L214" s="7">
        <f>IF(AND(C214=0,D214=0,I214=1),1,0)</f>
        <v>0</v>
      </c>
      <c r="M214" s="7">
        <f>IF(AND(C214=0,D214=0,J214=1),1,0)</f>
        <v>0</v>
      </c>
    </row>
    <row r="215" spans="1:13">
      <c r="A215" s="7">
        <f>Raw_Passengers!A215</f>
        <v>66523</v>
      </c>
      <c r="B215" s="7">
        <f>Raw_Passengers!B215</f>
        <v>1032942</v>
      </c>
      <c r="C215" s="7">
        <f>IF(COUNTIF(Raw_Passengers!$A$2:A215,Raw_Passengers!A215)&gt;1,1,0)</f>
        <v>0</v>
      </c>
      <c r="D215" s="7">
        <f>IF(COUNTIF(Raw_Bookings!$A$2:$A$648,Raw_Passengers!B215)=0,1,0)</f>
        <v>0</v>
      </c>
      <c r="E215" s="7">
        <f>IF(OR(C215=1,D215=1),0,IF(NOT(ISNUMBER(Raw_Passengers!E215)),1,IF(Raw_Passengers!E215&lt;=0,1,0)))</f>
        <v>0</v>
      </c>
      <c r="F215" s="7">
        <f>IF(AND(C215=0,D215=0,TRIM(Raw_Passengers!D215&amp;"")=""),1,0)</f>
        <v>0</v>
      </c>
      <c r="G215" s="7" t="str">
        <f>IF(SUMPRODUCT(--(Lookup_Status!$A$2:$A$13=LOWER(TRIM(Raw_Passengers!F215))))=0,"",INDEX(Lookup_Status!$B$2:$B$13,SUMPRODUCT((Lookup_Status!$A$2:$A$13=LOWER(TRIM(Raw_Passengers!F215)))*(ROW(Lookup_Status!$A$2:$A$13)-1))))</f>
        <v>Confirmed</v>
      </c>
      <c r="H215" s="7" t="str">
        <f>IF(SUMPRODUCT(--(Lookup_Status!$A$2:$A$13=LOWER(TRIM(Raw_Passengers!G215))))=0,"",INDEX(Lookup_Status!$B$2:$B$13,SUMPRODUCT((Lookup_Status!$A$2:$A$13=LOWER(TRIM(Raw_Passengers!G215)))*(ROW(Lookup_Status!$A$2:$A$13)-1))))</f>
        <v>Cancelled</v>
      </c>
      <c r="I215" s="7">
        <f>IF(OR(G215="",G215="Cancelled",G215="Mixed"),1,0)</f>
        <v>0</v>
      </c>
      <c r="J215" s="7">
        <f>IF(OR(H215="",H215="Mixed"),1,0)</f>
        <v>0</v>
      </c>
      <c r="K215" s="7">
        <f>IF(AND(C215=0,D215=0),IF(OR(AND(I215=0,NOT(EXACT(Raw_Passengers!F215,G215))),AND(J215=0,NOT(EXACT(Raw_Passengers!G215,H215)))),1,0),0)</f>
        <v>0</v>
      </c>
      <c r="L215" s="7">
        <f>IF(AND(C215=0,D215=0,I215=1),1,0)</f>
        <v>0</v>
      </c>
      <c r="M215" s="7">
        <f>IF(AND(C215=0,D215=0,J215=1),1,0)</f>
        <v>0</v>
      </c>
    </row>
    <row r="216" spans="1:13">
      <c r="A216" s="7">
        <f>Raw_Passengers!A216</f>
        <v>66524</v>
      </c>
      <c r="B216" s="7">
        <f>Raw_Passengers!B216</f>
        <v>1032942</v>
      </c>
      <c r="C216" s="7">
        <f>IF(COUNTIF(Raw_Passengers!$A$2:A216,Raw_Passengers!A216)&gt;1,1,0)</f>
        <v>0</v>
      </c>
      <c r="D216" s="7">
        <f>IF(COUNTIF(Raw_Bookings!$A$2:$A$648,Raw_Passengers!B216)=0,1,0)</f>
        <v>0</v>
      </c>
      <c r="E216" s="7">
        <f>IF(OR(C216=1,D216=1),0,IF(NOT(ISNUMBER(Raw_Passengers!E216)),1,IF(Raw_Passengers!E216&lt;=0,1,0)))</f>
        <v>0</v>
      </c>
      <c r="F216" s="7">
        <f>IF(AND(C216=0,D216=0,TRIM(Raw_Passengers!D216&amp;"")=""),1,0)</f>
        <v>0</v>
      </c>
      <c r="G216" s="7" t="str">
        <f>IF(SUMPRODUCT(--(Lookup_Status!$A$2:$A$13=LOWER(TRIM(Raw_Passengers!F216))))=0,"",INDEX(Lookup_Status!$B$2:$B$13,SUMPRODUCT((Lookup_Status!$A$2:$A$13=LOWER(TRIM(Raw_Passengers!F216)))*(ROW(Lookup_Status!$A$2:$A$13)-1))))</f>
        <v>Confirmed</v>
      </c>
      <c r="H216" s="7" t="str">
        <f>IF(SUMPRODUCT(--(Lookup_Status!$A$2:$A$13=LOWER(TRIM(Raw_Passengers!G216))))=0,"",INDEX(Lookup_Status!$B$2:$B$13,SUMPRODUCT((Lookup_Status!$A$2:$A$13=LOWER(TRIM(Raw_Passengers!G216)))*(ROW(Lookup_Status!$A$2:$A$13)-1))))</f>
        <v>Cancelled</v>
      </c>
      <c r="I216" s="7">
        <f>IF(OR(G216="",G216="Cancelled",G216="Mixed"),1,0)</f>
        <v>0</v>
      </c>
      <c r="J216" s="7">
        <f>IF(OR(H216="",H216="Mixed"),1,0)</f>
        <v>0</v>
      </c>
      <c r="K216" s="7">
        <f>IF(AND(C216=0,D216=0),IF(OR(AND(I216=0,NOT(EXACT(Raw_Passengers!F216,G216))),AND(J216=0,NOT(EXACT(Raw_Passengers!G216,H216)))),1,0),0)</f>
        <v>0</v>
      </c>
      <c r="L216" s="7">
        <f>IF(AND(C216=0,D216=0,I216=1),1,0)</f>
        <v>0</v>
      </c>
      <c r="M216" s="7">
        <f>IF(AND(C216=0,D216=0,J216=1),1,0)</f>
        <v>0</v>
      </c>
    </row>
    <row r="217" spans="1:13">
      <c r="A217" s="7">
        <f>Raw_Passengers!A217</f>
        <v>66963</v>
      </c>
      <c r="B217" s="7">
        <f>Raw_Passengers!B217</f>
        <v>1033170</v>
      </c>
      <c r="C217" s="7">
        <f>IF(COUNTIF(Raw_Passengers!$A$2:A217,Raw_Passengers!A217)&gt;1,1,0)</f>
        <v>0</v>
      </c>
      <c r="D217" s="7">
        <f>IF(COUNTIF(Raw_Bookings!$A$2:$A$648,Raw_Passengers!B217)=0,1,0)</f>
        <v>0</v>
      </c>
      <c r="E217" s="7">
        <f>IF(OR(C217=1,D217=1),0,IF(NOT(ISNUMBER(Raw_Passengers!E217)),1,IF(Raw_Passengers!E217&lt;=0,1,0)))</f>
        <v>0</v>
      </c>
      <c r="F217" s="7">
        <f>IF(AND(C217=0,D217=0,TRIM(Raw_Passengers!D217&amp;"")=""),1,0)</f>
        <v>0</v>
      </c>
      <c r="G217" s="7" t="str">
        <f>IF(SUMPRODUCT(--(Lookup_Status!$A$2:$A$13=LOWER(TRIM(Raw_Passengers!F217))))=0,"",INDEX(Lookup_Status!$B$2:$B$13,SUMPRODUCT((Lookup_Status!$A$2:$A$13=LOWER(TRIM(Raw_Passengers!F217)))*(ROW(Lookup_Status!$A$2:$A$13)-1))))</f>
        <v>Confirmed</v>
      </c>
      <c r="H217" s="7" t="str">
        <f>IF(SUMPRODUCT(--(Lookup_Status!$A$2:$A$13=LOWER(TRIM(Raw_Passengers!G217))))=0,"",INDEX(Lookup_Status!$B$2:$B$13,SUMPRODUCT((Lookup_Status!$A$2:$A$13=LOWER(TRIM(Raw_Passengers!G217)))*(ROW(Lookup_Status!$A$2:$A$13)-1))))</f>
        <v>Confirmed</v>
      </c>
      <c r="I217" s="7">
        <f>IF(OR(G217="",G217="Cancelled",G217="Mixed"),1,0)</f>
        <v>0</v>
      </c>
      <c r="J217" s="7">
        <f>IF(OR(H217="",H217="Mixed"),1,0)</f>
        <v>0</v>
      </c>
      <c r="K217" s="7">
        <f>IF(AND(C217=0,D217=0),IF(OR(AND(I217=0,NOT(EXACT(Raw_Passengers!F217,G217))),AND(J217=0,NOT(EXACT(Raw_Passengers!G217,H217)))),1,0),0)</f>
        <v>0</v>
      </c>
      <c r="L217" s="7">
        <f>IF(AND(C217=0,D217=0,I217=1),1,0)</f>
        <v>0</v>
      </c>
      <c r="M217" s="7">
        <f>IF(AND(C217=0,D217=0,J217=1),1,0)</f>
        <v>0</v>
      </c>
    </row>
    <row r="218" spans="1:13">
      <c r="A218" s="7">
        <f>Raw_Passengers!A218</f>
        <v>66964</v>
      </c>
      <c r="B218" s="7">
        <f>Raw_Passengers!B218</f>
        <v>1033170</v>
      </c>
      <c r="C218" s="7">
        <f>IF(COUNTIF(Raw_Passengers!$A$2:A218,Raw_Passengers!A218)&gt;1,1,0)</f>
        <v>0</v>
      </c>
      <c r="D218" s="7">
        <f>IF(COUNTIF(Raw_Bookings!$A$2:$A$648,Raw_Passengers!B218)=0,1,0)</f>
        <v>0</v>
      </c>
      <c r="E218" s="7">
        <f>IF(OR(C218=1,D218=1),0,IF(NOT(ISNUMBER(Raw_Passengers!E218)),1,IF(Raw_Passengers!E218&lt;=0,1,0)))</f>
        <v>0</v>
      </c>
      <c r="F218" s="7">
        <f>IF(AND(C218=0,D218=0,TRIM(Raw_Passengers!D218&amp;"")=""),1,0)</f>
        <v>0</v>
      </c>
      <c r="G218" s="7" t="str">
        <f>IF(SUMPRODUCT(--(Lookup_Status!$A$2:$A$13=LOWER(TRIM(Raw_Passengers!F218))))=0,"",INDEX(Lookup_Status!$B$2:$B$13,SUMPRODUCT((Lookup_Status!$A$2:$A$13=LOWER(TRIM(Raw_Passengers!F218)))*(ROW(Lookup_Status!$A$2:$A$13)-1))))</f>
        <v>Confirmed</v>
      </c>
      <c r="H218" s="7" t="str">
        <f>IF(SUMPRODUCT(--(Lookup_Status!$A$2:$A$13=LOWER(TRIM(Raw_Passengers!G218))))=0,"",INDEX(Lookup_Status!$B$2:$B$13,SUMPRODUCT((Lookup_Status!$A$2:$A$13=LOWER(TRIM(Raw_Passengers!G218)))*(ROW(Lookup_Status!$A$2:$A$13)-1))))</f>
        <v>Confirmed</v>
      </c>
      <c r="I218" s="7">
        <f>IF(OR(G218="",G218="Cancelled",G218="Mixed"),1,0)</f>
        <v>0</v>
      </c>
      <c r="J218" s="7">
        <f>IF(OR(H218="",H218="Mixed"),1,0)</f>
        <v>0</v>
      </c>
      <c r="K218" s="7">
        <f>IF(AND(C218=0,D218=0),IF(OR(AND(I218=0,NOT(EXACT(Raw_Passengers!F218,G218))),AND(J218=0,NOT(EXACT(Raw_Passengers!G218,H218)))),1,0),0)</f>
        <v>0</v>
      </c>
      <c r="L218" s="7">
        <f>IF(AND(C218=0,D218=0,I218=1),1,0)</f>
        <v>0</v>
      </c>
      <c r="M218" s="7">
        <f>IF(AND(C218=0,D218=0,J218=1),1,0)</f>
        <v>0</v>
      </c>
    </row>
    <row r="219" spans="1:13">
      <c r="A219" s="7">
        <f>Raw_Passengers!A219</f>
        <v>66965</v>
      </c>
      <c r="B219" s="7">
        <f>Raw_Passengers!B219</f>
        <v>1033170</v>
      </c>
      <c r="C219" s="7">
        <f>IF(COUNTIF(Raw_Passengers!$A$2:A219,Raw_Passengers!A219)&gt;1,1,0)</f>
        <v>0</v>
      </c>
      <c r="D219" s="7">
        <f>IF(COUNTIF(Raw_Bookings!$A$2:$A$648,Raw_Passengers!B219)=0,1,0)</f>
        <v>0</v>
      </c>
      <c r="E219" s="7">
        <f>IF(OR(C219=1,D219=1),0,IF(NOT(ISNUMBER(Raw_Passengers!E219)),1,IF(Raw_Passengers!E219&lt;=0,1,0)))</f>
        <v>0</v>
      </c>
      <c r="F219" s="7">
        <f>IF(AND(C219=0,D219=0,TRIM(Raw_Passengers!D219&amp;"")=""),1,0)</f>
        <v>0</v>
      </c>
      <c r="G219" s="7" t="str">
        <f>IF(SUMPRODUCT(--(Lookup_Status!$A$2:$A$13=LOWER(TRIM(Raw_Passengers!F219))))=0,"",INDEX(Lookup_Status!$B$2:$B$13,SUMPRODUCT((Lookup_Status!$A$2:$A$13=LOWER(TRIM(Raw_Passengers!F219)))*(ROW(Lookup_Status!$A$2:$A$13)-1))))</f>
        <v>Confirmed</v>
      </c>
      <c r="H219" s="7" t="str">
        <f>IF(SUMPRODUCT(--(Lookup_Status!$A$2:$A$13=LOWER(TRIM(Raw_Passengers!G219))))=0,"",INDEX(Lookup_Status!$B$2:$B$13,SUMPRODUCT((Lookup_Status!$A$2:$A$13=LOWER(TRIM(Raw_Passengers!G219)))*(ROW(Lookup_Status!$A$2:$A$13)-1))))</f>
        <v>Confirmed</v>
      </c>
      <c r="I219" s="7">
        <f>IF(OR(G219="",G219="Cancelled",G219="Mixed"),1,0)</f>
        <v>0</v>
      </c>
      <c r="J219" s="7">
        <f>IF(OR(H219="",H219="Mixed"),1,0)</f>
        <v>0</v>
      </c>
      <c r="K219" s="7">
        <f>IF(AND(C219=0,D219=0),IF(OR(AND(I219=0,NOT(EXACT(Raw_Passengers!F219,G219))),AND(J219=0,NOT(EXACT(Raw_Passengers!G219,H219)))),1,0),0)</f>
        <v>0</v>
      </c>
      <c r="L219" s="7">
        <f>IF(AND(C219=0,D219=0,I219=1),1,0)</f>
        <v>0</v>
      </c>
      <c r="M219" s="7">
        <f>IF(AND(C219=0,D219=0,J219=1),1,0)</f>
        <v>0</v>
      </c>
    </row>
    <row r="220" spans="1:13">
      <c r="A220" s="7">
        <f>Raw_Passengers!A220</f>
        <v>66966</v>
      </c>
      <c r="B220" s="7">
        <f>Raw_Passengers!B220</f>
        <v>1033170</v>
      </c>
      <c r="C220" s="7">
        <f>IF(COUNTIF(Raw_Passengers!$A$2:A220,Raw_Passengers!A220)&gt;1,1,0)</f>
        <v>0</v>
      </c>
      <c r="D220" s="7">
        <f>IF(COUNTIF(Raw_Bookings!$A$2:$A$648,Raw_Passengers!B220)=0,1,0)</f>
        <v>0</v>
      </c>
      <c r="E220" s="7">
        <f>IF(OR(C220=1,D220=1),0,IF(NOT(ISNUMBER(Raw_Passengers!E220)),1,IF(Raw_Passengers!E220&lt;=0,1,0)))</f>
        <v>0</v>
      </c>
      <c r="F220" s="7">
        <f>IF(AND(C220=0,D220=0,TRIM(Raw_Passengers!D220&amp;"")=""),1,0)</f>
        <v>0</v>
      </c>
      <c r="G220" s="7" t="str">
        <f>IF(SUMPRODUCT(--(Lookup_Status!$A$2:$A$13=LOWER(TRIM(Raw_Passengers!F220))))=0,"",INDEX(Lookup_Status!$B$2:$B$13,SUMPRODUCT((Lookup_Status!$A$2:$A$13=LOWER(TRIM(Raw_Passengers!F220)))*(ROW(Lookup_Status!$A$2:$A$13)-1))))</f>
        <v>Confirmed</v>
      </c>
      <c r="H220" s="7" t="str">
        <f>IF(SUMPRODUCT(--(Lookup_Status!$A$2:$A$13=LOWER(TRIM(Raw_Passengers!G220))))=0,"",INDEX(Lookup_Status!$B$2:$B$13,SUMPRODUCT((Lookup_Status!$A$2:$A$13=LOWER(TRIM(Raw_Passengers!G220)))*(ROW(Lookup_Status!$A$2:$A$13)-1))))</f>
        <v>Confirmed</v>
      </c>
      <c r="I220" s="7">
        <f>IF(OR(G220="",G220="Cancelled",G220="Mixed"),1,0)</f>
        <v>0</v>
      </c>
      <c r="J220" s="7">
        <f>IF(OR(H220="",H220="Mixed"),1,0)</f>
        <v>0</v>
      </c>
      <c r="K220" s="7">
        <f>IF(AND(C220=0,D220=0),IF(OR(AND(I220=0,NOT(EXACT(Raw_Passengers!F220,G220))),AND(J220=0,NOT(EXACT(Raw_Passengers!G220,H220)))),1,0),0)</f>
        <v>0</v>
      </c>
      <c r="L220" s="7">
        <f>IF(AND(C220=0,D220=0,I220=1),1,0)</f>
        <v>0</v>
      </c>
      <c r="M220" s="7">
        <f>IF(AND(C220=0,D220=0,J220=1),1,0)</f>
        <v>0</v>
      </c>
    </row>
    <row r="221" spans="1:13">
      <c r="A221" s="7">
        <f>Raw_Passengers!A221</f>
        <v>66967</v>
      </c>
      <c r="B221" s="7">
        <f>Raw_Passengers!B221</f>
        <v>1033170</v>
      </c>
      <c r="C221" s="7">
        <f>IF(COUNTIF(Raw_Passengers!$A$2:A221,Raw_Passengers!A221)&gt;1,1,0)</f>
        <v>0</v>
      </c>
      <c r="D221" s="7">
        <f>IF(COUNTIF(Raw_Bookings!$A$2:$A$648,Raw_Passengers!B221)=0,1,0)</f>
        <v>0</v>
      </c>
      <c r="E221" s="7">
        <f>IF(OR(C221=1,D221=1),0,IF(NOT(ISNUMBER(Raw_Passengers!E221)),1,IF(Raw_Passengers!E221&lt;=0,1,0)))</f>
        <v>0</v>
      </c>
      <c r="F221" s="7">
        <f>IF(AND(C221=0,D221=0,TRIM(Raw_Passengers!D221&amp;"")=""),1,0)</f>
        <v>0</v>
      </c>
      <c r="G221" s="7" t="str">
        <f>IF(SUMPRODUCT(--(Lookup_Status!$A$2:$A$13=LOWER(TRIM(Raw_Passengers!F221))))=0,"",INDEX(Lookup_Status!$B$2:$B$13,SUMPRODUCT((Lookup_Status!$A$2:$A$13=LOWER(TRIM(Raw_Passengers!F221)))*(ROW(Lookup_Status!$A$2:$A$13)-1))))</f>
        <v>Confirmed</v>
      </c>
      <c r="H221" s="7" t="str">
        <f>IF(SUMPRODUCT(--(Lookup_Status!$A$2:$A$13=LOWER(TRIM(Raw_Passengers!G221))))=0,"",INDEX(Lookup_Status!$B$2:$B$13,SUMPRODUCT((Lookup_Status!$A$2:$A$13=LOWER(TRIM(Raw_Passengers!G221)))*(ROW(Lookup_Status!$A$2:$A$13)-1))))</f>
        <v>Confirmed</v>
      </c>
      <c r="I221" s="7">
        <f>IF(OR(G221="",G221="Cancelled",G221="Mixed"),1,0)</f>
        <v>0</v>
      </c>
      <c r="J221" s="7">
        <f>IF(OR(H221="",H221="Mixed"),1,0)</f>
        <v>0</v>
      </c>
      <c r="K221" s="7">
        <f>IF(AND(C221=0,D221=0),IF(OR(AND(I221=0,NOT(EXACT(Raw_Passengers!F221,G221))),AND(J221=0,NOT(EXACT(Raw_Passengers!G221,H221)))),1,0),0)</f>
        <v>0</v>
      </c>
      <c r="L221" s="7">
        <f>IF(AND(C221=0,D221=0,I221=1),1,0)</f>
        <v>0</v>
      </c>
      <c r="M221" s="7">
        <f>IF(AND(C221=0,D221=0,J221=1),1,0)</f>
        <v>0</v>
      </c>
    </row>
    <row r="222" spans="1:13">
      <c r="A222" s="7">
        <f>Raw_Passengers!A222</f>
        <v>66968</v>
      </c>
      <c r="B222" s="7">
        <f>Raw_Passengers!B222</f>
        <v>1033170</v>
      </c>
      <c r="C222" s="7">
        <f>IF(COUNTIF(Raw_Passengers!$A$2:A222,Raw_Passengers!A222)&gt;1,1,0)</f>
        <v>0</v>
      </c>
      <c r="D222" s="7">
        <f>IF(COUNTIF(Raw_Bookings!$A$2:$A$648,Raw_Passengers!B222)=0,1,0)</f>
        <v>0</v>
      </c>
      <c r="E222" s="7">
        <f>IF(OR(C222=1,D222=1),0,IF(NOT(ISNUMBER(Raw_Passengers!E222)),1,IF(Raw_Passengers!E222&lt;=0,1,0)))</f>
        <v>0</v>
      </c>
      <c r="F222" s="7">
        <f>IF(AND(C222=0,D222=0,TRIM(Raw_Passengers!D222&amp;"")=""),1,0)</f>
        <v>0</v>
      </c>
      <c r="G222" s="7" t="str">
        <f>IF(SUMPRODUCT(--(Lookup_Status!$A$2:$A$13=LOWER(TRIM(Raw_Passengers!F222))))=0,"",INDEX(Lookup_Status!$B$2:$B$13,SUMPRODUCT((Lookup_Status!$A$2:$A$13=LOWER(TRIM(Raw_Passengers!F222)))*(ROW(Lookup_Status!$A$2:$A$13)-1))))</f>
        <v>Confirmed</v>
      </c>
      <c r="H222" s="7" t="str">
        <f>IF(SUMPRODUCT(--(Lookup_Status!$A$2:$A$13=LOWER(TRIM(Raw_Passengers!G222))))=0,"",INDEX(Lookup_Status!$B$2:$B$13,SUMPRODUCT((Lookup_Status!$A$2:$A$13=LOWER(TRIM(Raw_Passengers!G222)))*(ROW(Lookup_Status!$A$2:$A$13)-1))))</f>
        <v>Confirmed</v>
      </c>
      <c r="I222" s="7">
        <f>IF(OR(G222="",G222="Cancelled",G222="Mixed"),1,0)</f>
        <v>0</v>
      </c>
      <c r="J222" s="7">
        <f>IF(OR(H222="",H222="Mixed"),1,0)</f>
        <v>0</v>
      </c>
      <c r="K222" s="7">
        <f>IF(AND(C222=0,D222=0),IF(OR(AND(I222=0,NOT(EXACT(Raw_Passengers!F222,G222))),AND(J222=0,NOT(EXACT(Raw_Passengers!G222,H222)))),1,0),0)</f>
        <v>0</v>
      </c>
      <c r="L222" s="7">
        <f>IF(AND(C222=0,D222=0,I222=1),1,0)</f>
        <v>0</v>
      </c>
      <c r="M222" s="7">
        <f>IF(AND(C222=0,D222=0,J222=1),1,0)</f>
        <v>0</v>
      </c>
    </row>
    <row r="223" spans="1:13">
      <c r="A223" s="7">
        <f>Raw_Passengers!A223</f>
        <v>67335</v>
      </c>
      <c r="B223" s="7">
        <f>Raw_Passengers!B223</f>
        <v>1033359</v>
      </c>
      <c r="C223" s="7">
        <f>IF(COUNTIF(Raw_Passengers!$A$2:A223,Raw_Passengers!A223)&gt;1,1,0)</f>
        <v>0</v>
      </c>
      <c r="D223" s="7">
        <f>IF(COUNTIF(Raw_Bookings!$A$2:$A$648,Raw_Passengers!B223)=0,1,0)</f>
        <v>0</v>
      </c>
      <c r="E223" s="7">
        <f>IF(OR(C223=1,D223=1),0,IF(NOT(ISNUMBER(Raw_Passengers!E223)),1,IF(Raw_Passengers!E223&lt;=0,1,0)))</f>
        <v>0</v>
      </c>
      <c r="F223" s="7">
        <f>IF(AND(C223=0,D223=0,TRIM(Raw_Passengers!D223&amp;"")=""),1,0)</f>
        <v>0</v>
      </c>
      <c r="G223" s="7" t="str">
        <f>IF(SUMPRODUCT(--(Lookup_Status!$A$2:$A$13=LOWER(TRIM(Raw_Passengers!F223))))=0,"",INDEX(Lookup_Status!$B$2:$B$13,SUMPRODUCT((Lookup_Status!$A$2:$A$13=LOWER(TRIM(Raw_Passengers!F223)))*(ROW(Lookup_Status!$A$2:$A$13)-1))))</f>
        <v>Confirmed</v>
      </c>
      <c r="H223" s="7" t="str">
        <f>IF(SUMPRODUCT(--(Lookup_Status!$A$2:$A$13=LOWER(TRIM(Raw_Passengers!G223))))=0,"",INDEX(Lookup_Status!$B$2:$B$13,SUMPRODUCT((Lookup_Status!$A$2:$A$13=LOWER(TRIM(Raw_Passengers!G223)))*(ROW(Lookup_Status!$A$2:$A$13)-1))))</f>
        <v>Confirmed</v>
      </c>
      <c r="I223" s="7">
        <f>IF(OR(G223="",G223="Cancelled",G223="Mixed"),1,0)</f>
        <v>0</v>
      </c>
      <c r="J223" s="7">
        <f>IF(OR(H223="",H223="Mixed"),1,0)</f>
        <v>0</v>
      </c>
      <c r="K223" s="7">
        <f>IF(AND(C223=0,D223=0),IF(OR(AND(I223=0,NOT(EXACT(Raw_Passengers!F223,G223))),AND(J223=0,NOT(EXACT(Raw_Passengers!G223,H223)))),1,0),0)</f>
        <v>0</v>
      </c>
      <c r="L223" s="7">
        <f>IF(AND(C223=0,D223=0,I223=1),1,0)</f>
        <v>0</v>
      </c>
      <c r="M223" s="7">
        <f>IF(AND(C223=0,D223=0,J223=1),1,0)</f>
        <v>0</v>
      </c>
    </row>
    <row r="224" spans="1:13">
      <c r="A224" s="7">
        <f>Raw_Passengers!A224</f>
        <v>67816</v>
      </c>
      <c r="B224" s="7">
        <f>Raw_Passengers!B224</f>
        <v>1033617</v>
      </c>
      <c r="C224" s="7">
        <f>IF(COUNTIF(Raw_Passengers!$A$2:A224,Raw_Passengers!A224)&gt;1,1,0)</f>
        <v>0</v>
      </c>
      <c r="D224" s="7">
        <f>IF(COUNTIF(Raw_Bookings!$A$2:$A$648,Raw_Passengers!B224)=0,1,0)</f>
        <v>0</v>
      </c>
      <c r="E224" s="7">
        <f>IF(OR(C224=1,D224=1),0,IF(NOT(ISNUMBER(Raw_Passengers!E224)),1,IF(Raw_Passengers!E224&lt;=0,1,0)))</f>
        <v>0</v>
      </c>
      <c r="F224" s="7">
        <f>IF(AND(C224=0,D224=0,TRIM(Raw_Passengers!D224&amp;"")=""),1,0)</f>
        <v>0</v>
      </c>
      <c r="G224" s="7" t="str">
        <f>IF(SUMPRODUCT(--(Lookup_Status!$A$2:$A$13=LOWER(TRIM(Raw_Passengers!F224))))=0,"",INDEX(Lookup_Status!$B$2:$B$13,SUMPRODUCT((Lookup_Status!$A$2:$A$13=LOWER(TRIM(Raw_Passengers!F224)))*(ROW(Lookup_Status!$A$2:$A$13)-1))))</f>
        <v>Confirmed</v>
      </c>
      <c r="H224" s="7" t="str">
        <f>IF(SUMPRODUCT(--(Lookup_Status!$A$2:$A$13=LOWER(TRIM(Raw_Passengers!G224))))=0,"",INDEX(Lookup_Status!$B$2:$B$13,SUMPRODUCT((Lookup_Status!$A$2:$A$13=LOWER(TRIM(Raw_Passengers!G224)))*(ROW(Lookup_Status!$A$2:$A$13)-1))))</f>
        <v>Confirmed</v>
      </c>
      <c r="I224" s="7">
        <f>IF(OR(G224="",G224="Cancelled",G224="Mixed"),1,0)</f>
        <v>0</v>
      </c>
      <c r="J224" s="7">
        <f>IF(OR(H224="",H224="Mixed"),1,0)</f>
        <v>0</v>
      </c>
      <c r="K224" s="7">
        <f>IF(AND(C224=0,D224=0),IF(OR(AND(I224=0,NOT(EXACT(Raw_Passengers!F224,G224))),AND(J224=0,NOT(EXACT(Raw_Passengers!G224,H224)))),1,0),0)</f>
        <v>0</v>
      </c>
      <c r="L224" s="7">
        <f>IF(AND(C224=0,D224=0,I224=1),1,0)</f>
        <v>0</v>
      </c>
      <c r="M224" s="7">
        <f>IF(AND(C224=0,D224=0,J224=1),1,0)</f>
        <v>0</v>
      </c>
    </row>
    <row r="225" spans="1:13">
      <c r="A225" s="7">
        <f>Raw_Passengers!A225</f>
        <v>67817</v>
      </c>
      <c r="B225" s="7">
        <f>Raw_Passengers!B225</f>
        <v>1033617</v>
      </c>
      <c r="C225" s="7">
        <f>IF(COUNTIF(Raw_Passengers!$A$2:A225,Raw_Passengers!A225)&gt;1,1,0)</f>
        <v>0</v>
      </c>
      <c r="D225" s="7">
        <f>IF(COUNTIF(Raw_Bookings!$A$2:$A$648,Raw_Passengers!B225)=0,1,0)</f>
        <v>0</v>
      </c>
      <c r="E225" s="7">
        <f>IF(OR(C225=1,D225=1),0,IF(NOT(ISNUMBER(Raw_Passengers!E225)),1,IF(Raw_Passengers!E225&lt;=0,1,0)))</f>
        <v>0</v>
      </c>
      <c r="F225" s="7">
        <f>IF(AND(C225=0,D225=0,TRIM(Raw_Passengers!D225&amp;"")=""),1,0)</f>
        <v>0</v>
      </c>
      <c r="G225" s="7" t="str">
        <f>IF(SUMPRODUCT(--(Lookup_Status!$A$2:$A$13=LOWER(TRIM(Raw_Passengers!F225))))=0,"",INDEX(Lookup_Status!$B$2:$B$13,SUMPRODUCT((Lookup_Status!$A$2:$A$13=LOWER(TRIM(Raw_Passengers!F225)))*(ROW(Lookup_Status!$A$2:$A$13)-1))))</f>
        <v>Confirmed</v>
      </c>
      <c r="H225" s="7" t="str">
        <f>IF(SUMPRODUCT(--(Lookup_Status!$A$2:$A$13=LOWER(TRIM(Raw_Passengers!G225))))=0,"",INDEX(Lookup_Status!$B$2:$B$13,SUMPRODUCT((Lookup_Status!$A$2:$A$13=LOWER(TRIM(Raw_Passengers!G225)))*(ROW(Lookup_Status!$A$2:$A$13)-1))))</f>
        <v>Confirmed</v>
      </c>
      <c r="I225" s="7">
        <f>IF(OR(G225="",G225="Cancelled",G225="Mixed"),1,0)</f>
        <v>0</v>
      </c>
      <c r="J225" s="7">
        <f>IF(OR(H225="",H225="Mixed"),1,0)</f>
        <v>0</v>
      </c>
      <c r="K225" s="7">
        <f>IF(AND(C225=0,D225=0),IF(OR(AND(I225=0,NOT(EXACT(Raw_Passengers!F225,G225))),AND(J225=0,NOT(EXACT(Raw_Passengers!G225,H225)))),1,0),0)</f>
        <v>0</v>
      </c>
      <c r="L225" s="7">
        <f>IF(AND(C225=0,D225=0,I225=1),1,0)</f>
        <v>0</v>
      </c>
      <c r="M225" s="7">
        <f>IF(AND(C225=0,D225=0,J225=1),1,0)</f>
        <v>0</v>
      </c>
    </row>
    <row r="226" spans="1:13">
      <c r="A226" s="7">
        <f>Raw_Passengers!A226</f>
        <v>67919</v>
      </c>
      <c r="B226" s="7">
        <f>Raw_Passengers!B226</f>
        <v>1033662</v>
      </c>
      <c r="C226" s="7">
        <f>IF(COUNTIF(Raw_Passengers!$A$2:A226,Raw_Passengers!A226)&gt;1,1,0)</f>
        <v>0</v>
      </c>
      <c r="D226" s="7">
        <f>IF(COUNTIF(Raw_Bookings!$A$2:$A$648,Raw_Passengers!B226)=0,1,0)</f>
        <v>0</v>
      </c>
      <c r="E226" s="7">
        <f>IF(OR(C226=1,D226=1),0,IF(NOT(ISNUMBER(Raw_Passengers!E226)),1,IF(Raw_Passengers!E226&lt;=0,1,0)))</f>
        <v>0</v>
      </c>
      <c r="F226" s="7">
        <f>IF(AND(C226=0,D226=0,TRIM(Raw_Passengers!D226&amp;"")=""),1,0)</f>
        <v>0</v>
      </c>
      <c r="G226" s="7" t="str">
        <f>IF(SUMPRODUCT(--(Lookup_Status!$A$2:$A$13=LOWER(TRIM(Raw_Passengers!F226))))=0,"",INDEX(Lookup_Status!$B$2:$B$13,SUMPRODUCT((Lookup_Status!$A$2:$A$13=LOWER(TRIM(Raw_Passengers!F226)))*(ROW(Lookup_Status!$A$2:$A$13)-1))))</f>
        <v>Confirmed</v>
      </c>
      <c r="H226" s="7" t="str">
        <f>IF(SUMPRODUCT(--(Lookup_Status!$A$2:$A$13=LOWER(TRIM(Raw_Passengers!G226))))=0,"",INDEX(Lookup_Status!$B$2:$B$13,SUMPRODUCT((Lookup_Status!$A$2:$A$13=LOWER(TRIM(Raw_Passengers!G226)))*(ROW(Lookup_Status!$A$2:$A$13)-1))))</f>
        <v>Confirmed</v>
      </c>
      <c r="I226" s="7">
        <f>IF(OR(G226="",G226="Cancelled",G226="Mixed"),1,0)</f>
        <v>0</v>
      </c>
      <c r="J226" s="7">
        <f>IF(OR(H226="",H226="Mixed"),1,0)</f>
        <v>0</v>
      </c>
      <c r="K226" s="7">
        <f>IF(AND(C226=0,D226=0),IF(OR(AND(I226=0,NOT(EXACT(Raw_Passengers!F226,G226))),AND(J226=0,NOT(EXACT(Raw_Passengers!G226,H226)))),1,0),0)</f>
        <v>0</v>
      </c>
      <c r="L226" s="7">
        <f>IF(AND(C226=0,D226=0,I226=1),1,0)</f>
        <v>0</v>
      </c>
      <c r="M226" s="7">
        <f>IF(AND(C226=0,D226=0,J226=1),1,0)</f>
        <v>0</v>
      </c>
    </row>
    <row r="227" spans="1:13">
      <c r="A227" s="7">
        <f>Raw_Passengers!A227</f>
        <v>68311</v>
      </c>
      <c r="B227" s="7">
        <f>Raw_Passengers!B227</f>
        <v>1033852</v>
      </c>
      <c r="C227" s="7">
        <f>IF(COUNTIF(Raw_Passengers!$A$2:A227,Raw_Passengers!A227)&gt;1,1,0)</f>
        <v>0</v>
      </c>
      <c r="D227" s="7">
        <f>IF(COUNTIF(Raw_Bookings!$A$2:$A$648,Raw_Passengers!B227)=0,1,0)</f>
        <v>0</v>
      </c>
      <c r="E227" s="7">
        <f>IF(OR(C227=1,D227=1),0,IF(NOT(ISNUMBER(Raw_Passengers!E227)),1,IF(Raw_Passengers!E227&lt;=0,1,0)))</f>
        <v>0</v>
      </c>
      <c r="F227" s="7">
        <f>IF(AND(C227=0,D227=0,TRIM(Raw_Passengers!D227&amp;"")=""),1,0)</f>
        <v>0</v>
      </c>
      <c r="G227" s="7" t="str">
        <f>IF(SUMPRODUCT(--(Lookup_Status!$A$2:$A$13=LOWER(TRIM(Raw_Passengers!F227))))=0,"",INDEX(Lookup_Status!$B$2:$B$13,SUMPRODUCT((Lookup_Status!$A$2:$A$13=LOWER(TRIM(Raw_Passengers!F227)))*(ROW(Lookup_Status!$A$2:$A$13)-1))))</f>
        <v>RAC</v>
      </c>
      <c r="H227" s="7" t="str">
        <f>IF(SUMPRODUCT(--(Lookup_Status!$A$2:$A$13=LOWER(TRIM(Raw_Passengers!G227))))=0,"",INDEX(Lookup_Status!$B$2:$B$13,SUMPRODUCT((Lookup_Status!$A$2:$A$13=LOWER(TRIM(Raw_Passengers!G227)))*(ROW(Lookup_Status!$A$2:$A$13)-1))))</f>
        <v>RAC</v>
      </c>
      <c r="I227" s="7">
        <f>IF(OR(G227="",G227="Cancelled",G227="Mixed"),1,0)</f>
        <v>0</v>
      </c>
      <c r="J227" s="7">
        <f>IF(OR(H227="",H227="Mixed"),1,0)</f>
        <v>0</v>
      </c>
      <c r="K227" s="7">
        <f>IF(AND(C227=0,D227=0),IF(OR(AND(I227=0,NOT(EXACT(Raw_Passengers!F227,G227))),AND(J227=0,NOT(EXACT(Raw_Passengers!G227,H227)))),1,0),0)</f>
        <v>0</v>
      </c>
      <c r="L227" s="7">
        <f>IF(AND(C227=0,D227=0,I227=1),1,0)</f>
        <v>0</v>
      </c>
      <c r="M227" s="7">
        <f>IF(AND(C227=0,D227=0,J227=1),1,0)</f>
        <v>0</v>
      </c>
    </row>
    <row r="228" spans="1:13">
      <c r="A228" s="7">
        <f>Raw_Passengers!A228</f>
        <v>68479</v>
      </c>
      <c r="B228" s="7">
        <f>Raw_Passengers!B228</f>
        <v>1033943</v>
      </c>
      <c r="C228" s="7">
        <f>IF(COUNTIF(Raw_Passengers!$A$2:A228,Raw_Passengers!A228)&gt;1,1,0)</f>
        <v>0</v>
      </c>
      <c r="D228" s="7">
        <f>IF(COUNTIF(Raw_Bookings!$A$2:$A$648,Raw_Passengers!B228)=0,1,0)</f>
        <v>0</v>
      </c>
      <c r="E228" s="7">
        <f>IF(OR(C228=1,D228=1),0,IF(NOT(ISNUMBER(Raw_Passengers!E228)),1,IF(Raw_Passengers!E228&lt;=0,1,0)))</f>
        <v>0</v>
      </c>
      <c r="F228" s="7">
        <f>IF(AND(C228=0,D228=0,TRIM(Raw_Passengers!D228&amp;"")=""),1,0)</f>
        <v>0</v>
      </c>
      <c r="G228" s="7" t="str">
        <f>IF(SUMPRODUCT(--(Lookup_Status!$A$2:$A$13=LOWER(TRIM(Raw_Passengers!F228))))=0,"",INDEX(Lookup_Status!$B$2:$B$13,SUMPRODUCT((Lookup_Status!$A$2:$A$13=LOWER(TRIM(Raw_Passengers!F228)))*(ROW(Lookup_Status!$A$2:$A$13)-1))))</f>
        <v>RAC</v>
      </c>
      <c r="H228" s="7" t="str">
        <f>IF(SUMPRODUCT(--(Lookup_Status!$A$2:$A$13=LOWER(TRIM(Raw_Passengers!G228))))=0,"",INDEX(Lookup_Status!$B$2:$B$13,SUMPRODUCT((Lookup_Status!$A$2:$A$13=LOWER(TRIM(Raw_Passengers!G228)))*(ROW(Lookup_Status!$A$2:$A$13)-1))))</f>
        <v>Cancelled</v>
      </c>
      <c r="I228" s="7">
        <f>IF(OR(G228="",G228="Cancelled",G228="Mixed"),1,0)</f>
        <v>0</v>
      </c>
      <c r="J228" s="7">
        <f>IF(OR(H228="",H228="Mixed"),1,0)</f>
        <v>0</v>
      </c>
      <c r="K228" s="7">
        <f>IF(AND(C228=0,D228=0),IF(OR(AND(I228=0,NOT(EXACT(Raw_Passengers!F228,G228))),AND(J228=0,NOT(EXACT(Raw_Passengers!G228,H228)))),1,0),0)</f>
        <v>0</v>
      </c>
      <c r="L228" s="7">
        <f>IF(AND(C228=0,D228=0,I228=1),1,0)</f>
        <v>0</v>
      </c>
      <c r="M228" s="7">
        <f>IF(AND(C228=0,D228=0,J228=1),1,0)</f>
        <v>0</v>
      </c>
    </row>
    <row r="229" spans="1:13">
      <c r="A229" s="7">
        <f>Raw_Passengers!A229</f>
        <v>68480</v>
      </c>
      <c r="B229" s="7">
        <f>Raw_Passengers!B229</f>
        <v>1033943</v>
      </c>
      <c r="C229" s="7">
        <f>IF(COUNTIF(Raw_Passengers!$A$2:A229,Raw_Passengers!A229)&gt;1,1,0)</f>
        <v>0</v>
      </c>
      <c r="D229" s="7">
        <f>IF(COUNTIF(Raw_Bookings!$A$2:$A$648,Raw_Passengers!B229)=0,1,0)</f>
        <v>0</v>
      </c>
      <c r="E229" s="7">
        <f>IF(OR(C229=1,D229=1),0,IF(NOT(ISNUMBER(Raw_Passengers!E229)),1,IF(Raw_Passengers!E229&lt;=0,1,0)))</f>
        <v>0</v>
      </c>
      <c r="F229" s="7">
        <f>IF(AND(C229=0,D229=0,TRIM(Raw_Passengers!D229&amp;"")=""),1,0)</f>
        <v>0</v>
      </c>
      <c r="G229" s="7" t="str">
        <f>IF(SUMPRODUCT(--(Lookup_Status!$A$2:$A$13=LOWER(TRIM(Raw_Passengers!F229))))=0,"",INDEX(Lookup_Status!$B$2:$B$13,SUMPRODUCT((Lookup_Status!$A$2:$A$13=LOWER(TRIM(Raw_Passengers!F229)))*(ROW(Lookup_Status!$A$2:$A$13)-1))))</f>
        <v>RAC</v>
      </c>
      <c r="H229" s="7" t="str">
        <f>IF(SUMPRODUCT(--(Lookup_Status!$A$2:$A$13=LOWER(TRIM(Raw_Passengers!G229))))=0,"",INDEX(Lookup_Status!$B$2:$B$13,SUMPRODUCT((Lookup_Status!$A$2:$A$13=LOWER(TRIM(Raw_Passengers!G229)))*(ROW(Lookup_Status!$A$2:$A$13)-1))))</f>
        <v>Cancelled</v>
      </c>
      <c r="I229" s="7">
        <f>IF(OR(G229="",G229="Cancelled",G229="Mixed"),1,0)</f>
        <v>0</v>
      </c>
      <c r="J229" s="7">
        <f>IF(OR(H229="",H229="Mixed"),1,0)</f>
        <v>0</v>
      </c>
      <c r="K229" s="7">
        <f>IF(AND(C229=0,D229=0),IF(OR(AND(I229=0,NOT(EXACT(Raw_Passengers!F229,G229))),AND(J229=0,NOT(EXACT(Raw_Passengers!G229,H229)))),1,0),0)</f>
        <v>0</v>
      </c>
      <c r="L229" s="7">
        <f>IF(AND(C229=0,D229=0,I229=1),1,0)</f>
        <v>0</v>
      </c>
      <c r="M229" s="7">
        <f>IF(AND(C229=0,D229=0,J229=1),1,0)</f>
        <v>0</v>
      </c>
    </row>
    <row r="230" spans="1:13">
      <c r="A230" s="7">
        <f>Raw_Passengers!A230</f>
        <v>68500</v>
      </c>
      <c r="B230" s="7">
        <f>Raw_Passengers!B230</f>
        <v>1033952</v>
      </c>
      <c r="C230" s="7">
        <f>IF(COUNTIF(Raw_Passengers!$A$2:A230,Raw_Passengers!A230)&gt;1,1,0)</f>
        <v>0</v>
      </c>
      <c r="D230" s="7">
        <f>IF(COUNTIF(Raw_Bookings!$A$2:$A$648,Raw_Passengers!B230)=0,1,0)</f>
        <v>0</v>
      </c>
      <c r="E230" s="7">
        <f>IF(OR(C230=1,D230=1),0,IF(NOT(ISNUMBER(Raw_Passengers!E230)),1,IF(Raw_Passengers!E230&lt;=0,1,0)))</f>
        <v>0</v>
      </c>
      <c r="F230" s="7">
        <f>IF(AND(C230=0,D230=0,TRIM(Raw_Passengers!D230&amp;"")=""),1,0)</f>
        <v>0</v>
      </c>
      <c r="G230" s="7" t="str">
        <f>IF(SUMPRODUCT(--(Lookup_Status!$A$2:$A$13=LOWER(TRIM(Raw_Passengers!F230))))=0,"",INDEX(Lookup_Status!$B$2:$B$13,SUMPRODUCT((Lookup_Status!$A$2:$A$13=LOWER(TRIM(Raw_Passengers!F230)))*(ROW(Lookup_Status!$A$2:$A$13)-1))))</f>
        <v>Confirmed</v>
      </c>
      <c r="H230" s="7" t="str">
        <f>IF(SUMPRODUCT(--(Lookup_Status!$A$2:$A$13=LOWER(TRIM(Raw_Passengers!G230))))=0,"",INDEX(Lookup_Status!$B$2:$B$13,SUMPRODUCT((Lookup_Status!$A$2:$A$13=LOWER(TRIM(Raw_Passengers!G230)))*(ROW(Lookup_Status!$A$2:$A$13)-1))))</f>
        <v>Confirmed</v>
      </c>
      <c r="I230" s="7">
        <f>IF(OR(G230="",G230="Cancelled",G230="Mixed"),1,0)</f>
        <v>0</v>
      </c>
      <c r="J230" s="7">
        <f>IF(OR(H230="",H230="Mixed"),1,0)</f>
        <v>0</v>
      </c>
      <c r="K230" s="7">
        <f>IF(AND(C230=0,D230=0),IF(OR(AND(I230=0,NOT(EXACT(Raw_Passengers!F230,G230))),AND(J230=0,NOT(EXACT(Raw_Passengers!G230,H230)))),1,0),0)</f>
        <v>0</v>
      </c>
      <c r="L230" s="7">
        <f>IF(AND(C230=0,D230=0,I230=1),1,0)</f>
        <v>0</v>
      </c>
      <c r="M230" s="7">
        <f>IF(AND(C230=0,D230=0,J230=1),1,0)</f>
        <v>0</v>
      </c>
    </row>
    <row r="231" spans="1:13">
      <c r="A231" s="7">
        <f>Raw_Passengers!A231</f>
        <v>68501</v>
      </c>
      <c r="B231" s="7">
        <f>Raw_Passengers!B231</f>
        <v>1033952</v>
      </c>
      <c r="C231" s="7">
        <f>IF(COUNTIF(Raw_Passengers!$A$2:A231,Raw_Passengers!A231)&gt;1,1,0)</f>
        <v>0</v>
      </c>
      <c r="D231" s="7">
        <f>IF(COUNTIF(Raw_Bookings!$A$2:$A$648,Raw_Passengers!B231)=0,1,0)</f>
        <v>0</v>
      </c>
      <c r="E231" s="7">
        <f>IF(OR(C231=1,D231=1),0,IF(NOT(ISNUMBER(Raw_Passengers!E231)),1,IF(Raw_Passengers!E231&lt;=0,1,0)))</f>
        <v>0</v>
      </c>
      <c r="F231" s="7">
        <f>IF(AND(C231=0,D231=0,TRIM(Raw_Passengers!D231&amp;"")=""),1,0)</f>
        <v>0</v>
      </c>
      <c r="G231" s="7" t="str">
        <f>IF(SUMPRODUCT(--(Lookup_Status!$A$2:$A$13=LOWER(TRIM(Raw_Passengers!F231))))=0,"",INDEX(Lookup_Status!$B$2:$B$13,SUMPRODUCT((Lookup_Status!$A$2:$A$13=LOWER(TRIM(Raw_Passengers!F231)))*(ROW(Lookup_Status!$A$2:$A$13)-1))))</f>
        <v>Confirmed</v>
      </c>
      <c r="H231" s="7" t="str">
        <f>IF(SUMPRODUCT(--(Lookup_Status!$A$2:$A$13=LOWER(TRIM(Raw_Passengers!G231))))=0,"",INDEX(Lookup_Status!$B$2:$B$13,SUMPRODUCT((Lookup_Status!$A$2:$A$13=LOWER(TRIM(Raw_Passengers!G231)))*(ROW(Lookup_Status!$A$2:$A$13)-1))))</f>
        <v>Confirmed</v>
      </c>
      <c r="I231" s="7">
        <f>IF(OR(G231="",G231="Cancelled",G231="Mixed"),1,0)</f>
        <v>0</v>
      </c>
      <c r="J231" s="7">
        <f>IF(OR(H231="",H231="Mixed"),1,0)</f>
        <v>0</v>
      </c>
      <c r="K231" s="7">
        <f>IF(AND(C231=0,D231=0),IF(OR(AND(I231=0,NOT(EXACT(Raw_Passengers!F231,G231))),AND(J231=0,NOT(EXACT(Raw_Passengers!G231,H231)))),1,0),0)</f>
        <v>0</v>
      </c>
      <c r="L231" s="7">
        <f>IF(AND(C231=0,D231=0,I231=1),1,0)</f>
        <v>0</v>
      </c>
      <c r="M231" s="7">
        <f>IF(AND(C231=0,D231=0,J231=1),1,0)</f>
        <v>0</v>
      </c>
    </row>
    <row r="232" spans="1:13">
      <c r="A232" s="7">
        <f>Raw_Passengers!A232</f>
        <v>70069</v>
      </c>
      <c r="B232" s="7">
        <f>Raw_Passengers!B232</f>
        <v>1034717</v>
      </c>
      <c r="C232" s="7">
        <f>IF(COUNTIF(Raw_Passengers!$A$2:A232,Raw_Passengers!A232)&gt;1,1,0)</f>
        <v>0</v>
      </c>
      <c r="D232" s="7">
        <f>IF(COUNTIF(Raw_Bookings!$A$2:$A$648,Raw_Passengers!B232)=0,1,0)</f>
        <v>0</v>
      </c>
      <c r="E232" s="7">
        <f>IF(OR(C232=1,D232=1),0,IF(NOT(ISNUMBER(Raw_Passengers!E232)),1,IF(Raw_Passengers!E232&lt;=0,1,0)))</f>
        <v>0</v>
      </c>
      <c r="F232" s="7">
        <f>IF(AND(C232=0,D232=0,TRIM(Raw_Passengers!D232&amp;"")=""),1,0)</f>
        <v>0</v>
      </c>
      <c r="G232" s="7" t="str">
        <f>IF(SUMPRODUCT(--(Lookup_Status!$A$2:$A$13=LOWER(TRIM(Raw_Passengers!F232))))=0,"",INDEX(Lookup_Status!$B$2:$B$13,SUMPRODUCT((Lookup_Status!$A$2:$A$13=LOWER(TRIM(Raw_Passengers!F232)))*(ROW(Lookup_Status!$A$2:$A$13)-1))))</f>
        <v>Confirmed</v>
      </c>
      <c r="H232" s="7" t="str">
        <f>IF(SUMPRODUCT(--(Lookup_Status!$A$2:$A$13=LOWER(TRIM(Raw_Passengers!G232))))=0,"",INDEX(Lookup_Status!$B$2:$B$13,SUMPRODUCT((Lookup_Status!$A$2:$A$13=LOWER(TRIM(Raw_Passengers!G232)))*(ROW(Lookup_Status!$A$2:$A$13)-1))))</f>
        <v>Confirmed</v>
      </c>
      <c r="I232" s="7">
        <f>IF(OR(G232="",G232="Cancelled",G232="Mixed"),1,0)</f>
        <v>0</v>
      </c>
      <c r="J232" s="7">
        <f>IF(OR(H232="",H232="Mixed"),1,0)</f>
        <v>0</v>
      </c>
      <c r="K232" s="7">
        <f>IF(AND(C232=0,D232=0),IF(OR(AND(I232=0,NOT(EXACT(Raw_Passengers!F232,G232))),AND(J232=0,NOT(EXACT(Raw_Passengers!G232,H232)))),1,0),0)</f>
        <v>0</v>
      </c>
      <c r="L232" s="7">
        <f>IF(AND(C232=0,D232=0,I232=1),1,0)</f>
        <v>0</v>
      </c>
      <c r="M232" s="7">
        <f>IF(AND(C232=0,D232=0,J232=1),1,0)</f>
        <v>0</v>
      </c>
    </row>
    <row r="233" spans="1:13">
      <c r="A233" s="7">
        <f>Raw_Passengers!A233</f>
        <v>71095</v>
      </c>
      <c r="B233" s="7">
        <f>Raw_Passengers!B233</f>
        <v>1035233</v>
      </c>
      <c r="C233" s="7">
        <f>IF(COUNTIF(Raw_Passengers!$A$2:A233,Raw_Passengers!A233)&gt;1,1,0)</f>
        <v>0</v>
      </c>
      <c r="D233" s="7">
        <f>IF(COUNTIF(Raw_Bookings!$A$2:$A$648,Raw_Passengers!B233)=0,1,0)</f>
        <v>0</v>
      </c>
      <c r="E233" s="7">
        <f>IF(OR(C233=1,D233=1),0,IF(NOT(ISNUMBER(Raw_Passengers!E233)),1,IF(Raw_Passengers!E233&lt;=0,1,0)))</f>
        <v>0</v>
      </c>
      <c r="F233" s="7">
        <f>IF(AND(C233=0,D233=0,TRIM(Raw_Passengers!D233&amp;"")=""),1,0)</f>
        <v>0</v>
      </c>
      <c r="G233" s="7" t="str">
        <f>IF(SUMPRODUCT(--(Lookup_Status!$A$2:$A$13=LOWER(TRIM(Raw_Passengers!F233))))=0,"",INDEX(Lookup_Status!$B$2:$B$13,SUMPRODUCT((Lookup_Status!$A$2:$A$13=LOWER(TRIM(Raw_Passengers!F233)))*(ROW(Lookup_Status!$A$2:$A$13)-1))))</f>
        <v>Confirmed</v>
      </c>
      <c r="H233" s="7" t="str">
        <f>IF(SUMPRODUCT(--(Lookup_Status!$A$2:$A$13=LOWER(TRIM(Raw_Passengers!G233))))=0,"",INDEX(Lookup_Status!$B$2:$B$13,SUMPRODUCT((Lookup_Status!$A$2:$A$13=LOWER(TRIM(Raw_Passengers!G233)))*(ROW(Lookup_Status!$A$2:$A$13)-1))))</f>
        <v>Confirmed</v>
      </c>
      <c r="I233" s="7">
        <f>IF(OR(G233="",G233="Cancelled",G233="Mixed"),1,0)</f>
        <v>0</v>
      </c>
      <c r="J233" s="7">
        <f>IF(OR(H233="",H233="Mixed"),1,0)</f>
        <v>0</v>
      </c>
      <c r="K233" s="7">
        <f>IF(AND(C233=0,D233=0),IF(OR(AND(I233=0,NOT(EXACT(Raw_Passengers!F233,G233))),AND(J233=0,NOT(EXACT(Raw_Passengers!G233,H233)))),1,0),0)</f>
        <v>0</v>
      </c>
      <c r="L233" s="7">
        <f>IF(AND(C233=0,D233=0,I233=1),1,0)</f>
        <v>0</v>
      </c>
      <c r="M233" s="7">
        <f>IF(AND(C233=0,D233=0,J233=1),1,0)</f>
        <v>0</v>
      </c>
    </row>
    <row r="234" spans="1:13">
      <c r="A234" s="7">
        <f>Raw_Passengers!A234</f>
        <v>71096</v>
      </c>
      <c r="B234" s="7">
        <f>Raw_Passengers!B234</f>
        <v>1035233</v>
      </c>
      <c r="C234" s="7">
        <f>IF(COUNTIF(Raw_Passengers!$A$2:A234,Raw_Passengers!A234)&gt;1,1,0)</f>
        <v>0</v>
      </c>
      <c r="D234" s="7">
        <f>IF(COUNTIF(Raw_Bookings!$A$2:$A$648,Raw_Passengers!B234)=0,1,0)</f>
        <v>0</v>
      </c>
      <c r="E234" s="7">
        <f>IF(OR(C234=1,D234=1),0,IF(NOT(ISNUMBER(Raw_Passengers!E234)),1,IF(Raw_Passengers!E234&lt;=0,1,0)))</f>
        <v>0</v>
      </c>
      <c r="F234" s="7">
        <f>IF(AND(C234=0,D234=0,TRIM(Raw_Passengers!D234&amp;"")=""),1,0)</f>
        <v>0</v>
      </c>
      <c r="G234" s="7" t="str">
        <f>IF(SUMPRODUCT(--(Lookup_Status!$A$2:$A$13=LOWER(TRIM(Raw_Passengers!F234))))=0,"",INDEX(Lookup_Status!$B$2:$B$13,SUMPRODUCT((Lookup_Status!$A$2:$A$13=LOWER(TRIM(Raw_Passengers!F234)))*(ROW(Lookup_Status!$A$2:$A$13)-1))))</f>
        <v>Confirmed</v>
      </c>
      <c r="H234" s="7" t="str">
        <f>IF(SUMPRODUCT(--(Lookup_Status!$A$2:$A$13=LOWER(TRIM(Raw_Passengers!G234))))=0,"",INDEX(Lookup_Status!$B$2:$B$13,SUMPRODUCT((Lookup_Status!$A$2:$A$13=LOWER(TRIM(Raw_Passengers!G234)))*(ROW(Lookup_Status!$A$2:$A$13)-1))))</f>
        <v>Confirmed</v>
      </c>
      <c r="I234" s="7">
        <f>IF(OR(G234="",G234="Cancelled",G234="Mixed"),1,0)</f>
        <v>0</v>
      </c>
      <c r="J234" s="7">
        <f>IF(OR(H234="",H234="Mixed"),1,0)</f>
        <v>0</v>
      </c>
      <c r="K234" s="7">
        <f>IF(AND(C234=0,D234=0),IF(OR(AND(I234=0,NOT(EXACT(Raw_Passengers!F234,G234))),AND(J234=0,NOT(EXACT(Raw_Passengers!G234,H234)))),1,0),0)</f>
        <v>0</v>
      </c>
      <c r="L234" s="7">
        <f>IF(AND(C234=0,D234=0,I234=1),1,0)</f>
        <v>0</v>
      </c>
      <c r="M234" s="7">
        <f>IF(AND(C234=0,D234=0,J234=1),1,0)</f>
        <v>0</v>
      </c>
    </row>
    <row r="235" spans="1:13">
      <c r="A235" s="7">
        <f>Raw_Passengers!A235</f>
        <v>71716</v>
      </c>
      <c r="B235" s="7">
        <f>Raw_Passengers!B235</f>
        <v>1035543</v>
      </c>
      <c r="C235" s="7">
        <f>IF(COUNTIF(Raw_Passengers!$A$2:A235,Raw_Passengers!A235)&gt;1,1,0)</f>
        <v>0</v>
      </c>
      <c r="D235" s="7">
        <f>IF(COUNTIF(Raw_Bookings!$A$2:$A$648,Raw_Passengers!B235)=0,1,0)</f>
        <v>0</v>
      </c>
      <c r="E235" s="7">
        <f>IF(OR(C235=1,D235=1),0,IF(NOT(ISNUMBER(Raw_Passengers!E235)),1,IF(Raw_Passengers!E235&lt;=0,1,0)))</f>
        <v>0</v>
      </c>
      <c r="F235" s="7">
        <f>IF(AND(C235=0,D235=0,TRIM(Raw_Passengers!D235&amp;"")=""),1,0)</f>
        <v>0</v>
      </c>
      <c r="G235" s="7" t="str">
        <f>IF(SUMPRODUCT(--(Lookup_Status!$A$2:$A$13=LOWER(TRIM(Raw_Passengers!F235))))=0,"",INDEX(Lookup_Status!$B$2:$B$13,SUMPRODUCT((Lookup_Status!$A$2:$A$13=LOWER(TRIM(Raw_Passengers!F235)))*(ROW(Lookup_Status!$A$2:$A$13)-1))))</f>
        <v>Confirmed</v>
      </c>
      <c r="H235" s="7" t="str">
        <f>IF(SUMPRODUCT(--(Lookup_Status!$A$2:$A$13=LOWER(TRIM(Raw_Passengers!G235))))=0,"",INDEX(Lookup_Status!$B$2:$B$13,SUMPRODUCT((Lookup_Status!$A$2:$A$13=LOWER(TRIM(Raw_Passengers!G235)))*(ROW(Lookup_Status!$A$2:$A$13)-1))))</f>
        <v>Confirmed</v>
      </c>
      <c r="I235" s="7">
        <f>IF(OR(G235="",G235="Cancelled",G235="Mixed"),1,0)</f>
        <v>0</v>
      </c>
      <c r="J235" s="7">
        <f>IF(OR(H235="",H235="Mixed"),1,0)</f>
        <v>0</v>
      </c>
      <c r="K235" s="7">
        <f>IF(AND(C235=0,D235=0),IF(OR(AND(I235=0,NOT(EXACT(Raw_Passengers!F235,G235))),AND(J235=0,NOT(EXACT(Raw_Passengers!G235,H235)))),1,0),0)</f>
        <v>0</v>
      </c>
      <c r="L235" s="7">
        <f>IF(AND(C235=0,D235=0,I235=1),1,0)</f>
        <v>0</v>
      </c>
      <c r="M235" s="7">
        <f>IF(AND(C235=0,D235=0,J235=1),1,0)</f>
        <v>0</v>
      </c>
    </row>
    <row r="236" spans="1:13">
      <c r="A236" s="7">
        <f>Raw_Passengers!A236</f>
        <v>72735</v>
      </c>
      <c r="B236" s="7">
        <f>Raw_Passengers!B236</f>
        <v>1036026</v>
      </c>
      <c r="C236" s="7">
        <f>IF(COUNTIF(Raw_Passengers!$A$2:A236,Raw_Passengers!A236)&gt;1,1,0)</f>
        <v>0</v>
      </c>
      <c r="D236" s="7">
        <f>IF(COUNTIF(Raw_Bookings!$A$2:$A$648,Raw_Passengers!B236)=0,1,0)</f>
        <v>0</v>
      </c>
      <c r="E236" s="7">
        <f>IF(OR(C236=1,D236=1),0,IF(NOT(ISNUMBER(Raw_Passengers!E236)),1,IF(Raw_Passengers!E236&lt;=0,1,0)))</f>
        <v>0</v>
      </c>
      <c r="F236" s="7">
        <f>IF(AND(C236=0,D236=0,TRIM(Raw_Passengers!D236&amp;"")=""),1,0)</f>
        <v>0</v>
      </c>
      <c r="G236" s="7" t="str">
        <f>IF(SUMPRODUCT(--(Lookup_Status!$A$2:$A$13=LOWER(TRIM(Raw_Passengers!F236))))=0,"",INDEX(Lookup_Status!$B$2:$B$13,SUMPRODUCT((Lookup_Status!$A$2:$A$13=LOWER(TRIM(Raw_Passengers!F236)))*(ROW(Lookup_Status!$A$2:$A$13)-1))))</f>
        <v>Confirmed</v>
      </c>
      <c r="H236" s="7" t="str">
        <f>IF(SUMPRODUCT(--(Lookup_Status!$A$2:$A$13=LOWER(TRIM(Raw_Passengers!G236))))=0,"",INDEX(Lookup_Status!$B$2:$B$13,SUMPRODUCT((Lookup_Status!$A$2:$A$13=LOWER(TRIM(Raw_Passengers!G236)))*(ROW(Lookup_Status!$A$2:$A$13)-1))))</f>
        <v>Cancelled</v>
      </c>
      <c r="I236" s="7">
        <f>IF(OR(G236="",G236="Cancelled",G236="Mixed"),1,0)</f>
        <v>0</v>
      </c>
      <c r="J236" s="7">
        <f>IF(OR(H236="",H236="Mixed"),1,0)</f>
        <v>0</v>
      </c>
      <c r="K236" s="7">
        <f>IF(AND(C236=0,D236=0),IF(OR(AND(I236=0,NOT(EXACT(Raw_Passengers!F236,G236))),AND(J236=0,NOT(EXACT(Raw_Passengers!G236,H236)))),1,0),0)</f>
        <v>0</v>
      </c>
      <c r="L236" s="7">
        <f>IF(AND(C236=0,D236=0,I236=1),1,0)</f>
        <v>0</v>
      </c>
      <c r="M236" s="7">
        <f>IF(AND(C236=0,D236=0,J236=1),1,0)</f>
        <v>0</v>
      </c>
    </row>
    <row r="237" spans="1:13">
      <c r="A237" s="7">
        <f>Raw_Passengers!A237</f>
        <v>74096</v>
      </c>
      <c r="B237" s="7">
        <f>Raw_Passengers!B237</f>
        <v>1036697</v>
      </c>
      <c r="C237" s="7">
        <f>IF(COUNTIF(Raw_Passengers!$A$2:A237,Raw_Passengers!A237)&gt;1,1,0)</f>
        <v>0</v>
      </c>
      <c r="D237" s="7">
        <f>IF(COUNTIF(Raw_Bookings!$A$2:$A$648,Raw_Passengers!B237)=0,1,0)</f>
        <v>0</v>
      </c>
      <c r="E237" s="7">
        <f>IF(OR(C237=1,D237=1),0,IF(NOT(ISNUMBER(Raw_Passengers!E237)),1,IF(Raw_Passengers!E237&lt;=0,1,0)))</f>
        <v>0</v>
      </c>
      <c r="F237" s="7">
        <f>IF(AND(C237=0,D237=0,TRIM(Raw_Passengers!D237&amp;"")=""),1,0)</f>
        <v>0</v>
      </c>
      <c r="G237" s="7" t="str">
        <f>IF(SUMPRODUCT(--(Lookup_Status!$A$2:$A$13=LOWER(TRIM(Raw_Passengers!F237))))=0,"",INDEX(Lookup_Status!$B$2:$B$13,SUMPRODUCT((Lookup_Status!$A$2:$A$13=LOWER(TRIM(Raw_Passengers!F237)))*(ROW(Lookup_Status!$A$2:$A$13)-1))))</f>
        <v>Confirmed</v>
      </c>
      <c r="H237" s="7" t="str">
        <f>IF(SUMPRODUCT(--(Lookup_Status!$A$2:$A$13=LOWER(TRIM(Raw_Passengers!G237))))=0,"",INDEX(Lookup_Status!$B$2:$B$13,SUMPRODUCT((Lookup_Status!$A$2:$A$13=LOWER(TRIM(Raw_Passengers!G237)))*(ROW(Lookup_Status!$A$2:$A$13)-1))))</f>
        <v>Confirmed</v>
      </c>
      <c r="I237" s="7">
        <f>IF(OR(G237="",G237="Cancelled",G237="Mixed"),1,0)</f>
        <v>0</v>
      </c>
      <c r="J237" s="7">
        <f>IF(OR(H237="",H237="Mixed"),1,0)</f>
        <v>0</v>
      </c>
      <c r="K237" s="7">
        <f>IF(AND(C237=0,D237=0),IF(OR(AND(I237=0,NOT(EXACT(Raw_Passengers!F237,G237))),AND(J237=0,NOT(EXACT(Raw_Passengers!G237,H237)))),1,0),0)</f>
        <v>0</v>
      </c>
      <c r="L237" s="7">
        <f>IF(AND(C237=0,D237=0,I237=1),1,0)</f>
        <v>0</v>
      </c>
      <c r="M237" s="7">
        <f>IF(AND(C237=0,D237=0,J237=1),1,0)</f>
        <v>0</v>
      </c>
    </row>
    <row r="238" spans="1:13">
      <c r="A238" s="7">
        <f>Raw_Passengers!A238</f>
        <v>74621</v>
      </c>
      <c r="B238" s="7">
        <f>Raw_Passengers!B238</f>
        <v>1036960</v>
      </c>
      <c r="C238" s="7">
        <f>IF(COUNTIF(Raw_Passengers!$A$2:A238,Raw_Passengers!A238)&gt;1,1,0)</f>
        <v>0</v>
      </c>
      <c r="D238" s="7">
        <f>IF(COUNTIF(Raw_Bookings!$A$2:$A$648,Raw_Passengers!B238)=0,1,0)</f>
        <v>0</v>
      </c>
      <c r="E238" s="7">
        <f>IF(OR(C238=1,D238=1),0,IF(NOT(ISNUMBER(Raw_Passengers!E238)),1,IF(Raw_Passengers!E238&lt;=0,1,0)))</f>
        <v>0</v>
      </c>
      <c r="F238" s="7">
        <f>IF(AND(C238=0,D238=0,TRIM(Raw_Passengers!D238&amp;"")=""),1,0)</f>
        <v>0</v>
      </c>
      <c r="G238" s="7" t="str">
        <f>IF(SUMPRODUCT(--(Lookup_Status!$A$2:$A$13=LOWER(TRIM(Raw_Passengers!F238))))=0,"",INDEX(Lookup_Status!$B$2:$B$13,SUMPRODUCT((Lookup_Status!$A$2:$A$13=LOWER(TRIM(Raw_Passengers!F238)))*(ROW(Lookup_Status!$A$2:$A$13)-1))))</f>
        <v>Confirmed</v>
      </c>
      <c r="H238" s="7" t="str">
        <f>IF(SUMPRODUCT(--(Lookup_Status!$A$2:$A$13=LOWER(TRIM(Raw_Passengers!G238))))=0,"",INDEX(Lookup_Status!$B$2:$B$13,SUMPRODUCT((Lookup_Status!$A$2:$A$13=LOWER(TRIM(Raw_Passengers!G238)))*(ROW(Lookup_Status!$A$2:$A$13)-1))))</f>
        <v>Confirmed</v>
      </c>
      <c r="I238" s="7">
        <f>IF(OR(G238="",G238="Cancelled",G238="Mixed"),1,0)</f>
        <v>0</v>
      </c>
      <c r="J238" s="7">
        <f>IF(OR(H238="",H238="Mixed"),1,0)</f>
        <v>0</v>
      </c>
      <c r="K238" s="7">
        <f>IF(AND(C238=0,D238=0),IF(OR(AND(I238=0,NOT(EXACT(Raw_Passengers!F238,G238))),AND(J238=0,NOT(EXACT(Raw_Passengers!G238,H238)))),1,0),0)</f>
        <v>0</v>
      </c>
      <c r="L238" s="7">
        <f>IF(AND(C238=0,D238=0,I238=1),1,0)</f>
        <v>0</v>
      </c>
      <c r="M238" s="7">
        <f>IF(AND(C238=0,D238=0,J238=1),1,0)</f>
        <v>0</v>
      </c>
    </row>
    <row r="239" spans="1:13">
      <c r="A239" s="7">
        <f>Raw_Passengers!A239</f>
        <v>74622</v>
      </c>
      <c r="B239" s="7">
        <f>Raw_Passengers!B239</f>
        <v>1036960</v>
      </c>
      <c r="C239" s="7">
        <f>IF(COUNTIF(Raw_Passengers!$A$2:A239,Raw_Passengers!A239)&gt;1,1,0)</f>
        <v>0</v>
      </c>
      <c r="D239" s="7">
        <f>IF(COUNTIF(Raw_Bookings!$A$2:$A$648,Raw_Passengers!B239)=0,1,0)</f>
        <v>0</v>
      </c>
      <c r="E239" s="7">
        <f>IF(OR(C239=1,D239=1),0,IF(NOT(ISNUMBER(Raw_Passengers!E239)),1,IF(Raw_Passengers!E239&lt;=0,1,0)))</f>
        <v>0</v>
      </c>
      <c r="F239" s="7">
        <f>IF(AND(C239=0,D239=0,TRIM(Raw_Passengers!D239&amp;"")=""),1,0)</f>
        <v>0</v>
      </c>
      <c r="G239" s="7" t="str">
        <f>IF(SUMPRODUCT(--(Lookup_Status!$A$2:$A$13=LOWER(TRIM(Raw_Passengers!F239))))=0,"",INDEX(Lookup_Status!$B$2:$B$13,SUMPRODUCT((Lookup_Status!$A$2:$A$13=LOWER(TRIM(Raw_Passengers!F239)))*(ROW(Lookup_Status!$A$2:$A$13)-1))))</f>
        <v>Confirmed</v>
      </c>
      <c r="H239" s="7" t="str">
        <f>IF(SUMPRODUCT(--(Lookup_Status!$A$2:$A$13=LOWER(TRIM(Raw_Passengers!G239))))=0,"",INDEX(Lookup_Status!$B$2:$B$13,SUMPRODUCT((Lookup_Status!$A$2:$A$13=LOWER(TRIM(Raw_Passengers!G239)))*(ROW(Lookup_Status!$A$2:$A$13)-1))))</f>
        <v>Confirmed</v>
      </c>
      <c r="I239" s="7">
        <f>IF(OR(G239="",G239="Cancelled",G239="Mixed"),1,0)</f>
        <v>0</v>
      </c>
      <c r="J239" s="7">
        <f>IF(OR(H239="",H239="Mixed"),1,0)</f>
        <v>0</v>
      </c>
      <c r="K239" s="7">
        <f>IF(AND(C239=0,D239=0),IF(OR(AND(I239=0,NOT(EXACT(Raw_Passengers!F239,G239))),AND(J239=0,NOT(EXACT(Raw_Passengers!G239,H239)))),1,0),0)</f>
        <v>0</v>
      </c>
      <c r="L239" s="7">
        <f>IF(AND(C239=0,D239=0,I239=1),1,0)</f>
        <v>0</v>
      </c>
      <c r="M239" s="7">
        <f>IF(AND(C239=0,D239=0,J239=1),1,0)</f>
        <v>0</v>
      </c>
    </row>
    <row r="240" spans="1:13">
      <c r="A240" s="7">
        <f>Raw_Passengers!A240</f>
        <v>74623</v>
      </c>
      <c r="B240" s="7">
        <f>Raw_Passengers!B240</f>
        <v>1036960</v>
      </c>
      <c r="C240" s="7">
        <f>IF(COUNTIF(Raw_Passengers!$A$2:A240,Raw_Passengers!A240)&gt;1,1,0)</f>
        <v>0</v>
      </c>
      <c r="D240" s="7">
        <f>IF(COUNTIF(Raw_Bookings!$A$2:$A$648,Raw_Passengers!B240)=0,1,0)</f>
        <v>0</v>
      </c>
      <c r="E240" s="7">
        <f>IF(OR(C240=1,D240=1),0,IF(NOT(ISNUMBER(Raw_Passengers!E240)),1,IF(Raw_Passengers!E240&lt;=0,1,0)))</f>
        <v>0</v>
      </c>
      <c r="F240" s="7">
        <f>IF(AND(C240=0,D240=0,TRIM(Raw_Passengers!D240&amp;"")=""),1,0)</f>
        <v>0</v>
      </c>
      <c r="G240" s="7" t="str">
        <f>IF(SUMPRODUCT(--(Lookup_Status!$A$2:$A$13=LOWER(TRIM(Raw_Passengers!F240))))=0,"",INDEX(Lookup_Status!$B$2:$B$13,SUMPRODUCT((Lookup_Status!$A$2:$A$13=LOWER(TRIM(Raw_Passengers!F240)))*(ROW(Lookup_Status!$A$2:$A$13)-1))))</f>
        <v>Confirmed</v>
      </c>
      <c r="H240" s="7" t="str">
        <f>IF(SUMPRODUCT(--(Lookup_Status!$A$2:$A$13=LOWER(TRIM(Raw_Passengers!G240))))=0,"",INDEX(Lookup_Status!$B$2:$B$13,SUMPRODUCT((Lookup_Status!$A$2:$A$13=LOWER(TRIM(Raw_Passengers!G240)))*(ROW(Lookup_Status!$A$2:$A$13)-1))))</f>
        <v>Confirmed</v>
      </c>
      <c r="I240" s="7">
        <f>IF(OR(G240="",G240="Cancelled",G240="Mixed"),1,0)</f>
        <v>0</v>
      </c>
      <c r="J240" s="7">
        <f>IF(OR(H240="",H240="Mixed"),1,0)</f>
        <v>0</v>
      </c>
      <c r="K240" s="7">
        <f>IF(AND(C240=0,D240=0),IF(OR(AND(I240=0,NOT(EXACT(Raw_Passengers!F240,G240))),AND(J240=0,NOT(EXACT(Raw_Passengers!G240,H240)))),1,0),0)</f>
        <v>0</v>
      </c>
      <c r="L240" s="7">
        <f>IF(AND(C240=0,D240=0,I240=1),1,0)</f>
        <v>0</v>
      </c>
      <c r="M240" s="7">
        <f>IF(AND(C240=0,D240=0,J240=1),1,0)</f>
        <v>0</v>
      </c>
    </row>
    <row r="241" spans="1:13">
      <c r="A241" s="7">
        <f>Raw_Passengers!A241</f>
        <v>74624</v>
      </c>
      <c r="B241" s="7">
        <f>Raw_Passengers!B241</f>
        <v>1036960</v>
      </c>
      <c r="C241" s="7">
        <f>IF(COUNTIF(Raw_Passengers!$A$2:A241,Raw_Passengers!A241)&gt;1,1,0)</f>
        <v>0</v>
      </c>
      <c r="D241" s="7">
        <f>IF(COUNTIF(Raw_Bookings!$A$2:$A$648,Raw_Passengers!B241)=0,1,0)</f>
        <v>0</v>
      </c>
      <c r="E241" s="7">
        <f>IF(OR(C241=1,D241=1),0,IF(NOT(ISNUMBER(Raw_Passengers!E241)),1,IF(Raw_Passengers!E241&lt;=0,1,0)))</f>
        <v>0</v>
      </c>
      <c r="F241" s="7">
        <f>IF(AND(C241=0,D241=0,TRIM(Raw_Passengers!D241&amp;"")=""),1,0)</f>
        <v>0</v>
      </c>
      <c r="G241" s="7" t="str">
        <f>IF(SUMPRODUCT(--(Lookup_Status!$A$2:$A$13=LOWER(TRIM(Raw_Passengers!F241))))=0,"",INDEX(Lookup_Status!$B$2:$B$13,SUMPRODUCT((Lookup_Status!$A$2:$A$13=LOWER(TRIM(Raw_Passengers!F241)))*(ROW(Lookup_Status!$A$2:$A$13)-1))))</f>
        <v>Confirmed</v>
      </c>
      <c r="H241" s="7" t="str">
        <f>IF(SUMPRODUCT(--(Lookup_Status!$A$2:$A$13=LOWER(TRIM(Raw_Passengers!G241))))=0,"",INDEX(Lookup_Status!$B$2:$B$13,SUMPRODUCT((Lookup_Status!$A$2:$A$13=LOWER(TRIM(Raw_Passengers!G241)))*(ROW(Lookup_Status!$A$2:$A$13)-1))))</f>
        <v>Confirmed</v>
      </c>
      <c r="I241" s="7">
        <f>IF(OR(G241="",G241="Cancelled",G241="Mixed"),1,0)</f>
        <v>0</v>
      </c>
      <c r="J241" s="7">
        <f>IF(OR(H241="",H241="Mixed"),1,0)</f>
        <v>0</v>
      </c>
      <c r="K241" s="7">
        <f>IF(AND(C241=0,D241=0),IF(OR(AND(I241=0,NOT(EXACT(Raw_Passengers!F241,G241))),AND(J241=0,NOT(EXACT(Raw_Passengers!G241,H241)))),1,0),0)</f>
        <v>0</v>
      </c>
      <c r="L241" s="7">
        <f>IF(AND(C241=0,D241=0,I241=1),1,0)</f>
        <v>0</v>
      </c>
      <c r="M241" s="7">
        <f>IF(AND(C241=0,D241=0,J241=1),1,0)</f>
        <v>0</v>
      </c>
    </row>
    <row r="242" spans="1:13">
      <c r="A242" s="7">
        <f>Raw_Passengers!A242</f>
        <v>74625</v>
      </c>
      <c r="B242" s="7">
        <f>Raw_Passengers!B242</f>
        <v>1036960</v>
      </c>
      <c r="C242" s="7">
        <f>IF(COUNTIF(Raw_Passengers!$A$2:A242,Raw_Passengers!A242)&gt;1,1,0)</f>
        <v>0</v>
      </c>
      <c r="D242" s="7">
        <f>IF(COUNTIF(Raw_Bookings!$A$2:$A$648,Raw_Passengers!B242)=0,1,0)</f>
        <v>0</v>
      </c>
      <c r="E242" s="7">
        <f>IF(OR(C242=1,D242=1),0,IF(NOT(ISNUMBER(Raw_Passengers!E242)),1,IF(Raw_Passengers!E242&lt;=0,1,0)))</f>
        <v>0</v>
      </c>
      <c r="F242" s="7">
        <f>IF(AND(C242=0,D242=0,TRIM(Raw_Passengers!D242&amp;"")=""),1,0)</f>
        <v>0</v>
      </c>
      <c r="G242" s="7" t="str">
        <f>IF(SUMPRODUCT(--(Lookup_Status!$A$2:$A$13=LOWER(TRIM(Raw_Passengers!F242))))=0,"",INDEX(Lookup_Status!$B$2:$B$13,SUMPRODUCT((Lookup_Status!$A$2:$A$13=LOWER(TRIM(Raw_Passengers!F242)))*(ROW(Lookup_Status!$A$2:$A$13)-1))))</f>
        <v>Confirmed</v>
      </c>
      <c r="H242" s="7" t="str">
        <f>IF(SUMPRODUCT(--(Lookup_Status!$A$2:$A$13=LOWER(TRIM(Raw_Passengers!G242))))=0,"",INDEX(Lookup_Status!$B$2:$B$13,SUMPRODUCT((Lookup_Status!$A$2:$A$13=LOWER(TRIM(Raw_Passengers!G242)))*(ROW(Lookup_Status!$A$2:$A$13)-1))))</f>
        <v>Confirmed</v>
      </c>
      <c r="I242" s="7">
        <f>IF(OR(G242="",G242="Cancelled",G242="Mixed"),1,0)</f>
        <v>0</v>
      </c>
      <c r="J242" s="7">
        <f>IF(OR(H242="",H242="Mixed"),1,0)</f>
        <v>0</v>
      </c>
      <c r="K242" s="7">
        <f>IF(AND(C242=0,D242=0),IF(OR(AND(I242=0,NOT(EXACT(Raw_Passengers!F242,G242))),AND(J242=0,NOT(EXACT(Raw_Passengers!G242,H242)))),1,0),0)</f>
        <v>0</v>
      </c>
      <c r="L242" s="7">
        <f>IF(AND(C242=0,D242=0,I242=1),1,0)</f>
        <v>0</v>
      </c>
      <c r="M242" s="7">
        <f>IF(AND(C242=0,D242=0,J242=1),1,0)</f>
        <v>0</v>
      </c>
    </row>
    <row r="243" spans="1:13">
      <c r="A243" s="7">
        <f>Raw_Passengers!A243</f>
        <v>74626</v>
      </c>
      <c r="B243" s="7">
        <f>Raw_Passengers!B243</f>
        <v>1036960</v>
      </c>
      <c r="C243" s="7">
        <f>IF(COUNTIF(Raw_Passengers!$A$2:A243,Raw_Passengers!A243)&gt;1,1,0)</f>
        <v>0</v>
      </c>
      <c r="D243" s="7">
        <f>IF(COUNTIF(Raw_Bookings!$A$2:$A$648,Raw_Passengers!B243)=0,1,0)</f>
        <v>0</v>
      </c>
      <c r="E243" s="7">
        <f>IF(OR(C243=1,D243=1),0,IF(NOT(ISNUMBER(Raw_Passengers!E243)),1,IF(Raw_Passengers!E243&lt;=0,1,0)))</f>
        <v>0</v>
      </c>
      <c r="F243" s="7">
        <f>IF(AND(C243=0,D243=0,TRIM(Raw_Passengers!D243&amp;"")=""),1,0)</f>
        <v>0</v>
      </c>
      <c r="G243" s="7" t="str">
        <f>IF(SUMPRODUCT(--(Lookup_Status!$A$2:$A$13=LOWER(TRIM(Raw_Passengers!F243))))=0,"",INDEX(Lookup_Status!$B$2:$B$13,SUMPRODUCT((Lookup_Status!$A$2:$A$13=LOWER(TRIM(Raw_Passengers!F243)))*(ROW(Lookup_Status!$A$2:$A$13)-1))))</f>
        <v>Confirmed</v>
      </c>
      <c r="H243" s="7" t="str">
        <f>IF(SUMPRODUCT(--(Lookup_Status!$A$2:$A$13=LOWER(TRIM(Raw_Passengers!G243))))=0,"",INDEX(Lookup_Status!$B$2:$B$13,SUMPRODUCT((Lookup_Status!$A$2:$A$13=LOWER(TRIM(Raw_Passengers!G243)))*(ROW(Lookup_Status!$A$2:$A$13)-1))))</f>
        <v>Confirmed</v>
      </c>
      <c r="I243" s="7">
        <f>IF(OR(G243="",G243="Cancelled",G243="Mixed"),1,0)</f>
        <v>0</v>
      </c>
      <c r="J243" s="7">
        <f>IF(OR(H243="",H243="Mixed"),1,0)</f>
        <v>0</v>
      </c>
      <c r="K243" s="7">
        <f>IF(AND(C243=0,D243=0),IF(OR(AND(I243=0,NOT(EXACT(Raw_Passengers!F243,G243))),AND(J243=0,NOT(EXACT(Raw_Passengers!G243,H243)))),1,0),0)</f>
        <v>0</v>
      </c>
      <c r="L243" s="7">
        <f>IF(AND(C243=0,D243=0,I243=1),1,0)</f>
        <v>0</v>
      </c>
      <c r="M243" s="7">
        <f>IF(AND(C243=0,D243=0,J243=1),1,0)</f>
        <v>0</v>
      </c>
    </row>
    <row r="244" spans="1:13">
      <c r="A244" s="7">
        <f>Raw_Passengers!A244</f>
        <v>74636</v>
      </c>
      <c r="B244" s="7">
        <f>Raw_Passengers!B244</f>
        <v>1036967</v>
      </c>
      <c r="C244" s="7">
        <f>IF(COUNTIF(Raw_Passengers!$A$2:A244,Raw_Passengers!A244)&gt;1,1,0)</f>
        <v>0</v>
      </c>
      <c r="D244" s="7">
        <f>IF(COUNTIF(Raw_Bookings!$A$2:$A$648,Raw_Passengers!B244)=0,1,0)</f>
        <v>0</v>
      </c>
      <c r="E244" s="7">
        <f>IF(OR(C244=1,D244=1),0,IF(NOT(ISNUMBER(Raw_Passengers!E244)),1,IF(Raw_Passengers!E244&lt;=0,1,0)))</f>
        <v>0</v>
      </c>
      <c r="F244" s="7">
        <f>IF(AND(C244=0,D244=0,TRIM(Raw_Passengers!D244&amp;"")=""),1,0)</f>
        <v>0</v>
      </c>
      <c r="G244" s="7" t="str">
        <f>IF(SUMPRODUCT(--(Lookup_Status!$A$2:$A$13=LOWER(TRIM(Raw_Passengers!F244))))=0,"",INDEX(Lookup_Status!$B$2:$B$13,SUMPRODUCT((Lookup_Status!$A$2:$A$13=LOWER(TRIM(Raw_Passengers!F244)))*(ROW(Lookup_Status!$A$2:$A$13)-1))))</f>
        <v>Waitlisted</v>
      </c>
      <c r="H244" s="7" t="str">
        <f>IF(SUMPRODUCT(--(Lookup_Status!$A$2:$A$13=LOWER(TRIM(Raw_Passengers!G244))))=0,"",INDEX(Lookup_Status!$B$2:$B$13,SUMPRODUCT((Lookup_Status!$A$2:$A$13=LOWER(TRIM(Raw_Passengers!G244)))*(ROW(Lookup_Status!$A$2:$A$13)-1))))</f>
        <v>Waitlisted</v>
      </c>
      <c r="I244" s="7">
        <f>IF(OR(G244="",G244="Cancelled",G244="Mixed"),1,0)</f>
        <v>0</v>
      </c>
      <c r="J244" s="7">
        <f>IF(OR(H244="",H244="Mixed"),1,0)</f>
        <v>0</v>
      </c>
      <c r="K244" s="7">
        <f>IF(AND(C244=0,D244=0),IF(OR(AND(I244=0,NOT(EXACT(Raw_Passengers!F244,G244))),AND(J244=0,NOT(EXACT(Raw_Passengers!G244,H244)))),1,0),0)</f>
        <v>0</v>
      </c>
      <c r="L244" s="7">
        <f>IF(AND(C244=0,D244=0,I244=1),1,0)</f>
        <v>0</v>
      </c>
      <c r="M244" s="7">
        <f>IF(AND(C244=0,D244=0,J244=1),1,0)</f>
        <v>0</v>
      </c>
    </row>
    <row r="245" spans="1:13">
      <c r="A245" s="7">
        <f>Raw_Passengers!A245</f>
        <v>74637</v>
      </c>
      <c r="B245" s="7">
        <f>Raw_Passengers!B245</f>
        <v>1036967</v>
      </c>
      <c r="C245" s="7">
        <f>IF(COUNTIF(Raw_Passengers!$A$2:A245,Raw_Passengers!A245)&gt;1,1,0)</f>
        <v>0</v>
      </c>
      <c r="D245" s="7">
        <f>IF(COUNTIF(Raw_Bookings!$A$2:$A$648,Raw_Passengers!B245)=0,1,0)</f>
        <v>0</v>
      </c>
      <c r="E245" s="7">
        <f>IF(OR(C245=1,D245=1),0,IF(NOT(ISNUMBER(Raw_Passengers!E245)),1,IF(Raw_Passengers!E245&lt;=0,1,0)))</f>
        <v>0</v>
      </c>
      <c r="F245" s="7">
        <f>IF(AND(C245=0,D245=0,TRIM(Raw_Passengers!D245&amp;"")=""),1,0)</f>
        <v>0</v>
      </c>
      <c r="G245" s="7" t="str">
        <f>IF(SUMPRODUCT(--(Lookup_Status!$A$2:$A$13=LOWER(TRIM(Raw_Passengers!F245))))=0,"",INDEX(Lookup_Status!$B$2:$B$13,SUMPRODUCT((Lookup_Status!$A$2:$A$13=LOWER(TRIM(Raw_Passengers!F245)))*(ROW(Lookup_Status!$A$2:$A$13)-1))))</f>
        <v>Waitlisted</v>
      </c>
      <c r="H245" s="7" t="str">
        <f>IF(SUMPRODUCT(--(Lookup_Status!$A$2:$A$13=LOWER(TRIM(Raw_Passengers!G245))))=0,"",INDEX(Lookup_Status!$B$2:$B$13,SUMPRODUCT((Lookup_Status!$A$2:$A$13=LOWER(TRIM(Raw_Passengers!G245)))*(ROW(Lookup_Status!$A$2:$A$13)-1))))</f>
        <v>Waitlisted</v>
      </c>
      <c r="I245" s="7">
        <f>IF(OR(G245="",G245="Cancelled",G245="Mixed"),1,0)</f>
        <v>0</v>
      </c>
      <c r="J245" s="7">
        <f>IF(OR(H245="",H245="Mixed"),1,0)</f>
        <v>0</v>
      </c>
      <c r="K245" s="7">
        <f>IF(AND(C245=0,D245=0),IF(OR(AND(I245=0,NOT(EXACT(Raw_Passengers!F245,G245))),AND(J245=0,NOT(EXACT(Raw_Passengers!G245,H245)))),1,0),0)</f>
        <v>0</v>
      </c>
      <c r="L245" s="7">
        <f>IF(AND(C245=0,D245=0,I245=1),1,0)</f>
        <v>0</v>
      </c>
      <c r="M245" s="7">
        <f>IF(AND(C245=0,D245=0,J245=1),1,0)</f>
        <v>0</v>
      </c>
    </row>
    <row r="246" spans="1:13">
      <c r="A246" s="7">
        <f>Raw_Passengers!A246</f>
        <v>74638</v>
      </c>
      <c r="B246" s="7">
        <f>Raw_Passengers!B246</f>
        <v>1036967</v>
      </c>
      <c r="C246" s="7">
        <f>IF(COUNTIF(Raw_Passengers!$A$2:A246,Raw_Passengers!A246)&gt;1,1,0)</f>
        <v>0</v>
      </c>
      <c r="D246" s="7">
        <f>IF(COUNTIF(Raw_Bookings!$A$2:$A$648,Raw_Passengers!B246)=0,1,0)</f>
        <v>0</v>
      </c>
      <c r="E246" s="7">
        <f>IF(OR(C246=1,D246=1),0,IF(NOT(ISNUMBER(Raw_Passengers!E246)),1,IF(Raw_Passengers!E246&lt;=0,1,0)))</f>
        <v>0</v>
      </c>
      <c r="F246" s="7">
        <f>IF(AND(C246=0,D246=0,TRIM(Raw_Passengers!D246&amp;"")=""),1,0)</f>
        <v>0</v>
      </c>
      <c r="G246" s="7" t="str">
        <f>IF(SUMPRODUCT(--(Lookup_Status!$A$2:$A$13=LOWER(TRIM(Raw_Passengers!F246))))=0,"",INDEX(Lookup_Status!$B$2:$B$13,SUMPRODUCT((Lookup_Status!$A$2:$A$13=LOWER(TRIM(Raw_Passengers!F246)))*(ROW(Lookup_Status!$A$2:$A$13)-1))))</f>
        <v>Waitlisted</v>
      </c>
      <c r="H246" s="7" t="str">
        <f>IF(SUMPRODUCT(--(Lookup_Status!$A$2:$A$13=LOWER(TRIM(Raw_Passengers!G246))))=0,"",INDEX(Lookup_Status!$B$2:$B$13,SUMPRODUCT((Lookup_Status!$A$2:$A$13=LOWER(TRIM(Raw_Passengers!G246)))*(ROW(Lookup_Status!$A$2:$A$13)-1))))</f>
        <v>Waitlisted</v>
      </c>
      <c r="I246" s="7">
        <f>IF(OR(G246="",G246="Cancelled",G246="Mixed"),1,0)</f>
        <v>0</v>
      </c>
      <c r="J246" s="7">
        <f>IF(OR(H246="",H246="Mixed"),1,0)</f>
        <v>0</v>
      </c>
      <c r="K246" s="7">
        <f>IF(AND(C246=0,D246=0),IF(OR(AND(I246=0,NOT(EXACT(Raw_Passengers!F246,G246))),AND(J246=0,NOT(EXACT(Raw_Passengers!G246,H246)))),1,0),0)</f>
        <v>0</v>
      </c>
      <c r="L246" s="7">
        <f>IF(AND(C246=0,D246=0,I246=1),1,0)</f>
        <v>0</v>
      </c>
      <c r="M246" s="7">
        <f>IF(AND(C246=0,D246=0,J246=1),1,0)</f>
        <v>0</v>
      </c>
    </row>
    <row r="247" spans="1:13">
      <c r="A247" s="7">
        <f>Raw_Passengers!A247</f>
        <v>74639</v>
      </c>
      <c r="B247" s="7">
        <f>Raw_Passengers!B247</f>
        <v>1036967</v>
      </c>
      <c r="C247" s="7">
        <f>IF(COUNTIF(Raw_Passengers!$A$2:A247,Raw_Passengers!A247)&gt;1,1,0)</f>
        <v>0</v>
      </c>
      <c r="D247" s="7">
        <f>IF(COUNTIF(Raw_Bookings!$A$2:$A$648,Raw_Passengers!B247)=0,1,0)</f>
        <v>0</v>
      </c>
      <c r="E247" s="7">
        <f>IF(OR(C247=1,D247=1),0,IF(NOT(ISNUMBER(Raw_Passengers!E247)),1,IF(Raw_Passengers!E247&lt;=0,1,0)))</f>
        <v>0</v>
      </c>
      <c r="F247" s="7">
        <f>IF(AND(C247=0,D247=0,TRIM(Raw_Passengers!D247&amp;"")=""),1,0)</f>
        <v>0</v>
      </c>
      <c r="G247" s="7" t="str">
        <f>IF(SUMPRODUCT(--(Lookup_Status!$A$2:$A$13=LOWER(TRIM(Raw_Passengers!F247))))=0,"",INDEX(Lookup_Status!$B$2:$B$13,SUMPRODUCT((Lookup_Status!$A$2:$A$13=LOWER(TRIM(Raw_Passengers!F247)))*(ROW(Lookup_Status!$A$2:$A$13)-1))))</f>
        <v>Waitlisted</v>
      </c>
      <c r="H247" s="7" t="str">
        <f>IF(SUMPRODUCT(--(Lookup_Status!$A$2:$A$13=LOWER(TRIM(Raw_Passengers!G247))))=0,"",INDEX(Lookup_Status!$B$2:$B$13,SUMPRODUCT((Lookup_Status!$A$2:$A$13=LOWER(TRIM(Raw_Passengers!G247)))*(ROW(Lookup_Status!$A$2:$A$13)-1))))</f>
        <v>Waitlisted</v>
      </c>
      <c r="I247" s="7">
        <f>IF(OR(G247="",G247="Cancelled",G247="Mixed"),1,0)</f>
        <v>0</v>
      </c>
      <c r="J247" s="7">
        <f>IF(OR(H247="",H247="Mixed"),1,0)</f>
        <v>0</v>
      </c>
      <c r="K247" s="7">
        <f>IF(AND(C247=0,D247=0),IF(OR(AND(I247=0,NOT(EXACT(Raw_Passengers!F247,G247))),AND(J247=0,NOT(EXACT(Raw_Passengers!G247,H247)))),1,0),0)</f>
        <v>0</v>
      </c>
      <c r="L247" s="7">
        <f>IF(AND(C247=0,D247=0,I247=1),1,0)</f>
        <v>0</v>
      </c>
      <c r="M247" s="7">
        <f>IF(AND(C247=0,D247=0,J247=1),1,0)</f>
        <v>0</v>
      </c>
    </row>
    <row r="248" spans="1:13">
      <c r="A248" s="7">
        <f>Raw_Passengers!A248</f>
        <v>74918</v>
      </c>
      <c r="B248" s="7">
        <f>Raw_Passengers!B248</f>
        <v>1037102</v>
      </c>
      <c r="C248" s="7">
        <f>IF(COUNTIF(Raw_Passengers!$A$2:A248,Raw_Passengers!A248)&gt;1,1,0)</f>
        <v>0</v>
      </c>
      <c r="D248" s="7">
        <f>IF(COUNTIF(Raw_Bookings!$A$2:$A$648,Raw_Passengers!B248)=0,1,0)</f>
        <v>0</v>
      </c>
      <c r="E248" s="7">
        <f>IF(OR(C248=1,D248=1),0,IF(NOT(ISNUMBER(Raw_Passengers!E248)),1,IF(Raw_Passengers!E248&lt;=0,1,0)))</f>
        <v>0</v>
      </c>
      <c r="F248" s="7">
        <f>IF(AND(C248=0,D248=0,TRIM(Raw_Passengers!D248&amp;"")=""),1,0)</f>
        <v>0</v>
      </c>
      <c r="G248" s="7" t="str">
        <f>IF(SUMPRODUCT(--(Lookup_Status!$A$2:$A$13=LOWER(TRIM(Raw_Passengers!F248))))=0,"",INDEX(Lookup_Status!$B$2:$B$13,SUMPRODUCT((Lookup_Status!$A$2:$A$13=LOWER(TRIM(Raw_Passengers!F248)))*(ROW(Lookup_Status!$A$2:$A$13)-1))))</f>
        <v>Confirmed</v>
      </c>
      <c r="H248" s="7" t="str">
        <f>IF(SUMPRODUCT(--(Lookup_Status!$A$2:$A$13=LOWER(TRIM(Raw_Passengers!G248))))=0,"",INDEX(Lookup_Status!$B$2:$B$13,SUMPRODUCT((Lookup_Status!$A$2:$A$13=LOWER(TRIM(Raw_Passengers!G248)))*(ROW(Lookup_Status!$A$2:$A$13)-1))))</f>
        <v>Confirmed</v>
      </c>
      <c r="I248" s="7">
        <f>IF(OR(G248="",G248="Cancelled",G248="Mixed"),1,0)</f>
        <v>0</v>
      </c>
      <c r="J248" s="7">
        <f>IF(OR(H248="",H248="Mixed"),1,0)</f>
        <v>0</v>
      </c>
      <c r="K248" s="7">
        <f>IF(AND(C248=0,D248=0),IF(OR(AND(I248=0,NOT(EXACT(Raw_Passengers!F248,G248))),AND(J248=0,NOT(EXACT(Raw_Passengers!G248,H248)))),1,0),0)</f>
        <v>0</v>
      </c>
      <c r="L248" s="7">
        <f>IF(AND(C248=0,D248=0,I248=1),1,0)</f>
        <v>0</v>
      </c>
      <c r="M248" s="7">
        <f>IF(AND(C248=0,D248=0,J248=1),1,0)</f>
        <v>0</v>
      </c>
    </row>
    <row r="249" spans="1:13">
      <c r="A249" s="7">
        <f>Raw_Passengers!A249</f>
        <v>76300</v>
      </c>
      <c r="B249" s="7">
        <f>Raw_Passengers!B249</f>
        <v>1037781</v>
      </c>
      <c r="C249" s="7">
        <f>IF(COUNTIF(Raw_Passengers!$A$2:A249,Raw_Passengers!A249)&gt;1,1,0)</f>
        <v>0</v>
      </c>
      <c r="D249" s="7">
        <f>IF(COUNTIF(Raw_Bookings!$A$2:$A$648,Raw_Passengers!B249)=0,1,0)</f>
        <v>0</v>
      </c>
      <c r="E249" s="7">
        <f>IF(OR(C249=1,D249=1),0,IF(NOT(ISNUMBER(Raw_Passengers!E249)),1,IF(Raw_Passengers!E249&lt;=0,1,0)))</f>
        <v>0</v>
      </c>
      <c r="F249" s="7">
        <f>IF(AND(C249=0,D249=0,TRIM(Raw_Passengers!D249&amp;"")=""),1,0)</f>
        <v>0</v>
      </c>
      <c r="G249" s="7" t="str">
        <f>IF(SUMPRODUCT(--(Lookup_Status!$A$2:$A$13=LOWER(TRIM(Raw_Passengers!F249))))=0,"",INDEX(Lookup_Status!$B$2:$B$13,SUMPRODUCT((Lookup_Status!$A$2:$A$13=LOWER(TRIM(Raw_Passengers!F249)))*(ROW(Lookup_Status!$A$2:$A$13)-1))))</f>
        <v>Confirmed</v>
      </c>
      <c r="H249" s="7" t="str">
        <f>IF(SUMPRODUCT(--(Lookup_Status!$A$2:$A$13=LOWER(TRIM(Raw_Passengers!G249))))=0,"",INDEX(Lookup_Status!$B$2:$B$13,SUMPRODUCT((Lookup_Status!$A$2:$A$13=LOWER(TRIM(Raw_Passengers!G249)))*(ROW(Lookup_Status!$A$2:$A$13)-1))))</f>
        <v>Confirmed</v>
      </c>
      <c r="I249" s="7">
        <f>IF(OR(G249="",G249="Cancelled",G249="Mixed"),1,0)</f>
        <v>0</v>
      </c>
      <c r="J249" s="7">
        <f>IF(OR(H249="",H249="Mixed"),1,0)</f>
        <v>0</v>
      </c>
      <c r="K249" s="7">
        <f>IF(AND(C249=0,D249=0),IF(OR(AND(I249=0,NOT(EXACT(Raw_Passengers!F249,G249))),AND(J249=0,NOT(EXACT(Raw_Passengers!G249,H249)))),1,0),0)</f>
        <v>0</v>
      </c>
      <c r="L249" s="7">
        <f>IF(AND(C249=0,D249=0,I249=1),1,0)</f>
        <v>0</v>
      </c>
      <c r="M249" s="7">
        <f>IF(AND(C249=0,D249=0,J249=1),1,0)</f>
        <v>0</v>
      </c>
    </row>
    <row r="250" spans="1:13">
      <c r="A250" s="7">
        <f>Raw_Passengers!A250</f>
        <v>76695</v>
      </c>
      <c r="B250" s="7">
        <f>Raw_Passengers!B250</f>
        <v>1037976</v>
      </c>
      <c r="C250" s="7">
        <f>IF(COUNTIF(Raw_Passengers!$A$2:A250,Raw_Passengers!A250)&gt;1,1,0)</f>
        <v>0</v>
      </c>
      <c r="D250" s="7">
        <f>IF(COUNTIF(Raw_Bookings!$A$2:$A$648,Raw_Passengers!B250)=0,1,0)</f>
        <v>0</v>
      </c>
      <c r="E250" s="7">
        <f>IF(OR(C250=1,D250=1),0,IF(NOT(ISNUMBER(Raw_Passengers!E250)),1,IF(Raw_Passengers!E250&lt;=0,1,0)))</f>
        <v>0</v>
      </c>
      <c r="F250" s="7">
        <f>IF(AND(C250=0,D250=0,TRIM(Raw_Passengers!D250&amp;"")=""),1,0)</f>
        <v>0</v>
      </c>
      <c r="G250" s="7" t="str">
        <f>IF(SUMPRODUCT(--(Lookup_Status!$A$2:$A$13=LOWER(TRIM(Raw_Passengers!F250))))=0,"",INDEX(Lookup_Status!$B$2:$B$13,SUMPRODUCT((Lookup_Status!$A$2:$A$13=LOWER(TRIM(Raw_Passengers!F250)))*(ROW(Lookup_Status!$A$2:$A$13)-1))))</f>
        <v>Confirmed</v>
      </c>
      <c r="H250" s="7" t="str">
        <f>IF(SUMPRODUCT(--(Lookup_Status!$A$2:$A$13=LOWER(TRIM(Raw_Passengers!G250))))=0,"",INDEX(Lookup_Status!$B$2:$B$13,SUMPRODUCT((Lookup_Status!$A$2:$A$13=LOWER(TRIM(Raw_Passengers!G250)))*(ROW(Lookup_Status!$A$2:$A$13)-1))))</f>
        <v>Confirmed</v>
      </c>
      <c r="I250" s="7">
        <f>IF(OR(G250="",G250="Cancelled",G250="Mixed"),1,0)</f>
        <v>0</v>
      </c>
      <c r="J250" s="7">
        <f>IF(OR(H250="",H250="Mixed"),1,0)</f>
        <v>0</v>
      </c>
      <c r="K250" s="7">
        <f>IF(AND(C250=0,D250=0),IF(OR(AND(I250=0,NOT(EXACT(Raw_Passengers!F250,G250))),AND(J250=0,NOT(EXACT(Raw_Passengers!G250,H250)))),1,0),0)</f>
        <v>0</v>
      </c>
      <c r="L250" s="7">
        <f>IF(AND(C250=0,D250=0,I250=1),1,0)</f>
        <v>0</v>
      </c>
      <c r="M250" s="7">
        <f>IF(AND(C250=0,D250=0,J250=1),1,0)</f>
        <v>0</v>
      </c>
    </row>
    <row r="251" spans="1:13">
      <c r="A251" s="7">
        <f>Raw_Passengers!A251</f>
        <v>76696</v>
      </c>
      <c r="B251" s="7">
        <f>Raw_Passengers!B251</f>
        <v>1037976</v>
      </c>
      <c r="C251" s="7">
        <f>IF(COUNTIF(Raw_Passengers!$A$2:A251,Raw_Passengers!A251)&gt;1,1,0)</f>
        <v>0</v>
      </c>
      <c r="D251" s="7">
        <f>IF(COUNTIF(Raw_Bookings!$A$2:$A$648,Raw_Passengers!B251)=0,1,0)</f>
        <v>0</v>
      </c>
      <c r="E251" s="7">
        <f>IF(OR(C251=1,D251=1),0,IF(NOT(ISNUMBER(Raw_Passengers!E251)),1,IF(Raw_Passengers!E251&lt;=0,1,0)))</f>
        <v>0</v>
      </c>
      <c r="F251" s="7">
        <f>IF(AND(C251=0,D251=0,TRIM(Raw_Passengers!D251&amp;"")=""),1,0)</f>
        <v>0</v>
      </c>
      <c r="G251" s="7" t="str">
        <f>IF(SUMPRODUCT(--(Lookup_Status!$A$2:$A$13=LOWER(TRIM(Raw_Passengers!F251))))=0,"",INDEX(Lookup_Status!$B$2:$B$13,SUMPRODUCT((Lookup_Status!$A$2:$A$13=LOWER(TRIM(Raw_Passengers!F251)))*(ROW(Lookup_Status!$A$2:$A$13)-1))))</f>
        <v>Confirmed</v>
      </c>
      <c r="H251" s="7" t="str">
        <f>IF(SUMPRODUCT(--(Lookup_Status!$A$2:$A$13=LOWER(TRIM(Raw_Passengers!G251))))=0,"",INDEX(Lookup_Status!$B$2:$B$13,SUMPRODUCT((Lookup_Status!$A$2:$A$13=LOWER(TRIM(Raw_Passengers!G251)))*(ROW(Lookup_Status!$A$2:$A$13)-1))))</f>
        <v>Confirmed</v>
      </c>
      <c r="I251" s="7">
        <f>IF(OR(G251="",G251="Cancelled",G251="Mixed"),1,0)</f>
        <v>0</v>
      </c>
      <c r="J251" s="7">
        <f>IF(OR(H251="",H251="Mixed"),1,0)</f>
        <v>0</v>
      </c>
      <c r="K251" s="7">
        <f>IF(AND(C251=0,D251=0),IF(OR(AND(I251=0,NOT(EXACT(Raw_Passengers!F251,G251))),AND(J251=0,NOT(EXACT(Raw_Passengers!G251,H251)))),1,0),0)</f>
        <v>0</v>
      </c>
      <c r="L251" s="7">
        <f>IF(AND(C251=0,D251=0,I251=1),1,0)</f>
        <v>0</v>
      </c>
      <c r="M251" s="7">
        <f>IF(AND(C251=0,D251=0,J251=1),1,0)</f>
        <v>0</v>
      </c>
    </row>
    <row r="252" spans="1:13">
      <c r="A252" s="7">
        <f>Raw_Passengers!A252</f>
        <v>76697</v>
      </c>
      <c r="B252" s="7">
        <f>Raw_Passengers!B252</f>
        <v>1037976</v>
      </c>
      <c r="C252" s="7">
        <f>IF(COUNTIF(Raw_Passengers!$A$2:A252,Raw_Passengers!A252)&gt;1,1,0)</f>
        <v>0</v>
      </c>
      <c r="D252" s="7">
        <f>IF(COUNTIF(Raw_Bookings!$A$2:$A$648,Raw_Passengers!B252)=0,1,0)</f>
        <v>0</v>
      </c>
      <c r="E252" s="7">
        <f>IF(OR(C252=1,D252=1),0,IF(NOT(ISNUMBER(Raw_Passengers!E252)),1,IF(Raw_Passengers!E252&lt;=0,1,0)))</f>
        <v>0</v>
      </c>
      <c r="F252" s="7">
        <f>IF(AND(C252=0,D252=0,TRIM(Raw_Passengers!D252&amp;"")=""),1,0)</f>
        <v>0</v>
      </c>
      <c r="G252" s="7" t="str">
        <f>IF(SUMPRODUCT(--(Lookup_Status!$A$2:$A$13=LOWER(TRIM(Raw_Passengers!F252))))=0,"",INDEX(Lookup_Status!$B$2:$B$13,SUMPRODUCT((Lookup_Status!$A$2:$A$13=LOWER(TRIM(Raw_Passengers!F252)))*(ROW(Lookup_Status!$A$2:$A$13)-1))))</f>
        <v>Confirmed</v>
      </c>
      <c r="H252" s="7" t="str">
        <f>IF(SUMPRODUCT(--(Lookup_Status!$A$2:$A$13=LOWER(TRIM(Raw_Passengers!G252))))=0,"",INDEX(Lookup_Status!$B$2:$B$13,SUMPRODUCT((Lookup_Status!$A$2:$A$13=LOWER(TRIM(Raw_Passengers!G252)))*(ROW(Lookup_Status!$A$2:$A$13)-1))))</f>
        <v>Confirmed</v>
      </c>
      <c r="I252" s="7">
        <f>IF(OR(G252="",G252="Cancelled",G252="Mixed"),1,0)</f>
        <v>0</v>
      </c>
      <c r="J252" s="7">
        <f>IF(OR(H252="",H252="Mixed"),1,0)</f>
        <v>0</v>
      </c>
      <c r="K252" s="7">
        <f>IF(AND(C252=0,D252=0),IF(OR(AND(I252=0,NOT(EXACT(Raw_Passengers!F252,G252))),AND(J252=0,NOT(EXACT(Raw_Passengers!G252,H252)))),1,0),0)</f>
        <v>0</v>
      </c>
      <c r="L252" s="7">
        <f>IF(AND(C252=0,D252=0,I252=1),1,0)</f>
        <v>0</v>
      </c>
      <c r="M252" s="7">
        <f>IF(AND(C252=0,D252=0,J252=1),1,0)</f>
        <v>0</v>
      </c>
    </row>
    <row r="253" spans="1:13">
      <c r="A253" s="7">
        <f>Raw_Passengers!A253</f>
        <v>76698</v>
      </c>
      <c r="B253" s="7">
        <f>Raw_Passengers!B253</f>
        <v>1037976</v>
      </c>
      <c r="C253" s="7">
        <f>IF(COUNTIF(Raw_Passengers!$A$2:A253,Raw_Passengers!A253)&gt;1,1,0)</f>
        <v>0</v>
      </c>
      <c r="D253" s="7">
        <f>IF(COUNTIF(Raw_Bookings!$A$2:$A$648,Raw_Passengers!B253)=0,1,0)</f>
        <v>0</v>
      </c>
      <c r="E253" s="7">
        <f>IF(OR(C253=1,D253=1),0,IF(NOT(ISNUMBER(Raw_Passengers!E253)),1,IF(Raw_Passengers!E253&lt;=0,1,0)))</f>
        <v>0</v>
      </c>
      <c r="F253" s="7">
        <f>IF(AND(C253=0,D253=0,TRIM(Raw_Passengers!D253&amp;"")=""),1,0)</f>
        <v>0</v>
      </c>
      <c r="G253" s="7" t="str">
        <f>IF(SUMPRODUCT(--(Lookup_Status!$A$2:$A$13=LOWER(TRIM(Raw_Passengers!F253))))=0,"",INDEX(Lookup_Status!$B$2:$B$13,SUMPRODUCT((Lookup_Status!$A$2:$A$13=LOWER(TRIM(Raw_Passengers!F253)))*(ROW(Lookup_Status!$A$2:$A$13)-1))))</f>
        <v>Confirmed</v>
      </c>
      <c r="H253" s="7" t="str">
        <f>IF(SUMPRODUCT(--(Lookup_Status!$A$2:$A$13=LOWER(TRIM(Raw_Passengers!G253))))=0,"",INDEX(Lookup_Status!$B$2:$B$13,SUMPRODUCT((Lookup_Status!$A$2:$A$13=LOWER(TRIM(Raw_Passengers!G253)))*(ROW(Lookup_Status!$A$2:$A$13)-1))))</f>
        <v>Confirmed</v>
      </c>
      <c r="I253" s="7">
        <f>IF(OR(G253="",G253="Cancelled",G253="Mixed"),1,0)</f>
        <v>0</v>
      </c>
      <c r="J253" s="7">
        <f>IF(OR(H253="",H253="Mixed"),1,0)</f>
        <v>0</v>
      </c>
      <c r="K253" s="7">
        <f>IF(AND(C253=0,D253=0),IF(OR(AND(I253=0,NOT(EXACT(Raw_Passengers!F253,G253))),AND(J253=0,NOT(EXACT(Raw_Passengers!G253,H253)))),1,0),0)</f>
        <v>0</v>
      </c>
      <c r="L253" s="7">
        <f>IF(AND(C253=0,D253=0,I253=1),1,0)</f>
        <v>0</v>
      </c>
      <c r="M253" s="7">
        <f>IF(AND(C253=0,D253=0,J253=1),1,0)</f>
        <v>0</v>
      </c>
    </row>
    <row r="254" spans="1:13">
      <c r="A254" s="7">
        <f>Raw_Passengers!A254</f>
        <v>77308</v>
      </c>
      <c r="B254" s="7">
        <f>Raw_Passengers!B254</f>
        <v>1038246</v>
      </c>
      <c r="C254" s="7">
        <f>IF(COUNTIF(Raw_Passengers!$A$2:A254,Raw_Passengers!A254)&gt;1,1,0)</f>
        <v>0</v>
      </c>
      <c r="D254" s="7">
        <f>IF(COUNTIF(Raw_Bookings!$A$2:$A$648,Raw_Passengers!B254)=0,1,0)</f>
        <v>0</v>
      </c>
      <c r="E254" s="7">
        <f>IF(OR(C254=1,D254=1),0,IF(NOT(ISNUMBER(Raw_Passengers!E254)),1,IF(Raw_Passengers!E254&lt;=0,1,0)))</f>
        <v>0</v>
      </c>
      <c r="F254" s="7">
        <f>IF(AND(C254=0,D254=0,TRIM(Raw_Passengers!D254&amp;"")=""),1,0)</f>
        <v>0</v>
      </c>
      <c r="G254" s="7" t="str">
        <f>IF(SUMPRODUCT(--(Lookup_Status!$A$2:$A$13=LOWER(TRIM(Raw_Passengers!F254))))=0,"",INDEX(Lookup_Status!$B$2:$B$13,SUMPRODUCT((Lookup_Status!$A$2:$A$13=LOWER(TRIM(Raw_Passengers!F254)))*(ROW(Lookup_Status!$A$2:$A$13)-1))))</f>
        <v>RAC</v>
      </c>
      <c r="H254" s="7" t="str">
        <f>IF(SUMPRODUCT(--(Lookup_Status!$A$2:$A$13=LOWER(TRIM(Raw_Passengers!G254))))=0,"",INDEX(Lookup_Status!$B$2:$B$13,SUMPRODUCT((Lookup_Status!$A$2:$A$13=LOWER(TRIM(Raw_Passengers!G254)))*(ROW(Lookup_Status!$A$2:$A$13)-1))))</f>
        <v>Cancelled</v>
      </c>
      <c r="I254" s="7">
        <f>IF(OR(G254="",G254="Cancelled",G254="Mixed"),1,0)</f>
        <v>0</v>
      </c>
      <c r="J254" s="7">
        <f>IF(OR(H254="",H254="Mixed"),1,0)</f>
        <v>0</v>
      </c>
      <c r="K254" s="7">
        <f>IF(AND(C254=0,D254=0),IF(OR(AND(I254=0,NOT(EXACT(Raw_Passengers!F254,G254))),AND(J254=0,NOT(EXACT(Raw_Passengers!G254,H254)))),1,0),0)</f>
        <v>0</v>
      </c>
      <c r="L254" s="7">
        <f>IF(AND(C254=0,D254=0,I254=1),1,0)</f>
        <v>0</v>
      </c>
      <c r="M254" s="7">
        <f>IF(AND(C254=0,D254=0,J254=1),1,0)</f>
        <v>0</v>
      </c>
    </row>
    <row r="255" spans="1:13">
      <c r="A255" s="7">
        <f>Raw_Passengers!A255</f>
        <v>77309</v>
      </c>
      <c r="B255" s="7">
        <f>Raw_Passengers!B255</f>
        <v>1038246</v>
      </c>
      <c r="C255" s="7">
        <f>IF(COUNTIF(Raw_Passengers!$A$2:A255,Raw_Passengers!A255)&gt;1,1,0)</f>
        <v>0</v>
      </c>
      <c r="D255" s="7">
        <f>IF(COUNTIF(Raw_Bookings!$A$2:$A$648,Raw_Passengers!B255)=0,1,0)</f>
        <v>0</v>
      </c>
      <c r="E255" s="7">
        <f>IF(OR(C255=1,D255=1),0,IF(NOT(ISNUMBER(Raw_Passengers!E255)),1,IF(Raw_Passengers!E255&lt;=0,1,0)))</f>
        <v>0</v>
      </c>
      <c r="F255" s="7">
        <f>IF(AND(C255=0,D255=0,TRIM(Raw_Passengers!D255&amp;"")=""),1,0)</f>
        <v>0</v>
      </c>
      <c r="G255" s="7" t="str">
        <f>IF(SUMPRODUCT(--(Lookup_Status!$A$2:$A$13=LOWER(TRIM(Raw_Passengers!F255))))=0,"",INDEX(Lookup_Status!$B$2:$B$13,SUMPRODUCT((Lookup_Status!$A$2:$A$13=LOWER(TRIM(Raw_Passengers!F255)))*(ROW(Lookup_Status!$A$2:$A$13)-1))))</f>
        <v>RAC</v>
      </c>
      <c r="H255" s="7" t="str">
        <f>IF(SUMPRODUCT(--(Lookup_Status!$A$2:$A$13=LOWER(TRIM(Raw_Passengers!G255))))=0,"",INDEX(Lookup_Status!$B$2:$B$13,SUMPRODUCT((Lookup_Status!$A$2:$A$13=LOWER(TRIM(Raw_Passengers!G255)))*(ROW(Lookup_Status!$A$2:$A$13)-1))))</f>
        <v>Cancelled</v>
      </c>
      <c r="I255" s="7">
        <f>IF(OR(G255="",G255="Cancelled",G255="Mixed"),1,0)</f>
        <v>0</v>
      </c>
      <c r="J255" s="7">
        <f>IF(OR(H255="",H255="Mixed"),1,0)</f>
        <v>0</v>
      </c>
      <c r="K255" s="7">
        <f>IF(AND(C255=0,D255=0),IF(OR(AND(I255=0,NOT(EXACT(Raw_Passengers!F255,G255))),AND(J255=0,NOT(EXACT(Raw_Passengers!G255,H255)))),1,0),0)</f>
        <v>0</v>
      </c>
      <c r="L255" s="7">
        <f>IF(AND(C255=0,D255=0,I255=1),1,0)</f>
        <v>0</v>
      </c>
      <c r="M255" s="7">
        <f>IF(AND(C255=0,D255=0,J255=1),1,0)</f>
        <v>0</v>
      </c>
    </row>
    <row r="256" spans="1:13">
      <c r="A256" s="7">
        <f>Raw_Passengers!A256</f>
        <v>77310</v>
      </c>
      <c r="B256" s="7">
        <f>Raw_Passengers!B256</f>
        <v>1038246</v>
      </c>
      <c r="C256" s="7">
        <f>IF(COUNTIF(Raw_Passengers!$A$2:A256,Raw_Passengers!A256)&gt;1,1,0)</f>
        <v>0</v>
      </c>
      <c r="D256" s="7">
        <f>IF(COUNTIF(Raw_Bookings!$A$2:$A$648,Raw_Passengers!B256)=0,1,0)</f>
        <v>0</v>
      </c>
      <c r="E256" s="7">
        <f>IF(OR(C256=1,D256=1),0,IF(NOT(ISNUMBER(Raw_Passengers!E256)),1,IF(Raw_Passengers!E256&lt;=0,1,0)))</f>
        <v>0</v>
      </c>
      <c r="F256" s="7">
        <f>IF(AND(C256=0,D256=0,TRIM(Raw_Passengers!D256&amp;"")=""),1,0)</f>
        <v>0</v>
      </c>
      <c r="G256" s="7" t="str">
        <f>IF(SUMPRODUCT(--(Lookup_Status!$A$2:$A$13=LOWER(TRIM(Raw_Passengers!F256))))=0,"",INDEX(Lookup_Status!$B$2:$B$13,SUMPRODUCT((Lookup_Status!$A$2:$A$13=LOWER(TRIM(Raw_Passengers!F256)))*(ROW(Lookup_Status!$A$2:$A$13)-1))))</f>
        <v>RAC</v>
      </c>
      <c r="H256" s="7" t="str">
        <f>IF(SUMPRODUCT(--(Lookup_Status!$A$2:$A$13=LOWER(TRIM(Raw_Passengers!G256))))=0,"",INDEX(Lookup_Status!$B$2:$B$13,SUMPRODUCT((Lookup_Status!$A$2:$A$13=LOWER(TRIM(Raw_Passengers!G256)))*(ROW(Lookup_Status!$A$2:$A$13)-1))))</f>
        <v>Cancelled</v>
      </c>
      <c r="I256" s="7">
        <f>IF(OR(G256="",G256="Cancelled",G256="Mixed"),1,0)</f>
        <v>0</v>
      </c>
      <c r="J256" s="7">
        <f>IF(OR(H256="",H256="Mixed"),1,0)</f>
        <v>0</v>
      </c>
      <c r="K256" s="7">
        <f>IF(AND(C256=0,D256=0),IF(OR(AND(I256=0,NOT(EXACT(Raw_Passengers!F256,G256))),AND(J256=0,NOT(EXACT(Raw_Passengers!G256,H256)))),1,0),0)</f>
        <v>0</v>
      </c>
      <c r="L256" s="7">
        <f>IF(AND(C256=0,D256=0,I256=1),1,0)</f>
        <v>0</v>
      </c>
      <c r="M256" s="7">
        <f>IF(AND(C256=0,D256=0,J256=1),1,0)</f>
        <v>0</v>
      </c>
    </row>
    <row r="257" spans="1:13">
      <c r="A257" s="7">
        <f>Raw_Passengers!A257</f>
        <v>77311</v>
      </c>
      <c r="B257" s="7">
        <f>Raw_Passengers!B257</f>
        <v>1038246</v>
      </c>
      <c r="C257" s="7">
        <f>IF(COUNTIF(Raw_Passengers!$A$2:A257,Raw_Passengers!A257)&gt;1,1,0)</f>
        <v>0</v>
      </c>
      <c r="D257" s="7">
        <f>IF(COUNTIF(Raw_Bookings!$A$2:$A$648,Raw_Passengers!B257)=0,1,0)</f>
        <v>0</v>
      </c>
      <c r="E257" s="7">
        <f>IF(OR(C257=1,D257=1),0,IF(NOT(ISNUMBER(Raw_Passengers!E257)),1,IF(Raw_Passengers!E257&lt;=0,1,0)))</f>
        <v>0</v>
      </c>
      <c r="F257" s="7">
        <f>IF(AND(C257=0,D257=0,TRIM(Raw_Passengers!D257&amp;"")=""),1,0)</f>
        <v>0</v>
      </c>
      <c r="G257" s="7" t="str">
        <f>IF(SUMPRODUCT(--(Lookup_Status!$A$2:$A$13=LOWER(TRIM(Raw_Passengers!F257))))=0,"",INDEX(Lookup_Status!$B$2:$B$13,SUMPRODUCT((Lookup_Status!$A$2:$A$13=LOWER(TRIM(Raw_Passengers!F257)))*(ROW(Lookup_Status!$A$2:$A$13)-1))))</f>
        <v>RAC</v>
      </c>
      <c r="H257" s="7" t="str">
        <f>IF(SUMPRODUCT(--(Lookup_Status!$A$2:$A$13=LOWER(TRIM(Raw_Passengers!G257))))=0,"",INDEX(Lookup_Status!$B$2:$B$13,SUMPRODUCT((Lookup_Status!$A$2:$A$13=LOWER(TRIM(Raw_Passengers!G257)))*(ROW(Lookup_Status!$A$2:$A$13)-1))))</f>
        <v>Cancelled</v>
      </c>
      <c r="I257" s="7">
        <f>IF(OR(G257="",G257="Cancelled",G257="Mixed"),1,0)</f>
        <v>0</v>
      </c>
      <c r="J257" s="7">
        <f>IF(OR(H257="",H257="Mixed"),1,0)</f>
        <v>0</v>
      </c>
      <c r="K257" s="7">
        <f>IF(AND(C257=0,D257=0),IF(OR(AND(I257=0,NOT(EXACT(Raw_Passengers!F257,G257))),AND(J257=0,NOT(EXACT(Raw_Passengers!G257,H257)))),1,0),0)</f>
        <v>0</v>
      </c>
      <c r="L257" s="7">
        <f>IF(AND(C257=0,D257=0,I257=1),1,0)</f>
        <v>0</v>
      </c>
      <c r="M257" s="7">
        <f>IF(AND(C257=0,D257=0,J257=1),1,0)</f>
        <v>0</v>
      </c>
    </row>
    <row r="258" spans="1:13">
      <c r="A258" s="7">
        <f>Raw_Passengers!A258</f>
        <v>77388</v>
      </c>
      <c r="B258" s="7">
        <f>Raw_Passengers!B258</f>
        <v>1038289</v>
      </c>
      <c r="C258" s="7">
        <f>IF(COUNTIF(Raw_Passengers!$A$2:A258,Raw_Passengers!A258)&gt;1,1,0)</f>
        <v>0</v>
      </c>
      <c r="D258" s="7">
        <f>IF(COUNTIF(Raw_Bookings!$A$2:$A$648,Raw_Passengers!B258)=0,1,0)</f>
        <v>0</v>
      </c>
      <c r="E258" s="7">
        <f>IF(OR(C258=1,D258=1),0,IF(NOT(ISNUMBER(Raw_Passengers!E258)),1,IF(Raw_Passengers!E258&lt;=0,1,0)))</f>
        <v>0</v>
      </c>
      <c r="F258" s="7">
        <f>IF(AND(C258=0,D258=0,TRIM(Raw_Passengers!D258&amp;"")=""),1,0)</f>
        <v>0</v>
      </c>
      <c r="G258" s="7" t="str">
        <f>IF(SUMPRODUCT(--(Lookup_Status!$A$2:$A$13=LOWER(TRIM(Raw_Passengers!F258))))=0,"",INDEX(Lookup_Status!$B$2:$B$13,SUMPRODUCT((Lookup_Status!$A$2:$A$13=LOWER(TRIM(Raw_Passengers!F258)))*(ROW(Lookup_Status!$A$2:$A$13)-1))))</f>
        <v>Confirmed</v>
      </c>
      <c r="H258" s="7" t="str">
        <f>IF(SUMPRODUCT(--(Lookup_Status!$A$2:$A$13=LOWER(TRIM(Raw_Passengers!G258))))=0,"",INDEX(Lookup_Status!$B$2:$B$13,SUMPRODUCT((Lookup_Status!$A$2:$A$13=LOWER(TRIM(Raw_Passengers!G258)))*(ROW(Lookup_Status!$A$2:$A$13)-1))))</f>
        <v>Confirmed</v>
      </c>
      <c r="I258" s="7">
        <f>IF(OR(G258="",G258="Cancelled",G258="Mixed"),1,0)</f>
        <v>0</v>
      </c>
      <c r="J258" s="7">
        <f>IF(OR(H258="",H258="Mixed"),1,0)</f>
        <v>0</v>
      </c>
      <c r="K258" s="7">
        <f>IF(AND(C258=0,D258=0),IF(OR(AND(I258=0,NOT(EXACT(Raw_Passengers!F258,G258))),AND(J258=0,NOT(EXACT(Raw_Passengers!G258,H258)))),1,0),0)</f>
        <v>0</v>
      </c>
      <c r="L258" s="7">
        <f>IF(AND(C258=0,D258=0,I258=1),1,0)</f>
        <v>0</v>
      </c>
      <c r="M258" s="7">
        <f>IF(AND(C258=0,D258=0,J258=1),1,0)</f>
        <v>0</v>
      </c>
    </row>
    <row r="259" spans="1:13">
      <c r="A259" s="7">
        <f>Raw_Passengers!A259</f>
        <v>78156</v>
      </c>
      <c r="B259" s="7">
        <f>Raw_Passengers!B259</f>
        <v>1038662</v>
      </c>
      <c r="C259" s="7">
        <f>IF(COUNTIF(Raw_Passengers!$A$2:A259,Raw_Passengers!A259)&gt;1,1,0)</f>
        <v>0</v>
      </c>
      <c r="D259" s="7">
        <f>IF(COUNTIF(Raw_Bookings!$A$2:$A$648,Raw_Passengers!B259)=0,1,0)</f>
        <v>0</v>
      </c>
      <c r="E259" s="7">
        <f>IF(OR(C259=1,D259=1),0,IF(NOT(ISNUMBER(Raw_Passengers!E259)),1,IF(Raw_Passengers!E259&lt;=0,1,0)))</f>
        <v>0</v>
      </c>
      <c r="F259" s="7">
        <f>IF(AND(C259=0,D259=0,TRIM(Raw_Passengers!D259&amp;"")=""),1,0)</f>
        <v>0</v>
      </c>
      <c r="G259" s="7" t="str">
        <f>IF(SUMPRODUCT(--(Lookup_Status!$A$2:$A$13=LOWER(TRIM(Raw_Passengers!F259))))=0,"",INDEX(Lookup_Status!$B$2:$B$13,SUMPRODUCT((Lookup_Status!$A$2:$A$13=LOWER(TRIM(Raw_Passengers!F259)))*(ROW(Lookup_Status!$A$2:$A$13)-1))))</f>
        <v>Confirmed</v>
      </c>
      <c r="H259" s="7" t="str">
        <f>IF(SUMPRODUCT(--(Lookup_Status!$A$2:$A$13=LOWER(TRIM(Raw_Passengers!G259))))=0,"",INDEX(Lookup_Status!$B$2:$B$13,SUMPRODUCT((Lookup_Status!$A$2:$A$13=LOWER(TRIM(Raw_Passengers!G259)))*(ROW(Lookup_Status!$A$2:$A$13)-1))))</f>
        <v>Confirmed</v>
      </c>
      <c r="I259" s="7">
        <f>IF(OR(G259="",G259="Cancelled",G259="Mixed"),1,0)</f>
        <v>0</v>
      </c>
      <c r="J259" s="7">
        <f>IF(OR(H259="",H259="Mixed"),1,0)</f>
        <v>0</v>
      </c>
      <c r="K259" s="7">
        <f>IF(AND(C259=0,D259=0),IF(OR(AND(I259=0,NOT(EXACT(Raw_Passengers!F259,G259))),AND(J259=0,NOT(EXACT(Raw_Passengers!G259,H259)))),1,0),0)</f>
        <v>0</v>
      </c>
      <c r="L259" s="7">
        <f>IF(AND(C259=0,D259=0,I259=1),1,0)</f>
        <v>0</v>
      </c>
      <c r="M259" s="7">
        <f>IF(AND(C259=0,D259=0,J259=1),1,0)</f>
        <v>0</v>
      </c>
    </row>
    <row r="260" spans="1:13">
      <c r="A260" s="7">
        <f>Raw_Passengers!A260</f>
        <v>78157</v>
      </c>
      <c r="B260" s="7">
        <f>Raw_Passengers!B260</f>
        <v>1038662</v>
      </c>
      <c r="C260" s="7">
        <f>IF(COUNTIF(Raw_Passengers!$A$2:A260,Raw_Passengers!A260)&gt;1,1,0)</f>
        <v>0</v>
      </c>
      <c r="D260" s="7">
        <f>IF(COUNTIF(Raw_Bookings!$A$2:$A$648,Raw_Passengers!B260)=0,1,0)</f>
        <v>0</v>
      </c>
      <c r="E260" s="7">
        <f>IF(OR(C260=1,D260=1),0,IF(NOT(ISNUMBER(Raw_Passengers!E260)),1,IF(Raw_Passengers!E260&lt;=0,1,0)))</f>
        <v>0</v>
      </c>
      <c r="F260" s="7">
        <f>IF(AND(C260=0,D260=0,TRIM(Raw_Passengers!D260&amp;"")=""),1,0)</f>
        <v>0</v>
      </c>
      <c r="G260" s="7" t="str">
        <f>IF(SUMPRODUCT(--(Lookup_Status!$A$2:$A$13=LOWER(TRIM(Raw_Passengers!F260))))=0,"",INDEX(Lookup_Status!$B$2:$B$13,SUMPRODUCT((Lookup_Status!$A$2:$A$13=LOWER(TRIM(Raw_Passengers!F260)))*(ROW(Lookup_Status!$A$2:$A$13)-1))))</f>
        <v>Confirmed</v>
      </c>
      <c r="H260" s="7" t="str">
        <f>IF(SUMPRODUCT(--(Lookup_Status!$A$2:$A$13=LOWER(TRIM(Raw_Passengers!G260))))=0,"",INDEX(Lookup_Status!$B$2:$B$13,SUMPRODUCT((Lookup_Status!$A$2:$A$13=LOWER(TRIM(Raw_Passengers!G260)))*(ROW(Lookup_Status!$A$2:$A$13)-1))))</f>
        <v>Confirmed</v>
      </c>
      <c r="I260" s="7">
        <f>IF(OR(G260="",G260="Cancelled",G260="Mixed"),1,0)</f>
        <v>0</v>
      </c>
      <c r="J260" s="7">
        <f>IF(OR(H260="",H260="Mixed"),1,0)</f>
        <v>0</v>
      </c>
      <c r="K260" s="7">
        <f>IF(AND(C260=0,D260=0),IF(OR(AND(I260=0,NOT(EXACT(Raw_Passengers!F260,G260))),AND(J260=0,NOT(EXACT(Raw_Passengers!G260,H260)))),1,0),0)</f>
        <v>0</v>
      </c>
      <c r="L260" s="7">
        <f>IF(AND(C260=0,D260=0,I260=1),1,0)</f>
        <v>0</v>
      </c>
      <c r="M260" s="7">
        <f>IF(AND(C260=0,D260=0,J260=1),1,0)</f>
        <v>0</v>
      </c>
    </row>
    <row r="261" spans="1:13">
      <c r="A261" s="7">
        <f>Raw_Passengers!A261</f>
        <v>78244</v>
      </c>
      <c r="B261" s="7">
        <f>Raw_Passengers!B261</f>
        <v>1038708</v>
      </c>
      <c r="C261" s="7">
        <f>IF(COUNTIF(Raw_Passengers!$A$2:A261,Raw_Passengers!A261)&gt;1,1,0)</f>
        <v>0</v>
      </c>
      <c r="D261" s="7">
        <f>IF(COUNTIF(Raw_Bookings!$A$2:$A$648,Raw_Passengers!B261)=0,1,0)</f>
        <v>0</v>
      </c>
      <c r="E261" s="7">
        <f>IF(OR(C261=1,D261=1),0,IF(NOT(ISNUMBER(Raw_Passengers!E261)),1,IF(Raw_Passengers!E261&lt;=0,1,0)))</f>
        <v>0</v>
      </c>
      <c r="F261" s="7">
        <f>IF(AND(C261=0,D261=0,TRIM(Raw_Passengers!D261&amp;"")=""),1,0)</f>
        <v>0</v>
      </c>
      <c r="G261" s="7" t="str">
        <f>IF(SUMPRODUCT(--(Lookup_Status!$A$2:$A$13=LOWER(TRIM(Raw_Passengers!F261))))=0,"",INDEX(Lookup_Status!$B$2:$B$13,SUMPRODUCT((Lookup_Status!$A$2:$A$13=LOWER(TRIM(Raw_Passengers!F261)))*(ROW(Lookup_Status!$A$2:$A$13)-1))))</f>
        <v>Confirmed</v>
      </c>
      <c r="H261" s="7" t="str">
        <f>IF(SUMPRODUCT(--(Lookup_Status!$A$2:$A$13=LOWER(TRIM(Raw_Passengers!G261))))=0,"",INDEX(Lookup_Status!$B$2:$B$13,SUMPRODUCT((Lookup_Status!$A$2:$A$13=LOWER(TRIM(Raw_Passengers!G261)))*(ROW(Lookup_Status!$A$2:$A$13)-1))))</f>
        <v>Cancelled</v>
      </c>
      <c r="I261" s="7">
        <f>IF(OR(G261="",G261="Cancelled",G261="Mixed"),1,0)</f>
        <v>0</v>
      </c>
      <c r="J261" s="7">
        <f>IF(OR(H261="",H261="Mixed"),1,0)</f>
        <v>0</v>
      </c>
      <c r="K261" s="7">
        <f>IF(AND(C261=0,D261=0),IF(OR(AND(I261=0,NOT(EXACT(Raw_Passengers!F261,G261))),AND(J261=0,NOT(EXACT(Raw_Passengers!G261,H261)))),1,0),0)</f>
        <v>0</v>
      </c>
      <c r="L261" s="7">
        <f>IF(AND(C261=0,D261=0,I261=1),1,0)</f>
        <v>0</v>
      </c>
      <c r="M261" s="7">
        <f>IF(AND(C261=0,D261=0,J261=1),1,0)</f>
        <v>0</v>
      </c>
    </row>
    <row r="262" spans="1:13">
      <c r="A262" s="7">
        <f>Raw_Passengers!A262</f>
        <v>78442</v>
      </c>
      <c r="B262" s="7">
        <f>Raw_Passengers!B262</f>
        <v>1038813</v>
      </c>
      <c r="C262" s="7">
        <f>IF(COUNTIF(Raw_Passengers!$A$2:A262,Raw_Passengers!A262)&gt;1,1,0)</f>
        <v>0</v>
      </c>
      <c r="D262" s="7">
        <f>IF(COUNTIF(Raw_Bookings!$A$2:$A$648,Raw_Passengers!B262)=0,1,0)</f>
        <v>0</v>
      </c>
      <c r="E262" s="7">
        <f>IF(OR(C262=1,D262=1),0,IF(NOT(ISNUMBER(Raw_Passengers!E262)),1,IF(Raw_Passengers!E262&lt;=0,1,0)))</f>
        <v>0</v>
      </c>
      <c r="F262" s="7">
        <f>IF(AND(C262=0,D262=0,TRIM(Raw_Passengers!D262&amp;"")=""),1,0)</f>
        <v>0</v>
      </c>
      <c r="G262" s="7" t="str">
        <f>IF(SUMPRODUCT(--(Lookup_Status!$A$2:$A$13=LOWER(TRIM(Raw_Passengers!F262))))=0,"",INDEX(Lookup_Status!$B$2:$B$13,SUMPRODUCT((Lookup_Status!$A$2:$A$13=LOWER(TRIM(Raw_Passengers!F262)))*(ROW(Lookup_Status!$A$2:$A$13)-1))))</f>
        <v>Confirmed</v>
      </c>
      <c r="H262" s="7" t="str">
        <f>IF(SUMPRODUCT(--(Lookup_Status!$A$2:$A$13=LOWER(TRIM(Raw_Passengers!G262))))=0,"",INDEX(Lookup_Status!$B$2:$B$13,SUMPRODUCT((Lookup_Status!$A$2:$A$13=LOWER(TRIM(Raw_Passengers!G262)))*(ROW(Lookup_Status!$A$2:$A$13)-1))))</f>
        <v>Cancelled</v>
      </c>
      <c r="I262" s="7">
        <f>IF(OR(G262="",G262="Cancelled",G262="Mixed"),1,0)</f>
        <v>0</v>
      </c>
      <c r="J262" s="7">
        <f>IF(OR(H262="",H262="Mixed"),1,0)</f>
        <v>0</v>
      </c>
      <c r="K262" s="7">
        <f>IF(AND(C262=0,D262=0),IF(OR(AND(I262=0,NOT(EXACT(Raw_Passengers!F262,G262))),AND(J262=0,NOT(EXACT(Raw_Passengers!G262,H262)))),1,0),0)</f>
        <v>0</v>
      </c>
      <c r="L262" s="7">
        <f>IF(AND(C262=0,D262=0,I262=1),1,0)</f>
        <v>0</v>
      </c>
      <c r="M262" s="7">
        <f>IF(AND(C262=0,D262=0,J262=1),1,0)</f>
        <v>0</v>
      </c>
    </row>
    <row r="263" spans="1:13">
      <c r="A263" s="7">
        <f>Raw_Passengers!A263</f>
        <v>78443</v>
      </c>
      <c r="B263" s="7">
        <f>Raw_Passengers!B263</f>
        <v>1038813</v>
      </c>
      <c r="C263" s="7">
        <f>IF(COUNTIF(Raw_Passengers!$A$2:A263,Raw_Passengers!A263)&gt;1,1,0)</f>
        <v>0</v>
      </c>
      <c r="D263" s="7">
        <f>IF(COUNTIF(Raw_Bookings!$A$2:$A$648,Raw_Passengers!B263)=0,1,0)</f>
        <v>0</v>
      </c>
      <c r="E263" s="7">
        <f>IF(OR(C263=1,D263=1),0,IF(NOT(ISNUMBER(Raw_Passengers!E263)),1,IF(Raw_Passengers!E263&lt;=0,1,0)))</f>
        <v>0</v>
      </c>
      <c r="F263" s="7">
        <f>IF(AND(C263=0,D263=0,TRIM(Raw_Passengers!D263&amp;"")=""),1,0)</f>
        <v>0</v>
      </c>
      <c r="G263" s="7" t="str">
        <f>IF(SUMPRODUCT(--(Lookup_Status!$A$2:$A$13=LOWER(TRIM(Raw_Passengers!F263))))=0,"",INDEX(Lookup_Status!$B$2:$B$13,SUMPRODUCT((Lookup_Status!$A$2:$A$13=LOWER(TRIM(Raw_Passengers!F263)))*(ROW(Lookup_Status!$A$2:$A$13)-1))))</f>
        <v>Confirmed</v>
      </c>
      <c r="H263" s="7" t="str">
        <f>IF(SUMPRODUCT(--(Lookup_Status!$A$2:$A$13=LOWER(TRIM(Raw_Passengers!G263))))=0,"",INDEX(Lookup_Status!$B$2:$B$13,SUMPRODUCT((Lookup_Status!$A$2:$A$13=LOWER(TRIM(Raw_Passengers!G263)))*(ROW(Lookup_Status!$A$2:$A$13)-1))))</f>
        <v>Cancelled</v>
      </c>
      <c r="I263" s="7">
        <f>IF(OR(G263="",G263="Cancelled",G263="Mixed"),1,0)</f>
        <v>0</v>
      </c>
      <c r="J263" s="7">
        <f>IF(OR(H263="",H263="Mixed"),1,0)</f>
        <v>0</v>
      </c>
      <c r="K263" s="7">
        <f>IF(AND(C263=0,D263=0),IF(OR(AND(I263=0,NOT(EXACT(Raw_Passengers!F263,G263))),AND(J263=0,NOT(EXACT(Raw_Passengers!G263,H263)))),1,0),0)</f>
        <v>0</v>
      </c>
      <c r="L263" s="7">
        <f>IF(AND(C263=0,D263=0,I263=1),1,0)</f>
        <v>0</v>
      </c>
      <c r="M263" s="7">
        <f>IF(AND(C263=0,D263=0,J263=1),1,0)</f>
        <v>0</v>
      </c>
    </row>
    <row r="264" spans="1:13">
      <c r="A264" s="7">
        <f>Raw_Passengers!A264</f>
        <v>78444</v>
      </c>
      <c r="B264" s="7">
        <f>Raw_Passengers!B264</f>
        <v>1038813</v>
      </c>
      <c r="C264" s="7">
        <f>IF(COUNTIF(Raw_Passengers!$A$2:A264,Raw_Passengers!A264)&gt;1,1,0)</f>
        <v>0</v>
      </c>
      <c r="D264" s="7">
        <f>IF(COUNTIF(Raw_Bookings!$A$2:$A$648,Raw_Passengers!B264)=0,1,0)</f>
        <v>0</v>
      </c>
      <c r="E264" s="7">
        <f>IF(OR(C264=1,D264=1),0,IF(NOT(ISNUMBER(Raw_Passengers!E264)),1,IF(Raw_Passengers!E264&lt;=0,1,0)))</f>
        <v>0</v>
      </c>
      <c r="F264" s="7">
        <f>IF(AND(C264=0,D264=0,TRIM(Raw_Passengers!D264&amp;"")=""),1,0)</f>
        <v>0</v>
      </c>
      <c r="G264" s="7" t="str">
        <f>IF(SUMPRODUCT(--(Lookup_Status!$A$2:$A$13=LOWER(TRIM(Raw_Passengers!F264))))=0,"",INDEX(Lookup_Status!$B$2:$B$13,SUMPRODUCT((Lookup_Status!$A$2:$A$13=LOWER(TRIM(Raw_Passengers!F264)))*(ROW(Lookup_Status!$A$2:$A$13)-1))))</f>
        <v>Confirmed</v>
      </c>
      <c r="H264" s="7" t="str">
        <f>IF(SUMPRODUCT(--(Lookup_Status!$A$2:$A$13=LOWER(TRIM(Raw_Passengers!G264))))=0,"",INDEX(Lookup_Status!$B$2:$B$13,SUMPRODUCT((Lookup_Status!$A$2:$A$13=LOWER(TRIM(Raw_Passengers!G264)))*(ROW(Lookup_Status!$A$2:$A$13)-1))))</f>
        <v>Cancelled</v>
      </c>
      <c r="I264" s="7">
        <f>IF(OR(G264="",G264="Cancelled",G264="Mixed"),1,0)</f>
        <v>0</v>
      </c>
      <c r="J264" s="7">
        <f>IF(OR(H264="",H264="Mixed"),1,0)</f>
        <v>0</v>
      </c>
      <c r="K264" s="7">
        <f>IF(AND(C264=0,D264=0),IF(OR(AND(I264=0,NOT(EXACT(Raw_Passengers!F264,G264))),AND(J264=0,NOT(EXACT(Raw_Passengers!G264,H264)))),1,0),0)</f>
        <v>0</v>
      </c>
      <c r="L264" s="7">
        <f>IF(AND(C264=0,D264=0,I264=1),1,0)</f>
        <v>0</v>
      </c>
      <c r="M264" s="7">
        <f>IF(AND(C264=0,D264=0,J264=1),1,0)</f>
        <v>0</v>
      </c>
    </row>
    <row r="265" spans="1:13">
      <c r="A265" s="7">
        <f>Raw_Passengers!A265</f>
        <v>78445</v>
      </c>
      <c r="B265" s="7">
        <f>Raw_Passengers!B265</f>
        <v>1038813</v>
      </c>
      <c r="C265" s="7">
        <f>IF(COUNTIF(Raw_Passengers!$A$2:A265,Raw_Passengers!A265)&gt;1,1,0)</f>
        <v>0</v>
      </c>
      <c r="D265" s="7">
        <f>IF(COUNTIF(Raw_Bookings!$A$2:$A$648,Raw_Passengers!B265)=0,1,0)</f>
        <v>0</v>
      </c>
      <c r="E265" s="7">
        <f>IF(OR(C265=1,D265=1),0,IF(NOT(ISNUMBER(Raw_Passengers!E265)),1,IF(Raw_Passengers!E265&lt;=0,1,0)))</f>
        <v>0</v>
      </c>
      <c r="F265" s="7">
        <f>IF(AND(C265=0,D265=0,TRIM(Raw_Passengers!D265&amp;"")=""),1,0)</f>
        <v>0</v>
      </c>
      <c r="G265" s="7" t="str">
        <f>IF(SUMPRODUCT(--(Lookup_Status!$A$2:$A$13=LOWER(TRIM(Raw_Passengers!F265))))=0,"",INDEX(Lookup_Status!$B$2:$B$13,SUMPRODUCT((Lookup_Status!$A$2:$A$13=LOWER(TRIM(Raw_Passengers!F265)))*(ROW(Lookup_Status!$A$2:$A$13)-1))))</f>
        <v>Confirmed</v>
      </c>
      <c r="H265" s="7" t="str">
        <f>IF(SUMPRODUCT(--(Lookup_Status!$A$2:$A$13=LOWER(TRIM(Raw_Passengers!G265))))=0,"",INDEX(Lookup_Status!$B$2:$B$13,SUMPRODUCT((Lookup_Status!$A$2:$A$13=LOWER(TRIM(Raw_Passengers!G265)))*(ROW(Lookup_Status!$A$2:$A$13)-1))))</f>
        <v>Cancelled</v>
      </c>
      <c r="I265" s="7">
        <f>IF(OR(G265="",G265="Cancelled",G265="Mixed"),1,0)</f>
        <v>0</v>
      </c>
      <c r="J265" s="7">
        <f>IF(OR(H265="",H265="Mixed"),1,0)</f>
        <v>0</v>
      </c>
      <c r="K265" s="7">
        <f>IF(AND(C265=0,D265=0),IF(OR(AND(I265=0,NOT(EXACT(Raw_Passengers!F265,G265))),AND(J265=0,NOT(EXACT(Raw_Passengers!G265,H265)))),1,0),0)</f>
        <v>0</v>
      </c>
      <c r="L265" s="7">
        <f>IF(AND(C265=0,D265=0,I265=1),1,0)</f>
        <v>0</v>
      </c>
      <c r="M265" s="7">
        <f>IF(AND(C265=0,D265=0,J265=1),1,0)</f>
        <v>0</v>
      </c>
    </row>
    <row r="266" spans="1:13">
      <c r="A266" s="7">
        <f>Raw_Passengers!A266</f>
        <v>82872</v>
      </c>
      <c r="B266" s="7">
        <f>Raw_Passengers!B266</f>
        <v>1041015</v>
      </c>
      <c r="C266" s="7">
        <f>IF(COUNTIF(Raw_Passengers!$A$2:A266,Raw_Passengers!A266)&gt;1,1,0)</f>
        <v>0</v>
      </c>
      <c r="D266" s="7">
        <f>IF(COUNTIF(Raw_Bookings!$A$2:$A$648,Raw_Passengers!B266)=0,1,0)</f>
        <v>0</v>
      </c>
      <c r="E266" s="7">
        <f>IF(OR(C266=1,D266=1),0,IF(NOT(ISNUMBER(Raw_Passengers!E266)),1,IF(Raw_Passengers!E266&lt;=0,1,0)))</f>
        <v>0</v>
      </c>
      <c r="F266" s="7">
        <f>IF(AND(C266=0,D266=0,TRIM(Raw_Passengers!D266&amp;"")=""),1,0)</f>
        <v>0</v>
      </c>
      <c r="G266" s="7" t="str">
        <f>IF(SUMPRODUCT(--(Lookup_Status!$A$2:$A$13=LOWER(TRIM(Raw_Passengers!F266))))=0,"",INDEX(Lookup_Status!$B$2:$B$13,SUMPRODUCT((Lookup_Status!$A$2:$A$13=LOWER(TRIM(Raw_Passengers!F266)))*(ROW(Lookup_Status!$A$2:$A$13)-1))))</f>
        <v>Confirmed</v>
      </c>
      <c r="H266" s="7" t="str">
        <f>IF(SUMPRODUCT(--(Lookup_Status!$A$2:$A$13=LOWER(TRIM(Raw_Passengers!G266))))=0,"",INDEX(Lookup_Status!$B$2:$B$13,SUMPRODUCT((Lookup_Status!$A$2:$A$13=LOWER(TRIM(Raw_Passengers!G266)))*(ROW(Lookup_Status!$A$2:$A$13)-1))))</f>
        <v>Confirmed</v>
      </c>
      <c r="I266" s="7">
        <f>IF(OR(G266="",G266="Cancelled",G266="Mixed"),1,0)</f>
        <v>0</v>
      </c>
      <c r="J266" s="7">
        <f>IF(OR(H266="",H266="Mixed"),1,0)</f>
        <v>0</v>
      </c>
      <c r="K266" s="7">
        <f>IF(AND(C266=0,D266=0),IF(OR(AND(I266=0,NOT(EXACT(Raw_Passengers!F266,G266))),AND(J266=0,NOT(EXACT(Raw_Passengers!G266,H266)))),1,0),0)</f>
        <v>0</v>
      </c>
      <c r="L266" s="7">
        <f>IF(AND(C266=0,D266=0,I266=1),1,0)</f>
        <v>0</v>
      </c>
      <c r="M266" s="7">
        <f>IF(AND(C266=0,D266=0,J266=1),1,0)</f>
        <v>0</v>
      </c>
    </row>
    <row r="267" spans="1:13">
      <c r="A267" s="7">
        <f>Raw_Passengers!A267</f>
        <v>83343</v>
      </c>
      <c r="B267" s="7">
        <f>Raw_Passengers!B267</f>
        <v>1041254</v>
      </c>
      <c r="C267" s="7">
        <f>IF(COUNTIF(Raw_Passengers!$A$2:A267,Raw_Passengers!A267)&gt;1,1,0)</f>
        <v>0</v>
      </c>
      <c r="D267" s="7">
        <f>IF(COUNTIF(Raw_Bookings!$A$2:$A$648,Raw_Passengers!B267)=0,1,0)</f>
        <v>0</v>
      </c>
      <c r="E267" s="7">
        <f>IF(OR(C267=1,D267=1),0,IF(NOT(ISNUMBER(Raw_Passengers!E267)),1,IF(Raw_Passengers!E267&lt;=0,1,0)))</f>
        <v>0</v>
      </c>
      <c r="F267" s="7">
        <f>IF(AND(C267=0,D267=0,TRIM(Raw_Passengers!D267&amp;"")=""),1,0)</f>
        <v>0</v>
      </c>
      <c r="G267" s="7" t="str">
        <f>IF(SUMPRODUCT(--(Lookup_Status!$A$2:$A$13=LOWER(TRIM(Raw_Passengers!F267))))=0,"",INDEX(Lookup_Status!$B$2:$B$13,SUMPRODUCT((Lookup_Status!$A$2:$A$13=LOWER(TRIM(Raw_Passengers!F267)))*(ROW(Lookup_Status!$A$2:$A$13)-1))))</f>
        <v>Confirmed</v>
      </c>
      <c r="H267" s="7" t="str">
        <f>IF(SUMPRODUCT(--(Lookup_Status!$A$2:$A$13=LOWER(TRIM(Raw_Passengers!G267))))=0,"",INDEX(Lookup_Status!$B$2:$B$13,SUMPRODUCT((Lookup_Status!$A$2:$A$13=LOWER(TRIM(Raw_Passengers!G267)))*(ROW(Lookup_Status!$A$2:$A$13)-1))))</f>
        <v>Confirmed</v>
      </c>
      <c r="I267" s="7">
        <f>IF(OR(G267="",G267="Cancelled",G267="Mixed"),1,0)</f>
        <v>0</v>
      </c>
      <c r="J267" s="7">
        <f>IF(OR(H267="",H267="Mixed"),1,0)</f>
        <v>0</v>
      </c>
      <c r="K267" s="7">
        <f>IF(AND(C267=0,D267=0),IF(OR(AND(I267=0,NOT(EXACT(Raw_Passengers!F267,G267))),AND(J267=0,NOT(EXACT(Raw_Passengers!G267,H267)))),1,0),0)</f>
        <v>0</v>
      </c>
      <c r="L267" s="7">
        <f>IF(AND(C267=0,D267=0,I267=1),1,0)</f>
        <v>0</v>
      </c>
      <c r="M267" s="7">
        <f>IF(AND(C267=0,D267=0,J267=1),1,0)</f>
        <v>0</v>
      </c>
    </row>
    <row r="268" spans="1:13">
      <c r="A268" s="7">
        <f>Raw_Passengers!A268</f>
        <v>83344</v>
      </c>
      <c r="B268" s="7">
        <f>Raw_Passengers!B268</f>
        <v>1041254</v>
      </c>
      <c r="C268" s="7">
        <f>IF(COUNTIF(Raw_Passengers!$A$2:A268,Raw_Passengers!A268)&gt;1,1,0)</f>
        <v>0</v>
      </c>
      <c r="D268" s="7">
        <f>IF(COUNTIF(Raw_Bookings!$A$2:$A$648,Raw_Passengers!B268)=0,1,0)</f>
        <v>0</v>
      </c>
      <c r="E268" s="7">
        <f>IF(OR(C268=1,D268=1),0,IF(NOT(ISNUMBER(Raw_Passengers!E268)),1,IF(Raw_Passengers!E268&lt;=0,1,0)))</f>
        <v>0</v>
      </c>
      <c r="F268" s="7">
        <f>IF(AND(C268=0,D268=0,TRIM(Raw_Passengers!D268&amp;"")=""),1,0)</f>
        <v>0</v>
      </c>
      <c r="G268" s="7" t="str">
        <f>IF(SUMPRODUCT(--(Lookup_Status!$A$2:$A$13=LOWER(TRIM(Raw_Passengers!F268))))=0,"",INDEX(Lookup_Status!$B$2:$B$13,SUMPRODUCT((Lookup_Status!$A$2:$A$13=LOWER(TRIM(Raw_Passengers!F268)))*(ROW(Lookup_Status!$A$2:$A$13)-1))))</f>
        <v>Confirmed</v>
      </c>
      <c r="H268" s="7" t="str">
        <f>IF(SUMPRODUCT(--(Lookup_Status!$A$2:$A$13=LOWER(TRIM(Raw_Passengers!G268))))=0,"",INDEX(Lookup_Status!$B$2:$B$13,SUMPRODUCT((Lookup_Status!$A$2:$A$13=LOWER(TRIM(Raw_Passengers!G268)))*(ROW(Lookup_Status!$A$2:$A$13)-1))))</f>
        <v>Confirmed</v>
      </c>
      <c r="I268" s="7">
        <f>IF(OR(G268="",G268="Cancelled",G268="Mixed"),1,0)</f>
        <v>0</v>
      </c>
      <c r="J268" s="7">
        <f>IF(OR(H268="",H268="Mixed"),1,0)</f>
        <v>0</v>
      </c>
      <c r="K268" s="7">
        <f>IF(AND(C268=0,D268=0),IF(OR(AND(I268=0,NOT(EXACT(Raw_Passengers!F268,G268))),AND(J268=0,NOT(EXACT(Raw_Passengers!G268,H268)))),1,0),0)</f>
        <v>0</v>
      </c>
      <c r="L268" s="7">
        <f>IF(AND(C268=0,D268=0,I268=1),1,0)</f>
        <v>0</v>
      </c>
      <c r="M268" s="7">
        <f>IF(AND(C268=0,D268=0,J268=1),1,0)</f>
        <v>0</v>
      </c>
    </row>
    <row r="269" spans="1:13">
      <c r="A269" s="7">
        <f>Raw_Passengers!A269</f>
        <v>83460</v>
      </c>
      <c r="B269" s="7">
        <f>Raw_Passengers!B269</f>
        <v>1041316</v>
      </c>
      <c r="C269" s="7">
        <f>IF(COUNTIF(Raw_Passengers!$A$2:A269,Raw_Passengers!A269)&gt;1,1,0)</f>
        <v>0</v>
      </c>
      <c r="D269" s="7">
        <f>IF(COUNTIF(Raw_Bookings!$A$2:$A$648,Raw_Passengers!B269)=0,1,0)</f>
        <v>0</v>
      </c>
      <c r="E269" s="7">
        <f>IF(OR(C269=1,D269=1),0,IF(NOT(ISNUMBER(Raw_Passengers!E269)),1,IF(Raw_Passengers!E269&lt;=0,1,0)))</f>
        <v>0</v>
      </c>
      <c r="F269" s="7">
        <f>IF(AND(C269=0,D269=0,TRIM(Raw_Passengers!D269&amp;"")=""),1,0)</f>
        <v>0</v>
      </c>
      <c r="G269" s="7" t="str">
        <f>IF(SUMPRODUCT(--(Lookup_Status!$A$2:$A$13=LOWER(TRIM(Raw_Passengers!F269))))=0,"",INDEX(Lookup_Status!$B$2:$B$13,SUMPRODUCT((Lookup_Status!$A$2:$A$13=LOWER(TRIM(Raw_Passengers!F269)))*(ROW(Lookup_Status!$A$2:$A$13)-1))))</f>
        <v>RAC</v>
      </c>
      <c r="H269" s="7" t="str">
        <f>IF(SUMPRODUCT(--(Lookup_Status!$A$2:$A$13=LOWER(TRIM(Raw_Passengers!G269))))=0,"",INDEX(Lookup_Status!$B$2:$B$13,SUMPRODUCT((Lookup_Status!$A$2:$A$13=LOWER(TRIM(Raw_Passengers!G269)))*(ROW(Lookup_Status!$A$2:$A$13)-1))))</f>
        <v>RAC</v>
      </c>
      <c r="I269" s="7">
        <f>IF(OR(G269="",G269="Cancelled",G269="Mixed"),1,0)</f>
        <v>0</v>
      </c>
      <c r="J269" s="7">
        <f>IF(OR(H269="",H269="Mixed"),1,0)</f>
        <v>0</v>
      </c>
      <c r="K269" s="7">
        <f>IF(AND(C269=0,D269=0),IF(OR(AND(I269=0,NOT(EXACT(Raw_Passengers!F269,G269))),AND(J269=0,NOT(EXACT(Raw_Passengers!G269,H269)))),1,0),0)</f>
        <v>0</v>
      </c>
      <c r="L269" s="7">
        <f>IF(AND(C269=0,D269=0,I269=1),1,0)</f>
        <v>0</v>
      </c>
      <c r="M269" s="7">
        <f>IF(AND(C269=0,D269=0,J269=1),1,0)</f>
        <v>0</v>
      </c>
    </row>
    <row r="270" spans="1:13">
      <c r="A270" s="7">
        <f>Raw_Passengers!A270</f>
        <v>83461</v>
      </c>
      <c r="B270" s="7">
        <f>Raw_Passengers!B270</f>
        <v>1041316</v>
      </c>
      <c r="C270" s="7">
        <f>IF(COUNTIF(Raw_Passengers!$A$2:A270,Raw_Passengers!A270)&gt;1,1,0)</f>
        <v>0</v>
      </c>
      <c r="D270" s="7">
        <f>IF(COUNTIF(Raw_Bookings!$A$2:$A$648,Raw_Passengers!B270)=0,1,0)</f>
        <v>0</v>
      </c>
      <c r="E270" s="7">
        <f>IF(OR(C270=1,D270=1),0,IF(NOT(ISNUMBER(Raw_Passengers!E270)),1,IF(Raw_Passengers!E270&lt;=0,1,0)))</f>
        <v>0</v>
      </c>
      <c r="F270" s="7">
        <f>IF(AND(C270=0,D270=0,TRIM(Raw_Passengers!D270&amp;"")=""),1,0)</f>
        <v>0</v>
      </c>
      <c r="G270" s="7" t="str">
        <f>IF(SUMPRODUCT(--(Lookup_Status!$A$2:$A$13=LOWER(TRIM(Raw_Passengers!F270))))=0,"",INDEX(Lookup_Status!$B$2:$B$13,SUMPRODUCT((Lookup_Status!$A$2:$A$13=LOWER(TRIM(Raw_Passengers!F270)))*(ROW(Lookup_Status!$A$2:$A$13)-1))))</f>
        <v>RAC</v>
      </c>
      <c r="H270" s="7" t="str">
        <f>IF(SUMPRODUCT(--(Lookup_Status!$A$2:$A$13=LOWER(TRIM(Raw_Passengers!G270))))=0,"",INDEX(Lookup_Status!$B$2:$B$13,SUMPRODUCT((Lookup_Status!$A$2:$A$13=LOWER(TRIM(Raw_Passengers!G270)))*(ROW(Lookup_Status!$A$2:$A$13)-1))))</f>
        <v>RAC</v>
      </c>
      <c r="I270" s="7">
        <f>IF(OR(G270="",G270="Cancelled",G270="Mixed"),1,0)</f>
        <v>0</v>
      </c>
      <c r="J270" s="7">
        <f>IF(OR(H270="",H270="Mixed"),1,0)</f>
        <v>0</v>
      </c>
      <c r="K270" s="7">
        <f>IF(AND(C270=0,D270=0),IF(OR(AND(I270=0,NOT(EXACT(Raw_Passengers!F270,G270))),AND(J270=0,NOT(EXACT(Raw_Passengers!G270,H270)))),1,0),0)</f>
        <v>0</v>
      </c>
      <c r="L270" s="7">
        <f>IF(AND(C270=0,D270=0,I270=1),1,0)</f>
        <v>0</v>
      </c>
      <c r="M270" s="7">
        <f>IF(AND(C270=0,D270=0,J270=1),1,0)</f>
        <v>0</v>
      </c>
    </row>
    <row r="271" spans="1:13">
      <c r="A271" s="7">
        <f>Raw_Passengers!A271</f>
        <v>84504</v>
      </c>
      <c r="B271" s="7">
        <f>Raw_Passengers!B271</f>
        <v>1041842</v>
      </c>
      <c r="C271" s="7">
        <f>IF(COUNTIF(Raw_Passengers!$A$2:A271,Raw_Passengers!A271)&gt;1,1,0)</f>
        <v>0</v>
      </c>
      <c r="D271" s="7">
        <f>IF(COUNTIF(Raw_Bookings!$A$2:$A$648,Raw_Passengers!B271)=0,1,0)</f>
        <v>0</v>
      </c>
      <c r="E271" s="7">
        <f>IF(OR(C271=1,D271=1),0,IF(NOT(ISNUMBER(Raw_Passengers!E271)),1,IF(Raw_Passengers!E271&lt;=0,1,0)))</f>
        <v>0</v>
      </c>
      <c r="F271" s="7">
        <f>IF(AND(C271=0,D271=0,TRIM(Raw_Passengers!D271&amp;"")=""),1,0)</f>
        <v>0</v>
      </c>
      <c r="G271" s="7" t="str">
        <f>IF(SUMPRODUCT(--(Lookup_Status!$A$2:$A$13=LOWER(TRIM(Raw_Passengers!F271))))=0,"",INDEX(Lookup_Status!$B$2:$B$13,SUMPRODUCT((Lookup_Status!$A$2:$A$13=LOWER(TRIM(Raw_Passengers!F271)))*(ROW(Lookup_Status!$A$2:$A$13)-1))))</f>
        <v>Confirmed</v>
      </c>
      <c r="H271" s="7" t="str">
        <f>IF(SUMPRODUCT(--(Lookup_Status!$A$2:$A$13=LOWER(TRIM(Raw_Passengers!G271))))=0,"",INDEX(Lookup_Status!$B$2:$B$13,SUMPRODUCT((Lookup_Status!$A$2:$A$13=LOWER(TRIM(Raw_Passengers!G271)))*(ROW(Lookup_Status!$A$2:$A$13)-1))))</f>
        <v>Confirmed</v>
      </c>
      <c r="I271" s="7">
        <f>IF(OR(G271="",G271="Cancelled",G271="Mixed"),1,0)</f>
        <v>0</v>
      </c>
      <c r="J271" s="7">
        <f>IF(OR(H271="",H271="Mixed"),1,0)</f>
        <v>0</v>
      </c>
      <c r="K271" s="7">
        <f>IF(AND(C271=0,D271=0),IF(OR(AND(I271=0,NOT(EXACT(Raw_Passengers!F271,G271))),AND(J271=0,NOT(EXACT(Raw_Passengers!G271,H271)))),1,0),0)</f>
        <v>0</v>
      </c>
      <c r="L271" s="7">
        <f>IF(AND(C271=0,D271=0,I271=1),1,0)</f>
        <v>0</v>
      </c>
      <c r="M271" s="7">
        <f>IF(AND(C271=0,D271=0,J271=1),1,0)</f>
        <v>0</v>
      </c>
    </row>
    <row r="272" spans="1:13">
      <c r="A272" s="7">
        <f>Raw_Passengers!A272</f>
        <v>85768</v>
      </c>
      <c r="B272" s="7">
        <f>Raw_Passengers!B272</f>
        <v>1042485</v>
      </c>
      <c r="C272" s="7">
        <f>IF(COUNTIF(Raw_Passengers!$A$2:A272,Raw_Passengers!A272)&gt;1,1,0)</f>
        <v>0</v>
      </c>
      <c r="D272" s="7">
        <f>IF(COUNTIF(Raw_Bookings!$A$2:$A$648,Raw_Passengers!B272)=0,1,0)</f>
        <v>0</v>
      </c>
      <c r="E272" s="7">
        <f>IF(OR(C272=1,D272=1),0,IF(NOT(ISNUMBER(Raw_Passengers!E272)),1,IF(Raw_Passengers!E272&lt;=0,1,0)))</f>
        <v>0</v>
      </c>
      <c r="F272" s="7">
        <f>IF(AND(C272=0,D272=0,TRIM(Raw_Passengers!D272&amp;"")=""),1,0)</f>
        <v>0</v>
      </c>
      <c r="G272" s="7" t="str">
        <f>IF(SUMPRODUCT(--(Lookup_Status!$A$2:$A$13=LOWER(TRIM(Raw_Passengers!F272))))=0,"",INDEX(Lookup_Status!$B$2:$B$13,SUMPRODUCT((Lookup_Status!$A$2:$A$13=LOWER(TRIM(Raw_Passengers!F272)))*(ROW(Lookup_Status!$A$2:$A$13)-1))))</f>
        <v>Confirmed</v>
      </c>
      <c r="H272" s="7" t="str">
        <f>IF(SUMPRODUCT(--(Lookup_Status!$A$2:$A$13=LOWER(TRIM(Raw_Passengers!G272))))=0,"",INDEX(Lookup_Status!$B$2:$B$13,SUMPRODUCT((Lookup_Status!$A$2:$A$13=LOWER(TRIM(Raw_Passengers!G272)))*(ROW(Lookup_Status!$A$2:$A$13)-1))))</f>
        <v>Confirmed</v>
      </c>
      <c r="I272" s="7">
        <f>IF(OR(G272="",G272="Cancelled",G272="Mixed"),1,0)</f>
        <v>0</v>
      </c>
      <c r="J272" s="7">
        <f>IF(OR(H272="",H272="Mixed"),1,0)</f>
        <v>0</v>
      </c>
      <c r="K272" s="7">
        <f>IF(AND(C272=0,D272=0),IF(OR(AND(I272=0,NOT(EXACT(Raw_Passengers!F272,G272))),AND(J272=0,NOT(EXACT(Raw_Passengers!G272,H272)))),1,0),0)</f>
        <v>0</v>
      </c>
      <c r="L272" s="7">
        <f>IF(AND(C272=0,D272=0,I272=1),1,0)</f>
        <v>0</v>
      </c>
      <c r="M272" s="7">
        <f>IF(AND(C272=0,D272=0,J272=1),1,0)</f>
        <v>0</v>
      </c>
    </row>
    <row r="273" spans="1:13">
      <c r="A273" s="7">
        <f>Raw_Passengers!A273</f>
        <v>86069</v>
      </c>
      <c r="B273" s="7">
        <f>Raw_Passengers!B273</f>
        <v>1042637</v>
      </c>
      <c r="C273" s="7">
        <f>IF(COUNTIF(Raw_Passengers!$A$2:A273,Raw_Passengers!A273)&gt;1,1,0)</f>
        <v>0</v>
      </c>
      <c r="D273" s="7">
        <f>IF(COUNTIF(Raw_Bookings!$A$2:$A$648,Raw_Passengers!B273)=0,1,0)</f>
        <v>0</v>
      </c>
      <c r="E273" s="7">
        <f>IF(OR(C273=1,D273=1),0,IF(NOT(ISNUMBER(Raw_Passengers!E273)),1,IF(Raw_Passengers!E273&lt;=0,1,0)))</f>
        <v>0</v>
      </c>
      <c r="F273" s="7">
        <f>IF(AND(C273=0,D273=0,TRIM(Raw_Passengers!D273&amp;"")=""),1,0)</f>
        <v>0</v>
      </c>
      <c r="G273" s="7" t="str">
        <f>IF(SUMPRODUCT(--(Lookup_Status!$A$2:$A$13=LOWER(TRIM(Raw_Passengers!F273))))=0,"",INDEX(Lookup_Status!$B$2:$B$13,SUMPRODUCT((Lookup_Status!$A$2:$A$13=LOWER(TRIM(Raw_Passengers!F273)))*(ROW(Lookup_Status!$A$2:$A$13)-1))))</f>
        <v>Confirmed</v>
      </c>
      <c r="H273" s="7" t="str">
        <f>IF(SUMPRODUCT(--(Lookup_Status!$A$2:$A$13=LOWER(TRIM(Raw_Passengers!G273))))=0,"",INDEX(Lookup_Status!$B$2:$B$13,SUMPRODUCT((Lookup_Status!$A$2:$A$13=LOWER(TRIM(Raw_Passengers!G273)))*(ROW(Lookup_Status!$A$2:$A$13)-1))))</f>
        <v>Confirmed</v>
      </c>
      <c r="I273" s="7">
        <f>IF(OR(G273="",G273="Cancelled",G273="Mixed"),1,0)</f>
        <v>0</v>
      </c>
      <c r="J273" s="7">
        <f>IF(OR(H273="",H273="Mixed"),1,0)</f>
        <v>0</v>
      </c>
      <c r="K273" s="7">
        <f>IF(AND(C273=0,D273=0),IF(OR(AND(I273=0,NOT(EXACT(Raw_Passengers!F273,G273))),AND(J273=0,NOT(EXACT(Raw_Passengers!G273,H273)))),1,0),0)</f>
        <v>0</v>
      </c>
      <c r="L273" s="7">
        <f>IF(AND(C273=0,D273=0,I273=1),1,0)</f>
        <v>0</v>
      </c>
      <c r="M273" s="7">
        <f>IF(AND(C273=0,D273=0,J273=1),1,0)</f>
        <v>0</v>
      </c>
    </row>
    <row r="274" spans="1:13">
      <c r="A274" s="7">
        <f>Raw_Passengers!A274</f>
        <v>86939</v>
      </c>
      <c r="B274" s="7">
        <f>Raw_Passengers!B274</f>
        <v>1043064</v>
      </c>
      <c r="C274" s="7">
        <f>IF(COUNTIF(Raw_Passengers!$A$2:A274,Raw_Passengers!A274)&gt;1,1,0)</f>
        <v>0</v>
      </c>
      <c r="D274" s="7">
        <f>IF(COUNTIF(Raw_Bookings!$A$2:$A$648,Raw_Passengers!B274)=0,1,0)</f>
        <v>0</v>
      </c>
      <c r="E274" s="7">
        <f>IF(OR(C274=1,D274=1),0,IF(NOT(ISNUMBER(Raw_Passengers!E274)),1,IF(Raw_Passengers!E274&lt;=0,1,0)))</f>
        <v>0</v>
      </c>
      <c r="F274" s="7">
        <f>IF(AND(C274=0,D274=0,TRIM(Raw_Passengers!D274&amp;"")=""),1,0)</f>
        <v>0</v>
      </c>
      <c r="G274" s="7" t="str">
        <f>IF(SUMPRODUCT(--(Lookup_Status!$A$2:$A$13=LOWER(TRIM(Raw_Passengers!F274))))=0,"",INDEX(Lookup_Status!$B$2:$B$13,SUMPRODUCT((Lookup_Status!$A$2:$A$13=LOWER(TRIM(Raw_Passengers!F274)))*(ROW(Lookup_Status!$A$2:$A$13)-1))))</f>
        <v>Confirmed</v>
      </c>
      <c r="H274" s="7" t="str">
        <f>IF(SUMPRODUCT(--(Lookup_Status!$A$2:$A$13=LOWER(TRIM(Raw_Passengers!G274))))=0,"",INDEX(Lookup_Status!$B$2:$B$13,SUMPRODUCT((Lookup_Status!$A$2:$A$13=LOWER(TRIM(Raw_Passengers!G274)))*(ROW(Lookup_Status!$A$2:$A$13)-1))))</f>
        <v>Confirmed</v>
      </c>
      <c r="I274" s="7">
        <f>IF(OR(G274="",G274="Cancelled",G274="Mixed"),1,0)</f>
        <v>0</v>
      </c>
      <c r="J274" s="7">
        <f>IF(OR(H274="",H274="Mixed"),1,0)</f>
        <v>0</v>
      </c>
      <c r="K274" s="7">
        <f>IF(AND(C274=0,D274=0),IF(OR(AND(I274=0,NOT(EXACT(Raw_Passengers!F274,G274))),AND(J274=0,NOT(EXACT(Raw_Passengers!G274,H274)))),1,0),0)</f>
        <v>0</v>
      </c>
      <c r="L274" s="7">
        <f>IF(AND(C274=0,D274=0,I274=1),1,0)</f>
        <v>0</v>
      </c>
      <c r="M274" s="7">
        <f>IF(AND(C274=0,D274=0,J274=1),1,0)</f>
        <v>0</v>
      </c>
    </row>
    <row r="275" spans="1:13">
      <c r="A275" s="7">
        <f>Raw_Passengers!A275</f>
        <v>88682</v>
      </c>
      <c r="B275" s="7">
        <f>Raw_Passengers!B275</f>
        <v>1043917</v>
      </c>
      <c r="C275" s="7">
        <f>IF(COUNTIF(Raw_Passengers!$A$2:A275,Raw_Passengers!A275)&gt;1,1,0)</f>
        <v>0</v>
      </c>
      <c r="D275" s="7">
        <f>IF(COUNTIF(Raw_Bookings!$A$2:$A$648,Raw_Passengers!B275)=0,1,0)</f>
        <v>0</v>
      </c>
      <c r="E275" s="7">
        <f>IF(OR(C275=1,D275=1),0,IF(NOT(ISNUMBER(Raw_Passengers!E275)),1,IF(Raw_Passengers!E275&lt;=0,1,0)))</f>
        <v>0</v>
      </c>
      <c r="F275" s="7">
        <f>IF(AND(C275=0,D275=0,TRIM(Raw_Passengers!D275&amp;"")=""),1,0)</f>
        <v>0</v>
      </c>
      <c r="G275" s="7" t="str">
        <f>IF(SUMPRODUCT(--(Lookup_Status!$A$2:$A$13=LOWER(TRIM(Raw_Passengers!F275))))=0,"",INDEX(Lookup_Status!$B$2:$B$13,SUMPRODUCT((Lookup_Status!$A$2:$A$13=LOWER(TRIM(Raw_Passengers!F275)))*(ROW(Lookup_Status!$A$2:$A$13)-1))))</f>
        <v>Confirmed</v>
      </c>
      <c r="H275" s="7" t="str">
        <f>IF(SUMPRODUCT(--(Lookup_Status!$A$2:$A$13=LOWER(TRIM(Raw_Passengers!G275))))=0,"",INDEX(Lookup_Status!$B$2:$B$13,SUMPRODUCT((Lookup_Status!$A$2:$A$13=LOWER(TRIM(Raw_Passengers!G275)))*(ROW(Lookup_Status!$A$2:$A$13)-1))))</f>
        <v>Confirmed</v>
      </c>
      <c r="I275" s="7">
        <f>IF(OR(G275="",G275="Cancelled",G275="Mixed"),1,0)</f>
        <v>0</v>
      </c>
      <c r="J275" s="7">
        <f>IF(OR(H275="",H275="Mixed"),1,0)</f>
        <v>0</v>
      </c>
      <c r="K275" s="7">
        <f>IF(AND(C275=0,D275=0),IF(OR(AND(I275=0,NOT(EXACT(Raw_Passengers!F275,G275))),AND(J275=0,NOT(EXACT(Raw_Passengers!G275,H275)))),1,0),0)</f>
        <v>0</v>
      </c>
      <c r="L275" s="7">
        <f>IF(AND(C275=0,D275=0,I275=1),1,0)</f>
        <v>0</v>
      </c>
      <c r="M275" s="7">
        <f>IF(AND(C275=0,D275=0,J275=1),1,0)</f>
        <v>0</v>
      </c>
    </row>
    <row r="276" spans="1:13">
      <c r="A276" s="7">
        <f>Raw_Passengers!A276</f>
        <v>89023</v>
      </c>
      <c r="B276" s="7">
        <f>Raw_Passengers!B276</f>
        <v>1044066</v>
      </c>
      <c r="C276" s="7">
        <f>IF(COUNTIF(Raw_Passengers!$A$2:A276,Raw_Passengers!A276)&gt;1,1,0)</f>
        <v>0</v>
      </c>
      <c r="D276" s="7">
        <f>IF(COUNTIF(Raw_Bookings!$A$2:$A$648,Raw_Passengers!B276)=0,1,0)</f>
        <v>0</v>
      </c>
      <c r="E276" s="7">
        <f>IF(OR(C276=1,D276=1),0,IF(NOT(ISNUMBER(Raw_Passengers!E276)),1,IF(Raw_Passengers!E276&lt;=0,1,0)))</f>
        <v>0</v>
      </c>
      <c r="F276" s="7">
        <f>IF(AND(C276=0,D276=0,TRIM(Raw_Passengers!D276&amp;"")=""),1,0)</f>
        <v>0</v>
      </c>
      <c r="G276" s="7" t="str">
        <f>IF(SUMPRODUCT(--(Lookup_Status!$A$2:$A$13=LOWER(TRIM(Raw_Passengers!F276))))=0,"",INDEX(Lookup_Status!$B$2:$B$13,SUMPRODUCT((Lookup_Status!$A$2:$A$13=LOWER(TRIM(Raw_Passengers!F276)))*(ROW(Lookup_Status!$A$2:$A$13)-1))))</f>
        <v>Confirmed</v>
      </c>
      <c r="H276" s="7" t="str">
        <f>IF(SUMPRODUCT(--(Lookup_Status!$A$2:$A$13=LOWER(TRIM(Raw_Passengers!G276))))=0,"",INDEX(Lookup_Status!$B$2:$B$13,SUMPRODUCT((Lookup_Status!$A$2:$A$13=LOWER(TRIM(Raw_Passengers!G276)))*(ROW(Lookup_Status!$A$2:$A$13)-1))))</f>
        <v>Cancelled</v>
      </c>
      <c r="I276" s="7">
        <f>IF(OR(G276="",G276="Cancelled",G276="Mixed"),1,0)</f>
        <v>0</v>
      </c>
      <c r="J276" s="7">
        <f>IF(OR(H276="",H276="Mixed"),1,0)</f>
        <v>0</v>
      </c>
      <c r="K276" s="7">
        <f>IF(AND(C276=0,D276=0),IF(OR(AND(I276=0,NOT(EXACT(Raw_Passengers!F276,G276))),AND(J276=0,NOT(EXACT(Raw_Passengers!G276,H276)))),1,0),0)</f>
        <v>0</v>
      </c>
      <c r="L276" s="7">
        <f>IF(AND(C276=0,D276=0,I276=1),1,0)</f>
        <v>0</v>
      </c>
      <c r="M276" s="7">
        <f>IF(AND(C276=0,D276=0,J276=1),1,0)</f>
        <v>0</v>
      </c>
    </row>
    <row r="277" spans="1:13">
      <c r="A277" s="7">
        <f>Raw_Passengers!A277</f>
        <v>89024</v>
      </c>
      <c r="B277" s="7">
        <f>Raw_Passengers!B277</f>
        <v>1044066</v>
      </c>
      <c r="C277" s="7">
        <f>IF(COUNTIF(Raw_Passengers!$A$2:A277,Raw_Passengers!A277)&gt;1,1,0)</f>
        <v>0</v>
      </c>
      <c r="D277" s="7">
        <f>IF(COUNTIF(Raw_Bookings!$A$2:$A$648,Raw_Passengers!B277)=0,1,0)</f>
        <v>0</v>
      </c>
      <c r="E277" s="7">
        <f>IF(OR(C277=1,D277=1),0,IF(NOT(ISNUMBER(Raw_Passengers!E277)),1,IF(Raw_Passengers!E277&lt;=0,1,0)))</f>
        <v>0</v>
      </c>
      <c r="F277" s="7">
        <f>IF(AND(C277=0,D277=0,TRIM(Raw_Passengers!D277&amp;"")=""),1,0)</f>
        <v>0</v>
      </c>
      <c r="G277" s="7" t="str">
        <f>IF(SUMPRODUCT(--(Lookup_Status!$A$2:$A$13=LOWER(TRIM(Raw_Passengers!F277))))=0,"",INDEX(Lookup_Status!$B$2:$B$13,SUMPRODUCT((Lookup_Status!$A$2:$A$13=LOWER(TRIM(Raw_Passengers!F277)))*(ROW(Lookup_Status!$A$2:$A$13)-1))))</f>
        <v>Confirmed</v>
      </c>
      <c r="H277" s="7" t="str">
        <f>IF(SUMPRODUCT(--(Lookup_Status!$A$2:$A$13=LOWER(TRIM(Raw_Passengers!G277))))=0,"",INDEX(Lookup_Status!$B$2:$B$13,SUMPRODUCT((Lookup_Status!$A$2:$A$13=LOWER(TRIM(Raw_Passengers!G277)))*(ROW(Lookup_Status!$A$2:$A$13)-1))))</f>
        <v>Cancelled</v>
      </c>
      <c r="I277" s="7">
        <f>IF(OR(G277="",G277="Cancelled",G277="Mixed"),1,0)</f>
        <v>0</v>
      </c>
      <c r="J277" s="7">
        <f>IF(OR(H277="",H277="Mixed"),1,0)</f>
        <v>0</v>
      </c>
      <c r="K277" s="7">
        <f>IF(AND(C277=0,D277=0),IF(OR(AND(I277=0,NOT(EXACT(Raw_Passengers!F277,G277))),AND(J277=0,NOT(EXACT(Raw_Passengers!G277,H277)))),1,0),0)</f>
        <v>0</v>
      </c>
      <c r="L277" s="7">
        <f>IF(AND(C277=0,D277=0,I277=1),1,0)</f>
        <v>0</v>
      </c>
      <c r="M277" s="7">
        <f>IF(AND(C277=0,D277=0,J277=1),1,0)</f>
        <v>0</v>
      </c>
    </row>
    <row r="278" spans="1:13">
      <c r="A278" s="7">
        <f>Raw_Passengers!A278</f>
        <v>89963</v>
      </c>
      <c r="B278" s="7">
        <f>Raw_Passengers!B278</f>
        <v>1044512</v>
      </c>
      <c r="C278" s="7">
        <f>IF(COUNTIF(Raw_Passengers!$A$2:A278,Raw_Passengers!A278)&gt;1,1,0)</f>
        <v>0</v>
      </c>
      <c r="D278" s="7">
        <f>IF(COUNTIF(Raw_Bookings!$A$2:$A$648,Raw_Passengers!B278)=0,1,0)</f>
        <v>0</v>
      </c>
      <c r="E278" s="7">
        <f>IF(OR(C278=1,D278=1),0,IF(NOT(ISNUMBER(Raw_Passengers!E278)),1,IF(Raw_Passengers!E278&lt;=0,1,0)))</f>
        <v>0</v>
      </c>
      <c r="F278" s="7">
        <f>IF(AND(C278=0,D278=0,TRIM(Raw_Passengers!D278&amp;"")=""),1,0)</f>
        <v>0</v>
      </c>
      <c r="G278" s="7" t="str">
        <f>IF(SUMPRODUCT(--(Lookup_Status!$A$2:$A$13=LOWER(TRIM(Raw_Passengers!F278))))=0,"",INDEX(Lookup_Status!$B$2:$B$13,SUMPRODUCT((Lookup_Status!$A$2:$A$13=LOWER(TRIM(Raw_Passengers!F278)))*(ROW(Lookup_Status!$A$2:$A$13)-1))))</f>
        <v>Confirmed</v>
      </c>
      <c r="H278" s="7" t="str">
        <f>IF(SUMPRODUCT(--(Lookup_Status!$A$2:$A$13=LOWER(TRIM(Raw_Passengers!G278))))=0,"",INDEX(Lookup_Status!$B$2:$B$13,SUMPRODUCT((Lookup_Status!$A$2:$A$13=LOWER(TRIM(Raw_Passengers!G278)))*(ROW(Lookup_Status!$A$2:$A$13)-1))))</f>
        <v>Confirmed</v>
      </c>
      <c r="I278" s="7">
        <f>IF(OR(G278="",G278="Cancelled",G278="Mixed"),1,0)</f>
        <v>0</v>
      </c>
      <c r="J278" s="7">
        <f>IF(OR(H278="",H278="Mixed"),1,0)</f>
        <v>0</v>
      </c>
      <c r="K278" s="7">
        <f>IF(AND(C278=0,D278=0),IF(OR(AND(I278=0,NOT(EXACT(Raw_Passengers!F278,G278))),AND(J278=0,NOT(EXACT(Raw_Passengers!G278,H278)))),1,0),0)</f>
        <v>0</v>
      </c>
      <c r="L278" s="7">
        <f>IF(AND(C278=0,D278=0,I278=1),1,0)</f>
        <v>0</v>
      </c>
      <c r="M278" s="7">
        <f>IF(AND(C278=0,D278=0,J278=1),1,0)</f>
        <v>0</v>
      </c>
    </row>
    <row r="279" spans="1:13">
      <c r="A279" s="7">
        <f>Raw_Passengers!A279</f>
        <v>93126</v>
      </c>
      <c r="B279" s="7">
        <f>Raw_Passengers!B279</f>
        <v>1046011</v>
      </c>
      <c r="C279" s="7">
        <f>IF(COUNTIF(Raw_Passengers!$A$2:A279,Raw_Passengers!A279)&gt;1,1,0)</f>
        <v>0</v>
      </c>
      <c r="D279" s="7">
        <f>IF(COUNTIF(Raw_Bookings!$A$2:$A$648,Raw_Passengers!B279)=0,1,0)</f>
        <v>0</v>
      </c>
      <c r="E279" s="7">
        <f>IF(OR(C279=1,D279=1),0,IF(NOT(ISNUMBER(Raw_Passengers!E279)),1,IF(Raw_Passengers!E279&lt;=0,1,0)))</f>
        <v>0</v>
      </c>
      <c r="F279" s="7">
        <f>IF(AND(C279=0,D279=0,TRIM(Raw_Passengers!D279&amp;"")=""),1,0)</f>
        <v>0</v>
      </c>
      <c r="G279" s="7" t="str">
        <f>IF(SUMPRODUCT(--(Lookup_Status!$A$2:$A$13=LOWER(TRIM(Raw_Passengers!F279))))=0,"",INDEX(Lookup_Status!$B$2:$B$13,SUMPRODUCT((Lookup_Status!$A$2:$A$13=LOWER(TRIM(Raw_Passengers!F279)))*(ROW(Lookup_Status!$A$2:$A$13)-1))))</f>
        <v>Confirmed</v>
      </c>
      <c r="H279" s="7" t="str">
        <f>IF(SUMPRODUCT(--(Lookup_Status!$A$2:$A$13=LOWER(TRIM(Raw_Passengers!G279))))=0,"",INDEX(Lookup_Status!$B$2:$B$13,SUMPRODUCT((Lookup_Status!$A$2:$A$13=LOWER(TRIM(Raw_Passengers!G279)))*(ROW(Lookup_Status!$A$2:$A$13)-1))))</f>
        <v>Cancelled</v>
      </c>
      <c r="I279" s="7">
        <f>IF(OR(G279="",G279="Cancelled",G279="Mixed"),1,0)</f>
        <v>0</v>
      </c>
      <c r="J279" s="7">
        <f>IF(OR(H279="",H279="Mixed"),1,0)</f>
        <v>0</v>
      </c>
      <c r="K279" s="7">
        <f>IF(AND(C279=0,D279=0),IF(OR(AND(I279=0,NOT(EXACT(Raw_Passengers!F279,G279))),AND(J279=0,NOT(EXACT(Raw_Passengers!G279,H279)))),1,0),0)</f>
        <v>0</v>
      </c>
      <c r="L279" s="7">
        <f>IF(AND(C279=0,D279=0,I279=1),1,0)</f>
        <v>0</v>
      </c>
      <c r="M279" s="7">
        <f>IF(AND(C279=0,D279=0,J279=1),1,0)</f>
        <v>0</v>
      </c>
    </row>
    <row r="280" spans="1:13">
      <c r="A280" s="7">
        <f>Raw_Passengers!A280</f>
        <v>93156</v>
      </c>
      <c r="B280" s="7">
        <f>Raw_Passengers!B280</f>
        <v>1046029</v>
      </c>
      <c r="C280" s="7">
        <f>IF(COUNTIF(Raw_Passengers!$A$2:A280,Raw_Passengers!A280)&gt;1,1,0)</f>
        <v>0</v>
      </c>
      <c r="D280" s="7">
        <f>IF(COUNTIF(Raw_Bookings!$A$2:$A$648,Raw_Passengers!B280)=0,1,0)</f>
        <v>0</v>
      </c>
      <c r="E280" s="7">
        <f>IF(OR(C280=1,D280=1),0,IF(NOT(ISNUMBER(Raw_Passengers!E280)),1,IF(Raw_Passengers!E280&lt;=0,1,0)))</f>
        <v>0</v>
      </c>
      <c r="F280" s="7">
        <f>IF(AND(C280=0,D280=0,TRIM(Raw_Passengers!D280&amp;"")=""),1,0)</f>
        <v>0</v>
      </c>
      <c r="G280" s="7" t="str">
        <f>IF(SUMPRODUCT(--(Lookup_Status!$A$2:$A$13=LOWER(TRIM(Raw_Passengers!F280))))=0,"",INDEX(Lookup_Status!$B$2:$B$13,SUMPRODUCT((Lookup_Status!$A$2:$A$13=LOWER(TRIM(Raw_Passengers!F280)))*(ROW(Lookup_Status!$A$2:$A$13)-1))))</f>
        <v>Confirmed</v>
      </c>
      <c r="H280" s="7" t="str">
        <f>IF(SUMPRODUCT(--(Lookup_Status!$A$2:$A$13=LOWER(TRIM(Raw_Passengers!G280))))=0,"",INDEX(Lookup_Status!$B$2:$B$13,SUMPRODUCT((Lookup_Status!$A$2:$A$13=LOWER(TRIM(Raw_Passengers!G280)))*(ROW(Lookup_Status!$A$2:$A$13)-1))))</f>
        <v>Confirmed</v>
      </c>
      <c r="I280" s="7">
        <f>IF(OR(G280="",G280="Cancelled",G280="Mixed"),1,0)</f>
        <v>0</v>
      </c>
      <c r="J280" s="7">
        <f>IF(OR(H280="",H280="Mixed"),1,0)</f>
        <v>0</v>
      </c>
      <c r="K280" s="7">
        <f>IF(AND(C280=0,D280=0),IF(OR(AND(I280=0,NOT(EXACT(Raw_Passengers!F280,G280))),AND(J280=0,NOT(EXACT(Raw_Passengers!G280,H280)))),1,0),0)</f>
        <v>0</v>
      </c>
      <c r="L280" s="7">
        <f>IF(AND(C280=0,D280=0,I280=1),1,0)</f>
        <v>0</v>
      </c>
      <c r="M280" s="7">
        <f>IF(AND(C280=0,D280=0,J280=1),1,0)</f>
        <v>0</v>
      </c>
    </row>
    <row r="281" spans="1:13">
      <c r="A281" s="7">
        <f>Raw_Passengers!A281</f>
        <v>93415</v>
      </c>
      <c r="B281" s="7">
        <f>Raw_Passengers!B281</f>
        <v>1046157</v>
      </c>
      <c r="C281" s="7">
        <f>IF(COUNTIF(Raw_Passengers!$A$2:A281,Raw_Passengers!A281)&gt;1,1,0)</f>
        <v>0</v>
      </c>
      <c r="D281" s="7">
        <f>IF(COUNTIF(Raw_Bookings!$A$2:$A$648,Raw_Passengers!B281)=0,1,0)</f>
        <v>0</v>
      </c>
      <c r="E281" s="7">
        <f>IF(OR(C281=1,D281=1),0,IF(NOT(ISNUMBER(Raw_Passengers!E281)),1,IF(Raw_Passengers!E281&lt;=0,1,0)))</f>
        <v>0</v>
      </c>
      <c r="F281" s="7">
        <f>IF(AND(C281=0,D281=0,TRIM(Raw_Passengers!D281&amp;"")=""),1,0)</f>
        <v>0</v>
      </c>
      <c r="G281" s="7" t="str">
        <f>IF(SUMPRODUCT(--(Lookup_Status!$A$2:$A$13=LOWER(TRIM(Raw_Passengers!F281))))=0,"",INDEX(Lookup_Status!$B$2:$B$13,SUMPRODUCT((Lookup_Status!$A$2:$A$13=LOWER(TRIM(Raw_Passengers!F281)))*(ROW(Lookup_Status!$A$2:$A$13)-1))))</f>
        <v>Confirmed</v>
      </c>
      <c r="H281" s="7" t="str">
        <f>IF(SUMPRODUCT(--(Lookup_Status!$A$2:$A$13=LOWER(TRIM(Raw_Passengers!G281))))=0,"",INDEX(Lookup_Status!$B$2:$B$13,SUMPRODUCT((Lookup_Status!$A$2:$A$13=LOWER(TRIM(Raw_Passengers!G281)))*(ROW(Lookup_Status!$A$2:$A$13)-1))))</f>
        <v>Confirmed</v>
      </c>
      <c r="I281" s="7">
        <f>IF(OR(G281="",G281="Cancelled",G281="Mixed"),1,0)</f>
        <v>0</v>
      </c>
      <c r="J281" s="7">
        <f>IF(OR(H281="",H281="Mixed"),1,0)</f>
        <v>0</v>
      </c>
      <c r="K281" s="7">
        <f>IF(AND(C281=0,D281=0),IF(OR(AND(I281=0,NOT(EXACT(Raw_Passengers!F281,G281))),AND(J281=0,NOT(EXACT(Raw_Passengers!G281,H281)))),1,0),0)</f>
        <v>0</v>
      </c>
      <c r="L281" s="7">
        <f>IF(AND(C281=0,D281=0,I281=1),1,0)</f>
        <v>0</v>
      </c>
      <c r="M281" s="7">
        <f>IF(AND(C281=0,D281=0,J281=1),1,0)</f>
        <v>0</v>
      </c>
    </row>
    <row r="282" spans="1:13">
      <c r="A282" s="7">
        <f>Raw_Passengers!A282</f>
        <v>93480</v>
      </c>
      <c r="B282" s="7">
        <f>Raw_Passengers!B282</f>
        <v>1046198</v>
      </c>
      <c r="C282" s="7">
        <f>IF(COUNTIF(Raw_Passengers!$A$2:A282,Raw_Passengers!A282)&gt;1,1,0)</f>
        <v>0</v>
      </c>
      <c r="D282" s="7">
        <f>IF(COUNTIF(Raw_Bookings!$A$2:$A$648,Raw_Passengers!B282)=0,1,0)</f>
        <v>0</v>
      </c>
      <c r="E282" s="7">
        <f>IF(OR(C282=1,D282=1),0,IF(NOT(ISNUMBER(Raw_Passengers!E282)),1,IF(Raw_Passengers!E282&lt;=0,1,0)))</f>
        <v>0</v>
      </c>
      <c r="F282" s="7">
        <f>IF(AND(C282=0,D282=0,TRIM(Raw_Passengers!D282&amp;"")=""),1,0)</f>
        <v>0</v>
      </c>
      <c r="G282" s="7" t="str">
        <f>IF(SUMPRODUCT(--(Lookup_Status!$A$2:$A$13=LOWER(TRIM(Raw_Passengers!F282))))=0,"",INDEX(Lookup_Status!$B$2:$B$13,SUMPRODUCT((Lookup_Status!$A$2:$A$13=LOWER(TRIM(Raw_Passengers!F282)))*(ROW(Lookup_Status!$A$2:$A$13)-1))))</f>
        <v>Confirmed</v>
      </c>
      <c r="H282" s="7" t="str">
        <f>IF(SUMPRODUCT(--(Lookup_Status!$A$2:$A$13=LOWER(TRIM(Raw_Passengers!G282))))=0,"",INDEX(Lookup_Status!$B$2:$B$13,SUMPRODUCT((Lookup_Status!$A$2:$A$13=LOWER(TRIM(Raw_Passengers!G282)))*(ROW(Lookup_Status!$A$2:$A$13)-1))))</f>
        <v>Confirmed</v>
      </c>
      <c r="I282" s="7">
        <f>IF(OR(G282="",G282="Cancelled",G282="Mixed"),1,0)</f>
        <v>0</v>
      </c>
      <c r="J282" s="7">
        <f>IF(OR(H282="",H282="Mixed"),1,0)</f>
        <v>0</v>
      </c>
      <c r="K282" s="7">
        <f>IF(AND(C282=0,D282=0),IF(OR(AND(I282=0,NOT(EXACT(Raw_Passengers!F282,G282))),AND(J282=0,NOT(EXACT(Raw_Passengers!G282,H282)))),1,0),0)</f>
        <v>0</v>
      </c>
      <c r="L282" s="7">
        <f>IF(AND(C282=0,D282=0,I282=1),1,0)</f>
        <v>0</v>
      </c>
      <c r="M282" s="7">
        <f>IF(AND(C282=0,D282=0,J282=1),1,0)</f>
        <v>0</v>
      </c>
    </row>
    <row r="283" spans="1:13">
      <c r="A283" s="7">
        <f>Raw_Passengers!A283</f>
        <v>93481</v>
      </c>
      <c r="B283" s="7">
        <f>Raw_Passengers!B283</f>
        <v>1046198</v>
      </c>
      <c r="C283" s="7">
        <f>IF(COUNTIF(Raw_Passengers!$A$2:A283,Raw_Passengers!A283)&gt;1,1,0)</f>
        <v>0</v>
      </c>
      <c r="D283" s="7">
        <f>IF(COUNTIF(Raw_Bookings!$A$2:$A$648,Raw_Passengers!B283)=0,1,0)</f>
        <v>0</v>
      </c>
      <c r="E283" s="7">
        <f>IF(OR(C283=1,D283=1),0,IF(NOT(ISNUMBER(Raw_Passengers!E283)),1,IF(Raw_Passengers!E283&lt;=0,1,0)))</f>
        <v>0</v>
      </c>
      <c r="F283" s="7">
        <f>IF(AND(C283=0,D283=0,TRIM(Raw_Passengers!D283&amp;"")=""),1,0)</f>
        <v>0</v>
      </c>
      <c r="G283" s="7" t="str">
        <f>IF(SUMPRODUCT(--(Lookup_Status!$A$2:$A$13=LOWER(TRIM(Raw_Passengers!F283))))=0,"",INDEX(Lookup_Status!$B$2:$B$13,SUMPRODUCT((Lookup_Status!$A$2:$A$13=LOWER(TRIM(Raw_Passengers!F283)))*(ROW(Lookup_Status!$A$2:$A$13)-1))))</f>
        <v>Confirmed</v>
      </c>
      <c r="H283" s="7" t="str">
        <f>IF(SUMPRODUCT(--(Lookup_Status!$A$2:$A$13=LOWER(TRIM(Raw_Passengers!G283))))=0,"",INDEX(Lookup_Status!$B$2:$B$13,SUMPRODUCT((Lookup_Status!$A$2:$A$13=LOWER(TRIM(Raw_Passengers!G283)))*(ROW(Lookup_Status!$A$2:$A$13)-1))))</f>
        <v>Confirmed</v>
      </c>
      <c r="I283" s="7">
        <f>IF(OR(G283="",G283="Cancelled",G283="Mixed"),1,0)</f>
        <v>0</v>
      </c>
      <c r="J283" s="7">
        <f>IF(OR(H283="",H283="Mixed"),1,0)</f>
        <v>0</v>
      </c>
      <c r="K283" s="7">
        <f>IF(AND(C283=0,D283=0),IF(OR(AND(I283=0,NOT(EXACT(Raw_Passengers!F283,G283))),AND(J283=0,NOT(EXACT(Raw_Passengers!G283,H283)))),1,0),0)</f>
        <v>0</v>
      </c>
      <c r="L283" s="7">
        <f>IF(AND(C283=0,D283=0,I283=1),1,0)</f>
        <v>0</v>
      </c>
      <c r="M283" s="7">
        <f>IF(AND(C283=0,D283=0,J283=1),1,0)</f>
        <v>0</v>
      </c>
    </row>
    <row r="284" spans="1:13">
      <c r="A284" s="7">
        <f>Raw_Passengers!A284</f>
        <v>93536</v>
      </c>
      <c r="B284" s="7">
        <f>Raw_Passengers!B284</f>
        <v>1046233</v>
      </c>
      <c r="C284" s="7">
        <f>IF(COUNTIF(Raw_Passengers!$A$2:A284,Raw_Passengers!A284)&gt;1,1,0)</f>
        <v>0</v>
      </c>
      <c r="D284" s="7">
        <f>IF(COUNTIF(Raw_Bookings!$A$2:$A$648,Raw_Passengers!B284)=0,1,0)</f>
        <v>0</v>
      </c>
      <c r="E284" s="7">
        <f>IF(OR(C284=1,D284=1),0,IF(NOT(ISNUMBER(Raw_Passengers!E284)),1,IF(Raw_Passengers!E284&lt;=0,1,0)))</f>
        <v>0</v>
      </c>
      <c r="F284" s="7">
        <f>IF(AND(C284=0,D284=0,TRIM(Raw_Passengers!D284&amp;"")=""),1,0)</f>
        <v>0</v>
      </c>
      <c r="G284" s="7" t="str">
        <f>IF(SUMPRODUCT(--(Lookup_Status!$A$2:$A$13=LOWER(TRIM(Raw_Passengers!F284))))=0,"",INDEX(Lookup_Status!$B$2:$B$13,SUMPRODUCT((Lookup_Status!$A$2:$A$13=LOWER(TRIM(Raw_Passengers!F284)))*(ROW(Lookup_Status!$A$2:$A$13)-1))))</f>
        <v>Confirmed</v>
      </c>
      <c r="H284" s="7" t="str">
        <f>IF(SUMPRODUCT(--(Lookup_Status!$A$2:$A$13=LOWER(TRIM(Raw_Passengers!G284))))=0,"",INDEX(Lookup_Status!$B$2:$B$13,SUMPRODUCT((Lookup_Status!$A$2:$A$13=LOWER(TRIM(Raw_Passengers!G284)))*(ROW(Lookup_Status!$A$2:$A$13)-1))))</f>
        <v>Confirmed</v>
      </c>
      <c r="I284" s="7">
        <f>IF(OR(G284="",G284="Cancelled",G284="Mixed"),1,0)</f>
        <v>0</v>
      </c>
      <c r="J284" s="7">
        <f>IF(OR(H284="",H284="Mixed"),1,0)</f>
        <v>0</v>
      </c>
      <c r="K284" s="7">
        <f>IF(AND(C284=0,D284=0),IF(OR(AND(I284=0,NOT(EXACT(Raw_Passengers!F284,G284))),AND(J284=0,NOT(EXACT(Raw_Passengers!G284,H284)))),1,0),0)</f>
        <v>0</v>
      </c>
      <c r="L284" s="7">
        <f>IF(AND(C284=0,D284=0,I284=1),1,0)</f>
        <v>0</v>
      </c>
      <c r="M284" s="7">
        <f>IF(AND(C284=0,D284=0,J284=1),1,0)</f>
        <v>0</v>
      </c>
    </row>
    <row r="285" spans="1:13">
      <c r="A285" s="7">
        <f>Raw_Passengers!A285</f>
        <v>93537</v>
      </c>
      <c r="B285" s="7">
        <f>Raw_Passengers!B285</f>
        <v>1046233</v>
      </c>
      <c r="C285" s="7">
        <f>IF(COUNTIF(Raw_Passengers!$A$2:A285,Raw_Passengers!A285)&gt;1,1,0)</f>
        <v>0</v>
      </c>
      <c r="D285" s="7">
        <f>IF(COUNTIF(Raw_Bookings!$A$2:$A$648,Raw_Passengers!B285)=0,1,0)</f>
        <v>0</v>
      </c>
      <c r="E285" s="7">
        <f>IF(OR(C285=1,D285=1),0,IF(NOT(ISNUMBER(Raw_Passengers!E285)),1,IF(Raw_Passengers!E285&lt;=0,1,0)))</f>
        <v>0</v>
      </c>
      <c r="F285" s="7">
        <f>IF(AND(C285=0,D285=0,TRIM(Raw_Passengers!D285&amp;"")=""),1,0)</f>
        <v>0</v>
      </c>
      <c r="G285" s="7" t="str">
        <f>IF(SUMPRODUCT(--(Lookup_Status!$A$2:$A$13=LOWER(TRIM(Raw_Passengers!F285))))=0,"",INDEX(Lookup_Status!$B$2:$B$13,SUMPRODUCT((Lookup_Status!$A$2:$A$13=LOWER(TRIM(Raw_Passengers!F285)))*(ROW(Lookup_Status!$A$2:$A$13)-1))))</f>
        <v>Confirmed</v>
      </c>
      <c r="H285" s="7" t="str">
        <f>IF(SUMPRODUCT(--(Lookup_Status!$A$2:$A$13=LOWER(TRIM(Raw_Passengers!G285))))=0,"",INDEX(Lookup_Status!$B$2:$B$13,SUMPRODUCT((Lookup_Status!$A$2:$A$13=LOWER(TRIM(Raw_Passengers!G285)))*(ROW(Lookup_Status!$A$2:$A$13)-1))))</f>
        <v>Confirmed</v>
      </c>
      <c r="I285" s="7">
        <f>IF(OR(G285="",G285="Cancelled",G285="Mixed"),1,0)</f>
        <v>0</v>
      </c>
      <c r="J285" s="7">
        <f>IF(OR(H285="",H285="Mixed"),1,0)</f>
        <v>0</v>
      </c>
      <c r="K285" s="7">
        <f>IF(AND(C285=0,D285=0),IF(OR(AND(I285=0,NOT(EXACT(Raw_Passengers!F285,G285))),AND(J285=0,NOT(EXACT(Raw_Passengers!G285,H285)))),1,0),0)</f>
        <v>0</v>
      </c>
      <c r="L285" s="7">
        <f>IF(AND(C285=0,D285=0,I285=1),1,0)</f>
        <v>0</v>
      </c>
      <c r="M285" s="7">
        <f>IF(AND(C285=0,D285=0,J285=1),1,0)</f>
        <v>0</v>
      </c>
    </row>
    <row r="286" spans="1:13">
      <c r="A286" s="7">
        <f>Raw_Passengers!A286</f>
        <v>94119</v>
      </c>
      <c r="B286" s="7">
        <f>Raw_Passengers!B286</f>
        <v>1046536</v>
      </c>
      <c r="C286" s="7">
        <f>IF(COUNTIF(Raw_Passengers!$A$2:A286,Raw_Passengers!A286)&gt;1,1,0)</f>
        <v>0</v>
      </c>
      <c r="D286" s="7">
        <f>IF(COUNTIF(Raw_Bookings!$A$2:$A$648,Raw_Passengers!B286)=0,1,0)</f>
        <v>0</v>
      </c>
      <c r="E286" s="7">
        <f>IF(OR(C286=1,D286=1),0,IF(NOT(ISNUMBER(Raw_Passengers!E286)),1,IF(Raw_Passengers!E286&lt;=0,1,0)))</f>
        <v>0</v>
      </c>
      <c r="F286" s="7">
        <f>IF(AND(C286=0,D286=0,TRIM(Raw_Passengers!D286&amp;"")=""),1,0)</f>
        <v>0</v>
      </c>
      <c r="G286" s="7" t="str">
        <f>IF(SUMPRODUCT(--(Lookup_Status!$A$2:$A$13=LOWER(TRIM(Raw_Passengers!F286))))=0,"",INDEX(Lookup_Status!$B$2:$B$13,SUMPRODUCT((Lookup_Status!$A$2:$A$13=LOWER(TRIM(Raw_Passengers!F286)))*(ROW(Lookup_Status!$A$2:$A$13)-1))))</f>
        <v>Confirmed</v>
      </c>
      <c r="H286" s="7" t="str">
        <f>IF(SUMPRODUCT(--(Lookup_Status!$A$2:$A$13=LOWER(TRIM(Raw_Passengers!G286))))=0,"",INDEX(Lookup_Status!$B$2:$B$13,SUMPRODUCT((Lookup_Status!$A$2:$A$13=LOWER(TRIM(Raw_Passengers!G286)))*(ROW(Lookup_Status!$A$2:$A$13)-1))))</f>
        <v>Confirmed</v>
      </c>
      <c r="I286" s="7">
        <f>IF(OR(G286="",G286="Cancelled",G286="Mixed"),1,0)</f>
        <v>0</v>
      </c>
      <c r="J286" s="7">
        <f>IF(OR(H286="",H286="Mixed"),1,0)</f>
        <v>0</v>
      </c>
      <c r="K286" s="7">
        <f>IF(AND(C286=0,D286=0),IF(OR(AND(I286=0,NOT(EXACT(Raw_Passengers!F286,G286))),AND(J286=0,NOT(EXACT(Raw_Passengers!G286,H286)))),1,0),0)</f>
        <v>0</v>
      </c>
      <c r="L286" s="7">
        <f>IF(AND(C286=0,D286=0,I286=1),1,0)</f>
        <v>0</v>
      </c>
      <c r="M286" s="7">
        <f>IF(AND(C286=0,D286=0,J286=1),1,0)</f>
        <v>0</v>
      </c>
    </row>
    <row r="287" spans="1:13">
      <c r="A287" s="7">
        <f>Raw_Passengers!A287</f>
        <v>94120</v>
      </c>
      <c r="B287" s="7">
        <f>Raw_Passengers!B287</f>
        <v>1046536</v>
      </c>
      <c r="C287" s="7">
        <f>IF(COUNTIF(Raw_Passengers!$A$2:A287,Raw_Passengers!A287)&gt;1,1,0)</f>
        <v>0</v>
      </c>
      <c r="D287" s="7">
        <f>IF(COUNTIF(Raw_Bookings!$A$2:$A$648,Raw_Passengers!B287)=0,1,0)</f>
        <v>0</v>
      </c>
      <c r="E287" s="7">
        <f>IF(OR(C287=1,D287=1),0,IF(NOT(ISNUMBER(Raw_Passengers!E287)),1,IF(Raw_Passengers!E287&lt;=0,1,0)))</f>
        <v>0</v>
      </c>
      <c r="F287" s="7">
        <f>IF(AND(C287=0,D287=0,TRIM(Raw_Passengers!D287&amp;"")=""),1,0)</f>
        <v>0</v>
      </c>
      <c r="G287" s="7" t="str">
        <f>IF(SUMPRODUCT(--(Lookup_Status!$A$2:$A$13=LOWER(TRIM(Raw_Passengers!F287))))=0,"",INDEX(Lookup_Status!$B$2:$B$13,SUMPRODUCT((Lookup_Status!$A$2:$A$13=LOWER(TRIM(Raw_Passengers!F287)))*(ROW(Lookup_Status!$A$2:$A$13)-1))))</f>
        <v>Confirmed</v>
      </c>
      <c r="H287" s="7" t="str">
        <f>IF(SUMPRODUCT(--(Lookup_Status!$A$2:$A$13=LOWER(TRIM(Raw_Passengers!G287))))=0,"",INDEX(Lookup_Status!$B$2:$B$13,SUMPRODUCT((Lookup_Status!$A$2:$A$13=LOWER(TRIM(Raw_Passengers!G287)))*(ROW(Lookup_Status!$A$2:$A$13)-1))))</f>
        <v>Confirmed</v>
      </c>
      <c r="I287" s="7">
        <f>IF(OR(G287="",G287="Cancelled",G287="Mixed"),1,0)</f>
        <v>0</v>
      </c>
      <c r="J287" s="7">
        <f>IF(OR(H287="",H287="Mixed"),1,0)</f>
        <v>0</v>
      </c>
      <c r="K287" s="7">
        <f>IF(AND(C287=0,D287=0),IF(OR(AND(I287=0,NOT(EXACT(Raw_Passengers!F287,G287))),AND(J287=0,NOT(EXACT(Raw_Passengers!G287,H287)))),1,0),0)</f>
        <v>0</v>
      </c>
      <c r="L287" s="7">
        <f>IF(AND(C287=0,D287=0,I287=1),1,0)</f>
        <v>0</v>
      </c>
      <c r="M287" s="7">
        <f>IF(AND(C287=0,D287=0,J287=1),1,0)</f>
        <v>0</v>
      </c>
    </row>
    <row r="288" spans="1:13">
      <c r="A288" s="7">
        <f>Raw_Passengers!A288</f>
        <v>96391</v>
      </c>
      <c r="B288" s="7">
        <f>Raw_Passengers!B288</f>
        <v>1047713</v>
      </c>
      <c r="C288" s="7">
        <f>IF(COUNTIF(Raw_Passengers!$A$2:A288,Raw_Passengers!A288)&gt;1,1,0)</f>
        <v>0</v>
      </c>
      <c r="D288" s="7">
        <f>IF(COUNTIF(Raw_Bookings!$A$2:$A$648,Raw_Passengers!B288)=0,1,0)</f>
        <v>0</v>
      </c>
      <c r="E288" s="7">
        <f>IF(OR(C288=1,D288=1),0,IF(NOT(ISNUMBER(Raw_Passengers!E288)),1,IF(Raw_Passengers!E288&lt;=0,1,0)))</f>
        <v>0</v>
      </c>
      <c r="F288" s="7">
        <f>IF(AND(C288=0,D288=0,TRIM(Raw_Passengers!D288&amp;"")=""),1,0)</f>
        <v>0</v>
      </c>
      <c r="G288" s="7" t="str">
        <f>IF(SUMPRODUCT(--(Lookup_Status!$A$2:$A$13=LOWER(TRIM(Raw_Passengers!F288))))=0,"",INDEX(Lookup_Status!$B$2:$B$13,SUMPRODUCT((Lookup_Status!$A$2:$A$13=LOWER(TRIM(Raw_Passengers!F288)))*(ROW(Lookup_Status!$A$2:$A$13)-1))))</f>
        <v>Confirmed</v>
      </c>
      <c r="H288" s="7" t="str">
        <f>IF(SUMPRODUCT(--(Lookup_Status!$A$2:$A$13=LOWER(TRIM(Raw_Passengers!G288))))=0,"",INDEX(Lookup_Status!$B$2:$B$13,SUMPRODUCT((Lookup_Status!$A$2:$A$13=LOWER(TRIM(Raw_Passengers!G288)))*(ROW(Lookup_Status!$A$2:$A$13)-1))))</f>
        <v>Confirmed</v>
      </c>
      <c r="I288" s="7">
        <f>IF(OR(G288="",G288="Cancelled",G288="Mixed"),1,0)</f>
        <v>0</v>
      </c>
      <c r="J288" s="7">
        <f>IF(OR(H288="",H288="Mixed"),1,0)</f>
        <v>0</v>
      </c>
      <c r="K288" s="7">
        <f>IF(AND(C288=0,D288=0),IF(OR(AND(I288=0,NOT(EXACT(Raw_Passengers!F288,G288))),AND(J288=0,NOT(EXACT(Raw_Passengers!G288,H288)))),1,0),0)</f>
        <v>0</v>
      </c>
      <c r="L288" s="7">
        <f>IF(AND(C288=0,D288=0,I288=1),1,0)</f>
        <v>0</v>
      </c>
      <c r="M288" s="7">
        <f>IF(AND(C288=0,D288=0,J288=1),1,0)</f>
        <v>0</v>
      </c>
    </row>
    <row r="289" spans="1:13">
      <c r="A289" s="7">
        <f>Raw_Passengers!A289</f>
        <v>96392</v>
      </c>
      <c r="B289" s="7">
        <f>Raw_Passengers!B289</f>
        <v>1047713</v>
      </c>
      <c r="C289" s="7">
        <f>IF(COUNTIF(Raw_Passengers!$A$2:A289,Raw_Passengers!A289)&gt;1,1,0)</f>
        <v>0</v>
      </c>
      <c r="D289" s="7">
        <f>IF(COUNTIF(Raw_Bookings!$A$2:$A$648,Raw_Passengers!B289)=0,1,0)</f>
        <v>0</v>
      </c>
      <c r="E289" s="7">
        <f>IF(OR(C289=1,D289=1),0,IF(NOT(ISNUMBER(Raw_Passengers!E289)),1,IF(Raw_Passengers!E289&lt;=0,1,0)))</f>
        <v>0</v>
      </c>
      <c r="F289" s="7">
        <f>IF(AND(C289=0,D289=0,TRIM(Raw_Passengers!D289&amp;"")=""),1,0)</f>
        <v>0</v>
      </c>
      <c r="G289" s="7" t="str">
        <f>IF(SUMPRODUCT(--(Lookup_Status!$A$2:$A$13=LOWER(TRIM(Raw_Passengers!F289))))=0,"",INDEX(Lookup_Status!$B$2:$B$13,SUMPRODUCT((Lookup_Status!$A$2:$A$13=LOWER(TRIM(Raw_Passengers!F289)))*(ROW(Lookup_Status!$A$2:$A$13)-1))))</f>
        <v>Confirmed</v>
      </c>
      <c r="H289" s="7" t="str">
        <f>IF(SUMPRODUCT(--(Lookup_Status!$A$2:$A$13=LOWER(TRIM(Raw_Passengers!G289))))=0,"",INDEX(Lookup_Status!$B$2:$B$13,SUMPRODUCT((Lookup_Status!$A$2:$A$13=LOWER(TRIM(Raw_Passengers!G289)))*(ROW(Lookup_Status!$A$2:$A$13)-1))))</f>
        <v>Confirmed</v>
      </c>
      <c r="I289" s="7">
        <f>IF(OR(G289="",G289="Cancelled",G289="Mixed"),1,0)</f>
        <v>0</v>
      </c>
      <c r="J289" s="7">
        <f>IF(OR(H289="",H289="Mixed"),1,0)</f>
        <v>0</v>
      </c>
      <c r="K289" s="7">
        <f>IF(AND(C289=0,D289=0),IF(OR(AND(I289=0,NOT(EXACT(Raw_Passengers!F289,G289))),AND(J289=0,NOT(EXACT(Raw_Passengers!G289,H289)))),1,0),0)</f>
        <v>0</v>
      </c>
      <c r="L289" s="7">
        <f>IF(AND(C289=0,D289=0,I289=1),1,0)</f>
        <v>0</v>
      </c>
      <c r="M289" s="7">
        <f>IF(AND(C289=0,D289=0,J289=1),1,0)</f>
        <v>0</v>
      </c>
    </row>
    <row r="290" spans="1:13">
      <c r="A290" s="7">
        <f>Raw_Passengers!A290</f>
        <v>98704</v>
      </c>
      <c r="B290" s="7">
        <f>Raw_Passengers!B290</f>
        <v>1048875</v>
      </c>
      <c r="C290" s="7">
        <f>IF(COUNTIF(Raw_Passengers!$A$2:A290,Raw_Passengers!A290)&gt;1,1,0)</f>
        <v>0</v>
      </c>
      <c r="D290" s="7">
        <f>IF(COUNTIF(Raw_Bookings!$A$2:$A$648,Raw_Passengers!B290)=0,1,0)</f>
        <v>0</v>
      </c>
      <c r="E290" s="7">
        <f>IF(OR(C290=1,D290=1),0,IF(NOT(ISNUMBER(Raw_Passengers!E290)),1,IF(Raw_Passengers!E290&lt;=0,1,0)))</f>
        <v>0</v>
      </c>
      <c r="F290" s="7">
        <f>IF(AND(C290=0,D290=0,TRIM(Raw_Passengers!D290&amp;"")=""),1,0)</f>
        <v>0</v>
      </c>
      <c r="G290" s="7" t="str">
        <f>IF(SUMPRODUCT(--(Lookup_Status!$A$2:$A$13=LOWER(TRIM(Raw_Passengers!F290))))=0,"",INDEX(Lookup_Status!$B$2:$B$13,SUMPRODUCT((Lookup_Status!$A$2:$A$13=LOWER(TRIM(Raw_Passengers!F290)))*(ROW(Lookup_Status!$A$2:$A$13)-1))))</f>
        <v>Confirmed</v>
      </c>
      <c r="H290" s="7" t="str">
        <f>IF(SUMPRODUCT(--(Lookup_Status!$A$2:$A$13=LOWER(TRIM(Raw_Passengers!G290))))=0,"",INDEX(Lookup_Status!$B$2:$B$13,SUMPRODUCT((Lookup_Status!$A$2:$A$13=LOWER(TRIM(Raw_Passengers!G290)))*(ROW(Lookup_Status!$A$2:$A$13)-1))))</f>
        <v>Confirmed</v>
      </c>
      <c r="I290" s="7">
        <f>IF(OR(G290="",G290="Cancelled",G290="Mixed"),1,0)</f>
        <v>0</v>
      </c>
      <c r="J290" s="7">
        <f>IF(OR(H290="",H290="Mixed"),1,0)</f>
        <v>0</v>
      </c>
      <c r="K290" s="7">
        <f>IF(AND(C290=0,D290=0),IF(OR(AND(I290=0,NOT(EXACT(Raw_Passengers!F290,G290))),AND(J290=0,NOT(EXACT(Raw_Passengers!G290,H290)))),1,0),0)</f>
        <v>0</v>
      </c>
      <c r="L290" s="7">
        <f>IF(AND(C290=0,D290=0,I290=1),1,0)</f>
        <v>0</v>
      </c>
      <c r="M290" s="7">
        <f>IF(AND(C290=0,D290=0,J290=1),1,0)</f>
        <v>0</v>
      </c>
    </row>
    <row r="291" spans="1:13">
      <c r="A291" s="7">
        <f>Raw_Passengers!A291</f>
        <v>98705</v>
      </c>
      <c r="B291" s="7">
        <f>Raw_Passengers!B291</f>
        <v>1048875</v>
      </c>
      <c r="C291" s="7">
        <f>IF(COUNTIF(Raw_Passengers!$A$2:A291,Raw_Passengers!A291)&gt;1,1,0)</f>
        <v>0</v>
      </c>
      <c r="D291" s="7">
        <f>IF(COUNTIF(Raw_Bookings!$A$2:$A$648,Raw_Passengers!B291)=0,1,0)</f>
        <v>0</v>
      </c>
      <c r="E291" s="7">
        <f>IF(OR(C291=1,D291=1),0,IF(NOT(ISNUMBER(Raw_Passengers!E291)),1,IF(Raw_Passengers!E291&lt;=0,1,0)))</f>
        <v>0</v>
      </c>
      <c r="F291" s="7">
        <f>IF(AND(C291=0,D291=0,TRIM(Raw_Passengers!D291&amp;"")=""),1,0)</f>
        <v>0</v>
      </c>
      <c r="G291" s="7" t="str">
        <f>IF(SUMPRODUCT(--(Lookup_Status!$A$2:$A$13=LOWER(TRIM(Raw_Passengers!F291))))=0,"",INDEX(Lookup_Status!$B$2:$B$13,SUMPRODUCT((Lookup_Status!$A$2:$A$13=LOWER(TRIM(Raw_Passengers!F291)))*(ROW(Lookup_Status!$A$2:$A$13)-1))))</f>
        <v>Confirmed</v>
      </c>
      <c r="H291" s="7" t="str">
        <f>IF(SUMPRODUCT(--(Lookup_Status!$A$2:$A$13=LOWER(TRIM(Raw_Passengers!G291))))=0,"",INDEX(Lookup_Status!$B$2:$B$13,SUMPRODUCT((Lookup_Status!$A$2:$A$13=LOWER(TRIM(Raw_Passengers!G291)))*(ROW(Lookup_Status!$A$2:$A$13)-1))))</f>
        <v>Confirmed</v>
      </c>
      <c r="I291" s="7">
        <f>IF(OR(G291="",G291="Cancelled",G291="Mixed"),1,0)</f>
        <v>0</v>
      </c>
      <c r="J291" s="7">
        <f>IF(OR(H291="",H291="Mixed"),1,0)</f>
        <v>0</v>
      </c>
      <c r="K291" s="7">
        <f>IF(AND(C291=0,D291=0),IF(OR(AND(I291=0,NOT(EXACT(Raw_Passengers!F291,G291))),AND(J291=0,NOT(EXACT(Raw_Passengers!G291,H291)))),1,0),0)</f>
        <v>0</v>
      </c>
      <c r="L291" s="7">
        <f>IF(AND(C291=0,D291=0,I291=1),1,0)</f>
        <v>0</v>
      </c>
      <c r="M291" s="7">
        <f>IF(AND(C291=0,D291=0,J291=1),1,0)</f>
        <v>0</v>
      </c>
    </row>
    <row r="292" spans="1:13">
      <c r="A292" s="7">
        <f>Raw_Passengers!A292</f>
        <v>98706</v>
      </c>
      <c r="B292" s="7">
        <f>Raw_Passengers!B292</f>
        <v>1048875</v>
      </c>
      <c r="C292" s="7">
        <f>IF(COUNTIF(Raw_Passengers!$A$2:A292,Raw_Passengers!A292)&gt;1,1,0)</f>
        <v>0</v>
      </c>
      <c r="D292" s="7">
        <f>IF(COUNTIF(Raw_Bookings!$A$2:$A$648,Raw_Passengers!B292)=0,1,0)</f>
        <v>0</v>
      </c>
      <c r="E292" s="7">
        <f>IF(OR(C292=1,D292=1),0,IF(NOT(ISNUMBER(Raw_Passengers!E292)),1,IF(Raw_Passengers!E292&lt;=0,1,0)))</f>
        <v>0</v>
      </c>
      <c r="F292" s="7">
        <f>IF(AND(C292=0,D292=0,TRIM(Raw_Passengers!D292&amp;"")=""),1,0)</f>
        <v>0</v>
      </c>
      <c r="G292" s="7" t="str">
        <f>IF(SUMPRODUCT(--(Lookup_Status!$A$2:$A$13=LOWER(TRIM(Raw_Passengers!F292))))=0,"",INDEX(Lookup_Status!$B$2:$B$13,SUMPRODUCT((Lookup_Status!$A$2:$A$13=LOWER(TRIM(Raw_Passengers!F292)))*(ROW(Lookup_Status!$A$2:$A$13)-1))))</f>
        <v>Confirmed</v>
      </c>
      <c r="H292" s="7" t="str">
        <f>IF(SUMPRODUCT(--(Lookup_Status!$A$2:$A$13=LOWER(TRIM(Raw_Passengers!G292))))=0,"",INDEX(Lookup_Status!$B$2:$B$13,SUMPRODUCT((Lookup_Status!$A$2:$A$13=LOWER(TRIM(Raw_Passengers!G292)))*(ROW(Lookup_Status!$A$2:$A$13)-1))))</f>
        <v>Confirmed</v>
      </c>
      <c r="I292" s="7">
        <f>IF(OR(G292="",G292="Cancelled",G292="Mixed"),1,0)</f>
        <v>0</v>
      </c>
      <c r="J292" s="7">
        <f>IF(OR(H292="",H292="Mixed"),1,0)</f>
        <v>0</v>
      </c>
      <c r="K292" s="7">
        <f>IF(AND(C292=0,D292=0),IF(OR(AND(I292=0,NOT(EXACT(Raw_Passengers!F292,G292))),AND(J292=0,NOT(EXACT(Raw_Passengers!G292,H292)))),1,0),0)</f>
        <v>0</v>
      </c>
      <c r="L292" s="7">
        <f>IF(AND(C292=0,D292=0,I292=1),1,0)</f>
        <v>0</v>
      </c>
      <c r="M292" s="7">
        <f>IF(AND(C292=0,D292=0,J292=1),1,0)</f>
        <v>0</v>
      </c>
    </row>
    <row r="293" spans="1:13">
      <c r="A293" s="7">
        <f>Raw_Passengers!A293</f>
        <v>98929</v>
      </c>
      <c r="B293" s="7">
        <f>Raw_Passengers!B293</f>
        <v>1048994</v>
      </c>
      <c r="C293" s="7">
        <f>IF(COUNTIF(Raw_Passengers!$A$2:A293,Raw_Passengers!A293)&gt;1,1,0)</f>
        <v>0</v>
      </c>
      <c r="D293" s="7">
        <f>IF(COUNTIF(Raw_Bookings!$A$2:$A$648,Raw_Passengers!B293)=0,1,0)</f>
        <v>0</v>
      </c>
      <c r="E293" s="7">
        <f>IF(OR(C293=1,D293=1),0,IF(NOT(ISNUMBER(Raw_Passengers!E293)),1,IF(Raw_Passengers!E293&lt;=0,1,0)))</f>
        <v>0</v>
      </c>
      <c r="F293" s="7">
        <f>IF(AND(C293=0,D293=0,TRIM(Raw_Passengers!D293&amp;"")=""),1,0)</f>
        <v>0</v>
      </c>
      <c r="G293" s="7" t="str">
        <f>IF(SUMPRODUCT(--(Lookup_Status!$A$2:$A$13=LOWER(TRIM(Raw_Passengers!F293))))=0,"",INDEX(Lookup_Status!$B$2:$B$13,SUMPRODUCT((Lookup_Status!$A$2:$A$13=LOWER(TRIM(Raw_Passengers!F293)))*(ROW(Lookup_Status!$A$2:$A$13)-1))))</f>
        <v>Confirmed</v>
      </c>
      <c r="H293" s="7" t="str">
        <f>IF(SUMPRODUCT(--(Lookup_Status!$A$2:$A$13=LOWER(TRIM(Raw_Passengers!G293))))=0,"",INDEX(Lookup_Status!$B$2:$B$13,SUMPRODUCT((Lookup_Status!$A$2:$A$13=LOWER(TRIM(Raw_Passengers!G293)))*(ROW(Lookup_Status!$A$2:$A$13)-1))))</f>
        <v>Cancelled</v>
      </c>
      <c r="I293" s="7">
        <f>IF(OR(G293="",G293="Cancelled",G293="Mixed"),1,0)</f>
        <v>0</v>
      </c>
      <c r="J293" s="7">
        <f>IF(OR(H293="",H293="Mixed"),1,0)</f>
        <v>0</v>
      </c>
      <c r="K293" s="7">
        <f>IF(AND(C293=0,D293=0),IF(OR(AND(I293=0,NOT(EXACT(Raw_Passengers!F293,G293))),AND(J293=0,NOT(EXACT(Raw_Passengers!G293,H293)))),1,0),0)</f>
        <v>0</v>
      </c>
      <c r="L293" s="7">
        <f>IF(AND(C293=0,D293=0,I293=1),1,0)</f>
        <v>0</v>
      </c>
      <c r="M293" s="7">
        <f>IF(AND(C293=0,D293=0,J293=1),1,0)</f>
        <v>0</v>
      </c>
    </row>
    <row r="294" spans="1:13">
      <c r="A294" s="7">
        <f>Raw_Passengers!A294</f>
        <v>98930</v>
      </c>
      <c r="B294" s="7">
        <f>Raw_Passengers!B294</f>
        <v>1048994</v>
      </c>
      <c r="C294" s="7">
        <f>IF(COUNTIF(Raw_Passengers!$A$2:A294,Raw_Passengers!A294)&gt;1,1,0)</f>
        <v>0</v>
      </c>
      <c r="D294" s="7">
        <f>IF(COUNTIF(Raw_Bookings!$A$2:$A$648,Raw_Passengers!B294)=0,1,0)</f>
        <v>0</v>
      </c>
      <c r="E294" s="7">
        <f>IF(OR(C294=1,D294=1),0,IF(NOT(ISNUMBER(Raw_Passengers!E294)),1,IF(Raw_Passengers!E294&lt;=0,1,0)))</f>
        <v>0</v>
      </c>
      <c r="F294" s="7">
        <f>IF(AND(C294=0,D294=0,TRIM(Raw_Passengers!D294&amp;"")=""),1,0)</f>
        <v>0</v>
      </c>
      <c r="G294" s="7" t="str">
        <f>IF(SUMPRODUCT(--(Lookup_Status!$A$2:$A$13=LOWER(TRIM(Raw_Passengers!F294))))=0,"",INDEX(Lookup_Status!$B$2:$B$13,SUMPRODUCT((Lookup_Status!$A$2:$A$13=LOWER(TRIM(Raw_Passengers!F294)))*(ROW(Lookup_Status!$A$2:$A$13)-1))))</f>
        <v>Confirmed</v>
      </c>
      <c r="H294" s="7" t="str">
        <f>IF(SUMPRODUCT(--(Lookup_Status!$A$2:$A$13=LOWER(TRIM(Raw_Passengers!G294))))=0,"",INDEX(Lookup_Status!$B$2:$B$13,SUMPRODUCT((Lookup_Status!$A$2:$A$13=LOWER(TRIM(Raw_Passengers!G294)))*(ROW(Lookup_Status!$A$2:$A$13)-1))))</f>
        <v>Confirmed</v>
      </c>
      <c r="I294" s="7">
        <f>IF(OR(G294="",G294="Cancelled",G294="Mixed"),1,0)</f>
        <v>0</v>
      </c>
      <c r="J294" s="7">
        <f>IF(OR(H294="",H294="Mixed"),1,0)</f>
        <v>0</v>
      </c>
      <c r="K294" s="7">
        <f>IF(AND(C294=0,D294=0),IF(OR(AND(I294=0,NOT(EXACT(Raw_Passengers!F294,G294))),AND(J294=0,NOT(EXACT(Raw_Passengers!G294,H294)))),1,0),0)</f>
        <v>0</v>
      </c>
      <c r="L294" s="7">
        <f>IF(AND(C294=0,D294=0,I294=1),1,0)</f>
        <v>0</v>
      </c>
      <c r="M294" s="7">
        <f>IF(AND(C294=0,D294=0,J294=1),1,0)</f>
        <v>0</v>
      </c>
    </row>
    <row r="295" spans="1:13">
      <c r="A295" s="7">
        <f>Raw_Passengers!A295</f>
        <v>99649</v>
      </c>
      <c r="B295" s="7">
        <f>Raw_Passengers!B295</f>
        <v>1049353</v>
      </c>
      <c r="C295" s="7">
        <f>IF(COUNTIF(Raw_Passengers!$A$2:A295,Raw_Passengers!A295)&gt;1,1,0)</f>
        <v>0</v>
      </c>
      <c r="D295" s="7">
        <f>IF(COUNTIF(Raw_Bookings!$A$2:$A$648,Raw_Passengers!B295)=0,1,0)</f>
        <v>0</v>
      </c>
      <c r="E295" s="7">
        <f>IF(OR(C295=1,D295=1),0,IF(NOT(ISNUMBER(Raw_Passengers!E295)),1,IF(Raw_Passengers!E295&lt;=0,1,0)))</f>
        <v>0</v>
      </c>
      <c r="F295" s="7">
        <f>IF(AND(C295=0,D295=0,TRIM(Raw_Passengers!D295&amp;"")=""),1,0)</f>
        <v>0</v>
      </c>
      <c r="G295" s="7" t="str">
        <f>IF(SUMPRODUCT(--(Lookup_Status!$A$2:$A$13=LOWER(TRIM(Raw_Passengers!F295))))=0,"",INDEX(Lookup_Status!$B$2:$B$13,SUMPRODUCT((Lookup_Status!$A$2:$A$13=LOWER(TRIM(Raw_Passengers!F295)))*(ROW(Lookup_Status!$A$2:$A$13)-1))))</f>
        <v>Confirmed</v>
      </c>
      <c r="H295" s="7" t="str">
        <f>IF(SUMPRODUCT(--(Lookup_Status!$A$2:$A$13=LOWER(TRIM(Raw_Passengers!G295))))=0,"",INDEX(Lookup_Status!$B$2:$B$13,SUMPRODUCT((Lookup_Status!$A$2:$A$13=LOWER(TRIM(Raw_Passengers!G295)))*(ROW(Lookup_Status!$A$2:$A$13)-1))))</f>
        <v>Confirmed</v>
      </c>
      <c r="I295" s="7">
        <f>IF(OR(G295="",G295="Cancelled",G295="Mixed"),1,0)</f>
        <v>0</v>
      </c>
      <c r="J295" s="7">
        <f>IF(OR(H295="",H295="Mixed"),1,0)</f>
        <v>0</v>
      </c>
      <c r="K295" s="7">
        <f>IF(AND(C295=0,D295=0),IF(OR(AND(I295=0,NOT(EXACT(Raw_Passengers!F295,G295))),AND(J295=0,NOT(EXACT(Raw_Passengers!G295,H295)))),1,0),0)</f>
        <v>0</v>
      </c>
      <c r="L295" s="7">
        <f>IF(AND(C295=0,D295=0,I295=1),1,0)</f>
        <v>0</v>
      </c>
      <c r="M295" s="7">
        <f>IF(AND(C295=0,D295=0,J295=1),1,0)</f>
        <v>0</v>
      </c>
    </row>
    <row r="296" spans="1:13">
      <c r="A296" s="7">
        <f>Raw_Passengers!A296</f>
        <v>99650</v>
      </c>
      <c r="B296" s="7">
        <f>Raw_Passengers!B296</f>
        <v>1049353</v>
      </c>
      <c r="C296" s="7">
        <f>IF(COUNTIF(Raw_Passengers!$A$2:A296,Raw_Passengers!A296)&gt;1,1,0)</f>
        <v>0</v>
      </c>
      <c r="D296" s="7">
        <f>IF(COUNTIF(Raw_Bookings!$A$2:$A$648,Raw_Passengers!B296)=0,1,0)</f>
        <v>0</v>
      </c>
      <c r="E296" s="7">
        <f>IF(OR(C296=1,D296=1),0,IF(NOT(ISNUMBER(Raw_Passengers!E296)),1,IF(Raw_Passengers!E296&lt;=0,1,0)))</f>
        <v>0</v>
      </c>
      <c r="F296" s="7">
        <f>IF(AND(C296=0,D296=0,TRIM(Raw_Passengers!D296&amp;"")=""),1,0)</f>
        <v>0</v>
      </c>
      <c r="G296" s="7" t="str">
        <f>IF(SUMPRODUCT(--(Lookup_Status!$A$2:$A$13=LOWER(TRIM(Raw_Passengers!F296))))=0,"",INDEX(Lookup_Status!$B$2:$B$13,SUMPRODUCT((Lookup_Status!$A$2:$A$13=LOWER(TRIM(Raw_Passengers!F296)))*(ROW(Lookup_Status!$A$2:$A$13)-1))))</f>
        <v>Confirmed</v>
      </c>
      <c r="H296" s="7" t="str">
        <f>IF(SUMPRODUCT(--(Lookup_Status!$A$2:$A$13=LOWER(TRIM(Raw_Passengers!G296))))=0,"",INDEX(Lookup_Status!$B$2:$B$13,SUMPRODUCT((Lookup_Status!$A$2:$A$13=LOWER(TRIM(Raw_Passengers!G296)))*(ROW(Lookup_Status!$A$2:$A$13)-1))))</f>
        <v>Confirmed</v>
      </c>
      <c r="I296" s="7">
        <f>IF(OR(G296="",G296="Cancelled",G296="Mixed"),1,0)</f>
        <v>0</v>
      </c>
      <c r="J296" s="7">
        <f>IF(OR(H296="",H296="Mixed"),1,0)</f>
        <v>0</v>
      </c>
      <c r="K296" s="7">
        <f>IF(AND(C296=0,D296=0),IF(OR(AND(I296=0,NOT(EXACT(Raw_Passengers!F296,G296))),AND(J296=0,NOT(EXACT(Raw_Passengers!G296,H296)))),1,0),0)</f>
        <v>0</v>
      </c>
      <c r="L296" s="7">
        <f>IF(AND(C296=0,D296=0,I296=1),1,0)</f>
        <v>0</v>
      </c>
      <c r="M296" s="7">
        <f>IF(AND(C296=0,D296=0,J296=1),1,0)</f>
        <v>0</v>
      </c>
    </row>
    <row r="297" spans="1:13">
      <c r="A297" s="7">
        <f>Raw_Passengers!A297</f>
        <v>101395</v>
      </c>
      <c r="B297" s="7">
        <f>Raw_Passengers!B297</f>
        <v>1050196</v>
      </c>
      <c r="C297" s="7">
        <f>IF(COUNTIF(Raw_Passengers!$A$2:A297,Raw_Passengers!A297)&gt;1,1,0)</f>
        <v>0</v>
      </c>
      <c r="D297" s="7">
        <f>IF(COUNTIF(Raw_Bookings!$A$2:$A$648,Raw_Passengers!B297)=0,1,0)</f>
        <v>0</v>
      </c>
      <c r="E297" s="7">
        <f>IF(OR(C297=1,D297=1),0,IF(NOT(ISNUMBER(Raw_Passengers!E297)),1,IF(Raw_Passengers!E297&lt;=0,1,0)))</f>
        <v>0</v>
      </c>
      <c r="F297" s="7">
        <f>IF(AND(C297=0,D297=0,TRIM(Raw_Passengers!D297&amp;"")=""),1,0)</f>
        <v>0</v>
      </c>
      <c r="G297" s="7" t="str">
        <f>IF(SUMPRODUCT(--(Lookup_Status!$A$2:$A$13=LOWER(TRIM(Raw_Passengers!F297))))=0,"",INDEX(Lookup_Status!$B$2:$B$13,SUMPRODUCT((Lookup_Status!$A$2:$A$13=LOWER(TRIM(Raw_Passengers!F297)))*(ROW(Lookup_Status!$A$2:$A$13)-1))))</f>
        <v>Waitlisted</v>
      </c>
      <c r="H297" s="7" t="str">
        <f>IF(SUMPRODUCT(--(Lookup_Status!$A$2:$A$13=LOWER(TRIM(Raw_Passengers!G297))))=0,"",INDEX(Lookup_Status!$B$2:$B$13,SUMPRODUCT((Lookup_Status!$A$2:$A$13=LOWER(TRIM(Raw_Passengers!G297)))*(ROW(Lookup_Status!$A$2:$A$13)-1))))</f>
        <v>Waitlisted</v>
      </c>
      <c r="I297" s="7">
        <f>IF(OR(G297="",G297="Cancelled",G297="Mixed"),1,0)</f>
        <v>0</v>
      </c>
      <c r="J297" s="7">
        <f>IF(OR(H297="",H297="Mixed"),1,0)</f>
        <v>0</v>
      </c>
      <c r="K297" s="7">
        <f>IF(AND(C297=0,D297=0),IF(OR(AND(I297=0,NOT(EXACT(Raw_Passengers!F297,G297))),AND(J297=0,NOT(EXACT(Raw_Passengers!G297,H297)))),1,0),0)</f>
        <v>0</v>
      </c>
      <c r="L297" s="7">
        <f>IF(AND(C297=0,D297=0,I297=1),1,0)</f>
        <v>0</v>
      </c>
      <c r="M297" s="7">
        <f>IF(AND(C297=0,D297=0,J297=1),1,0)</f>
        <v>0</v>
      </c>
    </row>
    <row r="298" spans="1:13">
      <c r="A298" s="7">
        <f>Raw_Passengers!A298</f>
        <v>102072</v>
      </c>
      <c r="B298" s="7">
        <f>Raw_Passengers!B298</f>
        <v>1050534</v>
      </c>
      <c r="C298" s="7">
        <f>IF(COUNTIF(Raw_Passengers!$A$2:A298,Raw_Passengers!A298)&gt;1,1,0)</f>
        <v>0</v>
      </c>
      <c r="D298" s="7">
        <f>IF(COUNTIF(Raw_Bookings!$A$2:$A$648,Raw_Passengers!B298)=0,1,0)</f>
        <v>0</v>
      </c>
      <c r="E298" s="7">
        <f>IF(OR(C298=1,D298=1),0,IF(NOT(ISNUMBER(Raw_Passengers!E298)),1,IF(Raw_Passengers!E298&lt;=0,1,0)))</f>
        <v>0</v>
      </c>
      <c r="F298" s="7">
        <f>IF(AND(C298=0,D298=0,TRIM(Raw_Passengers!D298&amp;"")=""),1,0)</f>
        <v>0</v>
      </c>
      <c r="G298" s="7" t="str">
        <f>IF(SUMPRODUCT(--(Lookup_Status!$A$2:$A$13=LOWER(TRIM(Raw_Passengers!F298))))=0,"",INDEX(Lookup_Status!$B$2:$B$13,SUMPRODUCT((Lookup_Status!$A$2:$A$13=LOWER(TRIM(Raw_Passengers!F298)))*(ROW(Lookup_Status!$A$2:$A$13)-1))))</f>
        <v>Confirmed</v>
      </c>
      <c r="H298" s="7" t="str">
        <f>IF(SUMPRODUCT(--(Lookup_Status!$A$2:$A$13=LOWER(TRIM(Raw_Passengers!G298))))=0,"",INDEX(Lookup_Status!$B$2:$B$13,SUMPRODUCT((Lookup_Status!$A$2:$A$13=LOWER(TRIM(Raw_Passengers!G298)))*(ROW(Lookup_Status!$A$2:$A$13)-1))))</f>
        <v>Confirmed</v>
      </c>
      <c r="I298" s="7">
        <f>IF(OR(G298="",G298="Cancelled",G298="Mixed"),1,0)</f>
        <v>0</v>
      </c>
      <c r="J298" s="7">
        <f>IF(OR(H298="",H298="Mixed"),1,0)</f>
        <v>0</v>
      </c>
      <c r="K298" s="7">
        <f>IF(AND(C298=0,D298=0),IF(OR(AND(I298=0,NOT(EXACT(Raw_Passengers!F298,G298))),AND(J298=0,NOT(EXACT(Raw_Passengers!G298,H298)))),1,0),0)</f>
        <v>0</v>
      </c>
      <c r="L298" s="7">
        <f>IF(AND(C298=0,D298=0,I298=1),1,0)</f>
        <v>0</v>
      </c>
      <c r="M298" s="7">
        <f>IF(AND(C298=0,D298=0,J298=1),1,0)</f>
        <v>0</v>
      </c>
    </row>
    <row r="299" spans="1:13">
      <c r="A299" s="7">
        <f>Raw_Passengers!A299</f>
        <v>102073</v>
      </c>
      <c r="B299" s="7">
        <f>Raw_Passengers!B299</f>
        <v>1050534</v>
      </c>
      <c r="C299" s="7">
        <f>IF(COUNTIF(Raw_Passengers!$A$2:A299,Raw_Passengers!A299)&gt;1,1,0)</f>
        <v>0</v>
      </c>
      <c r="D299" s="7">
        <f>IF(COUNTIF(Raw_Bookings!$A$2:$A$648,Raw_Passengers!B299)=0,1,0)</f>
        <v>0</v>
      </c>
      <c r="E299" s="7">
        <f>IF(OR(C299=1,D299=1),0,IF(NOT(ISNUMBER(Raw_Passengers!E299)),1,IF(Raw_Passengers!E299&lt;=0,1,0)))</f>
        <v>0</v>
      </c>
      <c r="F299" s="7">
        <f>IF(AND(C299=0,D299=0,TRIM(Raw_Passengers!D299&amp;"")=""),1,0)</f>
        <v>0</v>
      </c>
      <c r="G299" s="7" t="str">
        <f>IF(SUMPRODUCT(--(Lookup_Status!$A$2:$A$13=LOWER(TRIM(Raw_Passengers!F299))))=0,"",INDEX(Lookup_Status!$B$2:$B$13,SUMPRODUCT((Lookup_Status!$A$2:$A$13=LOWER(TRIM(Raw_Passengers!F299)))*(ROW(Lookup_Status!$A$2:$A$13)-1))))</f>
        <v>Confirmed</v>
      </c>
      <c r="H299" s="7" t="str">
        <f>IF(SUMPRODUCT(--(Lookup_Status!$A$2:$A$13=LOWER(TRIM(Raw_Passengers!G299))))=0,"",INDEX(Lookup_Status!$B$2:$B$13,SUMPRODUCT((Lookup_Status!$A$2:$A$13=LOWER(TRIM(Raw_Passengers!G299)))*(ROW(Lookup_Status!$A$2:$A$13)-1))))</f>
        <v>Confirmed</v>
      </c>
      <c r="I299" s="7">
        <f>IF(OR(G299="",G299="Cancelled",G299="Mixed"),1,0)</f>
        <v>0</v>
      </c>
      <c r="J299" s="7">
        <f>IF(OR(H299="",H299="Mixed"),1,0)</f>
        <v>0</v>
      </c>
      <c r="K299" s="7">
        <f>IF(AND(C299=0,D299=0),IF(OR(AND(I299=0,NOT(EXACT(Raw_Passengers!F299,G299))),AND(J299=0,NOT(EXACT(Raw_Passengers!G299,H299)))),1,0),0)</f>
        <v>0</v>
      </c>
      <c r="L299" s="7">
        <f>IF(AND(C299=0,D299=0,I299=1),1,0)</f>
        <v>0</v>
      </c>
      <c r="M299" s="7">
        <f>IF(AND(C299=0,D299=0,J299=1),1,0)</f>
        <v>0</v>
      </c>
    </row>
    <row r="300" spans="1:13">
      <c r="A300" s="7">
        <f>Raw_Passengers!A300</f>
        <v>102074</v>
      </c>
      <c r="B300" s="7">
        <f>Raw_Passengers!B300</f>
        <v>1050534</v>
      </c>
      <c r="C300" s="7">
        <f>IF(COUNTIF(Raw_Passengers!$A$2:A300,Raw_Passengers!A300)&gt;1,1,0)</f>
        <v>0</v>
      </c>
      <c r="D300" s="7">
        <f>IF(COUNTIF(Raw_Bookings!$A$2:$A$648,Raw_Passengers!B300)=0,1,0)</f>
        <v>0</v>
      </c>
      <c r="E300" s="7">
        <f>IF(OR(C300=1,D300=1),0,IF(NOT(ISNUMBER(Raw_Passengers!E300)),1,IF(Raw_Passengers!E300&lt;=0,1,0)))</f>
        <v>0</v>
      </c>
      <c r="F300" s="7">
        <f>IF(AND(C300=0,D300=0,TRIM(Raw_Passengers!D300&amp;"")=""),1,0)</f>
        <v>0</v>
      </c>
      <c r="G300" s="7" t="str">
        <f>IF(SUMPRODUCT(--(Lookup_Status!$A$2:$A$13=LOWER(TRIM(Raw_Passengers!F300))))=0,"",INDEX(Lookup_Status!$B$2:$B$13,SUMPRODUCT((Lookup_Status!$A$2:$A$13=LOWER(TRIM(Raw_Passengers!F300)))*(ROW(Lookup_Status!$A$2:$A$13)-1))))</f>
        <v>Confirmed</v>
      </c>
      <c r="H300" s="7" t="str">
        <f>IF(SUMPRODUCT(--(Lookup_Status!$A$2:$A$13=LOWER(TRIM(Raw_Passengers!G300))))=0,"",INDEX(Lookup_Status!$B$2:$B$13,SUMPRODUCT((Lookup_Status!$A$2:$A$13=LOWER(TRIM(Raw_Passengers!G300)))*(ROW(Lookup_Status!$A$2:$A$13)-1))))</f>
        <v>Confirmed</v>
      </c>
      <c r="I300" s="7">
        <f>IF(OR(G300="",G300="Cancelled",G300="Mixed"),1,0)</f>
        <v>0</v>
      </c>
      <c r="J300" s="7">
        <f>IF(OR(H300="",H300="Mixed"),1,0)</f>
        <v>0</v>
      </c>
      <c r="K300" s="7">
        <f>IF(AND(C300=0,D300=0),IF(OR(AND(I300=0,NOT(EXACT(Raw_Passengers!F300,G300))),AND(J300=0,NOT(EXACT(Raw_Passengers!G300,H300)))),1,0),0)</f>
        <v>0</v>
      </c>
      <c r="L300" s="7">
        <f>IF(AND(C300=0,D300=0,I300=1),1,0)</f>
        <v>0</v>
      </c>
      <c r="M300" s="7">
        <f>IF(AND(C300=0,D300=0,J300=1),1,0)</f>
        <v>0</v>
      </c>
    </row>
    <row r="301" spans="1:13">
      <c r="A301" s="7">
        <f>Raw_Passengers!A301</f>
        <v>102168</v>
      </c>
      <c r="B301" s="7">
        <f>Raw_Passengers!B301</f>
        <v>1050575</v>
      </c>
      <c r="C301" s="7">
        <f>IF(COUNTIF(Raw_Passengers!$A$2:A301,Raw_Passengers!A301)&gt;1,1,0)</f>
        <v>0</v>
      </c>
      <c r="D301" s="7">
        <f>IF(COUNTIF(Raw_Bookings!$A$2:$A$648,Raw_Passengers!B301)=0,1,0)</f>
        <v>0</v>
      </c>
      <c r="E301" s="7">
        <f>IF(OR(C301=1,D301=1),0,IF(NOT(ISNUMBER(Raw_Passengers!E301)),1,IF(Raw_Passengers!E301&lt;=0,1,0)))</f>
        <v>0</v>
      </c>
      <c r="F301" s="7">
        <f>IF(AND(C301=0,D301=0,TRIM(Raw_Passengers!D301&amp;"")=""),1,0)</f>
        <v>0</v>
      </c>
      <c r="G301" s="7" t="str">
        <f>IF(SUMPRODUCT(--(Lookup_Status!$A$2:$A$13=LOWER(TRIM(Raw_Passengers!F301))))=0,"",INDEX(Lookup_Status!$B$2:$B$13,SUMPRODUCT((Lookup_Status!$A$2:$A$13=LOWER(TRIM(Raw_Passengers!F301)))*(ROW(Lookup_Status!$A$2:$A$13)-1))))</f>
        <v>Confirmed</v>
      </c>
      <c r="H301" s="7" t="str">
        <f>IF(SUMPRODUCT(--(Lookup_Status!$A$2:$A$13=LOWER(TRIM(Raw_Passengers!G301))))=0,"",INDEX(Lookup_Status!$B$2:$B$13,SUMPRODUCT((Lookup_Status!$A$2:$A$13=LOWER(TRIM(Raw_Passengers!G301)))*(ROW(Lookup_Status!$A$2:$A$13)-1))))</f>
        <v>Cancelled</v>
      </c>
      <c r="I301" s="7">
        <f>IF(OR(G301="",G301="Cancelled",G301="Mixed"),1,0)</f>
        <v>0</v>
      </c>
      <c r="J301" s="7">
        <f>IF(OR(H301="",H301="Mixed"),1,0)</f>
        <v>0</v>
      </c>
      <c r="K301" s="7">
        <f>IF(AND(C301=0,D301=0),IF(OR(AND(I301=0,NOT(EXACT(Raw_Passengers!F301,G301))),AND(J301=0,NOT(EXACT(Raw_Passengers!G301,H301)))),1,0),0)</f>
        <v>0</v>
      </c>
      <c r="L301" s="7">
        <f>IF(AND(C301=0,D301=0,I301=1),1,0)</f>
        <v>0</v>
      </c>
      <c r="M301" s="7">
        <f>IF(AND(C301=0,D301=0,J301=1),1,0)</f>
        <v>0</v>
      </c>
    </row>
    <row r="302" spans="1:13">
      <c r="A302" s="7">
        <f>Raw_Passengers!A302</f>
        <v>102169</v>
      </c>
      <c r="B302" s="7">
        <f>Raw_Passengers!B302</f>
        <v>1050575</v>
      </c>
      <c r="C302" s="7">
        <f>IF(COUNTIF(Raw_Passengers!$A$2:A302,Raw_Passengers!A302)&gt;1,1,0)</f>
        <v>0</v>
      </c>
      <c r="D302" s="7">
        <f>IF(COUNTIF(Raw_Bookings!$A$2:$A$648,Raw_Passengers!B302)=0,1,0)</f>
        <v>0</v>
      </c>
      <c r="E302" s="7">
        <f>IF(OR(C302=1,D302=1),0,IF(NOT(ISNUMBER(Raw_Passengers!E302)),1,IF(Raw_Passengers!E302&lt;=0,1,0)))</f>
        <v>0</v>
      </c>
      <c r="F302" s="7">
        <f>IF(AND(C302=0,D302=0,TRIM(Raw_Passengers!D302&amp;"")=""),1,0)</f>
        <v>0</v>
      </c>
      <c r="G302" s="7" t="str">
        <f>IF(SUMPRODUCT(--(Lookup_Status!$A$2:$A$13=LOWER(TRIM(Raw_Passengers!F302))))=0,"",INDEX(Lookup_Status!$B$2:$B$13,SUMPRODUCT((Lookup_Status!$A$2:$A$13=LOWER(TRIM(Raw_Passengers!F302)))*(ROW(Lookup_Status!$A$2:$A$13)-1))))</f>
        <v>Confirmed</v>
      </c>
      <c r="H302" s="7" t="str">
        <f>IF(SUMPRODUCT(--(Lookup_Status!$A$2:$A$13=LOWER(TRIM(Raw_Passengers!G302))))=0,"",INDEX(Lookup_Status!$B$2:$B$13,SUMPRODUCT((Lookup_Status!$A$2:$A$13=LOWER(TRIM(Raw_Passengers!G302)))*(ROW(Lookup_Status!$A$2:$A$13)-1))))</f>
        <v>Cancelled</v>
      </c>
      <c r="I302" s="7">
        <f>IF(OR(G302="",G302="Cancelled",G302="Mixed"),1,0)</f>
        <v>0</v>
      </c>
      <c r="J302" s="7">
        <f>IF(OR(H302="",H302="Mixed"),1,0)</f>
        <v>0</v>
      </c>
      <c r="K302" s="7">
        <f>IF(AND(C302=0,D302=0),IF(OR(AND(I302=0,NOT(EXACT(Raw_Passengers!F302,G302))),AND(J302=0,NOT(EXACT(Raw_Passengers!G302,H302)))),1,0),0)</f>
        <v>0</v>
      </c>
      <c r="L302" s="7">
        <f>IF(AND(C302=0,D302=0,I302=1),1,0)</f>
        <v>0</v>
      </c>
      <c r="M302" s="7">
        <f>IF(AND(C302=0,D302=0,J302=1),1,0)</f>
        <v>0</v>
      </c>
    </row>
    <row r="303" spans="1:13">
      <c r="A303" s="7">
        <f>Raw_Passengers!A303</f>
        <v>102265</v>
      </c>
      <c r="B303" s="7">
        <f>Raw_Passengers!B303</f>
        <v>1050620</v>
      </c>
      <c r="C303" s="7">
        <f>IF(COUNTIF(Raw_Passengers!$A$2:A303,Raw_Passengers!A303)&gt;1,1,0)</f>
        <v>0</v>
      </c>
      <c r="D303" s="7">
        <f>IF(COUNTIF(Raw_Bookings!$A$2:$A$648,Raw_Passengers!B303)=0,1,0)</f>
        <v>0</v>
      </c>
      <c r="E303" s="7">
        <f>IF(OR(C303=1,D303=1),0,IF(NOT(ISNUMBER(Raw_Passengers!E303)),1,IF(Raw_Passengers!E303&lt;=0,1,0)))</f>
        <v>0</v>
      </c>
      <c r="F303" s="7">
        <f>IF(AND(C303=0,D303=0,TRIM(Raw_Passengers!D303&amp;"")=""),1,0)</f>
        <v>0</v>
      </c>
      <c r="G303" s="7" t="str">
        <f>IF(SUMPRODUCT(--(Lookup_Status!$A$2:$A$13=LOWER(TRIM(Raw_Passengers!F303))))=0,"",INDEX(Lookup_Status!$B$2:$B$13,SUMPRODUCT((Lookup_Status!$A$2:$A$13=LOWER(TRIM(Raw_Passengers!F303)))*(ROW(Lookup_Status!$A$2:$A$13)-1))))</f>
        <v>Waitlisted</v>
      </c>
      <c r="H303" s="7" t="str">
        <f>IF(SUMPRODUCT(--(Lookup_Status!$A$2:$A$13=LOWER(TRIM(Raw_Passengers!G303))))=0,"",INDEX(Lookup_Status!$B$2:$B$13,SUMPRODUCT((Lookup_Status!$A$2:$A$13=LOWER(TRIM(Raw_Passengers!G303)))*(ROW(Lookup_Status!$A$2:$A$13)-1))))</f>
        <v>Waitlisted</v>
      </c>
      <c r="I303" s="7">
        <f>IF(OR(G303="",G303="Cancelled",G303="Mixed"),1,0)</f>
        <v>0</v>
      </c>
      <c r="J303" s="7">
        <f>IF(OR(H303="",H303="Mixed"),1,0)</f>
        <v>0</v>
      </c>
      <c r="K303" s="7">
        <f>IF(AND(C303=0,D303=0),IF(OR(AND(I303=0,NOT(EXACT(Raw_Passengers!F303,G303))),AND(J303=0,NOT(EXACT(Raw_Passengers!G303,H303)))),1,0),0)</f>
        <v>0</v>
      </c>
      <c r="L303" s="7">
        <f>IF(AND(C303=0,D303=0,I303=1),1,0)</f>
        <v>0</v>
      </c>
      <c r="M303" s="7">
        <f>IF(AND(C303=0,D303=0,J303=1),1,0)</f>
        <v>0</v>
      </c>
    </row>
    <row r="304" spans="1:13">
      <c r="A304" s="7">
        <f>Raw_Passengers!A304</f>
        <v>102385</v>
      </c>
      <c r="B304" s="7">
        <f>Raw_Passengers!B304</f>
        <v>1050680</v>
      </c>
      <c r="C304" s="7">
        <f>IF(COUNTIF(Raw_Passengers!$A$2:A304,Raw_Passengers!A304)&gt;1,1,0)</f>
        <v>0</v>
      </c>
      <c r="D304" s="7">
        <f>IF(COUNTIF(Raw_Bookings!$A$2:$A$648,Raw_Passengers!B304)=0,1,0)</f>
        <v>0</v>
      </c>
      <c r="E304" s="7">
        <f>IF(OR(C304=1,D304=1),0,IF(NOT(ISNUMBER(Raw_Passengers!E304)),1,IF(Raw_Passengers!E304&lt;=0,1,0)))</f>
        <v>0</v>
      </c>
      <c r="F304" s="7">
        <f>IF(AND(C304=0,D304=0,TRIM(Raw_Passengers!D304&amp;"")=""),1,0)</f>
        <v>0</v>
      </c>
      <c r="G304" s="7" t="str">
        <f>IF(SUMPRODUCT(--(Lookup_Status!$A$2:$A$13=LOWER(TRIM(Raw_Passengers!F304))))=0,"",INDEX(Lookup_Status!$B$2:$B$13,SUMPRODUCT((Lookup_Status!$A$2:$A$13=LOWER(TRIM(Raw_Passengers!F304)))*(ROW(Lookup_Status!$A$2:$A$13)-1))))</f>
        <v>Waitlisted</v>
      </c>
      <c r="H304" s="7" t="str">
        <f>IF(SUMPRODUCT(--(Lookup_Status!$A$2:$A$13=LOWER(TRIM(Raw_Passengers!G304))))=0,"",INDEX(Lookup_Status!$B$2:$B$13,SUMPRODUCT((Lookup_Status!$A$2:$A$13=LOWER(TRIM(Raw_Passengers!G304)))*(ROW(Lookup_Status!$A$2:$A$13)-1))))</f>
        <v>Cancelled</v>
      </c>
      <c r="I304" s="7">
        <f>IF(OR(G304="",G304="Cancelled",G304="Mixed"),1,0)</f>
        <v>0</v>
      </c>
      <c r="J304" s="7">
        <f>IF(OR(H304="",H304="Mixed"),1,0)</f>
        <v>0</v>
      </c>
      <c r="K304" s="7">
        <f>IF(AND(C304=0,D304=0),IF(OR(AND(I304=0,NOT(EXACT(Raw_Passengers!F304,G304))),AND(J304=0,NOT(EXACT(Raw_Passengers!G304,H304)))),1,0),0)</f>
        <v>0</v>
      </c>
      <c r="L304" s="7">
        <f>IF(AND(C304=0,D304=0,I304=1),1,0)</f>
        <v>0</v>
      </c>
      <c r="M304" s="7">
        <f>IF(AND(C304=0,D304=0,J304=1),1,0)</f>
        <v>0</v>
      </c>
    </row>
    <row r="305" spans="1:13">
      <c r="A305" s="7">
        <f>Raw_Passengers!A305</f>
        <v>103044</v>
      </c>
      <c r="B305" s="7">
        <f>Raw_Passengers!B305</f>
        <v>1051001</v>
      </c>
      <c r="C305" s="7">
        <f>IF(COUNTIF(Raw_Passengers!$A$2:A305,Raw_Passengers!A305)&gt;1,1,0)</f>
        <v>0</v>
      </c>
      <c r="D305" s="7">
        <f>IF(COUNTIF(Raw_Bookings!$A$2:$A$648,Raw_Passengers!B305)=0,1,0)</f>
        <v>0</v>
      </c>
      <c r="E305" s="7">
        <f>IF(OR(C305=1,D305=1),0,IF(NOT(ISNUMBER(Raw_Passengers!E305)),1,IF(Raw_Passengers!E305&lt;=0,1,0)))</f>
        <v>0</v>
      </c>
      <c r="F305" s="7">
        <f>IF(AND(C305=0,D305=0,TRIM(Raw_Passengers!D305&amp;"")=""),1,0)</f>
        <v>0</v>
      </c>
      <c r="G305" s="7" t="str">
        <f>IF(SUMPRODUCT(--(Lookup_Status!$A$2:$A$13=LOWER(TRIM(Raw_Passengers!F305))))=0,"",INDEX(Lookup_Status!$B$2:$B$13,SUMPRODUCT((Lookup_Status!$A$2:$A$13=LOWER(TRIM(Raw_Passengers!F305)))*(ROW(Lookup_Status!$A$2:$A$13)-1))))</f>
        <v>Confirmed</v>
      </c>
      <c r="H305" s="7" t="str">
        <f>IF(SUMPRODUCT(--(Lookup_Status!$A$2:$A$13=LOWER(TRIM(Raw_Passengers!G305))))=0,"",INDEX(Lookup_Status!$B$2:$B$13,SUMPRODUCT((Lookup_Status!$A$2:$A$13=LOWER(TRIM(Raw_Passengers!G305)))*(ROW(Lookup_Status!$A$2:$A$13)-1))))</f>
        <v>Confirmed</v>
      </c>
      <c r="I305" s="7">
        <f>IF(OR(G305="",G305="Cancelled",G305="Mixed"),1,0)</f>
        <v>0</v>
      </c>
      <c r="J305" s="7">
        <f>IF(OR(H305="",H305="Mixed"),1,0)</f>
        <v>0</v>
      </c>
      <c r="K305" s="7">
        <f>IF(AND(C305=0,D305=0),IF(OR(AND(I305=0,NOT(EXACT(Raw_Passengers!F305,G305))),AND(J305=0,NOT(EXACT(Raw_Passengers!G305,H305)))),1,0),0)</f>
        <v>0</v>
      </c>
      <c r="L305" s="7">
        <f>IF(AND(C305=0,D305=0,I305=1),1,0)</f>
        <v>0</v>
      </c>
      <c r="M305" s="7">
        <f>IF(AND(C305=0,D305=0,J305=1),1,0)</f>
        <v>0</v>
      </c>
    </row>
    <row r="306" spans="1:13">
      <c r="A306" s="7">
        <f>Raw_Passengers!A306</f>
        <v>103045</v>
      </c>
      <c r="B306" s="7">
        <f>Raw_Passengers!B306</f>
        <v>1051001</v>
      </c>
      <c r="C306" s="7">
        <f>IF(COUNTIF(Raw_Passengers!$A$2:A306,Raw_Passengers!A306)&gt;1,1,0)</f>
        <v>0</v>
      </c>
      <c r="D306" s="7">
        <f>IF(COUNTIF(Raw_Bookings!$A$2:$A$648,Raw_Passengers!B306)=0,1,0)</f>
        <v>0</v>
      </c>
      <c r="E306" s="7">
        <f>IF(OR(C306=1,D306=1),0,IF(NOT(ISNUMBER(Raw_Passengers!E306)),1,IF(Raw_Passengers!E306&lt;=0,1,0)))</f>
        <v>0</v>
      </c>
      <c r="F306" s="7">
        <f>IF(AND(C306=0,D306=0,TRIM(Raw_Passengers!D306&amp;"")=""),1,0)</f>
        <v>0</v>
      </c>
      <c r="G306" s="7" t="str">
        <f>IF(SUMPRODUCT(--(Lookup_Status!$A$2:$A$13=LOWER(TRIM(Raw_Passengers!F306))))=0,"",INDEX(Lookup_Status!$B$2:$B$13,SUMPRODUCT((Lookup_Status!$A$2:$A$13=LOWER(TRIM(Raw_Passengers!F306)))*(ROW(Lookup_Status!$A$2:$A$13)-1))))</f>
        <v>Confirmed</v>
      </c>
      <c r="H306" s="7" t="str">
        <f>IF(SUMPRODUCT(--(Lookup_Status!$A$2:$A$13=LOWER(TRIM(Raw_Passengers!G306))))=0,"",INDEX(Lookup_Status!$B$2:$B$13,SUMPRODUCT((Lookup_Status!$A$2:$A$13=LOWER(TRIM(Raw_Passengers!G306)))*(ROW(Lookup_Status!$A$2:$A$13)-1))))</f>
        <v>Confirmed</v>
      </c>
      <c r="I306" s="7">
        <f>IF(OR(G306="",G306="Cancelled",G306="Mixed"),1,0)</f>
        <v>0</v>
      </c>
      <c r="J306" s="7">
        <f>IF(OR(H306="",H306="Mixed"),1,0)</f>
        <v>0</v>
      </c>
      <c r="K306" s="7">
        <f>IF(AND(C306=0,D306=0),IF(OR(AND(I306=0,NOT(EXACT(Raw_Passengers!F306,G306))),AND(J306=0,NOT(EXACT(Raw_Passengers!G306,H306)))),1,0),0)</f>
        <v>0</v>
      </c>
      <c r="L306" s="7">
        <f>IF(AND(C306=0,D306=0,I306=1),1,0)</f>
        <v>0</v>
      </c>
      <c r="M306" s="7">
        <f>IF(AND(C306=0,D306=0,J306=1),1,0)</f>
        <v>0</v>
      </c>
    </row>
    <row r="307" spans="1:13">
      <c r="A307" s="7">
        <f>Raw_Passengers!A307</f>
        <v>103712</v>
      </c>
      <c r="B307" s="7">
        <f>Raw_Passengers!B307</f>
        <v>1051333</v>
      </c>
      <c r="C307" s="7">
        <f>IF(COUNTIF(Raw_Passengers!$A$2:A307,Raw_Passengers!A307)&gt;1,1,0)</f>
        <v>0</v>
      </c>
      <c r="D307" s="7">
        <f>IF(COUNTIF(Raw_Bookings!$A$2:$A$648,Raw_Passengers!B307)=0,1,0)</f>
        <v>0</v>
      </c>
      <c r="E307" s="7">
        <f>IF(OR(C307=1,D307=1),0,IF(NOT(ISNUMBER(Raw_Passengers!E307)),1,IF(Raw_Passengers!E307&lt;=0,1,0)))</f>
        <v>0</v>
      </c>
      <c r="F307" s="7">
        <f>IF(AND(C307=0,D307=0,TRIM(Raw_Passengers!D307&amp;"")=""),1,0)</f>
        <v>0</v>
      </c>
      <c r="G307" s="7" t="str">
        <f>IF(SUMPRODUCT(--(Lookup_Status!$A$2:$A$13=LOWER(TRIM(Raw_Passengers!F307))))=0,"",INDEX(Lookup_Status!$B$2:$B$13,SUMPRODUCT((Lookup_Status!$A$2:$A$13=LOWER(TRIM(Raw_Passengers!F307)))*(ROW(Lookup_Status!$A$2:$A$13)-1))))</f>
        <v>Confirmed</v>
      </c>
      <c r="H307" s="7" t="str">
        <f>IF(SUMPRODUCT(--(Lookup_Status!$A$2:$A$13=LOWER(TRIM(Raw_Passengers!G307))))=0,"",INDEX(Lookup_Status!$B$2:$B$13,SUMPRODUCT((Lookup_Status!$A$2:$A$13=LOWER(TRIM(Raw_Passengers!G307)))*(ROW(Lookup_Status!$A$2:$A$13)-1))))</f>
        <v>Confirmed</v>
      </c>
      <c r="I307" s="7">
        <f>IF(OR(G307="",G307="Cancelled",G307="Mixed"),1,0)</f>
        <v>0</v>
      </c>
      <c r="J307" s="7">
        <f>IF(OR(H307="",H307="Mixed"),1,0)</f>
        <v>0</v>
      </c>
      <c r="K307" s="7">
        <f>IF(AND(C307=0,D307=0),IF(OR(AND(I307=0,NOT(EXACT(Raw_Passengers!F307,G307))),AND(J307=0,NOT(EXACT(Raw_Passengers!G307,H307)))),1,0),0)</f>
        <v>0</v>
      </c>
      <c r="L307" s="7">
        <f>IF(AND(C307=0,D307=0,I307=1),1,0)</f>
        <v>0</v>
      </c>
      <c r="M307" s="7">
        <f>IF(AND(C307=0,D307=0,J307=1),1,0)</f>
        <v>0</v>
      </c>
    </row>
    <row r="308" spans="1:13">
      <c r="A308" s="7">
        <f>Raw_Passengers!A308</f>
        <v>103713</v>
      </c>
      <c r="B308" s="7">
        <f>Raw_Passengers!B308</f>
        <v>1051333</v>
      </c>
      <c r="C308" s="7">
        <f>IF(COUNTIF(Raw_Passengers!$A$2:A308,Raw_Passengers!A308)&gt;1,1,0)</f>
        <v>0</v>
      </c>
      <c r="D308" s="7">
        <f>IF(COUNTIF(Raw_Bookings!$A$2:$A$648,Raw_Passengers!B308)=0,1,0)</f>
        <v>0</v>
      </c>
      <c r="E308" s="7">
        <f>IF(OR(C308=1,D308=1),0,IF(NOT(ISNUMBER(Raw_Passengers!E308)),1,IF(Raw_Passengers!E308&lt;=0,1,0)))</f>
        <v>0</v>
      </c>
      <c r="F308" s="7">
        <f>IF(AND(C308=0,D308=0,TRIM(Raw_Passengers!D308&amp;"")=""),1,0)</f>
        <v>0</v>
      </c>
      <c r="G308" s="7" t="str">
        <f>IF(SUMPRODUCT(--(Lookup_Status!$A$2:$A$13=LOWER(TRIM(Raw_Passengers!F308))))=0,"",INDEX(Lookup_Status!$B$2:$B$13,SUMPRODUCT((Lookup_Status!$A$2:$A$13=LOWER(TRIM(Raw_Passengers!F308)))*(ROW(Lookup_Status!$A$2:$A$13)-1))))</f>
        <v>Confirmed</v>
      </c>
      <c r="H308" s="7" t="str">
        <f>IF(SUMPRODUCT(--(Lookup_Status!$A$2:$A$13=LOWER(TRIM(Raw_Passengers!G308))))=0,"",INDEX(Lookup_Status!$B$2:$B$13,SUMPRODUCT((Lookup_Status!$A$2:$A$13=LOWER(TRIM(Raw_Passengers!G308)))*(ROW(Lookup_Status!$A$2:$A$13)-1))))</f>
        <v>Confirmed</v>
      </c>
      <c r="I308" s="7">
        <f>IF(OR(G308="",G308="Cancelled",G308="Mixed"),1,0)</f>
        <v>0</v>
      </c>
      <c r="J308" s="7">
        <f>IF(OR(H308="",H308="Mixed"),1,0)</f>
        <v>0</v>
      </c>
      <c r="K308" s="7">
        <f>IF(AND(C308=0,D308=0),IF(OR(AND(I308=0,NOT(EXACT(Raw_Passengers!F308,G308))),AND(J308=0,NOT(EXACT(Raw_Passengers!G308,H308)))),1,0),0)</f>
        <v>0</v>
      </c>
      <c r="L308" s="7">
        <f>IF(AND(C308=0,D308=0,I308=1),1,0)</f>
        <v>0</v>
      </c>
      <c r="M308" s="7">
        <f>IF(AND(C308=0,D308=0,J308=1),1,0)</f>
        <v>0</v>
      </c>
    </row>
    <row r="309" spans="1:13">
      <c r="A309" s="7">
        <f>Raw_Passengers!A309</f>
        <v>104125</v>
      </c>
      <c r="B309" s="7">
        <f>Raw_Passengers!B309</f>
        <v>1051550</v>
      </c>
      <c r="C309" s="7">
        <f>IF(COUNTIF(Raw_Passengers!$A$2:A309,Raw_Passengers!A309)&gt;1,1,0)</f>
        <v>0</v>
      </c>
      <c r="D309" s="7">
        <f>IF(COUNTIF(Raw_Bookings!$A$2:$A$648,Raw_Passengers!B309)=0,1,0)</f>
        <v>0</v>
      </c>
      <c r="E309" s="7">
        <f>IF(OR(C309=1,D309=1),0,IF(NOT(ISNUMBER(Raw_Passengers!E309)),1,IF(Raw_Passengers!E309&lt;=0,1,0)))</f>
        <v>0</v>
      </c>
      <c r="F309" s="7">
        <f>IF(AND(C309=0,D309=0,TRIM(Raw_Passengers!D309&amp;"")=""),1,0)</f>
        <v>0</v>
      </c>
      <c r="G309" s="7" t="str">
        <f>IF(SUMPRODUCT(--(Lookup_Status!$A$2:$A$13=LOWER(TRIM(Raw_Passengers!F309))))=0,"",INDEX(Lookup_Status!$B$2:$B$13,SUMPRODUCT((Lookup_Status!$A$2:$A$13=LOWER(TRIM(Raw_Passengers!F309)))*(ROW(Lookup_Status!$A$2:$A$13)-1))))</f>
        <v>Confirmed</v>
      </c>
      <c r="H309" s="7" t="str">
        <f>IF(SUMPRODUCT(--(Lookup_Status!$A$2:$A$13=LOWER(TRIM(Raw_Passengers!G309))))=0,"",INDEX(Lookup_Status!$B$2:$B$13,SUMPRODUCT((Lookup_Status!$A$2:$A$13=LOWER(TRIM(Raw_Passengers!G309)))*(ROW(Lookup_Status!$A$2:$A$13)-1))))</f>
        <v>Confirmed</v>
      </c>
      <c r="I309" s="7">
        <f>IF(OR(G309="",G309="Cancelled",G309="Mixed"),1,0)</f>
        <v>0</v>
      </c>
      <c r="J309" s="7">
        <f>IF(OR(H309="",H309="Mixed"),1,0)</f>
        <v>0</v>
      </c>
      <c r="K309" s="7">
        <f>IF(AND(C309=0,D309=0),IF(OR(AND(I309=0,NOT(EXACT(Raw_Passengers!F309,G309))),AND(J309=0,NOT(EXACT(Raw_Passengers!G309,H309)))),1,0),0)</f>
        <v>0</v>
      </c>
      <c r="L309" s="7">
        <f>IF(AND(C309=0,D309=0,I309=1),1,0)</f>
        <v>0</v>
      </c>
      <c r="M309" s="7">
        <f>IF(AND(C309=0,D309=0,J309=1),1,0)</f>
        <v>0</v>
      </c>
    </row>
    <row r="310" spans="1:13">
      <c r="A310" s="7">
        <f>Raw_Passengers!A310</f>
        <v>104126</v>
      </c>
      <c r="B310" s="7">
        <f>Raw_Passengers!B310</f>
        <v>1051550</v>
      </c>
      <c r="C310" s="7">
        <f>IF(COUNTIF(Raw_Passengers!$A$2:A310,Raw_Passengers!A310)&gt;1,1,0)</f>
        <v>0</v>
      </c>
      <c r="D310" s="7">
        <f>IF(COUNTIF(Raw_Bookings!$A$2:$A$648,Raw_Passengers!B310)=0,1,0)</f>
        <v>0</v>
      </c>
      <c r="E310" s="7">
        <f>IF(OR(C310=1,D310=1),0,IF(NOT(ISNUMBER(Raw_Passengers!E310)),1,IF(Raw_Passengers!E310&lt;=0,1,0)))</f>
        <v>0</v>
      </c>
      <c r="F310" s="7">
        <f>IF(AND(C310=0,D310=0,TRIM(Raw_Passengers!D310&amp;"")=""),1,0)</f>
        <v>0</v>
      </c>
      <c r="G310" s="7" t="str">
        <f>IF(SUMPRODUCT(--(Lookup_Status!$A$2:$A$13=LOWER(TRIM(Raw_Passengers!F310))))=0,"",INDEX(Lookup_Status!$B$2:$B$13,SUMPRODUCT((Lookup_Status!$A$2:$A$13=LOWER(TRIM(Raw_Passengers!F310)))*(ROW(Lookup_Status!$A$2:$A$13)-1))))</f>
        <v>Confirmed</v>
      </c>
      <c r="H310" s="7" t="str">
        <f>IF(SUMPRODUCT(--(Lookup_Status!$A$2:$A$13=LOWER(TRIM(Raw_Passengers!G310))))=0,"",INDEX(Lookup_Status!$B$2:$B$13,SUMPRODUCT((Lookup_Status!$A$2:$A$13=LOWER(TRIM(Raw_Passengers!G310)))*(ROW(Lookup_Status!$A$2:$A$13)-1))))</f>
        <v>Confirmed</v>
      </c>
      <c r="I310" s="7">
        <f>IF(OR(G310="",G310="Cancelled",G310="Mixed"),1,0)</f>
        <v>0</v>
      </c>
      <c r="J310" s="7">
        <f>IF(OR(H310="",H310="Mixed"),1,0)</f>
        <v>0</v>
      </c>
      <c r="K310" s="7">
        <f>IF(AND(C310=0,D310=0),IF(OR(AND(I310=0,NOT(EXACT(Raw_Passengers!F310,G310))),AND(J310=0,NOT(EXACT(Raw_Passengers!G310,H310)))),1,0),0)</f>
        <v>0</v>
      </c>
      <c r="L310" s="7">
        <f>IF(AND(C310=0,D310=0,I310=1),1,0)</f>
        <v>0</v>
      </c>
      <c r="M310" s="7">
        <f>IF(AND(C310=0,D310=0,J310=1),1,0)</f>
        <v>0</v>
      </c>
    </row>
    <row r="311" spans="1:13">
      <c r="A311" s="7">
        <f>Raw_Passengers!A311</f>
        <v>104127</v>
      </c>
      <c r="B311" s="7">
        <f>Raw_Passengers!B311</f>
        <v>1051550</v>
      </c>
      <c r="C311" s="7">
        <f>IF(COUNTIF(Raw_Passengers!$A$2:A311,Raw_Passengers!A311)&gt;1,1,0)</f>
        <v>0</v>
      </c>
      <c r="D311" s="7">
        <f>IF(COUNTIF(Raw_Bookings!$A$2:$A$648,Raw_Passengers!B311)=0,1,0)</f>
        <v>0</v>
      </c>
      <c r="E311" s="7">
        <f>IF(OR(C311=1,D311=1),0,IF(NOT(ISNUMBER(Raw_Passengers!E311)),1,IF(Raw_Passengers!E311&lt;=0,1,0)))</f>
        <v>0</v>
      </c>
      <c r="F311" s="7">
        <f>IF(AND(C311=0,D311=0,TRIM(Raw_Passengers!D311&amp;"")=""),1,0)</f>
        <v>0</v>
      </c>
      <c r="G311" s="7" t="str">
        <f>IF(SUMPRODUCT(--(Lookup_Status!$A$2:$A$13=LOWER(TRIM(Raw_Passengers!F311))))=0,"",INDEX(Lookup_Status!$B$2:$B$13,SUMPRODUCT((Lookup_Status!$A$2:$A$13=LOWER(TRIM(Raw_Passengers!F311)))*(ROW(Lookup_Status!$A$2:$A$13)-1))))</f>
        <v>Confirmed</v>
      </c>
      <c r="H311" s="7" t="str">
        <f>IF(SUMPRODUCT(--(Lookup_Status!$A$2:$A$13=LOWER(TRIM(Raw_Passengers!G311))))=0,"",INDEX(Lookup_Status!$B$2:$B$13,SUMPRODUCT((Lookup_Status!$A$2:$A$13=LOWER(TRIM(Raw_Passengers!G311)))*(ROW(Lookup_Status!$A$2:$A$13)-1))))</f>
        <v>Confirmed</v>
      </c>
      <c r="I311" s="7">
        <f>IF(OR(G311="",G311="Cancelled",G311="Mixed"),1,0)</f>
        <v>0</v>
      </c>
      <c r="J311" s="7">
        <f>IF(OR(H311="",H311="Mixed"),1,0)</f>
        <v>0</v>
      </c>
      <c r="K311" s="7">
        <f>IF(AND(C311=0,D311=0),IF(OR(AND(I311=0,NOT(EXACT(Raw_Passengers!F311,G311))),AND(J311=0,NOT(EXACT(Raw_Passengers!G311,H311)))),1,0),0)</f>
        <v>0</v>
      </c>
      <c r="L311" s="7">
        <f>IF(AND(C311=0,D311=0,I311=1),1,0)</f>
        <v>0</v>
      </c>
      <c r="M311" s="7">
        <f>IF(AND(C311=0,D311=0,J311=1),1,0)</f>
        <v>0</v>
      </c>
    </row>
    <row r="312" spans="1:13">
      <c r="A312" s="7">
        <f>Raw_Passengers!A312</f>
        <v>104128</v>
      </c>
      <c r="B312" s="7">
        <f>Raw_Passengers!B312</f>
        <v>1051550</v>
      </c>
      <c r="C312" s="7">
        <f>IF(COUNTIF(Raw_Passengers!$A$2:A312,Raw_Passengers!A312)&gt;1,1,0)</f>
        <v>0</v>
      </c>
      <c r="D312" s="7">
        <f>IF(COUNTIF(Raw_Bookings!$A$2:$A$648,Raw_Passengers!B312)=0,1,0)</f>
        <v>0</v>
      </c>
      <c r="E312" s="7">
        <f>IF(OR(C312=1,D312=1),0,IF(NOT(ISNUMBER(Raw_Passengers!E312)),1,IF(Raw_Passengers!E312&lt;=0,1,0)))</f>
        <v>0</v>
      </c>
      <c r="F312" s="7">
        <f>IF(AND(C312=0,D312=0,TRIM(Raw_Passengers!D312&amp;"")=""),1,0)</f>
        <v>0</v>
      </c>
      <c r="G312" s="7" t="str">
        <f>IF(SUMPRODUCT(--(Lookup_Status!$A$2:$A$13=LOWER(TRIM(Raw_Passengers!F312))))=0,"",INDEX(Lookup_Status!$B$2:$B$13,SUMPRODUCT((Lookup_Status!$A$2:$A$13=LOWER(TRIM(Raw_Passengers!F312)))*(ROW(Lookup_Status!$A$2:$A$13)-1))))</f>
        <v>Confirmed</v>
      </c>
      <c r="H312" s="7" t="str">
        <f>IF(SUMPRODUCT(--(Lookup_Status!$A$2:$A$13=LOWER(TRIM(Raw_Passengers!G312))))=0,"",INDEX(Lookup_Status!$B$2:$B$13,SUMPRODUCT((Lookup_Status!$A$2:$A$13=LOWER(TRIM(Raw_Passengers!G312)))*(ROW(Lookup_Status!$A$2:$A$13)-1))))</f>
        <v>Confirmed</v>
      </c>
      <c r="I312" s="7">
        <f>IF(OR(G312="",G312="Cancelled",G312="Mixed"),1,0)</f>
        <v>0</v>
      </c>
      <c r="J312" s="7">
        <f>IF(OR(H312="",H312="Mixed"),1,0)</f>
        <v>0</v>
      </c>
      <c r="K312" s="7">
        <f>IF(AND(C312=0,D312=0),IF(OR(AND(I312=0,NOT(EXACT(Raw_Passengers!F312,G312))),AND(J312=0,NOT(EXACT(Raw_Passengers!G312,H312)))),1,0),0)</f>
        <v>0</v>
      </c>
      <c r="L312" s="7">
        <f>IF(AND(C312=0,D312=0,I312=1),1,0)</f>
        <v>0</v>
      </c>
      <c r="M312" s="7">
        <f>IF(AND(C312=0,D312=0,J312=1),1,0)</f>
        <v>0</v>
      </c>
    </row>
    <row r="313" spans="1:13">
      <c r="A313" s="7">
        <f>Raw_Passengers!A313</f>
        <v>104129</v>
      </c>
      <c r="B313" s="7">
        <f>Raw_Passengers!B313</f>
        <v>1051550</v>
      </c>
      <c r="C313" s="7">
        <f>IF(COUNTIF(Raw_Passengers!$A$2:A313,Raw_Passengers!A313)&gt;1,1,0)</f>
        <v>0</v>
      </c>
      <c r="D313" s="7">
        <f>IF(COUNTIF(Raw_Bookings!$A$2:$A$648,Raw_Passengers!B313)=0,1,0)</f>
        <v>0</v>
      </c>
      <c r="E313" s="7">
        <f>IF(OR(C313=1,D313=1),0,IF(NOT(ISNUMBER(Raw_Passengers!E313)),1,IF(Raw_Passengers!E313&lt;=0,1,0)))</f>
        <v>0</v>
      </c>
      <c r="F313" s="7">
        <f>IF(AND(C313=0,D313=0,TRIM(Raw_Passengers!D313&amp;"")=""),1,0)</f>
        <v>0</v>
      </c>
      <c r="G313" s="7" t="str">
        <f>IF(SUMPRODUCT(--(Lookup_Status!$A$2:$A$13=LOWER(TRIM(Raw_Passengers!F313))))=0,"",INDEX(Lookup_Status!$B$2:$B$13,SUMPRODUCT((Lookup_Status!$A$2:$A$13=LOWER(TRIM(Raw_Passengers!F313)))*(ROW(Lookup_Status!$A$2:$A$13)-1))))</f>
        <v>Confirmed</v>
      </c>
      <c r="H313" s="7" t="str">
        <f>IF(SUMPRODUCT(--(Lookup_Status!$A$2:$A$13=LOWER(TRIM(Raw_Passengers!G313))))=0,"",INDEX(Lookup_Status!$B$2:$B$13,SUMPRODUCT((Lookup_Status!$A$2:$A$13=LOWER(TRIM(Raw_Passengers!G313)))*(ROW(Lookup_Status!$A$2:$A$13)-1))))</f>
        <v>Confirmed</v>
      </c>
      <c r="I313" s="7">
        <f>IF(OR(G313="",G313="Cancelled",G313="Mixed"),1,0)</f>
        <v>0</v>
      </c>
      <c r="J313" s="7">
        <f>IF(OR(H313="",H313="Mixed"),1,0)</f>
        <v>0</v>
      </c>
      <c r="K313" s="7">
        <f>IF(AND(C313=0,D313=0),IF(OR(AND(I313=0,NOT(EXACT(Raw_Passengers!F313,G313))),AND(J313=0,NOT(EXACT(Raw_Passengers!G313,H313)))),1,0),0)</f>
        <v>0</v>
      </c>
      <c r="L313" s="7">
        <f>IF(AND(C313=0,D313=0,I313=1),1,0)</f>
        <v>0</v>
      </c>
      <c r="M313" s="7">
        <f>IF(AND(C313=0,D313=0,J313=1),1,0)</f>
        <v>0</v>
      </c>
    </row>
    <row r="314" spans="1:13">
      <c r="A314" s="7">
        <f>Raw_Passengers!A314</f>
        <v>104572</v>
      </c>
      <c r="B314" s="7">
        <f>Raw_Passengers!B314</f>
        <v>1051773</v>
      </c>
      <c r="C314" s="7">
        <f>IF(COUNTIF(Raw_Passengers!$A$2:A314,Raw_Passengers!A314)&gt;1,1,0)</f>
        <v>0</v>
      </c>
      <c r="D314" s="7">
        <f>IF(COUNTIF(Raw_Bookings!$A$2:$A$648,Raw_Passengers!B314)=0,1,0)</f>
        <v>0</v>
      </c>
      <c r="E314" s="7">
        <f>IF(OR(C314=1,D314=1),0,IF(NOT(ISNUMBER(Raw_Passengers!E314)),1,IF(Raw_Passengers!E314&lt;=0,1,0)))</f>
        <v>0</v>
      </c>
      <c r="F314" s="7">
        <f>IF(AND(C314=0,D314=0,TRIM(Raw_Passengers!D314&amp;"")=""),1,0)</f>
        <v>0</v>
      </c>
      <c r="G314" s="7" t="str">
        <f>IF(SUMPRODUCT(--(Lookup_Status!$A$2:$A$13=LOWER(TRIM(Raw_Passengers!F314))))=0,"",INDEX(Lookup_Status!$B$2:$B$13,SUMPRODUCT((Lookup_Status!$A$2:$A$13=LOWER(TRIM(Raw_Passengers!F314)))*(ROW(Lookup_Status!$A$2:$A$13)-1))))</f>
        <v>Confirmed</v>
      </c>
      <c r="H314" s="7" t="str">
        <f>IF(SUMPRODUCT(--(Lookup_Status!$A$2:$A$13=LOWER(TRIM(Raw_Passengers!G314))))=0,"",INDEX(Lookup_Status!$B$2:$B$13,SUMPRODUCT((Lookup_Status!$A$2:$A$13=LOWER(TRIM(Raw_Passengers!G314)))*(ROW(Lookup_Status!$A$2:$A$13)-1))))</f>
        <v>Confirmed</v>
      </c>
      <c r="I314" s="7">
        <f>IF(OR(G314="",G314="Cancelled",G314="Mixed"),1,0)</f>
        <v>0</v>
      </c>
      <c r="J314" s="7">
        <f>IF(OR(H314="",H314="Mixed"),1,0)</f>
        <v>0</v>
      </c>
      <c r="K314" s="7">
        <f>IF(AND(C314=0,D314=0),IF(OR(AND(I314=0,NOT(EXACT(Raw_Passengers!F314,G314))),AND(J314=0,NOT(EXACT(Raw_Passengers!G314,H314)))),1,0),0)</f>
        <v>0</v>
      </c>
      <c r="L314" s="7">
        <f>IF(AND(C314=0,D314=0,I314=1),1,0)</f>
        <v>0</v>
      </c>
      <c r="M314" s="7">
        <f>IF(AND(C314=0,D314=0,J314=1),1,0)</f>
        <v>0</v>
      </c>
    </row>
    <row r="315" spans="1:13">
      <c r="A315" s="7">
        <f>Raw_Passengers!A315</f>
        <v>104615</v>
      </c>
      <c r="B315" s="7">
        <f>Raw_Passengers!B315</f>
        <v>1051794</v>
      </c>
      <c r="C315" s="7">
        <f>IF(COUNTIF(Raw_Passengers!$A$2:A315,Raw_Passengers!A315)&gt;1,1,0)</f>
        <v>0</v>
      </c>
      <c r="D315" s="7">
        <f>IF(COUNTIF(Raw_Bookings!$A$2:$A$648,Raw_Passengers!B315)=0,1,0)</f>
        <v>0</v>
      </c>
      <c r="E315" s="7">
        <f>IF(OR(C315=1,D315=1),0,IF(NOT(ISNUMBER(Raw_Passengers!E315)),1,IF(Raw_Passengers!E315&lt;=0,1,0)))</f>
        <v>0</v>
      </c>
      <c r="F315" s="7">
        <f>IF(AND(C315=0,D315=0,TRIM(Raw_Passengers!D315&amp;"")=""),1,0)</f>
        <v>0</v>
      </c>
      <c r="G315" s="7" t="str">
        <f>IF(SUMPRODUCT(--(Lookup_Status!$A$2:$A$13=LOWER(TRIM(Raw_Passengers!F315))))=0,"",INDEX(Lookup_Status!$B$2:$B$13,SUMPRODUCT((Lookup_Status!$A$2:$A$13=LOWER(TRIM(Raw_Passengers!F315)))*(ROW(Lookup_Status!$A$2:$A$13)-1))))</f>
        <v>RAC</v>
      </c>
      <c r="H315" s="7" t="str">
        <f>IF(SUMPRODUCT(--(Lookup_Status!$A$2:$A$13=LOWER(TRIM(Raw_Passengers!G315))))=0,"",INDEX(Lookup_Status!$B$2:$B$13,SUMPRODUCT((Lookup_Status!$A$2:$A$13=LOWER(TRIM(Raw_Passengers!G315)))*(ROW(Lookup_Status!$A$2:$A$13)-1))))</f>
        <v>Confirmed</v>
      </c>
      <c r="I315" s="7">
        <f>IF(OR(G315="",G315="Cancelled",G315="Mixed"),1,0)</f>
        <v>0</v>
      </c>
      <c r="J315" s="7">
        <f>IF(OR(H315="",H315="Mixed"),1,0)</f>
        <v>0</v>
      </c>
      <c r="K315" s="7">
        <f>IF(AND(C315=0,D315=0),IF(OR(AND(I315=0,NOT(EXACT(Raw_Passengers!F315,G315))),AND(J315=0,NOT(EXACT(Raw_Passengers!G315,H315)))),1,0),0)</f>
        <v>0</v>
      </c>
      <c r="L315" s="7">
        <f>IF(AND(C315=0,D315=0,I315=1),1,0)</f>
        <v>0</v>
      </c>
      <c r="M315" s="7">
        <f>IF(AND(C315=0,D315=0,J315=1),1,0)</f>
        <v>0</v>
      </c>
    </row>
    <row r="316" spans="1:13">
      <c r="A316" s="7">
        <f>Raw_Passengers!A316</f>
        <v>104616</v>
      </c>
      <c r="B316" s="7">
        <f>Raw_Passengers!B316</f>
        <v>1051794</v>
      </c>
      <c r="C316" s="7">
        <f>IF(COUNTIF(Raw_Passengers!$A$2:A316,Raw_Passengers!A316)&gt;1,1,0)</f>
        <v>0</v>
      </c>
      <c r="D316" s="7">
        <f>IF(COUNTIF(Raw_Bookings!$A$2:$A$648,Raw_Passengers!B316)=0,1,0)</f>
        <v>0</v>
      </c>
      <c r="E316" s="7">
        <f>IF(OR(C316=1,D316=1),0,IF(NOT(ISNUMBER(Raw_Passengers!E316)),1,IF(Raw_Passengers!E316&lt;=0,1,0)))</f>
        <v>0</v>
      </c>
      <c r="F316" s="7">
        <f>IF(AND(C316=0,D316=0,TRIM(Raw_Passengers!D316&amp;"")=""),1,0)</f>
        <v>0</v>
      </c>
      <c r="G316" s="7" t="str">
        <f>IF(SUMPRODUCT(--(Lookup_Status!$A$2:$A$13=LOWER(TRIM(Raw_Passengers!F316))))=0,"",INDEX(Lookup_Status!$B$2:$B$13,SUMPRODUCT((Lookup_Status!$A$2:$A$13=LOWER(TRIM(Raw_Passengers!F316)))*(ROW(Lookup_Status!$A$2:$A$13)-1))))</f>
        <v>RAC</v>
      </c>
      <c r="H316" s="7" t="str">
        <f>IF(SUMPRODUCT(--(Lookup_Status!$A$2:$A$13=LOWER(TRIM(Raw_Passengers!G316))))=0,"",INDEX(Lookup_Status!$B$2:$B$13,SUMPRODUCT((Lookup_Status!$A$2:$A$13=LOWER(TRIM(Raw_Passengers!G316)))*(ROW(Lookup_Status!$A$2:$A$13)-1))))</f>
        <v>Confirmed</v>
      </c>
      <c r="I316" s="7">
        <f>IF(OR(G316="",G316="Cancelled",G316="Mixed"),1,0)</f>
        <v>0</v>
      </c>
      <c r="J316" s="7">
        <f>IF(OR(H316="",H316="Mixed"),1,0)</f>
        <v>0</v>
      </c>
      <c r="K316" s="7">
        <f>IF(AND(C316=0,D316=0),IF(OR(AND(I316=0,NOT(EXACT(Raw_Passengers!F316,G316))),AND(J316=0,NOT(EXACT(Raw_Passengers!G316,H316)))),1,0),0)</f>
        <v>0</v>
      </c>
      <c r="L316" s="7">
        <f>IF(AND(C316=0,D316=0,I316=1),1,0)</f>
        <v>0</v>
      </c>
      <c r="M316" s="7">
        <f>IF(AND(C316=0,D316=0,J316=1),1,0)</f>
        <v>0</v>
      </c>
    </row>
    <row r="317" spans="1:13">
      <c r="A317" s="7">
        <f>Raw_Passengers!A317</f>
        <v>104617</v>
      </c>
      <c r="B317" s="7">
        <f>Raw_Passengers!B317</f>
        <v>1051794</v>
      </c>
      <c r="C317" s="7">
        <f>IF(COUNTIF(Raw_Passengers!$A$2:A317,Raw_Passengers!A317)&gt;1,1,0)</f>
        <v>0</v>
      </c>
      <c r="D317" s="7">
        <f>IF(COUNTIF(Raw_Bookings!$A$2:$A$648,Raw_Passengers!B317)=0,1,0)</f>
        <v>0</v>
      </c>
      <c r="E317" s="7">
        <f>IF(OR(C317=1,D317=1),0,IF(NOT(ISNUMBER(Raw_Passengers!E317)),1,IF(Raw_Passengers!E317&lt;=0,1,0)))</f>
        <v>0</v>
      </c>
      <c r="F317" s="7">
        <f>IF(AND(C317=0,D317=0,TRIM(Raw_Passengers!D317&amp;"")=""),1,0)</f>
        <v>0</v>
      </c>
      <c r="G317" s="7" t="str">
        <f>IF(SUMPRODUCT(--(Lookup_Status!$A$2:$A$13=LOWER(TRIM(Raw_Passengers!F317))))=0,"",INDEX(Lookup_Status!$B$2:$B$13,SUMPRODUCT((Lookup_Status!$A$2:$A$13=LOWER(TRIM(Raw_Passengers!F317)))*(ROW(Lookup_Status!$A$2:$A$13)-1))))</f>
        <v>RAC</v>
      </c>
      <c r="H317" s="7" t="str">
        <f>IF(SUMPRODUCT(--(Lookup_Status!$A$2:$A$13=LOWER(TRIM(Raw_Passengers!G317))))=0,"",INDEX(Lookup_Status!$B$2:$B$13,SUMPRODUCT((Lookup_Status!$A$2:$A$13=LOWER(TRIM(Raw_Passengers!G317)))*(ROW(Lookup_Status!$A$2:$A$13)-1))))</f>
        <v>Confirmed</v>
      </c>
      <c r="I317" s="7">
        <f>IF(OR(G317="",G317="Cancelled",G317="Mixed"),1,0)</f>
        <v>0</v>
      </c>
      <c r="J317" s="7">
        <f>IF(OR(H317="",H317="Mixed"),1,0)</f>
        <v>0</v>
      </c>
      <c r="K317" s="7">
        <f>IF(AND(C317=0,D317=0),IF(OR(AND(I317=0,NOT(EXACT(Raw_Passengers!F317,G317))),AND(J317=0,NOT(EXACT(Raw_Passengers!G317,H317)))),1,0),0)</f>
        <v>0</v>
      </c>
      <c r="L317" s="7">
        <f>IF(AND(C317=0,D317=0,I317=1),1,0)</f>
        <v>0</v>
      </c>
      <c r="M317" s="7">
        <f>IF(AND(C317=0,D317=0,J317=1),1,0)</f>
        <v>0</v>
      </c>
    </row>
    <row r="318" spans="1:13">
      <c r="A318" s="7">
        <f>Raw_Passengers!A318</f>
        <v>105651</v>
      </c>
      <c r="B318" s="7">
        <f>Raw_Passengers!B318</f>
        <v>1052314</v>
      </c>
      <c r="C318" s="7">
        <f>IF(COUNTIF(Raw_Passengers!$A$2:A318,Raw_Passengers!A318)&gt;1,1,0)</f>
        <v>0</v>
      </c>
      <c r="D318" s="7">
        <f>IF(COUNTIF(Raw_Bookings!$A$2:$A$648,Raw_Passengers!B318)=0,1,0)</f>
        <v>0</v>
      </c>
      <c r="E318" s="7">
        <f>IF(OR(C318=1,D318=1),0,IF(NOT(ISNUMBER(Raw_Passengers!E318)),1,IF(Raw_Passengers!E318&lt;=0,1,0)))</f>
        <v>0</v>
      </c>
      <c r="F318" s="7">
        <f>IF(AND(C318=0,D318=0,TRIM(Raw_Passengers!D318&amp;"")=""),1,0)</f>
        <v>0</v>
      </c>
      <c r="G318" s="7" t="str">
        <f>IF(SUMPRODUCT(--(Lookup_Status!$A$2:$A$13=LOWER(TRIM(Raw_Passengers!F318))))=0,"",INDEX(Lookup_Status!$B$2:$B$13,SUMPRODUCT((Lookup_Status!$A$2:$A$13=LOWER(TRIM(Raw_Passengers!F318)))*(ROW(Lookup_Status!$A$2:$A$13)-1))))</f>
        <v>Confirmed</v>
      </c>
      <c r="H318" s="7" t="str">
        <f>IF(SUMPRODUCT(--(Lookup_Status!$A$2:$A$13=LOWER(TRIM(Raw_Passengers!G318))))=0,"",INDEX(Lookup_Status!$B$2:$B$13,SUMPRODUCT((Lookup_Status!$A$2:$A$13=LOWER(TRIM(Raw_Passengers!G318)))*(ROW(Lookup_Status!$A$2:$A$13)-1))))</f>
        <v>Confirmed</v>
      </c>
      <c r="I318" s="7">
        <f>IF(OR(G318="",G318="Cancelled",G318="Mixed"),1,0)</f>
        <v>0</v>
      </c>
      <c r="J318" s="7">
        <f>IF(OR(H318="",H318="Mixed"),1,0)</f>
        <v>0</v>
      </c>
      <c r="K318" s="7">
        <f>IF(AND(C318=0,D318=0),IF(OR(AND(I318=0,NOT(EXACT(Raw_Passengers!F318,G318))),AND(J318=0,NOT(EXACT(Raw_Passengers!G318,H318)))),1,0),0)</f>
        <v>0</v>
      </c>
      <c r="L318" s="7">
        <f>IF(AND(C318=0,D318=0,I318=1),1,0)</f>
        <v>0</v>
      </c>
      <c r="M318" s="7">
        <f>IF(AND(C318=0,D318=0,J318=1),1,0)</f>
        <v>0</v>
      </c>
    </row>
    <row r="319" spans="1:13">
      <c r="A319" s="7">
        <f>Raw_Passengers!A319</f>
        <v>106410</v>
      </c>
      <c r="B319" s="7">
        <f>Raw_Passengers!B319</f>
        <v>1052682</v>
      </c>
      <c r="C319" s="7">
        <f>IF(COUNTIF(Raw_Passengers!$A$2:A319,Raw_Passengers!A319)&gt;1,1,0)</f>
        <v>0</v>
      </c>
      <c r="D319" s="7">
        <f>IF(COUNTIF(Raw_Bookings!$A$2:$A$648,Raw_Passengers!B319)=0,1,0)</f>
        <v>0</v>
      </c>
      <c r="E319" s="7">
        <f>IF(OR(C319=1,D319=1),0,IF(NOT(ISNUMBER(Raw_Passengers!E319)),1,IF(Raw_Passengers!E319&lt;=0,1,0)))</f>
        <v>0</v>
      </c>
      <c r="F319" s="7">
        <f>IF(AND(C319=0,D319=0,TRIM(Raw_Passengers!D319&amp;"")=""),1,0)</f>
        <v>0</v>
      </c>
      <c r="G319" s="7" t="str">
        <f>IF(SUMPRODUCT(--(Lookup_Status!$A$2:$A$13=LOWER(TRIM(Raw_Passengers!F319))))=0,"",INDEX(Lookup_Status!$B$2:$B$13,SUMPRODUCT((Lookup_Status!$A$2:$A$13=LOWER(TRIM(Raw_Passengers!F319)))*(ROW(Lookup_Status!$A$2:$A$13)-1))))</f>
        <v>Confirmed</v>
      </c>
      <c r="H319" s="7" t="str">
        <f>IF(SUMPRODUCT(--(Lookup_Status!$A$2:$A$13=LOWER(TRIM(Raw_Passengers!G319))))=0,"",INDEX(Lookup_Status!$B$2:$B$13,SUMPRODUCT((Lookup_Status!$A$2:$A$13=LOWER(TRIM(Raw_Passengers!G319)))*(ROW(Lookup_Status!$A$2:$A$13)-1))))</f>
        <v>Cancelled</v>
      </c>
      <c r="I319" s="7">
        <f>IF(OR(G319="",G319="Cancelled",G319="Mixed"),1,0)</f>
        <v>0</v>
      </c>
      <c r="J319" s="7">
        <f>IF(OR(H319="",H319="Mixed"),1,0)</f>
        <v>0</v>
      </c>
      <c r="K319" s="7">
        <f>IF(AND(C319=0,D319=0),IF(OR(AND(I319=0,NOT(EXACT(Raw_Passengers!F319,G319))),AND(J319=0,NOT(EXACT(Raw_Passengers!G319,H319)))),1,0),0)</f>
        <v>0</v>
      </c>
      <c r="L319" s="7">
        <f>IF(AND(C319=0,D319=0,I319=1),1,0)</f>
        <v>0</v>
      </c>
      <c r="M319" s="7">
        <f>IF(AND(C319=0,D319=0,J319=1),1,0)</f>
        <v>0</v>
      </c>
    </row>
    <row r="320" spans="1:13">
      <c r="A320" s="7">
        <f>Raw_Passengers!A320</f>
        <v>106411</v>
      </c>
      <c r="B320" s="7">
        <f>Raw_Passengers!B320</f>
        <v>1052682</v>
      </c>
      <c r="C320" s="7">
        <f>IF(COUNTIF(Raw_Passengers!$A$2:A320,Raw_Passengers!A320)&gt;1,1,0)</f>
        <v>0</v>
      </c>
      <c r="D320" s="7">
        <f>IF(COUNTIF(Raw_Bookings!$A$2:$A$648,Raw_Passengers!B320)=0,1,0)</f>
        <v>0</v>
      </c>
      <c r="E320" s="7">
        <f>IF(OR(C320=1,D320=1),0,IF(NOT(ISNUMBER(Raw_Passengers!E320)),1,IF(Raw_Passengers!E320&lt;=0,1,0)))</f>
        <v>0</v>
      </c>
      <c r="F320" s="7">
        <f>IF(AND(C320=0,D320=0,TRIM(Raw_Passengers!D320&amp;"")=""),1,0)</f>
        <v>0</v>
      </c>
      <c r="G320" s="7" t="str">
        <f>IF(SUMPRODUCT(--(Lookup_Status!$A$2:$A$13=LOWER(TRIM(Raw_Passengers!F320))))=0,"",INDEX(Lookup_Status!$B$2:$B$13,SUMPRODUCT((Lookup_Status!$A$2:$A$13=LOWER(TRIM(Raw_Passengers!F320)))*(ROW(Lookup_Status!$A$2:$A$13)-1))))</f>
        <v>Confirmed</v>
      </c>
      <c r="H320" s="7" t="str">
        <f>IF(SUMPRODUCT(--(Lookup_Status!$A$2:$A$13=LOWER(TRIM(Raw_Passengers!G320))))=0,"",INDEX(Lookup_Status!$B$2:$B$13,SUMPRODUCT((Lookup_Status!$A$2:$A$13=LOWER(TRIM(Raw_Passengers!G320)))*(ROW(Lookup_Status!$A$2:$A$13)-1))))</f>
        <v>Confirmed</v>
      </c>
      <c r="I320" s="7">
        <f>IF(OR(G320="",G320="Cancelled",G320="Mixed"),1,0)</f>
        <v>0</v>
      </c>
      <c r="J320" s="7">
        <f>IF(OR(H320="",H320="Mixed"),1,0)</f>
        <v>0</v>
      </c>
      <c r="K320" s="7">
        <f>IF(AND(C320=0,D320=0),IF(OR(AND(I320=0,NOT(EXACT(Raw_Passengers!F320,G320))),AND(J320=0,NOT(EXACT(Raw_Passengers!G320,H320)))),1,0),0)</f>
        <v>0</v>
      </c>
      <c r="L320" s="7">
        <f>IF(AND(C320=0,D320=0,I320=1),1,0)</f>
        <v>0</v>
      </c>
      <c r="M320" s="7">
        <f>IF(AND(C320=0,D320=0,J320=1),1,0)</f>
        <v>0</v>
      </c>
    </row>
    <row r="321" spans="1:13">
      <c r="A321" s="7">
        <f>Raw_Passengers!A321</f>
        <v>108252</v>
      </c>
      <c r="B321" s="7">
        <f>Raw_Passengers!B321</f>
        <v>1053583</v>
      </c>
      <c r="C321" s="7">
        <f>IF(COUNTIF(Raw_Passengers!$A$2:A321,Raw_Passengers!A321)&gt;1,1,0)</f>
        <v>0</v>
      </c>
      <c r="D321" s="7">
        <f>IF(COUNTIF(Raw_Bookings!$A$2:$A$648,Raw_Passengers!B321)=0,1,0)</f>
        <v>0</v>
      </c>
      <c r="E321" s="7">
        <f>IF(OR(C321=1,D321=1),0,IF(NOT(ISNUMBER(Raw_Passengers!E321)),1,IF(Raw_Passengers!E321&lt;=0,1,0)))</f>
        <v>0</v>
      </c>
      <c r="F321" s="7">
        <f>IF(AND(C321=0,D321=0,TRIM(Raw_Passengers!D321&amp;"")=""),1,0)</f>
        <v>0</v>
      </c>
      <c r="G321" s="7" t="str">
        <f>IF(SUMPRODUCT(--(Lookup_Status!$A$2:$A$13=LOWER(TRIM(Raw_Passengers!F321))))=0,"",INDEX(Lookup_Status!$B$2:$B$13,SUMPRODUCT((Lookup_Status!$A$2:$A$13=LOWER(TRIM(Raw_Passengers!F321)))*(ROW(Lookup_Status!$A$2:$A$13)-1))))</f>
        <v>Confirmed</v>
      </c>
      <c r="H321" s="7" t="str">
        <f>IF(SUMPRODUCT(--(Lookup_Status!$A$2:$A$13=LOWER(TRIM(Raw_Passengers!G321))))=0,"",INDEX(Lookup_Status!$B$2:$B$13,SUMPRODUCT((Lookup_Status!$A$2:$A$13=LOWER(TRIM(Raw_Passengers!G321)))*(ROW(Lookup_Status!$A$2:$A$13)-1))))</f>
        <v>Confirmed</v>
      </c>
      <c r="I321" s="7">
        <f>IF(OR(G321="",G321="Cancelled",G321="Mixed"),1,0)</f>
        <v>0</v>
      </c>
      <c r="J321" s="7">
        <f>IF(OR(H321="",H321="Mixed"),1,0)</f>
        <v>0</v>
      </c>
      <c r="K321" s="7">
        <f>IF(AND(C321=0,D321=0),IF(OR(AND(I321=0,NOT(EXACT(Raw_Passengers!F321,G321))),AND(J321=0,NOT(EXACT(Raw_Passengers!G321,H321)))),1,0),0)</f>
        <v>0</v>
      </c>
      <c r="L321" s="7">
        <f>IF(AND(C321=0,D321=0,I321=1),1,0)</f>
        <v>0</v>
      </c>
      <c r="M321" s="7">
        <f>IF(AND(C321=0,D321=0,J321=1),1,0)</f>
        <v>0</v>
      </c>
    </row>
    <row r="322" spans="1:13">
      <c r="A322" s="7">
        <f>Raw_Passengers!A322</f>
        <v>108912</v>
      </c>
      <c r="B322" s="7">
        <f>Raw_Passengers!B322</f>
        <v>1053912</v>
      </c>
      <c r="C322" s="7">
        <f>IF(COUNTIF(Raw_Passengers!$A$2:A322,Raw_Passengers!A322)&gt;1,1,0)</f>
        <v>0</v>
      </c>
      <c r="D322" s="7">
        <f>IF(COUNTIF(Raw_Bookings!$A$2:$A$648,Raw_Passengers!B322)=0,1,0)</f>
        <v>0</v>
      </c>
      <c r="E322" s="7">
        <f>IF(OR(C322=1,D322=1),0,IF(NOT(ISNUMBER(Raw_Passengers!E322)),1,IF(Raw_Passengers!E322&lt;=0,1,0)))</f>
        <v>0</v>
      </c>
      <c r="F322" s="7">
        <f>IF(AND(C322=0,D322=0,TRIM(Raw_Passengers!D322&amp;"")=""),1,0)</f>
        <v>0</v>
      </c>
      <c r="G322" s="7" t="str">
        <f>IF(SUMPRODUCT(--(Lookup_Status!$A$2:$A$13=LOWER(TRIM(Raw_Passengers!F322))))=0,"",INDEX(Lookup_Status!$B$2:$B$13,SUMPRODUCT((Lookup_Status!$A$2:$A$13=LOWER(TRIM(Raw_Passengers!F322)))*(ROW(Lookup_Status!$A$2:$A$13)-1))))</f>
        <v>Confirmed</v>
      </c>
      <c r="H322" s="7" t="str">
        <f>IF(SUMPRODUCT(--(Lookup_Status!$A$2:$A$13=LOWER(TRIM(Raw_Passengers!G322))))=0,"",INDEX(Lookup_Status!$B$2:$B$13,SUMPRODUCT((Lookup_Status!$A$2:$A$13=LOWER(TRIM(Raw_Passengers!G322)))*(ROW(Lookup_Status!$A$2:$A$13)-1))))</f>
        <v>Confirmed</v>
      </c>
      <c r="I322" s="7">
        <f>IF(OR(G322="",G322="Cancelled",G322="Mixed"),1,0)</f>
        <v>0</v>
      </c>
      <c r="J322" s="7">
        <f>IF(OR(H322="",H322="Mixed"),1,0)</f>
        <v>0</v>
      </c>
      <c r="K322" s="7">
        <f>IF(AND(C322=0,D322=0),IF(OR(AND(I322=0,NOT(EXACT(Raw_Passengers!F322,G322))),AND(J322=0,NOT(EXACT(Raw_Passengers!G322,H322)))),1,0),0)</f>
        <v>0</v>
      </c>
      <c r="L322" s="7">
        <f>IF(AND(C322=0,D322=0,I322=1),1,0)</f>
        <v>0</v>
      </c>
      <c r="M322" s="7">
        <f>IF(AND(C322=0,D322=0,J322=1),1,0)</f>
        <v>0</v>
      </c>
    </row>
    <row r="323" spans="1:13">
      <c r="A323" s="7">
        <f>Raw_Passengers!A323</f>
        <v>108913</v>
      </c>
      <c r="B323" s="7">
        <f>Raw_Passengers!B323</f>
        <v>1053912</v>
      </c>
      <c r="C323" s="7">
        <f>IF(COUNTIF(Raw_Passengers!$A$2:A323,Raw_Passengers!A323)&gt;1,1,0)</f>
        <v>0</v>
      </c>
      <c r="D323" s="7">
        <f>IF(COUNTIF(Raw_Bookings!$A$2:$A$648,Raw_Passengers!B323)=0,1,0)</f>
        <v>0</v>
      </c>
      <c r="E323" s="7">
        <f>IF(OR(C323=1,D323=1),0,IF(NOT(ISNUMBER(Raw_Passengers!E323)),1,IF(Raw_Passengers!E323&lt;=0,1,0)))</f>
        <v>0</v>
      </c>
      <c r="F323" s="7">
        <f>IF(AND(C323=0,D323=0,TRIM(Raw_Passengers!D323&amp;"")=""),1,0)</f>
        <v>0</v>
      </c>
      <c r="G323" s="7" t="str">
        <f>IF(SUMPRODUCT(--(Lookup_Status!$A$2:$A$13=LOWER(TRIM(Raw_Passengers!F323))))=0,"",INDEX(Lookup_Status!$B$2:$B$13,SUMPRODUCT((Lookup_Status!$A$2:$A$13=LOWER(TRIM(Raw_Passengers!F323)))*(ROW(Lookup_Status!$A$2:$A$13)-1))))</f>
        <v>Confirmed</v>
      </c>
      <c r="H323" s="7" t="str">
        <f>IF(SUMPRODUCT(--(Lookup_Status!$A$2:$A$13=LOWER(TRIM(Raw_Passengers!G323))))=0,"",INDEX(Lookup_Status!$B$2:$B$13,SUMPRODUCT((Lookup_Status!$A$2:$A$13=LOWER(TRIM(Raw_Passengers!G323)))*(ROW(Lookup_Status!$A$2:$A$13)-1))))</f>
        <v>Confirmed</v>
      </c>
      <c r="I323" s="7">
        <f>IF(OR(G323="",G323="Cancelled",G323="Mixed"),1,0)</f>
        <v>0</v>
      </c>
      <c r="J323" s="7">
        <f>IF(OR(H323="",H323="Mixed"),1,0)</f>
        <v>0</v>
      </c>
      <c r="K323" s="7">
        <f>IF(AND(C323=0,D323=0),IF(OR(AND(I323=0,NOT(EXACT(Raw_Passengers!F323,G323))),AND(J323=0,NOT(EXACT(Raw_Passengers!G323,H323)))),1,0),0)</f>
        <v>0</v>
      </c>
      <c r="L323" s="7">
        <f>IF(AND(C323=0,D323=0,I323=1),1,0)</f>
        <v>0</v>
      </c>
      <c r="M323" s="7">
        <f>IF(AND(C323=0,D323=0,J323=1),1,0)</f>
        <v>0</v>
      </c>
    </row>
    <row r="324" spans="1:13">
      <c r="A324" s="7">
        <f>Raw_Passengers!A324</f>
        <v>108914</v>
      </c>
      <c r="B324" s="7">
        <f>Raw_Passengers!B324</f>
        <v>1053912</v>
      </c>
      <c r="C324" s="7">
        <f>IF(COUNTIF(Raw_Passengers!$A$2:A324,Raw_Passengers!A324)&gt;1,1,0)</f>
        <v>0</v>
      </c>
      <c r="D324" s="7">
        <f>IF(COUNTIF(Raw_Bookings!$A$2:$A$648,Raw_Passengers!B324)=0,1,0)</f>
        <v>0</v>
      </c>
      <c r="E324" s="7">
        <f>IF(OR(C324=1,D324=1),0,IF(NOT(ISNUMBER(Raw_Passengers!E324)),1,IF(Raw_Passengers!E324&lt;=0,1,0)))</f>
        <v>0</v>
      </c>
      <c r="F324" s="7">
        <f>IF(AND(C324=0,D324=0,TRIM(Raw_Passengers!D324&amp;"")=""),1,0)</f>
        <v>0</v>
      </c>
      <c r="G324" s="7" t="str">
        <f>IF(SUMPRODUCT(--(Lookup_Status!$A$2:$A$13=LOWER(TRIM(Raw_Passengers!F324))))=0,"",INDEX(Lookup_Status!$B$2:$B$13,SUMPRODUCT((Lookup_Status!$A$2:$A$13=LOWER(TRIM(Raw_Passengers!F324)))*(ROW(Lookup_Status!$A$2:$A$13)-1))))</f>
        <v>Confirmed</v>
      </c>
      <c r="H324" s="7" t="str">
        <f>IF(SUMPRODUCT(--(Lookup_Status!$A$2:$A$13=LOWER(TRIM(Raw_Passengers!G324))))=0,"",INDEX(Lookup_Status!$B$2:$B$13,SUMPRODUCT((Lookup_Status!$A$2:$A$13=LOWER(TRIM(Raw_Passengers!G324)))*(ROW(Lookup_Status!$A$2:$A$13)-1))))</f>
        <v>Confirmed</v>
      </c>
      <c r="I324" s="7">
        <f>IF(OR(G324="",G324="Cancelled",G324="Mixed"),1,0)</f>
        <v>0</v>
      </c>
      <c r="J324" s="7">
        <f>IF(OR(H324="",H324="Mixed"),1,0)</f>
        <v>0</v>
      </c>
      <c r="K324" s="7">
        <f>IF(AND(C324=0,D324=0),IF(OR(AND(I324=0,NOT(EXACT(Raw_Passengers!F324,G324))),AND(J324=0,NOT(EXACT(Raw_Passengers!G324,H324)))),1,0),0)</f>
        <v>0</v>
      </c>
      <c r="L324" s="7">
        <f>IF(AND(C324=0,D324=0,I324=1),1,0)</f>
        <v>0</v>
      </c>
      <c r="M324" s="7">
        <f>IF(AND(C324=0,D324=0,J324=1),1,0)</f>
        <v>0</v>
      </c>
    </row>
    <row r="325" spans="1:13">
      <c r="A325" s="7">
        <f>Raw_Passengers!A325</f>
        <v>108915</v>
      </c>
      <c r="B325" s="7">
        <f>Raw_Passengers!B325</f>
        <v>1053912</v>
      </c>
      <c r="C325" s="7">
        <f>IF(COUNTIF(Raw_Passengers!$A$2:A325,Raw_Passengers!A325)&gt;1,1,0)</f>
        <v>0</v>
      </c>
      <c r="D325" s="7">
        <f>IF(COUNTIF(Raw_Bookings!$A$2:$A$648,Raw_Passengers!B325)=0,1,0)</f>
        <v>0</v>
      </c>
      <c r="E325" s="7">
        <f>IF(OR(C325=1,D325=1),0,IF(NOT(ISNUMBER(Raw_Passengers!E325)),1,IF(Raw_Passengers!E325&lt;=0,1,0)))</f>
        <v>0</v>
      </c>
      <c r="F325" s="7">
        <f>IF(AND(C325=0,D325=0,TRIM(Raw_Passengers!D325&amp;"")=""),1,0)</f>
        <v>0</v>
      </c>
      <c r="G325" s="7" t="str">
        <f>IF(SUMPRODUCT(--(Lookup_Status!$A$2:$A$13=LOWER(TRIM(Raw_Passengers!F325))))=0,"",INDEX(Lookup_Status!$B$2:$B$13,SUMPRODUCT((Lookup_Status!$A$2:$A$13=LOWER(TRIM(Raw_Passengers!F325)))*(ROW(Lookup_Status!$A$2:$A$13)-1))))</f>
        <v>Confirmed</v>
      </c>
      <c r="H325" s="7" t="str">
        <f>IF(SUMPRODUCT(--(Lookup_Status!$A$2:$A$13=LOWER(TRIM(Raw_Passengers!G325))))=0,"",INDEX(Lookup_Status!$B$2:$B$13,SUMPRODUCT((Lookup_Status!$A$2:$A$13=LOWER(TRIM(Raw_Passengers!G325)))*(ROW(Lookup_Status!$A$2:$A$13)-1))))</f>
        <v>Confirmed</v>
      </c>
      <c r="I325" s="7">
        <f>IF(OR(G325="",G325="Cancelled",G325="Mixed"),1,0)</f>
        <v>0</v>
      </c>
      <c r="J325" s="7">
        <f>IF(OR(H325="",H325="Mixed"),1,0)</f>
        <v>0</v>
      </c>
      <c r="K325" s="7">
        <f>IF(AND(C325=0,D325=0),IF(OR(AND(I325=0,NOT(EXACT(Raw_Passengers!F325,G325))),AND(J325=0,NOT(EXACT(Raw_Passengers!G325,H325)))),1,0),0)</f>
        <v>0</v>
      </c>
      <c r="L325" s="7">
        <f>IF(AND(C325=0,D325=0,I325=1),1,0)</f>
        <v>0</v>
      </c>
      <c r="M325" s="7">
        <f>IF(AND(C325=0,D325=0,J325=1),1,0)</f>
        <v>0</v>
      </c>
    </row>
    <row r="326" spans="1:13">
      <c r="A326" s="7">
        <f>Raw_Passengers!A326</f>
        <v>108916</v>
      </c>
      <c r="B326" s="7">
        <f>Raw_Passengers!B326</f>
        <v>1053912</v>
      </c>
      <c r="C326" s="7">
        <f>IF(COUNTIF(Raw_Passengers!$A$2:A326,Raw_Passengers!A326)&gt;1,1,0)</f>
        <v>0</v>
      </c>
      <c r="D326" s="7">
        <f>IF(COUNTIF(Raw_Bookings!$A$2:$A$648,Raw_Passengers!B326)=0,1,0)</f>
        <v>0</v>
      </c>
      <c r="E326" s="7">
        <f>IF(OR(C326=1,D326=1),0,IF(NOT(ISNUMBER(Raw_Passengers!E326)),1,IF(Raw_Passengers!E326&lt;=0,1,0)))</f>
        <v>0</v>
      </c>
      <c r="F326" s="7">
        <f>IF(AND(C326=0,D326=0,TRIM(Raw_Passengers!D326&amp;"")=""),1,0)</f>
        <v>0</v>
      </c>
      <c r="G326" s="7" t="str">
        <f>IF(SUMPRODUCT(--(Lookup_Status!$A$2:$A$13=LOWER(TRIM(Raw_Passengers!F326))))=0,"",INDEX(Lookup_Status!$B$2:$B$13,SUMPRODUCT((Lookup_Status!$A$2:$A$13=LOWER(TRIM(Raw_Passengers!F326)))*(ROW(Lookup_Status!$A$2:$A$13)-1))))</f>
        <v>Confirmed</v>
      </c>
      <c r="H326" s="7" t="str">
        <f>IF(SUMPRODUCT(--(Lookup_Status!$A$2:$A$13=LOWER(TRIM(Raw_Passengers!G326))))=0,"",INDEX(Lookup_Status!$B$2:$B$13,SUMPRODUCT((Lookup_Status!$A$2:$A$13=LOWER(TRIM(Raw_Passengers!G326)))*(ROW(Lookup_Status!$A$2:$A$13)-1))))</f>
        <v>Confirmed</v>
      </c>
      <c r="I326" s="7">
        <f>IF(OR(G326="",G326="Cancelled",G326="Mixed"),1,0)</f>
        <v>0</v>
      </c>
      <c r="J326" s="7">
        <f>IF(OR(H326="",H326="Mixed"),1,0)</f>
        <v>0</v>
      </c>
      <c r="K326" s="7">
        <f>IF(AND(C326=0,D326=0),IF(OR(AND(I326=0,NOT(EXACT(Raw_Passengers!F326,G326))),AND(J326=0,NOT(EXACT(Raw_Passengers!G326,H326)))),1,0),0)</f>
        <v>0</v>
      </c>
      <c r="L326" s="7">
        <f>IF(AND(C326=0,D326=0,I326=1),1,0)</f>
        <v>0</v>
      </c>
      <c r="M326" s="7">
        <f>IF(AND(C326=0,D326=0,J326=1),1,0)</f>
        <v>0</v>
      </c>
    </row>
    <row r="327" spans="1:13">
      <c r="A327" s="7">
        <f>Raw_Passengers!A327</f>
        <v>108917</v>
      </c>
      <c r="B327" s="7">
        <f>Raw_Passengers!B327</f>
        <v>1053912</v>
      </c>
      <c r="C327" s="7">
        <f>IF(COUNTIF(Raw_Passengers!$A$2:A327,Raw_Passengers!A327)&gt;1,1,0)</f>
        <v>0</v>
      </c>
      <c r="D327" s="7">
        <f>IF(COUNTIF(Raw_Bookings!$A$2:$A$648,Raw_Passengers!B327)=0,1,0)</f>
        <v>0</v>
      </c>
      <c r="E327" s="7">
        <f>IF(OR(C327=1,D327=1),0,IF(NOT(ISNUMBER(Raw_Passengers!E327)),1,IF(Raw_Passengers!E327&lt;=0,1,0)))</f>
        <v>0</v>
      </c>
      <c r="F327" s="7">
        <f>IF(AND(C327=0,D327=0,TRIM(Raw_Passengers!D327&amp;"")=""),1,0)</f>
        <v>0</v>
      </c>
      <c r="G327" s="7" t="str">
        <f>IF(SUMPRODUCT(--(Lookup_Status!$A$2:$A$13=LOWER(TRIM(Raw_Passengers!F327))))=0,"",INDEX(Lookup_Status!$B$2:$B$13,SUMPRODUCT((Lookup_Status!$A$2:$A$13=LOWER(TRIM(Raw_Passengers!F327)))*(ROW(Lookup_Status!$A$2:$A$13)-1))))</f>
        <v>Confirmed</v>
      </c>
      <c r="H327" s="7" t="str">
        <f>IF(SUMPRODUCT(--(Lookup_Status!$A$2:$A$13=LOWER(TRIM(Raw_Passengers!G327))))=0,"",INDEX(Lookup_Status!$B$2:$B$13,SUMPRODUCT((Lookup_Status!$A$2:$A$13=LOWER(TRIM(Raw_Passengers!G327)))*(ROW(Lookup_Status!$A$2:$A$13)-1))))</f>
        <v>Confirmed</v>
      </c>
      <c r="I327" s="7">
        <f>IF(OR(G327="",G327="Cancelled",G327="Mixed"),1,0)</f>
        <v>0</v>
      </c>
      <c r="J327" s="7">
        <f>IF(OR(H327="",H327="Mixed"),1,0)</f>
        <v>0</v>
      </c>
      <c r="K327" s="7">
        <f>IF(AND(C327=0,D327=0),IF(OR(AND(I327=0,NOT(EXACT(Raw_Passengers!F327,G327))),AND(J327=0,NOT(EXACT(Raw_Passengers!G327,H327)))),1,0),0)</f>
        <v>0</v>
      </c>
      <c r="L327" s="7">
        <f>IF(AND(C327=0,D327=0,I327=1),1,0)</f>
        <v>0</v>
      </c>
      <c r="M327" s="7">
        <f>IF(AND(C327=0,D327=0,J327=1),1,0)</f>
        <v>0</v>
      </c>
    </row>
    <row r="328" spans="1:13">
      <c r="A328" s="7">
        <f>Raw_Passengers!A328</f>
        <v>109847</v>
      </c>
      <c r="B328" s="7">
        <f>Raw_Passengers!B328</f>
        <v>1054382</v>
      </c>
      <c r="C328" s="7">
        <f>IF(COUNTIF(Raw_Passengers!$A$2:A328,Raw_Passengers!A328)&gt;1,1,0)</f>
        <v>0</v>
      </c>
      <c r="D328" s="7">
        <f>IF(COUNTIF(Raw_Bookings!$A$2:$A$648,Raw_Passengers!B328)=0,1,0)</f>
        <v>0</v>
      </c>
      <c r="E328" s="7">
        <f>IF(OR(C328=1,D328=1),0,IF(NOT(ISNUMBER(Raw_Passengers!E328)),1,IF(Raw_Passengers!E328&lt;=0,1,0)))</f>
        <v>0</v>
      </c>
      <c r="F328" s="7">
        <f>IF(AND(C328=0,D328=0,TRIM(Raw_Passengers!D328&amp;"")=""),1,0)</f>
        <v>0</v>
      </c>
      <c r="G328" s="7" t="str">
        <f>IF(SUMPRODUCT(--(Lookup_Status!$A$2:$A$13=LOWER(TRIM(Raw_Passengers!F328))))=0,"",INDEX(Lookup_Status!$B$2:$B$13,SUMPRODUCT((Lookup_Status!$A$2:$A$13=LOWER(TRIM(Raw_Passengers!F328)))*(ROW(Lookup_Status!$A$2:$A$13)-1))))</f>
        <v>Confirmed</v>
      </c>
      <c r="H328" s="7" t="str">
        <f>IF(SUMPRODUCT(--(Lookup_Status!$A$2:$A$13=LOWER(TRIM(Raw_Passengers!G328))))=0,"",INDEX(Lookup_Status!$B$2:$B$13,SUMPRODUCT((Lookup_Status!$A$2:$A$13=LOWER(TRIM(Raw_Passengers!G328)))*(ROW(Lookup_Status!$A$2:$A$13)-1))))</f>
        <v>Cancelled</v>
      </c>
      <c r="I328" s="7">
        <f>IF(OR(G328="",G328="Cancelled",G328="Mixed"),1,0)</f>
        <v>0</v>
      </c>
      <c r="J328" s="7">
        <f>IF(OR(H328="",H328="Mixed"),1,0)</f>
        <v>0</v>
      </c>
      <c r="K328" s="7">
        <f>IF(AND(C328=0,D328=0),IF(OR(AND(I328=0,NOT(EXACT(Raw_Passengers!F328,G328))),AND(J328=0,NOT(EXACT(Raw_Passengers!G328,H328)))),1,0),0)</f>
        <v>0</v>
      </c>
      <c r="L328" s="7">
        <f>IF(AND(C328=0,D328=0,I328=1),1,0)</f>
        <v>0</v>
      </c>
      <c r="M328" s="7">
        <f>IF(AND(C328=0,D328=0,J328=1),1,0)</f>
        <v>0</v>
      </c>
    </row>
    <row r="329" spans="1:13">
      <c r="A329" s="7">
        <f>Raw_Passengers!A329</f>
        <v>109848</v>
      </c>
      <c r="B329" s="7">
        <f>Raw_Passengers!B329</f>
        <v>1054382</v>
      </c>
      <c r="C329" s="7">
        <f>IF(COUNTIF(Raw_Passengers!$A$2:A329,Raw_Passengers!A329)&gt;1,1,0)</f>
        <v>0</v>
      </c>
      <c r="D329" s="7">
        <f>IF(COUNTIF(Raw_Bookings!$A$2:$A$648,Raw_Passengers!B329)=0,1,0)</f>
        <v>0</v>
      </c>
      <c r="E329" s="7">
        <f>IF(OR(C329=1,D329=1),0,IF(NOT(ISNUMBER(Raw_Passengers!E329)),1,IF(Raw_Passengers!E329&lt;=0,1,0)))</f>
        <v>0</v>
      </c>
      <c r="F329" s="7">
        <f>IF(AND(C329=0,D329=0,TRIM(Raw_Passengers!D329&amp;"")=""),1,0)</f>
        <v>0</v>
      </c>
      <c r="G329" s="7" t="str">
        <f>IF(SUMPRODUCT(--(Lookup_Status!$A$2:$A$13=LOWER(TRIM(Raw_Passengers!F329))))=0,"",INDEX(Lookup_Status!$B$2:$B$13,SUMPRODUCT((Lookup_Status!$A$2:$A$13=LOWER(TRIM(Raw_Passengers!F329)))*(ROW(Lookup_Status!$A$2:$A$13)-1))))</f>
        <v>Confirmed</v>
      </c>
      <c r="H329" s="7" t="str">
        <f>IF(SUMPRODUCT(--(Lookup_Status!$A$2:$A$13=LOWER(TRIM(Raw_Passengers!G329))))=0,"",INDEX(Lookup_Status!$B$2:$B$13,SUMPRODUCT((Lookup_Status!$A$2:$A$13=LOWER(TRIM(Raw_Passengers!G329)))*(ROW(Lookup_Status!$A$2:$A$13)-1))))</f>
        <v>Cancelled</v>
      </c>
      <c r="I329" s="7">
        <f>IF(OR(G329="",G329="Cancelled",G329="Mixed"),1,0)</f>
        <v>0</v>
      </c>
      <c r="J329" s="7">
        <f>IF(OR(H329="",H329="Mixed"),1,0)</f>
        <v>0</v>
      </c>
      <c r="K329" s="7">
        <f>IF(AND(C329=0,D329=0),IF(OR(AND(I329=0,NOT(EXACT(Raw_Passengers!F329,G329))),AND(J329=0,NOT(EXACT(Raw_Passengers!G329,H329)))),1,0),0)</f>
        <v>0</v>
      </c>
      <c r="L329" s="7">
        <f>IF(AND(C329=0,D329=0,I329=1),1,0)</f>
        <v>0</v>
      </c>
      <c r="M329" s="7">
        <f>IF(AND(C329=0,D329=0,J329=1),1,0)</f>
        <v>0</v>
      </c>
    </row>
    <row r="330" spans="1:13">
      <c r="A330" s="7">
        <f>Raw_Passengers!A330</f>
        <v>110887</v>
      </c>
      <c r="B330" s="7">
        <f>Raw_Passengers!B330</f>
        <v>1054902</v>
      </c>
      <c r="C330" s="7">
        <f>IF(COUNTIF(Raw_Passengers!$A$2:A330,Raw_Passengers!A330)&gt;1,1,0)</f>
        <v>0</v>
      </c>
      <c r="D330" s="7">
        <f>IF(COUNTIF(Raw_Bookings!$A$2:$A$648,Raw_Passengers!B330)=0,1,0)</f>
        <v>0</v>
      </c>
      <c r="E330" s="7">
        <f>IF(OR(C330=1,D330=1),0,IF(NOT(ISNUMBER(Raw_Passengers!E330)),1,IF(Raw_Passengers!E330&lt;=0,1,0)))</f>
        <v>0</v>
      </c>
      <c r="F330" s="7">
        <f>IF(AND(C330=0,D330=0,TRIM(Raw_Passengers!D330&amp;"")=""),1,0)</f>
        <v>0</v>
      </c>
      <c r="G330" s="7" t="str">
        <f>IF(SUMPRODUCT(--(Lookup_Status!$A$2:$A$13=LOWER(TRIM(Raw_Passengers!F330))))=0,"",INDEX(Lookup_Status!$B$2:$B$13,SUMPRODUCT((Lookup_Status!$A$2:$A$13=LOWER(TRIM(Raw_Passengers!F330)))*(ROW(Lookup_Status!$A$2:$A$13)-1))))</f>
        <v>Confirmed</v>
      </c>
      <c r="H330" s="7" t="str">
        <f>IF(SUMPRODUCT(--(Lookup_Status!$A$2:$A$13=LOWER(TRIM(Raw_Passengers!G330))))=0,"",INDEX(Lookup_Status!$B$2:$B$13,SUMPRODUCT((Lookup_Status!$A$2:$A$13=LOWER(TRIM(Raw_Passengers!G330)))*(ROW(Lookup_Status!$A$2:$A$13)-1))))</f>
        <v>Confirmed</v>
      </c>
      <c r="I330" s="7">
        <f>IF(OR(G330="",G330="Cancelled",G330="Mixed"),1,0)</f>
        <v>0</v>
      </c>
      <c r="J330" s="7">
        <f>IF(OR(H330="",H330="Mixed"),1,0)</f>
        <v>0</v>
      </c>
      <c r="K330" s="7">
        <f>IF(AND(C330=0,D330=0),IF(OR(AND(I330=0,NOT(EXACT(Raw_Passengers!F330,G330))),AND(J330=0,NOT(EXACT(Raw_Passengers!G330,H330)))),1,0),0)</f>
        <v>0</v>
      </c>
      <c r="L330" s="7">
        <f>IF(AND(C330=0,D330=0,I330=1),1,0)</f>
        <v>0</v>
      </c>
      <c r="M330" s="7">
        <f>IF(AND(C330=0,D330=0,J330=1),1,0)</f>
        <v>0</v>
      </c>
    </row>
    <row r="331" spans="1:13">
      <c r="A331" s="7">
        <f>Raw_Passengers!A331</f>
        <v>113267</v>
      </c>
      <c r="B331" s="7">
        <f>Raw_Passengers!B331</f>
        <v>1056099</v>
      </c>
      <c r="C331" s="7">
        <f>IF(COUNTIF(Raw_Passengers!$A$2:A331,Raw_Passengers!A331)&gt;1,1,0)</f>
        <v>0</v>
      </c>
      <c r="D331" s="7">
        <f>IF(COUNTIF(Raw_Bookings!$A$2:$A$648,Raw_Passengers!B331)=0,1,0)</f>
        <v>0</v>
      </c>
      <c r="E331" s="7">
        <f>IF(OR(C331=1,D331=1),0,IF(NOT(ISNUMBER(Raw_Passengers!E331)),1,IF(Raw_Passengers!E331&lt;=0,1,0)))</f>
        <v>0</v>
      </c>
      <c r="F331" s="7">
        <f>IF(AND(C331=0,D331=0,TRIM(Raw_Passengers!D331&amp;"")=""),1,0)</f>
        <v>0</v>
      </c>
      <c r="G331" s="7" t="str">
        <f>IF(SUMPRODUCT(--(Lookup_Status!$A$2:$A$13=LOWER(TRIM(Raw_Passengers!F331))))=0,"",INDEX(Lookup_Status!$B$2:$B$13,SUMPRODUCT((Lookup_Status!$A$2:$A$13=LOWER(TRIM(Raw_Passengers!F331)))*(ROW(Lookup_Status!$A$2:$A$13)-1))))</f>
        <v>Confirmed</v>
      </c>
      <c r="H331" s="7" t="str">
        <f>IF(SUMPRODUCT(--(Lookup_Status!$A$2:$A$13=LOWER(TRIM(Raw_Passengers!G331))))=0,"",INDEX(Lookup_Status!$B$2:$B$13,SUMPRODUCT((Lookup_Status!$A$2:$A$13=LOWER(TRIM(Raw_Passengers!G331)))*(ROW(Lookup_Status!$A$2:$A$13)-1))))</f>
        <v>Cancelled</v>
      </c>
      <c r="I331" s="7">
        <f>IF(OR(G331="",G331="Cancelled",G331="Mixed"),1,0)</f>
        <v>0</v>
      </c>
      <c r="J331" s="7">
        <f>IF(OR(H331="",H331="Mixed"),1,0)</f>
        <v>0</v>
      </c>
      <c r="K331" s="7">
        <f>IF(AND(C331=0,D331=0),IF(OR(AND(I331=0,NOT(EXACT(Raw_Passengers!F331,G331))),AND(J331=0,NOT(EXACT(Raw_Passengers!G331,H331)))),1,0),0)</f>
        <v>0</v>
      </c>
      <c r="L331" s="7">
        <f>IF(AND(C331=0,D331=0,I331=1),1,0)</f>
        <v>0</v>
      </c>
      <c r="M331" s="7">
        <f>IF(AND(C331=0,D331=0,J331=1),1,0)</f>
        <v>0</v>
      </c>
    </row>
    <row r="332" spans="1:13">
      <c r="A332" s="7">
        <f>Raw_Passengers!A332</f>
        <v>113268</v>
      </c>
      <c r="B332" s="7">
        <f>Raw_Passengers!B332</f>
        <v>1056099</v>
      </c>
      <c r="C332" s="7">
        <f>IF(COUNTIF(Raw_Passengers!$A$2:A332,Raw_Passengers!A332)&gt;1,1,0)</f>
        <v>0</v>
      </c>
      <c r="D332" s="7">
        <f>IF(COUNTIF(Raw_Bookings!$A$2:$A$648,Raw_Passengers!B332)=0,1,0)</f>
        <v>0</v>
      </c>
      <c r="E332" s="7">
        <f>IF(OR(C332=1,D332=1),0,IF(NOT(ISNUMBER(Raw_Passengers!E332)),1,IF(Raw_Passengers!E332&lt;=0,1,0)))</f>
        <v>0</v>
      </c>
      <c r="F332" s="7">
        <f>IF(AND(C332=0,D332=0,TRIM(Raw_Passengers!D332&amp;"")=""),1,0)</f>
        <v>0</v>
      </c>
      <c r="G332" s="7" t="str">
        <f>IF(SUMPRODUCT(--(Lookup_Status!$A$2:$A$13=LOWER(TRIM(Raw_Passengers!F332))))=0,"",INDEX(Lookup_Status!$B$2:$B$13,SUMPRODUCT((Lookup_Status!$A$2:$A$13=LOWER(TRIM(Raw_Passengers!F332)))*(ROW(Lookup_Status!$A$2:$A$13)-1))))</f>
        <v>Confirmed</v>
      </c>
      <c r="H332" s="7" t="str">
        <f>IF(SUMPRODUCT(--(Lookup_Status!$A$2:$A$13=LOWER(TRIM(Raw_Passengers!G332))))=0,"",INDEX(Lookup_Status!$B$2:$B$13,SUMPRODUCT((Lookup_Status!$A$2:$A$13=LOWER(TRIM(Raw_Passengers!G332)))*(ROW(Lookup_Status!$A$2:$A$13)-1))))</f>
        <v>Cancelled</v>
      </c>
      <c r="I332" s="7">
        <f>IF(OR(G332="",G332="Cancelled",G332="Mixed"),1,0)</f>
        <v>0</v>
      </c>
      <c r="J332" s="7">
        <f>IF(OR(H332="",H332="Mixed"),1,0)</f>
        <v>0</v>
      </c>
      <c r="K332" s="7">
        <f>IF(AND(C332=0,D332=0),IF(OR(AND(I332=0,NOT(EXACT(Raw_Passengers!F332,G332))),AND(J332=0,NOT(EXACT(Raw_Passengers!G332,H332)))),1,0),0)</f>
        <v>0</v>
      </c>
      <c r="L332" s="7">
        <f>IF(AND(C332=0,D332=0,I332=1),1,0)</f>
        <v>0</v>
      </c>
      <c r="M332" s="7">
        <f>IF(AND(C332=0,D332=0,J332=1),1,0)</f>
        <v>0</v>
      </c>
    </row>
    <row r="333" spans="1:13">
      <c r="A333" s="7">
        <f>Raw_Passengers!A333</f>
        <v>113812</v>
      </c>
      <c r="B333" s="7">
        <f>Raw_Passengers!B333</f>
        <v>1056380</v>
      </c>
      <c r="C333" s="7">
        <f>IF(COUNTIF(Raw_Passengers!$A$2:A333,Raw_Passengers!A333)&gt;1,1,0)</f>
        <v>0</v>
      </c>
      <c r="D333" s="7">
        <f>IF(COUNTIF(Raw_Bookings!$A$2:$A$648,Raw_Passengers!B333)=0,1,0)</f>
        <v>0</v>
      </c>
      <c r="E333" s="7">
        <f>IF(OR(C333=1,D333=1),0,IF(NOT(ISNUMBER(Raw_Passengers!E333)),1,IF(Raw_Passengers!E333&lt;=0,1,0)))</f>
        <v>0</v>
      </c>
      <c r="F333" s="7">
        <f>IF(AND(C333=0,D333=0,TRIM(Raw_Passengers!D333&amp;"")=""),1,0)</f>
        <v>0</v>
      </c>
      <c r="G333" s="7" t="str">
        <f>IF(SUMPRODUCT(--(Lookup_Status!$A$2:$A$13=LOWER(TRIM(Raw_Passengers!F333))))=0,"",INDEX(Lookup_Status!$B$2:$B$13,SUMPRODUCT((Lookup_Status!$A$2:$A$13=LOWER(TRIM(Raw_Passengers!F333)))*(ROW(Lookup_Status!$A$2:$A$13)-1))))</f>
        <v>Confirmed</v>
      </c>
      <c r="H333" s="7" t="str">
        <f>IF(SUMPRODUCT(--(Lookup_Status!$A$2:$A$13=LOWER(TRIM(Raw_Passengers!G333))))=0,"",INDEX(Lookup_Status!$B$2:$B$13,SUMPRODUCT((Lookup_Status!$A$2:$A$13=LOWER(TRIM(Raw_Passengers!G333)))*(ROW(Lookup_Status!$A$2:$A$13)-1))))</f>
        <v>Cancelled</v>
      </c>
      <c r="I333" s="7">
        <f>IF(OR(G333="",G333="Cancelled",G333="Mixed"),1,0)</f>
        <v>0</v>
      </c>
      <c r="J333" s="7">
        <f>IF(OR(H333="",H333="Mixed"),1,0)</f>
        <v>0</v>
      </c>
      <c r="K333" s="7">
        <f>IF(AND(C333=0,D333=0),IF(OR(AND(I333=0,NOT(EXACT(Raw_Passengers!F333,G333))),AND(J333=0,NOT(EXACT(Raw_Passengers!G333,H333)))),1,0),0)</f>
        <v>0</v>
      </c>
      <c r="L333" s="7">
        <f>IF(AND(C333=0,D333=0,I333=1),1,0)</f>
        <v>0</v>
      </c>
      <c r="M333" s="7">
        <f>IF(AND(C333=0,D333=0,J333=1),1,0)</f>
        <v>0</v>
      </c>
    </row>
    <row r="334" spans="1:13">
      <c r="A334" s="7">
        <f>Raw_Passengers!A334</f>
        <v>113813</v>
      </c>
      <c r="B334" s="7">
        <f>Raw_Passengers!B334</f>
        <v>1056380</v>
      </c>
      <c r="C334" s="7">
        <f>IF(COUNTIF(Raw_Passengers!$A$2:A334,Raw_Passengers!A334)&gt;1,1,0)</f>
        <v>0</v>
      </c>
      <c r="D334" s="7">
        <f>IF(COUNTIF(Raw_Bookings!$A$2:$A$648,Raw_Passengers!B334)=0,1,0)</f>
        <v>0</v>
      </c>
      <c r="E334" s="7">
        <f>IF(OR(C334=1,D334=1),0,IF(NOT(ISNUMBER(Raw_Passengers!E334)),1,IF(Raw_Passengers!E334&lt;=0,1,0)))</f>
        <v>0</v>
      </c>
      <c r="F334" s="7">
        <f>IF(AND(C334=0,D334=0,TRIM(Raw_Passengers!D334&amp;"")=""),1,0)</f>
        <v>0</v>
      </c>
      <c r="G334" s="7" t="str">
        <f>IF(SUMPRODUCT(--(Lookup_Status!$A$2:$A$13=LOWER(TRIM(Raw_Passengers!F334))))=0,"",INDEX(Lookup_Status!$B$2:$B$13,SUMPRODUCT((Lookup_Status!$A$2:$A$13=LOWER(TRIM(Raw_Passengers!F334)))*(ROW(Lookup_Status!$A$2:$A$13)-1))))</f>
        <v>Confirmed</v>
      </c>
      <c r="H334" s="7" t="str">
        <f>IF(SUMPRODUCT(--(Lookup_Status!$A$2:$A$13=LOWER(TRIM(Raw_Passengers!G334))))=0,"",INDEX(Lookup_Status!$B$2:$B$13,SUMPRODUCT((Lookup_Status!$A$2:$A$13=LOWER(TRIM(Raw_Passengers!G334)))*(ROW(Lookup_Status!$A$2:$A$13)-1))))</f>
        <v>Cancelled</v>
      </c>
      <c r="I334" s="7">
        <f>IF(OR(G334="",G334="Cancelled",G334="Mixed"),1,0)</f>
        <v>0</v>
      </c>
      <c r="J334" s="7">
        <f>IF(OR(H334="",H334="Mixed"),1,0)</f>
        <v>0</v>
      </c>
      <c r="K334" s="7">
        <f>IF(AND(C334=0,D334=0),IF(OR(AND(I334=0,NOT(EXACT(Raw_Passengers!F334,G334))),AND(J334=0,NOT(EXACT(Raw_Passengers!G334,H334)))),1,0),0)</f>
        <v>0</v>
      </c>
      <c r="L334" s="7">
        <f>IF(AND(C334=0,D334=0,I334=1),1,0)</f>
        <v>0</v>
      </c>
      <c r="M334" s="7">
        <f>IF(AND(C334=0,D334=0,J334=1),1,0)</f>
        <v>0</v>
      </c>
    </row>
    <row r="335" spans="1:13">
      <c r="A335" s="7">
        <f>Raw_Passengers!A335</f>
        <v>113814</v>
      </c>
      <c r="B335" s="7">
        <f>Raw_Passengers!B335</f>
        <v>1056380</v>
      </c>
      <c r="C335" s="7">
        <f>IF(COUNTIF(Raw_Passengers!$A$2:A335,Raw_Passengers!A335)&gt;1,1,0)</f>
        <v>0</v>
      </c>
      <c r="D335" s="7">
        <f>IF(COUNTIF(Raw_Bookings!$A$2:$A$648,Raw_Passengers!B335)=0,1,0)</f>
        <v>0</v>
      </c>
      <c r="E335" s="7">
        <f>IF(OR(C335=1,D335=1),0,IF(NOT(ISNUMBER(Raw_Passengers!E335)),1,IF(Raw_Passengers!E335&lt;=0,1,0)))</f>
        <v>0</v>
      </c>
      <c r="F335" s="7">
        <f>IF(AND(C335=0,D335=0,TRIM(Raw_Passengers!D335&amp;"")=""),1,0)</f>
        <v>0</v>
      </c>
      <c r="G335" s="7" t="str">
        <f>IF(SUMPRODUCT(--(Lookup_Status!$A$2:$A$13=LOWER(TRIM(Raw_Passengers!F335))))=0,"",INDEX(Lookup_Status!$B$2:$B$13,SUMPRODUCT((Lookup_Status!$A$2:$A$13=LOWER(TRIM(Raw_Passengers!F335)))*(ROW(Lookup_Status!$A$2:$A$13)-1))))</f>
        <v>Confirmed</v>
      </c>
      <c r="H335" s="7" t="str">
        <f>IF(SUMPRODUCT(--(Lookup_Status!$A$2:$A$13=LOWER(TRIM(Raw_Passengers!G335))))=0,"",INDEX(Lookup_Status!$B$2:$B$13,SUMPRODUCT((Lookup_Status!$A$2:$A$13=LOWER(TRIM(Raw_Passengers!G335)))*(ROW(Lookup_Status!$A$2:$A$13)-1))))</f>
        <v>Cancelled</v>
      </c>
      <c r="I335" s="7">
        <f>IF(OR(G335="",G335="Cancelled",G335="Mixed"),1,0)</f>
        <v>0</v>
      </c>
      <c r="J335" s="7">
        <f>IF(OR(H335="",H335="Mixed"),1,0)</f>
        <v>0</v>
      </c>
      <c r="K335" s="7">
        <f>IF(AND(C335=0,D335=0),IF(OR(AND(I335=0,NOT(EXACT(Raw_Passengers!F335,G335))),AND(J335=0,NOT(EXACT(Raw_Passengers!G335,H335)))),1,0),0)</f>
        <v>0</v>
      </c>
      <c r="L335" s="7">
        <f>IF(AND(C335=0,D335=0,I335=1),1,0)</f>
        <v>0</v>
      </c>
      <c r="M335" s="7">
        <f>IF(AND(C335=0,D335=0,J335=1),1,0)</f>
        <v>0</v>
      </c>
    </row>
    <row r="336" spans="1:13">
      <c r="A336" s="7">
        <f>Raw_Passengers!A336</f>
        <v>113815</v>
      </c>
      <c r="B336" s="7">
        <f>Raw_Passengers!B336</f>
        <v>1056380</v>
      </c>
      <c r="C336" s="7">
        <f>IF(COUNTIF(Raw_Passengers!$A$2:A336,Raw_Passengers!A336)&gt;1,1,0)</f>
        <v>0</v>
      </c>
      <c r="D336" s="7">
        <f>IF(COUNTIF(Raw_Bookings!$A$2:$A$648,Raw_Passengers!B336)=0,1,0)</f>
        <v>0</v>
      </c>
      <c r="E336" s="7">
        <f>IF(OR(C336=1,D336=1),0,IF(NOT(ISNUMBER(Raw_Passengers!E336)),1,IF(Raw_Passengers!E336&lt;=0,1,0)))</f>
        <v>0</v>
      </c>
      <c r="F336" s="7">
        <f>IF(AND(C336=0,D336=0,TRIM(Raw_Passengers!D336&amp;"")=""),1,0)</f>
        <v>0</v>
      </c>
      <c r="G336" s="7" t="str">
        <f>IF(SUMPRODUCT(--(Lookup_Status!$A$2:$A$13=LOWER(TRIM(Raw_Passengers!F336))))=0,"",INDEX(Lookup_Status!$B$2:$B$13,SUMPRODUCT((Lookup_Status!$A$2:$A$13=LOWER(TRIM(Raw_Passengers!F336)))*(ROW(Lookup_Status!$A$2:$A$13)-1))))</f>
        <v>Confirmed</v>
      </c>
      <c r="H336" s="7" t="str">
        <f>IF(SUMPRODUCT(--(Lookup_Status!$A$2:$A$13=LOWER(TRIM(Raw_Passengers!G336))))=0,"",INDEX(Lookup_Status!$B$2:$B$13,SUMPRODUCT((Lookup_Status!$A$2:$A$13=LOWER(TRIM(Raw_Passengers!G336)))*(ROW(Lookup_Status!$A$2:$A$13)-1))))</f>
        <v>Cancelled</v>
      </c>
      <c r="I336" s="7">
        <f>IF(OR(G336="",G336="Cancelled",G336="Mixed"),1,0)</f>
        <v>0</v>
      </c>
      <c r="J336" s="7">
        <f>IF(OR(H336="",H336="Mixed"),1,0)</f>
        <v>0</v>
      </c>
      <c r="K336" s="7">
        <f>IF(AND(C336=0,D336=0),IF(OR(AND(I336=0,NOT(EXACT(Raw_Passengers!F336,G336))),AND(J336=0,NOT(EXACT(Raw_Passengers!G336,H336)))),1,0),0)</f>
        <v>0</v>
      </c>
      <c r="L336" s="7">
        <f>IF(AND(C336=0,D336=0,I336=1),1,0)</f>
        <v>0</v>
      </c>
      <c r="M336" s="7">
        <f>IF(AND(C336=0,D336=0,J336=1),1,0)</f>
        <v>0</v>
      </c>
    </row>
    <row r="337" spans="1:13">
      <c r="A337" s="7">
        <f>Raw_Passengers!A337</f>
        <v>114383</v>
      </c>
      <c r="B337" s="7">
        <f>Raw_Passengers!B337</f>
        <v>1056639</v>
      </c>
      <c r="C337" s="7">
        <f>IF(COUNTIF(Raw_Passengers!$A$2:A337,Raw_Passengers!A337)&gt;1,1,0)</f>
        <v>0</v>
      </c>
      <c r="D337" s="7">
        <f>IF(COUNTIF(Raw_Bookings!$A$2:$A$648,Raw_Passengers!B337)=0,1,0)</f>
        <v>0</v>
      </c>
      <c r="E337" s="7">
        <f>IF(OR(C337=1,D337=1),0,IF(NOT(ISNUMBER(Raw_Passengers!E337)),1,IF(Raw_Passengers!E337&lt;=0,1,0)))</f>
        <v>0</v>
      </c>
      <c r="F337" s="7">
        <f>IF(AND(C337=0,D337=0,TRIM(Raw_Passengers!D337&amp;"")=""),1,0)</f>
        <v>0</v>
      </c>
      <c r="G337" s="7" t="str">
        <f>IF(SUMPRODUCT(--(Lookup_Status!$A$2:$A$13=LOWER(TRIM(Raw_Passengers!F337))))=0,"",INDEX(Lookup_Status!$B$2:$B$13,SUMPRODUCT((Lookup_Status!$A$2:$A$13=LOWER(TRIM(Raw_Passengers!F337)))*(ROW(Lookup_Status!$A$2:$A$13)-1))))</f>
        <v>Confirmed</v>
      </c>
      <c r="H337" s="7" t="str">
        <f>IF(SUMPRODUCT(--(Lookup_Status!$A$2:$A$13=LOWER(TRIM(Raw_Passengers!G337))))=0,"",INDEX(Lookup_Status!$B$2:$B$13,SUMPRODUCT((Lookup_Status!$A$2:$A$13=LOWER(TRIM(Raw_Passengers!G337)))*(ROW(Lookup_Status!$A$2:$A$13)-1))))</f>
        <v>Confirmed</v>
      </c>
      <c r="I337" s="7">
        <f>IF(OR(G337="",G337="Cancelled",G337="Mixed"),1,0)</f>
        <v>0</v>
      </c>
      <c r="J337" s="7">
        <f>IF(OR(H337="",H337="Mixed"),1,0)</f>
        <v>0</v>
      </c>
      <c r="K337" s="7">
        <f>IF(AND(C337=0,D337=0),IF(OR(AND(I337=0,NOT(EXACT(Raw_Passengers!F337,G337))),AND(J337=0,NOT(EXACT(Raw_Passengers!G337,H337)))),1,0),0)</f>
        <v>0</v>
      </c>
      <c r="L337" s="7">
        <f>IF(AND(C337=0,D337=0,I337=1),1,0)</f>
        <v>0</v>
      </c>
      <c r="M337" s="7">
        <f>IF(AND(C337=0,D337=0,J337=1),1,0)</f>
        <v>0</v>
      </c>
    </row>
    <row r="338" spans="1:13">
      <c r="A338" s="7">
        <f>Raw_Passengers!A338</f>
        <v>115107</v>
      </c>
      <c r="B338" s="7">
        <f>Raw_Passengers!B338</f>
        <v>1057021</v>
      </c>
      <c r="C338" s="7">
        <f>IF(COUNTIF(Raw_Passengers!$A$2:A338,Raw_Passengers!A338)&gt;1,1,0)</f>
        <v>0</v>
      </c>
      <c r="D338" s="7">
        <f>IF(COUNTIF(Raw_Bookings!$A$2:$A$648,Raw_Passengers!B338)=0,1,0)</f>
        <v>0</v>
      </c>
      <c r="E338" s="7">
        <f>IF(OR(C338=1,D338=1),0,IF(NOT(ISNUMBER(Raw_Passengers!E338)),1,IF(Raw_Passengers!E338&lt;=0,1,0)))</f>
        <v>0</v>
      </c>
      <c r="F338" s="7">
        <f>IF(AND(C338=0,D338=0,TRIM(Raw_Passengers!D338&amp;"")=""),1,0)</f>
        <v>0</v>
      </c>
      <c r="G338" s="7">
        <f>IF(SUMPRODUCT(--(Lookup_Status!$A$2:$A$13=LOWER(TRIM(Raw_Passengers!F338))))=0,"",INDEX(Lookup_Status!$B$2:$B$13,SUMPRODUCT((Lookup_Status!$A$2:$A$13=LOWER(TRIM(Raw_Passengers!F338)))*(ROW(Lookup_Status!$A$2:$A$13)-1))))</f>
        <v/>
      </c>
      <c r="H338" s="7" t="str">
        <f>IF(SUMPRODUCT(--(Lookup_Status!$A$2:$A$13=LOWER(TRIM(Raw_Passengers!G338))))=0,"",INDEX(Lookup_Status!$B$2:$B$13,SUMPRODUCT((Lookup_Status!$A$2:$A$13=LOWER(TRIM(Raw_Passengers!G338)))*(ROW(Lookup_Status!$A$2:$A$13)-1))))</f>
        <v>Confirmed</v>
      </c>
      <c r="I338" s="7">
        <f>IF(OR(G338="",G338="Cancelled",G338="Mixed"),1,0)</f>
        <v>1</v>
      </c>
      <c r="J338" s="7">
        <f>IF(OR(H338="",H338="Mixed"),1,0)</f>
        <v>0</v>
      </c>
      <c r="K338" s="7">
        <f>IF(AND(C338=0,D338=0),IF(OR(AND(I338=0,NOT(EXACT(Raw_Passengers!F338,G338))),AND(J338=0,NOT(EXACT(Raw_Passengers!G338,H338)))),1,0),0)</f>
        <v>0</v>
      </c>
      <c r="L338" s="7">
        <f>IF(AND(C338=0,D338=0,I338=1),1,0)</f>
        <v>1</v>
      </c>
      <c r="M338" s="7">
        <f>IF(AND(C338=0,D338=0,J338=1),1,0)</f>
        <v>0</v>
      </c>
    </row>
    <row r="339" spans="1:13">
      <c r="A339" s="7">
        <f>Raw_Passengers!A339</f>
        <v>115458</v>
      </c>
      <c r="B339" s="7">
        <f>Raw_Passengers!B339</f>
        <v>1057195</v>
      </c>
      <c r="C339" s="7">
        <f>IF(COUNTIF(Raw_Passengers!$A$2:A339,Raw_Passengers!A339)&gt;1,1,0)</f>
        <v>0</v>
      </c>
      <c r="D339" s="7">
        <f>IF(COUNTIF(Raw_Bookings!$A$2:$A$648,Raw_Passengers!B339)=0,1,0)</f>
        <v>0</v>
      </c>
      <c r="E339" s="7">
        <f>IF(OR(C339=1,D339=1),0,IF(NOT(ISNUMBER(Raw_Passengers!E339)),1,IF(Raw_Passengers!E339&lt;=0,1,0)))</f>
        <v>0</v>
      </c>
      <c r="F339" s="7">
        <f>IF(AND(C339=0,D339=0,TRIM(Raw_Passengers!D339&amp;"")=""),1,0)</f>
        <v>0</v>
      </c>
      <c r="G339" s="7" t="str">
        <f>IF(SUMPRODUCT(--(Lookup_Status!$A$2:$A$13=LOWER(TRIM(Raw_Passengers!F339))))=0,"",INDEX(Lookup_Status!$B$2:$B$13,SUMPRODUCT((Lookup_Status!$A$2:$A$13=LOWER(TRIM(Raw_Passengers!F339)))*(ROW(Lookup_Status!$A$2:$A$13)-1))))</f>
        <v>Waitlisted</v>
      </c>
      <c r="H339" s="7" t="str">
        <f>IF(SUMPRODUCT(--(Lookup_Status!$A$2:$A$13=LOWER(TRIM(Raw_Passengers!G339))))=0,"",INDEX(Lookup_Status!$B$2:$B$13,SUMPRODUCT((Lookup_Status!$A$2:$A$13=LOWER(TRIM(Raw_Passengers!G339)))*(ROW(Lookup_Status!$A$2:$A$13)-1))))</f>
        <v>Waitlisted</v>
      </c>
      <c r="I339" s="7">
        <f>IF(OR(G339="",G339="Cancelled",G339="Mixed"),1,0)</f>
        <v>0</v>
      </c>
      <c r="J339" s="7">
        <f>IF(OR(H339="",H339="Mixed"),1,0)</f>
        <v>0</v>
      </c>
      <c r="K339" s="7">
        <f>IF(AND(C339=0,D339=0),IF(OR(AND(I339=0,NOT(EXACT(Raw_Passengers!F339,G339))),AND(J339=0,NOT(EXACT(Raw_Passengers!G339,H339)))),1,0),0)</f>
        <v>0</v>
      </c>
      <c r="L339" s="7">
        <f>IF(AND(C339=0,D339=0,I339=1),1,0)</f>
        <v>0</v>
      </c>
      <c r="M339" s="7">
        <f>IF(AND(C339=0,D339=0,J339=1),1,0)</f>
        <v>0</v>
      </c>
    </row>
    <row r="340" spans="1:13">
      <c r="A340" s="7">
        <f>Raw_Passengers!A340</f>
        <v>115459</v>
      </c>
      <c r="B340" s="7">
        <f>Raw_Passengers!B340</f>
        <v>1057195</v>
      </c>
      <c r="C340" s="7">
        <f>IF(COUNTIF(Raw_Passengers!$A$2:A340,Raw_Passengers!A340)&gt;1,1,0)</f>
        <v>0</v>
      </c>
      <c r="D340" s="7">
        <f>IF(COUNTIF(Raw_Bookings!$A$2:$A$648,Raw_Passengers!B340)=0,1,0)</f>
        <v>0</v>
      </c>
      <c r="E340" s="7">
        <f>IF(OR(C340=1,D340=1),0,IF(NOT(ISNUMBER(Raw_Passengers!E340)),1,IF(Raw_Passengers!E340&lt;=0,1,0)))</f>
        <v>0</v>
      </c>
      <c r="F340" s="7">
        <f>IF(AND(C340=0,D340=0,TRIM(Raw_Passengers!D340&amp;"")=""),1,0)</f>
        <v>0</v>
      </c>
      <c r="G340" s="7" t="str">
        <f>IF(SUMPRODUCT(--(Lookup_Status!$A$2:$A$13=LOWER(TRIM(Raw_Passengers!F340))))=0,"",INDEX(Lookup_Status!$B$2:$B$13,SUMPRODUCT((Lookup_Status!$A$2:$A$13=LOWER(TRIM(Raw_Passengers!F340)))*(ROW(Lookup_Status!$A$2:$A$13)-1))))</f>
        <v>Waitlisted</v>
      </c>
      <c r="H340" s="7" t="str">
        <f>IF(SUMPRODUCT(--(Lookup_Status!$A$2:$A$13=LOWER(TRIM(Raw_Passengers!G340))))=0,"",INDEX(Lookup_Status!$B$2:$B$13,SUMPRODUCT((Lookup_Status!$A$2:$A$13=LOWER(TRIM(Raw_Passengers!G340)))*(ROW(Lookup_Status!$A$2:$A$13)-1))))</f>
        <v>Waitlisted</v>
      </c>
      <c r="I340" s="7">
        <f>IF(OR(G340="",G340="Cancelled",G340="Mixed"),1,0)</f>
        <v>0</v>
      </c>
      <c r="J340" s="7">
        <f>IF(OR(H340="",H340="Mixed"),1,0)</f>
        <v>0</v>
      </c>
      <c r="K340" s="7">
        <f>IF(AND(C340=0,D340=0),IF(OR(AND(I340=0,NOT(EXACT(Raw_Passengers!F340,G340))),AND(J340=0,NOT(EXACT(Raw_Passengers!G340,H340)))),1,0),0)</f>
        <v>0</v>
      </c>
      <c r="L340" s="7">
        <f>IF(AND(C340=0,D340=0,I340=1),1,0)</f>
        <v>0</v>
      </c>
      <c r="M340" s="7">
        <f>IF(AND(C340=0,D340=0,J340=1),1,0)</f>
        <v>0</v>
      </c>
    </row>
    <row r="341" spans="1:13">
      <c r="A341" s="7">
        <f>Raw_Passengers!A341</f>
        <v>115965</v>
      </c>
      <c r="B341" s="7">
        <f>Raw_Passengers!B341</f>
        <v>1057459</v>
      </c>
      <c r="C341" s="7">
        <f>IF(COUNTIF(Raw_Passengers!$A$2:A341,Raw_Passengers!A341)&gt;1,1,0)</f>
        <v>0</v>
      </c>
      <c r="D341" s="7">
        <f>IF(COUNTIF(Raw_Bookings!$A$2:$A$648,Raw_Passengers!B341)=0,1,0)</f>
        <v>0</v>
      </c>
      <c r="E341" s="7">
        <f>IF(OR(C341=1,D341=1),0,IF(NOT(ISNUMBER(Raw_Passengers!E341)),1,IF(Raw_Passengers!E341&lt;=0,1,0)))</f>
        <v>0</v>
      </c>
      <c r="F341" s="7">
        <f>IF(AND(C341=0,D341=0,TRIM(Raw_Passengers!D341&amp;"")=""),1,0)</f>
        <v>0</v>
      </c>
      <c r="G341" s="7" t="str">
        <f>IF(SUMPRODUCT(--(Lookup_Status!$A$2:$A$13=LOWER(TRIM(Raw_Passengers!F341))))=0,"",INDEX(Lookup_Status!$B$2:$B$13,SUMPRODUCT((Lookup_Status!$A$2:$A$13=LOWER(TRIM(Raw_Passengers!F341)))*(ROW(Lookup_Status!$A$2:$A$13)-1))))</f>
        <v>Confirmed</v>
      </c>
      <c r="H341" s="7" t="str">
        <f>IF(SUMPRODUCT(--(Lookup_Status!$A$2:$A$13=LOWER(TRIM(Raw_Passengers!G341))))=0,"",INDEX(Lookup_Status!$B$2:$B$13,SUMPRODUCT((Lookup_Status!$A$2:$A$13=LOWER(TRIM(Raw_Passengers!G341)))*(ROW(Lookup_Status!$A$2:$A$13)-1))))</f>
        <v>Confirmed</v>
      </c>
      <c r="I341" s="7">
        <f>IF(OR(G341="",G341="Cancelled",G341="Mixed"),1,0)</f>
        <v>0</v>
      </c>
      <c r="J341" s="7">
        <f>IF(OR(H341="",H341="Mixed"),1,0)</f>
        <v>0</v>
      </c>
      <c r="K341" s="7">
        <f>IF(AND(C341=0,D341=0),IF(OR(AND(I341=0,NOT(EXACT(Raw_Passengers!F341,G341))),AND(J341=0,NOT(EXACT(Raw_Passengers!G341,H341)))),1,0),0)</f>
        <v>0</v>
      </c>
      <c r="L341" s="7">
        <f>IF(AND(C341=0,D341=0,I341=1),1,0)</f>
        <v>0</v>
      </c>
      <c r="M341" s="7">
        <f>IF(AND(C341=0,D341=0,J341=1),1,0)</f>
        <v>0</v>
      </c>
    </row>
    <row r="342" spans="1:13">
      <c r="A342" s="7">
        <f>Raw_Passengers!A342</f>
        <v>116691</v>
      </c>
      <c r="B342" s="7">
        <f>Raw_Passengers!B342</f>
        <v>1057808</v>
      </c>
      <c r="C342" s="7">
        <f>IF(COUNTIF(Raw_Passengers!$A$2:A342,Raw_Passengers!A342)&gt;1,1,0)</f>
        <v>0</v>
      </c>
      <c r="D342" s="7">
        <f>IF(COUNTIF(Raw_Bookings!$A$2:$A$648,Raw_Passengers!B342)=0,1,0)</f>
        <v>0</v>
      </c>
      <c r="E342" s="7">
        <f>IF(OR(C342=1,D342=1),0,IF(NOT(ISNUMBER(Raw_Passengers!E342)),1,IF(Raw_Passengers!E342&lt;=0,1,0)))</f>
        <v>0</v>
      </c>
      <c r="F342" s="7">
        <f>IF(AND(C342=0,D342=0,TRIM(Raw_Passengers!D342&amp;"")=""),1,0)</f>
        <v>0</v>
      </c>
      <c r="G342" s="7" t="str">
        <f>IF(SUMPRODUCT(--(Lookup_Status!$A$2:$A$13=LOWER(TRIM(Raw_Passengers!F342))))=0,"",INDEX(Lookup_Status!$B$2:$B$13,SUMPRODUCT((Lookup_Status!$A$2:$A$13=LOWER(TRIM(Raw_Passengers!F342)))*(ROW(Lookup_Status!$A$2:$A$13)-1))))</f>
        <v>Confirmed</v>
      </c>
      <c r="H342" s="7" t="str">
        <f>IF(SUMPRODUCT(--(Lookup_Status!$A$2:$A$13=LOWER(TRIM(Raw_Passengers!G342))))=0,"",INDEX(Lookup_Status!$B$2:$B$13,SUMPRODUCT((Lookup_Status!$A$2:$A$13=LOWER(TRIM(Raw_Passengers!G342)))*(ROW(Lookup_Status!$A$2:$A$13)-1))))</f>
        <v>Confirmed</v>
      </c>
      <c r="I342" s="7">
        <f>IF(OR(G342="",G342="Cancelled",G342="Mixed"),1,0)</f>
        <v>0</v>
      </c>
      <c r="J342" s="7">
        <f>IF(OR(H342="",H342="Mixed"),1,0)</f>
        <v>0</v>
      </c>
      <c r="K342" s="7">
        <f>IF(AND(C342=0,D342=0),IF(OR(AND(I342=0,NOT(EXACT(Raw_Passengers!F342,G342))),AND(J342=0,NOT(EXACT(Raw_Passengers!G342,H342)))),1,0),0)</f>
        <v>0</v>
      </c>
      <c r="L342" s="7">
        <f>IF(AND(C342=0,D342=0,I342=1),1,0)</f>
        <v>0</v>
      </c>
      <c r="M342" s="7">
        <f>IF(AND(C342=0,D342=0,J342=1),1,0)</f>
        <v>0</v>
      </c>
    </row>
    <row r="343" spans="1:13">
      <c r="A343" s="7">
        <f>Raw_Passengers!A343</f>
        <v>117125</v>
      </c>
      <c r="B343" s="7">
        <f>Raw_Passengers!B343</f>
        <v>1058027</v>
      </c>
      <c r="C343" s="7">
        <f>IF(COUNTIF(Raw_Passengers!$A$2:A343,Raw_Passengers!A343)&gt;1,1,0)</f>
        <v>0</v>
      </c>
      <c r="D343" s="7">
        <f>IF(COUNTIF(Raw_Bookings!$A$2:$A$648,Raw_Passengers!B343)=0,1,0)</f>
        <v>0</v>
      </c>
      <c r="E343" s="7">
        <f>IF(OR(C343=1,D343=1),0,IF(NOT(ISNUMBER(Raw_Passengers!E343)),1,IF(Raw_Passengers!E343&lt;=0,1,0)))</f>
        <v>0</v>
      </c>
      <c r="F343" s="7">
        <f>IF(AND(C343=0,D343=0,TRIM(Raw_Passengers!D343&amp;"")=""),1,0)</f>
        <v>0</v>
      </c>
      <c r="G343" s="7" t="str">
        <f>IF(SUMPRODUCT(--(Lookup_Status!$A$2:$A$13=LOWER(TRIM(Raw_Passengers!F343))))=0,"",INDEX(Lookup_Status!$B$2:$B$13,SUMPRODUCT((Lookup_Status!$A$2:$A$13=LOWER(TRIM(Raw_Passengers!F343)))*(ROW(Lookup_Status!$A$2:$A$13)-1))))</f>
        <v>RAC</v>
      </c>
      <c r="H343" s="7" t="str">
        <f>IF(SUMPRODUCT(--(Lookup_Status!$A$2:$A$13=LOWER(TRIM(Raw_Passengers!G343))))=0,"",INDEX(Lookup_Status!$B$2:$B$13,SUMPRODUCT((Lookup_Status!$A$2:$A$13=LOWER(TRIM(Raw_Passengers!G343)))*(ROW(Lookup_Status!$A$2:$A$13)-1))))</f>
        <v>Cancelled</v>
      </c>
      <c r="I343" s="7">
        <f>IF(OR(G343="",G343="Cancelled",G343="Mixed"),1,0)</f>
        <v>0</v>
      </c>
      <c r="J343" s="7">
        <f>IF(OR(H343="",H343="Mixed"),1,0)</f>
        <v>0</v>
      </c>
      <c r="K343" s="7">
        <f>IF(AND(C343=0,D343=0),IF(OR(AND(I343=0,NOT(EXACT(Raw_Passengers!F343,G343))),AND(J343=0,NOT(EXACT(Raw_Passengers!G343,H343)))),1,0),0)</f>
        <v>0</v>
      </c>
      <c r="L343" s="7">
        <f>IF(AND(C343=0,D343=0,I343=1),1,0)</f>
        <v>0</v>
      </c>
      <c r="M343" s="7">
        <f>IF(AND(C343=0,D343=0,J343=1),1,0)</f>
        <v>0</v>
      </c>
    </row>
    <row r="344" spans="1:13">
      <c r="A344" s="7">
        <f>Raw_Passengers!A344</f>
        <v>117126</v>
      </c>
      <c r="B344" s="7">
        <f>Raw_Passengers!B344</f>
        <v>1058027</v>
      </c>
      <c r="C344" s="7">
        <f>IF(COUNTIF(Raw_Passengers!$A$2:A344,Raw_Passengers!A344)&gt;1,1,0)</f>
        <v>0</v>
      </c>
      <c r="D344" s="7">
        <f>IF(COUNTIF(Raw_Bookings!$A$2:$A$648,Raw_Passengers!B344)=0,1,0)</f>
        <v>0</v>
      </c>
      <c r="E344" s="7">
        <f>IF(OR(C344=1,D344=1),0,IF(NOT(ISNUMBER(Raw_Passengers!E344)),1,IF(Raw_Passengers!E344&lt;=0,1,0)))</f>
        <v>0</v>
      </c>
      <c r="F344" s="7">
        <f>IF(AND(C344=0,D344=0,TRIM(Raw_Passengers!D344&amp;"")=""),1,0)</f>
        <v>0</v>
      </c>
      <c r="G344" s="7" t="str">
        <f>IF(SUMPRODUCT(--(Lookup_Status!$A$2:$A$13=LOWER(TRIM(Raw_Passengers!F344))))=0,"",INDEX(Lookup_Status!$B$2:$B$13,SUMPRODUCT((Lookup_Status!$A$2:$A$13=LOWER(TRIM(Raw_Passengers!F344)))*(ROW(Lookup_Status!$A$2:$A$13)-1))))</f>
        <v>RAC</v>
      </c>
      <c r="H344" s="7" t="str">
        <f>IF(SUMPRODUCT(--(Lookup_Status!$A$2:$A$13=LOWER(TRIM(Raw_Passengers!G344))))=0,"",INDEX(Lookup_Status!$B$2:$B$13,SUMPRODUCT((Lookup_Status!$A$2:$A$13=LOWER(TRIM(Raw_Passengers!G344)))*(ROW(Lookup_Status!$A$2:$A$13)-1))))</f>
        <v>Cancelled</v>
      </c>
      <c r="I344" s="7">
        <f>IF(OR(G344="",G344="Cancelled",G344="Mixed"),1,0)</f>
        <v>0</v>
      </c>
      <c r="J344" s="7">
        <f>IF(OR(H344="",H344="Mixed"),1,0)</f>
        <v>0</v>
      </c>
      <c r="K344" s="7">
        <f>IF(AND(C344=0,D344=0),IF(OR(AND(I344=0,NOT(EXACT(Raw_Passengers!F344,G344))),AND(J344=0,NOT(EXACT(Raw_Passengers!G344,H344)))),1,0),0)</f>
        <v>0</v>
      </c>
      <c r="L344" s="7">
        <f>IF(AND(C344=0,D344=0,I344=1),1,0)</f>
        <v>0</v>
      </c>
      <c r="M344" s="7">
        <f>IF(AND(C344=0,D344=0,J344=1),1,0)</f>
        <v>0</v>
      </c>
    </row>
    <row r="345" spans="1:13">
      <c r="A345" s="7">
        <f>Raw_Passengers!A345</f>
        <v>117127</v>
      </c>
      <c r="B345" s="7">
        <f>Raw_Passengers!B345</f>
        <v>1058027</v>
      </c>
      <c r="C345" s="7">
        <f>IF(COUNTIF(Raw_Passengers!$A$2:A345,Raw_Passengers!A345)&gt;1,1,0)</f>
        <v>0</v>
      </c>
      <c r="D345" s="7">
        <f>IF(COUNTIF(Raw_Bookings!$A$2:$A$648,Raw_Passengers!B345)=0,1,0)</f>
        <v>0</v>
      </c>
      <c r="E345" s="7">
        <f>IF(OR(C345=1,D345=1),0,IF(NOT(ISNUMBER(Raw_Passengers!E345)),1,IF(Raw_Passengers!E345&lt;=0,1,0)))</f>
        <v>0</v>
      </c>
      <c r="F345" s="7">
        <f>IF(AND(C345=0,D345=0,TRIM(Raw_Passengers!D345&amp;"")=""),1,0)</f>
        <v>0</v>
      </c>
      <c r="G345" s="7" t="str">
        <f>IF(SUMPRODUCT(--(Lookup_Status!$A$2:$A$13=LOWER(TRIM(Raw_Passengers!F345))))=0,"",INDEX(Lookup_Status!$B$2:$B$13,SUMPRODUCT((Lookup_Status!$A$2:$A$13=LOWER(TRIM(Raw_Passengers!F345)))*(ROW(Lookup_Status!$A$2:$A$13)-1))))</f>
        <v>RAC</v>
      </c>
      <c r="H345" s="7" t="str">
        <f>IF(SUMPRODUCT(--(Lookup_Status!$A$2:$A$13=LOWER(TRIM(Raw_Passengers!G345))))=0,"",INDEX(Lookup_Status!$B$2:$B$13,SUMPRODUCT((Lookup_Status!$A$2:$A$13=LOWER(TRIM(Raw_Passengers!G345)))*(ROW(Lookup_Status!$A$2:$A$13)-1))))</f>
        <v>Cancelled</v>
      </c>
      <c r="I345" s="7">
        <f>IF(OR(G345="",G345="Cancelled",G345="Mixed"),1,0)</f>
        <v>0</v>
      </c>
      <c r="J345" s="7">
        <f>IF(OR(H345="",H345="Mixed"),1,0)</f>
        <v>0</v>
      </c>
      <c r="K345" s="7">
        <f>IF(AND(C345=0,D345=0),IF(OR(AND(I345=0,NOT(EXACT(Raw_Passengers!F345,G345))),AND(J345=0,NOT(EXACT(Raw_Passengers!G345,H345)))),1,0),0)</f>
        <v>0</v>
      </c>
      <c r="L345" s="7">
        <f>IF(AND(C345=0,D345=0,I345=1),1,0)</f>
        <v>0</v>
      </c>
      <c r="M345" s="7">
        <f>IF(AND(C345=0,D345=0,J345=1),1,0)</f>
        <v>0</v>
      </c>
    </row>
    <row r="346" spans="1:13">
      <c r="A346" s="7">
        <f>Raw_Passengers!A346</f>
        <v>117689</v>
      </c>
      <c r="B346" s="7">
        <f>Raw_Passengers!B346</f>
        <v>1058296</v>
      </c>
      <c r="C346" s="7">
        <f>IF(COUNTIF(Raw_Passengers!$A$2:A346,Raw_Passengers!A346)&gt;1,1,0)</f>
        <v>0</v>
      </c>
      <c r="D346" s="7">
        <f>IF(COUNTIF(Raw_Bookings!$A$2:$A$648,Raw_Passengers!B346)=0,1,0)</f>
        <v>0</v>
      </c>
      <c r="E346" s="7">
        <f>IF(OR(C346=1,D346=1),0,IF(NOT(ISNUMBER(Raw_Passengers!E346)),1,IF(Raw_Passengers!E346&lt;=0,1,0)))</f>
        <v>0</v>
      </c>
      <c r="F346" s="7">
        <f>IF(AND(C346=0,D346=0,TRIM(Raw_Passengers!D346&amp;"")=""),1,0)</f>
        <v>0</v>
      </c>
      <c r="G346" s="7" t="str">
        <f>IF(SUMPRODUCT(--(Lookup_Status!$A$2:$A$13=LOWER(TRIM(Raw_Passengers!F346))))=0,"",INDEX(Lookup_Status!$B$2:$B$13,SUMPRODUCT((Lookup_Status!$A$2:$A$13=LOWER(TRIM(Raw_Passengers!F346)))*(ROW(Lookup_Status!$A$2:$A$13)-1))))</f>
        <v>Confirmed</v>
      </c>
      <c r="H346" s="7" t="str">
        <f>IF(SUMPRODUCT(--(Lookup_Status!$A$2:$A$13=LOWER(TRIM(Raw_Passengers!G346))))=0,"",INDEX(Lookup_Status!$B$2:$B$13,SUMPRODUCT((Lookup_Status!$A$2:$A$13=LOWER(TRIM(Raw_Passengers!G346)))*(ROW(Lookup_Status!$A$2:$A$13)-1))))</f>
        <v>Confirmed</v>
      </c>
      <c r="I346" s="7">
        <f>IF(OR(G346="",G346="Cancelled",G346="Mixed"),1,0)</f>
        <v>0</v>
      </c>
      <c r="J346" s="7">
        <f>IF(OR(H346="",H346="Mixed"),1,0)</f>
        <v>0</v>
      </c>
      <c r="K346" s="7">
        <f>IF(AND(C346=0,D346=0),IF(OR(AND(I346=0,NOT(EXACT(Raw_Passengers!F346,G346))),AND(J346=0,NOT(EXACT(Raw_Passengers!G346,H346)))),1,0),0)</f>
        <v>0</v>
      </c>
      <c r="L346" s="7">
        <f>IF(AND(C346=0,D346=0,I346=1),1,0)</f>
        <v>0</v>
      </c>
      <c r="M346" s="7">
        <f>IF(AND(C346=0,D346=0,J346=1),1,0)</f>
        <v>0</v>
      </c>
    </row>
    <row r="347" spans="1:13">
      <c r="A347" s="7">
        <f>Raw_Passengers!A347</f>
        <v>118896</v>
      </c>
      <c r="B347" s="7">
        <f>Raw_Passengers!B347</f>
        <v>1058903</v>
      </c>
      <c r="C347" s="7">
        <f>IF(COUNTIF(Raw_Passengers!$A$2:A347,Raw_Passengers!A347)&gt;1,1,0)</f>
        <v>0</v>
      </c>
      <c r="D347" s="7">
        <f>IF(COUNTIF(Raw_Bookings!$A$2:$A$648,Raw_Passengers!B347)=0,1,0)</f>
        <v>0</v>
      </c>
      <c r="E347" s="7">
        <f>IF(OR(C347=1,D347=1),0,IF(NOT(ISNUMBER(Raw_Passengers!E347)),1,IF(Raw_Passengers!E347&lt;=0,1,0)))</f>
        <v>0</v>
      </c>
      <c r="F347" s="7">
        <f>IF(AND(C347=0,D347=0,TRIM(Raw_Passengers!D347&amp;"")=""),1,0)</f>
        <v>0</v>
      </c>
      <c r="G347" s="7" t="str">
        <f>IF(SUMPRODUCT(--(Lookup_Status!$A$2:$A$13=LOWER(TRIM(Raw_Passengers!F347))))=0,"",INDEX(Lookup_Status!$B$2:$B$13,SUMPRODUCT((Lookup_Status!$A$2:$A$13=LOWER(TRIM(Raw_Passengers!F347)))*(ROW(Lookup_Status!$A$2:$A$13)-1))))</f>
        <v>Confirmed</v>
      </c>
      <c r="H347" s="7" t="str">
        <f>IF(SUMPRODUCT(--(Lookup_Status!$A$2:$A$13=LOWER(TRIM(Raw_Passengers!G347))))=0,"",INDEX(Lookup_Status!$B$2:$B$13,SUMPRODUCT((Lookup_Status!$A$2:$A$13=LOWER(TRIM(Raw_Passengers!G347)))*(ROW(Lookup_Status!$A$2:$A$13)-1))))</f>
        <v>Confirmed</v>
      </c>
      <c r="I347" s="7">
        <f>IF(OR(G347="",G347="Cancelled",G347="Mixed"),1,0)</f>
        <v>0</v>
      </c>
      <c r="J347" s="7">
        <f>IF(OR(H347="",H347="Mixed"),1,0)</f>
        <v>0</v>
      </c>
      <c r="K347" s="7">
        <f>IF(AND(C347=0,D347=0),IF(OR(AND(I347=0,NOT(EXACT(Raw_Passengers!F347,G347))),AND(J347=0,NOT(EXACT(Raw_Passengers!G347,H347)))),1,0),0)</f>
        <v>0</v>
      </c>
      <c r="L347" s="7">
        <f>IF(AND(C347=0,D347=0,I347=1),1,0)</f>
        <v>0</v>
      </c>
      <c r="M347" s="7">
        <f>IF(AND(C347=0,D347=0,J347=1),1,0)</f>
        <v>0</v>
      </c>
    </row>
    <row r="348" spans="1:13">
      <c r="A348" s="7">
        <f>Raw_Passengers!A348</f>
        <v>118897</v>
      </c>
      <c r="B348" s="7">
        <f>Raw_Passengers!B348</f>
        <v>1058903</v>
      </c>
      <c r="C348" s="7">
        <f>IF(COUNTIF(Raw_Passengers!$A$2:A348,Raw_Passengers!A348)&gt;1,1,0)</f>
        <v>0</v>
      </c>
      <c r="D348" s="7">
        <f>IF(COUNTIF(Raw_Bookings!$A$2:$A$648,Raw_Passengers!B348)=0,1,0)</f>
        <v>0</v>
      </c>
      <c r="E348" s="7">
        <f>IF(OR(C348=1,D348=1),0,IF(NOT(ISNUMBER(Raw_Passengers!E348)),1,IF(Raw_Passengers!E348&lt;=0,1,0)))</f>
        <v>0</v>
      </c>
      <c r="F348" s="7">
        <f>IF(AND(C348=0,D348=0,TRIM(Raw_Passengers!D348&amp;"")=""),1,0)</f>
        <v>0</v>
      </c>
      <c r="G348" s="7" t="str">
        <f>IF(SUMPRODUCT(--(Lookup_Status!$A$2:$A$13=LOWER(TRIM(Raw_Passengers!F348))))=0,"",INDEX(Lookup_Status!$B$2:$B$13,SUMPRODUCT((Lookup_Status!$A$2:$A$13=LOWER(TRIM(Raw_Passengers!F348)))*(ROW(Lookup_Status!$A$2:$A$13)-1))))</f>
        <v>Confirmed</v>
      </c>
      <c r="H348" s="7" t="str">
        <f>IF(SUMPRODUCT(--(Lookup_Status!$A$2:$A$13=LOWER(TRIM(Raw_Passengers!G348))))=0,"",INDEX(Lookup_Status!$B$2:$B$13,SUMPRODUCT((Lookup_Status!$A$2:$A$13=LOWER(TRIM(Raw_Passengers!G348)))*(ROW(Lookup_Status!$A$2:$A$13)-1))))</f>
        <v>Confirmed</v>
      </c>
      <c r="I348" s="7">
        <f>IF(OR(G348="",G348="Cancelled",G348="Mixed"),1,0)</f>
        <v>0</v>
      </c>
      <c r="J348" s="7">
        <f>IF(OR(H348="",H348="Mixed"),1,0)</f>
        <v>0</v>
      </c>
      <c r="K348" s="7">
        <f>IF(AND(C348=0,D348=0),IF(OR(AND(I348=0,NOT(EXACT(Raw_Passengers!F348,G348))),AND(J348=0,NOT(EXACT(Raw_Passengers!G348,H348)))),1,0),0)</f>
        <v>0</v>
      </c>
      <c r="L348" s="7">
        <f>IF(AND(C348=0,D348=0,I348=1),1,0)</f>
        <v>0</v>
      </c>
      <c r="M348" s="7">
        <f>IF(AND(C348=0,D348=0,J348=1),1,0)</f>
        <v>0</v>
      </c>
    </row>
    <row r="349" spans="1:13">
      <c r="A349" s="7">
        <f>Raw_Passengers!A349</f>
        <v>119496</v>
      </c>
      <c r="B349" s="7">
        <f>Raw_Passengers!B349</f>
        <v>1059208</v>
      </c>
      <c r="C349" s="7">
        <f>IF(COUNTIF(Raw_Passengers!$A$2:A349,Raw_Passengers!A349)&gt;1,1,0)</f>
        <v>0</v>
      </c>
      <c r="D349" s="7">
        <f>IF(COUNTIF(Raw_Bookings!$A$2:$A$648,Raw_Passengers!B349)=0,1,0)</f>
        <v>0</v>
      </c>
      <c r="E349" s="7">
        <f>IF(OR(C349=1,D349=1),0,IF(NOT(ISNUMBER(Raw_Passengers!E349)),1,IF(Raw_Passengers!E349&lt;=0,1,0)))</f>
        <v>0</v>
      </c>
      <c r="F349" s="7">
        <f>IF(AND(C349=0,D349=0,TRIM(Raw_Passengers!D349&amp;"")=""),1,0)</f>
        <v>0</v>
      </c>
      <c r="G349" s="7" t="str">
        <f>IF(SUMPRODUCT(--(Lookup_Status!$A$2:$A$13=LOWER(TRIM(Raw_Passengers!F349))))=0,"",INDEX(Lookup_Status!$B$2:$B$13,SUMPRODUCT((Lookup_Status!$A$2:$A$13=LOWER(TRIM(Raw_Passengers!F349)))*(ROW(Lookup_Status!$A$2:$A$13)-1))))</f>
        <v>Confirmed</v>
      </c>
      <c r="H349" s="7" t="str">
        <f>IF(SUMPRODUCT(--(Lookup_Status!$A$2:$A$13=LOWER(TRIM(Raw_Passengers!G349))))=0,"",INDEX(Lookup_Status!$B$2:$B$13,SUMPRODUCT((Lookup_Status!$A$2:$A$13=LOWER(TRIM(Raw_Passengers!G349)))*(ROW(Lookup_Status!$A$2:$A$13)-1))))</f>
        <v>Confirmed</v>
      </c>
      <c r="I349" s="7">
        <f>IF(OR(G349="",G349="Cancelled",G349="Mixed"),1,0)</f>
        <v>0</v>
      </c>
      <c r="J349" s="7">
        <f>IF(OR(H349="",H349="Mixed"),1,0)</f>
        <v>0</v>
      </c>
      <c r="K349" s="7">
        <f>IF(AND(C349=0,D349=0),IF(OR(AND(I349=0,NOT(EXACT(Raw_Passengers!F349,G349))),AND(J349=0,NOT(EXACT(Raw_Passengers!G349,H349)))),1,0),0)</f>
        <v>0</v>
      </c>
      <c r="L349" s="7">
        <f>IF(AND(C349=0,D349=0,I349=1),1,0)</f>
        <v>0</v>
      </c>
      <c r="M349" s="7">
        <f>IF(AND(C349=0,D349=0,J349=1),1,0)</f>
        <v>0</v>
      </c>
    </row>
    <row r="350" spans="1:13">
      <c r="A350" s="7">
        <f>Raw_Passengers!A350</f>
        <v>119841</v>
      </c>
      <c r="B350" s="7">
        <f>Raw_Passengers!B350</f>
        <v>1059369</v>
      </c>
      <c r="C350" s="7">
        <f>IF(COUNTIF(Raw_Passengers!$A$2:A350,Raw_Passengers!A350)&gt;1,1,0)</f>
        <v>0</v>
      </c>
      <c r="D350" s="7">
        <f>IF(COUNTIF(Raw_Bookings!$A$2:$A$648,Raw_Passengers!B350)=0,1,0)</f>
        <v>0</v>
      </c>
      <c r="E350" s="7">
        <f>IF(OR(C350=1,D350=1),0,IF(NOT(ISNUMBER(Raw_Passengers!E350)),1,IF(Raw_Passengers!E350&lt;=0,1,0)))</f>
        <v>0</v>
      </c>
      <c r="F350" s="7">
        <f>IF(AND(C350=0,D350=0,TRIM(Raw_Passengers!D350&amp;"")=""),1,0)</f>
        <v>0</v>
      </c>
      <c r="G350" s="7" t="str">
        <f>IF(SUMPRODUCT(--(Lookup_Status!$A$2:$A$13=LOWER(TRIM(Raw_Passengers!F350))))=0,"",INDEX(Lookup_Status!$B$2:$B$13,SUMPRODUCT((Lookup_Status!$A$2:$A$13=LOWER(TRIM(Raw_Passengers!F350)))*(ROW(Lookup_Status!$A$2:$A$13)-1))))</f>
        <v>Confirmed</v>
      </c>
      <c r="H350" s="7" t="str">
        <f>IF(SUMPRODUCT(--(Lookup_Status!$A$2:$A$13=LOWER(TRIM(Raw_Passengers!G350))))=0,"",INDEX(Lookup_Status!$B$2:$B$13,SUMPRODUCT((Lookup_Status!$A$2:$A$13=LOWER(TRIM(Raw_Passengers!G350)))*(ROW(Lookup_Status!$A$2:$A$13)-1))))</f>
        <v>Confirmed</v>
      </c>
      <c r="I350" s="7">
        <f>IF(OR(G350="",G350="Cancelled",G350="Mixed"),1,0)</f>
        <v>0</v>
      </c>
      <c r="J350" s="7">
        <f>IF(OR(H350="",H350="Mixed"),1,0)</f>
        <v>0</v>
      </c>
      <c r="K350" s="7">
        <f>IF(AND(C350=0,D350=0),IF(OR(AND(I350=0,NOT(EXACT(Raw_Passengers!F350,G350))),AND(J350=0,NOT(EXACT(Raw_Passengers!G350,H350)))),1,0),0)</f>
        <v>0</v>
      </c>
      <c r="L350" s="7">
        <f>IF(AND(C350=0,D350=0,I350=1),1,0)</f>
        <v>0</v>
      </c>
      <c r="M350" s="7">
        <f>IF(AND(C350=0,D350=0,J350=1),1,0)</f>
        <v>0</v>
      </c>
    </row>
    <row r="351" spans="1:13">
      <c r="A351" s="7">
        <f>Raw_Passengers!A351</f>
        <v>119842</v>
      </c>
      <c r="B351" s="7">
        <f>Raw_Passengers!B351</f>
        <v>1059369</v>
      </c>
      <c r="C351" s="7">
        <f>IF(COUNTIF(Raw_Passengers!$A$2:A351,Raw_Passengers!A351)&gt;1,1,0)</f>
        <v>0</v>
      </c>
      <c r="D351" s="7">
        <f>IF(COUNTIF(Raw_Bookings!$A$2:$A$648,Raw_Passengers!B351)=0,1,0)</f>
        <v>0</v>
      </c>
      <c r="E351" s="7">
        <f>IF(OR(C351=1,D351=1),0,IF(NOT(ISNUMBER(Raw_Passengers!E351)),1,IF(Raw_Passengers!E351&lt;=0,1,0)))</f>
        <v>0</v>
      </c>
      <c r="F351" s="7">
        <f>IF(AND(C351=0,D351=0,TRIM(Raw_Passengers!D351&amp;"")=""),1,0)</f>
        <v>0</v>
      </c>
      <c r="G351" s="7" t="str">
        <f>IF(SUMPRODUCT(--(Lookup_Status!$A$2:$A$13=LOWER(TRIM(Raw_Passengers!F351))))=0,"",INDEX(Lookup_Status!$B$2:$B$13,SUMPRODUCT((Lookup_Status!$A$2:$A$13=LOWER(TRIM(Raw_Passengers!F351)))*(ROW(Lookup_Status!$A$2:$A$13)-1))))</f>
        <v>Confirmed</v>
      </c>
      <c r="H351" s="7" t="str">
        <f>IF(SUMPRODUCT(--(Lookup_Status!$A$2:$A$13=LOWER(TRIM(Raw_Passengers!G351))))=0,"",INDEX(Lookup_Status!$B$2:$B$13,SUMPRODUCT((Lookup_Status!$A$2:$A$13=LOWER(TRIM(Raw_Passengers!G351)))*(ROW(Lookup_Status!$A$2:$A$13)-1))))</f>
        <v>Confirmed</v>
      </c>
      <c r="I351" s="7">
        <f>IF(OR(G351="",G351="Cancelled",G351="Mixed"),1,0)</f>
        <v>0</v>
      </c>
      <c r="J351" s="7">
        <f>IF(OR(H351="",H351="Mixed"),1,0)</f>
        <v>0</v>
      </c>
      <c r="K351" s="7">
        <f>IF(AND(C351=0,D351=0),IF(OR(AND(I351=0,NOT(EXACT(Raw_Passengers!F351,G351))),AND(J351=0,NOT(EXACT(Raw_Passengers!G351,H351)))),1,0),0)</f>
        <v>0</v>
      </c>
      <c r="L351" s="7">
        <f>IF(AND(C351=0,D351=0,I351=1),1,0)</f>
        <v>0</v>
      </c>
      <c r="M351" s="7">
        <f>IF(AND(C351=0,D351=0,J351=1),1,0)</f>
        <v>0</v>
      </c>
    </row>
    <row r="352" spans="1:13">
      <c r="A352" s="7">
        <f>Raw_Passengers!A352</f>
        <v>120712</v>
      </c>
      <c r="B352" s="7">
        <f>Raw_Passengers!B352</f>
        <v>1059807</v>
      </c>
      <c r="C352" s="7">
        <f>IF(COUNTIF(Raw_Passengers!$A$2:A352,Raw_Passengers!A352)&gt;1,1,0)</f>
        <v>0</v>
      </c>
      <c r="D352" s="7">
        <f>IF(COUNTIF(Raw_Bookings!$A$2:$A$648,Raw_Passengers!B352)=0,1,0)</f>
        <v>0</v>
      </c>
      <c r="E352" s="7">
        <f>IF(OR(C352=1,D352=1),0,IF(NOT(ISNUMBER(Raw_Passengers!E352)),1,IF(Raw_Passengers!E352&lt;=0,1,0)))</f>
        <v>0</v>
      </c>
      <c r="F352" s="7">
        <f>IF(AND(C352=0,D352=0,TRIM(Raw_Passengers!D352&amp;"")=""),1,0)</f>
        <v>0</v>
      </c>
      <c r="G352" s="7" t="str">
        <f>IF(SUMPRODUCT(--(Lookup_Status!$A$2:$A$13=LOWER(TRIM(Raw_Passengers!F352))))=0,"",INDEX(Lookup_Status!$B$2:$B$13,SUMPRODUCT((Lookup_Status!$A$2:$A$13=LOWER(TRIM(Raw_Passengers!F352)))*(ROW(Lookup_Status!$A$2:$A$13)-1))))</f>
        <v>Confirmed</v>
      </c>
      <c r="H352" s="7" t="str">
        <f>IF(SUMPRODUCT(--(Lookup_Status!$A$2:$A$13=LOWER(TRIM(Raw_Passengers!G352))))=0,"",INDEX(Lookup_Status!$B$2:$B$13,SUMPRODUCT((Lookup_Status!$A$2:$A$13=LOWER(TRIM(Raw_Passengers!G352)))*(ROW(Lookup_Status!$A$2:$A$13)-1))))</f>
        <v>Confirmed</v>
      </c>
      <c r="I352" s="7">
        <f>IF(OR(G352="",G352="Cancelled",G352="Mixed"),1,0)</f>
        <v>0</v>
      </c>
      <c r="J352" s="7">
        <f>IF(OR(H352="",H352="Mixed"),1,0)</f>
        <v>0</v>
      </c>
      <c r="K352" s="7">
        <f>IF(AND(C352=0,D352=0),IF(OR(AND(I352=0,NOT(EXACT(Raw_Passengers!F352,G352))),AND(J352=0,NOT(EXACT(Raw_Passengers!G352,H352)))),1,0),0)</f>
        <v>0</v>
      </c>
      <c r="L352" s="7">
        <f>IF(AND(C352=0,D352=0,I352=1),1,0)</f>
        <v>0</v>
      </c>
      <c r="M352" s="7">
        <f>IF(AND(C352=0,D352=0,J352=1),1,0)</f>
        <v>0</v>
      </c>
    </row>
    <row r="353" spans="1:13">
      <c r="A353" s="7">
        <f>Raw_Passengers!A353</f>
        <v>120713</v>
      </c>
      <c r="B353" s="7">
        <f>Raw_Passengers!B353</f>
        <v>1059807</v>
      </c>
      <c r="C353" s="7">
        <f>IF(COUNTIF(Raw_Passengers!$A$2:A353,Raw_Passengers!A353)&gt;1,1,0)</f>
        <v>0</v>
      </c>
      <c r="D353" s="7">
        <f>IF(COUNTIF(Raw_Bookings!$A$2:$A$648,Raw_Passengers!B353)=0,1,0)</f>
        <v>0</v>
      </c>
      <c r="E353" s="7">
        <f>IF(OR(C353=1,D353=1),0,IF(NOT(ISNUMBER(Raw_Passengers!E353)),1,IF(Raw_Passengers!E353&lt;=0,1,0)))</f>
        <v>0</v>
      </c>
      <c r="F353" s="7">
        <f>IF(AND(C353=0,D353=0,TRIM(Raw_Passengers!D353&amp;"")=""),1,0)</f>
        <v>0</v>
      </c>
      <c r="G353" s="7" t="str">
        <f>IF(SUMPRODUCT(--(Lookup_Status!$A$2:$A$13=LOWER(TRIM(Raw_Passengers!F353))))=0,"",INDEX(Lookup_Status!$B$2:$B$13,SUMPRODUCT((Lookup_Status!$A$2:$A$13=LOWER(TRIM(Raw_Passengers!F353)))*(ROW(Lookup_Status!$A$2:$A$13)-1))))</f>
        <v>Confirmed</v>
      </c>
      <c r="H353" s="7" t="str">
        <f>IF(SUMPRODUCT(--(Lookup_Status!$A$2:$A$13=LOWER(TRIM(Raw_Passengers!G353))))=0,"",INDEX(Lookup_Status!$B$2:$B$13,SUMPRODUCT((Lookup_Status!$A$2:$A$13=LOWER(TRIM(Raw_Passengers!G353)))*(ROW(Lookup_Status!$A$2:$A$13)-1))))</f>
        <v>Confirmed</v>
      </c>
      <c r="I353" s="7">
        <f>IF(OR(G353="",G353="Cancelled",G353="Mixed"),1,0)</f>
        <v>0</v>
      </c>
      <c r="J353" s="7">
        <f>IF(OR(H353="",H353="Mixed"),1,0)</f>
        <v>0</v>
      </c>
      <c r="K353" s="7">
        <f>IF(AND(C353=0,D353=0),IF(OR(AND(I353=0,NOT(EXACT(Raw_Passengers!F353,G353))),AND(J353=0,NOT(EXACT(Raw_Passengers!G353,H353)))),1,0),0)</f>
        <v>0</v>
      </c>
      <c r="L353" s="7">
        <f>IF(AND(C353=0,D353=0,I353=1),1,0)</f>
        <v>0</v>
      </c>
      <c r="M353" s="7">
        <f>IF(AND(C353=0,D353=0,J353=1),1,0)</f>
        <v>0</v>
      </c>
    </row>
    <row r="354" spans="1:13">
      <c r="A354" s="7">
        <f>Raw_Passengers!A354</f>
        <v>120714</v>
      </c>
      <c r="B354" s="7">
        <f>Raw_Passengers!B354</f>
        <v>1059807</v>
      </c>
      <c r="C354" s="7">
        <f>IF(COUNTIF(Raw_Passengers!$A$2:A354,Raw_Passengers!A354)&gt;1,1,0)</f>
        <v>0</v>
      </c>
      <c r="D354" s="7">
        <f>IF(COUNTIF(Raw_Bookings!$A$2:$A$648,Raw_Passengers!B354)=0,1,0)</f>
        <v>0</v>
      </c>
      <c r="E354" s="7">
        <f>IF(OR(C354=1,D354=1),0,IF(NOT(ISNUMBER(Raw_Passengers!E354)),1,IF(Raw_Passengers!E354&lt;=0,1,0)))</f>
        <v>0</v>
      </c>
      <c r="F354" s="7">
        <f>IF(AND(C354=0,D354=0,TRIM(Raw_Passengers!D354&amp;"")=""),1,0)</f>
        <v>0</v>
      </c>
      <c r="G354" s="7" t="str">
        <f>IF(SUMPRODUCT(--(Lookup_Status!$A$2:$A$13=LOWER(TRIM(Raw_Passengers!F354))))=0,"",INDEX(Lookup_Status!$B$2:$B$13,SUMPRODUCT((Lookup_Status!$A$2:$A$13=LOWER(TRIM(Raw_Passengers!F354)))*(ROW(Lookup_Status!$A$2:$A$13)-1))))</f>
        <v>Confirmed</v>
      </c>
      <c r="H354" s="7" t="str">
        <f>IF(SUMPRODUCT(--(Lookup_Status!$A$2:$A$13=LOWER(TRIM(Raw_Passengers!G354))))=0,"",INDEX(Lookup_Status!$B$2:$B$13,SUMPRODUCT((Lookup_Status!$A$2:$A$13=LOWER(TRIM(Raw_Passengers!G354)))*(ROW(Lookup_Status!$A$2:$A$13)-1))))</f>
        <v>Confirmed</v>
      </c>
      <c r="I354" s="7">
        <f>IF(OR(G354="",G354="Cancelled",G354="Mixed"),1,0)</f>
        <v>0</v>
      </c>
      <c r="J354" s="7">
        <f>IF(OR(H354="",H354="Mixed"),1,0)</f>
        <v>0</v>
      </c>
      <c r="K354" s="7">
        <f>IF(AND(C354=0,D354=0),IF(OR(AND(I354=0,NOT(EXACT(Raw_Passengers!F354,G354))),AND(J354=0,NOT(EXACT(Raw_Passengers!G354,H354)))),1,0),0)</f>
        <v>0</v>
      </c>
      <c r="L354" s="7">
        <f>IF(AND(C354=0,D354=0,I354=1),1,0)</f>
        <v>0</v>
      </c>
      <c r="M354" s="7">
        <f>IF(AND(C354=0,D354=0,J354=1),1,0)</f>
        <v>0</v>
      </c>
    </row>
    <row r="355" spans="1:13">
      <c r="A355" s="7">
        <f>Raw_Passengers!A355</f>
        <v>120715</v>
      </c>
      <c r="B355" s="7">
        <f>Raw_Passengers!B355</f>
        <v>1059807</v>
      </c>
      <c r="C355" s="7">
        <f>IF(COUNTIF(Raw_Passengers!$A$2:A355,Raw_Passengers!A355)&gt;1,1,0)</f>
        <v>0</v>
      </c>
      <c r="D355" s="7">
        <f>IF(COUNTIF(Raw_Bookings!$A$2:$A$648,Raw_Passengers!B355)=0,1,0)</f>
        <v>0</v>
      </c>
      <c r="E355" s="7">
        <f>IF(OR(C355=1,D355=1),0,IF(NOT(ISNUMBER(Raw_Passengers!E355)),1,IF(Raw_Passengers!E355&lt;=0,1,0)))</f>
        <v>0</v>
      </c>
      <c r="F355" s="7">
        <f>IF(AND(C355=0,D355=0,TRIM(Raw_Passengers!D355&amp;"")=""),1,0)</f>
        <v>0</v>
      </c>
      <c r="G355" s="7" t="str">
        <f>IF(SUMPRODUCT(--(Lookup_Status!$A$2:$A$13=LOWER(TRIM(Raw_Passengers!F355))))=0,"",INDEX(Lookup_Status!$B$2:$B$13,SUMPRODUCT((Lookup_Status!$A$2:$A$13=LOWER(TRIM(Raw_Passengers!F355)))*(ROW(Lookup_Status!$A$2:$A$13)-1))))</f>
        <v>Confirmed</v>
      </c>
      <c r="H355" s="7" t="str">
        <f>IF(SUMPRODUCT(--(Lookup_Status!$A$2:$A$13=LOWER(TRIM(Raw_Passengers!G355))))=0,"",INDEX(Lookup_Status!$B$2:$B$13,SUMPRODUCT((Lookup_Status!$A$2:$A$13=LOWER(TRIM(Raw_Passengers!G355)))*(ROW(Lookup_Status!$A$2:$A$13)-1))))</f>
        <v>Confirmed</v>
      </c>
      <c r="I355" s="7">
        <f>IF(OR(G355="",G355="Cancelled",G355="Mixed"),1,0)</f>
        <v>0</v>
      </c>
      <c r="J355" s="7">
        <f>IF(OR(H355="",H355="Mixed"),1,0)</f>
        <v>0</v>
      </c>
      <c r="K355" s="7">
        <f>IF(AND(C355=0,D355=0),IF(OR(AND(I355=0,NOT(EXACT(Raw_Passengers!F355,G355))),AND(J355=0,NOT(EXACT(Raw_Passengers!G355,H355)))),1,0),0)</f>
        <v>0</v>
      </c>
      <c r="L355" s="7">
        <f>IF(AND(C355=0,D355=0,I355=1),1,0)</f>
        <v>0</v>
      </c>
      <c r="M355" s="7">
        <f>IF(AND(C355=0,D355=0,J355=1),1,0)</f>
        <v>0</v>
      </c>
    </row>
    <row r="356" spans="1:13">
      <c r="A356" s="7">
        <f>Raw_Passengers!A356</f>
        <v>120716</v>
      </c>
      <c r="B356" s="7">
        <f>Raw_Passengers!B356</f>
        <v>1059807</v>
      </c>
      <c r="C356" s="7">
        <f>IF(COUNTIF(Raw_Passengers!$A$2:A356,Raw_Passengers!A356)&gt;1,1,0)</f>
        <v>0</v>
      </c>
      <c r="D356" s="7">
        <f>IF(COUNTIF(Raw_Bookings!$A$2:$A$648,Raw_Passengers!B356)=0,1,0)</f>
        <v>0</v>
      </c>
      <c r="E356" s="7">
        <f>IF(OR(C356=1,D356=1),0,IF(NOT(ISNUMBER(Raw_Passengers!E356)),1,IF(Raw_Passengers!E356&lt;=0,1,0)))</f>
        <v>0</v>
      </c>
      <c r="F356" s="7">
        <f>IF(AND(C356=0,D356=0,TRIM(Raw_Passengers!D356&amp;"")=""),1,0)</f>
        <v>0</v>
      </c>
      <c r="G356" s="7" t="str">
        <f>IF(SUMPRODUCT(--(Lookup_Status!$A$2:$A$13=LOWER(TRIM(Raw_Passengers!F356))))=0,"",INDEX(Lookup_Status!$B$2:$B$13,SUMPRODUCT((Lookup_Status!$A$2:$A$13=LOWER(TRIM(Raw_Passengers!F356)))*(ROW(Lookup_Status!$A$2:$A$13)-1))))</f>
        <v>Confirmed</v>
      </c>
      <c r="H356" s="7" t="str">
        <f>IF(SUMPRODUCT(--(Lookup_Status!$A$2:$A$13=LOWER(TRIM(Raw_Passengers!G356))))=0,"",INDEX(Lookup_Status!$B$2:$B$13,SUMPRODUCT((Lookup_Status!$A$2:$A$13=LOWER(TRIM(Raw_Passengers!G356)))*(ROW(Lookup_Status!$A$2:$A$13)-1))))</f>
        <v>Confirmed</v>
      </c>
      <c r="I356" s="7">
        <f>IF(OR(G356="",G356="Cancelled",G356="Mixed"),1,0)</f>
        <v>0</v>
      </c>
      <c r="J356" s="7">
        <f>IF(OR(H356="",H356="Mixed"),1,0)</f>
        <v>0</v>
      </c>
      <c r="K356" s="7">
        <f>IF(AND(C356=0,D356=0),IF(OR(AND(I356=0,NOT(EXACT(Raw_Passengers!F356,G356))),AND(J356=0,NOT(EXACT(Raw_Passengers!G356,H356)))),1,0),0)</f>
        <v>0</v>
      </c>
      <c r="L356" s="7">
        <f>IF(AND(C356=0,D356=0,I356=1),1,0)</f>
        <v>0</v>
      </c>
      <c r="M356" s="7">
        <f>IF(AND(C356=0,D356=0,J356=1),1,0)</f>
        <v>0</v>
      </c>
    </row>
    <row r="357" spans="1:13">
      <c r="A357" s="7">
        <f>Raw_Passengers!A357</f>
        <v>121483</v>
      </c>
      <c r="B357" s="7">
        <f>Raw_Passengers!B357</f>
        <v>1060211</v>
      </c>
      <c r="C357" s="7">
        <f>IF(COUNTIF(Raw_Passengers!$A$2:A357,Raw_Passengers!A357)&gt;1,1,0)</f>
        <v>0</v>
      </c>
      <c r="D357" s="7">
        <f>IF(COUNTIF(Raw_Bookings!$A$2:$A$648,Raw_Passengers!B357)=0,1,0)</f>
        <v>0</v>
      </c>
      <c r="E357" s="7">
        <f>IF(OR(C357=1,D357=1),0,IF(NOT(ISNUMBER(Raw_Passengers!E357)),1,IF(Raw_Passengers!E357&lt;=0,1,0)))</f>
        <v>0</v>
      </c>
      <c r="F357" s="7">
        <f>IF(AND(C357=0,D357=0,TRIM(Raw_Passengers!D357&amp;"")=""),1,0)</f>
        <v>0</v>
      </c>
      <c r="G357" s="7" t="str">
        <f>IF(SUMPRODUCT(--(Lookup_Status!$A$2:$A$13=LOWER(TRIM(Raw_Passengers!F357))))=0,"",INDEX(Lookup_Status!$B$2:$B$13,SUMPRODUCT((Lookup_Status!$A$2:$A$13=LOWER(TRIM(Raw_Passengers!F357)))*(ROW(Lookup_Status!$A$2:$A$13)-1))))</f>
        <v>Waitlisted</v>
      </c>
      <c r="H357" s="7" t="str">
        <f>IF(SUMPRODUCT(--(Lookup_Status!$A$2:$A$13=LOWER(TRIM(Raw_Passengers!G357))))=0,"",INDEX(Lookup_Status!$B$2:$B$13,SUMPRODUCT((Lookup_Status!$A$2:$A$13=LOWER(TRIM(Raw_Passengers!G357)))*(ROW(Lookup_Status!$A$2:$A$13)-1))))</f>
        <v>Cancelled</v>
      </c>
      <c r="I357" s="7">
        <f>IF(OR(G357="",G357="Cancelled",G357="Mixed"),1,0)</f>
        <v>0</v>
      </c>
      <c r="J357" s="7">
        <f>IF(OR(H357="",H357="Mixed"),1,0)</f>
        <v>0</v>
      </c>
      <c r="K357" s="7">
        <f>IF(AND(C357=0,D357=0),IF(OR(AND(I357=0,NOT(EXACT(Raw_Passengers!F357,G357))),AND(J357=0,NOT(EXACT(Raw_Passengers!G357,H357)))),1,0),0)</f>
        <v>0</v>
      </c>
      <c r="L357" s="7">
        <f>IF(AND(C357=0,D357=0,I357=1),1,0)</f>
        <v>0</v>
      </c>
      <c r="M357" s="7">
        <f>IF(AND(C357=0,D357=0,J357=1),1,0)</f>
        <v>0</v>
      </c>
    </row>
    <row r="358" spans="1:13">
      <c r="A358" s="7">
        <f>Raw_Passengers!A358</f>
        <v>121484</v>
      </c>
      <c r="B358" s="7">
        <f>Raw_Passengers!B358</f>
        <v>1060211</v>
      </c>
      <c r="C358" s="7">
        <f>IF(COUNTIF(Raw_Passengers!$A$2:A358,Raw_Passengers!A358)&gt;1,1,0)</f>
        <v>0</v>
      </c>
      <c r="D358" s="7">
        <f>IF(COUNTIF(Raw_Bookings!$A$2:$A$648,Raw_Passengers!B358)=0,1,0)</f>
        <v>0</v>
      </c>
      <c r="E358" s="7">
        <f>IF(OR(C358=1,D358=1),0,IF(NOT(ISNUMBER(Raw_Passengers!E358)),1,IF(Raw_Passengers!E358&lt;=0,1,0)))</f>
        <v>0</v>
      </c>
      <c r="F358" s="7">
        <f>IF(AND(C358=0,D358=0,TRIM(Raw_Passengers!D358&amp;"")=""),1,0)</f>
        <v>0</v>
      </c>
      <c r="G358" s="7" t="str">
        <f>IF(SUMPRODUCT(--(Lookup_Status!$A$2:$A$13=LOWER(TRIM(Raw_Passengers!F358))))=0,"",INDEX(Lookup_Status!$B$2:$B$13,SUMPRODUCT((Lookup_Status!$A$2:$A$13=LOWER(TRIM(Raw_Passengers!F358)))*(ROW(Lookup_Status!$A$2:$A$13)-1))))</f>
        <v>Waitlisted</v>
      </c>
      <c r="H358" s="7" t="str">
        <f>IF(SUMPRODUCT(--(Lookup_Status!$A$2:$A$13=LOWER(TRIM(Raw_Passengers!G358))))=0,"",INDEX(Lookup_Status!$B$2:$B$13,SUMPRODUCT((Lookup_Status!$A$2:$A$13=LOWER(TRIM(Raw_Passengers!G358)))*(ROW(Lookup_Status!$A$2:$A$13)-1))))</f>
        <v>Cancelled</v>
      </c>
      <c r="I358" s="7">
        <f>IF(OR(G358="",G358="Cancelled",G358="Mixed"),1,0)</f>
        <v>0</v>
      </c>
      <c r="J358" s="7">
        <f>IF(OR(H358="",H358="Mixed"),1,0)</f>
        <v>0</v>
      </c>
      <c r="K358" s="7">
        <f>IF(AND(C358=0,D358=0),IF(OR(AND(I358=0,NOT(EXACT(Raw_Passengers!F358,G358))),AND(J358=0,NOT(EXACT(Raw_Passengers!G358,H358)))),1,0),0)</f>
        <v>0</v>
      </c>
      <c r="L358" s="7">
        <f>IF(AND(C358=0,D358=0,I358=1),1,0)</f>
        <v>0</v>
      </c>
      <c r="M358" s="7">
        <f>IF(AND(C358=0,D358=0,J358=1),1,0)</f>
        <v>0</v>
      </c>
    </row>
    <row r="359" spans="1:13">
      <c r="A359" s="7">
        <f>Raw_Passengers!A359</f>
        <v>121746</v>
      </c>
      <c r="B359" s="7">
        <f>Raw_Passengers!B359</f>
        <v>1060349</v>
      </c>
      <c r="C359" s="7">
        <f>IF(COUNTIF(Raw_Passengers!$A$2:A359,Raw_Passengers!A359)&gt;1,1,0)</f>
        <v>0</v>
      </c>
      <c r="D359" s="7">
        <f>IF(COUNTIF(Raw_Bookings!$A$2:$A$648,Raw_Passengers!B359)=0,1,0)</f>
        <v>0</v>
      </c>
      <c r="E359" s="7">
        <f>IF(OR(C359=1,D359=1),0,IF(NOT(ISNUMBER(Raw_Passengers!E359)),1,IF(Raw_Passengers!E359&lt;=0,1,0)))</f>
        <v>0</v>
      </c>
      <c r="F359" s="7">
        <f>IF(AND(C359=0,D359=0,TRIM(Raw_Passengers!D359&amp;"")=""),1,0)</f>
        <v>0</v>
      </c>
      <c r="G359" s="7" t="str">
        <f>IF(SUMPRODUCT(--(Lookup_Status!$A$2:$A$13=LOWER(TRIM(Raw_Passengers!F359))))=0,"",INDEX(Lookup_Status!$B$2:$B$13,SUMPRODUCT((Lookup_Status!$A$2:$A$13=LOWER(TRIM(Raw_Passengers!F359)))*(ROW(Lookup_Status!$A$2:$A$13)-1))))</f>
        <v>Confirmed</v>
      </c>
      <c r="H359" s="7" t="str">
        <f>IF(SUMPRODUCT(--(Lookup_Status!$A$2:$A$13=LOWER(TRIM(Raw_Passengers!G359))))=0,"",INDEX(Lookup_Status!$B$2:$B$13,SUMPRODUCT((Lookup_Status!$A$2:$A$13=LOWER(TRIM(Raw_Passengers!G359)))*(ROW(Lookup_Status!$A$2:$A$13)-1))))</f>
        <v>Confirmed</v>
      </c>
      <c r="I359" s="7">
        <f>IF(OR(G359="",G359="Cancelled",G359="Mixed"),1,0)</f>
        <v>0</v>
      </c>
      <c r="J359" s="7">
        <f>IF(OR(H359="",H359="Mixed"),1,0)</f>
        <v>0</v>
      </c>
      <c r="K359" s="7">
        <f>IF(AND(C359=0,D359=0),IF(OR(AND(I359=0,NOT(EXACT(Raw_Passengers!F359,G359))),AND(J359=0,NOT(EXACT(Raw_Passengers!G359,H359)))),1,0),0)</f>
        <v>0</v>
      </c>
      <c r="L359" s="7">
        <f>IF(AND(C359=0,D359=0,I359=1),1,0)</f>
        <v>0</v>
      </c>
      <c r="M359" s="7">
        <f>IF(AND(C359=0,D359=0,J359=1),1,0)</f>
        <v>0</v>
      </c>
    </row>
    <row r="360" spans="1:13">
      <c r="A360" s="7">
        <f>Raw_Passengers!A360</f>
        <v>121747</v>
      </c>
      <c r="B360" s="7">
        <f>Raw_Passengers!B360</f>
        <v>1060349</v>
      </c>
      <c r="C360" s="7">
        <f>IF(COUNTIF(Raw_Passengers!$A$2:A360,Raw_Passengers!A360)&gt;1,1,0)</f>
        <v>0</v>
      </c>
      <c r="D360" s="7">
        <f>IF(COUNTIF(Raw_Bookings!$A$2:$A$648,Raw_Passengers!B360)=0,1,0)</f>
        <v>0</v>
      </c>
      <c r="E360" s="7">
        <f>IF(OR(C360=1,D360=1),0,IF(NOT(ISNUMBER(Raw_Passengers!E360)),1,IF(Raw_Passengers!E360&lt;=0,1,0)))</f>
        <v>0</v>
      </c>
      <c r="F360" s="7">
        <f>IF(AND(C360=0,D360=0,TRIM(Raw_Passengers!D360&amp;"")=""),1,0)</f>
        <v>0</v>
      </c>
      <c r="G360" s="7" t="str">
        <f>IF(SUMPRODUCT(--(Lookup_Status!$A$2:$A$13=LOWER(TRIM(Raw_Passengers!F360))))=0,"",INDEX(Lookup_Status!$B$2:$B$13,SUMPRODUCT((Lookup_Status!$A$2:$A$13=LOWER(TRIM(Raw_Passengers!F360)))*(ROW(Lookup_Status!$A$2:$A$13)-1))))</f>
        <v>Confirmed</v>
      </c>
      <c r="H360" s="7" t="str">
        <f>IF(SUMPRODUCT(--(Lookup_Status!$A$2:$A$13=LOWER(TRIM(Raw_Passengers!G360))))=0,"",INDEX(Lookup_Status!$B$2:$B$13,SUMPRODUCT((Lookup_Status!$A$2:$A$13=LOWER(TRIM(Raw_Passengers!G360)))*(ROW(Lookup_Status!$A$2:$A$13)-1))))</f>
        <v>Confirmed</v>
      </c>
      <c r="I360" s="7">
        <f>IF(OR(G360="",G360="Cancelled",G360="Mixed"),1,0)</f>
        <v>0</v>
      </c>
      <c r="J360" s="7">
        <f>IF(OR(H360="",H360="Mixed"),1,0)</f>
        <v>0</v>
      </c>
      <c r="K360" s="7">
        <f>IF(AND(C360=0,D360=0),IF(OR(AND(I360=0,NOT(EXACT(Raw_Passengers!F360,G360))),AND(J360=0,NOT(EXACT(Raw_Passengers!G360,H360)))),1,0),0)</f>
        <v>0</v>
      </c>
      <c r="L360" s="7">
        <f>IF(AND(C360=0,D360=0,I360=1),1,0)</f>
        <v>0</v>
      </c>
      <c r="M360" s="7">
        <f>IF(AND(C360=0,D360=0,J360=1),1,0)</f>
        <v>0</v>
      </c>
    </row>
    <row r="361" spans="1:13">
      <c r="A361" s="7">
        <f>Raw_Passengers!A361</f>
        <v>122935</v>
      </c>
      <c r="B361" s="7">
        <f>Raw_Passengers!B361</f>
        <v>1060922</v>
      </c>
      <c r="C361" s="7">
        <f>IF(COUNTIF(Raw_Passengers!$A$2:A361,Raw_Passengers!A361)&gt;1,1,0)</f>
        <v>0</v>
      </c>
      <c r="D361" s="7">
        <f>IF(COUNTIF(Raw_Bookings!$A$2:$A$648,Raw_Passengers!B361)=0,1,0)</f>
        <v>0</v>
      </c>
      <c r="E361" s="7">
        <f>IF(OR(C361=1,D361=1),0,IF(NOT(ISNUMBER(Raw_Passengers!E361)),1,IF(Raw_Passengers!E361&lt;=0,1,0)))</f>
        <v>0</v>
      </c>
      <c r="F361" s="7">
        <f>IF(AND(C361=0,D361=0,TRIM(Raw_Passengers!D361&amp;"")=""),1,0)</f>
        <v>0</v>
      </c>
      <c r="G361" s="7" t="str">
        <f>IF(SUMPRODUCT(--(Lookup_Status!$A$2:$A$13=LOWER(TRIM(Raw_Passengers!F361))))=0,"",INDEX(Lookup_Status!$B$2:$B$13,SUMPRODUCT((Lookup_Status!$A$2:$A$13=LOWER(TRIM(Raw_Passengers!F361)))*(ROW(Lookup_Status!$A$2:$A$13)-1))))</f>
        <v>Confirmed</v>
      </c>
      <c r="H361" s="7" t="str">
        <f>IF(SUMPRODUCT(--(Lookup_Status!$A$2:$A$13=LOWER(TRIM(Raw_Passengers!G361))))=0,"",INDEX(Lookup_Status!$B$2:$B$13,SUMPRODUCT((Lookup_Status!$A$2:$A$13=LOWER(TRIM(Raw_Passengers!G361)))*(ROW(Lookup_Status!$A$2:$A$13)-1))))</f>
        <v>Confirmed</v>
      </c>
      <c r="I361" s="7">
        <f>IF(OR(G361="",G361="Cancelled",G361="Mixed"),1,0)</f>
        <v>0</v>
      </c>
      <c r="J361" s="7">
        <f>IF(OR(H361="",H361="Mixed"),1,0)</f>
        <v>0</v>
      </c>
      <c r="K361" s="7">
        <f>IF(AND(C361=0,D361=0),IF(OR(AND(I361=0,NOT(EXACT(Raw_Passengers!F361,G361))),AND(J361=0,NOT(EXACT(Raw_Passengers!G361,H361)))),1,0),0)</f>
        <v>0</v>
      </c>
      <c r="L361" s="7">
        <f>IF(AND(C361=0,D361=0,I361=1),1,0)</f>
        <v>0</v>
      </c>
      <c r="M361" s="7">
        <f>IF(AND(C361=0,D361=0,J361=1),1,0)</f>
        <v>0</v>
      </c>
    </row>
    <row r="362" spans="1:13">
      <c r="A362" s="7">
        <f>Raw_Passengers!A362</f>
        <v>123814</v>
      </c>
      <c r="B362" s="7">
        <f>Raw_Passengers!B362</f>
        <v>1061363</v>
      </c>
      <c r="C362" s="7">
        <f>IF(COUNTIF(Raw_Passengers!$A$2:A362,Raw_Passengers!A362)&gt;1,1,0)</f>
        <v>0</v>
      </c>
      <c r="D362" s="7">
        <f>IF(COUNTIF(Raw_Bookings!$A$2:$A$648,Raw_Passengers!B362)=0,1,0)</f>
        <v>0</v>
      </c>
      <c r="E362" s="7">
        <f>IF(OR(C362=1,D362=1),0,IF(NOT(ISNUMBER(Raw_Passengers!E362)),1,IF(Raw_Passengers!E362&lt;=0,1,0)))</f>
        <v>0</v>
      </c>
      <c r="F362" s="7">
        <f>IF(AND(C362=0,D362=0,TRIM(Raw_Passengers!D362&amp;"")=""),1,0)</f>
        <v>0</v>
      </c>
      <c r="G362" s="7" t="str">
        <f>IF(SUMPRODUCT(--(Lookup_Status!$A$2:$A$13=LOWER(TRIM(Raw_Passengers!F362))))=0,"",INDEX(Lookup_Status!$B$2:$B$13,SUMPRODUCT((Lookup_Status!$A$2:$A$13=LOWER(TRIM(Raw_Passengers!F362)))*(ROW(Lookup_Status!$A$2:$A$13)-1))))</f>
        <v>Confirmed</v>
      </c>
      <c r="H362" s="7" t="str">
        <f>IF(SUMPRODUCT(--(Lookup_Status!$A$2:$A$13=LOWER(TRIM(Raw_Passengers!G362))))=0,"",INDEX(Lookup_Status!$B$2:$B$13,SUMPRODUCT((Lookup_Status!$A$2:$A$13=LOWER(TRIM(Raw_Passengers!G362)))*(ROW(Lookup_Status!$A$2:$A$13)-1))))</f>
        <v>Confirmed</v>
      </c>
      <c r="I362" s="7">
        <f>IF(OR(G362="",G362="Cancelled",G362="Mixed"),1,0)</f>
        <v>0</v>
      </c>
      <c r="J362" s="7">
        <f>IF(OR(H362="",H362="Mixed"),1,0)</f>
        <v>0</v>
      </c>
      <c r="K362" s="7">
        <f>IF(AND(C362=0,D362=0),IF(OR(AND(I362=0,NOT(EXACT(Raw_Passengers!F362,G362))),AND(J362=0,NOT(EXACT(Raw_Passengers!G362,H362)))),1,0),0)</f>
        <v>0</v>
      </c>
      <c r="L362" s="7">
        <f>IF(AND(C362=0,D362=0,I362=1),1,0)</f>
        <v>0</v>
      </c>
      <c r="M362" s="7">
        <f>IF(AND(C362=0,D362=0,J362=1),1,0)</f>
        <v>0</v>
      </c>
    </row>
    <row r="363" spans="1:13">
      <c r="A363" s="7">
        <f>Raw_Passengers!A363</f>
        <v>125305</v>
      </c>
      <c r="B363" s="7">
        <f>Raw_Passengers!B363</f>
        <v>1062055</v>
      </c>
      <c r="C363" s="7">
        <f>IF(COUNTIF(Raw_Passengers!$A$2:A363,Raw_Passengers!A363)&gt;1,1,0)</f>
        <v>0</v>
      </c>
      <c r="D363" s="7">
        <f>IF(COUNTIF(Raw_Bookings!$A$2:$A$648,Raw_Passengers!B363)=0,1,0)</f>
        <v>0</v>
      </c>
      <c r="E363" s="7">
        <f>IF(OR(C363=1,D363=1),0,IF(NOT(ISNUMBER(Raw_Passengers!E363)),1,IF(Raw_Passengers!E363&lt;=0,1,0)))</f>
        <v>0</v>
      </c>
      <c r="F363" s="7">
        <f>IF(AND(C363=0,D363=0,TRIM(Raw_Passengers!D363&amp;"")=""),1,0)</f>
        <v>0</v>
      </c>
      <c r="G363" s="7" t="str">
        <f>IF(SUMPRODUCT(--(Lookup_Status!$A$2:$A$13=LOWER(TRIM(Raw_Passengers!F363))))=0,"",INDEX(Lookup_Status!$B$2:$B$13,SUMPRODUCT((Lookup_Status!$A$2:$A$13=LOWER(TRIM(Raw_Passengers!F363)))*(ROW(Lookup_Status!$A$2:$A$13)-1))))</f>
        <v>Confirmed</v>
      </c>
      <c r="H363" s="7" t="str">
        <f>IF(SUMPRODUCT(--(Lookup_Status!$A$2:$A$13=LOWER(TRIM(Raw_Passengers!G363))))=0,"",INDEX(Lookup_Status!$B$2:$B$13,SUMPRODUCT((Lookup_Status!$A$2:$A$13=LOWER(TRIM(Raw_Passengers!G363)))*(ROW(Lookup_Status!$A$2:$A$13)-1))))</f>
        <v>Cancelled</v>
      </c>
      <c r="I363" s="7">
        <f>IF(OR(G363="",G363="Cancelled",G363="Mixed"),1,0)</f>
        <v>0</v>
      </c>
      <c r="J363" s="7">
        <f>IF(OR(H363="",H363="Mixed"),1,0)</f>
        <v>0</v>
      </c>
      <c r="K363" s="7">
        <f>IF(AND(C363=0,D363=0),IF(OR(AND(I363=0,NOT(EXACT(Raw_Passengers!F363,G363))),AND(J363=0,NOT(EXACT(Raw_Passengers!G363,H363)))),1,0),0)</f>
        <v>0</v>
      </c>
      <c r="L363" s="7">
        <f>IF(AND(C363=0,D363=0,I363=1),1,0)</f>
        <v>0</v>
      </c>
      <c r="M363" s="7">
        <f>IF(AND(C363=0,D363=0,J363=1),1,0)</f>
        <v>0</v>
      </c>
    </row>
    <row r="364" spans="1:13">
      <c r="A364" s="7">
        <f>Raw_Passengers!A364</f>
        <v>125334</v>
      </c>
      <c r="B364" s="7">
        <f>Raw_Passengers!B364</f>
        <v>1062073</v>
      </c>
      <c r="C364" s="7">
        <f>IF(COUNTIF(Raw_Passengers!$A$2:A364,Raw_Passengers!A364)&gt;1,1,0)</f>
        <v>0</v>
      </c>
      <c r="D364" s="7">
        <f>IF(COUNTIF(Raw_Bookings!$A$2:$A$648,Raw_Passengers!B364)=0,1,0)</f>
        <v>0</v>
      </c>
      <c r="E364" s="7">
        <f>IF(OR(C364=1,D364=1),0,IF(NOT(ISNUMBER(Raw_Passengers!E364)),1,IF(Raw_Passengers!E364&lt;=0,1,0)))</f>
        <v>0</v>
      </c>
      <c r="F364" s="7">
        <f>IF(AND(C364=0,D364=0,TRIM(Raw_Passengers!D364&amp;"")=""),1,0)</f>
        <v>0</v>
      </c>
      <c r="G364" s="7" t="str">
        <f>IF(SUMPRODUCT(--(Lookup_Status!$A$2:$A$13=LOWER(TRIM(Raw_Passengers!F364))))=0,"",INDEX(Lookup_Status!$B$2:$B$13,SUMPRODUCT((Lookup_Status!$A$2:$A$13=LOWER(TRIM(Raw_Passengers!F364)))*(ROW(Lookup_Status!$A$2:$A$13)-1))))</f>
        <v>Confirmed</v>
      </c>
      <c r="H364" s="7" t="str">
        <f>IF(SUMPRODUCT(--(Lookup_Status!$A$2:$A$13=LOWER(TRIM(Raw_Passengers!G364))))=0,"",INDEX(Lookup_Status!$B$2:$B$13,SUMPRODUCT((Lookup_Status!$A$2:$A$13=LOWER(TRIM(Raw_Passengers!G364)))*(ROW(Lookup_Status!$A$2:$A$13)-1))))</f>
        <v>Confirmed</v>
      </c>
      <c r="I364" s="7">
        <f>IF(OR(G364="",G364="Cancelled",G364="Mixed"),1,0)</f>
        <v>0</v>
      </c>
      <c r="J364" s="7">
        <f>IF(OR(H364="",H364="Mixed"),1,0)</f>
        <v>0</v>
      </c>
      <c r="K364" s="7">
        <f>IF(AND(C364=0,D364=0),IF(OR(AND(I364=0,NOT(EXACT(Raw_Passengers!F364,G364))),AND(J364=0,NOT(EXACT(Raw_Passengers!G364,H364)))),1,0),0)</f>
        <v>0</v>
      </c>
      <c r="L364" s="7">
        <f>IF(AND(C364=0,D364=0,I364=1),1,0)</f>
        <v>0</v>
      </c>
      <c r="M364" s="7">
        <f>IF(AND(C364=0,D364=0,J364=1),1,0)</f>
        <v>0</v>
      </c>
    </row>
    <row r="365" spans="1:13">
      <c r="A365" s="7">
        <f>Raw_Passengers!A365</f>
        <v>125335</v>
      </c>
      <c r="B365" s="7">
        <f>Raw_Passengers!B365</f>
        <v>1062073</v>
      </c>
      <c r="C365" s="7">
        <f>IF(COUNTIF(Raw_Passengers!$A$2:A365,Raw_Passengers!A365)&gt;1,1,0)</f>
        <v>0</v>
      </c>
      <c r="D365" s="7">
        <f>IF(COUNTIF(Raw_Bookings!$A$2:$A$648,Raw_Passengers!B365)=0,1,0)</f>
        <v>0</v>
      </c>
      <c r="E365" s="7">
        <f>IF(OR(C365=1,D365=1),0,IF(NOT(ISNUMBER(Raw_Passengers!E365)),1,IF(Raw_Passengers!E365&lt;=0,1,0)))</f>
        <v>0</v>
      </c>
      <c r="F365" s="7">
        <f>IF(AND(C365=0,D365=0,TRIM(Raw_Passengers!D365&amp;"")=""),1,0)</f>
        <v>0</v>
      </c>
      <c r="G365" s="7" t="str">
        <f>IF(SUMPRODUCT(--(Lookup_Status!$A$2:$A$13=LOWER(TRIM(Raw_Passengers!F365))))=0,"",INDEX(Lookup_Status!$B$2:$B$13,SUMPRODUCT((Lookup_Status!$A$2:$A$13=LOWER(TRIM(Raw_Passengers!F365)))*(ROW(Lookup_Status!$A$2:$A$13)-1))))</f>
        <v>Confirmed</v>
      </c>
      <c r="H365" s="7" t="str">
        <f>IF(SUMPRODUCT(--(Lookup_Status!$A$2:$A$13=LOWER(TRIM(Raw_Passengers!G365))))=0,"",INDEX(Lookup_Status!$B$2:$B$13,SUMPRODUCT((Lookup_Status!$A$2:$A$13=LOWER(TRIM(Raw_Passengers!G365)))*(ROW(Lookup_Status!$A$2:$A$13)-1))))</f>
        <v>Confirmed</v>
      </c>
      <c r="I365" s="7">
        <f>IF(OR(G365="",G365="Cancelled",G365="Mixed"),1,0)</f>
        <v>0</v>
      </c>
      <c r="J365" s="7">
        <f>IF(OR(H365="",H365="Mixed"),1,0)</f>
        <v>0</v>
      </c>
      <c r="K365" s="7">
        <f>IF(AND(C365=0,D365=0),IF(OR(AND(I365=0,NOT(EXACT(Raw_Passengers!F365,G365))),AND(J365=0,NOT(EXACT(Raw_Passengers!G365,H365)))),1,0),0)</f>
        <v>0</v>
      </c>
      <c r="L365" s="7">
        <f>IF(AND(C365=0,D365=0,I365=1),1,0)</f>
        <v>0</v>
      </c>
      <c r="M365" s="7">
        <f>IF(AND(C365=0,D365=0,J365=1),1,0)</f>
        <v>0</v>
      </c>
    </row>
    <row r="366" spans="1:13">
      <c r="A366" s="7">
        <f>Raw_Passengers!A366</f>
        <v>125336</v>
      </c>
      <c r="B366" s="7">
        <f>Raw_Passengers!B366</f>
        <v>1062073</v>
      </c>
      <c r="C366" s="7">
        <f>IF(COUNTIF(Raw_Passengers!$A$2:A366,Raw_Passengers!A366)&gt;1,1,0)</f>
        <v>0</v>
      </c>
      <c r="D366" s="7">
        <f>IF(COUNTIF(Raw_Bookings!$A$2:$A$648,Raw_Passengers!B366)=0,1,0)</f>
        <v>0</v>
      </c>
      <c r="E366" s="7">
        <f>IF(OR(C366=1,D366=1),0,IF(NOT(ISNUMBER(Raw_Passengers!E366)),1,IF(Raw_Passengers!E366&lt;=0,1,0)))</f>
        <v>0</v>
      </c>
      <c r="F366" s="7">
        <f>IF(AND(C366=0,D366=0,TRIM(Raw_Passengers!D366&amp;"")=""),1,0)</f>
        <v>0</v>
      </c>
      <c r="G366" s="7" t="str">
        <f>IF(SUMPRODUCT(--(Lookup_Status!$A$2:$A$13=LOWER(TRIM(Raw_Passengers!F366))))=0,"",INDEX(Lookup_Status!$B$2:$B$13,SUMPRODUCT((Lookup_Status!$A$2:$A$13=LOWER(TRIM(Raw_Passengers!F366)))*(ROW(Lookup_Status!$A$2:$A$13)-1))))</f>
        <v>Confirmed</v>
      </c>
      <c r="H366" s="7" t="str">
        <f>IF(SUMPRODUCT(--(Lookup_Status!$A$2:$A$13=LOWER(TRIM(Raw_Passengers!G366))))=0,"",INDEX(Lookup_Status!$B$2:$B$13,SUMPRODUCT((Lookup_Status!$A$2:$A$13=LOWER(TRIM(Raw_Passengers!G366)))*(ROW(Lookup_Status!$A$2:$A$13)-1))))</f>
        <v>Confirmed</v>
      </c>
      <c r="I366" s="7">
        <f>IF(OR(G366="",G366="Cancelled",G366="Mixed"),1,0)</f>
        <v>0</v>
      </c>
      <c r="J366" s="7">
        <f>IF(OR(H366="",H366="Mixed"),1,0)</f>
        <v>0</v>
      </c>
      <c r="K366" s="7">
        <f>IF(AND(C366=0,D366=0),IF(OR(AND(I366=0,NOT(EXACT(Raw_Passengers!F366,G366))),AND(J366=0,NOT(EXACT(Raw_Passengers!G366,H366)))),1,0),0)</f>
        <v>0</v>
      </c>
      <c r="L366" s="7">
        <f>IF(AND(C366=0,D366=0,I366=1),1,0)</f>
        <v>0</v>
      </c>
      <c r="M366" s="7">
        <f>IF(AND(C366=0,D366=0,J366=1),1,0)</f>
        <v>0</v>
      </c>
    </row>
    <row r="367" spans="1:13">
      <c r="A367" s="7">
        <f>Raw_Passengers!A367</f>
        <v>125337</v>
      </c>
      <c r="B367" s="7">
        <f>Raw_Passengers!B367</f>
        <v>1062073</v>
      </c>
      <c r="C367" s="7">
        <f>IF(COUNTIF(Raw_Passengers!$A$2:A367,Raw_Passengers!A367)&gt;1,1,0)</f>
        <v>0</v>
      </c>
      <c r="D367" s="7">
        <f>IF(COUNTIF(Raw_Bookings!$A$2:$A$648,Raw_Passengers!B367)=0,1,0)</f>
        <v>0</v>
      </c>
      <c r="E367" s="7">
        <f>IF(OR(C367=1,D367=1),0,IF(NOT(ISNUMBER(Raw_Passengers!E367)),1,IF(Raw_Passengers!E367&lt;=0,1,0)))</f>
        <v>0</v>
      </c>
      <c r="F367" s="7">
        <f>IF(AND(C367=0,D367=0,TRIM(Raw_Passengers!D367&amp;"")=""),1,0)</f>
        <v>0</v>
      </c>
      <c r="G367" s="7" t="str">
        <f>IF(SUMPRODUCT(--(Lookup_Status!$A$2:$A$13=LOWER(TRIM(Raw_Passengers!F367))))=0,"",INDEX(Lookup_Status!$B$2:$B$13,SUMPRODUCT((Lookup_Status!$A$2:$A$13=LOWER(TRIM(Raw_Passengers!F367)))*(ROW(Lookup_Status!$A$2:$A$13)-1))))</f>
        <v>Confirmed</v>
      </c>
      <c r="H367" s="7" t="str">
        <f>IF(SUMPRODUCT(--(Lookup_Status!$A$2:$A$13=LOWER(TRIM(Raw_Passengers!G367))))=0,"",INDEX(Lookup_Status!$B$2:$B$13,SUMPRODUCT((Lookup_Status!$A$2:$A$13=LOWER(TRIM(Raw_Passengers!G367)))*(ROW(Lookup_Status!$A$2:$A$13)-1))))</f>
        <v>Confirmed</v>
      </c>
      <c r="I367" s="7">
        <f>IF(OR(G367="",G367="Cancelled",G367="Mixed"),1,0)</f>
        <v>0</v>
      </c>
      <c r="J367" s="7">
        <f>IF(OR(H367="",H367="Mixed"),1,0)</f>
        <v>0</v>
      </c>
      <c r="K367" s="7">
        <f>IF(AND(C367=0,D367=0),IF(OR(AND(I367=0,NOT(EXACT(Raw_Passengers!F367,G367))),AND(J367=0,NOT(EXACT(Raw_Passengers!G367,H367)))),1,0),0)</f>
        <v>0</v>
      </c>
      <c r="L367" s="7">
        <f>IF(AND(C367=0,D367=0,I367=1),1,0)</f>
        <v>0</v>
      </c>
      <c r="M367" s="7">
        <f>IF(AND(C367=0,D367=0,J367=1),1,0)</f>
        <v>0</v>
      </c>
    </row>
    <row r="368" spans="1:13">
      <c r="A368" s="7">
        <f>Raw_Passengers!A368</f>
        <v>125528</v>
      </c>
      <c r="B368" s="7">
        <f>Raw_Passengers!B368</f>
        <v>1062167</v>
      </c>
      <c r="C368" s="7">
        <f>IF(COUNTIF(Raw_Passengers!$A$2:A368,Raw_Passengers!A368)&gt;1,1,0)</f>
        <v>0</v>
      </c>
      <c r="D368" s="7">
        <f>IF(COUNTIF(Raw_Bookings!$A$2:$A$648,Raw_Passengers!B368)=0,1,0)</f>
        <v>0</v>
      </c>
      <c r="E368" s="7">
        <f>IF(OR(C368=1,D368=1),0,IF(NOT(ISNUMBER(Raw_Passengers!E368)),1,IF(Raw_Passengers!E368&lt;=0,1,0)))</f>
        <v>0</v>
      </c>
      <c r="F368" s="7">
        <f>IF(AND(C368=0,D368=0,TRIM(Raw_Passengers!D368&amp;"")=""),1,0)</f>
        <v>0</v>
      </c>
      <c r="G368" s="7" t="str">
        <f>IF(SUMPRODUCT(--(Lookup_Status!$A$2:$A$13=LOWER(TRIM(Raw_Passengers!F368))))=0,"",INDEX(Lookup_Status!$B$2:$B$13,SUMPRODUCT((Lookup_Status!$A$2:$A$13=LOWER(TRIM(Raw_Passengers!F368)))*(ROW(Lookup_Status!$A$2:$A$13)-1))))</f>
        <v>Confirmed</v>
      </c>
      <c r="H368" s="7" t="str">
        <f>IF(SUMPRODUCT(--(Lookup_Status!$A$2:$A$13=LOWER(TRIM(Raw_Passengers!G368))))=0,"",INDEX(Lookup_Status!$B$2:$B$13,SUMPRODUCT((Lookup_Status!$A$2:$A$13=LOWER(TRIM(Raw_Passengers!G368)))*(ROW(Lookup_Status!$A$2:$A$13)-1))))</f>
        <v>Confirmed</v>
      </c>
      <c r="I368" s="7">
        <f>IF(OR(G368="",G368="Cancelled",G368="Mixed"),1,0)</f>
        <v>0</v>
      </c>
      <c r="J368" s="7">
        <f>IF(OR(H368="",H368="Mixed"),1,0)</f>
        <v>0</v>
      </c>
      <c r="K368" s="7">
        <f>IF(AND(C368=0,D368=0),IF(OR(AND(I368=0,NOT(EXACT(Raw_Passengers!F368,G368))),AND(J368=0,NOT(EXACT(Raw_Passengers!G368,H368)))),1,0),0)</f>
        <v>0</v>
      </c>
      <c r="L368" s="7">
        <f>IF(AND(C368=0,D368=0,I368=1),1,0)</f>
        <v>0</v>
      </c>
      <c r="M368" s="7">
        <f>IF(AND(C368=0,D368=0,J368=1),1,0)</f>
        <v>0</v>
      </c>
    </row>
    <row r="369" spans="1:13">
      <c r="A369" s="7">
        <f>Raw_Passengers!A369</f>
        <v>125552</v>
      </c>
      <c r="B369" s="7">
        <f>Raw_Passengers!B369</f>
        <v>1062180</v>
      </c>
      <c r="C369" s="7">
        <f>IF(COUNTIF(Raw_Passengers!$A$2:A369,Raw_Passengers!A369)&gt;1,1,0)</f>
        <v>0</v>
      </c>
      <c r="D369" s="7">
        <f>IF(COUNTIF(Raw_Bookings!$A$2:$A$648,Raw_Passengers!B369)=0,1,0)</f>
        <v>0</v>
      </c>
      <c r="E369" s="7">
        <f>IF(OR(C369=1,D369=1),0,IF(NOT(ISNUMBER(Raw_Passengers!E369)),1,IF(Raw_Passengers!E369&lt;=0,1,0)))</f>
        <v>0</v>
      </c>
      <c r="F369" s="7">
        <f>IF(AND(C369=0,D369=0,TRIM(Raw_Passengers!D369&amp;"")=""),1,0)</f>
        <v>0</v>
      </c>
      <c r="G369" s="7" t="str">
        <f>IF(SUMPRODUCT(--(Lookup_Status!$A$2:$A$13=LOWER(TRIM(Raw_Passengers!F369))))=0,"",INDEX(Lookup_Status!$B$2:$B$13,SUMPRODUCT((Lookup_Status!$A$2:$A$13=LOWER(TRIM(Raw_Passengers!F369)))*(ROW(Lookup_Status!$A$2:$A$13)-1))))</f>
        <v>Confirmed</v>
      </c>
      <c r="H369" s="7" t="str">
        <f>IF(SUMPRODUCT(--(Lookup_Status!$A$2:$A$13=LOWER(TRIM(Raw_Passengers!G369))))=0,"",INDEX(Lookup_Status!$B$2:$B$13,SUMPRODUCT((Lookup_Status!$A$2:$A$13=LOWER(TRIM(Raw_Passengers!G369)))*(ROW(Lookup_Status!$A$2:$A$13)-1))))</f>
        <v>Confirmed</v>
      </c>
      <c r="I369" s="7">
        <f>IF(OR(G369="",G369="Cancelled",G369="Mixed"),1,0)</f>
        <v>0</v>
      </c>
      <c r="J369" s="7">
        <f>IF(OR(H369="",H369="Mixed"),1,0)</f>
        <v>0</v>
      </c>
      <c r="K369" s="7">
        <f>IF(AND(C369=0,D369=0),IF(OR(AND(I369=0,NOT(EXACT(Raw_Passengers!F369,G369))),AND(J369=0,NOT(EXACT(Raw_Passengers!G369,H369)))),1,0),0)</f>
        <v>0</v>
      </c>
      <c r="L369" s="7">
        <f>IF(AND(C369=0,D369=0,I369=1),1,0)</f>
        <v>0</v>
      </c>
      <c r="M369" s="7">
        <f>IF(AND(C369=0,D369=0,J369=1),1,0)</f>
        <v>0</v>
      </c>
    </row>
    <row r="370" spans="1:13">
      <c r="A370" s="7">
        <f>Raw_Passengers!A370</f>
        <v>125703</v>
      </c>
      <c r="B370" s="7">
        <f>Raw_Passengers!B370</f>
        <v>1062244</v>
      </c>
      <c r="C370" s="7">
        <f>IF(COUNTIF(Raw_Passengers!$A$2:A370,Raw_Passengers!A370)&gt;1,1,0)</f>
        <v>0</v>
      </c>
      <c r="D370" s="7">
        <f>IF(COUNTIF(Raw_Bookings!$A$2:$A$648,Raw_Passengers!B370)=0,1,0)</f>
        <v>0</v>
      </c>
      <c r="E370" s="7">
        <f>IF(OR(C370=1,D370=1),0,IF(NOT(ISNUMBER(Raw_Passengers!E370)),1,IF(Raw_Passengers!E370&lt;=0,1,0)))</f>
        <v>0</v>
      </c>
      <c r="F370" s="7">
        <f>IF(AND(C370=0,D370=0,TRIM(Raw_Passengers!D370&amp;"")=""),1,0)</f>
        <v>0</v>
      </c>
      <c r="G370" s="7" t="str">
        <f>IF(SUMPRODUCT(--(Lookup_Status!$A$2:$A$13=LOWER(TRIM(Raw_Passengers!F370))))=0,"",INDEX(Lookup_Status!$B$2:$B$13,SUMPRODUCT((Lookup_Status!$A$2:$A$13=LOWER(TRIM(Raw_Passengers!F370)))*(ROW(Lookup_Status!$A$2:$A$13)-1))))</f>
        <v>Confirmed</v>
      </c>
      <c r="H370" s="7" t="str">
        <f>IF(SUMPRODUCT(--(Lookup_Status!$A$2:$A$13=LOWER(TRIM(Raw_Passengers!G370))))=0,"",INDEX(Lookup_Status!$B$2:$B$13,SUMPRODUCT((Lookup_Status!$A$2:$A$13=LOWER(TRIM(Raw_Passengers!G370)))*(ROW(Lookup_Status!$A$2:$A$13)-1))))</f>
        <v>Confirmed</v>
      </c>
      <c r="I370" s="7">
        <f>IF(OR(G370="",G370="Cancelled",G370="Mixed"),1,0)</f>
        <v>0</v>
      </c>
      <c r="J370" s="7">
        <f>IF(OR(H370="",H370="Mixed"),1,0)</f>
        <v>0</v>
      </c>
      <c r="K370" s="7">
        <f>IF(AND(C370=0,D370=0),IF(OR(AND(I370=0,NOT(EXACT(Raw_Passengers!F370,G370))),AND(J370=0,NOT(EXACT(Raw_Passengers!G370,H370)))),1,0),0)</f>
        <v>0</v>
      </c>
      <c r="L370" s="7">
        <f>IF(AND(C370=0,D370=0,I370=1),1,0)</f>
        <v>0</v>
      </c>
      <c r="M370" s="7">
        <f>IF(AND(C370=0,D370=0,J370=1),1,0)</f>
        <v>0</v>
      </c>
    </row>
    <row r="371" spans="1:13">
      <c r="A371" s="7">
        <f>Raw_Passengers!A371</f>
        <v>125777</v>
      </c>
      <c r="B371" s="7">
        <f>Raw_Passengers!B371</f>
        <v>1062277</v>
      </c>
      <c r="C371" s="7">
        <f>IF(COUNTIF(Raw_Passengers!$A$2:A371,Raw_Passengers!A371)&gt;1,1,0)</f>
        <v>0</v>
      </c>
      <c r="D371" s="7">
        <f>IF(COUNTIF(Raw_Bookings!$A$2:$A$648,Raw_Passengers!B371)=0,1,0)</f>
        <v>0</v>
      </c>
      <c r="E371" s="7">
        <f>IF(OR(C371=1,D371=1),0,IF(NOT(ISNUMBER(Raw_Passengers!E371)),1,IF(Raw_Passengers!E371&lt;=0,1,0)))</f>
        <v>0</v>
      </c>
      <c r="F371" s="7">
        <f>IF(AND(C371=0,D371=0,TRIM(Raw_Passengers!D371&amp;"")=""),1,0)</f>
        <v>0</v>
      </c>
      <c r="G371" s="7" t="str">
        <f>IF(SUMPRODUCT(--(Lookup_Status!$A$2:$A$13=LOWER(TRIM(Raw_Passengers!F371))))=0,"",INDEX(Lookup_Status!$B$2:$B$13,SUMPRODUCT((Lookup_Status!$A$2:$A$13=LOWER(TRIM(Raw_Passengers!F371)))*(ROW(Lookup_Status!$A$2:$A$13)-1))))</f>
        <v>Confirmed</v>
      </c>
      <c r="H371" s="7" t="str">
        <f>IF(SUMPRODUCT(--(Lookup_Status!$A$2:$A$13=LOWER(TRIM(Raw_Passengers!G371))))=0,"",INDEX(Lookup_Status!$B$2:$B$13,SUMPRODUCT((Lookup_Status!$A$2:$A$13=LOWER(TRIM(Raw_Passengers!G371)))*(ROW(Lookup_Status!$A$2:$A$13)-1))))</f>
        <v>Confirmed</v>
      </c>
      <c r="I371" s="7">
        <f>IF(OR(G371="",G371="Cancelled",G371="Mixed"),1,0)</f>
        <v>0</v>
      </c>
      <c r="J371" s="7">
        <f>IF(OR(H371="",H371="Mixed"),1,0)</f>
        <v>0</v>
      </c>
      <c r="K371" s="7">
        <f>IF(AND(C371=0,D371=0),IF(OR(AND(I371=0,NOT(EXACT(Raw_Passengers!F371,G371))),AND(J371=0,NOT(EXACT(Raw_Passengers!G371,H371)))),1,0),0)</f>
        <v>0</v>
      </c>
      <c r="L371" s="7">
        <f>IF(AND(C371=0,D371=0,I371=1),1,0)</f>
        <v>0</v>
      </c>
      <c r="M371" s="7">
        <f>IF(AND(C371=0,D371=0,J371=1),1,0)</f>
        <v>0</v>
      </c>
    </row>
    <row r="372" spans="1:13">
      <c r="A372" s="7">
        <f>Raw_Passengers!A372</f>
        <v>125778</v>
      </c>
      <c r="B372" s="7">
        <f>Raw_Passengers!B372</f>
        <v>1062277</v>
      </c>
      <c r="C372" s="7">
        <f>IF(COUNTIF(Raw_Passengers!$A$2:A372,Raw_Passengers!A372)&gt;1,1,0)</f>
        <v>0</v>
      </c>
      <c r="D372" s="7">
        <f>IF(COUNTIF(Raw_Bookings!$A$2:$A$648,Raw_Passengers!B372)=0,1,0)</f>
        <v>0</v>
      </c>
      <c r="E372" s="7">
        <f>IF(OR(C372=1,D372=1),0,IF(NOT(ISNUMBER(Raw_Passengers!E372)),1,IF(Raw_Passengers!E372&lt;=0,1,0)))</f>
        <v>0</v>
      </c>
      <c r="F372" s="7">
        <f>IF(AND(C372=0,D372=0,TRIM(Raw_Passengers!D372&amp;"")=""),1,0)</f>
        <v>0</v>
      </c>
      <c r="G372" s="7" t="str">
        <f>IF(SUMPRODUCT(--(Lookup_Status!$A$2:$A$13=LOWER(TRIM(Raw_Passengers!F372))))=0,"",INDEX(Lookup_Status!$B$2:$B$13,SUMPRODUCT((Lookup_Status!$A$2:$A$13=LOWER(TRIM(Raw_Passengers!F372)))*(ROW(Lookup_Status!$A$2:$A$13)-1))))</f>
        <v>Confirmed</v>
      </c>
      <c r="H372" s="7" t="str">
        <f>IF(SUMPRODUCT(--(Lookup_Status!$A$2:$A$13=LOWER(TRIM(Raw_Passengers!G372))))=0,"",INDEX(Lookup_Status!$B$2:$B$13,SUMPRODUCT((Lookup_Status!$A$2:$A$13=LOWER(TRIM(Raw_Passengers!G372)))*(ROW(Lookup_Status!$A$2:$A$13)-1))))</f>
        <v>Confirmed</v>
      </c>
      <c r="I372" s="7">
        <f>IF(OR(G372="",G372="Cancelled",G372="Mixed"),1,0)</f>
        <v>0</v>
      </c>
      <c r="J372" s="7">
        <f>IF(OR(H372="",H372="Mixed"),1,0)</f>
        <v>0</v>
      </c>
      <c r="K372" s="7">
        <f>IF(AND(C372=0,D372=0),IF(OR(AND(I372=0,NOT(EXACT(Raw_Passengers!F372,G372))),AND(J372=0,NOT(EXACT(Raw_Passengers!G372,H372)))),1,0),0)</f>
        <v>0</v>
      </c>
      <c r="L372" s="7">
        <f>IF(AND(C372=0,D372=0,I372=1),1,0)</f>
        <v>0</v>
      </c>
      <c r="M372" s="7">
        <f>IF(AND(C372=0,D372=0,J372=1),1,0)</f>
        <v>0</v>
      </c>
    </row>
    <row r="373" spans="1:13">
      <c r="A373" s="7">
        <f>Raw_Passengers!A373</f>
        <v>125879</v>
      </c>
      <c r="B373" s="7">
        <f>Raw_Passengers!B373</f>
        <v>1062319</v>
      </c>
      <c r="C373" s="7">
        <f>IF(COUNTIF(Raw_Passengers!$A$2:A373,Raw_Passengers!A373)&gt;1,1,0)</f>
        <v>0</v>
      </c>
      <c r="D373" s="7">
        <f>IF(COUNTIF(Raw_Bookings!$A$2:$A$648,Raw_Passengers!B373)=0,1,0)</f>
        <v>0</v>
      </c>
      <c r="E373" s="7">
        <f>IF(OR(C373=1,D373=1),0,IF(NOT(ISNUMBER(Raw_Passengers!E373)),1,IF(Raw_Passengers!E373&lt;=0,1,0)))</f>
        <v>0</v>
      </c>
      <c r="F373" s="7">
        <f>IF(AND(C373=0,D373=0,TRIM(Raw_Passengers!D373&amp;"")=""),1,0)</f>
        <v>0</v>
      </c>
      <c r="G373" s="7" t="str">
        <f>IF(SUMPRODUCT(--(Lookup_Status!$A$2:$A$13=LOWER(TRIM(Raw_Passengers!F373))))=0,"",INDEX(Lookup_Status!$B$2:$B$13,SUMPRODUCT((Lookup_Status!$A$2:$A$13=LOWER(TRIM(Raw_Passengers!F373)))*(ROW(Lookup_Status!$A$2:$A$13)-1))))</f>
        <v>Confirmed</v>
      </c>
      <c r="H373" s="7" t="str">
        <f>IF(SUMPRODUCT(--(Lookup_Status!$A$2:$A$13=LOWER(TRIM(Raw_Passengers!G373))))=0,"",INDEX(Lookup_Status!$B$2:$B$13,SUMPRODUCT((Lookup_Status!$A$2:$A$13=LOWER(TRIM(Raw_Passengers!G373)))*(ROW(Lookup_Status!$A$2:$A$13)-1))))</f>
        <v>Confirmed</v>
      </c>
      <c r="I373" s="7">
        <f>IF(OR(G373="",G373="Cancelled",G373="Mixed"),1,0)</f>
        <v>0</v>
      </c>
      <c r="J373" s="7">
        <f>IF(OR(H373="",H373="Mixed"),1,0)</f>
        <v>0</v>
      </c>
      <c r="K373" s="7">
        <f>IF(AND(C373=0,D373=0),IF(OR(AND(I373=0,NOT(EXACT(Raw_Passengers!F373,G373))),AND(J373=0,NOT(EXACT(Raw_Passengers!G373,H373)))),1,0),0)</f>
        <v>0</v>
      </c>
      <c r="L373" s="7">
        <f>IF(AND(C373=0,D373=0,I373=1),1,0)</f>
        <v>0</v>
      </c>
      <c r="M373" s="7">
        <f>IF(AND(C373=0,D373=0,J373=1),1,0)</f>
        <v>0</v>
      </c>
    </row>
    <row r="374" spans="1:13">
      <c r="A374" s="7">
        <f>Raw_Passengers!A374</f>
        <v>125880</v>
      </c>
      <c r="B374" s="7">
        <f>Raw_Passengers!B374</f>
        <v>1062319</v>
      </c>
      <c r="C374" s="7">
        <f>IF(COUNTIF(Raw_Passengers!$A$2:A374,Raw_Passengers!A374)&gt;1,1,0)</f>
        <v>0</v>
      </c>
      <c r="D374" s="7">
        <f>IF(COUNTIF(Raw_Bookings!$A$2:$A$648,Raw_Passengers!B374)=0,1,0)</f>
        <v>0</v>
      </c>
      <c r="E374" s="7">
        <f>IF(OR(C374=1,D374=1),0,IF(NOT(ISNUMBER(Raw_Passengers!E374)),1,IF(Raw_Passengers!E374&lt;=0,1,0)))</f>
        <v>0</v>
      </c>
      <c r="F374" s="7">
        <f>IF(AND(C374=0,D374=0,TRIM(Raw_Passengers!D374&amp;"")=""),1,0)</f>
        <v>0</v>
      </c>
      <c r="G374" s="7" t="str">
        <f>IF(SUMPRODUCT(--(Lookup_Status!$A$2:$A$13=LOWER(TRIM(Raw_Passengers!F374))))=0,"",INDEX(Lookup_Status!$B$2:$B$13,SUMPRODUCT((Lookup_Status!$A$2:$A$13=LOWER(TRIM(Raw_Passengers!F374)))*(ROW(Lookup_Status!$A$2:$A$13)-1))))</f>
        <v>Confirmed</v>
      </c>
      <c r="H374" s="7" t="str">
        <f>IF(SUMPRODUCT(--(Lookup_Status!$A$2:$A$13=LOWER(TRIM(Raw_Passengers!G374))))=0,"",INDEX(Lookup_Status!$B$2:$B$13,SUMPRODUCT((Lookup_Status!$A$2:$A$13=LOWER(TRIM(Raw_Passengers!G374)))*(ROW(Lookup_Status!$A$2:$A$13)-1))))</f>
        <v>Confirmed</v>
      </c>
      <c r="I374" s="7">
        <f>IF(OR(G374="",G374="Cancelled",G374="Mixed"),1,0)</f>
        <v>0</v>
      </c>
      <c r="J374" s="7">
        <f>IF(OR(H374="",H374="Mixed"),1,0)</f>
        <v>0</v>
      </c>
      <c r="K374" s="7">
        <f>IF(AND(C374=0,D374=0),IF(OR(AND(I374=0,NOT(EXACT(Raw_Passengers!F374,G374))),AND(J374=0,NOT(EXACT(Raw_Passengers!G374,H374)))),1,0),0)</f>
        <v>0</v>
      </c>
      <c r="L374" s="7">
        <f>IF(AND(C374=0,D374=0,I374=1),1,0)</f>
        <v>0</v>
      </c>
      <c r="M374" s="7">
        <f>IF(AND(C374=0,D374=0,J374=1),1,0)</f>
        <v>0</v>
      </c>
    </row>
    <row r="375" spans="1:13">
      <c r="A375" s="7">
        <f>Raw_Passengers!A375</f>
        <v>125881</v>
      </c>
      <c r="B375" s="7">
        <f>Raw_Passengers!B375</f>
        <v>1062319</v>
      </c>
      <c r="C375" s="7">
        <f>IF(COUNTIF(Raw_Passengers!$A$2:A375,Raw_Passengers!A375)&gt;1,1,0)</f>
        <v>0</v>
      </c>
      <c r="D375" s="7">
        <f>IF(COUNTIF(Raw_Bookings!$A$2:$A$648,Raw_Passengers!B375)=0,1,0)</f>
        <v>0</v>
      </c>
      <c r="E375" s="7">
        <f>IF(OR(C375=1,D375=1),0,IF(NOT(ISNUMBER(Raw_Passengers!E375)),1,IF(Raw_Passengers!E375&lt;=0,1,0)))</f>
        <v>0</v>
      </c>
      <c r="F375" s="7">
        <f>IF(AND(C375=0,D375=0,TRIM(Raw_Passengers!D375&amp;"")=""),1,0)</f>
        <v>0</v>
      </c>
      <c r="G375" s="7" t="str">
        <f>IF(SUMPRODUCT(--(Lookup_Status!$A$2:$A$13=LOWER(TRIM(Raw_Passengers!F375))))=0,"",INDEX(Lookup_Status!$B$2:$B$13,SUMPRODUCT((Lookup_Status!$A$2:$A$13=LOWER(TRIM(Raw_Passengers!F375)))*(ROW(Lookup_Status!$A$2:$A$13)-1))))</f>
        <v>Confirmed</v>
      </c>
      <c r="H375" s="7" t="str">
        <f>IF(SUMPRODUCT(--(Lookup_Status!$A$2:$A$13=LOWER(TRIM(Raw_Passengers!G375))))=0,"",INDEX(Lookup_Status!$B$2:$B$13,SUMPRODUCT((Lookup_Status!$A$2:$A$13=LOWER(TRIM(Raw_Passengers!G375)))*(ROW(Lookup_Status!$A$2:$A$13)-1))))</f>
        <v>Confirmed</v>
      </c>
      <c r="I375" s="7">
        <f>IF(OR(G375="",G375="Cancelled",G375="Mixed"),1,0)</f>
        <v>0</v>
      </c>
      <c r="J375" s="7">
        <f>IF(OR(H375="",H375="Mixed"),1,0)</f>
        <v>0</v>
      </c>
      <c r="K375" s="7">
        <f>IF(AND(C375=0,D375=0),IF(OR(AND(I375=0,NOT(EXACT(Raw_Passengers!F375,G375))),AND(J375=0,NOT(EXACT(Raw_Passengers!G375,H375)))),1,0),0)</f>
        <v>0</v>
      </c>
      <c r="L375" s="7">
        <f>IF(AND(C375=0,D375=0,I375=1),1,0)</f>
        <v>0</v>
      </c>
      <c r="M375" s="7">
        <f>IF(AND(C375=0,D375=0,J375=1),1,0)</f>
        <v>0</v>
      </c>
    </row>
    <row r="376" spans="1:13">
      <c r="A376" s="7">
        <f>Raw_Passengers!A376</f>
        <v>125882</v>
      </c>
      <c r="B376" s="7">
        <f>Raw_Passengers!B376</f>
        <v>1062319</v>
      </c>
      <c r="C376" s="7">
        <f>IF(COUNTIF(Raw_Passengers!$A$2:A376,Raw_Passengers!A376)&gt;1,1,0)</f>
        <v>0</v>
      </c>
      <c r="D376" s="7">
        <f>IF(COUNTIF(Raw_Bookings!$A$2:$A$648,Raw_Passengers!B376)=0,1,0)</f>
        <v>0</v>
      </c>
      <c r="E376" s="7">
        <f>IF(OR(C376=1,D376=1),0,IF(NOT(ISNUMBER(Raw_Passengers!E376)),1,IF(Raw_Passengers!E376&lt;=0,1,0)))</f>
        <v>0</v>
      </c>
      <c r="F376" s="7">
        <f>IF(AND(C376=0,D376=0,TRIM(Raw_Passengers!D376&amp;"")=""),1,0)</f>
        <v>0</v>
      </c>
      <c r="G376" s="7" t="str">
        <f>IF(SUMPRODUCT(--(Lookup_Status!$A$2:$A$13=LOWER(TRIM(Raw_Passengers!F376))))=0,"",INDEX(Lookup_Status!$B$2:$B$13,SUMPRODUCT((Lookup_Status!$A$2:$A$13=LOWER(TRIM(Raw_Passengers!F376)))*(ROW(Lookup_Status!$A$2:$A$13)-1))))</f>
        <v>Confirmed</v>
      </c>
      <c r="H376" s="7" t="str">
        <f>IF(SUMPRODUCT(--(Lookup_Status!$A$2:$A$13=LOWER(TRIM(Raw_Passengers!G376))))=0,"",INDEX(Lookup_Status!$B$2:$B$13,SUMPRODUCT((Lookup_Status!$A$2:$A$13=LOWER(TRIM(Raw_Passengers!G376)))*(ROW(Lookup_Status!$A$2:$A$13)-1))))</f>
        <v>Confirmed</v>
      </c>
      <c r="I376" s="7">
        <f>IF(OR(G376="",G376="Cancelled",G376="Mixed"),1,0)</f>
        <v>0</v>
      </c>
      <c r="J376" s="7">
        <f>IF(OR(H376="",H376="Mixed"),1,0)</f>
        <v>0</v>
      </c>
      <c r="K376" s="7">
        <f>IF(AND(C376=0,D376=0),IF(OR(AND(I376=0,NOT(EXACT(Raw_Passengers!F376,G376))),AND(J376=0,NOT(EXACT(Raw_Passengers!G376,H376)))),1,0),0)</f>
        <v>0</v>
      </c>
      <c r="L376" s="7">
        <f>IF(AND(C376=0,D376=0,I376=1),1,0)</f>
        <v>0</v>
      </c>
      <c r="M376" s="7">
        <f>IF(AND(C376=0,D376=0,J376=1),1,0)</f>
        <v>0</v>
      </c>
    </row>
    <row r="377" spans="1:13">
      <c r="A377" s="7">
        <f>Raw_Passengers!A377</f>
        <v>125883</v>
      </c>
      <c r="B377" s="7">
        <f>Raw_Passengers!B377</f>
        <v>1062319</v>
      </c>
      <c r="C377" s="7">
        <f>IF(COUNTIF(Raw_Passengers!$A$2:A377,Raw_Passengers!A377)&gt;1,1,0)</f>
        <v>0</v>
      </c>
      <c r="D377" s="7">
        <f>IF(COUNTIF(Raw_Bookings!$A$2:$A$648,Raw_Passengers!B377)=0,1,0)</f>
        <v>0</v>
      </c>
      <c r="E377" s="7">
        <f>IF(OR(C377=1,D377=1),0,IF(NOT(ISNUMBER(Raw_Passengers!E377)),1,IF(Raw_Passengers!E377&lt;=0,1,0)))</f>
        <v>0</v>
      </c>
      <c r="F377" s="7">
        <f>IF(AND(C377=0,D377=0,TRIM(Raw_Passengers!D377&amp;"")=""),1,0)</f>
        <v>0</v>
      </c>
      <c r="G377" s="7" t="str">
        <f>IF(SUMPRODUCT(--(Lookup_Status!$A$2:$A$13=LOWER(TRIM(Raw_Passengers!F377))))=0,"",INDEX(Lookup_Status!$B$2:$B$13,SUMPRODUCT((Lookup_Status!$A$2:$A$13=LOWER(TRIM(Raw_Passengers!F377)))*(ROW(Lookup_Status!$A$2:$A$13)-1))))</f>
        <v>Confirmed</v>
      </c>
      <c r="H377" s="7" t="str">
        <f>IF(SUMPRODUCT(--(Lookup_Status!$A$2:$A$13=LOWER(TRIM(Raw_Passengers!G377))))=0,"",INDEX(Lookup_Status!$B$2:$B$13,SUMPRODUCT((Lookup_Status!$A$2:$A$13=LOWER(TRIM(Raw_Passengers!G377)))*(ROW(Lookup_Status!$A$2:$A$13)-1))))</f>
        <v>Confirmed</v>
      </c>
      <c r="I377" s="7">
        <f>IF(OR(G377="",G377="Cancelled",G377="Mixed"),1,0)</f>
        <v>0</v>
      </c>
      <c r="J377" s="7">
        <f>IF(OR(H377="",H377="Mixed"),1,0)</f>
        <v>0</v>
      </c>
      <c r="K377" s="7">
        <f>IF(AND(C377=0,D377=0),IF(OR(AND(I377=0,NOT(EXACT(Raw_Passengers!F377,G377))),AND(J377=0,NOT(EXACT(Raw_Passengers!G377,H377)))),1,0),0)</f>
        <v>0</v>
      </c>
      <c r="L377" s="7">
        <f>IF(AND(C377=0,D377=0,I377=1),1,0)</f>
        <v>0</v>
      </c>
      <c r="M377" s="7">
        <f>IF(AND(C377=0,D377=0,J377=1),1,0)</f>
        <v>0</v>
      </c>
    </row>
    <row r="378" spans="1:13">
      <c r="A378" s="7">
        <f>Raw_Passengers!A378</f>
        <v>125884</v>
      </c>
      <c r="B378" s="7">
        <f>Raw_Passengers!B378</f>
        <v>1062319</v>
      </c>
      <c r="C378" s="7">
        <f>IF(COUNTIF(Raw_Passengers!$A$2:A378,Raw_Passengers!A378)&gt;1,1,0)</f>
        <v>0</v>
      </c>
      <c r="D378" s="7">
        <f>IF(COUNTIF(Raw_Bookings!$A$2:$A$648,Raw_Passengers!B378)=0,1,0)</f>
        <v>0</v>
      </c>
      <c r="E378" s="7">
        <f>IF(OR(C378=1,D378=1),0,IF(NOT(ISNUMBER(Raw_Passengers!E378)),1,IF(Raw_Passengers!E378&lt;=0,1,0)))</f>
        <v>0</v>
      </c>
      <c r="F378" s="7">
        <f>IF(AND(C378=0,D378=0,TRIM(Raw_Passengers!D378&amp;"")=""),1,0)</f>
        <v>0</v>
      </c>
      <c r="G378" s="7" t="str">
        <f>IF(SUMPRODUCT(--(Lookup_Status!$A$2:$A$13=LOWER(TRIM(Raw_Passengers!F378))))=0,"",INDEX(Lookup_Status!$B$2:$B$13,SUMPRODUCT((Lookup_Status!$A$2:$A$13=LOWER(TRIM(Raw_Passengers!F378)))*(ROW(Lookup_Status!$A$2:$A$13)-1))))</f>
        <v>Confirmed</v>
      </c>
      <c r="H378" s="7" t="str">
        <f>IF(SUMPRODUCT(--(Lookup_Status!$A$2:$A$13=LOWER(TRIM(Raw_Passengers!G378))))=0,"",INDEX(Lookup_Status!$B$2:$B$13,SUMPRODUCT((Lookup_Status!$A$2:$A$13=LOWER(TRIM(Raw_Passengers!G378)))*(ROW(Lookup_Status!$A$2:$A$13)-1))))</f>
        <v>Confirmed</v>
      </c>
      <c r="I378" s="7">
        <f>IF(OR(G378="",G378="Cancelled",G378="Mixed"),1,0)</f>
        <v>0</v>
      </c>
      <c r="J378" s="7">
        <f>IF(OR(H378="",H378="Mixed"),1,0)</f>
        <v>0</v>
      </c>
      <c r="K378" s="7">
        <f>IF(AND(C378=0,D378=0),IF(OR(AND(I378=0,NOT(EXACT(Raw_Passengers!F378,G378))),AND(J378=0,NOT(EXACT(Raw_Passengers!G378,H378)))),1,0),0)</f>
        <v>0</v>
      </c>
      <c r="L378" s="7">
        <f>IF(AND(C378=0,D378=0,I378=1),1,0)</f>
        <v>0</v>
      </c>
      <c r="M378" s="7">
        <f>IF(AND(C378=0,D378=0,J378=1),1,0)</f>
        <v>0</v>
      </c>
    </row>
    <row r="379" spans="1:13">
      <c r="A379" s="7">
        <f>Raw_Passengers!A379</f>
        <v>126793</v>
      </c>
      <c r="B379" s="7">
        <f>Raw_Passengers!B379</f>
        <v>1062784</v>
      </c>
      <c r="C379" s="7">
        <f>IF(COUNTIF(Raw_Passengers!$A$2:A379,Raw_Passengers!A379)&gt;1,1,0)</f>
        <v>0</v>
      </c>
      <c r="D379" s="7">
        <f>IF(COUNTIF(Raw_Bookings!$A$2:$A$648,Raw_Passengers!B379)=0,1,0)</f>
        <v>0</v>
      </c>
      <c r="E379" s="7">
        <f>IF(OR(C379=1,D379=1),0,IF(NOT(ISNUMBER(Raw_Passengers!E379)),1,IF(Raw_Passengers!E379&lt;=0,1,0)))</f>
        <v>0</v>
      </c>
      <c r="F379" s="7">
        <f>IF(AND(C379=0,D379=0,TRIM(Raw_Passengers!D379&amp;"")=""),1,0)</f>
        <v>0</v>
      </c>
      <c r="G379" s="7" t="str">
        <f>IF(SUMPRODUCT(--(Lookup_Status!$A$2:$A$13=LOWER(TRIM(Raw_Passengers!F379))))=0,"",INDEX(Lookup_Status!$B$2:$B$13,SUMPRODUCT((Lookup_Status!$A$2:$A$13=LOWER(TRIM(Raw_Passengers!F379)))*(ROW(Lookup_Status!$A$2:$A$13)-1))))</f>
        <v>Confirmed</v>
      </c>
      <c r="H379" s="7" t="str">
        <f>IF(SUMPRODUCT(--(Lookup_Status!$A$2:$A$13=LOWER(TRIM(Raw_Passengers!G379))))=0,"",INDEX(Lookup_Status!$B$2:$B$13,SUMPRODUCT((Lookup_Status!$A$2:$A$13=LOWER(TRIM(Raw_Passengers!G379)))*(ROW(Lookup_Status!$A$2:$A$13)-1))))</f>
        <v>Confirmed</v>
      </c>
      <c r="I379" s="7">
        <f>IF(OR(G379="",G379="Cancelled",G379="Mixed"),1,0)</f>
        <v>0</v>
      </c>
      <c r="J379" s="7">
        <f>IF(OR(H379="",H379="Mixed"),1,0)</f>
        <v>0</v>
      </c>
      <c r="K379" s="7">
        <f>IF(AND(C379=0,D379=0),IF(OR(AND(I379=0,NOT(EXACT(Raw_Passengers!F379,G379))),AND(J379=0,NOT(EXACT(Raw_Passengers!G379,H379)))),1,0),0)</f>
        <v>0</v>
      </c>
      <c r="L379" s="7">
        <f>IF(AND(C379=0,D379=0,I379=1),1,0)</f>
        <v>0</v>
      </c>
      <c r="M379" s="7">
        <f>IF(AND(C379=0,D379=0,J379=1),1,0)</f>
        <v>0</v>
      </c>
    </row>
    <row r="380" spans="1:13">
      <c r="A380" s="7">
        <f>Raw_Passengers!A380</f>
        <v>126845</v>
      </c>
      <c r="B380" s="7">
        <f>Raw_Passengers!B380</f>
        <v>1062812</v>
      </c>
      <c r="C380" s="7">
        <f>IF(COUNTIF(Raw_Passengers!$A$2:A380,Raw_Passengers!A380)&gt;1,1,0)</f>
        <v>0</v>
      </c>
      <c r="D380" s="7">
        <f>IF(COUNTIF(Raw_Bookings!$A$2:$A$648,Raw_Passengers!B380)=0,1,0)</f>
        <v>0</v>
      </c>
      <c r="E380" s="7">
        <f>IF(OR(C380=1,D380=1),0,IF(NOT(ISNUMBER(Raw_Passengers!E380)),1,IF(Raw_Passengers!E380&lt;=0,1,0)))</f>
        <v>0</v>
      </c>
      <c r="F380" s="7">
        <f>IF(AND(C380=0,D380=0,TRIM(Raw_Passengers!D380&amp;"")=""),1,0)</f>
        <v>0</v>
      </c>
      <c r="G380" s="7" t="str">
        <f>IF(SUMPRODUCT(--(Lookup_Status!$A$2:$A$13=LOWER(TRIM(Raw_Passengers!F380))))=0,"",INDEX(Lookup_Status!$B$2:$B$13,SUMPRODUCT((Lookup_Status!$A$2:$A$13=LOWER(TRIM(Raw_Passengers!F380)))*(ROW(Lookup_Status!$A$2:$A$13)-1))))</f>
        <v>RAC</v>
      </c>
      <c r="H380" s="7" t="str">
        <f>IF(SUMPRODUCT(--(Lookup_Status!$A$2:$A$13=LOWER(TRIM(Raw_Passengers!G380))))=0,"",INDEX(Lookup_Status!$B$2:$B$13,SUMPRODUCT((Lookup_Status!$A$2:$A$13=LOWER(TRIM(Raw_Passengers!G380)))*(ROW(Lookup_Status!$A$2:$A$13)-1))))</f>
        <v>RAC</v>
      </c>
      <c r="I380" s="7">
        <f>IF(OR(G380="",G380="Cancelled",G380="Mixed"),1,0)</f>
        <v>0</v>
      </c>
      <c r="J380" s="7">
        <f>IF(OR(H380="",H380="Mixed"),1,0)</f>
        <v>0</v>
      </c>
      <c r="K380" s="7">
        <f>IF(AND(C380=0,D380=0),IF(OR(AND(I380=0,NOT(EXACT(Raw_Passengers!F380,G380))),AND(J380=0,NOT(EXACT(Raw_Passengers!G380,H380)))),1,0),0)</f>
        <v>0</v>
      </c>
      <c r="L380" s="7">
        <f>IF(AND(C380=0,D380=0,I380=1),1,0)</f>
        <v>0</v>
      </c>
      <c r="M380" s="7">
        <f>IF(AND(C380=0,D380=0,J380=1),1,0)</f>
        <v>0</v>
      </c>
    </row>
    <row r="381" spans="1:13">
      <c r="A381" s="7">
        <f>Raw_Passengers!A381</f>
        <v>127797</v>
      </c>
      <c r="B381" s="7">
        <f>Raw_Passengers!B381</f>
        <v>1063280</v>
      </c>
      <c r="C381" s="7">
        <f>IF(COUNTIF(Raw_Passengers!$A$2:A381,Raw_Passengers!A381)&gt;1,1,0)</f>
        <v>0</v>
      </c>
      <c r="D381" s="7">
        <f>IF(COUNTIF(Raw_Bookings!$A$2:$A$648,Raw_Passengers!B381)=0,1,0)</f>
        <v>0</v>
      </c>
      <c r="E381" s="7">
        <f>IF(OR(C381=1,D381=1),0,IF(NOT(ISNUMBER(Raw_Passengers!E381)),1,IF(Raw_Passengers!E381&lt;=0,1,0)))</f>
        <v>0</v>
      </c>
      <c r="F381" s="7">
        <f>IF(AND(C381=0,D381=0,TRIM(Raw_Passengers!D381&amp;"")=""),1,0)</f>
        <v>0</v>
      </c>
      <c r="G381" s="7" t="str">
        <f>IF(SUMPRODUCT(--(Lookup_Status!$A$2:$A$13=LOWER(TRIM(Raw_Passengers!F381))))=0,"",INDEX(Lookup_Status!$B$2:$B$13,SUMPRODUCT((Lookup_Status!$A$2:$A$13=LOWER(TRIM(Raw_Passengers!F381)))*(ROW(Lookup_Status!$A$2:$A$13)-1))))</f>
        <v>Confirmed</v>
      </c>
      <c r="H381" s="7" t="str">
        <f>IF(SUMPRODUCT(--(Lookup_Status!$A$2:$A$13=LOWER(TRIM(Raw_Passengers!G381))))=0,"",INDEX(Lookup_Status!$B$2:$B$13,SUMPRODUCT((Lookup_Status!$A$2:$A$13=LOWER(TRIM(Raw_Passengers!G381)))*(ROW(Lookup_Status!$A$2:$A$13)-1))))</f>
        <v>Confirmed</v>
      </c>
      <c r="I381" s="7">
        <f>IF(OR(G381="",G381="Cancelled",G381="Mixed"),1,0)</f>
        <v>0</v>
      </c>
      <c r="J381" s="7">
        <f>IF(OR(H381="",H381="Mixed"),1,0)</f>
        <v>0</v>
      </c>
      <c r="K381" s="7">
        <f>IF(AND(C381=0,D381=0),IF(OR(AND(I381=0,NOT(EXACT(Raw_Passengers!F381,G381))),AND(J381=0,NOT(EXACT(Raw_Passengers!G381,H381)))),1,0),0)</f>
        <v>0</v>
      </c>
      <c r="L381" s="7">
        <f>IF(AND(C381=0,D381=0,I381=1),1,0)</f>
        <v>0</v>
      </c>
      <c r="M381" s="7">
        <f>IF(AND(C381=0,D381=0,J381=1),1,0)</f>
        <v>0</v>
      </c>
    </row>
    <row r="382" spans="1:13">
      <c r="A382" s="7">
        <f>Raw_Passengers!A382</f>
        <v>128632</v>
      </c>
      <c r="B382" s="7">
        <f>Raw_Passengers!B382</f>
        <v>1063693</v>
      </c>
      <c r="C382" s="7">
        <f>IF(COUNTIF(Raw_Passengers!$A$2:A382,Raw_Passengers!A382)&gt;1,1,0)</f>
        <v>0</v>
      </c>
      <c r="D382" s="7">
        <f>IF(COUNTIF(Raw_Bookings!$A$2:$A$648,Raw_Passengers!B382)=0,1,0)</f>
        <v>0</v>
      </c>
      <c r="E382" s="7">
        <f>IF(OR(C382=1,D382=1),0,IF(NOT(ISNUMBER(Raw_Passengers!E382)),1,IF(Raw_Passengers!E382&lt;=0,1,0)))</f>
        <v>0</v>
      </c>
      <c r="F382" s="7">
        <f>IF(AND(C382=0,D382=0,TRIM(Raw_Passengers!D382&amp;"")=""),1,0)</f>
        <v>0</v>
      </c>
      <c r="G382" s="7" t="str">
        <f>IF(SUMPRODUCT(--(Lookup_Status!$A$2:$A$13=LOWER(TRIM(Raw_Passengers!F382))))=0,"",INDEX(Lookup_Status!$B$2:$B$13,SUMPRODUCT((Lookup_Status!$A$2:$A$13=LOWER(TRIM(Raw_Passengers!F382)))*(ROW(Lookup_Status!$A$2:$A$13)-1))))</f>
        <v>Confirmed</v>
      </c>
      <c r="H382" s="7" t="str">
        <f>IF(SUMPRODUCT(--(Lookup_Status!$A$2:$A$13=LOWER(TRIM(Raw_Passengers!G382))))=0,"",INDEX(Lookup_Status!$B$2:$B$13,SUMPRODUCT((Lookup_Status!$A$2:$A$13=LOWER(TRIM(Raw_Passengers!G382)))*(ROW(Lookup_Status!$A$2:$A$13)-1))))</f>
        <v>Confirmed</v>
      </c>
      <c r="I382" s="7">
        <f>IF(OR(G382="",G382="Cancelled",G382="Mixed"),1,0)</f>
        <v>0</v>
      </c>
      <c r="J382" s="7">
        <f>IF(OR(H382="",H382="Mixed"),1,0)</f>
        <v>0</v>
      </c>
      <c r="K382" s="7">
        <f>IF(AND(C382=0,D382=0),IF(OR(AND(I382=0,NOT(EXACT(Raw_Passengers!F382,G382))),AND(J382=0,NOT(EXACT(Raw_Passengers!G382,H382)))),1,0),0)</f>
        <v>0</v>
      </c>
      <c r="L382" s="7">
        <f>IF(AND(C382=0,D382=0,I382=1),1,0)</f>
        <v>0</v>
      </c>
      <c r="M382" s="7">
        <f>IF(AND(C382=0,D382=0,J382=1),1,0)</f>
        <v>0</v>
      </c>
    </row>
    <row r="383" spans="1:13">
      <c r="A383" s="7">
        <f>Raw_Passengers!A383</f>
        <v>129997</v>
      </c>
      <c r="B383" s="7">
        <f>Raw_Passengers!B383</f>
        <v>1064376</v>
      </c>
      <c r="C383" s="7">
        <f>IF(COUNTIF(Raw_Passengers!$A$2:A383,Raw_Passengers!A383)&gt;1,1,0)</f>
        <v>0</v>
      </c>
      <c r="D383" s="7">
        <f>IF(COUNTIF(Raw_Bookings!$A$2:$A$648,Raw_Passengers!B383)=0,1,0)</f>
        <v>0</v>
      </c>
      <c r="E383" s="7">
        <f>IF(OR(C383=1,D383=1),0,IF(NOT(ISNUMBER(Raw_Passengers!E383)),1,IF(Raw_Passengers!E383&lt;=0,1,0)))</f>
        <v>0</v>
      </c>
      <c r="F383" s="7">
        <f>IF(AND(C383=0,D383=0,TRIM(Raw_Passengers!D383&amp;"")=""),1,0)</f>
        <v>0</v>
      </c>
      <c r="G383" s="7" t="str">
        <f>IF(SUMPRODUCT(--(Lookup_Status!$A$2:$A$13=LOWER(TRIM(Raw_Passengers!F383))))=0,"",INDEX(Lookup_Status!$B$2:$B$13,SUMPRODUCT((Lookup_Status!$A$2:$A$13=LOWER(TRIM(Raw_Passengers!F383)))*(ROW(Lookup_Status!$A$2:$A$13)-1))))</f>
        <v>Confirmed</v>
      </c>
      <c r="H383" s="7" t="str">
        <f>IF(SUMPRODUCT(--(Lookup_Status!$A$2:$A$13=LOWER(TRIM(Raw_Passengers!G383))))=0,"",INDEX(Lookup_Status!$B$2:$B$13,SUMPRODUCT((Lookup_Status!$A$2:$A$13=LOWER(TRIM(Raw_Passengers!G383)))*(ROW(Lookup_Status!$A$2:$A$13)-1))))</f>
        <v>Confirmed</v>
      </c>
      <c r="I383" s="7">
        <f>IF(OR(G383="",G383="Cancelled",G383="Mixed"),1,0)</f>
        <v>0</v>
      </c>
      <c r="J383" s="7">
        <f>IF(OR(H383="",H383="Mixed"),1,0)</f>
        <v>0</v>
      </c>
      <c r="K383" s="7">
        <f>IF(AND(C383=0,D383=0),IF(OR(AND(I383=0,NOT(EXACT(Raw_Passengers!F383,G383))),AND(J383=0,NOT(EXACT(Raw_Passengers!G383,H383)))),1,0),0)</f>
        <v>0</v>
      </c>
      <c r="L383" s="7">
        <f>IF(AND(C383=0,D383=0,I383=1),1,0)</f>
        <v>0</v>
      </c>
      <c r="M383" s="7">
        <f>IF(AND(C383=0,D383=0,J383=1),1,0)</f>
        <v>0</v>
      </c>
    </row>
    <row r="384" spans="1:13">
      <c r="A384" s="7">
        <f>Raw_Passengers!A384</f>
        <v>129998</v>
      </c>
      <c r="B384" s="7">
        <f>Raw_Passengers!B384</f>
        <v>1064376</v>
      </c>
      <c r="C384" s="7">
        <f>IF(COUNTIF(Raw_Passengers!$A$2:A384,Raw_Passengers!A384)&gt;1,1,0)</f>
        <v>0</v>
      </c>
      <c r="D384" s="7">
        <f>IF(COUNTIF(Raw_Bookings!$A$2:$A$648,Raw_Passengers!B384)=0,1,0)</f>
        <v>0</v>
      </c>
      <c r="E384" s="7">
        <f>IF(OR(C384=1,D384=1),0,IF(NOT(ISNUMBER(Raw_Passengers!E384)),1,IF(Raw_Passengers!E384&lt;=0,1,0)))</f>
        <v>0</v>
      </c>
      <c r="F384" s="7">
        <f>IF(AND(C384=0,D384=0,TRIM(Raw_Passengers!D384&amp;"")=""),1,0)</f>
        <v>0</v>
      </c>
      <c r="G384" s="7" t="str">
        <f>IF(SUMPRODUCT(--(Lookup_Status!$A$2:$A$13=LOWER(TRIM(Raw_Passengers!F384))))=0,"",INDEX(Lookup_Status!$B$2:$B$13,SUMPRODUCT((Lookup_Status!$A$2:$A$13=LOWER(TRIM(Raw_Passengers!F384)))*(ROW(Lookup_Status!$A$2:$A$13)-1))))</f>
        <v>Confirmed</v>
      </c>
      <c r="H384" s="7" t="str">
        <f>IF(SUMPRODUCT(--(Lookup_Status!$A$2:$A$13=LOWER(TRIM(Raw_Passengers!G384))))=0,"",INDEX(Lookup_Status!$B$2:$B$13,SUMPRODUCT((Lookup_Status!$A$2:$A$13=LOWER(TRIM(Raw_Passengers!G384)))*(ROW(Lookup_Status!$A$2:$A$13)-1))))</f>
        <v>Confirmed</v>
      </c>
      <c r="I384" s="7">
        <f>IF(OR(G384="",G384="Cancelled",G384="Mixed"),1,0)</f>
        <v>0</v>
      </c>
      <c r="J384" s="7">
        <f>IF(OR(H384="",H384="Mixed"),1,0)</f>
        <v>0</v>
      </c>
      <c r="K384" s="7">
        <f>IF(AND(C384=0,D384=0),IF(OR(AND(I384=0,NOT(EXACT(Raw_Passengers!F384,G384))),AND(J384=0,NOT(EXACT(Raw_Passengers!G384,H384)))),1,0),0)</f>
        <v>0</v>
      </c>
      <c r="L384" s="7">
        <f>IF(AND(C384=0,D384=0,I384=1),1,0)</f>
        <v>0</v>
      </c>
      <c r="M384" s="7">
        <f>IF(AND(C384=0,D384=0,J384=1),1,0)</f>
        <v>0</v>
      </c>
    </row>
    <row r="385" spans="1:13">
      <c r="A385" s="7">
        <f>Raw_Passengers!A385</f>
        <v>131108</v>
      </c>
      <c r="B385" s="7">
        <f>Raw_Passengers!B385</f>
        <v>1064925</v>
      </c>
      <c r="C385" s="7">
        <f>IF(COUNTIF(Raw_Passengers!$A$2:A385,Raw_Passengers!A385)&gt;1,1,0)</f>
        <v>0</v>
      </c>
      <c r="D385" s="7">
        <f>IF(COUNTIF(Raw_Bookings!$A$2:$A$648,Raw_Passengers!B385)=0,1,0)</f>
        <v>0</v>
      </c>
      <c r="E385" s="7">
        <f>IF(OR(C385=1,D385=1),0,IF(NOT(ISNUMBER(Raw_Passengers!E385)),1,IF(Raw_Passengers!E385&lt;=0,1,0)))</f>
        <v>0</v>
      </c>
      <c r="F385" s="7">
        <f>IF(AND(C385=0,D385=0,TRIM(Raw_Passengers!D385&amp;"")=""),1,0)</f>
        <v>0</v>
      </c>
      <c r="G385" s="7" t="str">
        <f>IF(SUMPRODUCT(--(Lookup_Status!$A$2:$A$13=LOWER(TRIM(Raw_Passengers!F385))))=0,"",INDEX(Lookup_Status!$B$2:$B$13,SUMPRODUCT((Lookup_Status!$A$2:$A$13=LOWER(TRIM(Raw_Passengers!F385)))*(ROW(Lookup_Status!$A$2:$A$13)-1))))</f>
        <v>Confirmed</v>
      </c>
      <c r="H385" s="7" t="str">
        <f>IF(SUMPRODUCT(--(Lookup_Status!$A$2:$A$13=LOWER(TRIM(Raw_Passengers!G385))))=0,"",INDEX(Lookup_Status!$B$2:$B$13,SUMPRODUCT((Lookup_Status!$A$2:$A$13=LOWER(TRIM(Raw_Passengers!G385)))*(ROW(Lookup_Status!$A$2:$A$13)-1))))</f>
        <v>Confirmed</v>
      </c>
      <c r="I385" s="7">
        <f>IF(OR(G385="",G385="Cancelled",G385="Mixed"),1,0)</f>
        <v>0</v>
      </c>
      <c r="J385" s="7">
        <f>IF(OR(H385="",H385="Mixed"),1,0)</f>
        <v>0</v>
      </c>
      <c r="K385" s="7">
        <f>IF(AND(C385=0,D385=0),IF(OR(AND(I385=0,NOT(EXACT(Raw_Passengers!F385,G385))),AND(J385=0,NOT(EXACT(Raw_Passengers!G385,H385)))),1,0),0)</f>
        <v>0</v>
      </c>
      <c r="L385" s="7">
        <f>IF(AND(C385=0,D385=0,I385=1),1,0)</f>
        <v>0</v>
      </c>
      <c r="M385" s="7">
        <f>IF(AND(C385=0,D385=0,J385=1),1,0)</f>
        <v>0</v>
      </c>
    </row>
    <row r="386" spans="1:13">
      <c r="A386" s="7">
        <f>Raw_Passengers!A386</f>
        <v>131857</v>
      </c>
      <c r="B386" s="7">
        <f>Raw_Passengers!B386</f>
        <v>1065300</v>
      </c>
      <c r="C386" s="7">
        <f>IF(COUNTIF(Raw_Passengers!$A$2:A386,Raw_Passengers!A386)&gt;1,1,0)</f>
        <v>0</v>
      </c>
      <c r="D386" s="7">
        <f>IF(COUNTIF(Raw_Bookings!$A$2:$A$648,Raw_Passengers!B386)=0,1,0)</f>
        <v>0</v>
      </c>
      <c r="E386" s="7">
        <f>IF(OR(C386=1,D386=1),0,IF(NOT(ISNUMBER(Raw_Passengers!E386)),1,IF(Raw_Passengers!E386&lt;=0,1,0)))</f>
        <v>0</v>
      </c>
      <c r="F386" s="7">
        <f>IF(AND(C386=0,D386=0,TRIM(Raw_Passengers!D386&amp;"")=""),1,0)</f>
        <v>0</v>
      </c>
      <c r="G386" s="7" t="str">
        <f>IF(SUMPRODUCT(--(Lookup_Status!$A$2:$A$13=LOWER(TRIM(Raw_Passengers!F386))))=0,"",INDEX(Lookup_Status!$B$2:$B$13,SUMPRODUCT((Lookup_Status!$A$2:$A$13=LOWER(TRIM(Raw_Passengers!F386)))*(ROW(Lookup_Status!$A$2:$A$13)-1))))</f>
        <v>Confirmed</v>
      </c>
      <c r="H386" s="7" t="str">
        <f>IF(SUMPRODUCT(--(Lookup_Status!$A$2:$A$13=LOWER(TRIM(Raw_Passengers!G386))))=0,"",INDEX(Lookup_Status!$B$2:$B$13,SUMPRODUCT((Lookup_Status!$A$2:$A$13=LOWER(TRIM(Raw_Passengers!G386)))*(ROW(Lookup_Status!$A$2:$A$13)-1))))</f>
        <v>Confirmed</v>
      </c>
      <c r="I386" s="7">
        <f>IF(OR(G386="",G386="Cancelled",G386="Mixed"),1,0)</f>
        <v>0</v>
      </c>
      <c r="J386" s="7">
        <f>IF(OR(H386="",H386="Mixed"),1,0)</f>
        <v>0</v>
      </c>
      <c r="K386" s="7">
        <f>IF(AND(C386=0,D386=0),IF(OR(AND(I386=0,NOT(EXACT(Raw_Passengers!F386,G386))),AND(J386=0,NOT(EXACT(Raw_Passengers!G386,H386)))),1,0),0)</f>
        <v>0</v>
      </c>
      <c r="L386" s="7">
        <f>IF(AND(C386=0,D386=0,I386=1),1,0)</f>
        <v>0</v>
      </c>
      <c r="M386" s="7">
        <f>IF(AND(C386=0,D386=0,J386=1),1,0)</f>
        <v>0</v>
      </c>
    </row>
    <row r="387" spans="1:13">
      <c r="A387" s="7">
        <f>Raw_Passengers!A387</f>
        <v>132365</v>
      </c>
      <c r="B387" s="7">
        <f>Raw_Passengers!B387</f>
        <v>1065560</v>
      </c>
      <c r="C387" s="7">
        <f>IF(COUNTIF(Raw_Passengers!$A$2:A387,Raw_Passengers!A387)&gt;1,1,0)</f>
        <v>0</v>
      </c>
      <c r="D387" s="7">
        <f>IF(COUNTIF(Raw_Bookings!$A$2:$A$648,Raw_Passengers!B387)=0,1,0)</f>
        <v>0</v>
      </c>
      <c r="E387" s="7">
        <f>IF(OR(C387=1,D387=1),0,IF(NOT(ISNUMBER(Raw_Passengers!E387)),1,IF(Raw_Passengers!E387&lt;=0,1,0)))</f>
        <v>0</v>
      </c>
      <c r="F387" s="7">
        <f>IF(AND(C387=0,D387=0,TRIM(Raw_Passengers!D387&amp;"")=""),1,0)</f>
        <v>0</v>
      </c>
      <c r="G387" s="7" t="str">
        <f>IF(SUMPRODUCT(--(Lookup_Status!$A$2:$A$13=LOWER(TRIM(Raw_Passengers!F387))))=0,"",INDEX(Lookup_Status!$B$2:$B$13,SUMPRODUCT((Lookup_Status!$A$2:$A$13=LOWER(TRIM(Raw_Passengers!F387)))*(ROW(Lookup_Status!$A$2:$A$13)-1))))</f>
        <v>Confirmed</v>
      </c>
      <c r="H387" s="7" t="str">
        <f>IF(SUMPRODUCT(--(Lookup_Status!$A$2:$A$13=LOWER(TRIM(Raw_Passengers!G387))))=0,"",INDEX(Lookup_Status!$B$2:$B$13,SUMPRODUCT((Lookup_Status!$A$2:$A$13=LOWER(TRIM(Raw_Passengers!G387)))*(ROW(Lookup_Status!$A$2:$A$13)-1))))</f>
        <v>Confirmed</v>
      </c>
      <c r="I387" s="7">
        <f>IF(OR(G387="",G387="Cancelled",G387="Mixed"),1,0)</f>
        <v>0</v>
      </c>
      <c r="J387" s="7">
        <f>IF(OR(H387="",H387="Mixed"),1,0)</f>
        <v>0</v>
      </c>
      <c r="K387" s="7">
        <f>IF(AND(C387=0,D387=0),IF(OR(AND(I387=0,NOT(EXACT(Raw_Passengers!F387,G387))),AND(J387=0,NOT(EXACT(Raw_Passengers!G387,H387)))),1,0),0)</f>
        <v>0</v>
      </c>
      <c r="L387" s="7">
        <f>IF(AND(C387=0,D387=0,I387=1),1,0)</f>
        <v>0</v>
      </c>
      <c r="M387" s="7">
        <f>IF(AND(C387=0,D387=0,J387=1),1,0)</f>
        <v>0</v>
      </c>
    </row>
    <row r="388" spans="1:13">
      <c r="A388" s="7">
        <f>Raw_Passengers!A388</f>
        <v>133409</v>
      </c>
      <c r="B388" s="7">
        <f>Raw_Passengers!B388</f>
        <v>1066087</v>
      </c>
      <c r="C388" s="7">
        <f>IF(COUNTIF(Raw_Passengers!$A$2:A388,Raw_Passengers!A388)&gt;1,1,0)</f>
        <v>0</v>
      </c>
      <c r="D388" s="7">
        <f>IF(COUNTIF(Raw_Bookings!$A$2:$A$648,Raw_Passengers!B388)=0,1,0)</f>
        <v>0</v>
      </c>
      <c r="E388" s="7">
        <f>IF(OR(C388=1,D388=1),0,IF(NOT(ISNUMBER(Raw_Passengers!E388)),1,IF(Raw_Passengers!E388&lt;=0,1,0)))</f>
        <v>0</v>
      </c>
      <c r="F388" s="7">
        <f>IF(AND(C388=0,D388=0,TRIM(Raw_Passengers!D388&amp;"")=""),1,0)</f>
        <v>0</v>
      </c>
      <c r="G388" s="7" t="str">
        <f>IF(SUMPRODUCT(--(Lookup_Status!$A$2:$A$13=LOWER(TRIM(Raw_Passengers!F388))))=0,"",INDEX(Lookup_Status!$B$2:$B$13,SUMPRODUCT((Lookup_Status!$A$2:$A$13=LOWER(TRIM(Raw_Passengers!F388)))*(ROW(Lookup_Status!$A$2:$A$13)-1))))</f>
        <v>Confirmed</v>
      </c>
      <c r="H388" s="7" t="str">
        <f>IF(SUMPRODUCT(--(Lookup_Status!$A$2:$A$13=LOWER(TRIM(Raw_Passengers!G388))))=0,"",INDEX(Lookup_Status!$B$2:$B$13,SUMPRODUCT((Lookup_Status!$A$2:$A$13=LOWER(TRIM(Raw_Passengers!G388)))*(ROW(Lookup_Status!$A$2:$A$13)-1))))</f>
        <v>Confirmed</v>
      </c>
      <c r="I388" s="7">
        <f>IF(OR(G388="",G388="Cancelled",G388="Mixed"),1,0)</f>
        <v>0</v>
      </c>
      <c r="J388" s="7">
        <f>IF(OR(H388="",H388="Mixed"),1,0)</f>
        <v>0</v>
      </c>
      <c r="K388" s="7">
        <f>IF(AND(C388=0,D388=0),IF(OR(AND(I388=0,NOT(EXACT(Raw_Passengers!F388,G388))),AND(J388=0,NOT(EXACT(Raw_Passengers!G388,H388)))),1,0),0)</f>
        <v>0</v>
      </c>
      <c r="L388" s="7">
        <f>IF(AND(C388=0,D388=0,I388=1),1,0)</f>
        <v>0</v>
      </c>
      <c r="M388" s="7">
        <f>IF(AND(C388=0,D388=0,J388=1),1,0)</f>
        <v>0</v>
      </c>
    </row>
    <row r="389" spans="1:13">
      <c r="A389" s="7">
        <f>Raw_Passengers!A389</f>
        <v>133410</v>
      </c>
      <c r="B389" s="7">
        <f>Raw_Passengers!B389</f>
        <v>1066087</v>
      </c>
      <c r="C389" s="7">
        <f>IF(COUNTIF(Raw_Passengers!$A$2:A389,Raw_Passengers!A389)&gt;1,1,0)</f>
        <v>0</v>
      </c>
      <c r="D389" s="7">
        <f>IF(COUNTIF(Raw_Bookings!$A$2:$A$648,Raw_Passengers!B389)=0,1,0)</f>
        <v>0</v>
      </c>
      <c r="E389" s="7">
        <f>IF(OR(C389=1,D389=1),0,IF(NOT(ISNUMBER(Raw_Passengers!E389)),1,IF(Raw_Passengers!E389&lt;=0,1,0)))</f>
        <v>0</v>
      </c>
      <c r="F389" s="7">
        <f>IF(AND(C389=0,D389=0,TRIM(Raw_Passengers!D389&amp;"")=""),1,0)</f>
        <v>0</v>
      </c>
      <c r="G389" s="7" t="str">
        <f>IF(SUMPRODUCT(--(Lookup_Status!$A$2:$A$13=LOWER(TRIM(Raw_Passengers!F389))))=0,"",INDEX(Lookup_Status!$B$2:$B$13,SUMPRODUCT((Lookup_Status!$A$2:$A$13=LOWER(TRIM(Raw_Passengers!F389)))*(ROW(Lookup_Status!$A$2:$A$13)-1))))</f>
        <v>Confirmed</v>
      </c>
      <c r="H389" s="7" t="str">
        <f>IF(SUMPRODUCT(--(Lookup_Status!$A$2:$A$13=LOWER(TRIM(Raw_Passengers!G389))))=0,"",INDEX(Lookup_Status!$B$2:$B$13,SUMPRODUCT((Lookup_Status!$A$2:$A$13=LOWER(TRIM(Raw_Passengers!G389)))*(ROW(Lookup_Status!$A$2:$A$13)-1))))</f>
        <v>Confirmed</v>
      </c>
      <c r="I389" s="7">
        <f>IF(OR(G389="",G389="Cancelled",G389="Mixed"),1,0)</f>
        <v>0</v>
      </c>
      <c r="J389" s="7">
        <f>IF(OR(H389="",H389="Mixed"),1,0)</f>
        <v>0</v>
      </c>
      <c r="K389" s="7">
        <f>IF(AND(C389=0,D389=0),IF(OR(AND(I389=0,NOT(EXACT(Raw_Passengers!F389,G389))),AND(J389=0,NOT(EXACT(Raw_Passengers!G389,H389)))),1,0),0)</f>
        <v>0</v>
      </c>
      <c r="L389" s="7">
        <f>IF(AND(C389=0,D389=0,I389=1),1,0)</f>
        <v>0</v>
      </c>
      <c r="M389" s="7">
        <f>IF(AND(C389=0,D389=0,J389=1),1,0)</f>
        <v>0</v>
      </c>
    </row>
    <row r="390" spans="1:13">
      <c r="A390" s="7">
        <f>Raw_Passengers!A390</f>
        <v>133411</v>
      </c>
      <c r="B390" s="7">
        <f>Raw_Passengers!B390</f>
        <v>1066087</v>
      </c>
      <c r="C390" s="7">
        <f>IF(COUNTIF(Raw_Passengers!$A$2:A390,Raw_Passengers!A390)&gt;1,1,0)</f>
        <v>0</v>
      </c>
      <c r="D390" s="7">
        <f>IF(COUNTIF(Raw_Bookings!$A$2:$A$648,Raw_Passengers!B390)=0,1,0)</f>
        <v>0</v>
      </c>
      <c r="E390" s="7">
        <f>IF(OR(C390=1,D390=1),0,IF(NOT(ISNUMBER(Raw_Passengers!E390)),1,IF(Raw_Passengers!E390&lt;=0,1,0)))</f>
        <v>0</v>
      </c>
      <c r="F390" s="7">
        <f>IF(AND(C390=0,D390=0,TRIM(Raw_Passengers!D390&amp;"")=""),1,0)</f>
        <v>0</v>
      </c>
      <c r="G390" s="7" t="str">
        <f>IF(SUMPRODUCT(--(Lookup_Status!$A$2:$A$13=LOWER(TRIM(Raw_Passengers!F390))))=0,"",INDEX(Lookup_Status!$B$2:$B$13,SUMPRODUCT((Lookup_Status!$A$2:$A$13=LOWER(TRIM(Raw_Passengers!F390)))*(ROW(Lookup_Status!$A$2:$A$13)-1))))</f>
        <v>Confirmed</v>
      </c>
      <c r="H390" s="7" t="str">
        <f>IF(SUMPRODUCT(--(Lookup_Status!$A$2:$A$13=LOWER(TRIM(Raw_Passengers!G390))))=0,"",INDEX(Lookup_Status!$B$2:$B$13,SUMPRODUCT((Lookup_Status!$A$2:$A$13=LOWER(TRIM(Raw_Passengers!G390)))*(ROW(Lookup_Status!$A$2:$A$13)-1))))</f>
        <v>Confirmed</v>
      </c>
      <c r="I390" s="7">
        <f>IF(OR(G390="",G390="Cancelled",G390="Mixed"),1,0)</f>
        <v>0</v>
      </c>
      <c r="J390" s="7">
        <f>IF(OR(H390="",H390="Mixed"),1,0)</f>
        <v>0</v>
      </c>
      <c r="K390" s="7">
        <f>IF(AND(C390=0,D390=0),IF(OR(AND(I390=0,NOT(EXACT(Raw_Passengers!F390,G390))),AND(J390=0,NOT(EXACT(Raw_Passengers!G390,H390)))),1,0),0)</f>
        <v>0</v>
      </c>
      <c r="L390" s="7">
        <f>IF(AND(C390=0,D390=0,I390=1),1,0)</f>
        <v>0</v>
      </c>
      <c r="M390" s="7">
        <f>IF(AND(C390=0,D390=0,J390=1),1,0)</f>
        <v>0</v>
      </c>
    </row>
    <row r="391" spans="1:13">
      <c r="A391" s="7">
        <f>Raw_Passengers!A391</f>
        <v>133412</v>
      </c>
      <c r="B391" s="7">
        <f>Raw_Passengers!B391</f>
        <v>1066087</v>
      </c>
      <c r="C391" s="7">
        <f>IF(COUNTIF(Raw_Passengers!$A$2:A391,Raw_Passengers!A391)&gt;1,1,0)</f>
        <v>0</v>
      </c>
      <c r="D391" s="7">
        <f>IF(COUNTIF(Raw_Bookings!$A$2:$A$648,Raw_Passengers!B391)=0,1,0)</f>
        <v>0</v>
      </c>
      <c r="E391" s="7">
        <f>IF(OR(C391=1,D391=1),0,IF(NOT(ISNUMBER(Raw_Passengers!E391)),1,IF(Raw_Passengers!E391&lt;=0,1,0)))</f>
        <v>0</v>
      </c>
      <c r="F391" s="7">
        <f>IF(AND(C391=0,D391=0,TRIM(Raw_Passengers!D391&amp;"")=""),1,0)</f>
        <v>0</v>
      </c>
      <c r="G391" s="7" t="str">
        <f>IF(SUMPRODUCT(--(Lookup_Status!$A$2:$A$13=LOWER(TRIM(Raw_Passengers!F391))))=0,"",INDEX(Lookup_Status!$B$2:$B$13,SUMPRODUCT((Lookup_Status!$A$2:$A$13=LOWER(TRIM(Raw_Passengers!F391)))*(ROW(Lookup_Status!$A$2:$A$13)-1))))</f>
        <v>Confirmed</v>
      </c>
      <c r="H391" s="7" t="str">
        <f>IF(SUMPRODUCT(--(Lookup_Status!$A$2:$A$13=LOWER(TRIM(Raw_Passengers!G391))))=0,"",INDEX(Lookup_Status!$B$2:$B$13,SUMPRODUCT((Lookup_Status!$A$2:$A$13=LOWER(TRIM(Raw_Passengers!G391)))*(ROW(Lookup_Status!$A$2:$A$13)-1))))</f>
        <v>Confirmed</v>
      </c>
      <c r="I391" s="7">
        <f>IF(OR(G391="",G391="Cancelled",G391="Mixed"),1,0)</f>
        <v>0</v>
      </c>
      <c r="J391" s="7">
        <f>IF(OR(H391="",H391="Mixed"),1,0)</f>
        <v>0</v>
      </c>
      <c r="K391" s="7">
        <f>IF(AND(C391=0,D391=0),IF(OR(AND(I391=0,NOT(EXACT(Raw_Passengers!F391,G391))),AND(J391=0,NOT(EXACT(Raw_Passengers!G391,H391)))),1,0),0)</f>
        <v>0</v>
      </c>
      <c r="L391" s="7">
        <f>IF(AND(C391=0,D391=0,I391=1),1,0)</f>
        <v>0</v>
      </c>
      <c r="M391" s="7">
        <f>IF(AND(C391=0,D391=0,J391=1),1,0)</f>
        <v>0</v>
      </c>
    </row>
    <row r="392" spans="1:13">
      <c r="A392" s="7">
        <f>Raw_Passengers!A392</f>
        <v>133613</v>
      </c>
      <c r="B392" s="7">
        <f>Raw_Passengers!B392</f>
        <v>1066182</v>
      </c>
      <c r="C392" s="7">
        <f>IF(COUNTIF(Raw_Passengers!$A$2:A392,Raw_Passengers!A392)&gt;1,1,0)</f>
        <v>0</v>
      </c>
      <c r="D392" s="7">
        <f>IF(COUNTIF(Raw_Bookings!$A$2:$A$648,Raw_Passengers!B392)=0,1,0)</f>
        <v>0</v>
      </c>
      <c r="E392" s="7">
        <f>IF(OR(C392=1,D392=1),0,IF(NOT(ISNUMBER(Raw_Passengers!E392)),1,IF(Raw_Passengers!E392&lt;=0,1,0)))</f>
        <v>0</v>
      </c>
      <c r="F392" s="7">
        <f>IF(AND(C392=0,D392=0,TRIM(Raw_Passengers!D392&amp;"")=""),1,0)</f>
        <v>0</v>
      </c>
      <c r="G392" s="7" t="str">
        <f>IF(SUMPRODUCT(--(Lookup_Status!$A$2:$A$13=LOWER(TRIM(Raw_Passengers!F392))))=0,"",INDEX(Lookup_Status!$B$2:$B$13,SUMPRODUCT((Lookup_Status!$A$2:$A$13=LOWER(TRIM(Raw_Passengers!F392)))*(ROW(Lookup_Status!$A$2:$A$13)-1))))</f>
        <v>Confirmed</v>
      </c>
      <c r="H392" s="7" t="str">
        <f>IF(SUMPRODUCT(--(Lookup_Status!$A$2:$A$13=LOWER(TRIM(Raw_Passengers!G392))))=0,"",INDEX(Lookup_Status!$B$2:$B$13,SUMPRODUCT((Lookup_Status!$A$2:$A$13=LOWER(TRIM(Raw_Passengers!G392)))*(ROW(Lookup_Status!$A$2:$A$13)-1))))</f>
        <v>Confirmed</v>
      </c>
      <c r="I392" s="7">
        <f>IF(OR(G392="",G392="Cancelled",G392="Mixed"),1,0)</f>
        <v>0</v>
      </c>
      <c r="J392" s="7">
        <f>IF(OR(H392="",H392="Mixed"),1,0)</f>
        <v>0</v>
      </c>
      <c r="K392" s="7">
        <f>IF(AND(C392=0,D392=0),IF(OR(AND(I392=0,NOT(EXACT(Raw_Passengers!F392,G392))),AND(J392=0,NOT(EXACT(Raw_Passengers!G392,H392)))),1,0),0)</f>
        <v>0</v>
      </c>
      <c r="L392" s="7">
        <f>IF(AND(C392=0,D392=0,I392=1),1,0)</f>
        <v>0</v>
      </c>
      <c r="M392" s="7">
        <f>IF(AND(C392=0,D392=0,J392=1),1,0)</f>
        <v>0</v>
      </c>
    </row>
    <row r="393" spans="1:13">
      <c r="A393" s="7">
        <f>Raw_Passengers!A393</f>
        <v>133614</v>
      </c>
      <c r="B393" s="7">
        <f>Raw_Passengers!B393</f>
        <v>1066182</v>
      </c>
      <c r="C393" s="7">
        <f>IF(COUNTIF(Raw_Passengers!$A$2:A393,Raw_Passengers!A393)&gt;1,1,0)</f>
        <v>0</v>
      </c>
      <c r="D393" s="7">
        <f>IF(COUNTIF(Raw_Bookings!$A$2:$A$648,Raw_Passengers!B393)=0,1,0)</f>
        <v>0</v>
      </c>
      <c r="E393" s="7">
        <f>IF(OR(C393=1,D393=1),0,IF(NOT(ISNUMBER(Raw_Passengers!E393)),1,IF(Raw_Passengers!E393&lt;=0,1,0)))</f>
        <v>0</v>
      </c>
      <c r="F393" s="7">
        <f>IF(AND(C393=0,D393=0,TRIM(Raw_Passengers!D393&amp;"")=""),1,0)</f>
        <v>0</v>
      </c>
      <c r="G393" s="7" t="str">
        <f>IF(SUMPRODUCT(--(Lookup_Status!$A$2:$A$13=LOWER(TRIM(Raw_Passengers!F393))))=0,"",INDEX(Lookup_Status!$B$2:$B$13,SUMPRODUCT((Lookup_Status!$A$2:$A$13=LOWER(TRIM(Raw_Passengers!F393)))*(ROW(Lookup_Status!$A$2:$A$13)-1))))</f>
        <v>Confirmed</v>
      </c>
      <c r="H393" s="7" t="str">
        <f>IF(SUMPRODUCT(--(Lookup_Status!$A$2:$A$13=LOWER(TRIM(Raw_Passengers!G393))))=0,"",INDEX(Lookup_Status!$B$2:$B$13,SUMPRODUCT((Lookup_Status!$A$2:$A$13=LOWER(TRIM(Raw_Passengers!G393)))*(ROW(Lookup_Status!$A$2:$A$13)-1))))</f>
        <v>Confirmed</v>
      </c>
      <c r="I393" s="7">
        <f>IF(OR(G393="",G393="Cancelled",G393="Mixed"),1,0)</f>
        <v>0</v>
      </c>
      <c r="J393" s="7">
        <f>IF(OR(H393="",H393="Mixed"),1,0)</f>
        <v>0</v>
      </c>
      <c r="K393" s="7">
        <f>IF(AND(C393=0,D393=0),IF(OR(AND(I393=0,NOT(EXACT(Raw_Passengers!F393,G393))),AND(J393=0,NOT(EXACT(Raw_Passengers!G393,H393)))),1,0),0)</f>
        <v>0</v>
      </c>
      <c r="L393" s="7">
        <f>IF(AND(C393=0,D393=0,I393=1),1,0)</f>
        <v>0</v>
      </c>
      <c r="M393" s="7">
        <f>IF(AND(C393=0,D393=0,J393=1),1,0)</f>
        <v>0</v>
      </c>
    </row>
    <row r="394" spans="1:13">
      <c r="A394" s="7">
        <f>Raw_Passengers!A394</f>
        <v>133624</v>
      </c>
      <c r="B394" s="7">
        <f>Raw_Passengers!B394</f>
        <v>1066186</v>
      </c>
      <c r="C394" s="7">
        <f>IF(COUNTIF(Raw_Passengers!$A$2:A394,Raw_Passengers!A394)&gt;1,1,0)</f>
        <v>0</v>
      </c>
      <c r="D394" s="7">
        <f>IF(COUNTIF(Raw_Bookings!$A$2:$A$648,Raw_Passengers!B394)=0,1,0)</f>
        <v>0</v>
      </c>
      <c r="E394" s="7">
        <f>IF(OR(C394=1,D394=1),0,IF(NOT(ISNUMBER(Raw_Passengers!E394)),1,IF(Raw_Passengers!E394&lt;=0,1,0)))</f>
        <v>0</v>
      </c>
      <c r="F394" s="7">
        <f>IF(AND(C394=0,D394=0,TRIM(Raw_Passengers!D394&amp;"")=""),1,0)</f>
        <v>0</v>
      </c>
      <c r="G394" s="7" t="str">
        <f>IF(SUMPRODUCT(--(Lookup_Status!$A$2:$A$13=LOWER(TRIM(Raw_Passengers!F394))))=0,"",INDEX(Lookup_Status!$B$2:$B$13,SUMPRODUCT((Lookup_Status!$A$2:$A$13=LOWER(TRIM(Raw_Passengers!F394)))*(ROW(Lookup_Status!$A$2:$A$13)-1))))</f>
        <v>Confirmed</v>
      </c>
      <c r="H394" s="7" t="str">
        <f>IF(SUMPRODUCT(--(Lookup_Status!$A$2:$A$13=LOWER(TRIM(Raw_Passengers!G394))))=0,"",INDEX(Lookup_Status!$B$2:$B$13,SUMPRODUCT((Lookup_Status!$A$2:$A$13=LOWER(TRIM(Raw_Passengers!G394)))*(ROW(Lookup_Status!$A$2:$A$13)-1))))</f>
        <v>Confirmed</v>
      </c>
      <c r="I394" s="7">
        <f>IF(OR(G394="",G394="Cancelled",G394="Mixed"),1,0)</f>
        <v>0</v>
      </c>
      <c r="J394" s="7">
        <f>IF(OR(H394="",H394="Mixed"),1,0)</f>
        <v>0</v>
      </c>
      <c r="K394" s="7">
        <f>IF(AND(C394=0,D394=0),IF(OR(AND(I394=0,NOT(EXACT(Raw_Passengers!F394,G394))),AND(J394=0,NOT(EXACT(Raw_Passengers!G394,H394)))),1,0),0)</f>
        <v>0</v>
      </c>
      <c r="L394" s="7">
        <f>IF(AND(C394=0,D394=0,I394=1),1,0)</f>
        <v>0</v>
      </c>
      <c r="M394" s="7">
        <f>IF(AND(C394=0,D394=0,J394=1),1,0)</f>
        <v>0</v>
      </c>
    </row>
    <row r="395" spans="1:13">
      <c r="A395" s="7">
        <f>Raw_Passengers!A395</f>
        <v>133625</v>
      </c>
      <c r="B395" s="7">
        <f>Raw_Passengers!B395</f>
        <v>1066186</v>
      </c>
      <c r="C395" s="7">
        <f>IF(COUNTIF(Raw_Passengers!$A$2:A395,Raw_Passengers!A395)&gt;1,1,0)</f>
        <v>0</v>
      </c>
      <c r="D395" s="7">
        <f>IF(COUNTIF(Raw_Bookings!$A$2:$A$648,Raw_Passengers!B395)=0,1,0)</f>
        <v>0</v>
      </c>
      <c r="E395" s="7">
        <f>IF(OR(C395=1,D395=1),0,IF(NOT(ISNUMBER(Raw_Passengers!E395)),1,IF(Raw_Passengers!E395&lt;=0,1,0)))</f>
        <v>0</v>
      </c>
      <c r="F395" s="7">
        <f>IF(AND(C395=0,D395=0,TRIM(Raw_Passengers!D395&amp;"")=""),1,0)</f>
        <v>0</v>
      </c>
      <c r="G395" s="7" t="str">
        <f>IF(SUMPRODUCT(--(Lookup_Status!$A$2:$A$13=LOWER(TRIM(Raw_Passengers!F395))))=0,"",INDEX(Lookup_Status!$B$2:$B$13,SUMPRODUCT((Lookup_Status!$A$2:$A$13=LOWER(TRIM(Raw_Passengers!F395)))*(ROW(Lookup_Status!$A$2:$A$13)-1))))</f>
        <v>Confirmed</v>
      </c>
      <c r="H395" s="7" t="str">
        <f>IF(SUMPRODUCT(--(Lookup_Status!$A$2:$A$13=LOWER(TRIM(Raw_Passengers!G395))))=0,"",INDEX(Lookup_Status!$B$2:$B$13,SUMPRODUCT((Lookup_Status!$A$2:$A$13=LOWER(TRIM(Raw_Passengers!G395)))*(ROW(Lookup_Status!$A$2:$A$13)-1))))</f>
        <v>Confirmed</v>
      </c>
      <c r="I395" s="7">
        <f>IF(OR(G395="",G395="Cancelled",G395="Mixed"),1,0)</f>
        <v>0</v>
      </c>
      <c r="J395" s="7">
        <f>IF(OR(H395="",H395="Mixed"),1,0)</f>
        <v>0</v>
      </c>
      <c r="K395" s="7">
        <f>IF(AND(C395=0,D395=0),IF(OR(AND(I395=0,NOT(EXACT(Raw_Passengers!F395,G395))),AND(J395=0,NOT(EXACT(Raw_Passengers!G395,H395)))),1,0),0)</f>
        <v>0</v>
      </c>
      <c r="L395" s="7">
        <f>IF(AND(C395=0,D395=0,I395=1),1,0)</f>
        <v>0</v>
      </c>
      <c r="M395" s="7">
        <f>IF(AND(C395=0,D395=0,J395=1),1,0)</f>
        <v>0</v>
      </c>
    </row>
    <row r="396" spans="1:13">
      <c r="A396" s="7">
        <f>Raw_Passengers!A396</f>
        <v>133626</v>
      </c>
      <c r="B396" s="7">
        <f>Raw_Passengers!B396</f>
        <v>1066186</v>
      </c>
      <c r="C396" s="7">
        <f>IF(COUNTIF(Raw_Passengers!$A$2:A396,Raw_Passengers!A396)&gt;1,1,0)</f>
        <v>0</v>
      </c>
      <c r="D396" s="7">
        <f>IF(COUNTIF(Raw_Bookings!$A$2:$A$648,Raw_Passengers!B396)=0,1,0)</f>
        <v>0</v>
      </c>
      <c r="E396" s="7">
        <f>IF(OR(C396=1,D396=1),0,IF(NOT(ISNUMBER(Raw_Passengers!E396)),1,IF(Raw_Passengers!E396&lt;=0,1,0)))</f>
        <v>0</v>
      </c>
      <c r="F396" s="7">
        <f>IF(AND(C396=0,D396=0,TRIM(Raw_Passengers!D396&amp;"")=""),1,0)</f>
        <v>0</v>
      </c>
      <c r="G396" s="7" t="str">
        <f>IF(SUMPRODUCT(--(Lookup_Status!$A$2:$A$13=LOWER(TRIM(Raw_Passengers!F396))))=0,"",INDEX(Lookup_Status!$B$2:$B$13,SUMPRODUCT((Lookup_Status!$A$2:$A$13=LOWER(TRIM(Raw_Passengers!F396)))*(ROW(Lookup_Status!$A$2:$A$13)-1))))</f>
        <v>Confirmed</v>
      </c>
      <c r="H396" s="7" t="str">
        <f>IF(SUMPRODUCT(--(Lookup_Status!$A$2:$A$13=LOWER(TRIM(Raw_Passengers!G396))))=0,"",INDEX(Lookup_Status!$B$2:$B$13,SUMPRODUCT((Lookup_Status!$A$2:$A$13=LOWER(TRIM(Raw_Passengers!G396)))*(ROW(Lookup_Status!$A$2:$A$13)-1))))</f>
        <v>Confirmed</v>
      </c>
      <c r="I396" s="7">
        <f>IF(OR(G396="",G396="Cancelled",G396="Mixed"),1,0)</f>
        <v>0</v>
      </c>
      <c r="J396" s="7">
        <f>IF(OR(H396="",H396="Mixed"),1,0)</f>
        <v>0</v>
      </c>
      <c r="K396" s="7">
        <f>IF(AND(C396=0,D396=0),IF(OR(AND(I396=0,NOT(EXACT(Raw_Passengers!F396,G396))),AND(J396=0,NOT(EXACT(Raw_Passengers!G396,H396)))),1,0),0)</f>
        <v>0</v>
      </c>
      <c r="L396" s="7">
        <f>IF(AND(C396=0,D396=0,I396=1),1,0)</f>
        <v>0</v>
      </c>
      <c r="M396" s="7">
        <f>IF(AND(C396=0,D396=0,J396=1),1,0)</f>
        <v>0</v>
      </c>
    </row>
    <row r="397" spans="1:13">
      <c r="A397" s="7">
        <f>Raw_Passengers!A397</f>
        <v>133627</v>
      </c>
      <c r="B397" s="7">
        <f>Raw_Passengers!B397</f>
        <v>1066186</v>
      </c>
      <c r="C397" s="7">
        <f>IF(COUNTIF(Raw_Passengers!$A$2:A397,Raw_Passengers!A397)&gt;1,1,0)</f>
        <v>0</v>
      </c>
      <c r="D397" s="7">
        <f>IF(COUNTIF(Raw_Bookings!$A$2:$A$648,Raw_Passengers!B397)=0,1,0)</f>
        <v>0</v>
      </c>
      <c r="E397" s="7">
        <f>IF(OR(C397=1,D397=1),0,IF(NOT(ISNUMBER(Raw_Passengers!E397)),1,IF(Raw_Passengers!E397&lt;=0,1,0)))</f>
        <v>0</v>
      </c>
      <c r="F397" s="7">
        <f>IF(AND(C397=0,D397=0,TRIM(Raw_Passengers!D397&amp;"")=""),1,0)</f>
        <v>0</v>
      </c>
      <c r="G397" s="7" t="str">
        <f>IF(SUMPRODUCT(--(Lookup_Status!$A$2:$A$13=LOWER(TRIM(Raw_Passengers!F397))))=0,"",INDEX(Lookup_Status!$B$2:$B$13,SUMPRODUCT((Lookup_Status!$A$2:$A$13=LOWER(TRIM(Raw_Passengers!F397)))*(ROW(Lookup_Status!$A$2:$A$13)-1))))</f>
        <v>Confirmed</v>
      </c>
      <c r="H397" s="7" t="str">
        <f>IF(SUMPRODUCT(--(Lookup_Status!$A$2:$A$13=LOWER(TRIM(Raw_Passengers!G397))))=0,"",INDEX(Lookup_Status!$B$2:$B$13,SUMPRODUCT((Lookup_Status!$A$2:$A$13=LOWER(TRIM(Raw_Passengers!G397)))*(ROW(Lookup_Status!$A$2:$A$13)-1))))</f>
        <v>Confirmed</v>
      </c>
      <c r="I397" s="7">
        <f>IF(OR(G397="",G397="Cancelled",G397="Mixed"),1,0)</f>
        <v>0</v>
      </c>
      <c r="J397" s="7">
        <f>IF(OR(H397="",H397="Mixed"),1,0)</f>
        <v>0</v>
      </c>
      <c r="K397" s="7">
        <f>IF(AND(C397=0,D397=0),IF(OR(AND(I397=0,NOT(EXACT(Raw_Passengers!F397,G397))),AND(J397=0,NOT(EXACT(Raw_Passengers!G397,H397)))),1,0),0)</f>
        <v>0</v>
      </c>
      <c r="L397" s="7">
        <f>IF(AND(C397=0,D397=0,I397=1),1,0)</f>
        <v>0</v>
      </c>
      <c r="M397" s="7">
        <f>IF(AND(C397=0,D397=0,J397=1),1,0)</f>
        <v>0</v>
      </c>
    </row>
    <row r="398" spans="1:13">
      <c r="A398" s="7">
        <f>Raw_Passengers!A398</f>
        <v>134102</v>
      </c>
      <c r="B398" s="7">
        <f>Raw_Passengers!B398</f>
        <v>1066440</v>
      </c>
      <c r="C398" s="7">
        <f>IF(COUNTIF(Raw_Passengers!$A$2:A398,Raw_Passengers!A398)&gt;1,1,0)</f>
        <v>0</v>
      </c>
      <c r="D398" s="7">
        <f>IF(COUNTIF(Raw_Bookings!$A$2:$A$648,Raw_Passengers!B398)=0,1,0)</f>
        <v>0</v>
      </c>
      <c r="E398" s="7">
        <f>IF(OR(C398=1,D398=1),0,IF(NOT(ISNUMBER(Raw_Passengers!E398)),1,IF(Raw_Passengers!E398&lt;=0,1,0)))</f>
        <v>0</v>
      </c>
      <c r="F398" s="7">
        <f>IF(AND(C398=0,D398=0,TRIM(Raw_Passengers!D398&amp;"")=""),1,0)</f>
        <v>0</v>
      </c>
      <c r="G398" s="7" t="str">
        <f>IF(SUMPRODUCT(--(Lookup_Status!$A$2:$A$13=LOWER(TRIM(Raw_Passengers!F398))))=0,"",INDEX(Lookup_Status!$B$2:$B$13,SUMPRODUCT((Lookup_Status!$A$2:$A$13=LOWER(TRIM(Raw_Passengers!F398)))*(ROW(Lookup_Status!$A$2:$A$13)-1))))</f>
        <v>Confirmed</v>
      </c>
      <c r="H398" s="7" t="str">
        <f>IF(SUMPRODUCT(--(Lookup_Status!$A$2:$A$13=LOWER(TRIM(Raw_Passengers!G398))))=0,"",INDEX(Lookup_Status!$B$2:$B$13,SUMPRODUCT((Lookup_Status!$A$2:$A$13=LOWER(TRIM(Raw_Passengers!G398)))*(ROW(Lookup_Status!$A$2:$A$13)-1))))</f>
        <v>Confirmed</v>
      </c>
      <c r="I398" s="7">
        <f>IF(OR(G398="",G398="Cancelled",G398="Mixed"),1,0)</f>
        <v>0</v>
      </c>
      <c r="J398" s="7">
        <f>IF(OR(H398="",H398="Mixed"),1,0)</f>
        <v>0</v>
      </c>
      <c r="K398" s="7">
        <f>IF(AND(C398=0,D398=0),IF(OR(AND(I398=0,NOT(EXACT(Raw_Passengers!F398,G398))),AND(J398=0,NOT(EXACT(Raw_Passengers!G398,H398)))),1,0),0)</f>
        <v>0</v>
      </c>
      <c r="L398" s="7">
        <f>IF(AND(C398=0,D398=0,I398=1),1,0)</f>
        <v>0</v>
      </c>
      <c r="M398" s="7">
        <f>IF(AND(C398=0,D398=0,J398=1),1,0)</f>
        <v>0</v>
      </c>
    </row>
    <row r="399" spans="1:13">
      <c r="A399" s="7">
        <f>Raw_Passengers!A399</f>
        <v>134530</v>
      </c>
      <c r="B399" s="7">
        <f>Raw_Passengers!B399</f>
        <v>1066636</v>
      </c>
      <c r="C399" s="7">
        <f>IF(COUNTIF(Raw_Passengers!$A$2:A399,Raw_Passengers!A399)&gt;1,1,0)</f>
        <v>0</v>
      </c>
      <c r="D399" s="7">
        <f>IF(COUNTIF(Raw_Bookings!$A$2:$A$648,Raw_Passengers!B399)=0,1,0)</f>
        <v>0</v>
      </c>
      <c r="E399" s="7">
        <f>IF(OR(C399=1,D399=1),0,IF(NOT(ISNUMBER(Raw_Passengers!E399)),1,IF(Raw_Passengers!E399&lt;=0,1,0)))</f>
        <v>0</v>
      </c>
      <c r="F399" s="7">
        <f>IF(AND(C399=0,D399=0,TRIM(Raw_Passengers!D399&amp;"")=""),1,0)</f>
        <v>0</v>
      </c>
      <c r="G399" s="7" t="str">
        <f>IF(SUMPRODUCT(--(Lookup_Status!$A$2:$A$13=LOWER(TRIM(Raw_Passengers!F399))))=0,"",INDEX(Lookup_Status!$B$2:$B$13,SUMPRODUCT((Lookup_Status!$A$2:$A$13=LOWER(TRIM(Raw_Passengers!F399)))*(ROW(Lookup_Status!$A$2:$A$13)-1))))</f>
        <v>Confirmed</v>
      </c>
      <c r="H399" s="7" t="str">
        <f>IF(SUMPRODUCT(--(Lookup_Status!$A$2:$A$13=LOWER(TRIM(Raw_Passengers!G399))))=0,"",INDEX(Lookup_Status!$B$2:$B$13,SUMPRODUCT((Lookup_Status!$A$2:$A$13=LOWER(TRIM(Raw_Passengers!G399)))*(ROW(Lookup_Status!$A$2:$A$13)-1))))</f>
        <v>Confirmed</v>
      </c>
      <c r="I399" s="7">
        <f>IF(OR(G399="",G399="Cancelled",G399="Mixed"),1,0)</f>
        <v>0</v>
      </c>
      <c r="J399" s="7">
        <f>IF(OR(H399="",H399="Mixed"),1,0)</f>
        <v>0</v>
      </c>
      <c r="K399" s="7">
        <f>IF(AND(C399=0,D399=0),IF(OR(AND(I399=0,NOT(EXACT(Raw_Passengers!F399,G399))),AND(J399=0,NOT(EXACT(Raw_Passengers!G399,H399)))),1,0),0)</f>
        <v>0</v>
      </c>
      <c r="L399" s="7">
        <f>IF(AND(C399=0,D399=0,I399=1),1,0)</f>
        <v>0</v>
      </c>
      <c r="M399" s="7">
        <f>IF(AND(C399=0,D399=0,J399=1),1,0)</f>
        <v>0</v>
      </c>
    </row>
    <row r="400" spans="1:13">
      <c r="A400" s="7">
        <f>Raw_Passengers!A400</f>
        <v>134531</v>
      </c>
      <c r="B400" s="7">
        <f>Raw_Passengers!B400</f>
        <v>1066636</v>
      </c>
      <c r="C400" s="7">
        <f>IF(COUNTIF(Raw_Passengers!$A$2:A400,Raw_Passengers!A400)&gt;1,1,0)</f>
        <v>0</v>
      </c>
      <c r="D400" s="7">
        <f>IF(COUNTIF(Raw_Bookings!$A$2:$A$648,Raw_Passengers!B400)=0,1,0)</f>
        <v>0</v>
      </c>
      <c r="E400" s="7">
        <f>IF(OR(C400=1,D400=1),0,IF(NOT(ISNUMBER(Raw_Passengers!E400)),1,IF(Raw_Passengers!E400&lt;=0,1,0)))</f>
        <v>0</v>
      </c>
      <c r="F400" s="7">
        <f>IF(AND(C400=0,D400=0,TRIM(Raw_Passengers!D400&amp;"")=""),1,0)</f>
        <v>0</v>
      </c>
      <c r="G400" s="7" t="str">
        <f>IF(SUMPRODUCT(--(Lookup_Status!$A$2:$A$13=LOWER(TRIM(Raw_Passengers!F400))))=0,"",INDEX(Lookup_Status!$B$2:$B$13,SUMPRODUCT((Lookup_Status!$A$2:$A$13=LOWER(TRIM(Raw_Passengers!F400)))*(ROW(Lookup_Status!$A$2:$A$13)-1))))</f>
        <v>Confirmed</v>
      </c>
      <c r="H400" s="7" t="str">
        <f>IF(SUMPRODUCT(--(Lookup_Status!$A$2:$A$13=LOWER(TRIM(Raw_Passengers!G400))))=0,"",INDEX(Lookup_Status!$B$2:$B$13,SUMPRODUCT((Lookup_Status!$A$2:$A$13=LOWER(TRIM(Raw_Passengers!G400)))*(ROW(Lookup_Status!$A$2:$A$13)-1))))</f>
        <v>Confirmed</v>
      </c>
      <c r="I400" s="7">
        <f>IF(OR(G400="",G400="Cancelled",G400="Mixed"),1,0)</f>
        <v>0</v>
      </c>
      <c r="J400" s="7">
        <f>IF(OR(H400="",H400="Mixed"),1,0)</f>
        <v>0</v>
      </c>
      <c r="K400" s="7">
        <f>IF(AND(C400=0,D400=0),IF(OR(AND(I400=0,NOT(EXACT(Raw_Passengers!F400,G400))),AND(J400=0,NOT(EXACT(Raw_Passengers!G400,H400)))),1,0),0)</f>
        <v>0</v>
      </c>
      <c r="L400" s="7">
        <f>IF(AND(C400=0,D400=0,I400=1),1,0)</f>
        <v>0</v>
      </c>
      <c r="M400" s="7">
        <f>IF(AND(C400=0,D400=0,J400=1),1,0)</f>
        <v>0</v>
      </c>
    </row>
    <row r="401" spans="1:13">
      <c r="A401" s="7">
        <f>Raw_Passengers!A401</f>
        <v>137105</v>
      </c>
      <c r="B401" s="7">
        <f>Raw_Passengers!B401</f>
        <v>1067932</v>
      </c>
      <c r="C401" s="7">
        <f>IF(COUNTIF(Raw_Passengers!$A$2:A401,Raw_Passengers!A401)&gt;1,1,0)</f>
        <v>0</v>
      </c>
      <c r="D401" s="7">
        <f>IF(COUNTIF(Raw_Bookings!$A$2:$A$648,Raw_Passengers!B401)=0,1,0)</f>
        <v>0</v>
      </c>
      <c r="E401" s="7">
        <f>IF(OR(C401=1,D401=1),0,IF(NOT(ISNUMBER(Raw_Passengers!E401)),1,IF(Raw_Passengers!E401&lt;=0,1,0)))</f>
        <v>0</v>
      </c>
      <c r="F401" s="7">
        <f>IF(AND(C401=0,D401=0,TRIM(Raw_Passengers!D401&amp;"")=""),1,0)</f>
        <v>0</v>
      </c>
      <c r="G401" s="7" t="str">
        <f>IF(SUMPRODUCT(--(Lookup_Status!$A$2:$A$13=LOWER(TRIM(Raw_Passengers!F401))))=0,"",INDEX(Lookup_Status!$B$2:$B$13,SUMPRODUCT((Lookup_Status!$A$2:$A$13=LOWER(TRIM(Raw_Passengers!F401)))*(ROW(Lookup_Status!$A$2:$A$13)-1))))</f>
        <v>Confirmed</v>
      </c>
      <c r="H401" s="7" t="str">
        <f>IF(SUMPRODUCT(--(Lookup_Status!$A$2:$A$13=LOWER(TRIM(Raw_Passengers!G401))))=0,"",INDEX(Lookup_Status!$B$2:$B$13,SUMPRODUCT((Lookup_Status!$A$2:$A$13=LOWER(TRIM(Raw_Passengers!G401)))*(ROW(Lookup_Status!$A$2:$A$13)-1))))</f>
        <v>Confirmed</v>
      </c>
      <c r="I401" s="7">
        <f>IF(OR(G401="",G401="Cancelled",G401="Mixed"),1,0)</f>
        <v>0</v>
      </c>
      <c r="J401" s="7">
        <f>IF(OR(H401="",H401="Mixed"),1,0)</f>
        <v>0</v>
      </c>
      <c r="K401" s="7">
        <f>IF(AND(C401=0,D401=0),IF(OR(AND(I401=0,NOT(EXACT(Raw_Passengers!F401,G401))),AND(J401=0,NOT(EXACT(Raw_Passengers!G401,H401)))),1,0),0)</f>
        <v>0</v>
      </c>
      <c r="L401" s="7">
        <f>IF(AND(C401=0,D401=0,I401=1),1,0)</f>
        <v>0</v>
      </c>
      <c r="M401" s="7">
        <f>IF(AND(C401=0,D401=0,J401=1),1,0)</f>
        <v>0</v>
      </c>
    </row>
    <row r="402" spans="1:13">
      <c r="A402" s="7">
        <f>Raw_Passengers!A402</f>
        <v>137106</v>
      </c>
      <c r="B402" s="7">
        <f>Raw_Passengers!B402</f>
        <v>1067932</v>
      </c>
      <c r="C402" s="7">
        <f>IF(COUNTIF(Raw_Passengers!$A$2:A402,Raw_Passengers!A402)&gt;1,1,0)</f>
        <v>0</v>
      </c>
      <c r="D402" s="7">
        <f>IF(COUNTIF(Raw_Bookings!$A$2:$A$648,Raw_Passengers!B402)=0,1,0)</f>
        <v>0</v>
      </c>
      <c r="E402" s="7">
        <f>IF(OR(C402=1,D402=1),0,IF(NOT(ISNUMBER(Raw_Passengers!E402)),1,IF(Raw_Passengers!E402&lt;=0,1,0)))</f>
        <v>0</v>
      </c>
      <c r="F402" s="7">
        <f>IF(AND(C402=0,D402=0,TRIM(Raw_Passengers!D402&amp;"")=""),1,0)</f>
        <v>0</v>
      </c>
      <c r="G402" s="7" t="str">
        <f>IF(SUMPRODUCT(--(Lookup_Status!$A$2:$A$13=LOWER(TRIM(Raw_Passengers!F402))))=0,"",INDEX(Lookup_Status!$B$2:$B$13,SUMPRODUCT((Lookup_Status!$A$2:$A$13=LOWER(TRIM(Raw_Passengers!F402)))*(ROW(Lookup_Status!$A$2:$A$13)-1))))</f>
        <v>Confirmed</v>
      </c>
      <c r="H402" s="7" t="str">
        <f>IF(SUMPRODUCT(--(Lookup_Status!$A$2:$A$13=LOWER(TRIM(Raw_Passengers!G402))))=0,"",INDEX(Lookup_Status!$B$2:$B$13,SUMPRODUCT((Lookup_Status!$A$2:$A$13=LOWER(TRIM(Raw_Passengers!G402)))*(ROW(Lookup_Status!$A$2:$A$13)-1))))</f>
        <v>Confirmed</v>
      </c>
      <c r="I402" s="7">
        <f>IF(OR(G402="",G402="Cancelled",G402="Mixed"),1,0)</f>
        <v>0</v>
      </c>
      <c r="J402" s="7">
        <f>IF(OR(H402="",H402="Mixed"),1,0)</f>
        <v>0</v>
      </c>
      <c r="K402" s="7">
        <f>IF(AND(C402=0,D402=0),IF(OR(AND(I402=0,NOT(EXACT(Raw_Passengers!F402,G402))),AND(J402=0,NOT(EXACT(Raw_Passengers!G402,H402)))),1,0),0)</f>
        <v>0</v>
      </c>
      <c r="L402" s="7">
        <f>IF(AND(C402=0,D402=0,I402=1),1,0)</f>
        <v>0</v>
      </c>
      <c r="M402" s="7">
        <f>IF(AND(C402=0,D402=0,J402=1),1,0)</f>
        <v>0</v>
      </c>
    </row>
    <row r="403" spans="1:13">
      <c r="A403" s="7">
        <f>Raw_Passengers!A403</f>
        <v>137565</v>
      </c>
      <c r="B403" s="7">
        <f>Raw_Passengers!B403</f>
        <v>1068175</v>
      </c>
      <c r="C403" s="7">
        <f>IF(COUNTIF(Raw_Passengers!$A$2:A403,Raw_Passengers!A403)&gt;1,1,0)</f>
        <v>0</v>
      </c>
      <c r="D403" s="7">
        <f>IF(COUNTIF(Raw_Bookings!$A$2:$A$648,Raw_Passengers!B403)=0,1,0)</f>
        <v>0</v>
      </c>
      <c r="E403" s="7">
        <f>IF(OR(C403=1,D403=1),0,IF(NOT(ISNUMBER(Raw_Passengers!E403)),1,IF(Raw_Passengers!E403&lt;=0,1,0)))</f>
        <v>1</v>
      </c>
      <c r="F403" s="7">
        <f>IF(AND(C403=0,D403=0,TRIM(Raw_Passengers!D403&amp;"")=""),1,0)</f>
        <v>0</v>
      </c>
      <c r="G403" s="7" t="str">
        <f>IF(SUMPRODUCT(--(Lookup_Status!$A$2:$A$13=LOWER(TRIM(Raw_Passengers!F403))))=0,"",INDEX(Lookup_Status!$B$2:$B$13,SUMPRODUCT((Lookup_Status!$A$2:$A$13=LOWER(TRIM(Raw_Passengers!F403)))*(ROW(Lookup_Status!$A$2:$A$13)-1))))</f>
        <v>Confirmed</v>
      </c>
      <c r="H403" s="7" t="str">
        <f>IF(SUMPRODUCT(--(Lookup_Status!$A$2:$A$13=LOWER(TRIM(Raw_Passengers!G403))))=0,"",INDEX(Lookup_Status!$B$2:$B$13,SUMPRODUCT((Lookup_Status!$A$2:$A$13=LOWER(TRIM(Raw_Passengers!G403)))*(ROW(Lookup_Status!$A$2:$A$13)-1))))</f>
        <v>Confirmed</v>
      </c>
      <c r="I403" s="7">
        <f>IF(OR(G403="",G403="Cancelled",G403="Mixed"),1,0)</f>
        <v>0</v>
      </c>
      <c r="J403" s="7">
        <f>IF(OR(H403="",H403="Mixed"),1,0)</f>
        <v>0</v>
      </c>
      <c r="K403" s="7">
        <f>IF(AND(C403=0,D403=0),IF(OR(AND(I403=0,NOT(EXACT(Raw_Passengers!F403,G403))),AND(J403=0,NOT(EXACT(Raw_Passengers!G403,H403)))),1,0),0)</f>
        <v>0</v>
      </c>
      <c r="L403" s="7">
        <f>IF(AND(C403=0,D403=0,I403=1),1,0)</f>
        <v>0</v>
      </c>
      <c r="M403" s="7">
        <f>IF(AND(C403=0,D403=0,J403=1),1,0)</f>
        <v>0</v>
      </c>
    </row>
    <row r="404" spans="1:13">
      <c r="A404" s="7">
        <f>Raw_Passengers!A404</f>
        <v>137794</v>
      </c>
      <c r="B404" s="7">
        <f>Raw_Passengers!B404</f>
        <v>1068289</v>
      </c>
      <c r="C404" s="7">
        <f>IF(COUNTIF(Raw_Passengers!$A$2:A404,Raw_Passengers!A404)&gt;1,1,0)</f>
        <v>0</v>
      </c>
      <c r="D404" s="7">
        <f>IF(COUNTIF(Raw_Bookings!$A$2:$A$648,Raw_Passengers!B404)=0,1,0)</f>
        <v>0</v>
      </c>
      <c r="E404" s="7">
        <f>IF(OR(C404=1,D404=1),0,IF(NOT(ISNUMBER(Raw_Passengers!E404)),1,IF(Raw_Passengers!E404&lt;=0,1,0)))</f>
        <v>0</v>
      </c>
      <c r="F404" s="7">
        <f>IF(AND(C404=0,D404=0,TRIM(Raw_Passengers!D404&amp;"")=""),1,0)</f>
        <v>0</v>
      </c>
      <c r="G404" s="7" t="str">
        <f>IF(SUMPRODUCT(--(Lookup_Status!$A$2:$A$13=LOWER(TRIM(Raw_Passengers!F404))))=0,"",INDEX(Lookup_Status!$B$2:$B$13,SUMPRODUCT((Lookup_Status!$A$2:$A$13=LOWER(TRIM(Raw_Passengers!F404)))*(ROW(Lookup_Status!$A$2:$A$13)-1))))</f>
        <v>Waitlisted</v>
      </c>
      <c r="H404" s="7" t="str">
        <f>IF(SUMPRODUCT(--(Lookup_Status!$A$2:$A$13=LOWER(TRIM(Raw_Passengers!G404))))=0,"",INDEX(Lookup_Status!$B$2:$B$13,SUMPRODUCT((Lookup_Status!$A$2:$A$13=LOWER(TRIM(Raw_Passengers!G404)))*(ROW(Lookup_Status!$A$2:$A$13)-1))))</f>
        <v>Waitlisted</v>
      </c>
      <c r="I404" s="7">
        <f>IF(OR(G404="",G404="Cancelled",G404="Mixed"),1,0)</f>
        <v>0</v>
      </c>
      <c r="J404" s="7">
        <f>IF(OR(H404="",H404="Mixed"),1,0)</f>
        <v>0</v>
      </c>
      <c r="K404" s="7">
        <f>IF(AND(C404=0,D404=0),IF(OR(AND(I404=0,NOT(EXACT(Raw_Passengers!F404,G404))),AND(J404=0,NOT(EXACT(Raw_Passengers!G404,H404)))),1,0),0)</f>
        <v>0</v>
      </c>
      <c r="L404" s="7">
        <f>IF(AND(C404=0,D404=0,I404=1),1,0)</f>
        <v>0</v>
      </c>
      <c r="M404" s="7">
        <f>IF(AND(C404=0,D404=0,J404=1),1,0)</f>
        <v>0</v>
      </c>
    </row>
    <row r="405" spans="1:13">
      <c r="A405" s="7">
        <f>Raw_Passengers!A405</f>
        <v>137795</v>
      </c>
      <c r="B405" s="7">
        <f>Raw_Passengers!B405</f>
        <v>1068289</v>
      </c>
      <c r="C405" s="7">
        <f>IF(COUNTIF(Raw_Passengers!$A$2:A405,Raw_Passengers!A405)&gt;1,1,0)</f>
        <v>0</v>
      </c>
      <c r="D405" s="7">
        <f>IF(COUNTIF(Raw_Bookings!$A$2:$A$648,Raw_Passengers!B405)=0,1,0)</f>
        <v>0</v>
      </c>
      <c r="E405" s="7">
        <f>IF(OR(C405=1,D405=1),0,IF(NOT(ISNUMBER(Raw_Passengers!E405)),1,IF(Raw_Passengers!E405&lt;=0,1,0)))</f>
        <v>0</v>
      </c>
      <c r="F405" s="7">
        <f>IF(AND(C405=0,D405=0,TRIM(Raw_Passengers!D405&amp;"")=""),1,0)</f>
        <v>0</v>
      </c>
      <c r="G405" s="7" t="str">
        <f>IF(SUMPRODUCT(--(Lookup_Status!$A$2:$A$13=LOWER(TRIM(Raw_Passengers!F405))))=0,"",INDEX(Lookup_Status!$B$2:$B$13,SUMPRODUCT((Lookup_Status!$A$2:$A$13=LOWER(TRIM(Raw_Passengers!F405)))*(ROW(Lookup_Status!$A$2:$A$13)-1))))</f>
        <v>Waitlisted</v>
      </c>
      <c r="H405" s="7" t="str">
        <f>IF(SUMPRODUCT(--(Lookup_Status!$A$2:$A$13=LOWER(TRIM(Raw_Passengers!G405))))=0,"",INDEX(Lookup_Status!$B$2:$B$13,SUMPRODUCT((Lookup_Status!$A$2:$A$13=LOWER(TRIM(Raw_Passengers!G405)))*(ROW(Lookup_Status!$A$2:$A$13)-1))))</f>
        <v>Waitlisted</v>
      </c>
      <c r="I405" s="7">
        <f>IF(OR(G405="",G405="Cancelled",G405="Mixed"),1,0)</f>
        <v>0</v>
      </c>
      <c r="J405" s="7">
        <f>IF(OR(H405="",H405="Mixed"),1,0)</f>
        <v>0</v>
      </c>
      <c r="K405" s="7">
        <f>IF(AND(C405=0,D405=0),IF(OR(AND(I405=0,NOT(EXACT(Raw_Passengers!F405,G405))),AND(J405=0,NOT(EXACT(Raw_Passengers!G405,H405)))),1,0),0)</f>
        <v>0</v>
      </c>
      <c r="L405" s="7">
        <f>IF(AND(C405=0,D405=0,I405=1),1,0)</f>
        <v>0</v>
      </c>
      <c r="M405" s="7">
        <f>IF(AND(C405=0,D405=0,J405=1),1,0)</f>
        <v>0</v>
      </c>
    </row>
    <row r="406" spans="1:13">
      <c r="A406" s="7">
        <f>Raw_Passengers!A406</f>
        <v>137796</v>
      </c>
      <c r="B406" s="7">
        <f>Raw_Passengers!B406</f>
        <v>1068289</v>
      </c>
      <c r="C406" s="7">
        <f>IF(COUNTIF(Raw_Passengers!$A$2:A406,Raw_Passengers!A406)&gt;1,1,0)</f>
        <v>0</v>
      </c>
      <c r="D406" s="7">
        <f>IF(COUNTIF(Raw_Bookings!$A$2:$A$648,Raw_Passengers!B406)=0,1,0)</f>
        <v>0</v>
      </c>
      <c r="E406" s="7">
        <f>IF(OR(C406=1,D406=1),0,IF(NOT(ISNUMBER(Raw_Passengers!E406)),1,IF(Raw_Passengers!E406&lt;=0,1,0)))</f>
        <v>0</v>
      </c>
      <c r="F406" s="7">
        <f>IF(AND(C406=0,D406=0,TRIM(Raw_Passengers!D406&amp;"")=""),1,0)</f>
        <v>0</v>
      </c>
      <c r="G406" s="7" t="str">
        <f>IF(SUMPRODUCT(--(Lookup_Status!$A$2:$A$13=LOWER(TRIM(Raw_Passengers!F406))))=0,"",INDEX(Lookup_Status!$B$2:$B$13,SUMPRODUCT((Lookup_Status!$A$2:$A$13=LOWER(TRIM(Raw_Passengers!F406)))*(ROW(Lookup_Status!$A$2:$A$13)-1))))</f>
        <v>Waitlisted</v>
      </c>
      <c r="H406" s="7" t="str">
        <f>IF(SUMPRODUCT(--(Lookup_Status!$A$2:$A$13=LOWER(TRIM(Raw_Passengers!G406))))=0,"",INDEX(Lookup_Status!$B$2:$B$13,SUMPRODUCT((Lookup_Status!$A$2:$A$13=LOWER(TRIM(Raw_Passengers!G406)))*(ROW(Lookup_Status!$A$2:$A$13)-1))))</f>
        <v>Waitlisted</v>
      </c>
      <c r="I406" s="7">
        <f>IF(OR(G406="",G406="Cancelled",G406="Mixed"),1,0)</f>
        <v>0</v>
      </c>
      <c r="J406" s="7">
        <f>IF(OR(H406="",H406="Mixed"),1,0)</f>
        <v>0</v>
      </c>
      <c r="K406" s="7">
        <f>IF(AND(C406=0,D406=0),IF(OR(AND(I406=0,NOT(EXACT(Raw_Passengers!F406,G406))),AND(J406=0,NOT(EXACT(Raw_Passengers!G406,H406)))),1,0),0)</f>
        <v>0</v>
      </c>
      <c r="L406" s="7">
        <f>IF(AND(C406=0,D406=0,I406=1),1,0)</f>
        <v>0</v>
      </c>
      <c r="M406" s="7">
        <f>IF(AND(C406=0,D406=0,J406=1),1,0)</f>
        <v>0</v>
      </c>
    </row>
    <row r="407" spans="1:13">
      <c r="A407" s="7">
        <f>Raw_Passengers!A407</f>
        <v>138705</v>
      </c>
      <c r="B407" s="7">
        <f>Raw_Passengers!B407</f>
        <v>1068745</v>
      </c>
      <c r="C407" s="7">
        <f>IF(COUNTIF(Raw_Passengers!$A$2:A407,Raw_Passengers!A407)&gt;1,1,0)</f>
        <v>0</v>
      </c>
      <c r="D407" s="7">
        <f>IF(COUNTIF(Raw_Bookings!$A$2:$A$648,Raw_Passengers!B407)=0,1,0)</f>
        <v>0</v>
      </c>
      <c r="E407" s="7">
        <f>IF(OR(C407=1,D407=1),0,IF(NOT(ISNUMBER(Raw_Passengers!E407)),1,IF(Raw_Passengers!E407&lt;=0,1,0)))</f>
        <v>0</v>
      </c>
      <c r="F407" s="7">
        <f>IF(AND(C407=0,D407=0,TRIM(Raw_Passengers!D407&amp;"")=""),1,0)</f>
        <v>0</v>
      </c>
      <c r="G407" s="7" t="str">
        <f>IF(SUMPRODUCT(--(Lookup_Status!$A$2:$A$13=LOWER(TRIM(Raw_Passengers!F407))))=0,"",INDEX(Lookup_Status!$B$2:$B$13,SUMPRODUCT((Lookup_Status!$A$2:$A$13=LOWER(TRIM(Raw_Passengers!F407)))*(ROW(Lookup_Status!$A$2:$A$13)-1))))</f>
        <v>Waitlisted</v>
      </c>
      <c r="H407" s="7" t="str">
        <f>IF(SUMPRODUCT(--(Lookup_Status!$A$2:$A$13=LOWER(TRIM(Raw_Passengers!G407))))=0,"",INDEX(Lookup_Status!$B$2:$B$13,SUMPRODUCT((Lookup_Status!$A$2:$A$13=LOWER(TRIM(Raw_Passengers!G407)))*(ROW(Lookup_Status!$A$2:$A$13)-1))))</f>
        <v>Waitlisted</v>
      </c>
      <c r="I407" s="7">
        <f>IF(OR(G407="",G407="Cancelled",G407="Mixed"),1,0)</f>
        <v>0</v>
      </c>
      <c r="J407" s="7">
        <f>IF(OR(H407="",H407="Mixed"),1,0)</f>
        <v>0</v>
      </c>
      <c r="K407" s="7">
        <f>IF(AND(C407=0,D407=0),IF(OR(AND(I407=0,NOT(EXACT(Raw_Passengers!F407,G407))),AND(J407=0,NOT(EXACT(Raw_Passengers!G407,H407)))),1,0),0)</f>
        <v>0</v>
      </c>
      <c r="L407" s="7">
        <f>IF(AND(C407=0,D407=0,I407=1),1,0)</f>
        <v>0</v>
      </c>
      <c r="M407" s="7">
        <f>IF(AND(C407=0,D407=0,J407=1),1,0)</f>
        <v>0</v>
      </c>
    </row>
    <row r="408" spans="1:13">
      <c r="A408" s="7">
        <f>Raw_Passengers!A408</f>
        <v>138706</v>
      </c>
      <c r="B408" s="7">
        <f>Raw_Passengers!B408</f>
        <v>1068745</v>
      </c>
      <c r="C408" s="7">
        <f>IF(COUNTIF(Raw_Passengers!$A$2:A408,Raw_Passengers!A408)&gt;1,1,0)</f>
        <v>0</v>
      </c>
      <c r="D408" s="7">
        <f>IF(COUNTIF(Raw_Bookings!$A$2:$A$648,Raw_Passengers!B408)=0,1,0)</f>
        <v>0</v>
      </c>
      <c r="E408" s="7">
        <f>IF(OR(C408=1,D408=1),0,IF(NOT(ISNUMBER(Raw_Passengers!E408)),1,IF(Raw_Passengers!E408&lt;=0,1,0)))</f>
        <v>0</v>
      </c>
      <c r="F408" s="7">
        <f>IF(AND(C408=0,D408=0,TRIM(Raw_Passengers!D408&amp;"")=""),1,0)</f>
        <v>0</v>
      </c>
      <c r="G408" s="7" t="str">
        <f>IF(SUMPRODUCT(--(Lookup_Status!$A$2:$A$13=LOWER(TRIM(Raw_Passengers!F408))))=0,"",INDEX(Lookup_Status!$B$2:$B$13,SUMPRODUCT((Lookup_Status!$A$2:$A$13=LOWER(TRIM(Raw_Passengers!F408)))*(ROW(Lookup_Status!$A$2:$A$13)-1))))</f>
        <v>Waitlisted</v>
      </c>
      <c r="H408" s="7" t="str">
        <f>IF(SUMPRODUCT(--(Lookup_Status!$A$2:$A$13=LOWER(TRIM(Raw_Passengers!G408))))=0,"",INDEX(Lookup_Status!$B$2:$B$13,SUMPRODUCT((Lookup_Status!$A$2:$A$13=LOWER(TRIM(Raw_Passengers!G408)))*(ROW(Lookup_Status!$A$2:$A$13)-1))))</f>
        <v>Waitlisted</v>
      </c>
      <c r="I408" s="7">
        <f>IF(OR(G408="",G408="Cancelled",G408="Mixed"),1,0)</f>
        <v>0</v>
      </c>
      <c r="J408" s="7">
        <f>IF(OR(H408="",H408="Mixed"),1,0)</f>
        <v>0</v>
      </c>
      <c r="K408" s="7">
        <f>IF(AND(C408=0,D408=0),IF(OR(AND(I408=0,NOT(EXACT(Raw_Passengers!F408,G408))),AND(J408=0,NOT(EXACT(Raw_Passengers!G408,H408)))),1,0),0)</f>
        <v>0</v>
      </c>
      <c r="L408" s="7">
        <f>IF(AND(C408=0,D408=0,I408=1),1,0)</f>
        <v>0</v>
      </c>
      <c r="M408" s="7">
        <f>IF(AND(C408=0,D408=0,J408=1),1,0)</f>
        <v>0</v>
      </c>
    </row>
    <row r="409" spans="1:13">
      <c r="A409" s="7">
        <f>Raw_Passengers!A409</f>
        <v>139243</v>
      </c>
      <c r="B409" s="7">
        <f>Raw_Passengers!B409</f>
        <v>1069008</v>
      </c>
      <c r="C409" s="7">
        <f>IF(COUNTIF(Raw_Passengers!$A$2:A409,Raw_Passengers!A409)&gt;1,1,0)</f>
        <v>0</v>
      </c>
      <c r="D409" s="7">
        <f>IF(COUNTIF(Raw_Bookings!$A$2:$A$648,Raw_Passengers!B409)=0,1,0)</f>
        <v>0</v>
      </c>
      <c r="E409" s="7">
        <f>IF(OR(C409=1,D409=1),0,IF(NOT(ISNUMBER(Raw_Passengers!E409)),1,IF(Raw_Passengers!E409&lt;=0,1,0)))</f>
        <v>0</v>
      </c>
      <c r="F409" s="7">
        <f>IF(AND(C409=0,D409=0,TRIM(Raw_Passengers!D409&amp;"")=""),1,0)</f>
        <v>0</v>
      </c>
      <c r="G409" s="7" t="str">
        <f>IF(SUMPRODUCT(--(Lookup_Status!$A$2:$A$13=LOWER(TRIM(Raw_Passengers!F409))))=0,"",INDEX(Lookup_Status!$B$2:$B$13,SUMPRODUCT((Lookup_Status!$A$2:$A$13=LOWER(TRIM(Raw_Passengers!F409)))*(ROW(Lookup_Status!$A$2:$A$13)-1))))</f>
        <v>Waitlisted</v>
      </c>
      <c r="H409" s="7" t="str">
        <f>IF(SUMPRODUCT(--(Lookup_Status!$A$2:$A$13=LOWER(TRIM(Raw_Passengers!G409))))=0,"",INDEX(Lookup_Status!$B$2:$B$13,SUMPRODUCT((Lookup_Status!$A$2:$A$13=LOWER(TRIM(Raw_Passengers!G409)))*(ROW(Lookup_Status!$A$2:$A$13)-1))))</f>
        <v>Waitlisted</v>
      </c>
      <c r="I409" s="7">
        <f>IF(OR(G409="",G409="Cancelled",G409="Mixed"),1,0)</f>
        <v>0</v>
      </c>
      <c r="J409" s="7">
        <f>IF(OR(H409="",H409="Mixed"),1,0)</f>
        <v>0</v>
      </c>
      <c r="K409" s="7">
        <f>IF(AND(C409=0,D409=0),IF(OR(AND(I409=0,NOT(EXACT(Raw_Passengers!F409,G409))),AND(J409=0,NOT(EXACT(Raw_Passengers!G409,H409)))),1,0),0)</f>
        <v>0</v>
      </c>
      <c r="L409" s="7">
        <f>IF(AND(C409=0,D409=0,I409=1),1,0)</f>
        <v>0</v>
      </c>
      <c r="M409" s="7">
        <f>IF(AND(C409=0,D409=0,J409=1),1,0)</f>
        <v>0</v>
      </c>
    </row>
    <row r="410" spans="1:13">
      <c r="A410" s="7">
        <f>Raw_Passengers!A410</f>
        <v>139244</v>
      </c>
      <c r="B410" s="7">
        <f>Raw_Passengers!B410</f>
        <v>1069008</v>
      </c>
      <c r="C410" s="7">
        <f>IF(COUNTIF(Raw_Passengers!$A$2:A410,Raw_Passengers!A410)&gt;1,1,0)</f>
        <v>0</v>
      </c>
      <c r="D410" s="7">
        <f>IF(COUNTIF(Raw_Bookings!$A$2:$A$648,Raw_Passengers!B410)=0,1,0)</f>
        <v>0</v>
      </c>
      <c r="E410" s="7">
        <f>IF(OR(C410=1,D410=1),0,IF(NOT(ISNUMBER(Raw_Passengers!E410)),1,IF(Raw_Passengers!E410&lt;=0,1,0)))</f>
        <v>0</v>
      </c>
      <c r="F410" s="7">
        <f>IF(AND(C410=0,D410=0,TRIM(Raw_Passengers!D410&amp;"")=""),1,0)</f>
        <v>0</v>
      </c>
      <c r="G410" s="7" t="str">
        <f>IF(SUMPRODUCT(--(Lookup_Status!$A$2:$A$13=LOWER(TRIM(Raw_Passengers!F410))))=0,"",INDEX(Lookup_Status!$B$2:$B$13,SUMPRODUCT((Lookup_Status!$A$2:$A$13=LOWER(TRIM(Raw_Passengers!F410)))*(ROW(Lookup_Status!$A$2:$A$13)-1))))</f>
        <v>Waitlisted</v>
      </c>
      <c r="H410" s="7" t="str">
        <f>IF(SUMPRODUCT(--(Lookup_Status!$A$2:$A$13=LOWER(TRIM(Raw_Passengers!G410))))=0,"",INDEX(Lookup_Status!$B$2:$B$13,SUMPRODUCT((Lookup_Status!$A$2:$A$13=LOWER(TRIM(Raw_Passengers!G410)))*(ROW(Lookup_Status!$A$2:$A$13)-1))))</f>
        <v>Waitlisted</v>
      </c>
      <c r="I410" s="7">
        <f>IF(OR(G410="",G410="Cancelled",G410="Mixed"),1,0)</f>
        <v>0</v>
      </c>
      <c r="J410" s="7">
        <f>IF(OR(H410="",H410="Mixed"),1,0)</f>
        <v>0</v>
      </c>
      <c r="K410" s="7">
        <f>IF(AND(C410=0,D410=0),IF(OR(AND(I410=0,NOT(EXACT(Raw_Passengers!F410,G410))),AND(J410=0,NOT(EXACT(Raw_Passengers!G410,H410)))),1,0),0)</f>
        <v>0</v>
      </c>
      <c r="L410" s="7">
        <f>IF(AND(C410=0,D410=0,I410=1),1,0)</f>
        <v>0</v>
      </c>
      <c r="M410" s="7">
        <f>IF(AND(C410=0,D410=0,J410=1),1,0)</f>
        <v>0</v>
      </c>
    </row>
    <row r="411" spans="1:13">
      <c r="A411" s="7">
        <f>Raw_Passengers!A411</f>
        <v>139550</v>
      </c>
      <c r="B411" s="7">
        <f>Raw_Passengers!B411</f>
        <v>1069152</v>
      </c>
      <c r="C411" s="7">
        <f>IF(COUNTIF(Raw_Passengers!$A$2:A411,Raw_Passengers!A411)&gt;1,1,0)</f>
        <v>0</v>
      </c>
      <c r="D411" s="7">
        <f>IF(COUNTIF(Raw_Bookings!$A$2:$A$648,Raw_Passengers!B411)=0,1,0)</f>
        <v>0</v>
      </c>
      <c r="E411" s="7">
        <f>IF(OR(C411=1,D411=1),0,IF(NOT(ISNUMBER(Raw_Passengers!E411)),1,IF(Raw_Passengers!E411&lt;=0,1,0)))</f>
        <v>0</v>
      </c>
      <c r="F411" s="7">
        <f>IF(AND(C411=0,D411=0,TRIM(Raw_Passengers!D411&amp;"")=""),1,0)</f>
        <v>0</v>
      </c>
      <c r="G411" s="7" t="str">
        <f>IF(SUMPRODUCT(--(Lookup_Status!$A$2:$A$13=LOWER(TRIM(Raw_Passengers!F411))))=0,"",INDEX(Lookup_Status!$B$2:$B$13,SUMPRODUCT((Lookup_Status!$A$2:$A$13=LOWER(TRIM(Raw_Passengers!F411)))*(ROW(Lookup_Status!$A$2:$A$13)-1))))</f>
        <v>Waitlisted</v>
      </c>
      <c r="H411" s="7" t="str">
        <f>IF(SUMPRODUCT(--(Lookup_Status!$A$2:$A$13=LOWER(TRIM(Raw_Passengers!G411))))=0,"",INDEX(Lookup_Status!$B$2:$B$13,SUMPRODUCT((Lookup_Status!$A$2:$A$13=LOWER(TRIM(Raw_Passengers!G411)))*(ROW(Lookup_Status!$A$2:$A$13)-1))))</f>
        <v>Waitlisted</v>
      </c>
      <c r="I411" s="7">
        <f>IF(OR(G411="",G411="Cancelled",G411="Mixed"),1,0)</f>
        <v>0</v>
      </c>
      <c r="J411" s="7">
        <f>IF(OR(H411="",H411="Mixed"),1,0)</f>
        <v>0</v>
      </c>
      <c r="K411" s="7">
        <f>IF(AND(C411=0,D411=0),IF(OR(AND(I411=0,NOT(EXACT(Raw_Passengers!F411,G411))),AND(J411=0,NOT(EXACT(Raw_Passengers!G411,H411)))),1,0),0)</f>
        <v>0</v>
      </c>
      <c r="L411" s="7">
        <f>IF(AND(C411=0,D411=0,I411=1),1,0)</f>
        <v>0</v>
      </c>
      <c r="M411" s="7">
        <f>IF(AND(C411=0,D411=0,J411=1),1,0)</f>
        <v>0</v>
      </c>
    </row>
    <row r="412" spans="1:13">
      <c r="A412" s="7">
        <f>Raw_Passengers!A412</f>
        <v>141042</v>
      </c>
      <c r="B412" s="7">
        <f>Raw_Passengers!B412</f>
        <v>1069896</v>
      </c>
      <c r="C412" s="7">
        <f>IF(COUNTIF(Raw_Passengers!$A$2:A412,Raw_Passengers!A412)&gt;1,1,0)</f>
        <v>0</v>
      </c>
      <c r="D412" s="7">
        <f>IF(COUNTIF(Raw_Bookings!$A$2:$A$648,Raw_Passengers!B412)=0,1,0)</f>
        <v>0</v>
      </c>
      <c r="E412" s="7">
        <f>IF(OR(C412=1,D412=1),0,IF(NOT(ISNUMBER(Raw_Passengers!E412)),1,IF(Raw_Passengers!E412&lt;=0,1,0)))</f>
        <v>0</v>
      </c>
      <c r="F412" s="7">
        <f>IF(AND(C412=0,D412=0,TRIM(Raw_Passengers!D412&amp;"")=""),1,0)</f>
        <v>0</v>
      </c>
      <c r="G412" s="7" t="str">
        <f>IF(SUMPRODUCT(--(Lookup_Status!$A$2:$A$13=LOWER(TRIM(Raw_Passengers!F412))))=0,"",INDEX(Lookup_Status!$B$2:$B$13,SUMPRODUCT((Lookup_Status!$A$2:$A$13=LOWER(TRIM(Raw_Passengers!F412)))*(ROW(Lookup_Status!$A$2:$A$13)-1))))</f>
        <v>Confirmed</v>
      </c>
      <c r="H412" s="7" t="str">
        <f>IF(SUMPRODUCT(--(Lookup_Status!$A$2:$A$13=LOWER(TRIM(Raw_Passengers!G412))))=0,"",INDEX(Lookup_Status!$B$2:$B$13,SUMPRODUCT((Lookup_Status!$A$2:$A$13=LOWER(TRIM(Raw_Passengers!G412)))*(ROW(Lookup_Status!$A$2:$A$13)-1))))</f>
        <v>Confirmed</v>
      </c>
      <c r="I412" s="7">
        <f>IF(OR(G412="",G412="Cancelled",G412="Mixed"),1,0)</f>
        <v>0</v>
      </c>
      <c r="J412" s="7">
        <f>IF(OR(H412="",H412="Mixed"),1,0)</f>
        <v>0</v>
      </c>
      <c r="K412" s="7">
        <f>IF(AND(C412=0,D412=0),IF(OR(AND(I412=0,NOT(EXACT(Raw_Passengers!F412,G412))),AND(J412=0,NOT(EXACT(Raw_Passengers!G412,H412)))),1,0),0)</f>
        <v>0</v>
      </c>
      <c r="L412" s="7">
        <f>IF(AND(C412=0,D412=0,I412=1),1,0)</f>
        <v>0</v>
      </c>
      <c r="M412" s="7">
        <f>IF(AND(C412=0,D412=0,J412=1),1,0)</f>
        <v>0</v>
      </c>
    </row>
    <row r="413" spans="1:13">
      <c r="A413" s="7">
        <f>Raw_Passengers!A413</f>
        <v>141047</v>
      </c>
      <c r="B413" s="7">
        <f>Raw_Passengers!B413</f>
        <v>1069898</v>
      </c>
      <c r="C413" s="7">
        <f>IF(COUNTIF(Raw_Passengers!$A$2:A413,Raw_Passengers!A413)&gt;1,1,0)</f>
        <v>0</v>
      </c>
      <c r="D413" s="7">
        <f>IF(COUNTIF(Raw_Bookings!$A$2:$A$648,Raw_Passengers!B413)=0,1,0)</f>
        <v>0</v>
      </c>
      <c r="E413" s="7">
        <f>IF(OR(C413=1,D413=1),0,IF(NOT(ISNUMBER(Raw_Passengers!E413)),1,IF(Raw_Passengers!E413&lt;=0,1,0)))</f>
        <v>0</v>
      </c>
      <c r="F413" s="7">
        <f>IF(AND(C413=0,D413=0,TRIM(Raw_Passengers!D413&amp;"")=""),1,0)</f>
        <v>0</v>
      </c>
      <c r="G413" s="7" t="str">
        <f>IF(SUMPRODUCT(--(Lookup_Status!$A$2:$A$13=LOWER(TRIM(Raw_Passengers!F413))))=0,"",INDEX(Lookup_Status!$B$2:$B$13,SUMPRODUCT((Lookup_Status!$A$2:$A$13=LOWER(TRIM(Raw_Passengers!F413)))*(ROW(Lookup_Status!$A$2:$A$13)-1))))</f>
        <v>Confirmed</v>
      </c>
      <c r="H413" s="7" t="str">
        <f>IF(SUMPRODUCT(--(Lookup_Status!$A$2:$A$13=LOWER(TRIM(Raw_Passengers!G413))))=0,"",INDEX(Lookup_Status!$B$2:$B$13,SUMPRODUCT((Lookup_Status!$A$2:$A$13=LOWER(TRIM(Raw_Passengers!G413)))*(ROW(Lookup_Status!$A$2:$A$13)-1))))</f>
        <v>Confirmed</v>
      </c>
      <c r="I413" s="7">
        <f>IF(OR(G413="",G413="Cancelled",G413="Mixed"),1,0)</f>
        <v>0</v>
      </c>
      <c r="J413" s="7">
        <f>IF(OR(H413="",H413="Mixed"),1,0)</f>
        <v>0</v>
      </c>
      <c r="K413" s="7">
        <f>IF(AND(C413=0,D413=0),IF(OR(AND(I413=0,NOT(EXACT(Raw_Passengers!F413,G413))),AND(J413=0,NOT(EXACT(Raw_Passengers!G413,H413)))),1,0),0)</f>
        <v>0</v>
      </c>
      <c r="L413" s="7">
        <f>IF(AND(C413=0,D413=0,I413=1),1,0)</f>
        <v>0</v>
      </c>
      <c r="M413" s="7">
        <f>IF(AND(C413=0,D413=0,J413=1),1,0)</f>
        <v>0</v>
      </c>
    </row>
    <row r="414" spans="1:13">
      <c r="A414" s="7">
        <f>Raw_Passengers!A414</f>
        <v>141048</v>
      </c>
      <c r="B414" s="7">
        <f>Raw_Passengers!B414</f>
        <v>1069898</v>
      </c>
      <c r="C414" s="7">
        <f>IF(COUNTIF(Raw_Passengers!$A$2:A414,Raw_Passengers!A414)&gt;1,1,0)</f>
        <v>0</v>
      </c>
      <c r="D414" s="7">
        <f>IF(COUNTIF(Raw_Bookings!$A$2:$A$648,Raw_Passengers!B414)=0,1,0)</f>
        <v>0</v>
      </c>
      <c r="E414" s="7">
        <f>IF(OR(C414=1,D414=1),0,IF(NOT(ISNUMBER(Raw_Passengers!E414)),1,IF(Raw_Passengers!E414&lt;=0,1,0)))</f>
        <v>0</v>
      </c>
      <c r="F414" s="7">
        <f>IF(AND(C414=0,D414=0,TRIM(Raw_Passengers!D414&amp;"")=""),1,0)</f>
        <v>0</v>
      </c>
      <c r="G414" s="7" t="str">
        <f>IF(SUMPRODUCT(--(Lookup_Status!$A$2:$A$13=LOWER(TRIM(Raw_Passengers!F414))))=0,"",INDEX(Lookup_Status!$B$2:$B$13,SUMPRODUCT((Lookup_Status!$A$2:$A$13=LOWER(TRIM(Raw_Passengers!F414)))*(ROW(Lookup_Status!$A$2:$A$13)-1))))</f>
        <v>Confirmed</v>
      </c>
      <c r="H414" s="7" t="str">
        <f>IF(SUMPRODUCT(--(Lookup_Status!$A$2:$A$13=LOWER(TRIM(Raw_Passengers!G414))))=0,"",INDEX(Lookup_Status!$B$2:$B$13,SUMPRODUCT((Lookup_Status!$A$2:$A$13=LOWER(TRIM(Raw_Passengers!G414)))*(ROW(Lookup_Status!$A$2:$A$13)-1))))</f>
        <v>Confirmed</v>
      </c>
      <c r="I414" s="7">
        <f>IF(OR(G414="",G414="Cancelled",G414="Mixed"),1,0)</f>
        <v>0</v>
      </c>
      <c r="J414" s="7">
        <f>IF(OR(H414="",H414="Mixed"),1,0)</f>
        <v>0</v>
      </c>
      <c r="K414" s="7">
        <f>IF(AND(C414=0,D414=0),IF(OR(AND(I414=0,NOT(EXACT(Raw_Passengers!F414,G414))),AND(J414=0,NOT(EXACT(Raw_Passengers!G414,H414)))),1,0),0)</f>
        <v>0</v>
      </c>
      <c r="L414" s="7">
        <f>IF(AND(C414=0,D414=0,I414=1),1,0)</f>
        <v>0</v>
      </c>
      <c r="M414" s="7">
        <f>IF(AND(C414=0,D414=0,J414=1),1,0)</f>
        <v>0</v>
      </c>
    </row>
    <row r="415" spans="1:13">
      <c r="A415" s="7">
        <f>Raw_Passengers!A415</f>
        <v>141348</v>
      </c>
      <c r="B415" s="7">
        <f>Raw_Passengers!B415</f>
        <v>1070044</v>
      </c>
      <c r="C415" s="7">
        <f>IF(COUNTIF(Raw_Passengers!$A$2:A415,Raw_Passengers!A415)&gt;1,1,0)</f>
        <v>0</v>
      </c>
      <c r="D415" s="7">
        <f>IF(COUNTIF(Raw_Bookings!$A$2:$A$648,Raw_Passengers!B415)=0,1,0)</f>
        <v>0</v>
      </c>
      <c r="E415" s="7">
        <f>IF(OR(C415=1,D415=1),0,IF(NOT(ISNUMBER(Raw_Passengers!E415)),1,IF(Raw_Passengers!E415&lt;=0,1,0)))</f>
        <v>0</v>
      </c>
      <c r="F415" s="7">
        <f>IF(AND(C415=0,D415=0,TRIM(Raw_Passengers!D415&amp;"")=""),1,0)</f>
        <v>0</v>
      </c>
      <c r="G415" s="7" t="str">
        <f>IF(SUMPRODUCT(--(Lookup_Status!$A$2:$A$13=LOWER(TRIM(Raw_Passengers!F415))))=0,"",INDEX(Lookup_Status!$B$2:$B$13,SUMPRODUCT((Lookup_Status!$A$2:$A$13=LOWER(TRIM(Raw_Passengers!F415)))*(ROW(Lookup_Status!$A$2:$A$13)-1))))</f>
        <v>RAC</v>
      </c>
      <c r="H415" s="7" t="str">
        <f>IF(SUMPRODUCT(--(Lookup_Status!$A$2:$A$13=LOWER(TRIM(Raw_Passengers!G415))))=0,"",INDEX(Lookup_Status!$B$2:$B$13,SUMPRODUCT((Lookup_Status!$A$2:$A$13=LOWER(TRIM(Raw_Passengers!G415)))*(ROW(Lookup_Status!$A$2:$A$13)-1))))</f>
        <v>Cancelled</v>
      </c>
      <c r="I415" s="7">
        <f>IF(OR(G415="",G415="Cancelled",G415="Mixed"),1,0)</f>
        <v>0</v>
      </c>
      <c r="J415" s="7">
        <f>IF(OR(H415="",H415="Mixed"),1,0)</f>
        <v>0</v>
      </c>
      <c r="K415" s="7">
        <f>IF(AND(C415=0,D415=0),IF(OR(AND(I415=0,NOT(EXACT(Raw_Passengers!F415,G415))),AND(J415=0,NOT(EXACT(Raw_Passengers!G415,H415)))),1,0),0)</f>
        <v>0</v>
      </c>
      <c r="L415" s="7">
        <f>IF(AND(C415=0,D415=0,I415=1),1,0)</f>
        <v>0</v>
      </c>
      <c r="M415" s="7">
        <f>IF(AND(C415=0,D415=0,J415=1),1,0)</f>
        <v>0</v>
      </c>
    </row>
    <row r="416" spans="1:13">
      <c r="A416" s="7">
        <f>Raw_Passengers!A416</f>
        <v>141349</v>
      </c>
      <c r="B416" s="7">
        <f>Raw_Passengers!B416</f>
        <v>1070044</v>
      </c>
      <c r="C416" s="7">
        <f>IF(COUNTIF(Raw_Passengers!$A$2:A416,Raw_Passengers!A416)&gt;1,1,0)</f>
        <v>0</v>
      </c>
      <c r="D416" s="7">
        <f>IF(COUNTIF(Raw_Bookings!$A$2:$A$648,Raw_Passengers!B416)=0,1,0)</f>
        <v>0</v>
      </c>
      <c r="E416" s="7">
        <f>IF(OR(C416=1,D416=1),0,IF(NOT(ISNUMBER(Raw_Passengers!E416)),1,IF(Raw_Passengers!E416&lt;=0,1,0)))</f>
        <v>0</v>
      </c>
      <c r="F416" s="7">
        <f>IF(AND(C416=0,D416=0,TRIM(Raw_Passengers!D416&amp;"")=""),1,0)</f>
        <v>0</v>
      </c>
      <c r="G416" s="7" t="str">
        <f>IF(SUMPRODUCT(--(Lookup_Status!$A$2:$A$13=LOWER(TRIM(Raw_Passengers!F416))))=0,"",INDEX(Lookup_Status!$B$2:$B$13,SUMPRODUCT((Lookup_Status!$A$2:$A$13=LOWER(TRIM(Raw_Passengers!F416)))*(ROW(Lookup_Status!$A$2:$A$13)-1))))</f>
        <v>RAC</v>
      </c>
      <c r="H416" s="7" t="str">
        <f>IF(SUMPRODUCT(--(Lookup_Status!$A$2:$A$13=LOWER(TRIM(Raw_Passengers!G416))))=0,"",INDEX(Lookup_Status!$B$2:$B$13,SUMPRODUCT((Lookup_Status!$A$2:$A$13=LOWER(TRIM(Raw_Passengers!G416)))*(ROW(Lookup_Status!$A$2:$A$13)-1))))</f>
        <v>Cancelled</v>
      </c>
      <c r="I416" s="7">
        <f>IF(OR(G416="",G416="Cancelled",G416="Mixed"),1,0)</f>
        <v>0</v>
      </c>
      <c r="J416" s="7">
        <f>IF(OR(H416="",H416="Mixed"),1,0)</f>
        <v>0</v>
      </c>
      <c r="K416" s="7">
        <f>IF(AND(C416=0,D416=0),IF(OR(AND(I416=0,NOT(EXACT(Raw_Passengers!F416,G416))),AND(J416=0,NOT(EXACT(Raw_Passengers!G416,H416)))),1,0),0)</f>
        <v>0</v>
      </c>
      <c r="L416" s="7">
        <f>IF(AND(C416=0,D416=0,I416=1),1,0)</f>
        <v>0</v>
      </c>
      <c r="M416" s="7">
        <f>IF(AND(C416=0,D416=0,J416=1),1,0)</f>
        <v>0</v>
      </c>
    </row>
    <row r="417" spans="1:13">
      <c r="A417" s="7">
        <f>Raw_Passengers!A417</f>
        <v>141350</v>
      </c>
      <c r="B417" s="7">
        <f>Raw_Passengers!B417</f>
        <v>1070044</v>
      </c>
      <c r="C417" s="7">
        <f>IF(COUNTIF(Raw_Passengers!$A$2:A417,Raw_Passengers!A417)&gt;1,1,0)</f>
        <v>0</v>
      </c>
      <c r="D417" s="7">
        <f>IF(COUNTIF(Raw_Bookings!$A$2:$A$648,Raw_Passengers!B417)=0,1,0)</f>
        <v>0</v>
      </c>
      <c r="E417" s="7">
        <f>IF(OR(C417=1,D417=1),0,IF(NOT(ISNUMBER(Raw_Passengers!E417)),1,IF(Raw_Passengers!E417&lt;=0,1,0)))</f>
        <v>0</v>
      </c>
      <c r="F417" s="7">
        <f>IF(AND(C417=0,D417=0,TRIM(Raw_Passengers!D417&amp;"")=""),1,0)</f>
        <v>0</v>
      </c>
      <c r="G417" s="7" t="str">
        <f>IF(SUMPRODUCT(--(Lookup_Status!$A$2:$A$13=LOWER(TRIM(Raw_Passengers!F417))))=0,"",INDEX(Lookup_Status!$B$2:$B$13,SUMPRODUCT((Lookup_Status!$A$2:$A$13=LOWER(TRIM(Raw_Passengers!F417)))*(ROW(Lookup_Status!$A$2:$A$13)-1))))</f>
        <v>RAC</v>
      </c>
      <c r="H417" s="7" t="str">
        <f>IF(SUMPRODUCT(--(Lookup_Status!$A$2:$A$13=LOWER(TRIM(Raw_Passengers!G417))))=0,"",INDEX(Lookup_Status!$B$2:$B$13,SUMPRODUCT((Lookup_Status!$A$2:$A$13=LOWER(TRIM(Raw_Passengers!G417)))*(ROW(Lookup_Status!$A$2:$A$13)-1))))</f>
        <v>Cancelled</v>
      </c>
      <c r="I417" s="7">
        <f>IF(OR(G417="",G417="Cancelled",G417="Mixed"),1,0)</f>
        <v>0</v>
      </c>
      <c r="J417" s="7">
        <f>IF(OR(H417="",H417="Mixed"),1,0)</f>
        <v>0</v>
      </c>
      <c r="K417" s="7">
        <f>IF(AND(C417=0,D417=0),IF(OR(AND(I417=0,NOT(EXACT(Raw_Passengers!F417,G417))),AND(J417=0,NOT(EXACT(Raw_Passengers!G417,H417)))),1,0),0)</f>
        <v>0</v>
      </c>
      <c r="L417" s="7">
        <f>IF(AND(C417=0,D417=0,I417=1),1,0)</f>
        <v>0</v>
      </c>
      <c r="M417" s="7">
        <f>IF(AND(C417=0,D417=0,J417=1),1,0)</f>
        <v>0</v>
      </c>
    </row>
    <row r="418" spans="1:13">
      <c r="A418" s="7">
        <f>Raw_Passengers!A418</f>
        <v>141355</v>
      </c>
      <c r="B418" s="7">
        <f>Raw_Passengers!B418</f>
        <v>1070048</v>
      </c>
      <c r="C418" s="7">
        <f>IF(COUNTIF(Raw_Passengers!$A$2:A418,Raw_Passengers!A418)&gt;1,1,0)</f>
        <v>0</v>
      </c>
      <c r="D418" s="7">
        <f>IF(COUNTIF(Raw_Bookings!$A$2:$A$648,Raw_Passengers!B418)=0,1,0)</f>
        <v>0</v>
      </c>
      <c r="E418" s="7">
        <f>IF(OR(C418=1,D418=1),0,IF(NOT(ISNUMBER(Raw_Passengers!E418)),1,IF(Raw_Passengers!E418&lt;=0,1,0)))</f>
        <v>0</v>
      </c>
      <c r="F418" s="7">
        <f>IF(AND(C418=0,D418=0,TRIM(Raw_Passengers!D418&amp;"")=""),1,0)</f>
        <v>0</v>
      </c>
      <c r="G418" s="7" t="str">
        <f>IF(SUMPRODUCT(--(Lookup_Status!$A$2:$A$13=LOWER(TRIM(Raw_Passengers!F418))))=0,"",INDEX(Lookup_Status!$B$2:$B$13,SUMPRODUCT((Lookup_Status!$A$2:$A$13=LOWER(TRIM(Raw_Passengers!F418)))*(ROW(Lookup_Status!$A$2:$A$13)-1))))</f>
        <v>Confirmed</v>
      </c>
      <c r="H418" s="7" t="str">
        <f>IF(SUMPRODUCT(--(Lookup_Status!$A$2:$A$13=LOWER(TRIM(Raw_Passengers!G418))))=0,"",INDEX(Lookup_Status!$B$2:$B$13,SUMPRODUCT((Lookup_Status!$A$2:$A$13=LOWER(TRIM(Raw_Passengers!G418)))*(ROW(Lookup_Status!$A$2:$A$13)-1))))</f>
        <v>Confirmed</v>
      </c>
      <c r="I418" s="7">
        <f>IF(OR(G418="",G418="Cancelled",G418="Mixed"),1,0)</f>
        <v>0</v>
      </c>
      <c r="J418" s="7">
        <f>IF(OR(H418="",H418="Mixed"),1,0)</f>
        <v>0</v>
      </c>
      <c r="K418" s="7">
        <f>IF(AND(C418=0,D418=0),IF(OR(AND(I418=0,NOT(EXACT(Raw_Passengers!F418,G418))),AND(J418=0,NOT(EXACT(Raw_Passengers!G418,H418)))),1,0),0)</f>
        <v>0</v>
      </c>
      <c r="L418" s="7">
        <f>IF(AND(C418=0,D418=0,I418=1),1,0)</f>
        <v>0</v>
      </c>
      <c r="M418" s="7">
        <f>IF(AND(C418=0,D418=0,J418=1),1,0)</f>
        <v>0</v>
      </c>
    </row>
    <row r="419" spans="1:13">
      <c r="A419" s="7">
        <f>Raw_Passengers!A419</f>
        <v>143425</v>
      </c>
      <c r="B419" s="7">
        <f>Raw_Passengers!B419</f>
        <v>1071085</v>
      </c>
      <c r="C419" s="7">
        <f>IF(COUNTIF(Raw_Passengers!$A$2:A419,Raw_Passengers!A419)&gt;1,1,0)</f>
        <v>0</v>
      </c>
      <c r="D419" s="7">
        <f>IF(COUNTIF(Raw_Bookings!$A$2:$A$648,Raw_Passengers!B419)=0,1,0)</f>
        <v>0</v>
      </c>
      <c r="E419" s="7">
        <f>IF(OR(C419=1,D419=1),0,IF(NOT(ISNUMBER(Raw_Passengers!E419)),1,IF(Raw_Passengers!E419&lt;=0,1,0)))</f>
        <v>0</v>
      </c>
      <c r="F419" s="7">
        <f>IF(AND(C419=0,D419=0,TRIM(Raw_Passengers!D419&amp;"")=""),1,0)</f>
        <v>0</v>
      </c>
      <c r="G419" s="7" t="str">
        <f>IF(SUMPRODUCT(--(Lookup_Status!$A$2:$A$13=LOWER(TRIM(Raw_Passengers!F419))))=0,"",INDEX(Lookup_Status!$B$2:$B$13,SUMPRODUCT((Lookup_Status!$A$2:$A$13=LOWER(TRIM(Raw_Passengers!F419)))*(ROW(Lookup_Status!$A$2:$A$13)-1))))</f>
        <v>Confirmed</v>
      </c>
      <c r="H419" s="7" t="str">
        <f>IF(SUMPRODUCT(--(Lookup_Status!$A$2:$A$13=LOWER(TRIM(Raw_Passengers!G419))))=0,"",INDEX(Lookup_Status!$B$2:$B$13,SUMPRODUCT((Lookup_Status!$A$2:$A$13=LOWER(TRIM(Raw_Passengers!G419)))*(ROW(Lookup_Status!$A$2:$A$13)-1))))</f>
        <v>Confirmed</v>
      </c>
      <c r="I419" s="7">
        <f>IF(OR(G419="",G419="Cancelled",G419="Mixed"),1,0)</f>
        <v>0</v>
      </c>
      <c r="J419" s="7">
        <f>IF(OR(H419="",H419="Mixed"),1,0)</f>
        <v>0</v>
      </c>
      <c r="K419" s="7">
        <f>IF(AND(C419=0,D419=0),IF(OR(AND(I419=0,NOT(EXACT(Raw_Passengers!F419,G419))),AND(J419=0,NOT(EXACT(Raw_Passengers!G419,H419)))),1,0),0)</f>
        <v>0</v>
      </c>
      <c r="L419" s="7">
        <f>IF(AND(C419=0,D419=0,I419=1),1,0)</f>
        <v>0</v>
      </c>
      <c r="M419" s="7">
        <f>IF(AND(C419=0,D419=0,J419=1),1,0)</f>
        <v>0</v>
      </c>
    </row>
    <row r="420" spans="1:13">
      <c r="A420" s="7">
        <f>Raw_Passengers!A420</f>
        <v>143426</v>
      </c>
      <c r="B420" s="7">
        <f>Raw_Passengers!B420</f>
        <v>1071085</v>
      </c>
      <c r="C420" s="7">
        <f>IF(COUNTIF(Raw_Passengers!$A$2:A420,Raw_Passengers!A420)&gt;1,1,0)</f>
        <v>0</v>
      </c>
      <c r="D420" s="7">
        <f>IF(COUNTIF(Raw_Bookings!$A$2:$A$648,Raw_Passengers!B420)=0,1,0)</f>
        <v>0</v>
      </c>
      <c r="E420" s="7">
        <f>IF(OR(C420=1,D420=1),0,IF(NOT(ISNUMBER(Raw_Passengers!E420)),1,IF(Raw_Passengers!E420&lt;=0,1,0)))</f>
        <v>0</v>
      </c>
      <c r="F420" s="7">
        <f>IF(AND(C420=0,D420=0,TRIM(Raw_Passengers!D420&amp;"")=""),1,0)</f>
        <v>0</v>
      </c>
      <c r="G420" s="7" t="str">
        <f>IF(SUMPRODUCT(--(Lookup_Status!$A$2:$A$13=LOWER(TRIM(Raw_Passengers!F420))))=0,"",INDEX(Lookup_Status!$B$2:$B$13,SUMPRODUCT((Lookup_Status!$A$2:$A$13=LOWER(TRIM(Raw_Passengers!F420)))*(ROW(Lookup_Status!$A$2:$A$13)-1))))</f>
        <v>Confirmed</v>
      </c>
      <c r="H420" s="7" t="str">
        <f>IF(SUMPRODUCT(--(Lookup_Status!$A$2:$A$13=LOWER(TRIM(Raw_Passengers!G420))))=0,"",INDEX(Lookup_Status!$B$2:$B$13,SUMPRODUCT((Lookup_Status!$A$2:$A$13=LOWER(TRIM(Raw_Passengers!G420)))*(ROW(Lookup_Status!$A$2:$A$13)-1))))</f>
        <v>Confirmed</v>
      </c>
      <c r="I420" s="7">
        <f>IF(OR(G420="",G420="Cancelled",G420="Mixed"),1,0)</f>
        <v>0</v>
      </c>
      <c r="J420" s="7">
        <f>IF(OR(H420="",H420="Mixed"),1,0)</f>
        <v>0</v>
      </c>
      <c r="K420" s="7">
        <f>IF(AND(C420=0,D420=0),IF(OR(AND(I420=0,NOT(EXACT(Raw_Passengers!F420,G420))),AND(J420=0,NOT(EXACT(Raw_Passengers!G420,H420)))),1,0),0)</f>
        <v>0</v>
      </c>
      <c r="L420" s="7">
        <f>IF(AND(C420=0,D420=0,I420=1),1,0)</f>
        <v>0</v>
      </c>
      <c r="M420" s="7">
        <f>IF(AND(C420=0,D420=0,J420=1),1,0)</f>
        <v>0</v>
      </c>
    </row>
    <row r="421" spans="1:13">
      <c r="A421" s="7">
        <f>Raw_Passengers!A421</f>
        <v>143427</v>
      </c>
      <c r="B421" s="7">
        <f>Raw_Passengers!B421</f>
        <v>1071085</v>
      </c>
      <c r="C421" s="7">
        <f>IF(COUNTIF(Raw_Passengers!$A$2:A421,Raw_Passengers!A421)&gt;1,1,0)</f>
        <v>0</v>
      </c>
      <c r="D421" s="7">
        <f>IF(COUNTIF(Raw_Bookings!$A$2:$A$648,Raw_Passengers!B421)=0,1,0)</f>
        <v>0</v>
      </c>
      <c r="E421" s="7">
        <f>IF(OR(C421=1,D421=1),0,IF(NOT(ISNUMBER(Raw_Passengers!E421)),1,IF(Raw_Passengers!E421&lt;=0,1,0)))</f>
        <v>0</v>
      </c>
      <c r="F421" s="7">
        <f>IF(AND(C421=0,D421=0,TRIM(Raw_Passengers!D421&amp;"")=""),1,0)</f>
        <v>0</v>
      </c>
      <c r="G421" s="7" t="str">
        <f>IF(SUMPRODUCT(--(Lookup_Status!$A$2:$A$13=LOWER(TRIM(Raw_Passengers!F421))))=0,"",INDEX(Lookup_Status!$B$2:$B$13,SUMPRODUCT((Lookup_Status!$A$2:$A$13=LOWER(TRIM(Raw_Passengers!F421)))*(ROW(Lookup_Status!$A$2:$A$13)-1))))</f>
        <v>Confirmed</v>
      </c>
      <c r="H421" s="7" t="str">
        <f>IF(SUMPRODUCT(--(Lookup_Status!$A$2:$A$13=LOWER(TRIM(Raw_Passengers!G421))))=0,"",INDEX(Lookup_Status!$B$2:$B$13,SUMPRODUCT((Lookup_Status!$A$2:$A$13=LOWER(TRIM(Raw_Passengers!G421)))*(ROW(Lookup_Status!$A$2:$A$13)-1))))</f>
        <v>Confirmed</v>
      </c>
      <c r="I421" s="7">
        <f>IF(OR(G421="",G421="Cancelled",G421="Mixed"),1,0)</f>
        <v>0</v>
      </c>
      <c r="J421" s="7">
        <f>IF(OR(H421="",H421="Mixed"),1,0)</f>
        <v>0</v>
      </c>
      <c r="K421" s="7">
        <f>IF(AND(C421=0,D421=0),IF(OR(AND(I421=0,NOT(EXACT(Raw_Passengers!F421,G421))),AND(J421=0,NOT(EXACT(Raw_Passengers!G421,H421)))),1,0),0)</f>
        <v>0</v>
      </c>
      <c r="L421" s="7">
        <f>IF(AND(C421=0,D421=0,I421=1),1,0)</f>
        <v>0</v>
      </c>
      <c r="M421" s="7">
        <f>IF(AND(C421=0,D421=0,J421=1),1,0)</f>
        <v>0</v>
      </c>
    </row>
    <row r="422" spans="1:13">
      <c r="A422" s="7">
        <f>Raw_Passengers!A422</f>
        <v>143428</v>
      </c>
      <c r="B422" s="7">
        <f>Raw_Passengers!B422</f>
        <v>1071085</v>
      </c>
      <c r="C422" s="7">
        <f>IF(COUNTIF(Raw_Passengers!$A$2:A422,Raw_Passengers!A422)&gt;1,1,0)</f>
        <v>0</v>
      </c>
      <c r="D422" s="7">
        <f>IF(COUNTIF(Raw_Bookings!$A$2:$A$648,Raw_Passengers!B422)=0,1,0)</f>
        <v>0</v>
      </c>
      <c r="E422" s="7">
        <f>IF(OR(C422=1,D422=1),0,IF(NOT(ISNUMBER(Raw_Passengers!E422)),1,IF(Raw_Passengers!E422&lt;=0,1,0)))</f>
        <v>0</v>
      </c>
      <c r="F422" s="7">
        <f>IF(AND(C422=0,D422=0,TRIM(Raw_Passengers!D422&amp;"")=""),1,0)</f>
        <v>0</v>
      </c>
      <c r="G422" s="7" t="str">
        <f>IF(SUMPRODUCT(--(Lookup_Status!$A$2:$A$13=LOWER(TRIM(Raw_Passengers!F422))))=0,"",INDEX(Lookup_Status!$B$2:$B$13,SUMPRODUCT((Lookup_Status!$A$2:$A$13=LOWER(TRIM(Raw_Passengers!F422)))*(ROW(Lookup_Status!$A$2:$A$13)-1))))</f>
        <v>Confirmed</v>
      </c>
      <c r="H422" s="7" t="str">
        <f>IF(SUMPRODUCT(--(Lookup_Status!$A$2:$A$13=LOWER(TRIM(Raw_Passengers!G422))))=0,"",INDEX(Lookup_Status!$B$2:$B$13,SUMPRODUCT((Lookup_Status!$A$2:$A$13=LOWER(TRIM(Raw_Passengers!G422)))*(ROW(Lookup_Status!$A$2:$A$13)-1))))</f>
        <v>Confirmed</v>
      </c>
      <c r="I422" s="7">
        <f>IF(OR(G422="",G422="Cancelled",G422="Mixed"),1,0)</f>
        <v>0</v>
      </c>
      <c r="J422" s="7">
        <f>IF(OR(H422="",H422="Mixed"),1,0)</f>
        <v>0</v>
      </c>
      <c r="K422" s="7">
        <f>IF(AND(C422=0,D422=0),IF(OR(AND(I422=0,NOT(EXACT(Raw_Passengers!F422,G422))),AND(J422=0,NOT(EXACT(Raw_Passengers!G422,H422)))),1,0),0)</f>
        <v>0</v>
      </c>
      <c r="L422" s="7">
        <f>IF(AND(C422=0,D422=0,I422=1),1,0)</f>
        <v>0</v>
      </c>
      <c r="M422" s="7">
        <f>IF(AND(C422=0,D422=0,J422=1),1,0)</f>
        <v>0</v>
      </c>
    </row>
    <row r="423" spans="1:13">
      <c r="A423" s="7">
        <f>Raw_Passengers!A423</f>
        <v>144180</v>
      </c>
      <c r="B423" s="7">
        <f>Raw_Passengers!B423</f>
        <v>1071462</v>
      </c>
      <c r="C423" s="7">
        <f>IF(COUNTIF(Raw_Passengers!$A$2:A423,Raw_Passengers!A423)&gt;1,1,0)</f>
        <v>0</v>
      </c>
      <c r="D423" s="7">
        <f>IF(COUNTIF(Raw_Bookings!$A$2:$A$648,Raw_Passengers!B423)=0,1,0)</f>
        <v>0</v>
      </c>
      <c r="E423" s="7">
        <f>IF(OR(C423=1,D423=1),0,IF(NOT(ISNUMBER(Raw_Passengers!E423)),1,IF(Raw_Passengers!E423&lt;=0,1,0)))</f>
        <v>0</v>
      </c>
      <c r="F423" s="7">
        <f>IF(AND(C423=0,D423=0,TRIM(Raw_Passengers!D423&amp;"")=""),1,0)</f>
        <v>0</v>
      </c>
      <c r="G423" s="7" t="str">
        <f>IF(SUMPRODUCT(--(Lookup_Status!$A$2:$A$13=LOWER(TRIM(Raw_Passengers!F423))))=0,"",INDEX(Lookup_Status!$B$2:$B$13,SUMPRODUCT((Lookup_Status!$A$2:$A$13=LOWER(TRIM(Raw_Passengers!F423)))*(ROW(Lookup_Status!$A$2:$A$13)-1))))</f>
        <v>Confirmed</v>
      </c>
      <c r="H423" s="7" t="str">
        <f>IF(SUMPRODUCT(--(Lookup_Status!$A$2:$A$13=LOWER(TRIM(Raw_Passengers!G423))))=0,"",INDEX(Lookup_Status!$B$2:$B$13,SUMPRODUCT((Lookup_Status!$A$2:$A$13=LOWER(TRIM(Raw_Passengers!G423)))*(ROW(Lookup_Status!$A$2:$A$13)-1))))</f>
        <v>Confirmed</v>
      </c>
      <c r="I423" s="7">
        <f>IF(OR(G423="",G423="Cancelled",G423="Mixed"),1,0)</f>
        <v>0</v>
      </c>
      <c r="J423" s="7">
        <f>IF(OR(H423="",H423="Mixed"),1,0)</f>
        <v>0</v>
      </c>
      <c r="K423" s="7">
        <f>IF(AND(C423=0,D423=0),IF(OR(AND(I423=0,NOT(EXACT(Raw_Passengers!F423,G423))),AND(J423=0,NOT(EXACT(Raw_Passengers!G423,H423)))),1,0),0)</f>
        <v>0</v>
      </c>
      <c r="L423" s="7">
        <f>IF(AND(C423=0,D423=0,I423=1),1,0)</f>
        <v>0</v>
      </c>
      <c r="M423" s="7">
        <f>IF(AND(C423=0,D423=0,J423=1),1,0)</f>
        <v>0</v>
      </c>
    </row>
    <row r="424" spans="1:13">
      <c r="A424" s="7">
        <f>Raw_Passengers!A424</f>
        <v>144181</v>
      </c>
      <c r="B424" s="7">
        <f>Raw_Passengers!B424</f>
        <v>1071462</v>
      </c>
      <c r="C424" s="7">
        <f>IF(COUNTIF(Raw_Passengers!$A$2:A424,Raw_Passengers!A424)&gt;1,1,0)</f>
        <v>0</v>
      </c>
      <c r="D424" s="7">
        <f>IF(COUNTIF(Raw_Bookings!$A$2:$A$648,Raw_Passengers!B424)=0,1,0)</f>
        <v>0</v>
      </c>
      <c r="E424" s="7">
        <f>IF(OR(C424=1,D424=1),0,IF(NOT(ISNUMBER(Raw_Passengers!E424)),1,IF(Raw_Passengers!E424&lt;=0,1,0)))</f>
        <v>0</v>
      </c>
      <c r="F424" s="7">
        <f>IF(AND(C424=0,D424=0,TRIM(Raw_Passengers!D424&amp;"")=""),1,0)</f>
        <v>0</v>
      </c>
      <c r="G424" s="7" t="str">
        <f>IF(SUMPRODUCT(--(Lookup_Status!$A$2:$A$13=LOWER(TRIM(Raw_Passengers!F424))))=0,"",INDEX(Lookup_Status!$B$2:$B$13,SUMPRODUCT((Lookup_Status!$A$2:$A$13=LOWER(TRIM(Raw_Passengers!F424)))*(ROW(Lookup_Status!$A$2:$A$13)-1))))</f>
        <v>Confirmed</v>
      </c>
      <c r="H424" s="7" t="str">
        <f>IF(SUMPRODUCT(--(Lookup_Status!$A$2:$A$13=LOWER(TRIM(Raw_Passengers!G424))))=0,"",INDEX(Lookup_Status!$B$2:$B$13,SUMPRODUCT((Lookup_Status!$A$2:$A$13=LOWER(TRIM(Raw_Passengers!G424)))*(ROW(Lookup_Status!$A$2:$A$13)-1))))</f>
        <v>Confirmed</v>
      </c>
      <c r="I424" s="7">
        <f>IF(OR(G424="",G424="Cancelled",G424="Mixed"),1,0)</f>
        <v>0</v>
      </c>
      <c r="J424" s="7">
        <f>IF(OR(H424="",H424="Mixed"),1,0)</f>
        <v>0</v>
      </c>
      <c r="K424" s="7">
        <f>IF(AND(C424=0,D424=0),IF(OR(AND(I424=0,NOT(EXACT(Raw_Passengers!F424,G424))),AND(J424=0,NOT(EXACT(Raw_Passengers!G424,H424)))),1,0),0)</f>
        <v>0</v>
      </c>
      <c r="L424" s="7">
        <f>IF(AND(C424=0,D424=0,I424=1),1,0)</f>
        <v>0</v>
      </c>
      <c r="M424" s="7">
        <f>IF(AND(C424=0,D424=0,J424=1),1,0)</f>
        <v>0</v>
      </c>
    </row>
    <row r="425" spans="1:13">
      <c r="A425" s="7">
        <f>Raw_Passengers!A425</f>
        <v>144739</v>
      </c>
      <c r="B425" s="7">
        <f>Raw_Passengers!B425</f>
        <v>1071732</v>
      </c>
      <c r="C425" s="7">
        <f>IF(COUNTIF(Raw_Passengers!$A$2:A425,Raw_Passengers!A425)&gt;1,1,0)</f>
        <v>0</v>
      </c>
      <c r="D425" s="7">
        <f>IF(COUNTIF(Raw_Bookings!$A$2:$A$648,Raw_Passengers!B425)=0,1,0)</f>
        <v>0</v>
      </c>
      <c r="E425" s="7">
        <f>IF(OR(C425=1,D425=1),0,IF(NOT(ISNUMBER(Raw_Passengers!E425)),1,IF(Raw_Passengers!E425&lt;=0,1,0)))</f>
        <v>0</v>
      </c>
      <c r="F425" s="7">
        <f>IF(AND(C425=0,D425=0,TRIM(Raw_Passengers!D425&amp;"")=""),1,0)</f>
        <v>0</v>
      </c>
      <c r="G425" s="7" t="str">
        <f>IF(SUMPRODUCT(--(Lookup_Status!$A$2:$A$13=LOWER(TRIM(Raw_Passengers!F425))))=0,"",INDEX(Lookup_Status!$B$2:$B$13,SUMPRODUCT((Lookup_Status!$A$2:$A$13=LOWER(TRIM(Raw_Passengers!F425)))*(ROW(Lookup_Status!$A$2:$A$13)-1))))</f>
        <v>Confirmed</v>
      </c>
      <c r="H425" s="7" t="str">
        <f>IF(SUMPRODUCT(--(Lookup_Status!$A$2:$A$13=LOWER(TRIM(Raw_Passengers!G425))))=0,"",INDEX(Lookup_Status!$B$2:$B$13,SUMPRODUCT((Lookup_Status!$A$2:$A$13=LOWER(TRIM(Raw_Passengers!G425)))*(ROW(Lookup_Status!$A$2:$A$13)-1))))</f>
        <v>Confirmed</v>
      </c>
      <c r="I425" s="7">
        <f>IF(OR(G425="",G425="Cancelled",G425="Mixed"),1,0)</f>
        <v>0</v>
      </c>
      <c r="J425" s="7">
        <f>IF(OR(H425="",H425="Mixed"),1,0)</f>
        <v>0</v>
      </c>
      <c r="K425" s="7">
        <f>IF(AND(C425=0,D425=0),IF(OR(AND(I425=0,NOT(EXACT(Raw_Passengers!F425,G425))),AND(J425=0,NOT(EXACT(Raw_Passengers!G425,H425)))),1,0),0)</f>
        <v>0</v>
      </c>
      <c r="L425" s="7">
        <f>IF(AND(C425=0,D425=0,I425=1),1,0)</f>
        <v>0</v>
      </c>
      <c r="M425" s="7">
        <f>IF(AND(C425=0,D425=0,J425=1),1,0)</f>
        <v>0</v>
      </c>
    </row>
    <row r="426" spans="1:13">
      <c r="A426" s="7">
        <f>Raw_Passengers!A426</f>
        <v>144740</v>
      </c>
      <c r="B426" s="7">
        <f>Raw_Passengers!B426</f>
        <v>1071732</v>
      </c>
      <c r="C426" s="7">
        <f>IF(COUNTIF(Raw_Passengers!$A$2:A426,Raw_Passengers!A426)&gt;1,1,0)</f>
        <v>0</v>
      </c>
      <c r="D426" s="7">
        <f>IF(COUNTIF(Raw_Bookings!$A$2:$A$648,Raw_Passengers!B426)=0,1,0)</f>
        <v>0</v>
      </c>
      <c r="E426" s="7">
        <f>IF(OR(C426=1,D426=1),0,IF(NOT(ISNUMBER(Raw_Passengers!E426)),1,IF(Raw_Passengers!E426&lt;=0,1,0)))</f>
        <v>0</v>
      </c>
      <c r="F426" s="7">
        <f>IF(AND(C426=0,D426=0,TRIM(Raw_Passengers!D426&amp;"")=""),1,0)</f>
        <v>0</v>
      </c>
      <c r="G426" s="7" t="str">
        <f>IF(SUMPRODUCT(--(Lookup_Status!$A$2:$A$13=LOWER(TRIM(Raw_Passengers!F426))))=0,"",INDEX(Lookup_Status!$B$2:$B$13,SUMPRODUCT((Lookup_Status!$A$2:$A$13=LOWER(TRIM(Raw_Passengers!F426)))*(ROW(Lookup_Status!$A$2:$A$13)-1))))</f>
        <v>Confirmed</v>
      </c>
      <c r="H426" s="7" t="str">
        <f>IF(SUMPRODUCT(--(Lookup_Status!$A$2:$A$13=LOWER(TRIM(Raw_Passengers!G426))))=0,"",INDEX(Lookup_Status!$B$2:$B$13,SUMPRODUCT((Lookup_Status!$A$2:$A$13=LOWER(TRIM(Raw_Passengers!G426)))*(ROW(Lookup_Status!$A$2:$A$13)-1))))</f>
        <v>Confirmed</v>
      </c>
      <c r="I426" s="7">
        <f>IF(OR(G426="",G426="Cancelled",G426="Mixed"),1,0)</f>
        <v>0</v>
      </c>
      <c r="J426" s="7">
        <f>IF(OR(H426="",H426="Mixed"),1,0)</f>
        <v>0</v>
      </c>
      <c r="K426" s="7">
        <f>IF(AND(C426=0,D426=0),IF(OR(AND(I426=0,NOT(EXACT(Raw_Passengers!F426,G426))),AND(J426=0,NOT(EXACT(Raw_Passengers!G426,H426)))),1,0),0)</f>
        <v>0</v>
      </c>
      <c r="L426" s="7">
        <f>IF(AND(C426=0,D426=0,I426=1),1,0)</f>
        <v>0</v>
      </c>
      <c r="M426" s="7">
        <f>IF(AND(C426=0,D426=0,J426=1),1,0)</f>
        <v>0</v>
      </c>
    </row>
    <row r="427" spans="1:13">
      <c r="A427" s="7">
        <f>Raw_Passengers!A427</f>
        <v>144741</v>
      </c>
      <c r="B427" s="7">
        <f>Raw_Passengers!B427</f>
        <v>1071732</v>
      </c>
      <c r="C427" s="7">
        <f>IF(COUNTIF(Raw_Passengers!$A$2:A427,Raw_Passengers!A427)&gt;1,1,0)</f>
        <v>0</v>
      </c>
      <c r="D427" s="7">
        <f>IF(COUNTIF(Raw_Bookings!$A$2:$A$648,Raw_Passengers!B427)=0,1,0)</f>
        <v>0</v>
      </c>
      <c r="E427" s="7">
        <f>IF(OR(C427=1,D427=1),0,IF(NOT(ISNUMBER(Raw_Passengers!E427)),1,IF(Raw_Passengers!E427&lt;=0,1,0)))</f>
        <v>0</v>
      </c>
      <c r="F427" s="7">
        <f>IF(AND(C427=0,D427=0,TRIM(Raw_Passengers!D427&amp;"")=""),1,0)</f>
        <v>0</v>
      </c>
      <c r="G427" s="7" t="str">
        <f>IF(SUMPRODUCT(--(Lookup_Status!$A$2:$A$13=LOWER(TRIM(Raw_Passengers!F427))))=0,"",INDEX(Lookup_Status!$B$2:$B$13,SUMPRODUCT((Lookup_Status!$A$2:$A$13=LOWER(TRIM(Raw_Passengers!F427)))*(ROW(Lookup_Status!$A$2:$A$13)-1))))</f>
        <v>Confirmed</v>
      </c>
      <c r="H427" s="7" t="str">
        <f>IF(SUMPRODUCT(--(Lookup_Status!$A$2:$A$13=LOWER(TRIM(Raw_Passengers!G427))))=0,"",INDEX(Lookup_Status!$B$2:$B$13,SUMPRODUCT((Lookup_Status!$A$2:$A$13=LOWER(TRIM(Raw_Passengers!G427)))*(ROW(Lookup_Status!$A$2:$A$13)-1))))</f>
        <v>Confirmed</v>
      </c>
      <c r="I427" s="7">
        <f>IF(OR(G427="",G427="Cancelled",G427="Mixed"),1,0)</f>
        <v>0</v>
      </c>
      <c r="J427" s="7">
        <f>IF(OR(H427="",H427="Mixed"),1,0)</f>
        <v>0</v>
      </c>
      <c r="K427" s="7">
        <f>IF(AND(C427=0,D427=0),IF(OR(AND(I427=0,NOT(EXACT(Raw_Passengers!F427,G427))),AND(J427=0,NOT(EXACT(Raw_Passengers!G427,H427)))),1,0),0)</f>
        <v>0</v>
      </c>
      <c r="L427" s="7">
        <f>IF(AND(C427=0,D427=0,I427=1),1,0)</f>
        <v>0</v>
      </c>
      <c r="M427" s="7">
        <f>IF(AND(C427=0,D427=0,J427=1),1,0)</f>
        <v>0</v>
      </c>
    </row>
    <row r="428" spans="1:13">
      <c r="A428" s="7">
        <f>Raw_Passengers!A428</f>
        <v>144742</v>
      </c>
      <c r="B428" s="7">
        <f>Raw_Passengers!B428</f>
        <v>1071732</v>
      </c>
      <c r="C428" s="7">
        <f>IF(COUNTIF(Raw_Passengers!$A$2:A428,Raw_Passengers!A428)&gt;1,1,0)</f>
        <v>0</v>
      </c>
      <c r="D428" s="7">
        <f>IF(COUNTIF(Raw_Bookings!$A$2:$A$648,Raw_Passengers!B428)=0,1,0)</f>
        <v>0</v>
      </c>
      <c r="E428" s="7">
        <f>IF(OR(C428=1,D428=1),0,IF(NOT(ISNUMBER(Raw_Passengers!E428)),1,IF(Raw_Passengers!E428&lt;=0,1,0)))</f>
        <v>0</v>
      </c>
      <c r="F428" s="7">
        <f>IF(AND(C428=0,D428=0,TRIM(Raw_Passengers!D428&amp;"")=""),1,0)</f>
        <v>0</v>
      </c>
      <c r="G428" s="7" t="str">
        <f>IF(SUMPRODUCT(--(Lookup_Status!$A$2:$A$13=LOWER(TRIM(Raw_Passengers!F428))))=0,"",INDEX(Lookup_Status!$B$2:$B$13,SUMPRODUCT((Lookup_Status!$A$2:$A$13=LOWER(TRIM(Raw_Passengers!F428)))*(ROW(Lookup_Status!$A$2:$A$13)-1))))</f>
        <v>Confirmed</v>
      </c>
      <c r="H428" s="7" t="str">
        <f>IF(SUMPRODUCT(--(Lookup_Status!$A$2:$A$13=LOWER(TRIM(Raw_Passengers!G428))))=0,"",INDEX(Lookup_Status!$B$2:$B$13,SUMPRODUCT((Lookup_Status!$A$2:$A$13=LOWER(TRIM(Raw_Passengers!G428)))*(ROW(Lookup_Status!$A$2:$A$13)-1))))</f>
        <v>Confirmed</v>
      </c>
      <c r="I428" s="7">
        <f>IF(OR(G428="",G428="Cancelled",G428="Mixed"),1,0)</f>
        <v>0</v>
      </c>
      <c r="J428" s="7">
        <f>IF(OR(H428="",H428="Mixed"),1,0)</f>
        <v>0</v>
      </c>
      <c r="K428" s="7">
        <f>IF(AND(C428=0,D428=0),IF(OR(AND(I428=0,NOT(EXACT(Raw_Passengers!F428,G428))),AND(J428=0,NOT(EXACT(Raw_Passengers!G428,H428)))),1,0),0)</f>
        <v>0</v>
      </c>
      <c r="L428" s="7">
        <f>IF(AND(C428=0,D428=0,I428=1),1,0)</f>
        <v>0</v>
      </c>
      <c r="M428" s="7">
        <f>IF(AND(C428=0,D428=0,J428=1),1,0)</f>
        <v>0</v>
      </c>
    </row>
    <row r="429" spans="1:13">
      <c r="A429" s="7">
        <f>Raw_Passengers!A429</f>
        <v>145159</v>
      </c>
      <c r="B429" s="7">
        <f>Raw_Passengers!B429</f>
        <v>1071944</v>
      </c>
      <c r="C429" s="7">
        <f>IF(COUNTIF(Raw_Passengers!$A$2:A429,Raw_Passengers!A429)&gt;1,1,0)</f>
        <v>0</v>
      </c>
      <c r="D429" s="7">
        <f>IF(COUNTIF(Raw_Bookings!$A$2:$A$648,Raw_Passengers!B429)=0,1,0)</f>
        <v>0</v>
      </c>
      <c r="E429" s="7">
        <f>IF(OR(C429=1,D429=1),0,IF(NOT(ISNUMBER(Raw_Passengers!E429)),1,IF(Raw_Passengers!E429&lt;=0,1,0)))</f>
        <v>0</v>
      </c>
      <c r="F429" s="7">
        <f>IF(AND(C429=0,D429=0,TRIM(Raw_Passengers!D429&amp;"")=""),1,0)</f>
        <v>0</v>
      </c>
      <c r="G429" s="7" t="str">
        <f>IF(SUMPRODUCT(--(Lookup_Status!$A$2:$A$13=LOWER(TRIM(Raw_Passengers!F429))))=0,"",INDEX(Lookup_Status!$B$2:$B$13,SUMPRODUCT((Lookup_Status!$A$2:$A$13=LOWER(TRIM(Raw_Passengers!F429)))*(ROW(Lookup_Status!$A$2:$A$13)-1))))</f>
        <v>Confirmed</v>
      </c>
      <c r="H429" s="7" t="str">
        <f>IF(SUMPRODUCT(--(Lookup_Status!$A$2:$A$13=LOWER(TRIM(Raw_Passengers!G429))))=0,"",INDEX(Lookup_Status!$B$2:$B$13,SUMPRODUCT((Lookup_Status!$A$2:$A$13=LOWER(TRIM(Raw_Passengers!G429)))*(ROW(Lookup_Status!$A$2:$A$13)-1))))</f>
        <v>Confirmed</v>
      </c>
      <c r="I429" s="7">
        <f>IF(OR(G429="",G429="Cancelled",G429="Mixed"),1,0)</f>
        <v>0</v>
      </c>
      <c r="J429" s="7">
        <f>IF(OR(H429="",H429="Mixed"),1,0)</f>
        <v>0</v>
      </c>
      <c r="K429" s="7">
        <f>IF(AND(C429=0,D429=0),IF(OR(AND(I429=0,NOT(EXACT(Raw_Passengers!F429,G429))),AND(J429=0,NOT(EXACT(Raw_Passengers!G429,H429)))),1,0),0)</f>
        <v>0</v>
      </c>
      <c r="L429" s="7">
        <f>IF(AND(C429=0,D429=0,I429=1),1,0)</f>
        <v>0</v>
      </c>
      <c r="M429" s="7">
        <f>IF(AND(C429=0,D429=0,J429=1),1,0)</f>
        <v>0</v>
      </c>
    </row>
    <row r="430" spans="1:13">
      <c r="A430" s="7">
        <f>Raw_Passengers!A430</f>
        <v>145160</v>
      </c>
      <c r="B430" s="7">
        <f>Raw_Passengers!B430</f>
        <v>1071944</v>
      </c>
      <c r="C430" s="7">
        <f>IF(COUNTIF(Raw_Passengers!$A$2:A430,Raw_Passengers!A430)&gt;1,1,0)</f>
        <v>0</v>
      </c>
      <c r="D430" s="7">
        <f>IF(COUNTIF(Raw_Bookings!$A$2:$A$648,Raw_Passengers!B430)=0,1,0)</f>
        <v>0</v>
      </c>
      <c r="E430" s="7">
        <f>IF(OR(C430=1,D430=1),0,IF(NOT(ISNUMBER(Raw_Passengers!E430)),1,IF(Raw_Passengers!E430&lt;=0,1,0)))</f>
        <v>0</v>
      </c>
      <c r="F430" s="7">
        <f>IF(AND(C430=0,D430=0,TRIM(Raw_Passengers!D430&amp;"")=""),1,0)</f>
        <v>0</v>
      </c>
      <c r="G430" s="7" t="str">
        <f>IF(SUMPRODUCT(--(Lookup_Status!$A$2:$A$13=LOWER(TRIM(Raw_Passengers!F430))))=0,"",INDEX(Lookup_Status!$B$2:$B$13,SUMPRODUCT((Lookup_Status!$A$2:$A$13=LOWER(TRIM(Raw_Passengers!F430)))*(ROW(Lookup_Status!$A$2:$A$13)-1))))</f>
        <v>Confirmed</v>
      </c>
      <c r="H430" s="7" t="str">
        <f>IF(SUMPRODUCT(--(Lookup_Status!$A$2:$A$13=LOWER(TRIM(Raw_Passengers!G430))))=0,"",INDEX(Lookup_Status!$B$2:$B$13,SUMPRODUCT((Lookup_Status!$A$2:$A$13=LOWER(TRIM(Raw_Passengers!G430)))*(ROW(Lookup_Status!$A$2:$A$13)-1))))</f>
        <v>Confirmed</v>
      </c>
      <c r="I430" s="7">
        <f>IF(OR(G430="",G430="Cancelled",G430="Mixed"),1,0)</f>
        <v>0</v>
      </c>
      <c r="J430" s="7">
        <f>IF(OR(H430="",H430="Mixed"),1,0)</f>
        <v>0</v>
      </c>
      <c r="K430" s="7">
        <f>IF(AND(C430=0,D430=0),IF(OR(AND(I430=0,NOT(EXACT(Raw_Passengers!F430,G430))),AND(J430=0,NOT(EXACT(Raw_Passengers!G430,H430)))),1,0),0)</f>
        <v>0</v>
      </c>
      <c r="L430" s="7">
        <f>IF(AND(C430=0,D430=0,I430=1),1,0)</f>
        <v>0</v>
      </c>
      <c r="M430" s="7">
        <f>IF(AND(C430=0,D430=0,J430=1),1,0)</f>
        <v>0</v>
      </c>
    </row>
    <row r="431" spans="1:13">
      <c r="A431" s="7">
        <f>Raw_Passengers!A431</f>
        <v>145161</v>
      </c>
      <c r="B431" s="7">
        <f>Raw_Passengers!B431</f>
        <v>1071944</v>
      </c>
      <c r="C431" s="7">
        <f>IF(COUNTIF(Raw_Passengers!$A$2:A431,Raw_Passengers!A431)&gt;1,1,0)</f>
        <v>0</v>
      </c>
      <c r="D431" s="7">
        <f>IF(COUNTIF(Raw_Bookings!$A$2:$A$648,Raw_Passengers!B431)=0,1,0)</f>
        <v>0</v>
      </c>
      <c r="E431" s="7">
        <f>IF(OR(C431=1,D431=1),0,IF(NOT(ISNUMBER(Raw_Passengers!E431)),1,IF(Raw_Passengers!E431&lt;=0,1,0)))</f>
        <v>0</v>
      </c>
      <c r="F431" s="7">
        <f>IF(AND(C431=0,D431=0,TRIM(Raw_Passengers!D431&amp;"")=""),1,0)</f>
        <v>0</v>
      </c>
      <c r="G431" s="7" t="str">
        <f>IF(SUMPRODUCT(--(Lookup_Status!$A$2:$A$13=LOWER(TRIM(Raw_Passengers!F431))))=0,"",INDEX(Lookup_Status!$B$2:$B$13,SUMPRODUCT((Lookup_Status!$A$2:$A$13=LOWER(TRIM(Raw_Passengers!F431)))*(ROW(Lookup_Status!$A$2:$A$13)-1))))</f>
        <v>Confirmed</v>
      </c>
      <c r="H431" s="7" t="str">
        <f>IF(SUMPRODUCT(--(Lookup_Status!$A$2:$A$13=LOWER(TRIM(Raw_Passengers!G431))))=0,"",INDEX(Lookup_Status!$B$2:$B$13,SUMPRODUCT((Lookup_Status!$A$2:$A$13=LOWER(TRIM(Raw_Passengers!G431)))*(ROW(Lookup_Status!$A$2:$A$13)-1))))</f>
        <v>Confirmed</v>
      </c>
      <c r="I431" s="7">
        <f>IF(OR(G431="",G431="Cancelled",G431="Mixed"),1,0)</f>
        <v>0</v>
      </c>
      <c r="J431" s="7">
        <f>IF(OR(H431="",H431="Mixed"),1,0)</f>
        <v>0</v>
      </c>
      <c r="K431" s="7">
        <f>IF(AND(C431=0,D431=0),IF(OR(AND(I431=0,NOT(EXACT(Raw_Passengers!F431,G431))),AND(J431=0,NOT(EXACT(Raw_Passengers!G431,H431)))),1,0),0)</f>
        <v>0</v>
      </c>
      <c r="L431" s="7">
        <f>IF(AND(C431=0,D431=0,I431=1),1,0)</f>
        <v>0</v>
      </c>
      <c r="M431" s="7">
        <f>IF(AND(C431=0,D431=0,J431=1),1,0)</f>
        <v>0</v>
      </c>
    </row>
    <row r="432" spans="1:13">
      <c r="A432" s="7">
        <f>Raw_Passengers!A432</f>
        <v>145162</v>
      </c>
      <c r="B432" s="7">
        <f>Raw_Passengers!B432</f>
        <v>1071944</v>
      </c>
      <c r="C432" s="7">
        <f>IF(COUNTIF(Raw_Passengers!$A$2:A432,Raw_Passengers!A432)&gt;1,1,0)</f>
        <v>0</v>
      </c>
      <c r="D432" s="7">
        <f>IF(COUNTIF(Raw_Bookings!$A$2:$A$648,Raw_Passengers!B432)=0,1,0)</f>
        <v>0</v>
      </c>
      <c r="E432" s="7">
        <f>IF(OR(C432=1,D432=1),0,IF(NOT(ISNUMBER(Raw_Passengers!E432)),1,IF(Raw_Passengers!E432&lt;=0,1,0)))</f>
        <v>0</v>
      </c>
      <c r="F432" s="7">
        <f>IF(AND(C432=0,D432=0,TRIM(Raw_Passengers!D432&amp;"")=""),1,0)</f>
        <v>0</v>
      </c>
      <c r="G432" s="7" t="str">
        <f>IF(SUMPRODUCT(--(Lookup_Status!$A$2:$A$13=LOWER(TRIM(Raw_Passengers!F432))))=0,"",INDEX(Lookup_Status!$B$2:$B$13,SUMPRODUCT((Lookup_Status!$A$2:$A$13=LOWER(TRIM(Raw_Passengers!F432)))*(ROW(Lookup_Status!$A$2:$A$13)-1))))</f>
        <v>Confirmed</v>
      </c>
      <c r="H432" s="7" t="str">
        <f>IF(SUMPRODUCT(--(Lookup_Status!$A$2:$A$13=LOWER(TRIM(Raw_Passengers!G432))))=0,"",INDEX(Lookup_Status!$B$2:$B$13,SUMPRODUCT((Lookup_Status!$A$2:$A$13=LOWER(TRIM(Raw_Passengers!G432)))*(ROW(Lookup_Status!$A$2:$A$13)-1))))</f>
        <v>Confirmed</v>
      </c>
      <c r="I432" s="7">
        <f>IF(OR(G432="",G432="Cancelled",G432="Mixed"),1,0)</f>
        <v>0</v>
      </c>
      <c r="J432" s="7">
        <f>IF(OR(H432="",H432="Mixed"),1,0)</f>
        <v>0</v>
      </c>
      <c r="K432" s="7">
        <f>IF(AND(C432=0,D432=0),IF(OR(AND(I432=0,NOT(EXACT(Raw_Passengers!F432,G432))),AND(J432=0,NOT(EXACT(Raw_Passengers!G432,H432)))),1,0),0)</f>
        <v>0</v>
      </c>
      <c r="L432" s="7">
        <f>IF(AND(C432=0,D432=0,I432=1),1,0)</f>
        <v>0</v>
      </c>
      <c r="M432" s="7">
        <f>IF(AND(C432=0,D432=0,J432=1),1,0)</f>
        <v>0</v>
      </c>
    </row>
    <row r="433" spans="1:13">
      <c r="A433" s="7">
        <f>Raw_Passengers!A433</f>
        <v>145163</v>
      </c>
      <c r="B433" s="7">
        <f>Raw_Passengers!B433</f>
        <v>1071944</v>
      </c>
      <c r="C433" s="7">
        <f>IF(COUNTIF(Raw_Passengers!$A$2:A433,Raw_Passengers!A433)&gt;1,1,0)</f>
        <v>0</v>
      </c>
      <c r="D433" s="7">
        <f>IF(COUNTIF(Raw_Bookings!$A$2:$A$648,Raw_Passengers!B433)=0,1,0)</f>
        <v>0</v>
      </c>
      <c r="E433" s="7">
        <f>IF(OR(C433=1,D433=1),0,IF(NOT(ISNUMBER(Raw_Passengers!E433)),1,IF(Raw_Passengers!E433&lt;=0,1,0)))</f>
        <v>0</v>
      </c>
      <c r="F433" s="7">
        <f>IF(AND(C433=0,D433=0,TRIM(Raw_Passengers!D433&amp;"")=""),1,0)</f>
        <v>0</v>
      </c>
      <c r="G433" s="7" t="str">
        <f>IF(SUMPRODUCT(--(Lookup_Status!$A$2:$A$13=LOWER(TRIM(Raw_Passengers!F433))))=0,"",INDEX(Lookup_Status!$B$2:$B$13,SUMPRODUCT((Lookup_Status!$A$2:$A$13=LOWER(TRIM(Raw_Passengers!F433)))*(ROW(Lookup_Status!$A$2:$A$13)-1))))</f>
        <v>Confirmed</v>
      </c>
      <c r="H433" s="7" t="str">
        <f>IF(SUMPRODUCT(--(Lookup_Status!$A$2:$A$13=LOWER(TRIM(Raw_Passengers!G433))))=0,"",INDEX(Lookup_Status!$B$2:$B$13,SUMPRODUCT((Lookup_Status!$A$2:$A$13=LOWER(TRIM(Raw_Passengers!G433)))*(ROW(Lookup_Status!$A$2:$A$13)-1))))</f>
        <v>Confirmed</v>
      </c>
      <c r="I433" s="7">
        <f>IF(OR(G433="",G433="Cancelled",G433="Mixed"),1,0)</f>
        <v>0</v>
      </c>
      <c r="J433" s="7">
        <f>IF(OR(H433="",H433="Mixed"),1,0)</f>
        <v>0</v>
      </c>
      <c r="K433" s="7">
        <f>IF(AND(C433=0,D433=0),IF(OR(AND(I433=0,NOT(EXACT(Raw_Passengers!F433,G433))),AND(J433=0,NOT(EXACT(Raw_Passengers!G433,H433)))),1,0),0)</f>
        <v>0</v>
      </c>
      <c r="L433" s="7">
        <f>IF(AND(C433=0,D433=0,I433=1),1,0)</f>
        <v>0</v>
      </c>
      <c r="M433" s="7">
        <f>IF(AND(C433=0,D433=0,J433=1),1,0)</f>
        <v>0</v>
      </c>
    </row>
    <row r="434" spans="1:13">
      <c r="A434" s="7">
        <f>Raw_Passengers!A434</f>
        <v>145164</v>
      </c>
      <c r="B434" s="7">
        <f>Raw_Passengers!B434</f>
        <v>1071944</v>
      </c>
      <c r="C434" s="7">
        <f>IF(COUNTIF(Raw_Passengers!$A$2:A434,Raw_Passengers!A434)&gt;1,1,0)</f>
        <v>0</v>
      </c>
      <c r="D434" s="7">
        <f>IF(COUNTIF(Raw_Bookings!$A$2:$A$648,Raw_Passengers!B434)=0,1,0)</f>
        <v>0</v>
      </c>
      <c r="E434" s="7">
        <f>IF(OR(C434=1,D434=1),0,IF(NOT(ISNUMBER(Raw_Passengers!E434)),1,IF(Raw_Passengers!E434&lt;=0,1,0)))</f>
        <v>0</v>
      </c>
      <c r="F434" s="7">
        <f>IF(AND(C434=0,D434=0,TRIM(Raw_Passengers!D434&amp;"")=""),1,0)</f>
        <v>0</v>
      </c>
      <c r="G434" s="7" t="str">
        <f>IF(SUMPRODUCT(--(Lookup_Status!$A$2:$A$13=LOWER(TRIM(Raw_Passengers!F434))))=0,"",INDEX(Lookup_Status!$B$2:$B$13,SUMPRODUCT((Lookup_Status!$A$2:$A$13=LOWER(TRIM(Raw_Passengers!F434)))*(ROW(Lookup_Status!$A$2:$A$13)-1))))</f>
        <v>Confirmed</v>
      </c>
      <c r="H434" s="7" t="str">
        <f>IF(SUMPRODUCT(--(Lookup_Status!$A$2:$A$13=LOWER(TRIM(Raw_Passengers!G434))))=0,"",INDEX(Lookup_Status!$B$2:$B$13,SUMPRODUCT((Lookup_Status!$A$2:$A$13=LOWER(TRIM(Raw_Passengers!G434)))*(ROW(Lookup_Status!$A$2:$A$13)-1))))</f>
        <v>Confirmed</v>
      </c>
      <c r="I434" s="7">
        <f>IF(OR(G434="",G434="Cancelled",G434="Mixed"),1,0)</f>
        <v>0</v>
      </c>
      <c r="J434" s="7">
        <f>IF(OR(H434="",H434="Mixed"),1,0)</f>
        <v>0</v>
      </c>
      <c r="K434" s="7">
        <f>IF(AND(C434=0,D434=0),IF(OR(AND(I434=0,NOT(EXACT(Raw_Passengers!F434,G434))),AND(J434=0,NOT(EXACT(Raw_Passengers!G434,H434)))),1,0),0)</f>
        <v>0</v>
      </c>
      <c r="L434" s="7">
        <f>IF(AND(C434=0,D434=0,I434=1),1,0)</f>
        <v>0</v>
      </c>
      <c r="M434" s="7">
        <f>IF(AND(C434=0,D434=0,J434=1),1,0)</f>
        <v>0</v>
      </c>
    </row>
    <row r="435" spans="1:13">
      <c r="A435" s="7">
        <f>Raw_Passengers!A435</f>
        <v>145307</v>
      </c>
      <c r="B435" s="7">
        <f>Raw_Passengers!B435</f>
        <v>1072013</v>
      </c>
      <c r="C435" s="7">
        <f>IF(COUNTIF(Raw_Passengers!$A$2:A435,Raw_Passengers!A435)&gt;1,1,0)</f>
        <v>0</v>
      </c>
      <c r="D435" s="7">
        <f>IF(COUNTIF(Raw_Bookings!$A$2:$A$648,Raw_Passengers!B435)=0,1,0)</f>
        <v>0</v>
      </c>
      <c r="E435" s="7">
        <f>IF(OR(C435=1,D435=1),0,IF(NOT(ISNUMBER(Raw_Passengers!E435)),1,IF(Raw_Passengers!E435&lt;=0,1,0)))</f>
        <v>0</v>
      </c>
      <c r="F435" s="7">
        <f>IF(AND(C435=0,D435=0,TRIM(Raw_Passengers!D435&amp;"")=""),1,0)</f>
        <v>0</v>
      </c>
      <c r="G435" s="7" t="str">
        <f>IF(SUMPRODUCT(--(Lookup_Status!$A$2:$A$13=LOWER(TRIM(Raw_Passengers!F435))))=0,"",INDEX(Lookup_Status!$B$2:$B$13,SUMPRODUCT((Lookup_Status!$A$2:$A$13=LOWER(TRIM(Raw_Passengers!F435)))*(ROW(Lookup_Status!$A$2:$A$13)-1))))</f>
        <v>Confirmed</v>
      </c>
      <c r="H435" s="7" t="str">
        <f>IF(SUMPRODUCT(--(Lookup_Status!$A$2:$A$13=LOWER(TRIM(Raw_Passengers!G435))))=0,"",INDEX(Lookup_Status!$B$2:$B$13,SUMPRODUCT((Lookup_Status!$A$2:$A$13=LOWER(TRIM(Raw_Passengers!G435)))*(ROW(Lookup_Status!$A$2:$A$13)-1))))</f>
        <v>Confirmed</v>
      </c>
      <c r="I435" s="7">
        <f>IF(OR(G435="",G435="Cancelled",G435="Mixed"),1,0)</f>
        <v>0</v>
      </c>
      <c r="J435" s="7">
        <f>IF(OR(H435="",H435="Mixed"),1,0)</f>
        <v>0</v>
      </c>
      <c r="K435" s="7">
        <f>IF(AND(C435=0,D435=0),IF(OR(AND(I435=0,NOT(EXACT(Raw_Passengers!F435,G435))),AND(J435=0,NOT(EXACT(Raw_Passengers!G435,H435)))),1,0),0)</f>
        <v>0</v>
      </c>
      <c r="L435" s="7">
        <f>IF(AND(C435=0,D435=0,I435=1),1,0)</f>
        <v>0</v>
      </c>
      <c r="M435" s="7">
        <f>IF(AND(C435=0,D435=0,J435=1),1,0)</f>
        <v>0</v>
      </c>
    </row>
    <row r="436" spans="1:13">
      <c r="A436" s="7">
        <f>Raw_Passengers!A436</f>
        <v>145573</v>
      </c>
      <c r="B436" s="7">
        <f>Raw_Passengers!B436</f>
        <v>1072140</v>
      </c>
      <c r="C436" s="7">
        <f>IF(COUNTIF(Raw_Passengers!$A$2:A436,Raw_Passengers!A436)&gt;1,1,0)</f>
        <v>0</v>
      </c>
      <c r="D436" s="7">
        <f>IF(COUNTIF(Raw_Bookings!$A$2:$A$648,Raw_Passengers!B436)=0,1,0)</f>
        <v>0</v>
      </c>
      <c r="E436" s="7">
        <f>IF(OR(C436=1,D436=1),0,IF(NOT(ISNUMBER(Raw_Passengers!E436)),1,IF(Raw_Passengers!E436&lt;=0,1,0)))</f>
        <v>0</v>
      </c>
      <c r="F436" s="7">
        <f>IF(AND(C436=0,D436=0,TRIM(Raw_Passengers!D436&amp;"")=""),1,0)</f>
        <v>0</v>
      </c>
      <c r="G436" s="7" t="str">
        <f>IF(SUMPRODUCT(--(Lookup_Status!$A$2:$A$13=LOWER(TRIM(Raw_Passengers!F436))))=0,"",INDEX(Lookup_Status!$B$2:$B$13,SUMPRODUCT((Lookup_Status!$A$2:$A$13=LOWER(TRIM(Raw_Passengers!F436)))*(ROW(Lookup_Status!$A$2:$A$13)-1))))</f>
        <v>Confirmed</v>
      </c>
      <c r="H436" s="7" t="str">
        <f>IF(SUMPRODUCT(--(Lookup_Status!$A$2:$A$13=LOWER(TRIM(Raw_Passengers!G436))))=0,"",INDEX(Lookup_Status!$B$2:$B$13,SUMPRODUCT((Lookup_Status!$A$2:$A$13=LOWER(TRIM(Raw_Passengers!G436)))*(ROW(Lookup_Status!$A$2:$A$13)-1))))</f>
        <v>Confirmed</v>
      </c>
      <c r="I436" s="7">
        <f>IF(OR(G436="",G436="Cancelled",G436="Mixed"),1,0)</f>
        <v>0</v>
      </c>
      <c r="J436" s="7">
        <f>IF(OR(H436="",H436="Mixed"),1,0)</f>
        <v>0</v>
      </c>
      <c r="K436" s="7">
        <f>IF(AND(C436=0,D436=0),IF(OR(AND(I436=0,NOT(EXACT(Raw_Passengers!F436,G436))),AND(J436=0,NOT(EXACT(Raw_Passengers!G436,H436)))),1,0),0)</f>
        <v>0</v>
      </c>
      <c r="L436" s="7">
        <f>IF(AND(C436=0,D436=0,I436=1),1,0)</f>
        <v>0</v>
      </c>
      <c r="M436" s="7">
        <f>IF(AND(C436=0,D436=0,J436=1),1,0)</f>
        <v>0</v>
      </c>
    </row>
    <row r="437" spans="1:13">
      <c r="A437" s="7">
        <f>Raw_Passengers!A437</f>
        <v>145574</v>
      </c>
      <c r="B437" s="7">
        <f>Raw_Passengers!B437</f>
        <v>1072140</v>
      </c>
      <c r="C437" s="7">
        <f>IF(COUNTIF(Raw_Passengers!$A$2:A437,Raw_Passengers!A437)&gt;1,1,0)</f>
        <v>0</v>
      </c>
      <c r="D437" s="7">
        <f>IF(COUNTIF(Raw_Bookings!$A$2:$A$648,Raw_Passengers!B437)=0,1,0)</f>
        <v>0</v>
      </c>
      <c r="E437" s="7">
        <f>IF(OR(C437=1,D437=1),0,IF(NOT(ISNUMBER(Raw_Passengers!E437)),1,IF(Raw_Passengers!E437&lt;=0,1,0)))</f>
        <v>0</v>
      </c>
      <c r="F437" s="7">
        <f>IF(AND(C437=0,D437=0,TRIM(Raw_Passengers!D437&amp;"")=""),1,0)</f>
        <v>0</v>
      </c>
      <c r="G437" s="7" t="str">
        <f>IF(SUMPRODUCT(--(Lookup_Status!$A$2:$A$13=LOWER(TRIM(Raw_Passengers!F437))))=0,"",INDEX(Lookup_Status!$B$2:$B$13,SUMPRODUCT((Lookup_Status!$A$2:$A$13=LOWER(TRIM(Raw_Passengers!F437)))*(ROW(Lookup_Status!$A$2:$A$13)-1))))</f>
        <v>Confirmed</v>
      </c>
      <c r="H437" s="7" t="str">
        <f>IF(SUMPRODUCT(--(Lookup_Status!$A$2:$A$13=LOWER(TRIM(Raw_Passengers!G437))))=0,"",INDEX(Lookup_Status!$B$2:$B$13,SUMPRODUCT((Lookup_Status!$A$2:$A$13=LOWER(TRIM(Raw_Passengers!G437)))*(ROW(Lookup_Status!$A$2:$A$13)-1))))</f>
        <v>Confirmed</v>
      </c>
      <c r="I437" s="7">
        <f>IF(OR(G437="",G437="Cancelled",G437="Mixed"),1,0)</f>
        <v>0</v>
      </c>
      <c r="J437" s="7">
        <f>IF(OR(H437="",H437="Mixed"),1,0)</f>
        <v>0</v>
      </c>
      <c r="K437" s="7">
        <f>IF(AND(C437=0,D437=0),IF(OR(AND(I437=0,NOT(EXACT(Raw_Passengers!F437,G437))),AND(J437=0,NOT(EXACT(Raw_Passengers!G437,H437)))),1,0),0)</f>
        <v>0</v>
      </c>
      <c r="L437" s="7">
        <f>IF(AND(C437=0,D437=0,I437=1),1,0)</f>
        <v>0</v>
      </c>
      <c r="M437" s="7">
        <f>IF(AND(C437=0,D437=0,J437=1),1,0)</f>
        <v>0</v>
      </c>
    </row>
    <row r="438" spans="1:13">
      <c r="A438" s="7">
        <f>Raw_Passengers!A438</f>
        <v>145575</v>
      </c>
      <c r="B438" s="7">
        <f>Raw_Passengers!B438</f>
        <v>1072140</v>
      </c>
      <c r="C438" s="7">
        <f>IF(COUNTIF(Raw_Passengers!$A$2:A438,Raw_Passengers!A438)&gt;1,1,0)</f>
        <v>0</v>
      </c>
      <c r="D438" s="7">
        <f>IF(COUNTIF(Raw_Bookings!$A$2:$A$648,Raw_Passengers!B438)=0,1,0)</f>
        <v>0</v>
      </c>
      <c r="E438" s="7">
        <f>IF(OR(C438=1,D438=1),0,IF(NOT(ISNUMBER(Raw_Passengers!E438)),1,IF(Raw_Passengers!E438&lt;=0,1,0)))</f>
        <v>0</v>
      </c>
      <c r="F438" s="7">
        <f>IF(AND(C438=0,D438=0,TRIM(Raw_Passengers!D438&amp;"")=""),1,0)</f>
        <v>0</v>
      </c>
      <c r="G438" s="7" t="str">
        <f>IF(SUMPRODUCT(--(Lookup_Status!$A$2:$A$13=LOWER(TRIM(Raw_Passengers!F438))))=0,"",INDEX(Lookup_Status!$B$2:$B$13,SUMPRODUCT((Lookup_Status!$A$2:$A$13=LOWER(TRIM(Raw_Passengers!F438)))*(ROW(Lookup_Status!$A$2:$A$13)-1))))</f>
        <v>Confirmed</v>
      </c>
      <c r="H438" s="7" t="str">
        <f>IF(SUMPRODUCT(--(Lookup_Status!$A$2:$A$13=LOWER(TRIM(Raw_Passengers!G438))))=0,"",INDEX(Lookup_Status!$B$2:$B$13,SUMPRODUCT((Lookup_Status!$A$2:$A$13=LOWER(TRIM(Raw_Passengers!G438)))*(ROW(Lookup_Status!$A$2:$A$13)-1))))</f>
        <v>Confirmed</v>
      </c>
      <c r="I438" s="7">
        <f>IF(OR(G438="",G438="Cancelled",G438="Mixed"),1,0)</f>
        <v>0</v>
      </c>
      <c r="J438" s="7">
        <f>IF(OR(H438="",H438="Mixed"),1,0)</f>
        <v>0</v>
      </c>
      <c r="K438" s="7">
        <f>IF(AND(C438=0,D438=0),IF(OR(AND(I438=0,NOT(EXACT(Raw_Passengers!F438,G438))),AND(J438=0,NOT(EXACT(Raw_Passengers!G438,H438)))),1,0),0)</f>
        <v>0</v>
      </c>
      <c r="L438" s="7">
        <f>IF(AND(C438=0,D438=0,I438=1),1,0)</f>
        <v>0</v>
      </c>
      <c r="M438" s="7">
        <f>IF(AND(C438=0,D438=0,J438=1),1,0)</f>
        <v>0</v>
      </c>
    </row>
    <row r="439" spans="1:13">
      <c r="A439" s="7">
        <f>Raw_Passengers!A439</f>
        <v>145576</v>
      </c>
      <c r="B439" s="7">
        <f>Raw_Passengers!B439</f>
        <v>1072140</v>
      </c>
      <c r="C439" s="7">
        <f>IF(COUNTIF(Raw_Passengers!$A$2:A439,Raw_Passengers!A439)&gt;1,1,0)</f>
        <v>0</v>
      </c>
      <c r="D439" s="7">
        <f>IF(COUNTIF(Raw_Bookings!$A$2:$A$648,Raw_Passengers!B439)=0,1,0)</f>
        <v>0</v>
      </c>
      <c r="E439" s="7">
        <f>IF(OR(C439=1,D439=1),0,IF(NOT(ISNUMBER(Raw_Passengers!E439)),1,IF(Raw_Passengers!E439&lt;=0,1,0)))</f>
        <v>0</v>
      </c>
      <c r="F439" s="7">
        <f>IF(AND(C439=0,D439=0,TRIM(Raw_Passengers!D439&amp;"")=""),1,0)</f>
        <v>0</v>
      </c>
      <c r="G439" s="7" t="str">
        <f>IF(SUMPRODUCT(--(Lookup_Status!$A$2:$A$13=LOWER(TRIM(Raw_Passengers!F439))))=0,"",INDEX(Lookup_Status!$B$2:$B$13,SUMPRODUCT((Lookup_Status!$A$2:$A$13=LOWER(TRIM(Raw_Passengers!F439)))*(ROW(Lookup_Status!$A$2:$A$13)-1))))</f>
        <v>Confirmed</v>
      </c>
      <c r="H439" s="7" t="str">
        <f>IF(SUMPRODUCT(--(Lookup_Status!$A$2:$A$13=LOWER(TRIM(Raw_Passengers!G439))))=0,"",INDEX(Lookup_Status!$B$2:$B$13,SUMPRODUCT((Lookup_Status!$A$2:$A$13=LOWER(TRIM(Raw_Passengers!G439)))*(ROW(Lookup_Status!$A$2:$A$13)-1))))</f>
        <v>Confirmed</v>
      </c>
      <c r="I439" s="7">
        <f>IF(OR(G439="",G439="Cancelled",G439="Mixed"),1,0)</f>
        <v>0</v>
      </c>
      <c r="J439" s="7">
        <f>IF(OR(H439="",H439="Mixed"),1,0)</f>
        <v>0</v>
      </c>
      <c r="K439" s="7">
        <f>IF(AND(C439=0,D439=0),IF(OR(AND(I439=0,NOT(EXACT(Raw_Passengers!F439,G439))),AND(J439=0,NOT(EXACT(Raw_Passengers!G439,H439)))),1,0),0)</f>
        <v>0</v>
      </c>
      <c r="L439" s="7">
        <f>IF(AND(C439=0,D439=0,I439=1),1,0)</f>
        <v>0</v>
      </c>
      <c r="M439" s="7">
        <f>IF(AND(C439=0,D439=0,J439=1),1,0)</f>
        <v>0</v>
      </c>
    </row>
    <row r="440" spans="1:13">
      <c r="A440" s="7">
        <f>Raw_Passengers!A440</f>
        <v>146959</v>
      </c>
      <c r="B440" s="7">
        <f>Raw_Passengers!B440</f>
        <v>1072851</v>
      </c>
      <c r="C440" s="7">
        <f>IF(COUNTIF(Raw_Passengers!$A$2:A440,Raw_Passengers!A440)&gt;1,1,0)</f>
        <v>0</v>
      </c>
      <c r="D440" s="7">
        <f>IF(COUNTIF(Raw_Bookings!$A$2:$A$648,Raw_Passengers!B440)=0,1,0)</f>
        <v>0</v>
      </c>
      <c r="E440" s="7">
        <f>IF(OR(C440=1,D440=1),0,IF(NOT(ISNUMBER(Raw_Passengers!E440)),1,IF(Raw_Passengers!E440&lt;=0,1,0)))</f>
        <v>0</v>
      </c>
      <c r="F440" s="7">
        <f>IF(AND(C440=0,D440=0,TRIM(Raw_Passengers!D440&amp;"")=""),1,0)</f>
        <v>0</v>
      </c>
      <c r="G440" s="7" t="str">
        <f>IF(SUMPRODUCT(--(Lookup_Status!$A$2:$A$13=LOWER(TRIM(Raw_Passengers!F440))))=0,"",INDEX(Lookup_Status!$B$2:$B$13,SUMPRODUCT((Lookup_Status!$A$2:$A$13=LOWER(TRIM(Raw_Passengers!F440)))*(ROW(Lookup_Status!$A$2:$A$13)-1))))</f>
        <v>Confirmed</v>
      </c>
      <c r="H440" s="7" t="str">
        <f>IF(SUMPRODUCT(--(Lookup_Status!$A$2:$A$13=LOWER(TRIM(Raw_Passengers!G440))))=0,"",INDEX(Lookup_Status!$B$2:$B$13,SUMPRODUCT((Lookup_Status!$A$2:$A$13=LOWER(TRIM(Raw_Passengers!G440)))*(ROW(Lookup_Status!$A$2:$A$13)-1))))</f>
        <v>Confirmed</v>
      </c>
      <c r="I440" s="7">
        <f>IF(OR(G440="",G440="Cancelled",G440="Mixed"),1,0)</f>
        <v>0</v>
      </c>
      <c r="J440" s="7">
        <f>IF(OR(H440="",H440="Mixed"),1,0)</f>
        <v>0</v>
      </c>
      <c r="K440" s="7">
        <f>IF(AND(C440=0,D440=0),IF(OR(AND(I440=0,NOT(EXACT(Raw_Passengers!F440,G440))),AND(J440=0,NOT(EXACT(Raw_Passengers!G440,H440)))),1,0),0)</f>
        <v>0</v>
      </c>
      <c r="L440" s="7">
        <f>IF(AND(C440=0,D440=0,I440=1),1,0)</f>
        <v>0</v>
      </c>
      <c r="M440" s="7">
        <f>IF(AND(C440=0,D440=0,J440=1),1,0)</f>
        <v>0</v>
      </c>
    </row>
    <row r="441" spans="1:13">
      <c r="A441" s="7">
        <f>Raw_Passengers!A441</f>
        <v>146960</v>
      </c>
      <c r="B441" s="7">
        <f>Raw_Passengers!B441</f>
        <v>1072851</v>
      </c>
      <c r="C441" s="7">
        <f>IF(COUNTIF(Raw_Passengers!$A$2:A441,Raw_Passengers!A441)&gt;1,1,0)</f>
        <v>0</v>
      </c>
      <c r="D441" s="7">
        <f>IF(COUNTIF(Raw_Bookings!$A$2:$A$648,Raw_Passengers!B441)=0,1,0)</f>
        <v>0</v>
      </c>
      <c r="E441" s="7">
        <f>IF(OR(C441=1,D441=1),0,IF(NOT(ISNUMBER(Raw_Passengers!E441)),1,IF(Raw_Passengers!E441&lt;=0,1,0)))</f>
        <v>0</v>
      </c>
      <c r="F441" s="7">
        <f>IF(AND(C441=0,D441=0,TRIM(Raw_Passengers!D441&amp;"")=""),1,0)</f>
        <v>0</v>
      </c>
      <c r="G441" s="7" t="str">
        <f>IF(SUMPRODUCT(--(Lookup_Status!$A$2:$A$13=LOWER(TRIM(Raw_Passengers!F441))))=0,"",INDEX(Lookup_Status!$B$2:$B$13,SUMPRODUCT((Lookup_Status!$A$2:$A$13=LOWER(TRIM(Raw_Passengers!F441)))*(ROW(Lookup_Status!$A$2:$A$13)-1))))</f>
        <v>Confirmed</v>
      </c>
      <c r="H441" s="7" t="str">
        <f>IF(SUMPRODUCT(--(Lookup_Status!$A$2:$A$13=LOWER(TRIM(Raw_Passengers!G441))))=0,"",INDEX(Lookup_Status!$B$2:$B$13,SUMPRODUCT((Lookup_Status!$A$2:$A$13=LOWER(TRIM(Raw_Passengers!G441)))*(ROW(Lookup_Status!$A$2:$A$13)-1))))</f>
        <v>Confirmed</v>
      </c>
      <c r="I441" s="7">
        <f>IF(OR(G441="",G441="Cancelled",G441="Mixed"),1,0)</f>
        <v>0</v>
      </c>
      <c r="J441" s="7">
        <f>IF(OR(H441="",H441="Mixed"),1,0)</f>
        <v>0</v>
      </c>
      <c r="K441" s="7">
        <f>IF(AND(C441=0,D441=0),IF(OR(AND(I441=0,NOT(EXACT(Raw_Passengers!F441,G441))),AND(J441=0,NOT(EXACT(Raw_Passengers!G441,H441)))),1,0),0)</f>
        <v>0</v>
      </c>
      <c r="L441" s="7">
        <f>IF(AND(C441=0,D441=0,I441=1),1,0)</f>
        <v>0</v>
      </c>
      <c r="M441" s="7">
        <f>IF(AND(C441=0,D441=0,J441=1),1,0)</f>
        <v>0</v>
      </c>
    </row>
    <row r="442" spans="1:13">
      <c r="A442" s="7">
        <f>Raw_Passengers!A442</f>
        <v>147315</v>
      </c>
      <c r="B442" s="7">
        <f>Raw_Passengers!B442</f>
        <v>1073017</v>
      </c>
      <c r="C442" s="7">
        <f>IF(COUNTIF(Raw_Passengers!$A$2:A442,Raw_Passengers!A442)&gt;1,1,0)</f>
        <v>0</v>
      </c>
      <c r="D442" s="7">
        <f>IF(COUNTIF(Raw_Bookings!$A$2:$A$648,Raw_Passengers!B442)=0,1,0)</f>
        <v>0</v>
      </c>
      <c r="E442" s="7">
        <f>IF(OR(C442=1,D442=1),0,IF(NOT(ISNUMBER(Raw_Passengers!E442)),1,IF(Raw_Passengers!E442&lt;=0,1,0)))</f>
        <v>0</v>
      </c>
      <c r="F442" s="7">
        <f>IF(AND(C442=0,D442=0,TRIM(Raw_Passengers!D442&amp;"")=""),1,0)</f>
        <v>0</v>
      </c>
      <c r="G442" s="7" t="str">
        <f>IF(SUMPRODUCT(--(Lookup_Status!$A$2:$A$13=LOWER(TRIM(Raw_Passengers!F442))))=0,"",INDEX(Lookup_Status!$B$2:$B$13,SUMPRODUCT((Lookup_Status!$A$2:$A$13=LOWER(TRIM(Raw_Passengers!F442)))*(ROW(Lookup_Status!$A$2:$A$13)-1))))</f>
        <v>Confirmed</v>
      </c>
      <c r="H442" s="7" t="str">
        <f>IF(SUMPRODUCT(--(Lookup_Status!$A$2:$A$13=LOWER(TRIM(Raw_Passengers!G442))))=0,"",INDEX(Lookup_Status!$B$2:$B$13,SUMPRODUCT((Lookup_Status!$A$2:$A$13=LOWER(TRIM(Raw_Passengers!G442)))*(ROW(Lookup_Status!$A$2:$A$13)-1))))</f>
        <v>Confirmed</v>
      </c>
      <c r="I442" s="7">
        <f>IF(OR(G442="",G442="Cancelled",G442="Mixed"),1,0)</f>
        <v>0</v>
      </c>
      <c r="J442" s="7">
        <f>IF(OR(H442="",H442="Mixed"),1,0)</f>
        <v>0</v>
      </c>
      <c r="K442" s="7">
        <f>IF(AND(C442=0,D442=0),IF(OR(AND(I442=0,NOT(EXACT(Raw_Passengers!F442,G442))),AND(J442=0,NOT(EXACT(Raw_Passengers!G442,H442)))),1,0),0)</f>
        <v>0</v>
      </c>
      <c r="L442" s="7">
        <f>IF(AND(C442=0,D442=0,I442=1),1,0)</f>
        <v>0</v>
      </c>
      <c r="M442" s="7">
        <f>IF(AND(C442=0,D442=0,J442=1),1,0)</f>
        <v>0</v>
      </c>
    </row>
    <row r="443" spans="1:13">
      <c r="A443" s="7">
        <f>Raw_Passengers!A443</f>
        <v>147316</v>
      </c>
      <c r="B443" s="7">
        <f>Raw_Passengers!B443</f>
        <v>1073017</v>
      </c>
      <c r="C443" s="7">
        <f>IF(COUNTIF(Raw_Passengers!$A$2:A443,Raw_Passengers!A443)&gt;1,1,0)</f>
        <v>0</v>
      </c>
      <c r="D443" s="7">
        <f>IF(COUNTIF(Raw_Bookings!$A$2:$A$648,Raw_Passengers!B443)=0,1,0)</f>
        <v>0</v>
      </c>
      <c r="E443" s="7">
        <f>IF(OR(C443=1,D443=1),0,IF(NOT(ISNUMBER(Raw_Passengers!E443)),1,IF(Raw_Passengers!E443&lt;=0,1,0)))</f>
        <v>0</v>
      </c>
      <c r="F443" s="7">
        <f>IF(AND(C443=0,D443=0,TRIM(Raw_Passengers!D443&amp;"")=""),1,0)</f>
        <v>0</v>
      </c>
      <c r="G443" s="7" t="str">
        <f>IF(SUMPRODUCT(--(Lookup_Status!$A$2:$A$13=LOWER(TRIM(Raw_Passengers!F443))))=0,"",INDEX(Lookup_Status!$B$2:$B$13,SUMPRODUCT((Lookup_Status!$A$2:$A$13=LOWER(TRIM(Raw_Passengers!F443)))*(ROW(Lookup_Status!$A$2:$A$13)-1))))</f>
        <v>Confirmed</v>
      </c>
      <c r="H443" s="7" t="str">
        <f>IF(SUMPRODUCT(--(Lookup_Status!$A$2:$A$13=LOWER(TRIM(Raw_Passengers!G443))))=0,"",INDEX(Lookup_Status!$B$2:$B$13,SUMPRODUCT((Lookup_Status!$A$2:$A$13=LOWER(TRIM(Raw_Passengers!G443)))*(ROW(Lookup_Status!$A$2:$A$13)-1))))</f>
        <v>Confirmed</v>
      </c>
      <c r="I443" s="7">
        <f>IF(OR(G443="",G443="Cancelled",G443="Mixed"),1,0)</f>
        <v>0</v>
      </c>
      <c r="J443" s="7">
        <f>IF(OR(H443="",H443="Mixed"),1,0)</f>
        <v>0</v>
      </c>
      <c r="K443" s="7">
        <f>IF(AND(C443=0,D443=0),IF(OR(AND(I443=0,NOT(EXACT(Raw_Passengers!F443,G443))),AND(J443=0,NOT(EXACT(Raw_Passengers!G443,H443)))),1,0),0)</f>
        <v>0</v>
      </c>
      <c r="L443" s="7">
        <f>IF(AND(C443=0,D443=0,I443=1),1,0)</f>
        <v>0</v>
      </c>
      <c r="M443" s="7">
        <f>IF(AND(C443=0,D443=0,J443=1),1,0)</f>
        <v>0</v>
      </c>
    </row>
    <row r="444" spans="1:13">
      <c r="A444" s="7">
        <f>Raw_Passengers!A444</f>
        <v>147317</v>
      </c>
      <c r="B444" s="7">
        <f>Raw_Passengers!B444</f>
        <v>1073017</v>
      </c>
      <c r="C444" s="7">
        <f>IF(COUNTIF(Raw_Passengers!$A$2:A444,Raw_Passengers!A444)&gt;1,1,0)</f>
        <v>0</v>
      </c>
      <c r="D444" s="7">
        <f>IF(COUNTIF(Raw_Bookings!$A$2:$A$648,Raw_Passengers!B444)=0,1,0)</f>
        <v>0</v>
      </c>
      <c r="E444" s="7">
        <f>IF(OR(C444=1,D444=1),0,IF(NOT(ISNUMBER(Raw_Passengers!E444)),1,IF(Raw_Passengers!E444&lt;=0,1,0)))</f>
        <v>0</v>
      </c>
      <c r="F444" s="7">
        <f>IF(AND(C444=0,D444=0,TRIM(Raw_Passengers!D444&amp;"")=""),1,0)</f>
        <v>0</v>
      </c>
      <c r="G444" s="7" t="str">
        <f>IF(SUMPRODUCT(--(Lookup_Status!$A$2:$A$13=LOWER(TRIM(Raw_Passengers!F444))))=0,"",INDEX(Lookup_Status!$B$2:$B$13,SUMPRODUCT((Lookup_Status!$A$2:$A$13=LOWER(TRIM(Raw_Passengers!F444)))*(ROW(Lookup_Status!$A$2:$A$13)-1))))</f>
        <v>Confirmed</v>
      </c>
      <c r="H444" s="7" t="str">
        <f>IF(SUMPRODUCT(--(Lookup_Status!$A$2:$A$13=LOWER(TRIM(Raw_Passengers!G444))))=0,"",INDEX(Lookup_Status!$B$2:$B$13,SUMPRODUCT((Lookup_Status!$A$2:$A$13=LOWER(TRIM(Raw_Passengers!G444)))*(ROW(Lookup_Status!$A$2:$A$13)-1))))</f>
        <v>Confirmed</v>
      </c>
      <c r="I444" s="7">
        <f>IF(OR(G444="",G444="Cancelled",G444="Mixed"),1,0)</f>
        <v>0</v>
      </c>
      <c r="J444" s="7">
        <f>IF(OR(H444="",H444="Mixed"),1,0)</f>
        <v>0</v>
      </c>
      <c r="K444" s="7">
        <f>IF(AND(C444=0,D444=0),IF(OR(AND(I444=0,NOT(EXACT(Raw_Passengers!F444,G444))),AND(J444=0,NOT(EXACT(Raw_Passengers!G444,H444)))),1,0),0)</f>
        <v>0</v>
      </c>
      <c r="L444" s="7">
        <f>IF(AND(C444=0,D444=0,I444=1),1,0)</f>
        <v>0</v>
      </c>
      <c r="M444" s="7">
        <f>IF(AND(C444=0,D444=0,J444=1),1,0)</f>
        <v>0</v>
      </c>
    </row>
    <row r="445" spans="1:13">
      <c r="A445" s="7">
        <f>Raw_Passengers!A445</f>
        <v>147318</v>
      </c>
      <c r="B445" s="7">
        <f>Raw_Passengers!B445</f>
        <v>1073017</v>
      </c>
      <c r="C445" s="7">
        <f>IF(COUNTIF(Raw_Passengers!$A$2:A445,Raw_Passengers!A445)&gt;1,1,0)</f>
        <v>0</v>
      </c>
      <c r="D445" s="7">
        <f>IF(COUNTIF(Raw_Bookings!$A$2:$A$648,Raw_Passengers!B445)=0,1,0)</f>
        <v>0</v>
      </c>
      <c r="E445" s="7">
        <f>IF(OR(C445=1,D445=1),0,IF(NOT(ISNUMBER(Raw_Passengers!E445)),1,IF(Raw_Passengers!E445&lt;=0,1,0)))</f>
        <v>0</v>
      </c>
      <c r="F445" s="7">
        <f>IF(AND(C445=0,D445=0,TRIM(Raw_Passengers!D445&amp;"")=""),1,0)</f>
        <v>0</v>
      </c>
      <c r="G445" s="7" t="str">
        <f>IF(SUMPRODUCT(--(Lookup_Status!$A$2:$A$13=LOWER(TRIM(Raw_Passengers!F445))))=0,"",INDEX(Lookup_Status!$B$2:$B$13,SUMPRODUCT((Lookup_Status!$A$2:$A$13=LOWER(TRIM(Raw_Passengers!F445)))*(ROW(Lookup_Status!$A$2:$A$13)-1))))</f>
        <v>Confirmed</v>
      </c>
      <c r="H445" s="7" t="str">
        <f>IF(SUMPRODUCT(--(Lookup_Status!$A$2:$A$13=LOWER(TRIM(Raw_Passengers!G445))))=0,"",INDEX(Lookup_Status!$B$2:$B$13,SUMPRODUCT((Lookup_Status!$A$2:$A$13=LOWER(TRIM(Raw_Passengers!G445)))*(ROW(Lookup_Status!$A$2:$A$13)-1))))</f>
        <v>Confirmed</v>
      </c>
      <c r="I445" s="7">
        <f>IF(OR(G445="",G445="Cancelled",G445="Mixed"),1,0)</f>
        <v>0</v>
      </c>
      <c r="J445" s="7">
        <f>IF(OR(H445="",H445="Mixed"),1,0)</f>
        <v>0</v>
      </c>
      <c r="K445" s="7">
        <f>IF(AND(C445=0,D445=0),IF(OR(AND(I445=0,NOT(EXACT(Raw_Passengers!F445,G445))),AND(J445=0,NOT(EXACT(Raw_Passengers!G445,H445)))),1,0),0)</f>
        <v>0</v>
      </c>
      <c r="L445" s="7">
        <f>IF(AND(C445=0,D445=0,I445=1),1,0)</f>
        <v>0</v>
      </c>
      <c r="M445" s="7">
        <f>IF(AND(C445=0,D445=0,J445=1),1,0)</f>
        <v>0</v>
      </c>
    </row>
    <row r="446" spans="1:13">
      <c r="A446" s="7">
        <f>Raw_Passengers!A446</f>
        <v>147785</v>
      </c>
      <c r="B446" s="7">
        <f>Raw_Passengers!B446</f>
        <v>1073259</v>
      </c>
      <c r="C446" s="7">
        <f>IF(COUNTIF(Raw_Passengers!$A$2:A446,Raw_Passengers!A446)&gt;1,1,0)</f>
        <v>0</v>
      </c>
      <c r="D446" s="7">
        <f>IF(COUNTIF(Raw_Bookings!$A$2:$A$648,Raw_Passengers!B446)=0,1,0)</f>
        <v>0</v>
      </c>
      <c r="E446" s="7">
        <f>IF(OR(C446=1,D446=1),0,IF(NOT(ISNUMBER(Raw_Passengers!E446)),1,IF(Raw_Passengers!E446&lt;=0,1,0)))</f>
        <v>0</v>
      </c>
      <c r="F446" s="7">
        <f>IF(AND(C446=0,D446=0,TRIM(Raw_Passengers!D446&amp;"")=""),1,0)</f>
        <v>0</v>
      </c>
      <c r="G446" s="7" t="str">
        <f>IF(SUMPRODUCT(--(Lookup_Status!$A$2:$A$13=LOWER(TRIM(Raw_Passengers!F446))))=0,"",INDEX(Lookup_Status!$B$2:$B$13,SUMPRODUCT((Lookup_Status!$A$2:$A$13=LOWER(TRIM(Raw_Passengers!F446)))*(ROW(Lookup_Status!$A$2:$A$13)-1))))</f>
        <v>Confirmed</v>
      </c>
      <c r="H446" s="7" t="str">
        <f>IF(SUMPRODUCT(--(Lookup_Status!$A$2:$A$13=LOWER(TRIM(Raw_Passengers!G446))))=0,"",INDEX(Lookup_Status!$B$2:$B$13,SUMPRODUCT((Lookup_Status!$A$2:$A$13=LOWER(TRIM(Raw_Passengers!G446)))*(ROW(Lookup_Status!$A$2:$A$13)-1))))</f>
        <v>Confirmed</v>
      </c>
      <c r="I446" s="7">
        <f>IF(OR(G446="",G446="Cancelled",G446="Mixed"),1,0)</f>
        <v>0</v>
      </c>
      <c r="J446" s="7">
        <f>IF(OR(H446="",H446="Mixed"),1,0)</f>
        <v>0</v>
      </c>
      <c r="K446" s="7">
        <f>IF(AND(C446=0,D446=0),IF(OR(AND(I446=0,NOT(EXACT(Raw_Passengers!F446,G446))),AND(J446=0,NOT(EXACT(Raw_Passengers!G446,H446)))),1,0),0)</f>
        <v>0</v>
      </c>
      <c r="L446" s="7">
        <f>IF(AND(C446=0,D446=0,I446=1),1,0)</f>
        <v>0</v>
      </c>
      <c r="M446" s="7">
        <f>IF(AND(C446=0,D446=0,J446=1),1,0)</f>
        <v>0</v>
      </c>
    </row>
    <row r="447" spans="1:13">
      <c r="A447" s="7">
        <f>Raw_Passengers!A447</f>
        <v>147786</v>
      </c>
      <c r="B447" s="7">
        <f>Raw_Passengers!B447</f>
        <v>1073259</v>
      </c>
      <c r="C447" s="7">
        <f>IF(COUNTIF(Raw_Passengers!$A$2:A447,Raw_Passengers!A447)&gt;1,1,0)</f>
        <v>0</v>
      </c>
      <c r="D447" s="7">
        <f>IF(COUNTIF(Raw_Bookings!$A$2:$A$648,Raw_Passengers!B447)=0,1,0)</f>
        <v>0</v>
      </c>
      <c r="E447" s="7">
        <f>IF(OR(C447=1,D447=1),0,IF(NOT(ISNUMBER(Raw_Passengers!E447)),1,IF(Raw_Passengers!E447&lt;=0,1,0)))</f>
        <v>0</v>
      </c>
      <c r="F447" s="7">
        <f>IF(AND(C447=0,D447=0,TRIM(Raw_Passengers!D447&amp;"")=""),1,0)</f>
        <v>0</v>
      </c>
      <c r="G447" s="7" t="str">
        <f>IF(SUMPRODUCT(--(Lookup_Status!$A$2:$A$13=LOWER(TRIM(Raw_Passengers!F447))))=0,"",INDEX(Lookup_Status!$B$2:$B$13,SUMPRODUCT((Lookup_Status!$A$2:$A$13=LOWER(TRIM(Raw_Passengers!F447)))*(ROW(Lookup_Status!$A$2:$A$13)-1))))</f>
        <v>Confirmed</v>
      </c>
      <c r="H447" s="7" t="str">
        <f>IF(SUMPRODUCT(--(Lookup_Status!$A$2:$A$13=LOWER(TRIM(Raw_Passengers!G447))))=0,"",INDEX(Lookup_Status!$B$2:$B$13,SUMPRODUCT((Lookup_Status!$A$2:$A$13=LOWER(TRIM(Raw_Passengers!G447)))*(ROW(Lookup_Status!$A$2:$A$13)-1))))</f>
        <v>Confirmed</v>
      </c>
      <c r="I447" s="7">
        <f>IF(OR(G447="",G447="Cancelled",G447="Mixed"),1,0)</f>
        <v>0</v>
      </c>
      <c r="J447" s="7">
        <f>IF(OR(H447="",H447="Mixed"),1,0)</f>
        <v>0</v>
      </c>
      <c r="K447" s="7">
        <f>IF(AND(C447=0,D447=0),IF(OR(AND(I447=0,NOT(EXACT(Raw_Passengers!F447,G447))),AND(J447=0,NOT(EXACT(Raw_Passengers!G447,H447)))),1,0),0)</f>
        <v>0</v>
      </c>
      <c r="L447" s="7">
        <f>IF(AND(C447=0,D447=0,I447=1),1,0)</f>
        <v>0</v>
      </c>
      <c r="M447" s="7">
        <f>IF(AND(C447=0,D447=0,J447=1),1,0)</f>
        <v>0</v>
      </c>
    </row>
    <row r="448" spans="1:13">
      <c r="A448" s="7">
        <f>Raw_Passengers!A448</f>
        <v>147787</v>
      </c>
      <c r="B448" s="7">
        <f>Raw_Passengers!B448</f>
        <v>1073259</v>
      </c>
      <c r="C448" s="7">
        <f>IF(COUNTIF(Raw_Passengers!$A$2:A448,Raw_Passengers!A448)&gt;1,1,0)</f>
        <v>0</v>
      </c>
      <c r="D448" s="7">
        <f>IF(COUNTIF(Raw_Bookings!$A$2:$A$648,Raw_Passengers!B448)=0,1,0)</f>
        <v>0</v>
      </c>
      <c r="E448" s="7">
        <f>IF(OR(C448=1,D448=1),0,IF(NOT(ISNUMBER(Raw_Passengers!E448)),1,IF(Raw_Passengers!E448&lt;=0,1,0)))</f>
        <v>0</v>
      </c>
      <c r="F448" s="7">
        <f>IF(AND(C448=0,D448=0,TRIM(Raw_Passengers!D448&amp;"")=""),1,0)</f>
        <v>0</v>
      </c>
      <c r="G448" s="7" t="str">
        <f>IF(SUMPRODUCT(--(Lookup_Status!$A$2:$A$13=LOWER(TRIM(Raw_Passengers!F448))))=0,"",INDEX(Lookup_Status!$B$2:$B$13,SUMPRODUCT((Lookup_Status!$A$2:$A$13=LOWER(TRIM(Raw_Passengers!F448)))*(ROW(Lookup_Status!$A$2:$A$13)-1))))</f>
        <v>Confirmed</v>
      </c>
      <c r="H448" s="7" t="str">
        <f>IF(SUMPRODUCT(--(Lookup_Status!$A$2:$A$13=LOWER(TRIM(Raw_Passengers!G448))))=0,"",INDEX(Lookup_Status!$B$2:$B$13,SUMPRODUCT((Lookup_Status!$A$2:$A$13=LOWER(TRIM(Raw_Passengers!G448)))*(ROW(Lookup_Status!$A$2:$A$13)-1))))</f>
        <v>Confirmed</v>
      </c>
      <c r="I448" s="7">
        <f>IF(OR(G448="",G448="Cancelled",G448="Mixed"),1,0)</f>
        <v>0</v>
      </c>
      <c r="J448" s="7">
        <f>IF(OR(H448="",H448="Mixed"),1,0)</f>
        <v>0</v>
      </c>
      <c r="K448" s="7">
        <f>IF(AND(C448=0,D448=0),IF(OR(AND(I448=0,NOT(EXACT(Raw_Passengers!F448,G448))),AND(J448=0,NOT(EXACT(Raw_Passengers!G448,H448)))),1,0),0)</f>
        <v>0</v>
      </c>
      <c r="L448" s="7">
        <f>IF(AND(C448=0,D448=0,I448=1),1,0)</f>
        <v>0</v>
      </c>
      <c r="M448" s="7">
        <f>IF(AND(C448=0,D448=0,J448=1),1,0)</f>
        <v>0</v>
      </c>
    </row>
    <row r="449" spans="1:13">
      <c r="A449" s="7">
        <f>Raw_Passengers!A449</f>
        <v>148181</v>
      </c>
      <c r="B449" s="7">
        <f>Raw_Passengers!B449</f>
        <v>1073449</v>
      </c>
      <c r="C449" s="7">
        <f>IF(COUNTIF(Raw_Passengers!$A$2:A449,Raw_Passengers!A449)&gt;1,1,0)</f>
        <v>0</v>
      </c>
      <c r="D449" s="7">
        <f>IF(COUNTIF(Raw_Bookings!$A$2:$A$648,Raw_Passengers!B449)=0,1,0)</f>
        <v>0</v>
      </c>
      <c r="E449" s="7">
        <f>IF(OR(C449=1,D449=1),0,IF(NOT(ISNUMBER(Raw_Passengers!E449)),1,IF(Raw_Passengers!E449&lt;=0,1,0)))</f>
        <v>0</v>
      </c>
      <c r="F449" s="7">
        <f>IF(AND(C449=0,D449=0,TRIM(Raw_Passengers!D449&amp;"")=""),1,0)</f>
        <v>0</v>
      </c>
      <c r="G449" s="7" t="str">
        <f>IF(SUMPRODUCT(--(Lookup_Status!$A$2:$A$13=LOWER(TRIM(Raw_Passengers!F449))))=0,"",INDEX(Lookup_Status!$B$2:$B$13,SUMPRODUCT((Lookup_Status!$A$2:$A$13=LOWER(TRIM(Raw_Passengers!F449)))*(ROW(Lookup_Status!$A$2:$A$13)-1))))</f>
        <v>Confirmed</v>
      </c>
      <c r="H449" s="7" t="str">
        <f>IF(SUMPRODUCT(--(Lookup_Status!$A$2:$A$13=LOWER(TRIM(Raw_Passengers!G449))))=0,"",INDEX(Lookup_Status!$B$2:$B$13,SUMPRODUCT((Lookup_Status!$A$2:$A$13=LOWER(TRIM(Raw_Passengers!G449)))*(ROW(Lookup_Status!$A$2:$A$13)-1))))</f>
        <v>Confirmed</v>
      </c>
      <c r="I449" s="7">
        <f>IF(OR(G449="",G449="Cancelled",G449="Mixed"),1,0)</f>
        <v>0</v>
      </c>
      <c r="J449" s="7">
        <f>IF(OR(H449="",H449="Mixed"),1,0)</f>
        <v>0</v>
      </c>
      <c r="K449" s="7">
        <f>IF(AND(C449=0,D449=0),IF(OR(AND(I449=0,NOT(EXACT(Raw_Passengers!F449,G449))),AND(J449=0,NOT(EXACT(Raw_Passengers!G449,H449)))),1,0),0)</f>
        <v>0</v>
      </c>
      <c r="L449" s="7">
        <f>IF(AND(C449=0,D449=0,I449=1),1,0)</f>
        <v>0</v>
      </c>
      <c r="M449" s="7">
        <f>IF(AND(C449=0,D449=0,J449=1),1,0)</f>
        <v>0</v>
      </c>
    </row>
    <row r="450" spans="1:13">
      <c r="A450" s="7">
        <f>Raw_Passengers!A450</f>
        <v>148337</v>
      </c>
      <c r="B450" s="7">
        <f>Raw_Passengers!B450</f>
        <v>1073530</v>
      </c>
      <c r="C450" s="7">
        <f>IF(COUNTIF(Raw_Passengers!$A$2:A450,Raw_Passengers!A450)&gt;1,1,0)</f>
        <v>0</v>
      </c>
      <c r="D450" s="7">
        <f>IF(COUNTIF(Raw_Bookings!$A$2:$A$648,Raw_Passengers!B450)=0,1,0)</f>
        <v>0</v>
      </c>
      <c r="E450" s="7">
        <f>IF(OR(C450=1,D450=1),0,IF(NOT(ISNUMBER(Raw_Passengers!E450)),1,IF(Raw_Passengers!E450&lt;=0,1,0)))</f>
        <v>0</v>
      </c>
      <c r="F450" s="7">
        <f>IF(AND(C450=0,D450=0,TRIM(Raw_Passengers!D450&amp;"")=""),1,0)</f>
        <v>0</v>
      </c>
      <c r="G450" s="7" t="str">
        <f>IF(SUMPRODUCT(--(Lookup_Status!$A$2:$A$13=LOWER(TRIM(Raw_Passengers!F450))))=0,"",INDEX(Lookup_Status!$B$2:$B$13,SUMPRODUCT((Lookup_Status!$A$2:$A$13=LOWER(TRIM(Raw_Passengers!F450)))*(ROW(Lookup_Status!$A$2:$A$13)-1))))</f>
        <v>Waitlisted</v>
      </c>
      <c r="H450" s="7" t="str">
        <f>IF(SUMPRODUCT(--(Lookup_Status!$A$2:$A$13=LOWER(TRIM(Raw_Passengers!G450))))=0,"",INDEX(Lookup_Status!$B$2:$B$13,SUMPRODUCT((Lookup_Status!$A$2:$A$13=LOWER(TRIM(Raw_Passengers!G450)))*(ROW(Lookup_Status!$A$2:$A$13)-1))))</f>
        <v>Cancelled</v>
      </c>
      <c r="I450" s="7">
        <f>IF(OR(G450="",G450="Cancelled",G450="Mixed"),1,0)</f>
        <v>0</v>
      </c>
      <c r="J450" s="7">
        <f>IF(OR(H450="",H450="Mixed"),1,0)</f>
        <v>0</v>
      </c>
      <c r="K450" s="7">
        <f>IF(AND(C450=0,D450=0),IF(OR(AND(I450=0,NOT(EXACT(Raw_Passengers!F450,G450))),AND(J450=0,NOT(EXACT(Raw_Passengers!G450,H450)))),1,0),0)</f>
        <v>0</v>
      </c>
      <c r="L450" s="7">
        <f>IF(AND(C450=0,D450=0,I450=1),1,0)</f>
        <v>0</v>
      </c>
      <c r="M450" s="7">
        <f>IF(AND(C450=0,D450=0,J450=1),1,0)</f>
        <v>0</v>
      </c>
    </row>
    <row r="451" spans="1:13">
      <c r="A451" s="7">
        <f>Raw_Passengers!A451</f>
        <v>148338</v>
      </c>
      <c r="B451" s="7">
        <f>Raw_Passengers!B451</f>
        <v>1073530</v>
      </c>
      <c r="C451" s="7">
        <f>IF(COUNTIF(Raw_Passengers!$A$2:A451,Raw_Passengers!A451)&gt;1,1,0)</f>
        <v>0</v>
      </c>
      <c r="D451" s="7">
        <f>IF(COUNTIF(Raw_Bookings!$A$2:$A$648,Raw_Passengers!B451)=0,1,0)</f>
        <v>0</v>
      </c>
      <c r="E451" s="7">
        <f>IF(OR(C451=1,D451=1),0,IF(NOT(ISNUMBER(Raw_Passengers!E451)),1,IF(Raw_Passengers!E451&lt;=0,1,0)))</f>
        <v>0</v>
      </c>
      <c r="F451" s="7">
        <f>IF(AND(C451=0,D451=0,TRIM(Raw_Passengers!D451&amp;"")=""),1,0)</f>
        <v>0</v>
      </c>
      <c r="G451" s="7" t="str">
        <f>IF(SUMPRODUCT(--(Lookup_Status!$A$2:$A$13=LOWER(TRIM(Raw_Passengers!F451))))=0,"",INDEX(Lookup_Status!$B$2:$B$13,SUMPRODUCT((Lookup_Status!$A$2:$A$13=LOWER(TRIM(Raw_Passengers!F451)))*(ROW(Lookup_Status!$A$2:$A$13)-1))))</f>
        <v>Waitlisted</v>
      </c>
      <c r="H451" s="7" t="str">
        <f>IF(SUMPRODUCT(--(Lookup_Status!$A$2:$A$13=LOWER(TRIM(Raw_Passengers!G451))))=0,"",INDEX(Lookup_Status!$B$2:$B$13,SUMPRODUCT((Lookup_Status!$A$2:$A$13=LOWER(TRIM(Raw_Passengers!G451)))*(ROW(Lookup_Status!$A$2:$A$13)-1))))</f>
        <v>Waitlisted</v>
      </c>
      <c r="I451" s="7">
        <f>IF(OR(G451="",G451="Cancelled",G451="Mixed"),1,0)</f>
        <v>0</v>
      </c>
      <c r="J451" s="7">
        <f>IF(OR(H451="",H451="Mixed"),1,0)</f>
        <v>0</v>
      </c>
      <c r="K451" s="7">
        <f>IF(AND(C451=0,D451=0),IF(OR(AND(I451=0,NOT(EXACT(Raw_Passengers!F451,G451))),AND(J451=0,NOT(EXACT(Raw_Passengers!G451,H451)))),1,0),0)</f>
        <v>0</v>
      </c>
      <c r="L451" s="7">
        <f>IF(AND(C451=0,D451=0,I451=1),1,0)</f>
        <v>0</v>
      </c>
      <c r="M451" s="7">
        <f>IF(AND(C451=0,D451=0,J451=1),1,0)</f>
        <v>0</v>
      </c>
    </row>
    <row r="452" spans="1:13">
      <c r="A452" s="7">
        <f>Raw_Passengers!A452</f>
        <v>149540</v>
      </c>
      <c r="B452" s="7">
        <f>Raw_Passengers!B452</f>
        <v>1074131</v>
      </c>
      <c r="C452" s="7">
        <f>IF(COUNTIF(Raw_Passengers!$A$2:A452,Raw_Passengers!A452)&gt;1,1,0)</f>
        <v>0</v>
      </c>
      <c r="D452" s="7">
        <f>IF(COUNTIF(Raw_Bookings!$A$2:$A$648,Raw_Passengers!B452)=0,1,0)</f>
        <v>0</v>
      </c>
      <c r="E452" s="7">
        <f>IF(OR(C452=1,D452=1),0,IF(NOT(ISNUMBER(Raw_Passengers!E452)),1,IF(Raw_Passengers!E452&lt;=0,1,0)))</f>
        <v>0</v>
      </c>
      <c r="F452" s="7">
        <f>IF(AND(C452=0,D452=0,TRIM(Raw_Passengers!D452&amp;"")=""),1,0)</f>
        <v>0</v>
      </c>
      <c r="G452" s="7" t="str">
        <f>IF(SUMPRODUCT(--(Lookup_Status!$A$2:$A$13=LOWER(TRIM(Raw_Passengers!F452))))=0,"",INDEX(Lookup_Status!$B$2:$B$13,SUMPRODUCT((Lookup_Status!$A$2:$A$13=LOWER(TRIM(Raw_Passengers!F452)))*(ROW(Lookup_Status!$A$2:$A$13)-1))))</f>
        <v>Confirmed</v>
      </c>
      <c r="H452" s="7" t="str">
        <f>IF(SUMPRODUCT(--(Lookup_Status!$A$2:$A$13=LOWER(TRIM(Raw_Passengers!G452))))=0,"",INDEX(Lookup_Status!$B$2:$B$13,SUMPRODUCT((Lookup_Status!$A$2:$A$13=LOWER(TRIM(Raw_Passengers!G452)))*(ROW(Lookup_Status!$A$2:$A$13)-1))))</f>
        <v>Confirmed</v>
      </c>
      <c r="I452" s="7">
        <f>IF(OR(G452="",G452="Cancelled",G452="Mixed"),1,0)</f>
        <v>0</v>
      </c>
      <c r="J452" s="7">
        <f>IF(OR(H452="",H452="Mixed"),1,0)</f>
        <v>0</v>
      </c>
      <c r="K452" s="7">
        <f>IF(AND(C452=0,D452=0),IF(OR(AND(I452=0,NOT(EXACT(Raw_Passengers!F452,G452))),AND(J452=0,NOT(EXACT(Raw_Passengers!G452,H452)))),1,0),0)</f>
        <v>0</v>
      </c>
      <c r="L452" s="7">
        <f>IF(AND(C452=0,D452=0,I452=1),1,0)</f>
        <v>0</v>
      </c>
      <c r="M452" s="7">
        <f>IF(AND(C452=0,D452=0,J452=1),1,0)</f>
        <v>0</v>
      </c>
    </row>
    <row r="453" spans="1:13">
      <c r="A453" s="7">
        <f>Raw_Passengers!A453</f>
        <v>149981</v>
      </c>
      <c r="B453" s="7">
        <f>Raw_Passengers!B453</f>
        <v>1074365</v>
      </c>
      <c r="C453" s="7">
        <f>IF(COUNTIF(Raw_Passengers!$A$2:A453,Raw_Passengers!A453)&gt;1,1,0)</f>
        <v>0</v>
      </c>
      <c r="D453" s="7">
        <f>IF(COUNTIF(Raw_Bookings!$A$2:$A$648,Raw_Passengers!B453)=0,1,0)</f>
        <v>0</v>
      </c>
      <c r="E453" s="7">
        <f>IF(OR(C453=1,D453=1),0,IF(NOT(ISNUMBER(Raw_Passengers!E453)),1,IF(Raw_Passengers!E453&lt;=0,1,0)))</f>
        <v>0</v>
      </c>
      <c r="F453" s="7">
        <f>IF(AND(C453=0,D453=0,TRIM(Raw_Passengers!D453&amp;"")=""),1,0)</f>
        <v>0</v>
      </c>
      <c r="G453" s="7" t="str">
        <f>IF(SUMPRODUCT(--(Lookup_Status!$A$2:$A$13=LOWER(TRIM(Raw_Passengers!F453))))=0,"",INDEX(Lookup_Status!$B$2:$B$13,SUMPRODUCT((Lookup_Status!$A$2:$A$13=LOWER(TRIM(Raw_Passengers!F453)))*(ROW(Lookup_Status!$A$2:$A$13)-1))))</f>
        <v>Confirmed</v>
      </c>
      <c r="H453" s="7" t="str">
        <f>IF(SUMPRODUCT(--(Lookup_Status!$A$2:$A$13=LOWER(TRIM(Raw_Passengers!G453))))=0,"",INDEX(Lookup_Status!$B$2:$B$13,SUMPRODUCT((Lookup_Status!$A$2:$A$13=LOWER(TRIM(Raw_Passengers!G453)))*(ROW(Lookup_Status!$A$2:$A$13)-1))))</f>
        <v>Confirmed</v>
      </c>
      <c r="I453" s="7">
        <f>IF(OR(G453="",G453="Cancelled",G453="Mixed"),1,0)</f>
        <v>0</v>
      </c>
      <c r="J453" s="7">
        <f>IF(OR(H453="",H453="Mixed"),1,0)</f>
        <v>0</v>
      </c>
      <c r="K453" s="7">
        <f>IF(AND(C453=0,D453=0),IF(OR(AND(I453=0,NOT(EXACT(Raw_Passengers!F453,G453))),AND(J453=0,NOT(EXACT(Raw_Passengers!G453,H453)))),1,0),0)</f>
        <v>0</v>
      </c>
      <c r="L453" s="7">
        <f>IF(AND(C453=0,D453=0,I453=1),1,0)</f>
        <v>0</v>
      </c>
      <c r="M453" s="7">
        <f>IF(AND(C453=0,D453=0,J453=1),1,0)</f>
        <v>0</v>
      </c>
    </row>
    <row r="454" spans="1:13">
      <c r="A454" s="7">
        <f>Raw_Passengers!A454</f>
        <v>149982</v>
      </c>
      <c r="B454" s="7">
        <f>Raw_Passengers!B454</f>
        <v>1074365</v>
      </c>
      <c r="C454" s="7">
        <f>IF(COUNTIF(Raw_Passengers!$A$2:A454,Raw_Passengers!A454)&gt;1,1,0)</f>
        <v>0</v>
      </c>
      <c r="D454" s="7">
        <f>IF(COUNTIF(Raw_Bookings!$A$2:$A$648,Raw_Passengers!B454)=0,1,0)</f>
        <v>0</v>
      </c>
      <c r="E454" s="7">
        <f>IF(OR(C454=1,D454=1),0,IF(NOT(ISNUMBER(Raw_Passengers!E454)),1,IF(Raw_Passengers!E454&lt;=0,1,0)))</f>
        <v>0</v>
      </c>
      <c r="F454" s="7">
        <f>IF(AND(C454=0,D454=0,TRIM(Raw_Passengers!D454&amp;"")=""),1,0)</f>
        <v>0</v>
      </c>
      <c r="G454" s="7" t="str">
        <f>IF(SUMPRODUCT(--(Lookup_Status!$A$2:$A$13=LOWER(TRIM(Raw_Passengers!F454))))=0,"",INDEX(Lookup_Status!$B$2:$B$13,SUMPRODUCT((Lookup_Status!$A$2:$A$13=LOWER(TRIM(Raw_Passengers!F454)))*(ROW(Lookup_Status!$A$2:$A$13)-1))))</f>
        <v>Confirmed</v>
      </c>
      <c r="H454" s="7" t="str">
        <f>IF(SUMPRODUCT(--(Lookup_Status!$A$2:$A$13=LOWER(TRIM(Raw_Passengers!G454))))=0,"",INDEX(Lookup_Status!$B$2:$B$13,SUMPRODUCT((Lookup_Status!$A$2:$A$13=LOWER(TRIM(Raw_Passengers!G454)))*(ROW(Lookup_Status!$A$2:$A$13)-1))))</f>
        <v>Confirmed</v>
      </c>
      <c r="I454" s="7">
        <f>IF(OR(G454="",G454="Cancelled",G454="Mixed"),1,0)</f>
        <v>0</v>
      </c>
      <c r="J454" s="7">
        <f>IF(OR(H454="",H454="Mixed"),1,0)</f>
        <v>0</v>
      </c>
      <c r="K454" s="7">
        <f>IF(AND(C454=0,D454=0),IF(OR(AND(I454=0,NOT(EXACT(Raw_Passengers!F454,G454))),AND(J454=0,NOT(EXACT(Raw_Passengers!G454,H454)))),1,0),0)</f>
        <v>0</v>
      </c>
      <c r="L454" s="7">
        <f>IF(AND(C454=0,D454=0,I454=1),1,0)</f>
        <v>0</v>
      </c>
      <c r="M454" s="7">
        <f>IF(AND(C454=0,D454=0,J454=1),1,0)</f>
        <v>0</v>
      </c>
    </row>
    <row r="455" spans="1:13">
      <c r="A455" s="7">
        <f>Raw_Passengers!A455</f>
        <v>150545</v>
      </c>
      <c r="B455" s="7">
        <f>Raw_Passengers!B455</f>
        <v>1074639</v>
      </c>
      <c r="C455" s="7">
        <f>IF(COUNTIF(Raw_Passengers!$A$2:A455,Raw_Passengers!A455)&gt;1,1,0)</f>
        <v>0</v>
      </c>
      <c r="D455" s="7">
        <f>IF(COUNTIF(Raw_Bookings!$A$2:$A$648,Raw_Passengers!B455)=0,1,0)</f>
        <v>0</v>
      </c>
      <c r="E455" s="7">
        <f>IF(OR(C455=1,D455=1),0,IF(NOT(ISNUMBER(Raw_Passengers!E455)),1,IF(Raw_Passengers!E455&lt;=0,1,0)))</f>
        <v>0</v>
      </c>
      <c r="F455" s="7">
        <f>IF(AND(C455=0,D455=0,TRIM(Raw_Passengers!D455&amp;"")=""),1,0)</f>
        <v>1</v>
      </c>
      <c r="G455" s="7" t="str">
        <f>IF(SUMPRODUCT(--(Lookup_Status!$A$2:$A$13=LOWER(TRIM(Raw_Passengers!F455))))=0,"",INDEX(Lookup_Status!$B$2:$B$13,SUMPRODUCT((Lookup_Status!$A$2:$A$13=LOWER(TRIM(Raw_Passengers!F455)))*(ROW(Lookup_Status!$A$2:$A$13)-1))))</f>
        <v>Confirmed</v>
      </c>
      <c r="H455" s="7" t="str">
        <f>IF(SUMPRODUCT(--(Lookup_Status!$A$2:$A$13=LOWER(TRIM(Raw_Passengers!G455))))=0,"",INDEX(Lookup_Status!$B$2:$B$13,SUMPRODUCT((Lookup_Status!$A$2:$A$13=LOWER(TRIM(Raw_Passengers!G455)))*(ROW(Lookup_Status!$A$2:$A$13)-1))))</f>
        <v>Confirmed</v>
      </c>
      <c r="I455" s="7">
        <f>IF(OR(G455="",G455="Cancelled",G455="Mixed"),1,0)</f>
        <v>0</v>
      </c>
      <c r="J455" s="7">
        <f>IF(OR(H455="",H455="Mixed"),1,0)</f>
        <v>0</v>
      </c>
      <c r="K455" s="7">
        <f>IF(AND(C455=0,D455=0),IF(OR(AND(I455=0,NOT(EXACT(Raw_Passengers!F455,G455))),AND(J455=0,NOT(EXACT(Raw_Passengers!G455,H455)))),1,0),0)</f>
        <v>0</v>
      </c>
      <c r="L455" s="7">
        <f>IF(AND(C455=0,D455=0,I455=1),1,0)</f>
        <v>0</v>
      </c>
      <c r="M455" s="7">
        <f>IF(AND(C455=0,D455=0,J455=1),1,0)</f>
        <v>0</v>
      </c>
    </row>
    <row r="456" spans="1:13">
      <c r="A456" s="7">
        <f>Raw_Passengers!A456</f>
        <v>150612</v>
      </c>
      <c r="B456" s="7">
        <f>Raw_Passengers!B456</f>
        <v>1074677</v>
      </c>
      <c r="C456" s="7">
        <f>IF(COUNTIF(Raw_Passengers!$A$2:A456,Raw_Passengers!A456)&gt;1,1,0)</f>
        <v>0</v>
      </c>
      <c r="D456" s="7">
        <f>IF(COUNTIF(Raw_Bookings!$A$2:$A$648,Raw_Passengers!B456)=0,1,0)</f>
        <v>0</v>
      </c>
      <c r="E456" s="7">
        <f>IF(OR(C456=1,D456=1),0,IF(NOT(ISNUMBER(Raw_Passengers!E456)),1,IF(Raw_Passengers!E456&lt;=0,1,0)))</f>
        <v>0</v>
      </c>
      <c r="F456" s="7">
        <f>IF(AND(C456=0,D456=0,TRIM(Raw_Passengers!D456&amp;"")=""),1,0)</f>
        <v>0</v>
      </c>
      <c r="G456" s="7" t="str">
        <f>IF(SUMPRODUCT(--(Lookup_Status!$A$2:$A$13=LOWER(TRIM(Raw_Passengers!F456))))=0,"",INDEX(Lookup_Status!$B$2:$B$13,SUMPRODUCT((Lookup_Status!$A$2:$A$13=LOWER(TRIM(Raw_Passengers!F456)))*(ROW(Lookup_Status!$A$2:$A$13)-1))))</f>
        <v>RAC</v>
      </c>
      <c r="H456" s="7" t="str">
        <f>IF(SUMPRODUCT(--(Lookup_Status!$A$2:$A$13=LOWER(TRIM(Raw_Passengers!G456))))=0,"",INDEX(Lookup_Status!$B$2:$B$13,SUMPRODUCT((Lookup_Status!$A$2:$A$13=LOWER(TRIM(Raw_Passengers!G456)))*(ROW(Lookup_Status!$A$2:$A$13)-1))))</f>
        <v>Confirmed</v>
      </c>
      <c r="I456" s="7">
        <f>IF(OR(G456="",G456="Cancelled",G456="Mixed"),1,0)</f>
        <v>0</v>
      </c>
      <c r="J456" s="7">
        <f>IF(OR(H456="",H456="Mixed"),1,0)</f>
        <v>0</v>
      </c>
      <c r="K456" s="7">
        <f>IF(AND(C456=0,D456=0),IF(OR(AND(I456=0,NOT(EXACT(Raw_Passengers!F456,G456))),AND(J456=0,NOT(EXACT(Raw_Passengers!G456,H456)))),1,0),0)</f>
        <v>0</v>
      </c>
      <c r="L456" s="7">
        <f>IF(AND(C456=0,D456=0,I456=1),1,0)</f>
        <v>0</v>
      </c>
      <c r="M456" s="7">
        <f>IF(AND(C456=0,D456=0,J456=1),1,0)</f>
        <v>0</v>
      </c>
    </row>
    <row r="457" spans="1:13">
      <c r="A457" s="7">
        <f>Raw_Passengers!A457</f>
        <v>151188</v>
      </c>
      <c r="B457" s="7">
        <f>Raw_Passengers!B457</f>
        <v>1074958</v>
      </c>
      <c r="C457" s="7">
        <f>IF(COUNTIF(Raw_Passengers!$A$2:A457,Raw_Passengers!A457)&gt;1,1,0)</f>
        <v>0</v>
      </c>
      <c r="D457" s="7">
        <f>IF(COUNTIF(Raw_Bookings!$A$2:$A$648,Raw_Passengers!B457)=0,1,0)</f>
        <v>0</v>
      </c>
      <c r="E457" s="7">
        <f>IF(OR(C457=1,D457=1),0,IF(NOT(ISNUMBER(Raw_Passengers!E457)),1,IF(Raw_Passengers!E457&lt;=0,1,0)))</f>
        <v>0</v>
      </c>
      <c r="F457" s="7">
        <f>IF(AND(C457=0,D457=0,TRIM(Raw_Passengers!D457&amp;"")=""),1,0)</f>
        <v>0</v>
      </c>
      <c r="G457" s="7" t="str">
        <f>IF(SUMPRODUCT(--(Lookup_Status!$A$2:$A$13=LOWER(TRIM(Raw_Passengers!F457))))=0,"",INDEX(Lookup_Status!$B$2:$B$13,SUMPRODUCT((Lookup_Status!$A$2:$A$13=LOWER(TRIM(Raw_Passengers!F457)))*(ROW(Lookup_Status!$A$2:$A$13)-1))))</f>
        <v>Confirmed</v>
      </c>
      <c r="H457" s="7" t="str">
        <f>IF(SUMPRODUCT(--(Lookup_Status!$A$2:$A$13=LOWER(TRIM(Raw_Passengers!G457))))=0,"",INDEX(Lookup_Status!$B$2:$B$13,SUMPRODUCT((Lookup_Status!$A$2:$A$13=LOWER(TRIM(Raw_Passengers!G457)))*(ROW(Lookup_Status!$A$2:$A$13)-1))))</f>
        <v>Confirmed</v>
      </c>
      <c r="I457" s="7">
        <f>IF(OR(G457="",G457="Cancelled",G457="Mixed"),1,0)</f>
        <v>0</v>
      </c>
      <c r="J457" s="7">
        <f>IF(OR(H457="",H457="Mixed"),1,0)</f>
        <v>0</v>
      </c>
      <c r="K457" s="7">
        <f>IF(AND(C457=0,D457=0),IF(OR(AND(I457=0,NOT(EXACT(Raw_Passengers!F457,G457))),AND(J457=0,NOT(EXACT(Raw_Passengers!G457,H457)))),1,0),0)</f>
        <v>0</v>
      </c>
      <c r="L457" s="7">
        <f>IF(AND(C457=0,D457=0,I457=1),1,0)</f>
        <v>0</v>
      </c>
      <c r="M457" s="7">
        <f>IF(AND(C457=0,D457=0,J457=1),1,0)</f>
        <v>0</v>
      </c>
    </row>
    <row r="458" spans="1:13">
      <c r="A458" s="7">
        <f>Raw_Passengers!A458</f>
        <v>151554</v>
      </c>
      <c r="B458" s="7">
        <f>Raw_Passengers!B458</f>
        <v>1075134</v>
      </c>
      <c r="C458" s="7">
        <f>IF(COUNTIF(Raw_Passengers!$A$2:A458,Raw_Passengers!A458)&gt;1,1,0)</f>
        <v>0</v>
      </c>
      <c r="D458" s="7">
        <f>IF(COUNTIF(Raw_Bookings!$A$2:$A$648,Raw_Passengers!B458)=0,1,0)</f>
        <v>0</v>
      </c>
      <c r="E458" s="7">
        <f>IF(OR(C458=1,D458=1),0,IF(NOT(ISNUMBER(Raw_Passengers!E458)),1,IF(Raw_Passengers!E458&lt;=0,1,0)))</f>
        <v>0</v>
      </c>
      <c r="F458" s="7">
        <f>IF(AND(C458=0,D458=0,TRIM(Raw_Passengers!D458&amp;"")=""),1,0)</f>
        <v>0</v>
      </c>
      <c r="G458" s="7" t="str">
        <f>IF(SUMPRODUCT(--(Lookup_Status!$A$2:$A$13=LOWER(TRIM(Raw_Passengers!F458))))=0,"",INDEX(Lookup_Status!$B$2:$B$13,SUMPRODUCT((Lookup_Status!$A$2:$A$13=LOWER(TRIM(Raw_Passengers!F458)))*(ROW(Lookup_Status!$A$2:$A$13)-1))))</f>
        <v>Confirmed</v>
      </c>
      <c r="H458" s="7" t="str">
        <f>IF(SUMPRODUCT(--(Lookup_Status!$A$2:$A$13=LOWER(TRIM(Raw_Passengers!G458))))=0,"",INDEX(Lookup_Status!$B$2:$B$13,SUMPRODUCT((Lookup_Status!$A$2:$A$13=LOWER(TRIM(Raw_Passengers!G458)))*(ROW(Lookup_Status!$A$2:$A$13)-1))))</f>
        <v>Confirmed</v>
      </c>
      <c r="I458" s="7">
        <f>IF(OR(G458="",G458="Cancelled",G458="Mixed"),1,0)</f>
        <v>0</v>
      </c>
      <c r="J458" s="7">
        <f>IF(OR(H458="",H458="Mixed"),1,0)</f>
        <v>0</v>
      </c>
      <c r="K458" s="7">
        <f>IF(AND(C458=0,D458=0),IF(OR(AND(I458=0,NOT(EXACT(Raw_Passengers!F458,G458))),AND(J458=0,NOT(EXACT(Raw_Passengers!G458,H458)))),1,0),0)</f>
        <v>0</v>
      </c>
      <c r="L458" s="7">
        <f>IF(AND(C458=0,D458=0,I458=1),1,0)</f>
        <v>0</v>
      </c>
      <c r="M458" s="7">
        <f>IF(AND(C458=0,D458=0,J458=1),1,0)</f>
        <v>0</v>
      </c>
    </row>
    <row r="459" spans="1:13">
      <c r="A459" s="7">
        <f>Raw_Passengers!A459</f>
        <v>152889</v>
      </c>
      <c r="B459" s="7">
        <f>Raw_Passengers!B459</f>
        <v>1075804</v>
      </c>
      <c r="C459" s="7">
        <f>IF(COUNTIF(Raw_Passengers!$A$2:A459,Raw_Passengers!A459)&gt;1,1,0)</f>
        <v>0</v>
      </c>
      <c r="D459" s="7">
        <f>IF(COUNTIF(Raw_Bookings!$A$2:$A$648,Raw_Passengers!B459)=0,1,0)</f>
        <v>0</v>
      </c>
      <c r="E459" s="7">
        <f>IF(OR(C459=1,D459=1),0,IF(NOT(ISNUMBER(Raw_Passengers!E459)),1,IF(Raw_Passengers!E459&lt;=0,1,0)))</f>
        <v>0</v>
      </c>
      <c r="F459" s="7">
        <f>IF(AND(C459=0,D459=0,TRIM(Raw_Passengers!D459&amp;"")=""),1,0)</f>
        <v>0</v>
      </c>
      <c r="G459" s="7" t="str">
        <f>IF(SUMPRODUCT(--(Lookup_Status!$A$2:$A$13=LOWER(TRIM(Raw_Passengers!F459))))=0,"",INDEX(Lookup_Status!$B$2:$B$13,SUMPRODUCT((Lookup_Status!$A$2:$A$13=LOWER(TRIM(Raw_Passengers!F459)))*(ROW(Lookup_Status!$A$2:$A$13)-1))))</f>
        <v>Confirmed</v>
      </c>
      <c r="H459" s="7" t="str">
        <f>IF(SUMPRODUCT(--(Lookup_Status!$A$2:$A$13=LOWER(TRIM(Raw_Passengers!G459))))=0,"",INDEX(Lookup_Status!$B$2:$B$13,SUMPRODUCT((Lookup_Status!$A$2:$A$13=LOWER(TRIM(Raw_Passengers!G459)))*(ROW(Lookup_Status!$A$2:$A$13)-1))))</f>
        <v>Confirmed</v>
      </c>
      <c r="I459" s="7">
        <f>IF(OR(G459="",G459="Cancelled",G459="Mixed"),1,0)</f>
        <v>0</v>
      </c>
      <c r="J459" s="7">
        <f>IF(OR(H459="",H459="Mixed"),1,0)</f>
        <v>0</v>
      </c>
      <c r="K459" s="7">
        <f>IF(AND(C459=0,D459=0),IF(OR(AND(I459=0,NOT(EXACT(Raw_Passengers!F459,G459))),AND(J459=0,NOT(EXACT(Raw_Passengers!G459,H459)))),1,0),0)</f>
        <v>0</v>
      </c>
      <c r="L459" s="7">
        <f>IF(AND(C459=0,D459=0,I459=1),1,0)</f>
        <v>0</v>
      </c>
      <c r="M459" s="7">
        <f>IF(AND(C459=0,D459=0,J459=1),1,0)</f>
        <v>0</v>
      </c>
    </row>
    <row r="460" spans="1:13">
      <c r="A460" s="7">
        <f>Raw_Passengers!A460</f>
        <v>152890</v>
      </c>
      <c r="B460" s="7">
        <f>Raw_Passengers!B460</f>
        <v>1075804</v>
      </c>
      <c r="C460" s="7">
        <f>IF(COUNTIF(Raw_Passengers!$A$2:A460,Raw_Passengers!A460)&gt;1,1,0)</f>
        <v>0</v>
      </c>
      <c r="D460" s="7">
        <f>IF(COUNTIF(Raw_Bookings!$A$2:$A$648,Raw_Passengers!B460)=0,1,0)</f>
        <v>0</v>
      </c>
      <c r="E460" s="7">
        <f>IF(OR(C460=1,D460=1),0,IF(NOT(ISNUMBER(Raw_Passengers!E460)),1,IF(Raw_Passengers!E460&lt;=0,1,0)))</f>
        <v>0</v>
      </c>
      <c r="F460" s="7">
        <f>IF(AND(C460=0,D460=0,TRIM(Raw_Passengers!D460&amp;"")=""),1,0)</f>
        <v>0</v>
      </c>
      <c r="G460" s="7" t="str">
        <f>IF(SUMPRODUCT(--(Lookup_Status!$A$2:$A$13=LOWER(TRIM(Raw_Passengers!F460))))=0,"",INDEX(Lookup_Status!$B$2:$B$13,SUMPRODUCT((Lookup_Status!$A$2:$A$13=LOWER(TRIM(Raw_Passengers!F460)))*(ROW(Lookup_Status!$A$2:$A$13)-1))))</f>
        <v>Confirmed</v>
      </c>
      <c r="H460" s="7" t="str">
        <f>IF(SUMPRODUCT(--(Lookup_Status!$A$2:$A$13=LOWER(TRIM(Raw_Passengers!G460))))=0,"",INDEX(Lookup_Status!$B$2:$B$13,SUMPRODUCT((Lookup_Status!$A$2:$A$13=LOWER(TRIM(Raw_Passengers!G460)))*(ROW(Lookup_Status!$A$2:$A$13)-1))))</f>
        <v>Confirmed</v>
      </c>
      <c r="I460" s="7">
        <f>IF(OR(G460="",G460="Cancelled",G460="Mixed"),1,0)</f>
        <v>0</v>
      </c>
      <c r="J460" s="7">
        <f>IF(OR(H460="",H460="Mixed"),1,0)</f>
        <v>0</v>
      </c>
      <c r="K460" s="7">
        <f>IF(AND(C460=0,D460=0),IF(OR(AND(I460=0,NOT(EXACT(Raw_Passengers!F460,G460))),AND(J460=0,NOT(EXACT(Raw_Passengers!G460,H460)))),1,0),0)</f>
        <v>0</v>
      </c>
      <c r="L460" s="7">
        <f>IF(AND(C460=0,D460=0,I460=1),1,0)</f>
        <v>0</v>
      </c>
      <c r="M460" s="7">
        <f>IF(AND(C460=0,D460=0,J460=1),1,0)</f>
        <v>0</v>
      </c>
    </row>
    <row r="461" spans="1:13">
      <c r="A461" s="7">
        <f>Raw_Passengers!A461</f>
        <v>153598</v>
      </c>
      <c r="B461" s="7">
        <f>Raw_Passengers!B461</f>
        <v>1076154</v>
      </c>
      <c r="C461" s="7">
        <f>IF(COUNTIF(Raw_Passengers!$A$2:A461,Raw_Passengers!A461)&gt;1,1,0)</f>
        <v>0</v>
      </c>
      <c r="D461" s="7">
        <f>IF(COUNTIF(Raw_Bookings!$A$2:$A$648,Raw_Passengers!B461)=0,1,0)</f>
        <v>0</v>
      </c>
      <c r="E461" s="7">
        <f>IF(OR(C461=1,D461=1),0,IF(NOT(ISNUMBER(Raw_Passengers!E461)),1,IF(Raw_Passengers!E461&lt;=0,1,0)))</f>
        <v>0</v>
      </c>
      <c r="F461" s="7">
        <f>IF(AND(C461=0,D461=0,TRIM(Raw_Passengers!D461&amp;"")=""),1,0)</f>
        <v>0</v>
      </c>
      <c r="G461" s="7" t="str">
        <f>IF(SUMPRODUCT(--(Lookup_Status!$A$2:$A$13=LOWER(TRIM(Raw_Passengers!F461))))=0,"",INDEX(Lookup_Status!$B$2:$B$13,SUMPRODUCT((Lookup_Status!$A$2:$A$13=LOWER(TRIM(Raw_Passengers!F461)))*(ROW(Lookup_Status!$A$2:$A$13)-1))))</f>
        <v>Waitlisted</v>
      </c>
      <c r="H461" s="7" t="str">
        <f>IF(SUMPRODUCT(--(Lookup_Status!$A$2:$A$13=LOWER(TRIM(Raw_Passengers!G461))))=0,"",INDEX(Lookup_Status!$B$2:$B$13,SUMPRODUCT((Lookup_Status!$A$2:$A$13=LOWER(TRIM(Raw_Passengers!G461)))*(ROW(Lookup_Status!$A$2:$A$13)-1))))</f>
        <v>Waitlisted</v>
      </c>
      <c r="I461" s="7">
        <f>IF(OR(G461="",G461="Cancelled",G461="Mixed"),1,0)</f>
        <v>0</v>
      </c>
      <c r="J461" s="7">
        <f>IF(OR(H461="",H461="Mixed"),1,0)</f>
        <v>0</v>
      </c>
      <c r="K461" s="7">
        <f>IF(AND(C461=0,D461=0),IF(OR(AND(I461=0,NOT(EXACT(Raw_Passengers!F461,G461))),AND(J461=0,NOT(EXACT(Raw_Passengers!G461,H461)))),1,0),0)</f>
        <v>0</v>
      </c>
      <c r="L461" s="7">
        <f>IF(AND(C461=0,D461=0,I461=1),1,0)</f>
        <v>0</v>
      </c>
      <c r="M461" s="7">
        <f>IF(AND(C461=0,D461=0,J461=1),1,0)</f>
        <v>0</v>
      </c>
    </row>
    <row r="462" spans="1:13">
      <c r="A462" s="7">
        <f>Raw_Passengers!A462</f>
        <v>154292</v>
      </c>
      <c r="B462" s="7">
        <f>Raw_Passengers!B462</f>
        <v>1076507</v>
      </c>
      <c r="C462" s="7">
        <f>IF(COUNTIF(Raw_Passengers!$A$2:A462,Raw_Passengers!A462)&gt;1,1,0)</f>
        <v>0</v>
      </c>
      <c r="D462" s="7">
        <f>IF(COUNTIF(Raw_Bookings!$A$2:$A$648,Raw_Passengers!B462)=0,1,0)</f>
        <v>0</v>
      </c>
      <c r="E462" s="7">
        <f>IF(OR(C462=1,D462=1),0,IF(NOT(ISNUMBER(Raw_Passengers!E462)),1,IF(Raw_Passengers!E462&lt;=0,1,0)))</f>
        <v>0</v>
      </c>
      <c r="F462" s="7">
        <f>IF(AND(C462=0,D462=0,TRIM(Raw_Passengers!D462&amp;"")=""),1,0)</f>
        <v>0</v>
      </c>
      <c r="G462" s="7" t="str">
        <f>IF(SUMPRODUCT(--(Lookup_Status!$A$2:$A$13=LOWER(TRIM(Raw_Passengers!F462))))=0,"",INDEX(Lookup_Status!$B$2:$B$13,SUMPRODUCT((Lookup_Status!$A$2:$A$13=LOWER(TRIM(Raw_Passengers!F462)))*(ROW(Lookup_Status!$A$2:$A$13)-1))))</f>
        <v>RAC</v>
      </c>
      <c r="H462" s="7" t="str">
        <f>IF(SUMPRODUCT(--(Lookup_Status!$A$2:$A$13=LOWER(TRIM(Raw_Passengers!G462))))=0,"",INDEX(Lookup_Status!$B$2:$B$13,SUMPRODUCT((Lookup_Status!$A$2:$A$13=LOWER(TRIM(Raw_Passengers!G462)))*(ROW(Lookup_Status!$A$2:$A$13)-1))))</f>
        <v>RAC</v>
      </c>
      <c r="I462" s="7">
        <f>IF(OR(G462="",G462="Cancelled",G462="Mixed"),1,0)</f>
        <v>0</v>
      </c>
      <c r="J462" s="7">
        <f>IF(OR(H462="",H462="Mixed"),1,0)</f>
        <v>0</v>
      </c>
      <c r="K462" s="7">
        <f>IF(AND(C462=0,D462=0),IF(OR(AND(I462=0,NOT(EXACT(Raw_Passengers!F462,G462))),AND(J462=0,NOT(EXACT(Raw_Passengers!G462,H462)))),1,0),0)</f>
        <v>0</v>
      </c>
      <c r="L462" s="7">
        <f>IF(AND(C462=0,D462=0,I462=1),1,0)</f>
        <v>0</v>
      </c>
      <c r="M462" s="7">
        <f>IF(AND(C462=0,D462=0,J462=1),1,0)</f>
        <v>0</v>
      </c>
    </row>
    <row r="463" spans="1:13">
      <c r="A463" s="7">
        <f>Raw_Passengers!A463</f>
        <v>154293</v>
      </c>
      <c r="B463" s="7">
        <f>Raw_Passengers!B463</f>
        <v>1076507</v>
      </c>
      <c r="C463" s="7">
        <f>IF(COUNTIF(Raw_Passengers!$A$2:A463,Raw_Passengers!A463)&gt;1,1,0)</f>
        <v>0</v>
      </c>
      <c r="D463" s="7">
        <f>IF(COUNTIF(Raw_Bookings!$A$2:$A$648,Raw_Passengers!B463)=0,1,0)</f>
        <v>0</v>
      </c>
      <c r="E463" s="7">
        <f>IF(OR(C463=1,D463=1),0,IF(NOT(ISNUMBER(Raw_Passengers!E463)),1,IF(Raw_Passengers!E463&lt;=0,1,0)))</f>
        <v>0</v>
      </c>
      <c r="F463" s="7">
        <f>IF(AND(C463=0,D463=0,TRIM(Raw_Passengers!D463&amp;"")=""),1,0)</f>
        <v>0</v>
      </c>
      <c r="G463" s="7" t="str">
        <f>IF(SUMPRODUCT(--(Lookup_Status!$A$2:$A$13=LOWER(TRIM(Raw_Passengers!F463))))=0,"",INDEX(Lookup_Status!$B$2:$B$13,SUMPRODUCT((Lookup_Status!$A$2:$A$13=LOWER(TRIM(Raw_Passengers!F463)))*(ROW(Lookup_Status!$A$2:$A$13)-1))))</f>
        <v>RAC</v>
      </c>
      <c r="H463" s="7" t="str">
        <f>IF(SUMPRODUCT(--(Lookup_Status!$A$2:$A$13=LOWER(TRIM(Raw_Passengers!G463))))=0,"",INDEX(Lookup_Status!$B$2:$B$13,SUMPRODUCT((Lookup_Status!$A$2:$A$13=LOWER(TRIM(Raw_Passengers!G463)))*(ROW(Lookup_Status!$A$2:$A$13)-1))))</f>
        <v>RAC</v>
      </c>
      <c r="I463" s="7">
        <f>IF(OR(G463="",G463="Cancelled",G463="Mixed"),1,0)</f>
        <v>0</v>
      </c>
      <c r="J463" s="7">
        <f>IF(OR(H463="",H463="Mixed"),1,0)</f>
        <v>0</v>
      </c>
      <c r="K463" s="7">
        <f>IF(AND(C463=0,D463=0),IF(OR(AND(I463=0,NOT(EXACT(Raw_Passengers!F463,G463))),AND(J463=0,NOT(EXACT(Raw_Passengers!G463,H463)))),1,0),0)</f>
        <v>0</v>
      </c>
      <c r="L463" s="7">
        <f>IF(AND(C463=0,D463=0,I463=1),1,0)</f>
        <v>0</v>
      </c>
      <c r="M463" s="7">
        <f>IF(AND(C463=0,D463=0,J463=1),1,0)</f>
        <v>0</v>
      </c>
    </row>
    <row r="464" spans="1:13">
      <c r="A464" s="7">
        <f>Raw_Passengers!A464</f>
        <v>154294</v>
      </c>
      <c r="B464" s="7">
        <f>Raw_Passengers!B464</f>
        <v>1076507</v>
      </c>
      <c r="C464" s="7">
        <f>IF(COUNTIF(Raw_Passengers!$A$2:A464,Raw_Passengers!A464)&gt;1,1,0)</f>
        <v>0</v>
      </c>
      <c r="D464" s="7">
        <f>IF(COUNTIF(Raw_Bookings!$A$2:$A$648,Raw_Passengers!B464)=0,1,0)</f>
        <v>0</v>
      </c>
      <c r="E464" s="7">
        <f>IF(OR(C464=1,D464=1),0,IF(NOT(ISNUMBER(Raw_Passengers!E464)),1,IF(Raw_Passengers!E464&lt;=0,1,0)))</f>
        <v>0</v>
      </c>
      <c r="F464" s="7">
        <f>IF(AND(C464=0,D464=0,TRIM(Raw_Passengers!D464&amp;"")=""),1,0)</f>
        <v>0</v>
      </c>
      <c r="G464" s="7" t="str">
        <f>IF(SUMPRODUCT(--(Lookup_Status!$A$2:$A$13=LOWER(TRIM(Raw_Passengers!F464))))=0,"",INDEX(Lookup_Status!$B$2:$B$13,SUMPRODUCT((Lookup_Status!$A$2:$A$13=LOWER(TRIM(Raw_Passengers!F464)))*(ROW(Lookup_Status!$A$2:$A$13)-1))))</f>
        <v>RAC</v>
      </c>
      <c r="H464" s="7" t="str">
        <f>IF(SUMPRODUCT(--(Lookup_Status!$A$2:$A$13=LOWER(TRIM(Raw_Passengers!G464))))=0,"",INDEX(Lookup_Status!$B$2:$B$13,SUMPRODUCT((Lookup_Status!$A$2:$A$13=LOWER(TRIM(Raw_Passengers!G464)))*(ROW(Lookup_Status!$A$2:$A$13)-1))))</f>
        <v>RAC</v>
      </c>
      <c r="I464" s="7">
        <f>IF(OR(G464="",G464="Cancelled",G464="Mixed"),1,0)</f>
        <v>0</v>
      </c>
      <c r="J464" s="7">
        <f>IF(OR(H464="",H464="Mixed"),1,0)</f>
        <v>0</v>
      </c>
      <c r="K464" s="7">
        <f>IF(AND(C464=0,D464=0),IF(OR(AND(I464=0,NOT(EXACT(Raw_Passengers!F464,G464))),AND(J464=0,NOT(EXACT(Raw_Passengers!G464,H464)))),1,0),0)</f>
        <v>0</v>
      </c>
      <c r="L464" s="7">
        <f>IF(AND(C464=0,D464=0,I464=1),1,0)</f>
        <v>0</v>
      </c>
      <c r="M464" s="7">
        <f>IF(AND(C464=0,D464=0,J464=1),1,0)</f>
        <v>0</v>
      </c>
    </row>
    <row r="465" spans="1:13">
      <c r="A465" s="7">
        <f>Raw_Passengers!A465</f>
        <v>154611</v>
      </c>
      <c r="B465" s="7">
        <f>Raw_Passengers!B465</f>
        <v>1076665</v>
      </c>
      <c r="C465" s="7">
        <f>IF(COUNTIF(Raw_Passengers!$A$2:A465,Raw_Passengers!A465)&gt;1,1,0)</f>
        <v>0</v>
      </c>
      <c r="D465" s="7">
        <f>IF(COUNTIF(Raw_Bookings!$A$2:$A$648,Raw_Passengers!B465)=0,1,0)</f>
        <v>0</v>
      </c>
      <c r="E465" s="7">
        <f>IF(OR(C465=1,D465=1),0,IF(NOT(ISNUMBER(Raw_Passengers!E465)),1,IF(Raw_Passengers!E465&lt;=0,1,0)))</f>
        <v>0</v>
      </c>
      <c r="F465" s="7">
        <f>IF(AND(C465=0,D465=0,TRIM(Raw_Passengers!D465&amp;"")=""),1,0)</f>
        <v>0</v>
      </c>
      <c r="G465" s="7" t="str">
        <f>IF(SUMPRODUCT(--(Lookup_Status!$A$2:$A$13=LOWER(TRIM(Raw_Passengers!F465))))=0,"",INDEX(Lookup_Status!$B$2:$B$13,SUMPRODUCT((Lookup_Status!$A$2:$A$13=LOWER(TRIM(Raw_Passengers!F465)))*(ROW(Lookup_Status!$A$2:$A$13)-1))))</f>
        <v>Waitlisted</v>
      </c>
      <c r="H465" s="7">
        <f>IF(SUMPRODUCT(--(Lookup_Status!$A$2:$A$13=LOWER(TRIM(Raw_Passengers!G465))))=0,"",INDEX(Lookup_Status!$B$2:$B$13,SUMPRODUCT((Lookup_Status!$A$2:$A$13=LOWER(TRIM(Raw_Passengers!G465)))*(ROW(Lookup_Status!$A$2:$A$13)-1))))</f>
        <v/>
      </c>
      <c r="I465" s="7">
        <f>IF(OR(G465="",G465="Cancelled",G465="Mixed"),1,0)</f>
        <v>0</v>
      </c>
      <c r="J465" s="7">
        <f>IF(OR(H465="",H465="Mixed"),1,0)</f>
        <v>1</v>
      </c>
      <c r="K465" s="7">
        <f>IF(AND(C465=0,D465=0),IF(OR(AND(I465=0,NOT(EXACT(Raw_Passengers!F465,G465))),AND(J465=0,NOT(EXACT(Raw_Passengers!G465,H465)))),1,0),0)</f>
        <v>0</v>
      </c>
      <c r="L465" s="7">
        <f>IF(AND(C465=0,D465=0,I465=1),1,0)</f>
        <v>0</v>
      </c>
      <c r="M465" s="7">
        <f>IF(AND(C465=0,D465=0,J465=1),1,0)</f>
        <v>1</v>
      </c>
    </row>
    <row r="466" spans="1:13">
      <c r="A466" s="7">
        <f>Raw_Passengers!A466</f>
        <v>154612</v>
      </c>
      <c r="B466" s="7">
        <f>Raw_Passengers!B466</f>
        <v>1076665</v>
      </c>
      <c r="C466" s="7">
        <f>IF(COUNTIF(Raw_Passengers!$A$2:A466,Raw_Passengers!A466)&gt;1,1,0)</f>
        <v>0</v>
      </c>
      <c r="D466" s="7">
        <f>IF(COUNTIF(Raw_Bookings!$A$2:$A$648,Raw_Passengers!B466)=0,1,0)</f>
        <v>0</v>
      </c>
      <c r="E466" s="7">
        <f>IF(OR(C466=1,D466=1),0,IF(NOT(ISNUMBER(Raw_Passengers!E466)),1,IF(Raw_Passengers!E466&lt;=0,1,0)))</f>
        <v>0</v>
      </c>
      <c r="F466" s="7">
        <f>IF(AND(C466=0,D466=0,TRIM(Raw_Passengers!D466&amp;"")=""),1,0)</f>
        <v>0</v>
      </c>
      <c r="G466" s="7" t="str">
        <f>IF(SUMPRODUCT(--(Lookup_Status!$A$2:$A$13=LOWER(TRIM(Raw_Passengers!F466))))=0,"",INDEX(Lookup_Status!$B$2:$B$13,SUMPRODUCT((Lookup_Status!$A$2:$A$13=LOWER(TRIM(Raw_Passengers!F466)))*(ROW(Lookup_Status!$A$2:$A$13)-1))))</f>
        <v>Waitlisted</v>
      </c>
      <c r="H466" s="7" t="str">
        <f>IF(SUMPRODUCT(--(Lookup_Status!$A$2:$A$13=LOWER(TRIM(Raw_Passengers!G466))))=0,"",INDEX(Lookup_Status!$B$2:$B$13,SUMPRODUCT((Lookup_Status!$A$2:$A$13=LOWER(TRIM(Raw_Passengers!G466)))*(ROW(Lookup_Status!$A$2:$A$13)-1))))</f>
        <v>Waitlisted</v>
      </c>
      <c r="I466" s="7">
        <f>IF(OR(G466="",G466="Cancelled",G466="Mixed"),1,0)</f>
        <v>0</v>
      </c>
      <c r="J466" s="7">
        <f>IF(OR(H466="",H466="Mixed"),1,0)</f>
        <v>0</v>
      </c>
      <c r="K466" s="7">
        <f>IF(AND(C466=0,D466=0),IF(OR(AND(I466=0,NOT(EXACT(Raw_Passengers!F466,G466))),AND(J466=0,NOT(EXACT(Raw_Passengers!G466,H466)))),1,0),0)</f>
        <v>0</v>
      </c>
      <c r="L466" s="7">
        <f>IF(AND(C466=0,D466=0,I466=1),1,0)</f>
        <v>0</v>
      </c>
      <c r="M466" s="7">
        <f>IF(AND(C466=0,D466=0,J466=1),1,0)</f>
        <v>0</v>
      </c>
    </row>
    <row r="467" spans="1:13">
      <c r="A467" s="7">
        <f>Raw_Passengers!A467</f>
        <v>154902</v>
      </c>
      <c r="B467" s="7">
        <f>Raw_Passengers!B467</f>
        <v>1076797</v>
      </c>
      <c r="C467" s="7">
        <f>IF(COUNTIF(Raw_Passengers!$A$2:A467,Raw_Passengers!A467)&gt;1,1,0)</f>
        <v>0</v>
      </c>
      <c r="D467" s="7">
        <f>IF(COUNTIF(Raw_Bookings!$A$2:$A$648,Raw_Passengers!B467)=0,1,0)</f>
        <v>0</v>
      </c>
      <c r="E467" s="7">
        <f>IF(OR(C467=1,D467=1),0,IF(NOT(ISNUMBER(Raw_Passengers!E467)),1,IF(Raw_Passengers!E467&lt;=0,1,0)))</f>
        <v>0</v>
      </c>
      <c r="F467" s="7">
        <f>IF(AND(C467=0,D467=0,TRIM(Raw_Passengers!D467&amp;"")=""),1,0)</f>
        <v>0</v>
      </c>
      <c r="G467" s="7" t="str">
        <f>IF(SUMPRODUCT(--(Lookup_Status!$A$2:$A$13=LOWER(TRIM(Raw_Passengers!F467))))=0,"",INDEX(Lookup_Status!$B$2:$B$13,SUMPRODUCT((Lookup_Status!$A$2:$A$13=LOWER(TRIM(Raw_Passengers!F467)))*(ROW(Lookup_Status!$A$2:$A$13)-1))))</f>
        <v>RAC</v>
      </c>
      <c r="H467" s="7" t="str">
        <f>IF(SUMPRODUCT(--(Lookup_Status!$A$2:$A$13=LOWER(TRIM(Raw_Passengers!G467))))=0,"",INDEX(Lookup_Status!$B$2:$B$13,SUMPRODUCT((Lookup_Status!$A$2:$A$13=LOWER(TRIM(Raw_Passengers!G467)))*(ROW(Lookup_Status!$A$2:$A$13)-1))))</f>
        <v>RAC</v>
      </c>
      <c r="I467" s="7">
        <f>IF(OR(G467="",G467="Cancelled",G467="Mixed"),1,0)</f>
        <v>0</v>
      </c>
      <c r="J467" s="7">
        <f>IF(OR(H467="",H467="Mixed"),1,0)</f>
        <v>0</v>
      </c>
      <c r="K467" s="7">
        <f>IF(AND(C467=0,D467=0),IF(OR(AND(I467=0,NOT(EXACT(Raw_Passengers!F467,G467))),AND(J467=0,NOT(EXACT(Raw_Passengers!G467,H467)))),1,0),0)</f>
        <v>0</v>
      </c>
      <c r="L467" s="7">
        <f>IF(AND(C467=0,D467=0,I467=1),1,0)</f>
        <v>0</v>
      </c>
      <c r="M467" s="7">
        <f>IF(AND(C467=0,D467=0,J467=1),1,0)</f>
        <v>0</v>
      </c>
    </row>
    <row r="468" spans="1:13">
      <c r="A468" s="7">
        <f>Raw_Passengers!A468</f>
        <v>155127</v>
      </c>
      <c r="B468" s="7">
        <f>Raw_Passengers!B468</f>
        <v>1076911</v>
      </c>
      <c r="C468" s="7">
        <f>IF(COUNTIF(Raw_Passengers!$A$2:A468,Raw_Passengers!A468)&gt;1,1,0)</f>
        <v>0</v>
      </c>
      <c r="D468" s="7">
        <f>IF(COUNTIF(Raw_Bookings!$A$2:$A$648,Raw_Passengers!B468)=0,1,0)</f>
        <v>0</v>
      </c>
      <c r="E468" s="7">
        <f>IF(OR(C468=1,D468=1),0,IF(NOT(ISNUMBER(Raw_Passengers!E468)),1,IF(Raw_Passengers!E468&lt;=0,1,0)))</f>
        <v>0</v>
      </c>
      <c r="F468" s="7">
        <f>IF(AND(C468=0,D468=0,TRIM(Raw_Passengers!D468&amp;"")=""),1,0)</f>
        <v>0</v>
      </c>
      <c r="G468" s="7" t="str">
        <f>IF(SUMPRODUCT(--(Lookup_Status!$A$2:$A$13=LOWER(TRIM(Raw_Passengers!F468))))=0,"",INDEX(Lookup_Status!$B$2:$B$13,SUMPRODUCT((Lookup_Status!$A$2:$A$13=LOWER(TRIM(Raw_Passengers!F468)))*(ROW(Lookup_Status!$A$2:$A$13)-1))))</f>
        <v>Confirmed</v>
      </c>
      <c r="H468" s="7" t="str">
        <f>IF(SUMPRODUCT(--(Lookup_Status!$A$2:$A$13=LOWER(TRIM(Raw_Passengers!G468))))=0,"",INDEX(Lookup_Status!$B$2:$B$13,SUMPRODUCT((Lookup_Status!$A$2:$A$13=LOWER(TRIM(Raw_Passengers!G468)))*(ROW(Lookup_Status!$A$2:$A$13)-1))))</f>
        <v>Confirmed</v>
      </c>
      <c r="I468" s="7">
        <f>IF(OR(G468="",G468="Cancelled",G468="Mixed"),1,0)</f>
        <v>0</v>
      </c>
      <c r="J468" s="7">
        <f>IF(OR(H468="",H468="Mixed"),1,0)</f>
        <v>0</v>
      </c>
      <c r="K468" s="7">
        <f>IF(AND(C468=0,D468=0),IF(OR(AND(I468=0,NOT(EXACT(Raw_Passengers!F468,G468))),AND(J468=0,NOT(EXACT(Raw_Passengers!G468,H468)))),1,0),0)</f>
        <v>0</v>
      </c>
      <c r="L468" s="7">
        <f>IF(AND(C468=0,D468=0,I468=1),1,0)</f>
        <v>0</v>
      </c>
      <c r="M468" s="7">
        <f>IF(AND(C468=0,D468=0,J468=1),1,0)</f>
        <v>0</v>
      </c>
    </row>
    <row r="469" spans="1:13">
      <c r="A469" s="7">
        <f>Raw_Passengers!A469</f>
        <v>155128</v>
      </c>
      <c r="B469" s="7">
        <f>Raw_Passengers!B469</f>
        <v>1076911</v>
      </c>
      <c r="C469" s="7">
        <f>IF(COUNTIF(Raw_Passengers!$A$2:A469,Raw_Passengers!A469)&gt;1,1,0)</f>
        <v>0</v>
      </c>
      <c r="D469" s="7">
        <f>IF(COUNTIF(Raw_Bookings!$A$2:$A$648,Raw_Passengers!B469)=0,1,0)</f>
        <v>0</v>
      </c>
      <c r="E469" s="7">
        <f>IF(OR(C469=1,D469=1),0,IF(NOT(ISNUMBER(Raw_Passengers!E469)),1,IF(Raw_Passengers!E469&lt;=0,1,0)))</f>
        <v>0</v>
      </c>
      <c r="F469" s="7">
        <f>IF(AND(C469=0,D469=0,TRIM(Raw_Passengers!D469&amp;"")=""),1,0)</f>
        <v>0</v>
      </c>
      <c r="G469" s="7" t="str">
        <f>IF(SUMPRODUCT(--(Lookup_Status!$A$2:$A$13=LOWER(TRIM(Raw_Passengers!F469))))=0,"",INDEX(Lookup_Status!$B$2:$B$13,SUMPRODUCT((Lookup_Status!$A$2:$A$13=LOWER(TRIM(Raw_Passengers!F469)))*(ROW(Lookup_Status!$A$2:$A$13)-1))))</f>
        <v>Confirmed</v>
      </c>
      <c r="H469" s="7" t="str">
        <f>IF(SUMPRODUCT(--(Lookup_Status!$A$2:$A$13=LOWER(TRIM(Raw_Passengers!G469))))=0,"",INDEX(Lookup_Status!$B$2:$B$13,SUMPRODUCT((Lookup_Status!$A$2:$A$13=LOWER(TRIM(Raw_Passengers!G469)))*(ROW(Lookup_Status!$A$2:$A$13)-1))))</f>
        <v>Confirmed</v>
      </c>
      <c r="I469" s="7">
        <f>IF(OR(G469="",G469="Cancelled",G469="Mixed"),1,0)</f>
        <v>0</v>
      </c>
      <c r="J469" s="7">
        <f>IF(OR(H469="",H469="Mixed"),1,0)</f>
        <v>0</v>
      </c>
      <c r="K469" s="7">
        <f>IF(AND(C469=0,D469=0),IF(OR(AND(I469=0,NOT(EXACT(Raw_Passengers!F469,G469))),AND(J469=0,NOT(EXACT(Raw_Passengers!G469,H469)))),1,0),0)</f>
        <v>0</v>
      </c>
      <c r="L469" s="7">
        <f>IF(AND(C469=0,D469=0,I469=1),1,0)</f>
        <v>0</v>
      </c>
      <c r="M469" s="7">
        <f>IF(AND(C469=0,D469=0,J469=1),1,0)</f>
        <v>0</v>
      </c>
    </row>
    <row r="470" spans="1:13">
      <c r="A470" s="7">
        <f>Raw_Passengers!A470</f>
        <v>157082</v>
      </c>
      <c r="B470" s="7">
        <f>Raw_Passengers!B470</f>
        <v>1077889</v>
      </c>
      <c r="C470" s="7">
        <f>IF(COUNTIF(Raw_Passengers!$A$2:A470,Raw_Passengers!A470)&gt;1,1,0)</f>
        <v>0</v>
      </c>
      <c r="D470" s="7">
        <f>IF(COUNTIF(Raw_Bookings!$A$2:$A$648,Raw_Passengers!B470)=0,1,0)</f>
        <v>0</v>
      </c>
      <c r="E470" s="7">
        <f>IF(OR(C470=1,D470=1),0,IF(NOT(ISNUMBER(Raw_Passengers!E470)),1,IF(Raw_Passengers!E470&lt;=0,1,0)))</f>
        <v>0</v>
      </c>
      <c r="F470" s="7">
        <f>IF(AND(C470=0,D470=0,TRIM(Raw_Passengers!D470&amp;"")=""),1,0)</f>
        <v>0</v>
      </c>
      <c r="G470" s="7" t="str">
        <f>IF(SUMPRODUCT(--(Lookup_Status!$A$2:$A$13=LOWER(TRIM(Raw_Passengers!F470))))=0,"",INDEX(Lookup_Status!$B$2:$B$13,SUMPRODUCT((Lookup_Status!$A$2:$A$13=LOWER(TRIM(Raw_Passengers!F470)))*(ROW(Lookup_Status!$A$2:$A$13)-1))))</f>
        <v>Confirmed</v>
      </c>
      <c r="H470" s="7" t="str">
        <f>IF(SUMPRODUCT(--(Lookup_Status!$A$2:$A$13=LOWER(TRIM(Raw_Passengers!G470))))=0,"",INDEX(Lookup_Status!$B$2:$B$13,SUMPRODUCT((Lookup_Status!$A$2:$A$13=LOWER(TRIM(Raw_Passengers!G470)))*(ROW(Lookup_Status!$A$2:$A$13)-1))))</f>
        <v>Confirmed</v>
      </c>
      <c r="I470" s="7">
        <f>IF(OR(G470="",G470="Cancelled",G470="Mixed"),1,0)</f>
        <v>0</v>
      </c>
      <c r="J470" s="7">
        <f>IF(OR(H470="",H470="Mixed"),1,0)</f>
        <v>0</v>
      </c>
      <c r="K470" s="7">
        <f>IF(AND(C470=0,D470=0),IF(OR(AND(I470=0,NOT(EXACT(Raw_Passengers!F470,G470))),AND(J470=0,NOT(EXACT(Raw_Passengers!G470,H470)))),1,0),0)</f>
        <v>0</v>
      </c>
      <c r="L470" s="7">
        <f>IF(AND(C470=0,D470=0,I470=1),1,0)</f>
        <v>0</v>
      </c>
      <c r="M470" s="7">
        <f>IF(AND(C470=0,D470=0,J470=1),1,0)</f>
        <v>0</v>
      </c>
    </row>
    <row r="471" spans="1:13">
      <c r="A471" s="7">
        <f>Raw_Passengers!A471</f>
        <v>157083</v>
      </c>
      <c r="B471" s="7">
        <f>Raw_Passengers!B471</f>
        <v>1077889</v>
      </c>
      <c r="C471" s="7">
        <f>IF(COUNTIF(Raw_Passengers!$A$2:A471,Raw_Passengers!A471)&gt;1,1,0)</f>
        <v>0</v>
      </c>
      <c r="D471" s="7">
        <f>IF(COUNTIF(Raw_Bookings!$A$2:$A$648,Raw_Passengers!B471)=0,1,0)</f>
        <v>0</v>
      </c>
      <c r="E471" s="7">
        <f>IF(OR(C471=1,D471=1),0,IF(NOT(ISNUMBER(Raw_Passengers!E471)),1,IF(Raw_Passengers!E471&lt;=0,1,0)))</f>
        <v>0</v>
      </c>
      <c r="F471" s="7">
        <f>IF(AND(C471=0,D471=0,TRIM(Raw_Passengers!D471&amp;"")=""),1,0)</f>
        <v>0</v>
      </c>
      <c r="G471" s="7" t="str">
        <f>IF(SUMPRODUCT(--(Lookup_Status!$A$2:$A$13=LOWER(TRIM(Raw_Passengers!F471))))=0,"",INDEX(Lookup_Status!$B$2:$B$13,SUMPRODUCT((Lookup_Status!$A$2:$A$13=LOWER(TRIM(Raw_Passengers!F471)))*(ROW(Lookup_Status!$A$2:$A$13)-1))))</f>
        <v>Confirmed</v>
      </c>
      <c r="H471" s="7" t="str">
        <f>IF(SUMPRODUCT(--(Lookup_Status!$A$2:$A$13=LOWER(TRIM(Raw_Passengers!G471))))=0,"",INDEX(Lookup_Status!$B$2:$B$13,SUMPRODUCT((Lookup_Status!$A$2:$A$13=LOWER(TRIM(Raw_Passengers!G471)))*(ROW(Lookup_Status!$A$2:$A$13)-1))))</f>
        <v>Confirmed</v>
      </c>
      <c r="I471" s="7">
        <f>IF(OR(G471="",G471="Cancelled",G471="Mixed"),1,0)</f>
        <v>0</v>
      </c>
      <c r="J471" s="7">
        <f>IF(OR(H471="",H471="Mixed"),1,0)</f>
        <v>0</v>
      </c>
      <c r="K471" s="7">
        <f>IF(AND(C471=0,D471=0),IF(OR(AND(I471=0,NOT(EXACT(Raw_Passengers!F471,G471))),AND(J471=0,NOT(EXACT(Raw_Passengers!G471,H471)))),1,0),0)</f>
        <v>0</v>
      </c>
      <c r="L471" s="7">
        <f>IF(AND(C471=0,D471=0,I471=1),1,0)</f>
        <v>0</v>
      </c>
      <c r="M471" s="7">
        <f>IF(AND(C471=0,D471=0,J471=1),1,0)</f>
        <v>0</v>
      </c>
    </row>
    <row r="472" spans="1:13">
      <c r="A472" s="7">
        <f>Raw_Passengers!A472</f>
        <v>157084</v>
      </c>
      <c r="B472" s="7">
        <f>Raw_Passengers!B472</f>
        <v>1077889</v>
      </c>
      <c r="C472" s="7">
        <f>IF(COUNTIF(Raw_Passengers!$A$2:A472,Raw_Passengers!A472)&gt;1,1,0)</f>
        <v>0</v>
      </c>
      <c r="D472" s="7">
        <f>IF(COUNTIF(Raw_Bookings!$A$2:$A$648,Raw_Passengers!B472)=0,1,0)</f>
        <v>0</v>
      </c>
      <c r="E472" s="7">
        <f>IF(OR(C472=1,D472=1),0,IF(NOT(ISNUMBER(Raw_Passengers!E472)),1,IF(Raw_Passengers!E472&lt;=0,1,0)))</f>
        <v>0</v>
      </c>
      <c r="F472" s="7">
        <f>IF(AND(C472=0,D472=0,TRIM(Raw_Passengers!D472&amp;"")=""),1,0)</f>
        <v>0</v>
      </c>
      <c r="G472" s="7" t="str">
        <f>IF(SUMPRODUCT(--(Lookup_Status!$A$2:$A$13=LOWER(TRIM(Raw_Passengers!F472))))=0,"",INDEX(Lookup_Status!$B$2:$B$13,SUMPRODUCT((Lookup_Status!$A$2:$A$13=LOWER(TRIM(Raw_Passengers!F472)))*(ROW(Lookup_Status!$A$2:$A$13)-1))))</f>
        <v>Confirmed</v>
      </c>
      <c r="H472" s="7" t="str">
        <f>IF(SUMPRODUCT(--(Lookup_Status!$A$2:$A$13=LOWER(TRIM(Raw_Passengers!G472))))=0,"",INDEX(Lookup_Status!$B$2:$B$13,SUMPRODUCT((Lookup_Status!$A$2:$A$13=LOWER(TRIM(Raw_Passengers!G472)))*(ROW(Lookup_Status!$A$2:$A$13)-1))))</f>
        <v>Confirmed</v>
      </c>
      <c r="I472" s="7">
        <f>IF(OR(G472="",G472="Cancelled",G472="Mixed"),1,0)</f>
        <v>0</v>
      </c>
      <c r="J472" s="7">
        <f>IF(OR(H472="",H472="Mixed"),1,0)</f>
        <v>0</v>
      </c>
      <c r="K472" s="7">
        <f>IF(AND(C472=0,D472=0),IF(OR(AND(I472=0,NOT(EXACT(Raw_Passengers!F472,G472))),AND(J472=0,NOT(EXACT(Raw_Passengers!G472,H472)))),1,0),0)</f>
        <v>0</v>
      </c>
      <c r="L472" s="7">
        <f>IF(AND(C472=0,D472=0,I472=1),1,0)</f>
        <v>0</v>
      </c>
      <c r="M472" s="7">
        <f>IF(AND(C472=0,D472=0,J472=1),1,0)</f>
        <v>0</v>
      </c>
    </row>
    <row r="473" spans="1:13">
      <c r="A473" s="7">
        <f>Raw_Passengers!A473</f>
        <v>157085</v>
      </c>
      <c r="B473" s="7">
        <f>Raw_Passengers!B473</f>
        <v>1077889</v>
      </c>
      <c r="C473" s="7">
        <f>IF(COUNTIF(Raw_Passengers!$A$2:A473,Raw_Passengers!A473)&gt;1,1,0)</f>
        <v>0</v>
      </c>
      <c r="D473" s="7">
        <f>IF(COUNTIF(Raw_Bookings!$A$2:$A$648,Raw_Passengers!B473)=0,1,0)</f>
        <v>0</v>
      </c>
      <c r="E473" s="7">
        <f>IF(OR(C473=1,D473=1),0,IF(NOT(ISNUMBER(Raw_Passengers!E473)),1,IF(Raw_Passengers!E473&lt;=0,1,0)))</f>
        <v>0</v>
      </c>
      <c r="F473" s="7">
        <f>IF(AND(C473=0,D473=0,TRIM(Raw_Passengers!D473&amp;"")=""),1,0)</f>
        <v>0</v>
      </c>
      <c r="G473" s="7" t="str">
        <f>IF(SUMPRODUCT(--(Lookup_Status!$A$2:$A$13=LOWER(TRIM(Raw_Passengers!F473))))=0,"",INDEX(Lookup_Status!$B$2:$B$13,SUMPRODUCT((Lookup_Status!$A$2:$A$13=LOWER(TRIM(Raw_Passengers!F473)))*(ROW(Lookup_Status!$A$2:$A$13)-1))))</f>
        <v>Confirmed</v>
      </c>
      <c r="H473" s="7" t="str">
        <f>IF(SUMPRODUCT(--(Lookup_Status!$A$2:$A$13=LOWER(TRIM(Raw_Passengers!G473))))=0,"",INDEX(Lookup_Status!$B$2:$B$13,SUMPRODUCT((Lookup_Status!$A$2:$A$13=LOWER(TRIM(Raw_Passengers!G473)))*(ROW(Lookup_Status!$A$2:$A$13)-1))))</f>
        <v>Confirmed</v>
      </c>
      <c r="I473" s="7">
        <f>IF(OR(G473="",G473="Cancelled",G473="Mixed"),1,0)</f>
        <v>0</v>
      </c>
      <c r="J473" s="7">
        <f>IF(OR(H473="",H473="Mixed"),1,0)</f>
        <v>0</v>
      </c>
      <c r="K473" s="7">
        <f>IF(AND(C473=0,D473=0),IF(OR(AND(I473=0,NOT(EXACT(Raw_Passengers!F473,G473))),AND(J473=0,NOT(EXACT(Raw_Passengers!G473,H473)))),1,0),0)</f>
        <v>0</v>
      </c>
      <c r="L473" s="7">
        <f>IF(AND(C473=0,D473=0,I473=1),1,0)</f>
        <v>0</v>
      </c>
      <c r="M473" s="7">
        <f>IF(AND(C473=0,D473=0,J473=1),1,0)</f>
        <v>0</v>
      </c>
    </row>
    <row r="474" spans="1:13">
      <c r="A474" s="7">
        <f>Raw_Passengers!A474</f>
        <v>157086</v>
      </c>
      <c r="B474" s="7">
        <f>Raw_Passengers!B474</f>
        <v>1077889</v>
      </c>
      <c r="C474" s="7">
        <f>IF(COUNTIF(Raw_Passengers!$A$2:A474,Raw_Passengers!A474)&gt;1,1,0)</f>
        <v>0</v>
      </c>
      <c r="D474" s="7">
        <f>IF(COUNTIF(Raw_Bookings!$A$2:$A$648,Raw_Passengers!B474)=0,1,0)</f>
        <v>0</v>
      </c>
      <c r="E474" s="7">
        <f>IF(OR(C474=1,D474=1),0,IF(NOT(ISNUMBER(Raw_Passengers!E474)),1,IF(Raw_Passengers!E474&lt;=0,1,0)))</f>
        <v>0</v>
      </c>
      <c r="F474" s="7">
        <f>IF(AND(C474=0,D474=0,TRIM(Raw_Passengers!D474&amp;"")=""),1,0)</f>
        <v>0</v>
      </c>
      <c r="G474" s="7" t="str">
        <f>IF(SUMPRODUCT(--(Lookup_Status!$A$2:$A$13=LOWER(TRIM(Raw_Passengers!F474))))=0,"",INDEX(Lookup_Status!$B$2:$B$13,SUMPRODUCT((Lookup_Status!$A$2:$A$13=LOWER(TRIM(Raw_Passengers!F474)))*(ROW(Lookup_Status!$A$2:$A$13)-1))))</f>
        <v>Confirmed</v>
      </c>
      <c r="H474" s="7" t="str">
        <f>IF(SUMPRODUCT(--(Lookup_Status!$A$2:$A$13=LOWER(TRIM(Raw_Passengers!G474))))=0,"",INDEX(Lookup_Status!$B$2:$B$13,SUMPRODUCT((Lookup_Status!$A$2:$A$13=LOWER(TRIM(Raw_Passengers!G474)))*(ROW(Lookup_Status!$A$2:$A$13)-1))))</f>
        <v>Confirmed</v>
      </c>
      <c r="I474" s="7">
        <f>IF(OR(G474="",G474="Cancelled",G474="Mixed"),1,0)</f>
        <v>0</v>
      </c>
      <c r="J474" s="7">
        <f>IF(OR(H474="",H474="Mixed"),1,0)</f>
        <v>0</v>
      </c>
      <c r="K474" s="7">
        <f>IF(AND(C474=0,D474=0),IF(OR(AND(I474=0,NOT(EXACT(Raw_Passengers!F474,G474))),AND(J474=0,NOT(EXACT(Raw_Passengers!G474,H474)))),1,0),0)</f>
        <v>0</v>
      </c>
      <c r="L474" s="7">
        <f>IF(AND(C474=0,D474=0,I474=1),1,0)</f>
        <v>0</v>
      </c>
      <c r="M474" s="7">
        <f>IF(AND(C474=0,D474=0,J474=1),1,0)</f>
        <v>0</v>
      </c>
    </row>
    <row r="475" spans="1:13">
      <c r="A475" s="7">
        <f>Raw_Passengers!A475</f>
        <v>157262</v>
      </c>
      <c r="B475" s="7">
        <f>Raw_Passengers!B475</f>
        <v>1077975</v>
      </c>
      <c r="C475" s="7">
        <f>IF(COUNTIF(Raw_Passengers!$A$2:A475,Raw_Passengers!A475)&gt;1,1,0)</f>
        <v>0</v>
      </c>
      <c r="D475" s="7">
        <f>IF(COUNTIF(Raw_Bookings!$A$2:$A$648,Raw_Passengers!B475)=0,1,0)</f>
        <v>0</v>
      </c>
      <c r="E475" s="7">
        <f>IF(OR(C475=1,D475=1),0,IF(NOT(ISNUMBER(Raw_Passengers!E475)),1,IF(Raw_Passengers!E475&lt;=0,1,0)))</f>
        <v>0</v>
      </c>
      <c r="F475" s="7">
        <f>IF(AND(C475=0,D475=0,TRIM(Raw_Passengers!D475&amp;"")=""),1,0)</f>
        <v>0</v>
      </c>
      <c r="G475" s="7" t="str">
        <f>IF(SUMPRODUCT(--(Lookup_Status!$A$2:$A$13=LOWER(TRIM(Raw_Passengers!F475))))=0,"",INDEX(Lookup_Status!$B$2:$B$13,SUMPRODUCT((Lookup_Status!$A$2:$A$13=LOWER(TRIM(Raw_Passengers!F475)))*(ROW(Lookup_Status!$A$2:$A$13)-1))))</f>
        <v>Waitlisted</v>
      </c>
      <c r="H475" s="7" t="str">
        <f>IF(SUMPRODUCT(--(Lookup_Status!$A$2:$A$13=LOWER(TRIM(Raw_Passengers!G475))))=0,"",INDEX(Lookup_Status!$B$2:$B$13,SUMPRODUCT((Lookup_Status!$A$2:$A$13=LOWER(TRIM(Raw_Passengers!G475)))*(ROW(Lookup_Status!$A$2:$A$13)-1))))</f>
        <v>Waitlisted</v>
      </c>
      <c r="I475" s="7">
        <f>IF(OR(G475="",G475="Cancelled",G475="Mixed"),1,0)</f>
        <v>0</v>
      </c>
      <c r="J475" s="7">
        <f>IF(OR(H475="",H475="Mixed"),1,0)</f>
        <v>0</v>
      </c>
      <c r="K475" s="7">
        <f>IF(AND(C475=0,D475=0),IF(OR(AND(I475=0,NOT(EXACT(Raw_Passengers!F475,G475))),AND(J475=0,NOT(EXACT(Raw_Passengers!G475,H475)))),1,0),0)</f>
        <v>0</v>
      </c>
      <c r="L475" s="7">
        <f>IF(AND(C475=0,D475=0,I475=1),1,0)</f>
        <v>0</v>
      </c>
      <c r="M475" s="7">
        <f>IF(AND(C475=0,D475=0,J475=1),1,0)</f>
        <v>0</v>
      </c>
    </row>
    <row r="476" spans="1:13">
      <c r="A476" s="7">
        <f>Raw_Passengers!A476</f>
        <v>157306</v>
      </c>
      <c r="B476" s="7">
        <f>Raw_Passengers!B476</f>
        <v>1078000</v>
      </c>
      <c r="C476" s="7">
        <f>IF(COUNTIF(Raw_Passengers!$A$2:A476,Raw_Passengers!A476)&gt;1,1,0)</f>
        <v>0</v>
      </c>
      <c r="D476" s="7">
        <f>IF(COUNTIF(Raw_Bookings!$A$2:$A$648,Raw_Passengers!B476)=0,1,0)</f>
        <v>0</v>
      </c>
      <c r="E476" s="7">
        <f>IF(OR(C476=1,D476=1),0,IF(NOT(ISNUMBER(Raw_Passengers!E476)),1,IF(Raw_Passengers!E476&lt;=0,1,0)))</f>
        <v>0</v>
      </c>
      <c r="F476" s="7">
        <f>IF(AND(C476=0,D476=0,TRIM(Raw_Passengers!D476&amp;"")=""),1,0)</f>
        <v>0</v>
      </c>
      <c r="G476" s="7" t="str">
        <f>IF(SUMPRODUCT(--(Lookup_Status!$A$2:$A$13=LOWER(TRIM(Raw_Passengers!F476))))=0,"",INDEX(Lookup_Status!$B$2:$B$13,SUMPRODUCT((Lookup_Status!$A$2:$A$13=LOWER(TRIM(Raw_Passengers!F476)))*(ROW(Lookup_Status!$A$2:$A$13)-1))))</f>
        <v>RAC</v>
      </c>
      <c r="H476" s="7" t="str">
        <f>IF(SUMPRODUCT(--(Lookup_Status!$A$2:$A$13=LOWER(TRIM(Raw_Passengers!G476))))=0,"",INDEX(Lookup_Status!$B$2:$B$13,SUMPRODUCT((Lookup_Status!$A$2:$A$13=LOWER(TRIM(Raw_Passengers!G476)))*(ROW(Lookup_Status!$A$2:$A$13)-1))))</f>
        <v>RAC</v>
      </c>
      <c r="I476" s="7">
        <f>IF(OR(G476="",G476="Cancelled",G476="Mixed"),1,0)</f>
        <v>0</v>
      </c>
      <c r="J476" s="7">
        <f>IF(OR(H476="",H476="Mixed"),1,0)</f>
        <v>0</v>
      </c>
      <c r="K476" s="7">
        <f>IF(AND(C476=0,D476=0),IF(OR(AND(I476=0,NOT(EXACT(Raw_Passengers!F476,G476))),AND(J476=0,NOT(EXACT(Raw_Passengers!G476,H476)))),1,0),0)</f>
        <v>0</v>
      </c>
      <c r="L476" s="7">
        <f>IF(AND(C476=0,D476=0,I476=1),1,0)</f>
        <v>0</v>
      </c>
      <c r="M476" s="7">
        <f>IF(AND(C476=0,D476=0,J476=1),1,0)</f>
        <v>0</v>
      </c>
    </row>
    <row r="477" spans="1:13">
      <c r="A477" s="7">
        <f>Raw_Passengers!A477</f>
        <v>157307</v>
      </c>
      <c r="B477" s="7">
        <f>Raw_Passengers!B477</f>
        <v>1078000</v>
      </c>
      <c r="C477" s="7">
        <f>IF(COUNTIF(Raw_Passengers!$A$2:A477,Raw_Passengers!A477)&gt;1,1,0)</f>
        <v>0</v>
      </c>
      <c r="D477" s="7">
        <f>IF(COUNTIF(Raw_Bookings!$A$2:$A$648,Raw_Passengers!B477)=0,1,0)</f>
        <v>0</v>
      </c>
      <c r="E477" s="7">
        <f>IF(OR(C477=1,D477=1),0,IF(NOT(ISNUMBER(Raw_Passengers!E477)),1,IF(Raw_Passengers!E477&lt;=0,1,0)))</f>
        <v>0</v>
      </c>
      <c r="F477" s="7">
        <f>IF(AND(C477=0,D477=0,TRIM(Raw_Passengers!D477&amp;"")=""),1,0)</f>
        <v>0</v>
      </c>
      <c r="G477" s="7" t="str">
        <f>IF(SUMPRODUCT(--(Lookup_Status!$A$2:$A$13=LOWER(TRIM(Raw_Passengers!F477))))=0,"",INDEX(Lookup_Status!$B$2:$B$13,SUMPRODUCT((Lookup_Status!$A$2:$A$13=LOWER(TRIM(Raw_Passengers!F477)))*(ROW(Lookup_Status!$A$2:$A$13)-1))))</f>
        <v>RAC</v>
      </c>
      <c r="H477" s="7" t="str">
        <f>IF(SUMPRODUCT(--(Lookup_Status!$A$2:$A$13=LOWER(TRIM(Raw_Passengers!G477))))=0,"",INDEX(Lookup_Status!$B$2:$B$13,SUMPRODUCT((Lookup_Status!$A$2:$A$13=LOWER(TRIM(Raw_Passengers!G477)))*(ROW(Lookup_Status!$A$2:$A$13)-1))))</f>
        <v>RAC</v>
      </c>
      <c r="I477" s="7">
        <f>IF(OR(G477="",G477="Cancelled",G477="Mixed"),1,0)</f>
        <v>0</v>
      </c>
      <c r="J477" s="7">
        <f>IF(OR(H477="",H477="Mixed"),1,0)</f>
        <v>0</v>
      </c>
      <c r="K477" s="7">
        <f>IF(AND(C477=0,D477=0),IF(OR(AND(I477=0,NOT(EXACT(Raw_Passengers!F477,G477))),AND(J477=0,NOT(EXACT(Raw_Passengers!G477,H477)))),1,0),0)</f>
        <v>0</v>
      </c>
      <c r="L477" s="7">
        <f>IF(AND(C477=0,D477=0,I477=1),1,0)</f>
        <v>0</v>
      </c>
      <c r="M477" s="7">
        <f>IF(AND(C477=0,D477=0,J477=1),1,0)</f>
        <v>0</v>
      </c>
    </row>
    <row r="478" spans="1:13">
      <c r="A478" s="7">
        <f>Raw_Passengers!A478</f>
        <v>157308</v>
      </c>
      <c r="B478" s="7">
        <f>Raw_Passengers!B478</f>
        <v>1078000</v>
      </c>
      <c r="C478" s="7">
        <f>IF(COUNTIF(Raw_Passengers!$A$2:A478,Raw_Passengers!A478)&gt;1,1,0)</f>
        <v>0</v>
      </c>
      <c r="D478" s="7">
        <f>IF(COUNTIF(Raw_Bookings!$A$2:$A$648,Raw_Passengers!B478)=0,1,0)</f>
        <v>0</v>
      </c>
      <c r="E478" s="7">
        <f>IF(OR(C478=1,D478=1),0,IF(NOT(ISNUMBER(Raw_Passengers!E478)),1,IF(Raw_Passengers!E478&lt;=0,1,0)))</f>
        <v>0</v>
      </c>
      <c r="F478" s="7">
        <f>IF(AND(C478=0,D478=0,TRIM(Raw_Passengers!D478&amp;"")=""),1,0)</f>
        <v>0</v>
      </c>
      <c r="G478" s="7" t="str">
        <f>IF(SUMPRODUCT(--(Lookup_Status!$A$2:$A$13=LOWER(TRIM(Raw_Passengers!F478))))=0,"",INDEX(Lookup_Status!$B$2:$B$13,SUMPRODUCT((Lookup_Status!$A$2:$A$13=LOWER(TRIM(Raw_Passengers!F478)))*(ROW(Lookup_Status!$A$2:$A$13)-1))))</f>
        <v>RAC</v>
      </c>
      <c r="H478" s="7" t="str">
        <f>IF(SUMPRODUCT(--(Lookup_Status!$A$2:$A$13=LOWER(TRIM(Raw_Passengers!G478))))=0,"",INDEX(Lookup_Status!$B$2:$B$13,SUMPRODUCT((Lookup_Status!$A$2:$A$13=LOWER(TRIM(Raw_Passengers!G478)))*(ROW(Lookup_Status!$A$2:$A$13)-1))))</f>
        <v>RAC</v>
      </c>
      <c r="I478" s="7">
        <f>IF(OR(G478="",G478="Cancelled",G478="Mixed"),1,0)</f>
        <v>0</v>
      </c>
      <c r="J478" s="7">
        <f>IF(OR(H478="",H478="Mixed"),1,0)</f>
        <v>0</v>
      </c>
      <c r="K478" s="7">
        <f>IF(AND(C478=0,D478=0),IF(OR(AND(I478=0,NOT(EXACT(Raw_Passengers!F478,G478))),AND(J478=0,NOT(EXACT(Raw_Passengers!G478,H478)))),1,0),0)</f>
        <v>0</v>
      </c>
      <c r="L478" s="7">
        <f>IF(AND(C478=0,D478=0,I478=1),1,0)</f>
        <v>0</v>
      </c>
      <c r="M478" s="7">
        <f>IF(AND(C478=0,D478=0,J478=1),1,0)</f>
        <v>0</v>
      </c>
    </row>
    <row r="479" spans="1:13">
      <c r="A479" s="7">
        <f>Raw_Passengers!A479</f>
        <v>157309</v>
      </c>
      <c r="B479" s="7">
        <f>Raw_Passengers!B479</f>
        <v>1078000</v>
      </c>
      <c r="C479" s="7">
        <f>IF(COUNTIF(Raw_Passengers!$A$2:A479,Raw_Passengers!A479)&gt;1,1,0)</f>
        <v>0</v>
      </c>
      <c r="D479" s="7">
        <f>IF(COUNTIF(Raw_Bookings!$A$2:$A$648,Raw_Passengers!B479)=0,1,0)</f>
        <v>0</v>
      </c>
      <c r="E479" s="7">
        <f>IF(OR(C479=1,D479=1),0,IF(NOT(ISNUMBER(Raw_Passengers!E479)),1,IF(Raw_Passengers!E479&lt;=0,1,0)))</f>
        <v>0</v>
      </c>
      <c r="F479" s="7">
        <f>IF(AND(C479=0,D479=0,TRIM(Raw_Passengers!D479&amp;"")=""),1,0)</f>
        <v>0</v>
      </c>
      <c r="G479" s="7" t="str">
        <f>IF(SUMPRODUCT(--(Lookup_Status!$A$2:$A$13=LOWER(TRIM(Raw_Passengers!F479))))=0,"",INDEX(Lookup_Status!$B$2:$B$13,SUMPRODUCT((Lookup_Status!$A$2:$A$13=LOWER(TRIM(Raw_Passengers!F479)))*(ROW(Lookup_Status!$A$2:$A$13)-1))))</f>
        <v>RAC</v>
      </c>
      <c r="H479" s="7" t="str">
        <f>IF(SUMPRODUCT(--(Lookup_Status!$A$2:$A$13=LOWER(TRIM(Raw_Passengers!G479))))=0,"",INDEX(Lookup_Status!$B$2:$B$13,SUMPRODUCT((Lookup_Status!$A$2:$A$13=LOWER(TRIM(Raw_Passengers!G479)))*(ROW(Lookup_Status!$A$2:$A$13)-1))))</f>
        <v>RAC</v>
      </c>
      <c r="I479" s="7">
        <f>IF(OR(G479="",G479="Cancelled",G479="Mixed"),1,0)</f>
        <v>0</v>
      </c>
      <c r="J479" s="7">
        <f>IF(OR(H479="",H479="Mixed"),1,0)</f>
        <v>0</v>
      </c>
      <c r="K479" s="7">
        <f>IF(AND(C479=0,D479=0),IF(OR(AND(I479=0,NOT(EXACT(Raw_Passengers!F479,G479))),AND(J479=0,NOT(EXACT(Raw_Passengers!G479,H479)))),1,0),0)</f>
        <v>0</v>
      </c>
      <c r="L479" s="7">
        <f>IF(AND(C479=0,D479=0,I479=1),1,0)</f>
        <v>0</v>
      </c>
      <c r="M479" s="7">
        <f>IF(AND(C479=0,D479=0,J479=1),1,0)</f>
        <v>0</v>
      </c>
    </row>
    <row r="480" spans="1:13">
      <c r="A480" s="7">
        <f>Raw_Passengers!A480</f>
        <v>157310</v>
      </c>
      <c r="B480" s="7">
        <f>Raw_Passengers!B480</f>
        <v>1078000</v>
      </c>
      <c r="C480" s="7">
        <f>IF(COUNTIF(Raw_Passengers!$A$2:A480,Raw_Passengers!A480)&gt;1,1,0)</f>
        <v>0</v>
      </c>
      <c r="D480" s="7">
        <f>IF(COUNTIF(Raw_Bookings!$A$2:$A$648,Raw_Passengers!B480)=0,1,0)</f>
        <v>0</v>
      </c>
      <c r="E480" s="7">
        <f>IF(OR(C480=1,D480=1),0,IF(NOT(ISNUMBER(Raw_Passengers!E480)),1,IF(Raw_Passengers!E480&lt;=0,1,0)))</f>
        <v>0</v>
      </c>
      <c r="F480" s="7">
        <f>IF(AND(C480=0,D480=0,TRIM(Raw_Passengers!D480&amp;"")=""),1,0)</f>
        <v>0</v>
      </c>
      <c r="G480" s="7" t="str">
        <f>IF(SUMPRODUCT(--(Lookup_Status!$A$2:$A$13=LOWER(TRIM(Raw_Passengers!F480))))=0,"",INDEX(Lookup_Status!$B$2:$B$13,SUMPRODUCT((Lookup_Status!$A$2:$A$13=LOWER(TRIM(Raw_Passengers!F480)))*(ROW(Lookup_Status!$A$2:$A$13)-1))))</f>
        <v>RAC</v>
      </c>
      <c r="H480" s="7" t="str">
        <f>IF(SUMPRODUCT(--(Lookup_Status!$A$2:$A$13=LOWER(TRIM(Raw_Passengers!G480))))=0,"",INDEX(Lookup_Status!$B$2:$B$13,SUMPRODUCT((Lookup_Status!$A$2:$A$13=LOWER(TRIM(Raw_Passengers!G480)))*(ROW(Lookup_Status!$A$2:$A$13)-1))))</f>
        <v>RAC</v>
      </c>
      <c r="I480" s="7">
        <f>IF(OR(G480="",G480="Cancelled",G480="Mixed"),1,0)</f>
        <v>0</v>
      </c>
      <c r="J480" s="7">
        <f>IF(OR(H480="",H480="Mixed"),1,0)</f>
        <v>0</v>
      </c>
      <c r="K480" s="7">
        <f>IF(AND(C480=0,D480=0),IF(OR(AND(I480=0,NOT(EXACT(Raw_Passengers!F480,G480))),AND(J480=0,NOT(EXACT(Raw_Passengers!G480,H480)))),1,0),0)</f>
        <v>0</v>
      </c>
      <c r="L480" s="7">
        <f>IF(AND(C480=0,D480=0,I480=1),1,0)</f>
        <v>0</v>
      </c>
      <c r="M480" s="7">
        <f>IF(AND(C480=0,D480=0,J480=1),1,0)</f>
        <v>0</v>
      </c>
    </row>
    <row r="481" spans="1:13">
      <c r="A481" s="7">
        <f>Raw_Passengers!A481</f>
        <v>157374</v>
      </c>
      <c r="B481" s="7">
        <f>Raw_Passengers!B481</f>
        <v>1078035</v>
      </c>
      <c r="C481" s="7">
        <f>IF(COUNTIF(Raw_Passengers!$A$2:A481,Raw_Passengers!A481)&gt;1,1,0)</f>
        <v>0</v>
      </c>
      <c r="D481" s="7">
        <f>IF(COUNTIF(Raw_Bookings!$A$2:$A$648,Raw_Passengers!B481)=0,1,0)</f>
        <v>0</v>
      </c>
      <c r="E481" s="7">
        <f>IF(OR(C481=1,D481=1),0,IF(NOT(ISNUMBER(Raw_Passengers!E481)),1,IF(Raw_Passengers!E481&lt;=0,1,0)))</f>
        <v>0</v>
      </c>
      <c r="F481" s="7">
        <f>IF(AND(C481=0,D481=0,TRIM(Raw_Passengers!D481&amp;"")=""),1,0)</f>
        <v>0</v>
      </c>
      <c r="G481" s="7" t="str">
        <f>IF(SUMPRODUCT(--(Lookup_Status!$A$2:$A$13=LOWER(TRIM(Raw_Passengers!F481))))=0,"",INDEX(Lookup_Status!$B$2:$B$13,SUMPRODUCT((Lookup_Status!$A$2:$A$13=LOWER(TRIM(Raw_Passengers!F481)))*(ROW(Lookup_Status!$A$2:$A$13)-1))))</f>
        <v>Confirmed</v>
      </c>
      <c r="H481" s="7" t="str">
        <f>IF(SUMPRODUCT(--(Lookup_Status!$A$2:$A$13=LOWER(TRIM(Raw_Passengers!G481))))=0,"",INDEX(Lookup_Status!$B$2:$B$13,SUMPRODUCT((Lookup_Status!$A$2:$A$13=LOWER(TRIM(Raw_Passengers!G481)))*(ROW(Lookup_Status!$A$2:$A$13)-1))))</f>
        <v>Confirmed</v>
      </c>
      <c r="I481" s="7">
        <f>IF(OR(G481="",G481="Cancelled",G481="Mixed"),1,0)</f>
        <v>0</v>
      </c>
      <c r="J481" s="7">
        <f>IF(OR(H481="",H481="Mixed"),1,0)</f>
        <v>0</v>
      </c>
      <c r="K481" s="7">
        <f>IF(AND(C481=0,D481=0),IF(OR(AND(I481=0,NOT(EXACT(Raw_Passengers!F481,G481))),AND(J481=0,NOT(EXACT(Raw_Passengers!G481,H481)))),1,0),0)</f>
        <v>0</v>
      </c>
      <c r="L481" s="7">
        <f>IF(AND(C481=0,D481=0,I481=1),1,0)</f>
        <v>0</v>
      </c>
      <c r="M481" s="7">
        <f>IF(AND(C481=0,D481=0,J481=1),1,0)</f>
        <v>0</v>
      </c>
    </row>
    <row r="482" spans="1:13">
      <c r="A482" s="7">
        <f>Raw_Passengers!A482</f>
        <v>157741</v>
      </c>
      <c r="B482" s="7">
        <f>Raw_Passengers!B482</f>
        <v>1078216</v>
      </c>
      <c r="C482" s="7">
        <f>IF(COUNTIF(Raw_Passengers!$A$2:A482,Raw_Passengers!A482)&gt;1,1,0)</f>
        <v>0</v>
      </c>
      <c r="D482" s="7">
        <f>IF(COUNTIF(Raw_Bookings!$A$2:$A$648,Raw_Passengers!B482)=0,1,0)</f>
        <v>0</v>
      </c>
      <c r="E482" s="7">
        <f>IF(OR(C482=1,D482=1),0,IF(NOT(ISNUMBER(Raw_Passengers!E482)),1,IF(Raw_Passengers!E482&lt;=0,1,0)))</f>
        <v>0</v>
      </c>
      <c r="F482" s="7">
        <f>IF(AND(C482=0,D482=0,TRIM(Raw_Passengers!D482&amp;"")=""),1,0)</f>
        <v>0</v>
      </c>
      <c r="G482" s="7" t="str">
        <f>IF(SUMPRODUCT(--(Lookup_Status!$A$2:$A$13=LOWER(TRIM(Raw_Passengers!F482))))=0,"",INDEX(Lookup_Status!$B$2:$B$13,SUMPRODUCT((Lookup_Status!$A$2:$A$13=LOWER(TRIM(Raw_Passengers!F482)))*(ROW(Lookup_Status!$A$2:$A$13)-1))))</f>
        <v>Confirmed</v>
      </c>
      <c r="H482" s="7" t="str">
        <f>IF(SUMPRODUCT(--(Lookup_Status!$A$2:$A$13=LOWER(TRIM(Raw_Passengers!G482))))=0,"",INDEX(Lookup_Status!$B$2:$B$13,SUMPRODUCT((Lookup_Status!$A$2:$A$13=LOWER(TRIM(Raw_Passengers!G482)))*(ROW(Lookup_Status!$A$2:$A$13)-1))))</f>
        <v>Confirmed</v>
      </c>
      <c r="I482" s="7">
        <f>IF(OR(G482="",G482="Cancelled",G482="Mixed"),1,0)</f>
        <v>0</v>
      </c>
      <c r="J482" s="7">
        <f>IF(OR(H482="",H482="Mixed"),1,0)</f>
        <v>0</v>
      </c>
      <c r="K482" s="7">
        <f>IF(AND(C482=0,D482=0),IF(OR(AND(I482=0,NOT(EXACT(Raw_Passengers!F482,G482))),AND(J482=0,NOT(EXACT(Raw_Passengers!G482,H482)))),1,0),0)</f>
        <v>0</v>
      </c>
      <c r="L482" s="7">
        <f>IF(AND(C482=0,D482=0,I482=1),1,0)</f>
        <v>0</v>
      </c>
      <c r="M482" s="7">
        <f>IF(AND(C482=0,D482=0,J482=1),1,0)</f>
        <v>0</v>
      </c>
    </row>
    <row r="483" spans="1:13">
      <c r="A483" s="7">
        <f>Raw_Passengers!A483</f>
        <v>158579</v>
      </c>
      <c r="B483" s="7">
        <f>Raw_Passengers!B483</f>
        <v>1078604</v>
      </c>
      <c r="C483" s="7">
        <f>IF(COUNTIF(Raw_Passengers!$A$2:A483,Raw_Passengers!A483)&gt;1,1,0)</f>
        <v>0</v>
      </c>
      <c r="D483" s="7">
        <f>IF(COUNTIF(Raw_Bookings!$A$2:$A$648,Raw_Passengers!B483)=0,1,0)</f>
        <v>0</v>
      </c>
      <c r="E483" s="7">
        <f>IF(OR(C483=1,D483=1),0,IF(NOT(ISNUMBER(Raw_Passengers!E483)),1,IF(Raw_Passengers!E483&lt;=0,1,0)))</f>
        <v>0</v>
      </c>
      <c r="F483" s="7">
        <f>IF(AND(C483=0,D483=0,TRIM(Raw_Passengers!D483&amp;"")=""),1,0)</f>
        <v>0</v>
      </c>
      <c r="G483" s="7" t="str">
        <f>IF(SUMPRODUCT(--(Lookup_Status!$A$2:$A$13=LOWER(TRIM(Raw_Passengers!F483))))=0,"",INDEX(Lookup_Status!$B$2:$B$13,SUMPRODUCT((Lookup_Status!$A$2:$A$13=LOWER(TRIM(Raw_Passengers!F483)))*(ROW(Lookup_Status!$A$2:$A$13)-1))))</f>
        <v>Confirmed</v>
      </c>
      <c r="H483" s="7" t="str">
        <f>IF(SUMPRODUCT(--(Lookup_Status!$A$2:$A$13=LOWER(TRIM(Raw_Passengers!G483))))=0,"",INDEX(Lookup_Status!$B$2:$B$13,SUMPRODUCT((Lookup_Status!$A$2:$A$13=LOWER(TRIM(Raw_Passengers!G483)))*(ROW(Lookup_Status!$A$2:$A$13)-1))))</f>
        <v>Confirmed</v>
      </c>
      <c r="I483" s="7">
        <f>IF(OR(G483="",G483="Cancelled",G483="Mixed"),1,0)</f>
        <v>0</v>
      </c>
      <c r="J483" s="7">
        <f>IF(OR(H483="",H483="Mixed"),1,0)</f>
        <v>0</v>
      </c>
      <c r="K483" s="7">
        <f>IF(AND(C483=0,D483=0),IF(OR(AND(I483=0,NOT(EXACT(Raw_Passengers!F483,G483))),AND(J483=0,NOT(EXACT(Raw_Passengers!G483,H483)))),1,0),0)</f>
        <v>1</v>
      </c>
      <c r="L483" s="7">
        <f>IF(AND(C483=0,D483=0,I483=1),1,0)</f>
        <v>0</v>
      </c>
      <c r="M483" s="7">
        <f>IF(AND(C483=0,D483=0,J483=1),1,0)</f>
        <v>0</v>
      </c>
    </row>
    <row r="484" spans="1:13">
      <c r="A484" s="7">
        <f>Raw_Passengers!A484</f>
        <v>159279</v>
      </c>
      <c r="B484" s="7">
        <f>Raw_Passengers!B484</f>
        <v>1078946</v>
      </c>
      <c r="C484" s="7">
        <f>IF(COUNTIF(Raw_Passengers!$A$2:A484,Raw_Passengers!A484)&gt;1,1,0)</f>
        <v>0</v>
      </c>
      <c r="D484" s="7">
        <f>IF(COUNTIF(Raw_Bookings!$A$2:$A$648,Raw_Passengers!B484)=0,1,0)</f>
        <v>0</v>
      </c>
      <c r="E484" s="7">
        <f>IF(OR(C484=1,D484=1),0,IF(NOT(ISNUMBER(Raw_Passengers!E484)),1,IF(Raw_Passengers!E484&lt;=0,1,0)))</f>
        <v>0</v>
      </c>
      <c r="F484" s="7">
        <f>IF(AND(C484=0,D484=0,TRIM(Raw_Passengers!D484&amp;"")=""),1,0)</f>
        <v>0</v>
      </c>
      <c r="G484" s="7" t="str">
        <f>IF(SUMPRODUCT(--(Lookup_Status!$A$2:$A$13=LOWER(TRIM(Raw_Passengers!F484))))=0,"",INDEX(Lookup_Status!$B$2:$B$13,SUMPRODUCT((Lookup_Status!$A$2:$A$13=LOWER(TRIM(Raw_Passengers!F484)))*(ROW(Lookup_Status!$A$2:$A$13)-1))))</f>
        <v>Confirmed</v>
      </c>
      <c r="H484" s="7" t="str">
        <f>IF(SUMPRODUCT(--(Lookup_Status!$A$2:$A$13=LOWER(TRIM(Raw_Passengers!G484))))=0,"",INDEX(Lookup_Status!$B$2:$B$13,SUMPRODUCT((Lookup_Status!$A$2:$A$13=LOWER(TRIM(Raw_Passengers!G484)))*(ROW(Lookup_Status!$A$2:$A$13)-1))))</f>
        <v>Confirmed</v>
      </c>
      <c r="I484" s="7">
        <f>IF(OR(G484="",G484="Cancelled",G484="Mixed"),1,0)</f>
        <v>0</v>
      </c>
      <c r="J484" s="7">
        <f>IF(OR(H484="",H484="Mixed"),1,0)</f>
        <v>0</v>
      </c>
      <c r="K484" s="7">
        <f>IF(AND(C484=0,D484=0),IF(OR(AND(I484=0,NOT(EXACT(Raw_Passengers!F484,G484))),AND(J484=0,NOT(EXACT(Raw_Passengers!G484,H484)))),1,0),0)</f>
        <v>0</v>
      </c>
      <c r="L484" s="7">
        <f>IF(AND(C484=0,D484=0,I484=1),1,0)</f>
        <v>0</v>
      </c>
      <c r="M484" s="7">
        <f>IF(AND(C484=0,D484=0,J484=1),1,0)</f>
        <v>0</v>
      </c>
    </row>
    <row r="485" spans="1:13">
      <c r="A485" s="7">
        <f>Raw_Passengers!A485</f>
        <v>160107</v>
      </c>
      <c r="B485" s="7">
        <f>Raw_Passengers!B485</f>
        <v>1079358</v>
      </c>
      <c r="C485" s="7">
        <f>IF(COUNTIF(Raw_Passengers!$A$2:A485,Raw_Passengers!A485)&gt;1,1,0)</f>
        <v>0</v>
      </c>
      <c r="D485" s="7">
        <f>IF(COUNTIF(Raw_Bookings!$A$2:$A$648,Raw_Passengers!B485)=0,1,0)</f>
        <v>0</v>
      </c>
      <c r="E485" s="7">
        <f>IF(OR(C485=1,D485=1),0,IF(NOT(ISNUMBER(Raw_Passengers!E485)),1,IF(Raw_Passengers!E485&lt;=0,1,0)))</f>
        <v>0</v>
      </c>
      <c r="F485" s="7">
        <f>IF(AND(C485=0,D485=0,TRIM(Raw_Passengers!D485&amp;"")=""),1,0)</f>
        <v>0</v>
      </c>
      <c r="G485" s="7" t="str">
        <f>IF(SUMPRODUCT(--(Lookup_Status!$A$2:$A$13=LOWER(TRIM(Raw_Passengers!F485))))=0,"",INDEX(Lookup_Status!$B$2:$B$13,SUMPRODUCT((Lookup_Status!$A$2:$A$13=LOWER(TRIM(Raw_Passengers!F485)))*(ROW(Lookup_Status!$A$2:$A$13)-1))))</f>
        <v>Waitlisted</v>
      </c>
      <c r="H485" s="7" t="str">
        <f>IF(SUMPRODUCT(--(Lookup_Status!$A$2:$A$13=LOWER(TRIM(Raw_Passengers!G485))))=0,"",INDEX(Lookup_Status!$B$2:$B$13,SUMPRODUCT((Lookup_Status!$A$2:$A$13=LOWER(TRIM(Raw_Passengers!G485)))*(ROW(Lookup_Status!$A$2:$A$13)-1))))</f>
        <v>Cancelled</v>
      </c>
      <c r="I485" s="7">
        <f>IF(OR(G485="",G485="Cancelled",G485="Mixed"),1,0)</f>
        <v>0</v>
      </c>
      <c r="J485" s="7">
        <f>IF(OR(H485="",H485="Mixed"),1,0)</f>
        <v>0</v>
      </c>
      <c r="K485" s="7">
        <f>IF(AND(C485=0,D485=0),IF(OR(AND(I485=0,NOT(EXACT(Raw_Passengers!F485,G485))),AND(J485=0,NOT(EXACT(Raw_Passengers!G485,H485)))),1,0),0)</f>
        <v>0</v>
      </c>
      <c r="L485" s="7">
        <f>IF(AND(C485=0,D485=0,I485=1),1,0)</f>
        <v>0</v>
      </c>
      <c r="M485" s="7">
        <f>IF(AND(C485=0,D485=0,J485=1),1,0)</f>
        <v>0</v>
      </c>
    </row>
    <row r="486" spans="1:13">
      <c r="A486" s="7">
        <f>Raw_Passengers!A486</f>
        <v>160108</v>
      </c>
      <c r="B486" s="7">
        <f>Raw_Passengers!B486</f>
        <v>1079358</v>
      </c>
      <c r="C486" s="7">
        <f>IF(COUNTIF(Raw_Passengers!$A$2:A486,Raw_Passengers!A486)&gt;1,1,0)</f>
        <v>0</v>
      </c>
      <c r="D486" s="7">
        <f>IF(COUNTIF(Raw_Bookings!$A$2:$A$648,Raw_Passengers!B486)=0,1,0)</f>
        <v>0</v>
      </c>
      <c r="E486" s="7">
        <f>IF(OR(C486=1,D486=1),0,IF(NOT(ISNUMBER(Raw_Passengers!E486)),1,IF(Raw_Passengers!E486&lt;=0,1,0)))</f>
        <v>0</v>
      </c>
      <c r="F486" s="7">
        <f>IF(AND(C486=0,D486=0,TRIM(Raw_Passengers!D486&amp;"")=""),1,0)</f>
        <v>0</v>
      </c>
      <c r="G486" s="7" t="str">
        <f>IF(SUMPRODUCT(--(Lookup_Status!$A$2:$A$13=LOWER(TRIM(Raw_Passengers!F486))))=0,"",INDEX(Lookup_Status!$B$2:$B$13,SUMPRODUCT((Lookup_Status!$A$2:$A$13=LOWER(TRIM(Raw_Passengers!F486)))*(ROW(Lookup_Status!$A$2:$A$13)-1))))</f>
        <v>Waitlisted</v>
      </c>
      <c r="H486" s="7" t="str">
        <f>IF(SUMPRODUCT(--(Lookup_Status!$A$2:$A$13=LOWER(TRIM(Raw_Passengers!G486))))=0,"",INDEX(Lookup_Status!$B$2:$B$13,SUMPRODUCT((Lookup_Status!$A$2:$A$13=LOWER(TRIM(Raw_Passengers!G486)))*(ROW(Lookup_Status!$A$2:$A$13)-1))))</f>
        <v>RAC</v>
      </c>
      <c r="I486" s="7">
        <f>IF(OR(G486="",G486="Cancelled",G486="Mixed"),1,0)</f>
        <v>0</v>
      </c>
      <c r="J486" s="7">
        <f>IF(OR(H486="",H486="Mixed"),1,0)</f>
        <v>0</v>
      </c>
      <c r="K486" s="7">
        <f>IF(AND(C486=0,D486=0),IF(OR(AND(I486=0,NOT(EXACT(Raw_Passengers!F486,G486))),AND(J486=0,NOT(EXACT(Raw_Passengers!G486,H486)))),1,0),0)</f>
        <v>0</v>
      </c>
      <c r="L486" s="7">
        <f>IF(AND(C486=0,D486=0,I486=1),1,0)</f>
        <v>0</v>
      </c>
      <c r="M486" s="7">
        <f>IF(AND(C486=0,D486=0,J486=1),1,0)</f>
        <v>0</v>
      </c>
    </row>
    <row r="487" spans="1:13">
      <c r="A487" s="7">
        <f>Raw_Passengers!A487</f>
        <v>160109</v>
      </c>
      <c r="B487" s="7">
        <f>Raw_Passengers!B487</f>
        <v>1079358</v>
      </c>
      <c r="C487" s="7">
        <f>IF(COUNTIF(Raw_Passengers!$A$2:A487,Raw_Passengers!A487)&gt;1,1,0)</f>
        <v>0</v>
      </c>
      <c r="D487" s="7">
        <f>IF(COUNTIF(Raw_Bookings!$A$2:$A$648,Raw_Passengers!B487)=0,1,0)</f>
        <v>0</v>
      </c>
      <c r="E487" s="7">
        <f>IF(OR(C487=1,D487=1),0,IF(NOT(ISNUMBER(Raw_Passengers!E487)),1,IF(Raw_Passengers!E487&lt;=0,1,0)))</f>
        <v>0</v>
      </c>
      <c r="F487" s="7">
        <f>IF(AND(C487=0,D487=0,TRIM(Raw_Passengers!D487&amp;"")=""),1,0)</f>
        <v>0</v>
      </c>
      <c r="G487" s="7" t="str">
        <f>IF(SUMPRODUCT(--(Lookup_Status!$A$2:$A$13=LOWER(TRIM(Raw_Passengers!F487))))=0,"",INDEX(Lookup_Status!$B$2:$B$13,SUMPRODUCT((Lookup_Status!$A$2:$A$13=LOWER(TRIM(Raw_Passengers!F487)))*(ROW(Lookup_Status!$A$2:$A$13)-1))))</f>
        <v>Waitlisted</v>
      </c>
      <c r="H487" s="7" t="str">
        <f>IF(SUMPRODUCT(--(Lookup_Status!$A$2:$A$13=LOWER(TRIM(Raw_Passengers!G487))))=0,"",INDEX(Lookup_Status!$B$2:$B$13,SUMPRODUCT((Lookup_Status!$A$2:$A$13=LOWER(TRIM(Raw_Passengers!G487)))*(ROW(Lookup_Status!$A$2:$A$13)-1))))</f>
        <v>RAC</v>
      </c>
      <c r="I487" s="7">
        <f>IF(OR(G487="",G487="Cancelled",G487="Mixed"),1,0)</f>
        <v>0</v>
      </c>
      <c r="J487" s="7">
        <f>IF(OR(H487="",H487="Mixed"),1,0)</f>
        <v>0</v>
      </c>
      <c r="K487" s="7">
        <f>IF(AND(C487=0,D487=0),IF(OR(AND(I487=0,NOT(EXACT(Raw_Passengers!F487,G487))),AND(J487=0,NOT(EXACT(Raw_Passengers!G487,H487)))),1,0),0)</f>
        <v>0</v>
      </c>
      <c r="L487" s="7">
        <f>IF(AND(C487=0,D487=0,I487=1),1,0)</f>
        <v>0</v>
      </c>
      <c r="M487" s="7">
        <f>IF(AND(C487=0,D487=0,J487=1),1,0)</f>
        <v>0</v>
      </c>
    </row>
    <row r="488" spans="1:13">
      <c r="A488" s="7">
        <f>Raw_Passengers!A488</f>
        <v>160110</v>
      </c>
      <c r="B488" s="7">
        <f>Raw_Passengers!B488</f>
        <v>1079358</v>
      </c>
      <c r="C488" s="7">
        <f>IF(COUNTIF(Raw_Passengers!$A$2:A488,Raw_Passengers!A488)&gt;1,1,0)</f>
        <v>0</v>
      </c>
      <c r="D488" s="7">
        <f>IF(COUNTIF(Raw_Bookings!$A$2:$A$648,Raw_Passengers!B488)=0,1,0)</f>
        <v>0</v>
      </c>
      <c r="E488" s="7">
        <f>IF(OR(C488=1,D488=1),0,IF(NOT(ISNUMBER(Raw_Passengers!E488)),1,IF(Raw_Passengers!E488&lt;=0,1,0)))</f>
        <v>0</v>
      </c>
      <c r="F488" s="7">
        <f>IF(AND(C488=0,D488=0,TRIM(Raw_Passengers!D488&amp;"")=""),1,0)</f>
        <v>0</v>
      </c>
      <c r="G488" s="7" t="str">
        <f>IF(SUMPRODUCT(--(Lookup_Status!$A$2:$A$13=LOWER(TRIM(Raw_Passengers!F488))))=0,"",INDEX(Lookup_Status!$B$2:$B$13,SUMPRODUCT((Lookup_Status!$A$2:$A$13=LOWER(TRIM(Raw_Passengers!F488)))*(ROW(Lookup_Status!$A$2:$A$13)-1))))</f>
        <v>Waitlisted</v>
      </c>
      <c r="H488" s="7" t="str">
        <f>IF(SUMPRODUCT(--(Lookup_Status!$A$2:$A$13=LOWER(TRIM(Raw_Passengers!G488))))=0,"",INDEX(Lookup_Status!$B$2:$B$13,SUMPRODUCT((Lookup_Status!$A$2:$A$13=LOWER(TRIM(Raw_Passengers!G488)))*(ROW(Lookup_Status!$A$2:$A$13)-1))))</f>
        <v>RAC</v>
      </c>
      <c r="I488" s="7">
        <f>IF(OR(G488="",G488="Cancelled",G488="Mixed"),1,0)</f>
        <v>0</v>
      </c>
      <c r="J488" s="7">
        <f>IF(OR(H488="",H488="Mixed"),1,0)</f>
        <v>0</v>
      </c>
      <c r="K488" s="7">
        <f>IF(AND(C488=0,D488=0),IF(OR(AND(I488=0,NOT(EXACT(Raw_Passengers!F488,G488))),AND(J488=0,NOT(EXACT(Raw_Passengers!G488,H488)))),1,0),0)</f>
        <v>0</v>
      </c>
      <c r="L488" s="7">
        <f>IF(AND(C488=0,D488=0,I488=1),1,0)</f>
        <v>0</v>
      </c>
      <c r="M488" s="7">
        <f>IF(AND(C488=0,D488=0,J488=1),1,0)</f>
        <v>0</v>
      </c>
    </row>
    <row r="489" spans="1:13">
      <c r="A489" s="7">
        <f>Raw_Passengers!A489</f>
        <v>160964</v>
      </c>
      <c r="B489" s="7">
        <f>Raw_Passengers!B489</f>
        <v>1079788</v>
      </c>
      <c r="C489" s="7">
        <f>IF(COUNTIF(Raw_Passengers!$A$2:A489,Raw_Passengers!A489)&gt;1,1,0)</f>
        <v>0</v>
      </c>
      <c r="D489" s="7">
        <f>IF(COUNTIF(Raw_Bookings!$A$2:$A$648,Raw_Passengers!B489)=0,1,0)</f>
        <v>0</v>
      </c>
      <c r="E489" s="7">
        <f>IF(OR(C489=1,D489=1),0,IF(NOT(ISNUMBER(Raw_Passengers!E489)),1,IF(Raw_Passengers!E489&lt;=0,1,0)))</f>
        <v>0</v>
      </c>
      <c r="F489" s="7">
        <f>IF(AND(C489=0,D489=0,TRIM(Raw_Passengers!D489&amp;"")=""),1,0)</f>
        <v>0</v>
      </c>
      <c r="G489" s="7" t="str">
        <f>IF(SUMPRODUCT(--(Lookup_Status!$A$2:$A$13=LOWER(TRIM(Raw_Passengers!F489))))=0,"",INDEX(Lookup_Status!$B$2:$B$13,SUMPRODUCT((Lookup_Status!$A$2:$A$13=LOWER(TRIM(Raw_Passengers!F489)))*(ROW(Lookup_Status!$A$2:$A$13)-1))))</f>
        <v>Confirmed</v>
      </c>
      <c r="H489" s="7" t="str">
        <f>IF(SUMPRODUCT(--(Lookup_Status!$A$2:$A$13=LOWER(TRIM(Raw_Passengers!G489))))=0,"",INDEX(Lookup_Status!$B$2:$B$13,SUMPRODUCT((Lookup_Status!$A$2:$A$13=LOWER(TRIM(Raw_Passengers!G489)))*(ROW(Lookup_Status!$A$2:$A$13)-1))))</f>
        <v>Confirmed</v>
      </c>
      <c r="I489" s="7">
        <f>IF(OR(G489="",G489="Cancelled",G489="Mixed"),1,0)</f>
        <v>0</v>
      </c>
      <c r="J489" s="7">
        <f>IF(OR(H489="",H489="Mixed"),1,0)</f>
        <v>0</v>
      </c>
      <c r="K489" s="7">
        <f>IF(AND(C489=0,D489=0),IF(OR(AND(I489=0,NOT(EXACT(Raw_Passengers!F489,G489))),AND(J489=0,NOT(EXACT(Raw_Passengers!G489,H489)))),1,0),0)</f>
        <v>0</v>
      </c>
      <c r="L489" s="7">
        <f>IF(AND(C489=0,D489=0,I489=1),1,0)</f>
        <v>0</v>
      </c>
      <c r="M489" s="7">
        <f>IF(AND(C489=0,D489=0,J489=1),1,0)</f>
        <v>0</v>
      </c>
    </row>
    <row r="490" spans="1:13">
      <c r="A490" s="7">
        <f>Raw_Passengers!A490</f>
        <v>160965</v>
      </c>
      <c r="B490" s="7">
        <f>Raw_Passengers!B490</f>
        <v>1079788</v>
      </c>
      <c r="C490" s="7">
        <f>IF(COUNTIF(Raw_Passengers!$A$2:A490,Raw_Passengers!A490)&gt;1,1,0)</f>
        <v>0</v>
      </c>
      <c r="D490" s="7">
        <f>IF(COUNTIF(Raw_Bookings!$A$2:$A$648,Raw_Passengers!B490)=0,1,0)</f>
        <v>0</v>
      </c>
      <c r="E490" s="7">
        <f>IF(OR(C490=1,D490=1),0,IF(NOT(ISNUMBER(Raw_Passengers!E490)),1,IF(Raw_Passengers!E490&lt;=0,1,0)))</f>
        <v>0</v>
      </c>
      <c r="F490" s="7">
        <f>IF(AND(C490=0,D490=0,TRIM(Raw_Passengers!D490&amp;"")=""),1,0)</f>
        <v>0</v>
      </c>
      <c r="G490" s="7" t="str">
        <f>IF(SUMPRODUCT(--(Lookup_Status!$A$2:$A$13=LOWER(TRIM(Raw_Passengers!F490))))=0,"",INDEX(Lookup_Status!$B$2:$B$13,SUMPRODUCT((Lookup_Status!$A$2:$A$13=LOWER(TRIM(Raw_Passengers!F490)))*(ROW(Lookup_Status!$A$2:$A$13)-1))))</f>
        <v>Confirmed</v>
      </c>
      <c r="H490" s="7" t="str">
        <f>IF(SUMPRODUCT(--(Lookup_Status!$A$2:$A$13=LOWER(TRIM(Raw_Passengers!G490))))=0,"",INDEX(Lookup_Status!$B$2:$B$13,SUMPRODUCT((Lookup_Status!$A$2:$A$13=LOWER(TRIM(Raw_Passengers!G490)))*(ROW(Lookup_Status!$A$2:$A$13)-1))))</f>
        <v>Confirmed</v>
      </c>
      <c r="I490" s="7">
        <f>IF(OR(G490="",G490="Cancelled",G490="Mixed"),1,0)</f>
        <v>0</v>
      </c>
      <c r="J490" s="7">
        <f>IF(OR(H490="",H490="Mixed"),1,0)</f>
        <v>0</v>
      </c>
      <c r="K490" s="7">
        <f>IF(AND(C490=0,D490=0),IF(OR(AND(I490=0,NOT(EXACT(Raw_Passengers!F490,G490))),AND(J490=0,NOT(EXACT(Raw_Passengers!G490,H490)))),1,0),0)</f>
        <v>0</v>
      </c>
      <c r="L490" s="7">
        <f>IF(AND(C490=0,D490=0,I490=1),1,0)</f>
        <v>0</v>
      </c>
      <c r="M490" s="7">
        <f>IF(AND(C490=0,D490=0,J490=1),1,0)</f>
        <v>0</v>
      </c>
    </row>
    <row r="491" spans="1:13">
      <c r="A491" s="7">
        <f>Raw_Passengers!A491</f>
        <v>160966</v>
      </c>
      <c r="B491" s="7">
        <f>Raw_Passengers!B491</f>
        <v>1079788</v>
      </c>
      <c r="C491" s="7">
        <f>IF(COUNTIF(Raw_Passengers!$A$2:A491,Raw_Passengers!A491)&gt;1,1,0)</f>
        <v>0</v>
      </c>
      <c r="D491" s="7">
        <f>IF(COUNTIF(Raw_Bookings!$A$2:$A$648,Raw_Passengers!B491)=0,1,0)</f>
        <v>0</v>
      </c>
      <c r="E491" s="7">
        <f>IF(OR(C491=1,D491=1),0,IF(NOT(ISNUMBER(Raw_Passengers!E491)),1,IF(Raw_Passengers!E491&lt;=0,1,0)))</f>
        <v>0</v>
      </c>
      <c r="F491" s="7">
        <f>IF(AND(C491=0,D491=0,TRIM(Raw_Passengers!D491&amp;"")=""),1,0)</f>
        <v>0</v>
      </c>
      <c r="G491" s="7" t="str">
        <f>IF(SUMPRODUCT(--(Lookup_Status!$A$2:$A$13=LOWER(TRIM(Raw_Passengers!F491))))=0,"",INDEX(Lookup_Status!$B$2:$B$13,SUMPRODUCT((Lookup_Status!$A$2:$A$13=LOWER(TRIM(Raw_Passengers!F491)))*(ROW(Lookup_Status!$A$2:$A$13)-1))))</f>
        <v>Confirmed</v>
      </c>
      <c r="H491" s="7" t="str">
        <f>IF(SUMPRODUCT(--(Lookup_Status!$A$2:$A$13=LOWER(TRIM(Raw_Passengers!G491))))=0,"",INDEX(Lookup_Status!$B$2:$B$13,SUMPRODUCT((Lookup_Status!$A$2:$A$13=LOWER(TRIM(Raw_Passengers!G491)))*(ROW(Lookup_Status!$A$2:$A$13)-1))))</f>
        <v>Confirmed</v>
      </c>
      <c r="I491" s="7">
        <f>IF(OR(G491="",G491="Cancelled",G491="Mixed"),1,0)</f>
        <v>0</v>
      </c>
      <c r="J491" s="7">
        <f>IF(OR(H491="",H491="Mixed"),1,0)</f>
        <v>0</v>
      </c>
      <c r="K491" s="7">
        <f>IF(AND(C491=0,D491=0),IF(OR(AND(I491=0,NOT(EXACT(Raw_Passengers!F491,G491))),AND(J491=0,NOT(EXACT(Raw_Passengers!G491,H491)))),1,0),0)</f>
        <v>0</v>
      </c>
      <c r="L491" s="7">
        <f>IF(AND(C491=0,D491=0,I491=1),1,0)</f>
        <v>0</v>
      </c>
      <c r="M491" s="7">
        <f>IF(AND(C491=0,D491=0,J491=1),1,0)</f>
        <v>0</v>
      </c>
    </row>
    <row r="492" spans="1:13">
      <c r="A492" s="7">
        <f>Raw_Passengers!A492</f>
        <v>161028</v>
      </c>
      <c r="B492" s="7">
        <f>Raw_Passengers!B492</f>
        <v>1079819</v>
      </c>
      <c r="C492" s="7">
        <f>IF(COUNTIF(Raw_Passengers!$A$2:A492,Raw_Passengers!A492)&gt;1,1,0)</f>
        <v>0</v>
      </c>
      <c r="D492" s="7">
        <f>IF(COUNTIF(Raw_Bookings!$A$2:$A$648,Raw_Passengers!B492)=0,1,0)</f>
        <v>0</v>
      </c>
      <c r="E492" s="7">
        <f>IF(OR(C492=1,D492=1),0,IF(NOT(ISNUMBER(Raw_Passengers!E492)),1,IF(Raw_Passengers!E492&lt;=0,1,0)))</f>
        <v>0</v>
      </c>
      <c r="F492" s="7">
        <f>IF(AND(C492=0,D492=0,TRIM(Raw_Passengers!D492&amp;"")=""),1,0)</f>
        <v>0</v>
      </c>
      <c r="G492" s="7" t="str">
        <f>IF(SUMPRODUCT(--(Lookup_Status!$A$2:$A$13=LOWER(TRIM(Raw_Passengers!F492))))=0,"",INDEX(Lookup_Status!$B$2:$B$13,SUMPRODUCT((Lookup_Status!$A$2:$A$13=LOWER(TRIM(Raw_Passengers!F492)))*(ROW(Lookup_Status!$A$2:$A$13)-1))))</f>
        <v>Waitlisted</v>
      </c>
      <c r="H492" s="7" t="str">
        <f>IF(SUMPRODUCT(--(Lookup_Status!$A$2:$A$13=LOWER(TRIM(Raw_Passengers!G492))))=0,"",INDEX(Lookup_Status!$B$2:$B$13,SUMPRODUCT((Lookup_Status!$A$2:$A$13=LOWER(TRIM(Raw_Passengers!G492)))*(ROW(Lookup_Status!$A$2:$A$13)-1))))</f>
        <v>Waitlisted</v>
      </c>
      <c r="I492" s="7">
        <f>IF(OR(G492="",G492="Cancelled",G492="Mixed"),1,0)</f>
        <v>0</v>
      </c>
      <c r="J492" s="7">
        <f>IF(OR(H492="",H492="Mixed"),1,0)</f>
        <v>0</v>
      </c>
      <c r="K492" s="7">
        <f>IF(AND(C492=0,D492=0),IF(OR(AND(I492=0,NOT(EXACT(Raw_Passengers!F492,G492))),AND(J492=0,NOT(EXACT(Raw_Passengers!G492,H492)))),1,0),0)</f>
        <v>0</v>
      </c>
      <c r="L492" s="7">
        <f>IF(AND(C492=0,D492=0,I492=1),1,0)</f>
        <v>0</v>
      </c>
      <c r="M492" s="7">
        <f>IF(AND(C492=0,D492=0,J492=1),1,0)</f>
        <v>0</v>
      </c>
    </row>
    <row r="493" spans="1:13">
      <c r="A493" s="7">
        <f>Raw_Passengers!A493</f>
        <v>161029</v>
      </c>
      <c r="B493" s="7">
        <f>Raw_Passengers!B493</f>
        <v>1079819</v>
      </c>
      <c r="C493" s="7">
        <f>IF(COUNTIF(Raw_Passengers!$A$2:A493,Raw_Passengers!A493)&gt;1,1,0)</f>
        <v>0</v>
      </c>
      <c r="D493" s="7">
        <f>IF(COUNTIF(Raw_Bookings!$A$2:$A$648,Raw_Passengers!B493)=0,1,0)</f>
        <v>0</v>
      </c>
      <c r="E493" s="7">
        <f>IF(OR(C493=1,D493=1),0,IF(NOT(ISNUMBER(Raw_Passengers!E493)),1,IF(Raw_Passengers!E493&lt;=0,1,0)))</f>
        <v>0</v>
      </c>
      <c r="F493" s="7">
        <f>IF(AND(C493=0,D493=0,TRIM(Raw_Passengers!D493&amp;"")=""),1,0)</f>
        <v>0</v>
      </c>
      <c r="G493" s="7" t="str">
        <f>IF(SUMPRODUCT(--(Lookup_Status!$A$2:$A$13=LOWER(TRIM(Raw_Passengers!F493))))=0,"",INDEX(Lookup_Status!$B$2:$B$13,SUMPRODUCT((Lookup_Status!$A$2:$A$13=LOWER(TRIM(Raw_Passengers!F493)))*(ROW(Lookup_Status!$A$2:$A$13)-1))))</f>
        <v>Waitlisted</v>
      </c>
      <c r="H493" s="7" t="str">
        <f>IF(SUMPRODUCT(--(Lookup_Status!$A$2:$A$13=LOWER(TRIM(Raw_Passengers!G493))))=0,"",INDEX(Lookup_Status!$B$2:$B$13,SUMPRODUCT((Lookup_Status!$A$2:$A$13=LOWER(TRIM(Raw_Passengers!G493)))*(ROW(Lookup_Status!$A$2:$A$13)-1))))</f>
        <v>Waitlisted</v>
      </c>
      <c r="I493" s="7">
        <f>IF(OR(G493="",G493="Cancelled",G493="Mixed"),1,0)</f>
        <v>0</v>
      </c>
      <c r="J493" s="7">
        <f>IF(OR(H493="",H493="Mixed"),1,0)</f>
        <v>0</v>
      </c>
      <c r="K493" s="7">
        <f>IF(AND(C493=0,D493=0),IF(OR(AND(I493=0,NOT(EXACT(Raw_Passengers!F493,G493))),AND(J493=0,NOT(EXACT(Raw_Passengers!G493,H493)))),1,0),0)</f>
        <v>0</v>
      </c>
      <c r="L493" s="7">
        <f>IF(AND(C493=0,D493=0,I493=1),1,0)</f>
        <v>0</v>
      </c>
      <c r="M493" s="7">
        <f>IF(AND(C493=0,D493=0,J493=1),1,0)</f>
        <v>0</v>
      </c>
    </row>
    <row r="494" spans="1:13">
      <c r="A494" s="7">
        <f>Raw_Passengers!A494</f>
        <v>161411</v>
      </c>
      <c r="B494" s="7">
        <f>Raw_Passengers!B494</f>
        <v>1080019</v>
      </c>
      <c r="C494" s="7">
        <f>IF(COUNTIF(Raw_Passengers!$A$2:A494,Raw_Passengers!A494)&gt;1,1,0)</f>
        <v>0</v>
      </c>
      <c r="D494" s="7">
        <f>IF(COUNTIF(Raw_Bookings!$A$2:$A$648,Raw_Passengers!B494)=0,1,0)</f>
        <v>0</v>
      </c>
      <c r="E494" s="7">
        <f>IF(OR(C494=1,D494=1),0,IF(NOT(ISNUMBER(Raw_Passengers!E494)),1,IF(Raw_Passengers!E494&lt;=0,1,0)))</f>
        <v>0</v>
      </c>
      <c r="F494" s="7">
        <f>IF(AND(C494=0,D494=0,TRIM(Raw_Passengers!D494&amp;"")=""),1,0)</f>
        <v>0</v>
      </c>
      <c r="G494" s="7" t="str">
        <f>IF(SUMPRODUCT(--(Lookup_Status!$A$2:$A$13=LOWER(TRIM(Raw_Passengers!F494))))=0,"",INDEX(Lookup_Status!$B$2:$B$13,SUMPRODUCT((Lookup_Status!$A$2:$A$13=LOWER(TRIM(Raw_Passengers!F494)))*(ROW(Lookup_Status!$A$2:$A$13)-1))))</f>
        <v>Confirmed</v>
      </c>
      <c r="H494" s="7" t="str">
        <f>IF(SUMPRODUCT(--(Lookup_Status!$A$2:$A$13=LOWER(TRIM(Raw_Passengers!G494))))=0,"",INDEX(Lookup_Status!$B$2:$B$13,SUMPRODUCT((Lookup_Status!$A$2:$A$13=LOWER(TRIM(Raw_Passengers!G494)))*(ROW(Lookup_Status!$A$2:$A$13)-1))))</f>
        <v>Confirmed</v>
      </c>
      <c r="I494" s="7">
        <f>IF(OR(G494="",G494="Cancelled",G494="Mixed"),1,0)</f>
        <v>0</v>
      </c>
      <c r="J494" s="7">
        <f>IF(OR(H494="",H494="Mixed"),1,0)</f>
        <v>0</v>
      </c>
      <c r="K494" s="7">
        <f>IF(AND(C494=0,D494=0),IF(OR(AND(I494=0,NOT(EXACT(Raw_Passengers!F494,G494))),AND(J494=0,NOT(EXACT(Raw_Passengers!G494,H494)))),1,0),0)</f>
        <v>0</v>
      </c>
      <c r="L494" s="7">
        <f>IF(AND(C494=0,D494=0,I494=1),1,0)</f>
        <v>0</v>
      </c>
      <c r="M494" s="7">
        <f>IF(AND(C494=0,D494=0,J494=1),1,0)</f>
        <v>0</v>
      </c>
    </row>
    <row r="495" spans="1:13">
      <c r="A495" s="7">
        <f>Raw_Passengers!A495</f>
        <v>162492</v>
      </c>
      <c r="B495" s="7">
        <f>Raw_Passengers!B495</f>
        <v>1080555</v>
      </c>
      <c r="C495" s="7">
        <f>IF(COUNTIF(Raw_Passengers!$A$2:A495,Raw_Passengers!A495)&gt;1,1,0)</f>
        <v>0</v>
      </c>
      <c r="D495" s="7">
        <f>IF(COUNTIF(Raw_Bookings!$A$2:$A$648,Raw_Passengers!B495)=0,1,0)</f>
        <v>0</v>
      </c>
      <c r="E495" s="7">
        <f>IF(OR(C495=1,D495=1),0,IF(NOT(ISNUMBER(Raw_Passengers!E495)),1,IF(Raw_Passengers!E495&lt;=0,1,0)))</f>
        <v>0</v>
      </c>
      <c r="F495" s="7">
        <f>IF(AND(C495=0,D495=0,TRIM(Raw_Passengers!D495&amp;"")=""),1,0)</f>
        <v>0</v>
      </c>
      <c r="G495" s="7" t="str">
        <f>IF(SUMPRODUCT(--(Lookup_Status!$A$2:$A$13=LOWER(TRIM(Raw_Passengers!F495))))=0,"",INDEX(Lookup_Status!$B$2:$B$13,SUMPRODUCT((Lookup_Status!$A$2:$A$13=LOWER(TRIM(Raw_Passengers!F495)))*(ROW(Lookup_Status!$A$2:$A$13)-1))))</f>
        <v>Confirmed</v>
      </c>
      <c r="H495" s="7" t="str">
        <f>IF(SUMPRODUCT(--(Lookup_Status!$A$2:$A$13=LOWER(TRIM(Raw_Passengers!G495))))=0,"",INDEX(Lookup_Status!$B$2:$B$13,SUMPRODUCT((Lookup_Status!$A$2:$A$13=LOWER(TRIM(Raw_Passengers!G495)))*(ROW(Lookup_Status!$A$2:$A$13)-1))))</f>
        <v>Confirmed</v>
      </c>
      <c r="I495" s="7">
        <f>IF(OR(G495="",G495="Cancelled",G495="Mixed"),1,0)</f>
        <v>0</v>
      </c>
      <c r="J495" s="7">
        <f>IF(OR(H495="",H495="Mixed"),1,0)</f>
        <v>0</v>
      </c>
      <c r="K495" s="7">
        <f>IF(AND(C495=0,D495=0),IF(OR(AND(I495=0,NOT(EXACT(Raw_Passengers!F495,G495))),AND(J495=0,NOT(EXACT(Raw_Passengers!G495,H495)))),1,0),0)</f>
        <v>0</v>
      </c>
      <c r="L495" s="7">
        <f>IF(AND(C495=0,D495=0,I495=1),1,0)</f>
        <v>0</v>
      </c>
      <c r="M495" s="7">
        <f>IF(AND(C495=0,D495=0,J495=1),1,0)</f>
        <v>0</v>
      </c>
    </row>
    <row r="496" spans="1:13">
      <c r="A496" s="7">
        <f>Raw_Passengers!A496</f>
        <v>162543</v>
      </c>
      <c r="B496" s="7">
        <f>Raw_Passengers!B496</f>
        <v>1080584</v>
      </c>
      <c r="C496" s="7">
        <f>IF(COUNTIF(Raw_Passengers!$A$2:A496,Raw_Passengers!A496)&gt;1,1,0)</f>
        <v>0</v>
      </c>
      <c r="D496" s="7">
        <f>IF(COUNTIF(Raw_Bookings!$A$2:$A$648,Raw_Passengers!B496)=0,1,0)</f>
        <v>0</v>
      </c>
      <c r="E496" s="7">
        <f>IF(OR(C496=1,D496=1),0,IF(NOT(ISNUMBER(Raw_Passengers!E496)),1,IF(Raw_Passengers!E496&lt;=0,1,0)))</f>
        <v>0</v>
      </c>
      <c r="F496" s="7">
        <f>IF(AND(C496=0,D496=0,TRIM(Raw_Passengers!D496&amp;"")=""),1,0)</f>
        <v>0</v>
      </c>
      <c r="G496" s="7" t="str">
        <f>IF(SUMPRODUCT(--(Lookup_Status!$A$2:$A$13=LOWER(TRIM(Raw_Passengers!F496))))=0,"",INDEX(Lookup_Status!$B$2:$B$13,SUMPRODUCT((Lookup_Status!$A$2:$A$13=LOWER(TRIM(Raw_Passengers!F496)))*(ROW(Lookup_Status!$A$2:$A$13)-1))))</f>
        <v>Confirmed</v>
      </c>
      <c r="H496" s="7" t="str">
        <f>IF(SUMPRODUCT(--(Lookup_Status!$A$2:$A$13=LOWER(TRIM(Raw_Passengers!G496))))=0,"",INDEX(Lookup_Status!$B$2:$B$13,SUMPRODUCT((Lookup_Status!$A$2:$A$13=LOWER(TRIM(Raw_Passengers!G496)))*(ROW(Lookup_Status!$A$2:$A$13)-1))))</f>
        <v>Confirmed</v>
      </c>
      <c r="I496" s="7">
        <f>IF(OR(G496="",G496="Cancelled",G496="Mixed"),1,0)</f>
        <v>0</v>
      </c>
      <c r="J496" s="7">
        <f>IF(OR(H496="",H496="Mixed"),1,0)</f>
        <v>0</v>
      </c>
      <c r="K496" s="7">
        <f>IF(AND(C496=0,D496=0),IF(OR(AND(I496=0,NOT(EXACT(Raw_Passengers!F496,G496))),AND(J496=0,NOT(EXACT(Raw_Passengers!G496,H496)))),1,0),0)</f>
        <v>0</v>
      </c>
      <c r="L496" s="7">
        <f>IF(AND(C496=0,D496=0,I496=1),1,0)</f>
        <v>0</v>
      </c>
      <c r="M496" s="7">
        <f>IF(AND(C496=0,D496=0,J496=1),1,0)</f>
        <v>0</v>
      </c>
    </row>
    <row r="497" spans="1:13">
      <c r="A497" s="7">
        <f>Raw_Passengers!A497</f>
        <v>162544</v>
      </c>
      <c r="B497" s="7">
        <f>Raw_Passengers!B497</f>
        <v>1080584</v>
      </c>
      <c r="C497" s="7">
        <f>IF(COUNTIF(Raw_Passengers!$A$2:A497,Raw_Passengers!A497)&gt;1,1,0)</f>
        <v>0</v>
      </c>
      <c r="D497" s="7">
        <f>IF(COUNTIF(Raw_Bookings!$A$2:$A$648,Raw_Passengers!B497)=0,1,0)</f>
        <v>0</v>
      </c>
      <c r="E497" s="7">
        <f>IF(OR(C497=1,D497=1),0,IF(NOT(ISNUMBER(Raw_Passengers!E497)),1,IF(Raw_Passengers!E497&lt;=0,1,0)))</f>
        <v>0</v>
      </c>
      <c r="F497" s="7">
        <f>IF(AND(C497=0,D497=0,TRIM(Raw_Passengers!D497&amp;"")=""),1,0)</f>
        <v>0</v>
      </c>
      <c r="G497" s="7" t="str">
        <f>IF(SUMPRODUCT(--(Lookup_Status!$A$2:$A$13=LOWER(TRIM(Raw_Passengers!F497))))=0,"",INDEX(Lookup_Status!$B$2:$B$13,SUMPRODUCT((Lookup_Status!$A$2:$A$13=LOWER(TRIM(Raw_Passengers!F497)))*(ROW(Lookup_Status!$A$2:$A$13)-1))))</f>
        <v>Confirmed</v>
      </c>
      <c r="H497" s="7" t="str">
        <f>IF(SUMPRODUCT(--(Lookup_Status!$A$2:$A$13=LOWER(TRIM(Raw_Passengers!G497))))=0,"",INDEX(Lookup_Status!$B$2:$B$13,SUMPRODUCT((Lookup_Status!$A$2:$A$13=LOWER(TRIM(Raw_Passengers!G497)))*(ROW(Lookup_Status!$A$2:$A$13)-1))))</f>
        <v>Confirmed</v>
      </c>
      <c r="I497" s="7">
        <f>IF(OR(G497="",G497="Cancelled",G497="Mixed"),1,0)</f>
        <v>0</v>
      </c>
      <c r="J497" s="7">
        <f>IF(OR(H497="",H497="Mixed"),1,0)</f>
        <v>0</v>
      </c>
      <c r="K497" s="7">
        <f>IF(AND(C497=0,D497=0),IF(OR(AND(I497=0,NOT(EXACT(Raw_Passengers!F497,G497))),AND(J497=0,NOT(EXACT(Raw_Passengers!G497,H497)))),1,0),0)</f>
        <v>0</v>
      </c>
      <c r="L497" s="7">
        <f>IF(AND(C497=0,D497=0,I497=1),1,0)</f>
        <v>0</v>
      </c>
      <c r="M497" s="7">
        <f>IF(AND(C497=0,D497=0,J497=1),1,0)</f>
        <v>0</v>
      </c>
    </row>
    <row r="498" spans="1:13">
      <c r="A498" s="7">
        <f>Raw_Passengers!A498</f>
        <v>162617</v>
      </c>
      <c r="B498" s="7">
        <f>Raw_Passengers!B498</f>
        <v>1080622</v>
      </c>
      <c r="C498" s="7">
        <f>IF(COUNTIF(Raw_Passengers!$A$2:A498,Raw_Passengers!A498)&gt;1,1,0)</f>
        <v>0</v>
      </c>
      <c r="D498" s="7">
        <f>IF(COUNTIF(Raw_Bookings!$A$2:$A$648,Raw_Passengers!B498)=0,1,0)</f>
        <v>0</v>
      </c>
      <c r="E498" s="7">
        <f>IF(OR(C498=1,D498=1),0,IF(NOT(ISNUMBER(Raw_Passengers!E498)),1,IF(Raw_Passengers!E498&lt;=0,1,0)))</f>
        <v>0</v>
      </c>
      <c r="F498" s="7">
        <f>IF(AND(C498=0,D498=0,TRIM(Raw_Passengers!D498&amp;"")=""),1,0)</f>
        <v>0</v>
      </c>
      <c r="G498" s="7" t="str">
        <f>IF(SUMPRODUCT(--(Lookup_Status!$A$2:$A$13=LOWER(TRIM(Raw_Passengers!F498))))=0,"",INDEX(Lookup_Status!$B$2:$B$13,SUMPRODUCT((Lookup_Status!$A$2:$A$13=LOWER(TRIM(Raw_Passengers!F498)))*(ROW(Lookup_Status!$A$2:$A$13)-1))))</f>
        <v>Confirmed</v>
      </c>
      <c r="H498" s="7" t="str">
        <f>IF(SUMPRODUCT(--(Lookup_Status!$A$2:$A$13=LOWER(TRIM(Raw_Passengers!G498))))=0,"",INDEX(Lookup_Status!$B$2:$B$13,SUMPRODUCT((Lookup_Status!$A$2:$A$13=LOWER(TRIM(Raw_Passengers!G498)))*(ROW(Lookup_Status!$A$2:$A$13)-1))))</f>
        <v>Confirmed</v>
      </c>
      <c r="I498" s="7">
        <f>IF(OR(G498="",G498="Cancelled",G498="Mixed"),1,0)</f>
        <v>0</v>
      </c>
      <c r="J498" s="7">
        <f>IF(OR(H498="",H498="Mixed"),1,0)</f>
        <v>0</v>
      </c>
      <c r="K498" s="7">
        <f>IF(AND(C498=0,D498=0),IF(OR(AND(I498=0,NOT(EXACT(Raw_Passengers!F498,G498))),AND(J498=0,NOT(EXACT(Raw_Passengers!G498,H498)))),1,0),0)</f>
        <v>0</v>
      </c>
      <c r="L498" s="7">
        <f>IF(AND(C498=0,D498=0,I498=1),1,0)</f>
        <v>0</v>
      </c>
      <c r="M498" s="7">
        <f>IF(AND(C498=0,D498=0,J498=1),1,0)</f>
        <v>0</v>
      </c>
    </row>
    <row r="499" spans="1:13">
      <c r="A499" s="7">
        <f>Raw_Passengers!A499</f>
        <v>162688</v>
      </c>
      <c r="B499" s="7">
        <f>Raw_Passengers!B499</f>
        <v>1080665</v>
      </c>
      <c r="C499" s="7">
        <f>IF(COUNTIF(Raw_Passengers!$A$2:A499,Raw_Passengers!A499)&gt;1,1,0)</f>
        <v>0</v>
      </c>
      <c r="D499" s="7">
        <f>IF(COUNTIF(Raw_Bookings!$A$2:$A$648,Raw_Passengers!B499)=0,1,0)</f>
        <v>0</v>
      </c>
      <c r="E499" s="7">
        <f>IF(OR(C499=1,D499=1),0,IF(NOT(ISNUMBER(Raw_Passengers!E499)),1,IF(Raw_Passengers!E499&lt;=0,1,0)))</f>
        <v>0</v>
      </c>
      <c r="F499" s="7">
        <f>IF(AND(C499=0,D499=0,TRIM(Raw_Passengers!D499&amp;"")=""),1,0)</f>
        <v>0</v>
      </c>
      <c r="G499" s="7" t="str">
        <f>IF(SUMPRODUCT(--(Lookup_Status!$A$2:$A$13=LOWER(TRIM(Raw_Passengers!F499))))=0,"",INDEX(Lookup_Status!$B$2:$B$13,SUMPRODUCT((Lookup_Status!$A$2:$A$13=LOWER(TRIM(Raw_Passengers!F499)))*(ROW(Lookup_Status!$A$2:$A$13)-1))))</f>
        <v>Confirmed</v>
      </c>
      <c r="H499" s="7" t="str">
        <f>IF(SUMPRODUCT(--(Lookup_Status!$A$2:$A$13=LOWER(TRIM(Raw_Passengers!G499))))=0,"",INDEX(Lookup_Status!$B$2:$B$13,SUMPRODUCT((Lookup_Status!$A$2:$A$13=LOWER(TRIM(Raw_Passengers!G499)))*(ROW(Lookup_Status!$A$2:$A$13)-1))))</f>
        <v>Confirmed</v>
      </c>
      <c r="I499" s="7">
        <f>IF(OR(G499="",G499="Cancelled",G499="Mixed"),1,0)</f>
        <v>0</v>
      </c>
      <c r="J499" s="7">
        <f>IF(OR(H499="",H499="Mixed"),1,0)</f>
        <v>0</v>
      </c>
      <c r="K499" s="7">
        <f>IF(AND(C499=0,D499=0),IF(OR(AND(I499=0,NOT(EXACT(Raw_Passengers!F499,G499))),AND(J499=0,NOT(EXACT(Raw_Passengers!G499,H499)))),1,0),0)</f>
        <v>0</v>
      </c>
      <c r="L499" s="7">
        <f>IF(AND(C499=0,D499=0,I499=1),1,0)</f>
        <v>0</v>
      </c>
      <c r="M499" s="7">
        <f>IF(AND(C499=0,D499=0,J499=1),1,0)</f>
        <v>0</v>
      </c>
    </row>
    <row r="500" spans="1:13">
      <c r="A500" s="7">
        <f>Raw_Passengers!A500</f>
        <v>162793</v>
      </c>
      <c r="B500" s="7">
        <f>Raw_Passengers!B500</f>
        <v>1080716</v>
      </c>
      <c r="C500" s="7">
        <f>IF(COUNTIF(Raw_Passengers!$A$2:A500,Raw_Passengers!A500)&gt;1,1,0)</f>
        <v>0</v>
      </c>
      <c r="D500" s="7">
        <f>IF(COUNTIF(Raw_Bookings!$A$2:$A$648,Raw_Passengers!B500)=0,1,0)</f>
        <v>0</v>
      </c>
      <c r="E500" s="7">
        <f>IF(OR(C500=1,D500=1),0,IF(NOT(ISNUMBER(Raw_Passengers!E500)),1,IF(Raw_Passengers!E500&lt;=0,1,0)))</f>
        <v>0</v>
      </c>
      <c r="F500" s="7">
        <f>IF(AND(C500=0,D500=0,TRIM(Raw_Passengers!D500&amp;"")=""),1,0)</f>
        <v>0</v>
      </c>
      <c r="G500" s="7" t="str">
        <f>IF(SUMPRODUCT(--(Lookup_Status!$A$2:$A$13=LOWER(TRIM(Raw_Passengers!F500))))=0,"",INDEX(Lookup_Status!$B$2:$B$13,SUMPRODUCT((Lookup_Status!$A$2:$A$13=LOWER(TRIM(Raw_Passengers!F500)))*(ROW(Lookup_Status!$A$2:$A$13)-1))))</f>
        <v>Confirmed</v>
      </c>
      <c r="H500" s="7" t="str">
        <f>IF(SUMPRODUCT(--(Lookup_Status!$A$2:$A$13=LOWER(TRIM(Raw_Passengers!G500))))=0,"",INDEX(Lookup_Status!$B$2:$B$13,SUMPRODUCT((Lookup_Status!$A$2:$A$13=LOWER(TRIM(Raw_Passengers!G500)))*(ROW(Lookup_Status!$A$2:$A$13)-1))))</f>
        <v>Confirmed</v>
      </c>
      <c r="I500" s="7">
        <f>IF(OR(G500="",G500="Cancelled",G500="Mixed"),1,0)</f>
        <v>0</v>
      </c>
      <c r="J500" s="7">
        <f>IF(OR(H500="",H500="Mixed"),1,0)</f>
        <v>0</v>
      </c>
      <c r="K500" s="7">
        <f>IF(AND(C500=0,D500=0),IF(OR(AND(I500=0,NOT(EXACT(Raw_Passengers!F500,G500))),AND(J500=0,NOT(EXACT(Raw_Passengers!G500,H500)))),1,0),0)</f>
        <v>0</v>
      </c>
      <c r="L500" s="7">
        <f>IF(AND(C500=0,D500=0,I500=1),1,0)</f>
        <v>0</v>
      </c>
      <c r="M500" s="7">
        <f>IF(AND(C500=0,D500=0,J500=1),1,0)</f>
        <v>0</v>
      </c>
    </row>
    <row r="501" spans="1:13">
      <c r="A501" s="7">
        <f>Raw_Passengers!A501</f>
        <v>162794</v>
      </c>
      <c r="B501" s="7">
        <f>Raw_Passengers!B501</f>
        <v>1080716</v>
      </c>
      <c r="C501" s="7">
        <f>IF(COUNTIF(Raw_Passengers!$A$2:A501,Raw_Passengers!A501)&gt;1,1,0)</f>
        <v>0</v>
      </c>
      <c r="D501" s="7">
        <f>IF(COUNTIF(Raw_Bookings!$A$2:$A$648,Raw_Passengers!B501)=0,1,0)</f>
        <v>0</v>
      </c>
      <c r="E501" s="7">
        <f>IF(OR(C501=1,D501=1),0,IF(NOT(ISNUMBER(Raw_Passengers!E501)),1,IF(Raw_Passengers!E501&lt;=0,1,0)))</f>
        <v>0</v>
      </c>
      <c r="F501" s="7">
        <f>IF(AND(C501=0,D501=0,TRIM(Raw_Passengers!D501&amp;"")=""),1,0)</f>
        <v>0</v>
      </c>
      <c r="G501" s="7" t="str">
        <f>IF(SUMPRODUCT(--(Lookup_Status!$A$2:$A$13=LOWER(TRIM(Raw_Passengers!F501))))=0,"",INDEX(Lookup_Status!$B$2:$B$13,SUMPRODUCT((Lookup_Status!$A$2:$A$13=LOWER(TRIM(Raw_Passengers!F501)))*(ROW(Lookup_Status!$A$2:$A$13)-1))))</f>
        <v>Confirmed</v>
      </c>
      <c r="H501" s="7" t="str">
        <f>IF(SUMPRODUCT(--(Lookup_Status!$A$2:$A$13=LOWER(TRIM(Raw_Passengers!G501))))=0,"",INDEX(Lookup_Status!$B$2:$B$13,SUMPRODUCT((Lookup_Status!$A$2:$A$13=LOWER(TRIM(Raw_Passengers!G501)))*(ROW(Lookup_Status!$A$2:$A$13)-1))))</f>
        <v>Confirmed</v>
      </c>
      <c r="I501" s="7">
        <f>IF(OR(G501="",G501="Cancelled",G501="Mixed"),1,0)</f>
        <v>0</v>
      </c>
      <c r="J501" s="7">
        <f>IF(OR(H501="",H501="Mixed"),1,0)</f>
        <v>0</v>
      </c>
      <c r="K501" s="7">
        <f>IF(AND(C501=0,D501=0),IF(OR(AND(I501=0,NOT(EXACT(Raw_Passengers!F501,G501))),AND(J501=0,NOT(EXACT(Raw_Passengers!G501,H501)))),1,0),0)</f>
        <v>0</v>
      </c>
      <c r="L501" s="7">
        <f>IF(AND(C501=0,D501=0,I501=1),1,0)</f>
        <v>0</v>
      </c>
      <c r="M501" s="7">
        <f>IF(AND(C501=0,D501=0,J501=1),1,0)</f>
        <v>0</v>
      </c>
    </row>
    <row r="502" spans="1:13">
      <c r="A502" s="7">
        <f>Raw_Passengers!A502</f>
        <v>163095</v>
      </c>
      <c r="B502" s="7">
        <f>Raw_Passengers!B502</f>
        <v>1080854</v>
      </c>
      <c r="C502" s="7">
        <f>IF(COUNTIF(Raw_Passengers!$A$2:A502,Raw_Passengers!A502)&gt;1,1,0)</f>
        <v>0</v>
      </c>
      <c r="D502" s="7">
        <f>IF(COUNTIF(Raw_Bookings!$A$2:$A$648,Raw_Passengers!B502)=0,1,0)</f>
        <v>0</v>
      </c>
      <c r="E502" s="7">
        <f>IF(OR(C502=1,D502=1),0,IF(NOT(ISNUMBER(Raw_Passengers!E502)),1,IF(Raw_Passengers!E502&lt;=0,1,0)))</f>
        <v>0</v>
      </c>
      <c r="F502" s="7">
        <f>IF(AND(C502=0,D502=0,TRIM(Raw_Passengers!D502&amp;"")=""),1,0)</f>
        <v>0</v>
      </c>
      <c r="G502" s="7" t="str">
        <f>IF(SUMPRODUCT(--(Lookup_Status!$A$2:$A$13=LOWER(TRIM(Raw_Passengers!F502))))=0,"",INDEX(Lookup_Status!$B$2:$B$13,SUMPRODUCT((Lookup_Status!$A$2:$A$13=LOWER(TRIM(Raw_Passengers!F502)))*(ROW(Lookup_Status!$A$2:$A$13)-1))))</f>
        <v>Confirmed</v>
      </c>
      <c r="H502" s="7" t="str">
        <f>IF(SUMPRODUCT(--(Lookup_Status!$A$2:$A$13=LOWER(TRIM(Raw_Passengers!G502))))=0,"",INDEX(Lookup_Status!$B$2:$B$13,SUMPRODUCT((Lookup_Status!$A$2:$A$13=LOWER(TRIM(Raw_Passengers!G502)))*(ROW(Lookup_Status!$A$2:$A$13)-1))))</f>
        <v>Confirmed</v>
      </c>
      <c r="I502" s="7">
        <f>IF(OR(G502="",G502="Cancelled",G502="Mixed"),1,0)</f>
        <v>0</v>
      </c>
      <c r="J502" s="7">
        <f>IF(OR(H502="",H502="Mixed"),1,0)</f>
        <v>0</v>
      </c>
      <c r="K502" s="7">
        <f>IF(AND(C502=0,D502=0),IF(OR(AND(I502=0,NOT(EXACT(Raw_Passengers!F502,G502))),AND(J502=0,NOT(EXACT(Raw_Passengers!G502,H502)))),1,0),0)</f>
        <v>0</v>
      </c>
      <c r="L502" s="7">
        <f>IF(AND(C502=0,D502=0,I502=1),1,0)</f>
        <v>0</v>
      </c>
      <c r="M502" s="7">
        <f>IF(AND(C502=0,D502=0,J502=1),1,0)</f>
        <v>0</v>
      </c>
    </row>
    <row r="503" spans="1:13">
      <c r="A503" s="7">
        <f>Raw_Passengers!A503</f>
        <v>163781</v>
      </c>
      <c r="B503" s="7">
        <f>Raw_Passengers!B503</f>
        <v>1081189</v>
      </c>
      <c r="C503" s="7">
        <f>IF(COUNTIF(Raw_Passengers!$A$2:A503,Raw_Passengers!A503)&gt;1,1,0)</f>
        <v>0</v>
      </c>
      <c r="D503" s="7">
        <f>IF(COUNTIF(Raw_Bookings!$A$2:$A$648,Raw_Passengers!B503)=0,1,0)</f>
        <v>0</v>
      </c>
      <c r="E503" s="7">
        <f>IF(OR(C503=1,D503=1),0,IF(NOT(ISNUMBER(Raw_Passengers!E503)),1,IF(Raw_Passengers!E503&lt;=0,1,0)))</f>
        <v>0</v>
      </c>
      <c r="F503" s="7">
        <f>IF(AND(C503=0,D503=0,TRIM(Raw_Passengers!D503&amp;"")=""),1,0)</f>
        <v>0</v>
      </c>
      <c r="G503" s="7" t="str">
        <f>IF(SUMPRODUCT(--(Lookup_Status!$A$2:$A$13=LOWER(TRIM(Raw_Passengers!F503))))=0,"",INDEX(Lookup_Status!$B$2:$B$13,SUMPRODUCT((Lookup_Status!$A$2:$A$13=LOWER(TRIM(Raw_Passengers!F503)))*(ROW(Lookup_Status!$A$2:$A$13)-1))))</f>
        <v>Confirmed</v>
      </c>
      <c r="H503" s="7" t="str">
        <f>IF(SUMPRODUCT(--(Lookup_Status!$A$2:$A$13=LOWER(TRIM(Raw_Passengers!G503))))=0,"",INDEX(Lookup_Status!$B$2:$B$13,SUMPRODUCT((Lookup_Status!$A$2:$A$13=LOWER(TRIM(Raw_Passengers!G503)))*(ROW(Lookup_Status!$A$2:$A$13)-1))))</f>
        <v>Cancelled</v>
      </c>
      <c r="I503" s="7">
        <f>IF(OR(G503="",G503="Cancelled",G503="Mixed"),1,0)</f>
        <v>0</v>
      </c>
      <c r="J503" s="7">
        <f>IF(OR(H503="",H503="Mixed"),1,0)</f>
        <v>0</v>
      </c>
      <c r="K503" s="7">
        <f>IF(AND(C503=0,D503=0),IF(OR(AND(I503=0,NOT(EXACT(Raw_Passengers!F503,G503))),AND(J503=0,NOT(EXACT(Raw_Passengers!G503,H503)))),1,0),0)</f>
        <v>0</v>
      </c>
      <c r="L503" s="7">
        <f>IF(AND(C503=0,D503=0,I503=1),1,0)</f>
        <v>0</v>
      </c>
      <c r="M503" s="7">
        <f>IF(AND(C503=0,D503=0,J503=1),1,0)</f>
        <v>0</v>
      </c>
    </row>
    <row r="504" spans="1:13">
      <c r="A504" s="7">
        <f>Raw_Passengers!A504</f>
        <v>164855</v>
      </c>
      <c r="B504" s="7">
        <f>Raw_Passengers!B504</f>
        <v>1081720</v>
      </c>
      <c r="C504" s="7">
        <f>IF(COUNTIF(Raw_Passengers!$A$2:A504,Raw_Passengers!A504)&gt;1,1,0)</f>
        <v>0</v>
      </c>
      <c r="D504" s="7">
        <f>IF(COUNTIF(Raw_Bookings!$A$2:$A$648,Raw_Passengers!B504)=0,1,0)</f>
        <v>0</v>
      </c>
      <c r="E504" s="7">
        <f>IF(OR(C504=1,D504=1),0,IF(NOT(ISNUMBER(Raw_Passengers!E504)),1,IF(Raw_Passengers!E504&lt;=0,1,0)))</f>
        <v>0</v>
      </c>
      <c r="F504" s="7">
        <f>IF(AND(C504=0,D504=0,TRIM(Raw_Passengers!D504&amp;"")=""),1,0)</f>
        <v>0</v>
      </c>
      <c r="G504" s="7" t="str">
        <f>IF(SUMPRODUCT(--(Lookup_Status!$A$2:$A$13=LOWER(TRIM(Raw_Passengers!F504))))=0,"",INDEX(Lookup_Status!$B$2:$B$13,SUMPRODUCT((Lookup_Status!$A$2:$A$13=LOWER(TRIM(Raw_Passengers!F504)))*(ROW(Lookup_Status!$A$2:$A$13)-1))))</f>
        <v>Confirmed</v>
      </c>
      <c r="H504" s="7" t="str">
        <f>IF(SUMPRODUCT(--(Lookup_Status!$A$2:$A$13=LOWER(TRIM(Raw_Passengers!G504))))=0,"",INDEX(Lookup_Status!$B$2:$B$13,SUMPRODUCT((Lookup_Status!$A$2:$A$13=LOWER(TRIM(Raw_Passengers!G504)))*(ROW(Lookup_Status!$A$2:$A$13)-1))))</f>
        <v>Confirmed</v>
      </c>
      <c r="I504" s="7">
        <f>IF(OR(G504="",G504="Cancelled",G504="Mixed"),1,0)</f>
        <v>0</v>
      </c>
      <c r="J504" s="7">
        <f>IF(OR(H504="",H504="Mixed"),1,0)</f>
        <v>0</v>
      </c>
      <c r="K504" s="7">
        <f>IF(AND(C504=0,D504=0),IF(OR(AND(I504=0,NOT(EXACT(Raw_Passengers!F504,G504))),AND(J504=0,NOT(EXACT(Raw_Passengers!G504,H504)))),1,0),0)</f>
        <v>0</v>
      </c>
      <c r="L504" s="7">
        <f>IF(AND(C504=0,D504=0,I504=1),1,0)</f>
        <v>0</v>
      </c>
      <c r="M504" s="7">
        <f>IF(AND(C504=0,D504=0,J504=1),1,0)</f>
        <v>0</v>
      </c>
    </row>
    <row r="505" spans="1:13">
      <c r="A505" s="7">
        <f>Raw_Passengers!A505</f>
        <v>165182</v>
      </c>
      <c r="B505" s="7">
        <f>Raw_Passengers!B505</f>
        <v>1081876</v>
      </c>
      <c r="C505" s="7">
        <f>IF(COUNTIF(Raw_Passengers!$A$2:A505,Raw_Passengers!A505)&gt;1,1,0)</f>
        <v>0</v>
      </c>
      <c r="D505" s="7">
        <f>IF(COUNTIF(Raw_Bookings!$A$2:$A$648,Raw_Passengers!B505)=0,1,0)</f>
        <v>0</v>
      </c>
      <c r="E505" s="7">
        <f>IF(OR(C505=1,D505=1),0,IF(NOT(ISNUMBER(Raw_Passengers!E505)),1,IF(Raw_Passengers!E505&lt;=0,1,0)))</f>
        <v>0</v>
      </c>
      <c r="F505" s="7">
        <f>IF(AND(C505=0,D505=0,TRIM(Raw_Passengers!D505&amp;"")=""),1,0)</f>
        <v>0</v>
      </c>
      <c r="G505" s="7" t="str">
        <f>IF(SUMPRODUCT(--(Lookup_Status!$A$2:$A$13=LOWER(TRIM(Raw_Passengers!F505))))=0,"",INDEX(Lookup_Status!$B$2:$B$13,SUMPRODUCT((Lookup_Status!$A$2:$A$13=LOWER(TRIM(Raw_Passengers!F505)))*(ROW(Lookup_Status!$A$2:$A$13)-1))))</f>
        <v>Confirmed</v>
      </c>
      <c r="H505" s="7" t="str">
        <f>IF(SUMPRODUCT(--(Lookup_Status!$A$2:$A$13=LOWER(TRIM(Raw_Passengers!G505))))=0,"",INDEX(Lookup_Status!$B$2:$B$13,SUMPRODUCT((Lookup_Status!$A$2:$A$13=LOWER(TRIM(Raw_Passengers!G505)))*(ROW(Lookup_Status!$A$2:$A$13)-1))))</f>
        <v>Confirmed</v>
      </c>
      <c r="I505" s="7">
        <f>IF(OR(G505="",G505="Cancelled",G505="Mixed"),1,0)</f>
        <v>0</v>
      </c>
      <c r="J505" s="7">
        <f>IF(OR(H505="",H505="Mixed"),1,0)</f>
        <v>0</v>
      </c>
      <c r="K505" s="7">
        <f>IF(AND(C505=0,D505=0),IF(OR(AND(I505=0,NOT(EXACT(Raw_Passengers!F505,G505))),AND(J505=0,NOT(EXACT(Raw_Passengers!G505,H505)))),1,0),0)</f>
        <v>0</v>
      </c>
      <c r="L505" s="7">
        <f>IF(AND(C505=0,D505=0,I505=1),1,0)</f>
        <v>0</v>
      </c>
      <c r="M505" s="7">
        <f>IF(AND(C505=0,D505=0,J505=1),1,0)</f>
        <v>0</v>
      </c>
    </row>
    <row r="506" spans="1:13">
      <c r="A506" s="7">
        <f>Raw_Passengers!A506</f>
        <v>165183</v>
      </c>
      <c r="B506" s="7">
        <f>Raw_Passengers!B506</f>
        <v>1081876</v>
      </c>
      <c r="C506" s="7">
        <f>IF(COUNTIF(Raw_Passengers!$A$2:A506,Raw_Passengers!A506)&gt;1,1,0)</f>
        <v>0</v>
      </c>
      <c r="D506" s="7">
        <f>IF(COUNTIF(Raw_Bookings!$A$2:$A$648,Raw_Passengers!B506)=0,1,0)</f>
        <v>0</v>
      </c>
      <c r="E506" s="7">
        <f>IF(OR(C506=1,D506=1),0,IF(NOT(ISNUMBER(Raw_Passengers!E506)),1,IF(Raw_Passengers!E506&lt;=0,1,0)))</f>
        <v>0</v>
      </c>
      <c r="F506" s="7">
        <f>IF(AND(C506=0,D506=0,TRIM(Raw_Passengers!D506&amp;"")=""),1,0)</f>
        <v>0</v>
      </c>
      <c r="G506" s="7" t="str">
        <f>IF(SUMPRODUCT(--(Lookup_Status!$A$2:$A$13=LOWER(TRIM(Raw_Passengers!F506))))=0,"",INDEX(Lookup_Status!$B$2:$B$13,SUMPRODUCT((Lookup_Status!$A$2:$A$13=LOWER(TRIM(Raw_Passengers!F506)))*(ROW(Lookup_Status!$A$2:$A$13)-1))))</f>
        <v>Confirmed</v>
      </c>
      <c r="H506" s="7" t="str">
        <f>IF(SUMPRODUCT(--(Lookup_Status!$A$2:$A$13=LOWER(TRIM(Raw_Passengers!G506))))=0,"",INDEX(Lookup_Status!$B$2:$B$13,SUMPRODUCT((Lookup_Status!$A$2:$A$13=LOWER(TRIM(Raw_Passengers!G506)))*(ROW(Lookup_Status!$A$2:$A$13)-1))))</f>
        <v>Confirmed</v>
      </c>
      <c r="I506" s="7">
        <f>IF(OR(G506="",G506="Cancelled",G506="Mixed"),1,0)</f>
        <v>0</v>
      </c>
      <c r="J506" s="7">
        <f>IF(OR(H506="",H506="Mixed"),1,0)</f>
        <v>0</v>
      </c>
      <c r="K506" s="7">
        <f>IF(AND(C506=0,D506=0),IF(OR(AND(I506=0,NOT(EXACT(Raw_Passengers!F506,G506))),AND(J506=0,NOT(EXACT(Raw_Passengers!G506,H506)))),1,0),0)</f>
        <v>0</v>
      </c>
      <c r="L506" s="7">
        <f>IF(AND(C506=0,D506=0,I506=1),1,0)</f>
        <v>0</v>
      </c>
      <c r="M506" s="7">
        <f>IF(AND(C506=0,D506=0,J506=1),1,0)</f>
        <v>0</v>
      </c>
    </row>
    <row r="507" spans="1:13">
      <c r="A507" s="7">
        <f>Raw_Passengers!A507</f>
        <v>166343</v>
      </c>
      <c r="B507" s="7">
        <f>Raw_Passengers!B507</f>
        <v>1082449</v>
      </c>
      <c r="C507" s="7">
        <f>IF(COUNTIF(Raw_Passengers!$A$2:A507,Raw_Passengers!A507)&gt;1,1,0)</f>
        <v>0</v>
      </c>
      <c r="D507" s="7">
        <f>IF(COUNTIF(Raw_Bookings!$A$2:$A$648,Raw_Passengers!B507)=0,1,0)</f>
        <v>0</v>
      </c>
      <c r="E507" s="7">
        <f>IF(OR(C507=1,D507=1),0,IF(NOT(ISNUMBER(Raw_Passengers!E507)),1,IF(Raw_Passengers!E507&lt;=0,1,0)))</f>
        <v>0</v>
      </c>
      <c r="F507" s="7">
        <f>IF(AND(C507=0,D507=0,TRIM(Raw_Passengers!D507&amp;"")=""),1,0)</f>
        <v>0</v>
      </c>
      <c r="G507" s="7" t="str">
        <f>IF(SUMPRODUCT(--(Lookup_Status!$A$2:$A$13=LOWER(TRIM(Raw_Passengers!F507))))=0,"",INDEX(Lookup_Status!$B$2:$B$13,SUMPRODUCT((Lookup_Status!$A$2:$A$13=LOWER(TRIM(Raw_Passengers!F507)))*(ROW(Lookup_Status!$A$2:$A$13)-1))))</f>
        <v>Confirmed</v>
      </c>
      <c r="H507" s="7" t="str">
        <f>IF(SUMPRODUCT(--(Lookup_Status!$A$2:$A$13=LOWER(TRIM(Raw_Passengers!G507))))=0,"",INDEX(Lookup_Status!$B$2:$B$13,SUMPRODUCT((Lookup_Status!$A$2:$A$13=LOWER(TRIM(Raw_Passengers!G507)))*(ROW(Lookup_Status!$A$2:$A$13)-1))))</f>
        <v>Confirmed</v>
      </c>
      <c r="I507" s="7">
        <f>IF(OR(G507="",G507="Cancelled",G507="Mixed"),1,0)</f>
        <v>0</v>
      </c>
      <c r="J507" s="7">
        <f>IF(OR(H507="",H507="Mixed"),1,0)</f>
        <v>0</v>
      </c>
      <c r="K507" s="7">
        <f>IF(AND(C507=0,D507=0),IF(OR(AND(I507=0,NOT(EXACT(Raw_Passengers!F507,G507))),AND(J507=0,NOT(EXACT(Raw_Passengers!G507,H507)))),1,0),0)</f>
        <v>0</v>
      </c>
      <c r="L507" s="7">
        <f>IF(AND(C507=0,D507=0,I507=1),1,0)</f>
        <v>0</v>
      </c>
      <c r="M507" s="7">
        <f>IF(AND(C507=0,D507=0,J507=1),1,0)</f>
        <v>0</v>
      </c>
    </row>
    <row r="508" spans="1:13">
      <c r="A508" s="7">
        <f>Raw_Passengers!A508</f>
        <v>169193</v>
      </c>
      <c r="B508" s="7">
        <f>Raw_Passengers!B508</f>
        <v>1083870</v>
      </c>
      <c r="C508" s="7">
        <f>IF(COUNTIF(Raw_Passengers!$A$2:A508,Raw_Passengers!A508)&gt;1,1,0)</f>
        <v>0</v>
      </c>
      <c r="D508" s="7">
        <f>IF(COUNTIF(Raw_Bookings!$A$2:$A$648,Raw_Passengers!B508)=0,1,0)</f>
        <v>0</v>
      </c>
      <c r="E508" s="7">
        <f>IF(OR(C508=1,D508=1),0,IF(NOT(ISNUMBER(Raw_Passengers!E508)),1,IF(Raw_Passengers!E508&lt;=0,1,0)))</f>
        <v>0</v>
      </c>
      <c r="F508" s="7">
        <f>IF(AND(C508=0,D508=0,TRIM(Raw_Passengers!D508&amp;"")=""),1,0)</f>
        <v>0</v>
      </c>
      <c r="G508" s="7" t="str">
        <f>IF(SUMPRODUCT(--(Lookup_Status!$A$2:$A$13=LOWER(TRIM(Raw_Passengers!F508))))=0,"",INDEX(Lookup_Status!$B$2:$B$13,SUMPRODUCT((Lookup_Status!$A$2:$A$13=LOWER(TRIM(Raw_Passengers!F508)))*(ROW(Lookup_Status!$A$2:$A$13)-1))))</f>
        <v>Confirmed</v>
      </c>
      <c r="H508" s="7" t="str">
        <f>IF(SUMPRODUCT(--(Lookup_Status!$A$2:$A$13=LOWER(TRIM(Raw_Passengers!G508))))=0,"",INDEX(Lookup_Status!$B$2:$B$13,SUMPRODUCT((Lookup_Status!$A$2:$A$13=LOWER(TRIM(Raw_Passengers!G508)))*(ROW(Lookup_Status!$A$2:$A$13)-1))))</f>
        <v>Confirmed</v>
      </c>
      <c r="I508" s="7">
        <f>IF(OR(G508="",G508="Cancelled",G508="Mixed"),1,0)</f>
        <v>0</v>
      </c>
      <c r="J508" s="7">
        <f>IF(OR(H508="",H508="Mixed"),1,0)</f>
        <v>0</v>
      </c>
      <c r="K508" s="7">
        <f>IF(AND(C508=0,D508=0),IF(OR(AND(I508=0,NOT(EXACT(Raw_Passengers!F508,G508))),AND(J508=0,NOT(EXACT(Raw_Passengers!G508,H508)))),1,0),0)</f>
        <v>0</v>
      </c>
      <c r="L508" s="7">
        <f>IF(AND(C508=0,D508=0,I508=1),1,0)</f>
        <v>0</v>
      </c>
      <c r="M508" s="7">
        <f>IF(AND(C508=0,D508=0,J508=1),1,0)</f>
        <v>0</v>
      </c>
    </row>
    <row r="509" spans="1:13">
      <c r="A509" s="7">
        <f>Raw_Passengers!A509</f>
        <v>169194</v>
      </c>
      <c r="B509" s="7">
        <f>Raw_Passengers!B509</f>
        <v>1083870</v>
      </c>
      <c r="C509" s="7">
        <f>IF(COUNTIF(Raw_Passengers!$A$2:A509,Raw_Passengers!A509)&gt;1,1,0)</f>
        <v>0</v>
      </c>
      <c r="D509" s="7">
        <f>IF(COUNTIF(Raw_Bookings!$A$2:$A$648,Raw_Passengers!B509)=0,1,0)</f>
        <v>0</v>
      </c>
      <c r="E509" s="7">
        <f>IF(OR(C509=1,D509=1),0,IF(NOT(ISNUMBER(Raw_Passengers!E509)),1,IF(Raw_Passengers!E509&lt;=0,1,0)))</f>
        <v>0</v>
      </c>
      <c r="F509" s="7">
        <f>IF(AND(C509=0,D509=0,TRIM(Raw_Passengers!D509&amp;"")=""),1,0)</f>
        <v>0</v>
      </c>
      <c r="G509" s="7" t="str">
        <f>IF(SUMPRODUCT(--(Lookup_Status!$A$2:$A$13=LOWER(TRIM(Raw_Passengers!F509))))=0,"",INDEX(Lookup_Status!$B$2:$B$13,SUMPRODUCT((Lookup_Status!$A$2:$A$13=LOWER(TRIM(Raw_Passengers!F509)))*(ROW(Lookup_Status!$A$2:$A$13)-1))))</f>
        <v>Confirmed</v>
      </c>
      <c r="H509" s="7" t="str">
        <f>IF(SUMPRODUCT(--(Lookup_Status!$A$2:$A$13=LOWER(TRIM(Raw_Passengers!G509))))=0,"",INDEX(Lookup_Status!$B$2:$B$13,SUMPRODUCT((Lookup_Status!$A$2:$A$13=LOWER(TRIM(Raw_Passengers!G509)))*(ROW(Lookup_Status!$A$2:$A$13)-1))))</f>
        <v>Confirmed</v>
      </c>
      <c r="I509" s="7">
        <f>IF(OR(G509="",G509="Cancelled",G509="Mixed"),1,0)</f>
        <v>0</v>
      </c>
      <c r="J509" s="7">
        <f>IF(OR(H509="",H509="Mixed"),1,0)</f>
        <v>0</v>
      </c>
      <c r="K509" s="7">
        <f>IF(AND(C509=0,D509=0),IF(OR(AND(I509=0,NOT(EXACT(Raw_Passengers!F509,G509))),AND(J509=0,NOT(EXACT(Raw_Passengers!G509,H509)))),1,0),0)</f>
        <v>0</v>
      </c>
      <c r="L509" s="7">
        <f>IF(AND(C509=0,D509=0,I509=1),1,0)</f>
        <v>0</v>
      </c>
      <c r="M509" s="7">
        <f>IF(AND(C509=0,D509=0,J509=1),1,0)</f>
        <v>0</v>
      </c>
    </row>
    <row r="510" spans="1:13">
      <c r="A510" s="7">
        <f>Raw_Passengers!A510</f>
        <v>169195</v>
      </c>
      <c r="B510" s="7">
        <f>Raw_Passengers!B510</f>
        <v>1083870</v>
      </c>
      <c r="C510" s="7">
        <f>IF(COUNTIF(Raw_Passengers!$A$2:A510,Raw_Passengers!A510)&gt;1,1,0)</f>
        <v>0</v>
      </c>
      <c r="D510" s="7">
        <f>IF(COUNTIF(Raw_Bookings!$A$2:$A$648,Raw_Passengers!B510)=0,1,0)</f>
        <v>0</v>
      </c>
      <c r="E510" s="7">
        <f>IF(OR(C510=1,D510=1),0,IF(NOT(ISNUMBER(Raw_Passengers!E510)),1,IF(Raw_Passengers!E510&lt;=0,1,0)))</f>
        <v>0</v>
      </c>
      <c r="F510" s="7">
        <f>IF(AND(C510=0,D510=0,TRIM(Raw_Passengers!D510&amp;"")=""),1,0)</f>
        <v>0</v>
      </c>
      <c r="G510" s="7" t="str">
        <f>IF(SUMPRODUCT(--(Lookup_Status!$A$2:$A$13=LOWER(TRIM(Raw_Passengers!F510))))=0,"",INDEX(Lookup_Status!$B$2:$B$13,SUMPRODUCT((Lookup_Status!$A$2:$A$13=LOWER(TRIM(Raw_Passengers!F510)))*(ROW(Lookup_Status!$A$2:$A$13)-1))))</f>
        <v>Confirmed</v>
      </c>
      <c r="H510" s="7" t="str">
        <f>IF(SUMPRODUCT(--(Lookup_Status!$A$2:$A$13=LOWER(TRIM(Raw_Passengers!G510))))=0,"",INDEX(Lookup_Status!$B$2:$B$13,SUMPRODUCT((Lookup_Status!$A$2:$A$13=LOWER(TRIM(Raw_Passengers!G510)))*(ROW(Lookup_Status!$A$2:$A$13)-1))))</f>
        <v>Confirmed</v>
      </c>
      <c r="I510" s="7">
        <f>IF(OR(G510="",G510="Cancelled",G510="Mixed"),1,0)</f>
        <v>0</v>
      </c>
      <c r="J510" s="7">
        <f>IF(OR(H510="",H510="Mixed"),1,0)</f>
        <v>0</v>
      </c>
      <c r="K510" s="7">
        <f>IF(AND(C510=0,D510=0),IF(OR(AND(I510=0,NOT(EXACT(Raw_Passengers!F510,G510))),AND(J510=0,NOT(EXACT(Raw_Passengers!G510,H510)))),1,0),0)</f>
        <v>0</v>
      </c>
      <c r="L510" s="7">
        <f>IF(AND(C510=0,D510=0,I510=1),1,0)</f>
        <v>0</v>
      </c>
      <c r="M510" s="7">
        <f>IF(AND(C510=0,D510=0,J510=1),1,0)</f>
        <v>0</v>
      </c>
    </row>
    <row r="511" spans="1:13">
      <c r="A511" s="7">
        <f>Raw_Passengers!A511</f>
        <v>169196</v>
      </c>
      <c r="B511" s="7">
        <f>Raw_Passengers!B511</f>
        <v>1083870</v>
      </c>
      <c r="C511" s="7">
        <f>IF(COUNTIF(Raw_Passengers!$A$2:A511,Raw_Passengers!A511)&gt;1,1,0)</f>
        <v>0</v>
      </c>
      <c r="D511" s="7">
        <f>IF(COUNTIF(Raw_Bookings!$A$2:$A$648,Raw_Passengers!B511)=0,1,0)</f>
        <v>0</v>
      </c>
      <c r="E511" s="7">
        <f>IF(OR(C511=1,D511=1),0,IF(NOT(ISNUMBER(Raw_Passengers!E511)),1,IF(Raw_Passengers!E511&lt;=0,1,0)))</f>
        <v>0</v>
      </c>
      <c r="F511" s="7">
        <f>IF(AND(C511=0,D511=0,TRIM(Raw_Passengers!D511&amp;"")=""),1,0)</f>
        <v>0</v>
      </c>
      <c r="G511" s="7" t="str">
        <f>IF(SUMPRODUCT(--(Lookup_Status!$A$2:$A$13=LOWER(TRIM(Raw_Passengers!F511))))=0,"",INDEX(Lookup_Status!$B$2:$B$13,SUMPRODUCT((Lookup_Status!$A$2:$A$13=LOWER(TRIM(Raw_Passengers!F511)))*(ROW(Lookup_Status!$A$2:$A$13)-1))))</f>
        <v>Confirmed</v>
      </c>
      <c r="H511" s="7" t="str">
        <f>IF(SUMPRODUCT(--(Lookup_Status!$A$2:$A$13=LOWER(TRIM(Raw_Passengers!G511))))=0,"",INDEX(Lookup_Status!$B$2:$B$13,SUMPRODUCT((Lookup_Status!$A$2:$A$13=LOWER(TRIM(Raw_Passengers!G511)))*(ROW(Lookup_Status!$A$2:$A$13)-1))))</f>
        <v>Confirmed</v>
      </c>
      <c r="I511" s="7">
        <f>IF(OR(G511="",G511="Cancelled",G511="Mixed"),1,0)</f>
        <v>0</v>
      </c>
      <c r="J511" s="7">
        <f>IF(OR(H511="",H511="Mixed"),1,0)</f>
        <v>0</v>
      </c>
      <c r="K511" s="7">
        <f>IF(AND(C511=0,D511=0),IF(OR(AND(I511=0,NOT(EXACT(Raw_Passengers!F511,G511))),AND(J511=0,NOT(EXACT(Raw_Passengers!G511,H511)))),1,0),0)</f>
        <v>0</v>
      </c>
      <c r="L511" s="7">
        <f>IF(AND(C511=0,D511=0,I511=1),1,0)</f>
        <v>0</v>
      </c>
      <c r="M511" s="7">
        <f>IF(AND(C511=0,D511=0,J511=1),1,0)</f>
        <v>0</v>
      </c>
    </row>
    <row r="512" spans="1:13">
      <c r="A512" s="7">
        <f>Raw_Passengers!A512</f>
        <v>169197</v>
      </c>
      <c r="B512" s="7">
        <f>Raw_Passengers!B512</f>
        <v>1083870</v>
      </c>
      <c r="C512" s="7">
        <f>IF(COUNTIF(Raw_Passengers!$A$2:A512,Raw_Passengers!A512)&gt;1,1,0)</f>
        <v>0</v>
      </c>
      <c r="D512" s="7">
        <f>IF(COUNTIF(Raw_Bookings!$A$2:$A$648,Raw_Passengers!B512)=0,1,0)</f>
        <v>0</v>
      </c>
      <c r="E512" s="7">
        <f>IF(OR(C512=1,D512=1),0,IF(NOT(ISNUMBER(Raw_Passengers!E512)),1,IF(Raw_Passengers!E512&lt;=0,1,0)))</f>
        <v>0</v>
      </c>
      <c r="F512" s="7">
        <f>IF(AND(C512=0,D512=0,TRIM(Raw_Passengers!D512&amp;"")=""),1,0)</f>
        <v>0</v>
      </c>
      <c r="G512" s="7" t="str">
        <f>IF(SUMPRODUCT(--(Lookup_Status!$A$2:$A$13=LOWER(TRIM(Raw_Passengers!F512))))=0,"",INDEX(Lookup_Status!$B$2:$B$13,SUMPRODUCT((Lookup_Status!$A$2:$A$13=LOWER(TRIM(Raw_Passengers!F512)))*(ROW(Lookup_Status!$A$2:$A$13)-1))))</f>
        <v>Confirmed</v>
      </c>
      <c r="H512" s="7" t="str">
        <f>IF(SUMPRODUCT(--(Lookup_Status!$A$2:$A$13=LOWER(TRIM(Raw_Passengers!G512))))=0,"",INDEX(Lookup_Status!$B$2:$B$13,SUMPRODUCT((Lookup_Status!$A$2:$A$13=LOWER(TRIM(Raw_Passengers!G512)))*(ROW(Lookup_Status!$A$2:$A$13)-1))))</f>
        <v>Confirmed</v>
      </c>
      <c r="I512" s="7">
        <f>IF(OR(G512="",G512="Cancelled",G512="Mixed"),1,0)</f>
        <v>0</v>
      </c>
      <c r="J512" s="7">
        <f>IF(OR(H512="",H512="Mixed"),1,0)</f>
        <v>0</v>
      </c>
      <c r="K512" s="7">
        <f>IF(AND(C512=0,D512=0),IF(OR(AND(I512=0,NOT(EXACT(Raw_Passengers!F512,G512))),AND(J512=0,NOT(EXACT(Raw_Passengers!G512,H512)))),1,0),0)</f>
        <v>0</v>
      </c>
      <c r="L512" s="7">
        <f>IF(AND(C512=0,D512=0,I512=1),1,0)</f>
        <v>0</v>
      </c>
      <c r="M512" s="7">
        <f>IF(AND(C512=0,D512=0,J512=1),1,0)</f>
        <v>0</v>
      </c>
    </row>
    <row r="513" spans="1:13">
      <c r="A513" s="7">
        <f>Raw_Passengers!A513</f>
        <v>169198</v>
      </c>
      <c r="B513" s="7">
        <f>Raw_Passengers!B513</f>
        <v>1083870</v>
      </c>
      <c r="C513" s="7">
        <f>IF(COUNTIF(Raw_Passengers!$A$2:A513,Raw_Passengers!A513)&gt;1,1,0)</f>
        <v>0</v>
      </c>
      <c r="D513" s="7">
        <f>IF(COUNTIF(Raw_Bookings!$A$2:$A$648,Raw_Passengers!B513)=0,1,0)</f>
        <v>0</v>
      </c>
      <c r="E513" s="7">
        <f>IF(OR(C513=1,D513=1),0,IF(NOT(ISNUMBER(Raw_Passengers!E513)),1,IF(Raw_Passengers!E513&lt;=0,1,0)))</f>
        <v>0</v>
      </c>
      <c r="F513" s="7">
        <f>IF(AND(C513=0,D513=0,TRIM(Raw_Passengers!D513&amp;"")=""),1,0)</f>
        <v>0</v>
      </c>
      <c r="G513" s="7" t="str">
        <f>IF(SUMPRODUCT(--(Lookup_Status!$A$2:$A$13=LOWER(TRIM(Raw_Passengers!F513))))=0,"",INDEX(Lookup_Status!$B$2:$B$13,SUMPRODUCT((Lookup_Status!$A$2:$A$13=LOWER(TRIM(Raw_Passengers!F513)))*(ROW(Lookup_Status!$A$2:$A$13)-1))))</f>
        <v>Confirmed</v>
      </c>
      <c r="H513" s="7" t="str">
        <f>IF(SUMPRODUCT(--(Lookup_Status!$A$2:$A$13=LOWER(TRIM(Raw_Passengers!G513))))=0,"",INDEX(Lookup_Status!$B$2:$B$13,SUMPRODUCT((Lookup_Status!$A$2:$A$13=LOWER(TRIM(Raw_Passengers!G513)))*(ROW(Lookup_Status!$A$2:$A$13)-1))))</f>
        <v>Confirmed</v>
      </c>
      <c r="I513" s="7">
        <f>IF(OR(G513="",G513="Cancelled",G513="Mixed"),1,0)</f>
        <v>0</v>
      </c>
      <c r="J513" s="7">
        <f>IF(OR(H513="",H513="Mixed"),1,0)</f>
        <v>0</v>
      </c>
      <c r="K513" s="7">
        <f>IF(AND(C513=0,D513=0),IF(OR(AND(I513=0,NOT(EXACT(Raw_Passengers!F513,G513))),AND(J513=0,NOT(EXACT(Raw_Passengers!G513,H513)))),1,0),0)</f>
        <v>0</v>
      </c>
      <c r="L513" s="7">
        <f>IF(AND(C513=0,D513=0,I513=1),1,0)</f>
        <v>0</v>
      </c>
      <c r="M513" s="7">
        <f>IF(AND(C513=0,D513=0,J513=1),1,0)</f>
        <v>0</v>
      </c>
    </row>
    <row r="514" spans="1:13">
      <c r="A514" s="7">
        <f>Raw_Passengers!A514</f>
        <v>170601</v>
      </c>
      <c r="B514" s="7">
        <f>Raw_Passengers!B514</f>
        <v>1084581</v>
      </c>
      <c r="C514" s="7">
        <f>IF(COUNTIF(Raw_Passengers!$A$2:A514,Raw_Passengers!A514)&gt;1,1,0)</f>
        <v>0</v>
      </c>
      <c r="D514" s="7">
        <f>IF(COUNTIF(Raw_Bookings!$A$2:$A$648,Raw_Passengers!B514)=0,1,0)</f>
        <v>0</v>
      </c>
      <c r="E514" s="7">
        <f>IF(OR(C514=1,D514=1),0,IF(NOT(ISNUMBER(Raw_Passengers!E514)),1,IF(Raw_Passengers!E514&lt;=0,1,0)))</f>
        <v>0</v>
      </c>
      <c r="F514" s="7">
        <f>IF(AND(C514=0,D514=0,TRIM(Raw_Passengers!D514&amp;"")=""),1,0)</f>
        <v>0</v>
      </c>
      <c r="G514" s="7" t="str">
        <f>IF(SUMPRODUCT(--(Lookup_Status!$A$2:$A$13=LOWER(TRIM(Raw_Passengers!F514))))=0,"",INDEX(Lookup_Status!$B$2:$B$13,SUMPRODUCT((Lookup_Status!$A$2:$A$13=LOWER(TRIM(Raw_Passengers!F514)))*(ROW(Lookup_Status!$A$2:$A$13)-1))))</f>
        <v>Confirmed</v>
      </c>
      <c r="H514" s="7" t="str">
        <f>IF(SUMPRODUCT(--(Lookup_Status!$A$2:$A$13=LOWER(TRIM(Raw_Passengers!G514))))=0,"",INDEX(Lookup_Status!$B$2:$B$13,SUMPRODUCT((Lookup_Status!$A$2:$A$13=LOWER(TRIM(Raw_Passengers!G514)))*(ROW(Lookup_Status!$A$2:$A$13)-1))))</f>
        <v>Confirmed</v>
      </c>
      <c r="I514" s="7">
        <f>IF(OR(G514="",G514="Cancelled",G514="Mixed"),1,0)</f>
        <v>0</v>
      </c>
      <c r="J514" s="7">
        <f>IF(OR(H514="",H514="Mixed"),1,0)</f>
        <v>0</v>
      </c>
      <c r="K514" s="7">
        <f>IF(AND(C514=0,D514=0),IF(OR(AND(I514=0,NOT(EXACT(Raw_Passengers!F514,G514))),AND(J514=0,NOT(EXACT(Raw_Passengers!G514,H514)))),1,0),0)</f>
        <v>0</v>
      </c>
      <c r="L514" s="7">
        <f>IF(AND(C514=0,D514=0,I514=1),1,0)</f>
        <v>0</v>
      </c>
      <c r="M514" s="7">
        <f>IF(AND(C514=0,D514=0,J514=1),1,0)</f>
        <v>0</v>
      </c>
    </row>
    <row r="515" spans="1:13">
      <c r="A515" s="7">
        <f>Raw_Passengers!A515</f>
        <v>170602</v>
      </c>
      <c r="B515" s="7">
        <f>Raw_Passengers!B515</f>
        <v>1084581</v>
      </c>
      <c r="C515" s="7">
        <f>IF(COUNTIF(Raw_Passengers!$A$2:A515,Raw_Passengers!A515)&gt;1,1,0)</f>
        <v>0</v>
      </c>
      <c r="D515" s="7">
        <f>IF(COUNTIF(Raw_Bookings!$A$2:$A$648,Raw_Passengers!B515)=0,1,0)</f>
        <v>0</v>
      </c>
      <c r="E515" s="7">
        <f>IF(OR(C515=1,D515=1),0,IF(NOT(ISNUMBER(Raw_Passengers!E515)),1,IF(Raw_Passengers!E515&lt;=0,1,0)))</f>
        <v>0</v>
      </c>
      <c r="F515" s="7">
        <f>IF(AND(C515=0,D515=0,TRIM(Raw_Passengers!D515&amp;"")=""),1,0)</f>
        <v>0</v>
      </c>
      <c r="G515" s="7" t="str">
        <f>IF(SUMPRODUCT(--(Lookup_Status!$A$2:$A$13=LOWER(TRIM(Raw_Passengers!F515))))=0,"",INDEX(Lookup_Status!$B$2:$B$13,SUMPRODUCT((Lookup_Status!$A$2:$A$13=LOWER(TRIM(Raw_Passengers!F515)))*(ROW(Lookup_Status!$A$2:$A$13)-1))))</f>
        <v>Confirmed</v>
      </c>
      <c r="H515" s="7" t="str">
        <f>IF(SUMPRODUCT(--(Lookup_Status!$A$2:$A$13=LOWER(TRIM(Raw_Passengers!G515))))=0,"",INDEX(Lookup_Status!$B$2:$B$13,SUMPRODUCT((Lookup_Status!$A$2:$A$13=LOWER(TRIM(Raw_Passengers!G515)))*(ROW(Lookup_Status!$A$2:$A$13)-1))))</f>
        <v>Confirmed</v>
      </c>
      <c r="I515" s="7">
        <f>IF(OR(G515="",G515="Cancelled",G515="Mixed"),1,0)</f>
        <v>0</v>
      </c>
      <c r="J515" s="7">
        <f>IF(OR(H515="",H515="Mixed"),1,0)</f>
        <v>0</v>
      </c>
      <c r="K515" s="7">
        <f>IF(AND(C515=0,D515=0),IF(OR(AND(I515=0,NOT(EXACT(Raw_Passengers!F515,G515))),AND(J515=0,NOT(EXACT(Raw_Passengers!G515,H515)))),1,0),0)</f>
        <v>0</v>
      </c>
      <c r="L515" s="7">
        <f>IF(AND(C515=0,D515=0,I515=1),1,0)</f>
        <v>0</v>
      </c>
      <c r="M515" s="7">
        <f>IF(AND(C515=0,D515=0,J515=1),1,0)</f>
        <v>0</v>
      </c>
    </row>
    <row r="516" spans="1:13">
      <c r="A516" s="7">
        <f>Raw_Passengers!A516</f>
        <v>170603</v>
      </c>
      <c r="B516" s="7">
        <f>Raw_Passengers!B516</f>
        <v>1084581</v>
      </c>
      <c r="C516" s="7">
        <f>IF(COUNTIF(Raw_Passengers!$A$2:A516,Raw_Passengers!A516)&gt;1,1,0)</f>
        <v>0</v>
      </c>
      <c r="D516" s="7">
        <f>IF(COUNTIF(Raw_Bookings!$A$2:$A$648,Raw_Passengers!B516)=0,1,0)</f>
        <v>0</v>
      </c>
      <c r="E516" s="7">
        <f>IF(OR(C516=1,D516=1),0,IF(NOT(ISNUMBER(Raw_Passengers!E516)),1,IF(Raw_Passengers!E516&lt;=0,1,0)))</f>
        <v>0</v>
      </c>
      <c r="F516" s="7">
        <f>IF(AND(C516=0,D516=0,TRIM(Raw_Passengers!D516&amp;"")=""),1,0)</f>
        <v>0</v>
      </c>
      <c r="G516" s="7" t="str">
        <f>IF(SUMPRODUCT(--(Lookup_Status!$A$2:$A$13=LOWER(TRIM(Raw_Passengers!F516))))=0,"",INDEX(Lookup_Status!$B$2:$B$13,SUMPRODUCT((Lookup_Status!$A$2:$A$13=LOWER(TRIM(Raw_Passengers!F516)))*(ROW(Lookup_Status!$A$2:$A$13)-1))))</f>
        <v>Confirmed</v>
      </c>
      <c r="H516" s="7" t="str">
        <f>IF(SUMPRODUCT(--(Lookup_Status!$A$2:$A$13=LOWER(TRIM(Raw_Passengers!G516))))=0,"",INDEX(Lookup_Status!$B$2:$B$13,SUMPRODUCT((Lookup_Status!$A$2:$A$13=LOWER(TRIM(Raw_Passengers!G516)))*(ROW(Lookup_Status!$A$2:$A$13)-1))))</f>
        <v>Confirmed</v>
      </c>
      <c r="I516" s="7">
        <f>IF(OR(G516="",G516="Cancelled",G516="Mixed"),1,0)</f>
        <v>0</v>
      </c>
      <c r="J516" s="7">
        <f>IF(OR(H516="",H516="Mixed"),1,0)</f>
        <v>0</v>
      </c>
      <c r="K516" s="7">
        <f>IF(AND(C516=0,D516=0),IF(OR(AND(I516=0,NOT(EXACT(Raw_Passengers!F516,G516))),AND(J516=0,NOT(EXACT(Raw_Passengers!G516,H516)))),1,0),0)</f>
        <v>0</v>
      </c>
      <c r="L516" s="7">
        <f>IF(AND(C516=0,D516=0,I516=1),1,0)</f>
        <v>0</v>
      </c>
      <c r="M516" s="7">
        <f>IF(AND(C516=0,D516=0,J516=1),1,0)</f>
        <v>0</v>
      </c>
    </row>
    <row r="517" spans="1:13">
      <c r="A517" s="7">
        <f>Raw_Passengers!A517</f>
        <v>170604</v>
      </c>
      <c r="B517" s="7">
        <f>Raw_Passengers!B517</f>
        <v>1084581</v>
      </c>
      <c r="C517" s="7">
        <f>IF(COUNTIF(Raw_Passengers!$A$2:A517,Raw_Passengers!A517)&gt;1,1,0)</f>
        <v>0</v>
      </c>
      <c r="D517" s="7">
        <f>IF(COUNTIF(Raw_Bookings!$A$2:$A$648,Raw_Passengers!B517)=0,1,0)</f>
        <v>0</v>
      </c>
      <c r="E517" s="7">
        <f>IF(OR(C517=1,D517=1),0,IF(NOT(ISNUMBER(Raw_Passengers!E517)),1,IF(Raw_Passengers!E517&lt;=0,1,0)))</f>
        <v>0</v>
      </c>
      <c r="F517" s="7">
        <f>IF(AND(C517=0,D517=0,TRIM(Raw_Passengers!D517&amp;"")=""),1,0)</f>
        <v>0</v>
      </c>
      <c r="G517" s="7" t="str">
        <f>IF(SUMPRODUCT(--(Lookup_Status!$A$2:$A$13=LOWER(TRIM(Raw_Passengers!F517))))=0,"",INDEX(Lookup_Status!$B$2:$B$13,SUMPRODUCT((Lookup_Status!$A$2:$A$13=LOWER(TRIM(Raw_Passengers!F517)))*(ROW(Lookup_Status!$A$2:$A$13)-1))))</f>
        <v>Confirmed</v>
      </c>
      <c r="H517" s="7" t="str">
        <f>IF(SUMPRODUCT(--(Lookup_Status!$A$2:$A$13=LOWER(TRIM(Raw_Passengers!G517))))=0,"",INDEX(Lookup_Status!$B$2:$B$13,SUMPRODUCT((Lookup_Status!$A$2:$A$13=LOWER(TRIM(Raw_Passengers!G517)))*(ROW(Lookup_Status!$A$2:$A$13)-1))))</f>
        <v>Confirmed</v>
      </c>
      <c r="I517" s="7">
        <f>IF(OR(G517="",G517="Cancelled",G517="Mixed"),1,0)</f>
        <v>0</v>
      </c>
      <c r="J517" s="7">
        <f>IF(OR(H517="",H517="Mixed"),1,0)</f>
        <v>0</v>
      </c>
      <c r="K517" s="7">
        <f>IF(AND(C517=0,D517=0),IF(OR(AND(I517=0,NOT(EXACT(Raw_Passengers!F517,G517))),AND(J517=0,NOT(EXACT(Raw_Passengers!G517,H517)))),1,0),0)</f>
        <v>0</v>
      </c>
      <c r="L517" s="7">
        <f>IF(AND(C517=0,D517=0,I517=1),1,0)</f>
        <v>0</v>
      </c>
      <c r="M517" s="7">
        <f>IF(AND(C517=0,D517=0,J517=1),1,0)</f>
        <v>0</v>
      </c>
    </row>
    <row r="518" spans="1:13">
      <c r="A518" s="7">
        <f>Raw_Passengers!A518</f>
        <v>170605</v>
      </c>
      <c r="B518" s="7">
        <f>Raw_Passengers!B518</f>
        <v>1084581</v>
      </c>
      <c r="C518" s="7">
        <f>IF(COUNTIF(Raw_Passengers!$A$2:A518,Raw_Passengers!A518)&gt;1,1,0)</f>
        <v>0</v>
      </c>
      <c r="D518" s="7">
        <f>IF(COUNTIF(Raw_Bookings!$A$2:$A$648,Raw_Passengers!B518)=0,1,0)</f>
        <v>0</v>
      </c>
      <c r="E518" s="7">
        <f>IF(OR(C518=1,D518=1),0,IF(NOT(ISNUMBER(Raw_Passengers!E518)),1,IF(Raw_Passengers!E518&lt;=0,1,0)))</f>
        <v>0</v>
      </c>
      <c r="F518" s="7">
        <f>IF(AND(C518=0,D518=0,TRIM(Raw_Passengers!D518&amp;"")=""),1,0)</f>
        <v>0</v>
      </c>
      <c r="G518" s="7" t="str">
        <f>IF(SUMPRODUCT(--(Lookup_Status!$A$2:$A$13=LOWER(TRIM(Raw_Passengers!F518))))=0,"",INDEX(Lookup_Status!$B$2:$B$13,SUMPRODUCT((Lookup_Status!$A$2:$A$13=LOWER(TRIM(Raw_Passengers!F518)))*(ROW(Lookup_Status!$A$2:$A$13)-1))))</f>
        <v>Confirmed</v>
      </c>
      <c r="H518" s="7" t="str">
        <f>IF(SUMPRODUCT(--(Lookup_Status!$A$2:$A$13=LOWER(TRIM(Raw_Passengers!G518))))=0,"",INDEX(Lookup_Status!$B$2:$B$13,SUMPRODUCT((Lookup_Status!$A$2:$A$13=LOWER(TRIM(Raw_Passengers!G518)))*(ROW(Lookup_Status!$A$2:$A$13)-1))))</f>
        <v>Confirmed</v>
      </c>
      <c r="I518" s="7">
        <f>IF(OR(G518="",G518="Cancelled",G518="Mixed"),1,0)</f>
        <v>0</v>
      </c>
      <c r="J518" s="7">
        <f>IF(OR(H518="",H518="Mixed"),1,0)</f>
        <v>0</v>
      </c>
      <c r="K518" s="7">
        <f>IF(AND(C518=0,D518=0),IF(OR(AND(I518=0,NOT(EXACT(Raw_Passengers!F518,G518))),AND(J518=0,NOT(EXACT(Raw_Passengers!G518,H518)))),1,0),0)</f>
        <v>0</v>
      </c>
      <c r="L518" s="7">
        <f>IF(AND(C518=0,D518=0,I518=1),1,0)</f>
        <v>0</v>
      </c>
      <c r="M518" s="7">
        <f>IF(AND(C518=0,D518=0,J518=1),1,0)</f>
        <v>0</v>
      </c>
    </row>
    <row r="519" spans="1:13">
      <c r="A519" s="7">
        <f>Raw_Passengers!A519</f>
        <v>170620</v>
      </c>
      <c r="B519" s="7">
        <f>Raw_Passengers!B519</f>
        <v>1084587</v>
      </c>
      <c r="C519" s="7">
        <f>IF(COUNTIF(Raw_Passengers!$A$2:A519,Raw_Passengers!A519)&gt;1,1,0)</f>
        <v>0</v>
      </c>
      <c r="D519" s="7">
        <f>IF(COUNTIF(Raw_Bookings!$A$2:$A$648,Raw_Passengers!B519)=0,1,0)</f>
        <v>0</v>
      </c>
      <c r="E519" s="7">
        <f>IF(OR(C519=1,D519=1),0,IF(NOT(ISNUMBER(Raw_Passengers!E519)),1,IF(Raw_Passengers!E519&lt;=0,1,0)))</f>
        <v>0</v>
      </c>
      <c r="F519" s="7">
        <f>IF(AND(C519=0,D519=0,TRIM(Raw_Passengers!D519&amp;"")=""),1,0)</f>
        <v>0</v>
      </c>
      <c r="G519" s="7" t="str">
        <f>IF(SUMPRODUCT(--(Lookup_Status!$A$2:$A$13=LOWER(TRIM(Raw_Passengers!F519))))=0,"",INDEX(Lookup_Status!$B$2:$B$13,SUMPRODUCT((Lookup_Status!$A$2:$A$13=LOWER(TRIM(Raw_Passengers!F519)))*(ROW(Lookup_Status!$A$2:$A$13)-1))))</f>
        <v>Confirmed</v>
      </c>
      <c r="H519" s="7" t="str">
        <f>IF(SUMPRODUCT(--(Lookup_Status!$A$2:$A$13=LOWER(TRIM(Raw_Passengers!G519))))=0,"",INDEX(Lookup_Status!$B$2:$B$13,SUMPRODUCT((Lookup_Status!$A$2:$A$13=LOWER(TRIM(Raw_Passengers!G519)))*(ROW(Lookup_Status!$A$2:$A$13)-1))))</f>
        <v>Confirmed</v>
      </c>
      <c r="I519" s="7">
        <f>IF(OR(G519="",G519="Cancelled",G519="Mixed"),1,0)</f>
        <v>0</v>
      </c>
      <c r="J519" s="7">
        <f>IF(OR(H519="",H519="Mixed"),1,0)</f>
        <v>0</v>
      </c>
      <c r="K519" s="7">
        <f>IF(AND(C519=0,D519=0),IF(OR(AND(I519=0,NOT(EXACT(Raw_Passengers!F519,G519))),AND(J519=0,NOT(EXACT(Raw_Passengers!G519,H519)))),1,0),0)</f>
        <v>0</v>
      </c>
      <c r="L519" s="7">
        <f>IF(AND(C519=0,D519=0,I519=1),1,0)</f>
        <v>0</v>
      </c>
      <c r="M519" s="7">
        <f>IF(AND(C519=0,D519=0,J519=1),1,0)</f>
        <v>0</v>
      </c>
    </row>
    <row r="520" spans="1:13">
      <c r="A520" s="7">
        <f>Raw_Passengers!A520</f>
        <v>170778</v>
      </c>
      <c r="B520" s="7">
        <f>Raw_Passengers!B520</f>
        <v>1084667</v>
      </c>
      <c r="C520" s="7">
        <f>IF(COUNTIF(Raw_Passengers!$A$2:A520,Raw_Passengers!A520)&gt;1,1,0)</f>
        <v>0</v>
      </c>
      <c r="D520" s="7">
        <f>IF(COUNTIF(Raw_Bookings!$A$2:$A$648,Raw_Passengers!B520)=0,1,0)</f>
        <v>0</v>
      </c>
      <c r="E520" s="7">
        <f>IF(OR(C520=1,D520=1),0,IF(NOT(ISNUMBER(Raw_Passengers!E520)),1,IF(Raw_Passengers!E520&lt;=0,1,0)))</f>
        <v>0</v>
      </c>
      <c r="F520" s="7">
        <f>IF(AND(C520=0,D520=0,TRIM(Raw_Passengers!D520&amp;"")=""),1,0)</f>
        <v>0</v>
      </c>
      <c r="G520" s="7" t="str">
        <f>IF(SUMPRODUCT(--(Lookup_Status!$A$2:$A$13=LOWER(TRIM(Raw_Passengers!F520))))=0,"",INDEX(Lookup_Status!$B$2:$B$13,SUMPRODUCT((Lookup_Status!$A$2:$A$13=LOWER(TRIM(Raw_Passengers!F520)))*(ROW(Lookup_Status!$A$2:$A$13)-1))))</f>
        <v>RAC</v>
      </c>
      <c r="H520" s="7" t="str">
        <f>IF(SUMPRODUCT(--(Lookup_Status!$A$2:$A$13=LOWER(TRIM(Raw_Passengers!G520))))=0,"",INDEX(Lookup_Status!$B$2:$B$13,SUMPRODUCT((Lookup_Status!$A$2:$A$13=LOWER(TRIM(Raw_Passengers!G520)))*(ROW(Lookup_Status!$A$2:$A$13)-1))))</f>
        <v>RAC</v>
      </c>
      <c r="I520" s="7">
        <f>IF(OR(G520="",G520="Cancelled",G520="Mixed"),1,0)</f>
        <v>0</v>
      </c>
      <c r="J520" s="7">
        <f>IF(OR(H520="",H520="Mixed"),1,0)</f>
        <v>0</v>
      </c>
      <c r="K520" s="7">
        <f>IF(AND(C520=0,D520=0),IF(OR(AND(I520=0,NOT(EXACT(Raw_Passengers!F520,G520))),AND(J520=0,NOT(EXACT(Raw_Passengers!G520,H520)))),1,0),0)</f>
        <v>0</v>
      </c>
      <c r="L520" s="7">
        <f>IF(AND(C520=0,D520=0,I520=1),1,0)</f>
        <v>0</v>
      </c>
      <c r="M520" s="7">
        <f>IF(AND(C520=0,D520=0,J520=1),1,0)</f>
        <v>0</v>
      </c>
    </row>
    <row r="521" spans="1:13">
      <c r="A521" s="7">
        <f>Raw_Passengers!A521</f>
        <v>170779</v>
      </c>
      <c r="B521" s="7">
        <f>Raw_Passengers!B521</f>
        <v>1084667</v>
      </c>
      <c r="C521" s="7">
        <f>IF(COUNTIF(Raw_Passengers!$A$2:A521,Raw_Passengers!A521)&gt;1,1,0)</f>
        <v>0</v>
      </c>
      <c r="D521" s="7">
        <f>IF(COUNTIF(Raw_Bookings!$A$2:$A$648,Raw_Passengers!B521)=0,1,0)</f>
        <v>0</v>
      </c>
      <c r="E521" s="7">
        <f>IF(OR(C521=1,D521=1),0,IF(NOT(ISNUMBER(Raw_Passengers!E521)),1,IF(Raw_Passengers!E521&lt;=0,1,0)))</f>
        <v>0</v>
      </c>
      <c r="F521" s="7">
        <f>IF(AND(C521=0,D521=0,TRIM(Raw_Passengers!D521&amp;"")=""),1,0)</f>
        <v>0</v>
      </c>
      <c r="G521" s="7" t="str">
        <f>IF(SUMPRODUCT(--(Lookup_Status!$A$2:$A$13=LOWER(TRIM(Raw_Passengers!F521))))=0,"",INDEX(Lookup_Status!$B$2:$B$13,SUMPRODUCT((Lookup_Status!$A$2:$A$13=LOWER(TRIM(Raw_Passengers!F521)))*(ROW(Lookup_Status!$A$2:$A$13)-1))))</f>
        <v>RAC</v>
      </c>
      <c r="H521" s="7" t="str">
        <f>IF(SUMPRODUCT(--(Lookup_Status!$A$2:$A$13=LOWER(TRIM(Raw_Passengers!G521))))=0,"",INDEX(Lookup_Status!$B$2:$B$13,SUMPRODUCT((Lookup_Status!$A$2:$A$13=LOWER(TRIM(Raw_Passengers!G521)))*(ROW(Lookup_Status!$A$2:$A$13)-1))))</f>
        <v>RAC</v>
      </c>
      <c r="I521" s="7">
        <f>IF(OR(G521="",G521="Cancelled",G521="Mixed"),1,0)</f>
        <v>0</v>
      </c>
      <c r="J521" s="7">
        <f>IF(OR(H521="",H521="Mixed"),1,0)</f>
        <v>0</v>
      </c>
      <c r="K521" s="7">
        <f>IF(AND(C521=0,D521=0),IF(OR(AND(I521=0,NOT(EXACT(Raw_Passengers!F521,G521))),AND(J521=0,NOT(EXACT(Raw_Passengers!G521,H521)))),1,0),0)</f>
        <v>0</v>
      </c>
      <c r="L521" s="7">
        <f>IF(AND(C521=0,D521=0,I521=1),1,0)</f>
        <v>0</v>
      </c>
      <c r="M521" s="7">
        <f>IF(AND(C521=0,D521=0,J521=1),1,0)</f>
        <v>0</v>
      </c>
    </row>
    <row r="522" spans="1:13">
      <c r="A522" s="7">
        <f>Raw_Passengers!A522</f>
        <v>170780</v>
      </c>
      <c r="B522" s="7">
        <f>Raw_Passengers!B522</f>
        <v>1084667</v>
      </c>
      <c r="C522" s="7">
        <f>IF(COUNTIF(Raw_Passengers!$A$2:A522,Raw_Passengers!A522)&gt;1,1,0)</f>
        <v>0</v>
      </c>
      <c r="D522" s="7">
        <f>IF(COUNTIF(Raw_Bookings!$A$2:$A$648,Raw_Passengers!B522)=0,1,0)</f>
        <v>0</v>
      </c>
      <c r="E522" s="7">
        <f>IF(OR(C522=1,D522=1),0,IF(NOT(ISNUMBER(Raw_Passengers!E522)),1,IF(Raw_Passengers!E522&lt;=0,1,0)))</f>
        <v>0</v>
      </c>
      <c r="F522" s="7">
        <f>IF(AND(C522=0,D522=0,TRIM(Raw_Passengers!D522&amp;"")=""),1,0)</f>
        <v>0</v>
      </c>
      <c r="G522" s="7" t="str">
        <f>IF(SUMPRODUCT(--(Lookup_Status!$A$2:$A$13=LOWER(TRIM(Raw_Passengers!F522))))=0,"",INDEX(Lookup_Status!$B$2:$B$13,SUMPRODUCT((Lookup_Status!$A$2:$A$13=LOWER(TRIM(Raw_Passengers!F522)))*(ROW(Lookup_Status!$A$2:$A$13)-1))))</f>
        <v>RAC</v>
      </c>
      <c r="H522" s="7" t="str">
        <f>IF(SUMPRODUCT(--(Lookup_Status!$A$2:$A$13=LOWER(TRIM(Raw_Passengers!G522))))=0,"",INDEX(Lookup_Status!$B$2:$B$13,SUMPRODUCT((Lookup_Status!$A$2:$A$13=LOWER(TRIM(Raw_Passengers!G522)))*(ROW(Lookup_Status!$A$2:$A$13)-1))))</f>
        <v>RAC</v>
      </c>
      <c r="I522" s="7">
        <f>IF(OR(G522="",G522="Cancelled",G522="Mixed"),1,0)</f>
        <v>0</v>
      </c>
      <c r="J522" s="7">
        <f>IF(OR(H522="",H522="Mixed"),1,0)</f>
        <v>0</v>
      </c>
      <c r="K522" s="7">
        <f>IF(AND(C522=0,D522=0),IF(OR(AND(I522=0,NOT(EXACT(Raw_Passengers!F522,G522))),AND(J522=0,NOT(EXACT(Raw_Passengers!G522,H522)))),1,0),0)</f>
        <v>0</v>
      </c>
      <c r="L522" s="7">
        <f>IF(AND(C522=0,D522=0,I522=1),1,0)</f>
        <v>0</v>
      </c>
      <c r="M522" s="7">
        <f>IF(AND(C522=0,D522=0,J522=1),1,0)</f>
        <v>0</v>
      </c>
    </row>
    <row r="523" spans="1:13">
      <c r="A523" s="7">
        <f>Raw_Passengers!A523</f>
        <v>171295</v>
      </c>
      <c r="B523" s="7">
        <f>Raw_Passengers!B523</f>
        <v>1084927</v>
      </c>
      <c r="C523" s="7">
        <f>IF(COUNTIF(Raw_Passengers!$A$2:A523,Raw_Passengers!A523)&gt;1,1,0)</f>
        <v>0</v>
      </c>
      <c r="D523" s="7">
        <f>IF(COUNTIF(Raw_Bookings!$A$2:$A$648,Raw_Passengers!B523)=0,1,0)</f>
        <v>0</v>
      </c>
      <c r="E523" s="7">
        <f>IF(OR(C523=1,D523=1),0,IF(NOT(ISNUMBER(Raw_Passengers!E523)),1,IF(Raw_Passengers!E523&lt;=0,1,0)))</f>
        <v>0</v>
      </c>
      <c r="F523" s="7">
        <f>IF(AND(C523=0,D523=0,TRIM(Raw_Passengers!D523&amp;"")=""),1,0)</f>
        <v>0</v>
      </c>
      <c r="G523" s="7" t="str">
        <f>IF(SUMPRODUCT(--(Lookup_Status!$A$2:$A$13=LOWER(TRIM(Raw_Passengers!F523))))=0,"",INDEX(Lookup_Status!$B$2:$B$13,SUMPRODUCT((Lookup_Status!$A$2:$A$13=LOWER(TRIM(Raw_Passengers!F523)))*(ROW(Lookup_Status!$A$2:$A$13)-1))))</f>
        <v>Confirmed</v>
      </c>
      <c r="H523" s="7" t="str">
        <f>IF(SUMPRODUCT(--(Lookup_Status!$A$2:$A$13=LOWER(TRIM(Raw_Passengers!G523))))=0,"",INDEX(Lookup_Status!$B$2:$B$13,SUMPRODUCT((Lookup_Status!$A$2:$A$13=LOWER(TRIM(Raw_Passengers!G523)))*(ROW(Lookup_Status!$A$2:$A$13)-1))))</f>
        <v>Confirmed</v>
      </c>
      <c r="I523" s="7">
        <f>IF(OR(G523="",G523="Cancelled",G523="Mixed"),1,0)</f>
        <v>0</v>
      </c>
      <c r="J523" s="7">
        <f>IF(OR(H523="",H523="Mixed"),1,0)</f>
        <v>0</v>
      </c>
      <c r="K523" s="7">
        <f>IF(AND(C523=0,D523=0),IF(OR(AND(I523=0,NOT(EXACT(Raw_Passengers!F523,G523))),AND(J523=0,NOT(EXACT(Raw_Passengers!G523,H523)))),1,0),0)</f>
        <v>0</v>
      </c>
      <c r="L523" s="7">
        <f>IF(AND(C523=0,D523=0,I523=1),1,0)</f>
        <v>0</v>
      </c>
      <c r="M523" s="7">
        <f>IF(AND(C523=0,D523=0,J523=1),1,0)</f>
        <v>0</v>
      </c>
    </row>
    <row r="524" spans="1:13">
      <c r="A524" s="7">
        <f>Raw_Passengers!A524</f>
        <v>171296</v>
      </c>
      <c r="B524" s="7">
        <f>Raw_Passengers!B524</f>
        <v>1084927</v>
      </c>
      <c r="C524" s="7">
        <f>IF(COUNTIF(Raw_Passengers!$A$2:A524,Raw_Passengers!A524)&gt;1,1,0)</f>
        <v>0</v>
      </c>
      <c r="D524" s="7">
        <f>IF(COUNTIF(Raw_Bookings!$A$2:$A$648,Raw_Passengers!B524)=0,1,0)</f>
        <v>0</v>
      </c>
      <c r="E524" s="7">
        <f>IF(OR(C524=1,D524=1),0,IF(NOT(ISNUMBER(Raw_Passengers!E524)),1,IF(Raw_Passengers!E524&lt;=0,1,0)))</f>
        <v>0</v>
      </c>
      <c r="F524" s="7">
        <f>IF(AND(C524=0,D524=0,TRIM(Raw_Passengers!D524&amp;"")=""),1,0)</f>
        <v>0</v>
      </c>
      <c r="G524" s="7" t="str">
        <f>IF(SUMPRODUCT(--(Lookup_Status!$A$2:$A$13=LOWER(TRIM(Raw_Passengers!F524))))=0,"",INDEX(Lookup_Status!$B$2:$B$13,SUMPRODUCT((Lookup_Status!$A$2:$A$13=LOWER(TRIM(Raw_Passengers!F524)))*(ROW(Lookup_Status!$A$2:$A$13)-1))))</f>
        <v>Confirmed</v>
      </c>
      <c r="H524" s="7" t="str">
        <f>IF(SUMPRODUCT(--(Lookup_Status!$A$2:$A$13=LOWER(TRIM(Raw_Passengers!G524))))=0,"",INDEX(Lookup_Status!$B$2:$B$13,SUMPRODUCT((Lookup_Status!$A$2:$A$13=LOWER(TRIM(Raw_Passengers!G524)))*(ROW(Lookup_Status!$A$2:$A$13)-1))))</f>
        <v>Confirmed</v>
      </c>
      <c r="I524" s="7">
        <f>IF(OR(G524="",G524="Cancelled",G524="Mixed"),1,0)</f>
        <v>0</v>
      </c>
      <c r="J524" s="7">
        <f>IF(OR(H524="",H524="Mixed"),1,0)</f>
        <v>0</v>
      </c>
      <c r="K524" s="7">
        <f>IF(AND(C524=0,D524=0),IF(OR(AND(I524=0,NOT(EXACT(Raw_Passengers!F524,G524))),AND(J524=0,NOT(EXACT(Raw_Passengers!G524,H524)))),1,0),0)</f>
        <v>0</v>
      </c>
      <c r="L524" s="7">
        <f>IF(AND(C524=0,D524=0,I524=1),1,0)</f>
        <v>0</v>
      </c>
      <c r="M524" s="7">
        <f>IF(AND(C524=0,D524=0,J524=1),1,0)</f>
        <v>0</v>
      </c>
    </row>
    <row r="525" spans="1:13">
      <c r="A525" s="7">
        <f>Raw_Passengers!A525</f>
        <v>171297</v>
      </c>
      <c r="B525" s="7">
        <f>Raw_Passengers!B525</f>
        <v>1084927</v>
      </c>
      <c r="C525" s="7">
        <f>IF(COUNTIF(Raw_Passengers!$A$2:A525,Raw_Passengers!A525)&gt;1,1,0)</f>
        <v>0</v>
      </c>
      <c r="D525" s="7">
        <f>IF(COUNTIF(Raw_Bookings!$A$2:$A$648,Raw_Passengers!B525)=0,1,0)</f>
        <v>0</v>
      </c>
      <c r="E525" s="7">
        <f>IF(OR(C525=1,D525=1),0,IF(NOT(ISNUMBER(Raw_Passengers!E525)),1,IF(Raw_Passengers!E525&lt;=0,1,0)))</f>
        <v>0</v>
      </c>
      <c r="F525" s="7">
        <f>IF(AND(C525=0,D525=0,TRIM(Raw_Passengers!D525&amp;"")=""),1,0)</f>
        <v>0</v>
      </c>
      <c r="G525" s="7" t="str">
        <f>IF(SUMPRODUCT(--(Lookup_Status!$A$2:$A$13=LOWER(TRIM(Raw_Passengers!F525))))=0,"",INDEX(Lookup_Status!$B$2:$B$13,SUMPRODUCT((Lookup_Status!$A$2:$A$13=LOWER(TRIM(Raw_Passengers!F525)))*(ROW(Lookup_Status!$A$2:$A$13)-1))))</f>
        <v>Confirmed</v>
      </c>
      <c r="H525" s="7" t="str">
        <f>IF(SUMPRODUCT(--(Lookup_Status!$A$2:$A$13=LOWER(TRIM(Raw_Passengers!G525))))=0,"",INDEX(Lookup_Status!$B$2:$B$13,SUMPRODUCT((Lookup_Status!$A$2:$A$13=LOWER(TRIM(Raw_Passengers!G525)))*(ROW(Lookup_Status!$A$2:$A$13)-1))))</f>
        <v>Confirmed</v>
      </c>
      <c r="I525" s="7">
        <f>IF(OR(G525="",G525="Cancelled",G525="Mixed"),1,0)</f>
        <v>0</v>
      </c>
      <c r="J525" s="7">
        <f>IF(OR(H525="",H525="Mixed"),1,0)</f>
        <v>0</v>
      </c>
      <c r="K525" s="7">
        <f>IF(AND(C525=0,D525=0),IF(OR(AND(I525=0,NOT(EXACT(Raw_Passengers!F525,G525))),AND(J525=0,NOT(EXACT(Raw_Passengers!G525,H525)))),1,0),0)</f>
        <v>0</v>
      </c>
      <c r="L525" s="7">
        <f>IF(AND(C525=0,D525=0,I525=1),1,0)</f>
        <v>0</v>
      </c>
      <c r="M525" s="7">
        <f>IF(AND(C525=0,D525=0,J525=1),1,0)</f>
        <v>0</v>
      </c>
    </row>
    <row r="526" spans="1:13">
      <c r="A526" s="7">
        <f>Raw_Passengers!A526</f>
        <v>171298</v>
      </c>
      <c r="B526" s="7">
        <f>Raw_Passengers!B526</f>
        <v>1084927</v>
      </c>
      <c r="C526" s="7">
        <f>IF(COUNTIF(Raw_Passengers!$A$2:A526,Raw_Passengers!A526)&gt;1,1,0)</f>
        <v>0</v>
      </c>
      <c r="D526" s="7">
        <f>IF(COUNTIF(Raw_Bookings!$A$2:$A$648,Raw_Passengers!B526)=0,1,0)</f>
        <v>0</v>
      </c>
      <c r="E526" s="7">
        <f>IF(OR(C526=1,D526=1),0,IF(NOT(ISNUMBER(Raw_Passengers!E526)),1,IF(Raw_Passengers!E526&lt;=0,1,0)))</f>
        <v>0</v>
      </c>
      <c r="F526" s="7">
        <f>IF(AND(C526=0,D526=0,TRIM(Raw_Passengers!D526&amp;"")=""),1,0)</f>
        <v>0</v>
      </c>
      <c r="G526" s="7" t="str">
        <f>IF(SUMPRODUCT(--(Lookup_Status!$A$2:$A$13=LOWER(TRIM(Raw_Passengers!F526))))=0,"",INDEX(Lookup_Status!$B$2:$B$13,SUMPRODUCT((Lookup_Status!$A$2:$A$13=LOWER(TRIM(Raw_Passengers!F526)))*(ROW(Lookup_Status!$A$2:$A$13)-1))))</f>
        <v>RAC</v>
      </c>
      <c r="H526" s="7" t="str">
        <f>IF(SUMPRODUCT(--(Lookup_Status!$A$2:$A$13=LOWER(TRIM(Raw_Passengers!G526))))=0,"",INDEX(Lookup_Status!$B$2:$B$13,SUMPRODUCT((Lookup_Status!$A$2:$A$13=LOWER(TRIM(Raw_Passengers!G526)))*(ROW(Lookup_Status!$A$2:$A$13)-1))))</f>
        <v>Confirmed</v>
      </c>
      <c r="I526" s="7">
        <f>IF(OR(G526="",G526="Cancelled",G526="Mixed"),1,0)</f>
        <v>0</v>
      </c>
      <c r="J526" s="7">
        <f>IF(OR(H526="",H526="Mixed"),1,0)</f>
        <v>0</v>
      </c>
      <c r="K526" s="7">
        <f>IF(AND(C526=0,D526=0),IF(OR(AND(I526=0,NOT(EXACT(Raw_Passengers!F526,G526))),AND(J526=0,NOT(EXACT(Raw_Passengers!G526,H526)))),1,0),0)</f>
        <v>0</v>
      </c>
      <c r="L526" s="7">
        <f>IF(AND(C526=0,D526=0,I526=1),1,0)</f>
        <v>0</v>
      </c>
      <c r="M526" s="7">
        <f>IF(AND(C526=0,D526=0,J526=1),1,0)</f>
        <v>0</v>
      </c>
    </row>
    <row r="527" spans="1:13">
      <c r="A527" s="7">
        <f>Raw_Passengers!A527</f>
        <v>172045</v>
      </c>
      <c r="B527" s="7">
        <f>Raw_Passengers!B527</f>
        <v>1085292</v>
      </c>
      <c r="C527" s="7">
        <f>IF(COUNTIF(Raw_Passengers!$A$2:A527,Raw_Passengers!A527)&gt;1,1,0)</f>
        <v>0</v>
      </c>
      <c r="D527" s="7">
        <f>IF(COUNTIF(Raw_Bookings!$A$2:$A$648,Raw_Passengers!B527)=0,1,0)</f>
        <v>0</v>
      </c>
      <c r="E527" s="7">
        <f>IF(OR(C527=1,D527=1),0,IF(NOT(ISNUMBER(Raw_Passengers!E527)),1,IF(Raw_Passengers!E527&lt;=0,1,0)))</f>
        <v>0</v>
      </c>
      <c r="F527" s="7">
        <f>IF(AND(C527=0,D527=0,TRIM(Raw_Passengers!D527&amp;"")=""),1,0)</f>
        <v>0</v>
      </c>
      <c r="G527" s="7" t="str">
        <f>IF(SUMPRODUCT(--(Lookup_Status!$A$2:$A$13=LOWER(TRIM(Raw_Passengers!F527))))=0,"",INDEX(Lookup_Status!$B$2:$B$13,SUMPRODUCT((Lookup_Status!$A$2:$A$13=LOWER(TRIM(Raw_Passengers!F527)))*(ROW(Lookup_Status!$A$2:$A$13)-1))))</f>
        <v>Confirmed</v>
      </c>
      <c r="H527" s="7" t="str">
        <f>IF(SUMPRODUCT(--(Lookup_Status!$A$2:$A$13=LOWER(TRIM(Raw_Passengers!G527))))=0,"",INDEX(Lookup_Status!$B$2:$B$13,SUMPRODUCT((Lookup_Status!$A$2:$A$13=LOWER(TRIM(Raw_Passengers!G527)))*(ROW(Lookup_Status!$A$2:$A$13)-1))))</f>
        <v>Confirmed</v>
      </c>
      <c r="I527" s="7">
        <f>IF(OR(G527="",G527="Cancelled",G527="Mixed"),1,0)</f>
        <v>0</v>
      </c>
      <c r="J527" s="7">
        <f>IF(OR(H527="",H527="Mixed"),1,0)</f>
        <v>0</v>
      </c>
      <c r="K527" s="7">
        <f>IF(AND(C527=0,D527=0),IF(OR(AND(I527=0,NOT(EXACT(Raw_Passengers!F527,G527))),AND(J527=0,NOT(EXACT(Raw_Passengers!G527,H527)))),1,0),0)</f>
        <v>0</v>
      </c>
      <c r="L527" s="7">
        <f>IF(AND(C527=0,D527=0,I527=1),1,0)</f>
        <v>0</v>
      </c>
      <c r="M527" s="7">
        <f>IF(AND(C527=0,D527=0,J527=1),1,0)</f>
        <v>0</v>
      </c>
    </row>
    <row r="528" spans="1:13">
      <c r="A528" s="7">
        <f>Raw_Passengers!A528</f>
        <v>172308</v>
      </c>
      <c r="B528" s="7">
        <f>Raw_Passengers!B528</f>
        <v>1085418</v>
      </c>
      <c r="C528" s="7">
        <f>IF(COUNTIF(Raw_Passengers!$A$2:A528,Raw_Passengers!A528)&gt;1,1,0)</f>
        <v>0</v>
      </c>
      <c r="D528" s="7">
        <f>IF(COUNTIF(Raw_Bookings!$A$2:$A$648,Raw_Passengers!B528)=0,1,0)</f>
        <v>0</v>
      </c>
      <c r="E528" s="7">
        <f>IF(OR(C528=1,D528=1),0,IF(NOT(ISNUMBER(Raw_Passengers!E528)),1,IF(Raw_Passengers!E528&lt;=0,1,0)))</f>
        <v>0</v>
      </c>
      <c r="F528" s="7">
        <f>IF(AND(C528=0,D528=0,TRIM(Raw_Passengers!D528&amp;"")=""),1,0)</f>
        <v>0</v>
      </c>
      <c r="G528" s="7" t="str">
        <f>IF(SUMPRODUCT(--(Lookup_Status!$A$2:$A$13=LOWER(TRIM(Raw_Passengers!F528))))=0,"",INDEX(Lookup_Status!$B$2:$B$13,SUMPRODUCT((Lookup_Status!$A$2:$A$13=LOWER(TRIM(Raw_Passengers!F528)))*(ROW(Lookup_Status!$A$2:$A$13)-1))))</f>
        <v>Confirmed</v>
      </c>
      <c r="H528" s="7" t="str">
        <f>IF(SUMPRODUCT(--(Lookup_Status!$A$2:$A$13=LOWER(TRIM(Raw_Passengers!G528))))=0,"",INDEX(Lookup_Status!$B$2:$B$13,SUMPRODUCT((Lookup_Status!$A$2:$A$13=LOWER(TRIM(Raw_Passengers!G528)))*(ROW(Lookup_Status!$A$2:$A$13)-1))))</f>
        <v>Confirmed</v>
      </c>
      <c r="I528" s="7">
        <f>IF(OR(G528="",G528="Cancelled",G528="Mixed"),1,0)</f>
        <v>0</v>
      </c>
      <c r="J528" s="7">
        <f>IF(OR(H528="",H528="Mixed"),1,0)</f>
        <v>0</v>
      </c>
      <c r="K528" s="7">
        <f>IF(AND(C528=0,D528=0),IF(OR(AND(I528=0,NOT(EXACT(Raw_Passengers!F528,G528))),AND(J528=0,NOT(EXACT(Raw_Passengers!G528,H528)))),1,0),0)</f>
        <v>0</v>
      </c>
      <c r="L528" s="7">
        <f>IF(AND(C528=0,D528=0,I528=1),1,0)</f>
        <v>0</v>
      </c>
      <c r="M528" s="7">
        <f>IF(AND(C528=0,D528=0,J528=1),1,0)</f>
        <v>0</v>
      </c>
    </row>
    <row r="529" spans="1:13">
      <c r="A529" s="7">
        <f>Raw_Passengers!A529</f>
        <v>172836</v>
      </c>
      <c r="B529" s="7">
        <f>Raw_Passengers!B529</f>
        <v>1085662</v>
      </c>
      <c r="C529" s="7">
        <f>IF(COUNTIF(Raw_Passengers!$A$2:A529,Raw_Passengers!A529)&gt;1,1,0)</f>
        <v>0</v>
      </c>
      <c r="D529" s="7">
        <f>IF(COUNTIF(Raw_Bookings!$A$2:$A$648,Raw_Passengers!B529)=0,1,0)</f>
        <v>0</v>
      </c>
      <c r="E529" s="7">
        <f>IF(OR(C529=1,D529=1),0,IF(NOT(ISNUMBER(Raw_Passengers!E529)),1,IF(Raw_Passengers!E529&lt;=0,1,0)))</f>
        <v>0</v>
      </c>
      <c r="F529" s="7">
        <f>IF(AND(C529=0,D529=0,TRIM(Raw_Passengers!D529&amp;"")=""),1,0)</f>
        <v>0</v>
      </c>
      <c r="G529" s="7" t="str">
        <f>IF(SUMPRODUCT(--(Lookup_Status!$A$2:$A$13=LOWER(TRIM(Raw_Passengers!F529))))=0,"",INDEX(Lookup_Status!$B$2:$B$13,SUMPRODUCT((Lookup_Status!$A$2:$A$13=LOWER(TRIM(Raw_Passengers!F529)))*(ROW(Lookup_Status!$A$2:$A$13)-1))))</f>
        <v>Confirmed</v>
      </c>
      <c r="H529" s="7" t="str">
        <f>IF(SUMPRODUCT(--(Lookup_Status!$A$2:$A$13=LOWER(TRIM(Raw_Passengers!G529))))=0,"",INDEX(Lookup_Status!$B$2:$B$13,SUMPRODUCT((Lookup_Status!$A$2:$A$13=LOWER(TRIM(Raw_Passengers!G529)))*(ROW(Lookup_Status!$A$2:$A$13)-1))))</f>
        <v>Confirmed</v>
      </c>
      <c r="I529" s="7">
        <f>IF(OR(G529="",G529="Cancelled",G529="Mixed"),1,0)</f>
        <v>0</v>
      </c>
      <c r="J529" s="7">
        <f>IF(OR(H529="",H529="Mixed"),1,0)</f>
        <v>0</v>
      </c>
      <c r="K529" s="7">
        <f>IF(AND(C529=0,D529=0),IF(OR(AND(I529=0,NOT(EXACT(Raw_Passengers!F529,G529))),AND(J529=0,NOT(EXACT(Raw_Passengers!G529,H529)))),1,0),0)</f>
        <v>0</v>
      </c>
      <c r="L529" s="7">
        <f>IF(AND(C529=0,D529=0,I529=1),1,0)</f>
        <v>0</v>
      </c>
      <c r="M529" s="7">
        <f>IF(AND(C529=0,D529=0,J529=1),1,0)</f>
        <v>0</v>
      </c>
    </row>
    <row r="530" spans="1:13">
      <c r="A530" s="7">
        <f>Raw_Passengers!A530</f>
        <v>172837</v>
      </c>
      <c r="B530" s="7">
        <f>Raw_Passengers!B530</f>
        <v>1085662</v>
      </c>
      <c r="C530" s="7">
        <f>IF(COUNTIF(Raw_Passengers!$A$2:A530,Raw_Passengers!A530)&gt;1,1,0)</f>
        <v>0</v>
      </c>
      <c r="D530" s="7">
        <f>IF(COUNTIF(Raw_Bookings!$A$2:$A$648,Raw_Passengers!B530)=0,1,0)</f>
        <v>0</v>
      </c>
      <c r="E530" s="7">
        <f>IF(OR(C530=1,D530=1),0,IF(NOT(ISNUMBER(Raw_Passengers!E530)),1,IF(Raw_Passengers!E530&lt;=0,1,0)))</f>
        <v>0</v>
      </c>
      <c r="F530" s="7">
        <f>IF(AND(C530=0,D530=0,TRIM(Raw_Passengers!D530&amp;"")=""),1,0)</f>
        <v>0</v>
      </c>
      <c r="G530" s="7" t="str">
        <f>IF(SUMPRODUCT(--(Lookup_Status!$A$2:$A$13=LOWER(TRIM(Raw_Passengers!F530))))=0,"",INDEX(Lookup_Status!$B$2:$B$13,SUMPRODUCT((Lookup_Status!$A$2:$A$13=LOWER(TRIM(Raw_Passengers!F530)))*(ROW(Lookup_Status!$A$2:$A$13)-1))))</f>
        <v>Confirmed</v>
      </c>
      <c r="H530" s="7" t="str">
        <f>IF(SUMPRODUCT(--(Lookup_Status!$A$2:$A$13=LOWER(TRIM(Raw_Passengers!G530))))=0,"",INDEX(Lookup_Status!$B$2:$B$13,SUMPRODUCT((Lookup_Status!$A$2:$A$13=LOWER(TRIM(Raw_Passengers!G530)))*(ROW(Lookup_Status!$A$2:$A$13)-1))))</f>
        <v>Confirmed</v>
      </c>
      <c r="I530" s="7">
        <f>IF(OR(G530="",G530="Cancelled",G530="Mixed"),1,0)</f>
        <v>0</v>
      </c>
      <c r="J530" s="7">
        <f>IF(OR(H530="",H530="Mixed"),1,0)</f>
        <v>0</v>
      </c>
      <c r="K530" s="7">
        <f>IF(AND(C530=0,D530=0),IF(OR(AND(I530=0,NOT(EXACT(Raw_Passengers!F530,G530))),AND(J530=0,NOT(EXACT(Raw_Passengers!G530,H530)))),1,0),0)</f>
        <v>0</v>
      </c>
      <c r="L530" s="7">
        <f>IF(AND(C530=0,D530=0,I530=1),1,0)</f>
        <v>0</v>
      </c>
      <c r="M530" s="7">
        <f>IF(AND(C530=0,D530=0,J530=1),1,0)</f>
        <v>0</v>
      </c>
    </row>
    <row r="531" spans="1:13">
      <c r="A531" s="7">
        <f>Raw_Passengers!A531</f>
        <v>175764</v>
      </c>
      <c r="B531" s="7">
        <f>Raw_Passengers!B531</f>
        <v>1087131</v>
      </c>
      <c r="C531" s="7">
        <f>IF(COUNTIF(Raw_Passengers!$A$2:A531,Raw_Passengers!A531)&gt;1,1,0)</f>
        <v>0</v>
      </c>
      <c r="D531" s="7">
        <f>IF(COUNTIF(Raw_Bookings!$A$2:$A$648,Raw_Passengers!B531)=0,1,0)</f>
        <v>0</v>
      </c>
      <c r="E531" s="7">
        <f>IF(OR(C531=1,D531=1),0,IF(NOT(ISNUMBER(Raw_Passengers!E531)),1,IF(Raw_Passengers!E531&lt;=0,1,0)))</f>
        <v>0</v>
      </c>
      <c r="F531" s="7">
        <f>IF(AND(C531=0,D531=0,TRIM(Raw_Passengers!D531&amp;"")=""),1,0)</f>
        <v>0</v>
      </c>
      <c r="G531" s="7" t="str">
        <f>IF(SUMPRODUCT(--(Lookup_Status!$A$2:$A$13=LOWER(TRIM(Raw_Passengers!F531))))=0,"",INDEX(Lookup_Status!$B$2:$B$13,SUMPRODUCT((Lookup_Status!$A$2:$A$13=LOWER(TRIM(Raw_Passengers!F531)))*(ROW(Lookup_Status!$A$2:$A$13)-1))))</f>
        <v>Waitlisted</v>
      </c>
      <c r="H531" s="7" t="str">
        <f>IF(SUMPRODUCT(--(Lookup_Status!$A$2:$A$13=LOWER(TRIM(Raw_Passengers!G531))))=0,"",INDEX(Lookup_Status!$B$2:$B$13,SUMPRODUCT((Lookup_Status!$A$2:$A$13=LOWER(TRIM(Raw_Passengers!G531)))*(ROW(Lookup_Status!$A$2:$A$13)-1))))</f>
        <v>Waitlisted</v>
      </c>
      <c r="I531" s="7">
        <f>IF(OR(G531="",G531="Cancelled",G531="Mixed"),1,0)</f>
        <v>0</v>
      </c>
      <c r="J531" s="7">
        <f>IF(OR(H531="",H531="Mixed"),1,0)</f>
        <v>0</v>
      </c>
      <c r="K531" s="7">
        <f>IF(AND(C531=0,D531=0),IF(OR(AND(I531=0,NOT(EXACT(Raw_Passengers!F531,G531))),AND(J531=0,NOT(EXACT(Raw_Passengers!G531,H531)))),1,0),0)</f>
        <v>0</v>
      </c>
      <c r="L531" s="7">
        <f>IF(AND(C531=0,D531=0,I531=1),1,0)</f>
        <v>0</v>
      </c>
      <c r="M531" s="7">
        <f>IF(AND(C531=0,D531=0,J531=1),1,0)</f>
        <v>0</v>
      </c>
    </row>
    <row r="532" spans="1:13">
      <c r="A532" s="7">
        <f>Raw_Passengers!A532</f>
        <v>175765</v>
      </c>
      <c r="B532" s="7">
        <f>Raw_Passengers!B532</f>
        <v>1087131</v>
      </c>
      <c r="C532" s="7">
        <f>IF(COUNTIF(Raw_Passengers!$A$2:A532,Raw_Passengers!A532)&gt;1,1,0)</f>
        <v>0</v>
      </c>
      <c r="D532" s="7">
        <f>IF(COUNTIF(Raw_Bookings!$A$2:$A$648,Raw_Passengers!B532)=0,1,0)</f>
        <v>0</v>
      </c>
      <c r="E532" s="7">
        <f>IF(OR(C532=1,D532=1),0,IF(NOT(ISNUMBER(Raw_Passengers!E532)),1,IF(Raw_Passengers!E532&lt;=0,1,0)))</f>
        <v>0</v>
      </c>
      <c r="F532" s="7">
        <f>IF(AND(C532=0,D532=0,TRIM(Raw_Passengers!D532&amp;"")=""),1,0)</f>
        <v>0</v>
      </c>
      <c r="G532" s="7" t="str">
        <f>IF(SUMPRODUCT(--(Lookup_Status!$A$2:$A$13=LOWER(TRIM(Raw_Passengers!F532))))=0,"",INDEX(Lookup_Status!$B$2:$B$13,SUMPRODUCT((Lookup_Status!$A$2:$A$13=LOWER(TRIM(Raw_Passengers!F532)))*(ROW(Lookup_Status!$A$2:$A$13)-1))))</f>
        <v>Waitlisted</v>
      </c>
      <c r="H532" s="7" t="str">
        <f>IF(SUMPRODUCT(--(Lookup_Status!$A$2:$A$13=LOWER(TRIM(Raw_Passengers!G532))))=0,"",INDEX(Lookup_Status!$B$2:$B$13,SUMPRODUCT((Lookup_Status!$A$2:$A$13=LOWER(TRIM(Raw_Passengers!G532)))*(ROW(Lookup_Status!$A$2:$A$13)-1))))</f>
        <v>Waitlisted</v>
      </c>
      <c r="I532" s="7">
        <f>IF(OR(G532="",G532="Cancelled",G532="Mixed"),1,0)</f>
        <v>0</v>
      </c>
      <c r="J532" s="7">
        <f>IF(OR(H532="",H532="Mixed"),1,0)</f>
        <v>0</v>
      </c>
      <c r="K532" s="7">
        <f>IF(AND(C532=0,D532=0),IF(OR(AND(I532=0,NOT(EXACT(Raw_Passengers!F532,G532))),AND(J532=0,NOT(EXACT(Raw_Passengers!G532,H532)))),1,0),0)</f>
        <v>0</v>
      </c>
      <c r="L532" s="7">
        <f>IF(AND(C532=0,D532=0,I532=1),1,0)</f>
        <v>0</v>
      </c>
      <c r="M532" s="7">
        <f>IF(AND(C532=0,D532=0,J532=1),1,0)</f>
        <v>0</v>
      </c>
    </row>
    <row r="533" spans="1:13">
      <c r="A533" s="7">
        <f>Raw_Passengers!A533</f>
        <v>175766</v>
      </c>
      <c r="B533" s="7">
        <f>Raw_Passengers!B533</f>
        <v>1087131</v>
      </c>
      <c r="C533" s="7">
        <f>IF(COUNTIF(Raw_Passengers!$A$2:A533,Raw_Passengers!A533)&gt;1,1,0)</f>
        <v>0</v>
      </c>
      <c r="D533" s="7">
        <f>IF(COUNTIF(Raw_Bookings!$A$2:$A$648,Raw_Passengers!B533)=0,1,0)</f>
        <v>0</v>
      </c>
      <c r="E533" s="7">
        <f>IF(OR(C533=1,D533=1),0,IF(NOT(ISNUMBER(Raw_Passengers!E533)),1,IF(Raw_Passengers!E533&lt;=0,1,0)))</f>
        <v>0</v>
      </c>
      <c r="F533" s="7">
        <f>IF(AND(C533=0,D533=0,TRIM(Raw_Passengers!D533&amp;"")=""),1,0)</f>
        <v>0</v>
      </c>
      <c r="G533" s="7" t="str">
        <f>IF(SUMPRODUCT(--(Lookup_Status!$A$2:$A$13=LOWER(TRIM(Raw_Passengers!F533))))=0,"",INDEX(Lookup_Status!$B$2:$B$13,SUMPRODUCT((Lookup_Status!$A$2:$A$13=LOWER(TRIM(Raw_Passengers!F533)))*(ROW(Lookup_Status!$A$2:$A$13)-1))))</f>
        <v>Waitlisted</v>
      </c>
      <c r="H533" s="7" t="str">
        <f>IF(SUMPRODUCT(--(Lookup_Status!$A$2:$A$13=LOWER(TRIM(Raw_Passengers!G533))))=0,"",INDEX(Lookup_Status!$B$2:$B$13,SUMPRODUCT((Lookup_Status!$A$2:$A$13=LOWER(TRIM(Raw_Passengers!G533)))*(ROW(Lookup_Status!$A$2:$A$13)-1))))</f>
        <v>Waitlisted</v>
      </c>
      <c r="I533" s="7">
        <f>IF(OR(G533="",G533="Cancelled",G533="Mixed"),1,0)</f>
        <v>0</v>
      </c>
      <c r="J533" s="7">
        <f>IF(OR(H533="",H533="Mixed"),1,0)</f>
        <v>0</v>
      </c>
      <c r="K533" s="7">
        <f>IF(AND(C533=0,D533=0),IF(OR(AND(I533=0,NOT(EXACT(Raw_Passengers!F533,G533))),AND(J533=0,NOT(EXACT(Raw_Passengers!G533,H533)))),1,0),0)</f>
        <v>0</v>
      </c>
      <c r="L533" s="7">
        <f>IF(AND(C533=0,D533=0,I533=1),1,0)</f>
        <v>0</v>
      </c>
      <c r="M533" s="7">
        <f>IF(AND(C533=0,D533=0,J533=1),1,0)</f>
        <v>0</v>
      </c>
    </row>
    <row r="534" spans="1:13">
      <c r="A534" s="7">
        <f>Raw_Passengers!A534</f>
        <v>175767</v>
      </c>
      <c r="B534" s="7">
        <f>Raw_Passengers!B534</f>
        <v>1087131</v>
      </c>
      <c r="C534" s="7">
        <f>IF(COUNTIF(Raw_Passengers!$A$2:A534,Raw_Passengers!A534)&gt;1,1,0)</f>
        <v>0</v>
      </c>
      <c r="D534" s="7">
        <f>IF(COUNTIF(Raw_Bookings!$A$2:$A$648,Raw_Passengers!B534)=0,1,0)</f>
        <v>0</v>
      </c>
      <c r="E534" s="7">
        <f>IF(OR(C534=1,D534=1),0,IF(NOT(ISNUMBER(Raw_Passengers!E534)),1,IF(Raw_Passengers!E534&lt;=0,1,0)))</f>
        <v>0</v>
      </c>
      <c r="F534" s="7">
        <f>IF(AND(C534=0,D534=0,TRIM(Raw_Passengers!D534&amp;"")=""),1,0)</f>
        <v>0</v>
      </c>
      <c r="G534" s="7" t="str">
        <f>IF(SUMPRODUCT(--(Lookup_Status!$A$2:$A$13=LOWER(TRIM(Raw_Passengers!F534))))=0,"",INDEX(Lookup_Status!$B$2:$B$13,SUMPRODUCT((Lookup_Status!$A$2:$A$13=LOWER(TRIM(Raw_Passengers!F534)))*(ROW(Lookup_Status!$A$2:$A$13)-1))))</f>
        <v>Waitlisted</v>
      </c>
      <c r="H534" s="7" t="str">
        <f>IF(SUMPRODUCT(--(Lookup_Status!$A$2:$A$13=LOWER(TRIM(Raw_Passengers!G534))))=0,"",INDEX(Lookup_Status!$B$2:$B$13,SUMPRODUCT((Lookup_Status!$A$2:$A$13=LOWER(TRIM(Raw_Passengers!G534)))*(ROW(Lookup_Status!$A$2:$A$13)-1))))</f>
        <v>Waitlisted</v>
      </c>
      <c r="I534" s="7">
        <f>IF(OR(G534="",G534="Cancelled",G534="Mixed"),1,0)</f>
        <v>0</v>
      </c>
      <c r="J534" s="7">
        <f>IF(OR(H534="",H534="Mixed"),1,0)</f>
        <v>0</v>
      </c>
      <c r="K534" s="7">
        <f>IF(AND(C534=0,D534=0),IF(OR(AND(I534=0,NOT(EXACT(Raw_Passengers!F534,G534))),AND(J534=0,NOT(EXACT(Raw_Passengers!G534,H534)))),1,0),0)</f>
        <v>0</v>
      </c>
      <c r="L534" s="7">
        <f>IF(AND(C534=0,D534=0,I534=1),1,0)</f>
        <v>0</v>
      </c>
      <c r="M534" s="7">
        <f>IF(AND(C534=0,D534=0,J534=1),1,0)</f>
        <v>0</v>
      </c>
    </row>
    <row r="535" spans="1:13">
      <c r="A535" s="7">
        <f>Raw_Passengers!A535</f>
        <v>175768</v>
      </c>
      <c r="B535" s="7">
        <f>Raw_Passengers!B535</f>
        <v>1087131</v>
      </c>
      <c r="C535" s="7">
        <f>IF(COUNTIF(Raw_Passengers!$A$2:A535,Raw_Passengers!A535)&gt;1,1,0)</f>
        <v>0</v>
      </c>
      <c r="D535" s="7">
        <f>IF(COUNTIF(Raw_Bookings!$A$2:$A$648,Raw_Passengers!B535)=0,1,0)</f>
        <v>0</v>
      </c>
      <c r="E535" s="7">
        <f>IF(OR(C535=1,D535=1),0,IF(NOT(ISNUMBER(Raw_Passengers!E535)),1,IF(Raw_Passengers!E535&lt;=0,1,0)))</f>
        <v>0</v>
      </c>
      <c r="F535" s="7">
        <f>IF(AND(C535=0,D535=0,TRIM(Raw_Passengers!D535&amp;"")=""),1,0)</f>
        <v>0</v>
      </c>
      <c r="G535" s="7" t="str">
        <f>IF(SUMPRODUCT(--(Lookup_Status!$A$2:$A$13=LOWER(TRIM(Raw_Passengers!F535))))=0,"",INDEX(Lookup_Status!$B$2:$B$13,SUMPRODUCT((Lookup_Status!$A$2:$A$13=LOWER(TRIM(Raw_Passengers!F535)))*(ROW(Lookup_Status!$A$2:$A$13)-1))))</f>
        <v>Waitlisted</v>
      </c>
      <c r="H535" s="7" t="str">
        <f>IF(SUMPRODUCT(--(Lookup_Status!$A$2:$A$13=LOWER(TRIM(Raw_Passengers!G535))))=0,"",INDEX(Lookup_Status!$B$2:$B$13,SUMPRODUCT((Lookup_Status!$A$2:$A$13=LOWER(TRIM(Raw_Passengers!G535)))*(ROW(Lookup_Status!$A$2:$A$13)-1))))</f>
        <v>Waitlisted</v>
      </c>
      <c r="I535" s="7">
        <f>IF(OR(G535="",G535="Cancelled",G535="Mixed"),1,0)</f>
        <v>0</v>
      </c>
      <c r="J535" s="7">
        <f>IF(OR(H535="",H535="Mixed"),1,0)</f>
        <v>0</v>
      </c>
      <c r="K535" s="7">
        <f>IF(AND(C535=0,D535=0),IF(OR(AND(I535=0,NOT(EXACT(Raw_Passengers!F535,G535))),AND(J535=0,NOT(EXACT(Raw_Passengers!G535,H535)))),1,0),0)</f>
        <v>0</v>
      </c>
      <c r="L535" s="7">
        <f>IF(AND(C535=0,D535=0,I535=1),1,0)</f>
        <v>0</v>
      </c>
      <c r="M535" s="7">
        <f>IF(AND(C535=0,D535=0,J535=1),1,0)</f>
        <v>0</v>
      </c>
    </row>
    <row r="536" spans="1:13">
      <c r="A536" s="7">
        <f>Raw_Passengers!A536</f>
        <v>175769</v>
      </c>
      <c r="B536" s="7">
        <f>Raw_Passengers!B536</f>
        <v>1087131</v>
      </c>
      <c r="C536" s="7">
        <f>IF(COUNTIF(Raw_Passengers!$A$2:A536,Raw_Passengers!A536)&gt;1,1,0)</f>
        <v>0</v>
      </c>
      <c r="D536" s="7">
        <f>IF(COUNTIF(Raw_Bookings!$A$2:$A$648,Raw_Passengers!B536)=0,1,0)</f>
        <v>0</v>
      </c>
      <c r="E536" s="7">
        <f>IF(OR(C536=1,D536=1),0,IF(NOT(ISNUMBER(Raw_Passengers!E536)),1,IF(Raw_Passengers!E536&lt;=0,1,0)))</f>
        <v>0</v>
      </c>
      <c r="F536" s="7">
        <f>IF(AND(C536=0,D536=0,TRIM(Raw_Passengers!D536&amp;"")=""),1,0)</f>
        <v>0</v>
      </c>
      <c r="G536" s="7" t="str">
        <f>IF(SUMPRODUCT(--(Lookup_Status!$A$2:$A$13=LOWER(TRIM(Raw_Passengers!F536))))=0,"",INDEX(Lookup_Status!$B$2:$B$13,SUMPRODUCT((Lookup_Status!$A$2:$A$13=LOWER(TRIM(Raw_Passengers!F536)))*(ROW(Lookup_Status!$A$2:$A$13)-1))))</f>
        <v>Waitlisted</v>
      </c>
      <c r="H536" s="7" t="str">
        <f>IF(SUMPRODUCT(--(Lookup_Status!$A$2:$A$13=LOWER(TRIM(Raw_Passengers!G536))))=0,"",INDEX(Lookup_Status!$B$2:$B$13,SUMPRODUCT((Lookup_Status!$A$2:$A$13=LOWER(TRIM(Raw_Passengers!G536)))*(ROW(Lookup_Status!$A$2:$A$13)-1))))</f>
        <v>Waitlisted</v>
      </c>
      <c r="I536" s="7">
        <f>IF(OR(G536="",G536="Cancelled",G536="Mixed"),1,0)</f>
        <v>0</v>
      </c>
      <c r="J536" s="7">
        <f>IF(OR(H536="",H536="Mixed"),1,0)</f>
        <v>0</v>
      </c>
      <c r="K536" s="7">
        <f>IF(AND(C536=0,D536=0),IF(OR(AND(I536=0,NOT(EXACT(Raw_Passengers!F536,G536))),AND(J536=0,NOT(EXACT(Raw_Passengers!G536,H536)))),1,0),0)</f>
        <v>0</v>
      </c>
      <c r="L536" s="7">
        <f>IF(AND(C536=0,D536=0,I536=1),1,0)</f>
        <v>0</v>
      </c>
      <c r="M536" s="7">
        <f>IF(AND(C536=0,D536=0,J536=1),1,0)</f>
        <v>0</v>
      </c>
    </row>
    <row r="537" spans="1:13">
      <c r="A537" s="7">
        <f>Raw_Passengers!A537</f>
        <v>176192</v>
      </c>
      <c r="B537" s="7">
        <f>Raw_Passengers!B537</f>
        <v>1087348</v>
      </c>
      <c r="C537" s="7">
        <f>IF(COUNTIF(Raw_Passengers!$A$2:A537,Raw_Passengers!A537)&gt;1,1,0)</f>
        <v>0</v>
      </c>
      <c r="D537" s="7">
        <f>IF(COUNTIF(Raw_Bookings!$A$2:$A$648,Raw_Passengers!B537)=0,1,0)</f>
        <v>0</v>
      </c>
      <c r="E537" s="7">
        <f>IF(OR(C537=1,D537=1),0,IF(NOT(ISNUMBER(Raw_Passengers!E537)),1,IF(Raw_Passengers!E537&lt;=0,1,0)))</f>
        <v>0</v>
      </c>
      <c r="F537" s="7">
        <f>IF(AND(C537=0,D537=0,TRIM(Raw_Passengers!D537&amp;"")=""),1,0)</f>
        <v>0</v>
      </c>
      <c r="G537" s="7" t="str">
        <f>IF(SUMPRODUCT(--(Lookup_Status!$A$2:$A$13=LOWER(TRIM(Raw_Passengers!F537))))=0,"",INDEX(Lookup_Status!$B$2:$B$13,SUMPRODUCT((Lookup_Status!$A$2:$A$13=LOWER(TRIM(Raw_Passengers!F537)))*(ROW(Lookup_Status!$A$2:$A$13)-1))))</f>
        <v>Confirmed</v>
      </c>
      <c r="H537" s="7" t="str">
        <f>IF(SUMPRODUCT(--(Lookup_Status!$A$2:$A$13=LOWER(TRIM(Raw_Passengers!G537))))=0,"",INDEX(Lookup_Status!$B$2:$B$13,SUMPRODUCT((Lookup_Status!$A$2:$A$13=LOWER(TRIM(Raw_Passengers!G537)))*(ROW(Lookup_Status!$A$2:$A$13)-1))))</f>
        <v>Confirmed</v>
      </c>
      <c r="I537" s="7">
        <f>IF(OR(G537="",G537="Cancelled",G537="Mixed"),1,0)</f>
        <v>0</v>
      </c>
      <c r="J537" s="7">
        <f>IF(OR(H537="",H537="Mixed"),1,0)</f>
        <v>0</v>
      </c>
      <c r="K537" s="7">
        <f>IF(AND(C537=0,D537=0),IF(OR(AND(I537=0,NOT(EXACT(Raw_Passengers!F537,G537))),AND(J537=0,NOT(EXACT(Raw_Passengers!G537,H537)))),1,0),0)</f>
        <v>0</v>
      </c>
      <c r="L537" s="7">
        <f>IF(AND(C537=0,D537=0,I537=1),1,0)</f>
        <v>0</v>
      </c>
      <c r="M537" s="7">
        <f>IF(AND(C537=0,D537=0,J537=1),1,0)</f>
        <v>0</v>
      </c>
    </row>
    <row r="538" spans="1:13">
      <c r="A538" s="7">
        <f>Raw_Passengers!A538</f>
        <v>176193</v>
      </c>
      <c r="B538" s="7">
        <f>Raw_Passengers!B538</f>
        <v>1087348</v>
      </c>
      <c r="C538" s="7">
        <f>IF(COUNTIF(Raw_Passengers!$A$2:A538,Raw_Passengers!A538)&gt;1,1,0)</f>
        <v>0</v>
      </c>
      <c r="D538" s="7">
        <f>IF(COUNTIF(Raw_Bookings!$A$2:$A$648,Raw_Passengers!B538)=0,1,0)</f>
        <v>0</v>
      </c>
      <c r="E538" s="7">
        <f>IF(OR(C538=1,D538=1),0,IF(NOT(ISNUMBER(Raw_Passengers!E538)),1,IF(Raw_Passengers!E538&lt;=0,1,0)))</f>
        <v>0</v>
      </c>
      <c r="F538" s="7">
        <f>IF(AND(C538=0,D538=0,TRIM(Raw_Passengers!D538&amp;"")=""),1,0)</f>
        <v>0</v>
      </c>
      <c r="G538" s="7" t="str">
        <f>IF(SUMPRODUCT(--(Lookup_Status!$A$2:$A$13=LOWER(TRIM(Raw_Passengers!F538))))=0,"",INDEX(Lookup_Status!$B$2:$B$13,SUMPRODUCT((Lookup_Status!$A$2:$A$13=LOWER(TRIM(Raw_Passengers!F538)))*(ROW(Lookup_Status!$A$2:$A$13)-1))))</f>
        <v>Confirmed</v>
      </c>
      <c r="H538" s="7" t="str">
        <f>IF(SUMPRODUCT(--(Lookup_Status!$A$2:$A$13=LOWER(TRIM(Raw_Passengers!G538))))=0,"",INDEX(Lookup_Status!$B$2:$B$13,SUMPRODUCT((Lookup_Status!$A$2:$A$13=LOWER(TRIM(Raw_Passengers!G538)))*(ROW(Lookup_Status!$A$2:$A$13)-1))))</f>
        <v>Confirmed</v>
      </c>
      <c r="I538" s="7">
        <f>IF(OR(G538="",G538="Cancelled",G538="Mixed"),1,0)</f>
        <v>0</v>
      </c>
      <c r="J538" s="7">
        <f>IF(OR(H538="",H538="Mixed"),1,0)</f>
        <v>0</v>
      </c>
      <c r="K538" s="7">
        <f>IF(AND(C538=0,D538=0),IF(OR(AND(I538=0,NOT(EXACT(Raw_Passengers!F538,G538))),AND(J538=0,NOT(EXACT(Raw_Passengers!G538,H538)))),1,0),0)</f>
        <v>0</v>
      </c>
      <c r="L538" s="7">
        <f>IF(AND(C538=0,D538=0,I538=1),1,0)</f>
        <v>0</v>
      </c>
      <c r="M538" s="7">
        <f>IF(AND(C538=0,D538=0,J538=1),1,0)</f>
        <v>0</v>
      </c>
    </row>
    <row r="539" spans="1:13">
      <c r="A539" s="7">
        <f>Raw_Passengers!A539</f>
        <v>177621</v>
      </c>
      <c r="B539" s="7">
        <f>Raw_Passengers!B539</f>
        <v>1088056</v>
      </c>
      <c r="C539" s="7">
        <f>IF(COUNTIF(Raw_Passengers!$A$2:A539,Raw_Passengers!A539)&gt;1,1,0)</f>
        <v>0</v>
      </c>
      <c r="D539" s="7">
        <f>IF(COUNTIF(Raw_Bookings!$A$2:$A$648,Raw_Passengers!B539)=0,1,0)</f>
        <v>0</v>
      </c>
      <c r="E539" s="7">
        <f>IF(OR(C539=1,D539=1),0,IF(NOT(ISNUMBER(Raw_Passengers!E539)),1,IF(Raw_Passengers!E539&lt;=0,1,0)))</f>
        <v>0</v>
      </c>
      <c r="F539" s="7">
        <f>IF(AND(C539=0,D539=0,TRIM(Raw_Passengers!D539&amp;"")=""),1,0)</f>
        <v>0</v>
      </c>
      <c r="G539" s="7" t="str">
        <f>IF(SUMPRODUCT(--(Lookup_Status!$A$2:$A$13=LOWER(TRIM(Raw_Passengers!F539))))=0,"",INDEX(Lookup_Status!$B$2:$B$13,SUMPRODUCT((Lookup_Status!$A$2:$A$13=LOWER(TRIM(Raw_Passengers!F539)))*(ROW(Lookup_Status!$A$2:$A$13)-1))))</f>
        <v>Confirmed</v>
      </c>
      <c r="H539" s="7" t="str">
        <f>IF(SUMPRODUCT(--(Lookup_Status!$A$2:$A$13=LOWER(TRIM(Raw_Passengers!G539))))=0,"",INDEX(Lookup_Status!$B$2:$B$13,SUMPRODUCT((Lookup_Status!$A$2:$A$13=LOWER(TRIM(Raw_Passengers!G539)))*(ROW(Lookup_Status!$A$2:$A$13)-1))))</f>
        <v>Confirmed</v>
      </c>
      <c r="I539" s="7">
        <f>IF(OR(G539="",G539="Cancelled",G539="Mixed"),1,0)</f>
        <v>0</v>
      </c>
      <c r="J539" s="7">
        <f>IF(OR(H539="",H539="Mixed"),1,0)</f>
        <v>0</v>
      </c>
      <c r="K539" s="7">
        <f>IF(AND(C539=0,D539=0),IF(OR(AND(I539=0,NOT(EXACT(Raw_Passengers!F539,G539))),AND(J539=0,NOT(EXACT(Raw_Passengers!G539,H539)))),1,0),0)</f>
        <v>0</v>
      </c>
      <c r="L539" s="7">
        <f>IF(AND(C539=0,D539=0,I539=1),1,0)</f>
        <v>0</v>
      </c>
      <c r="M539" s="7">
        <f>IF(AND(C539=0,D539=0,J539=1),1,0)</f>
        <v>0</v>
      </c>
    </row>
    <row r="540" spans="1:13">
      <c r="A540" s="7">
        <f>Raw_Passengers!A540</f>
        <v>177622</v>
      </c>
      <c r="B540" s="7">
        <f>Raw_Passengers!B540</f>
        <v>1088056</v>
      </c>
      <c r="C540" s="7">
        <f>IF(COUNTIF(Raw_Passengers!$A$2:A540,Raw_Passengers!A540)&gt;1,1,0)</f>
        <v>0</v>
      </c>
      <c r="D540" s="7">
        <f>IF(COUNTIF(Raw_Bookings!$A$2:$A$648,Raw_Passengers!B540)=0,1,0)</f>
        <v>0</v>
      </c>
      <c r="E540" s="7">
        <f>IF(OR(C540=1,D540=1),0,IF(NOT(ISNUMBER(Raw_Passengers!E540)),1,IF(Raw_Passengers!E540&lt;=0,1,0)))</f>
        <v>0</v>
      </c>
      <c r="F540" s="7">
        <f>IF(AND(C540=0,D540=0,TRIM(Raw_Passengers!D540&amp;"")=""),1,0)</f>
        <v>0</v>
      </c>
      <c r="G540" s="7" t="str">
        <f>IF(SUMPRODUCT(--(Lookup_Status!$A$2:$A$13=LOWER(TRIM(Raw_Passengers!F540))))=0,"",INDEX(Lookup_Status!$B$2:$B$13,SUMPRODUCT((Lookup_Status!$A$2:$A$13=LOWER(TRIM(Raw_Passengers!F540)))*(ROW(Lookup_Status!$A$2:$A$13)-1))))</f>
        <v>Confirmed</v>
      </c>
      <c r="H540" s="7" t="str">
        <f>IF(SUMPRODUCT(--(Lookup_Status!$A$2:$A$13=LOWER(TRIM(Raw_Passengers!G540))))=0,"",INDEX(Lookup_Status!$B$2:$B$13,SUMPRODUCT((Lookup_Status!$A$2:$A$13=LOWER(TRIM(Raw_Passengers!G540)))*(ROW(Lookup_Status!$A$2:$A$13)-1))))</f>
        <v>Confirmed</v>
      </c>
      <c r="I540" s="7">
        <f>IF(OR(G540="",G540="Cancelled",G540="Mixed"),1,0)</f>
        <v>0</v>
      </c>
      <c r="J540" s="7">
        <f>IF(OR(H540="",H540="Mixed"),1,0)</f>
        <v>0</v>
      </c>
      <c r="K540" s="7">
        <f>IF(AND(C540=0,D540=0),IF(OR(AND(I540=0,NOT(EXACT(Raw_Passengers!F540,G540))),AND(J540=0,NOT(EXACT(Raw_Passengers!G540,H540)))),1,0),0)</f>
        <v>0</v>
      </c>
      <c r="L540" s="7">
        <f>IF(AND(C540=0,D540=0,I540=1),1,0)</f>
        <v>0</v>
      </c>
      <c r="M540" s="7">
        <f>IF(AND(C540=0,D540=0,J540=1),1,0)</f>
        <v>0</v>
      </c>
    </row>
    <row r="541" spans="1:13">
      <c r="A541" s="7">
        <f>Raw_Passengers!A541</f>
        <v>181672</v>
      </c>
      <c r="B541" s="7">
        <f>Raw_Passengers!B541</f>
        <v>1089984</v>
      </c>
      <c r="C541" s="7">
        <f>IF(COUNTIF(Raw_Passengers!$A$2:A541,Raw_Passengers!A541)&gt;1,1,0)</f>
        <v>0</v>
      </c>
      <c r="D541" s="7">
        <f>IF(COUNTIF(Raw_Bookings!$A$2:$A$648,Raw_Passengers!B541)=0,1,0)</f>
        <v>0</v>
      </c>
      <c r="E541" s="7">
        <f>IF(OR(C541=1,D541=1),0,IF(NOT(ISNUMBER(Raw_Passengers!E541)),1,IF(Raw_Passengers!E541&lt;=0,1,0)))</f>
        <v>0</v>
      </c>
      <c r="F541" s="7">
        <f>IF(AND(C541=0,D541=0,TRIM(Raw_Passengers!D541&amp;"")=""),1,0)</f>
        <v>0</v>
      </c>
      <c r="G541" s="7" t="str">
        <f>IF(SUMPRODUCT(--(Lookup_Status!$A$2:$A$13=LOWER(TRIM(Raw_Passengers!F541))))=0,"",INDEX(Lookup_Status!$B$2:$B$13,SUMPRODUCT((Lookup_Status!$A$2:$A$13=LOWER(TRIM(Raw_Passengers!F541)))*(ROW(Lookup_Status!$A$2:$A$13)-1))))</f>
        <v>Confirmed</v>
      </c>
      <c r="H541" s="7" t="str">
        <f>IF(SUMPRODUCT(--(Lookup_Status!$A$2:$A$13=LOWER(TRIM(Raw_Passengers!G541))))=0,"",INDEX(Lookup_Status!$B$2:$B$13,SUMPRODUCT((Lookup_Status!$A$2:$A$13=LOWER(TRIM(Raw_Passengers!G541)))*(ROW(Lookup_Status!$A$2:$A$13)-1))))</f>
        <v>Confirmed</v>
      </c>
      <c r="I541" s="7">
        <f>IF(OR(G541="",G541="Cancelled",G541="Mixed"),1,0)</f>
        <v>0</v>
      </c>
      <c r="J541" s="7">
        <f>IF(OR(H541="",H541="Mixed"),1,0)</f>
        <v>0</v>
      </c>
      <c r="K541" s="7">
        <f>IF(AND(C541=0,D541=0),IF(OR(AND(I541=0,NOT(EXACT(Raw_Passengers!F541,G541))),AND(J541=0,NOT(EXACT(Raw_Passengers!G541,H541)))),1,0),0)</f>
        <v>0</v>
      </c>
      <c r="L541" s="7">
        <f>IF(AND(C541=0,D541=0,I541=1),1,0)</f>
        <v>0</v>
      </c>
      <c r="M541" s="7">
        <f>IF(AND(C541=0,D541=0,J541=1),1,0)</f>
        <v>0</v>
      </c>
    </row>
    <row r="542" spans="1:13">
      <c r="A542" s="7">
        <f>Raw_Passengers!A542</f>
        <v>182122</v>
      </c>
      <c r="B542" s="7">
        <f>Raw_Passengers!B542</f>
        <v>1090224</v>
      </c>
      <c r="C542" s="7">
        <f>IF(COUNTIF(Raw_Passengers!$A$2:A542,Raw_Passengers!A542)&gt;1,1,0)</f>
        <v>0</v>
      </c>
      <c r="D542" s="7">
        <f>IF(COUNTIF(Raw_Bookings!$A$2:$A$648,Raw_Passengers!B542)=0,1,0)</f>
        <v>0</v>
      </c>
      <c r="E542" s="7">
        <f>IF(OR(C542=1,D542=1),0,IF(NOT(ISNUMBER(Raw_Passengers!E542)),1,IF(Raw_Passengers!E542&lt;=0,1,0)))</f>
        <v>0</v>
      </c>
      <c r="F542" s="7">
        <f>IF(AND(C542=0,D542=0,TRIM(Raw_Passengers!D542&amp;"")=""),1,0)</f>
        <v>0</v>
      </c>
      <c r="G542" s="7" t="str">
        <f>IF(SUMPRODUCT(--(Lookup_Status!$A$2:$A$13=LOWER(TRIM(Raw_Passengers!F542))))=0,"",INDEX(Lookup_Status!$B$2:$B$13,SUMPRODUCT((Lookup_Status!$A$2:$A$13=LOWER(TRIM(Raw_Passengers!F542)))*(ROW(Lookup_Status!$A$2:$A$13)-1))))</f>
        <v>Confirmed</v>
      </c>
      <c r="H542" s="7" t="str">
        <f>IF(SUMPRODUCT(--(Lookup_Status!$A$2:$A$13=LOWER(TRIM(Raw_Passengers!G542))))=0,"",INDEX(Lookup_Status!$B$2:$B$13,SUMPRODUCT((Lookup_Status!$A$2:$A$13=LOWER(TRIM(Raw_Passengers!G542)))*(ROW(Lookup_Status!$A$2:$A$13)-1))))</f>
        <v>Confirmed</v>
      </c>
      <c r="I542" s="7">
        <f>IF(OR(G542="",G542="Cancelled",G542="Mixed"),1,0)</f>
        <v>0</v>
      </c>
      <c r="J542" s="7">
        <f>IF(OR(H542="",H542="Mixed"),1,0)</f>
        <v>0</v>
      </c>
      <c r="K542" s="7">
        <f>IF(AND(C542=0,D542=0),IF(OR(AND(I542=0,NOT(EXACT(Raw_Passengers!F542,G542))),AND(J542=0,NOT(EXACT(Raw_Passengers!G542,H542)))),1,0),0)</f>
        <v>0</v>
      </c>
      <c r="L542" s="7">
        <f>IF(AND(C542=0,D542=0,I542=1),1,0)</f>
        <v>0</v>
      </c>
      <c r="M542" s="7">
        <f>IF(AND(C542=0,D542=0,J542=1),1,0)</f>
        <v>0</v>
      </c>
    </row>
    <row r="543" spans="1:13">
      <c r="A543" s="7">
        <f>Raw_Passengers!A543</f>
        <v>183200</v>
      </c>
      <c r="B543" s="7">
        <f>Raw_Passengers!B543</f>
        <v>1090748</v>
      </c>
      <c r="C543" s="7">
        <f>IF(COUNTIF(Raw_Passengers!$A$2:A543,Raw_Passengers!A543)&gt;1,1,0)</f>
        <v>0</v>
      </c>
      <c r="D543" s="7">
        <f>IF(COUNTIF(Raw_Bookings!$A$2:$A$648,Raw_Passengers!B543)=0,1,0)</f>
        <v>0</v>
      </c>
      <c r="E543" s="7">
        <f>IF(OR(C543=1,D543=1),0,IF(NOT(ISNUMBER(Raw_Passengers!E543)),1,IF(Raw_Passengers!E543&lt;=0,1,0)))</f>
        <v>0</v>
      </c>
      <c r="F543" s="7">
        <f>IF(AND(C543=0,D543=0,TRIM(Raw_Passengers!D543&amp;"")=""),1,0)</f>
        <v>0</v>
      </c>
      <c r="G543" s="7" t="str">
        <f>IF(SUMPRODUCT(--(Lookup_Status!$A$2:$A$13=LOWER(TRIM(Raw_Passengers!F543))))=0,"",INDEX(Lookup_Status!$B$2:$B$13,SUMPRODUCT((Lookup_Status!$A$2:$A$13=LOWER(TRIM(Raw_Passengers!F543)))*(ROW(Lookup_Status!$A$2:$A$13)-1))))</f>
        <v>Waitlisted</v>
      </c>
      <c r="H543" s="7" t="str">
        <f>IF(SUMPRODUCT(--(Lookup_Status!$A$2:$A$13=LOWER(TRIM(Raw_Passengers!G543))))=0,"",INDEX(Lookup_Status!$B$2:$B$13,SUMPRODUCT((Lookup_Status!$A$2:$A$13=LOWER(TRIM(Raw_Passengers!G543)))*(ROW(Lookup_Status!$A$2:$A$13)-1))))</f>
        <v>Waitlisted</v>
      </c>
      <c r="I543" s="7">
        <f>IF(OR(G543="",G543="Cancelled",G543="Mixed"),1,0)</f>
        <v>0</v>
      </c>
      <c r="J543" s="7">
        <f>IF(OR(H543="",H543="Mixed"),1,0)</f>
        <v>0</v>
      </c>
      <c r="K543" s="7">
        <f>IF(AND(C543=0,D543=0),IF(OR(AND(I543=0,NOT(EXACT(Raw_Passengers!F543,G543))),AND(J543=0,NOT(EXACT(Raw_Passengers!G543,H543)))),1,0),0)</f>
        <v>0</v>
      </c>
      <c r="L543" s="7">
        <f>IF(AND(C543=0,D543=0,I543=1),1,0)</f>
        <v>0</v>
      </c>
      <c r="M543" s="7">
        <f>IF(AND(C543=0,D543=0,J543=1),1,0)</f>
        <v>0</v>
      </c>
    </row>
    <row r="544" spans="1:13">
      <c r="A544" s="7">
        <f>Raw_Passengers!A544</f>
        <v>184386</v>
      </c>
      <c r="B544" s="7">
        <f>Raw_Passengers!B544</f>
        <v>1091321</v>
      </c>
      <c r="C544" s="7">
        <f>IF(COUNTIF(Raw_Passengers!$A$2:A544,Raw_Passengers!A544)&gt;1,1,0)</f>
        <v>0</v>
      </c>
      <c r="D544" s="7">
        <f>IF(COUNTIF(Raw_Bookings!$A$2:$A$648,Raw_Passengers!B544)=0,1,0)</f>
        <v>0</v>
      </c>
      <c r="E544" s="7">
        <f>IF(OR(C544=1,D544=1),0,IF(NOT(ISNUMBER(Raw_Passengers!E544)),1,IF(Raw_Passengers!E544&lt;=0,1,0)))</f>
        <v>0</v>
      </c>
      <c r="F544" s="7">
        <f>IF(AND(C544=0,D544=0,TRIM(Raw_Passengers!D544&amp;"")=""),1,0)</f>
        <v>0</v>
      </c>
      <c r="G544" s="7" t="str">
        <f>IF(SUMPRODUCT(--(Lookup_Status!$A$2:$A$13=LOWER(TRIM(Raw_Passengers!F544))))=0,"",INDEX(Lookup_Status!$B$2:$B$13,SUMPRODUCT((Lookup_Status!$A$2:$A$13=LOWER(TRIM(Raw_Passengers!F544)))*(ROW(Lookup_Status!$A$2:$A$13)-1))))</f>
        <v>Confirmed</v>
      </c>
      <c r="H544" s="7" t="str">
        <f>IF(SUMPRODUCT(--(Lookup_Status!$A$2:$A$13=LOWER(TRIM(Raw_Passengers!G544))))=0,"",INDEX(Lookup_Status!$B$2:$B$13,SUMPRODUCT((Lookup_Status!$A$2:$A$13=LOWER(TRIM(Raw_Passengers!G544)))*(ROW(Lookup_Status!$A$2:$A$13)-1))))</f>
        <v>Confirmed</v>
      </c>
      <c r="I544" s="7">
        <f>IF(OR(G544="",G544="Cancelled",G544="Mixed"),1,0)</f>
        <v>0</v>
      </c>
      <c r="J544" s="7">
        <f>IF(OR(H544="",H544="Mixed"),1,0)</f>
        <v>0</v>
      </c>
      <c r="K544" s="7">
        <f>IF(AND(C544=0,D544=0),IF(OR(AND(I544=0,NOT(EXACT(Raw_Passengers!F544,G544))),AND(J544=0,NOT(EXACT(Raw_Passengers!G544,H544)))),1,0),0)</f>
        <v>0</v>
      </c>
      <c r="L544" s="7">
        <f>IF(AND(C544=0,D544=0,I544=1),1,0)</f>
        <v>0</v>
      </c>
      <c r="M544" s="7">
        <f>IF(AND(C544=0,D544=0,J544=1),1,0)</f>
        <v>0</v>
      </c>
    </row>
    <row r="545" spans="1:13">
      <c r="A545" s="7">
        <f>Raw_Passengers!A545</f>
        <v>185271</v>
      </c>
      <c r="B545" s="7">
        <f>Raw_Passengers!B545</f>
        <v>1091765</v>
      </c>
      <c r="C545" s="7">
        <f>IF(COUNTIF(Raw_Passengers!$A$2:A545,Raw_Passengers!A545)&gt;1,1,0)</f>
        <v>0</v>
      </c>
      <c r="D545" s="7">
        <f>IF(COUNTIF(Raw_Bookings!$A$2:$A$648,Raw_Passengers!B545)=0,1,0)</f>
        <v>0</v>
      </c>
      <c r="E545" s="7">
        <f>IF(OR(C545=1,D545=1),0,IF(NOT(ISNUMBER(Raw_Passengers!E545)),1,IF(Raw_Passengers!E545&lt;=0,1,0)))</f>
        <v>0</v>
      </c>
      <c r="F545" s="7">
        <f>IF(AND(C545=0,D545=0,TRIM(Raw_Passengers!D545&amp;"")=""),1,0)</f>
        <v>0</v>
      </c>
      <c r="G545" s="7" t="str">
        <f>IF(SUMPRODUCT(--(Lookup_Status!$A$2:$A$13=LOWER(TRIM(Raw_Passengers!F545))))=0,"",INDEX(Lookup_Status!$B$2:$B$13,SUMPRODUCT((Lookup_Status!$A$2:$A$13=LOWER(TRIM(Raw_Passengers!F545)))*(ROW(Lookup_Status!$A$2:$A$13)-1))))</f>
        <v>Confirmed</v>
      </c>
      <c r="H545" s="7" t="str">
        <f>IF(SUMPRODUCT(--(Lookup_Status!$A$2:$A$13=LOWER(TRIM(Raw_Passengers!G545))))=0,"",INDEX(Lookup_Status!$B$2:$B$13,SUMPRODUCT((Lookup_Status!$A$2:$A$13=LOWER(TRIM(Raw_Passengers!G545)))*(ROW(Lookup_Status!$A$2:$A$13)-1))))</f>
        <v>Confirmed</v>
      </c>
      <c r="I545" s="7">
        <f>IF(OR(G545="",G545="Cancelled",G545="Mixed"),1,0)</f>
        <v>0</v>
      </c>
      <c r="J545" s="7">
        <f>IF(OR(H545="",H545="Mixed"),1,0)</f>
        <v>0</v>
      </c>
      <c r="K545" s="7">
        <f>IF(AND(C545=0,D545=0),IF(OR(AND(I545=0,NOT(EXACT(Raw_Passengers!F545,G545))),AND(J545=0,NOT(EXACT(Raw_Passengers!G545,H545)))),1,0),0)</f>
        <v>0</v>
      </c>
      <c r="L545" s="7">
        <f>IF(AND(C545=0,D545=0,I545=1),1,0)</f>
        <v>0</v>
      </c>
      <c r="M545" s="7">
        <f>IF(AND(C545=0,D545=0,J545=1),1,0)</f>
        <v>0</v>
      </c>
    </row>
    <row r="546" spans="1:13">
      <c r="A546" s="7">
        <f>Raw_Passengers!A546</f>
        <v>185272</v>
      </c>
      <c r="B546" s="7">
        <f>Raw_Passengers!B546</f>
        <v>1091765</v>
      </c>
      <c r="C546" s="7">
        <f>IF(COUNTIF(Raw_Passengers!$A$2:A546,Raw_Passengers!A546)&gt;1,1,0)</f>
        <v>0</v>
      </c>
      <c r="D546" s="7">
        <f>IF(COUNTIF(Raw_Bookings!$A$2:$A$648,Raw_Passengers!B546)=0,1,0)</f>
        <v>0</v>
      </c>
      <c r="E546" s="7">
        <f>IF(OR(C546=1,D546=1),0,IF(NOT(ISNUMBER(Raw_Passengers!E546)),1,IF(Raw_Passengers!E546&lt;=0,1,0)))</f>
        <v>0</v>
      </c>
      <c r="F546" s="7">
        <f>IF(AND(C546=0,D546=0,TRIM(Raw_Passengers!D546&amp;"")=""),1,0)</f>
        <v>0</v>
      </c>
      <c r="G546" s="7" t="str">
        <f>IF(SUMPRODUCT(--(Lookup_Status!$A$2:$A$13=LOWER(TRIM(Raw_Passengers!F546))))=0,"",INDEX(Lookup_Status!$B$2:$B$13,SUMPRODUCT((Lookup_Status!$A$2:$A$13=LOWER(TRIM(Raw_Passengers!F546)))*(ROW(Lookup_Status!$A$2:$A$13)-1))))</f>
        <v>Confirmed</v>
      </c>
      <c r="H546" s="7" t="str">
        <f>IF(SUMPRODUCT(--(Lookup_Status!$A$2:$A$13=LOWER(TRIM(Raw_Passengers!G546))))=0,"",INDEX(Lookup_Status!$B$2:$B$13,SUMPRODUCT((Lookup_Status!$A$2:$A$13=LOWER(TRIM(Raw_Passengers!G546)))*(ROW(Lookup_Status!$A$2:$A$13)-1))))</f>
        <v>Confirmed</v>
      </c>
      <c r="I546" s="7">
        <f>IF(OR(G546="",G546="Cancelled",G546="Mixed"),1,0)</f>
        <v>0</v>
      </c>
      <c r="J546" s="7">
        <f>IF(OR(H546="",H546="Mixed"),1,0)</f>
        <v>0</v>
      </c>
      <c r="K546" s="7">
        <f>IF(AND(C546=0,D546=0),IF(OR(AND(I546=0,NOT(EXACT(Raw_Passengers!F546,G546))),AND(J546=0,NOT(EXACT(Raw_Passengers!G546,H546)))),1,0),0)</f>
        <v>0</v>
      </c>
      <c r="L546" s="7">
        <f>IF(AND(C546=0,D546=0,I546=1),1,0)</f>
        <v>0</v>
      </c>
      <c r="M546" s="7">
        <f>IF(AND(C546=0,D546=0,J546=1),1,0)</f>
        <v>0</v>
      </c>
    </row>
    <row r="547" spans="1:13">
      <c r="A547" s="7">
        <f>Raw_Passengers!A547</f>
        <v>185277</v>
      </c>
      <c r="B547" s="7">
        <f>Raw_Passengers!B547</f>
        <v>1091769</v>
      </c>
      <c r="C547" s="7">
        <f>IF(COUNTIF(Raw_Passengers!$A$2:A547,Raw_Passengers!A547)&gt;1,1,0)</f>
        <v>0</v>
      </c>
      <c r="D547" s="7">
        <f>IF(COUNTIF(Raw_Bookings!$A$2:$A$648,Raw_Passengers!B547)=0,1,0)</f>
        <v>0</v>
      </c>
      <c r="E547" s="7">
        <f>IF(OR(C547=1,D547=1),0,IF(NOT(ISNUMBER(Raw_Passengers!E547)),1,IF(Raw_Passengers!E547&lt;=0,1,0)))</f>
        <v>0</v>
      </c>
      <c r="F547" s="7">
        <f>IF(AND(C547=0,D547=0,TRIM(Raw_Passengers!D547&amp;"")=""),1,0)</f>
        <v>0</v>
      </c>
      <c r="G547" s="7" t="str">
        <f>IF(SUMPRODUCT(--(Lookup_Status!$A$2:$A$13=LOWER(TRIM(Raw_Passengers!F547))))=0,"",INDEX(Lookup_Status!$B$2:$B$13,SUMPRODUCT((Lookup_Status!$A$2:$A$13=LOWER(TRIM(Raw_Passengers!F547)))*(ROW(Lookup_Status!$A$2:$A$13)-1))))</f>
        <v>Waitlisted</v>
      </c>
      <c r="H547" s="7" t="str">
        <f>IF(SUMPRODUCT(--(Lookup_Status!$A$2:$A$13=LOWER(TRIM(Raw_Passengers!G547))))=0,"",INDEX(Lookup_Status!$B$2:$B$13,SUMPRODUCT((Lookup_Status!$A$2:$A$13=LOWER(TRIM(Raw_Passengers!G547)))*(ROW(Lookup_Status!$A$2:$A$13)-1))))</f>
        <v>Waitlisted</v>
      </c>
      <c r="I547" s="7">
        <f>IF(OR(G547="",G547="Cancelled",G547="Mixed"),1,0)</f>
        <v>0</v>
      </c>
      <c r="J547" s="7">
        <f>IF(OR(H547="",H547="Mixed"),1,0)</f>
        <v>0</v>
      </c>
      <c r="K547" s="7">
        <f>IF(AND(C547=0,D547=0),IF(OR(AND(I547=0,NOT(EXACT(Raw_Passengers!F547,G547))),AND(J547=0,NOT(EXACT(Raw_Passengers!G547,H547)))),1,0),0)</f>
        <v>0</v>
      </c>
      <c r="L547" s="7">
        <f>IF(AND(C547=0,D547=0,I547=1),1,0)</f>
        <v>0</v>
      </c>
      <c r="M547" s="7">
        <f>IF(AND(C547=0,D547=0,J547=1),1,0)</f>
        <v>0</v>
      </c>
    </row>
    <row r="548" spans="1:13">
      <c r="A548" s="7">
        <f>Raw_Passengers!A548</f>
        <v>185278</v>
      </c>
      <c r="B548" s="7">
        <f>Raw_Passengers!B548</f>
        <v>1091769</v>
      </c>
      <c r="C548" s="7">
        <f>IF(COUNTIF(Raw_Passengers!$A$2:A548,Raw_Passengers!A548)&gt;1,1,0)</f>
        <v>0</v>
      </c>
      <c r="D548" s="7">
        <f>IF(COUNTIF(Raw_Bookings!$A$2:$A$648,Raw_Passengers!B548)=0,1,0)</f>
        <v>0</v>
      </c>
      <c r="E548" s="7">
        <f>IF(OR(C548=1,D548=1),0,IF(NOT(ISNUMBER(Raw_Passengers!E548)),1,IF(Raw_Passengers!E548&lt;=0,1,0)))</f>
        <v>0</v>
      </c>
      <c r="F548" s="7">
        <f>IF(AND(C548=0,D548=0,TRIM(Raw_Passengers!D548&amp;"")=""),1,0)</f>
        <v>0</v>
      </c>
      <c r="G548" s="7" t="str">
        <f>IF(SUMPRODUCT(--(Lookup_Status!$A$2:$A$13=LOWER(TRIM(Raw_Passengers!F548))))=0,"",INDEX(Lookup_Status!$B$2:$B$13,SUMPRODUCT((Lookup_Status!$A$2:$A$13=LOWER(TRIM(Raw_Passengers!F548)))*(ROW(Lookup_Status!$A$2:$A$13)-1))))</f>
        <v>Waitlisted</v>
      </c>
      <c r="H548" s="7" t="str">
        <f>IF(SUMPRODUCT(--(Lookup_Status!$A$2:$A$13=LOWER(TRIM(Raw_Passengers!G548))))=0,"",INDEX(Lookup_Status!$B$2:$B$13,SUMPRODUCT((Lookup_Status!$A$2:$A$13=LOWER(TRIM(Raw_Passengers!G548)))*(ROW(Lookup_Status!$A$2:$A$13)-1))))</f>
        <v>Waitlisted</v>
      </c>
      <c r="I548" s="7">
        <f>IF(OR(G548="",G548="Cancelled",G548="Mixed"),1,0)</f>
        <v>0</v>
      </c>
      <c r="J548" s="7">
        <f>IF(OR(H548="",H548="Mixed"),1,0)</f>
        <v>0</v>
      </c>
      <c r="K548" s="7">
        <f>IF(AND(C548=0,D548=0),IF(OR(AND(I548=0,NOT(EXACT(Raw_Passengers!F548,G548))),AND(J548=0,NOT(EXACT(Raw_Passengers!G548,H548)))),1,0),0)</f>
        <v>0</v>
      </c>
      <c r="L548" s="7">
        <f>IF(AND(C548=0,D548=0,I548=1),1,0)</f>
        <v>0</v>
      </c>
      <c r="M548" s="7">
        <f>IF(AND(C548=0,D548=0,J548=1),1,0)</f>
        <v>0</v>
      </c>
    </row>
    <row r="549" spans="1:13">
      <c r="A549" s="7">
        <f>Raw_Passengers!A549</f>
        <v>185279</v>
      </c>
      <c r="B549" s="7">
        <f>Raw_Passengers!B549</f>
        <v>1091769</v>
      </c>
      <c r="C549" s="7">
        <f>IF(COUNTIF(Raw_Passengers!$A$2:A549,Raw_Passengers!A549)&gt;1,1,0)</f>
        <v>0</v>
      </c>
      <c r="D549" s="7">
        <f>IF(COUNTIF(Raw_Bookings!$A$2:$A$648,Raw_Passengers!B549)=0,1,0)</f>
        <v>0</v>
      </c>
      <c r="E549" s="7">
        <f>IF(OR(C549=1,D549=1),0,IF(NOT(ISNUMBER(Raw_Passengers!E549)),1,IF(Raw_Passengers!E549&lt;=0,1,0)))</f>
        <v>0</v>
      </c>
      <c r="F549" s="7">
        <f>IF(AND(C549=0,D549=0,TRIM(Raw_Passengers!D549&amp;"")=""),1,0)</f>
        <v>0</v>
      </c>
      <c r="G549" s="7" t="str">
        <f>IF(SUMPRODUCT(--(Lookup_Status!$A$2:$A$13=LOWER(TRIM(Raw_Passengers!F549))))=0,"",INDEX(Lookup_Status!$B$2:$B$13,SUMPRODUCT((Lookup_Status!$A$2:$A$13=LOWER(TRIM(Raw_Passengers!F549)))*(ROW(Lookup_Status!$A$2:$A$13)-1))))</f>
        <v>Waitlisted</v>
      </c>
      <c r="H549" s="7" t="str">
        <f>IF(SUMPRODUCT(--(Lookup_Status!$A$2:$A$13=LOWER(TRIM(Raw_Passengers!G549))))=0,"",INDEX(Lookup_Status!$B$2:$B$13,SUMPRODUCT((Lookup_Status!$A$2:$A$13=LOWER(TRIM(Raw_Passengers!G549)))*(ROW(Lookup_Status!$A$2:$A$13)-1))))</f>
        <v>Waitlisted</v>
      </c>
      <c r="I549" s="7">
        <f>IF(OR(G549="",G549="Cancelled",G549="Mixed"),1,0)</f>
        <v>0</v>
      </c>
      <c r="J549" s="7">
        <f>IF(OR(H549="",H549="Mixed"),1,0)</f>
        <v>0</v>
      </c>
      <c r="K549" s="7">
        <f>IF(AND(C549=0,D549=0),IF(OR(AND(I549=0,NOT(EXACT(Raw_Passengers!F549,G549))),AND(J549=0,NOT(EXACT(Raw_Passengers!G549,H549)))),1,0),0)</f>
        <v>0</v>
      </c>
      <c r="L549" s="7">
        <f>IF(AND(C549=0,D549=0,I549=1),1,0)</f>
        <v>0</v>
      </c>
      <c r="M549" s="7">
        <f>IF(AND(C549=0,D549=0,J549=1),1,0)</f>
        <v>0</v>
      </c>
    </row>
    <row r="550" spans="1:13">
      <c r="A550" s="7">
        <f>Raw_Passengers!A550</f>
        <v>185280</v>
      </c>
      <c r="B550" s="7">
        <f>Raw_Passengers!B550</f>
        <v>1091769</v>
      </c>
      <c r="C550" s="7">
        <f>IF(COUNTIF(Raw_Passengers!$A$2:A550,Raw_Passengers!A550)&gt;1,1,0)</f>
        <v>0</v>
      </c>
      <c r="D550" s="7">
        <f>IF(COUNTIF(Raw_Bookings!$A$2:$A$648,Raw_Passengers!B550)=0,1,0)</f>
        <v>0</v>
      </c>
      <c r="E550" s="7">
        <f>IF(OR(C550=1,D550=1),0,IF(NOT(ISNUMBER(Raw_Passengers!E550)),1,IF(Raw_Passengers!E550&lt;=0,1,0)))</f>
        <v>0</v>
      </c>
      <c r="F550" s="7">
        <f>IF(AND(C550=0,D550=0,TRIM(Raw_Passengers!D550&amp;"")=""),1,0)</f>
        <v>0</v>
      </c>
      <c r="G550" s="7" t="str">
        <f>IF(SUMPRODUCT(--(Lookup_Status!$A$2:$A$13=LOWER(TRIM(Raw_Passengers!F550))))=0,"",INDEX(Lookup_Status!$B$2:$B$13,SUMPRODUCT((Lookup_Status!$A$2:$A$13=LOWER(TRIM(Raw_Passengers!F550)))*(ROW(Lookup_Status!$A$2:$A$13)-1))))</f>
        <v>Waitlisted</v>
      </c>
      <c r="H550" s="7" t="str">
        <f>IF(SUMPRODUCT(--(Lookup_Status!$A$2:$A$13=LOWER(TRIM(Raw_Passengers!G550))))=0,"",INDEX(Lookup_Status!$B$2:$B$13,SUMPRODUCT((Lookup_Status!$A$2:$A$13=LOWER(TRIM(Raw_Passengers!G550)))*(ROW(Lookup_Status!$A$2:$A$13)-1))))</f>
        <v>Waitlisted</v>
      </c>
      <c r="I550" s="7">
        <f>IF(OR(G550="",G550="Cancelled",G550="Mixed"),1,0)</f>
        <v>0</v>
      </c>
      <c r="J550" s="7">
        <f>IF(OR(H550="",H550="Mixed"),1,0)</f>
        <v>0</v>
      </c>
      <c r="K550" s="7">
        <f>IF(AND(C550=0,D550=0),IF(OR(AND(I550=0,NOT(EXACT(Raw_Passengers!F550,G550))),AND(J550=0,NOT(EXACT(Raw_Passengers!G550,H550)))),1,0),0)</f>
        <v>0</v>
      </c>
      <c r="L550" s="7">
        <f>IF(AND(C550=0,D550=0,I550=1),1,0)</f>
        <v>0</v>
      </c>
      <c r="M550" s="7">
        <f>IF(AND(C550=0,D550=0,J550=1),1,0)</f>
        <v>0</v>
      </c>
    </row>
    <row r="551" spans="1:13">
      <c r="A551" s="7">
        <f>Raw_Passengers!A551</f>
        <v>185281</v>
      </c>
      <c r="B551" s="7">
        <f>Raw_Passengers!B551</f>
        <v>1091769</v>
      </c>
      <c r="C551" s="7">
        <f>IF(COUNTIF(Raw_Passengers!$A$2:A551,Raw_Passengers!A551)&gt;1,1,0)</f>
        <v>0</v>
      </c>
      <c r="D551" s="7">
        <f>IF(COUNTIF(Raw_Bookings!$A$2:$A$648,Raw_Passengers!B551)=0,1,0)</f>
        <v>0</v>
      </c>
      <c r="E551" s="7">
        <f>IF(OR(C551=1,D551=1),0,IF(NOT(ISNUMBER(Raw_Passengers!E551)),1,IF(Raw_Passengers!E551&lt;=0,1,0)))</f>
        <v>0</v>
      </c>
      <c r="F551" s="7">
        <f>IF(AND(C551=0,D551=0,TRIM(Raw_Passengers!D551&amp;"")=""),1,0)</f>
        <v>0</v>
      </c>
      <c r="G551" s="7" t="str">
        <f>IF(SUMPRODUCT(--(Lookup_Status!$A$2:$A$13=LOWER(TRIM(Raw_Passengers!F551))))=0,"",INDEX(Lookup_Status!$B$2:$B$13,SUMPRODUCT((Lookup_Status!$A$2:$A$13=LOWER(TRIM(Raw_Passengers!F551)))*(ROW(Lookup_Status!$A$2:$A$13)-1))))</f>
        <v>Waitlisted</v>
      </c>
      <c r="H551" s="7" t="str">
        <f>IF(SUMPRODUCT(--(Lookup_Status!$A$2:$A$13=LOWER(TRIM(Raw_Passengers!G551))))=0,"",INDEX(Lookup_Status!$B$2:$B$13,SUMPRODUCT((Lookup_Status!$A$2:$A$13=LOWER(TRIM(Raw_Passengers!G551)))*(ROW(Lookup_Status!$A$2:$A$13)-1))))</f>
        <v>Waitlisted</v>
      </c>
      <c r="I551" s="7">
        <f>IF(OR(G551="",G551="Cancelled",G551="Mixed"),1,0)</f>
        <v>0</v>
      </c>
      <c r="J551" s="7">
        <f>IF(OR(H551="",H551="Mixed"),1,0)</f>
        <v>0</v>
      </c>
      <c r="K551" s="7">
        <f>IF(AND(C551=0,D551=0),IF(OR(AND(I551=0,NOT(EXACT(Raw_Passengers!F551,G551))),AND(J551=0,NOT(EXACT(Raw_Passengers!G551,H551)))),1,0),0)</f>
        <v>0</v>
      </c>
      <c r="L551" s="7">
        <f>IF(AND(C551=0,D551=0,I551=1),1,0)</f>
        <v>0</v>
      </c>
      <c r="M551" s="7">
        <f>IF(AND(C551=0,D551=0,J551=1),1,0)</f>
        <v>0</v>
      </c>
    </row>
    <row r="552" spans="1:13">
      <c r="A552" s="7">
        <f>Raw_Passengers!A552</f>
        <v>185282</v>
      </c>
      <c r="B552" s="7">
        <f>Raw_Passengers!B552</f>
        <v>1091769</v>
      </c>
      <c r="C552" s="7">
        <f>IF(COUNTIF(Raw_Passengers!$A$2:A552,Raw_Passengers!A552)&gt;1,1,0)</f>
        <v>0</v>
      </c>
      <c r="D552" s="7">
        <f>IF(COUNTIF(Raw_Bookings!$A$2:$A$648,Raw_Passengers!B552)=0,1,0)</f>
        <v>0</v>
      </c>
      <c r="E552" s="7">
        <f>IF(OR(C552=1,D552=1),0,IF(NOT(ISNUMBER(Raw_Passengers!E552)),1,IF(Raw_Passengers!E552&lt;=0,1,0)))</f>
        <v>0</v>
      </c>
      <c r="F552" s="7">
        <f>IF(AND(C552=0,D552=0,TRIM(Raw_Passengers!D552&amp;"")=""),1,0)</f>
        <v>0</v>
      </c>
      <c r="G552" s="7" t="str">
        <f>IF(SUMPRODUCT(--(Lookup_Status!$A$2:$A$13=LOWER(TRIM(Raw_Passengers!F552))))=0,"",INDEX(Lookup_Status!$B$2:$B$13,SUMPRODUCT((Lookup_Status!$A$2:$A$13=LOWER(TRIM(Raw_Passengers!F552)))*(ROW(Lookup_Status!$A$2:$A$13)-1))))</f>
        <v>Waitlisted</v>
      </c>
      <c r="H552" s="7" t="str">
        <f>IF(SUMPRODUCT(--(Lookup_Status!$A$2:$A$13=LOWER(TRIM(Raw_Passengers!G552))))=0,"",INDEX(Lookup_Status!$B$2:$B$13,SUMPRODUCT((Lookup_Status!$A$2:$A$13=LOWER(TRIM(Raw_Passengers!G552)))*(ROW(Lookup_Status!$A$2:$A$13)-1))))</f>
        <v>Waitlisted</v>
      </c>
      <c r="I552" s="7">
        <f>IF(OR(G552="",G552="Cancelled",G552="Mixed"),1,0)</f>
        <v>0</v>
      </c>
      <c r="J552" s="7">
        <f>IF(OR(H552="",H552="Mixed"),1,0)</f>
        <v>0</v>
      </c>
      <c r="K552" s="7">
        <f>IF(AND(C552=0,D552=0),IF(OR(AND(I552=0,NOT(EXACT(Raw_Passengers!F552,G552))),AND(J552=0,NOT(EXACT(Raw_Passengers!G552,H552)))),1,0),0)</f>
        <v>0</v>
      </c>
      <c r="L552" s="7">
        <f>IF(AND(C552=0,D552=0,I552=1),1,0)</f>
        <v>0</v>
      </c>
      <c r="M552" s="7">
        <f>IF(AND(C552=0,D552=0,J552=1),1,0)</f>
        <v>0</v>
      </c>
    </row>
    <row r="553" spans="1:13">
      <c r="A553" s="7">
        <f>Raw_Passengers!A553</f>
        <v>185681</v>
      </c>
      <c r="B553" s="7">
        <f>Raw_Passengers!B553</f>
        <v>1091959</v>
      </c>
      <c r="C553" s="7">
        <f>IF(COUNTIF(Raw_Passengers!$A$2:A553,Raw_Passengers!A553)&gt;1,1,0)</f>
        <v>0</v>
      </c>
      <c r="D553" s="7">
        <f>IF(COUNTIF(Raw_Bookings!$A$2:$A$648,Raw_Passengers!B553)=0,1,0)</f>
        <v>0</v>
      </c>
      <c r="E553" s="7">
        <f>IF(OR(C553=1,D553=1),0,IF(NOT(ISNUMBER(Raw_Passengers!E553)),1,IF(Raw_Passengers!E553&lt;=0,1,0)))</f>
        <v>0</v>
      </c>
      <c r="F553" s="7">
        <f>IF(AND(C553=0,D553=0,TRIM(Raw_Passengers!D553&amp;"")=""),1,0)</f>
        <v>0</v>
      </c>
      <c r="G553" s="7" t="str">
        <f>IF(SUMPRODUCT(--(Lookup_Status!$A$2:$A$13=LOWER(TRIM(Raw_Passengers!F553))))=0,"",INDEX(Lookup_Status!$B$2:$B$13,SUMPRODUCT((Lookup_Status!$A$2:$A$13=LOWER(TRIM(Raw_Passengers!F553)))*(ROW(Lookup_Status!$A$2:$A$13)-1))))</f>
        <v>Confirmed</v>
      </c>
      <c r="H553" s="7" t="str">
        <f>IF(SUMPRODUCT(--(Lookup_Status!$A$2:$A$13=LOWER(TRIM(Raw_Passengers!G553))))=0,"",INDEX(Lookup_Status!$B$2:$B$13,SUMPRODUCT((Lookup_Status!$A$2:$A$13=LOWER(TRIM(Raw_Passengers!G553)))*(ROW(Lookup_Status!$A$2:$A$13)-1))))</f>
        <v>Confirmed</v>
      </c>
      <c r="I553" s="7">
        <f>IF(OR(G553="",G553="Cancelled",G553="Mixed"),1,0)</f>
        <v>0</v>
      </c>
      <c r="J553" s="7">
        <f>IF(OR(H553="",H553="Mixed"),1,0)</f>
        <v>0</v>
      </c>
      <c r="K553" s="7">
        <f>IF(AND(C553=0,D553=0),IF(OR(AND(I553=0,NOT(EXACT(Raw_Passengers!F553,G553))),AND(J553=0,NOT(EXACT(Raw_Passengers!G553,H553)))),1,0),0)</f>
        <v>0</v>
      </c>
      <c r="L553" s="7">
        <f>IF(AND(C553=0,D553=0,I553=1),1,0)</f>
        <v>0</v>
      </c>
      <c r="M553" s="7">
        <f>IF(AND(C553=0,D553=0,J553=1),1,0)</f>
        <v>0</v>
      </c>
    </row>
    <row r="554" spans="1:13">
      <c r="A554" s="7">
        <f>Raw_Passengers!A554</f>
        <v>186002</v>
      </c>
      <c r="B554" s="7">
        <f>Raw_Passengers!B554</f>
        <v>1092107</v>
      </c>
      <c r="C554" s="7">
        <f>IF(COUNTIF(Raw_Passengers!$A$2:A554,Raw_Passengers!A554)&gt;1,1,0)</f>
        <v>0</v>
      </c>
      <c r="D554" s="7">
        <f>IF(COUNTIF(Raw_Bookings!$A$2:$A$648,Raw_Passengers!B554)=0,1,0)</f>
        <v>0</v>
      </c>
      <c r="E554" s="7">
        <f>IF(OR(C554=1,D554=1),0,IF(NOT(ISNUMBER(Raw_Passengers!E554)),1,IF(Raw_Passengers!E554&lt;=0,1,0)))</f>
        <v>0</v>
      </c>
      <c r="F554" s="7">
        <f>IF(AND(C554=0,D554=0,TRIM(Raw_Passengers!D554&amp;"")=""),1,0)</f>
        <v>0</v>
      </c>
      <c r="G554" s="7" t="str">
        <f>IF(SUMPRODUCT(--(Lookup_Status!$A$2:$A$13=LOWER(TRIM(Raw_Passengers!F554))))=0,"",INDEX(Lookup_Status!$B$2:$B$13,SUMPRODUCT((Lookup_Status!$A$2:$A$13=LOWER(TRIM(Raw_Passengers!F554)))*(ROW(Lookup_Status!$A$2:$A$13)-1))))</f>
        <v>Confirmed</v>
      </c>
      <c r="H554" s="7" t="str">
        <f>IF(SUMPRODUCT(--(Lookup_Status!$A$2:$A$13=LOWER(TRIM(Raw_Passengers!G554))))=0,"",INDEX(Lookup_Status!$B$2:$B$13,SUMPRODUCT((Lookup_Status!$A$2:$A$13=LOWER(TRIM(Raw_Passengers!G554)))*(ROW(Lookup_Status!$A$2:$A$13)-1))))</f>
        <v>Confirmed</v>
      </c>
      <c r="I554" s="7">
        <f>IF(OR(G554="",G554="Cancelled",G554="Mixed"),1,0)</f>
        <v>0</v>
      </c>
      <c r="J554" s="7">
        <f>IF(OR(H554="",H554="Mixed"),1,0)</f>
        <v>0</v>
      </c>
      <c r="K554" s="7">
        <f>IF(AND(C554=0,D554=0),IF(OR(AND(I554=0,NOT(EXACT(Raw_Passengers!F554,G554))),AND(J554=0,NOT(EXACT(Raw_Passengers!G554,H554)))),1,0),0)</f>
        <v>1</v>
      </c>
      <c r="L554" s="7">
        <f>IF(AND(C554=0,D554=0,I554=1),1,0)</f>
        <v>0</v>
      </c>
      <c r="M554" s="7">
        <f>IF(AND(C554=0,D554=0,J554=1),1,0)</f>
        <v>0</v>
      </c>
    </row>
    <row r="555" spans="1:13">
      <c r="A555" s="7">
        <f>Raw_Passengers!A555</f>
        <v>186441</v>
      </c>
      <c r="B555" s="7">
        <f>Raw_Passengers!B555</f>
        <v>1092320</v>
      </c>
      <c r="C555" s="7">
        <f>IF(COUNTIF(Raw_Passengers!$A$2:A555,Raw_Passengers!A555)&gt;1,1,0)</f>
        <v>0</v>
      </c>
      <c r="D555" s="7">
        <f>IF(COUNTIF(Raw_Bookings!$A$2:$A$648,Raw_Passengers!B555)=0,1,0)</f>
        <v>0</v>
      </c>
      <c r="E555" s="7">
        <f>IF(OR(C555=1,D555=1),0,IF(NOT(ISNUMBER(Raw_Passengers!E555)),1,IF(Raw_Passengers!E555&lt;=0,1,0)))</f>
        <v>0</v>
      </c>
      <c r="F555" s="7">
        <f>IF(AND(C555=0,D555=0,TRIM(Raw_Passengers!D555&amp;"")=""),1,0)</f>
        <v>0</v>
      </c>
      <c r="G555" s="7" t="str">
        <f>IF(SUMPRODUCT(--(Lookup_Status!$A$2:$A$13=LOWER(TRIM(Raw_Passengers!F555))))=0,"",INDEX(Lookup_Status!$B$2:$B$13,SUMPRODUCT((Lookup_Status!$A$2:$A$13=LOWER(TRIM(Raw_Passengers!F555)))*(ROW(Lookup_Status!$A$2:$A$13)-1))))</f>
        <v>Confirmed</v>
      </c>
      <c r="H555" s="7" t="str">
        <f>IF(SUMPRODUCT(--(Lookup_Status!$A$2:$A$13=LOWER(TRIM(Raw_Passengers!G555))))=0,"",INDEX(Lookup_Status!$B$2:$B$13,SUMPRODUCT((Lookup_Status!$A$2:$A$13=LOWER(TRIM(Raw_Passengers!G555)))*(ROW(Lookup_Status!$A$2:$A$13)-1))))</f>
        <v>Confirmed</v>
      </c>
      <c r="I555" s="7">
        <f>IF(OR(G555="",G555="Cancelled",G555="Mixed"),1,0)</f>
        <v>0</v>
      </c>
      <c r="J555" s="7">
        <f>IF(OR(H555="",H555="Mixed"),1,0)</f>
        <v>0</v>
      </c>
      <c r="K555" s="7">
        <f>IF(AND(C555=0,D555=0),IF(OR(AND(I555=0,NOT(EXACT(Raw_Passengers!F555,G555))),AND(J555=0,NOT(EXACT(Raw_Passengers!G555,H555)))),1,0),0)</f>
        <v>0</v>
      </c>
      <c r="L555" s="7">
        <f>IF(AND(C555=0,D555=0,I555=1),1,0)</f>
        <v>0</v>
      </c>
      <c r="M555" s="7">
        <f>IF(AND(C555=0,D555=0,J555=1),1,0)</f>
        <v>0</v>
      </c>
    </row>
    <row r="556" spans="1:13">
      <c r="A556" s="7">
        <f>Raw_Passengers!A556</f>
        <v>186442</v>
      </c>
      <c r="B556" s="7">
        <f>Raw_Passengers!B556</f>
        <v>1092320</v>
      </c>
      <c r="C556" s="7">
        <f>IF(COUNTIF(Raw_Passengers!$A$2:A556,Raw_Passengers!A556)&gt;1,1,0)</f>
        <v>0</v>
      </c>
      <c r="D556" s="7">
        <f>IF(COUNTIF(Raw_Bookings!$A$2:$A$648,Raw_Passengers!B556)=0,1,0)</f>
        <v>0</v>
      </c>
      <c r="E556" s="7">
        <f>IF(OR(C556=1,D556=1),0,IF(NOT(ISNUMBER(Raw_Passengers!E556)),1,IF(Raw_Passengers!E556&lt;=0,1,0)))</f>
        <v>0</v>
      </c>
      <c r="F556" s="7">
        <f>IF(AND(C556=0,D556=0,TRIM(Raw_Passengers!D556&amp;"")=""),1,0)</f>
        <v>0</v>
      </c>
      <c r="G556" s="7" t="str">
        <f>IF(SUMPRODUCT(--(Lookup_Status!$A$2:$A$13=LOWER(TRIM(Raw_Passengers!F556))))=0,"",INDEX(Lookup_Status!$B$2:$B$13,SUMPRODUCT((Lookup_Status!$A$2:$A$13=LOWER(TRIM(Raw_Passengers!F556)))*(ROW(Lookup_Status!$A$2:$A$13)-1))))</f>
        <v>Confirmed</v>
      </c>
      <c r="H556" s="7" t="str">
        <f>IF(SUMPRODUCT(--(Lookup_Status!$A$2:$A$13=LOWER(TRIM(Raw_Passengers!G556))))=0,"",INDEX(Lookup_Status!$B$2:$B$13,SUMPRODUCT((Lookup_Status!$A$2:$A$13=LOWER(TRIM(Raw_Passengers!G556)))*(ROW(Lookup_Status!$A$2:$A$13)-1))))</f>
        <v>Confirmed</v>
      </c>
      <c r="I556" s="7">
        <f>IF(OR(G556="",G556="Cancelled",G556="Mixed"),1,0)</f>
        <v>0</v>
      </c>
      <c r="J556" s="7">
        <f>IF(OR(H556="",H556="Mixed"),1,0)</f>
        <v>0</v>
      </c>
      <c r="K556" s="7">
        <f>IF(AND(C556=0,D556=0),IF(OR(AND(I556=0,NOT(EXACT(Raw_Passengers!F556,G556))),AND(J556=0,NOT(EXACT(Raw_Passengers!G556,H556)))),1,0),0)</f>
        <v>0</v>
      </c>
      <c r="L556" s="7">
        <f>IF(AND(C556=0,D556=0,I556=1),1,0)</f>
        <v>0</v>
      </c>
      <c r="M556" s="7">
        <f>IF(AND(C556=0,D556=0,J556=1),1,0)</f>
        <v>0</v>
      </c>
    </row>
    <row r="557" spans="1:13">
      <c r="A557" s="7">
        <f>Raw_Passengers!A557</f>
        <v>186443</v>
      </c>
      <c r="B557" s="7">
        <f>Raw_Passengers!B557</f>
        <v>1092320</v>
      </c>
      <c r="C557" s="7">
        <f>IF(COUNTIF(Raw_Passengers!$A$2:A557,Raw_Passengers!A557)&gt;1,1,0)</f>
        <v>0</v>
      </c>
      <c r="D557" s="7">
        <f>IF(COUNTIF(Raw_Bookings!$A$2:$A$648,Raw_Passengers!B557)=0,1,0)</f>
        <v>0</v>
      </c>
      <c r="E557" s="7">
        <f>IF(OR(C557=1,D557=1),0,IF(NOT(ISNUMBER(Raw_Passengers!E557)),1,IF(Raw_Passengers!E557&lt;=0,1,0)))</f>
        <v>0</v>
      </c>
      <c r="F557" s="7">
        <f>IF(AND(C557=0,D557=0,TRIM(Raw_Passengers!D557&amp;"")=""),1,0)</f>
        <v>0</v>
      </c>
      <c r="G557" s="7" t="str">
        <f>IF(SUMPRODUCT(--(Lookup_Status!$A$2:$A$13=LOWER(TRIM(Raw_Passengers!F557))))=0,"",INDEX(Lookup_Status!$B$2:$B$13,SUMPRODUCT((Lookup_Status!$A$2:$A$13=LOWER(TRIM(Raw_Passengers!F557)))*(ROW(Lookup_Status!$A$2:$A$13)-1))))</f>
        <v>Confirmed</v>
      </c>
      <c r="H557" s="7" t="str">
        <f>IF(SUMPRODUCT(--(Lookup_Status!$A$2:$A$13=LOWER(TRIM(Raw_Passengers!G557))))=0,"",INDEX(Lookup_Status!$B$2:$B$13,SUMPRODUCT((Lookup_Status!$A$2:$A$13=LOWER(TRIM(Raw_Passengers!G557)))*(ROW(Lookup_Status!$A$2:$A$13)-1))))</f>
        <v>Confirmed</v>
      </c>
      <c r="I557" s="7">
        <f>IF(OR(G557="",G557="Cancelled",G557="Mixed"),1,0)</f>
        <v>0</v>
      </c>
      <c r="J557" s="7">
        <f>IF(OR(H557="",H557="Mixed"),1,0)</f>
        <v>0</v>
      </c>
      <c r="K557" s="7">
        <f>IF(AND(C557=0,D557=0),IF(OR(AND(I557=0,NOT(EXACT(Raw_Passengers!F557,G557))),AND(J557=0,NOT(EXACT(Raw_Passengers!G557,H557)))),1,0),0)</f>
        <v>0</v>
      </c>
      <c r="L557" s="7">
        <f>IF(AND(C557=0,D557=0,I557=1),1,0)</f>
        <v>0</v>
      </c>
      <c r="M557" s="7">
        <f>IF(AND(C557=0,D557=0,J557=1),1,0)</f>
        <v>0</v>
      </c>
    </row>
    <row r="558" spans="1:13">
      <c r="A558" s="7">
        <f>Raw_Passengers!A558</f>
        <v>186444</v>
      </c>
      <c r="B558" s="7">
        <f>Raw_Passengers!B558</f>
        <v>1092320</v>
      </c>
      <c r="C558" s="7">
        <f>IF(COUNTIF(Raw_Passengers!$A$2:A558,Raw_Passengers!A558)&gt;1,1,0)</f>
        <v>0</v>
      </c>
      <c r="D558" s="7">
        <f>IF(COUNTIF(Raw_Bookings!$A$2:$A$648,Raw_Passengers!B558)=0,1,0)</f>
        <v>0</v>
      </c>
      <c r="E558" s="7">
        <f>IF(OR(C558=1,D558=1),0,IF(NOT(ISNUMBER(Raw_Passengers!E558)),1,IF(Raw_Passengers!E558&lt;=0,1,0)))</f>
        <v>0</v>
      </c>
      <c r="F558" s="7">
        <f>IF(AND(C558=0,D558=0,TRIM(Raw_Passengers!D558&amp;"")=""),1,0)</f>
        <v>0</v>
      </c>
      <c r="G558" s="7" t="str">
        <f>IF(SUMPRODUCT(--(Lookup_Status!$A$2:$A$13=LOWER(TRIM(Raw_Passengers!F558))))=0,"",INDEX(Lookup_Status!$B$2:$B$13,SUMPRODUCT((Lookup_Status!$A$2:$A$13=LOWER(TRIM(Raw_Passengers!F558)))*(ROW(Lookup_Status!$A$2:$A$13)-1))))</f>
        <v>Confirmed</v>
      </c>
      <c r="H558" s="7" t="str">
        <f>IF(SUMPRODUCT(--(Lookup_Status!$A$2:$A$13=LOWER(TRIM(Raw_Passengers!G558))))=0,"",INDEX(Lookup_Status!$B$2:$B$13,SUMPRODUCT((Lookup_Status!$A$2:$A$13=LOWER(TRIM(Raw_Passengers!G558)))*(ROW(Lookup_Status!$A$2:$A$13)-1))))</f>
        <v>Confirmed</v>
      </c>
      <c r="I558" s="7">
        <f>IF(OR(G558="",G558="Cancelled",G558="Mixed"),1,0)</f>
        <v>0</v>
      </c>
      <c r="J558" s="7">
        <f>IF(OR(H558="",H558="Mixed"),1,0)</f>
        <v>0</v>
      </c>
      <c r="K558" s="7">
        <f>IF(AND(C558=0,D558=0),IF(OR(AND(I558=0,NOT(EXACT(Raw_Passengers!F558,G558))),AND(J558=0,NOT(EXACT(Raw_Passengers!G558,H558)))),1,0),0)</f>
        <v>0</v>
      </c>
      <c r="L558" s="7">
        <f>IF(AND(C558=0,D558=0,I558=1),1,0)</f>
        <v>0</v>
      </c>
      <c r="M558" s="7">
        <f>IF(AND(C558=0,D558=0,J558=1),1,0)</f>
        <v>0</v>
      </c>
    </row>
    <row r="559" spans="1:13">
      <c r="A559" s="7">
        <f>Raw_Passengers!A559</f>
        <v>187821</v>
      </c>
      <c r="B559" s="7">
        <f>Raw_Passengers!B559</f>
        <v>1092995</v>
      </c>
      <c r="C559" s="7">
        <f>IF(COUNTIF(Raw_Passengers!$A$2:A559,Raw_Passengers!A559)&gt;1,1,0)</f>
        <v>0</v>
      </c>
      <c r="D559" s="7">
        <f>IF(COUNTIF(Raw_Bookings!$A$2:$A$648,Raw_Passengers!B559)=0,1,0)</f>
        <v>0</v>
      </c>
      <c r="E559" s="7">
        <f>IF(OR(C559=1,D559=1),0,IF(NOT(ISNUMBER(Raw_Passengers!E559)),1,IF(Raw_Passengers!E559&lt;=0,1,0)))</f>
        <v>0</v>
      </c>
      <c r="F559" s="7">
        <f>IF(AND(C559=0,D559=0,TRIM(Raw_Passengers!D559&amp;"")=""),1,0)</f>
        <v>0</v>
      </c>
      <c r="G559" s="7" t="str">
        <f>IF(SUMPRODUCT(--(Lookup_Status!$A$2:$A$13=LOWER(TRIM(Raw_Passengers!F559))))=0,"",INDEX(Lookup_Status!$B$2:$B$13,SUMPRODUCT((Lookup_Status!$A$2:$A$13=LOWER(TRIM(Raw_Passengers!F559)))*(ROW(Lookup_Status!$A$2:$A$13)-1))))</f>
        <v>Confirmed</v>
      </c>
      <c r="H559" s="7" t="str">
        <f>IF(SUMPRODUCT(--(Lookup_Status!$A$2:$A$13=LOWER(TRIM(Raw_Passengers!G559))))=0,"",INDEX(Lookup_Status!$B$2:$B$13,SUMPRODUCT((Lookup_Status!$A$2:$A$13=LOWER(TRIM(Raw_Passengers!G559)))*(ROW(Lookup_Status!$A$2:$A$13)-1))))</f>
        <v>Confirmed</v>
      </c>
      <c r="I559" s="7">
        <f>IF(OR(G559="",G559="Cancelled",G559="Mixed"),1,0)</f>
        <v>0</v>
      </c>
      <c r="J559" s="7">
        <f>IF(OR(H559="",H559="Mixed"),1,0)</f>
        <v>0</v>
      </c>
      <c r="K559" s="7">
        <f>IF(AND(C559=0,D559=0),IF(OR(AND(I559=0,NOT(EXACT(Raw_Passengers!F559,G559))),AND(J559=0,NOT(EXACT(Raw_Passengers!G559,H559)))),1,0),0)</f>
        <v>0</v>
      </c>
      <c r="L559" s="7">
        <f>IF(AND(C559=0,D559=0,I559=1),1,0)</f>
        <v>0</v>
      </c>
      <c r="M559" s="7">
        <f>IF(AND(C559=0,D559=0,J559=1),1,0)</f>
        <v>0</v>
      </c>
    </row>
    <row r="560" spans="1:13">
      <c r="A560" s="7">
        <f>Raw_Passengers!A560</f>
        <v>188596</v>
      </c>
      <c r="B560" s="7">
        <f>Raw_Passengers!B560</f>
        <v>1093380</v>
      </c>
      <c r="C560" s="7">
        <f>IF(COUNTIF(Raw_Passengers!$A$2:A560,Raw_Passengers!A560)&gt;1,1,0)</f>
        <v>0</v>
      </c>
      <c r="D560" s="7">
        <f>IF(COUNTIF(Raw_Bookings!$A$2:$A$648,Raw_Passengers!B560)=0,1,0)</f>
        <v>0</v>
      </c>
      <c r="E560" s="7">
        <f>IF(OR(C560=1,D560=1),0,IF(NOT(ISNUMBER(Raw_Passengers!E560)),1,IF(Raw_Passengers!E560&lt;=0,1,0)))</f>
        <v>0</v>
      </c>
      <c r="F560" s="7">
        <f>IF(AND(C560=0,D560=0,TRIM(Raw_Passengers!D560&amp;"")=""),1,0)</f>
        <v>0</v>
      </c>
      <c r="G560" s="7" t="str">
        <f>IF(SUMPRODUCT(--(Lookup_Status!$A$2:$A$13=LOWER(TRIM(Raw_Passengers!F560))))=0,"",INDEX(Lookup_Status!$B$2:$B$13,SUMPRODUCT((Lookup_Status!$A$2:$A$13=LOWER(TRIM(Raw_Passengers!F560)))*(ROW(Lookup_Status!$A$2:$A$13)-1))))</f>
        <v>Confirmed</v>
      </c>
      <c r="H560" s="7" t="str">
        <f>IF(SUMPRODUCT(--(Lookup_Status!$A$2:$A$13=LOWER(TRIM(Raw_Passengers!G560))))=0,"",INDEX(Lookup_Status!$B$2:$B$13,SUMPRODUCT((Lookup_Status!$A$2:$A$13=LOWER(TRIM(Raw_Passengers!G560)))*(ROW(Lookup_Status!$A$2:$A$13)-1))))</f>
        <v>Confirmed</v>
      </c>
      <c r="I560" s="7">
        <f>IF(OR(G560="",G560="Cancelled",G560="Mixed"),1,0)</f>
        <v>0</v>
      </c>
      <c r="J560" s="7">
        <f>IF(OR(H560="",H560="Mixed"),1,0)</f>
        <v>0</v>
      </c>
      <c r="K560" s="7">
        <f>IF(AND(C560=0,D560=0),IF(OR(AND(I560=0,NOT(EXACT(Raw_Passengers!F560,G560))),AND(J560=0,NOT(EXACT(Raw_Passengers!G560,H560)))),1,0),0)</f>
        <v>0</v>
      </c>
      <c r="L560" s="7">
        <f>IF(AND(C560=0,D560=0,I560=1),1,0)</f>
        <v>0</v>
      </c>
      <c r="M560" s="7">
        <f>IF(AND(C560=0,D560=0,J560=1),1,0)</f>
        <v>0</v>
      </c>
    </row>
    <row r="561" spans="1:13">
      <c r="A561" s="7">
        <f>Raw_Passengers!A561</f>
        <v>190146</v>
      </c>
      <c r="B561" s="7">
        <f>Raw_Passengers!B561</f>
        <v>1094153</v>
      </c>
      <c r="C561" s="7">
        <f>IF(COUNTIF(Raw_Passengers!$A$2:A561,Raw_Passengers!A561)&gt;1,1,0)</f>
        <v>0</v>
      </c>
      <c r="D561" s="7">
        <f>IF(COUNTIF(Raw_Bookings!$A$2:$A$648,Raw_Passengers!B561)=0,1,0)</f>
        <v>0</v>
      </c>
      <c r="E561" s="7">
        <f>IF(OR(C561=1,D561=1),0,IF(NOT(ISNUMBER(Raw_Passengers!E561)),1,IF(Raw_Passengers!E561&lt;=0,1,0)))</f>
        <v>0</v>
      </c>
      <c r="F561" s="7">
        <f>IF(AND(C561=0,D561=0,TRIM(Raw_Passengers!D561&amp;"")=""),1,0)</f>
        <v>0</v>
      </c>
      <c r="G561" s="7" t="str">
        <f>IF(SUMPRODUCT(--(Lookup_Status!$A$2:$A$13=LOWER(TRIM(Raw_Passengers!F561))))=0,"",INDEX(Lookup_Status!$B$2:$B$13,SUMPRODUCT((Lookup_Status!$A$2:$A$13=LOWER(TRIM(Raw_Passengers!F561)))*(ROW(Lookup_Status!$A$2:$A$13)-1))))</f>
        <v>Confirmed</v>
      </c>
      <c r="H561" s="7" t="str">
        <f>IF(SUMPRODUCT(--(Lookup_Status!$A$2:$A$13=LOWER(TRIM(Raw_Passengers!G561))))=0,"",INDEX(Lookup_Status!$B$2:$B$13,SUMPRODUCT((Lookup_Status!$A$2:$A$13=LOWER(TRIM(Raw_Passengers!G561)))*(ROW(Lookup_Status!$A$2:$A$13)-1))))</f>
        <v>Confirmed</v>
      </c>
      <c r="I561" s="7">
        <f>IF(OR(G561="",G561="Cancelled",G561="Mixed"),1,0)</f>
        <v>0</v>
      </c>
      <c r="J561" s="7">
        <f>IF(OR(H561="",H561="Mixed"),1,0)</f>
        <v>0</v>
      </c>
      <c r="K561" s="7">
        <f>IF(AND(C561=0,D561=0),IF(OR(AND(I561=0,NOT(EXACT(Raw_Passengers!F561,G561))),AND(J561=0,NOT(EXACT(Raw_Passengers!G561,H561)))),1,0),0)</f>
        <v>0</v>
      </c>
      <c r="L561" s="7">
        <f>IF(AND(C561=0,D561=0,I561=1),1,0)</f>
        <v>0</v>
      </c>
      <c r="M561" s="7">
        <f>IF(AND(C561=0,D561=0,J561=1),1,0)</f>
        <v>0</v>
      </c>
    </row>
    <row r="562" spans="1:13">
      <c r="A562" s="7">
        <f>Raw_Passengers!A562</f>
        <v>192920</v>
      </c>
      <c r="B562" s="7">
        <f>Raw_Passengers!B562</f>
        <v>1095527</v>
      </c>
      <c r="C562" s="7">
        <f>IF(COUNTIF(Raw_Passengers!$A$2:A562,Raw_Passengers!A562)&gt;1,1,0)</f>
        <v>0</v>
      </c>
      <c r="D562" s="7">
        <f>IF(COUNTIF(Raw_Bookings!$A$2:$A$648,Raw_Passengers!B562)=0,1,0)</f>
        <v>0</v>
      </c>
      <c r="E562" s="7">
        <f>IF(OR(C562=1,D562=1),0,IF(NOT(ISNUMBER(Raw_Passengers!E562)),1,IF(Raw_Passengers!E562&lt;=0,1,0)))</f>
        <v>0</v>
      </c>
      <c r="F562" s="7">
        <f>IF(AND(C562=0,D562=0,TRIM(Raw_Passengers!D562&amp;"")=""),1,0)</f>
        <v>0</v>
      </c>
      <c r="G562" s="7" t="str">
        <f>IF(SUMPRODUCT(--(Lookup_Status!$A$2:$A$13=LOWER(TRIM(Raw_Passengers!F562))))=0,"",INDEX(Lookup_Status!$B$2:$B$13,SUMPRODUCT((Lookup_Status!$A$2:$A$13=LOWER(TRIM(Raw_Passengers!F562)))*(ROW(Lookup_Status!$A$2:$A$13)-1))))</f>
        <v>Confirmed</v>
      </c>
      <c r="H562" s="7" t="str">
        <f>IF(SUMPRODUCT(--(Lookup_Status!$A$2:$A$13=LOWER(TRIM(Raw_Passengers!G562))))=0,"",INDEX(Lookup_Status!$B$2:$B$13,SUMPRODUCT((Lookup_Status!$A$2:$A$13=LOWER(TRIM(Raw_Passengers!G562)))*(ROW(Lookup_Status!$A$2:$A$13)-1))))</f>
        <v>Cancelled</v>
      </c>
      <c r="I562" s="7">
        <f>IF(OR(G562="",G562="Cancelled",G562="Mixed"),1,0)</f>
        <v>0</v>
      </c>
      <c r="J562" s="7">
        <f>IF(OR(H562="",H562="Mixed"),1,0)</f>
        <v>0</v>
      </c>
      <c r="K562" s="7">
        <f>IF(AND(C562=0,D562=0),IF(OR(AND(I562=0,NOT(EXACT(Raw_Passengers!F562,G562))),AND(J562=0,NOT(EXACT(Raw_Passengers!G562,H562)))),1,0),0)</f>
        <v>0</v>
      </c>
      <c r="L562" s="7">
        <f>IF(AND(C562=0,D562=0,I562=1),1,0)</f>
        <v>0</v>
      </c>
      <c r="M562" s="7">
        <f>IF(AND(C562=0,D562=0,J562=1),1,0)</f>
        <v>0</v>
      </c>
    </row>
    <row r="563" spans="1:13">
      <c r="A563" s="7">
        <f>Raw_Passengers!A563</f>
        <v>192921</v>
      </c>
      <c r="B563" s="7">
        <f>Raw_Passengers!B563</f>
        <v>1095527</v>
      </c>
      <c r="C563" s="7">
        <f>IF(COUNTIF(Raw_Passengers!$A$2:A563,Raw_Passengers!A563)&gt;1,1,0)</f>
        <v>0</v>
      </c>
      <c r="D563" s="7">
        <f>IF(COUNTIF(Raw_Bookings!$A$2:$A$648,Raw_Passengers!B563)=0,1,0)</f>
        <v>0</v>
      </c>
      <c r="E563" s="7">
        <f>IF(OR(C563=1,D563=1),0,IF(NOT(ISNUMBER(Raw_Passengers!E563)),1,IF(Raw_Passengers!E563&lt;=0,1,0)))</f>
        <v>0</v>
      </c>
      <c r="F563" s="7">
        <f>IF(AND(C563=0,D563=0,TRIM(Raw_Passengers!D563&amp;"")=""),1,0)</f>
        <v>0</v>
      </c>
      <c r="G563" s="7" t="str">
        <f>IF(SUMPRODUCT(--(Lookup_Status!$A$2:$A$13=LOWER(TRIM(Raw_Passengers!F563))))=0,"",INDEX(Lookup_Status!$B$2:$B$13,SUMPRODUCT((Lookup_Status!$A$2:$A$13=LOWER(TRIM(Raw_Passengers!F563)))*(ROW(Lookup_Status!$A$2:$A$13)-1))))</f>
        <v>Confirmed</v>
      </c>
      <c r="H563" s="7" t="str">
        <f>IF(SUMPRODUCT(--(Lookup_Status!$A$2:$A$13=LOWER(TRIM(Raw_Passengers!G563))))=0,"",INDEX(Lookup_Status!$B$2:$B$13,SUMPRODUCT((Lookup_Status!$A$2:$A$13=LOWER(TRIM(Raw_Passengers!G563)))*(ROW(Lookup_Status!$A$2:$A$13)-1))))</f>
        <v>Cancelled</v>
      </c>
      <c r="I563" s="7">
        <f>IF(OR(G563="",G563="Cancelled",G563="Mixed"),1,0)</f>
        <v>0</v>
      </c>
      <c r="J563" s="7">
        <f>IF(OR(H563="",H563="Mixed"),1,0)</f>
        <v>0</v>
      </c>
      <c r="K563" s="7">
        <f>IF(AND(C563=0,D563=0),IF(OR(AND(I563=0,NOT(EXACT(Raw_Passengers!F563,G563))),AND(J563=0,NOT(EXACT(Raw_Passengers!G563,H563)))),1,0),0)</f>
        <v>0</v>
      </c>
      <c r="L563" s="7">
        <f>IF(AND(C563=0,D563=0,I563=1),1,0)</f>
        <v>0</v>
      </c>
      <c r="M563" s="7">
        <f>IF(AND(C563=0,D563=0,J563=1),1,0)</f>
        <v>0</v>
      </c>
    </row>
    <row r="564" spans="1:13">
      <c r="A564" s="7">
        <f>Raw_Passengers!A564</f>
        <v>192922</v>
      </c>
      <c r="B564" s="7">
        <f>Raw_Passengers!B564</f>
        <v>1095527</v>
      </c>
      <c r="C564" s="7">
        <f>IF(COUNTIF(Raw_Passengers!$A$2:A564,Raw_Passengers!A564)&gt;1,1,0)</f>
        <v>0</v>
      </c>
      <c r="D564" s="7">
        <f>IF(COUNTIF(Raw_Bookings!$A$2:$A$648,Raw_Passengers!B564)=0,1,0)</f>
        <v>0</v>
      </c>
      <c r="E564" s="7">
        <f>IF(OR(C564=1,D564=1),0,IF(NOT(ISNUMBER(Raw_Passengers!E564)),1,IF(Raw_Passengers!E564&lt;=0,1,0)))</f>
        <v>0</v>
      </c>
      <c r="F564" s="7">
        <f>IF(AND(C564=0,D564=0,TRIM(Raw_Passengers!D564&amp;"")=""),1,0)</f>
        <v>0</v>
      </c>
      <c r="G564" s="7" t="str">
        <f>IF(SUMPRODUCT(--(Lookup_Status!$A$2:$A$13=LOWER(TRIM(Raw_Passengers!F564))))=0,"",INDEX(Lookup_Status!$B$2:$B$13,SUMPRODUCT((Lookup_Status!$A$2:$A$13=LOWER(TRIM(Raw_Passengers!F564)))*(ROW(Lookup_Status!$A$2:$A$13)-1))))</f>
        <v>Confirmed</v>
      </c>
      <c r="H564" s="7" t="str">
        <f>IF(SUMPRODUCT(--(Lookup_Status!$A$2:$A$13=LOWER(TRIM(Raw_Passengers!G564))))=0,"",INDEX(Lookup_Status!$B$2:$B$13,SUMPRODUCT((Lookup_Status!$A$2:$A$13=LOWER(TRIM(Raw_Passengers!G564)))*(ROW(Lookup_Status!$A$2:$A$13)-1))))</f>
        <v>Cancelled</v>
      </c>
      <c r="I564" s="7">
        <f>IF(OR(G564="",G564="Cancelled",G564="Mixed"),1,0)</f>
        <v>0</v>
      </c>
      <c r="J564" s="7">
        <f>IF(OR(H564="",H564="Mixed"),1,0)</f>
        <v>0</v>
      </c>
      <c r="K564" s="7">
        <f>IF(AND(C564=0,D564=0),IF(OR(AND(I564=0,NOT(EXACT(Raw_Passengers!F564,G564))),AND(J564=0,NOT(EXACT(Raw_Passengers!G564,H564)))),1,0),0)</f>
        <v>0</v>
      </c>
      <c r="L564" s="7">
        <f>IF(AND(C564=0,D564=0,I564=1),1,0)</f>
        <v>0</v>
      </c>
      <c r="M564" s="7">
        <f>IF(AND(C564=0,D564=0,J564=1),1,0)</f>
        <v>0</v>
      </c>
    </row>
    <row r="565" spans="1:13">
      <c r="A565" s="7">
        <f>Raw_Passengers!A565</f>
        <v>192923</v>
      </c>
      <c r="B565" s="7">
        <f>Raw_Passengers!B565</f>
        <v>1095527</v>
      </c>
      <c r="C565" s="7">
        <f>IF(COUNTIF(Raw_Passengers!$A$2:A565,Raw_Passengers!A565)&gt;1,1,0)</f>
        <v>0</v>
      </c>
      <c r="D565" s="7">
        <f>IF(COUNTIF(Raw_Bookings!$A$2:$A$648,Raw_Passengers!B565)=0,1,0)</f>
        <v>0</v>
      </c>
      <c r="E565" s="7">
        <f>IF(OR(C565=1,D565=1),0,IF(NOT(ISNUMBER(Raw_Passengers!E565)),1,IF(Raw_Passengers!E565&lt;=0,1,0)))</f>
        <v>0</v>
      </c>
      <c r="F565" s="7">
        <f>IF(AND(C565=0,D565=0,TRIM(Raw_Passengers!D565&amp;"")=""),1,0)</f>
        <v>0</v>
      </c>
      <c r="G565" s="7" t="str">
        <f>IF(SUMPRODUCT(--(Lookup_Status!$A$2:$A$13=LOWER(TRIM(Raw_Passengers!F565))))=0,"",INDEX(Lookup_Status!$B$2:$B$13,SUMPRODUCT((Lookup_Status!$A$2:$A$13=LOWER(TRIM(Raw_Passengers!F565)))*(ROW(Lookup_Status!$A$2:$A$13)-1))))</f>
        <v>Confirmed</v>
      </c>
      <c r="H565" s="7" t="str">
        <f>IF(SUMPRODUCT(--(Lookup_Status!$A$2:$A$13=LOWER(TRIM(Raw_Passengers!G565))))=0,"",INDEX(Lookup_Status!$B$2:$B$13,SUMPRODUCT((Lookup_Status!$A$2:$A$13=LOWER(TRIM(Raw_Passengers!G565)))*(ROW(Lookup_Status!$A$2:$A$13)-1))))</f>
        <v>Cancelled</v>
      </c>
      <c r="I565" s="7">
        <f>IF(OR(G565="",G565="Cancelled",G565="Mixed"),1,0)</f>
        <v>0</v>
      </c>
      <c r="J565" s="7">
        <f>IF(OR(H565="",H565="Mixed"),1,0)</f>
        <v>0</v>
      </c>
      <c r="K565" s="7">
        <f>IF(AND(C565=0,D565=0),IF(OR(AND(I565=0,NOT(EXACT(Raw_Passengers!F565,G565))),AND(J565=0,NOT(EXACT(Raw_Passengers!G565,H565)))),1,0),0)</f>
        <v>0</v>
      </c>
      <c r="L565" s="7">
        <f>IF(AND(C565=0,D565=0,I565=1),1,0)</f>
        <v>0</v>
      </c>
      <c r="M565" s="7">
        <f>IF(AND(C565=0,D565=0,J565=1),1,0)</f>
        <v>0</v>
      </c>
    </row>
    <row r="566" spans="1:13">
      <c r="A566" s="7">
        <f>Raw_Passengers!A566</f>
        <v>192924</v>
      </c>
      <c r="B566" s="7">
        <f>Raw_Passengers!B566</f>
        <v>1095527</v>
      </c>
      <c r="C566" s="7">
        <f>IF(COUNTIF(Raw_Passengers!$A$2:A566,Raw_Passengers!A566)&gt;1,1,0)</f>
        <v>0</v>
      </c>
      <c r="D566" s="7">
        <f>IF(COUNTIF(Raw_Bookings!$A$2:$A$648,Raw_Passengers!B566)=0,1,0)</f>
        <v>0</v>
      </c>
      <c r="E566" s="7">
        <f>IF(OR(C566=1,D566=1),0,IF(NOT(ISNUMBER(Raw_Passengers!E566)),1,IF(Raw_Passengers!E566&lt;=0,1,0)))</f>
        <v>0</v>
      </c>
      <c r="F566" s="7">
        <f>IF(AND(C566=0,D566=0,TRIM(Raw_Passengers!D566&amp;"")=""),1,0)</f>
        <v>0</v>
      </c>
      <c r="G566" s="7" t="str">
        <f>IF(SUMPRODUCT(--(Lookup_Status!$A$2:$A$13=LOWER(TRIM(Raw_Passengers!F566))))=0,"",INDEX(Lookup_Status!$B$2:$B$13,SUMPRODUCT((Lookup_Status!$A$2:$A$13=LOWER(TRIM(Raw_Passengers!F566)))*(ROW(Lookup_Status!$A$2:$A$13)-1))))</f>
        <v>Confirmed</v>
      </c>
      <c r="H566" s="7" t="str">
        <f>IF(SUMPRODUCT(--(Lookup_Status!$A$2:$A$13=LOWER(TRIM(Raw_Passengers!G566))))=0,"",INDEX(Lookup_Status!$B$2:$B$13,SUMPRODUCT((Lookup_Status!$A$2:$A$13=LOWER(TRIM(Raw_Passengers!G566)))*(ROW(Lookup_Status!$A$2:$A$13)-1))))</f>
        <v>Cancelled</v>
      </c>
      <c r="I566" s="7">
        <f>IF(OR(G566="",G566="Cancelled",G566="Mixed"),1,0)</f>
        <v>0</v>
      </c>
      <c r="J566" s="7">
        <f>IF(OR(H566="",H566="Mixed"),1,0)</f>
        <v>0</v>
      </c>
      <c r="K566" s="7">
        <f>IF(AND(C566=0,D566=0),IF(OR(AND(I566=0,NOT(EXACT(Raw_Passengers!F566,G566))),AND(J566=0,NOT(EXACT(Raw_Passengers!G566,H566)))),1,0),0)</f>
        <v>0</v>
      </c>
      <c r="L566" s="7">
        <f>IF(AND(C566=0,D566=0,I566=1),1,0)</f>
        <v>0</v>
      </c>
      <c r="M566" s="7">
        <f>IF(AND(C566=0,D566=0,J566=1),1,0)</f>
        <v>0</v>
      </c>
    </row>
    <row r="567" spans="1:13">
      <c r="A567" s="7">
        <f>Raw_Passengers!A567</f>
        <v>192925</v>
      </c>
      <c r="B567" s="7">
        <f>Raw_Passengers!B567</f>
        <v>1095527</v>
      </c>
      <c r="C567" s="7">
        <f>IF(COUNTIF(Raw_Passengers!$A$2:A567,Raw_Passengers!A567)&gt;1,1,0)</f>
        <v>0</v>
      </c>
      <c r="D567" s="7">
        <f>IF(COUNTIF(Raw_Bookings!$A$2:$A$648,Raw_Passengers!B567)=0,1,0)</f>
        <v>0</v>
      </c>
      <c r="E567" s="7">
        <f>IF(OR(C567=1,D567=1),0,IF(NOT(ISNUMBER(Raw_Passengers!E567)),1,IF(Raw_Passengers!E567&lt;=0,1,0)))</f>
        <v>0</v>
      </c>
      <c r="F567" s="7">
        <f>IF(AND(C567=0,D567=0,TRIM(Raw_Passengers!D567&amp;"")=""),1,0)</f>
        <v>0</v>
      </c>
      <c r="G567" s="7" t="str">
        <f>IF(SUMPRODUCT(--(Lookup_Status!$A$2:$A$13=LOWER(TRIM(Raw_Passengers!F567))))=0,"",INDEX(Lookup_Status!$B$2:$B$13,SUMPRODUCT((Lookup_Status!$A$2:$A$13=LOWER(TRIM(Raw_Passengers!F567)))*(ROW(Lookup_Status!$A$2:$A$13)-1))))</f>
        <v>Confirmed</v>
      </c>
      <c r="H567" s="7" t="str">
        <f>IF(SUMPRODUCT(--(Lookup_Status!$A$2:$A$13=LOWER(TRIM(Raw_Passengers!G567))))=0,"",INDEX(Lookup_Status!$B$2:$B$13,SUMPRODUCT((Lookup_Status!$A$2:$A$13=LOWER(TRIM(Raw_Passengers!G567)))*(ROW(Lookup_Status!$A$2:$A$13)-1))))</f>
        <v>Cancelled</v>
      </c>
      <c r="I567" s="7">
        <f>IF(OR(G567="",G567="Cancelled",G567="Mixed"),1,0)</f>
        <v>0</v>
      </c>
      <c r="J567" s="7">
        <f>IF(OR(H567="",H567="Mixed"),1,0)</f>
        <v>0</v>
      </c>
      <c r="K567" s="7">
        <f>IF(AND(C567=0,D567=0),IF(OR(AND(I567=0,NOT(EXACT(Raw_Passengers!F567,G567))),AND(J567=0,NOT(EXACT(Raw_Passengers!G567,H567)))),1,0),0)</f>
        <v>0</v>
      </c>
      <c r="L567" s="7">
        <f>IF(AND(C567=0,D567=0,I567=1),1,0)</f>
        <v>0</v>
      </c>
      <c r="M567" s="7">
        <f>IF(AND(C567=0,D567=0,J567=1),1,0)</f>
        <v>0</v>
      </c>
    </row>
    <row r="568" spans="1:13">
      <c r="A568" s="7">
        <f>Raw_Passengers!A568</f>
        <v>194041</v>
      </c>
      <c r="B568" s="7">
        <f>Raw_Passengers!B568</f>
        <v>1096099</v>
      </c>
      <c r="C568" s="7">
        <f>IF(COUNTIF(Raw_Passengers!$A$2:A568,Raw_Passengers!A568)&gt;1,1,0)</f>
        <v>0</v>
      </c>
      <c r="D568" s="7">
        <f>IF(COUNTIF(Raw_Bookings!$A$2:$A$648,Raw_Passengers!B568)=0,1,0)</f>
        <v>0</v>
      </c>
      <c r="E568" s="7">
        <f>IF(OR(C568=1,D568=1),0,IF(NOT(ISNUMBER(Raw_Passengers!E568)),1,IF(Raw_Passengers!E568&lt;=0,1,0)))</f>
        <v>0</v>
      </c>
      <c r="F568" s="7">
        <f>IF(AND(C568=0,D568=0,TRIM(Raw_Passengers!D568&amp;"")=""),1,0)</f>
        <v>0</v>
      </c>
      <c r="G568" s="7" t="str">
        <f>IF(SUMPRODUCT(--(Lookup_Status!$A$2:$A$13=LOWER(TRIM(Raw_Passengers!F568))))=0,"",INDEX(Lookup_Status!$B$2:$B$13,SUMPRODUCT((Lookup_Status!$A$2:$A$13=LOWER(TRIM(Raw_Passengers!F568)))*(ROW(Lookup_Status!$A$2:$A$13)-1))))</f>
        <v>Confirmed</v>
      </c>
      <c r="H568" s="7" t="str">
        <f>IF(SUMPRODUCT(--(Lookup_Status!$A$2:$A$13=LOWER(TRIM(Raw_Passengers!G568))))=0,"",INDEX(Lookup_Status!$B$2:$B$13,SUMPRODUCT((Lookup_Status!$A$2:$A$13=LOWER(TRIM(Raw_Passengers!G568)))*(ROW(Lookup_Status!$A$2:$A$13)-1))))</f>
        <v>Confirmed</v>
      </c>
      <c r="I568" s="7">
        <f>IF(OR(G568="",G568="Cancelled",G568="Mixed"),1,0)</f>
        <v>0</v>
      </c>
      <c r="J568" s="7">
        <f>IF(OR(H568="",H568="Mixed"),1,0)</f>
        <v>0</v>
      </c>
      <c r="K568" s="7">
        <f>IF(AND(C568=0,D568=0),IF(OR(AND(I568=0,NOT(EXACT(Raw_Passengers!F568,G568))),AND(J568=0,NOT(EXACT(Raw_Passengers!G568,H568)))),1,0),0)</f>
        <v>0</v>
      </c>
      <c r="L568" s="7">
        <f>IF(AND(C568=0,D568=0,I568=1),1,0)</f>
        <v>0</v>
      </c>
      <c r="M568" s="7">
        <f>IF(AND(C568=0,D568=0,J568=1),1,0)</f>
        <v>0</v>
      </c>
    </row>
    <row r="569" spans="1:13">
      <c r="A569" s="7">
        <f>Raw_Passengers!A569</f>
        <v>194042</v>
      </c>
      <c r="B569" s="7">
        <f>Raw_Passengers!B569</f>
        <v>1096099</v>
      </c>
      <c r="C569" s="7">
        <f>IF(COUNTIF(Raw_Passengers!$A$2:A569,Raw_Passengers!A569)&gt;1,1,0)</f>
        <v>0</v>
      </c>
      <c r="D569" s="7">
        <f>IF(COUNTIF(Raw_Bookings!$A$2:$A$648,Raw_Passengers!B569)=0,1,0)</f>
        <v>0</v>
      </c>
      <c r="E569" s="7">
        <f>IF(OR(C569=1,D569=1),0,IF(NOT(ISNUMBER(Raw_Passengers!E569)),1,IF(Raw_Passengers!E569&lt;=0,1,0)))</f>
        <v>0</v>
      </c>
      <c r="F569" s="7">
        <f>IF(AND(C569=0,D569=0,TRIM(Raw_Passengers!D569&amp;"")=""),1,0)</f>
        <v>0</v>
      </c>
      <c r="G569" s="7" t="str">
        <f>IF(SUMPRODUCT(--(Lookup_Status!$A$2:$A$13=LOWER(TRIM(Raw_Passengers!F569))))=0,"",INDEX(Lookup_Status!$B$2:$B$13,SUMPRODUCT((Lookup_Status!$A$2:$A$13=LOWER(TRIM(Raw_Passengers!F569)))*(ROW(Lookup_Status!$A$2:$A$13)-1))))</f>
        <v>Confirmed</v>
      </c>
      <c r="H569" s="7" t="str">
        <f>IF(SUMPRODUCT(--(Lookup_Status!$A$2:$A$13=LOWER(TRIM(Raw_Passengers!G569))))=0,"",INDEX(Lookup_Status!$B$2:$B$13,SUMPRODUCT((Lookup_Status!$A$2:$A$13=LOWER(TRIM(Raw_Passengers!G569)))*(ROW(Lookup_Status!$A$2:$A$13)-1))))</f>
        <v>Confirmed</v>
      </c>
      <c r="I569" s="7">
        <f>IF(OR(G569="",G569="Cancelled",G569="Mixed"),1,0)</f>
        <v>0</v>
      </c>
      <c r="J569" s="7">
        <f>IF(OR(H569="",H569="Mixed"),1,0)</f>
        <v>0</v>
      </c>
      <c r="K569" s="7">
        <f>IF(AND(C569=0,D569=0),IF(OR(AND(I569=0,NOT(EXACT(Raw_Passengers!F569,G569))),AND(J569=0,NOT(EXACT(Raw_Passengers!G569,H569)))),1,0),0)</f>
        <v>0</v>
      </c>
      <c r="L569" s="7">
        <f>IF(AND(C569=0,D569=0,I569=1),1,0)</f>
        <v>0</v>
      </c>
      <c r="M569" s="7">
        <f>IF(AND(C569=0,D569=0,J569=1),1,0)</f>
        <v>0</v>
      </c>
    </row>
    <row r="570" spans="1:13">
      <c r="A570" s="7">
        <f>Raw_Passengers!A570</f>
        <v>194541</v>
      </c>
      <c r="B570" s="7">
        <f>Raw_Passengers!B570</f>
        <v>1096350</v>
      </c>
      <c r="C570" s="7">
        <f>IF(COUNTIF(Raw_Passengers!$A$2:A570,Raw_Passengers!A570)&gt;1,1,0)</f>
        <v>0</v>
      </c>
      <c r="D570" s="7">
        <f>IF(COUNTIF(Raw_Bookings!$A$2:$A$648,Raw_Passengers!B570)=0,1,0)</f>
        <v>0</v>
      </c>
      <c r="E570" s="7">
        <f>IF(OR(C570=1,D570=1),0,IF(NOT(ISNUMBER(Raw_Passengers!E570)),1,IF(Raw_Passengers!E570&lt;=0,1,0)))</f>
        <v>0</v>
      </c>
      <c r="F570" s="7">
        <f>IF(AND(C570=0,D570=0,TRIM(Raw_Passengers!D570&amp;"")=""),1,0)</f>
        <v>0</v>
      </c>
      <c r="G570" s="7" t="str">
        <f>IF(SUMPRODUCT(--(Lookup_Status!$A$2:$A$13=LOWER(TRIM(Raw_Passengers!F570))))=0,"",INDEX(Lookup_Status!$B$2:$B$13,SUMPRODUCT((Lookup_Status!$A$2:$A$13=LOWER(TRIM(Raw_Passengers!F570)))*(ROW(Lookup_Status!$A$2:$A$13)-1))))</f>
        <v>Confirmed</v>
      </c>
      <c r="H570" s="7" t="str">
        <f>IF(SUMPRODUCT(--(Lookup_Status!$A$2:$A$13=LOWER(TRIM(Raw_Passengers!G570))))=0,"",INDEX(Lookup_Status!$B$2:$B$13,SUMPRODUCT((Lookup_Status!$A$2:$A$13=LOWER(TRIM(Raw_Passengers!G570)))*(ROW(Lookup_Status!$A$2:$A$13)-1))))</f>
        <v>Cancelled</v>
      </c>
      <c r="I570" s="7">
        <f>IF(OR(G570="",G570="Cancelled",G570="Mixed"),1,0)</f>
        <v>0</v>
      </c>
      <c r="J570" s="7">
        <f>IF(OR(H570="",H570="Mixed"),1,0)</f>
        <v>0</v>
      </c>
      <c r="K570" s="7">
        <f>IF(AND(C570=0,D570=0),IF(OR(AND(I570=0,NOT(EXACT(Raw_Passengers!F570,G570))),AND(J570=0,NOT(EXACT(Raw_Passengers!G570,H570)))),1,0),0)</f>
        <v>0</v>
      </c>
      <c r="L570" s="7">
        <f>IF(AND(C570=0,D570=0,I570=1),1,0)</f>
        <v>0</v>
      </c>
      <c r="M570" s="7">
        <f>IF(AND(C570=0,D570=0,J570=1),1,0)</f>
        <v>0</v>
      </c>
    </row>
    <row r="571" spans="1:13">
      <c r="A571" s="7">
        <f>Raw_Passengers!A571</f>
        <v>194542</v>
      </c>
      <c r="B571" s="7">
        <f>Raw_Passengers!B571</f>
        <v>1096350</v>
      </c>
      <c r="C571" s="7">
        <f>IF(COUNTIF(Raw_Passengers!$A$2:A571,Raw_Passengers!A571)&gt;1,1,0)</f>
        <v>0</v>
      </c>
      <c r="D571" s="7">
        <f>IF(COUNTIF(Raw_Bookings!$A$2:$A$648,Raw_Passengers!B571)=0,1,0)</f>
        <v>0</v>
      </c>
      <c r="E571" s="7">
        <f>IF(OR(C571=1,D571=1),0,IF(NOT(ISNUMBER(Raw_Passengers!E571)),1,IF(Raw_Passengers!E571&lt;=0,1,0)))</f>
        <v>0</v>
      </c>
      <c r="F571" s="7">
        <f>IF(AND(C571=0,D571=0,TRIM(Raw_Passengers!D571&amp;"")=""),1,0)</f>
        <v>0</v>
      </c>
      <c r="G571" s="7" t="str">
        <f>IF(SUMPRODUCT(--(Lookup_Status!$A$2:$A$13=LOWER(TRIM(Raw_Passengers!F571))))=0,"",INDEX(Lookup_Status!$B$2:$B$13,SUMPRODUCT((Lookup_Status!$A$2:$A$13=LOWER(TRIM(Raw_Passengers!F571)))*(ROW(Lookup_Status!$A$2:$A$13)-1))))</f>
        <v>Confirmed</v>
      </c>
      <c r="H571" s="7" t="str">
        <f>IF(SUMPRODUCT(--(Lookup_Status!$A$2:$A$13=LOWER(TRIM(Raw_Passengers!G571))))=0,"",INDEX(Lookup_Status!$B$2:$B$13,SUMPRODUCT((Lookup_Status!$A$2:$A$13=LOWER(TRIM(Raw_Passengers!G571)))*(ROW(Lookup_Status!$A$2:$A$13)-1))))</f>
        <v>Cancelled</v>
      </c>
      <c r="I571" s="7">
        <f>IF(OR(G571="",G571="Cancelled",G571="Mixed"),1,0)</f>
        <v>0</v>
      </c>
      <c r="J571" s="7">
        <f>IF(OR(H571="",H571="Mixed"),1,0)</f>
        <v>0</v>
      </c>
      <c r="K571" s="7">
        <f>IF(AND(C571=0,D571=0),IF(OR(AND(I571=0,NOT(EXACT(Raw_Passengers!F571,G571))),AND(J571=0,NOT(EXACT(Raw_Passengers!G571,H571)))),1,0),0)</f>
        <v>0</v>
      </c>
      <c r="L571" s="7">
        <f>IF(AND(C571=0,D571=0,I571=1),1,0)</f>
        <v>0</v>
      </c>
      <c r="M571" s="7">
        <f>IF(AND(C571=0,D571=0,J571=1),1,0)</f>
        <v>0</v>
      </c>
    </row>
    <row r="572" spans="1:13">
      <c r="A572" s="7">
        <f>Raw_Passengers!A572</f>
        <v>194543</v>
      </c>
      <c r="B572" s="7">
        <f>Raw_Passengers!B572</f>
        <v>1096350</v>
      </c>
      <c r="C572" s="7">
        <f>IF(COUNTIF(Raw_Passengers!$A$2:A572,Raw_Passengers!A572)&gt;1,1,0)</f>
        <v>0</v>
      </c>
      <c r="D572" s="7">
        <f>IF(COUNTIF(Raw_Bookings!$A$2:$A$648,Raw_Passengers!B572)=0,1,0)</f>
        <v>0</v>
      </c>
      <c r="E572" s="7">
        <f>IF(OR(C572=1,D572=1),0,IF(NOT(ISNUMBER(Raw_Passengers!E572)),1,IF(Raw_Passengers!E572&lt;=0,1,0)))</f>
        <v>0</v>
      </c>
      <c r="F572" s="7">
        <f>IF(AND(C572=0,D572=0,TRIM(Raw_Passengers!D572&amp;"")=""),1,0)</f>
        <v>0</v>
      </c>
      <c r="G572" s="7" t="str">
        <f>IF(SUMPRODUCT(--(Lookup_Status!$A$2:$A$13=LOWER(TRIM(Raw_Passengers!F572))))=0,"",INDEX(Lookup_Status!$B$2:$B$13,SUMPRODUCT((Lookup_Status!$A$2:$A$13=LOWER(TRIM(Raw_Passengers!F572)))*(ROW(Lookup_Status!$A$2:$A$13)-1))))</f>
        <v>Confirmed</v>
      </c>
      <c r="H572" s="7" t="str">
        <f>IF(SUMPRODUCT(--(Lookup_Status!$A$2:$A$13=LOWER(TRIM(Raw_Passengers!G572))))=0,"",INDEX(Lookup_Status!$B$2:$B$13,SUMPRODUCT((Lookup_Status!$A$2:$A$13=LOWER(TRIM(Raw_Passengers!G572)))*(ROW(Lookup_Status!$A$2:$A$13)-1))))</f>
        <v>Cancelled</v>
      </c>
      <c r="I572" s="7">
        <f>IF(OR(G572="",G572="Cancelled",G572="Mixed"),1,0)</f>
        <v>0</v>
      </c>
      <c r="J572" s="7">
        <f>IF(OR(H572="",H572="Mixed"),1,0)</f>
        <v>0</v>
      </c>
      <c r="K572" s="7">
        <f>IF(AND(C572=0,D572=0),IF(OR(AND(I572=0,NOT(EXACT(Raw_Passengers!F572,G572))),AND(J572=0,NOT(EXACT(Raw_Passengers!G572,H572)))),1,0),0)</f>
        <v>0</v>
      </c>
      <c r="L572" s="7">
        <f>IF(AND(C572=0,D572=0,I572=1),1,0)</f>
        <v>0</v>
      </c>
      <c r="M572" s="7">
        <f>IF(AND(C572=0,D572=0,J572=1),1,0)</f>
        <v>0</v>
      </c>
    </row>
    <row r="573" spans="1:13">
      <c r="A573" s="7">
        <f>Raw_Passengers!A573</f>
        <v>195131</v>
      </c>
      <c r="B573" s="7">
        <f>Raw_Passengers!B573</f>
        <v>1096648</v>
      </c>
      <c r="C573" s="7">
        <f>IF(COUNTIF(Raw_Passengers!$A$2:A573,Raw_Passengers!A573)&gt;1,1,0)</f>
        <v>0</v>
      </c>
      <c r="D573" s="7">
        <f>IF(COUNTIF(Raw_Bookings!$A$2:$A$648,Raw_Passengers!B573)=0,1,0)</f>
        <v>0</v>
      </c>
      <c r="E573" s="7">
        <f>IF(OR(C573=1,D573=1),0,IF(NOT(ISNUMBER(Raw_Passengers!E573)),1,IF(Raw_Passengers!E573&lt;=0,1,0)))</f>
        <v>0</v>
      </c>
      <c r="F573" s="7">
        <f>IF(AND(C573=0,D573=0,TRIM(Raw_Passengers!D573&amp;"")=""),1,0)</f>
        <v>0</v>
      </c>
      <c r="G573" s="7" t="str">
        <f>IF(SUMPRODUCT(--(Lookup_Status!$A$2:$A$13=LOWER(TRIM(Raw_Passengers!F573))))=0,"",INDEX(Lookup_Status!$B$2:$B$13,SUMPRODUCT((Lookup_Status!$A$2:$A$13=LOWER(TRIM(Raw_Passengers!F573)))*(ROW(Lookup_Status!$A$2:$A$13)-1))))</f>
        <v>Confirmed</v>
      </c>
      <c r="H573" s="7" t="str">
        <f>IF(SUMPRODUCT(--(Lookup_Status!$A$2:$A$13=LOWER(TRIM(Raw_Passengers!G573))))=0,"",INDEX(Lookup_Status!$B$2:$B$13,SUMPRODUCT((Lookup_Status!$A$2:$A$13=LOWER(TRIM(Raw_Passengers!G573)))*(ROW(Lookup_Status!$A$2:$A$13)-1))))</f>
        <v>Cancelled</v>
      </c>
      <c r="I573" s="7">
        <f>IF(OR(G573="",G573="Cancelled",G573="Mixed"),1,0)</f>
        <v>0</v>
      </c>
      <c r="J573" s="7">
        <f>IF(OR(H573="",H573="Mixed"),1,0)</f>
        <v>0</v>
      </c>
      <c r="K573" s="7">
        <f>IF(AND(C573=0,D573=0),IF(OR(AND(I573=0,NOT(EXACT(Raw_Passengers!F573,G573))),AND(J573=0,NOT(EXACT(Raw_Passengers!G573,H573)))),1,0),0)</f>
        <v>0</v>
      </c>
      <c r="L573" s="7">
        <f>IF(AND(C573=0,D573=0,I573=1),1,0)</f>
        <v>0</v>
      </c>
      <c r="M573" s="7">
        <f>IF(AND(C573=0,D573=0,J573=1),1,0)</f>
        <v>0</v>
      </c>
    </row>
    <row r="574" spans="1:13">
      <c r="A574" s="7">
        <f>Raw_Passengers!A574</f>
        <v>195132</v>
      </c>
      <c r="B574" s="7">
        <f>Raw_Passengers!B574</f>
        <v>1096648</v>
      </c>
      <c r="C574" s="7">
        <f>IF(COUNTIF(Raw_Passengers!$A$2:A574,Raw_Passengers!A574)&gt;1,1,0)</f>
        <v>0</v>
      </c>
      <c r="D574" s="7">
        <f>IF(COUNTIF(Raw_Bookings!$A$2:$A$648,Raw_Passengers!B574)=0,1,0)</f>
        <v>0</v>
      </c>
      <c r="E574" s="7">
        <f>IF(OR(C574=1,D574=1),0,IF(NOT(ISNUMBER(Raw_Passengers!E574)),1,IF(Raw_Passengers!E574&lt;=0,1,0)))</f>
        <v>0</v>
      </c>
      <c r="F574" s="7">
        <f>IF(AND(C574=0,D574=0,TRIM(Raw_Passengers!D574&amp;"")=""),1,0)</f>
        <v>0</v>
      </c>
      <c r="G574" s="7" t="str">
        <f>IF(SUMPRODUCT(--(Lookup_Status!$A$2:$A$13=LOWER(TRIM(Raw_Passengers!F574))))=0,"",INDEX(Lookup_Status!$B$2:$B$13,SUMPRODUCT((Lookup_Status!$A$2:$A$13=LOWER(TRIM(Raw_Passengers!F574)))*(ROW(Lookup_Status!$A$2:$A$13)-1))))</f>
        <v>Confirmed</v>
      </c>
      <c r="H574" s="7" t="str">
        <f>IF(SUMPRODUCT(--(Lookup_Status!$A$2:$A$13=LOWER(TRIM(Raw_Passengers!G574))))=0,"",INDEX(Lookup_Status!$B$2:$B$13,SUMPRODUCT((Lookup_Status!$A$2:$A$13=LOWER(TRIM(Raw_Passengers!G574)))*(ROW(Lookup_Status!$A$2:$A$13)-1))))</f>
        <v>Cancelled</v>
      </c>
      <c r="I574" s="7">
        <f>IF(OR(G574="",G574="Cancelled",G574="Mixed"),1,0)</f>
        <v>0</v>
      </c>
      <c r="J574" s="7">
        <f>IF(OR(H574="",H574="Mixed"),1,0)</f>
        <v>0</v>
      </c>
      <c r="K574" s="7">
        <f>IF(AND(C574=0,D574=0),IF(OR(AND(I574=0,NOT(EXACT(Raw_Passengers!F574,G574))),AND(J574=0,NOT(EXACT(Raw_Passengers!G574,H574)))),1,0),0)</f>
        <v>0</v>
      </c>
      <c r="L574" s="7">
        <f>IF(AND(C574=0,D574=0,I574=1),1,0)</f>
        <v>0</v>
      </c>
      <c r="M574" s="7">
        <f>IF(AND(C574=0,D574=0,J574=1),1,0)</f>
        <v>0</v>
      </c>
    </row>
    <row r="575" spans="1:13">
      <c r="A575" s="7">
        <f>Raw_Passengers!A575</f>
        <v>197446</v>
      </c>
      <c r="B575" s="7">
        <f>Raw_Passengers!B575</f>
        <v>1097788</v>
      </c>
      <c r="C575" s="7">
        <f>IF(COUNTIF(Raw_Passengers!$A$2:A575,Raw_Passengers!A575)&gt;1,1,0)</f>
        <v>0</v>
      </c>
      <c r="D575" s="7">
        <f>IF(COUNTIF(Raw_Bookings!$A$2:$A$648,Raw_Passengers!B575)=0,1,0)</f>
        <v>0</v>
      </c>
      <c r="E575" s="7">
        <f>IF(OR(C575=1,D575=1),0,IF(NOT(ISNUMBER(Raw_Passengers!E575)),1,IF(Raw_Passengers!E575&lt;=0,1,0)))</f>
        <v>0</v>
      </c>
      <c r="F575" s="7">
        <f>IF(AND(C575=0,D575=0,TRIM(Raw_Passengers!D575&amp;"")=""),1,0)</f>
        <v>0</v>
      </c>
      <c r="G575" s="7" t="str">
        <f>IF(SUMPRODUCT(--(Lookup_Status!$A$2:$A$13=LOWER(TRIM(Raw_Passengers!F575))))=0,"",INDEX(Lookup_Status!$B$2:$B$13,SUMPRODUCT((Lookup_Status!$A$2:$A$13=LOWER(TRIM(Raw_Passengers!F575)))*(ROW(Lookup_Status!$A$2:$A$13)-1))))</f>
        <v>Confirmed</v>
      </c>
      <c r="H575" s="7" t="str">
        <f>IF(SUMPRODUCT(--(Lookup_Status!$A$2:$A$13=LOWER(TRIM(Raw_Passengers!G575))))=0,"",INDEX(Lookup_Status!$B$2:$B$13,SUMPRODUCT((Lookup_Status!$A$2:$A$13=LOWER(TRIM(Raw_Passengers!G575)))*(ROW(Lookup_Status!$A$2:$A$13)-1))))</f>
        <v>Cancelled</v>
      </c>
      <c r="I575" s="7">
        <f>IF(OR(G575="",G575="Cancelled",G575="Mixed"),1,0)</f>
        <v>0</v>
      </c>
      <c r="J575" s="7">
        <f>IF(OR(H575="",H575="Mixed"),1,0)</f>
        <v>0</v>
      </c>
      <c r="K575" s="7">
        <f>IF(AND(C575=0,D575=0),IF(OR(AND(I575=0,NOT(EXACT(Raw_Passengers!F575,G575))),AND(J575=0,NOT(EXACT(Raw_Passengers!G575,H575)))),1,0),0)</f>
        <v>0</v>
      </c>
      <c r="L575" s="7">
        <f>IF(AND(C575=0,D575=0,I575=1),1,0)</f>
        <v>0</v>
      </c>
      <c r="M575" s="7">
        <f>IF(AND(C575=0,D575=0,J575=1),1,0)</f>
        <v>0</v>
      </c>
    </row>
    <row r="576" spans="1:13">
      <c r="A576" s="7">
        <f>Raw_Passengers!A576</f>
        <v>197447</v>
      </c>
      <c r="B576" s="7">
        <f>Raw_Passengers!B576</f>
        <v>1097788</v>
      </c>
      <c r="C576" s="7">
        <f>IF(COUNTIF(Raw_Passengers!$A$2:A576,Raw_Passengers!A576)&gt;1,1,0)</f>
        <v>0</v>
      </c>
      <c r="D576" s="7">
        <f>IF(COUNTIF(Raw_Bookings!$A$2:$A$648,Raw_Passengers!B576)=0,1,0)</f>
        <v>0</v>
      </c>
      <c r="E576" s="7">
        <f>IF(OR(C576=1,D576=1),0,IF(NOT(ISNUMBER(Raw_Passengers!E576)),1,IF(Raw_Passengers!E576&lt;=0,1,0)))</f>
        <v>0</v>
      </c>
      <c r="F576" s="7">
        <f>IF(AND(C576=0,D576=0,TRIM(Raw_Passengers!D576&amp;"")=""),1,0)</f>
        <v>0</v>
      </c>
      <c r="G576" s="7" t="str">
        <f>IF(SUMPRODUCT(--(Lookup_Status!$A$2:$A$13=LOWER(TRIM(Raw_Passengers!F576))))=0,"",INDEX(Lookup_Status!$B$2:$B$13,SUMPRODUCT((Lookup_Status!$A$2:$A$13=LOWER(TRIM(Raw_Passengers!F576)))*(ROW(Lookup_Status!$A$2:$A$13)-1))))</f>
        <v>Confirmed</v>
      </c>
      <c r="H576" s="7" t="str">
        <f>IF(SUMPRODUCT(--(Lookup_Status!$A$2:$A$13=LOWER(TRIM(Raw_Passengers!G576))))=0,"",INDEX(Lookup_Status!$B$2:$B$13,SUMPRODUCT((Lookup_Status!$A$2:$A$13=LOWER(TRIM(Raw_Passengers!G576)))*(ROW(Lookup_Status!$A$2:$A$13)-1))))</f>
        <v>Cancelled</v>
      </c>
      <c r="I576" s="7">
        <f>IF(OR(G576="",G576="Cancelled",G576="Mixed"),1,0)</f>
        <v>0</v>
      </c>
      <c r="J576" s="7">
        <f>IF(OR(H576="",H576="Mixed"),1,0)</f>
        <v>0</v>
      </c>
      <c r="K576" s="7">
        <f>IF(AND(C576=0,D576=0),IF(OR(AND(I576=0,NOT(EXACT(Raw_Passengers!F576,G576))),AND(J576=0,NOT(EXACT(Raw_Passengers!G576,H576)))),1,0),0)</f>
        <v>0</v>
      </c>
      <c r="L576" s="7">
        <f>IF(AND(C576=0,D576=0,I576=1),1,0)</f>
        <v>0</v>
      </c>
      <c r="M576" s="7">
        <f>IF(AND(C576=0,D576=0,J576=1),1,0)</f>
        <v>0</v>
      </c>
    </row>
    <row r="577" spans="1:13">
      <c r="A577" s="7">
        <f>Raw_Passengers!A577</f>
        <v>197448</v>
      </c>
      <c r="B577" s="7">
        <f>Raw_Passengers!B577</f>
        <v>1097788</v>
      </c>
      <c r="C577" s="7">
        <f>IF(COUNTIF(Raw_Passengers!$A$2:A577,Raw_Passengers!A577)&gt;1,1,0)</f>
        <v>0</v>
      </c>
      <c r="D577" s="7">
        <f>IF(COUNTIF(Raw_Bookings!$A$2:$A$648,Raw_Passengers!B577)=0,1,0)</f>
        <v>0</v>
      </c>
      <c r="E577" s="7">
        <f>IF(OR(C577=1,D577=1),0,IF(NOT(ISNUMBER(Raw_Passengers!E577)),1,IF(Raw_Passengers!E577&lt;=0,1,0)))</f>
        <v>0</v>
      </c>
      <c r="F577" s="7">
        <f>IF(AND(C577=0,D577=0,TRIM(Raw_Passengers!D577&amp;"")=""),1,0)</f>
        <v>0</v>
      </c>
      <c r="G577" s="7" t="str">
        <f>IF(SUMPRODUCT(--(Lookup_Status!$A$2:$A$13=LOWER(TRIM(Raw_Passengers!F577))))=0,"",INDEX(Lookup_Status!$B$2:$B$13,SUMPRODUCT((Lookup_Status!$A$2:$A$13=LOWER(TRIM(Raw_Passengers!F577)))*(ROW(Lookup_Status!$A$2:$A$13)-1))))</f>
        <v>Confirmed</v>
      </c>
      <c r="H577" s="7" t="str">
        <f>IF(SUMPRODUCT(--(Lookup_Status!$A$2:$A$13=LOWER(TRIM(Raw_Passengers!G577))))=0,"",INDEX(Lookup_Status!$B$2:$B$13,SUMPRODUCT((Lookup_Status!$A$2:$A$13=LOWER(TRIM(Raw_Passengers!G577)))*(ROW(Lookup_Status!$A$2:$A$13)-1))))</f>
        <v>Cancelled</v>
      </c>
      <c r="I577" s="7">
        <f>IF(OR(G577="",G577="Cancelled",G577="Mixed"),1,0)</f>
        <v>0</v>
      </c>
      <c r="J577" s="7">
        <f>IF(OR(H577="",H577="Mixed"),1,0)</f>
        <v>0</v>
      </c>
      <c r="K577" s="7">
        <f>IF(AND(C577=0,D577=0),IF(OR(AND(I577=0,NOT(EXACT(Raw_Passengers!F577,G577))),AND(J577=0,NOT(EXACT(Raw_Passengers!G577,H577)))),1,0),0)</f>
        <v>0</v>
      </c>
      <c r="L577" s="7">
        <f>IF(AND(C577=0,D577=0,I577=1),1,0)</f>
        <v>0</v>
      </c>
      <c r="M577" s="7">
        <f>IF(AND(C577=0,D577=0,J577=1),1,0)</f>
        <v>0</v>
      </c>
    </row>
    <row r="578" spans="1:13">
      <c r="A578" s="7">
        <f>Raw_Passengers!A578</f>
        <v>197449</v>
      </c>
      <c r="B578" s="7">
        <f>Raw_Passengers!B578</f>
        <v>1097788</v>
      </c>
      <c r="C578" s="7">
        <f>IF(COUNTIF(Raw_Passengers!$A$2:A578,Raw_Passengers!A578)&gt;1,1,0)</f>
        <v>0</v>
      </c>
      <c r="D578" s="7">
        <f>IF(COUNTIF(Raw_Bookings!$A$2:$A$648,Raw_Passengers!B578)=0,1,0)</f>
        <v>0</v>
      </c>
      <c r="E578" s="7">
        <f>IF(OR(C578=1,D578=1),0,IF(NOT(ISNUMBER(Raw_Passengers!E578)),1,IF(Raw_Passengers!E578&lt;=0,1,0)))</f>
        <v>0</v>
      </c>
      <c r="F578" s="7">
        <f>IF(AND(C578=0,D578=0,TRIM(Raw_Passengers!D578&amp;"")=""),1,0)</f>
        <v>0</v>
      </c>
      <c r="G578" s="7" t="str">
        <f>IF(SUMPRODUCT(--(Lookup_Status!$A$2:$A$13=LOWER(TRIM(Raw_Passengers!F578))))=0,"",INDEX(Lookup_Status!$B$2:$B$13,SUMPRODUCT((Lookup_Status!$A$2:$A$13=LOWER(TRIM(Raw_Passengers!F578)))*(ROW(Lookup_Status!$A$2:$A$13)-1))))</f>
        <v>Confirmed</v>
      </c>
      <c r="H578" s="7" t="str">
        <f>IF(SUMPRODUCT(--(Lookup_Status!$A$2:$A$13=LOWER(TRIM(Raw_Passengers!G578))))=0,"",INDEX(Lookup_Status!$B$2:$B$13,SUMPRODUCT((Lookup_Status!$A$2:$A$13=LOWER(TRIM(Raw_Passengers!G578)))*(ROW(Lookup_Status!$A$2:$A$13)-1))))</f>
        <v>Cancelled</v>
      </c>
      <c r="I578" s="7">
        <f>IF(OR(G578="",G578="Cancelled",G578="Mixed"),1,0)</f>
        <v>0</v>
      </c>
      <c r="J578" s="7">
        <f>IF(OR(H578="",H578="Mixed"),1,0)</f>
        <v>0</v>
      </c>
      <c r="K578" s="7">
        <f>IF(AND(C578=0,D578=0),IF(OR(AND(I578=0,NOT(EXACT(Raw_Passengers!F578,G578))),AND(J578=0,NOT(EXACT(Raw_Passengers!G578,H578)))),1,0),0)</f>
        <v>0</v>
      </c>
      <c r="L578" s="7">
        <f>IF(AND(C578=0,D578=0,I578=1),1,0)</f>
        <v>0</v>
      </c>
      <c r="M578" s="7">
        <f>IF(AND(C578=0,D578=0,J578=1),1,0)</f>
        <v>0</v>
      </c>
    </row>
    <row r="579" spans="1:13">
      <c r="A579" s="7">
        <f>Raw_Passengers!A579</f>
        <v>197800</v>
      </c>
      <c r="B579" s="7">
        <f>Raw_Passengers!B579</f>
        <v>1097941</v>
      </c>
      <c r="C579" s="7">
        <f>IF(COUNTIF(Raw_Passengers!$A$2:A579,Raw_Passengers!A579)&gt;1,1,0)</f>
        <v>0</v>
      </c>
      <c r="D579" s="7">
        <f>IF(COUNTIF(Raw_Bookings!$A$2:$A$648,Raw_Passengers!B579)=0,1,0)</f>
        <v>0</v>
      </c>
      <c r="E579" s="7">
        <f>IF(OR(C579=1,D579=1),0,IF(NOT(ISNUMBER(Raw_Passengers!E579)),1,IF(Raw_Passengers!E579&lt;=0,1,0)))</f>
        <v>0</v>
      </c>
      <c r="F579" s="7">
        <f>IF(AND(C579=0,D579=0,TRIM(Raw_Passengers!D579&amp;"")=""),1,0)</f>
        <v>0</v>
      </c>
      <c r="G579" s="7" t="str">
        <f>IF(SUMPRODUCT(--(Lookup_Status!$A$2:$A$13=LOWER(TRIM(Raw_Passengers!F579))))=0,"",INDEX(Lookup_Status!$B$2:$B$13,SUMPRODUCT((Lookup_Status!$A$2:$A$13=LOWER(TRIM(Raw_Passengers!F579)))*(ROW(Lookup_Status!$A$2:$A$13)-1))))</f>
        <v>RAC</v>
      </c>
      <c r="H579" s="7" t="str">
        <f>IF(SUMPRODUCT(--(Lookup_Status!$A$2:$A$13=LOWER(TRIM(Raw_Passengers!G579))))=0,"",INDEX(Lookup_Status!$B$2:$B$13,SUMPRODUCT((Lookup_Status!$A$2:$A$13=LOWER(TRIM(Raw_Passengers!G579)))*(ROW(Lookup_Status!$A$2:$A$13)-1))))</f>
        <v>Confirmed</v>
      </c>
      <c r="I579" s="7">
        <f>IF(OR(G579="",G579="Cancelled",G579="Mixed"),1,0)</f>
        <v>0</v>
      </c>
      <c r="J579" s="7">
        <f>IF(OR(H579="",H579="Mixed"),1,0)</f>
        <v>0</v>
      </c>
      <c r="K579" s="7">
        <f>IF(AND(C579=0,D579=0),IF(OR(AND(I579=0,NOT(EXACT(Raw_Passengers!F579,G579))),AND(J579=0,NOT(EXACT(Raw_Passengers!G579,H579)))),1,0),0)</f>
        <v>0</v>
      </c>
      <c r="L579" s="7">
        <f>IF(AND(C579=0,D579=0,I579=1),1,0)</f>
        <v>0</v>
      </c>
      <c r="M579" s="7">
        <f>IF(AND(C579=0,D579=0,J579=1),1,0)</f>
        <v>0</v>
      </c>
    </row>
    <row r="580" spans="1:13">
      <c r="A580" s="7">
        <f>Raw_Passengers!A580</f>
        <v>197801</v>
      </c>
      <c r="B580" s="7">
        <f>Raw_Passengers!B580</f>
        <v>1097941</v>
      </c>
      <c r="C580" s="7">
        <f>IF(COUNTIF(Raw_Passengers!$A$2:A580,Raw_Passengers!A580)&gt;1,1,0)</f>
        <v>0</v>
      </c>
      <c r="D580" s="7">
        <f>IF(COUNTIF(Raw_Bookings!$A$2:$A$648,Raw_Passengers!B580)=0,1,0)</f>
        <v>0</v>
      </c>
      <c r="E580" s="7">
        <f>IF(OR(C580=1,D580=1),0,IF(NOT(ISNUMBER(Raw_Passengers!E580)),1,IF(Raw_Passengers!E580&lt;=0,1,0)))</f>
        <v>0</v>
      </c>
      <c r="F580" s="7">
        <f>IF(AND(C580=0,D580=0,TRIM(Raw_Passengers!D580&amp;"")=""),1,0)</f>
        <v>0</v>
      </c>
      <c r="G580" s="7" t="str">
        <f>IF(SUMPRODUCT(--(Lookup_Status!$A$2:$A$13=LOWER(TRIM(Raw_Passengers!F580))))=0,"",INDEX(Lookup_Status!$B$2:$B$13,SUMPRODUCT((Lookup_Status!$A$2:$A$13=LOWER(TRIM(Raw_Passengers!F580)))*(ROW(Lookup_Status!$A$2:$A$13)-1))))</f>
        <v>RAC</v>
      </c>
      <c r="H580" s="7" t="str">
        <f>IF(SUMPRODUCT(--(Lookup_Status!$A$2:$A$13=LOWER(TRIM(Raw_Passengers!G580))))=0,"",INDEX(Lookup_Status!$B$2:$B$13,SUMPRODUCT((Lookup_Status!$A$2:$A$13=LOWER(TRIM(Raw_Passengers!G580)))*(ROW(Lookup_Status!$A$2:$A$13)-1))))</f>
        <v>Confirmed</v>
      </c>
      <c r="I580" s="7">
        <f>IF(OR(G580="",G580="Cancelled",G580="Mixed"),1,0)</f>
        <v>0</v>
      </c>
      <c r="J580" s="7">
        <f>IF(OR(H580="",H580="Mixed"),1,0)</f>
        <v>0</v>
      </c>
      <c r="K580" s="7">
        <f>IF(AND(C580=0,D580=0),IF(OR(AND(I580=0,NOT(EXACT(Raw_Passengers!F580,G580))),AND(J580=0,NOT(EXACT(Raw_Passengers!G580,H580)))),1,0),0)</f>
        <v>0</v>
      </c>
      <c r="L580" s="7">
        <f>IF(AND(C580=0,D580=0,I580=1),1,0)</f>
        <v>0</v>
      </c>
      <c r="M580" s="7">
        <f>IF(AND(C580=0,D580=0,J580=1),1,0)</f>
        <v>0</v>
      </c>
    </row>
    <row r="581" spans="1:13">
      <c r="A581" s="7">
        <f>Raw_Passengers!A581</f>
        <v>198428</v>
      </c>
      <c r="B581" s="7">
        <f>Raw_Passengers!B581</f>
        <v>1098241</v>
      </c>
      <c r="C581" s="7">
        <f>IF(COUNTIF(Raw_Passengers!$A$2:A581,Raw_Passengers!A581)&gt;1,1,0)</f>
        <v>0</v>
      </c>
      <c r="D581" s="7">
        <f>IF(COUNTIF(Raw_Bookings!$A$2:$A$648,Raw_Passengers!B581)=0,1,0)</f>
        <v>0</v>
      </c>
      <c r="E581" s="7">
        <f>IF(OR(C581=1,D581=1),0,IF(NOT(ISNUMBER(Raw_Passengers!E581)),1,IF(Raw_Passengers!E581&lt;=0,1,0)))</f>
        <v>0</v>
      </c>
      <c r="F581" s="7">
        <f>IF(AND(C581=0,D581=0,TRIM(Raw_Passengers!D581&amp;"")=""),1,0)</f>
        <v>0</v>
      </c>
      <c r="G581" s="7" t="str">
        <f>IF(SUMPRODUCT(--(Lookup_Status!$A$2:$A$13=LOWER(TRIM(Raw_Passengers!F581))))=0,"",INDEX(Lookup_Status!$B$2:$B$13,SUMPRODUCT((Lookup_Status!$A$2:$A$13=LOWER(TRIM(Raw_Passengers!F581)))*(ROW(Lookup_Status!$A$2:$A$13)-1))))</f>
        <v>Confirmed</v>
      </c>
      <c r="H581" s="7" t="str">
        <f>IF(SUMPRODUCT(--(Lookup_Status!$A$2:$A$13=LOWER(TRIM(Raw_Passengers!G581))))=0,"",INDEX(Lookup_Status!$B$2:$B$13,SUMPRODUCT((Lookup_Status!$A$2:$A$13=LOWER(TRIM(Raw_Passengers!G581)))*(ROW(Lookup_Status!$A$2:$A$13)-1))))</f>
        <v>Confirmed</v>
      </c>
      <c r="I581" s="7">
        <f>IF(OR(G581="",G581="Cancelled",G581="Mixed"),1,0)</f>
        <v>0</v>
      </c>
      <c r="J581" s="7">
        <f>IF(OR(H581="",H581="Mixed"),1,0)</f>
        <v>0</v>
      </c>
      <c r="K581" s="7">
        <f>IF(AND(C581=0,D581=0),IF(OR(AND(I581=0,NOT(EXACT(Raw_Passengers!F581,G581))),AND(J581=0,NOT(EXACT(Raw_Passengers!G581,H581)))),1,0),0)</f>
        <v>0</v>
      </c>
      <c r="L581" s="7">
        <f>IF(AND(C581=0,D581=0,I581=1),1,0)</f>
        <v>0</v>
      </c>
      <c r="M581" s="7">
        <f>IF(AND(C581=0,D581=0,J581=1),1,0)</f>
        <v>0</v>
      </c>
    </row>
    <row r="582" spans="1:13">
      <c r="A582" s="7">
        <f>Raw_Passengers!A582</f>
        <v>198429</v>
      </c>
      <c r="B582" s="7">
        <f>Raw_Passengers!B582</f>
        <v>1098241</v>
      </c>
      <c r="C582" s="7">
        <f>IF(COUNTIF(Raw_Passengers!$A$2:A582,Raw_Passengers!A582)&gt;1,1,0)</f>
        <v>0</v>
      </c>
      <c r="D582" s="7">
        <f>IF(COUNTIF(Raw_Bookings!$A$2:$A$648,Raw_Passengers!B582)=0,1,0)</f>
        <v>0</v>
      </c>
      <c r="E582" s="7">
        <f>IF(OR(C582=1,D582=1),0,IF(NOT(ISNUMBER(Raw_Passengers!E582)),1,IF(Raw_Passengers!E582&lt;=0,1,0)))</f>
        <v>0</v>
      </c>
      <c r="F582" s="7">
        <f>IF(AND(C582=0,D582=0,TRIM(Raw_Passengers!D582&amp;"")=""),1,0)</f>
        <v>0</v>
      </c>
      <c r="G582" s="7" t="str">
        <f>IF(SUMPRODUCT(--(Lookup_Status!$A$2:$A$13=LOWER(TRIM(Raw_Passengers!F582))))=0,"",INDEX(Lookup_Status!$B$2:$B$13,SUMPRODUCT((Lookup_Status!$A$2:$A$13=LOWER(TRIM(Raw_Passengers!F582)))*(ROW(Lookup_Status!$A$2:$A$13)-1))))</f>
        <v>Confirmed</v>
      </c>
      <c r="H582" s="7" t="str">
        <f>IF(SUMPRODUCT(--(Lookup_Status!$A$2:$A$13=LOWER(TRIM(Raw_Passengers!G582))))=0,"",INDEX(Lookup_Status!$B$2:$B$13,SUMPRODUCT((Lookup_Status!$A$2:$A$13=LOWER(TRIM(Raw_Passengers!G582)))*(ROW(Lookup_Status!$A$2:$A$13)-1))))</f>
        <v>Confirmed</v>
      </c>
      <c r="I582" s="7">
        <f>IF(OR(G582="",G582="Cancelled",G582="Mixed"),1,0)</f>
        <v>0</v>
      </c>
      <c r="J582" s="7">
        <f>IF(OR(H582="",H582="Mixed"),1,0)</f>
        <v>0</v>
      </c>
      <c r="K582" s="7">
        <f>IF(AND(C582=0,D582=0),IF(OR(AND(I582=0,NOT(EXACT(Raw_Passengers!F582,G582))),AND(J582=0,NOT(EXACT(Raw_Passengers!G582,H582)))),1,0),0)</f>
        <v>0</v>
      </c>
      <c r="L582" s="7">
        <f>IF(AND(C582=0,D582=0,I582=1),1,0)</f>
        <v>0</v>
      </c>
      <c r="M582" s="7">
        <f>IF(AND(C582=0,D582=0,J582=1),1,0)</f>
        <v>0</v>
      </c>
    </row>
    <row r="583" spans="1:13">
      <c r="A583" s="7">
        <f>Raw_Passengers!A583</f>
        <v>198430</v>
      </c>
      <c r="B583" s="7">
        <f>Raw_Passengers!B583</f>
        <v>1098241</v>
      </c>
      <c r="C583" s="7">
        <f>IF(COUNTIF(Raw_Passengers!$A$2:A583,Raw_Passengers!A583)&gt;1,1,0)</f>
        <v>0</v>
      </c>
      <c r="D583" s="7">
        <f>IF(COUNTIF(Raw_Bookings!$A$2:$A$648,Raw_Passengers!B583)=0,1,0)</f>
        <v>0</v>
      </c>
      <c r="E583" s="7">
        <f>IF(OR(C583=1,D583=1),0,IF(NOT(ISNUMBER(Raw_Passengers!E583)),1,IF(Raw_Passengers!E583&lt;=0,1,0)))</f>
        <v>0</v>
      </c>
      <c r="F583" s="7">
        <f>IF(AND(C583=0,D583=0,TRIM(Raw_Passengers!D583&amp;"")=""),1,0)</f>
        <v>0</v>
      </c>
      <c r="G583" s="7" t="str">
        <f>IF(SUMPRODUCT(--(Lookup_Status!$A$2:$A$13=LOWER(TRIM(Raw_Passengers!F583))))=0,"",INDEX(Lookup_Status!$B$2:$B$13,SUMPRODUCT((Lookup_Status!$A$2:$A$13=LOWER(TRIM(Raw_Passengers!F583)))*(ROW(Lookup_Status!$A$2:$A$13)-1))))</f>
        <v>Confirmed</v>
      </c>
      <c r="H583" s="7" t="str">
        <f>IF(SUMPRODUCT(--(Lookup_Status!$A$2:$A$13=LOWER(TRIM(Raw_Passengers!G583))))=0,"",INDEX(Lookup_Status!$B$2:$B$13,SUMPRODUCT((Lookup_Status!$A$2:$A$13=LOWER(TRIM(Raw_Passengers!G583)))*(ROW(Lookup_Status!$A$2:$A$13)-1))))</f>
        <v>Confirmed</v>
      </c>
      <c r="I583" s="7">
        <f>IF(OR(G583="",G583="Cancelled",G583="Mixed"),1,0)</f>
        <v>0</v>
      </c>
      <c r="J583" s="7">
        <f>IF(OR(H583="",H583="Mixed"),1,0)</f>
        <v>0</v>
      </c>
      <c r="K583" s="7">
        <f>IF(AND(C583=0,D583=0),IF(OR(AND(I583=0,NOT(EXACT(Raw_Passengers!F583,G583))),AND(J583=0,NOT(EXACT(Raw_Passengers!G583,H583)))),1,0),0)</f>
        <v>0</v>
      </c>
      <c r="L583" s="7">
        <f>IF(AND(C583=0,D583=0,I583=1),1,0)</f>
        <v>0</v>
      </c>
      <c r="M583" s="7">
        <f>IF(AND(C583=0,D583=0,J583=1),1,0)</f>
        <v>0</v>
      </c>
    </row>
    <row r="584" spans="1:13">
      <c r="A584" s="7">
        <f>Raw_Passengers!A584</f>
        <v>198431</v>
      </c>
      <c r="B584" s="7">
        <f>Raw_Passengers!B584</f>
        <v>1098241</v>
      </c>
      <c r="C584" s="7">
        <f>IF(COUNTIF(Raw_Passengers!$A$2:A584,Raw_Passengers!A584)&gt;1,1,0)</f>
        <v>0</v>
      </c>
      <c r="D584" s="7">
        <f>IF(COUNTIF(Raw_Bookings!$A$2:$A$648,Raw_Passengers!B584)=0,1,0)</f>
        <v>0</v>
      </c>
      <c r="E584" s="7">
        <f>IF(OR(C584=1,D584=1),0,IF(NOT(ISNUMBER(Raw_Passengers!E584)),1,IF(Raw_Passengers!E584&lt;=0,1,0)))</f>
        <v>0</v>
      </c>
      <c r="F584" s="7">
        <f>IF(AND(C584=0,D584=0,TRIM(Raw_Passengers!D584&amp;"")=""),1,0)</f>
        <v>0</v>
      </c>
      <c r="G584" s="7" t="str">
        <f>IF(SUMPRODUCT(--(Lookup_Status!$A$2:$A$13=LOWER(TRIM(Raw_Passengers!F584))))=0,"",INDEX(Lookup_Status!$B$2:$B$13,SUMPRODUCT((Lookup_Status!$A$2:$A$13=LOWER(TRIM(Raw_Passengers!F584)))*(ROW(Lookup_Status!$A$2:$A$13)-1))))</f>
        <v>Confirmed</v>
      </c>
      <c r="H584" s="7" t="str">
        <f>IF(SUMPRODUCT(--(Lookup_Status!$A$2:$A$13=LOWER(TRIM(Raw_Passengers!G584))))=0,"",INDEX(Lookup_Status!$B$2:$B$13,SUMPRODUCT((Lookup_Status!$A$2:$A$13=LOWER(TRIM(Raw_Passengers!G584)))*(ROW(Lookup_Status!$A$2:$A$13)-1))))</f>
        <v>Confirmed</v>
      </c>
      <c r="I584" s="7">
        <f>IF(OR(G584="",G584="Cancelled",G584="Mixed"),1,0)</f>
        <v>0</v>
      </c>
      <c r="J584" s="7">
        <f>IF(OR(H584="",H584="Mixed"),1,0)</f>
        <v>0</v>
      </c>
      <c r="K584" s="7">
        <f>IF(AND(C584=0,D584=0),IF(OR(AND(I584=0,NOT(EXACT(Raw_Passengers!F584,G584))),AND(J584=0,NOT(EXACT(Raw_Passengers!G584,H584)))),1,0),0)</f>
        <v>0</v>
      </c>
      <c r="L584" s="7">
        <f>IF(AND(C584=0,D584=0,I584=1),1,0)</f>
        <v>0</v>
      </c>
      <c r="M584" s="7">
        <f>IF(AND(C584=0,D584=0,J584=1),1,0)</f>
        <v>0</v>
      </c>
    </row>
    <row r="585" spans="1:13">
      <c r="A585" s="7">
        <f>Raw_Passengers!A585</f>
        <v>198494</v>
      </c>
      <c r="B585" s="7">
        <f>Raw_Passengers!B585</f>
        <v>1098271</v>
      </c>
      <c r="C585" s="7">
        <f>IF(COUNTIF(Raw_Passengers!$A$2:A585,Raw_Passengers!A585)&gt;1,1,0)</f>
        <v>0</v>
      </c>
      <c r="D585" s="7">
        <f>IF(COUNTIF(Raw_Bookings!$A$2:$A$648,Raw_Passengers!B585)=0,1,0)</f>
        <v>0</v>
      </c>
      <c r="E585" s="7">
        <f>IF(OR(C585=1,D585=1),0,IF(NOT(ISNUMBER(Raw_Passengers!E585)),1,IF(Raw_Passengers!E585&lt;=0,1,0)))</f>
        <v>0</v>
      </c>
      <c r="F585" s="7">
        <f>IF(AND(C585=0,D585=0,TRIM(Raw_Passengers!D585&amp;"")=""),1,0)</f>
        <v>1</v>
      </c>
      <c r="G585" s="7" t="str">
        <f>IF(SUMPRODUCT(--(Lookup_Status!$A$2:$A$13=LOWER(TRIM(Raw_Passengers!F585))))=0,"",INDEX(Lookup_Status!$B$2:$B$13,SUMPRODUCT((Lookup_Status!$A$2:$A$13=LOWER(TRIM(Raw_Passengers!F585)))*(ROW(Lookup_Status!$A$2:$A$13)-1))))</f>
        <v>Confirmed</v>
      </c>
      <c r="H585" s="7" t="str">
        <f>IF(SUMPRODUCT(--(Lookup_Status!$A$2:$A$13=LOWER(TRIM(Raw_Passengers!G585))))=0,"",INDEX(Lookup_Status!$B$2:$B$13,SUMPRODUCT((Lookup_Status!$A$2:$A$13=LOWER(TRIM(Raw_Passengers!G585)))*(ROW(Lookup_Status!$A$2:$A$13)-1))))</f>
        <v>Confirmed</v>
      </c>
      <c r="I585" s="7">
        <f>IF(OR(G585="",G585="Cancelled",G585="Mixed"),1,0)</f>
        <v>0</v>
      </c>
      <c r="J585" s="7">
        <f>IF(OR(H585="",H585="Mixed"),1,0)</f>
        <v>0</v>
      </c>
      <c r="K585" s="7">
        <f>IF(AND(C585=0,D585=0),IF(OR(AND(I585=0,NOT(EXACT(Raw_Passengers!F585,G585))),AND(J585=0,NOT(EXACT(Raw_Passengers!G585,H585)))),1,0),0)</f>
        <v>0</v>
      </c>
      <c r="L585" s="7">
        <f>IF(AND(C585=0,D585=0,I585=1),1,0)</f>
        <v>0</v>
      </c>
      <c r="M585" s="7">
        <f>IF(AND(C585=0,D585=0,J585=1),1,0)</f>
        <v>0</v>
      </c>
    </row>
    <row r="586" spans="1:13">
      <c r="A586" s="7">
        <f>Raw_Passengers!A586</f>
        <v>198495</v>
      </c>
      <c r="B586" s="7">
        <f>Raw_Passengers!B586</f>
        <v>1098271</v>
      </c>
      <c r="C586" s="7">
        <f>IF(COUNTIF(Raw_Passengers!$A$2:A586,Raw_Passengers!A586)&gt;1,1,0)</f>
        <v>0</v>
      </c>
      <c r="D586" s="7">
        <f>IF(COUNTIF(Raw_Bookings!$A$2:$A$648,Raw_Passengers!B586)=0,1,0)</f>
        <v>0</v>
      </c>
      <c r="E586" s="7">
        <f>IF(OR(C586=1,D586=1),0,IF(NOT(ISNUMBER(Raw_Passengers!E586)),1,IF(Raw_Passengers!E586&lt;=0,1,0)))</f>
        <v>0</v>
      </c>
      <c r="F586" s="7">
        <f>IF(AND(C586=0,D586=0,TRIM(Raw_Passengers!D586&amp;"")=""),1,0)</f>
        <v>0</v>
      </c>
      <c r="G586" s="7" t="str">
        <f>IF(SUMPRODUCT(--(Lookup_Status!$A$2:$A$13=LOWER(TRIM(Raw_Passengers!F586))))=0,"",INDEX(Lookup_Status!$B$2:$B$13,SUMPRODUCT((Lookup_Status!$A$2:$A$13=LOWER(TRIM(Raw_Passengers!F586)))*(ROW(Lookup_Status!$A$2:$A$13)-1))))</f>
        <v>Confirmed</v>
      </c>
      <c r="H586" s="7" t="str">
        <f>IF(SUMPRODUCT(--(Lookup_Status!$A$2:$A$13=LOWER(TRIM(Raw_Passengers!G586))))=0,"",INDEX(Lookup_Status!$B$2:$B$13,SUMPRODUCT((Lookup_Status!$A$2:$A$13=LOWER(TRIM(Raw_Passengers!G586)))*(ROW(Lookup_Status!$A$2:$A$13)-1))))</f>
        <v>Confirmed</v>
      </c>
      <c r="I586" s="7">
        <f>IF(OR(G586="",G586="Cancelled",G586="Mixed"),1,0)</f>
        <v>0</v>
      </c>
      <c r="J586" s="7">
        <f>IF(OR(H586="",H586="Mixed"),1,0)</f>
        <v>0</v>
      </c>
      <c r="K586" s="7">
        <f>IF(AND(C586=0,D586=0),IF(OR(AND(I586=0,NOT(EXACT(Raw_Passengers!F586,G586))),AND(J586=0,NOT(EXACT(Raw_Passengers!G586,H586)))),1,0),0)</f>
        <v>0</v>
      </c>
      <c r="L586" s="7">
        <f>IF(AND(C586=0,D586=0,I586=1),1,0)</f>
        <v>0</v>
      </c>
      <c r="M586" s="7">
        <f>IF(AND(C586=0,D586=0,J586=1),1,0)</f>
        <v>0</v>
      </c>
    </row>
    <row r="587" spans="1:13">
      <c r="A587" s="7">
        <f>Raw_Passengers!A587</f>
        <v>198496</v>
      </c>
      <c r="B587" s="7">
        <f>Raw_Passengers!B587</f>
        <v>1098271</v>
      </c>
      <c r="C587" s="7">
        <f>IF(COUNTIF(Raw_Passengers!$A$2:A587,Raw_Passengers!A587)&gt;1,1,0)</f>
        <v>0</v>
      </c>
      <c r="D587" s="7">
        <f>IF(COUNTIF(Raw_Bookings!$A$2:$A$648,Raw_Passengers!B587)=0,1,0)</f>
        <v>0</v>
      </c>
      <c r="E587" s="7">
        <f>IF(OR(C587=1,D587=1),0,IF(NOT(ISNUMBER(Raw_Passengers!E587)),1,IF(Raw_Passengers!E587&lt;=0,1,0)))</f>
        <v>0</v>
      </c>
      <c r="F587" s="7">
        <f>IF(AND(C587=0,D587=0,TRIM(Raw_Passengers!D587&amp;"")=""),1,0)</f>
        <v>0</v>
      </c>
      <c r="G587" s="7" t="str">
        <f>IF(SUMPRODUCT(--(Lookup_Status!$A$2:$A$13=LOWER(TRIM(Raw_Passengers!F587))))=0,"",INDEX(Lookup_Status!$B$2:$B$13,SUMPRODUCT((Lookup_Status!$A$2:$A$13=LOWER(TRIM(Raw_Passengers!F587)))*(ROW(Lookup_Status!$A$2:$A$13)-1))))</f>
        <v>Confirmed</v>
      </c>
      <c r="H587" s="7" t="str">
        <f>IF(SUMPRODUCT(--(Lookup_Status!$A$2:$A$13=LOWER(TRIM(Raw_Passengers!G587))))=0,"",INDEX(Lookup_Status!$B$2:$B$13,SUMPRODUCT((Lookup_Status!$A$2:$A$13=LOWER(TRIM(Raw_Passengers!G587)))*(ROW(Lookup_Status!$A$2:$A$13)-1))))</f>
        <v>Confirmed</v>
      </c>
      <c r="I587" s="7">
        <f>IF(OR(G587="",G587="Cancelled",G587="Mixed"),1,0)</f>
        <v>0</v>
      </c>
      <c r="J587" s="7">
        <f>IF(OR(H587="",H587="Mixed"),1,0)</f>
        <v>0</v>
      </c>
      <c r="K587" s="7">
        <f>IF(AND(C587=0,D587=0),IF(OR(AND(I587=0,NOT(EXACT(Raw_Passengers!F587,G587))),AND(J587=0,NOT(EXACT(Raw_Passengers!G587,H587)))),1,0),0)</f>
        <v>0</v>
      </c>
      <c r="L587" s="7">
        <f>IF(AND(C587=0,D587=0,I587=1),1,0)</f>
        <v>0</v>
      </c>
      <c r="M587" s="7">
        <f>IF(AND(C587=0,D587=0,J587=1),1,0)</f>
        <v>0</v>
      </c>
    </row>
    <row r="588" spans="1:13">
      <c r="A588" s="7">
        <f>Raw_Passengers!A588</f>
        <v>198497</v>
      </c>
      <c r="B588" s="7">
        <f>Raw_Passengers!B588</f>
        <v>1098271</v>
      </c>
      <c r="C588" s="7">
        <f>IF(COUNTIF(Raw_Passengers!$A$2:A588,Raw_Passengers!A588)&gt;1,1,0)</f>
        <v>0</v>
      </c>
      <c r="D588" s="7">
        <f>IF(COUNTIF(Raw_Bookings!$A$2:$A$648,Raw_Passengers!B588)=0,1,0)</f>
        <v>0</v>
      </c>
      <c r="E588" s="7">
        <f>IF(OR(C588=1,D588=1),0,IF(NOT(ISNUMBER(Raw_Passengers!E588)),1,IF(Raw_Passengers!E588&lt;=0,1,0)))</f>
        <v>0</v>
      </c>
      <c r="F588" s="7">
        <f>IF(AND(C588=0,D588=0,TRIM(Raw_Passengers!D588&amp;"")=""),1,0)</f>
        <v>0</v>
      </c>
      <c r="G588" s="7" t="str">
        <f>IF(SUMPRODUCT(--(Lookup_Status!$A$2:$A$13=LOWER(TRIM(Raw_Passengers!F588))))=0,"",INDEX(Lookup_Status!$B$2:$B$13,SUMPRODUCT((Lookup_Status!$A$2:$A$13=LOWER(TRIM(Raw_Passengers!F588)))*(ROW(Lookup_Status!$A$2:$A$13)-1))))</f>
        <v>Confirmed</v>
      </c>
      <c r="H588" s="7" t="str">
        <f>IF(SUMPRODUCT(--(Lookup_Status!$A$2:$A$13=LOWER(TRIM(Raw_Passengers!G588))))=0,"",INDEX(Lookup_Status!$B$2:$B$13,SUMPRODUCT((Lookup_Status!$A$2:$A$13=LOWER(TRIM(Raw_Passengers!G588)))*(ROW(Lookup_Status!$A$2:$A$13)-1))))</f>
        <v>Confirmed</v>
      </c>
      <c r="I588" s="7">
        <f>IF(OR(G588="",G588="Cancelled",G588="Mixed"),1,0)</f>
        <v>0</v>
      </c>
      <c r="J588" s="7">
        <f>IF(OR(H588="",H588="Mixed"),1,0)</f>
        <v>0</v>
      </c>
      <c r="K588" s="7">
        <f>IF(AND(C588=0,D588=0),IF(OR(AND(I588=0,NOT(EXACT(Raw_Passengers!F588,G588))),AND(J588=0,NOT(EXACT(Raw_Passengers!G588,H588)))),1,0),0)</f>
        <v>0</v>
      </c>
      <c r="L588" s="7">
        <f>IF(AND(C588=0,D588=0,I588=1),1,0)</f>
        <v>0</v>
      </c>
      <c r="M588" s="7">
        <f>IF(AND(C588=0,D588=0,J588=1),1,0)</f>
        <v>0</v>
      </c>
    </row>
    <row r="589" spans="1:13">
      <c r="A589" s="7">
        <f>Raw_Passengers!A589</f>
        <v>199469</v>
      </c>
      <c r="B589" s="7">
        <f>Raw_Passengers!B589</f>
        <v>1098731</v>
      </c>
      <c r="C589" s="7">
        <f>IF(COUNTIF(Raw_Passengers!$A$2:A589,Raw_Passengers!A589)&gt;1,1,0)</f>
        <v>0</v>
      </c>
      <c r="D589" s="7">
        <f>IF(COUNTIF(Raw_Bookings!$A$2:$A$648,Raw_Passengers!B589)=0,1,0)</f>
        <v>0</v>
      </c>
      <c r="E589" s="7">
        <f>IF(OR(C589=1,D589=1),0,IF(NOT(ISNUMBER(Raw_Passengers!E589)),1,IF(Raw_Passengers!E589&lt;=0,1,0)))</f>
        <v>0</v>
      </c>
      <c r="F589" s="7">
        <f>IF(AND(C589=0,D589=0,TRIM(Raw_Passengers!D589&amp;"")=""),1,0)</f>
        <v>0</v>
      </c>
      <c r="G589" s="7" t="str">
        <f>IF(SUMPRODUCT(--(Lookup_Status!$A$2:$A$13=LOWER(TRIM(Raw_Passengers!F589))))=0,"",INDEX(Lookup_Status!$B$2:$B$13,SUMPRODUCT((Lookup_Status!$A$2:$A$13=LOWER(TRIM(Raw_Passengers!F589)))*(ROW(Lookup_Status!$A$2:$A$13)-1))))</f>
        <v>Confirmed</v>
      </c>
      <c r="H589" s="7" t="str">
        <f>IF(SUMPRODUCT(--(Lookup_Status!$A$2:$A$13=LOWER(TRIM(Raw_Passengers!G589))))=0,"",INDEX(Lookup_Status!$B$2:$B$13,SUMPRODUCT((Lookup_Status!$A$2:$A$13=LOWER(TRIM(Raw_Passengers!G589)))*(ROW(Lookup_Status!$A$2:$A$13)-1))))</f>
        <v>Confirmed</v>
      </c>
      <c r="I589" s="7">
        <f>IF(OR(G589="",G589="Cancelled",G589="Mixed"),1,0)</f>
        <v>0</v>
      </c>
      <c r="J589" s="7">
        <f>IF(OR(H589="",H589="Mixed"),1,0)</f>
        <v>0</v>
      </c>
      <c r="K589" s="7">
        <f>IF(AND(C589=0,D589=0),IF(OR(AND(I589=0,NOT(EXACT(Raw_Passengers!F589,G589))),AND(J589=0,NOT(EXACT(Raw_Passengers!G589,H589)))),1,0),0)</f>
        <v>0</v>
      </c>
      <c r="L589" s="7">
        <f>IF(AND(C589=0,D589=0,I589=1),1,0)</f>
        <v>0</v>
      </c>
      <c r="M589" s="7">
        <f>IF(AND(C589=0,D589=0,J589=1),1,0)</f>
        <v>0</v>
      </c>
    </row>
    <row r="590" spans="1:13">
      <c r="A590" s="7">
        <f>Raw_Passengers!A590</f>
        <v>199470</v>
      </c>
      <c r="B590" s="7">
        <f>Raw_Passengers!B590</f>
        <v>1098731</v>
      </c>
      <c r="C590" s="7">
        <f>IF(COUNTIF(Raw_Passengers!$A$2:A590,Raw_Passengers!A590)&gt;1,1,0)</f>
        <v>0</v>
      </c>
      <c r="D590" s="7">
        <f>IF(COUNTIF(Raw_Bookings!$A$2:$A$648,Raw_Passengers!B590)=0,1,0)</f>
        <v>0</v>
      </c>
      <c r="E590" s="7">
        <f>IF(OR(C590=1,D590=1),0,IF(NOT(ISNUMBER(Raw_Passengers!E590)),1,IF(Raw_Passengers!E590&lt;=0,1,0)))</f>
        <v>0</v>
      </c>
      <c r="F590" s="7">
        <f>IF(AND(C590=0,D590=0,TRIM(Raw_Passengers!D590&amp;"")=""),1,0)</f>
        <v>0</v>
      </c>
      <c r="G590" s="7" t="str">
        <f>IF(SUMPRODUCT(--(Lookup_Status!$A$2:$A$13=LOWER(TRIM(Raw_Passengers!F590))))=0,"",INDEX(Lookup_Status!$B$2:$B$13,SUMPRODUCT((Lookup_Status!$A$2:$A$13=LOWER(TRIM(Raw_Passengers!F590)))*(ROW(Lookup_Status!$A$2:$A$13)-1))))</f>
        <v>Confirmed</v>
      </c>
      <c r="H590" s="7" t="str">
        <f>IF(SUMPRODUCT(--(Lookup_Status!$A$2:$A$13=LOWER(TRIM(Raw_Passengers!G590))))=0,"",INDEX(Lookup_Status!$B$2:$B$13,SUMPRODUCT((Lookup_Status!$A$2:$A$13=LOWER(TRIM(Raw_Passengers!G590)))*(ROW(Lookup_Status!$A$2:$A$13)-1))))</f>
        <v>Confirmed</v>
      </c>
      <c r="I590" s="7">
        <f>IF(OR(G590="",G590="Cancelled",G590="Mixed"),1,0)</f>
        <v>0</v>
      </c>
      <c r="J590" s="7">
        <f>IF(OR(H590="",H590="Mixed"),1,0)</f>
        <v>0</v>
      </c>
      <c r="K590" s="7">
        <f>IF(AND(C590=0,D590=0),IF(OR(AND(I590=0,NOT(EXACT(Raw_Passengers!F590,G590))),AND(J590=0,NOT(EXACT(Raw_Passengers!G590,H590)))),1,0),0)</f>
        <v>0</v>
      </c>
      <c r="L590" s="7">
        <f>IF(AND(C590=0,D590=0,I590=1),1,0)</f>
        <v>0</v>
      </c>
      <c r="M590" s="7">
        <f>IF(AND(C590=0,D590=0,J590=1),1,0)</f>
        <v>0</v>
      </c>
    </row>
    <row r="591" spans="1:13">
      <c r="A591" s="7">
        <f>Raw_Passengers!A591</f>
        <v>199471</v>
      </c>
      <c r="B591" s="7">
        <f>Raw_Passengers!B591</f>
        <v>1098731</v>
      </c>
      <c r="C591" s="7">
        <f>IF(COUNTIF(Raw_Passengers!$A$2:A591,Raw_Passengers!A591)&gt;1,1,0)</f>
        <v>0</v>
      </c>
      <c r="D591" s="7">
        <f>IF(COUNTIF(Raw_Bookings!$A$2:$A$648,Raw_Passengers!B591)=0,1,0)</f>
        <v>0</v>
      </c>
      <c r="E591" s="7">
        <f>IF(OR(C591=1,D591=1),0,IF(NOT(ISNUMBER(Raw_Passengers!E591)),1,IF(Raw_Passengers!E591&lt;=0,1,0)))</f>
        <v>0</v>
      </c>
      <c r="F591" s="7">
        <f>IF(AND(C591=0,D591=0,TRIM(Raw_Passengers!D591&amp;"")=""),1,0)</f>
        <v>0</v>
      </c>
      <c r="G591" s="7" t="str">
        <f>IF(SUMPRODUCT(--(Lookup_Status!$A$2:$A$13=LOWER(TRIM(Raw_Passengers!F591))))=0,"",INDEX(Lookup_Status!$B$2:$B$13,SUMPRODUCT((Lookup_Status!$A$2:$A$13=LOWER(TRIM(Raw_Passengers!F591)))*(ROW(Lookup_Status!$A$2:$A$13)-1))))</f>
        <v>Confirmed</v>
      </c>
      <c r="H591" s="7" t="str">
        <f>IF(SUMPRODUCT(--(Lookup_Status!$A$2:$A$13=LOWER(TRIM(Raw_Passengers!G591))))=0,"",INDEX(Lookup_Status!$B$2:$B$13,SUMPRODUCT((Lookup_Status!$A$2:$A$13=LOWER(TRIM(Raw_Passengers!G591)))*(ROW(Lookup_Status!$A$2:$A$13)-1))))</f>
        <v>Confirmed</v>
      </c>
      <c r="I591" s="7">
        <f>IF(OR(G591="",G591="Cancelled",G591="Mixed"),1,0)</f>
        <v>0</v>
      </c>
      <c r="J591" s="7">
        <f>IF(OR(H591="",H591="Mixed"),1,0)</f>
        <v>0</v>
      </c>
      <c r="K591" s="7">
        <f>IF(AND(C591=0,D591=0),IF(OR(AND(I591=0,NOT(EXACT(Raw_Passengers!F591,G591))),AND(J591=0,NOT(EXACT(Raw_Passengers!G591,H591)))),1,0),0)</f>
        <v>0</v>
      </c>
      <c r="L591" s="7">
        <f>IF(AND(C591=0,D591=0,I591=1),1,0)</f>
        <v>0</v>
      </c>
      <c r="M591" s="7">
        <f>IF(AND(C591=0,D591=0,J591=1),1,0)</f>
        <v>0</v>
      </c>
    </row>
    <row r="592" spans="1:13">
      <c r="A592" s="7">
        <f>Raw_Passengers!A592</f>
        <v>199472</v>
      </c>
      <c r="B592" s="7">
        <f>Raw_Passengers!B592</f>
        <v>1098731</v>
      </c>
      <c r="C592" s="7">
        <f>IF(COUNTIF(Raw_Passengers!$A$2:A592,Raw_Passengers!A592)&gt;1,1,0)</f>
        <v>0</v>
      </c>
      <c r="D592" s="7">
        <f>IF(COUNTIF(Raw_Bookings!$A$2:$A$648,Raw_Passengers!B592)=0,1,0)</f>
        <v>0</v>
      </c>
      <c r="E592" s="7">
        <f>IF(OR(C592=1,D592=1),0,IF(NOT(ISNUMBER(Raw_Passengers!E592)),1,IF(Raw_Passengers!E592&lt;=0,1,0)))</f>
        <v>0</v>
      </c>
      <c r="F592" s="7">
        <f>IF(AND(C592=0,D592=0,TRIM(Raw_Passengers!D592&amp;"")=""),1,0)</f>
        <v>0</v>
      </c>
      <c r="G592" s="7" t="str">
        <f>IF(SUMPRODUCT(--(Lookup_Status!$A$2:$A$13=LOWER(TRIM(Raw_Passengers!F592))))=0,"",INDEX(Lookup_Status!$B$2:$B$13,SUMPRODUCT((Lookup_Status!$A$2:$A$13=LOWER(TRIM(Raw_Passengers!F592)))*(ROW(Lookup_Status!$A$2:$A$13)-1))))</f>
        <v>Confirmed</v>
      </c>
      <c r="H592" s="7" t="str">
        <f>IF(SUMPRODUCT(--(Lookup_Status!$A$2:$A$13=LOWER(TRIM(Raw_Passengers!G592))))=0,"",INDEX(Lookup_Status!$B$2:$B$13,SUMPRODUCT((Lookup_Status!$A$2:$A$13=LOWER(TRIM(Raw_Passengers!G592)))*(ROW(Lookup_Status!$A$2:$A$13)-1))))</f>
        <v>Confirmed</v>
      </c>
      <c r="I592" s="7">
        <f>IF(OR(G592="",G592="Cancelled",G592="Mixed"),1,0)</f>
        <v>0</v>
      </c>
      <c r="J592" s="7">
        <f>IF(OR(H592="",H592="Mixed"),1,0)</f>
        <v>0</v>
      </c>
      <c r="K592" s="7">
        <f>IF(AND(C592=0,D592=0),IF(OR(AND(I592=0,NOT(EXACT(Raw_Passengers!F592,G592))),AND(J592=0,NOT(EXACT(Raw_Passengers!G592,H592)))),1,0),0)</f>
        <v>0</v>
      </c>
      <c r="L592" s="7">
        <f>IF(AND(C592=0,D592=0,I592=1),1,0)</f>
        <v>0</v>
      </c>
      <c r="M592" s="7">
        <f>IF(AND(C592=0,D592=0,J592=1),1,0)</f>
        <v>0</v>
      </c>
    </row>
    <row r="593" spans="1:13">
      <c r="A593" s="7">
        <f>Raw_Passengers!A593</f>
        <v>199473</v>
      </c>
      <c r="B593" s="7">
        <f>Raw_Passengers!B593</f>
        <v>1098731</v>
      </c>
      <c r="C593" s="7">
        <f>IF(COUNTIF(Raw_Passengers!$A$2:A593,Raw_Passengers!A593)&gt;1,1,0)</f>
        <v>0</v>
      </c>
      <c r="D593" s="7">
        <f>IF(COUNTIF(Raw_Bookings!$A$2:$A$648,Raw_Passengers!B593)=0,1,0)</f>
        <v>0</v>
      </c>
      <c r="E593" s="7">
        <f>IF(OR(C593=1,D593=1),0,IF(NOT(ISNUMBER(Raw_Passengers!E593)),1,IF(Raw_Passengers!E593&lt;=0,1,0)))</f>
        <v>0</v>
      </c>
      <c r="F593" s="7">
        <f>IF(AND(C593=0,D593=0,TRIM(Raw_Passengers!D593&amp;"")=""),1,0)</f>
        <v>0</v>
      </c>
      <c r="G593" s="7" t="str">
        <f>IF(SUMPRODUCT(--(Lookup_Status!$A$2:$A$13=LOWER(TRIM(Raw_Passengers!F593))))=0,"",INDEX(Lookup_Status!$B$2:$B$13,SUMPRODUCT((Lookup_Status!$A$2:$A$13=LOWER(TRIM(Raw_Passengers!F593)))*(ROW(Lookup_Status!$A$2:$A$13)-1))))</f>
        <v>Confirmed</v>
      </c>
      <c r="H593" s="7" t="str">
        <f>IF(SUMPRODUCT(--(Lookup_Status!$A$2:$A$13=LOWER(TRIM(Raw_Passengers!G593))))=0,"",INDEX(Lookup_Status!$B$2:$B$13,SUMPRODUCT((Lookup_Status!$A$2:$A$13=LOWER(TRIM(Raw_Passengers!G593)))*(ROW(Lookup_Status!$A$2:$A$13)-1))))</f>
        <v>Confirmed</v>
      </c>
      <c r="I593" s="7">
        <f>IF(OR(G593="",G593="Cancelled",G593="Mixed"),1,0)</f>
        <v>0</v>
      </c>
      <c r="J593" s="7">
        <f>IF(OR(H593="",H593="Mixed"),1,0)</f>
        <v>0</v>
      </c>
      <c r="K593" s="7">
        <f>IF(AND(C593=0,D593=0),IF(OR(AND(I593=0,NOT(EXACT(Raw_Passengers!F593,G593))),AND(J593=0,NOT(EXACT(Raw_Passengers!G593,H593)))),1,0),0)</f>
        <v>0</v>
      </c>
      <c r="L593" s="7">
        <f>IF(AND(C593=0,D593=0,I593=1),1,0)</f>
        <v>0</v>
      </c>
      <c r="M593" s="7">
        <f>IF(AND(C593=0,D593=0,J593=1),1,0)</f>
        <v>0</v>
      </c>
    </row>
    <row r="594" spans="1:13">
      <c r="A594" s="7">
        <f>Raw_Passengers!A594</f>
        <v>199532</v>
      </c>
      <c r="B594" s="7">
        <f>Raw_Passengers!B594</f>
        <v>1098764</v>
      </c>
      <c r="C594" s="7">
        <f>IF(COUNTIF(Raw_Passengers!$A$2:A594,Raw_Passengers!A594)&gt;1,1,0)</f>
        <v>0</v>
      </c>
      <c r="D594" s="7">
        <f>IF(COUNTIF(Raw_Bookings!$A$2:$A$648,Raw_Passengers!B594)=0,1,0)</f>
        <v>0</v>
      </c>
      <c r="E594" s="7">
        <f>IF(OR(C594=1,D594=1),0,IF(NOT(ISNUMBER(Raw_Passengers!E594)),1,IF(Raw_Passengers!E594&lt;=0,1,0)))</f>
        <v>0</v>
      </c>
      <c r="F594" s="7">
        <f>IF(AND(C594=0,D594=0,TRIM(Raw_Passengers!D594&amp;"")=""),1,0)</f>
        <v>0</v>
      </c>
      <c r="G594" s="7" t="str">
        <f>IF(SUMPRODUCT(--(Lookup_Status!$A$2:$A$13=LOWER(TRIM(Raw_Passengers!F594))))=0,"",INDEX(Lookup_Status!$B$2:$B$13,SUMPRODUCT((Lookup_Status!$A$2:$A$13=LOWER(TRIM(Raw_Passengers!F594)))*(ROW(Lookup_Status!$A$2:$A$13)-1))))</f>
        <v>Confirmed</v>
      </c>
      <c r="H594" s="7" t="str">
        <f>IF(SUMPRODUCT(--(Lookup_Status!$A$2:$A$13=LOWER(TRIM(Raw_Passengers!G594))))=0,"",INDEX(Lookup_Status!$B$2:$B$13,SUMPRODUCT((Lookup_Status!$A$2:$A$13=LOWER(TRIM(Raw_Passengers!G594)))*(ROW(Lookup_Status!$A$2:$A$13)-1))))</f>
        <v>Confirmed</v>
      </c>
      <c r="I594" s="7">
        <f>IF(OR(G594="",G594="Cancelled",G594="Mixed"),1,0)</f>
        <v>0</v>
      </c>
      <c r="J594" s="7">
        <f>IF(OR(H594="",H594="Mixed"),1,0)</f>
        <v>0</v>
      </c>
      <c r="K594" s="7">
        <f>IF(AND(C594=0,D594=0),IF(OR(AND(I594=0,NOT(EXACT(Raw_Passengers!F594,G594))),AND(J594=0,NOT(EXACT(Raw_Passengers!G594,H594)))),1,0),0)</f>
        <v>0</v>
      </c>
      <c r="L594" s="7">
        <f>IF(AND(C594=0,D594=0,I594=1),1,0)</f>
        <v>0</v>
      </c>
      <c r="M594" s="7">
        <f>IF(AND(C594=0,D594=0,J594=1),1,0)</f>
        <v>0</v>
      </c>
    </row>
    <row r="595" spans="1:13">
      <c r="A595" s="7">
        <f>Raw_Passengers!A595</f>
        <v>199533</v>
      </c>
      <c r="B595" s="7">
        <f>Raw_Passengers!B595</f>
        <v>1098764</v>
      </c>
      <c r="C595" s="7">
        <f>IF(COUNTIF(Raw_Passengers!$A$2:A595,Raw_Passengers!A595)&gt;1,1,0)</f>
        <v>0</v>
      </c>
      <c r="D595" s="7">
        <f>IF(COUNTIF(Raw_Bookings!$A$2:$A$648,Raw_Passengers!B595)=0,1,0)</f>
        <v>0</v>
      </c>
      <c r="E595" s="7">
        <f>IF(OR(C595=1,D595=1),0,IF(NOT(ISNUMBER(Raw_Passengers!E595)),1,IF(Raw_Passengers!E595&lt;=0,1,0)))</f>
        <v>0</v>
      </c>
      <c r="F595" s="7">
        <f>IF(AND(C595=0,D595=0,TRIM(Raw_Passengers!D595&amp;"")=""),1,0)</f>
        <v>0</v>
      </c>
      <c r="G595" s="7" t="str">
        <f>IF(SUMPRODUCT(--(Lookup_Status!$A$2:$A$13=LOWER(TRIM(Raw_Passengers!F595))))=0,"",INDEX(Lookup_Status!$B$2:$B$13,SUMPRODUCT((Lookup_Status!$A$2:$A$13=LOWER(TRIM(Raw_Passengers!F595)))*(ROW(Lookup_Status!$A$2:$A$13)-1))))</f>
        <v>Confirmed</v>
      </c>
      <c r="H595" s="7" t="str">
        <f>IF(SUMPRODUCT(--(Lookup_Status!$A$2:$A$13=LOWER(TRIM(Raw_Passengers!G595))))=0,"",INDEX(Lookup_Status!$B$2:$B$13,SUMPRODUCT((Lookup_Status!$A$2:$A$13=LOWER(TRIM(Raw_Passengers!G595)))*(ROW(Lookup_Status!$A$2:$A$13)-1))))</f>
        <v>Confirmed</v>
      </c>
      <c r="I595" s="7">
        <f>IF(OR(G595="",G595="Cancelled",G595="Mixed"),1,0)</f>
        <v>0</v>
      </c>
      <c r="J595" s="7">
        <f>IF(OR(H595="",H595="Mixed"),1,0)</f>
        <v>0</v>
      </c>
      <c r="K595" s="7">
        <f>IF(AND(C595=0,D595=0),IF(OR(AND(I595=0,NOT(EXACT(Raw_Passengers!F595,G595))),AND(J595=0,NOT(EXACT(Raw_Passengers!G595,H595)))),1,0),0)</f>
        <v>0</v>
      </c>
      <c r="L595" s="7">
        <f>IF(AND(C595=0,D595=0,I595=1),1,0)</f>
        <v>0</v>
      </c>
      <c r="M595" s="7">
        <f>IF(AND(C595=0,D595=0,J595=1),1,0)</f>
        <v>0</v>
      </c>
    </row>
    <row r="596" spans="1:13">
      <c r="A596" s="7">
        <f>Raw_Passengers!A596</f>
        <v>199534</v>
      </c>
      <c r="B596" s="7">
        <f>Raw_Passengers!B596</f>
        <v>1098764</v>
      </c>
      <c r="C596" s="7">
        <f>IF(COUNTIF(Raw_Passengers!$A$2:A596,Raw_Passengers!A596)&gt;1,1,0)</f>
        <v>0</v>
      </c>
      <c r="D596" s="7">
        <f>IF(COUNTIF(Raw_Bookings!$A$2:$A$648,Raw_Passengers!B596)=0,1,0)</f>
        <v>0</v>
      </c>
      <c r="E596" s="7">
        <f>IF(OR(C596=1,D596=1),0,IF(NOT(ISNUMBER(Raw_Passengers!E596)),1,IF(Raw_Passengers!E596&lt;=0,1,0)))</f>
        <v>0</v>
      </c>
      <c r="F596" s="7">
        <f>IF(AND(C596=0,D596=0,TRIM(Raw_Passengers!D596&amp;"")=""),1,0)</f>
        <v>0</v>
      </c>
      <c r="G596" s="7" t="str">
        <f>IF(SUMPRODUCT(--(Lookup_Status!$A$2:$A$13=LOWER(TRIM(Raw_Passengers!F596))))=0,"",INDEX(Lookup_Status!$B$2:$B$13,SUMPRODUCT((Lookup_Status!$A$2:$A$13=LOWER(TRIM(Raw_Passengers!F596)))*(ROW(Lookup_Status!$A$2:$A$13)-1))))</f>
        <v>Confirmed</v>
      </c>
      <c r="H596" s="7" t="str">
        <f>IF(SUMPRODUCT(--(Lookup_Status!$A$2:$A$13=LOWER(TRIM(Raw_Passengers!G596))))=0,"",INDEX(Lookup_Status!$B$2:$B$13,SUMPRODUCT((Lookup_Status!$A$2:$A$13=LOWER(TRIM(Raw_Passengers!G596)))*(ROW(Lookup_Status!$A$2:$A$13)-1))))</f>
        <v>Confirmed</v>
      </c>
      <c r="I596" s="7">
        <f>IF(OR(G596="",G596="Cancelled",G596="Mixed"),1,0)</f>
        <v>0</v>
      </c>
      <c r="J596" s="7">
        <f>IF(OR(H596="",H596="Mixed"),1,0)</f>
        <v>0</v>
      </c>
      <c r="K596" s="7">
        <f>IF(AND(C596=0,D596=0),IF(OR(AND(I596=0,NOT(EXACT(Raw_Passengers!F596,G596))),AND(J596=0,NOT(EXACT(Raw_Passengers!G596,H596)))),1,0),0)</f>
        <v>0</v>
      </c>
      <c r="L596" s="7">
        <f>IF(AND(C596=0,D596=0,I596=1),1,0)</f>
        <v>0</v>
      </c>
      <c r="M596" s="7">
        <f>IF(AND(C596=0,D596=0,J596=1),1,0)</f>
        <v>0</v>
      </c>
    </row>
    <row r="597" spans="1:13">
      <c r="A597" s="7">
        <f>Raw_Passengers!A597</f>
        <v>199535</v>
      </c>
      <c r="B597" s="7">
        <f>Raw_Passengers!B597</f>
        <v>1098764</v>
      </c>
      <c r="C597" s="7">
        <f>IF(COUNTIF(Raw_Passengers!$A$2:A597,Raw_Passengers!A597)&gt;1,1,0)</f>
        <v>0</v>
      </c>
      <c r="D597" s="7">
        <f>IF(COUNTIF(Raw_Bookings!$A$2:$A$648,Raw_Passengers!B597)=0,1,0)</f>
        <v>0</v>
      </c>
      <c r="E597" s="7">
        <f>IF(OR(C597=1,D597=1),0,IF(NOT(ISNUMBER(Raw_Passengers!E597)),1,IF(Raw_Passengers!E597&lt;=0,1,0)))</f>
        <v>0</v>
      </c>
      <c r="F597" s="7">
        <f>IF(AND(C597=0,D597=0,TRIM(Raw_Passengers!D597&amp;"")=""),1,0)</f>
        <v>0</v>
      </c>
      <c r="G597" s="7" t="str">
        <f>IF(SUMPRODUCT(--(Lookup_Status!$A$2:$A$13=LOWER(TRIM(Raw_Passengers!F597))))=0,"",INDEX(Lookup_Status!$B$2:$B$13,SUMPRODUCT((Lookup_Status!$A$2:$A$13=LOWER(TRIM(Raw_Passengers!F597)))*(ROW(Lookup_Status!$A$2:$A$13)-1))))</f>
        <v>Confirmed</v>
      </c>
      <c r="H597" s="7" t="str">
        <f>IF(SUMPRODUCT(--(Lookup_Status!$A$2:$A$13=LOWER(TRIM(Raw_Passengers!G597))))=0,"",INDEX(Lookup_Status!$B$2:$B$13,SUMPRODUCT((Lookup_Status!$A$2:$A$13=LOWER(TRIM(Raw_Passengers!G597)))*(ROW(Lookup_Status!$A$2:$A$13)-1))))</f>
        <v>Confirmed</v>
      </c>
      <c r="I597" s="7">
        <f>IF(OR(G597="",G597="Cancelled",G597="Mixed"),1,0)</f>
        <v>0</v>
      </c>
      <c r="J597" s="7">
        <f>IF(OR(H597="",H597="Mixed"),1,0)</f>
        <v>0</v>
      </c>
      <c r="K597" s="7">
        <f>IF(AND(C597=0,D597=0),IF(OR(AND(I597=0,NOT(EXACT(Raw_Passengers!F597,G597))),AND(J597=0,NOT(EXACT(Raw_Passengers!G597,H597)))),1,0),0)</f>
        <v>0</v>
      </c>
      <c r="L597" s="7">
        <f>IF(AND(C597=0,D597=0,I597=1),1,0)</f>
        <v>0</v>
      </c>
      <c r="M597" s="7">
        <f>IF(AND(C597=0,D597=0,J597=1),1,0)</f>
        <v>0</v>
      </c>
    </row>
    <row r="598" spans="1:13">
      <c r="A598" s="7">
        <f>Raw_Passengers!A598</f>
        <v>199861</v>
      </c>
      <c r="B598" s="7">
        <f>Raw_Passengers!B598</f>
        <v>1098923</v>
      </c>
      <c r="C598" s="7">
        <f>IF(COUNTIF(Raw_Passengers!$A$2:A598,Raw_Passengers!A598)&gt;1,1,0)</f>
        <v>0</v>
      </c>
      <c r="D598" s="7">
        <f>IF(COUNTIF(Raw_Bookings!$A$2:$A$648,Raw_Passengers!B598)=0,1,0)</f>
        <v>0</v>
      </c>
      <c r="E598" s="7">
        <f>IF(OR(C598=1,D598=1),0,IF(NOT(ISNUMBER(Raw_Passengers!E598)),1,IF(Raw_Passengers!E598&lt;=0,1,0)))</f>
        <v>0</v>
      </c>
      <c r="F598" s="7">
        <f>IF(AND(C598=0,D598=0,TRIM(Raw_Passengers!D598&amp;"")=""),1,0)</f>
        <v>0</v>
      </c>
      <c r="G598" s="7" t="str">
        <f>IF(SUMPRODUCT(--(Lookup_Status!$A$2:$A$13=LOWER(TRIM(Raw_Passengers!F598))))=0,"",INDEX(Lookup_Status!$B$2:$B$13,SUMPRODUCT((Lookup_Status!$A$2:$A$13=LOWER(TRIM(Raw_Passengers!F598)))*(ROW(Lookup_Status!$A$2:$A$13)-1))))</f>
        <v>Waitlisted</v>
      </c>
      <c r="H598" s="7" t="str">
        <f>IF(SUMPRODUCT(--(Lookup_Status!$A$2:$A$13=LOWER(TRIM(Raw_Passengers!G598))))=0,"",INDEX(Lookup_Status!$B$2:$B$13,SUMPRODUCT((Lookup_Status!$A$2:$A$13=LOWER(TRIM(Raw_Passengers!G598)))*(ROW(Lookup_Status!$A$2:$A$13)-1))))</f>
        <v>Waitlisted</v>
      </c>
      <c r="I598" s="7">
        <f>IF(OR(G598="",G598="Cancelled",G598="Mixed"),1,0)</f>
        <v>0</v>
      </c>
      <c r="J598" s="7">
        <f>IF(OR(H598="",H598="Mixed"),1,0)</f>
        <v>0</v>
      </c>
      <c r="K598" s="7">
        <f>IF(AND(C598=0,D598=0),IF(OR(AND(I598=0,NOT(EXACT(Raw_Passengers!F598,G598))),AND(J598=0,NOT(EXACT(Raw_Passengers!G598,H598)))),1,0),0)</f>
        <v>0</v>
      </c>
      <c r="L598" s="7">
        <f>IF(AND(C598=0,D598=0,I598=1),1,0)</f>
        <v>0</v>
      </c>
      <c r="M598" s="7">
        <f>IF(AND(C598=0,D598=0,J598=1),1,0)</f>
        <v>0</v>
      </c>
    </row>
    <row r="599" spans="1:13">
      <c r="A599" s="7">
        <f>Raw_Passengers!A599</f>
        <v>199862</v>
      </c>
      <c r="B599" s="7">
        <f>Raw_Passengers!B599</f>
        <v>1098923</v>
      </c>
      <c r="C599" s="7">
        <f>IF(COUNTIF(Raw_Passengers!$A$2:A599,Raw_Passengers!A599)&gt;1,1,0)</f>
        <v>0</v>
      </c>
      <c r="D599" s="7">
        <f>IF(COUNTIF(Raw_Bookings!$A$2:$A$648,Raw_Passengers!B599)=0,1,0)</f>
        <v>0</v>
      </c>
      <c r="E599" s="7">
        <f>IF(OR(C599=1,D599=1),0,IF(NOT(ISNUMBER(Raw_Passengers!E599)),1,IF(Raw_Passengers!E599&lt;=0,1,0)))</f>
        <v>0</v>
      </c>
      <c r="F599" s="7">
        <f>IF(AND(C599=0,D599=0,TRIM(Raw_Passengers!D599&amp;"")=""),1,0)</f>
        <v>0</v>
      </c>
      <c r="G599" s="7" t="str">
        <f>IF(SUMPRODUCT(--(Lookup_Status!$A$2:$A$13=LOWER(TRIM(Raw_Passengers!F599))))=0,"",INDEX(Lookup_Status!$B$2:$B$13,SUMPRODUCT((Lookup_Status!$A$2:$A$13=LOWER(TRIM(Raw_Passengers!F599)))*(ROW(Lookup_Status!$A$2:$A$13)-1))))</f>
        <v>Waitlisted</v>
      </c>
      <c r="H599" s="7" t="str">
        <f>IF(SUMPRODUCT(--(Lookup_Status!$A$2:$A$13=LOWER(TRIM(Raw_Passengers!G599))))=0,"",INDEX(Lookup_Status!$B$2:$B$13,SUMPRODUCT((Lookup_Status!$A$2:$A$13=LOWER(TRIM(Raw_Passengers!G599)))*(ROW(Lookup_Status!$A$2:$A$13)-1))))</f>
        <v>Waitlisted</v>
      </c>
      <c r="I599" s="7">
        <f>IF(OR(G599="",G599="Cancelled",G599="Mixed"),1,0)</f>
        <v>0</v>
      </c>
      <c r="J599" s="7">
        <f>IF(OR(H599="",H599="Mixed"),1,0)</f>
        <v>0</v>
      </c>
      <c r="K599" s="7">
        <f>IF(AND(C599=0,D599=0),IF(OR(AND(I599=0,NOT(EXACT(Raw_Passengers!F599,G599))),AND(J599=0,NOT(EXACT(Raw_Passengers!G599,H599)))),1,0),0)</f>
        <v>0</v>
      </c>
      <c r="L599" s="7">
        <f>IF(AND(C599=0,D599=0,I599=1),1,0)</f>
        <v>0</v>
      </c>
      <c r="M599" s="7">
        <f>IF(AND(C599=0,D599=0,J599=1),1,0)</f>
        <v>0</v>
      </c>
    </row>
    <row r="600" spans="1:13">
      <c r="A600" s="7">
        <f>Raw_Passengers!A600</f>
        <v>199863</v>
      </c>
      <c r="B600" s="7">
        <f>Raw_Passengers!B600</f>
        <v>1098923</v>
      </c>
      <c r="C600" s="7">
        <f>IF(COUNTIF(Raw_Passengers!$A$2:A600,Raw_Passengers!A600)&gt;1,1,0)</f>
        <v>0</v>
      </c>
      <c r="D600" s="7">
        <f>IF(COUNTIF(Raw_Bookings!$A$2:$A$648,Raw_Passengers!B600)=0,1,0)</f>
        <v>0</v>
      </c>
      <c r="E600" s="7">
        <f>IF(OR(C600=1,D600=1),0,IF(NOT(ISNUMBER(Raw_Passengers!E600)),1,IF(Raw_Passengers!E600&lt;=0,1,0)))</f>
        <v>0</v>
      </c>
      <c r="F600" s="7">
        <f>IF(AND(C600=0,D600=0,TRIM(Raw_Passengers!D600&amp;"")=""),1,0)</f>
        <v>0</v>
      </c>
      <c r="G600" s="7" t="str">
        <f>IF(SUMPRODUCT(--(Lookup_Status!$A$2:$A$13=LOWER(TRIM(Raw_Passengers!F600))))=0,"",INDEX(Lookup_Status!$B$2:$B$13,SUMPRODUCT((Lookup_Status!$A$2:$A$13=LOWER(TRIM(Raw_Passengers!F600)))*(ROW(Lookup_Status!$A$2:$A$13)-1))))</f>
        <v>Waitlisted</v>
      </c>
      <c r="H600" s="7" t="str">
        <f>IF(SUMPRODUCT(--(Lookup_Status!$A$2:$A$13=LOWER(TRIM(Raw_Passengers!G600))))=0,"",INDEX(Lookup_Status!$B$2:$B$13,SUMPRODUCT((Lookup_Status!$A$2:$A$13=LOWER(TRIM(Raw_Passengers!G600)))*(ROW(Lookup_Status!$A$2:$A$13)-1))))</f>
        <v>Waitlisted</v>
      </c>
      <c r="I600" s="7">
        <f>IF(OR(G600="",G600="Cancelled",G600="Mixed"),1,0)</f>
        <v>0</v>
      </c>
      <c r="J600" s="7">
        <f>IF(OR(H600="",H600="Mixed"),1,0)</f>
        <v>0</v>
      </c>
      <c r="K600" s="7">
        <f>IF(AND(C600=0,D600=0),IF(OR(AND(I600=0,NOT(EXACT(Raw_Passengers!F600,G600))),AND(J600=0,NOT(EXACT(Raw_Passengers!G600,H600)))),1,0),0)</f>
        <v>0</v>
      </c>
      <c r="L600" s="7">
        <f>IF(AND(C600=0,D600=0,I600=1),1,0)</f>
        <v>0</v>
      </c>
      <c r="M600" s="7">
        <f>IF(AND(C600=0,D600=0,J600=1),1,0)</f>
        <v>0</v>
      </c>
    </row>
    <row r="601" spans="1:13">
      <c r="A601" s="7">
        <f>Raw_Passengers!A601</f>
        <v>199864</v>
      </c>
      <c r="B601" s="7">
        <f>Raw_Passengers!B601</f>
        <v>1098923</v>
      </c>
      <c r="C601" s="7">
        <f>IF(COUNTIF(Raw_Passengers!$A$2:A601,Raw_Passengers!A601)&gt;1,1,0)</f>
        <v>0</v>
      </c>
      <c r="D601" s="7">
        <f>IF(COUNTIF(Raw_Bookings!$A$2:$A$648,Raw_Passengers!B601)=0,1,0)</f>
        <v>0</v>
      </c>
      <c r="E601" s="7">
        <f>IF(OR(C601=1,D601=1),0,IF(NOT(ISNUMBER(Raw_Passengers!E601)),1,IF(Raw_Passengers!E601&lt;=0,1,0)))</f>
        <v>0</v>
      </c>
      <c r="F601" s="7">
        <f>IF(AND(C601=0,D601=0,TRIM(Raw_Passengers!D601&amp;"")=""),1,0)</f>
        <v>0</v>
      </c>
      <c r="G601" s="7" t="str">
        <f>IF(SUMPRODUCT(--(Lookup_Status!$A$2:$A$13=LOWER(TRIM(Raw_Passengers!F601))))=0,"",INDEX(Lookup_Status!$B$2:$B$13,SUMPRODUCT((Lookup_Status!$A$2:$A$13=LOWER(TRIM(Raw_Passengers!F601)))*(ROW(Lookup_Status!$A$2:$A$13)-1))))</f>
        <v>Waitlisted</v>
      </c>
      <c r="H601" s="7" t="str">
        <f>IF(SUMPRODUCT(--(Lookup_Status!$A$2:$A$13=LOWER(TRIM(Raw_Passengers!G601))))=0,"",INDEX(Lookup_Status!$B$2:$B$13,SUMPRODUCT((Lookup_Status!$A$2:$A$13=LOWER(TRIM(Raw_Passengers!G601)))*(ROW(Lookup_Status!$A$2:$A$13)-1))))</f>
        <v>Waitlisted</v>
      </c>
      <c r="I601" s="7">
        <f>IF(OR(G601="",G601="Cancelled",G601="Mixed"),1,0)</f>
        <v>0</v>
      </c>
      <c r="J601" s="7">
        <f>IF(OR(H601="",H601="Mixed"),1,0)</f>
        <v>0</v>
      </c>
      <c r="K601" s="7">
        <f>IF(AND(C601=0,D601=0),IF(OR(AND(I601=0,NOT(EXACT(Raw_Passengers!F601,G601))),AND(J601=0,NOT(EXACT(Raw_Passengers!G601,H601)))),1,0),0)</f>
        <v>0</v>
      </c>
      <c r="L601" s="7">
        <f>IF(AND(C601=0,D601=0,I601=1),1,0)</f>
        <v>0</v>
      </c>
      <c r="M601" s="7">
        <f>IF(AND(C601=0,D601=0,J601=1),1,0)</f>
        <v>0</v>
      </c>
    </row>
    <row r="602" spans="1:13">
      <c r="A602" s="7">
        <f>Raw_Passengers!A602</f>
        <v>199865</v>
      </c>
      <c r="B602" s="7">
        <f>Raw_Passengers!B602</f>
        <v>1098923</v>
      </c>
      <c r="C602" s="7">
        <f>IF(COUNTIF(Raw_Passengers!$A$2:A602,Raw_Passengers!A602)&gt;1,1,0)</f>
        <v>0</v>
      </c>
      <c r="D602" s="7">
        <f>IF(COUNTIF(Raw_Bookings!$A$2:$A$648,Raw_Passengers!B602)=0,1,0)</f>
        <v>0</v>
      </c>
      <c r="E602" s="7">
        <f>IF(OR(C602=1,D602=1),0,IF(NOT(ISNUMBER(Raw_Passengers!E602)),1,IF(Raw_Passengers!E602&lt;=0,1,0)))</f>
        <v>0</v>
      </c>
      <c r="F602" s="7">
        <f>IF(AND(C602=0,D602=0,TRIM(Raw_Passengers!D602&amp;"")=""),1,0)</f>
        <v>0</v>
      </c>
      <c r="G602" s="7" t="str">
        <f>IF(SUMPRODUCT(--(Lookup_Status!$A$2:$A$13=LOWER(TRIM(Raw_Passengers!F602))))=0,"",INDEX(Lookup_Status!$B$2:$B$13,SUMPRODUCT((Lookup_Status!$A$2:$A$13=LOWER(TRIM(Raw_Passengers!F602)))*(ROW(Lookup_Status!$A$2:$A$13)-1))))</f>
        <v>Waitlisted</v>
      </c>
      <c r="H602" s="7" t="str">
        <f>IF(SUMPRODUCT(--(Lookup_Status!$A$2:$A$13=LOWER(TRIM(Raw_Passengers!G602))))=0,"",INDEX(Lookup_Status!$B$2:$B$13,SUMPRODUCT((Lookup_Status!$A$2:$A$13=LOWER(TRIM(Raw_Passengers!G602)))*(ROW(Lookup_Status!$A$2:$A$13)-1))))</f>
        <v>Waitlisted</v>
      </c>
      <c r="I602" s="7">
        <f>IF(OR(G602="",G602="Cancelled",G602="Mixed"),1,0)</f>
        <v>0</v>
      </c>
      <c r="J602" s="7">
        <f>IF(OR(H602="",H602="Mixed"),1,0)</f>
        <v>0</v>
      </c>
      <c r="K602" s="7">
        <f>IF(AND(C602=0,D602=0),IF(OR(AND(I602=0,NOT(EXACT(Raw_Passengers!F602,G602))),AND(J602=0,NOT(EXACT(Raw_Passengers!G602,H602)))),1,0),0)</f>
        <v>0</v>
      </c>
      <c r="L602" s="7">
        <f>IF(AND(C602=0,D602=0,I602=1),1,0)</f>
        <v>0</v>
      </c>
      <c r="M602" s="7">
        <f>IF(AND(C602=0,D602=0,J602=1),1,0)</f>
        <v>0</v>
      </c>
    </row>
    <row r="603" spans="1:13">
      <c r="A603" s="7">
        <f>Raw_Passengers!A603</f>
        <v>199866</v>
      </c>
      <c r="B603" s="7">
        <f>Raw_Passengers!B603</f>
        <v>1098923</v>
      </c>
      <c r="C603" s="7">
        <f>IF(COUNTIF(Raw_Passengers!$A$2:A603,Raw_Passengers!A603)&gt;1,1,0)</f>
        <v>0</v>
      </c>
      <c r="D603" s="7">
        <f>IF(COUNTIF(Raw_Bookings!$A$2:$A$648,Raw_Passengers!B603)=0,1,0)</f>
        <v>0</v>
      </c>
      <c r="E603" s="7">
        <f>IF(OR(C603=1,D603=1),0,IF(NOT(ISNUMBER(Raw_Passengers!E603)),1,IF(Raw_Passengers!E603&lt;=0,1,0)))</f>
        <v>0</v>
      </c>
      <c r="F603" s="7">
        <f>IF(AND(C603=0,D603=0,TRIM(Raw_Passengers!D603&amp;"")=""),1,0)</f>
        <v>0</v>
      </c>
      <c r="G603" s="7" t="str">
        <f>IF(SUMPRODUCT(--(Lookup_Status!$A$2:$A$13=LOWER(TRIM(Raw_Passengers!F603))))=0,"",INDEX(Lookup_Status!$B$2:$B$13,SUMPRODUCT((Lookup_Status!$A$2:$A$13=LOWER(TRIM(Raw_Passengers!F603)))*(ROW(Lookup_Status!$A$2:$A$13)-1))))</f>
        <v>Waitlisted</v>
      </c>
      <c r="H603" s="7" t="str">
        <f>IF(SUMPRODUCT(--(Lookup_Status!$A$2:$A$13=LOWER(TRIM(Raw_Passengers!G603))))=0,"",INDEX(Lookup_Status!$B$2:$B$13,SUMPRODUCT((Lookup_Status!$A$2:$A$13=LOWER(TRIM(Raw_Passengers!G603)))*(ROW(Lookup_Status!$A$2:$A$13)-1))))</f>
        <v>Waitlisted</v>
      </c>
      <c r="I603" s="7">
        <f>IF(OR(G603="",G603="Cancelled",G603="Mixed"),1,0)</f>
        <v>0</v>
      </c>
      <c r="J603" s="7">
        <f>IF(OR(H603="",H603="Mixed"),1,0)</f>
        <v>0</v>
      </c>
      <c r="K603" s="7">
        <f>IF(AND(C603=0,D603=0),IF(OR(AND(I603=0,NOT(EXACT(Raw_Passengers!F603,G603))),AND(J603=0,NOT(EXACT(Raw_Passengers!G603,H603)))),1,0),0)</f>
        <v>0</v>
      </c>
      <c r="L603" s="7">
        <f>IF(AND(C603=0,D603=0,I603=1),1,0)</f>
        <v>0</v>
      </c>
      <c r="M603" s="7">
        <f>IF(AND(C603=0,D603=0,J603=1),1,0)</f>
        <v>0</v>
      </c>
    </row>
    <row r="604" spans="1:13">
      <c r="A604" s="7">
        <f>Raw_Passengers!A604</f>
        <v>200752</v>
      </c>
      <c r="B604" s="7">
        <f>Raw_Passengers!B604</f>
        <v>1099369</v>
      </c>
      <c r="C604" s="7">
        <f>IF(COUNTIF(Raw_Passengers!$A$2:A604,Raw_Passengers!A604)&gt;1,1,0)</f>
        <v>0</v>
      </c>
      <c r="D604" s="7">
        <f>IF(COUNTIF(Raw_Bookings!$A$2:$A$648,Raw_Passengers!B604)=0,1,0)</f>
        <v>0</v>
      </c>
      <c r="E604" s="7">
        <f>IF(OR(C604=1,D604=1),0,IF(NOT(ISNUMBER(Raw_Passengers!E604)),1,IF(Raw_Passengers!E604&lt;=0,1,0)))</f>
        <v>0</v>
      </c>
      <c r="F604" s="7">
        <f>IF(AND(C604=0,D604=0,TRIM(Raw_Passengers!D604&amp;"")=""),1,0)</f>
        <v>0</v>
      </c>
      <c r="G604" s="7" t="str">
        <f>IF(SUMPRODUCT(--(Lookup_Status!$A$2:$A$13=LOWER(TRIM(Raw_Passengers!F604))))=0,"",INDEX(Lookup_Status!$B$2:$B$13,SUMPRODUCT((Lookup_Status!$A$2:$A$13=LOWER(TRIM(Raw_Passengers!F604)))*(ROW(Lookup_Status!$A$2:$A$13)-1))))</f>
        <v>Waitlisted</v>
      </c>
      <c r="H604" s="7" t="str">
        <f>IF(SUMPRODUCT(--(Lookup_Status!$A$2:$A$13=LOWER(TRIM(Raw_Passengers!G604))))=0,"",INDEX(Lookup_Status!$B$2:$B$13,SUMPRODUCT((Lookup_Status!$A$2:$A$13=LOWER(TRIM(Raw_Passengers!G604)))*(ROW(Lookup_Status!$A$2:$A$13)-1))))</f>
        <v>Waitlisted</v>
      </c>
      <c r="I604" s="7">
        <f>IF(OR(G604="",G604="Cancelled",G604="Mixed"),1,0)</f>
        <v>0</v>
      </c>
      <c r="J604" s="7">
        <f>IF(OR(H604="",H604="Mixed"),1,0)</f>
        <v>0</v>
      </c>
      <c r="K604" s="7">
        <f>IF(AND(C604=0,D604=0),IF(OR(AND(I604=0,NOT(EXACT(Raw_Passengers!F604,G604))),AND(J604=0,NOT(EXACT(Raw_Passengers!G604,H604)))),1,0),0)</f>
        <v>0</v>
      </c>
      <c r="L604" s="7">
        <f>IF(AND(C604=0,D604=0,I604=1),1,0)</f>
        <v>0</v>
      </c>
      <c r="M604" s="7">
        <f>IF(AND(C604=0,D604=0,J604=1),1,0)</f>
        <v>0</v>
      </c>
    </row>
    <row r="605" spans="1:13">
      <c r="A605" s="7">
        <f>Raw_Passengers!A605</f>
        <v>200753</v>
      </c>
      <c r="B605" s="7">
        <f>Raw_Passengers!B605</f>
        <v>1099369</v>
      </c>
      <c r="C605" s="7">
        <f>IF(COUNTIF(Raw_Passengers!$A$2:A605,Raw_Passengers!A605)&gt;1,1,0)</f>
        <v>0</v>
      </c>
      <c r="D605" s="7">
        <f>IF(COUNTIF(Raw_Bookings!$A$2:$A$648,Raw_Passengers!B605)=0,1,0)</f>
        <v>0</v>
      </c>
      <c r="E605" s="7">
        <f>IF(OR(C605=1,D605=1),0,IF(NOT(ISNUMBER(Raw_Passengers!E605)),1,IF(Raw_Passengers!E605&lt;=0,1,0)))</f>
        <v>0</v>
      </c>
      <c r="F605" s="7">
        <f>IF(AND(C605=0,D605=0,TRIM(Raw_Passengers!D605&amp;"")=""),1,0)</f>
        <v>0</v>
      </c>
      <c r="G605" s="7" t="str">
        <f>IF(SUMPRODUCT(--(Lookup_Status!$A$2:$A$13=LOWER(TRIM(Raw_Passengers!F605))))=0,"",INDEX(Lookup_Status!$B$2:$B$13,SUMPRODUCT((Lookup_Status!$A$2:$A$13=LOWER(TRIM(Raw_Passengers!F605)))*(ROW(Lookup_Status!$A$2:$A$13)-1))))</f>
        <v>Waitlisted</v>
      </c>
      <c r="H605" s="7" t="str">
        <f>IF(SUMPRODUCT(--(Lookup_Status!$A$2:$A$13=LOWER(TRIM(Raw_Passengers!G605))))=0,"",INDEX(Lookup_Status!$B$2:$B$13,SUMPRODUCT((Lookup_Status!$A$2:$A$13=LOWER(TRIM(Raw_Passengers!G605)))*(ROW(Lookup_Status!$A$2:$A$13)-1))))</f>
        <v>Waitlisted</v>
      </c>
      <c r="I605" s="7">
        <f>IF(OR(G605="",G605="Cancelled",G605="Mixed"),1,0)</f>
        <v>0</v>
      </c>
      <c r="J605" s="7">
        <f>IF(OR(H605="",H605="Mixed"),1,0)</f>
        <v>0</v>
      </c>
      <c r="K605" s="7">
        <f>IF(AND(C605=0,D605=0),IF(OR(AND(I605=0,NOT(EXACT(Raw_Passengers!F605,G605))),AND(J605=0,NOT(EXACT(Raw_Passengers!G605,H605)))),1,0),0)</f>
        <v>0</v>
      </c>
      <c r="L605" s="7">
        <f>IF(AND(C605=0,D605=0,I605=1),1,0)</f>
        <v>0</v>
      </c>
      <c r="M605" s="7">
        <f>IF(AND(C605=0,D605=0,J605=1),1,0)</f>
        <v>0</v>
      </c>
    </row>
    <row r="606" spans="1:13">
      <c r="A606" s="7">
        <f>Raw_Passengers!A606</f>
        <v>200754</v>
      </c>
      <c r="B606" s="7">
        <f>Raw_Passengers!B606</f>
        <v>1099369</v>
      </c>
      <c r="C606" s="7">
        <f>IF(COUNTIF(Raw_Passengers!$A$2:A606,Raw_Passengers!A606)&gt;1,1,0)</f>
        <v>0</v>
      </c>
      <c r="D606" s="7">
        <f>IF(COUNTIF(Raw_Bookings!$A$2:$A$648,Raw_Passengers!B606)=0,1,0)</f>
        <v>0</v>
      </c>
      <c r="E606" s="7">
        <f>IF(OR(C606=1,D606=1),0,IF(NOT(ISNUMBER(Raw_Passengers!E606)),1,IF(Raw_Passengers!E606&lt;=0,1,0)))</f>
        <v>0</v>
      </c>
      <c r="F606" s="7">
        <f>IF(AND(C606=0,D606=0,TRIM(Raw_Passengers!D606&amp;"")=""),1,0)</f>
        <v>0</v>
      </c>
      <c r="G606" s="7" t="str">
        <f>IF(SUMPRODUCT(--(Lookup_Status!$A$2:$A$13=LOWER(TRIM(Raw_Passengers!F606))))=0,"",INDEX(Lookup_Status!$B$2:$B$13,SUMPRODUCT((Lookup_Status!$A$2:$A$13=LOWER(TRIM(Raw_Passengers!F606)))*(ROW(Lookup_Status!$A$2:$A$13)-1))))</f>
        <v>Waitlisted</v>
      </c>
      <c r="H606" s="7" t="str">
        <f>IF(SUMPRODUCT(--(Lookup_Status!$A$2:$A$13=LOWER(TRIM(Raw_Passengers!G606))))=0,"",INDEX(Lookup_Status!$B$2:$B$13,SUMPRODUCT((Lookup_Status!$A$2:$A$13=LOWER(TRIM(Raw_Passengers!G606)))*(ROW(Lookup_Status!$A$2:$A$13)-1))))</f>
        <v>Waitlisted</v>
      </c>
      <c r="I606" s="7">
        <f>IF(OR(G606="",G606="Cancelled",G606="Mixed"),1,0)</f>
        <v>0</v>
      </c>
      <c r="J606" s="7">
        <f>IF(OR(H606="",H606="Mixed"),1,0)</f>
        <v>0</v>
      </c>
      <c r="K606" s="7">
        <f>IF(AND(C606=0,D606=0),IF(OR(AND(I606=0,NOT(EXACT(Raw_Passengers!F606,G606))),AND(J606=0,NOT(EXACT(Raw_Passengers!G606,H606)))),1,0),0)</f>
        <v>0</v>
      </c>
      <c r="L606" s="7">
        <f>IF(AND(C606=0,D606=0,I606=1),1,0)</f>
        <v>0</v>
      </c>
      <c r="M606" s="7">
        <f>IF(AND(C606=0,D606=0,J606=1),1,0)</f>
        <v>0</v>
      </c>
    </row>
    <row r="607" spans="1:13">
      <c r="A607" s="7">
        <f>Raw_Passengers!A607</f>
        <v>200755</v>
      </c>
      <c r="B607" s="7">
        <f>Raw_Passengers!B607</f>
        <v>1099369</v>
      </c>
      <c r="C607" s="7">
        <f>IF(COUNTIF(Raw_Passengers!$A$2:A607,Raw_Passengers!A607)&gt;1,1,0)</f>
        <v>0</v>
      </c>
      <c r="D607" s="7">
        <f>IF(COUNTIF(Raw_Bookings!$A$2:$A$648,Raw_Passengers!B607)=0,1,0)</f>
        <v>0</v>
      </c>
      <c r="E607" s="7">
        <f>IF(OR(C607=1,D607=1),0,IF(NOT(ISNUMBER(Raw_Passengers!E607)),1,IF(Raw_Passengers!E607&lt;=0,1,0)))</f>
        <v>0</v>
      </c>
      <c r="F607" s="7">
        <f>IF(AND(C607=0,D607=0,TRIM(Raw_Passengers!D607&amp;"")=""),1,0)</f>
        <v>0</v>
      </c>
      <c r="G607" s="7" t="str">
        <f>IF(SUMPRODUCT(--(Lookup_Status!$A$2:$A$13=LOWER(TRIM(Raw_Passengers!F607))))=0,"",INDEX(Lookup_Status!$B$2:$B$13,SUMPRODUCT((Lookup_Status!$A$2:$A$13=LOWER(TRIM(Raw_Passengers!F607)))*(ROW(Lookup_Status!$A$2:$A$13)-1))))</f>
        <v>Waitlisted</v>
      </c>
      <c r="H607" s="7" t="str">
        <f>IF(SUMPRODUCT(--(Lookup_Status!$A$2:$A$13=LOWER(TRIM(Raw_Passengers!G607))))=0,"",INDEX(Lookup_Status!$B$2:$B$13,SUMPRODUCT((Lookup_Status!$A$2:$A$13=LOWER(TRIM(Raw_Passengers!G607)))*(ROW(Lookup_Status!$A$2:$A$13)-1))))</f>
        <v>Waitlisted</v>
      </c>
      <c r="I607" s="7">
        <f>IF(OR(G607="",G607="Cancelled",G607="Mixed"),1,0)</f>
        <v>0</v>
      </c>
      <c r="J607" s="7">
        <f>IF(OR(H607="",H607="Mixed"),1,0)</f>
        <v>0</v>
      </c>
      <c r="K607" s="7">
        <f>IF(AND(C607=0,D607=0),IF(OR(AND(I607=0,NOT(EXACT(Raw_Passengers!F607,G607))),AND(J607=0,NOT(EXACT(Raw_Passengers!G607,H607)))),1,0),0)</f>
        <v>0</v>
      </c>
      <c r="L607" s="7">
        <f>IF(AND(C607=0,D607=0,I607=1),1,0)</f>
        <v>0</v>
      </c>
      <c r="M607" s="7">
        <f>IF(AND(C607=0,D607=0,J607=1),1,0)</f>
        <v>0</v>
      </c>
    </row>
    <row r="608" spans="1:13">
      <c r="A608" s="7">
        <f>Raw_Passengers!A608</f>
        <v>201001</v>
      </c>
      <c r="B608" s="7">
        <f>Raw_Passengers!B608</f>
        <v>1099495</v>
      </c>
      <c r="C608" s="7">
        <f>IF(COUNTIF(Raw_Passengers!$A$2:A608,Raw_Passengers!A608)&gt;1,1,0)</f>
        <v>0</v>
      </c>
      <c r="D608" s="7">
        <f>IF(COUNTIF(Raw_Bookings!$A$2:$A$648,Raw_Passengers!B608)=0,1,0)</f>
        <v>0</v>
      </c>
      <c r="E608" s="7">
        <f>IF(OR(C608=1,D608=1),0,IF(NOT(ISNUMBER(Raw_Passengers!E608)),1,IF(Raw_Passengers!E608&lt;=0,1,0)))</f>
        <v>0</v>
      </c>
      <c r="F608" s="7">
        <f>IF(AND(C608=0,D608=0,TRIM(Raw_Passengers!D608&amp;"")=""),1,0)</f>
        <v>0</v>
      </c>
      <c r="G608" s="7" t="str">
        <f>IF(SUMPRODUCT(--(Lookup_Status!$A$2:$A$13=LOWER(TRIM(Raw_Passengers!F608))))=0,"",INDEX(Lookup_Status!$B$2:$B$13,SUMPRODUCT((Lookup_Status!$A$2:$A$13=LOWER(TRIM(Raw_Passengers!F608)))*(ROW(Lookup_Status!$A$2:$A$13)-1))))</f>
        <v>Confirmed</v>
      </c>
      <c r="H608" s="7" t="str">
        <f>IF(SUMPRODUCT(--(Lookup_Status!$A$2:$A$13=LOWER(TRIM(Raw_Passengers!G608))))=0,"",INDEX(Lookup_Status!$B$2:$B$13,SUMPRODUCT((Lookup_Status!$A$2:$A$13=LOWER(TRIM(Raw_Passengers!G608)))*(ROW(Lookup_Status!$A$2:$A$13)-1))))</f>
        <v>Cancelled</v>
      </c>
      <c r="I608" s="7">
        <f>IF(OR(G608="",G608="Cancelled",G608="Mixed"),1,0)</f>
        <v>0</v>
      </c>
      <c r="J608" s="7">
        <f>IF(OR(H608="",H608="Mixed"),1,0)</f>
        <v>0</v>
      </c>
      <c r="K608" s="7">
        <f>IF(AND(C608=0,D608=0),IF(OR(AND(I608=0,NOT(EXACT(Raw_Passengers!F608,G608))),AND(J608=0,NOT(EXACT(Raw_Passengers!G608,H608)))),1,0),0)</f>
        <v>0</v>
      </c>
      <c r="L608" s="7">
        <f>IF(AND(C608=0,D608=0,I608=1),1,0)</f>
        <v>0</v>
      </c>
      <c r="M608" s="7">
        <f>IF(AND(C608=0,D608=0,J608=1),1,0)</f>
        <v>0</v>
      </c>
    </row>
    <row r="609" spans="1:13">
      <c r="A609" s="7">
        <f>Raw_Passengers!A609</f>
        <v>201002</v>
      </c>
      <c r="B609" s="7">
        <f>Raw_Passengers!B609</f>
        <v>1099495</v>
      </c>
      <c r="C609" s="7">
        <f>IF(COUNTIF(Raw_Passengers!$A$2:A609,Raw_Passengers!A609)&gt;1,1,0)</f>
        <v>0</v>
      </c>
      <c r="D609" s="7">
        <f>IF(COUNTIF(Raw_Bookings!$A$2:$A$648,Raw_Passengers!B609)=0,1,0)</f>
        <v>0</v>
      </c>
      <c r="E609" s="7">
        <f>IF(OR(C609=1,D609=1),0,IF(NOT(ISNUMBER(Raw_Passengers!E609)),1,IF(Raw_Passengers!E609&lt;=0,1,0)))</f>
        <v>0</v>
      </c>
      <c r="F609" s="7">
        <f>IF(AND(C609=0,D609=0,TRIM(Raw_Passengers!D609&amp;"")=""),1,0)</f>
        <v>0</v>
      </c>
      <c r="G609" s="7" t="str">
        <f>IF(SUMPRODUCT(--(Lookup_Status!$A$2:$A$13=LOWER(TRIM(Raw_Passengers!F609))))=0,"",INDEX(Lookup_Status!$B$2:$B$13,SUMPRODUCT((Lookup_Status!$A$2:$A$13=LOWER(TRIM(Raw_Passengers!F609)))*(ROW(Lookup_Status!$A$2:$A$13)-1))))</f>
        <v>Confirmed</v>
      </c>
      <c r="H609" s="7" t="str">
        <f>IF(SUMPRODUCT(--(Lookup_Status!$A$2:$A$13=LOWER(TRIM(Raw_Passengers!G609))))=0,"",INDEX(Lookup_Status!$B$2:$B$13,SUMPRODUCT((Lookup_Status!$A$2:$A$13=LOWER(TRIM(Raw_Passengers!G609)))*(ROW(Lookup_Status!$A$2:$A$13)-1))))</f>
        <v>Cancelled</v>
      </c>
      <c r="I609" s="7">
        <f>IF(OR(G609="",G609="Cancelled",G609="Mixed"),1,0)</f>
        <v>0</v>
      </c>
      <c r="J609" s="7">
        <f>IF(OR(H609="",H609="Mixed"),1,0)</f>
        <v>0</v>
      </c>
      <c r="K609" s="7">
        <f>IF(AND(C609=0,D609=0),IF(OR(AND(I609=0,NOT(EXACT(Raw_Passengers!F609,G609))),AND(J609=0,NOT(EXACT(Raw_Passengers!G609,H609)))),1,0),0)</f>
        <v>0</v>
      </c>
      <c r="L609" s="7">
        <f>IF(AND(C609=0,D609=0,I609=1),1,0)</f>
        <v>0</v>
      </c>
      <c r="M609" s="7">
        <f>IF(AND(C609=0,D609=0,J609=1),1,0)</f>
        <v>0</v>
      </c>
    </row>
    <row r="610" spans="1:13">
      <c r="A610" s="7">
        <f>Raw_Passengers!A610</f>
        <v>201003</v>
      </c>
      <c r="B610" s="7">
        <f>Raw_Passengers!B610</f>
        <v>1099495</v>
      </c>
      <c r="C610" s="7">
        <f>IF(COUNTIF(Raw_Passengers!$A$2:A610,Raw_Passengers!A610)&gt;1,1,0)</f>
        <v>0</v>
      </c>
      <c r="D610" s="7">
        <f>IF(COUNTIF(Raw_Bookings!$A$2:$A$648,Raw_Passengers!B610)=0,1,0)</f>
        <v>0</v>
      </c>
      <c r="E610" s="7">
        <f>IF(OR(C610=1,D610=1),0,IF(NOT(ISNUMBER(Raw_Passengers!E610)),1,IF(Raw_Passengers!E610&lt;=0,1,0)))</f>
        <v>0</v>
      </c>
      <c r="F610" s="7">
        <f>IF(AND(C610=0,D610=0,TRIM(Raw_Passengers!D610&amp;"")=""),1,0)</f>
        <v>0</v>
      </c>
      <c r="G610" s="7" t="str">
        <f>IF(SUMPRODUCT(--(Lookup_Status!$A$2:$A$13=LOWER(TRIM(Raw_Passengers!F610))))=0,"",INDEX(Lookup_Status!$B$2:$B$13,SUMPRODUCT((Lookup_Status!$A$2:$A$13=LOWER(TRIM(Raw_Passengers!F610)))*(ROW(Lookup_Status!$A$2:$A$13)-1))))</f>
        <v>Confirmed</v>
      </c>
      <c r="H610" s="7" t="str">
        <f>IF(SUMPRODUCT(--(Lookup_Status!$A$2:$A$13=LOWER(TRIM(Raw_Passengers!G610))))=0,"",INDEX(Lookup_Status!$B$2:$B$13,SUMPRODUCT((Lookup_Status!$A$2:$A$13=LOWER(TRIM(Raw_Passengers!G610)))*(ROW(Lookup_Status!$A$2:$A$13)-1))))</f>
        <v>Cancelled</v>
      </c>
      <c r="I610" s="7">
        <f>IF(OR(G610="",G610="Cancelled",G610="Mixed"),1,0)</f>
        <v>0</v>
      </c>
      <c r="J610" s="7">
        <f>IF(OR(H610="",H610="Mixed"),1,0)</f>
        <v>0</v>
      </c>
      <c r="K610" s="7">
        <f>IF(AND(C610=0,D610=0),IF(OR(AND(I610=0,NOT(EXACT(Raw_Passengers!F610,G610))),AND(J610=0,NOT(EXACT(Raw_Passengers!G610,H610)))),1,0),0)</f>
        <v>0</v>
      </c>
      <c r="L610" s="7">
        <f>IF(AND(C610=0,D610=0,I610=1),1,0)</f>
        <v>0</v>
      </c>
      <c r="M610" s="7">
        <f>IF(AND(C610=0,D610=0,J610=1),1,0)</f>
        <v>0</v>
      </c>
    </row>
    <row r="611" spans="1:13">
      <c r="A611" s="7">
        <f>Raw_Passengers!A611</f>
        <v>201004</v>
      </c>
      <c r="B611" s="7">
        <f>Raw_Passengers!B611</f>
        <v>1099495</v>
      </c>
      <c r="C611" s="7">
        <f>IF(COUNTIF(Raw_Passengers!$A$2:A611,Raw_Passengers!A611)&gt;1,1,0)</f>
        <v>0</v>
      </c>
      <c r="D611" s="7">
        <f>IF(COUNTIF(Raw_Bookings!$A$2:$A$648,Raw_Passengers!B611)=0,1,0)</f>
        <v>0</v>
      </c>
      <c r="E611" s="7">
        <f>IF(OR(C611=1,D611=1),0,IF(NOT(ISNUMBER(Raw_Passengers!E611)),1,IF(Raw_Passengers!E611&lt;=0,1,0)))</f>
        <v>0</v>
      </c>
      <c r="F611" s="7">
        <f>IF(AND(C611=0,D611=0,TRIM(Raw_Passengers!D611&amp;"")=""),1,0)</f>
        <v>0</v>
      </c>
      <c r="G611" s="7" t="str">
        <f>IF(SUMPRODUCT(--(Lookup_Status!$A$2:$A$13=LOWER(TRIM(Raw_Passengers!F611))))=0,"",INDEX(Lookup_Status!$B$2:$B$13,SUMPRODUCT((Lookup_Status!$A$2:$A$13=LOWER(TRIM(Raw_Passengers!F611)))*(ROW(Lookup_Status!$A$2:$A$13)-1))))</f>
        <v>Confirmed</v>
      </c>
      <c r="H611" s="7" t="str">
        <f>IF(SUMPRODUCT(--(Lookup_Status!$A$2:$A$13=LOWER(TRIM(Raw_Passengers!G611))))=0,"",INDEX(Lookup_Status!$B$2:$B$13,SUMPRODUCT((Lookup_Status!$A$2:$A$13=LOWER(TRIM(Raw_Passengers!G611)))*(ROW(Lookup_Status!$A$2:$A$13)-1))))</f>
        <v>Cancelled</v>
      </c>
      <c r="I611" s="7">
        <f>IF(OR(G611="",G611="Cancelled",G611="Mixed"),1,0)</f>
        <v>0</v>
      </c>
      <c r="J611" s="7">
        <f>IF(OR(H611="",H611="Mixed"),1,0)</f>
        <v>0</v>
      </c>
      <c r="K611" s="7">
        <f>IF(AND(C611=0,D611=0),IF(OR(AND(I611=0,NOT(EXACT(Raw_Passengers!F611,G611))),AND(J611=0,NOT(EXACT(Raw_Passengers!G611,H611)))),1,0),0)</f>
        <v>0</v>
      </c>
      <c r="L611" s="7">
        <f>IF(AND(C611=0,D611=0,I611=1),1,0)</f>
        <v>0</v>
      </c>
      <c r="M611" s="7">
        <f>IF(AND(C611=0,D611=0,J611=1),1,0)</f>
        <v>0</v>
      </c>
    </row>
    <row r="612" spans="1:13">
      <c r="A612" s="7">
        <f>Raw_Passengers!A612</f>
        <v>201901</v>
      </c>
      <c r="B612" s="7">
        <f>Raw_Passengers!B612</f>
        <v>1099930</v>
      </c>
      <c r="C612" s="7">
        <f>IF(COUNTIF(Raw_Passengers!$A$2:A612,Raw_Passengers!A612)&gt;1,1,0)</f>
        <v>0</v>
      </c>
      <c r="D612" s="7">
        <f>IF(COUNTIF(Raw_Bookings!$A$2:$A$648,Raw_Passengers!B612)=0,1,0)</f>
        <v>0</v>
      </c>
      <c r="E612" s="7">
        <f>IF(OR(C612=1,D612=1),0,IF(NOT(ISNUMBER(Raw_Passengers!E612)),1,IF(Raw_Passengers!E612&lt;=0,1,0)))</f>
        <v>0</v>
      </c>
      <c r="F612" s="7">
        <f>IF(AND(C612=0,D612=0,TRIM(Raw_Passengers!D612&amp;"")=""),1,0)</f>
        <v>0</v>
      </c>
      <c r="G612" s="7" t="str">
        <f>IF(SUMPRODUCT(--(Lookup_Status!$A$2:$A$13=LOWER(TRIM(Raw_Passengers!F612))))=0,"",INDEX(Lookup_Status!$B$2:$B$13,SUMPRODUCT((Lookup_Status!$A$2:$A$13=LOWER(TRIM(Raw_Passengers!F612)))*(ROW(Lookup_Status!$A$2:$A$13)-1))))</f>
        <v>Confirmed</v>
      </c>
      <c r="H612" s="7" t="str">
        <f>IF(SUMPRODUCT(--(Lookup_Status!$A$2:$A$13=LOWER(TRIM(Raw_Passengers!G612))))=0,"",INDEX(Lookup_Status!$B$2:$B$13,SUMPRODUCT((Lookup_Status!$A$2:$A$13=LOWER(TRIM(Raw_Passengers!G612)))*(ROW(Lookup_Status!$A$2:$A$13)-1))))</f>
        <v>Confirmed</v>
      </c>
      <c r="I612" s="7">
        <f>IF(OR(G612="",G612="Cancelled",G612="Mixed"),1,0)</f>
        <v>0</v>
      </c>
      <c r="J612" s="7">
        <f>IF(OR(H612="",H612="Mixed"),1,0)</f>
        <v>0</v>
      </c>
      <c r="K612" s="7">
        <f>IF(AND(C612=0,D612=0),IF(OR(AND(I612=0,NOT(EXACT(Raw_Passengers!F612,G612))),AND(J612=0,NOT(EXACT(Raw_Passengers!G612,H612)))),1,0),0)</f>
        <v>0</v>
      </c>
      <c r="L612" s="7">
        <f>IF(AND(C612=0,D612=0,I612=1),1,0)</f>
        <v>0</v>
      </c>
      <c r="M612" s="7">
        <f>IF(AND(C612=0,D612=0,J612=1),1,0)</f>
        <v>0</v>
      </c>
    </row>
    <row r="613" spans="1:13">
      <c r="A613" s="7">
        <f>Raw_Passengers!A613</f>
        <v>204919</v>
      </c>
      <c r="B613" s="7">
        <f>Raw_Passengers!B613</f>
        <v>1101414</v>
      </c>
      <c r="C613" s="7">
        <f>IF(COUNTIF(Raw_Passengers!$A$2:A613,Raw_Passengers!A613)&gt;1,1,0)</f>
        <v>0</v>
      </c>
      <c r="D613" s="7">
        <f>IF(COUNTIF(Raw_Bookings!$A$2:$A$648,Raw_Passengers!B613)=0,1,0)</f>
        <v>0</v>
      </c>
      <c r="E613" s="7">
        <f>IF(OR(C613=1,D613=1),0,IF(NOT(ISNUMBER(Raw_Passengers!E613)),1,IF(Raw_Passengers!E613&lt;=0,1,0)))</f>
        <v>0</v>
      </c>
      <c r="F613" s="7">
        <f>IF(AND(C613=0,D613=0,TRIM(Raw_Passengers!D613&amp;"")=""),1,0)</f>
        <v>0</v>
      </c>
      <c r="G613" s="7" t="str">
        <f>IF(SUMPRODUCT(--(Lookup_Status!$A$2:$A$13=LOWER(TRIM(Raw_Passengers!F613))))=0,"",INDEX(Lookup_Status!$B$2:$B$13,SUMPRODUCT((Lookup_Status!$A$2:$A$13=LOWER(TRIM(Raw_Passengers!F613)))*(ROW(Lookup_Status!$A$2:$A$13)-1))))</f>
        <v>Confirmed</v>
      </c>
      <c r="H613" s="7" t="str">
        <f>IF(SUMPRODUCT(--(Lookup_Status!$A$2:$A$13=LOWER(TRIM(Raw_Passengers!G613))))=0,"",INDEX(Lookup_Status!$B$2:$B$13,SUMPRODUCT((Lookup_Status!$A$2:$A$13=LOWER(TRIM(Raw_Passengers!G613)))*(ROW(Lookup_Status!$A$2:$A$13)-1))))</f>
        <v>Confirmed</v>
      </c>
      <c r="I613" s="7">
        <f>IF(OR(G613="",G613="Cancelled",G613="Mixed"),1,0)</f>
        <v>0</v>
      </c>
      <c r="J613" s="7">
        <f>IF(OR(H613="",H613="Mixed"),1,0)</f>
        <v>0</v>
      </c>
      <c r="K613" s="7">
        <f>IF(AND(C613=0,D613=0),IF(OR(AND(I613=0,NOT(EXACT(Raw_Passengers!F613,G613))),AND(J613=0,NOT(EXACT(Raw_Passengers!G613,H613)))),1,0),0)</f>
        <v>0</v>
      </c>
      <c r="L613" s="7">
        <f>IF(AND(C613=0,D613=0,I613=1),1,0)</f>
        <v>0</v>
      </c>
      <c r="M613" s="7">
        <f>IF(AND(C613=0,D613=0,J613=1),1,0)</f>
        <v>0</v>
      </c>
    </row>
    <row r="614" spans="1:13">
      <c r="A614" s="7">
        <f>Raw_Passengers!A614</f>
        <v>204920</v>
      </c>
      <c r="B614" s="7">
        <f>Raw_Passengers!B614</f>
        <v>1101414</v>
      </c>
      <c r="C614" s="7">
        <f>IF(COUNTIF(Raw_Passengers!$A$2:A614,Raw_Passengers!A614)&gt;1,1,0)</f>
        <v>0</v>
      </c>
      <c r="D614" s="7">
        <f>IF(COUNTIF(Raw_Bookings!$A$2:$A$648,Raw_Passengers!B614)=0,1,0)</f>
        <v>0</v>
      </c>
      <c r="E614" s="7">
        <f>IF(OR(C614=1,D614=1),0,IF(NOT(ISNUMBER(Raw_Passengers!E614)),1,IF(Raw_Passengers!E614&lt;=0,1,0)))</f>
        <v>0</v>
      </c>
      <c r="F614" s="7">
        <f>IF(AND(C614=0,D614=0,TRIM(Raw_Passengers!D614&amp;"")=""),1,0)</f>
        <v>0</v>
      </c>
      <c r="G614" s="7" t="str">
        <f>IF(SUMPRODUCT(--(Lookup_Status!$A$2:$A$13=LOWER(TRIM(Raw_Passengers!F614))))=0,"",INDEX(Lookup_Status!$B$2:$B$13,SUMPRODUCT((Lookup_Status!$A$2:$A$13=LOWER(TRIM(Raw_Passengers!F614)))*(ROW(Lookup_Status!$A$2:$A$13)-1))))</f>
        <v>Confirmed</v>
      </c>
      <c r="H614" s="7" t="str">
        <f>IF(SUMPRODUCT(--(Lookup_Status!$A$2:$A$13=LOWER(TRIM(Raw_Passengers!G614))))=0,"",INDEX(Lookup_Status!$B$2:$B$13,SUMPRODUCT((Lookup_Status!$A$2:$A$13=LOWER(TRIM(Raw_Passengers!G614)))*(ROW(Lookup_Status!$A$2:$A$13)-1))))</f>
        <v>Confirmed</v>
      </c>
      <c r="I614" s="7">
        <f>IF(OR(G614="",G614="Cancelled",G614="Mixed"),1,0)</f>
        <v>0</v>
      </c>
      <c r="J614" s="7">
        <f>IF(OR(H614="",H614="Mixed"),1,0)</f>
        <v>0</v>
      </c>
      <c r="K614" s="7">
        <f>IF(AND(C614=0,D614=0),IF(OR(AND(I614=0,NOT(EXACT(Raw_Passengers!F614,G614))),AND(J614=0,NOT(EXACT(Raw_Passengers!G614,H614)))),1,0),0)</f>
        <v>0</v>
      </c>
      <c r="L614" s="7">
        <f>IF(AND(C614=0,D614=0,I614=1),1,0)</f>
        <v>0</v>
      </c>
      <c r="M614" s="7">
        <f>IF(AND(C614=0,D614=0,J614=1),1,0)</f>
        <v>0</v>
      </c>
    </row>
    <row r="615" spans="1:13">
      <c r="A615" s="7">
        <f>Raw_Passengers!A615</f>
        <v>204921</v>
      </c>
      <c r="B615" s="7">
        <f>Raw_Passengers!B615</f>
        <v>1101414</v>
      </c>
      <c r="C615" s="7">
        <f>IF(COUNTIF(Raw_Passengers!$A$2:A615,Raw_Passengers!A615)&gt;1,1,0)</f>
        <v>0</v>
      </c>
      <c r="D615" s="7">
        <f>IF(COUNTIF(Raw_Bookings!$A$2:$A$648,Raw_Passengers!B615)=0,1,0)</f>
        <v>0</v>
      </c>
      <c r="E615" s="7">
        <f>IF(OR(C615=1,D615=1),0,IF(NOT(ISNUMBER(Raw_Passengers!E615)),1,IF(Raw_Passengers!E615&lt;=0,1,0)))</f>
        <v>0</v>
      </c>
      <c r="F615" s="7">
        <f>IF(AND(C615=0,D615=0,TRIM(Raw_Passengers!D615&amp;"")=""),1,0)</f>
        <v>0</v>
      </c>
      <c r="G615" s="7" t="str">
        <f>IF(SUMPRODUCT(--(Lookup_Status!$A$2:$A$13=LOWER(TRIM(Raw_Passengers!F615))))=0,"",INDEX(Lookup_Status!$B$2:$B$13,SUMPRODUCT((Lookup_Status!$A$2:$A$13=LOWER(TRIM(Raw_Passengers!F615)))*(ROW(Lookup_Status!$A$2:$A$13)-1))))</f>
        <v>Confirmed</v>
      </c>
      <c r="H615" s="7" t="str">
        <f>IF(SUMPRODUCT(--(Lookup_Status!$A$2:$A$13=LOWER(TRIM(Raw_Passengers!G615))))=0,"",INDEX(Lookup_Status!$B$2:$B$13,SUMPRODUCT((Lookup_Status!$A$2:$A$13=LOWER(TRIM(Raw_Passengers!G615)))*(ROW(Lookup_Status!$A$2:$A$13)-1))))</f>
        <v>Confirmed</v>
      </c>
      <c r="I615" s="7">
        <f>IF(OR(G615="",G615="Cancelled",G615="Mixed"),1,0)</f>
        <v>0</v>
      </c>
      <c r="J615" s="7">
        <f>IF(OR(H615="",H615="Mixed"),1,0)</f>
        <v>0</v>
      </c>
      <c r="K615" s="7">
        <f>IF(AND(C615=0,D615=0),IF(OR(AND(I615=0,NOT(EXACT(Raw_Passengers!F615,G615))),AND(J615=0,NOT(EXACT(Raw_Passengers!G615,H615)))),1,0),0)</f>
        <v>0</v>
      </c>
      <c r="L615" s="7">
        <f>IF(AND(C615=0,D615=0,I615=1),1,0)</f>
        <v>0</v>
      </c>
      <c r="M615" s="7">
        <f>IF(AND(C615=0,D615=0,J615=1),1,0)</f>
        <v>0</v>
      </c>
    </row>
    <row r="616" spans="1:13">
      <c r="A616" s="7">
        <f>Raw_Passengers!A616</f>
        <v>204922</v>
      </c>
      <c r="B616" s="7">
        <f>Raw_Passengers!B616</f>
        <v>1101414</v>
      </c>
      <c r="C616" s="7">
        <f>IF(COUNTIF(Raw_Passengers!$A$2:A616,Raw_Passengers!A616)&gt;1,1,0)</f>
        <v>0</v>
      </c>
      <c r="D616" s="7">
        <f>IF(COUNTIF(Raw_Bookings!$A$2:$A$648,Raw_Passengers!B616)=0,1,0)</f>
        <v>0</v>
      </c>
      <c r="E616" s="7">
        <f>IF(OR(C616=1,D616=1),0,IF(NOT(ISNUMBER(Raw_Passengers!E616)),1,IF(Raw_Passengers!E616&lt;=0,1,0)))</f>
        <v>0</v>
      </c>
      <c r="F616" s="7">
        <f>IF(AND(C616=0,D616=0,TRIM(Raw_Passengers!D616&amp;"")=""),1,0)</f>
        <v>0</v>
      </c>
      <c r="G616" s="7" t="str">
        <f>IF(SUMPRODUCT(--(Lookup_Status!$A$2:$A$13=LOWER(TRIM(Raw_Passengers!F616))))=0,"",INDEX(Lookup_Status!$B$2:$B$13,SUMPRODUCT((Lookup_Status!$A$2:$A$13=LOWER(TRIM(Raw_Passengers!F616)))*(ROW(Lookup_Status!$A$2:$A$13)-1))))</f>
        <v>Confirmed</v>
      </c>
      <c r="H616" s="7" t="str">
        <f>IF(SUMPRODUCT(--(Lookup_Status!$A$2:$A$13=LOWER(TRIM(Raw_Passengers!G616))))=0,"",INDEX(Lookup_Status!$B$2:$B$13,SUMPRODUCT((Lookup_Status!$A$2:$A$13=LOWER(TRIM(Raw_Passengers!G616)))*(ROW(Lookup_Status!$A$2:$A$13)-1))))</f>
        <v>Confirmed</v>
      </c>
      <c r="I616" s="7">
        <f>IF(OR(G616="",G616="Cancelled",G616="Mixed"),1,0)</f>
        <v>0</v>
      </c>
      <c r="J616" s="7">
        <f>IF(OR(H616="",H616="Mixed"),1,0)</f>
        <v>0</v>
      </c>
      <c r="K616" s="7">
        <f>IF(AND(C616=0,D616=0),IF(OR(AND(I616=0,NOT(EXACT(Raw_Passengers!F616,G616))),AND(J616=0,NOT(EXACT(Raw_Passengers!G616,H616)))),1,0),0)</f>
        <v>0</v>
      </c>
      <c r="L616" s="7">
        <f>IF(AND(C616=0,D616=0,I616=1),1,0)</f>
        <v>0</v>
      </c>
      <c r="M616" s="7">
        <f>IF(AND(C616=0,D616=0,J616=1),1,0)</f>
        <v>0</v>
      </c>
    </row>
    <row r="617" spans="1:13">
      <c r="A617" s="7">
        <f>Raw_Passengers!A617</f>
        <v>206362</v>
      </c>
      <c r="B617" s="7">
        <f>Raw_Passengers!B617</f>
        <v>1102132</v>
      </c>
      <c r="C617" s="7">
        <f>IF(COUNTIF(Raw_Passengers!$A$2:A617,Raw_Passengers!A617)&gt;1,1,0)</f>
        <v>0</v>
      </c>
      <c r="D617" s="7">
        <f>IF(COUNTIF(Raw_Bookings!$A$2:$A$648,Raw_Passengers!B617)=0,1,0)</f>
        <v>0</v>
      </c>
      <c r="E617" s="7">
        <f>IF(OR(C617=1,D617=1),0,IF(NOT(ISNUMBER(Raw_Passengers!E617)),1,IF(Raw_Passengers!E617&lt;=0,1,0)))</f>
        <v>0</v>
      </c>
      <c r="F617" s="7">
        <f>IF(AND(C617=0,D617=0,TRIM(Raw_Passengers!D617&amp;"")=""),1,0)</f>
        <v>0</v>
      </c>
      <c r="G617" s="7" t="str">
        <f>IF(SUMPRODUCT(--(Lookup_Status!$A$2:$A$13=LOWER(TRIM(Raw_Passengers!F617))))=0,"",INDEX(Lookup_Status!$B$2:$B$13,SUMPRODUCT((Lookup_Status!$A$2:$A$13=LOWER(TRIM(Raw_Passengers!F617)))*(ROW(Lookup_Status!$A$2:$A$13)-1))))</f>
        <v>Confirmed</v>
      </c>
      <c r="H617" s="7" t="str">
        <f>IF(SUMPRODUCT(--(Lookup_Status!$A$2:$A$13=LOWER(TRIM(Raw_Passengers!G617))))=0,"",INDEX(Lookup_Status!$B$2:$B$13,SUMPRODUCT((Lookup_Status!$A$2:$A$13=LOWER(TRIM(Raw_Passengers!G617)))*(ROW(Lookup_Status!$A$2:$A$13)-1))))</f>
        <v>Confirmed</v>
      </c>
      <c r="I617" s="7">
        <f>IF(OR(G617="",G617="Cancelled",G617="Mixed"),1,0)</f>
        <v>0</v>
      </c>
      <c r="J617" s="7">
        <f>IF(OR(H617="",H617="Mixed"),1,0)</f>
        <v>0</v>
      </c>
      <c r="K617" s="7">
        <f>IF(AND(C617=0,D617=0),IF(OR(AND(I617=0,NOT(EXACT(Raw_Passengers!F617,G617))),AND(J617=0,NOT(EXACT(Raw_Passengers!G617,H617)))),1,0),0)</f>
        <v>0</v>
      </c>
      <c r="L617" s="7">
        <f>IF(AND(C617=0,D617=0,I617=1),1,0)</f>
        <v>0</v>
      </c>
      <c r="M617" s="7">
        <f>IF(AND(C617=0,D617=0,J617=1),1,0)</f>
        <v>0</v>
      </c>
    </row>
    <row r="618" spans="1:13">
      <c r="A618" s="7">
        <f>Raw_Passengers!A618</f>
        <v>206371</v>
      </c>
      <c r="B618" s="7">
        <f>Raw_Passengers!B618</f>
        <v>1102138</v>
      </c>
      <c r="C618" s="7">
        <f>IF(COUNTIF(Raw_Passengers!$A$2:A618,Raw_Passengers!A618)&gt;1,1,0)</f>
        <v>0</v>
      </c>
      <c r="D618" s="7">
        <f>IF(COUNTIF(Raw_Bookings!$A$2:$A$648,Raw_Passengers!B618)=0,1,0)</f>
        <v>0</v>
      </c>
      <c r="E618" s="7">
        <f>IF(OR(C618=1,D618=1),0,IF(NOT(ISNUMBER(Raw_Passengers!E618)),1,IF(Raw_Passengers!E618&lt;=0,1,0)))</f>
        <v>0</v>
      </c>
      <c r="F618" s="7">
        <f>IF(AND(C618=0,D618=0,TRIM(Raw_Passengers!D618&amp;"")=""),1,0)</f>
        <v>0</v>
      </c>
      <c r="G618" s="7" t="str">
        <f>IF(SUMPRODUCT(--(Lookup_Status!$A$2:$A$13=LOWER(TRIM(Raw_Passengers!F618))))=0,"",INDEX(Lookup_Status!$B$2:$B$13,SUMPRODUCT((Lookup_Status!$A$2:$A$13=LOWER(TRIM(Raw_Passengers!F618)))*(ROW(Lookup_Status!$A$2:$A$13)-1))))</f>
        <v>Confirmed</v>
      </c>
      <c r="H618" s="7" t="str">
        <f>IF(SUMPRODUCT(--(Lookup_Status!$A$2:$A$13=LOWER(TRIM(Raw_Passengers!G618))))=0,"",INDEX(Lookup_Status!$B$2:$B$13,SUMPRODUCT((Lookup_Status!$A$2:$A$13=LOWER(TRIM(Raw_Passengers!G618)))*(ROW(Lookup_Status!$A$2:$A$13)-1))))</f>
        <v>Confirmed</v>
      </c>
      <c r="I618" s="7">
        <f>IF(OR(G618="",G618="Cancelled",G618="Mixed"),1,0)</f>
        <v>0</v>
      </c>
      <c r="J618" s="7">
        <f>IF(OR(H618="",H618="Mixed"),1,0)</f>
        <v>0</v>
      </c>
      <c r="K618" s="7">
        <f>IF(AND(C618=0,D618=0),IF(OR(AND(I618=0,NOT(EXACT(Raw_Passengers!F618,G618))),AND(J618=0,NOT(EXACT(Raw_Passengers!G618,H618)))),1,0),0)</f>
        <v>0</v>
      </c>
      <c r="L618" s="7">
        <f>IF(AND(C618=0,D618=0,I618=1),1,0)</f>
        <v>0</v>
      </c>
      <c r="M618" s="7">
        <f>IF(AND(C618=0,D618=0,J618=1),1,0)</f>
        <v>0</v>
      </c>
    </row>
    <row r="619" spans="1:13">
      <c r="A619" s="7">
        <f>Raw_Passengers!A619</f>
        <v>207384</v>
      </c>
      <c r="B619" s="7">
        <f>Raw_Passengers!B619</f>
        <v>1102621</v>
      </c>
      <c r="C619" s="7">
        <f>IF(COUNTIF(Raw_Passengers!$A$2:A619,Raw_Passengers!A619)&gt;1,1,0)</f>
        <v>0</v>
      </c>
      <c r="D619" s="7">
        <f>IF(COUNTIF(Raw_Bookings!$A$2:$A$648,Raw_Passengers!B619)=0,1,0)</f>
        <v>0</v>
      </c>
      <c r="E619" s="7">
        <f>IF(OR(C619=1,D619=1),0,IF(NOT(ISNUMBER(Raw_Passengers!E619)),1,IF(Raw_Passengers!E619&lt;=0,1,0)))</f>
        <v>0</v>
      </c>
      <c r="F619" s="7">
        <f>IF(AND(C619=0,D619=0,TRIM(Raw_Passengers!D619&amp;"")=""),1,0)</f>
        <v>0</v>
      </c>
      <c r="G619" s="7" t="str">
        <f>IF(SUMPRODUCT(--(Lookup_Status!$A$2:$A$13=LOWER(TRIM(Raw_Passengers!F619))))=0,"",INDEX(Lookup_Status!$B$2:$B$13,SUMPRODUCT((Lookup_Status!$A$2:$A$13=LOWER(TRIM(Raw_Passengers!F619)))*(ROW(Lookup_Status!$A$2:$A$13)-1))))</f>
        <v>Confirmed</v>
      </c>
      <c r="H619" s="7" t="str">
        <f>IF(SUMPRODUCT(--(Lookup_Status!$A$2:$A$13=LOWER(TRIM(Raw_Passengers!G619))))=0,"",INDEX(Lookup_Status!$B$2:$B$13,SUMPRODUCT((Lookup_Status!$A$2:$A$13=LOWER(TRIM(Raw_Passengers!G619)))*(ROW(Lookup_Status!$A$2:$A$13)-1))))</f>
        <v>Confirmed</v>
      </c>
      <c r="I619" s="7">
        <f>IF(OR(G619="",G619="Cancelled",G619="Mixed"),1,0)</f>
        <v>0</v>
      </c>
      <c r="J619" s="7">
        <f>IF(OR(H619="",H619="Mixed"),1,0)</f>
        <v>0</v>
      </c>
      <c r="K619" s="7">
        <f>IF(AND(C619=0,D619=0),IF(OR(AND(I619=0,NOT(EXACT(Raw_Passengers!F619,G619))),AND(J619=0,NOT(EXACT(Raw_Passengers!G619,H619)))),1,0),0)</f>
        <v>0</v>
      </c>
      <c r="L619" s="7">
        <f>IF(AND(C619=0,D619=0,I619=1),1,0)</f>
        <v>0</v>
      </c>
      <c r="M619" s="7">
        <f>IF(AND(C619=0,D619=0,J619=1),1,0)</f>
        <v>0</v>
      </c>
    </row>
    <row r="620" spans="1:13">
      <c r="A620" s="7">
        <f>Raw_Passengers!A620</f>
        <v>209036</v>
      </c>
      <c r="B620" s="7">
        <f>Raw_Passengers!B620</f>
        <v>1103424</v>
      </c>
      <c r="C620" s="7">
        <f>IF(COUNTIF(Raw_Passengers!$A$2:A620,Raw_Passengers!A620)&gt;1,1,0)</f>
        <v>0</v>
      </c>
      <c r="D620" s="7">
        <f>IF(COUNTIF(Raw_Bookings!$A$2:$A$648,Raw_Passengers!B620)=0,1,0)</f>
        <v>0</v>
      </c>
      <c r="E620" s="7">
        <f>IF(OR(C620=1,D620=1),0,IF(NOT(ISNUMBER(Raw_Passengers!E620)),1,IF(Raw_Passengers!E620&lt;=0,1,0)))</f>
        <v>0</v>
      </c>
      <c r="F620" s="7">
        <f>IF(AND(C620=0,D620=0,TRIM(Raw_Passengers!D620&amp;"")=""),1,0)</f>
        <v>0</v>
      </c>
      <c r="G620" s="7" t="str">
        <f>IF(SUMPRODUCT(--(Lookup_Status!$A$2:$A$13=LOWER(TRIM(Raw_Passengers!F620))))=0,"",INDEX(Lookup_Status!$B$2:$B$13,SUMPRODUCT((Lookup_Status!$A$2:$A$13=LOWER(TRIM(Raw_Passengers!F620)))*(ROW(Lookup_Status!$A$2:$A$13)-1))))</f>
        <v>Confirmed</v>
      </c>
      <c r="H620" s="7" t="str">
        <f>IF(SUMPRODUCT(--(Lookup_Status!$A$2:$A$13=LOWER(TRIM(Raw_Passengers!G620))))=0,"",INDEX(Lookup_Status!$B$2:$B$13,SUMPRODUCT((Lookup_Status!$A$2:$A$13=LOWER(TRIM(Raw_Passengers!G620)))*(ROW(Lookup_Status!$A$2:$A$13)-1))))</f>
        <v>Confirmed</v>
      </c>
      <c r="I620" s="7">
        <f>IF(OR(G620="",G620="Cancelled",G620="Mixed"),1,0)</f>
        <v>0</v>
      </c>
      <c r="J620" s="7">
        <f>IF(OR(H620="",H620="Mixed"),1,0)</f>
        <v>0</v>
      </c>
      <c r="K620" s="7">
        <f>IF(AND(C620=0,D620=0),IF(OR(AND(I620=0,NOT(EXACT(Raw_Passengers!F620,G620))),AND(J620=0,NOT(EXACT(Raw_Passengers!G620,H620)))),1,0),0)</f>
        <v>0</v>
      </c>
      <c r="L620" s="7">
        <f>IF(AND(C620=0,D620=0,I620=1),1,0)</f>
        <v>0</v>
      </c>
      <c r="M620" s="7">
        <f>IF(AND(C620=0,D620=0,J620=1),1,0)</f>
        <v>0</v>
      </c>
    </row>
    <row r="621" spans="1:13">
      <c r="A621" s="7">
        <f>Raw_Passengers!A621</f>
        <v>209628</v>
      </c>
      <c r="B621" s="7">
        <f>Raw_Passengers!B621</f>
        <v>1103717</v>
      </c>
      <c r="C621" s="7">
        <f>IF(COUNTIF(Raw_Passengers!$A$2:A621,Raw_Passengers!A621)&gt;1,1,0)</f>
        <v>0</v>
      </c>
      <c r="D621" s="7">
        <f>IF(COUNTIF(Raw_Bookings!$A$2:$A$648,Raw_Passengers!B621)=0,1,0)</f>
        <v>0</v>
      </c>
      <c r="E621" s="7">
        <f>IF(OR(C621=1,D621=1),0,IF(NOT(ISNUMBER(Raw_Passengers!E621)),1,IF(Raw_Passengers!E621&lt;=0,1,0)))</f>
        <v>0</v>
      </c>
      <c r="F621" s="7">
        <f>IF(AND(C621=0,D621=0,TRIM(Raw_Passengers!D621&amp;"")=""),1,0)</f>
        <v>0</v>
      </c>
      <c r="G621" s="7" t="str">
        <f>IF(SUMPRODUCT(--(Lookup_Status!$A$2:$A$13=LOWER(TRIM(Raw_Passengers!F621))))=0,"",INDEX(Lookup_Status!$B$2:$B$13,SUMPRODUCT((Lookup_Status!$A$2:$A$13=LOWER(TRIM(Raw_Passengers!F621)))*(ROW(Lookup_Status!$A$2:$A$13)-1))))</f>
        <v>Confirmed</v>
      </c>
      <c r="H621" s="7" t="str">
        <f>IF(SUMPRODUCT(--(Lookup_Status!$A$2:$A$13=LOWER(TRIM(Raw_Passengers!G621))))=0,"",INDEX(Lookup_Status!$B$2:$B$13,SUMPRODUCT((Lookup_Status!$A$2:$A$13=LOWER(TRIM(Raw_Passengers!G621)))*(ROW(Lookup_Status!$A$2:$A$13)-1))))</f>
        <v>Confirmed</v>
      </c>
      <c r="I621" s="7">
        <f>IF(OR(G621="",G621="Cancelled",G621="Mixed"),1,0)</f>
        <v>0</v>
      </c>
      <c r="J621" s="7">
        <f>IF(OR(H621="",H621="Mixed"),1,0)</f>
        <v>0</v>
      </c>
      <c r="K621" s="7">
        <f>IF(AND(C621=0,D621=0),IF(OR(AND(I621=0,NOT(EXACT(Raw_Passengers!F621,G621))),AND(J621=0,NOT(EXACT(Raw_Passengers!G621,H621)))),1,0),0)</f>
        <v>0</v>
      </c>
      <c r="L621" s="7">
        <f>IF(AND(C621=0,D621=0,I621=1),1,0)</f>
        <v>0</v>
      </c>
      <c r="M621" s="7">
        <f>IF(AND(C621=0,D621=0,J621=1),1,0)</f>
        <v>0</v>
      </c>
    </row>
    <row r="622" spans="1:13">
      <c r="A622" s="7">
        <f>Raw_Passengers!A622</f>
        <v>209629</v>
      </c>
      <c r="B622" s="7">
        <f>Raw_Passengers!B622</f>
        <v>1103717</v>
      </c>
      <c r="C622" s="7">
        <f>IF(COUNTIF(Raw_Passengers!$A$2:A622,Raw_Passengers!A622)&gt;1,1,0)</f>
        <v>0</v>
      </c>
      <c r="D622" s="7">
        <f>IF(COUNTIF(Raw_Bookings!$A$2:$A$648,Raw_Passengers!B622)=0,1,0)</f>
        <v>0</v>
      </c>
      <c r="E622" s="7">
        <f>IF(OR(C622=1,D622=1),0,IF(NOT(ISNUMBER(Raw_Passengers!E622)),1,IF(Raw_Passengers!E622&lt;=0,1,0)))</f>
        <v>0</v>
      </c>
      <c r="F622" s="7">
        <f>IF(AND(C622=0,D622=0,TRIM(Raw_Passengers!D622&amp;"")=""),1,0)</f>
        <v>0</v>
      </c>
      <c r="G622" s="7" t="str">
        <f>IF(SUMPRODUCT(--(Lookup_Status!$A$2:$A$13=LOWER(TRIM(Raw_Passengers!F622))))=0,"",INDEX(Lookup_Status!$B$2:$B$13,SUMPRODUCT((Lookup_Status!$A$2:$A$13=LOWER(TRIM(Raw_Passengers!F622)))*(ROW(Lookup_Status!$A$2:$A$13)-1))))</f>
        <v>Confirmed</v>
      </c>
      <c r="H622" s="7" t="str">
        <f>IF(SUMPRODUCT(--(Lookup_Status!$A$2:$A$13=LOWER(TRIM(Raw_Passengers!G622))))=0,"",INDEX(Lookup_Status!$B$2:$B$13,SUMPRODUCT((Lookup_Status!$A$2:$A$13=LOWER(TRIM(Raw_Passengers!G622)))*(ROW(Lookup_Status!$A$2:$A$13)-1))))</f>
        <v>Confirmed</v>
      </c>
      <c r="I622" s="7">
        <f>IF(OR(G622="",G622="Cancelled",G622="Mixed"),1,0)</f>
        <v>0</v>
      </c>
      <c r="J622" s="7">
        <f>IF(OR(H622="",H622="Mixed"),1,0)</f>
        <v>0</v>
      </c>
      <c r="K622" s="7">
        <f>IF(AND(C622=0,D622=0),IF(OR(AND(I622=0,NOT(EXACT(Raw_Passengers!F622,G622))),AND(J622=0,NOT(EXACT(Raw_Passengers!G622,H622)))),1,0),0)</f>
        <v>0</v>
      </c>
      <c r="L622" s="7">
        <f>IF(AND(C622=0,D622=0,I622=1),1,0)</f>
        <v>0</v>
      </c>
      <c r="M622" s="7">
        <f>IF(AND(C622=0,D622=0,J622=1),1,0)</f>
        <v>0</v>
      </c>
    </row>
    <row r="623" spans="1:13">
      <c r="A623" s="7">
        <f>Raw_Passengers!A623</f>
        <v>209630</v>
      </c>
      <c r="B623" s="7">
        <f>Raw_Passengers!B623</f>
        <v>1103717</v>
      </c>
      <c r="C623" s="7">
        <f>IF(COUNTIF(Raw_Passengers!$A$2:A623,Raw_Passengers!A623)&gt;1,1,0)</f>
        <v>0</v>
      </c>
      <c r="D623" s="7">
        <f>IF(COUNTIF(Raw_Bookings!$A$2:$A$648,Raw_Passengers!B623)=0,1,0)</f>
        <v>0</v>
      </c>
      <c r="E623" s="7">
        <f>IF(OR(C623=1,D623=1),0,IF(NOT(ISNUMBER(Raw_Passengers!E623)),1,IF(Raw_Passengers!E623&lt;=0,1,0)))</f>
        <v>0</v>
      </c>
      <c r="F623" s="7">
        <f>IF(AND(C623=0,D623=0,TRIM(Raw_Passengers!D623&amp;"")=""),1,0)</f>
        <v>0</v>
      </c>
      <c r="G623" s="7" t="str">
        <f>IF(SUMPRODUCT(--(Lookup_Status!$A$2:$A$13=LOWER(TRIM(Raw_Passengers!F623))))=0,"",INDEX(Lookup_Status!$B$2:$B$13,SUMPRODUCT((Lookup_Status!$A$2:$A$13=LOWER(TRIM(Raw_Passengers!F623)))*(ROW(Lookup_Status!$A$2:$A$13)-1))))</f>
        <v>Confirmed</v>
      </c>
      <c r="H623" s="7" t="str">
        <f>IF(SUMPRODUCT(--(Lookup_Status!$A$2:$A$13=LOWER(TRIM(Raw_Passengers!G623))))=0,"",INDEX(Lookup_Status!$B$2:$B$13,SUMPRODUCT((Lookup_Status!$A$2:$A$13=LOWER(TRIM(Raw_Passengers!G623)))*(ROW(Lookup_Status!$A$2:$A$13)-1))))</f>
        <v>Confirmed</v>
      </c>
      <c r="I623" s="7">
        <f>IF(OR(G623="",G623="Cancelled",G623="Mixed"),1,0)</f>
        <v>0</v>
      </c>
      <c r="J623" s="7">
        <f>IF(OR(H623="",H623="Mixed"),1,0)</f>
        <v>0</v>
      </c>
      <c r="K623" s="7">
        <f>IF(AND(C623=0,D623=0),IF(OR(AND(I623=0,NOT(EXACT(Raw_Passengers!F623,G623))),AND(J623=0,NOT(EXACT(Raw_Passengers!G623,H623)))),1,0),0)</f>
        <v>0</v>
      </c>
      <c r="L623" s="7">
        <f>IF(AND(C623=0,D623=0,I623=1),1,0)</f>
        <v>0</v>
      </c>
      <c r="M623" s="7">
        <f>IF(AND(C623=0,D623=0,J623=1),1,0)</f>
        <v>0</v>
      </c>
    </row>
    <row r="624" spans="1:13">
      <c r="A624" s="7">
        <f>Raw_Passengers!A624</f>
        <v>209971</v>
      </c>
      <c r="B624" s="7">
        <f>Raw_Passengers!B624</f>
        <v>1103873</v>
      </c>
      <c r="C624" s="7">
        <f>IF(COUNTIF(Raw_Passengers!$A$2:A624,Raw_Passengers!A624)&gt;1,1,0)</f>
        <v>0</v>
      </c>
      <c r="D624" s="7">
        <f>IF(COUNTIF(Raw_Bookings!$A$2:$A$648,Raw_Passengers!B624)=0,1,0)</f>
        <v>0</v>
      </c>
      <c r="E624" s="7">
        <f>IF(OR(C624=1,D624=1),0,IF(NOT(ISNUMBER(Raw_Passengers!E624)),1,IF(Raw_Passengers!E624&lt;=0,1,0)))</f>
        <v>0</v>
      </c>
      <c r="F624" s="7">
        <f>IF(AND(C624=0,D624=0,TRIM(Raw_Passengers!D624&amp;"")=""),1,0)</f>
        <v>0</v>
      </c>
      <c r="G624" s="7" t="str">
        <f>IF(SUMPRODUCT(--(Lookup_Status!$A$2:$A$13=LOWER(TRIM(Raw_Passengers!F624))))=0,"",INDEX(Lookup_Status!$B$2:$B$13,SUMPRODUCT((Lookup_Status!$A$2:$A$13=LOWER(TRIM(Raw_Passengers!F624)))*(ROW(Lookup_Status!$A$2:$A$13)-1))))</f>
        <v>Confirmed</v>
      </c>
      <c r="H624" s="7" t="str">
        <f>IF(SUMPRODUCT(--(Lookup_Status!$A$2:$A$13=LOWER(TRIM(Raw_Passengers!G624))))=0,"",INDEX(Lookup_Status!$B$2:$B$13,SUMPRODUCT((Lookup_Status!$A$2:$A$13=LOWER(TRIM(Raw_Passengers!G624)))*(ROW(Lookup_Status!$A$2:$A$13)-1))))</f>
        <v>Confirmed</v>
      </c>
      <c r="I624" s="7">
        <f>IF(OR(G624="",G624="Cancelled",G624="Mixed"),1,0)</f>
        <v>0</v>
      </c>
      <c r="J624" s="7">
        <f>IF(OR(H624="",H624="Mixed"),1,0)</f>
        <v>0</v>
      </c>
      <c r="K624" s="7">
        <f>IF(AND(C624=0,D624=0),IF(OR(AND(I624=0,NOT(EXACT(Raw_Passengers!F624,G624))),AND(J624=0,NOT(EXACT(Raw_Passengers!G624,H624)))),1,0),0)</f>
        <v>0</v>
      </c>
      <c r="L624" s="7">
        <f>IF(AND(C624=0,D624=0,I624=1),1,0)</f>
        <v>0</v>
      </c>
      <c r="M624" s="7">
        <f>IF(AND(C624=0,D624=0,J624=1),1,0)</f>
        <v>0</v>
      </c>
    </row>
    <row r="625" spans="1:13">
      <c r="A625" s="7">
        <f>Raw_Passengers!A625</f>
        <v>210127</v>
      </c>
      <c r="B625" s="7">
        <f>Raw_Passengers!B625</f>
        <v>1103951</v>
      </c>
      <c r="C625" s="7">
        <f>IF(COUNTIF(Raw_Passengers!$A$2:A625,Raw_Passengers!A625)&gt;1,1,0)</f>
        <v>0</v>
      </c>
      <c r="D625" s="7">
        <f>IF(COUNTIF(Raw_Bookings!$A$2:$A$648,Raw_Passengers!B625)=0,1,0)</f>
        <v>0</v>
      </c>
      <c r="E625" s="7">
        <f>IF(OR(C625=1,D625=1),0,IF(NOT(ISNUMBER(Raw_Passengers!E625)),1,IF(Raw_Passengers!E625&lt;=0,1,0)))</f>
        <v>0</v>
      </c>
      <c r="F625" s="7">
        <f>IF(AND(C625=0,D625=0,TRIM(Raw_Passengers!D625&amp;"")=""),1,0)</f>
        <v>0</v>
      </c>
      <c r="G625" s="7" t="str">
        <f>IF(SUMPRODUCT(--(Lookup_Status!$A$2:$A$13=LOWER(TRIM(Raw_Passengers!F625))))=0,"",INDEX(Lookup_Status!$B$2:$B$13,SUMPRODUCT((Lookup_Status!$A$2:$A$13=LOWER(TRIM(Raw_Passengers!F625)))*(ROW(Lookup_Status!$A$2:$A$13)-1))))</f>
        <v>Confirmed</v>
      </c>
      <c r="H625" s="7" t="str">
        <f>IF(SUMPRODUCT(--(Lookup_Status!$A$2:$A$13=LOWER(TRIM(Raw_Passengers!G625))))=0,"",INDEX(Lookup_Status!$B$2:$B$13,SUMPRODUCT((Lookup_Status!$A$2:$A$13=LOWER(TRIM(Raw_Passengers!G625)))*(ROW(Lookup_Status!$A$2:$A$13)-1))))</f>
        <v>Confirmed</v>
      </c>
      <c r="I625" s="7">
        <f>IF(OR(G625="",G625="Cancelled",G625="Mixed"),1,0)</f>
        <v>0</v>
      </c>
      <c r="J625" s="7">
        <f>IF(OR(H625="",H625="Mixed"),1,0)</f>
        <v>0</v>
      </c>
      <c r="K625" s="7">
        <f>IF(AND(C625=0,D625=0),IF(OR(AND(I625=0,NOT(EXACT(Raw_Passengers!F625,G625))),AND(J625=0,NOT(EXACT(Raw_Passengers!G625,H625)))),1,0),0)</f>
        <v>0</v>
      </c>
      <c r="L625" s="7">
        <f>IF(AND(C625=0,D625=0,I625=1),1,0)</f>
        <v>0</v>
      </c>
      <c r="M625" s="7">
        <f>IF(AND(C625=0,D625=0,J625=1),1,0)</f>
        <v>0</v>
      </c>
    </row>
    <row r="626" spans="1:13">
      <c r="A626" s="7">
        <f>Raw_Passengers!A626</f>
        <v>211718</v>
      </c>
      <c r="B626" s="7">
        <f>Raw_Passengers!B626</f>
        <v>1104709</v>
      </c>
      <c r="C626" s="7">
        <f>IF(COUNTIF(Raw_Passengers!$A$2:A626,Raw_Passengers!A626)&gt;1,1,0)</f>
        <v>0</v>
      </c>
      <c r="D626" s="7">
        <f>IF(COUNTIF(Raw_Bookings!$A$2:$A$648,Raw_Passengers!B626)=0,1,0)</f>
        <v>0</v>
      </c>
      <c r="E626" s="7">
        <f>IF(OR(C626=1,D626=1),0,IF(NOT(ISNUMBER(Raw_Passengers!E626)),1,IF(Raw_Passengers!E626&lt;=0,1,0)))</f>
        <v>0</v>
      </c>
      <c r="F626" s="7">
        <f>IF(AND(C626=0,D626=0,TRIM(Raw_Passengers!D626&amp;"")=""),1,0)</f>
        <v>0</v>
      </c>
      <c r="G626" s="7" t="str">
        <f>IF(SUMPRODUCT(--(Lookup_Status!$A$2:$A$13=LOWER(TRIM(Raw_Passengers!F626))))=0,"",INDEX(Lookup_Status!$B$2:$B$13,SUMPRODUCT((Lookup_Status!$A$2:$A$13=LOWER(TRIM(Raw_Passengers!F626)))*(ROW(Lookup_Status!$A$2:$A$13)-1))))</f>
        <v>Confirmed</v>
      </c>
      <c r="H626" s="7" t="str">
        <f>IF(SUMPRODUCT(--(Lookup_Status!$A$2:$A$13=LOWER(TRIM(Raw_Passengers!G626))))=0,"",INDEX(Lookup_Status!$B$2:$B$13,SUMPRODUCT((Lookup_Status!$A$2:$A$13=LOWER(TRIM(Raw_Passengers!G626)))*(ROW(Lookup_Status!$A$2:$A$13)-1))))</f>
        <v>Confirmed</v>
      </c>
      <c r="I626" s="7">
        <f>IF(OR(G626="",G626="Cancelled",G626="Mixed"),1,0)</f>
        <v>0</v>
      </c>
      <c r="J626" s="7">
        <f>IF(OR(H626="",H626="Mixed"),1,0)</f>
        <v>0</v>
      </c>
      <c r="K626" s="7">
        <f>IF(AND(C626=0,D626=0),IF(OR(AND(I626=0,NOT(EXACT(Raw_Passengers!F626,G626))),AND(J626=0,NOT(EXACT(Raw_Passengers!G626,H626)))),1,0),0)</f>
        <v>0</v>
      </c>
      <c r="L626" s="7">
        <f>IF(AND(C626=0,D626=0,I626=1),1,0)</f>
        <v>0</v>
      </c>
      <c r="M626" s="7">
        <f>IF(AND(C626=0,D626=0,J626=1),1,0)</f>
        <v>0</v>
      </c>
    </row>
    <row r="627" spans="1:13">
      <c r="A627" s="7">
        <f>Raw_Passengers!A627</f>
        <v>211719</v>
      </c>
      <c r="B627" s="7">
        <f>Raw_Passengers!B627</f>
        <v>1104709</v>
      </c>
      <c r="C627" s="7">
        <f>IF(COUNTIF(Raw_Passengers!$A$2:A627,Raw_Passengers!A627)&gt;1,1,0)</f>
        <v>0</v>
      </c>
      <c r="D627" s="7">
        <f>IF(COUNTIF(Raw_Bookings!$A$2:$A$648,Raw_Passengers!B627)=0,1,0)</f>
        <v>0</v>
      </c>
      <c r="E627" s="7">
        <f>IF(OR(C627=1,D627=1),0,IF(NOT(ISNUMBER(Raw_Passengers!E627)),1,IF(Raw_Passengers!E627&lt;=0,1,0)))</f>
        <v>0</v>
      </c>
      <c r="F627" s="7">
        <f>IF(AND(C627=0,D627=0,TRIM(Raw_Passengers!D627&amp;"")=""),1,0)</f>
        <v>0</v>
      </c>
      <c r="G627" s="7" t="str">
        <f>IF(SUMPRODUCT(--(Lookup_Status!$A$2:$A$13=LOWER(TRIM(Raw_Passengers!F627))))=0,"",INDEX(Lookup_Status!$B$2:$B$13,SUMPRODUCT((Lookup_Status!$A$2:$A$13=LOWER(TRIM(Raw_Passengers!F627)))*(ROW(Lookup_Status!$A$2:$A$13)-1))))</f>
        <v>Confirmed</v>
      </c>
      <c r="H627" s="7" t="str">
        <f>IF(SUMPRODUCT(--(Lookup_Status!$A$2:$A$13=LOWER(TRIM(Raw_Passengers!G627))))=0,"",INDEX(Lookup_Status!$B$2:$B$13,SUMPRODUCT((Lookup_Status!$A$2:$A$13=LOWER(TRIM(Raw_Passengers!G627)))*(ROW(Lookup_Status!$A$2:$A$13)-1))))</f>
        <v>Confirmed</v>
      </c>
      <c r="I627" s="7">
        <f>IF(OR(G627="",G627="Cancelled",G627="Mixed"),1,0)</f>
        <v>0</v>
      </c>
      <c r="J627" s="7">
        <f>IF(OR(H627="",H627="Mixed"),1,0)</f>
        <v>0</v>
      </c>
      <c r="K627" s="7">
        <f>IF(AND(C627=0,D627=0),IF(OR(AND(I627=0,NOT(EXACT(Raw_Passengers!F627,G627))),AND(J627=0,NOT(EXACT(Raw_Passengers!G627,H627)))),1,0),0)</f>
        <v>0</v>
      </c>
      <c r="L627" s="7">
        <f>IF(AND(C627=0,D627=0,I627=1),1,0)</f>
        <v>0</v>
      </c>
      <c r="M627" s="7">
        <f>IF(AND(C627=0,D627=0,J627=1),1,0)</f>
        <v>0</v>
      </c>
    </row>
    <row r="628" spans="1:13">
      <c r="A628" s="7">
        <f>Raw_Passengers!A628</f>
        <v>211787</v>
      </c>
      <c r="B628" s="7">
        <f>Raw_Passengers!B628</f>
        <v>1104744</v>
      </c>
      <c r="C628" s="7">
        <f>IF(COUNTIF(Raw_Passengers!$A$2:A628,Raw_Passengers!A628)&gt;1,1,0)</f>
        <v>0</v>
      </c>
      <c r="D628" s="7">
        <f>IF(COUNTIF(Raw_Bookings!$A$2:$A$648,Raw_Passengers!B628)=0,1,0)</f>
        <v>0</v>
      </c>
      <c r="E628" s="7">
        <f>IF(OR(C628=1,D628=1),0,IF(NOT(ISNUMBER(Raw_Passengers!E628)),1,IF(Raw_Passengers!E628&lt;=0,1,0)))</f>
        <v>0</v>
      </c>
      <c r="F628" s="7">
        <f>IF(AND(C628=0,D628=0,TRIM(Raw_Passengers!D628&amp;"")=""),1,0)</f>
        <v>0</v>
      </c>
      <c r="G628" s="7" t="str">
        <f>IF(SUMPRODUCT(--(Lookup_Status!$A$2:$A$13=LOWER(TRIM(Raw_Passengers!F628))))=0,"",INDEX(Lookup_Status!$B$2:$B$13,SUMPRODUCT((Lookup_Status!$A$2:$A$13=LOWER(TRIM(Raw_Passengers!F628)))*(ROW(Lookup_Status!$A$2:$A$13)-1))))</f>
        <v>Confirmed</v>
      </c>
      <c r="H628" s="7" t="str">
        <f>IF(SUMPRODUCT(--(Lookup_Status!$A$2:$A$13=LOWER(TRIM(Raw_Passengers!G628))))=0,"",INDEX(Lookup_Status!$B$2:$B$13,SUMPRODUCT((Lookup_Status!$A$2:$A$13=LOWER(TRIM(Raw_Passengers!G628)))*(ROW(Lookup_Status!$A$2:$A$13)-1))))</f>
        <v>Confirmed</v>
      </c>
      <c r="I628" s="7">
        <f>IF(OR(G628="",G628="Cancelled",G628="Mixed"),1,0)</f>
        <v>0</v>
      </c>
      <c r="J628" s="7">
        <f>IF(OR(H628="",H628="Mixed"),1,0)</f>
        <v>0</v>
      </c>
      <c r="K628" s="7">
        <f>IF(AND(C628=0,D628=0),IF(OR(AND(I628=0,NOT(EXACT(Raw_Passengers!F628,G628))),AND(J628=0,NOT(EXACT(Raw_Passengers!G628,H628)))),1,0),0)</f>
        <v>0</v>
      </c>
      <c r="L628" s="7">
        <f>IF(AND(C628=0,D628=0,I628=1),1,0)</f>
        <v>0</v>
      </c>
      <c r="M628" s="7">
        <f>IF(AND(C628=0,D628=0,J628=1),1,0)</f>
        <v>0</v>
      </c>
    </row>
    <row r="629" spans="1:13">
      <c r="A629" s="7">
        <f>Raw_Passengers!A629</f>
        <v>211788</v>
      </c>
      <c r="B629" s="7">
        <f>Raw_Passengers!B629</f>
        <v>1104744</v>
      </c>
      <c r="C629" s="7">
        <f>IF(COUNTIF(Raw_Passengers!$A$2:A629,Raw_Passengers!A629)&gt;1,1,0)</f>
        <v>0</v>
      </c>
      <c r="D629" s="7">
        <f>IF(COUNTIF(Raw_Bookings!$A$2:$A$648,Raw_Passengers!B629)=0,1,0)</f>
        <v>0</v>
      </c>
      <c r="E629" s="7">
        <f>IF(OR(C629=1,D629=1),0,IF(NOT(ISNUMBER(Raw_Passengers!E629)),1,IF(Raw_Passengers!E629&lt;=0,1,0)))</f>
        <v>0</v>
      </c>
      <c r="F629" s="7">
        <f>IF(AND(C629=0,D629=0,TRIM(Raw_Passengers!D629&amp;"")=""),1,0)</f>
        <v>0</v>
      </c>
      <c r="G629" s="7" t="str">
        <f>IF(SUMPRODUCT(--(Lookup_Status!$A$2:$A$13=LOWER(TRIM(Raw_Passengers!F629))))=0,"",INDEX(Lookup_Status!$B$2:$B$13,SUMPRODUCT((Lookup_Status!$A$2:$A$13=LOWER(TRIM(Raw_Passengers!F629)))*(ROW(Lookup_Status!$A$2:$A$13)-1))))</f>
        <v>Confirmed</v>
      </c>
      <c r="H629" s="7" t="str">
        <f>IF(SUMPRODUCT(--(Lookup_Status!$A$2:$A$13=LOWER(TRIM(Raw_Passengers!G629))))=0,"",INDEX(Lookup_Status!$B$2:$B$13,SUMPRODUCT((Lookup_Status!$A$2:$A$13=LOWER(TRIM(Raw_Passengers!G629)))*(ROW(Lookup_Status!$A$2:$A$13)-1))))</f>
        <v>Confirmed</v>
      </c>
      <c r="I629" s="7">
        <f>IF(OR(G629="",G629="Cancelled",G629="Mixed"),1,0)</f>
        <v>0</v>
      </c>
      <c r="J629" s="7">
        <f>IF(OR(H629="",H629="Mixed"),1,0)</f>
        <v>0</v>
      </c>
      <c r="K629" s="7">
        <f>IF(AND(C629=0,D629=0),IF(OR(AND(I629=0,NOT(EXACT(Raw_Passengers!F629,G629))),AND(J629=0,NOT(EXACT(Raw_Passengers!G629,H629)))),1,0),0)</f>
        <v>0</v>
      </c>
      <c r="L629" s="7">
        <f>IF(AND(C629=0,D629=0,I629=1),1,0)</f>
        <v>0</v>
      </c>
      <c r="M629" s="7">
        <f>IF(AND(C629=0,D629=0,J629=1),1,0)</f>
        <v>0</v>
      </c>
    </row>
    <row r="630" spans="1:13">
      <c r="A630" s="7">
        <f>Raw_Passengers!A630</f>
        <v>212327</v>
      </c>
      <c r="B630" s="7">
        <f>Raw_Passengers!B630</f>
        <v>1105012</v>
      </c>
      <c r="C630" s="7">
        <f>IF(COUNTIF(Raw_Passengers!$A$2:A630,Raw_Passengers!A630)&gt;1,1,0)</f>
        <v>0</v>
      </c>
      <c r="D630" s="7">
        <f>IF(COUNTIF(Raw_Bookings!$A$2:$A$648,Raw_Passengers!B630)=0,1,0)</f>
        <v>0</v>
      </c>
      <c r="E630" s="7">
        <f>IF(OR(C630=1,D630=1),0,IF(NOT(ISNUMBER(Raw_Passengers!E630)),1,IF(Raw_Passengers!E630&lt;=0,1,0)))</f>
        <v>0</v>
      </c>
      <c r="F630" s="7">
        <f>IF(AND(C630=0,D630=0,TRIM(Raw_Passengers!D630&amp;"")=""),1,0)</f>
        <v>0</v>
      </c>
      <c r="G630" s="7" t="str">
        <f>IF(SUMPRODUCT(--(Lookup_Status!$A$2:$A$13=LOWER(TRIM(Raw_Passengers!F630))))=0,"",INDEX(Lookup_Status!$B$2:$B$13,SUMPRODUCT((Lookup_Status!$A$2:$A$13=LOWER(TRIM(Raw_Passengers!F630)))*(ROW(Lookup_Status!$A$2:$A$13)-1))))</f>
        <v>Waitlisted</v>
      </c>
      <c r="H630" s="7" t="str">
        <f>IF(SUMPRODUCT(--(Lookup_Status!$A$2:$A$13=LOWER(TRIM(Raw_Passengers!G630))))=0,"",INDEX(Lookup_Status!$B$2:$B$13,SUMPRODUCT((Lookup_Status!$A$2:$A$13=LOWER(TRIM(Raw_Passengers!G630)))*(ROW(Lookup_Status!$A$2:$A$13)-1))))</f>
        <v>Waitlisted</v>
      </c>
      <c r="I630" s="7">
        <f>IF(OR(G630="",G630="Cancelled",G630="Mixed"),1,0)</f>
        <v>0</v>
      </c>
      <c r="J630" s="7">
        <f>IF(OR(H630="",H630="Mixed"),1,0)</f>
        <v>0</v>
      </c>
      <c r="K630" s="7">
        <f>IF(AND(C630=0,D630=0),IF(OR(AND(I630=0,NOT(EXACT(Raw_Passengers!F630,G630))),AND(J630=0,NOT(EXACT(Raw_Passengers!G630,H630)))),1,0),0)</f>
        <v>0</v>
      </c>
      <c r="L630" s="7">
        <f>IF(AND(C630=0,D630=0,I630=1),1,0)</f>
        <v>0</v>
      </c>
      <c r="M630" s="7">
        <f>IF(AND(C630=0,D630=0,J630=1),1,0)</f>
        <v>0</v>
      </c>
    </row>
    <row r="631" spans="1:13">
      <c r="A631" s="7">
        <f>Raw_Passengers!A631</f>
        <v>212328</v>
      </c>
      <c r="B631" s="7">
        <f>Raw_Passengers!B631</f>
        <v>1105012</v>
      </c>
      <c r="C631" s="7">
        <f>IF(COUNTIF(Raw_Passengers!$A$2:A631,Raw_Passengers!A631)&gt;1,1,0)</f>
        <v>0</v>
      </c>
      <c r="D631" s="7">
        <f>IF(COUNTIF(Raw_Bookings!$A$2:$A$648,Raw_Passengers!B631)=0,1,0)</f>
        <v>0</v>
      </c>
      <c r="E631" s="7">
        <f>IF(OR(C631=1,D631=1),0,IF(NOT(ISNUMBER(Raw_Passengers!E631)),1,IF(Raw_Passengers!E631&lt;=0,1,0)))</f>
        <v>0</v>
      </c>
      <c r="F631" s="7">
        <f>IF(AND(C631=0,D631=0,TRIM(Raw_Passengers!D631&amp;"")=""),1,0)</f>
        <v>0</v>
      </c>
      <c r="G631" s="7" t="str">
        <f>IF(SUMPRODUCT(--(Lookup_Status!$A$2:$A$13=LOWER(TRIM(Raw_Passengers!F631))))=0,"",INDEX(Lookup_Status!$B$2:$B$13,SUMPRODUCT((Lookup_Status!$A$2:$A$13=LOWER(TRIM(Raw_Passengers!F631)))*(ROW(Lookup_Status!$A$2:$A$13)-1))))</f>
        <v>Waitlisted</v>
      </c>
      <c r="H631" s="7" t="str">
        <f>IF(SUMPRODUCT(--(Lookup_Status!$A$2:$A$13=LOWER(TRIM(Raw_Passengers!G631))))=0,"",INDEX(Lookup_Status!$B$2:$B$13,SUMPRODUCT((Lookup_Status!$A$2:$A$13=LOWER(TRIM(Raw_Passengers!G631)))*(ROW(Lookup_Status!$A$2:$A$13)-1))))</f>
        <v>Waitlisted</v>
      </c>
      <c r="I631" s="7">
        <f>IF(OR(G631="",G631="Cancelled",G631="Mixed"),1,0)</f>
        <v>0</v>
      </c>
      <c r="J631" s="7">
        <f>IF(OR(H631="",H631="Mixed"),1,0)</f>
        <v>0</v>
      </c>
      <c r="K631" s="7">
        <f>IF(AND(C631=0,D631=0),IF(OR(AND(I631=0,NOT(EXACT(Raw_Passengers!F631,G631))),AND(J631=0,NOT(EXACT(Raw_Passengers!G631,H631)))),1,0),0)</f>
        <v>0</v>
      </c>
      <c r="L631" s="7">
        <f>IF(AND(C631=0,D631=0,I631=1),1,0)</f>
        <v>0</v>
      </c>
      <c r="M631" s="7">
        <f>IF(AND(C631=0,D631=0,J631=1),1,0)</f>
        <v>0</v>
      </c>
    </row>
    <row r="632" spans="1:13">
      <c r="A632" s="7">
        <f>Raw_Passengers!A632</f>
        <v>212329</v>
      </c>
      <c r="B632" s="7">
        <f>Raw_Passengers!B632</f>
        <v>1105012</v>
      </c>
      <c r="C632" s="7">
        <f>IF(COUNTIF(Raw_Passengers!$A$2:A632,Raw_Passengers!A632)&gt;1,1,0)</f>
        <v>0</v>
      </c>
      <c r="D632" s="7">
        <f>IF(COUNTIF(Raw_Bookings!$A$2:$A$648,Raw_Passengers!B632)=0,1,0)</f>
        <v>0</v>
      </c>
      <c r="E632" s="7">
        <f>IF(OR(C632=1,D632=1),0,IF(NOT(ISNUMBER(Raw_Passengers!E632)),1,IF(Raw_Passengers!E632&lt;=0,1,0)))</f>
        <v>0</v>
      </c>
      <c r="F632" s="7">
        <f>IF(AND(C632=0,D632=0,TRIM(Raw_Passengers!D632&amp;"")=""),1,0)</f>
        <v>0</v>
      </c>
      <c r="G632" s="7" t="str">
        <f>IF(SUMPRODUCT(--(Lookup_Status!$A$2:$A$13=LOWER(TRIM(Raw_Passengers!F632))))=0,"",INDEX(Lookup_Status!$B$2:$B$13,SUMPRODUCT((Lookup_Status!$A$2:$A$13=LOWER(TRIM(Raw_Passengers!F632)))*(ROW(Lookup_Status!$A$2:$A$13)-1))))</f>
        <v>Waitlisted</v>
      </c>
      <c r="H632" s="7" t="str">
        <f>IF(SUMPRODUCT(--(Lookup_Status!$A$2:$A$13=LOWER(TRIM(Raw_Passengers!G632))))=0,"",INDEX(Lookup_Status!$B$2:$B$13,SUMPRODUCT((Lookup_Status!$A$2:$A$13=LOWER(TRIM(Raw_Passengers!G632)))*(ROW(Lookup_Status!$A$2:$A$13)-1))))</f>
        <v>Waitlisted</v>
      </c>
      <c r="I632" s="7">
        <f>IF(OR(G632="",G632="Cancelled",G632="Mixed"),1,0)</f>
        <v>0</v>
      </c>
      <c r="J632" s="7">
        <f>IF(OR(H632="",H632="Mixed"),1,0)</f>
        <v>0</v>
      </c>
      <c r="K632" s="7">
        <f>IF(AND(C632=0,D632=0),IF(OR(AND(I632=0,NOT(EXACT(Raw_Passengers!F632,G632))),AND(J632=0,NOT(EXACT(Raw_Passengers!G632,H632)))),1,0),0)</f>
        <v>0</v>
      </c>
      <c r="L632" s="7">
        <f>IF(AND(C632=0,D632=0,I632=1),1,0)</f>
        <v>0</v>
      </c>
      <c r="M632" s="7">
        <f>IF(AND(C632=0,D632=0,J632=1),1,0)</f>
        <v>0</v>
      </c>
    </row>
    <row r="633" spans="1:13">
      <c r="A633" s="7">
        <f>Raw_Passengers!A633</f>
        <v>213135</v>
      </c>
      <c r="B633" s="7">
        <f>Raw_Passengers!B633</f>
        <v>1105429</v>
      </c>
      <c r="C633" s="7">
        <f>IF(COUNTIF(Raw_Passengers!$A$2:A633,Raw_Passengers!A633)&gt;1,1,0)</f>
        <v>0</v>
      </c>
      <c r="D633" s="7">
        <f>IF(COUNTIF(Raw_Bookings!$A$2:$A$648,Raw_Passengers!B633)=0,1,0)</f>
        <v>0</v>
      </c>
      <c r="E633" s="7">
        <f>IF(OR(C633=1,D633=1),0,IF(NOT(ISNUMBER(Raw_Passengers!E633)),1,IF(Raw_Passengers!E633&lt;=0,1,0)))</f>
        <v>0</v>
      </c>
      <c r="F633" s="7">
        <f>IF(AND(C633=0,D633=0,TRIM(Raw_Passengers!D633&amp;"")=""),1,0)</f>
        <v>0</v>
      </c>
      <c r="G633" s="7" t="str">
        <f>IF(SUMPRODUCT(--(Lookup_Status!$A$2:$A$13=LOWER(TRIM(Raw_Passengers!F633))))=0,"",INDEX(Lookup_Status!$B$2:$B$13,SUMPRODUCT((Lookup_Status!$A$2:$A$13=LOWER(TRIM(Raw_Passengers!F633)))*(ROW(Lookup_Status!$A$2:$A$13)-1))))</f>
        <v>Confirmed</v>
      </c>
      <c r="H633" s="7" t="str">
        <f>IF(SUMPRODUCT(--(Lookup_Status!$A$2:$A$13=LOWER(TRIM(Raw_Passengers!G633))))=0,"",INDEX(Lookup_Status!$B$2:$B$13,SUMPRODUCT((Lookup_Status!$A$2:$A$13=LOWER(TRIM(Raw_Passengers!G633)))*(ROW(Lookup_Status!$A$2:$A$13)-1))))</f>
        <v>Confirmed</v>
      </c>
      <c r="I633" s="7">
        <f>IF(OR(G633="",G633="Cancelled",G633="Mixed"),1,0)</f>
        <v>0</v>
      </c>
      <c r="J633" s="7">
        <f>IF(OR(H633="",H633="Mixed"),1,0)</f>
        <v>0</v>
      </c>
      <c r="K633" s="7">
        <f>IF(AND(C633=0,D633=0),IF(OR(AND(I633=0,NOT(EXACT(Raw_Passengers!F633,G633))),AND(J633=0,NOT(EXACT(Raw_Passengers!G633,H633)))),1,0),0)</f>
        <v>0</v>
      </c>
      <c r="L633" s="7">
        <f>IF(AND(C633=0,D633=0,I633=1),1,0)</f>
        <v>0</v>
      </c>
      <c r="M633" s="7">
        <f>IF(AND(C633=0,D633=0,J633=1),1,0)</f>
        <v>0</v>
      </c>
    </row>
    <row r="634" spans="1:13">
      <c r="A634" s="7">
        <f>Raw_Passengers!A634</f>
        <v>213261</v>
      </c>
      <c r="B634" s="7">
        <f>Raw_Passengers!B634</f>
        <v>1105494</v>
      </c>
      <c r="C634" s="7">
        <f>IF(COUNTIF(Raw_Passengers!$A$2:A634,Raw_Passengers!A634)&gt;1,1,0)</f>
        <v>0</v>
      </c>
      <c r="D634" s="7">
        <f>IF(COUNTIF(Raw_Bookings!$A$2:$A$648,Raw_Passengers!B634)=0,1,0)</f>
        <v>0</v>
      </c>
      <c r="E634" s="7">
        <f>IF(OR(C634=1,D634=1),0,IF(NOT(ISNUMBER(Raw_Passengers!E634)),1,IF(Raw_Passengers!E634&lt;=0,1,0)))</f>
        <v>0</v>
      </c>
      <c r="F634" s="7">
        <f>IF(AND(C634=0,D634=0,TRIM(Raw_Passengers!D634&amp;"")=""),1,0)</f>
        <v>0</v>
      </c>
      <c r="G634" s="7" t="str">
        <f>IF(SUMPRODUCT(--(Lookup_Status!$A$2:$A$13=LOWER(TRIM(Raw_Passengers!F634))))=0,"",INDEX(Lookup_Status!$B$2:$B$13,SUMPRODUCT((Lookup_Status!$A$2:$A$13=LOWER(TRIM(Raw_Passengers!F634)))*(ROW(Lookup_Status!$A$2:$A$13)-1))))</f>
        <v>Confirmed</v>
      </c>
      <c r="H634" s="7" t="str">
        <f>IF(SUMPRODUCT(--(Lookup_Status!$A$2:$A$13=LOWER(TRIM(Raw_Passengers!G634))))=0,"",INDEX(Lookup_Status!$B$2:$B$13,SUMPRODUCT((Lookup_Status!$A$2:$A$13=LOWER(TRIM(Raw_Passengers!G634)))*(ROW(Lookup_Status!$A$2:$A$13)-1))))</f>
        <v>Confirmed</v>
      </c>
      <c r="I634" s="7">
        <f>IF(OR(G634="",G634="Cancelled",G634="Mixed"),1,0)</f>
        <v>0</v>
      </c>
      <c r="J634" s="7">
        <f>IF(OR(H634="",H634="Mixed"),1,0)</f>
        <v>0</v>
      </c>
      <c r="K634" s="7">
        <f>IF(AND(C634=0,D634=0),IF(OR(AND(I634=0,NOT(EXACT(Raw_Passengers!F634,G634))),AND(J634=0,NOT(EXACT(Raw_Passengers!G634,H634)))),1,0),0)</f>
        <v>0</v>
      </c>
      <c r="L634" s="7">
        <f>IF(AND(C634=0,D634=0,I634=1),1,0)</f>
        <v>0</v>
      </c>
      <c r="M634" s="7">
        <f>IF(AND(C634=0,D634=0,J634=1),1,0)</f>
        <v>0</v>
      </c>
    </row>
    <row r="635" spans="1:13">
      <c r="A635" s="7">
        <f>Raw_Passengers!A635</f>
        <v>213968</v>
      </c>
      <c r="B635" s="7">
        <f>Raw_Passengers!B635</f>
        <v>1105849</v>
      </c>
      <c r="C635" s="7">
        <f>IF(COUNTIF(Raw_Passengers!$A$2:A635,Raw_Passengers!A635)&gt;1,1,0)</f>
        <v>0</v>
      </c>
      <c r="D635" s="7">
        <f>IF(COUNTIF(Raw_Bookings!$A$2:$A$648,Raw_Passengers!B635)=0,1,0)</f>
        <v>0</v>
      </c>
      <c r="E635" s="7">
        <f>IF(OR(C635=1,D635=1),0,IF(NOT(ISNUMBER(Raw_Passengers!E635)),1,IF(Raw_Passengers!E635&lt;=0,1,0)))</f>
        <v>0</v>
      </c>
      <c r="F635" s="7">
        <f>IF(AND(C635=0,D635=0,TRIM(Raw_Passengers!D635&amp;"")=""),1,0)</f>
        <v>0</v>
      </c>
      <c r="G635" s="7" t="str">
        <f>IF(SUMPRODUCT(--(Lookup_Status!$A$2:$A$13=LOWER(TRIM(Raw_Passengers!F635))))=0,"",INDEX(Lookup_Status!$B$2:$B$13,SUMPRODUCT((Lookup_Status!$A$2:$A$13=LOWER(TRIM(Raw_Passengers!F635)))*(ROW(Lookup_Status!$A$2:$A$13)-1))))</f>
        <v>Confirmed</v>
      </c>
      <c r="H635" s="7" t="str">
        <f>IF(SUMPRODUCT(--(Lookup_Status!$A$2:$A$13=LOWER(TRIM(Raw_Passengers!G635))))=0,"",INDEX(Lookup_Status!$B$2:$B$13,SUMPRODUCT((Lookup_Status!$A$2:$A$13=LOWER(TRIM(Raw_Passengers!G635)))*(ROW(Lookup_Status!$A$2:$A$13)-1))))</f>
        <v>Confirmed</v>
      </c>
      <c r="I635" s="7">
        <f>IF(OR(G635="",G635="Cancelled",G635="Mixed"),1,0)</f>
        <v>0</v>
      </c>
      <c r="J635" s="7">
        <f>IF(OR(H635="",H635="Mixed"),1,0)</f>
        <v>0</v>
      </c>
      <c r="K635" s="7">
        <f>IF(AND(C635=0,D635=0),IF(OR(AND(I635=0,NOT(EXACT(Raw_Passengers!F635,G635))),AND(J635=0,NOT(EXACT(Raw_Passengers!G635,H635)))),1,0),0)</f>
        <v>0</v>
      </c>
      <c r="L635" s="7">
        <f>IF(AND(C635=0,D635=0,I635=1),1,0)</f>
        <v>0</v>
      </c>
      <c r="M635" s="7">
        <f>IF(AND(C635=0,D635=0,J635=1),1,0)</f>
        <v>0</v>
      </c>
    </row>
    <row r="636" spans="1:13">
      <c r="A636" s="7">
        <f>Raw_Passengers!A636</f>
        <v>214627</v>
      </c>
      <c r="B636" s="7">
        <f>Raw_Passengers!B636</f>
        <v>1106173</v>
      </c>
      <c r="C636" s="7">
        <f>IF(COUNTIF(Raw_Passengers!$A$2:A636,Raw_Passengers!A636)&gt;1,1,0)</f>
        <v>0</v>
      </c>
      <c r="D636" s="7">
        <f>IF(COUNTIF(Raw_Bookings!$A$2:$A$648,Raw_Passengers!B636)=0,1,0)</f>
        <v>0</v>
      </c>
      <c r="E636" s="7">
        <f>IF(OR(C636=1,D636=1),0,IF(NOT(ISNUMBER(Raw_Passengers!E636)),1,IF(Raw_Passengers!E636&lt;=0,1,0)))</f>
        <v>0</v>
      </c>
      <c r="F636" s="7">
        <f>IF(AND(C636=0,D636=0,TRIM(Raw_Passengers!D636&amp;"")=""),1,0)</f>
        <v>0</v>
      </c>
      <c r="G636" s="7" t="str">
        <f>IF(SUMPRODUCT(--(Lookup_Status!$A$2:$A$13=LOWER(TRIM(Raw_Passengers!F636))))=0,"",INDEX(Lookup_Status!$B$2:$B$13,SUMPRODUCT((Lookup_Status!$A$2:$A$13=LOWER(TRIM(Raw_Passengers!F636)))*(ROW(Lookup_Status!$A$2:$A$13)-1))))</f>
        <v>Waitlisted</v>
      </c>
      <c r="H636" s="7" t="str">
        <f>IF(SUMPRODUCT(--(Lookup_Status!$A$2:$A$13=LOWER(TRIM(Raw_Passengers!G636))))=0,"",INDEX(Lookup_Status!$B$2:$B$13,SUMPRODUCT((Lookup_Status!$A$2:$A$13=LOWER(TRIM(Raw_Passengers!G636)))*(ROW(Lookup_Status!$A$2:$A$13)-1))))</f>
        <v>Waitlisted</v>
      </c>
      <c r="I636" s="7">
        <f>IF(OR(G636="",G636="Cancelled",G636="Mixed"),1,0)</f>
        <v>0</v>
      </c>
      <c r="J636" s="7">
        <f>IF(OR(H636="",H636="Mixed"),1,0)</f>
        <v>0</v>
      </c>
      <c r="K636" s="7">
        <f>IF(AND(C636=0,D636=0),IF(OR(AND(I636=0,NOT(EXACT(Raw_Passengers!F636,G636))),AND(J636=0,NOT(EXACT(Raw_Passengers!G636,H636)))),1,0),0)</f>
        <v>0</v>
      </c>
      <c r="L636" s="7">
        <f>IF(AND(C636=0,D636=0,I636=1),1,0)</f>
        <v>0</v>
      </c>
      <c r="M636" s="7">
        <f>IF(AND(C636=0,D636=0,J636=1),1,0)</f>
        <v>0</v>
      </c>
    </row>
    <row r="637" spans="1:13">
      <c r="A637" s="7">
        <f>Raw_Passengers!A637</f>
        <v>214697</v>
      </c>
      <c r="B637" s="7">
        <f>Raw_Passengers!B637</f>
        <v>1106210</v>
      </c>
      <c r="C637" s="7">
        <f>IF(COUNTIF(Raw_Passengers!$A$2:A637,Raw_Passengers!A637)&gt;1,1,0)</f>
        <v>0</v>
      </c>
      <c r="D637" s="7">
        <f>IF(COUNTIF(Raw_Bookings!$A$2:$A$648,Raw_Passengers!B637)=0,1,0)</f>
        <v>0</v>
      </c>
      <c r="E637" s="7">
        <f>IF(OR(C637=1,D637=1),0,IF(NOT(ISNUMBER(Raw_Passengers!E637)),1,IF(Raw_Passengers!E637&lt;=0,1,0)))</f>
        <v>0</v>
      </c>
      <c r="F637" s="7">
        <f>IF(AND(C637=0,D637=0,TRIM(Raw_Passengers!D637&amp;"")=""),1,0)</f>
        <v>0</v>
      </c>
      <c r="G637" s="7" t="str">
        <f>IF(SUMPRODUCT(--(Lookup_Status!$A$2:$A$13=LOWER(TRIM(Raw_Passengers!F637))))=0,"",INDEX(Lookup_Status!$B$2:$B$13,SUMPRODUCT((Lookup_Status!$A$2:$A$13=LOWER(TRIM(Raw_Passengers!F637)))*(ROW(Lookup_Status!$A$2:$A$13)-1))))</f>
        <v>Confirmed</v>
      </c>
      <c r="H637" s="7" t="str">
        <f>IF(SUMPRODUCT(--(Lookup_Status!$A$2:$A$13=LOWER(TRIM(Raw_Passengers!G637))))=0,"",INDEX(Lookup_Status!$B$2:$B$13,SUMPRODUCT((Lookup_Status!$A$2:$A$13=LOWER(TRIM(Raw_Passengers!G637)))*(ROW(Lookup_Status!$A$2:$A$13)-1))))</f>
        <v>Confirmed</v>
      </c>
      <c r="I637" s="7">
        <f>IF(OR(G637="",G637="Cancelled",G637="Mixed"),1,0)</f>
        <v>0</v>
      </c>
      <c r="J637" s="7">
        <f>IF(OR(H637="",H637="Mixed"),1,0)</f>
        <v>0</v>
      </c>
      <c r="K637" s="7">
        <f>IF(AND(C637=0,D637=0),IF(OR(AND(I637=0,NOT(EXACT(Raw_Passengers!F637,G637))),AND(J637=0,NOT(EXACT(Raw_Passengers!G637,H637)))),1,0),0)</f>
        <v>0</v>
      </c>
      <c r="L637" s="7">
        <f>IF(AND(C637=0,D637=0,I637=1),1,0)</f>
        <v>0</v>
      </c>
      <c r="M637" s="7">
        <f>IF(AND(C637=0,D637=0,J637=1),1,0)</f>
        <v>0</v>
      </c>
    </row>
    <row r="638" spans="1:13">
      <c r="A638" s="7">
        <f>Raw_Passengers!A638</f>
        <v>214698</v>
      </c>
      <c r="B638" s="7">
        <f>Raw_Passengers!B638</f>
        <v>1106210</v>
      </c>
      <c r="C638" s="7">
        <f>IF(COUNTIF(Raw_Passengers!$A$2:A638,Raw_Passengers!A638)&gt;1,1,0)</f>
        <v>0</v>
      </c>
      <c r="D638" s="7">
        <f>IF(COUNTIF(Raw_Bookings!$A$2:$A$648,Raw_Passengers!B638)=0,1,0)</f>
        <v>0</v>
      </c>
      <c r="E638" s="7">
        <f>IF(OR(C638=1,D638=1),0,IF(NOT(ISNUMBER(Raw_Passengers!E638)),1,IF(Raw_Passengers!E638&lt;=0,1,0)))</f>
        <v>0</v>
      </c>
      <c r="F638" s="7">
        <f>IF(AND(C638=0,D638=0,TRIM(Raw_Passengers!D638&amp;"")=""),1,0)</f>
        <v>0</v>
      </c>
      <c r="G638" s="7" t="str">
        <f>IF(SUMPRODUCT(--(Lookup_Status!$A$2:$A$13=LOWER(TRIM(Raw_Passengers!F638))))=0,"",INDEX(Lookup_Status!$B$2:$B$13,SUMPRODUCT((Lookup_Status!$A$2:$A$13=LOWER(TRIM(Raw_Passengers!F638)))*(ROW(Lookup_Status!$A$2:$A$13)-1))))</f>
        <v>Confirmed</v>
      </c>
      <c r="H638" s="7" t="str">
        <f>IF(SUMPRODUCT(--(Lookup_Status!$A$2:$A$13=LOWER(TRIM(Raw_Passengers!G638))))=0,"",INDEX(Lookup_Status!$B$2:$B$13,SUMPRODUCT((Lookup_Status!$A$2:$A$13=LOWER(TRIM(Raw_Passengers!G638)))*(ROW(Lookup_Status!$A$2:$A$13)-1))))</f>
        <v>Confirmed</v>
      </c>
      <c r="I638" s="7">
        <f>IF(OR(G638="",G638="Cancelled",G638="Mixed"),1,0)</f>
        <v>0</v>
      </c>
      <c r="J638" s="7">
        <f>IF(OR(H638="",H638="Mixed"),1,0)</f>
        <v>0</v>
      </c>
      <c r="K638" s="7">
        <f>IF(AND(C638=0,D638=0),IF(OR(AND(I638=0,NOT(EXACT(Raw_Passengers!F638,G638))),AND(J638=0,NOT(EXACT(Raw_Passengers!G638,H638)))),1,0),0)</f>
        <v>0</v>
      </c>
      <c r="L638" s="7">
        <f>IF(AND(C638=0,D638=0,I638=1),1,0)</f>
        <v>0</v>
      </c>
      <c r="M638" s="7">
        <f>IF(AND(C638=0,D638=0,J638=1),1,0)</f>
        <v>0</v>
      </c>
    </row>
    <row r="639" spans="1:13">
      <c r="A639" s="7">
        <f>Raw_Passengers!A639</f>
        <v>215047</v>
      </c>
      <c r="B639" s="7">
        <f>Raw_Passengers!B639</f>
        <v>1106387</v>
      </c>
      <c r="C639" s="7">
        <f>IF(COUNTIF(Raw_Passengers!$A$2:A639,Raw_Passengers!A639)&gt;1,1,0)</f>
        <v>0</v>
      </c>
      <c r="D639" s="7">
        <f>IF(COUNTIF(Raw_Bookings!$A$2:$A$648,Raw_Passengers!B639)=0,1,0)</f>
        <v>0</v>
      </c>
      <c r="E639" s="7">
        <f>IF(OR(C639=1,D639=1),0,IF(NOT(ISNUMBER(Raw_Passengers!E639)),1,IF(Raw_Passengers!E639&lt;=0,1,0)))</f>
        <v>0</v>
      </c>
      <c r="F639" s="7">
        <f>IF(AND(C639=0,D639=0,TRIM(Raw_Passengers!D639&amp;"")=""),1,0)</f>
        <v>0</v>
      </c>
      <c r="G639" s="7" t="str">
        <f>IF(SUMPRODUCT(--(Lookup_Status!$A$2:$A$13=LOWER(TRIM(Raw_Passengers!F639))))=0,"",INDEX(Lookup_Status!$B$2:$B$13,SUMPRODUCT((Lookup_Status!$A$2:$A$13=LOWER(TRIM(Raw_Passengers!F639)))*(ROW(Lookup_Status!$A$2:$A$13)-1))))</f>
        <v>Confirmed</v>
      </c>
      <c r="H639" s="7" t="str">
        <f>IF(SUMPRODUCT(--(Lookup_Status!$A$2:$A$13=LOWER(TRIM(Raw_Passengers!G639))))=0,"",INDEX(Lookup_Status!$B$2:$B$13,SUMPRODUCT((Lookup_Status!$A$2:$A$13=LOWER(TRIM(Raw_Passengers!G639)))*(ROW(Lookup_Status!$A$2:$A$13)-1))))</f>
        <v>Cancelled</v>
      </c>
      <c r="I639" s="7">
        <f>IF(OR(G639="",G639="Cancelled",G639="Mixed"),1,0)</f>
        <v>0</v>
      </c>
      <c r="J639" s="7">
        <f>IF(OR(H639="",H639="Mixed"),1,0)</f>
        <v>0</v>
      </c>
      <c r="K639" s="7">
        <f>IF(AND(C639=0,D639=0),IF(OR(AND(I639=0,NOT(EXACT(Raw_Passengers!F639,G639))),AND(J639=0,NOT(EXACT(Raw_Passengers!G639,H639)))),1,0),0)</f>
        <v>0</v>
      </c>
      <c r="L639" s="7">
        <f>IF(AND(C639=0,D639=0,I639=1),1,0)</f>
        <v>0</v>
      </c>
      <c r="M639" s="7">
        <f>IF(AND(C639=0,D639=0,J639=1),1,0)</f>
        <v>0</v>
      </c>
    </row>
    <row r="640" spans="1:13">
      <c r="A640" s="7">
        <f>Raw_Passengers!A640</f>
        <v>216139</v>
      </c>
      <c r="B640" s="7">
        <f>Raw_Passengers!B640</f>
        <v>1106935</v>
      </c>
      <c r="C640" s="7">
        <f>IF(COUNTIF(Raw_Passengers!$A$2:A640,Raw_Passengers!A640)&gt;1,1,0)</f>
        <v>0</v>
      </c>
      <c r="D640" s="7">
        <f>IF(COUNTIF(Raw_Bookings!$A$2:$A$648,Raw_Passengers!B640)=0,1,0)</f>
        <v>0</v>
      </c>
      <c r="E640" s="7">
        <f>IF(OR(C640=1,D640=1),0,IF(NOT(ISNUMBER(Raw_Passengers!E640)),1,IF(Raw_Passengers!E640&lt;=0,1,0)))</f>
        <v>0</v>
      </c>
      <c r="F640" s="7">
        <f>IF(AND(C640=0,D640=0,TRIM(Raw_Passengers!D640&amp;"")=""),1,0)</f>
        <v>0</v>
      </c>
      <c r="G640" s="7" t="str">
        <f>IF(SUMPRODUCT(--(Lookup_Status!$A$2:$A$13=LOWER(TRIM(Raw_Passengers!F640))))=0,"",INDEX(Lookup_Status!$B$2:$B$13,SUMPRODUCT((Lookup_Status!$A$2:$A$13=LOWER(TRIM(Raw_Passengers!F640)))*(ROW(Lookup_Status!$A$2:$A$13)-1))))</f>
        <v>Waitlisted</v>
      </c>
      <c r="H640" s="7" t="str">
        <f>IF(SUMPRODUCT(--(Lookup_Status!$A$2:$A$13=LOWER(TRIM(Raw_Passengers!G640))))=0,"",INDEX(Lookup_Status!$B$2:$B$13,SUMPRODUCT((Lookup_Status!$A$2:$A$13=LOWER(TRIM(Raw_Passengers!G640)))*(ROW(Lookup_Status!$A$2:$A$13)-1))))</f>
        <v>Waitlisted</v>
      </c>
      <c r="I640" s="7">
        <f>IF(OR(G640="",G640="Cancelled",G640="Mixed"),1,0)</f>
        <v>0</v>
      </c>
      <c r="J640" s="7">
        <f>IF(OR(H640="",H640="Mixed"),1,0)</f>
        <v>0</v>
      </c>
      <c r="K640" s="7">
        <f>IF(AND(C640=0,D640=0),IF(OR(AND(I640=0,NOT(EXACT(Raw_Passengers!F640,G640))),AND(J640=0,NOT(EXACT(Raw_Passengers!G640,H640)))),1,0),0)</f>
        <v>0</v>
      </c>
      <c r="L640" s="7">
        <f>IF(AND(C640=0,D640=0,I640=1),1,0)</f>
        <v>0</v>
      </c>
      <c r="M640" s="7">
        <f>IF(AND(C640=0,D640=0,J640=1),1,0)</f>
        <v>0</v>
      </c>
    </row>
    <row r="641" spans="1:13">
      <c r="A641" s="7">
        <f>Raw_Passengers!A641</f>
        <v>216197</v>
      </c>
      <c r="B641" s="7">
        <f>Raw_Passengers!B641</f>
        <v>1106962</v>
      </c>
      <c r="C641" s="7">
        <f>IF(COUNTIF(Raw_Passengers!$A$2:A641,Raw_Passengers!A641)&gt;1,1,0)</f>
        <v>0</v>
      </c>
      <c r="D641" s="7">
        <f>IF(COUNTIF(Raw_Bookings!$A$2:$A$648,Raw_Passengers!B641)=0,1,0)</f>
        <v>0</v>
      </c>
      <c r="E641" s="7">
        <f>IF(OR(C641=1,D641=1),0,IF(NOT(ISNUMBER(Raw_Passengers!E641)),1,IF(Raw_Passengers!E641&lt;=0,1,0)))</f>
        <v>0</v>
      </c>
      <c r="F641" s="7">
        <f>IF(AND(C641=0,D641=0,TRIM(Raw_Passengers!D641&amp;"")=""),1,0)</f>
        <v>0</v>
      </c>
      <c r="G641" s="7" t="str">
        <f>IF(SUMPRODUCT(--(Lookup_Status!$A$2:$A$13=LOWER(TRIM(Raw_Passengers!F641))))=0,"",INDEX(Lookup_Status!$B$2:$B$13,SUMPRODUCT((Lookup_Status!$A$2:$A$13=LOWER(TRIM(Raw_Passengers!F641)))*(ROW(Lookup_Status!$A$2:$A$13)-1))))</f>
        <v>Confirmed</v>
      </c>
      <c r="H641" s="7" t="str">
        <f>IF(SUMPRODUCT(--(Lookup_Status!$A$2:$A$13=LOWER(TRIM(Raw_Passengers!G641))))=0,"",INDEX(Lookup_Status!$B$2:$B$13,SUMPRODUCT((Lookup_Status!$A$2:$A$13=LOWER(TRIM(Raw_Passengers!G641)))*(ROW(Lookup_Status!$A$2:$A$13)-1))))</f>
        <v>Confirmed</v>
      </c>
      <c r="I641" s="7">
        <f>IF(OR(G641="",G641="Cancelled",G641="Mixed"),1,0)</f>
        <v>0</v>
      </c>
      <c r="J641" s="7">
        <f>IF(OR(H641="",H641="Mixed"),1,0)</f>
        <v>0</v>
      </c>
      <c r="K641" s="7">
        <f>IF(AND(C641=0,D641=0),IF(OR(AND(I641=0,NOT(EXACT(Raw_Passengers!F641,G641))),AND(J641=0,NOT(EXACT(Raw_Passengers!G641,H641)))),1,0),0)</f>
        <v>0</v>
      </c>
      <c r="L641" s="7">
        <f>IF(AND(C641=0,D641=0,I641=1),1,0)</f>
        <v>0</v>
      </c>
      <c r="M641" s="7">
        <f>IF(AND(C641=0,D641=0,J641=1),1,0)</f>
        <v>0</v>
      </c>
    </row>
    <row r="642" spans="1:13">
      <c r="A642" s="7">
        <f>Raw_Passengers!A642</f>
        <v>216198</v>
      </c>
      <c r="B642" s="7">
        <f>Raw_Passengers!B642</f>
        <v>1106962</v>
      </c>
      <c r="C642" s="7">
        <f>IF(COUNTIF(Raw_Passengers!$A$2:A642,Raw_Passengers!A642)&gt;1,1,0)</f>
        <v>0</v>
      </c>
      <c r="D642" s="7">
        <f>IF(COUNTIF(Raw_Bookings!$A$2:$A$648,Raw_Passengers!B642)=0,1,0)</f>
        <v>0</v>
      </c>
      <c r="E642" s="7">
        <f>IF(OR(C642=1,D642=1),0,IF(NOT(ISNUMBER(Raw_Passengers!E642)),1,IF(Raw_Passengers!E642&lt;=0,1,0)))</f>
        <v>0</v>
      </c>
      <c r="F642" s="7">
        <f>IF(AND(C642=0,D642=0,TRIM(Raw_Passengers!D642&amp;"")=""),1,0)</f>
        <v>0</v>
      </c>
      <c r="G642" s="7" t="str">
        <f>IF(SUMPRODUCT(--(Lookup_Status!$A$2:$A$13=LOWER(TRIM(Raw_Passengers!F642))))=0,"",INDEX(Lookup_Status!$B$2:$B$13,SUMPRODUCT((Lookup_Status!$A$2:$A$13=LOWER(TRIM(Raw_Passengers!F642)))*(ROW(Lookup_Status!$A$2:$A$13)-1))))</f>
        <v>Confirmed</v>
      </c>
      <c r="H642" s="7" t="str">
        <f>IF(SUMPRODUCT(--(Lookup_Status!$A$2:$A$13=LOWER(TRIM(Raw_Passengers!G642))))=0,"",INDEX(Lookup_Status!$B$2:$B$13,SUMPRODUCT((Lookup_Status!$A$2:$A$13=LOWER(TRIM(Raw_Passengers!G642)))*(ROW(Lookup_Status!$A$2:$A$13)-1))))</f>
        <v>Confirmed</v>
      </c>
      <c r="I642" s="7">
        <f>IF(OR(G642="",G642="Cancelled",G642="Mixed"),1,0)</f>
        <v>0</v>
      </c>
      <c r="J642" s="7">
        <f>IF(OR(H642="",H642="Mixed"),1,0)</f>
        <v>0</v>
      </c>
      <c r="K642" s="7">
        <f>IF(AND(C642=0,D642=0),IF(OR(AND(I642=0,NOT(EXACT(Raw_Passengers!F642,G642))),AND(J642=0,NOT(EXACT(Raw_Passengers!G642,H642)))),1,0),0)</f>
        <v>0</v>
      </c>
      <c r="L642" s="7">
        <f>IF(AND(C642=0,D642=0,I642=1),1,0)</f>
        <v>0</v>
      </c>
      <c r="M642" s="7">
        <f>IF(AND(C642=0,D642=0,J642=1),1,0)</f>
        <v>0</v>
      </c>
    </row>
    <row r="643" spans="1:13">
      <c r="A643" s="7">
        <f>Raw_Passengers!A643</f>
        <v>216199</v>
      </c>
      <c r="B643" s="7">
        <f>Raw_Passengers!B643</f>
        <v>1106962</v>
      </c>
      <c r="C643" s="7">
        <f>IF(COUNTIF(Raw_Passengers!$A$2:A643,Raw_Passengers!A643)&gt;1,1,0)</f>
        <v>0</v>
      </c>
      <c r="D643" s="7">
        <f>IF(COUNTIF(Raw_Bookings!$A$2:$A$648,Raw_Passengers!B643)=0,1,0)</f>
        <v>0</v>
      </c>
      <c r="E643" s="7">
        <f>IF(OR(C643=1,D643=1),0,IF(NOT(ISNUMBER(Raw_Passengers!E643)),1,IF(Raw_Passengers!E643&lt;=0,1,0)))</f>
        <v>0</v>
      </c>
      <c r="F643" s="7">
        <f>IF(AND(C643=0,D643=0,TRIM(Raw_Passengers!D643&amp;"")=""),1,0)</f>
        <v>0</v>
      </c>
      <c r="G643" s="7" t="str">
        <f>IF(SUMPRODUCT(--(Lookup_Status!$A$2:$A$13=LOWER(TRIM(Raw_Passengers!F643))))=0,"",INDEX(Lookup_Status!$B$2:$B$13,SUMPRODUCT((Lookup_Status!$A$2:$A$13=LOWER(TRIM(Raw_Passengers!F643)))*(ROW(Lookup_Status!$A$2:$A$13)-1))))</f>
        <v>Confirmed</v>
      </c>
      <c r="H643" s="7" t="str">
        <f>IF(SUMPRODUCT(--(Lookup_Status!$A$2:$A$13=LOWER(TRIM(Raw_Passengers!G643))))=0,"",INDEX(Lookup_Status!$B$2:$B$13,SUMPRODUCT((Lookup_Status!$A$2:$A$13=LOWER(TRIM(Raw_Passengers!G643)))*(ROW(Lookup_Status!$A$2:$A$13)-1))))</f>
        <v>Confirmed</v>
      </c>
      <c r="I643" s="7">
        <f>IF(OR(G643="",G643="Cancelled",G643="Mixed"),1,0)</f>
        <v>0</v>
      </c>
      <c r="J643" s="7">
        <f>IF(OR(H643="",H643="Mixed"),1,0)</f>
        <v>0</v>
      </c>
      <c r="K643" s="7">
        <f>IF(AND(C643=0,D643=0),IF(OR(AND(I643=0,NOT(EXACT(Raw_Passengers!F643,G643))),AND(J643=0,NOT(EXACT(Raw_Passengers!G643,H643)))),1,0),0)</f>
        <v>0</v>
      </c>
      <c r="L643" s="7">
        <f>IF(AND(C643=0,D643=0,I643=1),1,0)</f>
        <v>0</v>
      </c>
      <c r="M643" s="7">
        <f>IF(AND(C643=0,D643=0,J643=1),1,0)</f>
        <v>0</v>
      </c>
    </row>
    <row r="644" spans="1:13">
      <c r="A644" s="7">
        <f>Raw_Passengers!A644</f>
        <v>216200</v>
      </c>
      <c r="B644" s="7">
        <f>Raw_Passengers!B644</f>
        <v>1106962</v>
      </c>
      <c r="C644" s="7">
        <f>IF(COUNTIF(Raw_Passengers!$A$2:A644,Raw_Passengers!A644)&gt;1,1,0)</f>
        <v>0</v>
      </c>
      <c r="D644" s="7">
        <f>IF(COUNTIF(Raw_Bookings!$A$2:$A$648,Raw_Passengers!B644)=0,1,0)</f>
        <v>0</v>
      </c>
      <c r="E644" s="7">
        <f>IF(OR(C644=1,D644=1),0,IF(NOT(ISNUMBER(Raw_Passengers!E644)),1,IF(Raw_Passengers!E644&lt;=0,1,0)))</f>
        <v>0</v>
      </c>
      <c r="F644" s="7">
        <f>IF(AND(C644=0,D644=0,TRIM(Raw_Passengers!D644&amp;"")=""),1,0)</f>
        <v>0</v>
      </c>
      <c r="G644" s="7" t="str">
        <f>IF(SUMPRODUCT(--(Lookup_Status!$A$2:$A$13=LOWER(TRIM(Raw_Passengers!F644))))=0,"",INDEX(Lookup_Status!$B$2:$B$13,SUMPRODUCT((Lookup_Status!$A$2:$A$13=LOWER(TRIM(Raw_Passengers!F644)))*(ROW(Lookup_Status!$A$2:$A$13)-1))))</f>
        <v>Confirmed</v>
      </c>
      <c r="H644" s="7" t="str">
        <f>IF(SUMPRODUCT(--(Lookup_Status!$A$2:$A$13=LOWER(TRIM(Raw_Passengers!G644))))=0,"",INDEX(Lookup_Status!$B$2:$B$13,SUMPRODUCT((Lookup_Status!$A$2:$A$13=LOWER(TRIM(Raw_Passengers!G644)))*(ROW(Lookup_Status!$A$2:$A$13)-1))))</f>
        <v>Cancelled</v>
      </c>
      <c r="I644" s="7">
        <f>IF(OR(G644="",G644="Cancelled",G644="Mixed"),1,0)</f>
        <v>0</v>
      </c>
      <c r="J644" s="7">
        <f>IF(OR(H644="",H644="Mixed"),1,0)</f>
        <v>0</v>
      </c>
      <c r="K644" s="7">
        <f>IF(AND(C644=0,D644=0),IF(OR(AND(I644=0,NOT(EXACT(Raw_Passengers!F644,G644))),AND(J644=0,NOT(EXACT(Raw_Passengers!G644,H644)))),1,0),0)</f>
        <v>0</v>
      </c>
      <c r="L644" s="7">
        <f>IF(AND(C644=0,D644=0,I644=1),1,0)</f>
        <v>0</v>
      </c>
      <c r="M644" s="7">
        <f>IF(AND(C644=0,D644=0,J644=1),1,0)</f>
        <v>0</v>
      </c>
    </row>
    <row r="645" spans="1:13">
      <c r="A645" s="7">
        <f>Raw_Passengers!A645</f>
        <v>216531</v>
      </c>
      <c r="B645" s="7">
        <f>Raw_Passengers!B645</f>
        <v>1107133</v>
      </c>
      <c r="C645" s="7">
        <f>IF(COUNTIF(Raw_Passengers!$A$2:A645,Raw_Passengers!A645)&gt;1,1,0)</f>
        <v>0</v>
      </c>
      <c r="D645" s="7">
        <f>IF(COUNTIF(Raw_Bookings!$A$2:$A$648,Raw_Passengers!B645)=0,1,0)</f>
        <v>0</v>
      </c>
      <c r="E645" s="7">
        <f>IF(OR(C645=1,D645=1),0,IF(NOT(ISNUMBER(Raw_Passengers!E645)),1,IF(Raw_Passengers!E645&lt;=0,1,0)))</f>
        <v>0</v>
      </c>
      <c r="F645" s="7">
        <f>IF(AND(C645=0,D645=0,TRIM(Raw_Passengers!D645&amp;"")=""),1,0)</f>
        <v>0</v>
      </c>
      <c r="G645" s="7" t="str">
        <f>IF(SUMPRODUCT(--(Lookup_Status!$A$2:$A$13=LOWER(TRIM(Raw_Passengers!F645))))=0,"",INDEX(Lookup_Status!$B$2:$B$13,SUMPRODUCT((Lookup_Status!$A$2:$A$13=LOWER(TRIM(Raw_Passengers!F645)))*(ROW(Lookup_Status!$A$2:$A$13)-1))))</f>
        <v>Confirmed</v>
      </c>
      <c r="H645" s="7" t="str">
        <f>IF(SUMPRODUCT(--(Lookup_Status!$A$2:$A$13=LOWER(TRIM(Raw_Passengers!G645))))=0,"",INDEX(Lookup_Status!$B$2:$B$13,SUMPRODUCT((Lookup_Status!$A$2:$A$13=LOWER(TRIM(Raw_Passengers!G645)))*(ROW(Lookup_Status!$A$2:$A$13)-1))))</f>
        <v>Cancelled</v>
      </c>
      <c r="I645" s="7">
        <f>IF(OR(G645="",G645="Cancelled",G645="Mixed"),1,0)</f>
        <v>0</v>
      </c>
      <c r="J645" s="7">
        <f>IF(OR(H645="",H645="Mixed"),1,0)</f>
        <v>0</v>
      </c>
      <c r="K645" s="7">
        <f>IF(AND(C645=0,D645=0),IF(OR(AND(I645=0,NOT(EXACT(Raw_Passengers!F645,G645))),AND(J645=0,NOT(EXACT(Raw_Passengers!G645,H645)))),1,0),0)</f>
        <v>0</v>
      </c>
      <c r="L645" s="7">
        <f>IF(AND(C645=0,D645=0,I645=1),1,0)</f>
        <v>0</v>
      </c>
      <c r="M645" s="7">
        <f>IF(AND(C645=0,D645=0,J645=1),1,0)</f>
        <v>0</v>
      </c>
    </row>
    <row r="646" spans="1:13">
      <c r="A646" s="7">
        <f>Raw_Passengers!A646</f>
        <v>217275</v>
      </c>
      <c r="B646" s="7">
        <f>Raw_Passengers!B646</f>
        <v>1107501</v>
      </c>
      <c r="C646" s="7">
        <f>IF(COUNTIF(Raw_Passengers!$A$2:A646,Raw_Passengers!A646)&gt;1,1,0)</f>
        <v>0</v>
      </c>
      <c r="D646" s="7">
        <f>IF(COUNTIF(Raw_Bookings!$A$2:$A$648,Raw_Passengers!B646)=0,1,0)</f>
        <v>0</v>
      </c>
      <c r="E646" s="7">
        <f>IF(OR(C646=1,D646=1),0,IF(NOT(ISNUMBER(Raw_Passengers!E646)),1,IF(Raw_Passengers!E646&lt;=0,1,0)))</f>
        <v>0</v>
      </c>
      <c r="F646" s="7">
        <f>IF(AND(C646=0,D646=0,TRIM(Raw_Passengers!D646&amp;"")=""),1,0)</f>
        <v>0</v>
      </c>
      <c r="G646" s="7" t="str">
        <f>IF(SUMPRODUCT(--(Lookup_Status!$A$2:$A$13=LOWER(TRIM(Raw_Passengers!F646))))=0,"",INDEX(Lookup_Status!$B$2:$B$13,SUMPRODUCT((Lookup_Status!$A$2:$A$13=LOWER(TRIM(Raw_Passengers!F646)))*(ROW(Lookup_Status!$A$2:$A$13)-1))))</f>
        <v>Confirmed</v>
      </c>
      <c r="H646" s="7" t="str">
        <f>IF(SUMPRODUCT(--(Lookup_Status!$A$2:$A$13=LOWER(TRIM(Raw_Passengers!G646))))=0,"",INDEX(Lookup_Status!$B$2:$B$13,SUMPRODUCT((Lookup_Status!$A$2:$A$13=LOWER(TRIM(Raw_Passengers!G646)))*(ROW(Lookup_Status!$A$2:$A$13)-1))))</f>
        <v>Confirmed</v>
      </c>
      <c r="I646" s="7">
        <f>IF(OR(G646="",G646="Cancelled",G646="Mixed"),1,0)</f>
        <v>0</v>
      </c>
      <c r="J646" s="7">
        <f>IF(OR(H646="",H646="Mixed"),1,0)</f>
        <v>0</v>
      </c>
      <c r="K646" s="7">
        <f>IF(AND(C646=0,D646=0),IF(OR(AND(I646=0,NOT(EXACT(Raw_Passengers!F646,G646))),AND(J646=0,NOT(EXACT(Raw_Passengers!G646,H646)))),1,0),0)</f>
        <v>0</v>
      </c>
      <c r="L646" s="7">
        <f>IF(AND(C646=0,D646=0,I646=1),1,0)</f>
        <v>0</v>
      </c>
      <c r="M646" s="7">
        <f>IF(AND(C646=0,D646=0,J646=1),1,0)</f>
        <v>0</v>
      </c>
    </row>
    <row r="647" spans="1:13">
      <c r="A647" s="7">
        <f>Raw_Passengers!A647</f>
        <v>217276</v>
      </c>
      <c r="B647" s="7">
        <f>Raw_Passengers!B647</f>
        <v>1107501</v>
      </c>
      <c r="C647" s="7">
        <f>IF(COUNTIF(Raw_Passengers!$A$2:A647,Raw_Passengers!A647)&gt;1,1,0)</f>
        <v>0</v>
      </c>
      <c r="D647" s="7">
        <f>IF(COUNTIF(Raw_Bookings!$A$2:$A$648,Raw_Passengers!B647)=0,1,0)</f>
        <v>0</v>
      </c>
      <c r="E647" s="7">
        <f>IF(OR(C647=1,D647=1),0,IF(NOT(ISNUMBER(Raw_Passengers!E647)),1,IF(Raw_Passengers!E647&lt;=0,1,0)))</f>
        <v>0</v>
      </c>
      <c r="F647" s="7">
        <f>IF(AND(C647=0,D647=0,TRIM(Raw_Passengers!D647&amp;"")=""),1,0)</f>
        <v>0</v>
      </c>
      <c r="G647" s="7" t="str">
        <f>IF(SUMPRODUCT(--(Lookup_Status!$A$2:$A$13=LOWER(TRIM(Raw_Passengers!F647))))=0,"",INDEX(Lookup_Status!$B$2:$B$13,SUMPRODUCT((Lookup_Status!$A$2:$A$13=LOWER(TRIM(Raw_Passengers!F647)))*(ROW(Lookup_Status!$A$2:$A$13)-1))))</f>
        <v>RAC</v>
      </c>
      <c r="H647" s="7" t="str">
        <f>IF(SUMPRODUCT(--(Lookup_Status!$A$2:$A$13=LOWER(TRIM(Raw_Passengers!G647))))=0,"",INDEX(Lookup_Status!$B$2:$B$13,SUMPRODUCT((Lookup_Status!$A$2:$A$13=LOWER(TRIM(Raw_Passengers!G647)))*(ROW(Lookup_Status!$A$2:$A$13)-1))))</f>
        <v>Confirmed</v>
      </c>
      <c r="I647" s="7">
        <f>IF(OR(G647="",G647="Cancelled",G647="Mixed"),1,0)</f>
        <v>0</v>
      </c>
      <c r="J647" s="7">
        <f>IF(OR(H647="",H647="Mixed"),1,0)</f>
        <v>0</v>
      </c>
      <c r="K647" s="7">
        <f>IF(AND(C647=0,D647=0),IF(OR(AND(I647=0,NOT(EXACT(Raw_Passengers!F647,G647))),AND(J647=0,NOT(EXACT(Raw_Passengers!G647,H647)))),1,0),0)</f>
        <v>0</v>
      </c>
      <c r="L647" s="7">
        <f>IF(AND(C647=0,D647=0,I647=1),1,0)</f>
        <v>0</v>
      </c>
      <c r="M647" s="7">
        <f>IF(AND(C647=0,D647=0,J647=1),1,0)</f>
        <v>0</v>
      </c>
    </row>
    <row r="648" spans="1:13">
      <c r="A648" s="7">
        <f>Raw_Passengers!A648</f>
        <v>217962</v>
      </c>
      <c r="B648" s="7">
        <f>Raw_Passengers!B648</f>
        <v>1107838</v>
      </c>
      <c r="C648" s="7">
        <f>IF(COUNTIF(Raw_Passengers!$A$2:A648,Raw_Passengers!A648)&gt;1,1,0)</f>
        <v>0</v>
      </c>
      <c r="D648" s="7">
        <f>IF(COUNTIF(Raw_Bookings!$A$2:$A$648,Raw_Passengers!B648)=0,1,0)</f>
        <v>0</v>
      </c>
      <c r="E648" s="7">
        <f>IF(OR(C648=1,D648=1),0,IF(NOT(ISNUMBER(Raw_Passengers!E648)),1,IF(Raw_Passengers!E648&lt;=0,1,0)))</f>
        <v>0</v>
      </c>
      <c r="F648" s="7">
        <f>IF(AND(C648=0,D648=0,TRIM(Raw_Passengers!D648&amp;"")=""),1,0)</f>
        <v>0</v>
      </c>
      <c r="G648" s="7" t="str">
        <f>IF(SUMPRODUCT(--(Lookup_Status!$A$2:$A$13=LOWER(TRIM(Raw_Passengers!F648))))=0,"",INDEX(Lookup_Status!$B$2:$B$13,SUMPRODUCT((Lookup_Status!$A$2:$A$13=LOWER(TRIM(Raw_Passengers!F648)))*(ROW(Lookup_Status!$A$2:$A$13)-1))))</f>
        <v>Confirmed</v>
      </c>
      <c r="H648" s="7" t="str">
        <f>IF(SUMPRODUCT(--(Lookup_Status!$A$2:$A$13=LOWER(TRIM(Raw_Passengers!G648))))=0,"",INDEX(Lookup_Status!$B$2:$B$13,SUMPRODUCT((Lookup_Status!$A$2:$A$13=LOWER(TRIM(Raw_Passengers!G648)))*(ROW(Lookup_Status!$A$2:$A$13)-1))))</f>
        <v>Confirmed</v>
      </c>
      <c r="I648" s="7">
        <f>IF(OR(G648="",G648="Cancelled",G648="Mixed"),1,0)</f>
        <v>0</v>
      </c>
      <c r="J648" s="7">
        <f>IF(OR(H648="",H648="Mixed"),1,0)</f>
        <v>0</v>
      </c>
      <c r="K648" s="7">
        <f>IF(AND(C648=0,D648=0),IF(OR(AND(I648=0,NOT(EXACT(Raw_Passengers!F648,G648))),AND(J648=0,NOT(EXACT(Raw_Passengers!G648,H648)))),1,0),0)</f>
        <v>0</v>
      </c>
      <c r="L648" s="7">
        <f>IF(AND(C648=0,D648=0,I648=1),1,0)</f>
        <v>0</v>
      </c>
      <c r="M648" s="7">
        <f>IF(AND(C648=0,D648=0,J648=1),1,0)</f>
        <v>0</v>
      </c>
    </row>
    <row r="649" spans="1:13">
      <c r="A649" s="7">
        <f>Raw_Passengers!A649</f>
        <v>217963</v>
      </c>
      <c r="B649" s="7">
        <f>Raw_Passengers!B649</f>
        <v>1107838</v>
      </c>
      <c r="C649" s="7">
        <f>IF(COUNTIF(Raw_Passengers!$A$2:A649,Raw_Passengers!A649)&gt;1,1,0)</f>
        <v>0</v>
      </c>
      <c r="D649" s="7">
        <f>IF(COUNTIF(Raw_Bookings!$A$2:$A$648,Raw_Passengers!B649)=0,1,0)</f>
        <v>0</v>
      </c>
      <c r="E649" s="7">
        <f>IF(OR(C649=1,D649=1),0,IF(NOT(ISNUMBER(Raw_Passengers!E649)),1,IF(Raw_Passengers!E649&lt;=0,1,0)))</f>
        <v>0</v>
      </c>
      <c r="F649" s="7">
        <f>IF(AND(C649=0,D649=0,TRIM(Raw_Passengers!D649&amp;"")=""),1,0)</f>
        <v>0</v>
      </c>
      <c r="G649" s="7" t="str">
        <f>IF(SUMPRODUCT(--(Lookup_Status!$A$2:$A$13=LOWER(TRIM(Raw_Passengers!F649))))=0,"",INDEX(Lookup_Status!$B$2:$B$13,SUMPRODUCT((Lookup_Status!$A$2:$A$13=LOWER(TRIM(Raw_Passengers!F649)))*(ROW(Lookup_Status!$A$2:$A$13)-1))))</f>
        <v>Confirmed</v>
      </c>
      <c r="H649" s="7" t="str">
        <f>IF(SUMPRODUCT(--(Lookup_Status!$A$2:$A$13=LOWER(TRIM(Raw_Passengers!G649))))=0,"",INDEX(Lookup_Status!$B$2:$B$13,SUMPRODUCT((Lookup_Status!$A$2:$A$13=LOWER(TRIM(Raw_Passengers!G649)))*(ROW(Lookup_Status!$A$2:$A$13)-1))))</f>
        <v>Confirmed</v>
      </c>
      <c r="I649" s="7">
        <f>IF(OR(G649="",G649="Cancelled",G649="Mixed"),1,0)</f>
        <v>0</v>
      </c>
      <c r="J649" s="7">
        <f>IF(OR(H649="",H649="Mixed"),1,0)</f>
        <v>0</v>
      </c>
      <c r="K649" s="7">
        <f>IF(AND(C649=0,D649=0),IF(OR(AND(I649=0,NOT(EXACT(Raw_Passengers!F649,G649))),AND(J649=0,NOT(EXACT(Raw_Passengers!G649,H649)))),1,0),0)</f>
        <v>0</v>
      </c>
      <c r="L649" s="7">
        <f>IF(AND(C649=0,D649=0,I649=1),1,0)</f>
        <v>0</v>
      </c>
      <c r="M649" s="7">
        <f>IF(AND(C649=0,D649=0,J649=1),1,0)</f>
        <v>0</v>
      </c>
    </row>
    <row r="650" spans="1:13">
      <c r="A650" s="7">
        <f>Raw_Passengers!A650</f>
        <v>217964</v>
      </c>
      <c r="B650" s="7">
        <f>Raw_Passengers!B650</f>
        <v>1107838</v>
      </c>
      <c r="C650" s="7">
        <f>IF(COUNTIF(Raw_Passengers!$A$2:A650,Raw_Passengers!A650)&gt;1,1,0)</f>
        <v>0</v>
      </c>
      <c r="D650" s="7">
        <f>IF(COUNTIF(Raw_Bookings!$A$2:$A$648,Raw_Passengers!B650)=0,1,0)</f>
        <v>0</v>
      </c>
      <c r="E650" s="7">
        <f>IF(OR(C650=1,D650=1),0,IF(NOT(ISNUMBER(Raw_Passengers!E650)),1,IF(Raw_Passengers!E650&lt;=0,1,0)))</f>
        <v>0</v>
      </c>
      <c r="F650" s="7">
        <f>IF(AND(C650=0,D650=0,TRIM(Raw_Passengers!D650&amp;"")=""),1,0)</f>
        <v>0</v>
      </c>
      <c r="G650" s="7" t="str">
        <f>IF(SUMPRODUCT(--(Lookup_Status!$A$2:$A$13=LOWER(TRIM(Raw_Passengers!F650))))=0,"",INDEX(Lookup_Status!$B$2:$B$13,SUMPRODUCT((Lookup_Status!$A$2:$A$13=LOWER(TRIM(Raw_Passengers!F650)))*(ROW(Lookup_Status!$A$2:$A$13)-1))))</f>
        <v>Confirmed</v>
      </c>
      <c r="H650" s="7" t="str">
        <f>IF(SUMPRODUCT(--(Lookup_Status!$A$2:$A$13=LOWER(TRIM(Raw_Passengers!G650))))=0,"",INDEX(Lookup_Status!$B$2:$B$13,SUMPRODUCT((Lookup_Status!$A$2:$A$13=LOWER(TRIM(Raw_Passengers!G650)))*(ROW(Lookup_Status!$A$2:$A$13)-1))))</f>
        <v>Confirmed</v>
      </c>
      <c r="I650" s="7">
        <f>IF(OR(G650="",G650="Cancelled",G650="Mixed"),1,0)</f>
        <v>0</v>
      </c>
      <c r="J650" s="7">
        <f>IF(OR(H650="",H650="Mixed"),1,0)</f>
        <v>0</v>
      </c>
      <c r="K650" s="7">
        <f>IF(AND(C650=0,D650=0),IF(OR(AND(I650=0,NOT(EXACT(Raw_Passengers!F650,G650))),AND(J650=0,NOT(EXACT(Raw_Passengers!G650,H650)))),1,0),0)</f>
        <v>0</v>
      </c>
      <c r="L650" s="7">
        <f>IF(AND(C650=0,D650=0,I650=1),1,0)</f>
        <v>0</v>
      </c>
      <c r="M650" s="7">
        <f>IF(AND(C650=0,D650=0,J650=1),1,0)</f>
        <v>0</v>
      </c>
    </row>
    <row r="651" spans="1:13">
      <c r="A651" s="7">
        <f>Raw_Passengers!A651</f>
        <v>217965</v>
      </c>
      <c r="B651" s="7">
        <f>Raw_Passengers!B651</f>
        <v>1107838</v>
      </c>
      <c r="C651" s="7">
        <f>IF(COUNTIF(Raw_Passengers!$A$2:A651,Raw_Passengers!A651)&gt;1,1,0)</f>
        <v>0</v>
      </c>
      <c r="D651" s="7">
        <f>IF(COUNTIF(Raw_Bookings!$A$2:$A$648,Raw_Passengers!B651)=0,1,0)</f>
        <v>0</v>
      </c>
      <c r="E651" s="7">
        <f>IF(OR(C651=1,D651=1),0,IF(NOT(ISNUMBER(Raw_Passengers!E651)),1,IF(Raw_Passengers!E651&lt;=0,1,0)))</f>
        <v>0</v>
      </c>
      <c r="F651" s="7">
        <f>IF(AND(C651=0,D651=0,TRIM(Raw_Passengers!D651&amp;"")=""),1,0)</f>
        <v>0</v>
      </c>
      <c r="G651" s="7" t="str">
        <f>IF(SUMPRODUCT(--(Lookup_Status!$A$2:$A$13=LOWER(TRIM(Raw_Passengers!F651))))=0,"",INDEX(Lookup_Status!$B$2:$B$13,SUMPRODUCT((Lookup_Status!$A$2:$A$13=LOWER(TRIM(Raw_Passengers!F651)))*(ROW(Lookup_Status!$A$2:$A$13)-1))))</f>
        <v>Confirmed</v>
      </c>
      <c r="H651" s="7" t="str">
        <f>IF(SUMPRODUCT(--(Lookup_Status!$A$2:$A$13=LOWER(TRIM(Raw_Passengers!G651))))=0,"",INDEX(Lookup_Status!$B$2:$B$13,SUMPRODUCT((Lookup_Status!$A$2:$A$13=LOWER(TRIM(Raw_Passengers!G651)))*(ROW(Lookup_Status!$A$2:$A$13)-1))))</f>
        <v>Confirmed</v>
      </c>
      <c r="I651" s="7">
        <f>IF(OR(G651="",G651="Cancelled",G651="Mixed"),1,0)</f>
        <v>0</v>
      </c>
      <c r="J651" s="7">
        <f>IF(OR(H651="",H651="Mixed"),1,0)</f>
        <v>0</v>
      </c>
      <c r="K651" s="7">
        <f>IF(AND(C651=0,D651=0),IF(OR(AND(I651=0,NOT(EXACT(Raw_Passengers!F651,G651))),AND(J651=0,NOT(EXACT(Raw_Passengers!G651,H651)))),1,0),0)</f>
        <v>0</v>
      </c>
      <c r="L651" s="7">
        <f>IF(AND(C651=0,D651=0,I651=1),1,0)</f>
        <v>0</v>
      </c>
      <c r="M651" s="7">
        <f>IF(AND(C651=0,D651=0,J651=1),1,0)</f>
        <v>0</v>
      </c>
    </row>
    <row r="652" spans="1:13">
      <c r="A652" s="7">
        <f>Raw_Passengers!A652</f>
        <v>217966</v>
      </c>
      <c r="B652" s="7">
        <f>Raw_Passengers!B652</f>
        <v>1107838</v>
      </c>
      <c r="C652" s="7">
        <f>IF(COUNTIF(Raw_Passengers!$A$2:A652,Raw_Passengers!A652)&gt;1,1,0)</f>
        <v>0</v>
      </c>
      <c r="D652" s="7">
        <f>IF(COUNTIF(Raw_Bookings!$A$2:$A$648,Raw_Passengers!B652)=0,1,0)</f>
        <v>0</v>
      </c>
      <c r="E652" s="7">
        <f>IF(OR(C652=1,D652=1),0,IF(NOT(ISNUMBER(Raw_Passengers!E652)),1,IF(Raw_Passengers!E652&lt;=0,1,0)))</f>
        <v>0</v>
      </c>
      <c r="F652" s="7">
        <f>IF(AND(C652=0,D652=0,TRIM(Raw_Passengers!D652&amp;"")=""),1,0)</f>
        <v>0</v>
      </c>
      <c r="G652" s="7" t="str">
        <f>IF(SUMPRODUCT(--(Lookup_Status!$A$2:$A$13=LOWER(TRIM(Raw_Passengers!F652))))=0,"",INDEX(Lookup_Status!$B$2:$B$13,SUMPRODUCT((Lookup_Status!$A$2:$A$13=LOWER(TRIM(Raw_Passengers!F652)))*(ROW(Lookup_Status!$A$2:$A$13)-1))))</f>
        <v>Confirmed</v>
      </c>
      <c r="H652" s="7" t="str">
        <f>IF(SUMPRODUCT(--(Lookup_Status!$A$2:$A$13=LOWER(TRIM(Raw_Passengers!G652))))=0,"",INDEX(Lookup_Status!$B$2:$B$13,SUMPRODUCT((Lookup_Status!$A$2:$A$13=LOWER(TRIM(Raw_Passengers!G652)))*(ROW(Lookup_Status!$A$2:$A$13)-1))))</f>
        <v>Confirmed</v>
      </c>
      <c r="I652" s="7">
        <f>IF(OR(G652="",G652="Cancelled",G652="Mixed"),1,0)</f>
        <v>0</v>
      </c>
      <c r="J652" s="7">
        <f>IF(OR(H652="",H652="Mixed"),1,0)</f>
        <v>0</v>
      </c>
      <c r="K652" s="7">
        <f>IF(AND(C652=0,D652=0),IF(OR(AND(I652=0,NOT(EXACT(Raw_Passengers!F652,G652))),AND(J652=0,NOT(EXACT(Raw_Passengers!G652,H652)))),1,0),0)</f>
        <v>0</v>
      </c>
      <c r="L652" s="7">
        <f>IF(AND(C652=0,D652=0,I652=1),1,0)</f>
        <v>0</v>
      </c>
      <c r="M652" s="7">
        <f>IF(AND(C652=0,D652=0,J652=1),1,0)</f>
        <v>0</v>
      </c>
    </row>
    <row r="653" spans="1:13">
      <c r="A653" s="7">
        <f>Raw_Passengers!A653</f>
        <v>217967</v>
      </c>
      <c r="B653" s="7">
        <f>Raw_Passengers!B653</f>
        <v>1107838</v>
      </c>
      <c r="C653" s="7">
        <f>IF(COUNTIF(Raw_Passengers!$A$2:A653,Raw_Passengers!A653)&gt;1,1,0)</f>
        <v>0</v>
      </c>
      <c r="D653" s="7">
        <f>IF(COUNTIF(Raw_Bookings!$A$2:$A$648,Raw_Passengers!B653)=0,1,0)</f>
        <v>0</v>
      </c>
      <c r="E653" s="7">
        <f>IF(OR(C653=1,D653=1),0,IF(NOT(ISNUMBER(Raw_Passengers!E653)),1,IF(Raw_Passengers!E653&lt;=0,1,0)))</f>
        <v>0</v>
      </c>
      <c r="F653" s="7">
        <f>IF(AND(C653=0,D653=0,TRIM(Raw_Passengers!D653&amp;"")=""),1,0)</f>
        <v>0</v>
      </c>
      <c r="G653" s="7" t="str">
        <f>IF(SUMPRODUCT(--(Lookup_Status!$A$2:$A$13=LOWER(TRIM(Raw_Passengers!F653))))=0,"",INDEX(Lookup_Status!$B$2:$B$13,SUMPRODUCT((Lookup_Status!$A$2:$A$13=LOWER(TRIM(Raw_Passengers!F653)))*(ROW(Lookup_Status!$A$2:$A$13)-1))))</f>
        <v>Confirmed</v>
      </c>
      <c r="H653" s="7" t="str">
        <f>IF(SUMPRODUCT(--(Lookup_Status!$A$2:$A$13=LOWER(TRIM(Raw_Passengers!G653))))=0,"",INDEX(Lookup_Status!$B$2:$B$13,SUMPRODUCT((Lookup_Status!$A$2:$A$13=LOWER(TRIM(Raw_Passengers!G653)))*(ROW(Lookup_Status!$A$2:$A$13)-1))))</f>
        <v>Confirmed</v>
      </c>
      <c r="I653" s="7">
        <f>IF(OR(G653="",G653="Cancelled",G653="Mixed"),1,0)</f>
        <v>0</v>
      </c>
      <c r="J653" s="7">
        <f>IF(OR(H653="",H653="Mixed"),1,0)</f>
        <v>0</v>
      </c>
      <c r="K653" s="7">
        <f>IF(AND(C653=0,D653=0),IF(OR(AND(I653=0,NOT(EXACT(Raw_Passengers!F653,G653))),AND(J653=0,NOT(EXACT(Raw_Passengers!G653,H653)))),1,0),0)</f>
        <v>0</v>
      </c>
      <c r="L653" s="7">
        <f>IF(AND(C653=0,D653=0,I653=1),1,0)</f>
        <v>0</v>
      </c>
      <c r="M653" s="7">
        <f>IF(AND(C653=0,D653=0,J653=1),1,0)</f>
        <v>0</v>
      </c>
    </row>
    <row r="654" spans="1:13">
      <c r="A654" s="7">
        <f>Raw_Passengers!A654</f>
        <v>218820</v>
      </c>
      <c r="B654" s="7">
        <f>Raw_Passengers!B654</f>
        <v>1108253</v>
      </c>
      <c r="C654" s="7">
        <f>IF(COUNTIF(Raw_Passengers!$A$2:A654,Raw_Passengers!A654)&gt;1,1,0)</f>
        <v>0</v>
      </c>
      <c r="D654" s="7">
        <f>IF(COUNTIF(Raw_Bookings!$A$2:$A$648,Raw_Passengers!B654)=0,1,0)</f>
        <v>0</v>
      </c>
      <c r="E654" s="7">
        <f>IF(OR(C654=1,D654=1),0,IF(NOT(ISNUMBER(Raw_Passengers!E654)),1,IF(Raw_Passengers!E654&lt;=0,1,0)))</f>
        <v>0</v>
      </c>
      <c r="F654" s="7">
        <f>IF(AND(C654=0,D654=0,TRIM(Raw_Passengers!D654&amp;"")=""),1,0)</f>
        <v>0</v>
      </c>
      <c r="G654" s="7" t="str">
        <f>IF(SUMPRODUCT(--(Lookup_Status!$A$2:$A$13=LOWER(TRIM(Raw_Passengers!F654))))=0,"",INDEX(Lookup_Status!$B$2:$B$13,SUMPRODUCT((Lookup_Status!$A$2:$A$13=LOWER(TRIM(Raw_Passengers!F654)))*(ROW(Lookup_Status!$A$2:$A$13)-1))))</f>
        <v>Confirmed</v>
      </c>
      <c r="H654" s="7" t="str">
        <f>IF(SUMPRODUCT(--(Lookup_Status!$A$2:$A$13=LOWER(TRIM(Raw_Passengers!G654))))=0,"",INDEX(Lookup_Status!$B$2:$B$13,SUMPRODUCT((Lookup_Status!$A$2:$A$13=LOWER(TRIM(Raw_Passengers!G654)))*(ROW(Lookup_Status!$A$2:$A$13)-1))))</f>
        <v>Confirmed</v>
      </c>
      <c r="I654" s="7">
        <f>IF(OR(G654="",G654="Cancelled",G654="Mixed"),1,0)</f>
        <v>0</v>
      </c>
      <c r="J654" s="7">
        <f>IF(OR(H654="",H654="Mixed"),1,0)</f>
        <v>0</v>
      </c>
      <c r="K654" s="7">
        <f>IF(AND(C654=0,D654=0),IF(OR(AND(I654=0,NOT(EXACT(Raw_Passengers!F654,G654))),AND(J654=0,NOT(EXACT(Raw_Passengers!G654,H654)))),1,0),0)</f>
        <v>0</v>
      </c>
      <c r="L654" s="7">
        <f>IF(AND(C654=0,D654=0,I654=1),1,0)</f>
        <v>0</v>
      </c>
      <c r="M654" s="7">
        <f>IF(AND(C654=0,D654=0,J654=1),1,0)</f>
        <v>0</v>
      </c>
    </row>
    <row r="655" spans="1:13">
      <c r="A655" s="7">
        <f>Raw_Passengers!A655</f>
        <v>218821</v>
      </c>
      <c r="B655" s="7">
        <f>Raw_Passengers!B655</f>
        <v>1108253</v>
      </c>
      <c r="C655" s="7">
        <f>IF(COUNTIF(Raw_Passengers!$A$2:A655,Raw_Passengers!A655)&gt;1,1,0)</f>
        <v>0</v>
      </c>
      <c r="D655" s="7">
        <f>IF(COUNTIF(Raw_Bookings!$A$2:$A$648,Raw_Passengers!B655)=0,1,0)</f>
        <v>0</v>
      </c>
      <c r="E655" s="7">
        <f>IF(OR(C655=1,D655=1),0,IF(NOT(ISNUMBER(Raw_Passengers!E655)),1,IF(Raw_Passengers!E655&lt;=0,1,0)))</f>
        <v>0</v>
      </c>
      <c r="F655" s="7">
        <f>IF(AND(C655=0,D655=0,TRIM(Raw_Passengers!D655&amp;"")=""),1,0)</f>
        <v>0</v>
      </c>
      <c r="G655" s="7" t="str">
        <f>IF(SUMPRODUCT(--(Lookup_Status!$A$2:$A$13=LOWER(TRIM(Raw_Passengers!F655))))=0,"",INDEX(Lookup_Status!$B$2:$B$13,SUMPRODUCT((Lookup_Status!$A$2:$A$13=LOWER(TRIM(Raw_Passengers!F655)))*(ROW(Lookup_Status!$A$2:$A$13)-1))))</f>
        <v>Confirmed</v>
      </c>
      <c r="H655" s="7" t="str">
        <f>IF(SUMPRODUCT(--(Lookup_Status!$A$2:$A$13=LOWER(TRIM(Raw_Passengers!G655))))=0,"",INDEX(Lookup_Status!$B$2:$B$13,SUMPRODUCT((Lookup_Status!$A$2:$A$13=LOWER(TRIM(Raw_Passengers!G655)))*(ROW(Lookup_Status!$A$2:$A$13)-1))))</f>
        <v>Confirmed</v>
      </c>
      <c r="I655" s="7">
        <f>IF(OR(G655="",G655="Cancelled",G655="Mixed"),1,0)</f>
        <v>0</v>
      </c>
      <c r="J655" s="7">
        <f>IF(OR(H655="",H655="Mixed"),1,0)</f>
        <v>0</v>
      </c>
      <c r="K655" s="7">
        <f>IF(AND(C655=0,D655=0),IF(OR(AND(I655=0,NOT(EXACT(Raw_Passengers!F655,G655))),AND(J655=0,NOT(EXACT(Raw_Passengers!G655,H655)))),1,0),0)</f>
        <v>0</v>
      </c>
      <c r="L655" s="7">
        <f>IF(AND(C655=0,D655=0,I655=1),1,0)</f>
        <v>0</v>
      </c>
      <c r="M655" s="7">
        <f>IF(AND(C655=0,D655=0,J655=1),1,0)</f>
        <v>0</v>
      </c>
    </row>
    <row r="656" spans="1:13">
      <c r="A656" s="7">
        <f>Raw_Passengers!A656</f>
        <v>219140</v>
      </c>
      <c r="B656" s="7">
        <f>Raw_Passengers!B656</f>
        <v>1108410</v>
      </c>
      <c r="C656" s="7">
        <f>IF(COUNTIF(Raw_Passengers!$A$2:A656,Raw_Passengers!A656)&gt;1,1,0)</f>
        <v>0</v>
      </c>
      <c r="D656" s="7">
        <f>IF(COUNTIF(Raw_Bookings!$A$2:$A$648,Raw_Passengers!B656)=0,1,0)</f>
        <v>0</v>
      </c>
      <c r="E656" s="7">
        <f>IF(OR(C656=1,D656=1),0,IF(NOT(ISNUMBER(Raw_Passengers!E656)),1,IF(Raw_Passengers!E656&lt;=0,1,0)))</f>
        <v>0</v>
      </c>
      <c r="F656" s="7">
        <f>IF(AND(C656=0,D656=0,TRIM(Raw_Passengers!D656&amp;"")=""),1,0)</f>
        <v>0</v>
      </c>
      <c r="G656" s="7" t="str">
        <f>IF(SUMPRODUCT(--(Lookup_Status!$A$2:$A$13=LOWER(TRIM(Raw_Passengers!F656))))=0,"",INDEX(Lookup_Status!$B$2:$B$13,SUMPRODUCT((Lookup_Status!$A$2:$A$13=LOWER(TRIM(Raw_Passengers!F656)))*(ROW(Lookup_Status!$A$2:$A$13)-1))))</f>
        <v>Confirmed</v>
      </c>
      <c r="H656" s="7" t="str">
        <f>IF(SUMPRODUCT(--(Lookup_Status!$A$2:$A$13=LOWER(TRIM(Raw_Passengers!G656))))=0,"",INDEX(Lookup_Status!$B$2:$B$13,SUMPRODUCT((Lookup_Status!$A$2:$A$13=LOWER(TRIM(Raw_Passengers!G656)))*(ROW(Lookup_Status!$A$2:$A$13)-1))))</f>
        <v>Confirmed</v>
      </c>
      <c r="I656" s="7">
        <f>IF(OR(G656="",G656="Cancelled",G656="Mixed"),1,0)</f>
        <v>0</v>
      </c>
      <c r="J656" s="7">
        <f>IF(OR(H656="",H656="Mixed"),1,0)</f>
        <v>0</v>
      </c>
      <c r="K656" s="7">
        <f>IF(AND(C656=0,D656=0),IF(OR(AND(I656=0,NOT(EXACT(Raw_Passengers!F656,G656))),AND(J656=0,NOT(EXACT(Raw_Passengers!G656,H656)))),1,0),0)</f>
        <v>0</v>
      </c>
      <c r="L656" s="7">
        <f>IF(AND(C656=0,D656=0,I656=1),1,0)</f>
        <v>0</v>
      </c>
      <c r="M656" s="7">
        <f>IF(AND(C656=0,D656=0,J656=1),1,0)</f>
        <v>0</v>
      </c>
    </row>
    <row r="657" spans="1:13">
      <c r="A657" s="7">
        <f>Raw_Passengers!A657</f>
        <v>219141</v>
      </c>
      <c r="B657" s="7">
        <f>Raw_Passengers!B657</f>
        <v>1108410</v>
      </c>
      <c r="C657" s="7">
        <f>IF(COUNTIF(Raw_Passengers!$A$2:A657,Raw_Passengers!A657)&gt;1,1,0)</f>
        <v>0</v>
      </c>
      <c r="D657" s="7">
        <f>IF(COUNTIF(Raw_Bookings!$A$2:$A$648,Raw_Passengers!B657)=0,1,0)</f>
        <v>0</v>
      </c>
      <c r="E657" s="7">
        <f>IF(OR(C657=1,D657=1),0,IF(NOT(ISNUMBER(Raw_Passengers!E657)),1,IF(Raw_Passengers!E657&lt;=0,1,0)))</f>
        <v>0</v>
      </c>
      <c r="F657" s="7">
        <f>IF(AND(C657=0,D657=0,TRIM(Raw_Passengers!D657&amp;"")=""),1,0)</f>
        <v>0</v>
      </c>
      <c r="G657" s="7" t="str">
        <f>IF(SUMPRODUCT(--(Lookup_Status!$A$2:$A$13=LOWER(TRIM(Raw_Passengers!F657))))=0,"",INDEX(Lookup_Status!$B$2:$B$13,SUMPRODUCT((Lookup_Status!$A$2:$A$13=LOWER(TRIM(Raw_Passengers!F657)))*(ROW(Lookup_Status!$A$2:$A$13)-1))))</f>
        <v>Confirmed</v>
      </c>
      <c r="H657" s="7" t="str">
        <f>IF(SUMPRODUCT(--(Lookup_Status!$A$2:$A$13=LOWER(TRIM(Raw_Passengers!G657))))=0,"",INDEX(Lookup_Status!$B$2:$B$13,SUMPRODUCT((Lookup_Status!$A$2:$A$13=LOWER(TRIM(Raw_Passengers!G657)))*(ROW(Lookup_Status!$A$2:$A$13)-1))))</f>
        <v>Confirmed</v>
      </c>
      <c r="I657" s="7">
        <f>IF(OR(G657="",G657="Cancelled",G657="Mixed"),1,0)</f>
        <v>0</v>
      </c>
      <c r="J657" s="7">
        <f>IF(OR(H657="",H657="Mixed"),1,0)</f>
        <v>0</v>
      </c>
      <c r="K657" s="7">
        <f>IF(AND(C657=0,D657=0),IF(OR(AND(I657=0,NOT(EXACT(Raw_Passengers!F657,G657))),AND(J657=0,NOT(EXACT(Raw_Passengers!G657,H657)))),1,0),0)</f>
        <v>0</v>
      </c>
      <c r="L657" s="7">
        <f>IF(AND(C657=0,D657=0,I657=1),1,0)</f>
        <v>0</v>
      </c>
      <c r="M657" s="7">
        <f>IF(AND(C657=0,D657=0,J657=1),1,0)</f>
        <v>0</v>
      </c>
    </row>
    <row r="658" spans="1:13">
      <c r="A658" s="7">
        <f>Raw_Passengers!A658</f>
        <v>219486</v>
      </c>
      <c r="B658" s="7">
        <f>Raw_Passengers!B658</f>
        <v>1108576</v>
      </c>
      <c r="C658" s="7">
        <f>IF(COUNTIF(Raw_Passengers!$A$2:A658,Raw_Passengers!A658)&gt;1,1,0)</f>
        <v>0</v>
      </c>
      <c r="D658" s="7">
        <f>IF(COUNTIF(Raw_Bookings!$A$2:$A$648,Raw_Passengers!B658)=0,1,0)</f>
        <v>0</v>
      </c>
      <c r="E658" s="7">
        <f>IF(OR(C658=1,D658=1),0,IF(NOT(ISNUMBER(Raw_Passengers!E658)),1,IF(Raw_Passengers!E658&lt;=0,1,0)))</f>
        <v>0</v>
      </c>
      <c r="F658" s="7">
        <f>IF(AND(C658=0,D658=0,TRIM(Raw_Passengers!D658&amp;"")=""),1,0)</f>
        <v>0</v>
      </c>
      <c r="G658" s="7" t="str">
        <f>IF(SUMPRODUCT(--(Lookup_Status!$A$2:$A$13=LOWER(TRIM(Raw_Passengers!F658))))=0,"",INDEX(Lookup_Status!$B$2:$B$13,SUMPRODUCT((Lookup_Status!$A$2:$A$13=LOWER(TRIM(Raw_Passengers!F658)))*(ROW(Lookup_Status!$A$2:$A$13)-1))))</f>
        <v>Confirmed</v>
      </c>
      <c r="H658" s="7" t="str">
        <f>IF(SUMPRODUCT(--(Lookup_Status!$A$2:$A$13=LOWER(TRIM(Raw_Passengers!G658))))=0,"",INDEX(Lookup_Status!$B$2:$B$13,SUMPRODUCT((Lookup_Status!$A$2:$A$13=LOWER(TRIM(Raw_Passengers!G658)))*(ROW(Lookup_Status!$A$2:$A$13)-1))))</f>
        <v>Confirmed</v>
      </c>
      <c r="I658" s="7">
        <f>IF(OR(G658="",G658="Cancelled",G658="Mixed"),1,0)</f>
        <v>0</v>
      </c>
      <c r="J658" s="7">
        <f>IF(OR(H658="",H658="Mixed"),1,0)</f>
        <v>0</v>
      </c>
      <c r="K658" s="7">
        <f>IF(AND(C658=0,D658=0),IF(OR(AND(I658=0,NOT(EXACT(Raw_Passengers!F658,G658))),AND(J658=0,NOT(EXACT(Raw_Passengers!G658,H658)))),1,0),0)</f>
        <v>0</v>
      </c>
      <c r="L658" s="7">
        <f>IF(AND(C658=0,D658=0,I658=1),1,0)</f>
        <v>0</v>
      </c>
      <c r="M658" s="7">
        <f>IF(AND(C658=0,D658=0,J658=1),1,0)</f>
        <v>0</v>
      </c>
    </row>
    <row r="659" spans="1:13">
      <c r="A659" s="7">
        <f>Raw_Passengers!A659</f>
        <v>219487</v>
      </c>
      <c r="B659" s="7">
        <f>Raw_Passengers!B659</f>
        <v>1108576</v>
      </c>
      <c r="C659" s="7">
        <f>IF(COUNTIF(Raw_Passengers!$A$2:A659,Raw_Passengers!A659)&gt;1,1,0)</f>
        <v>0</v>
      </c>
      <c r="D659" s="7">
        <f>IF(COUNTIF(Raw_Bookings!$A$2:$A$648,Raw_Passengers!B659)=0,1,0)</f>
        <v>0</v>
      </c>
      <c r="E659" s="7">
        <f>IF(OR(C659=1,D659=1),0,IF(NOT(ISNUMBER(Raw_Passengers!E659)),1,IF(Raw_Passengers!E659&lt;=0,1,0)))</f>
        <v>0</v>
      </c>
      <c r="F659" s="7">
        <f>IF(AND(C659=0,D659=0,TRIM(Raw_Passengers!D659&amp;"")=""),1,0)</f>
        <v>0</v>
      </c>
      <c r="G659" s="7" t="str">
        <f>IF(SUMPRODUCT(--(Lookup_Status!$A$2:$A$13=LOWER(TRIM(Raw_Passengers!F659))))=0,"",INDEX(Lookup_Status!$B$2:$B$13,SUMPRODUCT((Lookup_Status!$A$2:$A$13=LOWER(TRIM(Raw_Passengers!F659)))*(ROW(Lookup_Status!$A$2:$A$13)-1))))</f>
        <v>Confirmed</v>
      </c>
      <c r="H659" s="7" t="str">
        <f>IF(SUMPRODUCT(--(Lookup_Status!$A$2:$A$13=LOWER(TRIM(Raw_Passengers!G659))))=0,"",INDEX(Lookup_Status!$B$2:$B$13,SUMPRODUCT((Lookup_Status!$A$2:$A$13=LOWER(TRIM(Raw_Passengers!G659)))*(ROW(Lookup_Status!$A$2:$A$13)-1))))</f>
        <v>Confirmed</v>
      </c>
      <c r="I659" s="7">
        <f>IF(OR(G659="",G659="Cancelled",G659="Mixed"),1,0)</f>
        <v>0</v>
      </c>
      <c r="J659" s="7">
        <f>IF(OR(H659="",H659="Mixed"),1,0)</f>
        <v>0</v>
      </c>
      <c r="K659" s="7">
        <f>IF(AND(C659=0,D659=0),IF(OR(AND(I659=0,NOT(EXACT(Raw_Passengers!F659,G659))),AND(J659=0,NOT(EXACT(Raw_Passengers!G659,H659)))),1,0),0)</f>
        <v>0</v>
      </c>
      <c r="L659" s="7">
        <f>IF(AND(C659=0,D659=0,I659=1),1,0)</f>
        <v>0</v>
      </c>
      <c r="M659" s="7">
        <f>IF(AND(C659=0,D659=0,J659=1),1,0)</f>
        <v>0</v>
      </c>
    </row>
    <row r="660" spans="1:13">
      <c r="A660" s="7">
        <f>Raw_Passengers!A660</f>
        <v>219488</v>
      </c>
      <c r="B660" s="7">
        <f>Raw_Passengers!B660</f>
        <v>1108576</v>
      </c>
      <c r="C660" s="7">
        <f>IF(COUNTIF(Raw_Passengers!$A$2:A660,Raw_Passengers!A660)&gt;1,1,0)</f>
        <v>0</v>
      </c>
      <c r="D660" s="7">
        <f>IF(COUNTIF(Raw_Bookings!$A$2:$A$648,Raw_Passengers!B660)=0,1,0)</f>
        <v>0</v>
      </c>
      <c r="E660" s="7">
        <f>IF(OR(C660=1,D660=1),0,IF(NOT(ISNUMBER(Raw_Passengers!E660)),1,IF(Raw_Passengers!E660&lt;=0,1,0)))</f>
        <v>0</v>
      </c>
      <c r="F660" s="7">
        <f>IF(AND(C660=0,D660=0,TRIM(Raw_Passengers!D660&amp;"")=""),1,0)</f>
        <v>0</v>
      </c>
      <c r="G660" s="7" t="str">
        <f>IF(SUMPRODUCT(--(Lookup_Status!$A$2:$A$13=LOWER(TRIM(Raw_Passengers!F660))))=0,"",INDEX(Lookup_Status!$B$2:$B$13,SUMPRODUCT((Lookup_Status!$A$2:$A$13=LOWER(TRIM(Raw_Passengers!F660)))*(ROW(Lookup_Status!$A$2:$A$13)-1))))</f>
        <v>Confirmed</v>
      </c>
      <c r="H660" s="7" t="str">
        <f>IF(SUMPRODUCT(--(Lookup_Status!$A$2:$A$13=LOWER(TRIM(Raw_Passengers!G660))))=0,"",INDEX(Lookup_Status!$B$2:$B$13,SUMPRODUCT((Lookup_Status!$A$2:$A$13=LOWER(TRIM(Raw_Passengers!G660)))*(ROW(Lookup_Status!$A$2:$A$13)-1))))</f>
        <v>Confirmed</v>
      </c>
      <c r="I660" s="7">
        <f>IF(OR(G660="",G660="Cancelled",G660="Mixed"),1,0)</f>
        <v>0</v>
      </c>
      <c r="J660" s="7">
        <f>IF(OR(H660="",H660="Mixed"),1,0)</f>
        <v>0</v>
      </c>
      <c r="K660" s="7">
        <f>IF(AND(C660=0,D660=0),IF(OR(AND(I660=0,NOT(EXACT(Raw_Passengers!F660,G660))),AND(J660=0,NOT(EXACT(Raw_Passengers!G660,H660)))),1,0),0)</f>
        <v>0</v>
      </c>
      <c r="L660" s="7">
        <f>IF(AND(C660=0,D660=0,I660=1),1,0)</f>
        <v>0</v>
      </c>
      <c r="M660" s="7">
        <f>IF(AND(C660=0,D660=0,J660=1),1,0)</f>
        <v>0</v>
      </c>
    </row>
    <row r="661" spans="1:13">
      <c r="A661" s="7">
        <f>Raw_Passengers!A661</f>
        <v>220250</v>
      </c>
      <c r="B661" s="7">
        <f>Raw_Passengers!B661</f>
        <v>1108951</v>
      </c>
      <c r="C661" s="7">
        <f>IF(COUNTIF(Raw_Passengers!$A$2:A661,Raw_Passengers!A661)&gt;1,1,0)</f>
        <v>0</v>
      </c>
      <c r="D661" s="7">
        <f>IF(COUNTIF(Raw_Bookings!$A$2:$A$648,Raw_Passengers!B661)=0,1,0)</f>
        <v>0</v>
      </c>
      <c r="E661" s="7">
        <f>IF(OR(C661=1,D661=1),0,IF(NOT(ISNUMBER(Raw_Passengers!E661)),1,IF(Raw_Passengers!E661&lt;=0,1,0)))</f>
        <v>0</v>
      </c>
      <c r="F661" s="7">
        <f>IF(AND(C661=0,D661=0,TRIM(Raw_Passengers!D661&amp;"")=""),1,0)</f>
        <v>0</v>
      </c>
      <c r="G661" s="7" t="str">
        <f>IF(SUMPRODUCT(--(Lookup_Status!$A$2:$A$13=LOWER(TRIM(Raw_Passengers!F661))))=0,"",INDEX(Lookup_Status!$B$2:$B$13,SUMPRODUCT((Lookup_Status!$A$2:$A$13=LOWER(TRIM(Raw_Passengers!F661)))*(ROW(Lookup_Status!$A$2:$A$13)-1))))</f>
        <v>Confirmed</v>
      </c>
      <c r="H661" s="7" t="str">
        <f>IF(SUMPRODUCT(--(Lookup_Status!$A$2:$A$13=LOWER(TRIM(Raw_Passengers!G661))))=0,"",INDEX(Lookup_Status!$B$2:$B$13,SUMPRODUCT((Lookup_Status!$A$2:$A$13=LOWER(TRIM(Raw_Passengers!G661)))*(ROW(Lookup_Status!$A$2:$A$13)-1))))</f>
        <v>Confirmed</v>
      </c>
      <c r="I661" s="7">
        <f>IF(OR(G661="",G661="Cancelled",G661="Mixed"),1,0)</f>
        <v>0</v>
      </c>
      <c r="J661" s="7">
        <f>IF(OR(H661="",H661="Mixed"),1,0)</f>
        <v>0</v>
      </c>
      <c r="K661" s="7">
        <f>IF(AND(C661=0,D661=0),IF(OR(AND(I661=0,NOT(EXACT(Raw_Passengers!F661,G661))),AND(J661=0,NOT(EXACT(Raw_Passengers!G661,H661)))),1,0),0)</f>
        <v>0</v>
      </c>
      <c r="L661" s="7">
        <f>IF(AND(C661=0,D661=0,I661=1),1,0)</f>
        <v>0</v>
      </c>
      <c r="M661" s="7">
        <f>IF(AND(C661=0,D661=0,J661=1),1,0)</f>
        <v>0</v>
      </c>
    </row>
    <row r="662" spans="1:13">
      <c r="A662" s="7">
        <f>Raw_Passengers!A662</f>
        <v>220251</v>
      </c>
      <c r="B662" s="7">
        <f>Raw_Passengers!B662</f>
        <v>1108951</v>
      </c>
      <c r="C662" s="7">
        <f>IF(COUNTIF(Raw_Passengers!$A$2:A662,Raw_Passengers!A662)&gt;1,1,0)</f>
        <v>0</v>
      </c>
      <c r="D662" s="7">
        <f>IF(COUNTIF(Raw_Bookings!$A$2:$A$648,Raw_Passengers!B662)=0,1,0)</f>
        <v>0</v>
      </c>
      <c r="E662" s="7">
        <f>IF(OR(C662=1,D662=1),0,IF(NOT(ISNUMBER(Raw_Passengers!E662)),1,IF(Raw_Passengers!E662&lt;=0,1,0)))</f>
        <v>0</v>
      </c>
      <c r="F662" s="7">
        <f>IF(AND(C662=0,D662=0,TRIM(Raw_Passengers!D662&amp;"")=""),1,0)</f>
        <v>0</v>
      </c>
      <c r="G662" s="7" t="str">
        <f>IF(SUMPRODUCT(--(Lookup_Status!$A$2:$A$13=LOWER(TRIM(Raw_Passengers!F662))))=0,"",INDEX(Lookup_Status!$B$2:$B$13,SUMPRODUCT((Lookup_Status!$A$2:$A$13=LOWER(TRIM(Raw_Passengers!F662)))*(ROW(Lookup_Status!$A$2:$A$13)-1))))</f>
        <v>Confirmed</v>
      </c>
      <c r="H662" s="7" t="str">
        <f>IF(SUMPRODUCT(--(Lookup_Status!$A$2:$A$13=LOWER(TRIM(Raw_Passengers!G662))))=0,"",INDEX(Lookup_Status!$B$2:$B$13,SUMPRODUCT((Lookup_Status!$A$2:$A$13=LOWER(TRIM(Raw_Passengers!G662)))*(ROW(Lookup_Status!$A$2:$A$13)-1))))</f>
        <v>Confirmed</v>
      </c>
      <c r="I662" s="7">
        <f>IF(OR(G662="",G662="Cancelled",G662="Mixed"),1,0)</f>
        <v>0</v>
      </c>
      <c r="J662" s="7">
        <f>IF(OR(H662="",H662="Mixed"),1,0)</f>
        <v>0</v>
      </c>
      <c r="K662" s="7">
        <f>IF(AND(C662=0,D662=0),IF(OR(AND(I662=0,NOT(EXACT(Raw_Passengers!F662,G662))),AND(J662=0,NOT(EXACT(Raw_Passengers!G662,H662)))),1,0),0)</f>
        <v>0</v>
      </c>
      <c r="L662" s="7">
        <f>IF(AND(C662=0,D662=0,I662=1),1,0)</f>
        <v>0</v>
      </c>
      <c r="M662" s="7">
        <f>IF(AND(C662=0,D662=0,J662=1),1,0)</f>
        <v>0</v>
      </c>
    </row>
    <row r="663" spans="1:13">
      <c r="A663" s="7">
        <f>Raw_Passengers!A663</f>
        <v>220252</v>
      </c>
      <c r="B663" s="7">
        <f>Raw_Passengers!B663</f>
        <v>1108951</v>
      </c>
      <c r="C663" s="7">
        <f>IF(COUNTIF(Raw_Passengers!$A$2:A663,Raw_Passengers!A663)&gt;1,1,0)</f>
        <v>0</v>
      </c>
      <c r="D663" s="7">
        <f>IF(COUNTIF(Raw_Bookings!$A$2:$A$648,Raw_Passengers!B663)=0,1,0)</f>
        <v>0</v>
      </c>
      <c r="E663" s="7">
        <f>IF(OR(C663=1,D663=1),0,IF(NOT(ISNUMBER(Raw_Passengers!E663)),1,IF(Raw_Passengers!E663&lt;=0,1,0)))</f>
        <v>0</v>
      </c>
      <c r="F663" s="7">
        <f>IF(AND(C663=0,D663=0,TRIM(Raw_Passengers!D663&amp;"")=""),1,0)</f>
        <v>0</v>
      </c>
      <c r="G663" s="7" t="str">
        <f>IF(SUMPRODUCT(--(Lookup_Status!$A$2:$A$13=LOWER(TRIM(Raw_Passengers!F663))))=0,"",INDEX(Lookup_Status!$B$2:$B$13,SUMPRODUCT((Lookup_Status!$A$2:$A$13=LOWER(TRIM(Raw_Passengers!F663)))*(ROW(Lookup_Status!$A$2:$A$13)-1))))</f>
        <v>Confirmed</v>
      </c>
      <c r="H663" s="7" t="str">
        <f>IF(SUMPRODUCT(--(Lookup_Status!$A$2:$A$13=LOWER(TRIM(Raw_Passengers!G663))))=0,"",INDEX(Lookup_Status!$B$2:$B$13,SUMPRODUCT((Lookup_Status!$A$2:$A$13=LOWER(TRIM(Raw_Passengers!G663)))*(ROW(Lookup_Status!$A$2:$A$13)-1))))</f>
        <v>Confirmed</v>
      </c>
      <c r="I663" s="7">
        <f>IF(OR(G663="",G663="Cancelled",G663="Mixed"),1,0)</f>
        <v>0</v>
      </c>
      <c r="J663" s="7">
        <f>IF(OR(H663="",H663="Mixed"),1,0)</f>
        <v>0</v>
      </c>
      <c r="K663" s="7">
        <f>IF(AND(C663=0,D663=0),IF(OR(AND(I663=0,NOT(EXACT(Raw_Passengers!F663,G663))),AND(J663=0,NOT(EXACT(Raw_Passengers!G663,H663)))),1,0),0)</f>
        <v>0</v>
      </c>
      <c r="L663" s="7">
        <f>IF(AND(C663=0,D663=0,I663=1),1,0)</f>
        <v>0</v>
      </c>
      <c r="M663" s="7">
        <f>IF(AND(C663=0,D663=0,J663=1),1,0)</f>
        <v>0</v>
      </c>
    </row>
    <row r="664" spans="1:13">
      <c r="A664" s="7">
        <f>Raw_Passengers!A664</f>
        <v>220253</v>
      </c>
      <c r="B664" s="7">
        <f>Raw_Passengers!B664</f>
        <v>1108951</v>
      </c>
      <c r="C664" s="7">
        <f>IF(COUNTIF(Raw_Passengers!$A$2:A664,Raw_Passengers!A664)&gt;1,1,0)</f>
        <v>0</v>
      </c>
      <c r="D664" s="7">
        <f>IF(COUNTIF(Raw_Bookings!$A$2:$A$648,Raw_Passengers!B664)=0,1,0)</f>
        <v>0</v>
      </c>
      <c r="E664" s="7">
        <f>IF(OR(C664=1,D664=1),0,IF(NOT(ISNUMBER(Raw_Passengers!E664)),1,IF(Raw_Passengers!E664&lt;=0,1,0)))</f>
        <v>0</v>
      </c>
      <c r="F664" s="7">
        <f>IF(AND(C664=0,D664=0,TRIM(Raw_Passengers!D664&amp;"")=""),1,0)</f>
        <v>0</v>
      </c>
      <c r="G664" s="7" t="str">
        <f>IF(SUMPRODUCT(--(Lookup_Status!$A$2:$A$13=LOWER(TRIM(Raw_Passengers!F664))))=0,"",INDEX(Lookup_Status!$B$2:$B$13,SUMPRODUCT((Lookup_Status!$A$2:$A$13=LOWER(TRIM(Raw_Passengers!F664)))*(ROW(Lookup_Status!$A$2:$A$13)-1))))</f>
        <v>Confirmed</v>
      </c>
      <c r="H664" s="7" t="str">
        <f>IF(SUMPRODUCT(--(Lookup_Status!$A$2:$A$13=LOWER(TRIM(Raw_Passengers!G664))))=0,"",INDEX(Lookup_Status!$B$2:$B$13,SUMPRODUCT((Lookup_Status!$A$2:$A$13=LOWER(TRIM(Raw_Passengers!G664)))*(ROW(Lookup_Status!$A$2:$A$13)-1))))</f>
        <v>Confirmed</v>
      </c>
      <c r="I664" s="7">
        <f>IF(OR(G664="",G664="Cancelled",G664="Mixed"),1,0)</f>
        <v>0</v>
      </c>
      <c r="J664" s="7">
        <f>IF(OR(H664="",H664="Mixed"),1,0)</f>
        <v>0</v>
      </c>
      <c r="K664" s="7">
        <f>IF(AND(C664=0,D664=0),IF(OR(AND(I664=0,NOT(EXACT(Raw_Passengers!F664,G664))),AND(J664=0,NOT(EXACT(Raw_Passengers!G664,H664)))),1,0),0)</f>
        <v>0</v>
      </c>
      <c r="L664" s="7">
        <f>IF(AND(C664=0,D664=0,I664=1),1,0)</f>
        <v>0</v>
      </c>
      <c r="M664" s="7">
        <f>IF(AND(C664=0,D664=0,J664=1),1,0)</f>
        <v>0</v>
      </c>
    </row>
    <row r="665" spans="1:13">
      <c r="A665" s="7">
        <f>Raw_Passengers!A665</f>
        <v>221073</v>
      </c>
      <c r="B665" s="7">
        <f>Raw_Passengers!B665</f>
        <v>1109362</v>
      </c>
      <c r="C665" s="7">
        <f>IF(COUNTIF(Raw_Passengers!$A$2:A665,Raw_Passengers!A665)&gt;1,1,0)</f>
        <v>0</v>
      </c>
      <c r="D665" s="7">
        <f>IF(COUNTIF(Raw_Bookings!$A$2:$A$648,Raw_Passengers!B665)=0,1,0)</f>
        <v>0</v>
      </c>
      <c r="E665" s="7">
        <f>IF(OR(C665=1,D665=1),0,IF(NOT(ISNUMBER(Raw_Passengers!E665)),1,IF(Raw_Passengers!E665&lt;=0,1,0)))</f>
        <v>0</v>
      </c>
      <c r="F665" s="7">
        <f>IF(AND(C665=0,D665=0,TRIM(Raw_Passengers!D665&amp;"")=""),1,0)</f>
        <v>0</v>
      </c>
      <c r="G665" s="7" t="str">
        <f>IF(SUMPRODUCT(--(Lookup_Status!$A$2:$A$13=LOWER(TRIM(Raw_Passengers!F665))))=0,"",INDEX(Lookup_Status!$B$2:$B$13,SUMPRODUCT((Lookup_Status!$A$2:$A$13=LOWER(TRIM(Raw_Passengers!F665)))*(ROW(Lookup_Status!$A$2:$A$13)-1))))</f>
        <v>Confirmed</v>
      </c>
      <c r="H665" s="7" t="str">
        <f>IF(SUMPRODUCT(--(Lookup_Status!$A$2:$A$13=LOWER(TRIM(Raw_Passengers!G665))))=0,"",INDEX(Lookup_Status!$B$2:$B$13,SUMPRODUCT((Lookup_Status!$A$2:$A$13=LOWER(TRIM(Raw_Passengers!G665)))*(ROW(Lookup_Status!$A$2:$A$13)-1))))</f>
        <v>Confirmed</v>
      </c>
      <c r="I665" s="7">
        <f>IF(OR(G665="",G665="Cancelled",G665="Mixed"),1,0)</f>
        <v>0</v>
      </c>
      <c r="J665" s="7">
        <f>IF(OR(H665="",H665="Mixed"),1,0)</f>
        <v>0</v>
      </c>
      <c r="K665" s="7">
        <f>IF(AND(C665=0,D665=0),IF(OR(AND(I665=0,NOT(EXACT(Raw_Passengers!F665,G665))),AND(J665=0,NOT(EXACT(Raw_Passengers!G665,H665)))),1,0),0)</f>
        <v>0</v>
      </c>
      <c r="L665" s="7">
        <f>IF(AND(C665=0,D665=0,I665=1),1,0)</f>
        <v>0</v>
      </c>
      <c r="M665" s="7">
        <f>IF(AND(C665=0,D665=0,J665=1),1,0)</f>
        <v>0</v>
      </c>
    </row>
    <row r="666" spans="1:13">
      <c r="A666" s="7">
        <f>Raw_Passengers!A666</f>
        <v>221665</v>
      </c>
      <c r="B666" s="7">
        <f>Raw_Passengers!B666</f>
        <v>1109655</v>
      </c>
      <c r="C666" s="7">
        <f>IF(COUNTIF(Raw_Passengers!$A$2:A666,Raw_Passengers!A666)&gt;1,1,0)</f>
        <v>0</v>
      </c>
      <c r="D666" s="7">
        <f>IF(COUNTIF(Raw_Bookings!$A$2:$A$648,Raw_Passengers!B666)=0,1,0)</f>
        <v>0</v>
      </c>
      <c r="E666" s="7">
        <f>IF(OR(C666=1,D666=1),0,IF(NOT(ISNUMBER(Raw_Passengers!E666)),1,IF(Raw_Passengers!E666&lt;=0,1,0)))</f>
        <v>0</v>
      </c>
      <c r="F666" s="7">
        <f>IF(AND(C666=0,D666=0,TRIM(Raw_Passengers!D666&amp;"")=""),1,0)</f>
        <v>0</v>
      </c>
      <c r="G666" s="7" t="str">
        <f>IF(SUMPRODUCT(--(Lookup_Status!$A$2:$A$13=LOWER(TRIM(Raw_Passengers!F666))))=0,"",INDEX(Lookup_Status!$B$2:$B$13,SUMPRODUCT((Lookup_Status!$A$2:$A$13=LOWER(TRIM(Raw_Passengers!F666)))*(ROW(Lookup_Status!$A$2:$A$13)-1))))</f>
        <v>Waitlisted</v>
      </c>
      <c r="H666" s="7" t="str">
        <f>IF(SUMPRODUCT(--(Lookup_Status!$A$2:$A$13=LOWER(TRIM(Raw_Passengers!G666))))=0,"",INDEX(Lookup_Status!$B$2:$B$13,SUMPRODUCT((Lookup_Status!$A$2:$A$13=LOWER(TRIM(Raw_Passengers!G666)))*(ROW(Lookup_Status!$A$2:$A$13)-1))))</f>
        <v>Cancelled</v>
      </c>
      <c r="I666" s="7">
        <f>IF(OR(G666="",G666="Cancelled",G666="Mixed"),1,0)</f>
        <v>0</v>
      </c>
      <c r="J666" s="7">
        <f>IF(OR(H666="",H666="Mixed"),1,0)</f>
        <v>0</v>
      </c>
      <c r="K666" s="7">
        <f>IF(AND(C666=0,D666=0),IF(OR(AND(I666=0,NOT(EXACT(Raw_Passengers!F666,G666))),AND(J666=0,NOT(EXACT(Raw_Passengers!G666,H666)))),1,0),0)</f>
        <v>0</v>
      </c>
      <c r="L666" s="7">
        <f>IF(AND(C666=0,D666=0,I666=1),1,0)</f>
        <v>0</v>
      </c>
      <c r="M666" s="7">
        <f>IF(AND(C666=0,D666=0,J666=1),1,0)</f>
        <v>0</v>
      </c>
    </row>
    <row r="667" spans="1:13">
      <c r="A667" s="7">
        <f>Raw_Passengers!A667</f>
        <v>221747</v>
      </c>
      <c r="B667" s="7">
        <f>Raw_Passengers!B667</f>
        <v>1109693</v>
      </c>
      <c r="C667" s="7">
        <f>IF(COUNTIF(Raw_Passengers!$A$2:A667,Raw_Passengers!A667)&gt;1,1,0)</f>
        <v>0</v>
      </c>
      <c r="D667" s="7">
        <f>IF(COUNTIF(Raw_Bookings!$A$2:$A$648,Raw_Passengers!B667)=0,1,0)</f>
        <v>0</v>
      </c>
      <c r="E667" s="7">
        <f>IF(OR(C667=1,D667=1),0,IF(NOT(ISNUMBER(Raw_Passengers!E667)),1,IF(Raw_Passengers!E667&lt;=0,1,0)))</f>
        <v>0</v>
      </c>
      <c r="F667" s="7">
        <f>IF(AND(C667=0,D667=0,TRIM(Raw_Passengers!D667&amp;"")=""),1,0)</f>
        <v>0</v>
      </c>
      <c r="G667" s="7" t="str">
        <f>IF(SUMPRODUCT(--(Lookup_Status!$A$2:$A$13=LOWER(TRIM(Raw_Passengers!F667))))=0,"",INDEX(Lookup_Status!$B$2:$B$13,SUMPRODUCT((Lookup_Status!$A$2:$A$13=LOWER(TRIM(Raw_Passengers!F667)))*(ROW(Lookup_Status!$A$2:$A$13)-1))))</f>
        <v>Confirmed</v>
      </c>
      <c r="H667" s="7" t="str">
        <f>IF(SUMPRODUCT(--(Lookup_Status!$A$2:$A$13=LOWER(TRIM(Raw_Passengers!G667))))=0,"",INDEX(Lookup_Status!$B$2:$B$13,SUMPRODUCT((Lookup_Status!$A$2:$A$13=LOWER(TRIM(Raw_Passengers!G667)))*(ROW(Lookup_Status!$A$2:$A$13)-1))))</f>
        <v>Confirmed</v>
      </c>
      <c r="I667" s="7">
        <f>IF(OR(G667="",G667="Cancelled",G667="Mixed"),1,0)</f>
        <v>0</v>
      </c>
      <c r="J667" s="7">
        <f>IF(OR(H667="",H667="Mixed"),1,0)</f>
        <v>0</v>
      </c>
      <c r="K667" s="7">
        <f>IF(AND(C667=0,D667=0),IF(OR(AND(I667=0,NOT(EXACT(Raw_Passengers!F667,G667))),AND(J667=0,NOT(EXACT(Raw_Passengers!G667,H667)))),1,0),0)</f>
        <v>0</v>
      </c>
      <c r="L667" s="7">
        <f>IF(AND(C667=0,D667=0,I667=1),1,0)</f>
        <v>0</v>
      </c>
      <c r="M667" s="7">
        <f>IF(AND(C667=0,D667=0,J667=1),1,0)</f>
        <v>0</v>
      </c>
    </row>
    <row r="668" spans="1:13">
      <c r="A668" s="7">
        <f>Raw_Passengers!A668</f>
        <v>221903</v>
      </c>
      <c r="B668" s="7">
        <f>Raw_Passengers!B668</f>
        <v>1109783</v>
      </c>
      <c r="C668" s="7">
        <f>IF(COUNTIF(Raw_Passengers!$A$2:A668,Raw_Passengers!A668)&gt;1,1,0)</f>
        <v>0</v>
      </c>
      <c r="D668" s="7">
        <f>IF(COUNTIF(Raw_Bookings!$A$2:$A$648,Raw_Passengers!B668)=0,1,0)</f>
        <v>0</v>
      </c>
      <c r="E668" s="7">
        <f>IF(OR(C668=1,D668=1),0,IF(NOT(ISNUMBER(Raw_Passengers!E668)),1,IF(Raw_Passengers!E668&lt;=0,1,0)))</f>
        <v>0</v>
      </c>
      <c r="F668" s="7">
        <f>IF(AND(C668=0,D668=0,TRIM(Raw_Passengers!D668&amp;"")=""),1,0)</f>
        <v>0</v>
      </c>
      <c r="G668" s="7" t="str">
        <f>IF(SUMPRODUCT(--(Lookup_Status!$A$2:$A$13=LOWER(TRIM(Raw_Passengers!F668))))=0,"",INDEX(Lookup_Status!$B$2:$B$13,SUMPRODUCT((Lookup_Status!$A$2:$A$13=LOWER(TRIM(Raw_Passengers!F668)))*(ROW(Lookup_Status!$A$2:$A$13)-1))))</f>
        <v>Confirmed</v>
      </c>
      <c r="H668" s="7" t="str">
        <f>IF(SUMPRODUCT(--(Lookup_Status!$A$2:$A$13=LOWER(TRIM(Raw_Passengers!G668))))=0,"",INDEX(Lookup_Status!$B$2:$B$13,SUMPRODUCT((Lookup_Status!$A$2:$A$13=LOWER(TRIM(Raw_Passengers!G668)))*(ROW(Lookup_Status!$A$2:$A$13)-1))))</f>
        <v>Confirmed</v>
      </c>
      <c r="I668" s="7">
        <f>IF(OR(G668="",G668="Cancelled",G668="Mixed"),1,0)</f>
        <v>0</v>
      </c>
      <c r="J668" s="7">
        <f>IF(OR(H668="",H668="Mixed"),1,0)</f>
        <v>0</v>
      </c>
      <c r="K668" s="7">
        <f>IF(AND(C668=0,D668=0),IF(OR(AND(I668=0,NOT(EXACT(Raw_Passengers!F668,G668))),AND(J668=0,NOT(EXACT(Raw_Passengers!G668,H668)))),1,0),0)</f>
        <v>0</v>
      </c>
      <c r="L668" s="7">
        <f>IF(AND(C668=0,D668=0,I668=1),1,0)</f>
        <v>0</v>
      </c>
      <c r="M668" s="7">
        <f>IF(AND(C668=0,D668=0,J668=1),1,0)</f>
        <v>0</v>
      </c>
    </row>
    <row r="669" spans="1:13">
      <c r="A669" s="7">
        <f>Raw_Passengers!A669</f>
        <v>221950</v>
      </c>
      <c r="B669" s="7">
        <f>Raw_Passengers!B669</f>
        <v>1109812</v>
      </c>
      <c r="C669" s="7">
        <f>IF(COUNTIF(Raw_Passengers!$A$2:A669,Raw_Passengers!A669)&gt;1,1,0)</f>
        <v>0</v>
      </c>
      <c r="D669" s="7">
        <f>IF(COUNTIF(Raw_Bookings!$A$2:$A$648,Raw_Passengers!B669)=0,1,0)</f>
        <v>0</v>
      </c>
      <c r="E669" s="7">
        <f>IF(OR(C669=1,D669=1),0,IF(NOT(ISNUMBER(Raw_Passengers!E669)),1,IF(Raw_Passengers!E669&lt;=0,1,0)))</f>
        <v>0</v>
      </c>
      <c r="F669" s="7">
        <f>IF(AND(C669=0,D669=0,TRIM(Raw_Passengers!D669&amp;"")=""),1,0)</f>
        <v>0</v>
      </c>
      <c r="G669" s="7" t="str">
        <f>IF(SUMPRODUCT(--(Lookup_Status!$A$2:$A$13=LOWER(TRIM(Raw_Passengers!F669))))=0,"",INDEX(Lookup_Status!$B$2:$B$13,SUMPRODUCT((Lookup_Status!$A$2:$A$13=LOWER(TRIM(Raw_Passengers!F669)))*(ROW(Lookup_Status!$A$2:$A$13)-1))))</f>
        <v>Confirmed</v>
      </c>
      <c r="H669" s="7" t="str">
        <f>IF(SUMPRODUCT(--(Lookup_Status!$A$2:$A$13=LOWER(TRIM(Raw_Passengers!G669))))=0,"",INDEX(Lookup_Status!$B$2:$B$13,SUMPRODUCT((Lookup_Status!$A$2:$A$13=LOWER(TRIM(Raw_Passengers!G669)))*(ROW(Lookup_Status!$A$2:$A$13)-1))))</f>
        <v>Confirmed</v>
      </c>
      <c r="I669" s="7">
        <f>IF(OR(G669="",G669="Cancelled",G669="Mixed"),1,0)</f>
        <v>0</v>
      </c>
      <c r="J669" s="7">
        <f>IF(OR(H669="",H669="Mixed"),1,0)</f>
        <v>0</v>
      </c>
      <c r="K669" s="7">
        <f>IF(AND(C669=0,D669=0),IF(OR(AND(I669=0,NOT(EXACT(Raw_Passengers!F669,G669))),AND(J669=0,NOT(EXACT(Raw_Passengers!G669,H669)))),1,0),0)</f>
        <v>0</v>
      </c>
      <c r="L669" s="7">
        <f>IF(AND(C669=0,D669=0,I669=1),1,0)</f>
        <v>0</v>
      </c>
      <c r="M669" s="7">
        <f>IF(AND(C669=0,D669=0,J669=1),1,0)</f>
        <v>0</v>
      </c>
    </row>
    <row r="670" spans="1:13">
      <c r="A670" s="7">
        <f>Raw_Passengers!A670</f>
        <v>221951</v>
      </c>
      <c r="B670" s="7">
        <f>Raw_Passengers!B670</f>
        <v>1109812</v>
      </c>
      <c r="C670" s="7">
        <f>IF(COUNTIF(Raw_Passengers!$A$2:A670,Raw_Passengers!A670)&gt;1,1,0)</f>
        <v>0</v>
      </c>
      <c r="D670" s="7">
        <f>IF(COUNTIF(Raw_Bookings!$A$2:$A$648,Raw_Passengers!B670)=0,1,0)</f>
        <v>0</v>
      </c>
      <c r="E670" s="7">
        <f>IF(OR(C670=1,D670=1),0,IF(NOT(ISNUMBER(Raw_Passengers!E670)),1,IF(Raw_Passengers!E670&lt;=0,1,0)))</f>
        <v>0</v>
      </c>
      <c r="F670" s="7">
        <f>IF(AND(C670=0,D670=0,TRIM(Raw_Passengers!D670&amp;"")=""),1,0)</f>
        <v>0</v>
      </c>
      <c r="G670" s="7" t="str">
        <f>IF(SUMPRODUCT(--(Lookup_Status!$A$2:$A$13=LOWER(TRIM(Raw_Passengers!F670))))=0,"",INDEX(Lookup_Status!$B$2:$B$13,SUMPRODUCT((Lookup_Status!$A$2:$A$13=LOWER(TRIM(Raw_Passengers!F670)))*(ROW(Lookup_Status!$A$2:$A$13)-1))))</f>
        <v>Confirmed</v>
      </c>
      <c r="H670" s="7" t="str">
        <f>IF(SUMPRODUCT(--(Lookup_Status!$A$2:$A$13=LOWER(TRIM(Raw_Passengers!G670))))=0,"",INDEX(Lookup_Status!$B$2:$B$13,SUMPRODUCT((Lookup_Status!$A$2:$A$13=LOWER(TRIM(Raw_Passengers!G670)))*(ROW(Lookup_Status!$A$2:$A$13)-1))))</f>
        <v>Confirmed</v>
      </c>
      <c r="I670" s="7">
        <f>IF(OR(G670="",G670="Cancelled",G670="Mixed"),1,0)</f>
        <v>0</v>
      </c>
      <c r="J670" s="7">
        <f>IF(OR(H670="",H670="Mixed"),1,0)</f>
        <v>0</v>
      </c>
      <c r="K670" s="7">
        <f>IF(AND(C670=0,D670=0),IF(OR(AND(I670=0,NOT(EXACT(Raw_Passengers!F670,G670))),AND(J670=0,NOT(EXACT(Raw_Passengers!G670,H670)))),1,0),0)</f>
        <v>0</v>
      </c>
      <c r="L670" s="7">
        <f>IF(AND(C670=0,D670=0,I670=1),1,0)</f>
        <v>0</v>
      </c>
      <c r="M670" s="7">
        <f>IF(AND(C670=0,D670=0,J670=1),1,0)</f>
        <v>0</v>
      </c>
    </row>
    <row r="671" spans="1:13">
      <c r="A671" s="7">
        <f>Raw_Passengers!A671</f>
        <v>221952</v>
      </c>
      <c r="B671" s="7">
        <f>Raw_Passengers!B671</f>
        <v>1109812</v>
      </c>
      <c r="C671" s="7">
        <f>IF(COUNTIF(Raw_Passengers!$A$2:A671,Raw_Passengers!A671)&gt;1,1,0)</f>
        <v>0</v>
      </c>
      <c r="D671" s="7">
        <f>IF(COUNTIF(Raw_Bookings!$A$2:$A$648,Raw_Passengers!B671)=0,1,0)</f>
        <v>0</v>
      </c>
      <c r="E671" s="7">
        <f>IF(OR(C671=1,D671=1),0,IF(NOT(ISNUMBER(Raw_Passengers!E671)),1,IF(Raw_Passengers!E671&lt;=0,1,0)))</f>
        <v>0</v>
      </c>
      <c r="F671" s="7">
        <f>IF(AND(C671=0,D671=0,TRIM(Raw_Passengers!D671&amp;"")=""),1,0)</f>
        <v>0</v>
      </c>
      <c r="G671" s="7" t="str">
        <f>IF(SUMPRODUCT(--(Lookup_Status!$A$2:$A$13=LOWER(TRIM(Raw_Passengers!F671))))=0,"",INDEX(Lookup_Status!$B$2:$B$13,SUMPRODUCT((Lookup_Status!$A$2:$A$13=LOWER(TRIM(Raw_Passengers!F671)))*(ROW(Lookup_Status!$A$2:$A$13)-1))))</f>
        <v>Confirmed</v>
      </c>
      <c r="H671" s="7" t="str">
        <f>IF(SUMPRODUCT(--(Lookup_Status!$A$2:$A$13=LOWER(TRIM(Raw_Passengers!G671))))=0,"",INDEX(Lookup_Status!$B$2:$B$13,SUMPRODUCT((Lookup_Status!$A$2:$A$13=LOWER(TRIM(Raw_Passengers!G671)))*(ROW(Lookup_Status!$A$2:$A$13)-1))))</f>
        <v>Confirmed</v>
      </c>
      <c r="I671" s="7">
        <f>IF(OR(G671="",G671="Cancelled",G671="Mixed"),1,0)</f>
        <v>0</v>
      </c>
      <c r="J671" s="7">
        <f>IF(OR(H671="",H671="Mixed"),1,0)</f>
        <v>0</v>
      </c>
      <c r="K671" s="7">
        <f>IF(AND(C671=0,D671=0),IF(OR(AND(I671=0,NOT(EXACT(Raw_Passengers!F671,G671))),AND(J671=0,NOT(EXACT(Raw_Passengers!G671,H671)))),1,0),0)</f>
        <v>0</v>
      </c>
      <c r="L671" s="7">
        <f>IF(AND(C671=0,D671=0,I671=1),1,0)</f>
        <v>0</v>
      </c>
      <c r="M671" s="7">
        <f>IF(AND(C671=0,D671=0,J671=1),1,0)</f>
        <v>0</v>
      </c>
    </row>
    <row r="672" spans="1:13">
      <c r="A672" s="7">
        <f>Raw_Passengers!A672</f>
        <v>221953</v>
      </c>
      <c r="B672" s="7">
        <f>Raw_Passengers!B672</f>
        <v>1109812</v>
      </c>
      <c r="C672" s="7">
        <f>IF(COUNTIF(Raw_Passengers!$A$2:A672,Raw_Passengers!A672)&gt;1,1,0)</f>
        <v>0</v>
      </c>
      <c r="D672" s="7">
        <f>IF(COUNTIF(Raw_Bookings!$A$2:$A$648,Raw_Passengers!B672)=0,1,0)</f>
        <v>0</v>
      </c>
      <c r="E672" s="7">
        <f>IF(OR(C672=1,D672=1),0,IF(NOT(ISNUMBER(Raw_Passengers!E672)),1,IF(Raw_Passengers!E672&lt;=0,1,0)))</f>
        <v>0</v>
      </c>
      <c r="F672" s="7">
        <f>IF(AND(C672=0,D672=0,TRIM(Raw_Passengers!D672&amp;"")=""),1,0)</f>
        <v>0</v>
      </c>
      <c r="G672" s="7" t="str">
        <f>IF(SUMPRODUCT(--(Lookup_Status!$A$2:$A$13=LOWER(TRIM(Raw_Passengers!F672))))=0,"",INDEX(Lookup_Status!$B$2:$B$13,SUMPRODUCT((Lookup_Status!$A$2:$A$13=LOWER(TRIM(Raw_Passengers!F672)))*(ROW(Lookup_Status!$A$2:$A$13)-1))))</f>
        <v>Confirmed</v>
      </c>
      <c r="H672" s="7" t="str">
        <f>IF(SUMPRODUCT(--(Lookup_Status!$A$2:$A$13=LOWER(TRIM(Raw_Passengers!G672))))=0,"",INDEX(Lookup_Status!$B$2:$B$13,SUMPRODUCT((Lookup_Status!$A$2:$A$13=LOWER(TRIM(Raw_Passengers!G672)))*(ROW(Lookup_Status!$A$2:$A$13)-1))))</f>
        <v>Confirmed</v>
      </c>
      <c r="I672" s="7">
        <f>IF(OR(G672="",G672="Cancelled",G672="Mixed"),1,0)</f>
        <v>0</v>
      </c>
      <c r="J672" s="7">
        <f>IF(OR(H672="",H672="Mixed"),1,0)</f>
        <v>0</v>
      </c>
      <c r="K672" s="7">
        <f>IF(AND(C672=0,D672=0),IF(OR(AND(I672=0,NOT(EXACT(Raw_Passengers!F672,G672))),AND(J672=0,NOT(EXACT(Raw_Passengers!G672,H672)))),1,0),0)</f>
        <v>0</v>
      </c>
      <c r="L672" s="7">
        <f>IF(AND(C672=0,D672=0,I672=1),1,0)</f>
        <v>0</v>
      </c>
      <c r="M672" s="7">
        <f>IF(AND(C672=0,D672=0,J672=1),1,0)</f>
        <v>0</v>
      </c>
    </row>
    <row r="673" spans="1:13">
      <c r="A673" s="7">
        <f>Raw_Passengers!A673</f>
        <v>222219</v>
      </c>
      <c r="B673" s="7">
        <f>Raw_Passengers!B673</f>
        <v>1109946</v>
      </c>
      <c r="C673" s="7">
        <f>IF(COUNTIF(Raw_Passengers!$A$2:A673,Raw_Passengers!A673)&gt;1,1,0)</f>
        <v>0</v>
      </c>
      <c r="D673" s="7">
        <f>IF(COUNTIF(Raw_Bookings!$A$2:$A$648,Raw_Passengers!B673)=0,1,0)</f>
        <v>0</v>
      </c>
      <c r="E673" s="7">
        <f>IF(OR(C673=1,D673=1),0,IF(NOT(ISNUMBER(Raw_Passengers!E673)),1,IF(Raw_Passengers!E673&lt;=0,1,0)))</f>
        <v>0</v>
      </c>
      <c r="F673" s="7">
        <f>IF(AND(C673=0,D673=0,TRIM(Raw_Passengers!D673&amp;"")=""),1,0)</f>
        <v>0</v>
      </c>
      <c r="G673" s="7" t="str">
        <f>IF(SUMPRODUCT(--(Lookup_Status!$A$2:$A$13=LOWER(TRIM(Raw_Passengers!F673))))=0,"",INDEX(Lookup_Status!$B$2:$B$13,SUMPRODUCT((Lookup_Status!$A$2:$A$13=LOWER(TRIM(Raw_Passengers!F673)))*(ROW(Lookup_Status!$A$2:$A$13)-1))))</f>
        <v>Confirmed</v>
      </c>
      <c r="H673" s="7" t="str">
        <f>IF(SUMPRODUCT(--(Lookup_Status!$A$2:$A$13=LOWER(TRIM(Raw_Passengers!G673))))=0,"",INDEX(Lookup_Status!$B$2:$B$13,SUMPRODUCT((Lookup_Status!$A$2:$A$13=LOWER(TRIM(Raw_Passengers!G673)))*(ROW(Lookup_Status!$A$2:$A$13)-1))))</f>
        <v>Confirmed</v>
      </c>
      <c r="I673" s="7">
        <f>IF(OR(G673="",G673="Cancelled",G673="Mixed"),1,0)</f>
        <v>0</v>
      </c>
      <c r="J673" s="7">
        <f>IF(OR(H673="",H673="Mixed"),1,0)</f>
        <v>0</v>
      </c>
      <c r="K673" s="7">
        <f>IF(AND(C673=0,D673=0),IF(OR(AND(I673=0,NOT(EXACT(Raw_Passengers!F673,G673))),AND(J673=0,NOT(EXACT(Raw_Passengers!G673,H673)))),1,0),0)</f>
        <v>0</v>
      </c>
      <c r="L673" s="7">
        <f>IF(AND(C673=0,D673=0,I673=1),1,0)</f>
        <v>0</v>
      </c>
      <c r="M673" s="7">
        <f>IF(AND(C673=0,D673=0,J673=1),1,0)</f>
        <v>0</v>
      </c>
    </row>
    <row r="674" spans="1:13">
      <c r="A674" s="7">
        <f>Raw_Passengers!A674</f>
        <v>222220</v>
      </c>
      <c r="B674" s="7">
        <f>Raw_Passengers!B674</f>
        <v>1109946</v>
      </c>
      <c r="C674" s="7">
        <f>IF(COUNTIF(Raw_Passengers!$A$2:A674,Raw_Passengers!A674)&gt;1,1,0)</f>
        <v>0</v>
      </c>
      <c r="D674" s="7">
        <f>IF(COUNTIF(Raw_Bookings!$A$2:$A$648,Raw_Passengers!B674)=0,1,0)</f>
        <v>0</v>
      </c>
      <c r="E674" s="7">
        <f>IF(OR(C674=1,D674=1),0,IF(NOT(ISNUMBER(Raw_Passengers!E674)),1,IF(Raw_Passengers!E674&lt;=0,1,0)))</f>
        <v>0</v>
      </c>
      <c r="F674" s="7">
        <f>IF(AND(C674=0,D674=0,TRIM(Raw_Passengers!D674&amp;"")=""),1,0)</f>
        <v>0</v>
      </c>
      <c r="G674" s="7" t="str">
        <f>IF(SUMPRODUCT(--(Lookup_Status!$A$2:$A$13=LOWER(TRIM(Raw_Passengers!F674))))=0,"",INDEX(Lookup_Status!$B$2:$B$13,SUMPRODUCT((Lookup_Status!$A$2:$A$13=LOWER(TRIM(Raw_Passengers!F674)))*(ROW(Lookup_Status!$A$2:$A$13)-1))))</f>
        <v>Confirmed</v>
      </c>
      <c r="H674" s="7" t="str">
        <f>IF(SUMPRODUCT(--(Lookup_Status!$A$2:$A$13=LOWER(TRIM(Raw_Passengers!G674))))=0,"",INDEX(Lookup_Status!$B$2:$B$13,SUMPRODUCT((Lookup_Status!$A$2:$A$13=LOWER(TRIM(Raw_Passengers!G674)))*(ROW(Lookup_Status!$A$2:$A$13)-1))))</f>
        <v>Confirmed</v>
      </c>
      <c r="I674" s="7">
        <f>IF(OR(G674="",G674="Cancelled",G674="Mixed"),1,0)</f>
        <v>0</v>
      </c>
      <c r="J674" s="7">
        <f>IF(OR(H674="",H674="Mixed"),1,0)</f>
        <v>0</v>
      </c>
      <c r="K674" s="7">
        <f>IF(AND(C674=0,D674=0),IF(OR(AND(I674=0,NOT(EXACT(Raw_Passengers!F674,G674))),AND(J674=0,NOT(EXACT(Raw_Passengers!G674,H674)))),1,0),0)</f>
        <v>0</v>
      </c>
      <c r="L674" s="7">
        <f>IF(AND(C674=0,D674=0,I674=1),1,0)</f>
        <v>0</v>
      </c>
      <c r="M674" s="7">
        <f>IF(AND(C674=0,D674=0,J674=1),1,0)</f>
        <v>0</v>
      </c>
    </row>
    <row r="675" spans="1:13">
      <c r="A675" s="7">
        <f>Raw_Passengers!A675</f>
        <v>222221</v>
      </c>
      <c r="B675" s="7">
        <f>Raw_Passengers!B675</f>
        <v>1109946</v>
      </c>
      <c r="C675" s="7">
        <f>IF(COUNTIF(Raw_Passengers!$A$2:A675,Raw_Passengers!A675)&gt;1,1,0)</f>
        <v>0</v>
      </c>
      <c r="D675" s="7">
        <f>IF(COUNTIF(Raw_Bookings!$A$2:$A$648,Raw_Passengers!B675)=0,1,0)</f>
        <v>0</v>
      </c>
      <c r="E675" s="7">
        <f>IF(OR(C675=1,D675=1),0,IF(NOT(ISNUMBER(Raw_Passengers!E675)),1,IF(Raw_Passengers!E675&lt;=0,1,0)))</f>
        <v>0</v>
      </c>
      <c r="F675" s="7">
        <f>IF(AND(C675=0,D675=0,TRIM(Raw_Passengers!D675&amp;"")=""),1,0)</f>
        <v>0</v>
      </c>
      <c r="G675" s="7" t="str">
        <f>IF(SUMPRODUCT(--(Lookup_Status!$A$2:$A$13=LOWER(TRIM(Raw_Passengers!F675))))=0,"",INDEX(Lookup_Status!$B$2:$B$13,SUMPRODUCT((Lookup_Status!$A$2:$A$13=LOWER(TRIM(Raw_Passengers!F675)))*(ROW(Lookup_Status!$A$2:$A$13)-1))))</f>
        <v>Confirmed</v>
      </c>
      <c r="H675" s="7" t="str">
        <f>IF(SUMPRODUCT(--(Lookup_Status!$A$2:$A$13=LOWER(TRIM(Raw_Passengers!G675))))=0,"",INDEX(Lookup_Status!$B$2:$B$13,SUMPRODUCT((Lookup_Status!$A$2:$A$13=LOWER(TRIM(Raw_Passengers!G675)))*(ROW(Lookup_Status!$A$2:$A$13)-1))))</f>
        <v>Confirmed</v>
      </c>
      <c r="I675" s="7">
        <f>IF(OR(G675="",G675="Cancelled",G675="Mixed"),1,0)</f>
        <v>0</v>
      </c>
      <c r="J675" s="7">
        <f>IF(OR(H675="",H675="Mixed"),1,0)</f>
        <v>0</v>
      </c>
      <c r="K675" s="7">
        <f>IF(AND(C675=0,D675=0),IF(OR(AND(I675=0,NOT(EXACT(Raw_Passengers!F675,G675))),AND(J675=0,NOT(EXACT(Raw_Passengers!G675,H675)))),1,0),0)</f>
        <v>0</v>
      </c>
      <c r="L675" s="7">
        <f>IF(AND(C675=0,D675=0,I675=1),1,0)</f>
        <v>0</v>
      </c>
      <c r="M675" s="7">
        <f>IF(AND(C675=0,D675=0,J675=1),1,0)</f>
        <v>0</v>
      </c>
    </row>
    <row r="676" spans="1:13">
      <c r="A676" s="7">
        <f>Raw_Passengers!A676</f>
        <v>222320</v>
      </c>
      <c r="B676" s="7">
        <f>Raw_Passengers!B676</f>
        <v>1109994</v>
      </c>
      <c r="C676" s="7">
        <f>IF(COUNTIF(Raw_Passengers!$A$2:A676,Raw_Passengers!A676)&gt;1,1,0)</f>
        <v>0</v>
      </c>
      <c r="D676" s="7">
        <f>IF(COUNTIF(Raw_Bookings!$A$2:$A$648,Raw_Passengers!B676)=0,1,0)</f>
        <v>0</v>
      </c>
      <c r="E676" s="7">
        <f>IF(OR(C676=1,D676=1),0,IF(NOT(ISNUMBER(Raw_Passengers!E676)),1,IF(Raw_Passengers!E676&lt;=0,1,0)))</f>
        <v>0</v>
      </c>
      <c r="F676" s="7">
        <f>IF(AND(C676=0,D676=0,TRIM(Raw_Passengers!D676&amp;"")=""),1,0)</f>
        <v>0</v>
      </c>
      <c r="G676" s="7" t="str">
        <f>IF(SUMPRODUCT(--(Lookup_Status!$A$2:$A$13=LOWER(TRIM(Raw_Passengers!F676))))=0,"",INDEX(Lookup_Status!$B$2:$B$13,SUMPRODUCT((Lookup_Status!$A$2:$A$13=LOWER(TRIM(Raw_Passengers!F676)))*(ROW(Lookup_Status!$A$2:$A$13)-1))))</f>
        <v>Confirmed</v>
      </c>
      <c r="H676" s="7" t="str">
        <f>IF(SUMPRODUCT(--(Lookup_Status!$A$2:$A$13=LOWER(TRIM(Raw_Passengers!G676))))=0,"",INDEX(Lookup_Status!$B$2:$B$13,SUMPRODUCT((Lookup_Status!$A$2:$A$13=LOWER(TRIM(Raw_Passengers!G676)))*(ROW(Lookup_Status!$A$2:$A$13)-1))))</f>
        <v>Confirmed</v>
      </c>
      <c r="I676" s="7">
        <f>IF(OR(G676="",G676="Cancelled",G676="Mixed"),1,0)</f>
        <v>0</v>
      </c>
      <c r="J676" s="7">
        <f>IF(OR(H676="",H676="Mixed"),1,0)</f>
        <v>0</v>
      </c>
      <c r="K676" s="7">
        <f>IF(AND(C676=0,D676=0),IF(OR(AND(I676=0,NOT(EXACT(Raw_Passengers!F676,G676))),AND(J676=0,NOT(EXACT(Raw_Passengers!G676,H676)))),1,0),0)</f>
        <v>0</v>
      </c>
      <c r="L676" s="7">
        <f>IF(AND(C676=0,D676=0,I676=1),1,0)</f>
        <v>0</v>
      </c>
      <c r="M676" s="7">
        <f>IF(AND(C676=0,D676=0,J676=1),1,0)</f>
        <v>0</v>
      </c>
    </row>
    <row r="677" spans="1:13">
      <c r="A677" s="7">
        <f>Raw_Passengers!A677</f>
        <v>223203</v>
      </c>
      <c r="B677" s="7">
        <f>Raw_Passengers!B677</f>
        <v>1110425</v>
      </c>
      <c r="C677" s="7">
        <f>IF(COUNTIF(Raw_Passengers!$A$2:A677,Raw_Passengers!A677)&gt;1,1,0)</f>
        <v>0</v>
      </c>
      <c r="D677" s="7">
        <f>IF(COUNTIF(Raw_Bookings!$A$2:$A$648,Raw_Passengers!B677)=0,1,0)</f>
        <v>0</v>
      </c>
      <c r="E677" s="7">
        <f>IF(OR(C677=1,D677=1),0,IF(NOT(ISNUMBER(Raw_Passengers!E677)),1,IF(Raw_Passengers!E677&lt;=0,1,0)))</f>
        <v>0</v>
      </c>
      <c r="F677" s="7">
        <f>IF(AND(C677=0,D677=0,TRIM(Raw_Passengers!D677&amp;"")=""),1,0)</f>
        <v>0</v>
      </c>
      <c r="G677" s="7">
        <f>IF(SUMPRODUCT(--(Lookup_Status!$A$2:$A$13=LOWER(TRIM(Raw_Passengers!F677))))=0,"",INDEX(Lookup_Status!$B$2:$B$13,SUMPRODUCT((Lookup_Status!$A$2:$A$13=LOWER(TRIM(Raw_Passengers!F677)))*(ROW(Lookup_Status!$A$2:$A$13)-1))))</f>
        <v/>
      </c>
      <c r="H677" s="7" t="str">
        <f>IF(SUMPRODUCT(--(Lookup_Status!$A$2:$A$13=LOWER(TRIM(Raw_Passengers!G677))))=0,"",INDEX(Lookup_Status!$B$2:$B$13,SUMPRODUCT((Lookup_Status!$A$2:$A$13=LOWER(TRIM(Raw_Passengers!G677)))*(ROW(Lookup_Status!$A$2:$A$13)-1))))</f>
        <v>Confirmed</v>
      </c>
      <c r="I677" s="7">
        <f>IF(OR(G677="",G677="Cancelled",G677="Mixed"),1,0)</f>
        <v>1</v>
      </c>
      <c r="J677" s="7">
        <f>IF(OR(H677="",H677="Mixed"),1,0)</f>
        <v>0</v>
      </c>
      <c r="K677" s="7">
        <f>IF(AND(C677=0,D677=0),IF(OR(AND(I677=0,NOT(EXACT(Raw_Passengers!F677,G677))),AND(J677=0,NOT(EXACT(Raw_Passengers!G677,H677)))),1,0),0)</f>
        <v>0</v>
      </c>
      <c r="L677" s="7">
        <f>IF(AND(C677=0,D677=0,I677=1),1,0)</f>
        <v>1</v>
      </c>
      <c r="M677" s="7">
        <f>IF(AND(C677=0,D677=0,J677=1),1,0)</f>
        <v>0</v>
      </c>
    </row>
    <row r="678" spans="1:13">
      <c r="A678" s="7">
        <f>Raw_Passengers!A678</f>
        <v>223642</v>
      </c>
      <c r="B678" s="7">
        <f>Raw_Passengers!B678</f>
        <v>1110648</v>
      </c>
      <c r="C678" s="7">
        <f>IF(COUNTIF(Raw_Passengers!$A$2:A678,Raw_Passengers!A678)&gt;1,1,0)</f>
        <v>0</v>
      </c>
      <c r="D678" s="7">
        <f>IF(COUNTIF(Raw_Bookings!$A$2:$A$648,Raw_Passengers!B678)=0,1,0)</f>
        <v>0</v>
      </c>
      <c r="E678" s="7">
        <f>IF(OR(C678=1,D678=1),0,IF(NOT(ISNUMBER(Raw_Passengers!E678)),1,IF(Raw_Passengers!E678&lt;=0,1,0)))</f>
        <v>0</v>
      </c>
      <c r="F678" s="7">
        <f>IF(AND(C678=0,D678=0,TRIM(Raw_Passengers!D678&amp;"")=""),1,0)</f>
        <v>0</v>
      </c>
      <c r="G678" s="7" t="str">
        <f>IF(SUMPRODUCT(--(Lookup_Status!$A$2:$A$13=LOWER(TRIM(Raw_Passengers!F678))))=0,"",INDEX(Lookup_Status!$B$2:$B$13,SUMPRODUCT((Lookup_Status!$A$2:$A$13=LOWER(TRIM(Raw_Passengers!F678)))*(ROW(Lookup_Status!$A$2:$A$13)-1))))</f>
        <v>Confirmed</v>
      </c>
      <c r="H678" s="7" t="str">
        <f>IF(SUMPRODUCT(--(Lookup_Status!$A$2:$A$13=LOWER(TRIM(Raw_Passengers!G678))))=0,"",INDEX(Lookup_Status!$B$2:$B$13,SUMPRODUCT((Lookup_Status!$A$2:$A$13=LOWER(TRIM(Raw_Passengers!G678)))*(ROW(Lookup_Status!$A$2:$A$13)-1))))</f>
        <v>Confirmed</v>
      </c>
      <c r="I678" s="7">
        <f>IF(OR(G678="",G678="Cancelled",G678="Mixed"),1,0)</f>
        <v>0</v>
      </c>
      <c r="J678" s="7">
        <f>IF(OR(H678="",H678="Mixed"),1,0)</f>
        <v>0</v>
      </c>
      <c r="K678" s="7">
        <f>IF(AND(C678=0,D678=0),IF(OR(AND(I678=0,NOT(EXACT(Raw_Passengers!F678,G678))),AND(J678=0,NOT(EXACT(Raw_Passengers!G678,H678)))),1,0),0)</f>
        <v>0</v>
      </c>
      <c r="L678" s="7">
        <f>IF(AND(C678=0,D678=0,I678=1),1,0)</f>
        <v>0</v>
      </c>
      <c r="M678" s="7">
        <f>IF(AND(C678=0,D678=0,J678=1),1,0)</f>
        <v>0</v>
      </c>
    </row>
    <row r="679" spans="1:13">
      <c r="A679" s="7">
        <f>Raw_Passengers!A679</f>
        <v>224183</v>
      </c>
      <c r="B679" s="7">
        <f>Raw_Passengers!B679</f>
        <v>1110928</v>
      </c>
      <c r="C679" s="7">
        <f>IF(COUNTIF(Raw_Passengers!$A$2:A679,Raw_Passengers!A679)&gt;1,1,0)</f>
        <v>0</v>
      </c>
      <c r="D679" s="7">
        <f>IF(COUNTIF(Raw_Bookings!$A$2:$A$648,Raw_Passengers!B679)=0,1,0)</f>
        <v>0</v>
      </c>
      <c r="E679" s="7">
        <f>IF(OR(C679=1,D679=1),0,IF(NOT(ISNUMBER(Raw_Passengers!E679)),1,IF(Raw_Passengers!E679&lt;=0,1,0)))</f>
        <v>0</v>
      </c>
      <c r="F679" s="7">
        <f>IF(AND(C679=0,D679=0,TRIM(Raw_Passengers!D679&amp;"")=""),1,0)</f>
        <v>0</v>
      </c>
      <c r="G679" s="7" t="str">
        <f>IF(SUMPRODUCT(--(Lookup_Status!$A$2:$A$13=LOWER(TRIM(Raw_Passengers!F679))))=0,"",INDEX(Lookup_Status!$B$2:$B$13,SUMPRODUCT((Lookup_Status!$A$2:$A$13=LOWER(TRIM(Raw_Passengers!F679)))*(ROW(Lookup_Status!$A$2:$A$13)-1))))</f>
        <v>Confirmed</v>
      </c>
      <c r="H679" s="7" t="str">
        <f>IF(SUMPRODUCT(--(Lookup_Status!$A$2:$A$13=LOWER(TRIM(Raw_Passengers!G679))))=0,"",INDEX(Lookup_Status!$B$2:$B$13,SUMPRODUCT((Lookup_Status!$A$2:$A$13=LOWER(TRIM(Raw_Passengers!G679)))*(ROW(Lookup_Status!$A$2:$A$13)-1))))</f>
        <v>Cancelled</v>
      </c>
      <c r="I679" s="7">
        <f>IF(OR(G679="",G679="Cancelled",G679="Mixed"),1,0)</f>
        <v>0</v>
      </c>
      <c r="J679" s="7">
        <f>IF(OR(H679="",H679="Mixed"),1,0)</f>
        <v>0</v>
      </c>
      <c r="K679" s="7">
        <f>IF(AND(C679=0,D679=0),IF(OR(AND(I679=0,NOT(EXACT(Raw_Passengers!F679,G679))),AND(J679=0,NOT(EXACT(Raw_Passengers!G679,H679)))),1,0),0)</f>
        <v>0</v>
      </c>
      <c r="L679" s="7">
        <f>IF(AND(C679=0,D679=0,I679=1),1,0)</f>
        <v>0</v>
      </c>
      <c r="M679" s="7">
        <f>IF(AND(C679=0,D679=0,J679=1),1,0)</f>
        <v>0</v>
      </c>
    </row>
    <row r="680" spans="1:13">
      <c r="A680" s="7">
        <f>Raw_Passengers!A680</f>
        <v>224645</v>
      </c>
      <c r="B680" s="7">
        <f>Raw_Passengers!B680</f>
        <v>1111157</v>
      </c>
      <c r="C680" s="7">
        <f>IF(COUNTIF(Raw_Passengers!$A$2:A680,Raw_Passengers!A680)&gt;1,1,0)</f>
        <v>0</v>
      </c>
      <c r="D680" s="7">
        <f>IF(COUNTIF(Raw_Bookings!$A$2:$A$648,Raw_Passengers!B680)=0,1,0)</f>
        <v>0</v>
      </c>
      <c r="E680" s="7">
        <f>IF(OR(C680=1,D680=1),0,IF(NOT(ISNUMBER(Raw_Passengers!E680)),1,IF(Raw_Passengers!E680&lt;=0,1,0)))</f>
        <v>0</v>
      </c>
      <c r="F680" s="7">
        <f>IF(AND(C680=0,D680=0,TRIM(Raw_Passengers!D680&amp;"")=""),1,0)</f>
        <v>0</v>
      </c>
      <c r="G680" s="7" t="str">
        <f>IF(SUMPRODUCT(--(Lookup_Status!$A$2:$A$13=LOWER(TRIM(Raw_Passengers!F680))))=0,"",INDEX(Lookup_Status!$B$2:$B$13,SUMPRODUCT((Lookup_Status!$A$2:$A$13=LOWER(TRIM(Raw_Passengers!F680)))*(ROW(Lookup_Status!$A$2:$A$13)-1))))</f>
        <v>Confirmed</v>
      </c>
      <c r="H680" s="7" t="str">
        <f>IF(SUMPRODUCT(--(Lookup_Status!$A$2:$A$13=LOWER(TRIM(Raw_Passengers!G680))))=0,"",INDEX(Lookup_Status!$B$2:$B$13,SUMPRODUCT((Lookup_Status!$A$2:$A$13=LOWER(TRIM(Raw_Passengers!G680)))*(ROW(Lookup_Status!$A$2:$A$13)-1))))</f>
        <v>Confirmed</v>
      </c>
      <c r="I680" s="7">
        <f>IF(OR(G680="",G680="Cancelled",G680="Mixed"),1,0)</f>
        <v>0</v>
      </c>
      <c r="J680" s="7">
        <f>IF(OR(H680="",H680="Mixed"),1,0)</f>
        <v>0</v>
      </c>
      <c r="K680" s="7">
        <f>IF(AND(C680=0,D680=0),IF(OR(AND(I680=0,NOT(EXACT(Raw_Passengers!F680,G680))),AND(J680=0,NOT(EXACT(Raw_Passengers!G680,H680)))),1,0),0)</f>
        <v>0</v>
      </c>
      <c r="L680" s="7">
        <f>IF(AND(C680=0,D680=0,I680=1),1,0)</f>
        <v>0</v>
      </c>
      <c r="M680" s="7">
        <f>IF(AND(C680=0,D680=0,J680=1),1,0)</f>
        <v>0</v>
      </c>
    </row>
    <row r="681" spans="1:13">
      <c r="A681" s="7">
        <f>Raw_Passengers!A681</f>
        <v>224646</v>
      </c>
      <c r="B681" s="7">
        <f>Raw_Passengers!B681</f>
        <v>1111157</v>
      </c>
      <c r="C681" s="7">
        <f>IF(COUNTIF(Raw_Passengers!$A$2:A681,Raw_Passengers!A681)&gt;1,1,0)</f>
        <v>0</v>
      </c>
      <c r="D681" s="7">
        <f>IF(COUNTIF(Raw_Bookings!$A$2:$A$648,Raw_Passengers!B681)=0,1,0)</f>
        <v>0</v>
      </c>
      <c r="E681" s="7">
        <f>IF(OR(C681=1,D681=1),0,IF(NOT(ISNUMBER(Raw_Passengers!E681)),1,IF(Raw_Passengers!E681&lt;=0,1,0)))</f>
        <v>0</v>
      </c>
      <c r="F681" s="7">
        <f>IF(AND(C681=0,D681=0,TRIM(Raw_Passengers!D681&amp;"")=""),1,0)</f>
        <v>0</v>
      </c>
      <c r="G681" s="7" t="str">
        <f>IF(SUMPRODUCT(--(Lookup_Status!$A$2:$A$13=LOWER(TRIM(Raw_Passengers!F681))))=0,"",INDEX(Lookup_Status!$B$2:$B$13,SUMPRODUCT((Lookup_Status!$A$2:$A$13=LOWER(TRIM(Raw_Passengers!F681)))*(ROW(Lookup_Status!$A$2:$A$13)-1))))</f>
        <v>Confirmed</v>
      </c>
      <c r="H681" s="7" t="str">
        <f>IF(SUMPRODUCT(--(Lookup_Status!$A$2:$A$13=LOWER(TRIM(Raw_Passengers!G681))))=0,"",INDEX(Lookup_Status!$B$2:$B$13,SUMPRODUCT((Lookup_Status!$A$2:$A$13=LOWER(TRIM(Raw_Passengers!G681)))*(ROW(Lookup_Status!$A$2:$A$13)-1))))</f>
        <v>Confirmed</v>
      </c>
      <c r="I681" s="7">
        <f>IF(OR(G681="",G681="Cancelled",G681="Mixed"),1,0)</f>
        <v>0</v>
      </c>
      <c r="J681" s="7">
        <f>IF(OR(H681="",H681="Mixed"),1,0)</f>
        <v>0</v>
      </c>
      <c r="K681" s="7">
        <f>IF(AND(C681=0,D681=0),IF(OR(AND(I681=0,NOT(EXACT(Raw_Passengers!F681,G681))),AND(J681=0,NOT(EXACT(Raw_Passengers!G681,H681)))),1,0),0)</f>
        <v>0</v>
      </c>
      <c r="L681" s="7">
        <f>IF(AND(C681=0,D681=0,I681=1),1,0)</f>
        <v>0</v>
      </c>
      <c r="M681" s="7">
        <f>IF(AND(C681=0,D681=0,J681=1),1,0)</f>
        <v>0</v>
      </c>
    </row>
    <row r="682" spans="1:13">
      <c r="A682" s="7">
        <f>Raw_Passengers!A682</f>
        <v>224647</v>
      </c>
      <c r="B682" s="7">
        <f>Raw_Passengers!B682</f>
        <v>1111157</v>
      </c>
      <c r="C682" s="7">
        <f>IF(COUNTIF(Raw_Passengers!$A$2:A682,Raw_Passengers!A682)&gt;1,1,0)</f>
        <v>0</v>
      </c>
      <c r="D682" s="7">
        <f>IF(COUNTIF(Raw_Bookings!$A$2:$A$648,Raw_Passengers!B682)=0,1,0)</f>
        <v>0</v>
      </c>
      <c r="E682" s="7">
        <f>IF(OR(C682=1,D682=1),0,IF(NOT(ISNUMBER(Raw_Passengers!E682)),1,IF(Raw_Passengers!E682&lt;=0,1,0)))</f>
        <v>0</v>
      </c>
      <c r="F682" s="7">
        <f>IF(AND(C682=0,D682=0,TRIM(Raw_Passengers!D682&amp;"")=""),1,0)</f>
        <v>0</v>
      </c>
      <c r="G682" s="7" t="str">
        <f>IF(SUMPRODUCT(--(Lookup_Status!$A$2:$A$13=LOWER(TRIM(Raw_Passengers!F682))))=0,"",INDEX(Lookup_Status!$B$2:$B$13,SUMPRODUCT((Lookup_Status!$A$2:$A$13=LOWER(TRIM(Raw_Passengers!F682)))*(ROW(Lookup_Status!$A$2:$A$13)-1))))</f>
        <v>Confirmed</v>
      </c>
      <c r="H682" s="7" t="str">
        <f>IF(SUMPRODUCT(--(Lookup_Status!$A$2:$A$13=LOWER(TRIM(Raw_Passengers!G682))))=0,"",INDEX(Lookup_Status!$B$2:$B$13,SUMPRODUCT((Lookup_Status!$A$2:$A$13=LOWER(TRIM(Raw_Passengers!G682)))*(ROW(Lookup_Status!$A$2:$A$13)-1))))</f>
        <v>Confirmed</v>
      </c>
      <c r="I682" s="7">
        <f>IF(OR(G682="",G682="Cancelled",G682="Mixed"),1,0)</f>
        <v>0</v>
      </c>
      <c r="J682" s="7">
        <f>IF(OR(H682="",H682="Mixed"),1,0)</f>
        <v>0</v>
      </c>
      <c r="K682" s="7">
        <f>IF(AND(C682=0,D682=0),IF(OR(AND(I682=0,NOT(EXACT(Raw_Passengers!F682,G682))),AND(J682=0,NOT(EXACT(Raw_Passengers!G682,H682)))),1,0),0)</f>
        <v>0</v>
      </c>
      <c r="L682" s="7">
        <f>IF(AND(C682=0,D682=0,I682=1),1,0)</f>
        <v>0</v>
      </c>
      <c r="M682" s="7">
        <f>IF(AND(C682=0,D682=0,J682=1),1,0)</f>
        <v>0</v>
      </c>
    </row>
    <row r="683" spans="1:13">
      <c r="A683" s="7">
        <f>Raw_Passengers!A683</f>
        <v>224648</v>
      </c>
      <c r="B683" s="7">
        <f>Raw_Passengers!B683</f>
        <v>1111157</v>
      </c>
      <c r="C683" s="7">
        <f>IF(COUNTIF(Raw_Passengers!$A$2:A683,Raw_Passengers!A683)&gt;1,1,0)</f>
        <v>0</v>
      </c>
      <c r="D683" s="7">
        <f>IF(COUNTIF(Raw_Bookings!$A$2:$A$648,Raw_Passengers!B683)=0,1,0)</f>
        <v>0</v>
      </c>
      <c r="E683" s="7">
        <f>IF(OR(C683=1,D683=1),0,IF(NOT(ISNUMBER(Raw_Passengers!E683)),1,IF(Raw_Passengers!E683&lt;=0,1,0)))</f>
        <v>0</v>
      </c>
      <c r="F683" s="7">
        <f>IF(AND(C683=0,D683=0,TRIM(Raw_Passengers!D683&amp;"")=""),1,0)</f>
        <v>0</v>
      </c>
      <c r="G683" s="7" t="str">
        <f>IF(SUMPRODUCT(--(Lookup_Status!$A$2:$A$13=LOWER(TRIM(Raw_Passengers!F683))))=0,"",INDEX(Lookup_Status!$B$2:$B$13,SUMPRODUCT((Lookup_Status!$A$2:$A$13=LOWER(TRIM(Raw_Passengers!F683)))*(ROW(Lookup_Status!$A$2:$A$13)-1))))</f>
        <v>Confirmed</v>
      </c>
      <c r="H683" s="7" t="str">
        <f>IF(SUMPRODUCT(--(Lookup_Status!$A$2:$A$13=LOWER(TRIM(Raw_Passengers!G683))))=0,"",INDEX(Lookup_Status!$B$2:$B$13,SUMPRODUCT((Lookup_Status!$A$2:$A$13=LOWER(TRIM(Raw_Passengers!G683)))*(ROW(Lookup_Status!$A$2:$A$13)-1))))</f>
        <v>Confirmed</v>
      </c>
      <c r="I683" s="7">
        <f>IF(OR(G683="",G683="Cancelled",G683="Mixed"),1,0)</f>
        <v>0</v>
      </c>
      <c r="J683" s="7">
        <f>IF(OR(H683="",H683="Mixed"),1,0)</f>
        <v>0</v>
      </c>
      <c r="K683" s="7">
        <f>IF(AND(C683=0,D683=0),IF(OR(AND(I683=0,NOT(EXACT(Raw_Passengers!F683,G683))),AND(J683=0,NOT(EXACT(Raw_Passengers!G683,H683)))),1,0),0)</f>
        <v>0</v>
      </c>
      <c r="L683" s="7">
        <f>IF(AND(C683=0,D683=0,I683=1),1,0)</f>
        <v>0</v>
      </c>
      <c r="M683" s="7">
        <f>IF(AND(C683=0,D683=0,J683=1),1,0)</f>
        <v>0</v>
      </c>
    </row>
    <row r="684" spans="1:13">
      <c r="A684" s="7">
        <f>Raw_Passengers!A684</f>
        <v>224649</v>
      </c>
      <c r="B684" s="7">
        <f>Raw_Passengers!B684</f>
        <v>1111157</v>
      </c>
      <c r="C684" s="7">
        <f>IF(COUNTIF(Raw_Passengers!$A$2:A684,Raw_Passengers!A684)&gt;1,1,0)</f>
        <v>0</v>
      </c>
      <c r="D684" s="7">
        <f>IF(COUNTIF(Raw_Bookings!$A$2:$A$648,Raw_Passengers!B684)=0,1,0)</f>
        <v>0</v>
      </c>
      <c r="E684" s="7">
        <f>IF(OR(C684=1,D684=1),0,IF(NOT(ISNUMBER(Raw_Passengers!E684)),1,IF(Raw_Passengers!E684&lt;=0,1,0)))</f>
        <v>0</v>
      </c>
      <c r="F684" s="7">
        <f>IF(AND(C684=0,D684=0,TRIM(Raw_Passengers!D684&amp;"")=""),1,0)</f>
        <v>0</v>
      </c>
      <c r="G684" s="7" t="str">
        <f>IF(SUMPRODUCT(--(Lookup_Status!$A$2:$A$13=LOWER(TRIM(Raw_Passengers!F684))))=0,"",INDEX(Lookup_Status!$B$2:$B$13,SUMPRODUCT((Lookup_Status!$A$2:$A$13=LOWER(TRIM(Raw_Passengers!F684)))*(ROW(Lookup_Status!$A$2:$A$13)-1))))</f>
        <v>Confirmed</v>
      </c>
      <c r="H684" s="7" t="str">
        <f>IF(SUMPRODUCT(--(Lookup_Status!$A$2:$A$13=LOWER(TRIM(Raw_Passengers!G684))))=0,"",INDEX(Lookup_Status!$B$2:$B$13,SUMPRODUCT((Lookup_Status!$A$2:$A$13=LOWER(TRIM(Raw_Passengers!G684)))*(ROW(Lookup_Status!$A$2:$A$13)-1))))</f>
        <v>Confirmed</v>
      </c>
      <c r="I684" s="7">
        <f>IF(OR(G684="",G684="Cancelled",G684="Mixed"),1,0)</f>
        <v>0</v>
      </c>
      <c r="J684" s="7">
        <f>IF(OR(H684="",H684="Mixed"),1,0)</f>
        <v>0</v>
      </c>
      <c r="K684" s="7">
        <f>IF(AND(C684=0,D684=0),IF(OR(AND(I684=0,NOT(EXACT(Raw_Passengers!F684,G684))),AND(J684=0,NOT(EXACT(Raw_Passengers!G684,H684)))),1,0),0)</f>
        <v>0</v>
      </c>
      <c r="L684" s="7">
        <f>IF(AND(C684=0,D684=0,I684=1),1,0)</f>
        <v>0</v>
      </c>
      <c r="M684" s="7">
        <f>IF(AND(C684=0,D684=0,J684=1),1,0)</f>
        <v>0</v>
      </c>
    </row>
    <row r="685" spans="1:13">
      <c r="A685" s="7">
        <f>Raw_Passengers!A685</f>
        <v>224650</v>
      </c>
      <c r="B685" s="7">
        <f>Raw_Passengers!B685</f>
        <v>1111157</v>
      </c>
      <c r="C685" s="7">
        <f>IF(COUNTIF(Raw_Passengers!$A$2:A685,Raw_Passengers!A685)&gt;1,1,0)</f>
        <v>0</v>
      </c>
      <c r="D685" s="7">
        <f>IF(COUNTIF(Raw_Bookings!$A$2:$A$648,Raw_Passengers!B685)=0,1,0)</f>
        <v>0</v>
      </c>
      <c r="E685" s="7">
        <f>IF(OR(C685=1,D685=1),0,IF(NOT(ISNUMBER(Raw_Passengers!E685)),1,IF(Raw_Passengers!E685&lt;=0,1,0)))</f>
        <v>0</v>
      </c>
      <c r="F685" s="7">
        <f>IF(AND(C685=0,D685=0,TRIM(Raw_Passengers!D685&amp;"")=""),1,0)</f>
        <v>0</v>
      </c>
      <c r="G685" s="7" t="str">
        <f>IF(SUMPRODUCT(--(Lookup_Status!$A$2:$A$13=LOWER(TRIM(Raw_Passengers!F685))))=0,"",INDEX(Lookup_Status!$B$2:$B$13,SUMPRODUCT((Lookup_Status!$A$2:$A$13=LOWER(TRIM(Raw_Passengers!F685)))*(ROW(Lookup_Status!$A$2:$A$13)-1))))</f>
        <v>Confirmed</v>
      </c>
      <c r="H685" s="7" t="str">
        <f>IF(SUMPRODUCT(--(Lookup_Status!$A$2:$A$13=LOWER(TRIM(Raw_Passengers!G685))))=0,"",INDEX(Lookup_Status!$B$2:$B$13,SUMPRODUCT((Lookup_Status!$A$2:$A$13=LOWER(TRIM(Raw_Passengers!G685)))*(ROW(Lookup_Status!$A$2:$A$13)-1))))</f>
        <v>Confirmed</v>
      </c>
      <c r="I685" s="7">
        <f>IF(OR(G685="",G685="Cancelled",G685="Mixed"),1,0)</f>
        <v>0</v>
      </c>
      <c r="J685" s="7">
        <f>IF(OR(H685="",H685="Mixed"),1,0)</f>
        <v>0</v>
      </c>
      <c r="K685" s="7">
        <f>IF(AND(C685=0,D685=0),IF(OR(AND(I685=0,NOT(EXACT(Raw_Passengers!F685,G685))),AND(J685=0,NOT(EXACT(Raw_Passengers!G685,H685)))),1,0),0)</f>
        <v>0</v>
      </c>
      <c r="L685" s="7">
        <f>IF(AND(C685=0,D685=0,I685=1),1,0)</f>
        <v>0</v>
      </c>
      <c r="M685" s="7">
        <f>IF(AND(C685=0,D685=0,J685=1),1,0)</f>
        <v>0</v>
      </c>
    </row>
    <row r="686" spans="1:13">
      <c r="A686" s="7">
        <f>Raw_Passengers!A686</f>
        <v>226115</v>
      </c>
      <c r="B686" s="7">
        <f>Raw_Passengers!B686</f>
        <v>1111915</v>
      </c>
      <c r="C686" s="7">
        <f>IF(COUNTIF(Raw_Passengers!$A$2:A686,Raw_Passengers!A686)&gt;1,1,0)</f>
        <v>0</v>
      </c>
      <c r="D686" s="7">
        <f>IF(COUNTIF(Raw_Bookings!$A$2:$A$648,Raw_Passengers!B686)=0,1,0)</f>
        <v>0</v>
      </c>
      <c r="E686" s="7">
        <f>IF(OR(C686=1,D686=1),0,IF(NOT(ISNUMBER(Raw_Passengers!E686)),1,IF(Raw_Passengers!E686&lt;=0,1,0)))</f>
        <v>0</v>
      </c>
      <c r="F686" s="7">
        <f>IF(AND(C686=0,D686=0,TRIM(Raw_Passengers!D686&amp;"")=""),1,0)</f>
        <v>0</v>
      </c>
      <c r="G686" s="7" t="str">
        <f>IF(SUMPRODUCT(--(Lookup_Status!$A$2:$A$13=LOWER(TRIM(Raw_Passengers!F686))))=0,"",INDEX(Lookup_Status!$B$2:$B$13,SUMPRODUCT((Lookup_Status!$A$2:$A$13=LOWER(TRIM(Raw_Passengers!F686)))*(ROW(Lookup_Status!$A$2:$A$13)-1))))</f>
        <v>RAC</v>
      </c>
      <c r="H686" s="7" t="str">
        <f>IF(SUMPRODUCT(--(Lookup_Status!$A$2:$A$13=LOWER(TRIM(Raw_Passengers!G686))))=0,"",INDEX(Lookup_Status!$B$2:$B$13,SUMPRODUCT((Lookup_Status!$A$2:$A$13=LOWER(TRIM(Raw_Passengers!G686)))*(ROW(Lookup_Status!$A$2:$A$13)-1))))</f>
        <v>Confirmed</v>
      </c>
      <c r="I686" s="7">
        <f>IF(OR(G686="",G686="Cancelled",G686="Mixed"),1,0)</f>
        <v>0</v>
      </c>
      <c r="J686" s="7">
        <f>IF(OR(H686="",H686="Mixed"),1,0)</f>
        <v>0</v>
      </c>
      <c r="K686" s="7">
        <f>IF(AND(C686=0,D686=0),IF(OR(AND(I686=0,NOT(EXACT(Raw_Passengers!F686,G686))),AND(J686=0,NOT(EXACT(Raw_Passengers!G686,H686)))),1,0),0)</f>
        <v>0</v>
      </c>
      <c r="L686" s="7">
        <f>IF(AND(C686=0,D686=0,I686=1),1,0)</f>
        <v>0</v>
      </c>
      <c r="M686" s="7">
        <f>IF(AND(C686=0,D686=0,J686=1),1,0)</f>
        <v>0</v>
      </c>
    </row>
    <row r="687" spans="1:13">
      <c r="A687" s="7">
        <f>Raw_Passengers!A687</f>
        <v>226841</v>
      </c>
      <c r="B687" s="7">
        <f>Raw_Passengers!B687</f>
        <v>1112281</v>
      </c>
      <c r="C687" s="7">
        <f>IF(COUNTIF(Raw_Passengers!$A$2:A687,Raw_Passengers!A687)&gt;1,1,0)</f>
        <v>0</v>
      </c>
      <c r="D687" s="7">
        <f>IF(COUNTIF(Raw_Bookings!$A$2:$A$648,Raw_Passengers!B687)=0,1,0)</f>
        <v>0</v>
      </c>
      <c r="E687" s="7">
        <f>IF(OR(C687=1,D687=1),0,IF(NOT(ISNUMBER(Raw_Passengers!E687)),1,IF(Raw_Passengers!E687&lt;=0,1,0)))</f>
        <v>0</v>
      </c>
      <c r="F687" s="7">
        <f>IF(AND(C687=0,D687=0,TRIM(Raw_Passengers!D687&amp;"")=""),1,0)</f>
        <v>0</v>
      </c>
      <c r="G687" s="7" t="str">
        <f>IF(SUMPRODUCT(--(Lookup_Status!$A$2:$A$13=LOWER(TRIM(Raw_Passengers!F687))))=0,"",INDEX(Lookup_Status!$B$2:$B$13,SUMPRODUCT((Lookup_Status!$A$2:$A$13=LOWER(TRIM(Raw_Passengers!F687)))*(ROW(Lookup_Status!$A$2:$A$13)-1))))</f>
        <v>Confirmed</v>
      </c>
      <c r="H687" s="7" t="str">
        <f>IF(SUMPRODUCT(--(Lookup_Status!$A$2:$A$13=LOWER(TRIM(Raw_Passengers!G687))))=0,"",INDEX(Lookup_Status!$B$2:$B$13,SUMPRODUCT((Lookup_Status!$A$2:$A$13=LOWER(TRIM(Raw_Passengers!G687)))*(ROW(Lookup_Status!$A$2:$A$13)-1))))</f>
        <v>Confirmed</v>
      </c>
      <c r="I687" s="7">
        <f>IF(OR(G687="",G687="Cancelled",G687="Mixed"),1,0)</f>
        <v>0</v>
      </c>
      <c r="J687" s="7">
        <f>IF(OR(H687="",H687="Mixed"),1,0)</f>
        <v>0</v>
      </c>
      <c r="K687" s="7">
        <f>IF(AND(C687=0,D687=0),IF(OR(AND(I687=0,NOT(EXACT(Raw_Passengers!F687,G687))),AND(J687=0,NOT(EXACT(Raw_Passengers!G687,H687)))),1,0),0)</f>
        <v>0</v>
      </c>
      <c r="L687" s="7">
        <f>IF(AND(C687=0,D687=0,I687=1),1,0)</f>
        <v>0</v>
      </c>
      <c r="M687" s="7">
        <f>IF(AND(C687=0,D687=0,J687=1),1,0)</f>
        <v>0</v>
      </c>
    </row>
    <row r="688" spans="1:13">
      <c r="A688" s="7">
        <f>Raw_Passengers!A688</f>
        <v>226842</v>
      </c>
      <c r="B688" s="7">
        <f>Raw_Passengers!B688</f>
        <v>1112281</v>
      </c>
      <c r="C688" s="7">
        <f>IF(COUNTIF(Raw_Passengers!$A$2:A688,Raw_Passengers!A688)&gt;1,1,0)</f>
        <v>0</v>
      </c>
      <c r="D688" s="7">
        <f>IF(COUNTIF(Raw_Bookings!$A$2:$A$648,Raw_Passengers!B688)=0,1,0)</f>
        <v>0</v>
      </c>
      <c r="E688" s="7">
        <f>IF(OR(C688=1,D688=1),0,IF(NOT(ISNUMBER(Raw_Passengers!E688)),1,IF(Raw_Passengers!E688&lt;=0,1,0)))</f>
        <v>0</v>
      </c>
      <c r="F688" s="7">
        <f>IF(AND(C688=0,D688=0,TRIM(Raw_Passengers!D688&amp;"")=""),1,0)</f>
        <v>0</v>
      </c>
      <c r="G688" s="7" t="str">
        <f>IF(SUMPRODUCT(--(Lookup_Status!$A$2:$A$13=LOWER(TRIM(Raw_Passengers!F688))))=0,"",INDEX(Lookup_Status!$B$2:$B$13,SUMPRODUCT((Lookup_Status!$A$2:$A$13=LOWER(TRIM(Raw_Passengers!F688)))*(ROW(Lookup_Status!$A$2:$A$13)-1))))</f>
        <v>Confirmed</v>
      </c>
      <c r="H688" s="7" t="str">
        <f>IF(SUMPRODUCT(--(Lookup_Status!$A$2:$A$13=LOWER(TRIM(Raw_Passengers!G688))))=0,"",INDEX(Lookup_Status!$B$2:$B$13,SUMPRODUCT((Lookup_Status!$A$2:$A$13=LOWER(TRIM(Raw_Passengers!G688)))*(ROW(Lookup_Status!$A$2:$A$13)-1))))</f>
        <v>Confirmed</v>
      </c>
      <c r="I688" s="7">
        <f>IF(OR(G688="",G688="Cancelled",G688="Mixed"),1,0)</f>
        <v>0</v>
      </c>
      <c r="J688" s="7">
        <f>IF(OR(H688="",H688="Mixed"),1,0)</f>
        <v>0</v>
      </c>
      <c r="K688" s="7">
        <f>IF(AND(C688=0,D688=0),IF(OR(AND(I688=0,NOT(EXACT(Raw_Passengers!F688,G688))),AND(J688=0,NOT(EXACT(Raw_Passengers!G688,H688)))),1,0),0)</f>
        <v>0</v>
      </c>
      <c r="L688" s="7">
        <f>IF(AND(C688=0,D688=0,I688=1),1,0)</f>
        <v>0</v>
      </c>
      <c r="M688" s="7">
        <f>IF(AND(C688=0,D688=0,J688=1),1,0)</f>
        <v>0</v>
      </c>
    </row>
    <row r="689" spans="1:13">
      <c r="A689" s="7">
        <f>Raw_Passengers!A689</f>
        <v>226843</v>
      </c>
      <c r="B689" s="7">
        <f>Raw_Passengers!B689</f>
        <v>1112281</v>
      </c>
      <c r="C689" s="7">
        <f>IF(COUNTIF(Raw_Passengers!$A$2:A689,Raw_Passengers!A689)&gt;1,1,0)</f>
        <v>0</v>
      </c>
      <c r="D689" s="7">
        <f>IF(COUNTIF(Raw_Bookings!$A$2:$A$648,Raw_Passengers!B689)=0,1,0)</f>
        <v>0</v>
      </c>
      <c r="E689" s="7">
        <f>IF(OR(C689=1,D689=1),0,IF(NOT(ISNUMBER(Raw_Passengers!E689)),1,IF(Raw_Passengers!E689&lt;=0,1,0)))</f>
        <v>0</v>
      </c>
      <c r="F689" s="7">
        <f>IF(AND(C689=0,D689=0,TRIM(Raw_Passengers!D689&amp;"")=""),1,0)</f>
        <v>0</v>
      </c>
      <c r="G689" s="7" t="str">
        <f>IF(SUMPRODUCT(--(Lookup_Status!$A$2:$A$13=LOWER(TRIM(Raw_Passengers!F689))))=0,"",INDEX(Lookup_Status!$B$2:$B$13,SUMPRODUCT((Lookup_Status!$A$2:$A$13=LOWER(TRIM(Raw_Passengers!F689)))*(ROW(Lookup_Status!$A$2:$A$13)-1))))</f>
        <v>Confirmed</v>
      </c>
      <c r="H689" s="7" t="str">
        <f>IF(SUMPRODUCT(--(Lookup_Status!$A$2:$A$13=LOWER(TRIM(Raw_Passengers!G689))))=0,"",INDEX(Lookup_Status!$B$2:$B$13,SUMPRODUCT((Lookup_Status!$A$2:$A$13=LOWER(TRIM(Raw_Passengers!G689)))*(ROW(Lookup_Status!$A$2:$A$13)-1))))</f>
        <v>Confirmed</v>
      </c>
      <c r="I689" s="7">
        <f>IF(OR(G689="",G689="Cancelled",G689="Mixed"),1,0)</f>
        <v>0</v>
      </c>
      <c r="J689" s="7">
        <f>IF(OR(H689="",H689="Mixed"),1,0)</f>
        <v>0</v>
      </c>
      <c r="K689" s="7">
        <f>IF(AND(C689=0,D689=0),IF(OR(AND(I689=0,NOT(EXACT(Raw_Passengers!F689,G689))),AND(J689=0,NOT(EXACT(Raw_Passengers!G689,H689)))),1,0),0)</f>
        <v>0</v>
      </c>
      <c r="L689" s="7">
        <f>IF(AND(C689=0,D689=0,I689=1),1,0)</f>
        <v>0</v>
      </c>
      <c r="M689" s="7">
        <f>IF(AND(C689=0,D689=0,J689=1),1,0)</f>
        <v>0</v>
      </c>
    </row>
    <row r="690" spans="1:13">
      <c r="A690" s="7">
        <f>Raw_Passengers!A690</f>
        <v>227039</v>
      </c>
      <c r="B690" s="7">
        <f>Raw_Passengers!B690</f>
        <v>1112382</v>
      </c>
      <c r="C690" s="7">
        <f>IF(COUNTIF(Raw_Passengers!$A$2:A690,Raw_Passengers!A690)&gt;1,1,0)</f>
        <v>0</v>
      </c>
      <c r="D690" s="7">
        <f>IF(COUNTIF(Raw_Bookings!$A$2:$A$648,Raw_Passengers!B690)=0,1,0)</f>
        <v>0</v>
      </c>
      <c r="E690" s="7">
        <f>IF(OR(C690=1,D690=1),0,IF(NOT(ISNUMBER(Raw_Passengers!E690)),1,IF(Raw_Passengers!E690&lt;=0,1,0)))</f>
        <v>0</v>
      </c>
      <c r="F690" s="7">
        <f>IF(AND(C690=0,D690=0,TRIM(Raw_Passengers!D690&amp;"")=""),1,0)</f>
        <v>0</v>
      </c>
      <c r="G690" s="7" t="str">
        <f>IF(SUMPRODUCT(--(Lookup_Status!$A$2:$A$13=LOWER(TRIM(Raw_Passengers!F690))))=0,"",INDEX(Lookup_Status!$B$2:$B$13,SUMPRODUCT((Lookup_Status!$A$2:$A$13=LOWER(TRIM(Raw_Passengers!F690)))*(ROW(Lookup_Status!$A$2:$A$13)-1))))</f>
        <v>Confirmed</v>
      </c>
      <c r="H690" s="7" t="str">
        <f>IF(SUMPRODUCT(--(Lookup_Status!$A$2:$A$13=LOWER(TRIM(Raw_Passengers!G690))))=0,"",INDEX(Lookup_Status!$B$2:$B$13,SUMPRODUCT((Lookup_Status!$A$2:$A$13=LOWER(TRIM(Raw_Passengers!G690)))*(ROW(Lookup_Status!$A$2:$A$13)-1))))</f>
        <v>Confirmed</v>
      </c>
      <c r="I690" s="7">
        <f>IF(OR(G690="",G690="Cancelled",G690="Mixed"),1,0)</f>
        <v>0</v>
      </c>
      <c r="J690" s="7">
        <f>IF(OR(H690="",H690="Mixed"),1,0)</f>
        <v>0</v>
      </c>
      <c r="K690" s="7">
        <f>IF(AND(C690=0,D690=0),IF(OR(AND(I690=0,NOT(EXACT(Raw_Passengers!F690,G690))),AND(J690=0,NOT(EXACT(Raw_Passengers!G690,H690)))),1,0),0)</f>
        <v>1</v>
      </c>
      <c r="L690" s="7">
        <f>IF(AND(C690=0,D690=0,I690=1),1,0)</f>
        <v>0</v>
      </c>
      <c r="M690" s="7">
        <f>IF(AND(C690=0,D690=0,J690=1),1,0)</f>
        <v>0</v>
      </c>
    </row>
    <row r="691" spans="1:13">
      <c r="A691" s="7">
        <f>Raw_Passengers!A691</f>
        <v>227437</v>
      </c>
      <c r="B691" s="7">
        <f>Raw_Passengers!B691</f>
        <v>1112583</v>
      </c>
      <c r="C691" s="7">
        <f>IF(COUNTIF(Raw_Passengers!$A$2:A691,Raw_Passengers!A691)&gt;1,1,0)</f>
        <v>0</v>
      </c>
      <c r="D691" s="7">
        <f>IF(COUNTIF(Raw_Bookings!$A$2:$A$648,Raw_Passengers!B691)=0,1,0)</f>
        <v>0</v>
      </c>
      <c r="E691" s="7">
        <f>IF(OR(C691=1,D691=1),0,IF(NOT(ISNUMBER(Raw_Passengers!E691)),1,IF(Raw_Passengers!E691&lt;=0,1,0)))</f>
        <v>0</v>
      </c>
      <c r="F691" s="7">
        <f>IF(AND(C691=0,D691=0,TRIM(Raw_Passengers!D691&amp;"")=""),1,0)</f>
        <v>0</v>
      </c>
      <c r="G691" s="7" t="str">
        <f>IF(SUMPRODUCT(--(Lookup_Status!$A$2:$A$13=LOWER(TRIM(Raw_Passengers!F691))))=0,"",INDEX(Lookup_Status!$B$2:$B$13,SUMPRODUCT((Lookup_Status!$A$2:$A$13=LOWER(TRIM(Raw_Passengers!F691)))*(ROW(Lookup_Status!$A$2:$A$13)-1))))</f>
        <v>Confirmed</v>
      </c>
      <c r="H691" s="7" t="str">
        <f>IF(SUMPRODUCT(--(Lookup_Status!$A$2:$A$13=LOWER(TRIM(Raw_Passengers!G691))))=0,"",INDEX(Lookup_Status!$B$2:$B$13,SUMPRODUCT((Lookup_Status!$A$2:$A$13=LOWER(TRIM(Raw_Passengers!G691)))*(ROW(Lookup_Status!$A$2:$A$13)-1))))</f>
        <v>Cancelled</v>
      </c>
      <c r="I691" s="7">
        <f>IF(OR(G691="",G691="Cancelled",G691="Mixed"),1,0)</f>
        <v>0</v>
      </c>
      <c r="J691" s="7">
        <f>IF(OR(H691="",H691="Mixed"),1,0)</f>
        <v>0</v>
      </c>
      <c r="K691" s="7">
        <f>IF(AND(C691=0,D691=0),IF(OR(AND(I691=0,NOT(EXACT(Raw_Passengers!F691,G691))),AND(J691=0,NOT(EXACT(Raw_Passengers!G691,H691)))),1,0),0)</f>
        <v>0</v>
      </c>
      <c r="L691" s="7">
        <f>IF(AND(C691=0,D691=0,I691=1),1,0)</f>
        <v>0</v>
      </c>
      <c r="M691" s="7">
        <f>IF(AND(C691=0,D691=0,J691=1),1,0)</f>
        <v>0</v>
      </c>
    </row>
    <row r="692" spans="1:13">
      <c r="A692" s="7">
        <f>Raw_Passengers!A692</f>
        <v>227438</v>
      </c>
      <c r="B692" s="7">
        <f>Raw_Passengers!B692</f>
        <v>1112583</v>
      </c>
      <c r="C692" s="7">
        <f>IF(COUNTIF(Raw_Passengers!$A$2:A692,Raw_Passengers!A692)&gt;1,1,0)</f>
        <v>0</v>
      </c>
      <c r="D692" s="7">
        <f>IF(COUNTIF(Raw_Bookings!$A$2:$A$648,Raw_Passengers!B692)=0,1,0)</f>
        <v>0</v>
      </c>
      <c r="E692" s="7">
        <f>IF(OR(C692=1,D692=1),0,IF(NOT(ISNUMBER(Raw_Passengers!E692)),1,IF(Raw_Passengers!E692&lt;=0,1,0)))</f>
        <v>0</v>
      </c>
      <c r="F692" s="7">
        <f>IF(AND(C692=0,D692=0,TRIM(Raw_Passengers!D692&amp;"")=""),1,0)</f>
        <v>0</v>
      </c>
      <c r="G692" s="7" t="str">
        <f>IF(SUMPRODUCT(--(Lookup_Status!$A$2:$A$13=LOWER(TRIM(Raw_Passengers!F692))))=0,"",INDEX(Lookup_Status!$B$2:$B$13,SUMPRODUCT((Lookup_Status!$A$2:$A$13=LOWER(TRIM(Raw_Passengers!F692)))*(ROW(Lookup_Status!$A$2:$A$13)-1))))</f>
        <v>Confirmed</v>
      </c>
      <c r="H692" s="7" t="str">
        <f>IF(SUMPRODUCT(--(Lookup_Status!$A$2:$A$13=LOWER(TRIM(Raw_Passengers!G692))))=0,"",INDEX(Lookup_Status!$B$2:$B$13,SUMPRODUCT((Lookup_Status!$A$2:$A$13=LOWER(TRIM(Raw_Passengers!G692)))*(ROW(Lookup_Status!$A$2:$A$13)-1))))</f>
        <v>Cancelled</v>
      </c>
      <c r="I692" s="7">
        <f>IF(OR(G692="",G692="Cancelled",G692="Mixed"),1,0)</f>
        <v>0</v>
      </c>
      <c r="J692" s="7">
        <f>IF(OR(H692="",H692="Mixed"),1,0)</f>
        <v>0</v>
      </c>
      <c r="K692" s="7">
        <f>IF(AND(C692=0,D692=0),IF(OR(AND(I692=0,NOT(EXACT(Raw_Passengers!F692,G692))),AND(J692=0,NOT(EXACT(Raw_Passengers!G692,H692)))),1,0),0)</f>
        <v>0</v>
      </c>
      <c r="L692" s="7">
        <f>IF(AND(C692=0,D692=0,I692=1),1,0)</f>
        <v>0</v>
      </c>
      <c r="M692" s="7">
        <f>IF(AND(C692=0,D692=0,J692=1),1,0)</f>
        <v>0</v>
      </c>
    </row>
    <row r="693" spans="1:13">
      <c r="A693" s="7">
        <f>Raw_Passengers!A693</f>
        <v>227929</v>
      </c>
      <c r="B693" s="7">
        <f>Raw_Passengers!B693</f>
        <v>1112827</v>
      </c>
      <c r="C693" s="7">
        <f>IF(COUNTIF(Raw_Passengers!$A$2:A693,Raw_Passengers!A693)&gt;1,1,0)</f>
        <v>0</v>
      </c>
      <c r="D693" s="7">
        <f>IF(COUNTIF(Raw_Bookings!$A$2:$A$648,Raw_Passengers!B693)=0,1,0)</f>
        <v>0</v>
      </c>
      <c r="E693" s="7">
        <f>IF(OR(C693=1,D693=1),0,IF(NOT(ISNUMBER(Raw_Passengers!E693)),1,IF(Raw_Passengers!E693&lt;=0,1,0)))</f>
        <v>0</v>
      </c>
      <c r="F693" s="7">
        <f>IF(AND(C693=0,D693=0,TRIM(Raw_Passengers!D693&amp;"")=""),1,0)</f>
        <v>0</v>
      </c>
      <c r="G693" s="7" t="str">
        <f>IF(SUMPRODUCT(--(Lookup_Status!$A$2:$A$13=LOWER(TRIM(Raw_Passengers!F693))))=0,"",INDEX(Lookup_Status!$B$2:$B$13,SUMPRODUCT((Lookup_Status!$A$2:$A$13=LOWER(TRIM(Raw_Passengers!F693)))*(ROW(Lookup_Status!$A$2:$A$13)-1))))</f>
        <v>Confirmed</v>
      </c>
      <c r="H693" s="7" t="str">
        <f>IF(SUMPRODUCT(--(Lookup_Status!$A$2:$A$13=LOWER(TRIM(Raw_Passengers!G693))))=0,"",INDEX(Lookup_Status!$B$2:$B$13,SUMPRODUCT((Lookup_Status!$A$2:$A$13=LOWER(TRIM(Raw_Passengers!G693)))*(ROW(Lookup_Status!$A$2:$A$13)-1))))</f>
        <v>Cancelled</v>
      </c>
      <c r="I693" s="7">
        <f>IF(OR(G693="",G693="Cancelled",G693="Mixed"),1,0)</f>
        <v>0</v>
      </c>
      <c r="J693" s="7">
        <f>IF(OR(H693="",H693="Mixed"),1,0)</f>
        <v>0</v>
      </c>
      <c r="K693" s="7">
        <f>IF(AND(C693=0,D693=0),IF(OR(AND(I693=0,NOT(EXACT(Raw_Passengers!F693,G693))),AND(J693=0,NOT(EXACT(Raw_Passengers!G693,H693)))),1,0),0)</f>
        <v>0</v>
      </c>
      <c r="L693" s="7">
        <f>IF(AND(C693=0,D693=0,I693=1),1,0)</f>
        <v>0</v>
      </c>
      <c r="M693" s="7">
        <f>IF(AND(C693=0,D693=0,J693=1),1,0)</f>
        <v>0</v>
      </c>
    </row>
    <row r="694" spans="1:13">
      <c r="A694" s="7">
        <f>Raw_Passengers!A694</f>
        <v>227930</v>
      </c>
      <c r="B694" s="7">
        <f>Raw_Passengers!B694</f>
        <v>1112827</v>
      </c>
      <c r="C694" s="7">
        <f>IF(COUNTIF(Raw_Passengers!$A$2:A694,Raw_Passengers!A694)&gt;1,1,0)</f>
        <v>0</v>
      </c>
      <c r="D694" s="7">
        <f>IF(COUNTIF(Raw_Bookings!$A$2:$A$648,Raw_Passengers!B694)=0,1,0)</f>
        <v>0</v>
      </c>
      <c r="E694" s="7">
        <f>IF(OR(C694=1,D694=1),0,IF(NOT(ISNUMBER(Raw_Passengers!E694)),1,IF(Raw_Passengers!E694&lt;=0,1,0)))</f>
        <v>0</v>
      </c>
      <c r="F694" s="7">
        <f>IF(AND(C694=0,D694=0,TRIM(Raw_Passengers!D694&amp;"")=""),1,0)</f>
        <v>0</v>
      </c>
      <c r="G694" s="7" t="str">
        <f>IF(SUMPRODUCT(--(Lookup_Status!$A$2:$A$13=LOWER(TRIM(Raw_Passengers!F694))))=0,"",INDEX(Lookup_Status!$B$2:$B$13,SUMPRODUCT((Lookup_Status!$A$2:$A$13=LOWER(TRIM(Raw_Passengers!F694)))*(ROW(Lookup_Status!$A$2:$A$13)-1))))</f>
        <v>Confirmed</v>
      </c>
      <c r="H694" s="7" t="str">
        <f>IF(SUMPRODUCT(--(Lookup_Status!$A$2:$A$13=LOWER(TRIM(Raw_Passengers!G694))))=0,"",INDEX(Lookup_Status!$B$2:$B$13,SUMPRODUCT((Lookup_Status!$A$2:$A$13=LOWER(TRIM(Raw_Passengers!G694)))*(ROW(Lookup_Status!$A$2:$A$13)-1))))</f>
        <v>Cancelled</v>
      </c>
      <c r="I694" s="7">
        <f>IF(OR(G694="",G694="Cancelled",G694="Mixed"),1,0)</f>
        <v>0</v>
      </c>
      <c r="J694" s="7">
        <f>IF(OR(H694="",H694="Mixed"),1,0)</f>
        <v>0</v>
      </c>
      <c r="K694" s="7">
        <f>IF(AND(C694=0,D694=0),IF(OR(AND(I694=0,NOT(EXACT(Raw_Passengers!F694,G694))),AND(J694=0,NOT(EXACT(Raw_Passengers!G694,H694)))),1,0),0)</f>
        <v>0</v>
      </c>
      <c r="L694" s="7">
        <f>IF(AND(C694=0,D694=0,I694=1),1,0)</f>
        <v>0</v>
      </c>
      <c r="M694" s="7">
        <f>IF(AND(C694=0,D694=0,J694=1),1,0)</f>
        <v>0</v>
      </c>
    </row>
    <row r="695" spans="1:13">
      <c r="A695" s="7">
        <f>Raw_Passengers!A695</f>
        <v>227931</v>
      </c>
      <c r="B695" s="7">
        <f>Raw_Passengers!B695</f>
        <v>1112827</v>
      </c>
      <c r="C695" s="7">
        <f>IF(COUNTIF(Raw_Passengers!$A$2:A695,Raw_Passengers!A695)&gt;1,1,0)</f>
        <v>0</v>
      </c>
      <c r="D695" s="7">
        <f>IF(COUNTIF(Raw_Bookings!$A$2:$A$648,Raw_Passengers!B695)=0,1,0)</f>
        <v>0</v>
      </c>
      <c r="E695" s="7">
        <f>IF(OR(C695=1,D695=1),0,IF(NOT(ISNUMBER(Raw_Passengers!E695)),1,IF(Raw_Passengers!E695&lt;=0,1,0)))</f>
        <v>0</v>
      </c>
      <c r="F695" s="7">
        <f>IF(AND(C695=0,D695=0,TRIM(Raw_Passengers!D695&amp;"")=""),1,0)</f>
        <v>0</v>
      </c>
      <c r="G695" s="7" t="str">
        <f>IF(SUMPRODUCT(--(Lookup_Status!$A$2:$A$13=LOWER(TRIM(Raw_Passengers!F695))))=0,"",INDEX(Lookup_Status!$B$2:$B$13,SUMPRODUCT((Lookup_Status!$A$2:$A$13=LOWER(TRIM(Raw_Passengers!F695)))*(ROW(Lookup_Status!$A$2:$A$13)-1))))</f>
        <v>Confirmed</v>
      </c>
      <c r="H695" s="7" t="str">
        <f>IF(SUMPRODUCT(--(Lookup_Status!$A$2:$A$13=LOWER(TRIM(Raw_Passengers!G695))))=0,"",INDEX(Lookup_Status!$B$2:$B$13,SUMPRODUCT((Lookup_Status!$A$2:$A$13=LOWER(TRIM(Raw_Passengers!G695)))*(ROW(Lookup_Status!$A$2:$A$13)-1))))</f>
        <v>Cancelled</v>
      </c>
      <c r="I695" s="7">
        <f>IF(OR(G695="",G695="Cancelled",G695="Mixed"),1,0)</f>
        <v>0</v>
      </c>
      <c r="J695" s="7">
        <f>IF(OR(H695="",H695="Mixed"),1,0)</f>
        <v>0</v>
      </c>
      <c r="K695" s="7">
        <f>IF(AND(C695=0,D695=0),IF(OR(AND(I695=0,NOT(EXACT(Raw_Passengers!F695,G695))),AND(J695=0,NOT(EXACT(Raw_Passengers!G695,H695)))),1,0),0)</f>
        <v>0</v>
      </c>
      <c r="L695" s="7">
        <f>IF(AND(C695=0,D695=0,I695=1),1,0)</f>
        <v>0</v>
      </c>
      <c r="M695" s="7">
        <f>IF(AND(C695=0,D695=0,J695=1),1,0)</f>
        <v>0</v>
      </c>
    </row>
    <row r="696" spans="1:13">
      <c r="A696" s="7">
        <f>Raw_Passengers!A696</f>
        <v>228737</v>
      </c>
      <c r="B696" s="7">
        <f>Raw_Passengers!B696</f>
        <v>1113227</v>
      </c>
      <c r="C696" s="7">
        <f>IF(COUNTIF(Raw_Passengers!$A$2:A696,Raw_Passengers!A696)&gt;1,1,0)</f>
        <v>0</v>
      </c>
      <c r="D696" s="7">
        <f>IF(COUNTIF(Raw_Bookings!$A$2:$A$648,Raw_Passengers!B696)=0,1,0)</f>
        <v>0</v>
      </c>
      <c r="E696" s="7">
        <f>IF(OR(C696=1,D696=1),0,IF(NOT(ISNUMBER(Raw_Passengers!E696)),1,IF(Raw_Passengers!E696&lt;=0,1,0)))</f>
        <v>0</v>
      </c>
      <c r="F696" s="7">
        <f>IF(AND(C696=0,D696=0,TRIM(Raw_Passengers!D696&amp;"")=""),1,0)</f>
        <v>0</v>
      </c>
      <c r="G696" s="7" t="str">
        <f>IF(SUMPRODUCT(--(Lookup_Status!$A$2:$A$13=LOWER(TRIM(Raw_Passengers!F696))))=0,"",INDEX(Lookup_Status!$B$2:$B$13,SUMPRODUCT((Lookup_Status!$A$2:$A$13=LOWER(TRIM(Raw_Passengers!F696)))*(ROW(Lookup_Status!$A$2:$A$13)-1))))</f>
        <v>Confirmed</v>
      </c>
      <c r="H696" s="7" t="str">
        <f>IF(SUMPRODUCT(--(Lookup_Status!$A$2:$A$13=LOWER(TRIM(Raw_Passengers!G696))))=0,"",INDEX(Lookup_Status!$B$2:$B$13,SUMPRODUCT((Lookup_Status!$A$2:$A$13=LOWER(TRIM(Raw_Passengers!G696)))*(ROW(Lookup_Status!$A$2:$A$13)-1))))</f>
        <v>Confirmed</v>
      </c>
      <c r="I696" s="7">
        <f>IF(OR(G696="",G696="Cancelled",G696="Mixed"),1,0)</f>
        <v>0</v>
      </c>
      <c r="J696" s="7">
        <f>IF(OR(H696="",H696="Mixed"),1,0)</f>
        <v>0</v>
      </c>
      <c r="K696" s="7">
        <f>IF(AND(C696=0,D696=0),IF(OR(AND(I696=0,NOT(EXACT(Raw_Passengers!F696,G696))),AND(J696=0,NOT(EXACT(Raw_Passengers!G696,H696)))),1,0),0)</f>
        <v>0</v>
      </c>
      <c r="L696" s="7">
        <f>IF(AND(C696=0,D696=0,I696=1),1,0)</f>
        <v>0</v>
      </c>
      <c r="M696" s="7">
        <f>IF(AND(C696=0,D696=0,J696=1),1,0)</f>
        <v>0</v>
      </c>
    </row>
    <row r="697" spans="1:13">
      <c r="A697" s="7">
        <f>Raw_Passengers!A697</f>
        <v>228738</v>
      </c>
      <c r="B697" s="7">
        <f>Raw_Passengers!B697</f>
        <v>1113227</v>
      </c>
      <c r="C697" s="7">
        <f>IF(COUNTIF(Raw_Passengers!$A$2:A697,Raw_Passengers!A697)&gt;1,1,0)</f>
        <v>0</v>
      </c>
      <c r="D697" s="7">
        <f>IF(COUNTIF(Raw_Bookings!$A$2:$A$648,Raw_Passengers!B697)=0,1,0)</f>
        <v>0</v>
      </c>
      <c r="E697" s="7">
        <f>IF(OR(C697=1,D697=1),0,IF(NOT(ISNUMBER(Raw_Passengers!E697)),1,IF(Raw_Passengers!E697&lt;=0,1,0)))</f>
        <v>0</v>
      </c>
      <c r="F697" s="7">
        <f>IF(AND(C697=0,D697=0,TRIM(Raw_Passengers!D697&amp;"")=""),1,0)</f>
        <v>0</v>
      </c>
      <c r="G697" s="7" t="str">
        <f>IF(SUMPRODUCT(--(Lookup_Status!$A$2:$A$13=LOWER(TRIM(Raw_Passengers!F697))))=0,"",INDEX(Lookup_Status!$B$2:$B$13,SUMPRODUCT((Lookup_Status!$A$2:$A$13=LOWER(TRIM(Raw_Passengers!F697)))*(ROW(Lookup_Status!$A$2:$A$13)-1))))</f>
        <v>Confirmed</v>
      </c>
      <c r="H697" s="7" t="str">
        <f>IF(SUMPRODUCT(--(Lookup_Status!$A$2:$A$13=LOWER(TRIM(Raw_Passengers!G697))))=0,"",INDEX(Lookup_Status!$B$2:$B$13,SUMPRODUCT((Lookup_Status!$A$2:$A$13=LOWER(TRIM(Raw_Passengers!G697)))*(ROW(Lookup_Status!$A$2:$A$13)-1))))</f>
        <v>Confirmed</v>
      </c>
      <c r="I697" s="7">
        <f>IF(OR(G697="",G697="Cancelled",G697="Mixed"),1,0)</f>
        <v>0</v>
      </c>
      <c r="J697" s="7">
        <f>IF(OR(H697="",H697="Mixed"),1,0)</f>
        <v>0</v>
      </c>
      <c r="K697" s="7">
        <f>IF(AND(C697=0,D697=0),IF(OR(AND(I697=0,NOT(EXACT(Raw_Passengers!F697,G697))),AND(J697=0,NOT(EXACT(Raw_Passengers!G697,H697)))),1,0),0)</f>
        <v>0</v>
      </c>
      <c r="L697" s="7">
        <f>IF(AND(C697=0,D697=0,I697=1),1,0)</f>
        <v>0</v>
      </c>
      <c r="M697" s="7">
        <f>IF(AND(C697=0,D697=0,J697=1),1,0)</f>
        <v>0</v>
      </c>
    </row>
    <row r="698" spans="1:13">
      <c r="A698" s="7">
        <f>Raw_Passengers!A698</f>
        <v>228739</v>
      </c>
      <c r="B698" s="7">
        <f>Raw_Passengers!B698</f>
        <v>1113227</v>
      </c>
      <c r="C698" s="7">
        <f>IF(COUNTIF(Raw_Passengers!$A$2:A698,Raw_Passengers!A698)&gt;1,1,0)</f>
        <v>0</v>
      </c>
      <c r="D698" s="7">
        <f>IF(COUNTIF(Raw_Bookings!$A$2:$A$648,Raw_Passengers!B698)=0,1,0)</f>
        <v>0</v>
      </c>
      <c r="E698" s="7">
        <f>IF(OR(C698=1,D698=1),0,IF(NOT(ISNUMBER(Raw_Passengers!E698)),1,IF(Raw_Passengers!E698&lt;=0,1,0)))</f>
        <v>0</v>
      </c>
      <c r="F698" s="7">
        <f>IF(AND(C698=0,D698=0,TRIM(Raw_Passengers!D698&amp;"")=""),1,0)</f>
        <v>0</v>
      </c>
      <c r="G698" s="7" t="str">
        <f>IF(SUMPRODUCT(--(Lookup_Status!$A$2:$A$13=LOWER(TRIM(Raw_Passengers!F698))))=0,"",INDEX(Lookup_Status!$B$2:$B$13,SUMPRODUCT((Lookup_Status!$A$2:$A$13=LOWER(TRIM(Raw_Passengers!F698)))*(ROW(Lookup_Status!$A$2:$A$13)-1))))</f>
        <v>Confirmed</v>
      </c>
      <c r="H698" s="7" t="str">
        <f>IF(SUMPRODUCT(--(Lookup_Status!$A$2:$A$13=LOWER(TRIM(Raw_Passengers!G698))))=0,"",INDEX(Lookup_Status!$B$2:$B$13,SUMPRODUCT((Lookup_Status!$A$2:$A$13=LOWER(TRIM(Raw_Passengers!G698)))*(ROW(Lookup_Status!$A$2:$A$13)-1))))</f>
        <v>Confirmed</v>
      </c>
      <c r="I698" s="7">
        <f>IF(OR(G698="",G698="Cancelled",G698="Mixed"),1,0)</f>
        <v>0</v>
      </c>
      <c r="J698" s="7">
        <f>IF(OR(H698="",H698="Mixed"),1,0)</f>
        <v>0</v>
      </c>
      <c r="K698" s="7">
        <f>IF(AND(C698=0,D698=0),IF(OR(AND(I698=0,NOT(EXACT(Raw_Passengers!F698,G698))),AND(J698=0,NOT(EXACT(Raw_Passengers!G698,H698)))),1,0),0)</f>
        <v>0</v>
      </c>
      <c r="L698" s="7">
        <f>IF(AND(C698=0,D698=0,I698=1),1,0)</f>
        <v>0</v>
      </c>
      <c r="M698" s="7">
        <f>IF(AND(C698=0,D698=0,J698=1),1,0)</f>
        <v>0</v>
      </c>
    </row>
    <row r="699" spans="1:13">
      <c r="A699" s="7">
        <f>Raw_Passengers!A699</f>
        <v>229933</v>
      </c>
      <c r="B699" s="7">
        <f>Raw_Passengers!B699</f>
        <v>1113807</v>
      </c>
      <c r="C699" s="7">
        <f>IF(COUNTIF(Raw_Passengers!$A$2:A699,Raw_Passengers!A699)&gt;1,1,0)</f>
        <v>0</v>
      </c>
      <c r="D699" s="7">
        <f>IF(COUNTIF(Raw_Bookings!$A$2:$A$648,Raw_Passengers!B699)=0,1,0)</f>
        <v>0</v>
      </c>
      <c r="E699" s="7">
        <f>IF(OR(C699=1,D699=1),0,IF(NOT(ISNUMBER(Raw_Passengers!E699)),1,IF(Raw_Passengers!E699&lt;=0,1,0)))</f>
        <v>0</v>
      </c>
      <c r="F699" s="7">
        <f>IF(AND(C699=0,D699=0,TRIM(Raw_Passengers!D699&amp;"")=""),1,0)</f>
        <v>0</v>
      </c>
      <c r="G699" s="7" t="str">
        <f>IF(SUMPRODUCT(--(Lookup_Status!$A$2:$A$13=LOWER(TRIM(Raw_Passengers!F699))))=0,"",INDEX(Lookup_Status!$B$2:$B$13,SUMPRODUCT((Lookup_Status!$A$2:$A$13=LOWER(TRIM(Raw_Passengers!F699)))*(ROW(Lookup_Status!$A$2:$A$13)-1))))</f>
        <v>Confirmed</v>
      </c>
      <c r="H699" s="7" t="str">
        <f>IF(SUMPRODUCT(--(Lookup_Status!$A$2:$A$13=LOWER(TRIM(Raw_Passengers!G699))))=0,"",INDEX(Lookup_Status!$B$2:$B$13,SUMPRODUCT((Lookup_Status!$A$2:$A$13=LOWER(TRIM(Raw_Passengers!G699)))*(ROW(Lookup_Status!$A$2:$A$13)-1))))</f>
        <v>Confirmed</v>
      </c>
      <c r="I699" s="7">
        <f>IF(OR(G699="",G699="Cancelled",G699="Mixed"),1,0)</f>
        <v>0</v>
      </c>
      <c r="J699" s="7">
        <f>IF(OR(H699="",H699="Mixed"),1,0)</f>
        <v>0</v>
      </c>
      <c r="K699" s="7">
        <f>IF(AND(C699=0,D699=0),IF(OR(AND(I699=0,NOT(EXACT(Raw_Passengers!F699,G699))),AND(J699=0,NOT(EXACT(Raw_Passengers!G699,H699)))),1,0),0)</f>
        <v>0</v>
      </c>
      <c r="L699" s="7">
        <f>IF(AND(C699=0,D699=0,I699=1),1,0)</f>
        <v>0</v>
      </c>
      <c r="M699" s="7">
        <f>IF(AND(C699=0,D699=0,J699=1),1,0)</f>
        <v>0</v>
      </c>
    </row>
    <row r="700" spans="1:13">
      <c r="A700" s="7">
        <f>Raw_Passengers!A700</f>
        <v>230498</v>
      </c>
      <c r="B700" s="7">
        <f>Raw_Passengers!B700</f>
        <v>1114094</v>
      </c>
      <c r="C700" s="7">
        <f>IF(COUNTIF(Raw_Passengers!$A$2:A700,Raw_Passengers!A700)&gt;1,1,0)</f>
        <v>0</v>
      </c>
      <c r="D700" s="7">
        <f>IF(COUNTIF(Raw_Bookings!$A$2:$A$648,Raw_Passengers!B700)=0,1,0)</f>
        <v>0</v>
      </c>
      <c r="E700" s="7">
        <f>IF(OR(C700=1,D700=1),0,IF(NOT(ISNUMBER(Raw_Passengers!E700)),1,IF(Raw_Passengers!E700&lt;=0,1,0)))</f>
        <v>0</v>
      </c>
      <c r="F700" s="7">
        <f>IF(AND(C700=0,D700=0,TRIM(Raw_Passengers!D700&amp;"")=""),1,0)</f>
        <v>0</v>
      </c>
      <c r="G700" s="7" t="str">
        <f>IF(SUMPRODUCT(--(Lookup_Status!$A$2:$A$13=LOWER(TRIM(Raw_Passengers!F700))))=0,"",INDEX(Lookup_Status!$B$2:$B$13,SUMPRODUCT((Lookup_Status!$A$2:$A$13=LOWER(TRIM(Raw_Passengers!F700)))*(ROW(Lookup_Status!$A$2:$A$13)-1))))</f>
        <v>Confirmed</v>
      </c>
      <c r="H700" s="7" t="str">
        <f>IF(SUMPRODUCT(--(Lookup_Status!$A$2:$A$13=LOWER(TRIM(Raw_Passengers!G700))))=0,"",INDEX(Lookup_Status!$B$2:$B$13,SUMPRODUCT((Lookup_Status!$A$2:$A$13=LOWER(TRIM(Raw_Passengers!G700)))*(ROW(Lookup_Status!$A$2:$A$13)-1))))</f>
        <v>Confirmed</v>
      </c>
      <c r="I700" s="7">
        <f>IF(OR(G700="",G700="Cancelled",G700="Mixed"),1,0)</f>
        <v>0</v>
      </c>
      <c r="J700" s="7">
        <f>IF(OR(H700="",H700="Mixed"),1,0)</f>
        <v>0</v>
      </c>
      <c r="K700" s="7">
        <f>IF(AND(C700=0,D700=0),IF(OR(AND(I700=0,NOT(EXACT(Raw_Passengers!F700,G700))),AND(J700=0,NOT(EXACT(Raw_Passengers!G700,H700)))),1,0),0)</f>
        <v>0</v>
      </c>
      <c r="L700" s="7">
        <f>IF(AND(C700=0,D700=0,I700=1),1,0)</f>
        <v>0</v>
      </c>
      <c r="M700" s="7">
        <f>IF(AND(C700=0,D700=0,J700=1),1,0)</f>
        <v>0</v>
      </c>
    </row>
    <row r="701" spans="1:13">
      <c r="A701" s="7">
        <f>Raw_Passengers!A701</f>
        <v>230667</v>
      </c>
      <c r="B701" s="7">
        <f>Raw_Passengers!B701</f>
        <v>1114178</v>
      </c>
      <c r="C701" s="7">
        <f>IF(COUNTIF(Raw_Passengers!$A$2:A701,Raw_Passengers!A701)&gt;1,1,0)</f>
        <v>0</v>
      </c>
      <c r="D701" s="7">
        <f>IF(COUNTIF(Raw_Bookings!$A$2:$A$648,Raw_Passengers!B701)=0,1,0)</f>
        <v>0</v>
      </c>
      <c r="E701" s="7">
        <f>IF(OR(C701=1,D701=1),0,IF(NOT(ISNUMBER(Raw_Passengers!E701)),1,IF(Raw_Passengers!E701&lt;=0,1,0)))</f>
        <v>0</v>
      </c>
      <c r="F701" s="7">
        <f>IF(AND(C701=0,D701=0,TRIM(Raw_Passengers!D701&amp;"")=""),1,0)</f>
        <v>0</v>
      </c>
      <c r="G701" s="7" t="str">
        <f>IF(SUMPRODUCT(--(Lookup_Status!$A$2:$A$13=LOWER(TRIM(Raw_Passengers!F701))))=0,"",INDEX(Lookup_Status!$B$2:$B$13,SUMPRODUCT((Lookup_Status!$A$2:$A$13=LOWER(TRIM(Raw_Passengers!F701)))*(ROW(Lookup_Status!$A$2:$A$13)-1))))</f>
        <v>Confirmed</v>
      </c>
      <c r="H701" s="7" t="str">
        <f>IF(SUMPRODUCT(--(Lookup_Status!$A$2:$A$13=LOWER(TRIM(Raw_Passengers!G701))))=0,"",INDEX(Lookup_Status!$B$2:$B$13,SUMPRODUCT((Lookup_Status!$A$2:$A$13=LOWER(TRIM(Raw_Passengers!G701)))*(ROW(Lookup_Status!$A$2:$A$13)-1))))</f>
        <v>Confirmed</v>
      </c>
      <c r="I701" s="7">
        <f>IF(OR(G701="",G701="Cancelled",G701="Mixed"),1,0)</f>
        <v>0</v>
      </c>
      <c r="J701" s="7">
        <f>IF(OR(H701="",H701="Mixed"),1,0)</f>
        <v>0</v>
      </c>
      <c r="K701" s="7">
        <f>IF(AND(C701=0,D701=0),IF(OR(AND(I701=0,NOT(EXACT(Raw_Passengers!F701,G701))),AND(J701=0,NOT(EXACT(Raw_Passengers!G701,H701)))),1,0),0)</f>
        <v>0</v>
      </c>
      <c r="L701" s="7">
        <f>IF(AND(C701=0,D701=0,I701=1),1,0)</f>
        <v>0</v>
      </c>
      <c r="M701" s="7">
        <f>IF(AND(C701=0,D701=0,J701=1),1,0)</f>
        <v>0</v>
      </c>
    </row>
    <row r="702" spans="1:13">
      <c r="A702" s="7">
        <f>Raw_Passengers!A702</f>
        <v>230905</v>
      </c>
      <c r="B702" s="7">
        <f>Raw_Passengers!B702</f>
        <v>1114288</v>
      </c>
      <c r="C702" s="7">
        <f>IF(COUNTIF(Raw_Passengers!$A$2:A702,Raw_Passengers!A702)&gt;1,1,0)</f>
        <v>0</v>
      </c>
      <c r="D702" s="7">
        <f>IF(COUNTIF(Raw_Bookings!$A$2:$A$648,Raw_Passengers!B702)=0,1,0)</f>
        <v>0</v>
      </c>
      <c r="E702" s="7">
        <f>IF(OR(C702=1,D702=1),0,IF(NOT(ISNUMBER(Raw_Passengers!E702)),1,IF(Raw_Passengers!E702&lt;=0,1,0)))</f>
        <v>0</v>
      </c>
      <c r="F702" s="7">
        <f>IF(AND(C702=0,D702=0,TRIM(Raw_Passengers!D702&amp;"")=""),1,0)</f>
        <v>0</v>
      </c>
      <c r="G702" s="7" t="str">
        <f>IF(SUMPRODUCT(--(Lookup_Status!$A$2:$A$13=LOWER(TRIM(Raw_Passengers!F702))))=0,"",INDEX(Lookup_Status!$B$2:$B$13,SUMPRODUCT((Lookup_Status!$A$2:$A$13=LOWER(TRIM(Raw_Passengers!F702)))*(ROW(Lookup_Status!$A$2:$A$13)-1))))</f>
        <v>Confirmed</v>
      </c>
      <c r="H702" s="7" t="str">
        <f>IF(SUMPRODUCT(--(Lookup_Status!$A$2:$A$13=LOWER(TRIM(Raw_Passengers!G702))))=0,"",INDEX(Lookup_Status!$B$2:$B$13,SUMPRODUCT((Lookup_Status!$A$2:$A$13=LOWER(TRIM(Raw_Passengers!G702)))*(ROW(Lookup_Status!$A$2:$A$13)-1))))</f>
        <v>Confirmed</v>
      </c>
      <c r="I702" s="7">
        <f>IF(OR(G702="",G702="Cancelled",G702="Mixed"),1,0)</f>
        <v>0</v>
      </c>
      <c r="J702" s="7">
        <f>IF(OR(H702="",H702="Mixed"),1,0)</f>
        <v>0</v>
      </c>
      <c r="K702" s="7">
        <f>IF(AND(C702=0,D702=0),IF(OR(AND(I702=0,NOT(EXACT(Raw_Passengers!F702,G702))),AND(J702=0,NOT(EXACT(Raw_Passengers!G702,H702)))),1,0),0)</f>
        <v>0</v>
      </c>
      <c r="L702" s="7">
        <f>IF(AND(C702=0,D702=0,I702=1),1,0)</f>
        <v>0</v>
      </c>
      <c r="M702" s="7">
        <f>IF(AND(C702=0,D702=0,J702=1),1,0)</f>
        <v>0</v>
      </c>
    </row>
    <row r="703" spans="1:13">
      <c r="A703" s="7">
        <f>Raw_Passengers!A703</f>
        <v>231847</v>
      </c>
      <c r="B703" s="7">
        <f>Raw_Passengers!B703</f>
        <v>1114785</v>
      </c>
      <c r="C703" s="7">
        <f>IF(COUNTIF(Raw_Passengers!$A$2:A703,Raw_Passengers!A703)&gt;1,1,0)</f>
        <v>0</v>
      </c>
      <c r="D703" s="7">
        <f>IF(COUNTIF(Raw_Bookings!$A$2:$A$648,Raw_Passengers!B703)=0,1,0)</f>
        <v>0</v>
      </c>
      <c r="E703" s="7">
        <f>IF(OR(C703=1,D703=1),0,IF(NOT(ISNUMBER(Raw_Passengers!E703)),1,IF(Raw_Passengers!E703&lt;=0,1,0)))</f>
        <v>0</v>
      </c>
      <c r="F703" s="7">
        <f>IF(AND(C703=0,D703=0,TRIM(Raw_Passengers!D703&amp;"")=""),1,0)</f>
        <v>0</v>
      </c>
      <c r="G703" s="7" t="str">
        <f>IF(SUMPRODUCT(--(Lookup_Status!$A$2:$A$13=LOWER(TRIM(Raw_Passengers!F703))))=0,"",INDEX(Lookup_Status!$B$2:$B$13,SUMPRODUCT((Lookup_Status!$A$2:$A$13=LOWER(TRIM(Raw_Passengers!F703)))*(ROW(Lookup_Status!$A$2:$A$13)-1))))</f>
        <v>Confirmed</v>
      </c>
      <c r="H703" s="7" t="str">
        <f>IF(SUMPRODUCT(--(Lookup_Status!$A$2:$A$13=LOWER(TRIM(Raw_Passengers!G703))))=0,"",INDEX(Lookup_Status!$B$2:$B$13,SUMPRODUCT((Lookup_Status!$A$2:$A$13=LOWER(TRIM(Raw_Passengers!G703)))*(ROW(Lookup_Status!$A$2:$A$13)-1))))</f>
        <v>Confirmed</v>
      </c>
      <c r="I703" s="7">
        <f>IF(OR(G703="",G703="Cancelled",G703="Mixed"),1,0)</f>
        <v>0</v>
      </c>
      <c r="J703" s="7">
        <f>IF(OR(H703="",H703="Mixed"),1,0)</f>
        <v>0</v>
      </c>
      <c r="K703" s="7">
        <f>IF(AND(C703=0,D703=0),IF(OR(AND(I703=0,NOT(EXACT(Raw_Passengers!F703,G703))),AND(J703=0,NOT(EXACT(Raw_Passengers!G703,H703)))),1,0),0)</f>
        <v>0</v>
      </c>
      <c r="L703" s="7">
        <f>IF(AND(C703=0,D703=0,I703=1),1,0)</f>
        <v>0</v>
      </c>
      <c r="M703" s="7">
        <f>IF(AND(C703=0,D703=0,J703=1),1,0)</f>
        <v>0</v>
      </c>
    </row>
    <row r="704" spans="1:13">
      <c r="A704" s="7">
        <f>Raw_Passengers!A704</f>
        <v>232614</v>
      </c>
      <c r="B704" s="7">
        <f>Raw_Passengers!B704</f>
        <v>1115198</v>
      </c>
      <c r="C704" s="7">
        <f>IF(COUNTIF(Raw_Passengers!$A$2:A704,Raw_Passengers!A704)&gt;1,1,0)</f>
        <v>0</v>
      </c>
      <c r="D704" s="7">
        <f>IF(COUNTIF(Raw_Bookings!$A$2:$A$648,Raw_Passengers!B704)=0,1,0)</f>
        <v>0</v>
      </c>
      <c r="E704" s="7">
        <f>IF(OR(C704=1,D704=1),0,IF(NOT(ISNUMBER(Raw_Passengers!E704)),1,IF(Raw_Passengers!E704&lt;=0,1,0)))</f>
        <v>0</v>
      </c>
      <c r="F704" s="7">
        <f>IF(AND(C704=0,D704=0,TRIM(Raw_Passengers!D704&amp;"")=""),1,0)</f>
        <v>0</v>
      </c>
      <c r="G704" s="7" t="str">
        <f>IF(SUMPRODUCT(--(Lookup_Status!$A$2:$A$13=LOWER(TRIM(Raw_Passengers!F704))))=0,"",INDEX(Lookup_Status!$B$2:$B$13,SUMPRODUCT((Lookup_Status!$A$2:$A$13=LOWER(TRIM(Raw_Passengers!F704)))*(ROW(Lookup_Status!$A$2:$A$13)-1))))</f>
        <v>RAC</v>
      </c>
      <c r="H704" s="7">
        <f>IF(SUMPRODUCT(--(Lookup_Status!$A$2:$A$13=LOWER(TRIM(Raw_Passengers!G704))))=0,"",INDEX(Lookup_Status!$B$2:$B$13,SUMPRODUCT((Lookup_Status!$A$2:$A$13=LOWER(TRIM(Raw_Passengers!G704)))*(ROW(Lookup_Status!$A$2:$A$13)-1))))</f>
        <v/>
      </c>
      <c r="I704" s="7">
        <f>IF(OR(G704="",G704="Cancelled",G704="Mixed"),1,0)</f>
        <v>0</v>
      </c>
      <c r="J704" s="7">
        <f>IF(OR(H704="",H704="Mixed"),1,0)</f>
        <v>1</v>
      </c>
      <c r="K704" s="7">
        <f>IF(AND(C704=0,D704=0),IF(OR(AND(I704=0,NOT(EXACT(Raw_Passengers!F704,G704))),AND(J704=0,NOT(EXACT(Raw_Passengers!G704,H704)))),1,0),0)</f>
        <v>0</v>
      </c>
      <c r="L704" s="7">
        <f>IF(AND(C704=0,D704=0,I704=1),1,0)</f>
        <v>0</v>
      </c>
      <c r="M704" s="7">
        <f>IF(AND(C704=0,D704=0,J704=1),1,0)</f>
        <v>1</v>
      </c>
    </row>
    <row r="705" spans="1:13">
      <c r="A705" s="7">
        <f>Raw_Passengers!A705</f>
        <v>232615</v>
      </c>
      <c r="B705" s="7">
        <f>Raw_Passengers!B705</f>
        <v>1115198</v>
      </c>
      <c r="C705" s="7">
        <f>IF(COUNTIF(Raw_Passengers!$A$2:A705,Raw_Passengers!A705)&gt;1,1,0)</f>
        <v>0</v>
      </c>
      <c r="D705" s="7">
        <f>IF(COUNTIF(Raw_Bookings!$A$2:$A$648,Raw_Passengers!B705)=0,1,0)</f>
        <v>0</v>
      </c>
      <c r="E705" s="7">
        <f>IF(OR(C705=1,D705=1),0,IF(NOT(ISNUMBER(Raw_Passengers!E705)),1,IF(Raw_Passengers!E705&lt;=0,1,0)))</f>
        <v>0</v>
      </c>
      <c r="F705" s="7">
        <f>IF(AND(C705=0,D705=0,TRIM(Raw_Passengers!D705&amp;"")=""),1,0)</f>
        <v>0</v>
      </c>
      <c r="G705" s="7" t="str">
        <f>IF(SUMPRODUCT(--(Lookup_Status!$A$2:$A$13=LOWER(TRIM(Raw_Passengers!F705))))=0,"",INDEX(Lookup_Status!$B$2:$B$13,SUMPRODUCT((Lookup_Status!$A$2:$A$13=LOWER(TRIM(Raw_Passengers!F705)))*(ROW(Lookup_Status!$A$2:$A$13)-1))))</f>
        <v>RAC</v>
      </c>
      <c r="H705" s="7" t="str">
        <f>IF(SUMPRODUCT(--(Lookup_Status!$A$2:$A$13=LOWER(TRIM(Raw_Passengers!G705))))=0,"",INDEX(Lookup_Status!$B$2:$B$13,SUMPRODUCT((Lookup_Status!$A$2:$A$13=LOWER(TRIM(Raw_Passengers!G705)))*(ROW(Lookup_Status!$A$2:$A$13)-1))))</f>
        <v>Cancelled</v>
      </c>
      <c r="I705" s="7">
        <f>IF(OR(G705="",G705="Cancelled",G705="Mixed"),1,0)</f>
        <v>0</v>
      </c>
      <c r="J705" s="7">
        <f>IF(OR(H705="",H705="Mixed"),1,0)</f>
        <v>0</v>
      </c>
      <c r="K705" s="7">
        <f>IF(AND(C705=0,D705=0),IF(OR(AND(I705=0,NOT(EXACT(Raw_Passengers!F705,G705))),AND(J705=0,NOT(EXACT(Raw_Passengers!G705,H705)))),1,0),0)</f>
        <v>0</v>
      </c>
      <c r="L705" s="7">
        <f>IF(AND(C705=0,D705=0,I705=1),1,0)</f>
        <v>0</v>
      </c>
      <c r="M705" s="7">
        <f>IF(AND(C705=0,D705=0,J705=1),1,0)</f>
        <v>0</v>
      </c>
    </row>
    <row r="706" spans="1:13">
      <c r="A706" s="7">
        <f>Raw_Passengers!A706</f>
        <v>232954</v>
      </c>
      <c r="B706" s="7">
        <f>Raw_Passengers!B706</f>
        <v>1115367</v>
      </c>
      <c r="C706" s="7">
        <f>IF(COUNTIF(Raw_Passengers!$A$2:A706,Raw_Passengers!A706)&gt;1,1,0)</f>
        <v>0</v>
      </c>
      <c r="D706" s="7">
        <f>IF(COUNTIF(Raw_Bookings!$A$2:$A$648,Raw_Passengers!B706)=0,1,0)</f>
        <v>0</v>
      </c>
      <c r="E706" s="7">
        <f>IF(OR(C706=1,D706=1),0,IF(NOT(ISNUMBER(Raw_Passengers!E706)),1,IF(Raw_Passengers!E706&lt;=0,1,0)))</f>
        <v>0</v>
      </c>
      <c r="F706" s="7">
        <f>IF(AND(C706=0,D706=0,TRIM(Raw_Passengers!D706&amp;"")=""),1,0)</f>
        <v>0</v>
      </c>
      <c r="G706" s="7" t="str">
        <f>IF(SUMPRODUCT(--(Lookup_Status!$A$2:$A$13=LOWER(TRIM(Raw_Passengers!F706))))=0,"",INDEX(Lookup_Status!$B$2:$B$13,SUMPRODUCT((Lookup_Status!$A$2:$A$13=LOWER(TRIM(Raw_Passengers!F706)))*(ROW(Lookup_Status!$A$2:$A$13)-1))))</f>
        <v>Confirmed</v>
      </c>
      <c r="H706" s="7" t="str">
        <f>IF(SUMPRODUCT(--(Lookup_Status!$A$2:$A$13=LOWER(TRIM(Raw_Passengers!G706))))=0,"",INDEX(Lookup_Status!$B$2:$B$13,SUMPRODUCT((Lookup_Status!$A$2:$A$13=LOWER(TRIM(Raw_Passengers!G706)))*(ROW(Lookup_Status!$A$2:$A$13)-1))))</f>
        <v>Cancelled</v>
      </c>
      <c r="I706" s="7">
        <f>IF(OR(G706="",G706="Cancelled",G706="Mixed"),1,0)</f>
        <v>0</v>
      </c>
      <c r="J706" s="7">
        <f>IF(OR(H706="",H706="Mixed"),1,0)</f>
        <v>0</v>
      </c>
      <c r="K706" s="7">
        <f>IF(AND(C706=0,D706=0),IF(OR(AND(I706=0,NOT(EXACT(Raw_Passengers!F706,G706))),AND(J706=0,NOT(EXACT(Raw_Passengers!G706,H706)))),1,0),0)</f>
        <v>0</v>
      </c>
      <c r="L706" s="7">
        <f>IF(AND(C706=0,D706=0,I706=1),1,0)</f>
        <v>0</v>
      </c>
      <c r="M706" s="7">
        <f>IF(AND(C706=0,D706=0,J706=1),1,0)</f>
        <v>0</v>
      </c>
    </row>
    <row r="707" spans="1:13">
      <c r="A707" s="7">
        <f>Raw_Passengers!A707</f>
        <v>235020</v>
      </c>
      <c r="B707" s="7">
        <f>Raw_Passengers!B707</f>
        <v>1116396</v>
      </c>
      <c r="C707" s="7">
        <f>IF(COUNTIF(Raw_Passengers!$A$2:A707,Raw_Passengers!A707)&gt;1,1,0)</f>
        <v>0</v>
      </c>
      <c r="D707" s="7">
        <f>IF(COUNTIF(Raw_Bookings!$A$2:$A$648,Raw_Passengers!B707)=0,1,0)</f>
        <v>0</v>
      </c>
      <c r="E707" s="7">
        <f>IF(OR(C707=1,D707=1),0,IF(NOT(ISNUMBER(Raw_Passengers!E707)),1,IF(Raw_Passengers!E707&lt;=0,1,0)))</f>
        <v>0</v>
      </c>
      <c r="F707" s="7">
        <f>IF(AND(C707=0,D707=0,TRIM(Raw_Passengers!D707&amp;"")=""),1,0)</f>
        <v>0</v>
      </c>
      <c r="G707" s="7" t="str">
        <f>IF(SUMPRODUCT(--(Lookup_Status!$A$2:$A$13=LOWER(TRIM(Raw_Passengers!F707))))=0,"",INDEX(Lookup_Status!$B$2:$B$13,SUMPRODUCT((Lookup_Status!$A$2:$A$13=LOWER(TRIM(Raw_Passengers!F707)))*(ROW(Lookup_Status!$A$2:$A$13)-1))))</f>
        <v>Confirmed</v>
      </c>
      <c r="H707" s="7" t="str">
        <f>IF(SUMPRODUCT(--(Lookup_Status!$A$2:$A$13=LOWER(TRIM(Raw_Passengers!G707))))=0,"",INDEX(Lookup_Status!$B$2:$B$13,SUMPRODUCT((Lookup_Status!$A$2:$A$13=LOWER(TRIM(Raw_Passengers!G707)))*(ROW(Lookup_Status!$A$2:$A$13)-1))))</f>
        <v>Confirmed</v>
      </c>
      <c r="I707" s="7">
        <f>IF(OR(G707="",G707="Cancelled",G707="Mixed"),1,0)</f>
        <v>0</v>
      </c>
      <c r="J707" s="7">
        <f>IF(OR(H707="",H707="Mixed"),1,0)</f>
        <v>0</v>
      </c>
      <c r="K707" s="7">
        <f>IF(AND(C707=0,D707=0),IF(OR(AND(I707=0,NOT(EXACT(Raw_Passengers!F707,G707))),AND(J707=0,NOT(EXACT(Raw_Passengers!G707,H707)))),1,0),0)</f>
        <v>0</v>
      </c>
      <c r="L707" s="7">
        <f>IF(AND(C707=0,D707=0,I707=1),1,0)</f>
        <v>0</v>
      </c>
      <c r="M707" s="7">
        <f>IF(AND(C707=0,D707=0,J707=1),1,0)</f>
        <v>0</v>
      </c>
    </row>
    <row r="708" spans="1:13">
      <c r="A708" s="7">
        <f>Raw_Passengers!A708</f>
        <v>235229</v>
      </c>
      <c r="B708" s="7">
        <f>Raw_Passengers!B708</f>
        <v>1116489</v>
      </c>
      <c r="C708" s="7">
        <f>IF(COUNTIF(Raw_Passengers!$A$2:A708,Raw_Passengers!A708)&gt;1,1,0)</f>
        <v>0</v>
      </c>
      <c r="D708" s="7">
        <f>IF(COUNTIF(Raw_Bookings!$A$2:$A$648,Raw_Passengers!B708)=0,1,0)</f>
        <v>0</v>
      </c>
      <c r="E708" s="7">
        <f>IF(OR(C708=1,D708=1),0,IF(NOT(ISNUMBER(Raw_Passengers!E708)),1,IF(Raw_Passengers!E708&lt;=0,1,0)))</f>
        <v>0</v>
      </c>
      <c r="F708" s="7">
        <f>IF(AND(C708=0,D708=0,TRIM(Raw_Passengers!D708&amp;"")=""),1,0)</f>
        <v>0</v>
      </c>
      <c r="G708" s="7" t="str">
        <f>IF(SUMPRODUCT(--(Lookup_Status!$A$2:$A$13=LOWER(TRIM(Raw_Passengers!F708))))=0,"",INDEX(Lookup_Status!$B$2:$B$13,SUMPRODUCT((Lookup_Status!$A$2:$A$13=LOWER(TRIM(Raw_Passengers!F708)))*(ROW(Lookup_Status!$A$2:$A$13)-1))))</f>
        <v>Confirmed</v>
      </c>
      <c r="H708" s="7" t="str">
        <f>IF(SUMPRODUCT(--(Lookup_Status!$A$2:$A$13=LOWER(TRIM(Raw_Passengers!G708))))=0,"",INDEX(Lookup_Status!$B$2:$B$13,SUMPRODUCT((Lookup_Status!$A$2:$A$13=LOWER(TRIM(Raw_Passengers!G708)))*(ROW(Lookup_Status!$A$2:$A$13)-1))))</f>
        <v>Confirmed</v>
      </c>
      <c r="I708" s="7">
        <f>IF(OR(G708="",G708="Cancelled",G708="Mixed"),1,0)</f>
        <v>0</v>
      </c>
      <c r="J708" s="7">
        <f>IF(OR(H708="",H708="Mixed"),1,0)</f>
        <v>0</v>
      </c>
      <c r="K708" s="7">
        <f>IF(AND(C708=0,D708=0),IF(OR(AND(I708=0,NOT(EXACT(Raw_Passengers!F708,G708))),AND(J708=0,NOT(EXACT(Raw_Passengers!G708,H708)))),1,0),0)</f>
        <v>0</v>
      </c>
      <c r="L708" s="7">
        <f>IF(AND(C708=0,D708=0,I708=1),1,0)</f>
        <v>0</v>
      </c>
      <c r="M708" s="7">
        <f>IF(AND(C708=0,D708=0,J708=1),1,0)</f>
        <v>0</v>
      </c>
    </row>
    <row r="709" spans="1:13">
      <c r="A709" s="7">
        <f>Raw_Passengers!A709</f>
        <v>236525</v>
      </c>
      <c r="B709" s="7">
        <f>Raw_Passengers!B709</f>
        <v>1117149</v>
      </c>
      <c r="C709" s="7">
        <f>IF(COUNTIF(Raw_Passengers!$A$2:A709,Raw_Passengers!A709)&gt;1,1,0)</f>
        <v>0</v>
      </c>
      <c r="D709" s="7">
        <f>IF(COUNTIF(Raw_Bookings!$A$2:$A$648,Raw_Passengers!B709)=0,1,0)</f>
        <v>0</v>
      </c>
      <c r="E709" s="7">
        <f>IF(OR(C709=1,D709=1),0,IF(NOT(ISNUMBER(Raw_Passengers!E709)),1,IF(Raw_Passengers!E709&lt;=0,1,0)))</f>
        <v>0</v>
      </c>
      <c r="F709" s="7">
        <f>IF(AND(C709=0,D709=0,TRIM(Raw_Passengers!D709&amp;"")=""),1,0)</f>
        <v>0</v>
      </c>
      <c r="G709" s="7" t="str">
        <f>IF(SUMPRODUCT(--(Lookup_Status!$A$2:$A$13=LOWER(TRIM(Raw_Passengers!F709))))=0,"",INDEX(Lookup_Status!$B$2:$B$13,SUMPRODUCT((Lookup_Status!$A$2:$A$13=LOWER(TRIM(Raw_Passengers!F709)))*(ROW(Lookup_Status!$A$2:$A$13)-1))))</f>
        <v>Confirmed</v>
      </c>
      <c r="H709" s="7" t="str">
        <f>IF(SUMPRODUCT(--(Lookup_Status!$A$2:$A$13=LOWER(TRIM(Raw_Passengers!G709))))=0,"",INDEX(Lookup_Status!$B$2:$B$13,SUMPRODUCT((Lookup_Status!$A$2:$A$13=LOWER(TRIM(Raw_Passengers!G709)))*(ROW(Lookup_Status!$A$2:$A$13)-1))))</f>
        <v>Confirmed</v>
      </c>
      <c r="I709" s="7">
        <f>IF(OR(G709="",G709="Cancelled",G709="Mixed"),1,0)</f>
        <v>0</v>
      </c>
      <c r="J709" s="7">
        <f>IF(OR(H709="",H709="Mixed"),1,0)</f>
        <v>0</v>
      </c>
      <c r="K709" s="7">
        <f>IF(AND(C709=0,D709=0),IF(OR(AND(I709=0,NOT(EXACT(Raw_Passengers!F709,G709))),AND(J709=0,NOT(EXACT(Raw_Passengers!G709,H709)))),1,0),0)</f>
        <v>0</v>
      </c>
      <c r="L709" s="7">
        <f>IF(AND(C709=0,D709=0,I709=1),1,0)</f>
        <v>0</v>
      </c>
      <c r="M709" s="7">
        <f>IF(AND(C709=0,D709=0,J709=1),1,0)</f>
        <v>0</v>
      </c>
    </row>
    <row r="710" spans="1:13">
      <c r="A710" s="7">
        <f>Raw_Passengers!A710</f>
        <v>236526</v>
      </c>
      <c r="B710" s="7">
        <f>Raw_Passengers!B710</f>
        <v>1117149</v>
      </c>
      <c r="C710" s="7">
        <f>IF(COUNTIF(Raw_Passengers!$A$2:A710,Raw_Passengers!A710)&gt;1,1,0)</f>
        <v>0</v>
      </c>
      <c r="D710" s="7">
        <f>IF(COUNTIF(Raw_Bookings!$A$2:$A$648,Raw_Passengers!B710)=0,1,0)</f>
        <v>0</v>
      </c>
      <c r="E710" s="7">
        <f>IF(OR(C710=1,D710=1),0,IF(NOT(ISNUMBER(Raw_Passengers!E710)),1,IF(Raw_Passengers!E710&lt;=0,1,0)))</f>
        <v>0</v>
      </c>
      <c r="F710" s="7">
        <f>IF(AND(C710=0,D710=0,TRIM(Raw_Passengers!D710&amp;"")=""),1,0)</f>
        <v>0</v>
      </c>
      <c r="G710" s="7" t="str">
        <f>IF(SUMPRODUCT(--(Lookup_Status!$A$2:$A$13=LOWER(TRIM(Raw_Passengers!F710))))=0,"",INDEX(Lookup_Status!$B$2:$B$13,SUMPRODUCT((Lookup_Status!$A$2:$A$13=LOWER(TRIM(Raw_Passengers!F710)))*(ROW(Lookup_Status!$A$2:$A$13)-1))))</f>
        <v>Confirmed</v>
      </c>
      <c r="H710" s="7" t="str">
        <f>IF(SUMPRODUCT(--(Lookup_Status!$A$2:$A$13=LOWER(TRIM(Raw_Passengers!G710))))=0,"",INDEX(Lookup_Status!$B$2:$B$13,SUMPRODUCT((Lookup_Status!$A$2:$A$13=LOWER(TRIM(Raw_Passengers!G710)))*(ROW(Lookup_Status!$A$2:$A$13)-1))))</f>
        <v>Confirmed</v>
      </c>
      <c r="I710" s="7">
        <f>IF(OR(G710="",G710="Cancelled",G710="Mixed"),1,0)</f>
        <v>0</v>
      </c>
      <c r="J710" s="7">
        <f>IF(OR(H710="",H710="Mixed"),1,0)</f>
        <v>0</v>
      </c>
      <c r="K710" s="7">
        <f>IF(AND(C710=0,D710=0),IF(OR(AND(I710=0,NOT(EXACT(Raw_Passengers!F710,G710))),AND(J710=0,NOT(EXACT(Raw_Passengers!G710,H710)))),1,0),0)</f>
        <v>0</v>
      </c>
      <c r="L710" s="7">
        <f>IF(AND(C710=0,D710=0,I710=1),1,0)</f>
        <v>0</v>
      </c>
      <c r="M710" s="7">
        <f>IF(AND(C710=0,D710=0,J710=1),1,0)</f>
        <v>0</v>
      </c>
    </row>
    <row r="711" spans="1:13">
      <c r="A711" s="7">
        <f>Raw_Passengers!A711</f>
        <v>236880</v>
      </c>
      <c r="B711" s="7">
        <f>Raw_Passengers!B711</f>
        <v>1117321</v>
      </c>
      <c r="C711" s="7">
        <f>IF(COUNTIF(Raw_Passengers!$A$2:A711,Raw_Passengers!A711)&gt;1,1,0)</f>
        <v>0</v>
      </c>
      <c r="D711" s="7">
        <f>IF(COUNTIF(Raw_Bookings!$A$2:$A$648,Raw_Passengers!B711)=0,1,0)</f>
        <v>0</v>
      </c>
      <c r="E711" s="7">
        <f>IF(OR(C711=1,D711=1),0,IF(NOT(ISNUMBER(Raw_Passengers!E711)),1,IF(Raw_Passengers!E711&lt;=0,1,0)))</f>
        <v>0</v>
      </c>
      <c r="F711" s="7">
        <f>IF(AND(C711=0,D711=0,TRIM(Raw_Passengers!D711&amp;"")=""),1,0)</f>
        <v>0</v>
      </c>
      <c r="G711" s="7" t="str">
        <f>IF(SUMPRODUCT(--(Lookup_Status!$A$2:$A$13=LOWER(TRIM(Raw_Passengers!F711))))=0,"",INDEX(Lookup_Status!$B$2:$B$13,SUMPRODUCT((Lookup_Status!$A$2:$A$13=LOWER(TRIM(Raw_Passengers!F711)))*(ROW(Lookup_Status!$A$2:$A$13)-1))))</f>
        <v>Confirmed</v>
      </c>
      <c r="H711" s="7" t="str">
        <f>IF(SUMPRODUCT(--(Lookup_Status!$A$2:$A$13=LOWER(TRIM(Raw_Passengers!G711))))=0,"",INDEX(Lookup_Status!$B$2:$B$13,SUMPRODUCT((Lookup_Status!$A$2:$A$13=LOWER(TRIM(Raw_Passengers!G711)))*(ROW(Lookup_Status!$A$2:$A$13)-1))))</f>
        <v>Confirmed</v>
      </c>
      <c r="I711" s="7">
        <f>IF(OR(G711="",G711="Cancelled",G711="Mixed"),1,0)</f>
        <v>0</v>
      </c>
      <c r="J711" s="7">
        <f>IF(OR(H711="",H711="Mixed"),1,0)</f>
        <v>0</v>
      </c>
      <c r="K711" s="7">
        <f>IF(AND(C711=0,D711=0),IF(OR(AND(I711=0,NOT(EXACT(Raw_Passengers!F711,G711))),AND(J711=0,NOT(EXACT(Raw_Passengers!G711,H711)))),1,0),0)</f>
        <v>0</v>
      </c>
      <c r="L711" s="7">
        <f>IF(AND(C711=0,D711=0,I711=1),1,0)</f>
        <v>0</v>
      </c>
      <c r="M711" s="7">
        <f>IF(AND(C711=0,D711=0,J711=1),1,0)</f>
        <v>0</v>
      </c>
    </row>
    <row r="712" spans="1:13">
      <c r="A712" s="7">
        <f>Raw_Passengers!A712</f>
        <v>236881</v>
      </c>
      <c r="B712" s="7">
        <f>Raw_Passengers!B712</f>
        <v>1117321</v>
      </c>
      <c r="C712" s="7">
        <f>IF(COUNTIF(Raw_Passengers!$A$2:A712,Raw_Passengers!A712)&gt;1,1,0)</f>
        <v>0</v>
      </c>
      <c r="D712" s="7">
        <f>IF(COUNTIF(Raw_Bookings!$A$2:$A$648,Raw_Passengers!B712)=0,1,0)</f>
        <v>0</v>
      </c>
      <c r="E712" s="7">
        <f>IF(OR(C712=1,D712=1),0,IF(NOT(ISNUMBER(Raw_Passengers!E712)),1,IF(Raw_Passengers!E712&lt;=0,1,0)))</f>
        <v>0</v>
      </c>
      <c r="F712" s="7">
        <f>IF(AND(C712=0,D712=0,TRIM(Raw_Passengers!D712&amp;"")=""),1,0)</f>
        <v>0</v>
      </c>
      <c r="G712" s="7" t="str">
        <f>IF(SUMPRODUCT(--(Lookup_Status!$A$2:$A$13=LOWER(TRIM(Raw_Passengers!F712))))=0,"",INDEX(Lookup_Status!$B$2:$B$13,SUMPRODUCT((Lookup_Status!$A$2:$A$13=LOWER(TRIM(Raw_Passengers!F712)))*(ROW(Lookup_Status!$A$2:$A$13)-1))))</f>
        <v>Confirmed</v>
      </c>
      <c r="H712" s="7" t="str">
        <f>IF(SUMPRODUCT(--(Lookup_Status!$A$2:$A$13=LOWER(TRIM(Raw_Passengers!G712))))=0,"",INDEX(Lookup_Status!$B$2:$B$13,SUMPRODUCT((Lookup_Status!$A$2:$A$13=LOWER(TRIM(Raw_Passengers!G712)))*(ROW(Lookup_Status!$A$2:$A$13)-1))))</f>
        <v>Confirmed</v>
      </c>
      <c r="I712" s="7">
        <f>IF(OR(G712="",G712="Cancelled",G712="Mixed"),1,0)</f>
        <v>0</v>
      </c>
      <c r="J712" s="7">
        <f>IF(OR(H712="",H712="Mixed"),1,0)</f>
        <v>0</v>
      </c>
      <c r="K712" s="7">
        <f>IF(AND(C712=0,D712=0),IF(OR(AND(I712=0,NOT(EXACT(Raw_Passengers!F712,G712))),AND(J712=0,NOT(EXACT(Raw_Passengers!G712,H712)))),1,0),0)</f>
        <v>0</v>
      </c>
      <c r="L712" s="7">
        <f>IF(AND(C712=0,D712=0,I712=1),1,0)</f>
        <v>0</v>
      </c>
      <c r="M712" s="7">
        <f>IF(AND(C712=0,D712=0,J712=1),1,0)</f>
        <v>0</v>
      </c>
    </row>
    <row r="713" spans="1:13">
      <c r="A713" s="7">
        <f>Raw_Passengers!A713</f>
        <v>236882</v>
      </c>
      <c r="B713" s="7">
        <f>Raw_Passengers!B713</f>
        <v>1117321</v>
      </c>
      <c r="C713" s="7">
        <f>IF(COUNTIF(Raw_Passengers!$A$2:A713,Raw_Passengers!A713)&gt;1,1,0)</f>
        <v>0</v>
      </c>
      <c r="D713" s="7">
        <f>IF(COUNTIF(Raw_Bookings!$A$2:$A$648,Raw_Passengers!B713)=0,1,0)</f>
        <v>0</v>
      </c>
      <c r="E713" s="7">
        <f>IF(OR(C713=1,D713=1),0,IF(NOT(ISNUMBER(Raw_Passengers!E713)),1,IF(Raw_Passengers!E713&lt;=0,1,0)))</f>
        <v>0</v>
      </c>
      <c r="F713" s="7">
        <f>IF(AND(C713=0,D713=0,TRIM(Raw_Passengers!D713&amp;"")=""),1,0)</f>
        <v>0</v>
      </c>
      <c r="G713" s="7" t="str">
        <f>IF(SUMPRODUCT(--(Lookup_Status!$A$2:$A$13=LOWER(TRIM(Raw_Passengers!F713))))=0,"",INDEX(Lookup_Status!$B$2:$B$13,SUMPRODUCT((Lookup_Status!$A$2:$A$13=LOWER(TRIM(Raw_Passengers!F713)))*(ROW(Lookup_Status!$A$2:$A$13)-1))))</f>
        <v>Confirmed</v>
      </c>
      <c r="H713" s="7" t="str">
        <f>IF(SUMPRODUCT(--(Lookup_Status!$A$2:$A$13=LOWER(TRIM(Raw_Passengers!G713))))=0,"",INDEX(Lookup_Status!$B$2:$B$13,SUMPRODUCT((Lookup_Status!$A$2:$A$13=LOWER(TRIM(Raw_Passengers!G713)))*(ROW(Lookup_Status!$A$2:$A$13)-1))))</f>
        <v>Confirmed</v>
      </c>
      <c r="I713" s="7">
        <f>IF(OR(G713="",G713="Cancelled",G713="Mixed"),1,0)</f>
        <v>0</v>
      </c>
      <c r="J713" s="7">
        <f>IF(OR(H713="",H713="Mixed"),1,0)</f>
        <v>0</v>
      </c>
      <c r="K713" s="7">
        <f>IF(AND(C713=0,D713=0),IF(OR(AND(I713=0,NOT(EXACT(Raw_Passengers!F713,G713))),AND(J713=0,NOT(EXACT(Raw_Passengers!G713,H713)))),1,0),0)</f>
        <v>0</v>
      </c>
      <c r="L713" s="7">
        <f>IF(AND(C713=0,D713=0,I713=1),1,0)</f>
        <v>0</v>
      </c>
      <c r="M713" s="7">
        <f>IF(AND(C713=0,D713=0,J713=1),1,0)</f>
        <v>0</v>
      </c>
    </row>
    <row r="714" spans="1:13">
      <c r="A714" s="7">
        <f>Raw_Passengers!A714</f>
        <v>238577</v>
      </c>
      <c r="B714" s="7">
        <f>Raw_Passengers!B714</f>
        <v>1118149</v>
      </c>
      <c r="C714" s="7">
        <f>IF(COUNTIF(Raw_Passengers!$A$2:A714,Raw_Passengers!A714)&gt;1,1,0)</f>
        <v>0</v>
      </c>
      <c r="D714" s="7">
        <f>IF(COUNTIF(Raw_Bookings!$A$2:$A$648,Raw_Passengers!B714)=0,1,0)</f>
        <v>0</v>
      </c>
      <c r="E714" s="7">
        <f>IF(OR(C714=1,D714=1),0,IF(NOT(ISNUMBER(Raw_Passengers!E714)),1,IF(Raw_Passengers!E714&lt;=0,1,0)))</f>
        <v>0</v>
      </c>
      <c r="F714" s="7">
        <f>IF(AND(C714=0,D714=0,TRIM(Raw_Passengers!D714&amp;"")=""),1,0)</f>
        <v>0</v>
      </c>
      <c r="G714" s="7" t="str">
        <f>IF(SUMPRODUCT(--(Lookup_Status!$A$2:$A$13=LOWER(TRIM(Raw_Passengers!F714))))=0,"",INDEX(Lookup_Status!$B$2:$B$13,SUMPRODUCT((Lookup_Status!$A$2:$A$13=LOWER(TRIM(Raw_Passengers!F714)))*(ROW(Lookup_Status!$A$2:$A$13)-1))))</f>
        <v>Confirmed</v>
      </c>
      <c r="H714" s="7" t="str">
        <f>IF(SUMPRODUCT(--(Lookup_Status!$A$2:$A$13=LOWER(TRIM(Raw_Passengers!G714))))=0,"",INDEX(Lookup_Status!$B$2:$B$13,SUMPRODUCT((Lookup_Status!$A$2:$A$13=LOWER(TRIM(Raw_Passengers!G714)))*(ROW(Lookup_Status!$A$2:$A$13)-1))))</f>
        <v>Confirmed</v>
      </c>
      <c r="I714" s="7">
        <f>IF(OR(G714="",G714="Cancelled",G714="Mixed"),1,0)</f>
        <v>0</v>
      </c>
      <c r="J714" s="7">
        <f>IF(OR(H714="",H714="Mixed"),1,0)</f>
        <v>0</v>
      </c>
      <c r="K714" s="7">
        <f>IF(AND(C714=0,D714=0),IF(OR(AND(I714=0,NOT(EXACT(Raw_Passengers!F714,G714))),AND(J714=0,NOT(EXACT(Raw_Passengers!G714,H714)))),1,0),0)</f>
        <v>0</v>
      </c>
      <c r="L714" s="7">
        <f>IF(AND(C714=0,D714=0,I714=1),1,0)</f>
        <v>0</v>
      </c>
      <c r="M714" s="7">
        <f>IF(AND(C714=0,D714=0,J714=1),1,0)</f>
        <v>0</v>
      </c>
    </row>
    <row r="715" spans="1:13">
      <c r="A715" s="7">
        <f>Raw_Passengers!A715</f>
        <v>238844</v>
      </c>
      <c r="B715" s="7">
        <f>Raw_Passengers!B715</f>
        <v>1118274</v>
      </c>
      <c r="C715" s="7">
        <f>IF(COUNTIF(Raw_Passengers!$A$2:A715,Raw_Passengers!A715)&gt;1,1,0)</f>
        <v>0</v>
      </c>
      <c r="D715" s="7">
        <f>IF(COUNTIF(Raw_Bookings!$A$2:$A$648,Raw_Passengers!B715)=0,1,0)</f>
        <v>0</v>
      </c>
      <c r="E715" s="7">
        <f>IF(OR(C715=1,D715=1),0,IF(NOT(ISNUMBER(Raw_Passengers!E715)),1,IF(Raw_Passengers!E715&lt;=0,1,0)))</f>
        <v>0</v>
      </c>
      <c r="F715" s="7">
        <f>IF(AND(C715=0,D715=0,TRIM(Raw_Passengers!D715&amp;"")=""),1,0)</f>
        <v>0</v>
      </c>
      <c r="G715" s="7">
        <f>IF(SUMPRODUCT(--(Lookup_Status!$A$2:$A$13=LOWER(TRIM(Raw_Passengers!F715))))=0,"",INDEX(Lookup_Status!$B$2:$B$13,SUMPRODUCT((Lookup_Status!$A$2:$A$13=LOWER(TRIM(Raw_Passengers!F715)))*(ROW(Lookup_Status!$A$2:$A$13)-1))))</f>
        <v/>
      </c>
      <c r="H715" s="7" t="str">
        <f>IF(SUMPRODUCT(--(Lookup_Status!$A$2:$A$13=LOWER(TRIM(Raw_Passengers!G715))))=0,"",INDEX(Lookup_Status!$B$2:$B$13,SUMPRODUCT((Lookup_Status!$A$2:$A$13=LOWER(TRIM(Raw_Passengers!G715)))*(ROW(Lookup_Status!$A$2:$A$13)-1))))</f>
        <v>Confirmed</v>
      </c>
      <c r="I715" s="7">
        <f>IF(OR(G715="",G715="Cancelled",G715="Mixed"),1,0)</f>
        <v>1</v>
      </c>
      <c r="J715" s="7">
        <f>IF(OR(H715="",H715="Mixed"),1,0)</f>
        <v>0</v>
      </c>
      <c r="K715" s="7">
        <f>IF(AND(C715=0,D715=0),IF(OR(AND(I715=0,NOT(EXACT(Raw_Passengers!F715,G715))),AND(J715=0,NOT(EXACT(Raw_Passengers!G715,H715)))),1,0),0)</f>
        <v>0</v>
      </c>
      <c r="L715" s="7">
        <f>IF(AND(C715=0,D715=0,I715=1),1,0)</f>
        <v>1</v>
      </c>
      <c r="M715" s="7">
        <f>IF(AND(C715=0,D715=0,J715=1),1,0)</f>
        <v>0</v>
      </c>
    </row>
    <row r="716" spans="1:13">
      <c r="A716" s="7">
        <f>Raw_Passengers!A716</f>
        <v>238845</v>
      </c>
      <c r="B716" s="7">
        <f>Raw_Passengers!B716</f>
        <v>1118274</v>
      </c>
      <c r="C716" s="7">
        <f>IF(COUNTIF(Raw_Passengers!$A$2:A716,Raw_Passengers!A716)&gt;1,1,0)</f>
        <v>0</v>
      </c>
      <c r="D716" s="7">
        <f>IF(COUNTIF(Raw_Bookings!$A$2:$A$648,Raw_Passengers!B716)=0,1,0)</f>
        <v>0</v>
      </c>
      <c r="E716" s="7">
        <f>IF(OR(C716=1,D716=1),0,IF(NOT(ISNUMBER(Raw_Passengers!E716)),1,IF(Raw_Passengers!E716&lt;=0,1,0)))</f>
        <v>0</v>
      </c>
      <c r="F716" s="7">
        <f>IF(AND(C716=0,D716=0,TRIM(Raw_Passengers!D716&amp;"")=""),1,0)</f>
        <v>0</v>
      </c>
      <c r="G716" s="7" t="str">
        <f>IF(SUMPRODUCT(--(Lookup_Status!$A$2:$A$13=LOWER(TRIM(Raw_Passengers!F716))))=0,"",INDEX(Lookup_Status!$B$2:$B$13,SUMPRODUCT((Lookup_Status!$A$2:$A$13=LOWER(TRIM(Raw_Passengers!F716)))*(ROW(Lookup_Status!$A$2:$A$13)-1))))</f>
        <v>Confirmed</v>
      </c>
      <c r="H716" s="7" t="str">
        <f>IF(SUMPRODUCT(--(Lookup_Status!$A$2:$A$13=LOWER(TRIM(Raw_Passengers!G716))))=0,"",INDEX(Lookup_Status!$B$2:$B$13,SUMPRODUCT((Lookup_Status!$A$2:$A$13=LOWER(TRIM(Raw_Passengers!G716)))*(ROW(Lookup_Status!$A$2:$A$13)-1))))</f>
        <v>Confirmed</v>
      </c>
      <c r="I716" s="7">
        <f>IF(OR(G716="",G716="Cancelled",G716="Mixed"),1,0)</f>
        <v>0</v>
      </c>
      <c r="J716" s="7">
        <f>IF(OR(H716="",H716="Mixed"),1,0)</f>
        <v>0</v>
      </c>
      <c r="K716" s="7">
        <f>IF(AND(C716=0,D716=0),IF(OR(AND(I716=0,NOT(EXACT(Raw_Passengers!F716,G716))),AND(J716=0,NOT(EXACT(Raw_Passengers!G716,H716)))),1,0),0)</f>
        <v>0</v>
      </c>
      <c r="L716" s="7">
        <f>IF(AND(C716=0,D716=0,I716=1),1,0)</f>
        <v>0</v>
      </c>
      <c r="M716" s="7">
        <f>IF(AND(C716=0,D716=0,J716=1),1,0)</f>
        <v>0</v>
      </c>
    </row>
    <row r="717" spans="1:13">
      <c r="A717" s="7">
        <f>Raw_Passengers!A717</f>
        <v>238846</v>
      </c>
      <c r="B717" s="7">
        <f>Raw_Passengers!B717</f>
        <v>1118274</v>
      </c>
      <c r="C717" s="7">
        <f>IF(COUNTIF(Raw_Passengers!$A$2:A717,Raw_Passengers!A717)&gt;1,1,0)</f>
        <v>0</v>
      </c>
      <c r="D717" s="7">
        <f>IF(COUNTIF(Raw_Bookings!$A$2:$A$648,Raw_Passengers!B717)=0,1,0)</f>
        <v>0</v>
      </c>
      <c r="E717" s="7">
        <f>IF(OR(C717=1,D717=1),0,IF(NOT(ISNUMBER(Raw_Passengers!E717)),1,IF(Raw_Passengers!E717&lt;=0,1,0)))</f>
        <v>0</v>
      </c>
      <c r="F717" s="7">
        <f>IF(AND(C717=0,D717=0,TRIM(Raw_Passengers!D717&amp;"")=""),1,0)</f>
        <v>0</v>
      </c>
      <c r="G717" s="7" t="str">
        <f>IF(SUMPRODUCT(--(Lookup_Status!$A$2:$A$13=LOWER(TRIM(Raw_Passengers!F717))))=0,"",INDEX(Lookup_Status!$B$2:$B$13,SUMPRODUCT((Lookup_Status!$A$2:$A$13=LOWER(TRIM(Raw_Passengers!F717)))*(ROW(Lookup_Status!$A$2:$A$13)-1))))</f>
        <v>Confirmed</v>
      </c>
      <c r="H717" s="7" t="str">
        <f>IF(SUMPRODUCT(--(Lookup_Status!$A$2:$A$13=LOWER(TRIM(Raw_Passengers!G717))))=0,"",INDEX(Lookup_Status!$B$2:$B$13,SUMPRODUCT((Lookup_Status!$A$2:$A$13=LOWER(TRIM(Raw_Passengers!G717)))*(ROW(Lookup_Status!$A$2:$A$13)-1))))</f>
        <v>Confirmed</v>
      </c>
      <c r="I717" s="7">
        <f>IF(OR(G717="",G717="Cancelled",G717="Mixed"),1,0)</f>
        <v>0</v>
      </c>
      <c r="J717" s="7">
        <f>IF(OR(H717="",H717="Mixed"),1,0)</f>
        <v>0</v>
      </c>
      <c r="K717" s="7">
        <f>IF(AND(C717=0,D717=0),IF(OR(AND(I717=0,NOT(EXACT(Raw_Passengers!F717,G717))),AND(J717=0,NOT(EXACT(Raw_Passengers!G717,H717)))),1,0),0)</f>
        <v>0</v>
      </c>
      <c r="L717" s="7">
        <f>IF(AND(C717=0,D717=0,I717=1),1,0)</f>
        <v>0</v>
      </c>
      <c r="M717" s="7">
        <f>IF(AND(C717=0,D717=0,J717=1),1,0)</f>
        <v>0</v>
      </c>
    </row>
    <row r="718" spans="1:13">
      <c r="A718" s="7">
        <f>Raw_Passengers!A718</f>
        <v>238847</v>
      </c>
      <c r="B718" s="7">
        <f>Raw_Passengers!B718</f>
        <v>1118274</v>
      </c>
      <c r="C718" s="7">
        <f>IF(COUNTIF(Raw_Passengers!$A$2:A718,Raw_Passengers!A718)&gt;1,1,0)</f>
        <v>0</v>
      </c>
      <c r="D718" s="7">
        <f>IF(COUNTIF(Raw_Bookings!$A$2:$A$648,Raw_Passengers!B718)=0,1,0)</f>
        <v>0</v>
      </c>
      <c r="E718" s="7">
        <f>IF(OR(C718=1,D718=1),0,IF(NOT(ISNUMBER(Raw_Passengers!E718)),1,IF(Raw_Passengers!E718&lt;=0,1,0)))</f>
        <v>0</v>
      </c>
      <c r="F718" s="7">
        <f>IF(AND(C718=0,D718=0,TRIM(Raw_Passengers!D718&amp;"")=""),1,0)</f>
        <v>0</v>
      </c>
      <c r="G718" s="7" t="str">
        <f>IF(SUMPRODUCT(--(Lookup_Status!$A$2:$A$13=LOWER(TRIM(Raw_Passengers!F718))))=0,"",INDEX(Lookup_Status!$B$2:$B$13,SUMPRODUCT((Lookup_Status!$A$2:$A$13=LOWER(TRIM(Raw_Passengers!F718)))*(ROW(Lookup_Status!$A$2:$A$13)-1))))</f>
        <v>Confirmed</v>
      </c>
      <c r="H718" s="7" t="str">
        <f>IF(SUMPRODUCT(--(Lookup_Status!$A$2:$A$13=LOWER(TRIM(Raw_Passengers!G718))))=0,"",INDEX(Lookup_Status!$B$2:$B$13,SUMPRODUCT((Lookup_Status!$A$2:$A$13=LOWER(TRIM(Raw_Passengers!G718)))*(ROW(Lookup_Status!$A$2:$A$13)-1))))</f>
        <v>Confirmed</v>
      </c>
      <c r="I718" s="7">
        <f>IF(OR(G718="",G718="Cancelled",G718="Mixed"),1,0)</f>
        <v>0</v>
      </c>
      <c r="J718" s="7">
        <f>IF(OR(H718="",H718="Mixed"),1,0)</f>
        <v>0</v>
      </c>
      <c r="K718" s="7">
        <f>IF(AND(C718=0,D718=0),IF(OR(AND(I718=0,NOT(EXACT(Raw_Passengers!F718,G718))),AND(J718=0,NOT(EXACT(Raw_Passengers!G718,H718)))),1,0),0)</f>
        <v>0</v>
      </c>
      <c r="L718" s="7">
        <f>IF(AND(C718=0,D718=0,I718=1),1,0)</f>
        <v>0</v>
      </c>
      <c r="M718" s="7">
        <f>IF(AND(C718=0,D718=0,J718=1),1,0)</f>
        <v>0</v>
      </c>
    </row>
    <row r="719" spans="1:13">
      <c r="A719" s="7">
        <f>Raw_Passengers!A719</f>
        <v>240098</v>
      </c>
      <c r="B719" s="7">
        <f>Raw_Passengers!B719</f>
        <v>1118868</v>
      </c>
      <c r="C719" s="7">
        <f>IF(COUNTIF(Raw_Passengers!$A$2:A719,Raw_Passengers!A719)&gt;1,1,0)</f>
        <v>0</v>
      </c>
      <c r="D719" s="7">
        <f>IF(COUNTIF(Raw_Bookings!$A$2:$A$648,Raw_Passengers!B719)=0,1,0)</f>
        <v>0</v>
      </c>
      <c r="E719" s="7">
        <f>IF(OR(C719=1,D719=1),0,IF(NOT(ISNUMBER(Raw_Passengers!E719)),1,IF(Raw_Passengers!E719&lt;=0,1,0)))</f>
        <v>0</v>
      </c>
      <c r="F719" s="7">
        <f>IF(AND(C719=0,D719=0,TRIM(Raw_Passengers!D719&amp;"")=""),1,0)</f>
        <v>0</v>
      </c>
      <c r="G719" s="7" t="str">
        <f>IF(SUMPRODUCT(--(Lookup_Status!$A$2:$A$13=LOWER(TRIM(Raw_Passengers!F719))))=0,"",INDEX(Lookup_Status!$B$2:$B$13,SUMPRODUCT((Lookup_Status!$A$2:$A$13=LOWER(TRIM(Raw_Passengers!F719)))*(ROW(Lookup_Status!$A$2:$A$13)-1))))</f>
        <v>Confirmed</v>
      </c>
      <c r="H719" s="7" t="str">
        <f>IF(SUMPRODUCT(--(Lookup_Status!$A$2:$A$13=LOWER(TRIM(Raw_Passengers!G719))))=0,"",INDEX(Lookup_Status!$B$2:$B$13,SUMPRODUCT((Lookup_Status!$A$2:$A$13=LOWER(TRIM(Raw_Passengers!G719)))*(ROW(Lookup_Status!$A$2:$A$13)-1))))</f>
        <v>Confirmed</v>
      </c>
      <c r="I719" s="7">
        <f>IF(OR(G719="",G719="Cancelled",G719="Mixed"),1,0)</f>
        <v>0</v>
      </c>
      <c r="J719" s="7">
        <f>IF(OR(H719="",H719="Mixed"),1,0)</f>
        <v>0</v>
      </c>
      <c r="K719" s="7">
        <f>IF(AND(C719=0,D719=0),IF(OR(AND(I719=0,NOT(EXACT(Raw_Passengers!F719,G719))),AND(J719=0,NOT(EXACT(Raw_Passengers!G719,H719)))),1,0),0)</f>
        <v>0</v>
      </c>
      <c r="L719" s="7">
        <f>IF(AND(C719=0,D719=0,I719=1),1,0)</f>
        <v>0</v>
      </c>
      <c r="M719" s="7">
        <f>IF(AND(C719=0,D719=0,J719=1),1,0)</f>
        <v>0</v>
      </c>
    </row>
    <row r="720" spans="1:13">
      <c r="A720" s="7">
        <f>Raw_Passengers!A720</f>
        <v>240099</v>
      </c>
      <c r="B720" s="7">
        <f>Raw_Passengers!B720</f>
        <v>1118868</v>
      </c>
      <c r="C720" s="7">
        <f>IF(COUNTIF(Raw_Passengers!$A$2:A720,Raw_Passengers!A720)&gt;1,1,0)</f>
        <v>0</v>
      </c>
      <c r="D720" s="7">
        <f>IF(COUNTIF(Raw_Bookings!$A$2:$A$648,Raw_Passengers!B720)=0,1,0)</f>
        <v>0</v>
      </c>
      <c r="E720" s="7">
        <f>IF(OR(C720=1,D720=1),0,IF(NOT(ISNUMBER(Raw_Passengers!E720)),1,IF(Raw_Passengers!E720&lt;=0,1,0)))</f>
        <v>0</v>
      </c>
      <c r="F720" s="7">
        <f>IF(AND(C720=0,D720=0,TRIM(Raw_Passengers!D720&amp;"")=""),1,0)</f>
        <v>0</v>
      </c>
      <c r="G720" s="7" t="str">
        <f>IF(SUMPRODUCT(--(Lookup_Status!$A$2:$A$13=LOWER(TRIM(Raw_Passengers!F720))))=0,"",INDEX(Lookup_Status!$B$2:$B$13,SUMPRODUCT((Lookup_Status!$A$2:$A$13=LOWER(TRIM(Raw_Passengers!F720)))*(ROW(Lookup_Status!$A$2:$A$13)-1))))</f>
        <v>Confirmed</v>
      </c>
      <c r="H720" s="7" t="str">
        <f>IF(SUMPRODUCT(--(Lookup_Status!$A$2:$A$13=LOWER(TRIM(Raw_Passengers!G720))))=0,"",INDEX(Lookup_Status!$B$2:$B$13,SUMPRODUCT((Lookup_Status!$A$2:$A$13=LOWER(TRIM(Raw_Passengers!G720)))*(ROW(Lookup_Status!$A$2:$A$13)-1))))</f>
        <v>Confirmed</v>
      </c>
      <c r="I720" s="7">
        <f>IF(OR(G720="",G720="Cancelled",G720="Mixed"),1,0)</f>
        <v>0</v>
      </c>
      <c r="J720" s="7">
        <f>IF(OR(H720="",H720="Mixed"),1,0)</f>
        <v>0</v>
      </c>
      <c r="K720" s="7">
        <f>IF(AND(C720=0,D720=0),IF(OR(AND(I720=0,NOT(EXACT(Raw_Passengers!F720,G720))),AND(J720=0,NOT(EXACT(Raw_Passengers!G720,H720)))),1,0),0)</f>
        <v>0</v>
      </c>
      <c r="L720" s="7">
        <f>IF(AND(C720=0,D720=0,I720=1),1,0)</f>
        <v>0</v>
      </c>
      <c r="M720" s="7">
        <f>IF(AND(C720=0,D720=0,J720=1),1,0)</f>
        <v>0</v>
      </c>
    </row>
    <row r="721" spans="1:13">
      <c r="A721" s="7">
        <f>Raw_Passengers!A721</f>
        <v>241383</v>
      </c>
      <c r="B721" s="7">
        <f>Raw_Passengers!B721</f>
        <v>1119517</v>
      </c>
      <c r="C721" s="7">
        <f>IF(COUNTIF(Raw_Passengers!$A$2:A721,Raw_Passengers!A721)&gt;1,1,0)</f>
        <v>0</v>
      </c>
      <c r="D721" s="7">
        <f>IF(COUNTIF(Raw_Bookings!$A$2:$A$648,Raw_Passengers!B721)=0,1,0)</f>
        <v>0</v>
      </c>
      <c r="E721" s="7">
        <f>IF(OR(C721=1,D721=1),0,IF(NOT(ISNUMBER(Raw_Passengers!E721)),1,IF(Raw_Passengers!E721&lt;=0,1,0)))</f>
        <v>0</v>
      </c>
      <c r="F721" s="7">
        <f>IF(AND(C721=0,D721=0,TRIM(Raw_Passengers!D721&amp;"")=""),1,0)</f>
        <v>0</v>
      </c>
      <c r="G721" s="7" t="str">
        <f>IF(SUMPRODUCT(--(Lookup_Status!$A$2:$A$13=LOWER(TRIM(Raw_Passengers!F721))))=0,"",INDEX(Lookup_Status!$B$2:$B$13,SUMPRODUCT((Lookup_Status!$A$2:$A$13=LOWER(TRIM(Raw_Passengers!F721)))*(ROW(Lookup_Status!$A$2:$A$13)-1))))</f>
        <v>Confirmed</v>
      </c>
      <c r="H721" s="7" t="str">
        <f>IF(SUMPRODUCT(--(Lookup_Status!$A$2:$A$13=LOWER(TRIM(Raw_Passengers!G721))))=0,"",INDEX(Lookup_Status!$B$2:$B$13,SUMPRODUCT((Lookup_Status!$A$2:$A$13=LOWER(TRIM(Raw_Passengers!G721)))*(ROW(Lookup_Status!$A$2:$A$13)-1))))</f>
        <v>Cancelled</v>
      </c>
      <c r="I721" s="7">
        <f>IF(OR(G721="",G721="Cancelled",G721="Mixed"),1,0)</f>
        <v>0</v>
      </c>
      <c r="J721" s="7">
        <f>IF(OR(H721="",H721="Mixed"),1,0)</f>
        <v>0</v>
      </c>
      <c r="K721" s="7">
        <f>IF(AND(C721=0,D721=0),IF(OR(AND(I721=0,NOT(EXACT(Raw_Passengers!F721,G721))),AND(J721=0,NOT(EXACT(Raw_Passengers!G721,H721)))),1,0),0)</f>
        <v>0</v>
      </c>
      <c r="L721" s="7">
        <f>IF(AND(C721=0,D721=0,I721=1),1,0)</f>
        <v>0</v>
      </c>
      <c r="M721" s="7">
        <f>IF(AND(C721=0,D721=0,J721=1),1,0)</f>
        <v>0</v>
      </c>
    </row>
    <row r="722" spans="1:13">
      <c r="A722" s="7">
        <f>Raw_Passengers!A722</f>
        <v>241989</v>
      </c>
      <c r="B722" s="7">
        <f>Raw_Passengers!B722</f>
        <v>1119837</v>
      </c>
      <c r="C722" s="7">
        <f>IF(COUNTIF(Raw_Passengers!$A$2:A722,Raw_Passengers!A722)&gt;1,1,0)</f>
        <v>0</v>
      </c>
      <c r="D722" s="7">
        <f>IF(COUNTIF(Raw_Bookings!$A$2:$A$648,Raw_Passengers!B722)=0,1,0)</f>
        <v>0</v>
      </c>
      <c r="E722" s="7">
        <f>IF(OR(C722=1,D722=1),0,IF(NOT(ISNUMBER(Raw_Passengers!E722)),1,IF(Raw_Passengers!E722&lt;=0,1,0)))</f>
        <v>0</v>
      </c>
      <c r="F722" s="7">
        <f>IF(AND(C722=0,D722=0,TRIM(Raw_Passengers!D722&amp;"")=""),1,0)</f>
        <v>0</v>
      </c>
      <c r="G722" s="7" t="str">
        <f>IF(SUMPRODUCT(--(Lookup_Status!$A$2:$A$13=LOWER(TRIM(Raw_Passengers!F722))))=0,"",INDEX(Lookup_Status!$B$2:$B$13,SUMPRODUCT((Lookup_Status!$A$2:$A$13=LOWER(TRIM(Raw_Passengers!F722)))*(ROW(Lookup_Status!$A$2:$A$13)-1))))</f>
        <v>Confirmed</v>
      </c>
      <c r="H722" s="7" t="str">
        <f>IF(SUMPRODUCT(--(Lookup_Status!$A$2:$A$13=LOWER(TRIM(Raw_Passengers!G722))))=0,"",INDEX(Lookup_Status!$B$2:$B$13,SUMPRODUCT((Lookup_Status!$A$2:$A$13=LOWER(TRIM(Raw_Passengers!G722)))*(ROW(Lookup_Status!$A$2:$A$13)-1))))</f>
        <v>Confirmed</v>
      </c>
      <c r="I722" s="7">
        <f>IF(OR(G722="",G722="Cancelled",G722="Mixed"),1,0)</f>
        <v>0</v>
      </c>
      <c r="J722" s="7">
        <f>IF(OR(H722="",H722="Mixed"),1,0)</f>
        <v>0</v>
      </c>
      <c r="K722" s="7">
        <f>IF(AND(C722=0,D722=0),IF(OR(AND(I722=0,NOT(EXACT(Raw_Passengers!F722,G722))),AND(J722=0,NOT(EXACT(Raw_Passengers!G722,H722)))),1,0),0)</f>
        <v>0</v>
      </c>
      <c r="L722" s="7">
        <f>IF(AND(C722=0,D722=0,I722=1),1,0)</f>
        <v>0</v>
      </c>
      <c r="M722" s="7">
        <f>IF(AND(C722=0,D722=0,J722=1),1,0)</f>
        <v>0</v>
      </c>
    </row>
    <row r="723" spans="1:13">
      <c r="A723" s="7">
        <f>Raw_Passengers!A723</f>
        <v>242579</v>
      </c>
      <c r="B723" s="7">
        <f>Raw_Passengers!B723</f>
        <v>1120103</v>
      </c>
      <c r="C723" s="7">
        <f>IF(COUNTIF(Raw_Passengers!$A$2:A723,Raw_Passengers!A723)&gt;1,1,0)</f>
        <v>0</v>
      </c>
      <c r="D723" s="7">
        <f>IF(COUNTIF(Raw_Bookings!$A$2:$A$648,Raw_Passengers!B723)=0,1,0)</f>
        <v>0</v>
      </c>
      <c r="E723" s="7">
        <f>IF(OR(C723=1,D723=1),0,IF(NOT(ISNUMBER(Raw_Passengers!E723)),1,IF(Raw_Passengers!E723&lt;=0,1,0)))</f>
        <v>0</v>
      </c>
      <c r="F723" s="7">
        <f>IF(AND(C723=0,D723=0,TRIM(Raw_Passengers!D723&amp;"")=""),1,0)</f>
        <v>0</v>
      </c>
      <c r="G723" s="7" t="str">
        <f>IF(SUMPRODUCT(--(Lookup_Status!$A$2:$A$13=LOWER(TRIM(Raw_Passengers!F723))))=0,"",INDEX(Lookup_Status!$B$2:$B$13,SUMPRODUCT((Lookup_Status!$A$2:$A$13=LOWER(TRIM(Raw_Passengers!F723)))*(ROW(Lookup_Status!$A$2:$A$13)-1))))</f>
        <v>RAC</v>
      </c>
      <c r="H723" s="7" t="str">
        <f>IF(SUMPRODUCT(--(Lookup_Status!$A$2:$A$13=LOWER(TRIM(Raw_Passengers!G723))))=0,"",INDEX(Lookup_Status!$B$2:$B$13,SUMPRODUCT((Lookup_Status!$A$2:$A$13=LOWER(TRIM(Raw_Passengers!G723)))*(ROW(Lookup_Status!$A$2:$A$13)-1))))</f>
        <v>Cancelled</v>
      </c>
      <c r="I723" s="7">
        <f>IF(OR(G723="",G723="Cancelled",G723="Mixed"),1,0)</f>
        <v>0</v>
      </c>
      <c r="J723" s="7">
        <f>IF(OR(H723="",H723="Mixed"),1,0)</f>
        <v>0</v>
      </c>
      <c r="K723" s="7">
        <f>IF(AND(C723=0,D723=0),IF(OR(AND(I723=0,NOT(EXACT(Raw_Passengers!F723,G723))),AND(J723=0,NOT(EXACT(Raw_Passengers!G723,H723)))),1,0),0)</f>
        <v>0</v>
      </c>
      <c r="L723" s="7">
        <f>IF(AND(C723=0,D723=0,I723=1),1,0)</f>
        <v>0</v>
      </c>
      <c r="M723" s="7">
        <f>IF(AND(C723=0,D723=0,J723=1),1,0)</f>
        <v>0</v>
      </c>
    </row>
    <row r="724" spans="1:13">
      <c r="A724" s="7">
        <f>Raw_Passengers!A724</f>
        <v>243244</v>
      </c>
      <c r="B724" s="7">
        <f>Raw_Passengers!B724</f>
        <v>1120423</v>
      </c>
      <c r="C724" s="7">
        <f>IF(COUNTIF(Raw_Passengers!$A$2:A724,Raw_Passengers!A724)&gt;1,1,0)</f>
        <v>0</v>
      </c>
      <c r="D724" s="7">
        <f>IF(COUNTIF(Raw_Bookings!$A$2:$A$648,Raw_Passengers!B724)=0,1,0)</f>
        <v>0</v>
      </c>
      <c r="E724" s="7">
        <f>IF(OR(C724=1,D724=1),0,IF(NOT(ISNUMBER(Raw_Passengers!E724)),1,IF(Raw_Passengers!E724&lt;=0,1,0)))</f>
        <v>0</v>
      </c>
      <c r="F724" s="7">
        <f>IF(AND(C724=0,D724=0,TRIM(Raw_Passengers!D724&amp;"")=""),1,0)</f>
        <v>0</v>
      </c>
      <c r="G724" s="7" t="str">
        <f>IF(SUMPRODUCT(--(Lookup_Status!$A$2:$A$13=LOWER(TRIM(Raw_Passengers!F724))))=0,"",INDEX(Lookup_Status!$B$2:$B$13,SUMPRODUCT((Lookup_Status!$A$2:$A$13=LOWER(TRIM(Raw_Passengers!F724)))*(ROW(Lookup_Status!$A$2:$A$13)-1))))</f>
        <v>Confirmed</v>
      </c>
      <c r="H724" s="7" t="str">
        <f>IF(SUMPRODUCT(--(Lookup_Status!$A$2:$A$13=LOWER(TRIM(Raw_Passengers!G724))))=0,"",INDEX(Lookup_Status!$B$2:$B$13,SUMPRODUCT((Lookup_Status!$A$2:$A$13=LOWER(TRIM(Raw_Passengers!G724)))*(ROW(Lookup_Status!$A$2:$A$13)-1))))</f>
        <v>Confirmed</v>
      </c>
      <c r="I724" s="7">
        <f>IF(OR(G724="",G724="Cancelled",G724="Mixed"),1,0)</f>
        <v>0</v>
      </c>
      <c r="J724" s="7">
        <f>IF(OR(H724="",H724="Mixed"),1,0)</f>
        <v>0</v>
      </c>
      <c r="K724" s="7">
        <f>IF(AND(C724=0,D724=0),IF(OR(AND(I724=0,NOT(EXACT(Raw_Passengers!F724,G724))),AND(J724=0,NOT(EXACT(Raw_Passengers!G724,H724)))),1,0),0)</f>
        <v>0</v>
      </c>
      <c r="L724" s="7">
        <f>IF(AND(C724=0,D724=0,I724=1),1,0)</f>
        <v>0</v>
      </c>
      <c r="M724" s="7">
        <f>IF(AND(C724=0,D724=0,J724=1),1,0)</f>
        <v>0</v>
      </c>
    </row>
    <row r="725" spans="1:13">
      <c r="A725" s="7">
        <f>Raw_Passengers!A725</f>
        <v>243633</v>
      </c>
      <c r="B725" s="7">
        <f>Raw_Passengers!B725</f>
        <v>1120611</v>
      </c>
      <c r="C725" s="7">
        <f>IF(COUNTIF(Raw_Passengers!$A$2:A725,Raw_Passengers!A725)&gt;1,1,0)</f>
        <v>0</v>
      </c>
      <c r="D725" s="7">
        <f>IF(COUNTIF(Raw_Bookings!$A$2:$A$648,Raw_Passengers!B725)=0,1,0)</f>
        <v>0</v>
      </c>
      <c r="E725" s="7">
        <f>IF(OR(C725=1,D725=1),0,IF(NOT(ISNUMBER(Raw_Passengers!E725)),1,IF(Raw_Passengers!E725&lt;=0,1,0)))</f>
        <v>0</v>
      </c>
      <c r="F725" s="7">
        <f>IF(AND(C725=0,D725=0,TRIM(Raw_Passengers!D725&amp;"")=""),1,0)</f>
        <v>0</v>
      </c>
      <c r="G725" s="7" t="str">
        <f>IF(SUMPRODUCT(--(Lookup_Status!$A$2:$A$13=LOWER(TRIM(Raw_Passengers!F725))))=0,"",INDEX(Lookup_Status!$B$2:$B$13,SUMPRODUCT((Lookup_Status!$A$2:$A$13=LOWER(TRIM(Raw_Passengers!F725)))*(ROW(Lookup_Status!$A$2:$A$13)-1))))</f>
        <v>RAC</v>
      </c>
      <c r="H725" s="7" t="str">
        <f>IF(SUMPRODUCT(--(Lookup_Status!$A$2:$A$13=LOWER(TRIM(Raw_Passengers!G725))))=0,"",INDEX(Lookup_Status!$B$2:$B$13,SUMPRODUCT((Lookup_Status!$A$2:$A$13=LOWER(TRIM(Raw_Passengers!G725)))*(ROW(Lookup_Status!$A$2:$A$13)-1))))</f>
        <v>Confirmed</v>
      </c>
      <c r="I725" s="7">
        <f>IF(OR(G725="",G725="Cancelled",G725="Mixed"),1,0)</f>
        <v>0</v>
      </c>
      <c r="J725" s="7">
        <f>IF(OR(H725="",H725="Mixed"),1,0)</f>
        <v>0</v>
      </c>
      <c r="K725" s="7">
        <f>IF(AND(C725=0,D725=0),IF(OR(AND(I725=0,NOT(EXACT(Raw_Passengers!F725,G725))),AND(J725=0,NOT(EXACT(Raw_Passengers!G725,H725)))),1,0),0)</f>
        <v>0</v>
      </c>
      <c r="L725" s="7">
        <f>IF(AND(C725=0,D725=0,I725=1),1,0)</f>
        <v>0</v>
      </c>
      <c r="M725" s="7">
        <f>IF(AND(C725=0,D725=0,J725=1),1,0)</f>
        <v>0</v>
      </c>
    </row>
    <row r="726" spans="1:13">
      <c r="A726" s="7">
        <f>Raw_Passengers!A726</f>
        <v>243634</v>
      </c>
      <c r="B726" s="7">
        <f>Raw_Passengers!B726</f>
        <v>1120611</v>
      </c>
      <c r="C726" s="7">
        <f>IF(COUNTIF(Raw_Passengers!$A$2:A726,Raw_Passengers!A726)&gt;1,1,0)</f>
        <v>0</v>
      </c>
      <c r="D726" s="7">
        <f>IF(COUNTIF(Raw_Bookings!$A$2:$A$648,Raw_Passengers!B726)=0,1,0)</f>
        <v>0</v>
      </c>
      <c r="E726" s="7">
        <f>IF(OR(C726=1,D726=1),0,IF(NOT(ISNUMBER(Raw_Passengers!E726)),1,IF(Raw_Passengers!E726&lt;=0,1,0)))</f>
        <v>0</v>
      </c>
      <c r="F726" s="7">
        <f>IF(AND(C726=0,D726=0,TRIM(Raw_Passengers!D726&amp;"")=""),1,0)</f>
        <v>0</v>
      </c>
      <c r="G726" s="7" t="str">
        <f>IF(SUMPRODUCT(--(Lookup_Status!$A$2:$A$13=LOWER(TRIM(Raw_Passengers!F726))))=0,"",INDEX(Lookup_Status!$B$2:$B$13,SUMPRODUCT((Lookup_Status!$A$2:$A$13=LOWER(TRIM(Raw_Passengers!F726)))*(ROW(Lookup_Status!$A$2:$A$13)-1))))</f>
        <v>RAC</v>
      </c>
      <c r="H726" s="7" t="str">
        <f>IF(SUMPRODUCT(--(Lookup_Status!$A$2:$A$13=LOWER(TRIM(Raw_Passengers!G726))))=0,"",INDEX(Lookup_Status!$B$2:$B$13,SUMPRODUCT((Lookup_Status!$A$2:$A$13=LOWER(TRIM(Raw_Passengers!G726)))*(ROW(Lookup_Status!$A$2:$A$13)-1))))</f>
        <v>Confirmed</v>
      </c>
      <c r="I726" s="7">
        <f>IF(OR(G726="",G726="Cancelled",G726="Mixed"),1,0)</f>
        <v>0</v>
      </c>
      <c r="J726" s="7">
        <f>IF(OR(H726="",H726="Mixed"),1,0)</f>
        <v>0</v>
      </c>
      <c r="K726" s="7">
        <f>IF(AND(C726=0,D726=0),IF(OR(AND(I726=0,NOT(EXACT(Raw_Passengers!F726,G726))),AND(J726=0,NOT(EXACT(Raw_Passengers!G726,H726)))),1,0),0)</f>
        <v>0</v>
      </c>
      <c r="L726" s="7">
        <f>IF(AND(C726=0,D726=0,I726=1),1,0)</f>
        <v>0</v>
      </c>
      <c r="M726" s="7">
        <f>IF(AND(C726=0,D726=0,J726=1),1,0)</f>
        <v>0</v>
      </c>
    </row>
    <row r="727" spans="1:13">
      <c r="A727" s="7">
        <f>Raw_Passengers!A727</f>
        <v>243635</v>
      </c>
      <c r="B727" s="7">
        <f>Raw_Passengers!B727</f>
        <v>1120611</v>
      </c>
      <c r="C727" s="7">
        <f>IF(COUNTIF(Raw_Passengers!$A$2:A727,Raw_Passengers!A727)&gt;1,1,0)</f>
        <v>0</v>
      </c>
      <c r="D727" s="7">
        <f>IF(COUNTIF(Raw_Bookings!$A$2:$A$648,Raw_Passengers!B727)=0,1,0)</f>
        <v>0</v>
      </c>
      <c r="E727" s="7">
        <f>IF(OR(C727=1,D727=1),0,IF(NOT(ISNUMBER(Raw_Passengers!E727)),1,IF(Raw_Passengers!E727&lt;=0,1,0)))</f>
        <v>0</v>
      </c>
      <c r="F727" s="7">
        <f>IF(AND(C727=0,D727=0,TRIM(Raw_Passengers!D727&amp;"")=""),1,0)</f>
        <v>0</v>
      </c>
      <c r="G727" s="7" t="str">
        <f>IF(SUMPRODUCT(--(Lookup_Status!$A$2:$A$13=LOWER(TRIM(Raw_Passengers!F727))))=0,"",INDEX(Lookup_Status!$B$2:$B$13,SUMPRODUCT((Lookup_Status!$A$2:$A$13=LOWER(TRIM(Raw_Passengers!F727)))*(ROW(Lookup_Status!$A$2:$A$13)-1))))</f>
        <v>RAC</v>
      </c>
      <c r="H727" s="7" t="str">
        <f>IF(SUMPRODUCT(--(Lookup_Status!$A$2:$A$13=LOWER(TRIM(Raw_Passengers!G727))))=0,"",INDEX(Lookup_Status!$B$2:$B$13,SUMPRODUCT((Lookup_Status!$A$2:$A$13=LOWER(TRIM(Raw_Passengers!G727)))*(ROW(Lookup_Status!$A$2:$A$13)-1))))</f>
        <v>RAC</v>
      </c>
      <c r="I727" s="7">
        <f>IF(OR(G727="",G727="Cancelled",G727="Mixed"),1,0)</f>
        <v>0</v>
      </c>
      <c r="J727" s="7">
        <f>IF(OR(H727="",H727="Mixed"),1,0)</f>
        <v>0</v>
      </c>
      <c r="K727" s="7">
        <f>IF(AND(C727=0,D727=0),IF(OR(AND(I727=0,NOT(EXACT(Raw_Passengers!F727,G727))),AND(J727=0,NOT(EXACT(Raw_Passengers!G727,H727)))),1,0),0)</f>
        <v>0</v>
      </c>
      <c r="L727" s="7">
        <f>IF(AND(C727=0,D727=0,I727=1),1,0)</f>
        <v>0</v>
      </c>
      <c r="M727" s="7">
        <f>IF(AND(C727=0,D727=0,J727=1),1,0)</f>
        <v>0</v>
      </c>
    </row>
    <row r="728" spans="1:13">
      <c r="A728" s="7">
        <f>Raw_Passengers!A728</f>
        <v>243636</v>
      </c>
      <c r="B728" s="7">
        <f>Raw_Passengers!B728</f>
        <v>1120611</v>
      </c>
      <c r="C728" s="7">
        <f>IF(COUNTIF(Raw_Passengers!$A$2:A728,Raw_Passengers!A728)&gt;1,1,0)</f>
        <v>0</v>
      </c>
      <c r="D728" s="7">
        <f>IF(COUNTIF(Raw_Bookings!$A$2:$A$648,Raw_Passengers!B728)=0,1,0)</f>
        <v>0</v>
      </c>
      <c r="E728" s="7">
        <f>IF(OR(C728=1,D728=1),0,IF(NOT(ISNUMBER(Raw_Passengers!E728)),1,IF(Raw_Passengers!E728&lt;=0,1,0)))</f>
        <v>0</v>
      </c>
      <c r="F728" s="7">
        <f>IF(AND(C728=0,D728=0,TRIM(Raw_Passengers!D728&amp;"")=""),1,0)</f>
        <v>0</v>
      </c>
      <c r="G728" s="7" t="str">
        <f>IF(SUMPRODUCT(--(Lookup_Status!$A$2:$A$13=LOWER(TRIM(Raw_Passengers!F728))))=0,"",INDEX(Lookup_Status!$B$2:$B$13,SUMPRODUCT((Lookup_Status!$A$2:$A$13=LOWER(TRIM(Raw_Passengers!F728)))*(ROW(Lookup_Status!$A$2:$A$13)-1))))</f>
        <v>RAC</v>
      </c>
      <c r="H728" s="7" t="str">
        <f>IF(SUMPRODUCT(--(Lookup_Status!$A$2:$A$13=LOWER(TRIM(Raw_Passengers!G728))))=0,"",INDEX(Lookup_Status!$B$2:$B$13,SUMPRODUCT((Lookup_Status!$A$2:$A$13=LOWER(TRIM(Raw_Passengers!G728)))*(ROW(Lookup_Status!$A$2:$A$13)-1))))</f>
        <v>RAC</v>
      </c>
      <c r="I728" s="7">
        <f>IF(OR(G728="",G728="Cancelled",G728="Mixed"),1,0)</f>
        <v>0</v>
      </c>
      <c r="J728" s="7">
        <f>IF(OR(H728="",H728="Mixed"),1,0)</f>
        <v>0</v>
      </c>
      <c r="K728" s="7">
        <f>IF(AND(C728=0,D728=0),IF(OR(AND(I728=0,NOT(EXACT(Raw_Passengers!F728,G728))),AND(J728=0,NOT(EXACT(Raw_Passengers!G728,H728)))),1,0),0)</f>
        <v>0</v>
      </c>
      <c r="L728" s="7">
        <f>IF(AND(C728=0,D728=0,I728=1),1,0)</f>
        <v>0</v>
      </c>
      <c r="M728" s="7">
        <f>IF(AND(C728=0,D728=0,J728=1),1,0)</f>
        <v>0</v>
      </c>
    </row>
    <row r="729" spans="1:13">
      <c r="A729" s="7">
        <f>Raw_Passengers!A729</f>
        <v>243721</v>
      </c>
      <c r="B729" s="7">
        <f>Raw_Passengers!B729</f>
        <v>1120649</v>
      </c>
      <c r="C729" s="7">
        <f>IF(COUNTIF(Raw_Passengers!$A$2:A729,Raw_Passengers!A729)&gt;1,1,0)</f>
        <v>0</v>
      </c>
      <c r="D729" s="7">
        <f>IF(COUNTIF(Raw_Bookings!$A$2:$A$648,Raw_Passengers!B729)=0,1,0)</f>
        <v>0</v>
      </c>
      <c r="E729" s="7">
        <f>IF(OR(C729=1,D729=1),0,IF(NOT(ISNUMBER(Raw_Passengers!E729)),1,IF(Raw_Passengers!E729&lt;=0,1,0)))</f>
        <v>0</v>
      </c>
      <c r="F729" s="7">
        <f>IF(AND(C729=0,D729=0,TRIM(Raw_Passengers!D729&amp;"")=""),1,0)</f>
        <v>0</v>
      </c>
      <c r="G729" s="7" t="str">
        <f>IF(SUMPRODUCT(--(Lookup_Status!$A$2:$A$13=LOWER(TRIM(Raw_Passengers!F729))))=0,"",INDEX(Lookup_Status!$B$2:$B$13,SUMPRODUCT((Lookup_Status!$A$2:$A$13=LOWER(TRIM(Raw_Passengers!F729)))*(ROW(Lookup_Status!$A$2:$A$13)-1))))</f>
        <v>RAC</v>
      </c>
      <c r="H729" s="7" t="str">
        <f>IF(SUMPRODUCT(--(Lookup_Status!$A$2:$A$13=LOWER(TRIM(Raw_Passengers!G729))))=0,"",INDEX(Lookup_Status!$B$2:$B$13,SUMPRODUCT((Lookup_Status!$A$2:$A$13=LOWER(TRIM(Raw_Passengers!G729)))*(ROW(Lookup_Status!$A$2:$A$13)-1))))</f>
        <v>Confirmed</v>
      </c>
      <c r="I729" s="7">
        <f>IF(OR(G729="",G729="Cancelled",G729="Mixed"),1,0)</f>
        <v>0</v>
      </c>
      <c r="J729" s="7">
        <f>IF(OR(H729="",H729="Mixed"),1,0)</f>
        <v>0</v>
      </c>
      <c r="K729" s="7">
        <f>IF(AND(C729=0,D729=0),IF(OR(AND(I729=0,NOT(EXACT(Raw_Passengers!F729,G729))),AND(J729=0,NOT(EXACT(Raw_Passengers!G729,H729)))),1,0),0)</f>
        <v>0</v>
      </c>
      <c r="L729" s="7">
        <f>IF(AND(C729=0,D729=0,I729=1),1,0)</f>
        <v>0</v>
      </c>
      <c r="M729" s="7">
        <f>IF(AND(C729=0,D729=0,J729=1),1,0)</f>
        <v>0</v>
      </c>
    </row>
    <row r="730" spans="1:13">
      <c r="A730" s="7">
        <f>Raw_Passengers!A730</f>
        <v>243722</v>
      </c>
      <c r="B730" s="7">
        <f>Raw_Passengers!B730</f>
        <v>1120649</v>
      </c>
      <c r="C730" s="7">
        <f>IF(COUNTIF(Raw_Passengers!$A$2:A730,Raw_Passengers!A730)&gt;1,1,0)</f>
        <v>0</v>
      </c>
      <c r="D730" s="7">
        <f>IF(COUNTIF(Raw_Bookings!$A$2:$A$648,Raw_Passengers!B730)=0,1,0)</f>
        <v>0</v>
      </c>
      <c r="E730" s="7">
        <f>IF(OR(C730=1,D730=1),0,IF(NOT(ISNUMBER(Raw_Passengers!E730)),1,IF(Raw_Passengers!E730&lt;=0,1,0)))</f>
        <v>0</v>
      </c>
      <c r="F730" s="7">
        <f>IF(AND(C730=0,D730=0,TRIM(Raw_Passengers!D730&amp;"")=""),1,0)</f>
        <v>0</v>
      </c>
      <c r="G730" s="7" t="str">
        <f>IF(SUMPRODUCT(--(Lookup_Status!$A$2:$A$13=LOWER(TRIM(Raw_Passengers!F730))))=0,"",INDEX(Lookup_Status!$B$2:$B$13,SUMPRODUCT((Lookup_Status!$A$2:$A$13=LOWER(TRIM(Raw_Passengers!F730)))*(ROW(Lookup_Status!$A$2:$A$13)-1))))</f>
        <v>RAC</v>
      </c>
      <c r="H730" s="7" t="str">
        <f>IF(SUMPRODUCT(--(Lookup_Status!$A$2:$A$13=LOWER(TRIM(Raw_Passengers!G730))))=0,"",INDEX(Lookup_Status!$B$2:$B$13,SUMPRODUCT((Lookup_Status!$A$2:$A$13=LOWER(TRIM(Raw_Passengers!G730)))*(ROW(Lookup_Status!$A$2:$A$13)-1))))</f>
        <v>Confirmed</v>
      </c>
      <c r="I730" s="7">
        <f>IF(OR(G730="",G730="Cancelled",G730="Mixed"),1,0)</f>
        <v>0</v>
      </c>
      <c r="J730" s="7">
        <f>IF(OR(H730="",H730="Mixed"),1,0)</f>
        <v>0</v>
      </c>
      <c r="K730" s="7">
        <f>IF(AND(C730=0,D730=0),IF(OR(AND(I730=0,NOT(EXACT(Raw_Passengers!F730,G730))),AND(J730=0,NOT(EXACT(Raw_Passengers!G730,H730)))),1,0),0)</f>
        <v>0</v>
      </c>
      <c r="L730" s="7">
        <f>IF(AND(C730=0,D730=0,I730=1),1,0)</f>
        <v>0</v>
      </c>
      <c r="M730" s="7">
        <f>IF(AND(C730=0,D730=0,J730=1),1,0)</f>
        <v>0</v>
      </c>
    </row>
    <row r="731" spans="1:13">
      <c r="A731" s="7">
        <f>Raw_Passengers!A731</f>
        <v>244188</v>
      </c>
      <c r="B731" s="7">
        <f>Raw_Passengers!B731</f>
        <v>1120875</v>
      </c>
      <c r="C731" s="7">
        <f>IF(COUNTIF(Raw_Passengers!$A$2:A731,Raw_Passengers!A731)&gt;1,1,0)</f>
        <v>0</v>
      </c>
      <c r="D731" s="7">
        <f>IF(COUNTIF(Raw_Bookings!$A$2:$A$648,Raw_Passengers!B731)=0,1,0)</f>
        <v>0</v>
      </c>
      <c r="E731" s="7">
        <f>IF(OR(C731=1,D731=1),0,IF(NOT(ISNUMBER(Raw_Passengers!E731)),1,IF(Raw_Passengers!E731&lt;=0,1,0)))</f>
        <v>0</v>
      </c>
      <c r="F731" s="7">
        <f>IF(AND(C731=0,D731=0,TRIM(Raw_Passengers!D731&amp;"")=""),1,0)</f>
        <v>0</v>
      </c>
      <c r="G731" s="7" t="str">
        <f>IF(SUMPRODUCT(--(Lookup_Status!$A$2:$A$13=LOWER(TRIM(Raw_Passengers!F731))))=0,"",INDEX(Lookup_Status!$B$2:$B$13,SUMPRODUCT((Lookup_Status!$A$2:$A$13=LOWER(TRIM(Raw_Passengers!F731)))*(ROW(Lookup_Status!$A$2:$A$13)-1))))</f>
        <v>Confirmed</v>
      </c>
      <c r="H731" s="7" t="str">
        <f>IF(SUMPRODUCT(--(Lookup_Status!$A$2:$A$13=LOWER(TRIM(Raw_Passengers!G731))))=0,"",INDEX(Lookup_Status!$B$2:$B$13,SUMPRODUCT((Lookup_Status!$A$2:$A$13=LOWER(TRIM(Raw_Passengers!G731)))*(ROW(Lookup_Status!$A$2:$A$13)-1))))</f>
        <v>Confirmed</v>
      </c>
      <c r="I731" s="7">
        <f>IF(OR(G731="",G731="Cancelled",G731="Mixed"),1,0)</f>
        <v>0</v>
      </c>
      <c r="J731" s="7">
        <f>IF(OR(H731="",H731="Mixed"),1,0)</f>
        <v>0</v>
      </c>
      <c r="K731" s="7">
        <f>IF(AND(C731=0,D731=0),IF(OR(AND(I731=0,NOT(EXACT(Raw_Passengers!F731,G731))),AND(J731=0,NOT(EXACT(Raw_Passengers!G731,H731)))),1,0),0)</f>
        <v>0</v>
      </c>
      <c r="L731" s="7">
        <f>IF(AND(C731=0,D731=0,I731=1),1,0)</f>
        <v>0</v>
      </c>
      <c r="M731" s="7">
        <f>IF(AND(C731=0,D731=0,J731=1),1,0)</f>
        <v>0</v>
      </c>
    </row>
    <row r="732" spans="1:13">
      <c r="A732" s="7">
        <f>Raw_Passengers!A732</f>
        <v>244189</v>
      </c>
      <c r="B732" s="7">
        <f>Raw_Passengers!B732</f>
        <v>1120875</v>
      </c>
      <c r="C732" s="7">
        <f>IF(COUNTIF(Raw_Passengers!$A$2:A732,Raw_Passengers!A732)&gt;1,1,0)</f>
        <v>0</v>
      </c>
      <c r="D732" s="7">
        <f>IF(COUNTIF(Raw_Bookings!$A$2:$A$648,Raw_Passengers!B732)=0,1,0)</f>
        <v>0</v>
      </c>
      <c r="E732" s="7">
        <f>IF(OR(C732=1,D732=1),0,IF(NOT(ISNUMBER(Raw_Passengers!E732)),1,IF(Raw_Passengers!E732&lt;=0,1,0)))</f>
        <v>0</v>
      </c>
      <c r="F732" s="7">
        <f>IF(AND(C732=0,D732=0,TRIM(Raw_Passengers!D732&amp;"")=""),1,0)</f>
        <v>0</v>
      </c>
      <c r="G732" s="7" t="str">
        <f>IF(SUMPRODUCT(--(Lookup_Status!$A$2:$A$13=LOWER(TRIM(Raw_Passengers!F732))))=0,"",INDEX(Lookup_Status!$B$2:$B$13,SUMPRODUCT((Lookup_Status!$A$2:$A$13=LOWER(TRIM(Raw_Passengers!F732)))*(ROW(Lookup_Status!$A$2:$A$13)-1))))</f>
        <v>Confirmed</v>
      </c>
      <c r="H732" s="7" t="str">
        <f>IF(SUMPRODUCT(--(Lookup_Status!$A$2:$A$13=LOWER(TRIM(Raw_Passengers!G732))))=0,"",INDEX(Lookup_Status!$B$2:$B$13,SUMPRODUCT((Lookup_Status!$A$2:$A$13=LOWER(TRIM(Raw_Passengers!G732)))*(ROW(Lookup_Status!$A$2:$A$13)-1))))</f>
        <v>Confirmed</v>
      </c>
      <c r="I732" s="7">
        <f>IF(OR(G732="",G732="Cancelled",G732="Mixed"),1,0)</f>
        <v>0</v>
      </c>
      <c r="J732" s="7">
        <f>IF(OR(H732="",H732="Mixed"),1,0)</f>
        <v>0</v>
      </c>
      <c r="K732" s="7">
        <f>IF(AND(C732=0,D732=0),IF(OR(AND(I732=0,NOT(EXACT(Raw_Passengers!F732,G732))),AND(J732=0,NOT(EXACT(Raw_Passengers!G732,H732)))),1,0),0)</f>
        <v>0</v>
      </c>
      <c r="L732" s="7">
        <f>IF(AND(C732=0,D732=0,I732=1),1,0)</f>
        <v>0</v>
      </c>
      <c r="M732" s="7">
        <f>IF(AND(C732=0,D732=0,J732=1),1,0)</f>
        <v>0</v>
      </c>
    </row>
    <row r="733" spans="1:13">
      <c r="A733" s="7">
        <f>Raw_Passengers!A733</f>
        <v>244190</v>
      </c>
      <c r="B733" s="7">
        <f>Raw_Passengers!B733</f>
        <v>1120875</v>
      </c>
      <c r="C733" s="7">
        <f>IF(COUNTIF(Raw_Passengers!$A$2:A733,Raw_Passengers!A733)&gt;1,1,0)</f>
        <v>0</v>
      </c>
      <c r="D733" s="7">
        <f>IF(COUNTIF(Raw_Bookings!$A$2:$A$648,Raw_Passengers!B733)=0,1,0)</f>
        <v>0</v>
      </c>
      <c r="E733" s="7">
        <f>IF(OR(C733=1,D733=1),0,IF(NOT(ISNUMBER(Raw_Passengers!E733)),1,IF(Raw_Passengers!E733&lt;=0,1,0)))</f>
        <v>0</v>
      </c>
      <c r="F733" s="7">
        <f>IF(AND(C733=0,D733=0,TRIM(Raw_Passengers!D733&amp;"")=""),1,0)</f>
        <v>0</v>
      </c>
      <c r="G733" s="7" t="str">
        <f>IF(SUMPRODUCT(--(Lookup_Status!$A$2:$A$13=LOWER(TRIM(Raw_Passengers!F733))))=0,"",INDEX(Lookup_Status!$B$2:$B$13,SUMPRODUCT((Lookup_Status!$A$2:$A$13=LOWER(TRIM(Raw_Passengers!F733)))*(ROW(Lookup_Status!$A$2:$A$13)-1))))</f>
        <v>Confirmed</v>
      </c>
      <c r="H733" s="7" t="str">
        <f>IF(SUMPRODUCT(--(Lookup_Status!$A$2:$A$13=LOWER(TRIM(Raw_Passengers!G733))))=0,"",INDEX(Lookup_Status!$B$2:$B$13,SUMPRODUCT((Lookup_Status!$A$2:$A$13=LOWER(TRIM(Raw_Passengers!G733)))*(ROW(Lookup_Status!$A$2:$A$13)-1))))</f>
        <v>Confirmed</v>
      </c>
      <c r="I733" s="7">
        <f>IF(OR(G733="",G733="Cancelled",G733="Mixed"),1,0)</f>
        <v>0</v>
      </c>
      <c r="J733" s="7">
        <f>IF(OR(H733="",H733="Mixed"),1,0)</f>
        <v>0</v>
      </c>
      <c r="K733" s="7">
        <f>IF(AND(C733=0,D733=0),IF(OR(AND(I733=0,NOT(EXACT(Raw_Passengers!F733,G733))),AND(J733=0,NOT(EXACT(Raw_Passengers!G733,H733)))),1,0),0)</f>
        <v>0</v>
      </c>
      <c r="L733" s="7">
        <f>IF(AND(C733=0,D733=0,I733=1),1,0)</f>
        <v>0</v>
      </c>
      <c r="M733" s="7">
        <f>IF(AND(C733=0,D733=0,J733=1),1,0)</f>
        <v>0</v>
      </c>
    </row>
    <row r="734" spans="1:13">
      <c r="A734" s="7">
        <f>Raw_Passengers!A734</f>
        <v>246187</v>
      </c>
      <c r="B734" s="7">
        <f>Raw_Passengers!B734</f>
        <v>1121859</v>
      </c>
      <c r="C734" s="7">
        <f>IF(COUNTIF(Raw_Passengers!$A$2:A734,Raw_Passengers!A734)&gt;1,1,0)</f>
        <v>0</v>
      </c>
      <c r="D734" s="7">
        <f>IF(COUNTIF(Raw_Bookings!$A$2:$A$648,Raw_Passengers!B734)=0,1,0)</f>
        <v>0</v>
      </c>
      <c r="E734" s="7">
        <f>IF(OR(C734=1,D734=1),0,IF(NOT(ISNUMBER(Raw_Passengers!E734)),1,IF(Raw_Passengers!E734&lt;=0,1,0)))</f>
        <v>0</v>
      </c>
      <c r="F734" s="7">
        <f>IF(AND(C734=0,D734=0,TRIM(Raw_Passengers!D734&amp;"")=""),1,0)</f>
        <v>0</v>
      </c>
      <c r="G734" s="7" t="str">
        <f>IF(SUMPRODUCT(--(Lookup_Status!$A$2:$A$13=LOWER(TRIM(Raw_Passengers!F734))))=0,"",INDEX(Lookup_Status!$B$2:$B$13,SUMPRODUCT((Lookup_Status!$A$2:$A$13=LOWER(TRIM(Raw_Passengers!F734)))*(ROW(Lookup_Status!$A$2:$A$13)-1))))</f>
        <v>Confirmed</v>
      </c>
      <c r="H734" s="7" t="str">
        <f>IF(SUMPRODUCT(--(Lookup_Status!$A$2:$A$13=LOWER(TRIM(Raw_Passengers!G734))))=0,"",INDEX(Lookup_Status!$B$2:$B$13,SUMPRODUCT((Lookup_Status!$A$2:$A$13=LOWER(TRIM(Raw_Passengers!G734)))*(ROW(Lookup_Status!$A$2:$A$13)-1))))</f>
        <v>Confirmed</v>
      </c>
      <c r="I734" s="7">
        <f>IF(OR(G734="",G734="Cancelled",G734="Mixed"),1,0)</f>
        <v>0</v>
      </c>
      <c r="J734" s="7">
        <f>IF(OR(H734="",H734="Mixed"),1,0)</f>
        <v>0</v>
      </c>
      <c r="K734" s="7">
        <f>IF(AND(C734=0,D734=0),IF(OR(AND(I734=0,NOT(EXACT(Raw_Passengers!F734,G734))),AND(J734=0,NOT(EXACT(Raw_Passengers!G734,H734)))),1,0),0)</f>
        <v>0</v>
      </c>
      <c r="L734" s="7">
        <f>IF(AND(C734=0,D734=0,I734=1),1,0)</f>
        <v>0</v>
      </c>
      <c r="M734" s="7">
        <f>IF(AND(C734=0,D734=0,J734=1),1,0)</f>
        <v>0</v>
      </c>
    </row>
    <row r="735" spans="1:13">
      <c r="A735" s="7">
        <f>Raw_Passengers!A735</f>
        <v>246466</v>
      </c>
      <c r="B735" s="7">
        <f>Raw_Passengers!B735</f>
        <v>1122006</v>
      </c>
      <c r="C735" s="7">
        <f>IF(COUNTIF(Raw_Passengers!$A$2:A735,Raw_Passengers!A735)&gt;1,1,0)</f>
        <v>0</v>
      </c>
      <c r="D735" s="7">
        <f>IF(COUNTIF(Raw_Bookings!$A$2:$A$648,Raw_Passengers!B735)=0,1,0)</f>
        <v>0</v>
      </c>
      <c r="E735" s="7">
        <f>IF(OR(C735=1,D735=1),0,IF(NOT(ISNUMBER(Raw_Passengers!E735)),1,IF(Raw_Passengers!E735&lt;=0,1,0)))</f>
        <v>0</v>
      </c>
      <c r="F735" s="7">
        <f>IF(AND(C735=0,D735=0,TRIM(Raw_Passengers!D735&amp;"")=""),1,0)</f>
        <v>0</v>
      </c>
      <c r="G735" s="7" t="str">
        <f>IF(SUMPRODUCT(--(Lookup_Status!$A$2:$A$13=LOWER(TRIM(Raw_Passengers!F735))))=0,"",INDEX(Lookup_Status!$B$2:$B$13,SUMPRODUCT((Lookup_Status!$A$2:$A$13=LOWER(TRIM(Raw_Passengers!F735)))*(ROW(Lookup_Status!$A$2:$A$13)-1))))</f>
        <v>Waitlisted</v>
      </c>
      <c r="H735" s="7">
        <f>IF(SUMPRODUCT(--(Lookup_Status!$A$2:$A$13=LOWER(TRIM(Raw_Passengers!G735))))=0,"",INDEX(Lookup_Status!$B$2:$B$13,SUMPRODUCT((Lookup_Status!$A$2:$A$13=LOWER(TRIM(Raw_Passengers!G735)))*(ROW(Lookup_Status!$A$2:$A$13)-1))))</f>
        <v/>
      </c>
      <c r="I735" s="7">
        <f>IF(OR(G735="",G735="Cancelled",G735="Mixed"),1,0)</f>
        <v>0</v>
      </c>
      <c r="J735" s="7">
        <f>IF(OR(H735="",H735="Mixed"),1,0)</f>
        <v>1</v>
      </c>
      <c r="K735" s="7">
        <f>IF(AND(C735=0,D735=0),IF(OR(AND(I735=0,NOT(EXACT(Raw_Passengers!F735,G735))),AND(J735=0,NOT(EXACT(Raw_Passengers!G735,H735)))),1,0),0)</f>
        <v>0</v>
      </c>
      <c r="L735" s="7">
        <f>IF(AND(C735=0,D735=0,I735=1),1,0)</f>
        <v>0</v>
      </c>
      <c r="M735" s="7">
        <f>IF(AND(C735=0,D735=0,J735=1),1,0)</f>
        <v>1</v>
      </c>
    </row>
    <row r="736" spans="1:13">
      <c r="A736" s="7">
        <f>Raw_Passengers!A736</f>
        <v>246474</v>
      </c>
      <c r="B736" s="7">
        <f>Raw_Passengers!B736</f>
        <v>1122013</v>
      </c>
      <c r="C736" s="7">
        <f>IF(COUNTIF(Raw_Passengers!$A$2:A736,Raw_Passengers!A736)&gt;1,1,0)</f>
        <v>0</v>
      </c>
      <c r="D736" s="7">
        <f>IF(COUNTIF(Raw_Bookings!$A$2:$A$648,Raw_Passengers!B736)=0,1,0)</f>
        <v>0</v>
      </c>
      <c r="E736" s="7">
        <f>IF(OR(C736=1,D736=1),0,IF(NOT(ISNUMBER(Raw_Passengers!E736)),1,IF(Raw_Passengers!E736&lt;=0,1,0)))</f>
        <v>0</v>
      </c>
      <c r="F736" s="7">
        <f>IF(AND(C736=0,D736=0,TRIM(Raw_Passengers!D736&amp;"")=""),1,0)</f>
        <v>0</v>
      </c>
      <c r="G736" s="7" t="str">
        <f>IF(SUMPRODUCT(--(Lookup_Status!$A$2:$A$13=LOWER(TRIM(Raw_Passengers!F736))))=0,"",INDEX(Lookup_Status!$B$2:$B$13,SUMPRODUCT((Lookup_Status!$A$2:$A$13=LOWER(TRIM(Raw_Passengers!F736)))*(ROW(Lookup_Status!$A$2:$A$13)-1))))</f>
        <v>Waitlisted</v>
      </c>
      <c r="H736" s="7" t="str">
        <f>IF(SUMPRODUCT(--(Lookup_Status!$A$2:$A$13=LOWER(TRIM(Raw_Passengers!G736))))=0,"",INDEX(Lookup_Status!$B$2:$B$13,SUMPRODUCT((Lookup_Status!$A$2:$A$13=LOWER(TRIM(Raw_Passengers!G736)))*(ROW(Lookup_Status!$A$2:$A$13)-1))))</f>
        <v>Cancelled</v>
      </c>
      <c r="I736" s="7">
        <f>IF(OR(G736="",G736="Cancelled",G736="Mixed"),1,0)</f>
        <v>0</v>
      </c>
      <c r="J736" s="7">
        <f>IF(OR(H736="",H736="Mixed"),1,0)</f>
        <v>0</v>
      </c>
      <c r="K736" s="7">
        <f>IF(AND(C736=0,D736=0),IF(OR(AND(I736=0,NOT(EXACT(Raw_Passengers!F736,G736))),AND(J736=0,NOT(EXACT(Raw_Passengers!G736,H736)))),1,0),0)</f>
        <v>0</v>
      </c>
      <c r="L736" s="7">
        <f>IF(AND(C736=0,D736=0,I736=1),1,0)</f>
        <v>0</v>
      </c>
      <c r="M736" s="7">
        <f>IF(AND(C736=0,D736=0,J736=1),1,0)</f>
        <v>0</v>
      </c>
    </row>
    <row r="737" spans="1:13">
      <c r="A737" s="7">
        <f>Raw_Passengers!A737</f>
        <v>246716</v>
      </c>
      <c r="B737" s="7">
        <f>Raw_Passengers!B737</f>
        <v>1122136</v>
      </c>
      <c r="C737" s="7">
        <f>IF(COUNTIF(Raw_Passengers!$A$2:A737,Raw_Passengers!A737)&gt;1,1,0)</f>
        <v>0</v>
      </c>
      <c r="D737" s="7">
        <f>IF(COUNTIF(Raw_Bookings!$A$2:$A$648,Raw_Passengers!B737)=0,1,0)</f>
        <v>0</v>
      </c>
      <c r="E737" s="7">
        <f>IF(OR(C737=1,D737=1),0,IF(NOT(ISNUMBER(Raw_Passengers!E737)),1,IF(Raw_Passengers!E737&lt;=0,1,0)))</f>
        <v>0</v>
      </c>
      <c r="F737" s="7">
        <f>IF(AND(C737=0,D737=0,TRIM(Raw_Passengers!D737&amp;"")=""),1,0)</f>
        <v>0</v>
      </c>
      <c r="G737" s="7" t="str">
        <f>IF(SUMPRODUCT(--(Lookup_Status!$A$2:$A$13=LOWER(TRIM(Raw_Passengers!F737))))=0,"",INDEX(Lookup_Status!$B$2:$B$13,SUMPRODUCT((Lookup_Status!$A$2:$A$13=LOWER(TRIM(Raw_Passengers!F737)))*(ROW(Lookup_Status!$A$2:$A$13)-1))))</f>
        <v>Confirmed</v>
      </c>
      <c r="H737" s="7" t="str">
        <f>IF(SUMPRODUCT(--(Lookup_Status!$A$2:$A$13=LOWER(TRIM(Raw_Passengers!G737))))=0,"",INDEX(Lookup_Status!$B$2:$B$13,SUMPRODUCT((Lookup_Status!$A$2:$A$13=LOWER(TRIM(Raw_Passengers!G737)))*(ROW(Lookup_Status!$A$2:$A$13)-1))))</f>
        <v>Confirmed</v>
      </c>
      <c r="I737" s="7">
        <f>IF(OR(G737="",G737="Cancelled",G737="Mixed"),1,0)</f>
        <v>0</v>
      </c>
      <c r="J737" s="7">
        <f>IF(OR(H737="",H737="Mixed"),1,0)</f>
        <v>0</v>
      </c>
      <c r="K737" s="7">
        <f>IF(AND(C737=0,D737=0),IF(OR(AND(I737=0,NOT(EXACT(Raw_Passengers!F737,G737))),AND(J737=0,NOT(EXACT(Raw_Passengers!G737,H737)))),1,0),0)</f>
        <v>0</v>
      </c>
      <c r="L737" s="7">
        <f>IF(AND(C737=0,D737=0,I737=1),1,0)</f>
        <v>0</v>
      </c>
      <c r="M737" s="7">
        <f>IF(AND(C737=0,D737=0,J737=1),1,0)</f>
        <v>0</v>
      </c>
    </row>
    <row r="738" spans="1:13">
      <c r="A738" s="7">
        <f>Raw_Passengers!A738</f>
        <v>246722</v>
      </c>
      <c r="B738" s="7">
        <f>Raw_Passengers!B738</f>
        <v>1122140</v>
      </c>
      <c r="C738" s="7">
        <f>IF(COUNTIF(Raw_Passengers!$A$2:A738,Raw_Passengers!A738)&gt;1,1,0)</f>
        <v>0</v>
      </c>
      <c r="D738" s="7">
        <f>IF(COUNTIF(Raw_Bookings!$A$2:$A$648,Raw_Passengers!B738)=0,1,0)</f>
        <v>0</v>
      </c>
      <c r="E738" s="7">
        <f>IF(OR(C738=1,D738=1),0,IF(NOT(ISNUMBER(Raw_Passengers!E738)),1,IF(Raw_Passengers!E738&lt;=0,1,0)))</f>
        <v>0</v>
      </c>
      <c r="F738" s="7">
        <f>IF(AND(C738=0,D738=0,TRIM(Raw_Passengers!D738&amp;"")=""),1,0)</f>
        <v>0</v>
      </c>
      <c r="G738" s="7" t="str">
        <f>IF(SUMPRODUCT(--(Lookup_Status!$A$2:$A$13=LOWER(TRIM(Raw_Passengers!F738))))=0,"",INDEX(Lookup_Status!$B$2:$B$13,SUMPRODUCT((Lookup_Status!$A$2:$A$13=LOWER(TRIM(Raw_Passengers!F738)))*(ROW(Lookup_Status!$A$2:$A$13)-1))))</f>
        <v>RAC</v>
      </c>
      <c r="H738" s="7" t="str">
        <f>IF(SUMPRODUCT(--(Lookup_Status!$A$2:$A$13=LOWER(TRIM(Raw_Passengers!G738))))=0,"",INDEX(Lookup_Status!$B$2:$B$13,SUMPRODUCT((Lookup_Status!$A$2:$A$13=LOWER(TRIM(Raw_Passengers!G738)))*(ROW(Lookup_Status!$A$2:$A$13)-1))))</f>
        <v>RAC</v>
      </c>
      <c r="I738" s="7">
        <f>IF(OR(G738="",G738="Cancelled",G738="Mixed"),1,0)</f>
        <v>0</v>
      </c>
      <c r="J738" s="7">
        <f>IF(OR(H738="",H738="Mixed"),1,0)</f>
        <v>0</v>
      </c>
      <c r="K738" s="7">
        <f>IF(AND(C738=0,D738=0),IF(OR(AND(I738=0,NOT(EXACT(Raw_Passengers!F738,G738))),AND(J738=0,NOT(EXACT(Raw_Passengers!G738,H738)))),1,0),0)</f>
        <v>0</v>
      </c>
      <c r="L738" s="7">
        <f>IF(AND(C738=0,D738=0,I738=1),1,0)</f>
        <v>0</v>
      </c>
      <c r="M738" s="7">
        <f>IF(AND(C738=0,D738=0,J738=1),1,0)</f>
        <v>0</v>
      </c>
    </row>
    <row r="739" spans="1:13">
      <c r="A739" s="7">
        <f>Raw_Passengers!A739</f>
        <v>246723</v>
      </c>
      <c r="B739" s="7">
        <f>Raw_Passengers!B739</f>
        <v>1122140</v>
      </c>
      <c r="C739" s="7">
        <f>IF(COUNTIF(Raw_Passengers!$A$2:A739,Raw_Passengers!A739)&gt;1,1,0)</f>
        <v>0</v>
      </c>
      <c r="D739" s="7">
        <f>IF(COUNTIF(Raw_Bookings!$A$2:$A$648,Raw_Passengers!B739)=0,1,0)</f>
        <v>0</v>
      </c>
      <c r="E739" s="7">
        <f>IF(OR(C739=1,D739=1),0,IF(NOT(ISNUMBER(Raw_Passengers!E739)),1,IF(Raw_Passengers!E739&lt;=0,1,0)))</f>
        <v>0</v>
      </c>
      <c r="F739" s="7">
        <f>IF(AND(C739=0,D739=0,TRIM(Raw_Passengers!D739&amp;"")=""),1,0)</f>
        <v>0</v>
      </c>
      <c r="G739" s="7" t="str">
        <f>IF(SUMPRODUCT(--(Lookup_Status!$A$2:$A$13=LOWER(TRIM(Raw_Passengers!F739))))=0,"",INDEX(Lookup_Status!$B$2:$B$13,SUMPRODUCT((Lookup_Status!$A$2:$A$13=LOWER(TRIM(Raw_Passengers!F739)))*(ROW(Lookup_Status!$A$2:$A$13)-1))))</f>
        <v>RAC</v>
      </c>
      <c r="H739" s="7" t="str">
        <f>IF(SUMPRODUCT(--(Lookup_Status!$A$2:$A$13=LOWER(TRIM(Raw_Passengers!G739))))=0,"",INDEX(Lookup_Status!$B$2:$B$13,SUMPRODUCT((Lookup_Status!$A$2:$A$13=LOWER(TRIM(Raw_Passengers!G739)))*(ROW(Lookup_Status!$A$2:$A$13)-1))))</f>
        <v>RAC</v>
      </c>
      <c r="I739" s="7">
        <f>IF(OR(G739="",G739="Cancelled",G739="Mixed"),1,0)</f>
        <v>0</v>
      </c>
      <c r="J739" s="7">
        <f>IF(OR(H739="",H739="Mixed"),1,0)</f>
        <v>0</v>
      </c>
      <c r="K739" s="7">
        <f>IF(AND(C739=0,D739=0),IF(OR(AND(I739=0,NOT(EXACT(Raw_Passengers!F739,G739))),AND(J739=0,NOT(EXACT(Raw_Passengers!G739,H739)))),1,0),0)</f>
        <v>0</v>
      </c>
      <c r="L739" s="7">
        <f>IF(AND(C739=0,D739=0,I739=1),1,0)</f>
        <v>0</v>
      </c>
      <c r="M739" s="7">
        <f>IF(AND(C739=0,D739=0,J739=1),1,0)</f>
        <v>0</v>
      </c>
    </row>
    <row r="740" spans="1:13">
      <c r="A740" s="7">
        <f>Raw_Passengers!A740</f>
        <v>246729</v>
      </c>
      <c r="B740" s="7">
        <f>Raw_Passengers!B740</f>
        <v>1122145</v>
      </c>
      <c r="C740" s="7">
        <f>IF(COUNTIF(Raw_Passengers!$A$2:A740,Raw_Passengers!A740)&gt;1,1,0)</f>
        <v>0</v>
      </c>
      <c r="D740" s="7">
        <f>IF(COUNTIF(Raw_Bookings!$A$2:$A$648,Raw_Passengers!B740)=0,1,0)</f>
        <v>0</v>
      </c>
      <c r="E740" s="7">
        <f>IF(OR(C740=1,D740=1),0,IF(NOT(ISNUMBER(Raw_Passengers!E740)),1,IF(Raw_Passengers!E740&lt;=0,1,0)))</f>
        <v>0</v>
      </c>
      <c r="F740" s="7">
        <f>IF(AND(C740=0,D740=0,TRIM(Raw_Passengers!D740&amp;"")=""),1,0)</f>
        <v>0</v>
      </c>
      <c r="G740" s="7" t="str">
        <f>IF(SUMPRODUCT(--(Lookup_Status!$A$2:$A$13=LOWER(TRIM(Raw_Passengers!F740))))=0,"",INDEX(Lookup_Status!$B$2:$B$13,SUMPRODUCT((Lookup_Status!$A$2:$A$13=LOWER(TRIM(Raw_Passengers!F740)))*(ROW(Lookup_Status!$A$2:$A$13)-1))))</f>
        <v>RAC</v>
      </c>
      <c r="H740" s="7" t="str">
        <f>IF(SUMPRODUCT(--(Lookup_Status!$A$2:$A$13=LOWER(TRIM(Raw_Passengers!G740))))=0,"",INDEX(Lookup_Status!$B$2:$B$13,SUMPRODUCT((Lookup_Status!$A$2:$A$13=LOWER(TRIM(Raw_Passengers!G740)))*(ROW(Lookup_Status!$A$2:$A$13)-1))))</f>
        <v>RAC</v>
      </c>
      <c r="I740" s="7">
        <f>IF(OR(G740="",G740="Cancelled",G740="Mixed"),1,0)</f>
        <v>0</v>
      </c>
      <c r="J740" s="7">
        <f>IF(OR(H740="",H740="Mixed"),1,0)</f>
        <v>0</v>
      </c>
      <c r="K740" s="7">
        <f>IF(AND(C740=0,D740=0),IF(OR(AND(I740=0,NOT(EXACT(Raw_Passengers!F740,G740))),AND(J740=0,NOT(EXACT(Raw_Passengers!G740,H740)))),1,0),0)</f>
        <v>0</v>
      </c>
      <c r="L740" s="7">
        <f>IF(AND(C740=0,D740=0,I740=1),1,0)</f>
        <v>0</v>
      </c>
      <c r="M740" s="7">
        <f>IF(AND(C740=0,D740=0,J740=1),1,0)</f>
        <v>0</v>
      </c>
    </row>
    <row r="741" spans="1:13">
      <c r="A741" s="7">
        <f>Raw_Passengers!A741</f>
        <v>246730</v>
      </c>
      <c r="B741" s="7">
        <f>Raw_Passengers!B741</f>
        <v>1122145</v>
      </c>
      <c r="C741" s="7">
        <f>IF(COUNTIF(Raw_Passengers!$A$2:A741,Raw_Passengers!A741)&gt;1,1,0)</f>
        <v>0</v>
      </c>
      <c r="D741" s="7">
        <f>IF(COUNTIF(Raw_Bookings!$A$2:$A$648,Raw_Passengers!B741)=0,1,0)</f>
        <v>0</v>
      </c>
      <c r="E741" s="7">
        <f>IF(OR(C741=1,D741=1),0,IF(NOT(ISNUMBER(Raw_Passengers!E741)),1,IF(Raw_Passengers!E741&lt;=0,1,0)))</f>
        <v>0</v>
      </c>
      <c r="F741" s="7">
        <f>IF(AND(C741=0,D741=0,TRIM(Raw_Passengers!D741&amp;"")=""),1,0)</f>
        <v>0</v>
      </c>
      <c r="G741" s="7" t="str">
        <f>IF(SUMPRODUCT(--(Lookup_Status!$A$2:$A$13=LOWER(TRIM(Raw_Passengers!F741))))=0,"",INDEX(Lookup_Status!$B$2:$B$13,SUMPRODUCT((Lookup_Status!$A$2:$A$13=LOWER(TRIM(Raw_Passengers!F741)))*(ROW(Lookup_Status!$A$2:$A$13)-1))))</f>
        <v>RAC</v>
      </c>
      <c r="H741" s="7" t="str">
        <f>IF(SUMPRODUCT(--(Lookup_Status!$A$2:$A$13=LOWER(TRIM(Raw_Passengers!G741))))=0,"",INDEX(Lookup_Status!$B$2:$B$13,SUMPRODUCT((Lookup_Status!$A$2:$A$13=LOWER(TRIM(Raw_Passengers!G741)))*(ROW(Lookup_Status!$A$2:$A$13)-1))))</f>
        <v>RAC</v>
      </c>
      <c r="I741" s="7">
        <f>IF(OR(G741="",G741="Cancelled",G741="Mixed"),1,0)</f>
        <v>0</v>
      </c>
      <c r="J741" s="7">
        <f>IF(OR(H741="",H741="Mixed"),1,0)</f>
        <v>0</v>
      </c>
      <c r="K741" s="7">
        <f>IF(AND(C741=0,D741=0),IF(OR(AND(I741=0,NOT(EXACT(Raw_Passengers!F741,G741))),AND(J741=0,NOT(EXACT(Raw_Passengers!G741,H741)))),1,0),0)</f>
        <v>0</v>
      </c>
      <c r="L741" s="7">
        <f>IF(AND(C741=0,D741=0,I741=1),1,0)</f>
        <v>0</v>
      </c>
      <c r="M741" s="7">
        <f>IF(AND(C741=0,D741=0,J741=1),1,0)</f>
        <v>0</v>
      </c>
    </row>
    <row r="742" spans="1:13">
      <c r="A742" s="7">
        <f>Raw_Passengers!A742</f>
        <v>246731</v>
      </c>
      <c r="B742" s="7">
        <f>Raw_Passengers!B742</f>
        <v>1122145</v>
      </c>
      <c r="C742" s="7">
        <f>IF(COUNTIF(Raw_Passengers!$A$2:A742,Raw_Passengers!A742)&gt;1,1,0)</f>
        <v>0</v>
      </c>
      <c r="D742" s="7">
        <f>IF(COUNTIF(Raw_Bookings!$A$2:$A$648,Raw_Passengers!B742)=0,1,0)</f>
        <v>0</v>
      </c>
      <c r="E742" s="7">
        <f>IF(OR(C742=1,D742=1),0,IF(NOT(ISNUMBER(Raw_Passengers!E742)),1,IF(Raw_Passengers!E742&lt;=0,1,0)))</f>
        <v>0</v>
      </c>
      <c r="F742" s="7">
        <f>IF(AND(C742=0,D742=0,TRIM(Raw_Passengers!D742&amp;"")=""),1,0)</f>
        <v>0</v>
      </c>
      <c r="G742" s="7" t="str">
        <f>IF(SUMPRODUCT(--(Lookup_Status!$A$2:$A$13=LOWER(TRIM(Raw_Passengers!F742))))=0,"",INDEX(Lookup_Status!$B$2:$B$13,SUMPRODUCT((Lookup_Status!$A$2:$A$13=LOWER(TRIM(Raw_Passengers!F742)))*(ROW(Lookup_Status!$A$2:$A$13)-1))))</f>
        <v>RAC</v>
      </c>
      <c r="H742" s="7" t="str">
        <f>IF(SUMPRODUCT(--(Lookup_Status!$A$2:$A$13=LOWER(TRIM(Raw_Passengers!G742))))=0,"",INDEX(Lookup_Status!$B$2:$B$13,SUMPRODUCT((Lookup_Status!$A$2:$A$13=LOWER(TRIM(Raw_Passengers!G742)))*(ROW(Lookup_Status!$A$2:$A$13)-1))))</f>
        <v>RAC</v>
      </c>
      <c r="I742" s="7">
        <f>IF(OR(G742="",G742="Cancelled",G742="Mixed"),1,0)</f>
        <v>0</v>
      </c>
      <c r="J742" s="7">
        <f>IF(OR(H742="",H742="Mixed"),1,0)</f>
        <v>0</v>
      </c>
      <c r="K742" s="7">
        <f>IF(AND(C742=0,D742=0),IF(OR(AND(I742=0,NOT(EXACT(Raw_Passengers!F742,G742))),AND(J742=0,NOT(EXACT(Raw_Passengers!G742,H742)))),1,0),0)</f>
        <v>0</v>
      </c>
      <c r="L742" s="7">
        <f>IF(AND(C742=0,D742=0,I742=1),1,0)</f>
        <v>0</v>
      </c>
      <c r="M742" s="7">
        <f>IF(AND(C742=0,D742=0,J742=1),1,0)</f>
        <v>0</v>
      </c>
    </row>
    <row r="743" spans="1:13">
      <c r="A743" s="7">
        <f>Raw_Passengers!A743</f>
        <v>246732</v>
      </c>
      <c r="B743" s="7">
        <f>Raw_Passengers!B743</f>
        <v>1122145</v>
      </c>
      <c r="C743" s="7">
        <f>IF(COUNTIF(Raw_Passengers!$A$2:A743,Raw_Passengers!A743)&gt;1,1,0)</f>
        <v>0</v>
      </c>
      <c r="D743" s="7">
        <f>IF(COUNTIF(Raw_Bookings!$A$2:$A$648,Raw_Passengers!B743)=0,1,0)</f>
        <v>0</v>
      </c>
      <c r="E743" s="7">
        <f>IF(OR(C743=1,D743=1),0,IF(NOT(ISNUMBER(Raw_Passengers!E743)),1,IF(Raw_Passengers!E743&lt;=0,1,0)))</f>
        <v>0</v>
      </c>
      <c r="F743" s="7">
        <f>IF(AND(C743=0,D743=0,TRIM(Raw_Passengers!D743&amp;"")=""),1,0)</f>
        <v>0</v>
      </c>
      <c r="G743" s="7" t="str">
        <f>IF(SUMPRODUCT(--(Lookup_Status!$A$2:$A$13=LOWER(TRIM(Raw_Passengers!F743))))=0,"",INDEX(Lookup_Status!$B$2:$B$13,SUMPRODUCT((Lookup_Status!$A$2:$A$13=LOWER(TRIM(Raw_Passengers!F743)))*(ROW(Lookup_Status!$A$2:$A$13)-1))))</f>
        <v>RAC</v>
      </c>
      <c r="H743" s="7" t="str">
        <f>IF(SUMPRODUCT(--(Lookup_Status!$A$2:$A$13=LOWER(TRIM(Raw_Passengers!G743))))=0,"",INDEX(Lookup_Status!$B$2:$B$13,SUMPRODUCT((Lookup_Status!$A$2:$A$13=LOWER(TRIM(Raw_Passengers!G743)))*(ROW(Lookup_Status!$A$2:$A$13)-1))))</f>
        <v>RAC</v>
      </c>
      <c r="I743" s="7">
        <f>IF(OR(G743="",G743="Cancelled",G743="Mixed"),1,0)</f>
        <v>0</v>
      </c>
      <c r="J743" s="7">
        <f>IF(OR(H743="",H743="Mixed"),1,0)</f>
        <v>0</v>
      </c>
      <c r="K743" s="7">
        <f>IF(AND(C743=0,D743=0),IF(OR(AND(I743=0,NOT(EXACT(Raw_Passengers!F743,G743))),AND(J743=0,NOT(EXACT(Raw_Passengers!G743,H743)))),1,0),0)</f>
        <v>0</v>
      </c>
      <c r="L743" s="7">
        <f>IF(AND(C743=0,D743=0,I743=1),1,0)</f>
        <v>0</v>
      </c>
      <c r="M743" s="7">
        <f>IF(AND(C743=0,D743=0,J743=1),1,0)</f>
        <v>0</v>
      </c>
    </row>
    <row r="744" spans="1:13">
      <c r="A744" s="7">
        <f>Raw_Passengers!A744</f>
        <v>246778</v>
      </c>
      <c r="B744" s="7">
        <f>Raw_Passengers!B744</f>
        <v>1122170</v>
      </c>
      <c r="C744" s="7">
        <f>IF(COUNTIF(Raw_Passengers!$A$2:A744,Raw_Passengers!A744)&gt;1,1,0)</f>
        <v>0</v>
      </c>
      <c r="D744" s="7">
        <f>IF(COUNTIF(Raw_Bookings!$A$2:$A$648,Raw_Passengers!B744)=0,1,0)</f>
        <v>0</v>
      </c>
      <c r="E744" s="7">
        <f>IF(OR(C744=1,D744=1),0,IF(NOT(ISNUMBER(Raw_Passengers!E744)),1,IF(Raw_Passengers!E744&lt;=0,1,0)))</f>
        <v>0</v>
      </c>
      <c r="F744" s="7">
        <f>IF(AND(C744=0,D744=0,TRIM(Raw_Passengers!D744&amp;"")=""),1,0)</f>
        <v>0</v>
      </c>
      <c r="G744" s="7" t="str">
        <f>IF(SUMPRODUCT(--(Lookup_Status!$A$2:$A$13=LOWER(TRIM(Raw_Passengers!F744))))=0,"",INDEX(Lookup_Status!$B$2:$B$13,SUMPRODUCT((Lookup_Status!$A$2:$A$13=LOWER(TRIM(Raw_Passengers!F744)))*(ROW(Lookup_Status!$A$2:$A$13)-1))))</f>
        <v>RAC</v>
      </c>
      <c r="H744" s="7" t="str">
        <f>IF(SUMPRODUCT(--(Lookup_Status!$A$2:$A$13=LOWER(TRIM(Raw_Passengers!G744))))=0,"",INDEX(Lookup_Status!$B$2:$B$13,SUMPRODUCT((Lookup_Status!$A$2:$A$13=LOWER(TRIM(Raw_Passengers!G744)))*(ROW(Lookup_Status!$A$2:$A$13)-1))))</f>
        <v>RAC</v>
      </c>
      <c r="I744" s="7">
        <f>IF(OR(G744="",G744="Cancelled",G744="Mixed"),1,0)</f>
        <v>0</v>
      </c>
      <c r="J744" s="7">
        <f>IF(OR(H744="",H744="Mixed"),1,0)</f>
        <v>0</v>
      </c>
      <c r="K744" s="7">
        <f>IF(AND(C744=0,D744=0),IF(OR(AND(I744=0,NOT(EXACT(Raw_Passengers!F744,G744))),AND(J744=0,NOT(EXACT(Raw_Passengers!G744,H744)))),1,0),0)</f>
        <v>0</v>
      </c>
      <c r="L744" s="7">
        <f>IF(AND(C744=0,D744=0,I744=1),1,0)</f>
        <v>0</v>
      </c>
      <c r="M744" s="7">
        <f>IF(AND(C744=0,D744=0,J744=1),1,0)</f>
        <v>0</v>
      </c>
    </row>
    <row r="745" spans="1:13">
      <c r="A745" s="7">
        <f>Raw_Passengers!A745</f>
        <v>246779</v>
      </c>
      <c r="B745" s="7">
        <f>Raw_Passengers!B745</f>
        <v>1122170</v>
      </c>
      <c r="C745" s="7">
        <f>IF(COUNTIF(Raw_Passengers!$A$2:A745,Raw_Passengers!A745)&gt;1,1,0)</f>
        <v>0</v>
      </c>
      <c r="D745" s="7">
        <f>IF(COUNTIF(Raw_Bookings!$A$2:$A$648,Raw_Passengers!B745)=0,1,0)</f>
        <v>0</v>
      </c>
      <c r="E745" s="7">
        <f>IF(OR(C745=1,D745=1),0,IF(NOT(ISNUMBER(Raw_Passengers!E745)),1,IF(Raw_Passengers!E745&lt;=0,1,0)))</f>
        <v>0</v>
      </c>
      <c r="F745" s="7">
        <f>IF(AND(C745=0,D745=0,TRIM(Raw_Passengers!D745&amp;"")=""),1,0)</f>
        <v>0</v>
      </c>
      <c r="G745" s="7" t="str">
        <f>IF(SUMPRODUCT(--(Lookup_Status!$A$2:$A$13=LOWER(TRIM(Raw_Passengers!F745))))=0,"",INDEX(Lookup_Status!$B$2:$B$13,SUMPRODUCT((Lookup_Status!$A$2:$A$13=LOWER(TRIM(Raw_Passengers!F745)))*(ROW(Lookup_Status!$A$2:$A$13)-1))))</f>
        <v>RAC</v>
      </c>
      <c r="H745" s="7" t="str">
        <f>IF(SUMPRODUCT(--(Lookup_Status!$A$2:$A$13=LOWER(TRIM(Raw_Passengers!G745))))=0,"",INDEX(Lookup_Status!$B$2:$B$13,SUMPRODUCT((Lookup_Status!$A$2:$A$13=LOWER(TRIM(Raw_Passengers!G745)))*(ROW(Lookup_Status!$A$2:$A$13)-1))))</f>
        <v>RAC</v>
      </c>
      <c r="I745" s="7">
        <f>IF(OR(G745="",G745="Cancelled",G745="Mixed"),1,0)</f>
        <v>0</v>
      </c>
      <c r="J745" s="7">
        <f>IF(OR(H745="",H745="Mixed"),1,0)</f>
        <v>0</v>
      </c>
      <c r="K745" s="7">
        <f>IF(AND(C745=0,D745=0),IF(OR(AND(I745=0,NOT(EXACT(Raw_Passengers!F745,G745))),AND(J745=0,NOT(EXACT(Raw_Passengers!G745,H745)))),1,0),0)</f>
        <v>0</v>
      </c>
      <c r="L745" s="7">
        <f>IF(AND(C745=0,D745=0,I745=1),1,0)</f>
        <v>0</v>
      </c>
      <c r="M745" s="7">
        <f>IF(AND(C745=0,D745=0,J745=1),1,0)</f>
        <v>0</v>
      </c>
    </row>
    <row r="746" spans="1:13">
      <c r="A746" s="7">
        <f>Raw_Passengers!A746</f>
        <v>246780</v>
      </c>
      <c r="B746" s="7">
        <f>Raw_Passengers!B746</f>
        <v>1122170</v>
      </c>
      <c r="C746" s="7">
        <f>IF(COUNTIF(Raw_Passengers!$A$2:A746,Raw_Passengers!A746)&gt;1,1,0)</f>
        <v>0</v>
      </c>
      <c r="D746" s="7">
        <f>IF(COUNTIF(Raw_Bookings!$A$2:$A$648,Raw_Passengers!B746)=0,1,0)</f>
        <v>0</v>
      </c>
      <c r="E746" s="7">
        <f>IF(OR(C746=1,D746=1),0,IF(NOT(ISNUMBER(Raw_Passengers!E746)),1,IF(Raw_Passengers!E746&lt;=0,1,0)))</f>
        <v>0</v>
      </c>
      <c r="F746" s="7">
        <f>IF(AND(C746=0,D746=0,TRIM(Raw_Passengers!D746&amp;"")=""),1,0)</f>
        <v>0</v>
      </c>
      <c r="G746" s="7" t="str">
        <f>IF(SUMPRODUCT(--(Lookup_Status!$A$2:$A$13=LOWER(TRIM(Raw_Passengers!F746))))=0,"",INDEX(Lookup_Status!$B$2:$B$13,SUMPRODUCT((Lookup_Status!$A$2:$A$13=LOWER(TRIM(Raw_Passengers!F746)))*(ROW(Lookup_Status!$A$2:$A$13)-1))))</f>
        <v>RAC</v>
      </c>
      <c r="H746" s="7" t="str">
        <f>IF(SUMPRODUCT(--(Lookup_Status!$A$2:$A$13=LOWER(TRIM(Raw_Passengers!G746))))=0,"",INDEX(Lookup_Status!$B$2:$B$13,SUMPRODUCT((Lookup_Status!$A$2:$A$13=LOWER(TRIM(Raw_Passengers!G746)))*(ROW(Lookup_Status!$A$2:$A$13)-1))))</f>
        <v>RAC</v>
      </c>
      <c r="I746" s="7">
        <f>IF(OR(G746="",G746="Cancelled",G746="Mixed"),1,0)</f>
        <v>0</v>
      </c>
      <c r="J746" s="7">
        <f>IF(OR(H746="",H746="Mixed"),1,0)</f>
        <v>0</v>
      </c>
      <c r="K746" s="7">
        <f>IF(AND(C746=0,D746=0),IF(OR(AND(I746=0,NOT(EXACT(Raw_Passengers!F746,G746))),AND(J746=0,NOT(EXACT(Raw_Passengers!G746,H746)))),1,0),0)</f>
        <v>0</v>
      </c>
      <c r="L746" s="7">
        <f>IF(AND(C746=0,D746=0,I746=1),1,0)</f>
        <v>0</v>
      </c>
      <c r="M746" s="7">
        <f>IF(AND(C746=0,D746=0,J746=1),1,0)</f>
        <v>0</v>
      </c>
    </row>
    <row r="747" spans="1:13">
      <c r="A747" s="7">
        <f>Raw_Passengers!A747</f>
        <v>246781</v>
      </c>
      <c r="B747" s="7">
        <f>Raw_Passengers!B747</f>
        <v>1122170</v>
      </c>
      <c r="C747" s="7">
        <f>IF(COUNTIF(Raw_Passengers!$A$2:A747,Raw_Passengers!A747)&gt;1,1,0)</f>
        <v>0</v>
      </c>
      <c r="D747" s="7">
        <f>IF(COUNTIF(Raw_Bookings!$A$2:$A$648,Raw_Passengers!B747)=0,1,0)</f>
        <v>0</v>
      </c>
      <c r="E747" s="7">
        <f>IF(OR(C747=1,D747=1),0,IF(NOT(ISNUMBER(Raw_Passengers!E747)),1,IF(Raw_Passengers!E747&lt;=0,1,0)))</f>
        <v>0</v>
      </c>
      <c r="F747" s="7">
        <f>IF(AND(C747=0,D747=0,TRIM(Raw_Passengers!D747&amp;"")=""),1,0)</f>
        <v>0</v>
      </c>
      <c r="G747" s="7" t="str">
        <f>IF(SUMPRODUCT(--(Lookup_Status!$A$2:$A$13=LOWER(TRIM(Raw_Passengers!F747))))=0,"",INDEX(Lookup_Status!$B$2:$B$13,SUMPRODUCT((Lookup_Status!$A$2:$A$13=LOWER(TRIM(Raw_Passengers!F747)))*(ROW(Lookup_Status!$A$2:$A$13)-1))))</f>
        <v>RAC</v>
      </c>
      <c r="H747" s="7" t="str">
        <f>IF(SUMPRODUCT(--(Lookup_Status!$A$2:$A$13=LOWER(TRIM(Raw_Passengers!G747))))=0,"",INDEX(Lookup_Status!$B$2:$B$13,SUMPRODUCT((Lookup_Status!$A$2:$A$13=LOWER(TRIM(Raw_Passengers!G747)))*(ROW(Lookup_Status!$A$2:$A$13)-1))))</f>
        <v>RAC</v>
      </c>
      <c r="I747" s="7">
        <f>IF(OR(G747="",G747="Cancelled",G747="Mixed"),1,0)</f>
        <v>0</v>
      </c>
      <c r="J747" s="7">
        <f>IF(OR(H747="",H747="Mixed"),1,0)</f>
        <v>0</v>
      </c>
      <c r="K747" s="7">
        <f>IF(AND(C747=0,D747=0),IF(OR(AND(I747=0,NOT(EXACT(Raw_Passengers!F747,G747))),AND(J747=0,NOT(EXACT(Raw_Passengers!G747,H747)))),1,0),0)</f>
        <v>0</v>
      </c>
      <c r="L747" s="7">
        <f>IF(AND(C747=0,D747=0,I747=1),1,0)</f>
        <v>0</v>
      </c>
      <c r="M747" s="7">
        <f>IF(AND(C747=0,D747=0,J747=1),1,0)</f>
        <v>0</v>
      </c>
    </row>
    <row r="748" spans="1:13">
      <c r="A748" s="7">
        <f>Raw_Passengers!A748</f>
        <v>246782</v>
      </c>
      <c r="B748" s="7">
        <f>Raw_Passengers!B748</f>
        <v>1122170</v>
      </c>
      <c r="C748" s="7">
        <f>IF(COUNTIF(Raw_Passengers!$A$2:A748,Raw_Passengers!A748)&gt;1,1,0)</f>
        <v>0</v>
      </c>
      <c r="D748" s="7">
        <f>IF(COUNTIF(Raw_Bookings!$A$2:$A$648,Raw_Passengers!B748)=0,1,0)</f>
        <v>0</v>
      </c>
      <c r="E748" s="7">
        <f>IF(OR(C748=1,D748=1),0,IF(NOT(ISNUMBER(Raw_Passengers!E748)),1,IF(Raw_Passengers!E748&lt;=0,1,0)))</f>
        <v>0</v>
      </c>
      <c r="F748" s="7">
        <f>IF(AND(C748=0,D748=0,TRIM(Raw_Passengers!D748&amp;"")=""),1,0)</f>
        <v>0</v>
      </c>
      <c r="G748" s="7" t="str">
        <f>IF(SUMPRODUCT(--(Lookup_Status!$A$2:$A$13=LOWER(TRIM(Raw_Passengers!F748))))=0,"",INDEX(Lookup_Status!$B$2:$B$13,SUMPRODUCT((Lookup_Status!$A$2:$A$13=LOWER(TRIM(Raw_Passengers!F748)))*(ROW(Lookup_Status!$A$2:$A$13)-1))))</f>
        <v>RAC</v>
      </c>
      <c r="H748" s="7" t="str">
        <f>IF(SUMPRODUCT(--(Lookup_Status!$A$2:$A$13=LOWER(TRIM(Raw_Passengers!G748))))=0,"",INDEX(Lookup_Status!$B$2:$B$13,SUMPRODUCT((Lookup_Status!$A$2:$A$13=LOWER(TRIM(Raw_Passengers!G748)))*(ROW(Lookup_Status!$A$2:$A$13)-1))))</f>
        <v>RAC</v>
      </c>
      <c r="I748" s="7">
        <f>IF(OR(G748="",G748="Cancelled",G748="Mixed"),1,0)</f>
        <v>0</v>
      </c>
      <c r="J748" s="7">
        <f>IF(OR(H748="",H748="Mixed"),1,0)</f>
        <v>0</v>
      </c>
      <c r="K748" s="7">
        <f>IF(AND(C748=0,D748=0),IF(OR(AND(I748=0,NOT(EXACT(Raw_Passengers!F748,G748))),AND(J748=0,NOT(EXACT(Raw_Passengers!G748,H748)))),1,0),0)</f>
        <v>0</v>
      </c>
      <c r="L748" s="7">
        <f>IF(AND(C748=0,D748=0,I748=1),1,0)</f>
        <v>0</v>
      </c>
      <c r="M748" s="7">
        <f>IF(AND(C748=0,D748=0,J748=1),1,0)</f>
        <v>0</v>
      </c>
    </row>
    <row r="749" spans="1:13">
      <c r="A749" s="7">
        <f>Raw_Passengers!A749</f>
        <v>246783</v>
      </c>
      <c r="B749" s="7">
        <f>Raw_Passengers!B749</f>
        <v>1122170</v>
      </c>
      <c r="C749" s="7">
        <f>IF(COUNTIF(Raw_Passengers!$A$2:A749,Raw_Passengers!A749)&gt;1,1,0)</f>
        <v>0</v>
      </c>
      <c r="D749" s="7">
        <f>IF(COUNTIF(Raw_Bookings!$A$2:$A$648,Raw_Passengers!B749)=0,1,0)</f>
        <v>0</v>
      </c>
      <c r="E749" s="7">
        <f>IF(OR(C749=1,D749=1),0,IF(NOT(ISNUMBER(Raw_Passengers!E749)),1,IF(Raw_Passengers!E749&lt;=0,1,0)))</f>
        <v>0</v>
      </c>
      <c r="F749" s="7">
        <f>IF(AND(C749=0,D749=0,TRIM(Raw_Passengers!D749&amp;"")=""),1,0)</f>
        <v>0</v>
      </c>
      <c r="G749" s="7" t="str">
        <f>IF(SUMPRODUCT(--(Lookup_Status!$A$2:$A$13=LOWER(TRIM(Raw_Passengers!F749))))=0,"",INDEX(Lookup_Status!$B$2:$B$13,SUMPRODUCT((Lookup_Status!$A$2:$A$13=LOWER(TRIM(Raw_Passengers!F749)))*(ROW(Lookup_Status!$A$2:$A$13)-1))))</f>
        <v>RAC</v>
      </c>
      <c r="H749" s="7" t="str">
        <f>IF(SUMPRODUCT(--(Lookup_Status!$A$2:$A$13=LOWER(TRIM(Raw_Passengers!G749))))=0,"",INDEX(Lookup_Status!$B$2:$B$13,SUMPRODUCT((Lookup_Status!$A$2:$A$13=LOWER(TRIM(Raw_Passengers!G749)))*(ROW(Lookup_Status!$A$2:$A$13)-1))))</f>
        <v>RAC</v>
      </c>
      <c r="I749" s="7">
        <f>IF(OR(G749="",G749="Cancelled",G749="Mixed"),1,0)</f>
        <v>0</v>
      </c>
      <c r="J749" s="7">
        <f>IF(OR(H749="",H749="Mixed"),1,0)</f>
        <v>0</v>
      </c>
      <c r="K749" s="7">
        <f>IF(AND(C749=0,D749=0),IF(OR(AND(I749=0,NOT(EXACT(Raw_Passengers!F749,G749))),AND(J749=0,NOT(EXACT(Raw_Passengers!G749,H749)))),1,0),0)</f>
        <v>0</v>
      </c>
      <c r="L749" s="7">
        <f>IF(AND(C749=0,D749=0,I749=1),1,0)</f>
        <v>0</v>
      </c>
      <c r="M749" s="7">
        <f>IF(AND(C749=0,D749=0,J749=1),1,0)</f>
        <v>0</v>
      </c>
    </row>
    <row r="750" spans="1:13">
      <c r="A750" s="7">
        <f>Raw_Passengers!A750</f>
        <v>246903</v>
      </c>
      <c r="B750" s="7">
        <f>Raw_Passengers!B750</f>
        <v>1122233</v>
      </c>
      <c r="C750" s="7">
        <f>IF(COUNTIF(Raw_Passengers!$A$2:A750,Raw_Passengers!A750)&gt;1,1,0)</f>
        <v>0</v>
      </c>
      <c r="D750" s="7">
        <f>IF(COUNTIF(Raw_Bookings!$A$2:$A$648,Raw_Passengers!B750)=0,1,0)</f>
        <v>0</v>
      </c>
      <c r="E750" s="7">
        <f>IF(OR(C750=1,D750=1),0,IF(NOT(ISNUMBER(Raw_Passengers!E750)),1,IF(Raw_Passengers!E750&lt;=0,1,0)))</f>
        <v>0</v>
      </c>
      <c r="F750" s="7">
        <f>IF(AND(C750=0,D750=0,TRIM(Raw_Passengers!D750&amp;"")=""),1,0)</f>
        <v>0</v>
      </c>
      <c r="G750" s="7" t="str">
        <f>IF(SUMPRODUCT(--(Lookup_Status!$A$2:$A$13=LOWER(TRIM(Raw_Passengers!F750))))=0,"",INDEX(Lookup_Status!$B$2:$B$13,SUMPRODUCT((Lookup_Status!$A$2:$A$13=LOWER(TRIM(Raw_Passengers!F750)))*(ROW(Lookup_Status!$A$2:$A$13)-1))))</f>
        <v>RAC</v>
      </c>
      <c r="H750" s="7" t="str">
        <f>IF(SUMPRODUCT(--(Lookup_Status!$A$2:$A$13=LOWER(TRIM(Raw_Passengers!G750))))=0,"",INDEX(Lookup_Status!$B$2:$B$13,SUMPRODUCT((Lookup_Status!$A$2:$A$13=LOWER(TRIM(Raw_Passengers!G750)))*(ROW(Lookup_Status!$A$2:$A$13)-1))))</f>
        <v>RAC</v>
      </c>
      <c r="I750" s="7">
        <f>IF(OR(G750="",G750="Cancelled",G750="Mixed"),1,0)</f>
        <v>0</v>
      </c>
      <c r="J750" s="7">
        <f>IF(OR(H750="",H750="Mixed"),1,0)</f>
        <v>0</v>
      </c>
      <c r="K750" s="7">
        <f>IF(AND(C750=0,D750=0),IF(OR(AND(I750=0,NOT(EXACT(Raw_Passengers!F750,G750))),AND(J750=0,NOT(EXACT(Raw_Passengers!G750,H750)))),1,0),0)</f>
        <v>0</v>
      </c>
      <c r="L750" s="7">
        <f>IF(AND(C750=0,D750=0,I750=1),1,0)</f>
        <v>0</v>
      </c>
      <c r="M750" s="7">
        <f>IF(AND(C750=0,D750=0,J750=1),1,0)</f>
        <v>0</v>
      </c>
    </row>
    <row r="751" spans="1:13">
      <c r="A751" s="7">
        <f>Raw_Passengers!A751</f>
        <v>247508</v>
      </c>
      <c r="B751" s="7">
        <f>Raw_Passengers!B751</f>
        <v>1122534</v>
      </c>
      <c r="C751" s="7">
        <f>IF(COUNTIF(Raw_Passengers!$A$2:A751,Raw_Passengers!A751)&gt;1,1,0)</f>
        <v>0</v>
      </c>
      <c r="D751" s="7">
        <f>IF(COUNTIF(Raw_Bookings!$A$2:$A$648,Raw_Passengers!B751)=0,1,0)</f>
        <v>0</v>
      </c>
      <c r="E751" s="7">
        <f>IF(OR(C751=1,D751=1),0,IF(NOT(ISNUMBER(Raw_Passengers!E751)),1,IF(Raw_Passengers!E751&lt;=0,1,0)))</f>
        <v>0</v>
      </c>
      <c r="F751" s="7">
        <f>IF(AND(C751=0,D751=0,TRIM(Raw_Passengers!D751&amp;"")=""),1,0)</f>
        <v>0</v>
      </c>
      <c r="G751" s="7" t="str">
        <f>IF(SUMPRODUCT(--(Lookup_Status!$A$2:$A$13=LOWER(TRIM(Raw_Passengers!F751))))=0,"",INDEX(Lookup_Status!$B$2:$B$13,SUMPRODUCT((Lookup_Status!$A$2:$A$13=LOWER(TRIM(Raw_Passengers!F751)))*(ROW(Lookup_Status!$A$2:$A$13)-1))))</f>
        <v>Confirmed</v>
      </c>
      <c r="H751" s="7" t="str">
        <f>IF(SUMPRODUCT(--(Lookup_Status!$A$2:$A$13=LOWER(TRIM(Raw_Passengers!G751))))=0,"",INDEX(Lookup_Status!$B$2:$B$13,SUMPRODUCT((Lookup_Status!$A$2:$A$13=LOWER(TRIM(Raw_Passengers!G751)))*(ROW(Lookup_Status!$A$2:$A$13)-1))))</f>
        <v>Cancelled</v>
      </c>
      <c r="I751" s="7">
        <f>IF(OR(G751="",G751="Cancelled",G751="Mixed"),1,0)</f>
        <v>0</v>
      </c>
      <c r="J751" s="7">
        <f>IF(OR(H751="",H751="Mixed"),1,0)</f>
        <v>0</v>
      </c>
      <c r="K751" s="7">
        <f>IF(AND(C751=0,D751=0),IF(OR(AND(I751=0,NOT(EXACT(Raw_Passengers!F751,G751))),AND(J751=0,NOT(EXACT(Raw_Passengers!G751,H751)))),1,0),0)</f>
        <v>0</v>
      </c>
      <c r="L751" s="7">
        <f>IF(AND(C751=0,D751=0,I751=1),1,0)</f>
        <v>0</v>
      </c>
      <c r="M751" s="7">
        <f>IF(AND(C751=0,D751=0,J751=1),1,0)</f>
        <v>0</v>
      </c>
    </row>
    <row r="752" spans="1:13">
      <c r="A752" s="7">
        <f>Raw_Passengers!A752</f>
        <v>247509</v>
      </c>
      <c r="B752" s="7">
        <f>Raw_Passengers!B752</f>
        <v>1122534</v>
      </c>
      <c r="C752" s="7">
        <f>IF(COUNTIF(Raw_Passengers!$A$2:A752,Raw_Passengers!A752)&gt;1,1,0)</f>
        <v>0</v>
      </c>
      <c r="D752" s="7">
        <f>IF(COUNTIF(Raw_Bookings!$A$2:$A$648,Raw_Passengers!B752)=0,1,0)</f>
        <v>0</v>
      </c>
      <c r="E752" s="7">
        <f>IF(OR(C752=1,D752=1),0,IF(NOT(ISNUMBER(Raw_Passengers!E752)),1,IF(Raw_Passengers!E752&lt;=0,1,0)))</f>
        <v>0</v>
      </c>
      <c r="F752" s="7">
        <f>IF(AND(C752=0,D752=0,TRIM(Raw_Passengers!D752&amp;"")=""),1,0)</f>
        <v>0</v>
      </c>
      <c r="G752" s="7" t="str">
        <f>IF(SUMPRODUCT(--(Lookup_Status!$A$2:$A$13=LOWER(TRIM(Raw_Passengers!F752))))=0,"",INDEX(Lookup_Status!$B$2:$B$13,SUMPRODUCT((Lookup_Status!$A$2:$A$13=LOWER(TRIM(Raw_Passengers!F752)))*(ROW(Lookup_Status!$A$2:$A$13)-1))))</f>
        <v>Confirmed</v>
      </c>
      <c r="H752" s="7" t="str">
        <f>IF(SUMPRODUCT(--(Lookup_Status!$A$2:$A$13=LOWER(TRIM(Raw_Passengers!G752))))=0,"",INDEX(Lookup_Status!$B$2:$B$13,SUMPRODUCT((Lookup_Status!$A$2:$A$13=LOWER(TRIM(Raw_Passengers!G752)))*(ROW(Lookup_Status!$A$2:$A$13)-1))))</f>
        <v>Cancelled</v>
      </c>
      <c r="I752" s="7">
        <f>IF(OR(G752="",G752="Cancelled",G752="Mixed"),1,0)</f>
        <v>0</v>
      </c>
      <c r="J752" s="7">
        <f>IF(OR(H752="",H752="Mixed"),1,0)</f>
        <v>0</v>
      </c>
      <c r="K752" s="7">
        <f>IF(AND(C752=0,D752=0),IF(OR(AND(I752=0,NOT(EXACT(Raw_Passengers!F752,G752))),AND(J752=0,NOT(EXACT(Raw_Passengers!G752,H752)))),1,0),0)</f>
        <v>0</v>
      </c>
      <c r="L752" s="7">
        <f>IF(AND(C752=0,D752=0,I752=1),1,0)</f>
        <v>0</v>
      </c>
      <c r="M752" s="7">
        <f>IF(AND(C752=0,D752=0,J752=1),1,0)</f>
        <v>0</v>
      </c>
    </row>
    <row r="753" spans="1:13">
      <c r="A753" s="7">
        <f>Raw_Passengers!A753</f>
        <v>247510</v>
      </c>
      <c r="B753" s="7">
        <f>Raw_Passengers!B753</f>
        <v>1122534</v>
      </c>
      <c r="C753" s="7">
        <f>IF(COUNTIF(Raw_Passengers!$A$2:A753,Raw_Passengers!A753)&gt;1,1,0)</f>
        <v>0</v>
      </c>
      <c r="D753" s="7">
        <f>IF(COUNTIF(Raw_Bookings!$A$2:$A$648,Raw_Passengers!B753)=0,1,0)</f>
        <v>0</v>
      </c>
      <c r="E753" s="7">
        <f>IF(OR(C753=1,D753=1),0,IF(NOT(ISNUMBER(Raw_Passengers!E753)),1,IF(Raw_Passengers!E753&lt;=0,1,0)))</f>
        <v>0</v>
      </c>
      <c r="F753" s="7">
        <f>IF(AND(C753=0,D753=0,TRIM(Raw_Passengers!D753&amp;"")=""),1,0)</f>
        <v>0</v>
      </c>
      <c r="G753" s="7" t="str">
        <f>IF(SUMPRODUCT(--(Lookup_Status!$A$2:$A$13=LOWER(TRIM(Raw_Passengers!F753))))=0,"",INDEX(Lookup_Status!$B$2:$B$13,SUMPRODUCT((Lookup_Status!$A$2:$A$13=LOWER(TRIM(Raw_Passengers!F753)))*(ROW(Lookup_Status!$A$2:$A$13)-1))))</f>
        <v>Confirmed</v>
      </c>
      <c r="H753" s="7" t="str">
        <f>IF(SUMPRODUCT(--(Lookup_Status!$A$2:$A$13=LOWER(TRIM(Raw_Passengers!G753))))=0,"",INDEX(Lookup_Status!$B$2:$B$13,SUMPRODUCT((Lookup_Status!$A$2:$A$13=LOWER(TRIM(Raw_Passengers!G753)))*(ROW(Lookup_Status!$A$2:$A$13)-1))))</f>
        <v>Cancelled</v>
      </c>
      <c r="I753" s="7">
        <f>IF(OR(G753="",G753="Cancelled",G753="Mixed"),1,0)</f>
        <v>0</v>
      </c>
      <c r="J753" s="7">
        <f>IF(OR(H753="",H753="Mixed"),1,0)</f>
        <v>0</v>
      </c>
      <c r="K753" s="7">
        <f>IF(AND(C753=0,D753=0),IF(OR(AND(I753=0,NOT(EXACT(Raw_Passengers!F753,G753))),AND(J753=0,NOT(EXACT(Raw_Passengers!G753,H753)))),1,0),0)</f>
        <v>0</v>
      </c>
      <c r="L753" s="7">
        <f>IF(AND(C753=0,D753=0,I753=1),1,0)</f>
        <v>0</v>
      </c>
      <c r="M753" s="7">
        <f>IF(AND(C753=0,D753=0,J753=1),1,0)</f>
        <v>0</v>
      </c>
    </row>
    <row r="754" spans="1:13">
      <c r="A754" s="7">
        <f>Raw_Passengers!A754</f>
        <v>247511</v>
      </c>
      <c r="B754" s="7">
        <f>Raw_Passengers!B754</f>
        <v>1122534</v>
      </c>
      <c r="C754" s="7">
        <f>IF(COUNTIF(Raw_Passengers!$A$2:A754,Raw_Passengers!A754)&gt;1,1,0)</f>
        <v>0</v>
      </c>
      <c r="D754" s="7">
        <f>IF(COUNTIF(Raw_Bookings!$A$2:$A$648,Raw_Passengers!B754)=0,1,0)</f>
        <v>0</v>
      </c>
      <c r="E754" s="7">
        <f>IF(OR(C754=1,D754=1),0,IF(NOT(ISNUMBER(Raw_Passengers!E754)),1,IF(Raw_Passengers!E754&lt;=0,1,0)))</f>
        <v>0</v>
      </c>
      <c r="F754" s="7">
        <f>IF(AND(C754=0,D754=0,TRIM(Raw_Passengers!D754&amp;"")=""),1,0)</f>
        <v>0</v>
      </c>
      <c r="G754" s="7" t="str">
        <f>IF(SUMPRODUCT(--(Lookup_Status!$A$2:$A$13=LOWER(TRIM(Raw_Passengers!F754))))=0,"",INDEX(Lookup_Status!$B$2:$B$13,SUMPRODUCT((Lookup_Status!$A$2:$A$13=LOWER(TRIM(Raw_Passengers!F754)))*(ROW(Lookup_Status!$A$2:$A$13)-1))))</f>
        <v>Confirmed</v>
      </c>
      <c r="H754" s="7" t="str">
        <f>IF(SUMPRODUCT(--(Lookup_Status!$A$2:$A$13=LOWER(TRIM(Raw_Passengers!G754))))=0,"",INDEX(Lookup_Status!$B$2:$B$13,SUMPRODUCT((Lookup_Status!$A$2:$A$13=LOWER(TRIM(Raw_Passengers!G754)))*(ROW(Lookup_Status!$A$2:$A$13)-1))))</f>
        <v>Cancelled</v>
      </c>
      <c r="I754" s="7">
        <f>IF(OR(G754="",G754="Cancelled",G754="Mixed"),1,0)</f>
        <v>0</v>
      </c>
      <c r="J754" s="7">
        <f>IF(OR(H754="",H754="Mixed"),1,0)</f>
        <v>0</v>
      </c>
      <c r="K754" s="7">
        <f>IF(AND(C754=0,D754=0),IF(OR(AND(I754=0,NOT(EXACT(Raw_Passengers!F754,G754))),AND(J754=0,NOT(EXACT(Raw_Passengers!G754,H754)))),1,0),0)</f>
        <v>0</v>
      </c>
      <c r="L754" s="7">
        <f>IF(AND(C754=0,D754=0,I754=1),1,0)</f>
        <v>0</v>
      </c>
      <c r="M754" s="7">
        <f>IF(AND(C754=0,D754=0,J754=1),1,0)</f>
        <v>0</v>
      </c>
    </row>
    <row r="755" spans="1:13">
      <c r="A755" s="7">
        <f>Raw_Passengers!A755</f>
        <v>247512</v>
      </c>
      <c r="B755" s="7">
        <f>Raw_Passengers!B755</f>
        <v>1122534</v>
      </c>
      <c r="C755" s="7">
        <f>IF(COUNTIF(Raw_Passengers!$A$2:A755,Raw_Passengers!A755)&gt;1,1,0)</f>
        <v>0</v>
      </c>
      <c r="D755" s="7">
        <f>IF(COUNTIF(Raw_Bookings!$A$2:$A$648,Raw_Passengers!B755)=0,1,0)</f>
        <v>0</v>
      </c>
      <c r="E755" s="7">
        <f>IF(OR(C755=1,D755=1),0,IF(NOT(ISNUMBER(Raw_Passengers!E755)),1,IF(Raw_Passengers!E755&lt;=0,1,0)))</f>
        <v>0</v>
      </c>
      <c r="F755" s="7">
        <f>IF(AND(C755=0,D755=0,TRIM(Raw_Passengers!D755&amp;"")=""),1,0)</f>
        <v>0</v>
      </c>
      <c r="G755" s="7" t="str">
        <f>IF(SUMPRODUCT(--(Lookup_Status!$A$2:$A$13=LOWER(TRIM(Raw_Passengers!F755))))=0,"",INDEX(Lookup_Status!$B$2:$B$13,SUMPRODUCT((Lookup_Status!$A$2:$A$13=LOWER(TRIM(Raw_Passengers!F755)))*(ROW(Lookup_Status!$A$2:$A$13)-1))))</f>
        <v>Confirmed</v>
      </c>
      <c r="H755" s="7" t="str">
        <f>IF(SUMPRODUCT(--(Lookup_Status!$A$2:$A$13=LOWER(TRIM(Raw_Passengers!G755))))=0,"",INDEX(Lookup_Status!$B$2:$B$13,SUMPRODUCT((Lookup_Status!$A$2:$A$13=LOWER(TRIM(Raw_Passengers!G755)))*(ROW(Lookup_Status!$A$2:$A$13)-1))))</f>
        <v>Cancelled</v>
      </c>
      <c r="I755" s="7">
        <f>IF(OR(G755="",G755="Cancelled",G755="Mixed"),1,0)</f>
        <v>0</v>
      </c>
      <c r="J755" s="7">
        <f>IF(OR(H755="",H755="Mixed"),1,0)</f>
        <v>0</v>
      </c>
      <c r="K755" s="7">
        <f>IF(AND(C755=0,D755=0),IF(OR(AND(I755=0,NOT(EXACT(Raw_Passengers!F755,G755))),AND(J755=0,NOT(EXACT(Raw_Passengers!G755,H755)))),1,0),0)</f>
        <v>0</v>
      </c>
      <c r="L755" s="7">
        <f>IF(AND(C755=0,D755=0,I755=1),1,0)</f>
        <v>0</v>
      </c>
      <c r="M755" s="7">
        <f>IF(AND(C755=0,D755=0,J755=1),1,0)</f>
        <v>0</v>
      </c>
    </row>
    <row r="756" spans="1:13">
      <c r="A756" s="7">
        <f>Raw_Passengers!A756</f>
        <v>247823</v>
      </c>
      <c r="B756" s="7">
        <f>Raw_Passengers!B756</f>
        <v>1122677</v>
      </c>
      <c r="C756" s="7">
        <f>IF(COUNTIF(Raw_Passengers!$A$2:A756,Raw_Passengers!A756)&gt;1,1,0)</f>
        <v>0</v>
      </c>
      <c r="D756" s="7">
        <f>IF(COUNTIF(Raw_Bookings!$A$2:$A$648,Raw_Passengers!B756)=0,1,0)</f>
        <v>0</v>
      </c>
      <c r="E756" s="7">
        <f>IF(OR(C756=1,D756=1),0,IF(NOT(ISNUMBER(Raw_Passengers!E756)),1,IF(Raw_Passengers!E756&lt;=0,1,0)))</f>
        <v>0</v>
      </c>
      <c r="F756" s="7">
        <f>IF(AND(C756=0,D756=0,TRIM(Raw_Passengers!D756&amp;"")=""),1,0)</f>
        <v>0</v>
      </c>
      <c r="G756" s="7" t="str">
        <f>IF(SUMPRODUCT(--(Lookup_Status!$A$2:$A$13=LOWER(TRIM(Raw_Passengers!F756))))=0,"",INDEX(Lookup_Status!$B$2:$B$13,SUMPRODUCT((Lookup_Status!$A$2:$A$13=LOWER(TRIM(Raw_Passengers!F756)))*(ROW(Lookup_Status!$A$2:$A$13)-1))))</f>
        <v>Confirmed</v>
      </c>
      <c r="H756" s="7" t="str">
        <f>IF(SUMPRODUCT(--(Lookup_Status!$A$2:$A$13=LOWER(TRIM(Raw_Passengers!G756))))=0,"",INDEX(Lookup_Status!$B$2:$B$13,SUMPRODUCT((Lookup_Status!$A$2:$A$13=LOWER(TRIM(Raw_Passengers!G756)))*(ROW(Lookup_Status!$A$2:$A$13)-1))))</f>
        <v>Confirmed</v>
      </c>
      <c r="I756" s="7">
        <f>IF(OR(G756="",G756="Cancelled",G756="Mixed"),1,0)</f>
        <v>0</v>
      </c>
      <c r="J756" s="7">
        <f>IF(OR(H756="",H756="Mixed"),1,0)</f>
        <v>0</v>
      </c>
      <c r="K756" s="7">
        <f>IF(AND(C756=0,D756=0),IF(OR(AND(I756=0,NOT(EXACT(Raw_Passengers!F756,G756))),AND(J756=0,NOT(EXACT(Raw_Passengers!G756,H756)))),1,0),0)</f>
        <v>0</v>
      </c>
      <c r="L756" s="7">
        <f>IF(AND(C756=0,D756=0,I756=1),1,0)</f>
        <v>0</v>
      </c>
      <c r="M756" s="7">
        <f>IF(AND(C756=0,D756=0,J756=1),1,0)</f>
        <v>0</v>
      </c>
    </row>
    <row r="757" spans="1:13">
      <c r="A757" s="7">
        <f>Raw_Passengers!A757</f>
        <v>249714</v>
      </c>
      <c r="B757" s="7">
        <f>Raw_Passengers!B757</f>
        <v>1123615</v>
      </c>
      <c r="C757" s="7">
        <f>IF(COUNTIF(Raw_Passengers!$A$2:A757,Raw_Passengers!A757)&gt;1,1,0)</f>
        <v>0</v>
      </c>
      <c r="D757" s="7">
        <f>IF(COUNTIF(Raw_Bookings!$A$2:$A$648,Raw_Passengers!B757)=0,1,0)</f>
        <v>0</v>
      </c>
      <c r="E757" s="7">
        <f>IF(OR(C757=1,D757=1),0,IF(NOT(ISNUMBER(Raw_Passengers!E757)),1,IF(Raw_Passengers!E757&lt;=0,1,0)))</f>
        <v>0</v>
      </c>
      <c r="F757" s="7">
        <f>IF(AND(C757=0,D757=0,TRIM(Raw_Passengers!D757&amp;"")=""),1,0)</f>
        <v>0</v>
      </c>
      <c r="G757" s="7" t="str">
        <f>IF(SUMPRODUCT(--(Lookup_Status!$A$2:$A$13=LOWER(TRIM(Raw_Passengers!F757))))=0,"",INDEX(Lookup_Status!$B$2:$B$13,SUMPRODUCT((Lookup_Status!$A$2:$A$13=LOWER(TRIM(Raw_Passengers!F757)))*(ROW(Lookup_Status!$A$2:$A$13)-1))))</f>
        <v>Confirmed</v>
      </c>
      <c r="H757" s="7" t="str">
        <f>IF(SUMPRODUCT(--(Lookup_Status!$A$2:$A$13=LOWER(TRIM(Raw_Passengers!G757))))=0,"",INDEX(Lookup_Status!$B$2:$B$13,SUMPRODUCT((Lookup_Status!$A$2:$A$13=LOWER(TRIM(Raw_Passengers!G757)))*(ROW(Lookup_Status!$A$2:$A$13)-1))))</f>
        <v>Confirmed</v>
      </c>
      <c r="I757" s="7">
        <f>IF(OR(G757="",G757="Cancelled",G757="Mixed"),1,0)</f>
        <v>0</v>
      </c>
      <c r="J757" s="7">
        <f>IF(OR(H757="",H757="Mixed"),1,0)</f>
        <v>0</v>
      </c>
      <c r="K757" s="7">
        <f>IF(AND(C757=0,D757=0),IF(OR(AND(I757=0,NOT(EXACT(Raw_Passengers!F757,G757))),AND(J757=0,NOT(EXACT(Raw_Passengers!G757,H757)))),1,0),0)</f>
        <v>0</v>
      </c>
      <c r="L757" s="7">
        <f>IF(AND(C757=0,D757=0,I757=1),1,0)</f>
        <v>0</v>
      </c>
      <c r="M757" s="7">
        <f>IF(AND(C757=0,D757=0,J757=1),1,0)</f>
        <v>0</v>
      </c>
    </row>
    <row r="758" spans="1:13">
      <c r="A758" s="7">
        <f>Raw_Passengers!A758</f>
        <v>249715</v>
      </c>
      <c r="B758" s="7">
        <f>Raw_Passengers!B758</f>
        <v>1123615</v>
      </c>
      <c r="C758" s="7">
        <f>IF(COUNTIF(Raw_Passengers!$A$2:A758,Raw_Passengers!A758)&gt;1,1,0)</f>
        <v>0</v>
      </c>
      <c r="D758" s="7">
        <f>IF(COUNTIF(Raw_Bookings!$A$2:$A$648,Raw_Passengers!B758)=0,1,0)</f>
        <v>0</v>
      </c>
      <c r="E758" s="7">
        <f>IF(OR(C758=1,D758=1),0,IF(NOT(ISNUMBER(Raw_Passengers!E758)),1,IF(Raw_Passengers!E758&lt;=0,1,0)))</f>
        <v>0</v>
      </c>
      <c r="F758" s="7">
        <f>IF(AND(C758=0,D758=0,TRIM(Raw_Passengers!D758&amp;"")=""),1,0)</f>
        <v>0</v>
      </c>
      <c r="G758" s="7" t="str">
        <f>IF(SUMPRODUCT(--(Lookup_Status!$A$2:$A$13=LOWER(TRIM(Raw_Passengers!F758))))=0,"",INDEX(Lookup_Status!$B$2:$B$13,SUMPRODUCT((Lookup_Status!$A$2:$A$13=LOWER(TRIM(Raw_Passengers!F758)))*(ROW(Lookup_Status!$A$2:$A$13)-1))))</f>
        <v>Confirmed</v>
      </c>
      <c r="H758" s="7" t="str">
        <f>IF(SUMPRODUCT(--(Lookup_Status!$A$2:$A$13=LOWER(TRIM(Raw_Passengers!G758))))=0,"",INDEX(Lookup_Status!$B$2:$B$13,SUMPRODUCT((Lookup_Status!$A$2:$A$13=LOWER(TRIM(Raw_Passengers!G758)))*(ROW(Lookup_Status!$A$2:$A$13)-1))))</f>
        <v>Confirmed</v>
      </c>
      <c r="I758" s="7">
        <f>IF(OR(G758="",G758="Cancelled",G758="Mixed"),1,0)</f>
        <v>0</v>
      </c>
      <c r="J758" s="7">
        <f>IF(OR(H758="",H758="Mixed"),1,0)</f>
        <v>0</v>
      </c>
      <c r="K758" s="7">
        <f>IF(AND(C758=0,D758=0),IF(OR(AND(I758=0,NOT(EXACT(Raw_Passengers!F758,G758))),AND(J758=0,NOT(EXACT(Raw_Passengers!G758,H758)))),1,0),0)</f>
        <v>0</v>
      </c>
      <c r="L758" s="7">
        <f>IF(AND(C758=0,D758=0,I758=1),1,0)</f>
        <v>0</v>
      </c>
      <c r="M758" s="7">
        <f>IF(AND(C758=0,D758=0,J758=1),1,0)</f>
        <v>0</v>
      </c>
    </row>
    <row r="759" spans="1:13">
      <c r="A759" s="7">
        <f>Raw_Passengers!A759</f>
        <v>249996</v>
      </c>
      <c r="B759" s="7">
        <f>Raw_Passengers!B759</f>
        <v>1123753</v>
      </c>
      <c r="C759" s="7">
        <f>IF(COUNTIF(Raw_Passengers!$A$2:A759,Raw_Passengers!A759)&gt;1,1,0)</f>
        <v>0</v>
      </c>
      <c r="D759" s="7">
        <f>IF(COUNTIF(Raw_Bookings!$A$2:$A$648,Raw_Passengers!B759)=0,1,0)</f>
        <v>0</v>
      </c>
      <c r="E759" s="7">
        <f>IF(OR(C759=1,D759=1),0,IF(NOT(ISNUMBER(Raw_Passengers!E759)),1,IF(Raw_Passengers!E759&lt;=0,1,0)))</f>
        <v>0</v>
      </c>
      <c r="F759" s="7">
        <f>IF(AND(C759=0,D759=0,TRIM(Raw_Passengers!D759&amp;"")=""),1,0)</f>
        <v>0</v>
      </c>
      <c r="G759" s="7" t="str">
        <f>IF(SUMPRODUCT(--(Lookup_Status!$A$2:$A$13=LOWER(TRIM(Raw_Passengers!F759))))=0,"",INDEX(Lookup_Status!$B$2:$B$13,SUMPRODUCT((Lookup_Status!$A$2:$A$13=LOWER(TRIM(Raw_Passengers!F759)))*(ROW(Lookup_Status!$A$2:$A$13)-1))))</f>
        <v>Confirmed</v>
      </c>
      <c r="H759" s="7" t="str">
        <f>IF(SUMPRODUCT(--(Lookup_Status!$A$2:$A$13=LOWER(TRIM(Raw_Passengers!G759))))=0,"",INDEX(Lookup_Status!$B$2:$B$13,SUMPRODUCT((Lookup_Status!$A$2:$A$13=LOWER(TRIM(Raw_Passengers!G759)))*(ROW(Lookup_Status!$A$2:$A$13)-1))))</f>
        <v>Confirmed</v>
      </c>
      <c r="I759" s="7">
        <f>IF(OR(G759="",G759="Cancelled",G759="Mixed"),1,0)</f>
        <v>0</v>
      </c>
      <c r="J759" s="7">
        <f>IF(OR(H759="",H759="Mixed"),1,0)</f>
        <v>0</v>
      </c>
      <c r="K759" s="7">
        <f>IF(AND(C759=0,D759=0),IF(OR(AND(I759=0,NOT(EXACT(Raw_Passengers!F759,G759))),AND(J759=0,NOT(EXACT(Raw_Passengers!G759,H759)))),1,0),0)</f>
        <v>0</v>
      </c>
      <c r="L759" s="7">
        <f>IF(AND(C759=0,D759=0,I759=1),1,0)</f>
        <v>0</v>
      </c>
      <c r="M759" s="7">
        <f>IF(AND(C759=0,D759=0,J759=1),1,0)</f>
        <v>0</v>
      </c>
    </row>
    <row r="760" spans="1:13">
      <c r="A760" s="7">
        <f>Raw_Passengers!A760</f>
        <v>251648</v>
      </c>
      <c r="B760" s="7">
        <f>Raw_Passengers!B760</f>
        <v>1124587</v>
      </c>
      <c r="C760" s="7">
        <f>IF(COUNTIF(Raw_Passengers!$A$2:A760,Raw_Passengers!A760)&gt;1,1,0)</f>
        <v>0</v>
      </c>
      <c r="D760" s="7">
        <f>IF(COUNTIF(Raw_Bookings!$A$2:$A$648,Raw_Passengers!B760)=0,1,0)</f>
        <v>0</v>
      </c>
      <c r="E760" s="7">
        <f>IF(OR(C760=1,D760=1),0,IF(NOT(ISNUMBER(Raw_Passengers!E760)),1,IF(Raw_Passengers!E760&lt;=0,1,0)))</f>
        <v>0</v>
      </c>
      <c r="F760" s="7">
        <f>IF(AND(C760=0,D760=0,TRIM(Raw_Passengers!D760&amp;"")=""),1,0)</f>
        <v>0</v>
      </c>
      <c r="G760" s="7" t="str">
        <f>IF(SUMPRODUCT(--(Lookup_Status!$A$2:$A$13=LOWER(TRIM(Raw_Passengers!F760))))=0,"",INDEX(Lookup_Status!$B$2:$B$13,SUMPRODUCT((Lookup_Status!$A$2:$A$13=LOWER(TRIM(Raw_Passengers!F760)))*(ROW(Lookup_Status!$A$2:$A$13)-1))))</f>
        <v>Waitlisted</v>
      </c>
      <c r="H760" s="7" t="str">
        <f>IF(SUMPRODUCT(--(Lookup_Status!$A$2:$A$13=LOWER(TRIM(Raw_Passengers!G760))))=0,"",INDEX(Lookup_Status!$B$2:$B$13,SUMPRODUCT((Lookup_Status!$A$2:$A$13=LOWER(TRIM(Raw_Passengers!G760)))*(ROW(Lookup_Status!$A$2:$A$13)-1))))</f>
        <v>Cancelled</v>
      </c>
      <c r="I760" s="7">
        <f>IF(OR(G760="",G760="Cancelled",G760="Mixed"),1,0)</f>
        <v>0</v>
      </c>
      <c r="J760" s="7">
        <f>IF(OR(H760="",H760="Mixed"),1,0)</f>
        <v>0</v>
      </c>
      <c r="K760" s="7">
        <f>IF(AND(C760=0,D760=0),IF(OR(AND(I760=0,NOT(EXACT(Raw_Passengers!F760,G760))),AND(J760=0,NOT(EXACT(Raw_Passengers!G760,H760)))),1,0),0)</f>
        <v>0</v>
      </c>
      <c r="L760" s="7">
        <f>IF(AND(C760=0,D760=0,I760=1),1,0)</f>
        <v>0</v>
      </c>
      <c r="M760" s="7">
        <f>IF(AND(C760=0,D760=0,J760=1),1,0)</f>
        <v>0</v>
      </c>
    </row>
    <row r="761" spans="1:13">
      <c r="A761" s="7">
        <f>Raw_Passengers!A761</f>
        <v>252224</v>
      </c>
      <c r="B761" s="7">
        <f>Raw_Passengers!B761</f>
        <v>1124863</v>
      </c>
      <c r="C761" s="7">
        <f>IF(COUNTIF(Raw_Passengers!$A$2:A761,Raw_Passengers!A761)&gt;1,1,0)</f>
        <v>0</v>
      </c>
      <c r="D761" s="7">
        <f>IF(COUNTIF(Raw_Bookings!$A$2:$A$648,Raw_Passengers!B761)=0,1,0)</f>
        <v>0</v>
      </c>
      <c r="E761" s="7">
        <f>IF(OR(C761=1,D761=1),0,IF(NOT(ISNUMBER(Raw_Passengers!E761)),1,IF(Raw_Passengers!E761&lt;=0,1,0)))</f>
        <v>0</v>
      </c>
      <c r="F761" s="7">
        <f>IF(AND(C761=0,D761=0,TRIM(Raw_Passengers!D761&amp;"")=""),1,0)</f>
        <v>0</v>
      </c>
      <c r="G761" s="7" t="str">
        <f>IF(SUMPRODUCT(--(Lookup_Status!$A$2:$A$13=LOWER(TRIM(Raw_Passengers!F761))))=0,"",INDEX(Lookup_Status!$B$2:$B$13,SUMPRODUCT((Lookup_Status!$A$2:$A$13=LOWER(TRIM(Raw_Passengers!F761)))*(ROW(Lookup_Status!$A$2:$A$13)-1))))</f>
        <v>Confirmed</v>
      </c>
      <c r="H761" s="7" t="str">
        <f>IF(SUMPRODUCT(--(Lookup_Status!$A$2:$A$13=LOWER(TRIM(Raw_Passengers!G761))))=0,"",INDEX(Lookup_Status!$B$2:$B$13,SUMPRODUCT((Lookup_Status!$A$2:$A$13=LOWER(TRIM(Raw_Passengers!G761)))*(ROW(Lookup_Status!$A$2:$A$13)-1))))</f>
        <v>Confirmed</v>
      </c>
      <c r="I761" s="7">
        <f>IF(OR(G761="",G761="Cancelled",G761="Mixed"),1,0)</f>
        <v>0</v>
      </c>
      <c r="J761" s="7">
        <f>IF(OR(H761="",H761="Mixed"),1,0)</f>
        <v>0</v>
      </c>
      <c r="K761" s="7">
        <f>IF(AND(C761=0,D761=0),IF(OR(AND(I761=0,NOT(EXACT(Raw_Passengers!F761,G761))),AND(J761=0,NOT(EXACT(Raw_Passengers!G761,H761)))),1,0),0)</f>
        <v>0</v>
      </c>
      <c r="L761" s="7">
        <f>IF(AND(C761=0,D761=0,I761=1),1,0)</f>
        <v>0</v>
      </c>
      <c r="M761" s="7">
        <f>IF(AND(C761=0,D761=0,J761=1),1,0)</f>
        <v>0</v>
      </c>
    </row>
    <row r="762" spans="1:13">
      <c r="A762" s="7">
        <f>Raw_Passengers!A762</f>
        <v>252225</v>
      </c>
      <c r="B762" s="7">
        <f>Raw_Passengers!B762</f>
        <v>1124863</v>
      </c>
      <c r="C762" s="7">
        <f>IF(COUNTIF(Raw_Passengers!$A$2:A762,Raw_Passengers!A762)&gt;1,1,0)</f>
        <v>0</v>
      </c>
      <c r="D762" s="7">
        <f>IF(COUNTIF(Raw_Bookings!$A$2:$A$648,Raw_Passengers!B762)=0,1,0)</f>
        <v>0</v>
      </c>
      <c r="E762" s="7">
        <f>IF(OR(C762=1,D762=1),0,IF(NOT(ISNUMBER(Raw_Passengers!E762)),1,IF(Raw_Passengers!E762&lt;=0,1,0)))</f>
        <v>0</v>
      </c>
      <c r="F762" s="7">
        <f>IF(AND(C762=0,D762=0,TRIM(Raw_Passengers!D762&amp;"")=""),1,0)</f>
        <v>0</v>
      </c>
      <c r="G762" s="7" t="str">
        <f>IF(SUMPRODUCT(--(Lookup_Status!$A$2:$A$13=LOWER(TRIM(Raw_Passengers!F762))))=0,"",INDEX(Lookup_Status!$B$2:$B$13,SUMPRODUCT((Lookup_Status!$A$2:$A$13=LOWER(TRIM(Raw_Passengers!F762)))*(ROW(Lookup_Status!$A$2:$A$13)-1))))</f>
        <v>Confirmed</v>
      </c>
      <c r="H762" s="7" t="str">
        <f>IF(SUMPRODUCT(--(Lookup_Status!$A$2:$A$13=LOWER(TRIM(Raw_Passengers!G762))))=0,"",INDEX(Lookup_Status!$B$2:$B$13,SUMPRODUCT((Lookup_Status!$A$2:$A$13=LOWER(TRIM(Raw_Passengers!G762)))*(ROW(Lookup_Status!$A$2:$A$13)-1))))</f>
        <v>Confirmed</v>
      </c>
      <c r="I762" s="7">
        <f>IF(OR(G762="",G762="Cancelled",G762="Mixed"),1,0)</f>
        <v>0</v>
      </c>
      <c r="J762" s="7">
        <f>IF(OR(H762="",H762="Mixed"),1,0)</f>
        <v>0</v>
      </c>
      <c r="K762" s="7">
        <f>IF(AND(C762=0,D762=0),IF(OR(AND(I762=0,NOT(EXACT(Raw_Passengers!F762,G762))),AND(J762=0,NOT(EXACT(Raw_Passengers!G762,H762)))),1,0),0)</f>
        <v>0</v>
      </c>
      <c r="L762" s="7">
        <f>IF(AND(C762=0,D762=0,I762=1),1,0)</f>
        <v>0</v>
      </c>
      <c r="M762" s="7">
        <f>IF(AND(C762=0,D762=0,J762=1),1,0)</f>
        <v>0</v>
      </c>
    </row>
    <row r="763" spans="1:13">
      <c r="A763" s="7">
        <f>Raw_Passengers!A763</f>
        <v>252582</v>
      </c>
      <c r="B763" s="7">
        <f>Raw_Passengers!B763</f>
        <v>1125038</v>
      </c>
      <c r="C763" s="7">
        <f>IF(COUNTIF(Raw_Passengers!$A$2:A763,Raw_Passengers!A763)&gt;1,1,0)</f>
        <v>0</v>
      </c>
      <c r="D763" s="7">
        <f>IF(COUNTIF(Raw_Bookings!$A$2:$A$648,Raw_Passengers!B763)=0,1,0)</f>
        <v>0</v>
      </c>
      <c r="E763" s="7">
        <f>IF(OR(C763=1,D763=1),0,IF(NOT(ISNUMBER(Raw_Passengers!E763)),1,IF(Raw_Passengers!E763&lt;=0,1,0)))</f>
        <v>0</v>
      </c>
      <c r="F763" s="7">
        <f>IF(AND(C763=0,D763=0,TRIM(Raw_Passengers!D763&amp;"")=""),1,0)</f>
        <v>0</v>
      </c>
      <c r="G763" s="7" t="str">
        <f>IF(SUMPRODUCT(--(Lookup_Status!$A$2:$A$13=LOWER(TRIM(Raw_Passengers!F763))))=0,"",INDEX(Lookup_Status!$B$2:$B$13,SUMPRODUCT((Lookup_Status!$A$2:$A$13=LOWER(TRIM(Raw_Passengers!F763)))*(ROW(Lookup_Status!$A$2:$A$13)-1))))</f>
        <v>Confirmed</v>
      </c>
      <c r="H763" s="7" t="str">
        <f>IF(SUMPRODUCT(--(Lookup_Status!$A$2:$A$13=LOWER(TRIM(Raw_Passengers!G763))))=0,"",INDEX(Lookup_Status!$B$2:$B$13,SUMPRODUCT((Lookup_Status!$A$2:$A$13=LOWER(TRIM(Raw_Passengers!G763)))*(ROW(Lookup_Status!$A$2:$A$13)-1))))</f>
        <v>Confirmed</v>
      </c>
      <c r="I763" s="7">
        <f>IF(OR(G763="",G763="Cancelled",G763="Mixed"),1,0)</f>
        <v>0</v>
      </c>
      <c r="J763" s="7">
        <f>IF(OR(H763="",H763="Mixed"),1,0)</f>
        <v>0</v>
      </c>
      <c r="K763" s="7">
        <f>IF(AND(C763=0,D763=0),IF(OR(AND(I763=0,NOT(EXACT(Raw_Passengers!F763,G763))),AND(J763=0,NOT(EXACT(Raw_Passengers!G763,H763)))),1,0),0)</f>
        <v>0</v>
      </c>
      <c r="L763" s="7">
        <f>IF(AND(C763=0,D763=0,I763=1),1,0)</f>
        <v>0</v>
      </c>
      <c r="M763" s="7">
        <f>IF(AND(C763=0,D763=0,J763=1),1,0)</f>
        <v>0</v>
      </c>
    </row>
    <row r="764" spans="1:13">
      <c r="A764" s="7">
        <f>Raw_Passengers!A764</f>
        <v>252583</v>
      </c>
      <c r="B764" s="7">
        <f>Raw_Passengers!B764</f>
        <v>1125038</v>
      </c>
      <c r="C764" s="7">
        <f>IF(COUNTIF(Raw_Passengers!$A$2:A764,Raw_Passengers!A764)&gt;1,1,0)</f>
        <v>0</v>
      </c>
      <c r="D764" s="7">
        <f>IF(COUNTIF(Raw_Bookings!$A$2:$A$648,Raw_Passengers!B764)=0,1,0)</f>
        <v>0</v>
      </c>
      <c r="E764" s="7">
        <f>IF(OR(C764=1,D764=1),0,IF(NOT(ISNUMBER(Raw_Passengers!E764)),1,IF(Raw_Passengers!E764&lt;=0,1,0)))</f>
        <v>0</v>
      </c>
      <c r="F764" s="7">
        <f>IF(AND(C764=0,D764=0,TRIM(Raw_Passengers!D764&amp;"")=""),1,0)</f>
        <v>0</v>
      </c>
      <c r="G764" s="7" t="str">
        <f>IF(SUMPRODUCT(--(Lookup_Status!$A$2:$A$13=LOWER(TRIM(Raw_Passengers!F764))))=0,"",INDEX(Lookup_Status!$B$2:$B$13,SUMPRODUCT((Lookup_Status!$A$2:$A$13=LOWER(TRIM(Raw_Passengers!F764)))*(ROW(Lookup_Status!$A$2:$A$13)-1))))</f>
        <v>Confirmed</v>
      </c>
      <c r="H764" s="7" t="str">
        <f>IF(SUMPRODUCT(--(Lookup_Status!$A$2:$A$13=LOWER(TRIM(Raw_Passengers!G764))))=0,"",INDEX(Lookup_Status!$B$2:$B$13,SUMPRODUCT((Lookup_Status!$A$2:$A$13=LOWER(TRIM(Raw_Passengers!G764)))*(ROW(Lookup_Status!$A$2:$A$13)-1))))</f>
        <v>Confirmed</v>
      </c>
      <c r="I764" s="7">
        <f>IF(OR(G764="",G764="Cancelled",G764="Mixed"),1,0)</f>
        <v>0</v>
      </c>
      <c r="J764" s="7">
        <f>IF(OR(H764="",H764="Mixed"),1,0)</f>
        <v>0</v>
      </c>
      <c r="K764" s="7">
        <f>IF(AND(C764=0,D764=0),IF(OR(AND(I764=0,NOT(EXACT(Raw_Passengers!F764,G764))),AND(J764=0,NOT(EXACT(Raw_Passengers!G764,H764)))),1,0),0)</f>
        <v>0</v>
      </c>
      <c r="L764" s="7">
        <f>IF(AND(C764=0,D764=0,I764=1),1,0)</f>
        <v>0</v>
      </c>
      <c r="M764" s="7">
        <f>IF(AND(C764=0,D764=0,J764=1),1,0)</f>
        <v>0</v>
      </c>
    </row>
    <row r="765" spans="1:13">
      <c r="A765" s="7">
        <f>Raw_Passengers!A765</f>
        <v>252584</v>
      </c>
      <c r="B765" s="7">
        <f>Raw_Passengers!B765</f>
        <v>1125038</v>
      </c>
      <c r="C765" s="7">
        <f>IF(COUNTIF(Raw_Passengers!$A$2:A765,Raw_Passengers!A765)&gt;1,1,0)</f>
        <v>0</v>
      </c>
      <c r="D765" s="7">
        <f>IF(COUNTIF(Raw_Bookings!$A$2:$A$648,Raw_Passengers!B765)=0,1,0)</f>
        <v>0</v>
      </c>
      <c r="E765" s="7">
        <f>IF(OR(C765=1,D765=1),0,IF(NOT(ISNUMBER(Raw_Passengers!E765)),1,IF(Raw_Passengers!E765&lt;=0,1,0)))</f>
        <v>0</v>
      </c>
      <c r="F765" s="7">
        <f>IF(AND(C765=0,D765=0,TRIM(Raw_Passengers!D765&amp;"")=""),1,0)</f>
        <v>0</v>
      </c>
      <c r="G765" s="7" t="str">
        <f>IF(SUMPRODUCT(--(Lookup_Status!$A$2:$A$13=LOWER(TRIM(Raw_Passengers!F765))))=0,"",INDEX(Lookup_Status!$B$2:$B$13,SUMPRODUCT((Lookup_Status!$A$2:$A$13=LOWER(TRIM(Raw_Passengers!F765)))*(ROW(Lookup_Status!$A$2:$A$13)-1))))</f>
        <v>Confirmed</v>
      </c>
      <c r="H765" s="7" t="str">
        <f>IF(SUMPRODUCT(--(Lookup_Status!$A$2:$A$13=LOWER(TRIM(Raw_Passengers!G765))))=0,"",INDEX(Lookup_Status!$B$2:$B$13,SUMPRODUCT((Lookup_Status!$A$2:$A$13=LOWER(TRIM(Raw_Passengers!G765)))*(ROW(Lookup_Status!$A$2:$A$13)-1))))</f>
        <v>Confirmed</v>
      </c>
      <c r="I765" s="7">
        <f>IF(OR(G765="",G765="Cancelled",G765="Mixed"),1,0)</f>
        <v>0</v>
      </c>
      <c r="J765" s="7">
        <f>IF(OR(H765="",H765="Mixed"),1,0)</f>
        <v>0</v>
      </c>
      <c r="K765" s="7">
        <f>IF(AND(C765=0,D765=0),IF(OR(AND(I765=0,NOT(EXACT(Raw_Passengers!F765,G765))),AND(J765=0,NOT(EXACT(Raw_Passengers!G765,H765)))),1,0),0)</f>
        <v>0</v>
      </c>
      <c r="L765" s="7">
        <f>IF(AND(C765=0,D765=0,I765=1),1,0)</f>
        <v>0</v>
      </c>
      <c r="M765" s="7">
        <f>IF(AND(C765=0,D765=0,J765=1),1,0)</f>
        <v>0</v>
      </c>
    </row>
    <row r="766" spans="1:13">
      <c r="A766" s="7">
        <f>Raw_Passengers!A766</f>
        <v>253004</v>
      </c>
      <c r="B766" s="7">
        <f>Raw_Passengers!B766</f>
        <v>1125238</v>
      </c>
      <c r="C766" s="7">
        <f>IF(COUNTIF(Raw_Passengers!$A$2:A766,Raw_Passengers!A766)&gt;1,1,0)</f>
        <v>0</v>
      </c>
      <c r="D766" s="7">
        <f>IF(COUNTIF(Raw_Bookings!$A$2:$A$648,Raw_Passengers!B766)=0,1,0)</f>
        <v>0</v>
      </c>
      <c r="E766" s="7">
        <f>IF(OR(C766=1,D766=1),0,IF(NOT(ISNUMBER(Raw_Passengers!E766)),1,IF(Raw_Passengers!E766&lt;=0,1,0)))</f>
        <v>0</v>
      </c>
      <c r="F766" s="7">
        <f>IF(AND(C766=0,D766=0,TRIM(Raw_Passengers!D766&amp;"")=""),1,0)</f>
        <v>0</v>
      </c>
      <c r="G766" s="7" t="str">
        <f>IF(SUMPRODUCT(--(Lookup_Status!$A$2:$A$13=LOWER(TRIM(Raw_Passengers!F766))))=0,"",INDEX(Lookup_Status!$B$2:$B$13,SUMPRODUCT((Lookup_Status!$A$2:$A$13=LOWER(TRIM(Raw_Passengers!F766)))*(ROW(Lookup_Status!$A$2:$A$13)-1))))</f>
        <v>Confirmed</v>
      </c>
      <c r="H766" s="7" t="str">
        <f>IF(SUMPRODUCT(--(Lookup_Status!$A$2:$A$13=LOWER(TRIM(Raw_Passengers!G766))))=0,"",INDEX(Lookup_Status!$B$2:$B$13,SUMPRODUCT((Lookup_Status!$A$2:$A$13=LOWER(TRIM(Raw_Passengers!G766)))*(ROW(Lookup_Status!$A$2:$A$13)-1))))</f>
        <v>Confirmed</v>
      </c>
      <c r="I766" s="7">
        <f>IF(OR(G766="",G766="Cancelled",G766="Mixed"),1,0)</f>
        <v>0</v>
      </c>
      <c r="J766" s="7">
        <f>IF(OR(H766="",H766="Mixed"),1,0)</f>
        <v>0</v>
      </c>
      <c r="K766" s="7">
        <f>IF(AND(C766=0,D766=0),IF(OR(AND(I766=0,NOT(EXACT(Raw_Passengers!F766,G766))),AND(J766=0,NOT(EXACT(Raw_Passengers!G766,H766)))),1,0),0)</f>
        <v>0</v>
      </c>
      <c r="L766" s="7">
        <f>IF(AND(C766=0,D766=0,I766=1),1,0)</f>
        <v>0</v>
      </c>
      <c r="M766" s="7">
        <f>IF(AND(C766=0,D766=0,J766=1),1,0)</f>
        <v>0</v>
      </c>
    </row>
    <row r="767" spans="1:13">
      <c r="A767" s="7">
        <f>Raw_Passengers!A767</f>
        <v>253005</v>
      </c>
      <c r="B767" s="7">
        <f>Raw_Passengers!B767</f>
        <v>1125238</v>
      </c>
      <c r="C767" s="7">
        <f>IF(COUNTIF(Raw_Passengers!$A$2:A767,Raw_Passengers!A767)&gt;1,1,0)</f>
        <v>0</v>
      </c>
      <c r="D767" s="7">
        <f>IF(COUNTIF(Raw_Bookings!$A$2:$A$648,Raw_Passengers!B767)=0,1,0)</f>
        <v>0</v>
      </c>
      <c r="E767" s="7">
        <f>IF(OR(C767=1,D767=1),0,IF(NOT(ISNUMBER(Raw_Passengers!E767)),1,IF(Raw_Passengers!E767&lt;=0,1,0)))</f>
        <v>0</v>
      </c>
      <c r="F767" s="7">
        <f>IF(AND(C767=0,D767=0,TRIM(Raw_Passengers!D767&amp;"")=""),1,0)</f>
        <v>0</v>
      </c>
      <c r="G767" s="7" t="str">
        <f>IF(SUMPRODUCT(--(Lookup_Status!$A$2:$A$13=LOWER(TRIM(Raw_Passengers!F767))))=0,"",INDEX(Lookup_Status!$B$2:$B$13,SUMPRODUCT((Lookup_Status!$A$2:$A$13=LOWER(TRIM(Raw_Passengers!F767)))*(ROW(Lookup_Status!$A$2:$A$13)-1))))</f>
        <v>Confirmed</v>
      </c>
      <c r="H767" s="7" t="str">
        <f>IF(SUMPRODUCT(--(Lookup_Status!$A$2:$A$13=LOWER(TRIM(Raw_Passengers!G767))))=0,"",INDEX(Lookup_Status!$B$2:$B$13,SUMPRODUCT((Lookup_Status!$A$2:$A$13=LOWER(TRIM(Raw_Passengers!G767)))*(ROW(Lookup_Status!$A$2:$A$13)-1))))</f>
        <v>Confirmed</v>
      </c>
      <c r="I767" s="7">
        <f>IF(OR(G767="",G767="Cancelled",G767="Mixed"),1,0)</f>
        <v>0</v>
      </c>
      <c r="J767" s="7">
        <f>IF(OR(H767="",H767="Mixed"),1,0)</f>
        <v>0</v>
      </c>
      <c r="K767" s="7">
        <f>IF(AND(C767=0,D767=0),IF(OR(AND(I767=0,NOT(EXACT(Raw_Passengers!F767,G767))),AND(J767=0,NOT(EXACT(Raw_Passengers!G767,H767)))),1,0),0)</f>
        <v>0</v>
      </c>
      <c r="L767" s="7">
        <f>IF(AND(C767=0,D767=0,I767=1),1,0)</f>
        <v>0</v>
      </c>
      <c r="M767" s="7">
        <f>IF(AND(C767=0,D767=0,J767=1),1,0)</f>
        <v>0</v>
      </c>
    </row>
    <row r="768" spans="1:13">
      <c r="A768" s="7">
        <f>Raw_Passengers!A768</f>
        <v>253481</v>
      </c>
      <c r="B768" s="7">
        <f>Raw_Passengers!B768</f>
        <v>1125471</v>
      </c>
      <c r="C768" s="7">
        <f>IF(COUNTIF(Raw_Passengers!$A$2:A768,Raw_Passengers!A768)&gt;1,1,0)</f>
        <v>0</v>
      </c>
      <c r="D768" s="7">
        <f>IF(COUNTIF(Raw_Bookings!$A$2:$A$648,Raw_Passengers!B768)=0,1,0)</f>
        <v>0</v>
      </c>
      <c r="E768" s="7">
        <f>IF(OR(C768=1,D768=1),0,IF(NOT(ISNUMBER(Raw_Passengers!E768)),1,IF(Raw_Passengers!E768&lt;=0,1,0)))</f>
        <v>0</v>
      </c>
      <c r="F768" s="7">
        <f>IF(AND(C768=0,D768=0,TRIM(Raw_Passengers!D768&amp;"")=""),1,0)</f>
        <v>0</v>
      </c>
      <c r="G768" s="7" t="str">
        <f>IF(SUMPRODUCT(--(Lookup_Status!$A$2:$A$13=LOWER(TRIM(Raw_Passengers!F768))))=0,"",INDEX(Lookup_Status!$B$2:$B$13,SUMPRODUCT((Lookup_Status!$A$2:$A$13=LOWER(TRIM(Raw_Passengers!F768)))*(ROW(Lookup_Status!$A$2:$A$13)-1))))</f>
        <v>Confirmed</v>
      </c>
      <c r="H768" s="7" t="str">
        <f>IF(SUMPRODUCT(--(Lookup_Status!$A$2:$A$13=LOWER(TRIM(Raw_Passengers!G768))))=0,"",INDEX(Lookup_Status!$B$2:$B$13,SUMPRODUCT((Lookup_Status!$A$2:$A$13=LOWER(TRIM(Raw_Passengers!G768)))*(ROW(Lookup_Status!$A$2:$A$13)-1))))</f>
        <v>Confirmed</v>
      </c>
      <c r="I768" s="7">
        <f>IF(OR(G768="",G768="Cancelled",G768="Mixed"),1,0)</f>
        <v>0</v>
      </c>
      <c r="J768" s="7">
        <f>IF(OR(H768="",H768="Mixed"),1,0)</f>
        <v>0</v>
      </c>
      <c r="K768" s="7">
        <f>IF(AND(C768=0,D768=0),IF(OR(AND(I768=0,NOT(EXACT(Raw_Passengers!F768,G768))),AND(J768=0,NOT(EXACT(Raw_Passengers!G768,H768)))),1,0),0)</f>
        <v>0</v>
      </c>
      <c r="L768" s="7">
        <f>IF(AND(C768=0,D768=0,I768=1),1,0)</f>
        <v>0</v>
      </c>
      <c r="M768" s="7">
        <f>IF(AND(C768=0,D768=0,J768=1),1,0)</f>
        <v>0</v>
      </c>
    </row>
    <row r="769" spans="1:13">
      <c r="A769" s="7">
        <f>Raw_Passengers!A769</f>
        <v>253482</v>
      </c>
      <c r="B769" s="7">
        <f>Raw_Passengers!B769</f>
        <v>1125471</v>
      </c>
      <c r="C769" s="7">
        <f>IF(COUNTIF(Raw_Passengers!$A$2:A769,Raw_Passengers!A769)&gt;1,1,0)</f>
        <v>0</v>
      </c>
      <c r="D769" s="7">
        <f>IF(COUNTIF(Raw_Bookings!$A$2:$A$648,Raw_Passengers!B769)=0,1,0)</f>
        <v>0</v>
      </c>
      <c r="E769" s="7">
        <f>IF(OR(C769=1,D769=1),0,IF(NOT(ISNUMBER(Raw_Passengers!E769)),1,IF(Raw_Passengers!E769&lt;=0,1,0)))</f>
        <v>0</v>
      </c>
      <c r="F769" s="7">
        <f>IF(AND(C769=0,D769=0,TRIM(Raw_Passengers!D769&amp;"")=""),1,0)</f>
        <v>0</v>
      </c>
      <c r="G769" s="7" t="str">
        <f>IF(SUMPRODUCT(--(Lookup_Status!$A$2:$A$13=LOWER(TRIM(Raw_Passengers!F769))))=0,"",INDEX(Lookup_Status!$B$2:$B$13,SUMPRODUCT((Lookup_Status!$A$2:$A$13=LOWER(TRIM(Raw_Passengers!F769)))*(ROW(Lookup_Status!$A$2:$A$13)-1))))</f>
        <v>Confirmed</v>
      </c>
      <c r="H769" s="7" t="str">
        <f>IF(SUMPRODUCT(--(Lookup_Status!$A$2:$A$13=LOWER(TRIM(Raw_Passengers!G769))))=0,"",INDEX(Lookup_Status!$B$2:$B$13,SUMPRODUCT((Lookup_Status!$A$2:$A$13=LOWER(TRIM(Raw_Passengers!G769)))*(ROW(Lookup_Status!$A$2:$A$13)-1))))</f>
        <v>Confirmed</v>
      </c>
      <c r="I769" s="7">
        <f>IF(OR(G769="",G769="Cancelled",G769="Mixed"),1,0)</f>
        <v>0</v>
      </c>
      <c r="J769" s="7">
        <f>IF(OR(H769="",H769="Mixed"),1,0)</f>
        <v>0</v>
      </c>
      <c r="K769" s="7">
        <f>IF(AND(C769=0,D769=0),IF(OR(AND(I769=0,NOT(EXACT(Raw_Passengers!F769,G769))),AND(J769=0,NOT(EXACT(Raw_Passengers!G769,H769)))),1,0),0)</f>
        <v>0</v>
      </c>
      <c r="L769" s="7">
        <f>IF(AND(C769=0,D769=0,I769=1),1,0)</f>
        <v>0</v>
      </c>
      <c r="M769" s="7">
        <f>IF(AND(C769=0,D769=0,J769=1),1,0)</f>
        <v>0</v>
      </c>
    </row>
    <row r="770" spans="1:13">
      <c r="A770" s="7">
        <f>Raw_Passengers!A770</f>
        <v>253485</v>
      </c>
      <c r="B770" s="7">
        <f>Raw_Passengers!B770</f>
        <v>1125474</v>
      </c>
      <c r="C770" s="7">
        <f>IF(COUNTIF(Raw_Passengers!$A$2:A770,Raw_Passengers!A770)&gt;1,1,0)</f>
        <v>0</v>
      </c>
      <c r="D770" s="7">
        <f>IF(COUNTIF(Raw_Bookings!$A$2:$A$648,Raw_Passengers!B770)=0,1,0)</f>
        <v>0</v>
      </c>
      <c r="E770" s="7">
        <f>IF(OR(C770=1,D770=1),0,IF(NOT(ISNUMBER(Raw_Passengers!E770)),1,IF(Raw_Passengers!E770&lt;=0,1,0)))</f>
        <v>0</v>
      </c>
      <c r="F770" s="7">
        <f>IF(AND(C770=0,D770=0,TRIM(Raw_Passengers!D770&amp;"")=""),1,0)</f>
        <v>0</v>
      </c>
      <c r="G770" s="7" t="str">
        <f>IF(SUMPRODUCT(--(Lookup_Status!$A$2:$A$13=LOWER(TRIM(Raw_Passengers!F770))))=0,"",INDEX(Lookup_Status!$B$2:$B$13,SUMPRODUCT((Lookup_Status!$A$2:$A$13=LOWER(TRIM(Raw_Passengers!F770)))*(ROW(Lookup_Status!$A$2:$A$13)-1))))</f>
        <v>Waitlisted</v>
      </c>
      <c r="H770" s="7" t="str">
        <f>IF(SUMPRODUCT(--(Lookup_Status!$A$2:$A$13=LOWER(TRIM(Raw_Passengers!G770))))=0,"",INDEX(Lookup_Status!$B$2:$B$13,SUMPRODUCT((Lookup_Status!$A$2:$A$13=LOWER(TRIM(Raw_Passengers!G770)))*(ROW(Lookup_Status!$A$2:$A$13)-1))))</f>
        <v>Waitlisted</v>
      </c>
      <c r="I770" s="7">
        <f>IF(OR(G770="",G770="Cancelled",G770="Mixed"),1,0)</f>
        <v>0</v>
      </c>
      <c r="J770" s="7">
        <f>IF(OR(H770="",H770="Mixed"),1,0)</f>
        <v>0</v>
      </c>
      <c r="K770" s="7">
        <f>IF(AND(C770=0,D770=0),IF(OR(AND(I770=0,NOT(EXACT(Raw_Passengers!F770,G770))),AND(J770=0,NOT(EXACT(Raw_Passengers!G770,H770)))),1,0),0)</f>
        <v>0</v>
      </c>
      <c r="L770" s="7">
        <f>IF(AND(C770=0,D770=0,I770=1),1,0)</f>
        <v>0</v>
      </c>
      <c r="M770" s="7">
        <f>IF(AND(C770=0,D770=0,J770=1),1,0)</f>
        <v>0</v>
      </c>
    </row>
    <row r="771" spans="1:13">
      <c r="A771" s="7">
        <f>Raw_Passengers!A771</f>
        <v>253486</v>
      </c>
      <c r="B771" s="7">
        <f>Raw_Passengers!B771</f>
        <v>1125474</v>
      </c>
      <c r="C771" s="7">
        <f>IF(COUNTIF(Raw_Passengers!$A$2:A771,Raw_Passengers!A771)&gt;1,1,0)</f>
        <v>0</v>
      </c>
      <c r="D771" s="7">
        <f>IF(COUNTIF(Raw_Bookings!$A$2:$A$648,Raw_Passengers!B771)=0,1,0)</f>
        <v>0</v>
      </c>
      <c r="E771" s="7">
        <f>IF(OR(C771=1,D771=1),0,IF(NOT(ISNUMBER(Raw_Passengers!E771)),1,IF(Raw_Passengers!E771&lt;=0,1,0)))</f>
        <v>0</v>
      </c>
      <c r="F771" s="7">
        <f>IF(AND(C771=0,D771=0,TRIM(Raw_Passengers!D771&amp;"")=""),1,0)</f>
        <v>0</v>
      </c>
      <c r="G771" s="7" t="str">
        <f>IF(SUMPRODUCT(--(Lookup_Status!$A$2:$A$13=LOWER(TRIM(Raw_Passengers!F771))))=0,"",INDEX(Lookup_Status!$B$2:$B$13,SUMPRODUCT((Lookup_Status!$A$2:$A$13=LOWER(TRIM(Raw_Passengers!F771)))*(ROW(Lookup_Status!$A$2:$A$13)-1))))</f>
        <v>Waitlisted</v>
      </c>
      <c r="H771" s="7" t="str">
        <f>IF(SUMPRODUCT(--(Lookup_Status!$A$2:$A$13=LOWER(TRIM(Raw_Passengers!G771))))=0,"",INDEX(Lookup_Status!$B$2:$B$13,SUMPRODUCT((Lookup_Status!$A$2:$A$13=LOWER(TRIM(Raw_Passengers!G771)))*(ROW(Lookup_Status!$A$2:$A$13)-1))))</f>
        <v>Waitlisted</v>
      </c>
      <c r="I771" s="7">
        <f>IF(OR(G771="",G771="Cancelled",G771="Mixed"),1,0)</f>
        <v>0</v>
      </c>
      <c r="J771" s="7">
        <f>IF(OR(H771="",H771="Mixed"),1,0)</f>
        <v>0</v>
      </c>
      <c r="K771" s="7">
        <f>IF(AND(C771=0,D771=0),IF(OR(AND(I771=0,NOT(EXACT(Raw_Passengers!F771,G771))),AND(J771=0,NOT(EXACT(Raw_Passengers!G771,H771)))),1,0),0)</f>
        <v>0</v>
      </c>
      <c r="L771" s="7">
        <f>IF(AND(C771=0,D771=0,I771=1),1,0)</f>
        <v>0</v>
      </c>
      <c r="M771" s="7">
        <f>IF(AND(C771=0,D771=0,J771=1),1,0)</f>
        <v>0</v>
      </c>
    </row>
    <row r="772" spans="1:13">
      <c r="A772" s="7">
        <f>Raw_Passengers!A772</f>
        <v>254966</v>
      </c>
      <c r="B772" s="7">
        <f>Raw_Passengers!B772</f>
        <v>1126190</v>
      </c>
      <c r="C772" s="7">
        <f>IF(COUNTIF(Raw_Passengers!$A$2:A772,Raw_Passengers!A772)&gt;1,1,0)</f>
        <v>0</v>
      </c>
      <c r="D772" s="7">
        <f>IF(COUNTIF(Raw_Bookings!$A$2:$A$648,Raw_Passengers!B772)=0,1,0)</f>
        <v>0</v>
      </c>
      <c r="E772" s="7">
        <f>IF(OR(C772=1,D772=1),0,IF(NOT(ISNUMBER(Raw_Passengers!E772)),1,IF(Raw_Passengers!E772&lt;=0,1,0)))</f>
        <v>0</v>
      </c>
      <c r="F772" s="7">
        <f>IF(AND(C772=0,D772=0,TRIM(Raw_Passengers!D772&amp;"")=""),1,0)</f>
        <v>0</v>
      </c>
      <c r="G772" s="7" t="str">
        <f>IF(SUMPRODUCT(--(Lookup_Status!$A$2:$A$13=LOWER(TRIM(Raw_Passengers!F772))))=0,"",INDEX(Lookup_Status!$B$2:$B$13,SUMPRODUCT((Lookup_Status!$A$2:$A$13=LOWER(TRIM(Raw_Passengers!F772)))*(ROW(Lookup_Status!$A$2:$A$13)-1))))</f>
        <v>Confirmed</v>
      </c>
      <c r="H772" s="7" t="str">
        <f>IF(SUMPRODUCT(--(Lookup_Status!$A$2:$A$13=LOWER(TRIM(Raw_Passengers!G772))))=0,"",INDEX(Lookup_Status!$B$2:$B$13,SUMPRODUCT((Lookup_Status!$A$2:$A$13=LOWER(TRIM(Raw_Passengers!G772)))*(ROW(Lookup_Status!$A$2:$A$13)-1))))</f>
        <v>Confirmed</v>
      </c>
      <c r="I772" s="7">
        <f>IF(OR(G772="",G772="Cancelled",G772="Mixed"),1,0)</f>
        <v>0</v>
      </c>
      <c r="J772" s="7">
        <f>IF(OR(H772="",H772="Mixed"),1,0)</f>
        <v>0</v>
      </c>
      <c r="K772" s="7">
        <f>IF(AND(C772=0,D772=0),IF(OR(AND(I772=0,NOT(EXACT(Raw_Passengers!F772,G772))),AND(J772=0,NOT(EXACT(Raw_Passengers!G772,H772)))),1,0),0)</f>
        <v>0</v>
      </c>
      <c r="L772" s="7">
        <f>IF(AND(C772=0,D772=0,I772=1),1,0)</f>
        <v>0</v>
      </c>
      <c r="M772" s="7">
        <f>IF(AND(C772=0,D772=0,J772=1),1,0)</f>
        <v>0</v>
      </c>
    </row>
    <row r="773" spans="1:13">
      <c r="A773" s="7">
        <f>Raw_Passengers!A773</f>
        <v>255151</v>
      </c>
      <c r="B773" s="7">
        <f>Raw_Passengers!B773</f>
        <v>1126291</v>
      </c>
      <c r="C773" s="7">
        <f>IF(COUNTIF(Raw_Passengers!$A$2:A773,Raw_Passengers!A773)&gt;1,1,0)</f>
        <v>0</v>
      </c>
      <c r="D773" s="7">
        <f>IF(COUNTIF(Raw_Bookings!$A$2:$A$648,Raw_Passengers!B773)=0,1,0)</f>
        <v>0</v>
      </c>
      <c r="E773" s="7">
        <f>IF(OR(C773=1,D773=1),0,IF(NOT(ISNUMBER(Raw_Passengers!E773)),1,IF(Raw_Passengers!E773&lt;=0,1,0)))</f>
        <v>0</v>
      </c>
      <c r="F773" s="7">
        <f>IF(AND(C773=0,D773=0,TRIM(Raw_Passengers!D773&amp;"")=""),1,0)</f>
        <v>0</v>
      </c>
      <c r="G773" s="7" t="str">
        <f>IF(SUMPRODUCT(--(Lookup_Status!$A$2:$A$13=LOWER(TRIM(Raw_Passengers!F773))))=0,"",INDEX(Lookup_Status!$B$2:$B$13,SUMPRODUCT((Lookup_Status!$A$2:$A$13=LOWER(TRIM(Raw_Passengers!F773)))*(ROW(Lookup_Status!$A$2:$A$13)-1))))</f>
        <v>Confirmed</v>
      </c>
      <c r="H773" s="7" t="str">
        <f>IF(SUMPRODUCT(--(Lookup_Status!$A$2:$A$13=LOWER(TRIM(Raw_Passengers!G773))))=0,"",INDEX(Lookup_Status!$B$2:$B$13,SUMPRODUCT((Lookup_Status!$A$2:$A$13=LOWER(TRIM(Raw_Passengers!G773)))*(ROW(Lookup_Status!$A$2:$A$13)-1))))</f>
        <v>Cancelled</v>
      </c>
      <c r="I773" s="7">
        <f>IF(OR(G773="",G773="Cancelled",G773="Mixed"),1,0)</f>
        <v>0</v>
      </c>
      <c r="J773" s="7">
        <f>IF(OR(H773="",H773="Mixed"),1,0)</f>
        <v>0</v>
      </c>
      <c r="K773" s="7">
        <f>IF(AND(C773=0,D773=0),IF(OR(AND(I773=0,NOT(EXACT(Raw_Passengers!F773,G773))),AND(J773=0,NOT(EXACT(Raw_Passengers!G773,H773)))),1,0),0)</f>
        <v>0</v>
      </c>
      <c r="L773" s="7">
        <f>IF(AND(C773=0,D773=0,I773=1),1,0)</f>
        <v>0</v>
      </c>
      <c r="M773" s="7">
        <f>IF(AND(C773=0,D773=0,J773=1),1,0)</f>
        <v>0</v>
      </c>
    </row>
    <row r="774" spans="1:13">
      <c r="A774" s="7">
        <f>Raw_Passengers!A774</f>
        <v>255355</v>
      </c>
      <c r="B774" s="7">
        <f>Raw_Passengers!B774</f>
        <v>1126400</v>
      </c>
      <c r="C774" s="7">
        <f>IF(COUNTIF(Raw_Passengers!$A$2:A774,Raw_Passengers!A774)&gt;1,1,0)</f>
        <v>0</v>
      </c>
      <c r="D774" s="7">
        <f>IF(COUNTIF(Raw_Bookings!$A$2:$A$648,Raw_Passengers!B774)=0,1,0)</f>
        <v>0</v>
      </c>
      <c r="E774" s="7">
        <f>IF(OR(C774=1,D774=1),0,IF(NOT(ISNUMBER(Raw_Passengers!E774)),1,IF(Raw_Passengers!E774&lt;=0,1,0)))</f>
        <v>0</v>
      </c>
      <c r="F774" s="7">
        <f>IF(AND(C774=0,D774=0,TRIM(Raw_Passengers!D774&amp;"")=""),1,0)</f>
        <v>0</v>
      </c>
      <c r="G774" s="7" t="str">
        <f>IF(SUMPRODUCT(--(Lookup_Status!$A$2:$A$13=LOWER(TRIM(Raw_Passengers!F774))))=0,"",INDEX(Lookup_Status!$B$2:$B$13,SUMPRODUCT((Lookup_Status!$A$2:$A$13=LOWER(TRIM(Raw_Passengers!F774)))*(ROW(Lookup_Status!$A$2:$A$13)-1))))</f>
        <v>Confirmed</v>
      </c>
      <c r="H774" s="7" t="str">
        <f>IF(SUMPRODUCT(--(Lookup_Status!$A$2:$A$13=LOWER(TRIM(Raw_Passengers!G774))))=0,"",INDEX(Lookup_Status!$B$2:$B$13,SUMPRODUCT((Lookup_Status!$A$2:$A$13=LOWER(TRIM(Raw_Passengers!G774)))*(ROW(Lookup_Status!$A$2:$A$13)-1))))</f>
        <v>Confirmed</v>
      </c>
      <c r="I774" s="7">
        <f>IF(OR(G774="",G774="Cancelled",G774="Mixed"),1,0)</f>
        <v>0</v>
      </c>
      <c r="J774" s="7">
        <f>IF(OR(H774="",H774="Mixed"),1,0)</f>
        <v>0</v>
      </c>
      <c r="K774" s="7">
        <f>IF(AND(C774=0,D774=0),IF(OR(AND(I774=0,NOT(EXACT(Raw_Passengers!F774,G774))),AND(J774=0,NOT(EXACT(Raw_Passengers!G774,H774)))),1,0),0)</f>
        <v>0</v>
      </c>
      <c r="L774" s="7">
        <f>IF(AND(C774=0,D774=0,I774=1),1,0)</f>
        <v>0</v>
      </c>
      <c r="M774" s="7">
        <f>IF(AND(C774=0,D774=0,J774=1),1,0)</f>
        <v>0</v>
      </c>
    </row>
    <row r="775" spans="1:13">
      <c r="A775" s="7">
        <f>Raw_Passengers!A775</f>
        <v>255356</v>
      </c>
      <c r="B775" s="7">
        <f>Raw_Passengers!B775</f>
        <v>1126400</v>
      </c>
      <c r="C775" s="7">
        <f>IF(COUNTIF(Raw_Passengers!$A$2:A775,Raw_Passengers!A775)&gt;1,1,0)</f>
        <v>0</v>
      </c>
      <c r="D775" s="7">
        <f>IF(COUNTIF(Raw_Bookings!$A$2:$A$648,Raw_Passengers!B775)=0,1,0)</f>
        <v>0</v>
      </c>
      <c r="E775" s="7">
        <f>IF(OR(C775=1,D775=1),0,IF(NOT(ISNUMBER(Raw_Passengers!E775)),1,IF(Raw_Passengers!E775&lt;=0,1,0)))</f>
        <v>0</v>
      </c>
      <c r="F775" s="7">
        <f>IF(AND(C775=0,D775=0,TRIM(Raw_Passengers!D775&amp;"")=""),1,0)</f>
        <v>0</v>
      </c>
      <c r="G775" s="7" t="str">
        <f>IF(SUMPRODUCT(--(Lookup_Status!$A$2:$A$13=LOWER(TRIM(Raw_Passengers!F775))))=0,"",INDEX(Lookup_Status!$B$2:$B$13,SUMPRODUCT((Lookup_Status!$A$2:$A$13=LOWER(TRIM(Raw_Passengers!F775)))*(ROW(Lookup_Status!$A$2:$A$13)-1))))</f>
        <v>Confirmed</v>
      </c>
      <c r="H775" s="7" t="str">
        <f>IF(SUMPRODUCT(--(Lookup_Status!$A$2:$A$13=LOWER(TRIM(Raw_Passengers!G775))))=0,"",INDEX(Lookup_Status!$B$2:$B$13,SUMPRODUCT((Lookup_Status!$A$2:$A$13=LOWER(TRIM(Raw_Passengers!G775)))*(ROW(Lookup_Status!$A$2:$A$13)-1))))</f>
        <v>Confirmed</v>
      </c>
      <c r="I775" s="7">
        <f>IF(OR(G775="",G775="Cancelled",G775="Mixed"),1,0)</f>
        <v>0</v>
      </c>
      <c r="J775" s="7">
        <f>IF(OR(H775="",H775="Mixed"),1,0)</f>
        <v>0</v>
      </c>
      <c r="K775" s="7">
        <f>IF(AND(C775=0,D775=0),IF(OR(AND(I775=0,NOT(EXACT(Raw_Passengers!F775,G775))),AND(J775=0,NOT(EXACT(Raw_Passengers!G775,H775)))),1,0),0)</f>
        <v>0</v>
      </c>
      <c r="L775" s="7">
        <f>IF(AND(C775=0,D775=0,I775=1),1,0)</f>
        <v>0</v>
      </c>
      <c r="M775" s="7">
        <f>IF(AND(C775=0,D775=0,J775=1),1,0)</f>
        <v>0</v>
      </c>
    </row>
    <row r="776" spans="1:13">
      <c r="A776" s="7">
        <f>Raw_Passengers!A776</f>
        <v>255357</v>
      </c>
      <c r="B776" s="7">
        <f>Raw_Passengers!B776</f>
        <v>1126400</v>
      </c>
      <c r="C776" s="7">
        <f>IF(COUNTIF(Raw_Passengers!$A$2:A776,Raw_Passengers!A776)&gt;1,1,0)</f>
        <v>0</v>
      </c>
      <c r="D776" s="7">
        <f>IF(COUNTIF(Raw_Bookings!$A$2:$A$648,Raw_Passengers!B776)=0,1,0)</f>
        <v>0</v>
      </c>
      <c r="E776" s="7">
        <f>IF(OR(C776=1,D776=1),0,IF(NOT(ISNUMBER(Raw_Passengers!E776)),1,IF(Raw_Passengers!E776&lt;=0,1,0)))</f>
        <v>0</v>
      </c>
      <c r="F776" s="7">
        <f>IF(AND(C776=0,D776=0,TRIM(Raw_Passengers!D776&amp;"")=""),1,0)</f>
        <v>0</v>
      </c>
      <c r="G776" s="7" t="str">
        <f>IF(SUMPRODUCT(--(Lookup_Status!$A$2:$A$13=LOWER(TRIM(Raw_Passengers!F776))))=0,"",INDEX(Lookup_Status!$B$2:$B$13,SUMPRODUCT((Lookup_Status!$A$2:$A$13=LOWER(TRIM(Raw_Passengers!F776)))*(ROW(Lookup_Status!$A$2:$A$13)-1))))</f>
        <v>Confirmed</v>
      </c>
      <c r="H776" s="7" t="str">
        <f>IF(SUMPRODUCT(--(Lookup_Status!$A$2:$A$13=LOWER(TRIM(Raw_Passengers!G776))))=0,"",INDEX(Lookup_Status!$B$2:$B$13,SUMPRODUCT((Lookup_Status!$A$2:$A$13=LOWER(TRIM(Raw_Passengers!G776)))*(ROW(Lookup_Status!$A$2:$A$13)-1))))</f>
        <v>Confirmed</v>
      </c>
      <c r="I776" s="7">
        <f>IF(OR(G776="",G776="Cancelled",G776="Mixed"),1,0)</f>
        <v>0</v>
      </c>
      <c r="J776" s="7">
        <f>IF(OR(H776="",H776="Mixed"),1,0)</f>
        <v>0</v>
      </c>
      <c r="K776" s="7">
        <f>IF(AND(C776=0,D776=0),IF(OR(AND(I776=0,NOT(EXACT(Raw_Passengers!F776,G776))),AND(J776=0,NOT(EXACT(Raw_Passengers!G776,H776)))),1,0),0)</f>
        <v>0</v>
      </c>
      <c r="L776" s="7">
        <f>IF(AND(C776=0,D776=0,I776=1),1,0)</f>
        <v>0</v>
      </c>
      <c r="M776" s="7">
        <f>IF(AND(C776=0,D776=0,J776=1),1,0)</f>
        <v>0</v>
      </c>
    </row>
    <row r="777" spans="1:13">
      <c r="A777" s="7">
        <f>Raw_Passengers!A777</f>
        <v>255358</v>
      </c>
      <c r="B777" s="7">
        <f>Raw_Passengers!B777</f>
        <v>1126400</v>
      </c>
      <c r="C777" s="7">
        <f>IF(COUNTIF(Raw_Passengers!$A$2:A777,Raw_Passengers!A777)&gt;1,1,0)</f>
        <v>0</v>
      </c>
      <c r="D777" s="7">
        <f>IF(COUNTIF(Raw_Bookings!$A$2:$A$648,Raw_Passengers!B777)=0,1,0)</f>
        <v>0</v>
      </c>
      <c r="E777" s="7">
        <f>IF(OR(C777=1,D777=1),0,IF(NOT(ISNUMBER(Raw_Passengers!E777)),1,IF(Raw_Passengers!E777&lt;=0,1,0)))</f>
        <v>0</v>
      </c>
      <c r="F777" s="7">
        <f>IF(AND(C777=0,D777=0,TRIM(Raw_Passengers!D777&amp;"")=""),1,0)</f>
        <v>0</v>
      </c>
      <c r="G777" s="7" t="str">
        <f>IF(SUMPRODUCT(--(Lookup_Status!$A$2:$A$13=LOWER(TRIM(Raw_Passengers!F777))))=0,"",INDEX(Lookup_Status!$B$2:$B$13,SUMPRODUCT((Lookup_Status!$A$2:$A$13=LOWER(TRIM(Raw_Passengers!F777)))*(ROW(Lookup_Status!$A$2:$A$13)-1))))</f>
        <v>Confirmed</v>
      </c>
      <c r="H777" s="7" t="str">
        <f>IF(SUMPRODUCT(--(Lookup_Status!$A$2:$A$13=LOWER(TRIM(Raw_Passengers!G777))))=0,"",INDEX(Lookup_Status!$B$2:$B$13,SUMPRODUCT((Lookup_Status!$A$2:$A$13=LOWER(TRIM(Raw_Passengers!G777)))*(ROW(Lookup_Status!$A$2:$A$13)-1))))</f>
        <v>Confirmed</v>
      </c>
      <c r="I777" s="7">
        <f>IF(OR(G777="",G777="Cancelled",G777="Mixed"),1,0)</f>
        <v>0</v>
      </c>
      <c r="J777" s="7">
        <f>IF(OR(H777="",H777="Mixed"),1,0)</f>
        <v>0</v>
      </c>
      <c r="K777" s="7">
        <f>IF(AND(C777=0,D777=0),IF(OR(AND(I777=0,NOT(EXACT(Raw_Passengers!F777,G777))),AND(J777=0,NOT(EXACT(Raw_Passengers!G777,H777)))),1,0),0)</f>
        <v>0</v>
      </c>
      <c r="L777" s="7">
        <f>IF(AND(C777=0,D777=0,I777=1),1,0)</f>
        <v>0</v>
      </c>
      <c r="M777" s="7">
        <f>IF(AND(C777=0,D777=0,J777=1),1,0)</f>
        <v>0</v>
      </c>
    </row>
    <row r="778" spans="1:13">
      <c r="A778" s="7">
        <f>Raw_Passengers!A778</f>
        <v>255359</v>
      </c>
      <c r="B778" s="7">
        <f>Raw_Passengers!B778</f>
        <v>1126400</v>
      </c>
      <c r="C778" s="7">
        <f>IF(COUNTIF(Raw_Passengers!$A$2:A778,Raw_Passengers!A778)&gt;1,1,0)</f>
        <v>0</v>
      </c>
      <c r="D778" s="7">
        <f>IF(COUNTIF(Raw_Bookings!$A$2:$A$648,Raw_Passengers!B778)=0,1,0)</f>
        <v>0</v>
      </c>
      <c r="E778" s="7">
        <f>IF(OR(C778=1,D778=1),0,IF(NOT(ISNUMBER(Raw_Passengers!E778)),1,IF(Raw_Passengers!E778&lt;=0,1,0)))</f>
        <v>0</v>
      </c>
      <c r="F778" s="7">
        <f>IF(AND(C778=0,D778=0,TRIM(Raw_Passengers!D778&amp;"")=""),1,0)</f>
        <v>0</v>
      </c>
      <c r="G778" s="7" t="str">
        <f>IF(SUMPRODUCT(--(Lookup_Status!$A$2:$A$13=LOWER(TRIM(Raw_Passengers!F778))))=0,"",INDEX(Lookup_Status!$B$2:$B$13,SUMPRODUCT((Lookup_Status!$A$2:$A$13=LOWER(TRIM(Raw_Passengers!F778)))*(ROW(Lookup_Status!$A$2:$A$13)-1))))</f>
        <v>Confirmed</v>
      </c>
      <c r="H778" s="7" t="str">
        <f>IF(SUMPRODUCT(--(Lookup_Status!$A$2:$A$13=LOWER(TRIM(Raw_Passengers!G778))))=0,"",INDEX(Lookup_Status!$B$2:$B$13,SUMPRODUCT((Lookup_Status!$A$2:$A$13=LOWER(TRIM(Raw_Passengers!G778)))*(ROW(Lookup_Status!$A$2:$A$13)-1))))</f>
        <v>Confirmed</v>
      </c>
      <c r="I778" s="7">
        <f>IF(OR(G778="",G778="Cancelled",G778="Mixed"),1,0)</f>
        <v>0</v>
      </c>
      <c r="J778" s="7">
        <f>IF(OR(H778="",H778="Mixed"),1,0)</f>
        <v>0</v>
      </c>
      <c r="K778" s="7">
        <f>IF(AND(C778=0,D778=0),IF(OR(AND(I778=0,NOT(EXACT(Raw_Passengers!F778,G778))),AND(J778=0,NOT(EXACT(Raw_Passengers!G778,H778)))),1,0),0)</f>
        <v>0</v>
      </c>
      <c r="L778" s="7">
        <f>IF(AND(C778=0,D778=0,I778=1),1,0)</f>
        <v>0</v>
      </c>
      <c r="M778" s="7">
        <f>IF(AND(C778=0,D778=0,J778=1),1,0)</f>
        <v>0</v>
      </c>
    </row>
    <row r="779" spans="1:13">
      <c r="A779" s="7">
        <f>Raw_Passengers!A779</f>
        <v>255373</v>
      </c>
      <c r="B779" s="7">
        <f>Raw_Passengers!B779</f>
        <v>1126405</v>
      </c>
      <c r="C779" s="7">
        <f>IF(COUNTIF(Raw_Passengers!$A$2:A779,Raw_Passengers!A779)&gt;1,1,0)</f>
        <v>0</v>
      </c>
      <c r="D779" s="7">
        <f>IF(COUNTIF(Raw_Bookings!$A$2:$A$648,Raw_Passengers!B779)=0,1,0)</f>
        <v>0</v>
      </c>
      <c r="E779" s="7">
        <f>IF(OR(C779=1,D779=1),0,IF(NOT(ISNUMBER(Raw_Passengers!E779)),1,IF(Raw_Passengers!E779&lt;=0,1,0)))</f>
        <v>0</v>
      </c>
      <c r="F779" s="7">
        <f>IF(AND(C779=0,D779=0,TRIM(Raw_Passengers!D779&amp;"")=""),1,0)</f>
        <v>0</v>
      </c>
      <c r="G779" s="7" t="str">
        <f>IF(SUMPRODUCT(--(Lookup_Status!$A$2:$A$13=LOWER(TRIM(Raw_Passengers!F779))))=0,"",INDEX(Lookup_Status!$B$2:$B$13,SUMPRODUCT((Lookup_Status!$A$2:$A$13=LOWER(TRIM(Raw_Passengers!F779)))*(ROW(Lookup_Status!$A$2:$A$13)-1))))</f>
        <v>RAC</v>
      </c>
      <c r="H779" s="7" t="str">
        <f>IF(SUMPRODUCT(--(Lookup_Status!$A$2:$A$13=LOWER(TRIM(Raw_Passengers!G779))))=0,"",INDEX(Lookup_Status!$B$2:$B$13,SUMPRODUCT((Lookup_Status!$A$2:$A$13=LOWER(TRIM(Raw_Passengers!G779)))*(ROW(Lookup_Status!$A$2:$A$13)-1))))</f>
        <v>Cancelled</v>
      </c>
      <c r="I779" s="7">
        <f>IF(OR(G779="",G779="Cancelled",G779="Mixed"),1,0)</f>
        <v>0</v>
      </c>
      <c r="J779" s="7">
        <f>IF(OR(H779="",H779="Mixed"),1,0)</f>
        <v>0</v>
      </c>
      <c r="K779" s="7">
        <f>IF(AND(C779=0,D779=0),IF(OR(AND(I779=0,NOT(EXACT(Raw_Passengers!F779,G779))),AND(J779=0,NOT(EXACT(Raw_Passengers!G779,H779)))),1,0),0)</f>
        <v>0</v>
      </c>
      <c r="L779" s="7">
        <f>IF(AND(C779=0,D779=0,I779=1),1,0)</f>
        <v>0</v>
      </c>
      <c r="M779" s="7">
        <f>IF(AND(C779=0,D779=0,J779=1),1,0)</f>
        <v>0</v>
      </c>
    </row>
    <row r="780" spans="1:13">
      <c r="A780" s="7">
        <f>Raw_Passengers!A780</f>
        <v>255374</v>
      </c>
      <c r="B780" s="7">
        <f>Raw_Passengers!B780</f>
        <v>1126405</v>
      </c>
      <c r="C780" s="7">
        <f>IF(COUNTIF(Raw_Passengers!$A$2:A780,Raw_Passengers!A780)&gt;1,1,0)</f>
        <v>0</v>
      </c>
      <c r="D780" s="7">
        <f>IF(COUNTIF(Raw_Bookings!$A$2:$A$648,Raw_Passengers!B780)=0,1,0)</f>
        <v>0</v>
      </c>
      <c r="E780" s="7">
        <f>IF(OR(C780=1,D780=1),0,IF(NOT(ISNUMBER(Raw_Passengers!E780)),1,IF(Raw_Passengers!E780&lt;=0,1,0)))</f>
        <v>0</v>
      </c>
      <c r="F780" s="7">
        <f>IF(AND(C780=0,D780=0,TRIM(Raw_Passengers!D780&amp;"")=""),1,0)</f>
        <v>0</v>
      </c>
      <c r="G780" s="7" t="str">
        <f>IF(SUMPRODUCT(--(Lookup_Status!$A$2:$A$13=LOWER(TRIM(Raw_Passengers!F780))))=0,"",INDEX(Lookup_Status!$B$2:$B$13,SUMPRODUCT((Lookup_Status!$A$2:$A$13=LOWER(TRIM(Raw_Passengers!F780)))*(ROW(Lookup_Status!$A$2:$A$13)-1))))</f>
        <v>RAC</v>
      </c>
      <c r="H780" s="7" t="str">
        <f>IF(SUMPRODUCT(--(Lookup_Status!$A$2:$A$13=LOWER(TRIM(Raw_Passengers!G780))))=0,"",INDEX(Lookup_Status!$B$2:$B$13,SUMPRODUCT((Lookup_Status!$A$2:$A$13=LOWER(TRIM(Raw_Passengers!G780)))*(ROW(Lookup_Status!$A$2:$A$13)-1))))</f>
        <v>Cancelled</v>
      </c>
      <c r="I780" s="7">
        <f>IF(OR(G780="",G780="Cancelled",G780="Mixed"),1,0)</f>
        <v>0</v>
      </c>
      <c r="J780" s="7">
        <f>IF(OR(H780="",H780="Mixed"),1,0)</f>
        <v>0</v>
      </c>
      <c r="K780" s="7">
        <f>IF(AND(C780=0,D780=0),IF(OR(AND(I780=0,NOT(EXACT(Raw_Passengers!F780,G780))),AND(J780=0,NOT(EXACT(Raw_Passengers!G780,H780)))),1,0),0)</f>
        <v>0</v>
      </c>
      <c r="L780" s="7">
        <f>IF(AND(C780=0,D780=0,I780=1),1,0)</f>
        <v>0</v>
      </c>
      <c r="M780" s="7">
        <f>IF(AND(C780=0,D780=0,J780=1),1,0)</f>
        <v>0</v>
      </c>
    </row>
    <row r="781" spans="1:13">
      <c r="A781" s="7">
        <f>Raw_Passengers!A781</f>
        <v>255375</v>
      </c>
      <c r="B781" s="7">
        <f>Raw_Passengers!B781</f>
        <v>1126405</v>
      </c>
      <c r="C781" s="7">
        <f>IF(COUNTIF(Raw_Passengers!$A$2:A781,Raw_Passengers!A781)&gt;1,1,0)</f>
        <v>0</v>
      </c>
      <c r="D781" s="7">
        <f>IF(COUNTIF(Raw_Bookings!$A$2:$A$648,Raw_Passengers!B781)=0,1,0)</f>
        <v>0</v>
      </c>
      <c r="E781" s="7">
        <f>IF(OR(C781=1,D781=1),0,IF(NOT(ISNUMBER(Raw_Passengers!E781)),1,IF(Raw_Passengers!E781&lt;=0,1,0)))</f>
        <v>0</v>
      </c>
      <c r="F781" s="7">
        <f>IF(AND(C781=0,D781=0,TRIM(Raw_Passengers!D781&amp;"")=""),1,0)</f>
        <v>0</v>
      </c>
      <c r="G781" s="7" t="str">
        <f>IF(SUMPRODUCT(--(Lookup_Status!$A$2:$A$13=LOWER(TRIM(Raw_Passengers!F781))))=0,"",INDEX(Lookup_Status!$B$2:$B$13,SUMPRODUCT((Lookup_Status!$A$2:$A$13=LOWER(TRIM(Raw_Passengers!F781)))*(ROW(Lookup_Status!$A$2:$A$13)-1))))</f>
        <v>RAC</v>
      </c>
      <c r="H781" s="7" t="str">
        <f>IF(SUMPRODUCT(--(Lookup_Status!$A$2:$A$13=LOWER(TRIM(Raw_Passengers!G781))))=0,"",INDEX(Lookup_Status!$B$2:$B$13,SUMPRODUCT((Lookup_Status!$A$2:$A$13=LOWER(TRIM(Raw_Passengers!G781)))*(ROW(Lookup_Status!$A$2:$A$13)-1))))</f>
        <v>Cancelled</v>
      </c>
      <c r="I781" s="7">
        <f>IF(OR(G781="",G781="Cancelled",G781="Mixed"),1,0)</f>
        <v>0</v>
      </c>
      <c r="J781" s="7">
        <f>IF(OR(H781="",H781="Mixed"),1,0)</f>
        <v>0</v>
      </c>
      <c r="K781" s="7">
        <f>IF(AND(C781=0,D781=0),IF(OR(AND(I781=0,NOT(EXACT(Raw_Passengers!F781,G781))),AND(J781=0,NOT(EXACT(Raw_Passengers!G781,H781)))),1,0),0)</f>
        <v>0</v>
      </c>
      <c r="L781" s="7">
        <f>IF(AND(C781=0,D781=0,I781=1),1,0)</f>
        <v>0</v>
      </c>
      <c r="M781" s="7">
        <f>IF(AND(C781=0,D781=0,J781=1),1,0)</f>
        <v>0</v>
      </c>
    </row>
    <row r="782" spans="1:13">
      <c r="A782" s="7">
        <f>Raw_Passengers!A782</f>
        <v>255376</v>
      </c>
      <c r="B782" s="7">
        <f>Raw_Passengers!B782</f>
        <v>1126405</v>
      </c>
      <c r="C782" s="7">
        <f>IF(COUNTIF(Raw_Passengers!$A$2:A782,Raw_Passengers!A782)&gt;1,1,0)</f>
        <v>0</v>
      </c>
      <c r="D782" s="7">
        <f>IF(COUNTIF(Raw_Bookings!$A$2:$A$648,Raw_Passengers!B782)=0,1,0)</f>
        <v>0</v>
      </c>
      <c r="E782" s="7">
        <f>IF(OR(C782=1,D782=1),0,IF(NOT(ISNUMBER(Raw_Passengers!E782)),1,IF(Raw_Passengers!E782&lt;=0,1,0)))</f>
        <v>0</v>
      </c>
      <c r="F782" s="7">
        <f>IF(AND(C782=0,D782=0,TRIM(Raw_Passengers!D782&amp;"")=""),1,0)</f>
        <v>0</v>
      </c>
      <c r="G782" s="7" t="str">
        <f>IF(SUMPRODUCT(--(Lookup_Status!$A$2:$A$13=LOWER(TRIM(Raw_Passengers!F782))))=0,"",INDEX(Lookup_Status!$B$2:$B$13,SUMPRODUCT((Lookup_Status!$A$2:$A$13=LOWER(TRIM(Raw_Passengers!F782)))*(ROW(Lookup_Status!$A$2:$A$13)-1))))</f>
        <v>RAC</v>
      </c>
      <c r="H782" s="7" t="str">
        <f>IF(SUMPRODUCT(--(Lookup_Status!$A$2:$A$13=LOWER(TRIM(Raw_Passengers!G782))))=0,"",INDEX(Lookup_Status!$B$2:$B$13,SUMPRODUCT((Lookup_Status!$A$2:$A$13=LOWER(TRIM(Raw_Passengers!G782)))*(ROW(Lookup_Status!$A$2:$A$13)-1))))</f>
        <v>Cancelled</v>
      </c>
      <c r="I782" s="7">
        <f>IF(OR(G782="",G782="Cancelled",G782="Mixed"),1,0)</f>
        <v>0</v>
      </c>
      <c r="J782" s="7">
        <f>IF(OR(H782="",H782="Mixed"),1,0)</f>
        <v>0</v>
      </c>
      <c r="K782" s="7">
        <f>IF(AND(C782=0,D782=0),IF(OR(AND(I782=0,NOT(EXACT(Raw_Passengers!F782,G782))),AND(J782=0,NOT(EXACT(Raw_Passengers!G782,H782)))),1,0),0)</f>
        <v>0</v>
      </c>
      <c r="L782" s="7">
        <f>IF(AND(C782=0,D782=0,I782=1),1,0)</f>
        <v>0</v>
      </c>
      <c r="M782" s="7">
        <f>IF(AND(C782=0,D782=0,J782=1),1,0)</f>
        <v>0</v>
      </c>
    </row>
    <row r="783" spans="1:13">
      <c r="A783" s="7">
        <f>Raw_Passengers!A783</f>
        <v>255377</v>
      </c>
      <c r="B783" s="7">
        <f>Raw_Passengers!B783</f>
        <v>1126405</v>
      </c>
      <c r="C783" s="7">
        <f>IF(COUNTIF(Raw_Passengers!$A$2:A783,Raw_Passengers!A783)&gt;1,1,0)</f>
        <v>0</v>
      </c>
      <c r="D783" s="7">
        <f>IF(COUNTIF(Raw_Bookings!$A$2:$A$648,Raw_Passengers!B783)=0,1,0)</f>
        <v>0</v>
      </c>
      <c r="E783" s="7">
        <f>IF(OR(C783=1,D783=1),0,IF(NOT(ISNUMBER(Raw_Passengers!E783)),1,IF(Raw_Passengers!E783&lt;=0,1,0)))</f>
        <v>0</v>
      </c>
      <c r="F783" s="7">
        <f>IF(AND(C783=0,D783=0,TRIM(Raw_Passengers!D783&amp;"")=""),1,0)</f>
        <v>0</v>
      </c>
      <c r="G783" s="7" t="str">
        <f>IF(SUMPRODUCT(--(Lookup_Status!$A$2:$A$13=LOWER(TRIM(Raw_Passengers!F783))))=0,"",INDEX(Lookup_Status!$B$2:$B$13,SUMPRODUCT((Lookup_Status!$A$2:$A$13=LOWER(TRIM(Raw_Passengers!F783)))*(ROW(Lookup_Status!$A$2:$A$13)-1))))</f>
        <v>RAC</v>
      </c>
      <c r="H783" s="7" t="str">
        <f>IF(SUMPRODUCT(--(Lookup_Status!$A$2:$A$13=LOWER(TRIM(Raw_Passengers!G783))))=0,"",INDEX(Lookup_Status!$B$2:$B$13,SUMPRODUCT((Lookup_Status!$A$2:$A$13=LOWER(TRIM(Raw_Passengers!G783)))*(ROW(Lookup_Status!$A$2:$A$13)-1))))</f>
        <v>Cancelled</v>
      </c>
      <c r="I783" s="7">
        <f>IF(OR(G783="",G783="Cancelled",G783="Mixed"),1,0)</f>
        <v>0</v>
      </c>
      <c r="J783" s="7">
        <f>IF(OR(H783="",H783="Mixed"),1,0)</f>
        <v>0</v>
      </c>
      <c r="K783" s="7">
        <f>IF(AND(C783=0,D783=0),IF(OR(AND(I783=0,NOT(EXACT(Raw_Passengers!F783,G783))),AND(J783=0,NOT(EXACT(Raw_Passengers!G783,H783)))),1,0),0)</f>
        <v>0</v>
      </c>
      <c r="L783" s="7">
        <f>IF(AND(C783=0,D783=0,I783=1),1,0)</f>
        <v>0</v>
      </c>
      <c r="M783" s="7">
        <f>IF(AND(C783=0,D783=0,J783=1),1,0)</f>
        <v>0</v>
      </c>
    </row>
    <row r="784" spans="1:13">
      <c r="A784" s="7">
        <f>Raw_Passengers!A784</f>
        <v>257063</v>
      </c>
      <c r="B784" s="7">
        <f>Raw_Passengers!B784</f>
        <v>1127244</v>
      </c>
      <c r="C784" s="7">
        <f>IF(COUNTIF(Raw_Passengers!$A$2:A784,Raw_Passengers!A784)&gt;1,1,0)</f>
        <v>0</v>
      </c>
      <c r="D784" s="7">
        <f>IF(COUNTIF(Raw_Bookings!$A$2:$A$648,Raw_Passengers!B784)=0,1,0)</f>
        <v>0</v>
      </c>
      <c r="E784" s="7">
        <f>IF(OR(C784=1,D784=1),0,IF(NOT(ISNUMBER(Raw_Passengers!E784)),1,IF(Raw_Passengers!E784&lt;=0,1,0)))</f>
        <v>0</v>
      </c>
      <c r="F784" s="7">
        <f>IF(AND(C784=0,D784=0,TRIM(Raw_Passengers!D784&amp;"")=""),1,0)</f>
        <v>0</v>
      </c>
      <c r="G784" s="7" t="str">
        <f>IF(SUMPRODUCT(--(Lookup_Status!$A$2:$A$13=LOWER(TRIM(Raw_Passengers!F784))))=0,"",INDEX(Lookup_Status!$B$2:$B$13,SUMPRODUCT((Lookup_Status!$A$2:$A$13=LOWER(TRIM(Raw_Passengers!F784)))*(ROW(Lookup_Status!$A$2:$A$13)-1))))</f>
        <v>Confirmed</v>
      </c>
      <c r="H784" s="7" t="str">
        <f>IF(SUMPRODUCT(--(Lookup_Status!$A$2:$A$13=LOWER(TRIM(Raw_Passengers!G784))))=0,"",INDEX(Lookup_Status!$B$2:$B$13,SUMPRODUCT((Lookup_Status!$A$2:$A$13=LOWER(TRIM(Raw_Passengers!G784)))*(ROW(Lookup_Status!$A$2:$A$13)-1))))</f>
        <v>Cancelled</v>
      </c>
      <c r="I784" s="7">
        <f>IF(OR(G784="",G784="Cancelled",G784="Mixed"),1,0)</f>
        <v>0</v>
      </c>
      <c r="J784" s="7">
        <f>IF(OR(H784="",H784="Mixed"),1,0)</f>
        <v>0</v>
      </c>
      <c r="K784" s="7">
        <f>IF(AND(C784=0,D784=0),IF(OR(AND(I784=0,NOT(EXACT(Raw_Passengers!F784,G784))),AND(J784=0,NOT(EXACT(Raw_Passengers!G784,H784)))),1,0),0)</f>
        <v>0</v>
      </c>
      <c r="L784" s="7">
        <f>IF(AND(C784=0,D784=0,I784=1),1,0)</f>
        <v>0</v>
      </c>
      <c r="M784" s="7">
        <f>IF(AND(C784=0,D784=0,J784=1),1,0)</f>
        <v>0</v>
      </c>
    </row>
    <row r="785" spans="1:13">
      <c r="A785" s="7">
        <f>Raw_Passengers!A785</f>
        <v>258157</v>
      </c>
      <c r="B785" s="7">
        <f>Raw_Passengers!B785</f>
        <v>1127773</v>
      </c>
      <c r="C785" s="7">
        <f>IF(COUNTIF(Raw_Passengers!$A$2:A785,Raw_Passengers!A785)&gt;1,1,0)</f>
        <v>0</v>
      </c>
      <c r="D785" s="7">
        <f>IF(COUNTIF(Raw_Bookings!$A$2:$A$648,Raw_Passengers!B785)=0,1,0)</f>
        <v>0</v>
      </c>
      <c r="E785" s="7">
        <f>IF(OR(C785=1,D785=1),0,IF(NOT(ISNUMBER(Raw_Passengers!E785)),1,IF(Raw_Passengers!E785&lt;=0,1,0)))</f>
        <v>0</v>
      </c>
      <c r="F785" s="7">
        <f>IF(AND(C785=0,D785=0,TRIM(Raw_Passengers!D785&amp;"")=""),1,0)</f>
        <v>0</v>
      </c>
      <c r="G785" s="7" t="str">
        <f>IF(SUMPRODUCT(--(Lookup_Status!$A$2:$A$13=LOWER(TRIM(Raw_Passengers!F785))))=0,"",INDEX(Lookup_Status!$B$2:$B$13,SUMPRODUCT((Lookup_Status!$A$2:$A$13=LOWER(TRIM(Raw_Passengers!F785)))*(ROW(Lookup_Status!$A$2:$A$13)-1))))</f>
        <v>Confirmed</v>
      </c>
      <c r="H785" s="7" t="str">
        <f>IF(SUMPRODUCT(--(Lookup_Status!$A$2:$A$13=LOWER(TRIM(Raw_Passengers!G785))))=0,"",INDEX(Lookup_Status!$B$2:$B$13,SUMPRODUCT((Lookup_Status!$A$2:$A$13=LOWER(TRIM(Raw_Passengers!G785)))*(ROW(Lookup_Status!$A$2:$A$13)-1))))</f>
        <v>Confirmed</v>
      </c>
      <c r="I785" s="7">
        <f>IF(OR(G785="",G785="Cancelled",G785="Mixed"),1,0)</f>
        <v>0</v>
      </c>
      <c r="J785" s="7">
        <f>IF(OR(H785="",H785="Mixed"),1,0)</f>
        <v>0</v>
      </c>
      <c r="K785" s="7">
        <f>IF(AND(C785=0,D785=0),IF(OR(AND(I785=0,NOT(EXACT(Raw_Passengers!F785,G785))),AND(J785=0,NOT(EXACT(Raw_Passengers!G785,H785)))),1,0),0)</f>
        <v>0</v>
      </c>
      <c r="L785" s="7">
        <f>IF(AND(C785=0,D785=0,I785=1),1,0)</f>
        <v>0</v>
      </c>
      <c r="M785" s="7">
        <f>IF(AND(C785=0,D785=0,J785=1),1,0)</f>
        <v>0</v>
      </c>
    </row>
    <row r="786" spans="1:13">
      <c r="A786" s="7">
        <f>Raw_Passengers!A786</f>
        <v>259398</v>
      </c>
      <c r="B786" s="7">
        <f>Raw_Passengers!B786</f>
        <v>1128434</v>
      </c>
      <c r="C786" s="7">
        <f>IF(COUNTIF(Raw_Passengers!$A$2:A786,Raw_Passengers!A786)&gt;1,1,0)</f>
        <v>0</v>
      </c>
      <c r="D786" s="7">
        <f>IF(COUNTIF(Raw_Bookings!$A$2:$A$648,Raw_Passengers!B786)=0,1,0)</f>
        <v>0</v>
      </c>
      <c r="E786" s="7">
        <f>IF(OR(C786=1,D786=1),0,IF(NOT(ISNUMBER(Raw_Passengers!E786)),1,IF(Raw_Passengers!E786&lt;=0,1,0)))</f>
        <v>0</v>
      </c>
      <c r="F786" s="7">
        <f>IF(AND(C786=0,D786=0,TRIM(Raw_Passengers!D786&amp;"")=""),1,0)</f>
        <v>0</v>
      </c>
      <c r="G786" s="7" t="str">
        <f>IF(SUMPRODUCT(--(Lookup_Status!$A$2:$A$13=LOWER(TRIM(Raw_Passengers!F786))))=0,"",INDEX(Lookup_Status!$B$2:$B$13,SUMPRODUCT((Lookup_Status!$A$2:$A$13=LOWER(TRIM(Raw_Passengers!F786)))*(ROW(Lookup_Status!$A$2:$A$13)-1))))</f>
        <v>Confirmed</v>
      </c>
      <c r="H786" s="7" t="str">
        <f>IF(SUMPRODUCT(--(Lookup_Status!$A$2:$A$13=LOWER(TRIM(Raw_Passengers!G786))))=0,"",INDEX(Lookup_Status!$B$2:$B$13,SUMPRODUCT((Lookup_Status!$A$2:$A$13=LOWER(TRIM(Raw_Passengers!G786)))*(ROW(Lookup_Status!$A$2:$A$13)-1))))</f>
        <v>Confirmed</v>
      </c>
      <c r="I786" s="7">
        <f>IF(OR(G786="",G786="Cancelled",G786="Mixed"),1,0)</f>
        <v>0</v>
      </c>
      <c r="J786" s="7">
        <f>IF(OR(H786="",H786="Mixed"),1,0)</f>
        <v>0</v>
      </c>
      <c r="K786" s="7">
        <f>IF(AND(C786=0,D786=0),IF(OR(AND(I786=0,NOT(EXACT(Raw_Passengers!F786,G786))),AND(J786=0,NOT(EXACT(Raw_Passengers!G786,H786)))),1,0),0)</f>
        <v>0</v>
      </c>
      <c r="L786" s="7">
        <f>IF(AND(C786=0,D786=0,I786=1),1,0)</f>
        <v>0</v>
      </c>
      <c r="M786" s="7">
        <f>IF(AND(C786=0,D786=0,J786=1),1,0)</f>
        <v>0</v>
      </c>
    </row>
    <row r="787" spans="1:13">
      <c r="A787" s="7">
        <f>Raw_Passengers!A787</f>
        <v>259399</v>
      </c>
      <c r="B787" s="7">
        <f>Raw_Passengers!B787</f>
        <v>1128435</v>
      </c>
      <c r="C787" s="7">
        <f>IF(COUNTIF(Raw_Passengers!$A$2:A787,Raw_Passengers!A787)&gt;1,1,0)</f>
        <v>0</v>
      </c>
      <c r="D787" s="7">
        <f>IF(COUNTIF(Raw_Bookings!$A$2:$A$648,Raw_Passengers!B787)=0,1,0)</f>
        <v>0</v>
      </c>
      <c r="E787" s="7">
        <f>IF(OR(C787=1,D787=1),0,IF(NOT(ISNUMBER(Raw_Passengers!E787)),1,IF(Raw_Passengers!E787&lt;=0,1,0)))</f>
        <v>0</v>
      </c>
      <c r="F787" s="7">
        <f>IF(AND(C787=0,D787=0,TRIM(Raw_Passengers!D787&amp;"")=""),1,0)</f>
        <v>0</v>
      </c>
      <c r="G787" s="7" t="str">
        <f>IF(SUMPRODUCT(--(Lookup_Status!$A$2:$A$13=LOWER(TRIM(Raw_Passengers!F787))))=0,"",INDEX(Lookup_Status!$B$2:$B$13,SUMPRODUCT((Lookup_Status!$A$2:$A$13=LOWER(TRIM(Raw_Passengers!F787)))*(ROW(Lookup_Status!$A$2:$A$13)-1))))</f>
        <v>Confirmed</v>
      </c>
      <c r="H787" s="7" t="str">
        <f>IF(SUMPRODUCT(--(Lookup_Status!$A$2:$A$13=LOWER(TRIM(Raw_Passengers!G787))))=0,"",INDEX(Lookup_Status!$B$2:$B$13,SUMPRODUCT((Lookup_Status!$A$2:$A$13=LOWER(TRIM(Raw_Passengers!G787)))*(ROW(Lookup_Status!$A$2:$A$13)-1))))</f>
        <v>Cancelled</v>
      </c>
      <c r="I787" s="7">
        <f>IF(OR(G787="",G787="Cancelled",G787="Mixed"),1,0)</f>
        <v>0</v>
      </c>
      <c r="J787" s="7">
        <f>IF(OR(H787="",H787="Mixed"),1,0)</f>
        <v>0</v>
      </c>
      <c r="K787" s="7">
        <f>IF(AND(C787=0,D787=0),IF(OR(AND(I787=0,NOT(EXACT(Raw_Passengers!F787,G787))),AND(J787=0,NOT(EXACT(Raw_Passengers!G787,H787)))),1,0),0)</f>
        <v>0</v>
      </c>
      <c r="L787" s="7">
        <f>IF(AND(C787=0,D787=0,I787=1),1,0)</f>
        <v>0</v>
      </c>
      <c r="M787" s="7">
        <f>IF(AND(C787=0,D787=0,J787=1),1,0)</f>
        <v>0</v>
      </c>
    </row>
    <row r="788" spans="1:13">
      <c r="A788" s="7">
        <f>Raw_Passengers!A788</f>
        <v>260093</v>
      </c>
      <c r="B788" s="7">
        <f>Raw_Passengers!B788</f>
        <v>1128767</v>
      </c>
      <c r="C788" s="7">
        <f>IF(COUNTIF(Raw_Passengers!$A$2:A788,Raw_Passengers!A788)&gt;1,1,0)</f>
        <v>0</v>
      </c>
      <c r="D788" s="7">
        <f>IF(COUNTIF(Raw_Bookings!$A$2:$A$648,Raw_Passengers!B788)=0,1,0)</f>
        <v>0</v>
      </c>
      <c r="E788" s="7">
        <f>IF(OR(C788=1,D788=1),0,IF(NOT(ISNUMBER(Raw_Passengers!E788)),1,IF(Raw_Passengers!E788&lt;=0,1,0)))</f>
        <v>0</v>
      </c>
      <c r="F788" s="7">
        <f>IF(AND(C788=0,D788=0,TRIM(Raw_Passengers!D788&amp;"")=""),1,0)</f>
        <v>0</v>
      </c>
      <c r="G788" s="7" t="str">
        <f>IF(SUMPRODUCT(--(Lookup_Status!$A$2:$A$13=LOWER(TRIM(Raw_Passengers!F788))))=0,"",INDEX(Lookup_Status!$B$2:$B$13,SUMPRODUCT((Lookup_Status!$A$2:$A$13=LOWER(TRIM(Raw_Passengers!F788)))*(ROW(Lookup_Status!$A$2:$A$13)-1))))</f>
        <v>Confirmed</v>
      </c>
      <c r="H788" s="7" t="str">
        <f>IF(SUMPRODUCT(--(Lookup_Status!$A$2:$A$13=LOWER(TRIM(Raw_Passengers!G788))))=0,"",INDEX(Lookup_Status!$B$2:$B$13,SUMPRODUCT((Lookup_Status!$A$2:$A$13=LOWER(TRIM(Raw_Passengers!G788)))*(ROW(Lookup_Status!$A$2:$A$13)-1))))</f>
        <v>Confirmed</v>
      </c>
      <c r="I788" s="7">
        <f>IF(OR(G788="",G788="Cancelled",G788="Mixed"),1,0)</f>
        <v>0</v>
      </c>
      <c r="J788" s="7">
        <f>IF(OR(H788="",H788="Mixed"),1,0)</f>
        <v>0</v>
      </c>
      <c r="K788" s="7">
        <f>IF(AND(C788=0,D788=0),IF(OR(AND(I788=0,NOT(EXACT(Raw_Passengers!F788,G788))),AND(J788=0,NOT(EXACT(Raw_Passengers!G788,H788)))),1,0),0)</f>
        <v>0</v>
      </c>
      <c r="L788" s="7">
        <f>IF(AND(C788=0,D788=0,I788=1),1,0)</f>
        <v>0</v>
      </c>
      <c r="M788" s="7">
        <f>IF(AND(C788=0,D788=0,J788=1),1,0)</f>
        <v>0</v>
      </c>
    </row>
    <row r="789" spans="1:13">
      <c r="A789" s="7">
        <f>Raw_Passengers!A789</f>
        <v>260648</v>
      </c>
      <c r="B789" s="7">
        <f>Raw_Passengers!B789</f>
        <v>1129047</v>
      </c>
      <c r="C789" s="7">
        <f>IF(COUNTIF(Raw_Passengers!$A$2:A789,Raw_Passengers!A789)&gt;1,1,0)</f>
        <v>0</v>
      </c>
      <c r="D789" s="7">
        <f>IF(COUNTIF(Raw_Bookings!$A$2:$A$648,Raw_Passengers!B789)=0,1,0)</f>
        <v>0</v>
      </c>
      <c r="E789" s="7">
        <f>IF(OR(C789=1,D789=1),0,IF(NOT(ISNUMBER(Raw_Passengers!E789)),1,IF(Raw_Passengers!E789&lt;=0,1,0)))</f>
        <v>0</v>
      </c>
      <c r="F789" s="7">
        <f>IF(AND(C789=0,D789=0,TRIM(Raw_Passengers!D789&amp;"")=""),1,0)</f>
        <v>0</v>
      </c>
      <c r="G789" s="7" t="str">
        <f>IF(SUMPRODUCT(--(Lookup_Status!$A$2:$A$13=LOWER(TRIM(Raw_Passengers!F789))))=0,"",INDEX(Lookup_Status!$B$2:$B$13,SUMPRODUCT((Lookup_Status!$A$2:$A$13=LOWER(TRIM(Raw_Passengers!F789)))*(ROW(Lookup_Status!$A$2:$A$13)-1))))</f>
        <v>Confirmed</v>
      </c>
      <c r="H789" s="7" t="str">
        <f>IF(SUMPRODUCT(--(Lookup_Status!$A$2:$A$13=LOWER(TRIM(Raw_Passengers!G789))))=0,"",INDEX(Lookup_Status!$B$2:$B$13,SUMPRODUCT((Lookup_Status!$A$2:$A$13=LOWER(TRIM(Raw_Passengers!G789)))*(ROW(Lookup_Status!$A$2:$A$13)-1))))</f>
        <v>Confirmed</v>
      </c>
      <c r="I789" s="7">
        <f>IF(OR(G789="",G789="Cancelled",G789="Mixed"),1,0)</f>
        <v>0</v>
      </c>
      <c r="J789" s="7">
        <f>IF(OR(H789="",H789="Mixed"),1,0)</f>
        <v>0</v>
      </c>
      <c r="K789" s="7">
        <f>IF(AND(C789=0,D789=0),IF(OR(AND(I789=0,NOT(EXACT(Raw_Passengers!F789,G789))),AND(J789=0,NOT(EXACT(Raw_Passengers!G789,H789)))),1,0),0)</f>
        <v>1</v>
      </c>
      <c r="L789" s="7">
        <f>IF(AND(C789=0,D789=0,I789=1),1,0)</f>
        <v>0</v>
      </c>
      <c r="M789" s="7">
        <f>IF(AND(C789=0,D789=0,J789=1),1,0)</f>
        <v>0</v>
      </c>
    </row>
    <row r="790" spans="1:13">
      <c r="A790" s="7">
        <f>Raw_Passengers!A790</f>
        <v>260649</v>
      </c>
      <c r="B790" s="7">
        <f>Raw_Passengers!B790</f>
        <v>1129047</v>
      </c>
      <c r="C790" s="7">
        <f>IF(COUNTIF(Raw_Passengers!$A$2:A790,Raw_Passengers!A790)&gt;1,1,0)</f>
        <v>0</v>
      </c>
      <c r="D790" s="7">
        <f>IF(COUNTIF(Raw_Bookings!$A$2:$A$648,Raw_Passengers!B790)=0,1,0)</f>
        <v>0</v>
      </c>
      <c r="E790" s="7">
        <f>IF(OR(C790=1,D790=1),0,IF(NOT(ISNUMBER(Raw_Passengers!E790)),1,IF(Raw_Passengers!E790&lt;=0,1,0)))</f>
        <v>0</v>
      </c>
      <c r="F790" s="7">
        <f>IF(AND(C790=0,D790=0,TRIM(Raw_Passengers!D790&amp;"")=""),1,0)</f>
        <v>0</v>
      </c>
      <c r="G790" s="7" t="str">
        <f>IF(SUMPRODUCT(--(Lookup_Status!$A$2:$A$13=LOWER(TRIM(Raw_Passengers!F790))))=0,"",INDEX(Lookup_Status!$B$2:$B$13,SUMPRODUCT((Lookup_Status!$A$2:$A$13=LOWER(TRIM(Raw_Passengers!F790)))*(ROW(Lookup_Status!$A$2:$A$13)-1))))</f>
        <v>Confirmed</v>
      </c>
      <c r="H790" s="7" t="str">
        <f>IF(SUMPRODUCT(--(Lookup_Status!$A$2:$A$13=LOWER(TRIM(Raw_Passengers!G790))))=0,"",INDEX(Lookup_Status!$B$2:$B$13,SUMPRODUCT((Lookup_Status!$A$2:$A$13=LOWER(TRIM(Raw_Passengers!G790)))*(ROW(Lookup_Status!$A$2:$A$13)-1))))</f>
        <v>Confirmed</v>
      </c>
      <c r="I790" s="7">
        <f>IF(OR(G790="",G790="Cancelled",G790="Mixed"),1,0)</f>
        <v>0</v>
      </c>
      <c r="J790" s="7">
        <f>IF(OR(H790="",H790="Mixed"),1,0)</f>
        <v>0</v>
      </c>
      <c r="K790" s="7">
        <f>IF(AND(C790=0,D790=0),IF(OR(AND(I790=0,NOT(EXACT(Raw_Passengers!F790,G790))),AND(J790=0,NOT(EXACT(Raw_Passengers!G790,H790)))),1,0),0)</f>
        <v>0</v>
      </c>
      <c r="L790" s="7">
        <f>IF(AND(C790=0,D790=0,I790=1),1,0)</f>
        <v>0</v>
      </c>
      <c r="M790" s="7">
        <f>IF(AND(C790=0,D790=0,J790=1),1,0)</f>
        <v>0</v>
      </c>
    </row>
    <row r="791" spans="1:13">
      <c r="A791" s="7">
        <f>Raw_Passengers!A791</f>
        <v>261027</v>
      </c>
      <c r="B791" s="7">
        <f>Raw_Passengers!B791</f>
        <v>1129237</v>
      </c>
      <c r="C791" s="7">
        <f>IF(COUNTIF(Raw_Passengers!$A$2:A791,Raw_Passengers!A791)&gt;1,1,0)</f>
        <v>0</v>
      </c>
      <c r="D791" s="7">
        <f>IF(COUNTIF(Raw_Bookings!$A$2:$A$648,Raw_Passengers!B791)=0,1,0)</f>
        <v>0</v>
      </c>
      <c r="E791" s="7">
        <f>IF(OR(C791=1,D791=1),0,IF(NOT(ISNUMBER(Raw_Passengers!E791)),1,IF(Raw_Passengers!E791&lt;=0,1,0)))</f>
        <v>0</v>
      </c>
      <c r="F791" s="7">
        <f>IF(AND(C791=0,D791=0,TRIM(Raw_Passengers!D791&amp;"")=""),1,0)</f>
        <v>0</v>
      </c>
      <c r="G791" s="7" t="str">
        <f>IF(SUMPRODUCT(--(Lookup_Status!$A$2:$A$13=LOWER(TRIM(Raw_Passengers!F791))))=0,"",INDEX(Lookup_Status!$B$2:$B$13,SUMPRODUCT((Lookup_Status!$A$2:$A$13=LOWER(TRIM(Raw_Passengers!F791)))*(ROW(Lookup_Status!$A$2:$A$13)-1))))</f>
        <v>Confirmed</v>
      </c>
      <c r="H791" s="7" t="str">
        <f>IF(SUMPRODUCT(--(Lookup_Status!$A$2:$A$13=LOWER(TRIM(Raw_Passengers!G791))))=0,"",INDEX(Lookup_Status!$B$2:$B$13,SUMPRODUCT((Lookup_Status!$A$2:$A$13=LOWER(TRIM(Raw_Passengers!G791)))*(ROW(Lookup_Status!$A$2:$A$13)-1))))</f>
        <v>Cancelled</v>
      </c>
      <c r="I791" s="7">
        <f>IF(OR(G791="",G791="Cancelled",G791="Mixed"),1,0)</f>
        <v>0</v>
      </c>
      <c r="J791" s="7">
        <f>IF(OR(H791="",H791="Mixed"),1,0)</f>
        <v>0</v>
      </c>
      <c r="K791" s="7">
        <f>IF(AND(C791=0,D791=0),IF(OR(AND(I791=0,NOT(EXACT(Raw_Passengers!F791,G791))),AND(J791=0,NOT(EXACT(Raw_Passengers!G791,H791)))),1,0),0)</f>
        <v>0</v>
      </c>
      <c r="L791" s="7">
        <f>IF(AND(C791=0,D791=0,I791=1),1,0)</f>
        <v>0</v>
      </c>
      <c r="M791" s="7">
        <f>IF(AND(C791=0,D791=0,J791=1),1,0)</f>
        <v>0</v>
      </c>
    </row>
    <row r="792" spans="1:13">
      <c r="A792" s="7">
        <f>Raw_Passengers!A792</f>
        <v>261028</v>
      </c>
      <c r="B792" s="7">
        <f>Raw_Passengers!B792</f>
        <v>1129237</v>
      </c>
      <c r="C792" s="7">
        <f>IF(COUNTIF(Raw_Passengers!$A$2:A792,Raw_Passengers!A792)&gt;1,1,0)</f>
        <v>0</v>
      </c>
      <c r="D792" s="7">
        <f>IF(COUNTIF(Raw_Bookings!$A$2:$A$648,Raw_Passengers!B792)=0,1,0)</f>
        <v>0</v>
      </c>
      <c r="E792" s="7">
        <f>IF(OR(C792=1,D792=1),0,IF(NOT(ISNUMBER(Raw_Passengers!E792)),1,IF(Raw_Passengers!E792&lt;=0,1,0)))</f>
        <v>0</v>
      </c>
      <c r="F792" s="7">
        <f>IF(AND(C792=0,D792=0,TRIM(Raw_Passengers!D792&amp;"")=""),1,0)</f>
        <v>0</v>
      </c>
      <c r="G792" s="7" t="str">
        <f>IF(SUMPRODUCT(--(Lookup_Status!$A$2:$A$13=LOWER(TRIM(Raw_Passengers!F792))))=0,"",INDEX(Lookup_Status!$B$2:$B$13,SUMPRODUCT((Lookup_Status!$A$2:$A$13=LOWER(TRIM(Raw_Passengers!F792)))*(ROW(Lookup_Status!$A$2:$A$13)-1))))</f>
        <v>Confirmed</v>
      </c>
      <c r="H792" s="7" t="str">
        <f>IF(SUMPRODUCT(--(Lookup_Status!$A$2:$A$13=LOWER(TRIM(Raw_Passengers!G792))))=0,"",INDEX(Lookup_Status!$B$2:$B$13,SUMPRODUCT((Lookup_Status!$A$2:$A$13=LOWER(TRIM(Raw_Passengers!G792)))*(ROW(Lookup_Status!$A$2:$A$13)-1))))</f>
        <v>Cancelled</v>
      </c>
      <c r="I792" s="7">
        <f>IF(OR(G792="",G792="Cancelled",G792="Mixed"),1,0)</f>
        <v>0</v>
      </c>
      <c r="J792" s="7">
        <f>IF(OR(H792="",H792="Mixed"),1,0)</f>
        <v>0</v>
      </c>
      <c r="K792" s="7">
        <f>IF(AND(C792=0,D792=0),IF(OR(AND(I792=0,NOT(EXACT(Raw_Passengers!F792,G792))),AND(J792=0,NOT(EXACT(Raw_Passengers!G792,H792)))),1,0),0)</f>
        <v>0</v>
      </c>
      <c r="L792" s="7">
        <f>IF(AND(C792=0,D792=0,I792=1),1,0)</f>
        <v>0</v>
      </c>
      <c r="M792" s="7">
        <f>IF(AND(C792=0,D792=0,J792=1),1,0)</f>
        <v>0</v>
      </c>
    </row>
    <row r="793" spans="1:13">
      <c r="A793" s="7">
        <f>Raw_Passengers!A793</f>
        <v>261262</v>
      </c>
      <c r="B793" s="7">
        <f>Raw_Passengers!B793</f>
        <v>1129353</v>
      </c>
      <c r="C793" s="7">
        <f>IF(COUNTIF(Raw_Passengers!$A$2:A793,Raw_Passengers!A793)&gt;1,1,0)</f>
        <v>0</v>
      </c>
      <c r="D793" s="7">
        <f>IF(COUNTIF(Raw_Bookings!$A$2:$A$648,Raw_Passengers!B793)=0,1,0)</f>
        <v>0</v>
      </c>
      <c r="E793" s="7">
        <f>IF(OR(C793=1,D793=1),0,IF(NOT(ISNUMBER(Raw_Passengers!E793)),1,IF(Raw_Passengers!E793&lt;=0,1,0)))</f>
        <v>0</v>
      </c>
      <c r="F793" s="7">
        <f>IF(AND(C793=0,D793=0,TRIM(Raw_Passengers!D793&amp;"")=""),1,0)</f>
        <v>0</v>
      </c>
      <c r="G793" s="7" t="str">
        <f>IF(SUMPRODUCT(--(Lookup_Status!$A$2:$A$13=LOWER(TRIM(Raw_Passengers!F793))))=0,"",INDEX(Lookup_Status!$B$2:$B$13,SUMPRODUCT((Lookup_Status!$A$2:$A$13=LOWER(TRIM(Raw_Passengers!F793)))*(ROW(Lookup_Status!$A$2:$A$13)-1))))</f>
        <v>Confirmed</v>
      </c>
      <c r="H793" s="7" t="str">
        <f>IF(SUMPRODUCT(--(Lookup_Status!$A$2:$A$13=LOWER(TRIM(Raw_Passengers!G793))))=0,"",INDEX(Lookup_Status!$B$2:$B$13,SUMPRODUCT((Lookup_Status!$A$2:$A$13=LOWER(TRIM(Raw_Passengers!G793)))*(ROW(Lookup_Status!$A$2:$A$13)-1))))</f>
        <v>Confirmed</v>
      </c>
      <c r="I793" s="7">
        <f>IF(OR(G793="",G793="Cancelled",G793="Mixed"),1,0)</f>
        <v>0</v>
      </c>
      <c r="J793" s="7">
        <f>IF(OR(H793="",H793="Mixed"),1,0)</f>
        <v>0</v>
      </c>
      <c r="K793" s="7">
        <f>IF(AND(C793=0,D793=0),IF(OR(AND(I793=0,NOT(EXACT(Raw_Passengers!F793,G793))),AND(J793=0,NOT(EXACT(Raw_Passengers!G793,H793)))),1,0),0)</f>
        <v>1</v>
      </c>
      <c r="L793" s="7">
        <f>IF(AND(C793=0,D793=0,I793=1),1,0)</f>
        <v>0</v>
      </c>
      <c r="M793" s="7">
        <f>IF(AND(C793=0,D793=0,J793=1),1,0)</f>
        <v>0</v>
      </c>
    </row>
    <row r="794" spans="1:13">
      <c r="A794" s="7">
        <f>Raw_Passengers!A794</f>
        <v>261263</v>
      </c>
      <c r="B794" s="7">
        <f>Raw_Passengers!B794</f>
        <v>1129353</v>
      </c>
      <c r="C794" s="7">
        <f>IF(COUNTIF(Raw_Passengers!$A$2:A794,Raw_Passengers!A794)&gt;1,1,0)</f>
        <v>0</v>
      </c>
      <c r="D794" s="7">
        <f>IF(COUNTIF(Raw_Bookings!$A$2:$A$648,Raw_Passengers!B794)=0,1,0)</f>
        <v>0</v>
      </c>
      <c r="E794" s="7">
        <f>IF(OR(C794=1,D794=1),0,IF(NOT(ISNUMBER(Raw_Passengers!E794)),1,IF(Raw_Passengers!E794&lt;=0,1,0)))</f>
        <v>0</v>
      </c>
      <c r="F794" s="7">
        <f>IF(AND(C794=0,D794=0,TRIM(Raw_Passengers!D794&amp;"")=""),1,0)</f>
        <v>0</v>
      </c>
      <c r="G794" s="7" t="str">
        <f>IF(SUMPRODUCT(--(Lookup_Status!$A$2:$A$13=LOWER(TRIM(Raw_Passengers!F794))))=0,"",INDEX(Lookup_Status!$B$2:$B$13,SUMPRODUCT((Lookup_Status!$A$2:$A$13=LOWER(TRIM(Raw_Passengers!F794)))*(ROW(Lookup_Status!$A$2:$A$13)-1))))</f>
        <v>Confirmed</v>
      </c>
      <c r="H794" s="7" t="str">
        <f>IF(SUMPRODUCT(--(Lookup_Status!$A$2:$A$13=LOWER(TRIM(Raw_Passengers!G794))))=0,"",INDEX(Lookup_Status!$B$2:$B$13,SUMPRODUCT((Lookup_Status!$A$2:$A$13=LOWER(TRIM(Raw_Passengers!G794)))*(ROW(Lookup_Status!$A$2:$A$13)-1))))</f>
        <v>Confirmed</v>
      </c>
      <c r="I794" s="7">
        <f>IF(OR(G794="",G794="Cancelled",G794="Mixed"),1,0)</f>
        <v>0</v>
      </c>
      <c r="J794" s="7">
        <f>IF(OR(H794="",H794="Mixed"),1,0)</f>
        <v>0</v>
      </c>
      <c r="K794" s="7">
        <f>IF(AND(C794=0,D794=0),IF(OR(AND(I794=0,NOT(EXACT(Raw_Passengers!F794,G794))),AND(J794=0,NOT(EXACT(Raw_Passengers!G794,H794)))),1,0),0)</f>
        <v>0</v>
      </c>
      <c r="L794" s="7">
        <f>IF(AND(C794=0,D794=0,I794=1),1,0)</f>
        <v>0</v>
      </c>
      <c r="M794" s="7">
        <f>IF(AND(C794=0,D794=0,J794=1),1,0)</f>
        <v>0</v>
      </c>
    </row>
    <row r="795" spans="1:13">
      <c r="A795" s="7">
        <f>Raw_Passengers!A795</f>
        <v>261264</v>
      </c>
      <c r="B795" s="7">
        <f>Raw_Passengers!B795</f>
        <v>1129353</v>
      </c>
      <c r="C795" s="7">
        <f>IF(COUNTIF(Raw_Passengers!$A$2:A795,Raw_Passengers!A795)&gt;1,1,0)</f>
        <v>0</v>
      </c>
      <c r="D795" s="7">
        <f>IF(COUNTIF(Raw_Bookings!$A$2:$A$648,Raw_Passengers!B795)=0,1,0)</f>
        <v>0</v>
      </c>
      <c r="E795" s="7">
        <f>IF(OR(C795=1,D795=1),0,IF(NOT(ISNUMBER(Raw_Passengers!E795)),1,IF(Raw_Passengers!E795&lt;=0,1,0)))</f>
        <v>0</v>
      </c>
      <c r="F795" s="7">
        <f>IF(AND(C795=0,D795=0,TRIM(Raw_Passengers!D795&amp;"")=""),1,0)</f>
        <v>0</v>
      </c>
      <c r="G795" s="7" t="str">
        <f>IF(SUMPRODUCT(--(Lookup_Status!$A$2:$A$13=LOWER(TRIM(Raw_Passengers!F795))))=0,"",INDEX(Lookup_Status!$B$2:$B$13,SUMPRODUCT((Lookup_Status!$A$2:$A$13=LOWER(TRIM(Raw_Passengers!F795)))*(ROW(Lookup_Status!$A$2:$A$13)-1))))</f>
        <v>Confirmed</v>
      </c>
      <c r="H795" s="7" t="str">
        <f>IF(SUMPRODUCT(--(Lookup_Status!$A$2:$A$13=LOWER(TRIM(Raw_Passengers!G795))))=0,"",INDEX(Lookup_Status!$B$2:$B$13,SUMPRODUCT((Lookup_Status!$A$2:$A$13=LOWER(TRIM(Raw_Passengers!G795)))*(ROW(Lookup_Status!$A$2:$A$13)-1))))</f>
        <v>Confirmed</v>
      </c>
      <c r="I795" s="7">
        <f>IF(OR(G795="",G795="Cancelled",G795="Mixed"),1,0)</f>
        <v>0</v>
      </c>
      <c r="J795" s="7">
        <f>IF(OR(H795="",H795="Mixed"),1,0)</f>
        <v>0</v>
      </c>
      <c r="K795" s="7">
        <f>IF(AND(C795=0,D795=0),IF(OR(AND(I795=0,NOT(EXACT(Raw_Passengers!F795,G795))),AND(J795=0,NOT(EXACT(Raw_Passengers!G795,H795)))),1,0),0)</f>
        <v>0</v>
      </c>
      <c r="L795" s="7">
        <f>IF(AND(C795=0,D795=0,I795=1),1,0)</f>
        <v>0</v>
      </c>
      <c r="M795" s="7">
        <f>IF(AND(C795=0,D795=0,J795=1),1,0)</f>
        <v>0</v>
      </c>
    </row>
    <row r="796" spans="1:13">
      <c r="A796" s="7">
        <f>Raw_Passengers!A796</f>
        <v>262703</v>
      </c>
      <c r="B796" s="7">
        <f>Raw_Passengers!B796</f>
        <v>1130073</v>
      </c>
      <c r="C796" s="7">
        <f>IF(COUNTIF(Raw_Passengers!$A$2:A796,Raw_Passengers!A796)&gt;1,1,0)</f>
        <v>0</v>
      </c>
      <c r="D796" s="7">
        <f>IF(COUNTIF(Raw_Bookings!$A$2:$A$648,Raw_Passengers!B796)=0,1,0)</f>
        <v>0</v>
      </c>
      <c r="E796" s="7">
        <f>IF(OR(C796=1,D796=1),0,IF(NOT(ISNUMBER(Raw_Passengers!E796)),1,IF(Raw_Passengers!E796&lt;=0,1,0)))</f>
        <v>0</v>
      </c>
      <c r="F796" s="7">
        <f>IF(AND(C796=0,D796=0,TRIM(Raw_Passengers!D796&amp;"")=""),1,0)</f>
        <v>0</v>
      </c>
      <c r="G796" s="7" t="str">
        <f>IF(SUMPRODUCT(--(Lookup_Status!$A$2:$A$13=LOWER(TRIM(Raw_Passengers!F796))))=0,"",INDEX(Lookup_Status!$B$2:$B$13,SUMPRODUCT((Lookup_Status!$A$2:$A$13=LOWER(TRIM(Raw_Passengers!F796)))*(ROW(Lookup_Status!$A$2:$A$13)-1))))</f>
        <v>RAC</v>
      </c>
      <c r="H796" s="7" t="str">
        <f>IF(SUMPRODUCT(--(Lookup_Status!$A$2:$A$13=LOWER(TRIM(Raw_Passengers!G796))))=0,"",INDEX(Lookup_Status!$B$2:$B$13,SUMPRODUCT((Lookup_Status!$A$2:$A$13=LOWER(TRIM(Raw_Passengers!G796)))*(ROW(Lookup_Status!$A$2:$A$13)-1))))</f>
        <v>Confirmed</v>
      </c>
      <c r="I796" s="7">
        <f>IF(OR(G796="",G796="Cancelled",G796="Mixed"),1,0)</f>
        <v>0</v>
      </c>
      <c r="J796" s="7">
        <f>IF(OR(H796="",H796="Mixed"),1,0)</f>
        <v>0</v>
      </c>
      <c r="K796" s="7">
        <f>IF(AND(C796=0,D796=0),IF(OR(AND(I796=0,NOT(EXACT(Raw_Passengers!F796,G796))),AND(J796=0,NOT(EXACT(Raw_Passengers!G796,H796)))),1,0),0)</f>
        <v>0</v>
      </c>
      <c r="L796" s="7">
        <f>IF(AND(C796=0,D796=0,I796=1),1,0)</f>
        <v>0</v>
      </c>
      <c r="M796" s="7">
        <f>IF(AND(C796=0,D796=0,J796=1),1,0)</f>
        <v>0</v>
      </c>
    </row>
    <row r="797" spans="1:13">
      <c r="A797" s="7">
        <f>Raw_Passengers!A797</f>
        <v>262704</v>
      </c>
      <c r="B797" s="7">
        <f>Raw_Passengers!B797</f>
        <v>1130073</v>
      </c>
      <c r="C797" s="7">
        <f>IF(COUNTIF(Raw_Passengers!$A$2:A797,Raw_Passengers!A797)&gt;1,1,0)</f>
        <v>0</v>
      </c>
      <c r="D797" s="7">
        <f>IF(COUNTIF(Raw_Bookings!$A$2:$A$648,Raw_Passengers!B797)=0,1,0)</f>
        <v>0</v>
      </c>
      <c r="E797" s="7">
        <f>IF(OR(C797=1,D797=1),0,IF(NOT(ISNUMBER(Raw_Passengers!E797)),1,IF(Raw_Passengers!E797&lt;=0,1,0)))</f>
        <v>0</v>
      </c>
      <c r="F797" s="7">
        <f>IF(AND(C797=0,D797=0,TRIM(Raw_Passengers!D797&amp;"")=""),1,0)</f>
        <v>0</v>
      </c>
      <c r="G797" s="7" t="str">
        <f>IF(SUMPRODUCT(--(Lookup_Status!$A$2:$A$13=LOWER(TRIM(Raw_Passengers!F797))))=0,"",INDEX(Lookup_Status!$B$2:$B$13,SUMPRODUCT((Lookup_Status!$A$2:$A$13=LOWER(TRIM(Raw_Passengers!F797)))*(ROW(Lookup_Status!$A$2:$A$13)-1))))</f>
        <v>RAC</v>
      </c>
      <c r="H797" s="7" t="str">
        <f>IF(SUMPRODUCT(--(Lookup_Status!$A$2:$A$13=LOWER(TRIM(Raw_Passengers!G797))))=0,"",INDEX(Lookup_Status!$B$2:$B$13,SUMPRODUCT((Lookup_Status!$A$2:$A$13=LOWER(TRIM(Raw_Passengers!G797)))*(ROW(Lookup_Status!$A$2:$A$13)-1))))</f>
        <v>Confirmed</v>
      </c>
      <c r="I797" s="7">
        <f>IF(OR(G797="",G797="Cancelled",G797="Mixed"),1,0)</f>
        <v>0</v>
      </c>
      <c r="J797" s="7">
        <f>IF(OR(H797="",H797="Mixed"),1,0)</f>
        <v>0</v>
      </c>
      <c r="K797" s="7">
        <f>IF(AND(C797=0,D797=0),IF(OR(AND(I797=0,NOT(EXACT(Raw_Passengers!F797,G797))),AND(J797=0,NOT(EXACT(Raw_Passengers!G797,H797)))),1,0),0)</f>
        <v>0</v>
      </c>
      <c r="L797" s="7">
        <f>IF(AND(C797=0,D797=0,I797=1),1,0)</f>
        <v>0</v>
      </c>
      <c r="M797" s="7">
        <f>IF(AND(C797=0,D797=0,J797=1),1,0)</f>
        <v>0</v>
      </c>
    </row>
    <row r="798" spans="1:13">
      <c r="A798" s="7">
        <f>Raw_Passengers!A798</f>
        <v>263608</v>
      </c>
      <c r="B798" s="7">
        <f>Raw_Passengers!B798</f>
        <v>1130496</v>
      </c>
      <c r="C798" s="7">
        <f>IF(COUNTIF(Raw_Passengers!$A$2:A798,Raw_Passengers!A798)&gt;1,1,0)</f>
        <v>0</v>
      </c>
      <c r="D798" s="7">
        <f>IF(COUNTIF(Raw_Bookings!$A$2:$A$648,Raw_Passengers!B798)=0,1,0)</f>
        <v>0</v>
      </c>
      <c r="E798" s="7">
        <f>IF(OR(C798=1,D798=1),0,IF(NOT(ISNUMBER(Raw_Passengers!E798)),1,IF(Raw_Passengers!E798&lt;=0,1,0)))</f>
        <v>0</v>
      </c>
      <c r="F798" s="7">
        <f>IF(AND(C798=0,D798=0,TRIM(Raw_Passengers!D798&amp;"")=""),1,0)</f>
        <v>0</v>
      </c>
      <c r="G798" s="7" t="str">
        <f>IF(SUMPRODUCT(--(Lookup_Status!$A$2:$A$13=LOWER(TRIM(Raw_Passengers!F798))))=0,"",INDEX(Lookup_Status!$B$2:$B$13,SUMPRODUCT((Lookup_Status!$A$2:$A$13=LOWER(TRIM(Raw_Passengers!F798)))*(ROW(Lookup_Status!$A$2:$A$13)-1))))</f>
        <v>Confirmed</v>
      </c>
      <c r="H798" s="7" t="str">
        <f>IF(SUMPRODUCT(--(Lookup_Status!$A$2:$A$13=LOWER(TRIM(Raw_Passengers!G798))))=0,"",INDEX(Lookup_Status!$B$2:$B$13,SUMPRODUCT((Lookup_Status!$A$2:$A$13=LOWER(TRIM(Raw_Passengers!G798)))*(ROW(Lookup_Status!$A$2:$A$13)-1))))</f>
        <v>Confirmed</v>
      </c>
      <c r="I798" s="7">
        <f>IF(OR(G798="",G798="Cancelled",G798="Mixed"),1,0)</f>
        <v>0</v>
      </c>
      <c r="J798" s="7">
        <f>IF(OR(H798="",H798="Mixed"),1,0)</f>
        <v>0</v>
      </c>
      <c r="K798" s="7">
        <f>IF(AND(C798=0,D798=0),IF(OR(AND(I798=0,NOT(EXACT(Raw_Passengers!F798,G798))),AND(J798=0,NOT(EXACT(Raw_Passengers!G798,H798)))),1,0),0)</f>
        <v>0</v>
      </c>
      <c r="L798" s="7">
        <f>IF(AND(C798=0,D798=0,I798=1),1,0)</f>
        <v>0</v>
      </c>
      <c r="M798" s="7">
        <f>IF(AND(C798=0,D798=0,J798=1),1,0)</f>
        <v>0</v>
      </c>
    </row>
    <row r="799" spans="1:13">
      <c r="A799" s="7">
        <f>Raw_Passengers!A799</f>
        <v>263609</v>
      </c>
      <c r="B799" s="7">
        <f>Raw_Passengers!B799</f>
        <v>1130496</v>
      </c>
      <c r="C799" s="7">
        <f>IF(COUNTIF(Raw_Passengers!$A$2:A799,Raw_Passengers!A799)&gt;1,1,0)</f>
        <v>0</v>
      </c>
      <c r="D799" s="7">
        <f>IF(COUNTIF(Raw_Bookings!$A$2:$A$648,Raw_Passengers!B799)=0,1,0)</f>
        <v>0</v>
      </c>
      <c r="E799" s="7">
        <f>IF(OR(C799=1,D799=1),0,IF(NOT(ISNUMBER(Raw_Passengers!E799)),1,IF(Raw_Passengers!E799&lt;=0,1,0)))</f>
        <v>0</v>
      </c>
      <c r="F799" s="7">
        <f>IF(AND(C799=0,D799=0,TRIM(Raw_Passengers!D799&amp;"")=""),1,0)</f>
        <v>0</v>
      </c>
      <c r="G799" s="7" t="str">
        <f>IF(SUMPRODUCT(--(Lookup_Status!$A$2:$A$13=LOWER(TRIM(Raw_Passengers!F799))))=0,"",INDEX(Lookup_Status!$B$2:$B$13,SUMPRODUCT((Lookup_Status!$A$2:$A$13=LOWER(TRIM(Raw_Passengers!F799)))*(ROW(Lookup_Status!$A$2:$A$13)-1))))</f>
        <v>Confirmed</v>
      </c>
      <c r="H799" s="7" t="str">
        <f>IF(SUMPRODUCT(--(Lookup_Status!$A$2:$A$13=LOWER(TRIM(Raw_Passengers!G799))))=0,"",INDEX(Lookup_Status!$B$2:$B$13,SUMPRODUCT((Lookup_Status!$A$2:$A$13=LOWER(TRIM(Raw_Passengers!G799)))*(ROW(Lookup_Status!$A$2:$A$13)-1))))</f>
        <v>Confirmed</v>
      </c>
      <c r="I799" s="7">
        <f>IF(OR(G799="",G799="Cancelled",G799="Mixed"),1,0)</f>
        <v>0</v>
      </c>
      <c r="J799" s="7">
        <f>IF(OR(H799="",H799="Mixed"),1,0)</f>
        <v>0</v>
      </c>
      <c r="K799" s="7">
        <f>IF(AND(C799=0,D799=0),IF(OR(AND(I799=0,NOT(EXACT(Raw_Passengers!F799,G799))),AND(J799=0,NOT(EXACT(Raw_Passengers!G799,H799)))),1,0),0)</f>
        <v>0</v>
      </c>
      <c r="L799" s="7">
        <f>IF(AND(C799=0,D799=0,I799=1),1,0)</f>
        <v>0</v>
      </c>
      <c r="M799" s="7">
        <f>IF(AND(C799=0,D799=0,J799=1),1,0)</f>
        <v>0</v>
      </c>
    </row>
    <row r="800" spans="1:13">
      <c r="A800" s="7">
        <f>Raw_Passengers!A800</f>
        <v>263972</v>
      </c>
      <c r="B800" s="7">
        <f>Raw_Passengers!B800</f>
        <v>1130695</v>
      </c>
      <c r="C800" s="7">
        <f>IF(COUNTIF(Raw_Passengers!$A$2:A800,Raw_Passengers!A800)&gt;1,1,0)</f>
        <v>0</v>
      </c>
      <c r="D800" s="7">
        <f>IF(COUNTIF(Raw_Bookings!$A$2:$A$648,Raw_Passengers!B800)=0,1,0)</f>
        <v>0</v>
      </c>
      <c r="E800" s="7">
        <f>IF(OR(C800=1,D800=1),0,IF(NOT(ISNUMBER(Raw_Passengers!E800)),1,IF(Raw_Passengers!E800&lt;=0,1,0)))</f>
        <v>0</v>
      </c>
      <c r="F800" s="7">
        <f>IF(AND(C800=0,D800=0,TRIM(Raw_Passengers!D800&amp;"")=""),1,0)</f>
        <v>0</v>
      </c>
      <c r="G800" s="7" t="str">
        <f>IF(SUMPRODUCT(--(Lookup_Status!$A$2:$A$13=LOWER(TRIM(Raw_Passengers!F800))))=0,"",INDEX(Lookup_Status!$B$2:$B$13,SUMPRODUCT((Lookup_Status!$A$2:$A$13=LOWER(TRIM(Raw_Passengers!F800)))*(ROW(Lookup_Status!$A$2:$A$13)-1))))</f>
        <v>RAC</v>
      </c>
      <c r="H800" s="7" t="str">
        <f>IF(SUMPRODUCT(--(Lookup_Status!$A$2:$A$13=LOWER(TRIM(Raw_Passengers!G800))))=0,"",INDEX(Lookup_Status!$B$2:$B$13,SUMPRODUCT((Lookup_Status!$A$2:$A$13=LOWER(TRIM(Raw_Passengers!G800)))*(ROW(Lookup_Status!$A$2:$A$13)-1))))</f>
        <v>Cancelled</v>
      </c>
      <c r="I800" s="7">
        <f>IF(OR(G800="",G800="Cancelled",G800="Mixed"),1,0)</f>
        <v>0</v>
      </c>
      <c r="J800" s="7">
        <f>IF(OR(H800="",H800="Mixed"),1,0)</f>
        <v>0</v>
      </c>
      <c r="K800" s="7">
        <f>IF(AND(C800=0,D800=0),IF(OR(AND(I800=0,NOT(EXACT(Raw_Passengers!F800,G800))),AND(J800=0,NOT(EXACT(Raw_Passengers!G800,H800)))),1,0),0)</f>
        <v>0</v>
      </c>
      <c r="L800" s="7">
        <f>IF(AND(C800=0,D800=0,I800=1),1,0)</f>
        <v>0</v>
      </c>
      <c r="M800" s="7">
        <f>IF(AND(C800=0,D800=0,J800=1),1,0)</f>
        <v>0</v>
      </c>
    </row>
    <row r="801" spans="1:13">
      <c r="A801" s="7">
        <f>Raw_Passengers!A801</f>
        <v>264848</v>
      </c>
      <c r="B801" s="7">
        <f>Raw_Passengers!B801</f>
        <v>1131105</v>
      </c>
      <c r="C801" s="7">
        <f>IF(COUNTIF(Raw_Passengers!$A$2:A801,Raw_Passengers!A801)&gt;1,1,0)</f>
        <v>0</v>
      </c>
      <c r="D801" s="7">
        <f>IF(COUNTIF(Raw_Bookings!$A$2:$A$648,Raw_Passengers!B801)=0,1,0)</f>
        <v>0</v>
      </c>
      <c r="E801" s="7">
        <f>IF(OR(C801=1,D801=1),0,IF(NOT(ISNUMBER(Raw_Passengers!E801)),1,IF(Raw_Passengers!E801&lt;=0,1,0)))</f>
        <v>0</v>
      </c>
      <c r="F801" s="7">
        <f>IF(AND(C801=0,D801=0,TRIM(Raw_Passengers!D801&amp;"")=""),1,0)</f>
        <v>0</v>
      </c>
      <c r="G801" s="7" t="str">
        <f>IF(SUMPRODUCT(--(Lookup_Status!$A$2:$A$13=LOWER(TRIM(Raw_Passengers!F801))))=0,"",INDEX(Lookup_Status!$B$2:$B$13,SUMPRODUCT((Lookup_Status!$A$2:$A$13=LOWER(TRIM(Raw_Passengers!F801)))*(ROW(Lookup_Status!$A$2:$A$13)-1))))</f>
        <v>Confirmed</v>
      </c>
      <c r="H801" s="7" t="str">
        <f>IF(SUMPRODUCT(--(Lookup_Status!$A$2:$A$13=LOWER(TRIM(Raw_Passengers!G801))))=0,"",INDEX(Lookup_Status!$B$2:$B$13,SUMPRODUCT((Lookup_Status!$A$2:$A$13=LOWER(TRIM(Raw_Passengers!G801)))*(ROW(Lookup_Status!$A$2:$A$13)-1))))</f>
        <v>Confirmed</v>
      </c>
      <c r="I801" s="7">
        <f>IF(OR(G801="",G801="Cancelled",G801="Mixed"),1,0)</f>
        <v>0</v>
      </c>
      <c r="J801" s="7">
        <f>IF(OR(H801="",H801="Mixed"),1,0)</f>
        <v>0</v>
      </c>
      <c r="K801" s="7">
        <f>IF(AND(C801=0,D801=0),IF(OR(AND(I801=0,NOT(EXACT(Raw_Passengers!F801,G801))),AND(J801=0,NOT(EXACT(Raw_Passengers!G801,H801)))),1,0),0)</f>
        <v>0</v>
      </c>
      <c r="L801" s="7">
        <f>IF(AND(C801=0,D801=0,I801=1),1,0)</f>
        <v>0</v>
      </c>
      <c r="M801" s="7">
        <f>IF(AND(C801=0,D801=0,J801=1),1,0)</f>
        <v>0</v>
      </c>
    </row>
    <row r="802" spans="1:13">
      <c r="A802" s="7">
        <f>Raw_Passengers!A802</f>
        <v>264872</v>
      </c>
      <c r="B802" s="7">
        <f>Raw_Passengers!B802</f>
        <v>1131122</v>
      </c>
      <c r="C802" s="7">
        <f>IF(COUNTIF(Raw_Passengers!$A$2:A802,Raw_Passengers!A802)&gt;1,1,0)</f>
        <v>0</v>
      </c>
      <c r="D802" s="7">
        <f>IF(COUNTIF(Raw_Bookings!$A$2:$A$648,Raw_Passengers!B802)=0,1,0)</f>
        <v>0</v>
      </c>
      <c r="E802" s="7">
        <f>IF(OR(C802=1,D802=1),0,IF(NOT(ISNUMBER(Raw_Passengers!E802)),1,IF(Raw_Passengers!E802&lt;=0,1,0)))</f>
        <v>0</v>
      </c>
      <c r="F802" s="7">
        <f>IF(AND(C802=0,D802=0,TRIM(Raw_Passengers!D802&amp;"")=""),1,0)</f>
        <v>0</v>
      </c>
      <c r="G802" s="7" t="str">
        <f>IF(SUMPRODUCT(--(Lookup_Status!$A$2:$A$13=LOWER(TRIM(Raw_Passengers!F802))))=0,"",INDEX(Lookup_Status!$B$2:$B$13,SUMPRODUCT((Lookup_Status!$A$2:$A$13=LOWER(TRIM(Raw_Passengers!F802)))*(ROW(Lookup_Status!$A$2:$A$13)-1))))</f>
        <v>Confirmed</v>
      </c>
      <c r="H802" s="7" t="str">
        <f>IF(SUMPRODUCT(--(Lookup_Status!$A$2:$A$13=LOWER(TRIM(Raw_Passengers!G802))))=0,"",INDEX(Lookup_Status!$B$2:$B$13,SUMPRODUCT((Lookup_Status!$A$2:$A$13=LOWER(TRIM(Raw_Passengers!G802)))*(ROW(Lookup_Status!$A$2:$A$13)-1))))</f>
        <v>Confirmed</v>
      </c>
      <c r="I802" s="7">
        <f>IF(OR(G802="",G802="Cancelled",G802="Mixed"),1,0)</f>
        <v>0</v>
      </c>
      <c r="J802" s="7">
        <f>IF(OR(H802="",H802="Mixed"),1,0)</f>
        <v>0</v>
      </c>
      <c r="K802" s="7">
        <f>IF(AND(C802=0,D802=0),IF(OR(AND(I802=0,NOT(EXACT(Raw_Passengers!F802,G802))),AND(J802=0,NOT(EXACT(Raw_Passengers!G802,H802)))),1,0),0)</f>
        <v>0</v>
      </c>
      <c r="L802" s="7">
        <f>IF(AND(C802=0,D802=0,I802=1),1,0)</f>
        <v>0</v>
      </c>
      <c r="M802" s="7">
        <f>IF(AND(C802=0,D802=0,J802=1),1,0)</f>
        <v>0</v>
      </c>
    </row>
    <row r="803" spans="1:13">
      <c r="A803" s="7">
        <f>Raw_Passengers!A803</f>
        <v>264873</v>
      </c>
      <c r="B803" s="7">
        <f>Raw_Passengers!B803</f>
        <v>1131122</v>
      </c>
      <c r="C803" s="7">
        <f>IF(COUNTIF(Raw_Passengers!$A$2:A803,Raw_Passengers!A803)&gt;1,1,0)</f>
        <v>0</v>
      </c>
      <c r="D803" s="7">
        <f>IF(COUNTIF(Raw_Bookings!$A$2:$A$648,Raw_Passengers!B803)=0,1,0)</f>
        <v>0</v>
      </c>
      <c r="E803" s="7">
        <f>IF(OR(C803=1,D803=1),0,IF(NOT(ISNUMBER(Raw_Passengers!E803)),1,IF(Raw_Passengers!E803&lt;=0,1,0)))</f>
        <v>0</v>
      </c>
      <c r="F803" s="7">
        <f>IF(AND(C803=0,D803=0,TRIM(Raw_Passengers!D803&amp;"")=""),1,0)</f>
        <v>0</v>
      </c>
      <c r="G803" s="7" t="str">
        <f>IF(SUMPRODUCT(--(Lookup_Status!$A$2:$A$13=LOWER(TRIM(Raw_Passengers!F803))))=0,"",INDEX(Lookup_Status!$B$2:$B$13,SUMPRODUCT((Lookup_Status!$A$2:$A$13=LOWER(TRIM(Raw_Passengers!F803)))*(ROW(Lookup_Status!$A$2:$A$13)-1))))</f>
        <v>Confirmed</v>
      </c>
      <c r="H803" s="7" t="str">
        <f>IF(SUMPRODUCT(--(Lookup_Status!$A$2:$A$13=LOWER(TRIM(Raw_Passengers!G803))))=0,"",INDEX(Lookup_Status!$B$2:$B$13,SUMPRODUCT((Lookup_Status!$A$2:$A$13=LOWER(TRIM(Raw_Passengers!G803)))*(ROW(Lookup_Status!$A$2:$A$13)-1))))</f>
        <v>Confirmed</v>
      </c>
      <c r="I803" s="7">
        <f>IF(OR(G803="",G803="Cancelled",G803="Mixed"),1,0)</f>
        <v>0</v>
      </c>
      <c r="J803" s="7">
        <f>IF(OR(H803="",H803="Mixed"),1,0)</f>
        <v>0</v>
      </c>
      <c r="K803" s="7">
        <f>IF(AND(C803=0,D803=0),IF(OR(AND(I803=0,NOT(EXACT(Raw_Passengers!F803,G803))),AND(J803=0,NOT(EXACT(Raw_Passengers!G803,H803)))),1,0),0)</f>
        <v>0</v>
      </c>
      <c r="L803" s="7">
        <f>IF(AND(C803=0,D803=0,I803=1),1,0)</f>
        <v>0</v>
      </c>
      <c r="M803" s="7">
        <f>IF(AND(C803=0,D803=0,J803=1),1,0)</f>
        <v>0</v>
      </c>
    </row>
    <row r="804" spans="1:13">
      <c r="A804" s="7">
        <f>Raw_Passengers!A804</f>
        <v>264950</v>
      </c>
      <c r="B804" s="7">
        <f>Raw_Passengers!B804</f>
        <v>1131156</v>
      </c>
      <c r="C804" s="7">
        <f>IF(COUNTIF(Raw_Passengers!$A$2:A804,Raw_Passengers!A804)&gt;1,1,0)</f>
        <v>0</v>
      </c>
      <c r="D804" s="7">
        <f>IF(COUNTIF(Raw_Bookings!$A$2:$A$648,Raw_Passengers!B804)=0,1,0)</f>
        <v>0</v>
      </c>
      <c r="E804" s="7">
        <f>IF(OR(C804=1,D804=1),0,IF(NOT(ISNUMBER(Raw_Passengers!E804)),1,IF(Raw_Passengers!E804&lt;=0,1,0)))</f>
        <v>0</v>
      </c>
      <c r="F804" s="7">
        <f>IF(AND(C804=0,D804=0,TRIM(Raw_Passengers!D804&amp;"")=""),1,0)</f>
        <v>0</v>
      </c>
      <c r="G804" s="7" t="str">
        <f>IF(SUMPRODUCT(--(Lookup_Status!$A$2:$A$13=LOWER(TRIM(Raw_Passengers!F804))))=0,"",INDEX(Lookup_Status!$B$2:$B$13,SUMPRODUCT((Lookup_Status!$A$2:$A$13=LOWER(TRIM(Raw_Passengers!F804)))*(ROW(Lookup_Status!$A$2:$A$13)-1))))</f>
        <v>Waitlisted</v>
      </c>
      <c r="H804" s="7" t="str">
        <f>IF(SUMPRODUCT(--(Lookup_Status!$A$2:$A$13=LOWER(TRIM(Raw_Passengers!G804))))=0,"",INDEX(Lookup_Status!$B$2:$B$13,SUMPRODUCT((Lookup_Status!$A$2:$A$13=LOWER(TRIM(Raw_Passengers!G804)))*(ROW(Lookup_Status!$A$2:$A$13)-1))))</f>
        <v>Waitlisted</v>
      </c>
      <c r="I804" s="7">
        <f>IF(OR(G804="",G804="Cancelled",G804="Mixed"),1,0)</f>
        <v>0</v>
      </c>
      <c r="J804" s="7">
        <f>IF(OR(H804="",H804="Mixed"),1,0)</f>
        <v>0</v>
      </c>
      <c r="K804" s="7">
        <f>IF(AND(C804=0,D804=0),IF(OR(AND(I804=0,NOT(EXACT(Raw_Passengers!F804,G804))),AND(J804=0,NOT(EXACT(Raw_Passengers!G804,H804)))),1,0),0)</f>
        <v>0</v>
      </c>
      <c r="L804" s="7">
        <f>IF(AND(C804=0,D804=0,I804=1),1,0)</f>
        <v>0</v>
      </c>
      <c r="M804" s="7">
        <f>IF(AND(C804=0,D804=0,J804=1),1,0)</f>
        <v>0</v>
      </c>
    </row>
    <row r="805" spans="1:13">
      <c r="A805" s="7">
        <f>Raw_Passengers!A805</f>
        <v>266558</v>
      </c>
      <c r="B805" s="7">
        <f>Raw_Passengers!B805</f>
        <v>1131980</v>
      </c>
      <c r="C805" s="7">
        <f>IF(COUNTIF(Raw_Passengers!$A$2:A805,Raw_Passengers!A805)&gt;1,1,0)</f>
        <v>0</v>
      </c>
      <c r="D805" s="7">
        <f>IF(COUNTIF(Raw_Bookings!$A$2:$A$648,Raw_Passengers!B805)=0,1,0)</f>
        <v>0</v>
      </c>
      <c r="E805" s="7">
        <f>IF(OR(C805=1,D805=1),0,IF(NOT(ISNUMBER(Raw_Passengers!E805)),1,IF(Raw_Passengers!E805&lt;=0,1,0)))</f>
        <v>0</v>
      </c>
      <c r="F805" s="7">
        <f>IF(AND(C805=0,D805=0,TRIM(Raw_Passengers!D805&amp;"")=""),1,0)</f>
        <v>0</v>
      </c>
      <c r="G805" s="7" t="str">
        <f>IF(SUMPRODUCT(--(Lookup_Status!$A$2:$A$13=LOWER(TRIM(Raw_Passengers!F805))))=0,"",INDEX(Lookup_Status!$B$2:$B$13,SUMPRODUCT((Lookup_Status!$A$2:$A$13=LOWER(TRIM(Raw_Passengers!F805)))*(ROW(Lookup_Status!$A$2:$A$13)-1))))</f>
        <v>Confirmed</v>
      </c>
      <c r="H805" s="7" t="str">
        <f>IF(SUMPRODUCT(--(Lookup_Status!$A$2:$A$13=LOWER(TRIM(Raw_Passengers!G805))))=0,"",INDEX(Lookup_Status!$B$2:$B$13,SUMPRODUCT((Lookup_Status!$A$2:$A$13=LOWER(TRIM(Raw_Passengers!G805)))*(ROW(Lookup_Status!$A$2:$A$13)-1))))</f>
        <v>Confirmed</v>
      </c>
      <c r="I805" s="7">
        <f>IF(OR(G805="",G805="Cancelled",G805="Mixed"),1,0)</f>
        <v>0</v>
      </c>
      <c r="J805" s="7">
        <f>IF(OR(H805="",H805="Mixed"),1,0)</f>
        <v>0</v>
      </c>
      <c r="K805" s="7">
        <f>IF(AND(C805=0,D805=0),IF(OR(AND(I805=0,NOT(EXACT(Raw_Passengers!F805,G805))),AND(J805=0,NOT(EXACT(Raw_Passengers!G805,H805)))),1,0),0)</f>
        <v>0</v>
      </c>
      <c r="L805" s="7">
        <f>IF(AND(C805=0,D805=0,I805=1),1,0)</f>
        <v>0</v>
      </c>
      <c r="M805" s="7">
        <f>IF(AND(C805=0,D805=0,J805=1),1,0)</f>
        <v>0</v>
      </c>
    </row>
    <row r="806" spans="1:13">
      <c r="A806" s="7">
        <f>Raw_Passengers!A806</f>
        <v>268415</v>
      </c>
      <c r="B806" s="7">
        <f>Raw_Passengers!B806</f>
        <v>1132914</v>
      </c>
      <c r="C806" s="7">
        <f>IF(COUNTIF(Raw_Passengers!$A$2:A806,Raw_Passengers!A806)&gt;1,1,0)</f>
        <v>0</v>
      </c>
      <c r="D806" s="7">
        <f>IF(COUNTIF(Raw_Bookings!$A$2:$A$648,Raw_Passengers!B806)=0,1,0)</f>
        <v>0</v>
      </c>
      <c r="E806" s="7">
        <f>IF(OR(C806=1,D806=1),0,IF(NOT(ISNUMBER(Raw_Passengers!E806)),1,IF(Raw_Passengers!E806&lt;=0,1,0)))</f>
        <v>0</v>
      </c>
      <c r="F806" s="7">
        <f>IF(AND(C806=0,D806=0,TRIM(Raw_Passengers!D806&amp;"")=""),1,0)</f>
        <v>0</v>
      </c>
      <c r="G806" s="7" t="str">
        <f>IF(SUMPRODUCT(--(Lookup_Status!$A$2:$A$13=LOWER(TRIM(Raw_Passengers!F806))))=0,"",INDEX(Lookup_Status!$B$2:$B$13,SUMPRODUCT((Lookup_Status!$A$2:$A$13=LOWER(TRIM(Raw_Passengers!F806)))*(ROW(Lookup_Status!$A$2:$A$13)-1))))</f>
        <v>Confirmed</v>
      </c>
      <c r="H806" s="7" t="str">
        <f>IF(SUMPRODUCT(--(Lookup_Status!$A$2:$A$13=LOWER(TRIM(Raw_Passengers!G806))))=0,"",INDEX(Lookup_Status!$B$2:$B$13,SUMPRODUCT((Lookup_Status!$A$2:$A$13=LOWER(TRIM(Raw_Passengers!G806)))*(ROW(Lookup_Status!$A$2:$A$13)-1))))</f>
        <v>Confirmed</v>
      </c>
      <c r="I806" s="7">
        <f>IF(OR(G806="",G806="Cancelled",G806="Mixed"),1,0)</f>
        <v>0</v>
      </c>
      <c r="J806" s="7">
        <f>IF(OR(H806="",H806="Mixed"),1,0)</f>
        <v>0</v>
      </c>
      <c r="K806" s="7">
        <f>IF(AND(C806=0,D806=0),IF(OR(AND(I806=0,NOT(EXACT(Raw_Passengers!F806,G806))),AND(J806=0,NOT(EXACT(Raw_Passengers!G806,H806)))),1,0),0)</f>
        <v>0</v>
      </c>
      <c r="L806" s="7">
        <f>IF(AND(C806=0,D806=0,I806=1),1,0)</f>
        <v>0</v>
      </c>
      <c r="M806" s="7">
        <f>IF(AND(C806=0,D806=0,J806=1),1,0)</f>
        <v>0</v>
      </c>
    </row>
    <row r="807" spans="1:13">
      <c r="A807" s="7">
        <f>Raw_Passengers!A807</f>
        <v>269421</v>
      </c>
      <c r="B807" s="7">
        <f>Raw_Passengers!B807</f>
        <v>1133457</v>
      </c>
      <c r="C807" s="7">
        <f>IF(COUNTIF(Raw_Passengers!$A$2:A807,Raw_Passengers!A807)&gt;1,1,0)</f>
        <v>0</v>
      </c>
      <c r="D807" s="7">
        <f>IF(COUNTIF(Raw_Bookings!$A$2:$A$648,Raw_Passengers!B807)=0,1,0)</f>
        <v>0</v>
      </c>
      <c r="E807" s="7">
        <f>IF(OR(C807=1,D807=1),0,IF(NOT(ISNUMBER(Raw_Passengers!E807)),1,IF(Raw_Passengers!E807&lt;=0,1,0)))</f>
        <v>0</v>
      </c>
      <c r="F807" s="7">
        <f>IF(AND(C807=0,D807=0,TRIM(Raw_Passengers!D807&amp;"")=""),1,0)</f>
        <v>0</v>
      </c>
      <c r="G807" s="7" t="str">
        <f>IF(SUMPRODUCT(--(Lookup_Status!$A$2:$A$13=LOWER(TRIM(Raw_Passengers!F807))))=0,"",INDEX(Lookup_Status!$B$2:$B$13,SUMPRODUCT((Lookup_Status!$A$2:$A$13=LOWER(TRIM(Raw_Passengers!F807)))*(ROW(Lookup_Status!$A$2:$A$13)-1))))</f>
        <v>Confirmed</v>
      </c>
      <c r="H807" s="7" t="str">
        <f>IF(SUMPRODUCT(--(Lookup_Status!$A$2:$A$13=LOWER(TRIM(Raw_Passengers!G807))))=0,"",INDEX(Lookup_Status!$B$2:$B$13,SUMPRODUCT((Lookup_Status!$A$2:$A$13=LOWER(TRIM(Raw_Passengers!G807)))*(ROW(Lookup_Status!$A$2:$A$13)-1))))</f>
        <v>Cancelled</v>
      </c>
      <c r="I807" s="7">
        <f>IF(OR(G807="",G807="Cancelled",G807="Mixed"),1,0)</f>
        <v>0</v>
      </c>
      <c r="J807" s="7">
        <f>IF(OR(H807="",H807="Mixed"),1,0)</f>
        <v>0</v>
      </c>
      <c r="K807" s="7">
        <f>IF(AND(C807=0,D807=0),IF(OR(AND(I807=0,NOT(EXACT(Raw_Passengers!F807,G807))),AND(J807=0,NOT(EXACT(Raw_Passengers!G807,H807)))),1,0),0)</f>
        <v>0</v>
      </c>
      <c r="L807" s="7">
        <f>IF(AND(C807=0,D807=0,I807=1),1,0)</f>
        <v>0</v>
      </c>
      <c r="M807" s="7">
        <f>IF(AND(C807=0,D807=0,J807=1),1,0)</f>
        <v>0</v>
      </c>
    </row>
    <row r="808" spans="1:13">
      <c r="A808" s="7">
        <f>Raw_Passengers!A808</f>
        <v>270529</v>
      </c>
      <c r="B808" s="7">
        <f>Raw_Passengers!B808</f>
        <v>1133994</v>
      </c>
      <c r="C808" s="7">
        <f>IF(COUNTIF(Raw_Passengers!$A$2:A808,Raw_Passengers!A808)&gt;1,1,0)</f>
        <v>0</v>
      </c>
      <c r="D808" s="7">
        <f>IF(COUNTIF(Raw_Bookings!$A$2:$A$648,Raw_Passengers!B808)=0,1,0)</f>
        <v>0</v>
      </c>
      <c r="E808" s="7">
        <f>IF(OR(C808=1,D808=1),0,IF(NOT(ISNUMBER(Raw_Passengers!E808)),1,IF(Raw_Passengers!E808&lt;=0,1,0)))</f>
        <v>0</v>
      </c>
      <c r="F808" s="7">
        <f>IF(AND(C808=0,D808=0,TRIM(Raw_Passengers!D808&amp;"")=""),1,0)</f>
        <v>0</v>
      </c>
      <c r="G808" s="7" t="str">
        <f>IF(SUMPRODUCT(--(Lookup_Status!$A$2:$A$13=LOWER(TRIM(Raw_Passengers!F808))))=0,"",INDEX(Lookup_Status!$B$2:$B$13,SUMPRODUCT((Lookup_Status!$A$2:$A$13=LOWER(TRIM(Raw_Passengers!F808)))*(ROW(Lookup_Status!$A$2:$A$13)-1))))</f>
        <v>Confirmed</v>
      </c>
      <c r="H808" s="7" t="str">
        <f>IF(SUMPRODUCT(--(Lookup_Status!$A$2:$A$13=LOWER(TRIM(Raw_Passengers!G808))))=0,"",INDEX(Lookup_Status!$B$2:$B$13,SUMPRODUCT((Lookup_Status!$A$2:$A$13=LOWER(TRIM(Raw_Passengers!G808)))*(ROW(Lookup_Status!$A$2:$A$13)-1))))</f>
        <v>Confirmed</v>
      </c>
      <c r="I808" s="7">
        <f>IF(OR(G808="",G808="Cancelled",G808="Mixed"),1,0)</f>
        <v>0</v>
      </c>
      <c r="J808" s="7">
        <f>IF(OR(H808="",H808="Mixed"),1,0)</f>
        <v>0</v>
      </c>
      <c r="K808" s="7">
        <f>IF(AND(C808=0,D808=0),IF(OR(AND(I808=0,NOT(EXACT(Raw_Passengers!F808,G808))),AND(J808=0,NOT(EXACT(Raw_Passengers!G808,H808)))),1,0),0)</f>
        <v>0</v>
      </c>
      <c r="L808" s="7">
        <f>IF(AND(C808=0,D808=0,I808=1),1,0)</f>
        <v>0</v>
      </c>
      <c r="M808" s="7">
        <f>IF(AND(C808=0,D808=0,J808=1),1,0)</f>
        <v>0</v>
      </c>
    </row>
    <row r="809" spans="1:13">
      <c r="A809" s="7">
        <f>Raw_Passengers!A809</f>
        <v>270530</v>
      </c>
      <c r="B809" s="7">
        <f>Raw_Passengers!B809</f>
        <v>1133994</v>
      </c>
      <c r="C809" s="7">
        <f>IF(COUNTIF(Raw_Passengers!$A$2:A809,Raw_Passengers!A809)&gt;1,1,0)</f>
        <v>0</v>
      </c>
      <c r="D809" s="7">
        <f>IF(COUNTIF(Raw_Bookings!$A$2:$A$648,Raw_Passengers!B809)=0,1,0)</f>
        <v>0</v>
      </c>
      <c r="E809" s="7">
        <f>IF(OR(C809=1,D809=1),0,IF(NOT(ISNUMBER(Raw_Passengers!E809)),1,IF(Raw_Passengers!E809&lt;=0,1,0)))</f>
        <v>0</v>
      </c>
      <c r="F809" s="7">
        <f>IF(AND(C809=0,D809=0,TRIM(Raw_Passengers!D809&amp;"")=""),1,0)</f>
        <v>0</v>
      </c>
      <c r="G809" s="7" t="str">
        <f>IF(SUMPRODUCT(--(Lookup_Status!$A$2:$A$13=LOWER(TRIM(Raw_Passengers!F809))))=0,"",INDEX(Lookup_Status!$B$2:$B$13,SUMPRODUCT((Lookup_Status!$A$2:$A$13=LOWER(TRIM(Raw_Passengers!F809)))*(ROW(Lookup_Status!$A$2:$A$13)-1))))</f>
        <v>Confirmed</v>
      </c>
      <c r="H809" s="7" t="str">
        <f>IF(SUMPRODUCT(--(Lookup_Status!$A$2:$A$13=LOWER(TRIM(Raw_Passengers!G809))))=0,"",INDEX(Lookup_Status!$B$2:$B$13,SUMPRODUCT((Lookup_Status!$A$2:$A$13=LOWER(TRIM(Raw_Passengers!G809)))*(ROW(Lookup_Status!$A$2:$A$13)-1))))</f>
        <v>Confirmed</v>
      </c>
      <c r="I809" s="7">
        <f>IF(OR(G809="",G809="Cancelled",G809="Mixed"),1,0)</f>
        <v>0</v>
      </c>
      <c r="J809" s="7">
        <f>IF(OR(H809="",H809="Mixed"),1,0)</f>
        <v>0</v>
      </c>
      <c r="K809" s="7">
        <f>IF(AND(C809=0,D809=0),IF(OR(AND(I809=0,NOT(EXACT(Raw_Passengers!F809,G809))),AND(J809=0,NOT(EXACT(Raw_Passengers!G809,H809)))),1,0),0)</f>
        <v>0</v>
      </c>
      <c r="L809" s="7">
        <f>IF(AND(C809=0,D809=0,I809=1),1,0)</f>
        <v>0</v>
      </c>
      <c r="M809" s="7">
        <f>IF(AND(C809=0,D809=0,J809=1),1,0)</f>
        <v>0</v>
      </c>
    </row>
    <row r="810" spans="1:13">
      <c r="A810" s="7">
        <f>Raw_Passengers!A810</f>
        <v>270767</v>
      </c>
      <c r="B810" s="7">
        <f>Raw_Passengers!B810</f>
        <v>1134104</v>
      </c>
      <c r="C810" s="7">
        <f>IF(COUNTIF(Raw_Passengers!$A$2:A810,Raw_Passengers!A810)&gt;1,1,0)</f>
        <v>0</v>
      </c>
      <c r="D810" s="7">
        <f>IF(COUNTIF(Raw_Bookings!$A$2:$A$648,Raw_Passengers!B810)=0,1,0)</f>
        <v>0</v>
      </c>
      <c r="E810" s="7">
        <f>IF(OR(C810=1,D810=1),0,IF(NOT(ISNUMBER(Raw_Passengers!E810)),1,IF(Raw_Passengers!E810&lt;=0,1,0)))</f>
        <v>0</v>
      </c>
      <c r="F810" s="7">
        <f>IF(AND(C810=0,D810=0,TRIM(Raw_Passengers!D810&amp;"")=""),1,0)</f>
        <v>0</v>
      </c>
      <c r="G810" s="7" t="str">
        <f>IF(SUMPRODUCT(--(Lookup_Status!$A$2:$A$13=LOWER(TRIM(Raw_Passengers!F810))))=0,"",INDEX(Lookup_Status!$B$2:$B$13,SUMPRODUCT((Lookup_Status!$A$2:$A$13=LOWER(TRIM(Raw_Passengers!F810)))*(ROW(Lookup_Status!$A$2:$A$13)-1))))</f>
        <v>Confirmed</v>
      </c>
      <c r="H810" s="7" t="str">
        <f>IF(SUMPRODUCT(--(Lookup_Status!$A$2:$A$13=LOWER(TRIM(Raw_Passengers!G810))))=0,"",INDEX(Lookup_Status!$B$2:$B$13,SUMPRODUCT((Lookup_Status!$A$2:$A$13=LOWER(TRIM(Raw_Passengers!G810)))*(ROW(Lookup_Status!$A$2:$A$13)-1))))</f>
        <v>Confirmed</v>
      </c>
      <c r="I810" s="7">
        <f>IF(OR(G810="",G810="Cancelled",G810="Mixed"),1,0)</f>
        <v>0</v>
      </c>
      <c r="J810" s="7">
        <f>IF(OR(H810="",H810="Mixed"),1,0)</f>
        <v>0</v>
      </c>
      <c r="K810" s="7">
        <f>IF(AND(C810=0,D810=0),IF(OR(AND(I810=0,NOT(EXACT(Raw_Passengers!F810,G810))),AND(J810=0,NOT(EXACT(Raw_Passengers!G810,H810)))),1,0),0)</f>
        <v>0</v>
      </c>
      <c r="L810" s="7">
        <f>IF(AND(C810=0,D810=0,I810=1),1,0)</f>
        <v>0</v>
      </c>
      <c r="M810" s="7">
        <f>IF(AND(C810=0,D810=0,J810=1),1,0)</f>
        <v>0</v>
      </c>
    </row>
    <row r="811" spans="1:13">
      <c r="A811" s="7">
        <f>Raw_Passengers!A811</f>
        <v>271007</v>
      </c>
      <c r="B811" s="7">
        <f>Raw_Passengers!B811</f>
        <v>1134219</v>
      </c>
      <c r="C811" s="7">
        <f>IF(COUNTIF(Raw_Passengers!$A$2:A811,Raw_Passengers!A811)&gt;1,1,0)</f>
        <v>0</v>
      </c>
      <c r="D811" s="7">
        <f>IF(COUNTIF(Raw_Bookings!$A$2:$A$648,Raw_Passengers!B811)=0,1,0)</f>
        <v>0</v>
      </c>
      <c r="E811" s="7">
        <f>IF(OR(C811=1,D811=1),0,IF(NOT(ISNUMBER(Raw_Passengers!E811)),1,IF(Raw_Passengers!E811&lt;=0,1,0)))</f>
        <v>0</v>
      </c>
      <c r="F811" s="7">
        <f>IF(AND(C811=0,D811=0,TRIM(Raw_Passengers!D811&amp;"")=""),1,0)</f>
        <v>0</v>
      </c>
      <c r="G811" s="7" t="str">
        <f>IF(SUMPRODUCT(--(Lookup_Status!$A$2:$A$13=LOWER(TRIM(Raw_Passengers!F811))))=0,"",INDEX(Lookup_Status!$B$2:$B$13,SUMPRODUCT((Lookup_Status!$A$2:$A$13=LOWER(TRIM(Raw_Passengers!F811)))*(ROW(Lookup_Status!$A$2:$A$13)-1))))</f>
        <v>Confirmed</v>
      </c>
      <c r="H811" s="7" t="str">
        <f>IF(SUMPRODUCT(--(Lookup_Status!$A$2:$A$13=LOWER(TRIM(Raw_Passengers!G811))))=0,"",INDEX(Lookup_Status!$B$2:$B$13,SUMPRODUCT((Lookup_Status!$A$2:$A$13=LOWER(TRIM(Raw_Passengers!G811)))*(ROW(Lookup_Status!$A$2:$A$13)-1))))</f>
        <v>Confirmed</v>
      </c>
      <c r="I811" s="7">
        <f>IF(OR(G811="",G811="Cancelled",G811="Mixed"),1,0)</f>
        <v>0</v>
      </c>
      <c r="J811" s="7">
        <f>IF(OR(H811="",H811="Mixed"),1,0)</f>
        <v>0</v>
      </c>
      <c r="K811" s="7">
        <f>IF(AND(C811=0,D811=0),IF(OR(AND(I811=0,NOT(EXACT(Raw_Passengers!F811,G811))),AND(J811=0,NOT(EXACT(Raw_Passengers!G811,H811)))),1,0),0)</f>
        <v>0</v>
      </c>
      <c r="L811" s="7">
        <f>IF(AND(C811=0,D811=0,I811=1),1,0)</f>
        <v>0</v>
      </c>
      <c r="M811" s="7">
        <f>IF(AND(C811=0,D811=0,J811=1),1,0)</f>
        <v>0</v>
      </c>
    </row>
    <row r="812" spans="1:13">
      <c r="A812" s="7">
        <f>Raw_Passengers!A812</f>
        <v>271186</v>
      </c>
      <c r="B812" s="7">
        <f>Raw_Passengers!B812</f>
        <v>1134307</v>
      </c>
      <c r="C812" s="7">
        <f>IF(COUNTIF(Raw_Passengers!$A$2:A812,Raw_Passengers!A812)&gt;1,1,0)</f>
        <v>0</v>
      </c>
      <c r="D812" s="7">
        <f>IF(COUNTIF(Raw_Bookings!$A$2:$A$648,Raw_Passengers!B812)=0,1,0)</f>
        <v>0</v>
      </c>
      <c r="E812" s="7">
        <f>IF(OR(C812=1,D812=1),0,IF(NOT(ISNUMBER(Raw_Passengers!E812)),1,IF(Raw_Passengers!E812&lt;=0,1,0)))</f>
        <v>0</v>
      </c>
      <c r="F812" s="7">
        <f>IF(AND(C812=0,D812=0,TRIM(Raw_Passengers!D812&amp;"")=""),1,0)</f>
        <v>0</v>
      </c>
      <c r="G812" s="7" t="str">
        <f>IF(SUMPRODUCT(--(Lookup_Status!$A$2:$A$13=LOWER(TRIM(Raw_Passengers!F812))))=0,"",INDEX(Lookup_Status!$B$2:$B$13,SUMPRODUCT((Lookup_Status!$A$2:$A$13=LOWER(TRIM(Raw_Passengers!F812)))*(ROW(Lookup_Status!$A$2:$A$13)-1))))</f>
        <v>Confirmed</v>
      </c>
      <c r="H812" s="7" t="str">
        <f>IF(SUMPRODUCT(--(Lookup_Status!$A$2:$A$13=LOWER(TRIM(Raw_Passengers!G812))))=0,"",INDEX(Lookup_Status!$B$2:$B$13,SUMPRODUCT((Lookup_Status!$A$2:$A$13=LOWER(TRIM(Raw_Passengers!G812)))*(ROW(Lookup_Status!$A$2:$A$13)-1))))</f>
        <v>Confirmed</v>
      </c>
      <c r="I812" s="7">
        <f>IF(OR(G812="",G812="Cancelled",G812="Mixed"),1,0)</f>
        <v>0</v>
      </c>
      <c r="J812" s="7">
        <f>IF(OR(H812="",H812="Mixed"),1,0)</f>
        <v>0</v>
      </c>
      <c r="K812" s="7">
        <f>IF(AND(C812=0,D812=0),IF(OR(AND(I812=0,NOT(EXACT(Raw_Passengers!F812,G812))),AND(J812=0,NOT(EXACT(Raw_Passengers!G812,H812)))),1,0),0)</f>
        <v>0</v>
      </c>
      <c r="L812" s="7">
        <f>IF(AND(C812=0,D812=0,I812=1),1,0)</f>
        <v>0</v>
      </c>
      <c r="M812" s="7">
        <f>IF(AND(C812=0,D812=0,J812=1),1,0)</f>
        <v>0</v>
      </c>
    </row>
    <row r="813" spans="1:13">
      <c r="A813" s="7">
        <f>Raw_Passengers!A813</f>
        <v>271187</v>
      </c>
      <c r="B813" s="7">
        <f>Raw_Passengers!B813</f>
        <v>1134307</v>
      </c>
      <c r="C813" s="7">
        <f>IF(COUNTIF(Raw_Passengers!$A$2:A813,Raw_Passengers!A813)&gt;1,1,0)</f>
        <v>0</v>
      </c>
      <c r="D813" s="7">
        <f>IF(COUNTIF(Raw_Bookings!$A$2:$A$648,Raw_Passengers!B813)=0,1,0)</f>
        <v>0</v>
      </c>
      <c r="E813" s="7">
        <f>IF(OR(C813=1,D813=1),0,IF(NOT(ISNUMBER(Raw_Passengers!E813)),1,IF(Raw_Passengers!E813&lt;=0,1,0)))</f>
        <v>0</v>
      </c>
      <c r="F813" s="7">
        <f>IF(AND(C813=0,D813=0,TRIM(Raw_Passengers!D813&amp;"")=""),1,0)</f>
        <v>0</v>
      </c>
      <c r="G813" s="7" t="str">
        <f>IF(SUMPRODUCT(--(Lookup_Status!$A$2:$A$13=LOWER(TRIM(Raw_Passengers!F813))))=0,"",INDEX(Lookup_Status!$B$2:$B$13,SUMPRODUCT((Lookup_Status!$A$2:$A$13=LOWER(TRIM(Raw_Passengers!F813)))*(ROW(Lookup_Status!$A$2:$A$13)-1))))</f>
        <v>Confirmed</v>
      </c>
      <c r="H813" s="7" t="str">
        <f>IF(SUMPRODUCT(--(Lookup_Status!$A$2:$A$13=LOWER(TRIM(Raw_Passengers!G813))))=0,"",INDEX(Lookup_Status!$B$2:$B$13,SUMPRODUCT((Lookup_Status!$A$2:$A$13=LOWER(TRIM(Raw_Passengers!G813)))*(ROW(Lookup_Status!$A$2:$A$13)-1))))</f>
        <v>Confirmed</v>
      </c>
      <c r="I813" s="7">
        <f>IF(OR(G813="",G813="Cancelled",G813="Mixed"),1,0)</f>
        <v>0</v>
      </c>
      <c r="J813" s="7">
        <f>IF(OR(H813="",H813="Mixed"),1,0)</f>
        <v>0</v>
      </c>
      <c r="K813" s="7">
        <f>IF(AND(C813=0,D813=0),IF(OR(AND(I813=0,NOT(EXACT(Raw_Passengers!F813,G813))),AND(J813=0,NOT(EXACT(Raw_Passengers!G813,H813)))),1,0),0)</f>
        <v>0</v>
      </c>
      <c r="L813" s="7">
        <f>IF(AND(C813=0,D813=0,I813=1),1,0)</f>
        <v>0</v>
      </c>
      <c r="M813" s="7">
        <f>IF(AND(C813=0,D813=0,J813=1),1,0)</f>
        <v>0</v>
      </c>
    </row>
    <row r="814" spans="1:13">
      <c r="A814" s="7">
        <f>Raw_Passengers!A814</f>
        <v>271188</v>
      </c>
      <c r="B814" s="7">
        <f>Raw_Passengers!B814</f>
        <v>1134307</v>
      </c>
      <c r="C814" s="7">
        <f>IF(COUNTIF(Raw_Passengers!$A$2:A814,Raw_Passengers!A814)&gt;1,1,0)</f>
        <v>0</v>
      </c>
      <c r="D814" s="7">
        <f>IF(COUNTIF(Raw_Bookings!$A$2:$A$648,Raw_Passengers!B814)=0,1,0)</f>
        <v>0</v>
      </c>
      <c r="E814" s="7">
        <f>IF(OR(C814=1,D814=1),0,IF(NOT(ISNUMBER(Raw_Passengers!E814)),1,IF(Raw_Passengers!E814&lt;=0,1,0)))</f>
        <v>0</v>
      </c>
      <c r="F814" s="7">
        <f>IF(AND(C814=0,D814=0,TRIM(Raw_Passengers!D814&amp;"")=""),1,0)</f>
        <v>0</v>
      </c>
      <c r="G814" s="7" t="str">
        <f>IF(SUMPRODUCT(--(Lookup_Status!$A$2:$A$13=LOWER(TRIM(Raw_Passengers!F814))))=0,"",INDEX(Lookup_Status!$B$2:$B$13,SUMPRODUCT((Lookup_Status!$A$2:$A$13=LOWER(TRIM(Raw_Passengers!F814)))*(ROW(Lookup_Status!$A$2:$A$13)-1))))</f>
        <v>Confirmed</v>
      </c>
      <c r="H814" s="7" t="str">
        <f>IF(SUMPRODUCT(--(Lookup_Status!$A$2:$A$13=LOWER(TRIM(Raw_Passengers!G814))))=0,"",INDEX(Lookup_Status!$B$2:$B$13,SUMPRODUCT((Lookup_Status!$A$2:$A$13=LOWER(TRIM(Raw_Passengers!G814)))*(ROW(Lookup_Status!$A$2:$A$13)-1))))</f>
        <v>Confirmed</v>
      </c>
      <c r="I814" s="7">
        <f>IF(OR(G814="",G814="Cancelled",G814="Mixed"),1,0)</f>
        <v>0</v>
      </c>
      <c r="J814" s="7">
        <f>IF(OR(H814="",H814="Mixed"),1,0)</f>
        <v>0</v>
      </c>
      <c r="K814" s="7">
        <f>IF(AND(C814=0,D814=0),IF(OR(AND(I814=0,NOT(EXACT(Raw_Passengers!F814,G814))),AND(J814=0,NOT(EXACT(Raw_Passengers!G814,H814)))),1,0),0)</f>
        <v>0</v>
      </c>
      <c r="L814" s="7">
        <f>IF(AND(C814=0,D814=0,I814=1),1,0)</f>
        <v>0</v>
      </c>
      <c r="M814" s="7">
        <f>IF(AND(C814=0,D814=0,J814=1),1,0)</f>
        <v>0</v>
      </c>
    </row>
    <row r="815" spans="1:13">
      <c r="A815" s="7">
        <f>Raw_Passengers!A815</f>
        <v>271189</v>
      </c>
      <c r="B815" s="7">
        <f>Raw_Passengers!B815</f>
        <v>1134307</v>
      </c>
      <c r="C815" s="7">
        <f>IF(COUNTIF(Raw_Passengers!$A$2:A815,Raw_Passengers!A815)&gt;1,1,0)</f>
        <v>0</v>
      </c>
      <c r="D815" s="7">
        <f>IF(COUNTIF(Raw_Bookings!$A$2:$A$648,Raw_Passengers!B815)=0,1,0)</f>
        <v>0</v>
      </c>
      <c r="E815" s="7">
        <f>IF(OR(C815=1,D815=1),0,IF(NOT(ISNUMBER(Raw_Passengers!E815)),1,IF(Raw_Passengers!E815&lt;=0,1,0)))</f>
        <v>0</v>
      </c>
      <c r="F815" s="7">
        <f>IF(AND(C815=0,D815=0,TRIM(Raw_Passengers!D815&amp;"")=""),1,0)</f>
        <v>0</v>
      </c>
      <c r="G815" s="7" t="str">
        <f>IF(SUMPRODUCT(--(Lookup_Status!$A$2:$A$13=LOWER(TRIM(Raw_Passengers!F815))))=0,"",INDEX(Lookup_Status!$B$2:$B$13,SUMPRODUCT((Lookup_Status!$A$2:$A$13=LOWER(TRIM(Raw_Passengers!F815)))*(ROW(Lookup_Status!$A$2:$A$13)-1))))</f>
        <v>Confirmed</v>
      </c>
      <c r="H815" s="7" t="str">
        <f>IF(SUMPRODUCT(--(Lookup_Status!$A$2:$A$13=LOWER(TRIM(Raw_Passengers!G815))))=0,"",INDEX(Lookup_Status!$B$2:$B$13,SUMPRODUCT((Lookup_Status!$A$2:$A$13=LOWER(TRIM(Raw_Passengers!G815)))*(ROW(Lookup_Status!$A$2:$A$13)-1))))</f>
        <v>Confirmed</v>
      </c>
      <c r="I815" s="7">
        <f>IF(OR(G815="",G815="Cancelled",G815="Mixed"),1,0)</f>
        <v>0</v>
      </c>
      <c r="J815" s="7">
        <f>IF(OR(H815="",H815="Mixed"),1,0)</f>
        <v>0</v>
      </c>
      <c r="K815" s="7">
        <f>IF(AND(C815=0,D815=0),IF(OR(AND(I815=0,NOT(EXACT(Raw_Passengers!F815,G815))),AND(J815=0,NOT(EXACT(Raw_Passengers!G815,H815)))),1,0),0)</f>
        <v>0</v>
      </c>
      <c r="L815" s="7">
        <f>IF(AND(C815=0,D815=0,I815=1),1,0)</f>
        <v>0</v>
      </c>
      <c r="M815" s="7">
        <f>IF(AND(C815=0,D815=0,J815=1),1,0)</f>
        <v>0</v>
      </c>
    </row>
    <row r="816" spans="1:13">
      <c r="A816" s="7">
        <f>Raw_Passengers!A816</f>
        <v>276077</v>
      </c>
      <c r="B816" s="7">
        <f>Raw_Passengers!B816</f>
        <v>1136744</v>
      </c>
      <c r="C816" s="7">
        <f>IF(COUNTIF(Raw_Passengers!$A$2:A816,Raw_Passengers!A816)&gt;1,1,0)</f>
        <v>0</v>
      </c>
      <c r="D816" s="7">
        <f>IF(COUNTIF(Raw_Bookings!$A$2:$A$648,Raw_Passengers!B816)=0,1,0)</f>
        <v>0</v>
      </c>
      <c r="E816" s="7">
        <f>IF(OR(C816=1,D816=1),0,IF(NOT(ISNUMBER(Raw_Passengers!E816)),1,IF(Raw_Passengers!E816&lt;=0,1,0)))</f>
        <v>0</v>
      </c>
      <c r="F816" s="7">
        <f>IF(AND(C816=0,D816=0,TRIM(Raw_Passengers!D816&amp;"")=""),1,0)</f>
        <v>0</v>
      </c>
      <c r="G816" s="7" t="str">
        <f>IF(SUMPRODUCT(--(Lookup_Status!$A$2:$A$13=LOWER(TRIM(Raw_Passengers!F816))))=0,"",INDEX(Lookup_Status!$B$2:$B$13,SUMPRODUCT((Lookup_Status!$A$2:$A$13=LOWER(TRIM(Raw_Passengers!F816)))*(ROW(Lookup_Status!$A$2:$A$13)-1))))</f>
        <v>Confirmed</v>
      </c>
      <c r="H816" s="7" t="str">
        <f>IF(SUMPRODUCT(--(Lookup_Status!$A$2:$A$13=LOWER(TRIM(Raw_Passengers!G816))))=0,"",INDEX(Lookup_Status!$B$2:$B$13,SUMPRODUCT((Lookup_Status!$A$2:$A$13=LOWER(TRIM(Raw_Passengers!G816)))*(ROW(Lookup_Status!$A$2:$A$13)-1))))</f>
        <v>Confirmed</v>
      </c>
      <c r="I816" s="7">
        <f>IF(OR(G816="",G816="Cancelled",G816="Mixed"),1,0)</f>
        <v>0</v>
      </c>
      <c r="J816" s="7">
        <f>IF(OR(H816="",H816="Mixed"),1,0)</f>
        <v>0</v>
      </c>
      <c r="K816" s="7">
        <f>IF(AND(C816=0,D816=0),IF(OR(AND(I816=0,NOT(EXACT(Raw_Passengers!F816,G816))),AND(J816=0,NOT(EXACT(Raw_Passengers!G816,H816)))),1,0),0)</f>
        <v>0</v>
      </c>
      <c r="L816" s="7">
        <f>IF(AND(C816=0,D816=0,I816=1),1,0)</f>
        <v>0</v>
      </c>
      <c r="M816" s="7">
        <f>IF(AND(C816=0,D816=0,J816=1),1,0)</f>
        <v>0</v>
      </c>
    </row>
    <row r="817" spans="1:13">
      <c r="A817" s="7">
        <f>Raw_Passengers!A817</f>
        <v>276162</v>
      </c>
      <c r="B817" s="7">
        <f>Raw_Passengers!B817</f>
        <v>1136796</v>
      </c>
      <c r="C817" s="7">
        <f>IF(COUNTIF(Raw_Passengers!$A$2:A817,Raw_Passengers!A817)&gt;1,1,0)</f>
        <v>0</v>
      </c>
      <c r="D817" s="7">
        <f>IF(COUNTIF(Raw_Bookings!$A$2:$A$648,Raw_Passengers!B817)=0,1,0)</f>
        <v>0</v>
      </c>
      <c r="E817" s="7">
        <f>IF(OR(C817=1,D817=1),0,IF(NOT(ISNUMBER(Raw_Passengers!E817)),1,IF(Raw_Passengers!E817&lt;=0,1,0)))</f>
        <v>0</v>
      </c>
      <c r="F817" s="7">
        <f>IF(AND(C817=0,D817=0,TRIM(Raw_Passengers!D817&amp;"")=""),1,0)</f>
        <v>0</v>
      </c>
      <c r="G817" s="7" t="str">
        <f>IF(SUMPRODUCT(--(Lookup_Status!$A$2:$A$13=LOWER(TRIM(Raw_Passengers!F817))))=0,"",INDEX(Lookup_Status!$B$2:$B$13,SUMPRODUCT((Lookup_Status!$A$2:$A$13=LOWER(TRIM(Raw_Passengers!F817)))*(ROW(Lookup_Status!$A$2:$A$13)-1))))</f>
        <v>Confirmed</v>
      </c>
      <c r="H817" s="7" t="str">
        <f>IF(SUMPRODUCT(--(Lookup_Status!$A$2:$A$13=LOWER(TRIM(Raw_Passengers!G817))))=0,"",INDEX(Lookup_Status!$B$2:$B$13,SUMPRODUCT((Lookup_Status!$A$2:$A$13=LOWER(TRIM(Raw_Passengers!G817)))*(ROW(Lookup_Status!$A$2:$A$13)-1))))</f>
        <v>Confirmed</v>
      </c>
      <c r="I817" s="7">
        <f>IF(OR(G817="",G817="Cancelled",G817="Mixed"),1,0)</f>
        <v>0</v>
      </c>
      <c r="J817" s="7">
        <f>IF(OR(H817="",H817="Mixed"),1,0)</f>
        <v>0</v>
      </c>
      <c r="K817" s="7">
        <f>IF(AND(C817=0,D817=0),IF(OR(AND(I817=0,NOT(EXACT(Raw_Passengers!F817,G817))),AND(J817=0,NOT(EXACT(Raw_Passengers!G817,H817)))),1,0),0)</f>
        <v>0</v>
      </c>
      <c r="L817" s="7">
        <f>IF(AND(C817=0,D817=0,I817=1),1,0)</f>
        <v>0</v>
      </c>
      <c r="M817" s="7">
        <f>IF(AND(C817=0,D817=0,J817=1),1,0)</f>
        <v>0</v>
      </c>
    </row>
    <row r="818" spans="1:13">
      <c r="A818" s="7">
        <f>Raw_Passengers!A818</f>
        <v>276163</v>
      </c>
      <c r="B818" s="7">
        <f>Raw_Passengers!B818</f>
        <v>1136796</v>
      </c>
      <c r="C818" s="7">
        <f>IF(COUNTIF(Raw_Passengers!$A$2:A818,Raw_Passengers!A818)&gt;1,1,0)</f>
        <v>0</v>
      </c>
      <c r="D818" s="7">
        <f>IF(COUNTIF(Raw_Bookings!$A$2:$A$648,Raw_Passengers!B818)=0,1,0)</f>
        <v>0</v>
      </c>
      <c r="E818" s="7">
        <f>IF(OR(C818=1,D818=1),0,IF(NOT(ISNUMBER(Raw_Passengers!E818)),1,IF(Raw_Passengers!E818&lt;=0,1,0)))</f>
        <v>0</v>
      </c>
      <c r="F818" s="7">
        <f>IF(AND(C818=0,D818=0,TRIM(Raw_Passengers!D818&amp;"")=""),1,0)</f>
        <v>0</v>
      </c>
      <c r="G818" s="7" t="str">
        <f>IF(SUMPRODUCT(--(Lookup_Status!$A$2:$A$13=LOWER(TRIM(Raw_Passengers!F818))))=0,"",INDEX(Lookup_Status!$B$2:$B$13,SUMPRODUCT((Lookup_Status!$A$2:$A$13=LOWER(TRIM(Raw_Passengers!F818)))*(ROW(Lookup_Status!$A$2:$A$13)-1))))</f>
        <v>Confirmed</v>
      </c>
      <c r="H818" s="7" t="str">
        <f>IF(SUMPRODUCT(--(Lookup_Status!$A$2:$A$13=LOWER(TRIM(Raw_Passengers!G818))))=0,"",INDEX(Lookup_Status!$B$2:$B$13,SUMPRODUCT((Lookup_Status!$A$2:$A$13=LOWER(TRIM(Raw_Passengers!G818)))*(ROW(Lookup_Status!$A$2:$A$13)-1))))</f>
        <v>Confirmed</v>
      </c>
      <c r="I818" s="7">
        <f>IF(OR(G818="",G818="Cancelled",G818="Mixed"),1,0)</f>
        <v>0</v>
      </c>
      <c r="J818" s="7">
        <f>IF(OR(H818="",H818="Mixed"),1,0)</f>
        <v>0</v>
      </c>
      <c r="K818" s="7">
        <f>IF(AND(C818=0,D818=0),IF(OR(AND(I818=0,NOT(EXACT(Raw_Passengers!F818,G818))),AND(J818=0,NOT(EXACT(Raw_Passengers!G818,H818)))),1,0),0)</f>
        <v>0</v>
      </c>
      <c r="L818" s="7">
        <f>IF(AND(C818=0,D818=0,I818=1),1,0)</f>
        <v>0</v>
      </c>
      <c r="M818" s="7">
        <f>IF(AND(C818=0,D818=0,J818=1),1,0)</f>
        <v>0</v>
      </c>
    </row>
    <row r="819" spans="1:13">
      <c r="A819" s="7">
        <f>Raw_Passengers!A819</f>
        <v>277365</v>
      </c>
      <c r="B819" s="7">
        <f>Raw_Passengers!B819</f>
        <v>1137400</v>
      </c>
      <c r="C819" s="7">
        <f>IF(COUNTIF(Raw_Passengers!$A$2:A819,Raw_Passengers!A819)&gt;1,1,0)</f>
        <v>0</v>
      </c>
      <c r="D819" s="7">
        <f>IF(COUNTIF(Raw_Bookings!$A$2:$A$648,Raw_Passengers!B819)=0,1,0)</f>
        <v>0</v>
      </c>
      <c r="E819" s="7">
        <f>IF(OR(C819=1,D819=1),0,IF(NOT(ISNUMBER(Raw_Passengers!E819)),1,IF(Raw_Passengers!E819&lt;=0,1,0)))</f>
        <v>0</v>
      </c>
      <c r="F819" s="7">
        <f>IF(AND(C819=0,D819=0,TRIM(Raw_Passengers!D819&amp;"")=""),1,0)</f>
        <v>0</v>
      </c>
      <c r="G819" s="7" t="str">
        <f>IF(SUMPRODUCT(--(Lookup_Status!$A$2:$A$13=LOWER(TRIM(Raw_Passengers!F819))))=0,"",INDEX(Lookup_Status!$B$2:$B$13,SUMPRODUCT((Lookup_Status!$A$2:$A$13=LOWER(TRIM(Raw_Passengers!F819)))*(ROW(Lookup_Status!$A$2:$A$13)-1))))</f>
        <v>Confirmed</v>
      </c>
      <c r="H819" s="7" t="str">
        <f>IF(SUMPRODUCT(--(Lookup_Status!$A$2:$A$13=LOWER(TRIM(Raw_Passengers!G819))))=0,"",INDEX(Lookup_Status!$B$2:$B$13,SUMPRODUCT((Lookup_Status!$A$2:$A$13=LOWER(TRIM(Raw_Passengers!G819)))*(ROW(Lookup_Status!$A$2:$A$13)-1))))</f>
        <v>Confirmed</v>
      </c>
      <c r="I819" s="7">
        <f>IF(OR(G819="",G819="Cancelled",G819="Mixed"),1,0)</f>
        <v>0</v>
      </c>
      <c r="J819" s="7">
        <f>IF(OR(H819="",H819="Mixed"),1,0)</f>
        <v>0</v>
      </c>
      <c r="K819" s="7">
        <f>IF(AND(C819=0,D819=0),IF(OR(AND(I819=0,NOT(EXACT(Raw_Passengers!F819,G819))),AND(J819=0,NOT(EXACT(Raw_Passengers!G819,H819)))),1,0),0)</f>
        <v>0</v>
      </c>
      <c r="L819" s="7">
        <f>IF(AND(C819=0,D819=0,I819=1),1,0)</f>
        <v>0</v>
      </c>
      <c r="M819" s="7">
        <f>IF(AND(C819=0,D819=0,J819=1),1,0)</f>
        <v>0</v>
      </c>
    </row>
    <row r="820" spans="1:13">
      <c r="A820" s="7">
        <f>Raw_Passengers!A820</f>
        <v>277366</v>
      </c>
      <c r="B820" s="7">
        <f>Raw_Passengers!B820</f>
        <v>1137400</v>
      </c>
      <c r="C820" s="7">
        <f>IF(COUNTIF(Raw_Passengers!$A$2:A820,Raw_Passengers!A820)&gt;1,1,0)</f>
        <v>0</v>
      </c>
      <c r="D820" s="7">
        <f>IF(COUNTIF(Raw_Bookings!$A$2:$A$648,Raw_Passengers!B820)=0,1,0)</f>
        <v>0</v>
      </c>
      <c r="E820" s="7">
        <f>IF(OR(C820=1,D820=1),0,IF(NOT(ISNUMBER(Raw_Passengers!E820)),1,IF(Raw_Passengers!E820&lt;=0,1,0)))</f>
        <v>0</v>
      </c>
      <c r="F820" s="7">
        <f>IF(AND(C820=0,D820=0,TRIM(Raw_Passengers!D820&amp;"")=""),1,0)</f>
        <v>0</v>
      </c>
      <c r="G820" s="7" t="str">
        <f>IF(SUMPRODUCT(--(Lookup_Status!$A$2:$A$13=LOWER(TRIM(Raw_Passengers!F820))))=0,"",INDEX(Lookup_Status!$B$2:$B$13,SUMPRODUCT((Lookup_Status!$A$2:$A$13=LOWER(TRIM(Raw_Passengers!F820)))*(ROW(Lookup_Status!$A$2:$A$13)-1))))</f>
        <v>Confirmed</v>
      </c>
      <c r="H820" s="7" t="str">
        <f>IF(SUMPRODUCT(--(Lookup_Status!$A$2:$A$13=LOWER(TRIM(Raw_Passengers!G820))))=0,"",INDEX(Lookup_Status!$B$2:$B$13,SUMPRODUCT((Lookup_Status!$A$2:$A$13=LOWER(TRIM(Raw_Passengers!G820)))*(ROW(Lookup_Status!$A$2:$A$13)-1))))</f>
        <v>Confirmed</v>
      </c>
      <c r="I820" s="7">
        <f>IF(OR(G820="",G820="Cancelled",G820="Mixed"),1,0)</f>
        <v>0</v>
      </c>
      <c r="J820" s="7">
        <f>IF(OR(H820="",H820="Mixed"),1,0)</f>
        <v>0</v>
      </c>
      <c r="K820" s="7">
        <f>IF(AND(C820=0,D820=0),IF(OR(AND(I820=0,NOT(EXACT(Raw_Passengers!F820,G820))),AND(J820=0,NOT(EXACT(Raw_Passengers!G820,H820)))),1,0),0)</f>
        <v>0</v>
      </c>
      <c r="L820" s="7">
        <f>IF(AND(C820=0,D820=0,I820=1),1,0)</f>
        <v>0</v>
      </c>
      <c r="M820" s="7">
        <f>IF(AND(C820=0,D820=0,J820=1),1,0)</f>
        <v>0</v>
      </c>
    </row>
    <row r="821" spans="1:13">
      <c r="A821" s="7">
        <f>Raw_Passengers!A821</f>
        <v>279471</v>
      </c>
      <c r="B821" s="7">
        <f>Raw_Passengers!B821</f>
        <v>1138455</v>
      </c>
      <c r="C821" s="7">
        <f>IF(COUNTIF(Raw_Passengers!$A$2:A821,Raw_Passengers!A821)&gt;1,1,0)</f>
        <v>0</v>
      </c>
      <c r="D821" s="7">
        <f>IF(COUNTIF(Raw_Bookings!$A$2:$A$648,Raw_Passengers!B821)=0,1,0)</f>
        <v>0</v>
      </c>
      <c r="E821" s="7">
        <f>IF(OR(C821=1,D821=1),0,IF(NOT(ISNUMBER(Raw_Passengers!E821)),1,IF(Raw_Passengers!E821&lt;=0,1,0)))</f>
        <v>0</v>
      </c>
      <c r="F821" s="7">
        <f>IF(AND(C821=0,D821=0,TRIM(Raw_Passengers!D821&amp;"")=""),1,0)</f>
        <v>0</v>
      </c>
      <c r="G821" s="7" t="str">
        <f>IF(SUMPRODUCT(--(Lookup_Status!$A$2:$A$13=LOWER(TRIM(Raw_Passengers!F821))))=0,"",INDEX(Lookup_Status!$B$2:$B$13,SUMPRODUCT((Lookup_Status!$A$2:$A$13=LOWER(TRIM(Raw_Passengers!F821)))*(ROW(Lookup_Status!$A$2:$A$13)-1))))</f>
        <v>Waitlisted</v>
      </c>
      <c r="H821" s="7" t="str">
        <f>IF(SUMPRODUCT(--(Lookup_Status!$A$2:$A$13=LOWER(TRIM(Raw_Passengers!G821))))=0,"",INDEX(Lookup_Status!$B$2:$B$13,SUMPRODUCT((Lookup_Status!$A$2:$A$13=LOWER(TRIM(Raw_Passengers!G821)))*(ROW(Lookup_Status!$A$2:$A$13)-1))))</f>
        <v>RAC</v>
      </c>
      <c r="I821" s="7">
        <f>IF(OR(G821="",G821="Cancelled",G821="Mixed"),1,0)</f>
        <v>0</v>
      </c>
      <c r="J821" s="7">
        <f>IF(OR(H821="",H821="Mixed"),1,0)</f>
        <v>0</v>
      </c>
      <c r="K821" s="7">
        <f>IF(AND(C821=0,D821=0),IF(OR(AND(I821=0,NOT(EXACT(Raw_Passengers!F821,G821))),AND(J821=0,NOT(EXACT(Raw_Passengers!G821,H821)))),1,0),0)</f>
        <v>0</v>
      </c>
      <c r="L821" s="7">
        <f>IF(AND(C821=0,D821=0,I821=1),1,0)</f>
        <v>0</v>
      </c>
      <c r="M821" s="7">
        <f>IF(AND(C821=0,D821=0,J821=1),1,0)</f>
        <v>0</v>
      </c>
    </row>
    <row r="822" spans="1:13">
      <c r="A822" s="7">
        <f>Raw_Passengers!A822</f>
        <v>279472</v>
      </c>
      <c r="B822" s="7">
        <f>Raw_Passengers!B822</f>
        <v>1138455</v>
      </c>
      <c r="C822" s="7">
        <f>IF(COUNTIF(Raw_Passengers!$A$2:A822,Raw_Passengers!A822)&gt;1,1,0)</f>
        <v>0</v>
      </c>
      <c r="D822" s="7">
        <f>IF(COUNTIF(Raw_Bookings!$A$2:$A$648,Raw_Passengers!B822)=0,1,0)</f>
        <v>0</v>
      </c>
      <c r="E822" s="7">
        <f>IF(OR(C822=1,D822=1),0,IF(NOT(ISNUMBER(Raw_Passengers!E822)),1,IF(Raw_Passengers!E822&lt;=0,1,0)))</f>
        <v>0</v>
      </c>
      <c r="F822" s="7">
        <f>IF(AND(C822=0,D822=0,TRIM(Raw_Passengers!D822&amp;"")=""),1,0)</f>
        <v>0</v>
      </c>
      <c r="G822" s="7" t="str">
        <f>IF(SUMPRODUCT(--(Lookup_Status!$A$2:$A$13=LOWER(TRIM(Raw_Passengers!F822))))=0,"",INDEX(Lookup_Status!$B$2:$B$13,SUMPRODUCT((Lookup_Status!$A$2:$A$13=LOWER(TRIM(Raw_Passengers!F822)))*(ROW(Lookup_Status!$A$2:$A$13)-1))))</f>
        <v>Waitlisted</v>
      </c>
      <c r="H822" s="7" t="str">
        <f>IF(SUMPRODUCT(--(Lookup_Status!$A$2:$A$13=LOWER(TRIM(Raw_Passengers!G822))))=0,"",INDEX(Lookup_Status!$B$2:$B$13,SUMPRODUCT((Lookup_Status!$A$2:$A$13=LOWER(TRIM(Raw_Passengers!G822)))*(ROW(Lookup_Status!$A$2:$A$13)-1))))</f>
        <v>RAC</v>
      </c>
      <c r="I822" s="7">
        <f>IF(OR(G822="",G822="Cancelled",G822="Mixed"),1,0)</f>
        <v>0</v>
      </c>
      <c r="J822" s="7">
        <f>IF(OR(H822="",H822="Mixed"),1,0)</f>
        <v>0</v>
      </c>
      <c r="K822" s="7">
        <f>IF(AND(C822=0,D822=0),IF(OR(AND(I822=0,NOT(EXACT(Raw_Passengers!F822,G822))),AND(J822=0,NOT(EXACT(Raw_Passengers!G822,H822)))),1,0),0)</f>
        <v>0</v>
      </c>
      <c r="L822" s="7">
        <f>IF(AND(C822=0,D822=0,I822=1),1,0)</f>
        <v>0</v>
      </c>
      <c r="M822" s="7">
        <f>IF(AND(C822=0,D822=0,J822=1),1,0)</f>
        <v>0</v>
      </c>
    </row>
    <row r="823" spans="1:13">
      <c r="A823" s="7">
        <f>Raw_Passengers!A823</f>
        <v>279473</v>
      </c>
      <c r="B823" s="7">
        <f>Raw_Passengers!B823</f>
        <v>1138455</v>
      </c>
      <c r="C823" s="7">
        <f>IF(COUNTIF(Raw_Passengers!$A$2:A823,Raw_Passengers!A823)&gt;1,1,0)</f>
        <v>0</v>
      </c>
      <c r="D823" s="7">
        <f>IF(COUNTIF(Raw_Bookings!$A$2:$A$648,Raw_Passengers!B823)=0,1,0)</f>
        <v>0</v>
      </c>
      <c r="E823" s="7">
        <f>IF(OR(C823=1,D823=1),0,IF(NOT(ISNUMBER(Raw_Passengers!E823)),1,IF(Raw_Passengers!E823&lt;=0,1,0)))</f>
        <v>0</v>
      </c>
      <c r="F823" s="7">
        <f>IF(AND(C823=0,D823=0,TRIM(Raw_Passengers!D823&amp;"")=""),1,0)</f>
        <v>0</v>
      </c>
      <c r="G823" s="7" t="str">
        <f>IF(SUMPRODUCT(--(Lookup_Status!$A$2:$A$13=LOWER(TRIM(Raw_Passengers!F823))))=0,"",INDEX(Lookup_Status!$B$2:$B$13,SUMPRODUCT((Lookup_Status!$A$2:$A$13=LOWER(TRIM(Raw_Passengers!F823)))*(ROW(Lookup_Status!$A$2:$A$13)-1))))</f>
        <v>Waitlisted</v>
      </c>
      <c r="H823" s="7" t="str">
        <f>IF(SUMPRODUCT(--(Lookup_Status!$A$2:$A$13=LOWER(TRIM(Raw_Passengers!G823))))=0,"",INDEX(Lookup_Status!$B$2:$B$13,SUMPRODUCT((Lookup_Status!$A$2:$A$13=LOWER(TRIM(Raw_Passengers!G823)))*(ROW(Lookup_Status!$A$2:$A$13)-1))))</f>
        <v>Waitlisted</v>
      </c>
      <c r="I823" s="7">
        <f>IF(OR(G823="",G823="Cancelled",G823="Mixed"),1,0)</f>
        <v>0</v>
      </c>
      <c r="J823" s="7">
        <f>IF(OR(H823="",H823="Mixed"),1,0)</f>
        <v>0</v>
      </c>
      <c r="K823" s="7">
        <f>IF(AND(C823=0,D823=0),IF(OR(AND(I823=0,NOT(EXACT(Raw_Passengers!F823,G823))),AND(J823=0,NOT(EXACT(Raw_Passengers!G823,H823)))),1,0),0)</f>
        <v>0</v>
      </c>
      <c r="L823" s="7">
        <f>IF(AND(C823=0,D823=0,I823=1),1,0)</f>
        <v>0</v>
      </c>
      <c r="M823" s="7">
        <f>IF(AND(C823=0,D823=0,J823=1),1,0)</f>
        <v>0</v>
      </c>
    </row>
    <row r="824" spans="1:13">
      <c r="A824" s="7">
        <f>Raw_Passengers!A824</f>
        <v>279589</v>
      </c>
      <c r="B824" s="7">
        <f>Raw_Passengers!B824</f>
        <v>1138512</v>
      </c>
      <c r="C824" s="7">
        <f>IF(COUNTIF(Raw_Passengers!$A$2:A824,Raw_Passengers!A824)&gt;1,1,0)</f>
        <v>0</v>
      </c>
      <c r="D824" s="7">
        <f>IF(COUNTIF(Raw_Bookings!$A$2:$A$648,Raw_Passengers!B824)=0,1,0)</f>
        <v>0</v>
      </c>
      <c r="E824" s="7">
        <f>IF(OR(C824=1,D824=1),0,IF(NOT(ISNUMBER(Raw_Passengers!E824)),1,IF(Raw_Passengers!E824&lt;=0,1,0)))</f>
        <v>0</v>
      </c>
      <c r="F824" s="7">
        <f>IF(AND(C824=0,D824=0,TRIM(Raw_Passengers!D824&amp;"")=""),1,0)</f>
        <v>0</v>
      </c>
      <c r="G824" s="7" t="str">
        <f>IF(SUMPRODUCT(--(Lookup_Status!$A$2:$A$13=LOWER(TRIM(Raw_Passengers!F824))))=0,"",INDEX(Lookup_Status!$B$2:$B$13,SUMPRODUCT((Lookup_Status!$A$2:$A$13=LOWER(TRIM(Raw_Passengers!F824)))*(ROW(Lookup_Status!$A$2:$A$13)-1))))</f>
        <v>Confirmed</v>
      </c>
      <c r="H824" s="7" t="str">
        <f>IF(SUMPRODUCT(--(Lookup_Status!$A$2:$A$13=LOWER(TRIM(Raw_Passengers!G824))))=0,"",INDEX(Lookup_Status!$B$2:$B$13,SUMPRODUCT((Lookup_Status!$A$2:$A$13=LOWER(TRIM(Raw_Passengers!G824)))*(ROW(Lookup_Status!$A$2:$A$13)-1))))</f>
        <v>Confirmed</v>
      </c>
      <c r="I824" s="7">
        <f>IF(OR(G824="",G824="Cancelled",G824="Mixed"),1,0)</f>
        <v>0</v>
      </c>
      <c r="J824" s="7">
        <f>IF(OR(H824="",H824="Mixed"),1,0)</f>
        <v>0</v>
      </c>
      <c r="K824" s="7">
        <f>IF(AND(C824=0,D824=0),IF(OR(AND(I824=0,NOT(EXACT(Raw_Passengers!F824,G824))),AND(J824=0,NOT(EXACT(Raw_Passengers!G824,H824)))),1,0),0)</f>
        <v>0</v>
      </c>
      <c r="L824" s="7">
        <f>IF(AND(C824=0,D824=0,I824=1),1,0)</f>
        <v>0</v>
      </c>
      <c r="M824" s="7">
        <f>IF(AND(C824=0,D824=0,J824=1),1,0)</f>
        <v>0</v>
      </c>
    </row>
    <row r="825" spans="1:13">
      <c r="A825" s="7">
        <f>Raw_Passengers!A825</f>
        <v>279590</v>
      </c>
      <c r="B825" s="7">
        <f>Raw_Passengers!B825</f>
        <v>1138512</v>
      </c>
      <c r="C825" s="7">
        <f>IF(COUNTIF(Raw_Passengers!$A$2:A825,Raw_Passengers!A825)&gt;1,1,0)</f>
        <v>0</v>
      </c>
      <c r="D825" s="7">
        <f>IF(COUNTIF(Raw_Bookings!$A$2:$A$648,Raw_Passengers!B825)=0,1,0)</f>
        <v>0</v>
      </c>
      <c r="E825" s="7">
        <f>IF(OR(C825=1,D825=1),0,IF(NOT(ISNUMBER(Raw_Passengers!E825)),1,IF(Raw_Passengers!E825&lt;=0,1,0)))</f>
        <v>0</v>
      </c>
      <c r="F825" s="7">
        <f>IF(AND(C825=0,D825=0,TRIM(Raw_Passengers!D825&amp;"")=""),1,0)</f>
        <v>0</v>
      </c>
      <c r="G825" s="7" t="str">
        <f>IF(SUMPRODUCT(--(Lookup_Status!$A$2:$A$13=LOWER(TRIM(Raw_Passengers!F825))))=0,"",INDEX(Lookup_Status!$B$2:$B$13,SUMPRODUCT((Lookup_Status!$A$2:$A$13=LOWER(TRIM(Raw_Passengers!F825)))*(ROW(Lookup_Status!$A$2:$A$13)-1))))</f>
        <v>Confirmed</v>
      </c>
      <c r="H825" s="7" t="str">
        <f>IF(SUMPRODUCT(--(Lookup_Status!$A$2:$A$13=LOWER(TRIM(Raw_Passengers!G825))))=0,"",INDEX(Lookup_Status!$B$2:$B$13,SUMPRODUCT((Lookup_Status!$A$2:$A$13=LOWER(TRIM(Raw_Passengers!G825)))*(ROW(Lookup_Status!$A$2:$A$13)-1))))</f>
        <v>Confirmed</v>
      </c>
      <c r="I825" s="7">
        <f>IF(OR(G825="",G825="Cancelled",G825="Mixed"),1,0)</f>
        <v>0</v>
      </c>
      <c r="J825" s="7">
        <f>IF(OR(H825="",H825="Mixed"),1,0)</f>
        <v>0</v>
      </c>
      <c r="K825" s="7">
        <f>IF(AND(C825=0,D825=0),IF(OR(AND(I825=0,NOT(EXACT(Raw_Passengers!F825,G825))),AND(J825=0,NOT(EXACT(Raw_Passengers!G825,H825)))),1,0),0)</f>
        <v>0</v>
      </c>
      <c r="L825" s="7">
        <f>IF(AND(C825=0,D825=0,I825=1),1,0)</f>
        <v>0</v>
      </c>
      <c r="M825" s="7">
        <f>IF(AND(C825=0,D825=0,J825=1),1,0)</f>
        <v>0</v>
      </c>
    </row>
    <row r="826" spans="1:13">
      <c r="A826" s="7">
        <f>Raw_Passengers!A826</f>
        <v>279591</v>
      </c>
      <c r="B826" s="7">
        <f>Raw_Passengers!B826</f>
        <v>1138512</v>
      </c>
      <c r="C826" s="7">
        <f>IF(COUNTIF(Raw_Passengers!$A$2:A826,Raw_Passengers!A826)&gt;1,1,0)</f>
        <v>0</v>
      </c>
      <c r="D826" s="7">
        <f>IF(COUNTIF(Raw_Bookings!$A$2:$A$648,Raw_Passengers!B826)=0,1,0)</f>
        <v>0</v>
      </c>
      <c r="E826" s="7">
        <f>IF(OR(C826=1,D826=1),0,IF(NOT(ISNUMBER(Raw_Passengers!E826)),1,IF(Raw_Passengers!E826&lt;=0,1,0)))</f>
        <v>0</v>
      </c>
      <c r="F826" s="7">
        <f>IF(AND(C826=0,D826=0,TRIM(Raw_Passengers!D826&amp;"")=""),1,0)</f>
        <v>0</v>
      </c>
      <c r="G826" s="7" t="str">
        <f>IF(SUMPRODUCT(--(Lookup_Status!$A$2:$A$13=LOWER(TRIM(Raw_Passengers!F826))))=0,"",INDEX(Lookup_Status!$B$2:$B$13,SUMPRODUCT((Lookup_Status!$A$2:$A$13=LOWER(TRIM(Raw_Passengers!F826)))*(ROW(Lookup_Status!$A$2:$A$13)-1))))</f>
        <v>Confirmed</v>
      </c>
      <c r="H826" s="7" t="str">
        <f>IF(SUMPRODUCT(--(Lookup_Status!$A$2:$A$13=LOWER(TRIM(Raw_Passengers!G826))))=0,"",INDEX(Lookup_Status!$B$2:$B$13,SUMPRODUCT((Lookup_Status!$A$2:$A$13=LOWER(TRIM(Raw_Passengers!G826)))*(ROW(Lookup_Status!$A$2:$A$13)-1))))</f>
        <v>Confirmed</v>
      </c>
      <c r="I826" s="7">
        <f>IF(OR(G826="",G826="Cancelled",G826="Mixed"),1,0)</f>
        <v>0</v>
      </c>
      <c r="J826" s="7">
        <f>IF(OR(H826="",H826="Mixed"),1,0)</f>
        <v>0</v>
      </c>
      <c r="K826" s="7">
        <f>IF(AND(C826=0,D826=0),IF(OR(AND(I826=0,NOT(EXACT(Raw_Passengers!F826,G826))),AND(J826=0,NOT(EXACT(Raw_Passengers!G826,H826)))),1,0),0)</f>
        <v>0</v>
      </c>
      <c r="L826" s="7">
        <f>IF(AND(C826=0,D826=0,I826=1),1,0)</f>
        <v>0</v>
      </c>
      <c r="M826" s="7">
        <f>IF(AND(C826=0,D826=0,J826=1),1,0)</f>
        <v>0</v>
      </c>
    </row>
    <row r="827" spans="1:13">
      <c r="A827" s="7">
        <f>Raw_Passengers!A827</f>
        <v>280108</v>
      </c>
      <c r="B827" s="7">
        <f>Raw_Passengers!B827</f>
        <v>1138785</v>
      </c>
      <c r="C827" s="7">
        <f>IF(COUNTIF(Raw_Passengers!$A$2:A827,Raw_Passengers!A827)&gt;1,1,0)</f>
        <v>0</v>
      </c>
      <c r="D827" s="7">
        <f>IF(COUNTIF(Raw_Bookings!$A$2:$A$648,Raw_Passengers!B827)=0,1,0)</f>
        <v>0</v>
      </c>
      <c r="E827" s="7">
        <f>IF(OR(C827=1,D827=1),0,IF(NOT(ISNUMBER(Raw_Passengers!E827)),1,IF(Raw_Passengers!E827&lt;=0,1,0)))</f>
        <v>0</v>
      </c>
      <c r="F827" s="7">
        <f>IF(AND(C827=0,D827=0,TRIM(Raw_Passengers!D827&amp;"")=""),1,0)</f>
        <v>0</v>
      </c>
      <c r="G827" s="7">
        <f>IF(SUMPRODUCT(--(Lookup_Status!$A$2:$A$13=LOWER(TRIM(Raw_Passengers!F827))))=0,"",INDEX(Lookup_Status!$B$2:$B$13,SUMPRODUCT((Lookup_Status!$A$2:$A$13=LOWER(TRIM(Raw_Passengers!F827)))*(ROW(Lookup_Status!$A$2:$A$13)-1))))</f>
        <v/>
      </c>
      <c r="H827" s="7" t="str">
        <f>IF(SUMPRODUCT(--(Lookup_Status!$A$2:$A$13=LOWER(TRIM(Raw_Passengers!G827))))=0,"",INDEX(Lookup_Status!$B$2:$B$13,SUMPRODUCT((Lookup_Status!$A$2:$A$13=LOWER(TRIM(Raw_Passengers!G827)))*(ROW(Lookup_Status!$A$2:$A$13)-1))))</f>
        <v>Confirmed</v>
      </c>
      <c r="I827" s="7">
        <f>IF(OR(G827="",G827="Cancelled",G827="Mixed"),1,0)</f>
        <v>1</v>
      </c>
      <c r="J827" s="7">
        <f>IF(OR(H827="",H827="Mixed"),1,0)</f>
        <v>0</v>
      </c>
      <c r="K827" s="7">
        <f>IF(AND(C827=0,D827=0),IF(OR(AND(I827=0,NOT(EXACT(Raw_Passengers!F827,G827))),AND(J827=0,NOT(EXACT(Raw_Passengers!G827,H827)))),1,0),0)</f>
        <v>0</v>
      </c>
      <c r="L827" s="7">
        <f>IF(AND(C827=0,D827=0,I827=1),1,0)</f>
        <v>1</v>
      </c>
      <c r="M827" s="7">
        <f>IF(AND(C827=0,D827=0,J827=1),1,0)</f>
        <v>0</v>
      </c>
    </row>
    <row r="828" spans="1:13">
      <c r="A828" s="7">
        <f>Raw_Passengers!A828</f>
        <v>280109</v>
      </c>
      <c r="B828" s="7">
        <f>Raw_Passengers!B828</f>
        <v>1138785</v>
      </c>
      <c r="C828" s="7">
        <f>IF(COUNTIF(Raw_Passengers!$A$2:A828,Raw_Passengers!A828)&gt;1,1,0)</f>
        <v>0</v>
      </c>
      <c r="D828" s="7">
        <f>IF(COUNTIF(Raw_Bookings!$A$2:$A$648,Raw_Passengers!B828)=0,1,0)</f>
        <v>0</v>
      </c>
      <c r="E828" s="7">
        <f>IF(OR(C828=1,D828=1),0,IF(NOT(ISNUMBER(Raw_Passengers!E828)),1,IF(Raw_Passengers!E828&lt;=0,1,0)))</f>
        <v>0</v>
      </c>
      <c r="F828" s="7">
        <f>IF(AND(C828=0,D828=0,TRIM(Raw_Passengers!D828&amp;"")=""),1,0)</f>
        <v>0</v>
      </c>
      <c r="G828" s="7" t="str">
        <f>IF(SUMPRODUCT(--(Lookup_Status!$A$2:$A$13=LOWER(TRIM(Raw_Passengers!F828))))=0,"",INDEX(Lookup_Status!$B$2:$B$13,SUMPRODUCT((Lookup_Status!$A$2:$A$13=LOWER(TRIM(Raw_Passengers!F828)))*(ROW(Lookup_Status!$A$2:$A$13)-1))))</f>
        <v>Confirmed</v>
      </c>
      <c r="H828" s="7" t="str">
        <f>IF(SUMPRODUCT(--(Lookup_Status!$A$2:$A$13=LOWER(TRIM(Raw_Passengers!G828))))=0,"",INDEX(Lookup_Status!$B$2:$B$13,SUMPRODUCT((Lookup_Status!$A$2:$A$13=LOWER(TRIM(Raw_Passengers!G828)))*(ROW(Lookup_Status!$A$2:$A$13)-1))))</f>
        <v>Confirmed</v>
      </c>
      <c r="I828" s="7">
        <f>IF(OR(G828="",G828="Cancelled",G828="Mixed"),1,0)</f>
        <v>0</v>
      </c>
      <c r="J828" s="7">
        <f>IF(OR(H828="",H828="Mixed"),1,0)</f>
        <v>0</v>
      </c>
      <c r="K828" s="7">
        <f>IF(AND(C828=0,D828=0),IF(OR(AND(I828=0,NOT(EXACT(Raw_Passengers!F828,G828))),AND(J828=0,NOT(EXACT(Raw_Passengers!G828,H828)))),1,0),0)</f>
        <v>0</v>
      </c>
      <c r="L828" s="7">
        <f>IF(AND(C828=0,D828=0,I828=1),1,0)</f>
        <v>0</v>
      </c>
      <c r="M828" s="7">
        <f>IF(AND(C828=0,D828=0,J828=1),1,0)</f>
        <v>0</v>
      </c>
    </row>
    <row r="829" spans="1:13">
      <c r="A829" s="7">
        <f>Raw_Passengers!A829</f>
        <v>281190</v>
      </c>
      <c r="B829" s="7">
        <f>Raw_Passengers!B829</f>
        <v>1139299</v>
      </c>
      <c r="C829" s="7">
        <f>IF(COUNTIF(Raw_Passengers!$A$2:A829,Raw_Passengers!A829)&gt;1,1,0)</f>
        <v>0</v>
      </c>
      <c r="D829" s="7">
        <f>IF(COUNTIF(Raw_Bookings!$A$2:$A$648,Raw_Passengers!B829)=0,1,0)</f>
        <v>0</v>
      </c>
      <c r="E829" s="7">
        <f>IF(OR(C829=1,D829=1),0,IF(NOT(ISNUMBER(Raw_Passengers!E829)),1,IF(Raw_Passengers!E829&lt;=0,1,0)))</f>
        <v>0</v>
      </c>
      <c r="F829" s="7">
        <f>IF(AND(C829=0,D829=0,TRIM(Raw_Passengers!D829&amp;"")=""),1,0)</f>
        <v>0</v>
      </c>
      <c r="G829" s="7" t="str">
        <f>IF(SUMPRODUCT(--(Lookup_Status!$A$2:$A$13=LOWER(TRIM(Raw_Passengers!F829))))=0,"",INDEX(Lookup_Status!$B$2:$B$13,SUMPRODUCT((Lookup_Status!$A$2:$A$13=LOWER(TRIM(Raw_Passengers!F829)))*(ROW(Lookup_Status!$A$2:$A$13)-1))))</f>
        <v>Confirmed</v>
      </c>
      <c r="H829" s="7" t="str">
        <f>IF(SUMPRODUCT(--(Lookup_Status!$A$2:$A$13=LOWER(TRIM(Raw_Passengers!G829))))=0,"",INDEX(Lookup_Status!$B$2:$B$13,SUMPRODUCT((Lookup_Status!$A$2:$A$13=LOWER(TRIM(Raw_Passengers!G829)))*(ROW(Lookup_Status!$A$2:$A$13)-1))))</f>
        <v>Cancelled</v>
      </c>
      <c r="I829" s="7">
        <f>IF(OR(G829="",G829="Cancelled",G829="Mixed"),1,0)</f>
        <v>0</v>
      </c>
      <c r="J829" s="7">
        <f>IF(OR(H829="",H829="Mixed"),1,0)</f>
        <v>0</v>
      </c>
      <c r="K829" s="7">
        <f>IF(AND(C829=0,D829=0),IF(OR(AND(I829=0,NOT(EXACT(Raw_Passengers!F829,G829))),AND(J829=0,NOT(EXACT(Raw_Passengers!G829,H829)))),1,0),0)</f>
        <v>0</v>
      </c>
      <c r="L829" s="7">
        <f>IF(AND(C829=0,D829=0,I829=1),1,0)</f>
        <v>0</v>
      </c>
      <c r="M829" s="7">
        <f>IF(AND(C829=0,D829=0,J829=1),1,0)</f>
        <v>0</v>
      </c>
    </row>
    <row r="830" spans="1:13">
      <c r="A830" s="7">
        <f>Raw_Passengers!A830</f>
        <v>281191</v>
      </c>
      <c r="B830" s="7">
        <f>Raw_Passengers!B830</f>
        <v>1139299</v>
      </c>
      <c r="C830" s="7">
        <f>IF(COUNTIF(Raw_Passengers!$A$2:A830,Raw_Passengers!A830)&gt;1,1,0)</f>
        <v>0</v>
      </c>
      <c r="D830" s="7">
        <f>IF(COUNTIF(Raw_Bookings!$A$2:$A$648,Raw_Passengers!B830)=0,1,0)</f>
        <v>0</v>
      </c>
      <c r="E830" s="7">
        <f>IF(OR(C830=1,D830=1),0,IF(NOT(ISNUMBER(Raw_Passengers!E830)),1,IF(Raw_Passengers!E830&lt;=0,1,0)))</f>
        <v>0</v>
      </c>
      <c r="F830" s="7">
        <f>IF(AND(C830=0,D830=0,TRIM(Raw_Passengers!D830&amp;"")=""),1,0)</f>
        <v>0</v>
      </c>
      <c r="G830" s="7" t="str">
        <f>IF(SUMPRODUCT(--(Lookup_Status!$A$2:$A$13=LOWER(TRIM(Raw_Passengers!F830))))=0,"",INDEX(Lookup_Status!$B$2:$B$13,SUMPRODUCT((Lookup_Status!$A$2:$A$13=LOWER(TRIM(Raw_Passengers!F830)))*(ROW(Lookup_Status!$A$2:$A$13)-1))))</f>
        <v>Confirmed</v>
      </c>
      <c r="H830" s="7" t="str">
        <f>IF(SUMPRODUCT(--(Lookup_Status!$A$2:$A$13=LOWER(TRIM(Raw_Passengers!G830))))=0,"",INDEX(Lookup_Status!$B$2:$B$13,SUMPRODUCT((Lookup_Status!$A$2:$A$13=LOWER(TRIM(Raw_Passengers!G830)))*(ROW(Lookup_Status!$A$2:$A$13)-1))))</f>
        <v>Cancelled</v>
      </c>
      <c r="I830" s="7">
        <f>IF(OR(G830="",G830="Cancelled",G830="Mixed"),1,0)</f>
        <v>0</v>
      </c>
      <c r="J830" s="7">
        <f>IF(OR(H830="",H830="Mixed"),1,0)</f>
        <v>0</v>
      </c>
      <c r="K830" s="7">
        <f>IF(AND(C830=0,D830=0),IF(OR(AND(I830=0,NOT(EXACT(Raw_Passengers!F830,G830))),AND(J830=0,NOT(EXACT(Raw_Passengers!G830,H830)))),1,0),0)</f>
        <v>0</v>
      </c>
      <c r="L830" s="7">
        <f>IF(AND(C830=0,D830=0,I830=1),1,0)</f>
        <v>0</v>
      </c>
      <c r="M830" s="7">
        <f>IF(AND(C830=0,D830=0,J830=1),1,0)</f>
        <v>0</v>
      </c>
    </row>
    <row r="831" spans="1:13">
      <c r="A831" s="7">
        <f>Raw_Passengers!A831</f>
        <v>281192</v>
      </c>
      <c r="B831" s="7">
        <f>Raw_Passengers!B831</f>
        <v>1139299</v>
      </c>
      <c r="C831" s="7">
        <f>IF(COUNTIF(Raw_Passengers!$A$2:A831,Raw_Passengers!A831)&gt;1,1,0)</f>
        <v>0</v>
      </c>
      <c r="D831" s="7">
        <f>IF(COUNTIF(Raw_Bookings!$A$2:$A$648,Raw_Passengers!B831)=0,1,0)</f>
        <v>0</v>
      </c>
      <c r="E831" s="7">
        <f>IF(OR(C831=1,D831=1),0,IF(NOT(ISNUMBER(Raw_Passengers!E831)),1,IF(Raw_Passengers!E831&lt;=0,1,0)))</f>
        <v>0</v>
      </c>
      <c r="F831" s="7">
        <f>IF(AND(C831=0,D831=0,TRIM(Raw_Passengers!D831&amp;"")=""),1,0)</f>
        <v>0</v>
      </c>
      <c r="G831" s="7" t="str">
        <f>IF(SUMPRODUCT(--(Lookup_Status!$A$2:$A$13=LOWER(TRIM(Raw_Passengers!F831))))=0,"",INDEX(Lookup_Status!$B$2:$B$13,SUMPRODUCT((Lookup_Status!$A$2:$A$13=LOWER(TRIM(Raw_Passengers!F831)))*(ROW(Lookup_Status!$A$2:$A$13)-1))))</f>
        <v>Confirmed</v>
      </c>
      <c r="H831" s="7" t="str">
        <f>IF(SUMPRODUCT(--(Lookup_Status!$A$2:$A$13=LOWER(TRIM(Raw_Passengers!G831))))=0,"",INDEX(Lookup_Status!$B$2:$B$13,SUMPRODUCT((Lookup_Status!$A$2:$A$13=LOWER(TRIM(Raw_Passengers!G831)))*(ROW(Lookup_Status!$A$2:$A$13)-1))))</f>
        <v>Cancelled</v>
      </c>
      <c r="I831" s="7">
        <f>IF(OR(G831="",G831="Cancelled",G831="Mixed"),1,0)</f>
        <v>0</v>
      </c>
      <c r="J831" s="7">
        <f>IF(OR(H831="",H831="Mixed"),1,0)</f>
        <v>0</v>
      </c>
      <c r="K831" s="7">
        <f>IF(AND(C831=0,D831=0),IF(OR(AND(I831=0,NOT(EXACT(Raw_Passengers!F831,G831))),AND(J831=0,NOT(EXACT(Raw_Passengers!G831,H831)))),1,0),0)</f>
        <v>0</v>
      </c>
      <c r="L831" s="7">
        <f>IF(AND(C831=0,D831=0,I831=1),1,0)</f>
        <v>0</v>
      </c>
      <c r="M831" s="7">
        <f>IF(AND(C831=0,D831=0,J831=1),1,0)</f>
        <v>0</v>
      </c>
    </row>
    <row r="832" spans="1:13">
      <c r="A832" s="7">
        <f>Raw_Passengers!A832</f>
        <v>281193</v>
      </c>
      <c r="B832" s="7">
        <f>Raw_Passengers!B832</f>
        <v>1139299</v>
      </c>
      <c r="C832" s="7">
        <f>IF(COUNTIF(Raw_Passengers!$A$2:A832,Raw_Passengers!A832)&gt;1,1,0)</f>
        <v>0</v>
      </c>
      <c r="D832" s="7">
        <f>IF(COUNTIF(Raw_Bookings!$A$2:$A$648,Raw_Passengers!B832)=0,1,0)</f>
        <v>0</v>
      </c>
      <c r="E832" s="7">
        <f>IF(OR(C832=1,D832=1),0,IF(NOT(ISNUMBER(Raw_Passengers!E832)),1,IF(Raw_Passengers!E832&lt;=0,1,0)))</f>
        <v>0</v>
      </c>
      <c r="F832" s="7">
        <f>IF(AND(C832=0,D832=0,TRIM(Raw_Passengers!D832&amp;"")=""),1,0)</f>
        <v>0</v>
      </c>
      <c r="G832" s="7" t="str">
        <f>IF(SUMPRODUCT(--(Lookup_Status!$A$2:$A$13=LOWER(TRIM(Raw_Passengers!F832))))=0,"",INDEX(Lookup_Status!$B$2:$B$13,SUMPRODUCT((Lookup_Status!$A$2:$A$13=LOWER(TRIM(Raw_Passengers!F832)))*(ROW(Lookup_Status!$A$2:$A$13)-1))))</f>
        <v>Confirmed</v>
      </c>
      <c r="H832" s="7" t="str">
        <f>IF(SUMPRODUCT(--(Lookup_Status!$A$2:$A$13=LOWER(TRIM(Raw_Passengers!G832))))=0,"",INDEX(Lookup_Status!$B$2:$B$13,SUMPRODUCT((Lookup_Status!$A$2:$A$13=LOWER(TRIM(Raw_Passengers!G832)))*(ROW(Lookup_Status!$A$2:$A$13)-1))))</f>
        <v>Cancelled</v>
      </c>
      <c r="I832" s="7">
        <f>IF(OR(G832="",G832="Cancelled",G832="Mixed"),1,0)</f>
        <v>0</v>
      </c>
      <c r="J832" s="7">
        <f>IF(OR(H832="",H832="Mixed"),1,0)</f>
        <v>0</v>
      </c>
      <c r="K832" s="7">
        <f>IF(AND(C832=0,D832=0),IF(OR(AND(I832=0,NOT(EXACT(Raw_Passengers!F832,G832))),AND(J832=0,NOT(EXACT(Raw_Passengers!G832,H832)))),1,0),0)</f>
        <v>0</v>
      </c>
      <c r="L832" s="7">
        <f>IF(AND(C832=0,D832=0,I832=1),1,0)</f>
        <v>0</v>
      </c>
      <c r="M832" s="7">
        <f>IF(AND(C832=0,D832=0,J832=1),1,0)</f>
        <v>0</v>
      </c>
    </row>
    <row r="833" spans="1:13">
      <c r="A833" s="7">
        <f>Raw_Passengers!A833</f>
        <v>281686</v>
      </c>
      <c r="B833" s="7">
        <f>Raw_Passengers!B833</f>
        <v>1139539</v>
      </c>
      <c r="C833" s="7">
        <f>IF(COUNTIF(Raw_Passengers!$A$2:A833,Raw_Passengers!A833)&gt;1,1,0)</f>
        <v>0</v>
      </c>
      <c r="D833" s="7">
        <f>IF(COUNTIF(Raw_Bookings!$A$2:$A$648,Raw_Passengers!B833)=0,1,0)</f>
        <v>0</v>
      </c>
      <c r="E833" s="7">
        <f>IF(OR(C833=1,D833=1),0,IF(NOT(ISNUMBER(Raw_Passengers!E833)),1,IF(Raw_Passengers!E833&lt;=0,1,0)))</f>
        <v>0</v>
      </c>
      <c r="F833" s="7">
        <f>IF(AND(C833=0,D833=0,TRIM(Raw_Passengers!D833&amp;"")=""),1,0)</f>
        <v>0</v>
      </c>
      <c r="G833" s="7" t="str">
        <f>IF(SUMPRODUCT(--(Lookup_Status!$A$2:$A$13=LOWER(TRIM(Raw_Passengers!F833))))=0,"",INDEX(Lookup_Status!$B$2:$B$13,SUMPRODUCT((Lookup_Status!$A$2:$A$13=LOWER(TRIM(Raw_Passengers!F833)))*(ROW(Lookup_Status!$A$2:$A$13)-1))))</f>
        <v>Confirmed</v>
      </c>
      <c r="H833" s="7" t="str">
        <f>IF(SUMPRODUCT(--(Lookup_Status!$A$2:$A$13=LOWER(TRIM(Raw_Passengers!G833))))=0,"",INDEX(Lookup_Status!$B$2:$B$13,SUMPRODUCT((Lookup_Status!$A$2:$A$13=LOWER(TRIM(Raw_Passengers!G833)))*(ROW(Lookup_Status!$A$2:$A$13)-1))))</f>
        <v>Confirmed</v>
      </c>
      <c r="I833" s="7">
        <f>IF(OR(G833="",G833="Cancelled",G833="Mixed"),1,0)</f>
        <v>0</v>
      </c>
      <c r="J833" s="7">
        <f>IF(OR(H833="",H833="Mixed"),1,0)</f>
        <v>0</v>
      </c>
      <c r="K833" s="7">
        <f>IF(AND(C833=0,D833=0),IF(OR(AND(I833=0,NOT(EXACT(Raw_Passengers!F833,G833))),AND(J833=0,NOT(EXACT(Raw_Passengers!G833,H833)))),1,0),0)</f>
        <v>0</v>
      </c>
      <c r="L833" s="7">
        <f>IF(AND(C833=0,D833=0,I833=1),1,0)</f>
        <v>0</v>
      </c>
      <c r="M833" s="7">
        <f>IF(AND(C833=0,D833=0,J833=1),1,0)</f>
        <v>0</v>
      </c>
    </row>
    <row r="834" spans="1:13">
      <c r="A834" s="7">
        <f>Raw_Passengers!A834</f>
        <v>281687</v>
      </c>
      <c r="B834" s="7">
        <f>Raw_Passengers!B834</f>
        <v>1139539</v>
      </c>
      <c r="C834" s="7">
        <f>IF(COUNTIF(Raw_Passengers!$A$2:A834,Raw_Passengers!A834)&gt;1,1,0)</f>
        <v>0</v>
      </c>
      <c r="D834" s="7">
        <f>IF(COUNTIF(Raw_Bookings!$A$2:$A$648,Raw_Passengers!B834)=0,1,0)</f>
        <v>0</v>
      </c>
      <c r="E834" s="7">
        <f>IF(OR(C834=1,D834=1),0,IF(NOT(ISNUMBER(Raw_Passengers!E834)),1,IF(Raw_Passengers!E834&lt;=0,1,0)))</f>
        <v>0</v>
      </c>
      <c r="F834" s="7">
        <f>IF(AND(C834=0,D834=0,TRIM(Raw_Passengers!D834&amp;"")=""),1,0)</f>
        <v>0</v>
      </c>
      <c r="G834" s="7" t="str">
        <f>IF(SUMPRODUCT(--(Lookup_Status!$A$2:$A$13=LOWER(TRIM(Raw_Passengers!F834))))=0,"",INDEX(Lookup_Status!$B$2:$B$13,SUMPRODUCT((Lookup_Status!$A$2:$A$13=LOWER(TRIM(Raw_Passengers!F834)))*(ROW(Lookup_Status!$A$2:$A$13)-1))))</f>
        <v>Confirmed</v>
      </c>
      <c r="H834" s="7" t="str">
        <f>IF(SUMPRODUCT(--(Lookup_Status!$A$2:$A$13=LOWER(TRIM(Raw_Passengers!G834))))=0,"",INDEX(Lookup_Status!$B$2:$B$13,SUMPRODUCT((Lookup_Status!$A$2:$A$13=LOWER(TRIM(Raw_Passengers!G834)))*(ROW(Lookup_Status!$A$2:$A$13)-1))))</f>
        <v>Confirmed</v>
      </c>
      <c r="I834" s="7">
        <f>IF(OR(G834="",G834="Cancelled",G834="Mixed"),1,0)</f>
        <v>0</v>
      </c>
      <c r="J834" s="7">
        <f>IF(OR(H834="",H834="Mixed"),1,0)</f>
        <v>0</v>
      </c>
      <c r="K834" s="7">
        <f>IF(AND(C834=0,D834=0),IF(OR(AND(I834=0,NOT(EXACT(Raw_Passengers!F834,G834))),AND(J834=0,NOT(EXACT(Raw_Passengers!G834,H834)))),1,0),0)</f>
        <v>0</v>
      </c>
      <c r="L834" s="7">
        <f>IF(AND(C834=0,D834=0,I834=1),1,0)</f>
        <v>0</v>
      </c>
      <c r="M834" s="7">
        <f>IF(AND(C834=0,D834=0,J834=1),1,0)</f>
        <v>0</v>
      </c>
    </row>
    <row r="835" spans="1:13">
      <c r="A835" s="7">
        <f>Raw_Passengers!A835</f>
        <v>281688</v>
      </c>
      <c r="B835" s="7">
        <f>Raw_Passengers!B835</f>
        <v>1139539</v>
      </c>
      <c r="C835" s="7">
        <f>IF(COUNTIF(Raw_Passengers!$A$2:A835,Raw_Passengers!A835)&gt;1,1,0)</f>
        <v>0</v>
      </c>
      <c r="D835" s="7">
        <f>IF(COUNTIF(Raw_Bookings!$A$2:$A$648,Raw_Passengers!B835)=0,1,0)</f>
        <v>0</v>
      </c>
      <c r="E835" s="7">
        <f>IF(OR(C835=1,D835=1),0,IF(NOT(ISNUMBER(Raw_Passengers!E835)),1,IF(Raw_Passengers!E835&lt;=0,1,0)))</f>
        <v>0</v>
      </c>
      <c r="F835" s="7">
        <f>IF(AND(C835=0,D835=0,TRIM(Raw_Passengers!D835&amp;"")=""),1,0)</f>
        <v>0</v>
      </c>
      <c r="G835" s="7" t="str">
        <f>IF(SUMPRODUCT(--(Lookup_Status!$A$2:$A$13=LOWER(TRIM(Raw_Passengers!F835))))=0,"",INDEX(Lookup_Status!$B$2:$B$13,SUMPRODUCT((Lookup_Status!$A$2:$A$13=LOWER(TRIM(Raw_Passengers!F835)))*(ROW(Lookup_Status!$A$2:$A$13)-1))))</f>
        <v>Confirmed</v>
      </c>
      <c r="H835" s="7" t="str">
        <f>IF(SUMPRODUCT(--(Lookup_Status!$A$2:$A$13=LOWER(TRIM(Raw_Passengers!G835))))=0,"",INDEX(Lookup_Status!$B$2:$B$13,SUMPRODUCT((Lookup_Status!$A$2:$A$13=LOWER(TRIM(Raw_Passengers!G835)))*(ROW(Lookup_Status!$A$2:$A$13)-1))))</f>
        <v>Confirmed</v>
      </c>
      <c r="I835" s="7">
        <f>IF(OR(G835="",G835="Cancelled",G835="Mixed"),1,0)</f>
        <v>0</v>
      </c>
      <c r="J835" s="7">
        <f>IF(OR(H835="",H835="Mixed"),1,0)</f>
        <v>0</v>
      </c>
      <c r="K835" s="7">
        <f>IF(AND(C835=0,D835=0),IF(OR(AND(I835=0,NOT(EXACT(Raw_Passengers!F835,G835))),AND(J835=0,NOT(EXACT(Raw_Passengers!G835,H835)))),1,0),0)</f>
        <v>0</v>
      </c>
      <c r="L835" s="7">
        <f>IF(AND(C835=0,D835=0,I835=1),1,0)</f>
        <v>0</v>
      </c>
      <c r="M835" s="7">
        <f>IF(AND(C835=0,D835=0,J835=1),1,0)</f>
        <v>0</v>
      </c>
    </row>
    <row r="836" spans="1:13">
      <c r="A836" s="7">
        <f>Raw_Passengers!A836</f>
        <v>281689</v>
      </c>
      <c r="B836" s="7">
        <f>Raw_Passengers!B836</f>
        <v>1139539</v>
      </c>
      <c r="C836" s="7">
        <f>IF(COUNTIF(Raw_Passengers!$A$2:A836,Raw_Passengers!A836)&gt;1,1,0)</f>
        <v>0</v>
      </c>
      <c r="D836" s="7">
        <f>IF(COUNTIF(Raw_Bookings!$A$2:$A$648,Raw_Passengers!B836)=0,1,0)</f>
        <v>0</v>
      </c>
      <c r="E836" s="7">
        <f>IF(OR(C836=1,D836=1),0,IF(NOT(ISNUMBER(Raw_Passengers!E836)),1,IF(Raw_Passengers!E836&lt;=0,1,0)))</f>
        <v>0</v>
      </c>
      <c r="F836" s="7">
        <f>IF(AND(C836=0,D836=0,TRIM(Raw_Passengers!D836&amp;"")=""),1,0)</f>
        <v>0</v>
      </c>
      <c r="G836" s="7" t="str">
        <f>IF(SUMPRODUCT(--(Lookup_Status!$A$2:$A$13=LOWER(TRIM(Raw_Passengers!F836))))=0,"",INDEX(Lookup_Status!$B$2:$B$13,SUMPRODUCT((Lookup_Status!$A$2:$A$13=LOWER(TRIM(Raw_Passengers!F836)))*(ROW(Lookup_Status!$A$2:$A$13)-1))))</f>
        <v>Confirmed</v>
      </c>
      <c r="H836" s="7" t="str">
        <f>IF(SUMPRODUCT(--(Lookup_Status!$A$2:$A$13=LOWER(TRIM(Raw_Passengers!G836))))=0,"",INDEX(Lookup_Status!$B$2:$B$13,SUMPRODUCT((Lookup_Status!$A$2:$A$13=LOWER(TRIM(Raw_Passengers!G836)))*(ROW(Lookup_Status!$A$2:$A$13)-1))))</f>
        <v>Confirmed</v>
      </c>
      <c r="I836" s="7">
        <f>IF(OR(G836="",G836="Cancelled",G836="Mixed"),1,0)</f>
        <v>0</v>
      </c>
      <c r="J836" s="7">
        <f>IF(OR(H836="",H836="Mixed"),1,0)</f>
        <v>0</v>
      </c>
      <c r="K836" s="7">
        <f>IF(AND(C836=0,D836=0),IF(OR(AND(I836=0,NOT(EXACT(Raw_Passengers!F836,G836))),AND(J836=0,NOT(EXACT(Raw_Passengers!G836,H836)))),1,0),0)</f>
        <v>0</v>
      </c>
      <c r="L836" s="7">
        <f>IF(AND(C836=0,D836=0,I836=1),1,0)</f>
        <v>0</v>
      </c>
      <c r="M836" s="7">
        <f>IF(AND(C836=0,D836=0,J836=1),1,0)</f>
        <v>0</v>
      </c>
    </row>
    <row r="837" spans="1:13">
      <c r="A837" s="7">
        <f>Raw_Passengers!A837</f>
        <v>281690</v>
      </c>
      <c r="B837" s="7">
        <f>Raw_Passengers!B837</f>
        <v>1139539</v>
      </c>
      <c r="C837" s="7">
        <f>IF(COUNTIF(Raw_Passengers!$A$2:A837,Raw_Passengers!A837)&gt;1,1,0)</f>
        <v>0</v>
      </c>
      <c r="D837" s="7">
        <f>IF(COUNTIF(Raw_Bookings!$A$2:$A$648,Raw_Passengers!B837)=0,1,0)</f>
        <v>0</v>
      </c>
      <c r="E837" s="7">
        <f>IF(OR(C837=1,D837=1),0,IF(NOT(ISNUMBER(Raw_Passengers!E837)),1,IF(Raw_Passengers!E837&lt;=0,1,0)))</f>
        <v>0</v>
      </c>
      <c r="F837" s="7">
        <f>IF(AND(C837=0,D837=0,TRIM(Raw_Passengers!D837&amp;"")=""),1,0)</f>
        <v>0</v>
      </c>
      <c r="G837" s="7" t="str">
        <f>IF(SUMPRODUCT(--(Lookup_Status!$A$2:$A$13=LOWER(TRIM(Raw_Passengers!F837))))=0,"",INDEX(Lookup_Status!$B$2:$B$13,SUMPRODUCT((Lookup_Status!$A$2:$A$13=LOWER(TRIM(Raw_Passengers!F837)))*(ROW(Lookup_Status!$A$2:$A$13)-1))))</f>
        <v>Confirmed</v>
      </c>
      <c r="H837" s="7" t="str">
        <f>IF(SUMPRODUCT(--(Lookup_Status!$A$2:$A$13=LOWER(TRIM(Raw_Passengers!G837))))=0,"",INDEX(Lookup_Status!$B$2:$B$13,SUMPRODUCT((Lookup_Status!$A$2:$A$13=LOWER(TRIM(Raw_Passengers!G837)))*(ROW(Lookup_Status!$A$2:$A$13)-1))))</f>
        <v>Confirmed</v>
      </c>
      <c r="I837" s="7">
        <f>IF(OR(G837="",G837="Cancelled",G837="Mixed"),1,0)</f>
        <v>0</v>
      </c>
      <c r="J837" s="7">
        <f>IF(OR(H837="",H837="Mixed"),1,0)</f>
        <v>0</v>
      </c>
      <c r="K837" s="7">
        <f>IF(AND(C837=0,D837=0),IF(OR(AND(I837=0,NOT(EXACT(Raw_Passengers!F837,G837))),AND(J837=0,NOT(EXACT(Raw_Passengers!G837,H837)))),1,0),0)</f>
        <v>0</v>
      </c>
      <c r="L837" s="7">
        <f>IF(AND(C837=0,D837=0,I837=1),1,0)</f>
        <v>0</v>
      </c>
      <c r="M837" s="7">
        <f>IF(AND(C837=0,D837=0,J837=1),1,0)</f>
        <v>0</v>
      </c>
    </row>
    <row r="838" spans="1:13">
      <c r="A838" s="7">
        <f>Raw_Passengers!A838</f>
        <v>281691</v>
      </c>
      <c r="B838" s="7">
        <f>Raw_Passengers!B838</f>
        <v>1139539</v>
      </c>
      <c r="C838" s="7">
        <f>IF(COUNTIF(Raw_Passengers!$A$2:A838,Raw_Passengers!A838)&gt;1,1,0)</f>
        <v>0</v>
      </c>
      <c r="D838" s="7">
        <f>IF(COUNTIF(Raw_Bookings!$A$2:$A$648,Raw_Passengers!B838)=0,1,0)</f>
        <v>0</v>
      </c>
      <c r="E838" s="7">
        <f>IF(OR(C838=1,D838=1),0,IF(NOT(ISNUMBER(Raw_Passengers!E838)),1,IF(Raw_Passengers!E838&lt;=0,1,0)))</f>
        <v>0</v>
      </c>
      <c r="F838" s="7">
        <f>IF(AND(C838=0,D838=0,TRIM(Raw_Passengers!D838&amp;"")=""),1,0)</f>
        <v>0</v>
      </c>
      <c r="G838" s="7" t="str">
        <f>IF(SUMPRODUCT(--(Lookup_Status!$A$2:$A$13=LOWER(TRIM(Raw_Passengers!F838))))=0,"",INDEX(Lookup_Status!$B$2:$B$13,SUMPRODUCT((Lookup_Status!$A$2:$A$13=LOWER(TRIM(Raw_Passengers!F838)))*(ROW(Lookup_Status!$A$2:$A$13)-1))))</f>
        <v>Confirmed</v>
      </c>
      <c r="H838" s="7" t="str">
        <f>IF(SUMPRODUCT(--(Lookup_Status!$A$2:$A$13=LOWER(TRIM(Raw_Passengers!G838))))=0,"",INDEX(Lookup_Status!$B$2:$B$13,SUMPRODUCT((Lookup_Status!$A$2:$A$13=LOWER(TRIM(Raw_Passengers!G838)))*(ROW(Lookup_Status!$A$2:$A$13)-1))))</f>
        <v>Confirmed</v>
      </c>
      <c r="I838" s="7">
        <f>IF(OR(G838="",G838="Cancelled",G838="Mixed"),1,0)</f>
        <v>0</v>
      </c>
      <c r="J838" s="7">
        <f>IF(OR(H838="",H838="Mixed"),1,0)</f>
        <v>0</v>
      </c>
      <c r="K838" s="7">
        <f>IF(AND(C838=0,D838=0),IF(OR(AND(I838=0,NOT(EXACT(Raw_Passengers!F838,G838))),AND(J838=0,NOT(EXACT(Raw_Passengers!G838,H838)))),1,0),0)</f>
        <v>0</v>
      </c>
      <c r="L838" s="7">
        <f>IF(AND(C838=0,D838=0,I838=1),1,0)</f>
        <v>0</v>
      </c>
      <c r="M838" s="7">
        <f>IF(AND(C838=0,D838=0,J838=1),1,0)</f>
        <v>0</v>
      </c>
    </row>
    <row r="839" spans="1:13">
      <c r="A839" s="7">
        <f>Raw_Passengers!A839</f>
        <v>282261</v>
      </c>
      <c r="B839" s="7">
        <f>Raw_Passengers!B839</f>
        <v>1139821</v>
      </c>
      <c r="C839" s="7">
        <f>IF(COUNTIF(Raw_Passengers!$A$2:A839,Raw_Passengers!A839)&gt;1,1,0)</f>
        <v>0</v>
      </c>
      <c r="D839" s="7">
        <f>IF(COUNTIF(Raw_Bookings!$A$2:$A$648,Raw_Passengers!B839)=0,1,0)</f>
        <v>0</v>
      </c>
      <c r="E839" s="7">
        <f>IF(OR(C839=1,D839=1),0,IF(NOT(ISNUMBER(Raw_Passengers!E839)),1,IF(Raw_Passengers!E839&lt;=0,1,0)))</f>
        <v>0</v>
      </c>
      <c r="F839" s="7">
        <f>IF(AND(C839=0,D839=0,TRIM(Raw_Passengers!D839&amp;"")=""),1,0)</f>
        <v>0</v>
      </c>
      <c r="G839" s="7" t="str">
        <f>IF(SUMPRODUCT(--(Lookup_Status!$A$2:$A$13=LOWER(TRIM(Raw_Passengers!F839))))=0,"",INDEX(Lookup_Status!$B$2:$B$13,SUMPRODUCT((Lookup_Status!$A$2:$A$13=LOWER(TRIM(Raw_Passengers!F839)))*(ROW(Lookup_Status!$A$2:$A$13)-1))))</f>
        <v>Confirmed</v>
      </c>
      <c r="H839" s="7" t="str">
        <f>IF(SUMPRODUCT(--(Lookup_Status!$A$2:$A$13=LOWER(TRIM(Raw_Passengers!G839))))=0,"",INDEX(Lookup_Status!$B$2:$B$13,SUMPRODUCT((Lookup_Status!$A$2:$A$13=LOWER(TRIM(Raw_Passengers!G839)))*(ROW(Lookup_Status!$A$2:$A$13)-1))))</f>
        <v>Confirmed</v>
      </c>
      <c r="I839" s="7">
        <f>IF(OR(G839="",G839="Cancelled",G839="Mixed"),1,0)</f>
        <v>0</v>
      </c>
      <c r="J839" s="7">
        <f>IF(OR(H839="",H839="Mixed"),1,0)</f>
        <v>0</v>
      </c>
      <c r="K839" s="7">
        <f>IF(AND(C839=0,D839=0),IF(OR(AND(I839=0,NOT(EXACT(Raw_Passengers!F839,G839))),AND(J839=0,NOT(EXACT(Raw_Passengers!G839,H839)))),1,0),0)</f>
        <v>0</v>
      </c>
      <c r="L839" s="7">
        <f>IF(AND(C839=0,D839=0,I839=1),1,0)</f>
        <v>0</v>
      </c>
      <c r="M839" s="7">
        <f>IF(AND(C839=0,D839=0,J839=1),1,0)</f>
        <v>0</v>
      </c>
    </row>
    <row r="840" spans="1:13">
      <c r="A840" s="7">
        <f>Raw_Passengers!A840</f>
        <v>282262</v>
      </c>
      <c r="B840" s="7">
        <f>Raw_Passengers!B840</f>
        <v>1139821</v>
      </c>
      <c r="C840" s="7">
        <f>IF(COUNTIF(Raw_Passengers!$A$2:A840,Raw_Passengers!A840)&gt;1,1,0)</f>
        <v>0</v>
      </c>
      <c r="D840" s="7">
        <f>IF(COUNTIF(Raw_Bookings!$A$2:$A$648,Raw_Passengers!B840)=0,1,0)</f>
        <v>0</v>
      </c>
      <c r="E840" s="7">
        <f>IF(OR(C840=1,D840=1),0,IF(NOT(ISNUMBER(Raw_Passengers!E840)),1,IF(Raw_Passengers!E840&lt;=0,1,0)))</f>
        <v>0</v>
      </c>
      <c r="F840" s="7">
        <f>IF(AND(C840=0,D840=0,TRIM(Raw_Passengers!D840&amp;"")=""),1,0)</f>
        <v>0</v>
      </c>
      <c r="G840" s="7" t="str">
        <f>IF(SUMPRODUCT(--(Lookup_Status!$A$2:$A$13=LOWER(TRIM(Raw_Passengers!F840))))=0,"",INDEX(Lookup_Status!$B$2:$B$13,SUMPRODUCT((Lookup_Status!$A$2:$A$13=LOWER(TRIM(Raw_Passengers!F840)))*(ROW(Lookup_Status!$A$2:$A$13)-1))))</f>
        <v>Confirmed</v>
      </c>
      <c r="H840" s="7" t="str">
        <f>IF(SUMPRODUCT(--(Lookup_Status!$A$2:$A$13=LOWER(TRIM(Raw_Passengers!G840))))=0,"",INDEX(Lookup_Status!$B$2:$B$13,SUMPRODUCT((Lookup_Status!$A$2:$A$13=LOWER(TRIM(Raw_Passengers!G840)))*(ROW(Lookup_Status!$A$2:$A$13)-1))))</f>
        <v>Confirmed</v>
      </c>
      <c r="I840" s="7">
        <f>IF(OR(G840="",G840="Cancelled",G840="Mixed"),1,0)</f>
        <v>0</v>
      </c>
      <c r="J840" s="7">
        <f>IF(OR(H840="",H840="Mixed"),1,0)</f>
        <v>0</v>
      </c>
      <c r="K840" s="7">
        <f>IF(AND(C840=0,D840=0),IF(OR(AND(I840=0,NOT(EXACT(Raw_Passengers!F840,G840))),AND(J840=0,NOT(EXACT(Raw_Passengers!G840,H840)))),1,0),0)</f>
        <v>0</v>
      </c>
      <c r="L840" s="7">
        <f>IF(AND(C840=0,D840=0,I840=1),1,0)</f>
        <v>0</v>
      </c>
      <c r="M840" s="7">
        <f>IF(AND(C840=0,D840=0,J840=1),1,0)</f>
        <v>0</v>
      </c>
    </row>
    <row r="841" spans="1:13">
      <c r="A841" s="7">
        <f>Raw_Passengers!A841</f>
        <v>282960</v>
      </c>
      <c r="B841" s="7">
        <f>Raw_Passengers!B841</f>
        <v>1140161</v>
      </c>
      <c r="C841" s="7">
        <f>IF(COUNTIF(Raw_Passengers!$A$2:A841,Raw_Passengers!A841)&gt;1,1,0)</f>
        <v>0</v>
      </c>
      <c r="D841" s="7">
        <f>IF(COUNTIF(Raw_Bookings!$A$2:$A$648,Raw_Passengers!B841)=0,1,0)</f>
        <v>0</v>
      </c>
      <c r="E841" s="7">
        <f>IF(OR(C841=1,D841=1),0,IF(NOT(ISNUMBER(Raw_Passengers!E841)),1,IF(Raw_Passengers!E841&lt;=0,1,0)))</f>
        <v>0</v>
      </c>
      <c r="F841" s="7">
        <f>IF(AND(C841=0,D841=0,TRIM(Raw_Passengers!D841&amp;"")=""),1,0)</f>
        <v>0</v>
      </c>
      <c r="G841" s="7" t="str">
        <f>IF(SUMPRODUCT(--(Lookup_Status!$A$2:$A$13=LOWER(TRIM(Raw_Passengers!F841))))=0,"",INDEX(Lookup_Status!$B$2:$B$13,SUMPRODUCT((Lookup_Status!$A$2:$A$13=LOWER(TRIM(Raw_Passengers!F841)))*(ROW(Lookup_Status!$A$2:$A$13)-1))))</f>
        <v>RAC</v>
      </c>
      <c r="H841" s="7" t="str">
        <f>IF(SUMPRODUCT(--(Lookup_Status!$A$2:$A$13=LOWER(TRIM(Raw_Passengers!G841))))=0,"",INDEX(Lookup_Status!$B$2:$B$13,SUMPRODUCT((Lookup_Status!$A$2:$A$13=LOWER(TRIM(Raw_Passengers!G841)))*(ROW(Lookup_Status!$A$2:$A$13)-1))))</f>
        <v>RAC</v>
      </c>
      <c r="I841" s="7">
        <f>IF(OR(G841="",G841="Cancelled",G841="Mixed"),1,0)</f>
        <v>0</v>
      </c>
      <c r="J841" s="7">
        <f>IF(OR(H841="",H841="Mixed"),1,0)</f>
        <v>0</v>
      </c>
      <c r="K841" s="7">
        <f>IF(AND(C841=0,D841=0),IF(OR(AND(I841=0,NOT(EXACT(Raw_Passengers!F841,G841))),AND(J841=0,NOT(EXACT(Raw_Passengers!G841,H841)))),1,0),0)</f>
        <v>0</v>
      </c>
      <c r="L841" s="7">
        <f>IF(AND(C841=0,D841=0,I841=1),1,0)</f>
        <v>0</v>
      </c>
      <c r="M841" s="7">
        <f>IF(AND(C841=0,D841=0,J841=1),1,0)</f>
        <v>0</v>
      </c>
    </row>
    <row r="842" spans="1:13">
      <c r="A842" s="7">
        <f>Raw_Passengers!A842</f>
        <v>282961</v>
      </c>
      <c r="B842" s="7">
        <f>Raw_Passengers!B842</f>
        <v>1140161</v>
      </c>
      <c r="C842" s="7">
        <f>IF(COUNTIF(Raw_Passengers!$A$2:A842,Raw_Passengers!A842)&gt;1,1,0)</f>
        <v>0</v>
      </c>
      <c r="D842" s="7">
        <f>IF(COUNTIF(Raw_Bookings!$A$2:$A$648,Raw_Passengers!B842)=0,1,0)</f>
        <v>0</v>
      </c>
      <c r="E842" s="7">
        <f>IF(OR(C842=1,D842=1),0,IF(NOT(ISNUMBER(Raw_Passengers!E842)),1,IF(Raw_Passengers!E842&lt;=0,1,0)))</f>
        <v>0</v>
      </c>
      <c r="F842" s="7">
        <f>IF(AND(C842=0,D842=0,TRIM(Raw_Passengers!D842&amp;"")=""),1,0)</f>
        <v>0</v>
      </c>
      <c r="G842" s="7" t="str">
        <f>IF(SUMPRODUCT(--(Lookup_Status!$A$2:$A$13=LOWER(TRIM(Raw_Passengers!F842))))=0,"",INDEX(Lookup_Status!$B$2:$B$13,SUMPRODUCT((Lookup_Status!$A$2:$A$13=LOWER(TRIM(Raw_Passengers!F842)))*(ROW(Lookup_Status!$A$2:$A$13)-1))))</f>
        <v>RAC</v>
      </c>
      <c r="H842" s="7" t="str">
        <f>IF(SUMPRODUCT(--(Lookup_Status!$A$2:$A$13=LOWER(TRIM(Raw_Passengers!G842))))=0,"",INDEX(Lookup_Status!$B$2:$B$13,SUMPRODUCT((Lookup_Status!$A$2:$A$13=LOWER(TRIM(Raw_Passengers!G842)))*(ROW(Lookup_Status!$A$2:$A$13)-1))))</f>
        <v>RAC</v>
      </c>
      <c r="I842" s="7">
        <f>IF(OR(G842="",G842="Cancelled",G842="Mixed"),1,0)</f>
        <v>0</v>
      </c>
      <c r="J842" s="7">
        <f>IF(OR(H842="",H842="Mixed"),1,0)</f>
        <v>0</v>
      </c>
      <c r="K842" s="7">
        <f>IF(AND(C842=0,D842=0),IF(OR(AND(I842=0,NOT(EXACT(Raw_Passengers!F842,G842))),AND(J842=0,NOT(EXACT(Raw_Passengers!G842,H842)))),1,0),0)</f>
        <v>0</v>
      </c>
      <c r="L842" s="7">
        <f>IF(AND(C842=0,D842=0,I842=1),1,0)</f>
        <v>0</v>
      </c>
      <c r="M842" s="7">
        <f>IF(AND(C842=0,D842=0,J842=1),1,0)</f>
        <v>0</v>
      </c>
    </row>
    <row r="843" spans="1:13">
      <c r="A843" s="7">
        <f>Raw_Passengers!A843</f>
        <v>283011</v>
      </c>
      <c r="B843" s="7">
        <f>Raw_Passengers!B843</f>
        <v>1140190</v>
      </c>
      <c r="C843" s="7">
        <f>IF(COUNTIF(Raw_Passengers!$A$2:A843,Raw_Passengers!A843)&gt;1,1,0)</f>
        <v>0</v>
      </c>
      <c r="D843" s="7">
        <f>IF(COUNTIF(Raw_Bookings!$A$2:$A$648,Raw_Passengers!B843)=0,1,0)</f>
        <v>0</v>
      </c>
      <c r="E843" s="7">
        <f>IF(OR(C843=1,D843=1),0,IF(NOT(ISNUMBER(Raw_Passengers!E843)),1,IF(Raw_Passengers!E843&lt;=0,1,0)))</f>
        <v>0</v>
      </c>
      <c r="F843" s="7">
        <f>IF(AND(C843=0,D843=0,TRIM(Raw_Passengers!D843&amp;"")=""),1,0)</f>
        <v>0</v>
      </c>
      <c r="G843" s="7" t="str">
        <f>IF(SUMPRODUCT(--(Lookup_Status!$A$2:$A$13=LOWER(TRIM(Raw_Passengers!F843))))=0,"",INDEX(Lookup_Status!$B$2:$B$13,SUMPRODUCT((Lookup_Status!$A$2:$A$13=LOWER(TRIM(Raw_Passengers!F843)))*(ROW(Lookup_Status!$A$2:$A$13)-1))))</f>
        <v>Confirmed</v>
      </c>
      <c r="H843" s="7" t="str">
        <f>IF(SUMPRODUCT(--(Lookup_Status!$A$2:$A$13=LOWER(TRIM(Raw_Passengers!G843))))=0,"",INDEX(Lookup_Status!$B$2:$B$13,SUMPRODUCT((Lookup_Status!$A$2:$A$13=LOWER(TRIM(Raw_Passengers!G843)))*(ROW(Lookup_Status!$A$2:$A$13)-1))))</f>
        <v>Confirmed</v>
      </c>
      <c r="I843" s="7">
        <f>IF(OR(G843="",G843="Cancelled",G843="Mixed"),1,0)</f>
        <v>0</v>
      </c>
      <c r="J843" s="7">
        <f>IF(OR(H843="",H843="Mixed"),1,0)</f>
        <v>0</v>
      </c>
      <c r="K843" s="7">
        <f>IF(AND(C843=0,D843=0),IF(OR(AND(I843=0,NOT(EXACT(Raw_Passengers!F843,G843))),AND(J843=0,NOT(EXACT(Raw_Passengers!G843,H843)))),1,0),0)</f>
        <v>0</v>
      </c>
      <c r="L843" s="7">
        <f>IF(AND(C843=0,D843=0,I843=1),1,0)</f>
        <v>0</v>
      </c>
      <c r="M843" s="7">
        <f>IF(AND(C843=0,D843=0,J843=1),1,0)</f>
        <v>0</v>
      </c>
    </row>
    <row r="844" spans="1:13">
      <c r="A844" s="7">
        <f>Raw_Passengers!A844</f>
        <v>283012</v>
      </c>
      <c r="B844" s="7">
        <f>Raw_Passengers!B844</f>
        <v>1140190</v>
      </c>
      <c r="C844" s="7">
        <f>IF(COUNTIF(Raw_Passengers!$A$2:A844,Raw_Passengers!A844)&gt;1,1,0)</f>
        <v>0</v>
      </c>
      <c r="D844" s="7">
        <f>IF(COUNTIF(Raw_Bookings!$A$2:$A$648,Raw_Passengers!B844)=0,1,0)</f>
        <v>0</v>
      </c>
      <c r="E844" s="7">
        <f>IF(OR(C844=1,D844=1),0,IF(NOT(ISNUMBER(Raw_Passengers!E844)),1,IF(Raw_Passengers!E844&lt;=0,1,0)))</f>
        <v>0</v>
      </c>
      <c r="F844" s="7">
        <f>IF(AND(C844=0,D844=0,TRIM(Raw_Passengers!D844&amp;"")=""),1,0)</f>
        <v>0</v>
      </c>
      <c r="G844" s="7" t="str">
        <f>IF(SUMPRODUCT(--(Lookup_Status!$A$2:$A$13=LOWER(TRIM(Raw_Passengers!F844))))=0,"",INDEX(Lookup_Status!$B$2:$B$13,SUMPRODUCT((Lookup_Status!$A$2:$A$13=LOWER(TRIM(Raw_Passengers!F844)))*(ROW(Lookup_Status!$A$2:$A$13)-1))))</f>
        <v>Confirmed</v>
      </c>
      <c r="H844" s="7" t="str">
        <f>IF(SUMPRODUCT(--(Lookup_Status!$A$2:$A$13=LOWER(TRIM(Raw_Passengers!G844))))=0,"",INDEX(Lookup_Status!$B$2:$B$13,SUMPRODUCT((Lookup_Status!$A$2:$A$13=LOWER(TRIM(Raw_Passengers!G844)))*(ROW(Lookup_Status!$A$2:$A$13)-1))))</f>
        <v>Confirmed</v>
      </c>
      <c r="I844" s="7">
        <f>IF(OR(G844="",G844="Cancelled",G844="Mixed"),1,0)</f>
        <v>0</v>
      </c>
      <c r="J844" s="7">
        <f>IF(OR(H844="",H844="Mixed"),1,0)</f>
        <v>0</v>
      </c>
      <c r="K844" s="7">
        <f>IF(AND(C844=0,D844=0),IF(OR(AND(I844=0,NOT(EXACT(Raw_Passengers!F844,G844))),AND(J844=0,NOT(EXACT(Raw_Passengers!G844,H844)))),1,0),0)</f>
        <v>0</v>
      </c>
      <c r="L844" s="7">
        <f>IF(AND(C844=0,D844=0,I844=1),1,0)</f>
        <v>0</v>
      </c>
      <c r="M844" s="7">
        <f>IF(AND(C844=0,D844=0,J844=1),1,0)</f>
        <v>0</v>
      </c>
    </row>
    <row r="845" spans="1:13">
      <c r="A845" s="7">
        <f>Raw_Passengers!A845</f>
        <v>283013</v>
      </c>
      <c r="B845" s="7">
        <f>Raw_Passengers!B845</f>
        <v>1140190</v>
      </c>
      <c r="C845" s="7">
        <f>IF(COUNTIF(Raw_Passengers!$A$2:A845,Raw_Passengers!A845)&gt;1,1,0)</f>
        <v>0</v>
      </c>
      <c r="D845" s="7">
        <f>IF(COUNTIF(Raw_Bookings!$A$2:$A$648,Raw_Passengers!B845)=0,1,0)</f>
        <v>0</v>
      </c>
      <c r="E845" s="7">
        <f>IF(OR(C845=1,D845=1),0,IF(NOT(ISNUMBER(Raw_Passengers!E845)),1,IF(Raw_Passengers!E845&lt;=0,1,0)))</f>
        <v>0</v>
      </c>
      <c r="F845" s="7">
        <f>IF(AND(C845=0,D845=0,TRIM(Raw_Passengers!D845&amp;"")=""),1,0)</f>
        <v>0</v>
      </c>
      <c r="G845" s="7" t="str">
        <f>IF(SUMPRODUCT(--(Lookup_Status!$A$2:$A$13=LOWER(TRIM(Raw_Passengers!F845))))=0,"",INDEX(Lookup_Status!$B$2:$B$13,SUMPRODUCT((Lookup_Status!$A$2:$A$13=LOWER(TRIM(Raw_Passengers!F845)))*(ROW(Lookup_Status!$A$2:$A$13)-1))))</f>
        <v>Confirmed</v>
      </c>
      <c r="H845" s="7" t="str">
        <f>IF(SUMPRODUCT(--(Lookup_Status!$A$2:$A$13=LOWER(TRIM(Raw_Passengers!G845))))=0,"",INDEX(Lookup_Status!$B$2:$B$13,SUMPRODUCT((Lookup_Status!$A$2:$A$13=LOWER(TRIM(Raw_Passengers!G845)))*(ROW(Lookup_Status!$A$2:$A$13)-1))))</f>
        <v>Confirmed</v>
      </c>
      <c r="I845" s="7">
        <f>IF(OR(G845="",G845="Cancelled",G845="Mixed"),1,0)</f>
        <v>0</v>
      </c>
      <c r="J845" s="7">
        <f>IF(OR(H845="",H845="Mixed"),1,0)</f>
        <v>0</v>
      </c>
      <c r="K845" s="7">
        <f>IF(AND(C845=0,D845=0),IF(OR(AND(I845=0,NOT(EXACT(Raw_Passengers!F845,G845))),AND(J845=0,NOT(EXACT(Raw_Passengers!G845,H845)))),1,0),0)</f>
        <v>0</v>
      </c>
      <c r="L845" s="7">
        <f>IF(AND(C845=0,D845=0,I845=1),1,0)</f>
        <v>0</v>
      </c>
      <c r="M845" s="7">
        <f>IF(AND(C845=0,D845=0,J845=1),1,0)</f>
        <v>0</v>
      </c>
    </row>
    <row r="846" spans="1:13">
      <c r="A846" s="7">
        <f>Raw_Passengers!A846</f>
        <v>283559</v>
      </c>
      <c r="B846" s="7">
        <f>Raw_Passengers!B846</f>
        <v>1140449</v>
      </c>
      <c r="C846" s="7">
        <f>IF(COUNTIF(Raw_Passengers!$A$2:A846,Raw_Passengers!A846)&gt;1,1,0)</f>
        <v>0</v>
      </c>
      <c r="D846" s="7">
        <f>IF(COUNTIF(Raw_Bookings!$A$2:$A$648,Raw_Passengers!B846)=0,1,0)</f>
        <v>0</v>
      </c>
      <c r="E846" s="7">
        <f>IF(OR(C846=1,D846=1),0,IF(NOT(ISNUMBER(Raw_Passengers!E846)),1,IF(Raw_Passengers!E846&lt;=0,1,0)))</f>
        <v>0</v>
      </c>
      <c r="F846" s="7">
        <f>IF(AND(C846=0,D846=0,TRIM(Raw_Passengers!D846&amp;"")=""),1,0)</f>
        <v>0</v>
      </c>
      <c r="G846" s="7" t="str">
        <f>IF(SUMPRODUCT(--(Lookup_Status!$A$2:$A$13=LOWER(TRIM(Raw_Passengers!F846))))=0,"",INDEX(Lookup_Status!$B$2:$B$13,SUMPRODUCT((Lookup_Status!$A$2:$A$13=LOWER(TRIM(Raw_Passengers!F846)))*(ROW(Lookup_Status!$A$2:$A$13)-1))))</f>
        <v>Confirmed</v>
      </c>
      <c r="H846" s="7" t="str">
        <f>IF(SUMPRODUCT(--(Lookup_Status!$A$2:$A$13=LOWER(TRIM(Raw_Passengers!G846))))=0,"",INDEX(Lookup_Status!$B$2:$B$13,SUMPRODUCT((Lookup_Status!$A$2:$A$13=LOWER(TRIM(Raw_Passengers!G846)))*(ROW(Lookup_Status!$A$2:$A$13)-1))))</f>
        <v>Confirmed</v>
      </c>
      <c r="I846" s="7">
        <f>IF(OR(G846="",G846="Cancelled",G846="Mixed"),1,0)</f>
        <v>0</v>
      </c>
      <c r="J846" s="7">
        <f>IF(OR(H846="",H846="Mixed"),1,0)</f>
        <v>0</v>
      </c>
      <c r="K846" s="7">
        <f>IF(AND(C846=0,D846=0),IF(OR(AND(I846=0,NOT(EXACT(Raw_Passengers!F846,G846))),AND(J846=0,NOT(EXACT(Raw_Passengers!G846,H846)))),1,0),0)</f>
        <v>0</v>
      </c>
      <c r="L846" s="7">
        <f>IF(AND(C846=0,D846=0,I846=1),1,0)</f>
        <v>0</v>
      </c>
      <c r="M846" s="7">
        <f>IF(AND(C846=0,D846=0,J846=1),1,0)</f>
        <v>0</v>
      </c>
    </row>
    <row r="847" spans="1:13">
      <c r="A847" s="7">
        <f>Raw_Passengers!A847</f>
        <v>283719</v>
      </c>
      <c r="B847" s="7">
        <f>Raw_Passengers!B847</f>
        <v>1140539</v>
      </c>
      <c r="C847" s="7">
        <f>IF(COUNTIF(Raw_Passengers!$A$2:A847,Raw_Passengers!A847)&gt;1,1,0)</f>
        <v>0</v>
      </c>
      <c r="D847" s="7">
        <f>IF(COUNTIF(Raw_Bookings!$A$2:$A$648,Raw_Passengers!B847)=0,1,0)</f>
        <v>0</v>
      </c>
      <c r="E847" s="7">
        <f>IF(OR(C847=1,D847=1),0,IF(NOT(ISNUMBER(Raw_Passengers!E847)),1,IF(Raw_Passengers!E847&lt;=0,1,0)))</f>
        <v>0</v>
      </c>
      <c r="F847" s="7">
        <f>IF(AND(C847=0,D847=0,TRIM(Raw_Passengers!D847&amp;"")=""),1,0)</f>
        <v>0</v>
      </c>
      <c r="G847" s="7" t="str">
        <f>IF(SUMPRODUCT(--(Lookup_Status!$A$2:$A$13=LOWER(TRIM(Raw_Passengers!F847))))=0,"",INDEX(Lookup_Status!$B$2:$B$13,SUMPRODUCT((Lookup_Status!$A$2:$A$13=LOWER(TRIM(Raw_Passengers!F847)))*(ROW(Lookup_Status!$A$2:$A$13)-1))))</f>
        <v>Confirmed</v>
      </c>
      <c r="H847" s="7" t="str">
        <f>IF(SUMPRODUCT(--(Lookup_Status!$A$2:$A$13=LOWER(TRIM(Raw_Passengers!G847))))=0,"",INDEX(Lookup_Status!$B$2:$B$13,SUMPRODUCT((Lookup_Status!$A$2:$A$13=LOWER(TRIM(Raw_Passengers!G847)))*(ROW(Lookup_Status!$A$2:$A$13)-1))))</f>
        <v>Confirmed</v>
      </c>
      <c r="I847" s="7">
        <f>IF(OR(G847="",G847="Cancelled",G847="Mixed"),1,0)</f>
        <v>0</v>
      </c>
      <c r="J847" s="7">
        <f>IF(OR(H847="",H847="Mixed"),1,0)</f>
        <v>0</v>
      </c>
      <c r="K847" s="7">
        <f>IF(AND(C847=0,D847=0),IF(OR(AND(I847=0,NOT(EXACT(Raw_Passengers!F847,G847))),AND(J847=0,NOT(EXACT(Raw_Passengers!G847,H847)))),1,0),0)</f>
        <v>0</v>
      </c>
      <c r="L847" s="7">
        <f>IF(AND(C847=0,D847=0,I847=1),1,0)</f>
        <v>0</v>
      </c>
      <c r="M847" s="7">
        <f>IF(AND(C847=0,D847=0,J847=1),1,0)</f>
        <v>0</v>
      </c>
    </row>
    <row r="848" spans="1:13">
      <c r="A848" s="7">
        <f>Raw_Passengers!A848</f>
        <v>283720</v>
      </c>
      <c r="B848" s="7">
        <f>Raw_Passengers!B848</f>
        <v>1140539</v>
      </c>
      <c r="C848" s="7">
        <f>IF(COUNTIF(Raw_Passengers!$A$2:A848,Raw_Passengers!A848)&gt;1,1,0)</f>
        <v>0</v>
      </c>
      <c r="D848" s="7">
        <f>IF(COUNTIF(Raw_Bookings!$A$2:$A$648,Raw_Passengers!B848)=0,1,0)</f>
        <v>0</v>
      </c>
      <c r="E848" s="7">
        <f>IF(OR(C848=1,D848=1),0,IF(NOT(ISNUMBER(Raw_Passengers!E848)),1,IF(Raw_Passengers!E848&lt;=0,1,0)))</f>
        <v>0</v>
      </c>
      <c r="F848" s="7">
        <f>IF(AND(C848=0,D848=0,TRIM(Raw_Passengers!D848&amp;"")=""),1,0)</f>
        <v>0</v>
      </c>
      <c r="G848" s="7" t="str">
        <f>IF(SUMPRODUCT(--(Lookup_Status!$A$2:$A$13=LOWER(TRIM(Raw_Passengers!F848))))=0,"",INDEX(Lookup_Status!$B$2:$B$13,SUMPRODUCT((Lookup_Status!$A$2:$A$13=LOWER(TRIM(Raw_Passengers!F848)))*(ROW(Lookup_Status!$A$2:$A$13)-1))))</f>
        <v>Confirmed</v>
      </c>
      <c r="H848" s="7" t="str">
        <f>IF(SUMPRODUCT(--(Lookup_Status!$A$2:$A$13=LOWER(TRIM(Raw_Passengers!G848))))=0,"",INDEX(Lookup_Status!$B$2:$B$13,SUMPRODUCT((Lookup_Status!$A$2:$A$13=LOWER(TRIM(Raw_Passengers!G848)))*(ROW(Lookup_Status!$A$2:$A$13)-1))))</f>
        <v>Confirmed</v>
      </c>
      <c r="I848" s="7">
        <f>IF(OR(G848="",G848="Cancelled",G848="Mixed"),1,0)</f>
        <v>0</v>
      </c>
      <c r="J848" s="7">
        <f>IF(OR(H848="",H848="Mixed"),1,0)</f>
        <v>0</v>
      </c>
      <c r="K848" s="7">
        <f>IF(AND(C848=0,D848=0),IF(OR(AND(I848=0,NOT(EXACT(Raw_Passengers!F848,G848))),AND(J848=0,NOT(EXACT(Raw_Passengers!G848,H848)))),1,0),0)</f>
        <v>0</v>
      </c>
      <c r="L848" s="7">
        <f>IF(AND(C848=0,D848=0,I848=1),1,0)</f>
        <v>0</v>
      </c>
      <c r="M848" s="7">
        <f>IF(AND(C848=0,D848=0,J848=1),1,0)</f>
        <v>0</v>
      </c>
    </row>
    <row r="849" spans="1:13">
      <c r="A849" s="7">
        <f>Raw_Passengers!A849</f>
        <v>283721</v>
      </c>
      <c r="B849" s="7">
        <f>Raw_Passengers!B849</f>
        <v>1140539</v>
      </c>
      <c r="C849" s="7">
        <f>IF(COUNTIF(Raw_Passengers!$A$2:A849,Raw_Passengers!A849)&gt;1,1,0)</f>
        <v>0</v>
      </c>
      <c r="D849" s="7">
        <f>IF(COUNTIF(Raw_Bookings!$A$2:$A$648,Raw_Passengers!B849)=0,1,0)</f>
        <v>0</v>
      </c>
      <c r="E849" s="7">
        <f>IF(OR(C849=1,D849=1),0,IF(NOT(ISNUMBER(Raw_Passengers!E849)),1,IF(Raw_Passengers!E849&lt;=0,1,0)))</f>
        <v>0</v>
      </c>
      <c r="F849" s="7">
        <f>IF(AND(C849=0,D849=0,TRIM(Raw_Passengers!D849&amp;"")=""),1,0)</f>
        <v>0</v>
      </c>
      <c r="G849" s="7" t="str">
        <f>IF(SUMPRODUCT(--(Lookup_Status!$A$2:$A$13=LOWER(TRIM(Raw_Passengers!F849))))=0,"",INDEX(Lookup_Status!$B$2:$B$13,SUMPRODUCT((Lookup_Status!$A$2:$A$13=LOWER(TRIM(Raw_Passengers!F849)))*(ROW(Lookup_Status!$A$2:$A$13)-1))))</f>
        <v>Confirmed</v>
      </c>
      <c r="H849" s="7" t="str">
        <f>IF(SUMPRODUCT(--(Lookup_Status!$A$2:$A$13=LOWER(TRIM(Raw_Passengers!G849))))=0,"",INDEX(Lookup_Status!$B$2:$B$13,SUMPRODUCT((Lookup_Status!$A$2:$A$13=LOWER(TRIM(Raw_Passengers!G849)))*(ROW(Lookup_Status!$A$2:$A$13)-1))))</f>
        <v>Confirmed</v>
      </c>
      <c r="I849" s="7">
        <f>IF(OR(G849="",G849="Cancelled",G849="Mixed"),1,0)</f>
        <v>0</v>
      </c>
      <c r="J849" s="7">
        <f>IF(OR(H849="",H849="Mixed"),1,0)</f>
        <v>0</v>
      </c>
      <c r="K849" s="7">
        <f>IF(AND(C849=0,D849=0),IF(OR(AND(I849=0,NOT(EXACT(Raw_Passengers!F849,G849))),AND(J849=0,NOT(EXACT(Raw_Passengers!G849,H849)))),1,0),0)</f>
        <v>0</v>
      </c>
      <c r="L849" s="7">
        <f>IF(AND(C849=0,D849=0,I849=1),1,0)</f>
        <v>0</v>
      </c>
      <c r="M849" s="7">
        <f>IF(AND(C849=0,D849=0,J849=1),1,0)</f>
        <v>0</v>
      </c>
    </row>
    <row r="850" spans="1:13">
      <c r="A850" s="7">
        <f>Raw_Passengers!A850</f>
        <v>284751</v>
      </c>
      <c r="B850" s="7">
        <f>Raw_Passengers!B850</f>
        <v>1141063</v>
      </c>
      <c r="C850" s="7">
        <f>IF(COUNTIF(Raw_Passengers!$A$2:A850,Raw_Passengers!A850)&gt;1,1,0)</f>
        <v>0</v>
      </c>
      <c r="D850" s="7">
        <f>IF(COUNTIF(Raw_Bookings!$A$2:$A$648,Raw_Passengers!B850)=0,1,0)</f>
        <v>0</v>
      </c>
      <c r="E850" s="7">
        <f>IF(OR(C850=1,D850=1),0,IF(NOT(ISNUMBER(Raw_Passengers!E850)),1,IF(Raw_Passengers!E850&lt;=0,1,0)))</f>
        <v>0</v>
      </c>
      <c r="F850" s="7">
        <f>IF(AND(C850=0,D850=0,TRIM(Raw_Passengers!D850&amp;"")=""),1,0)</f>
        <v>0</v>
      </c>
      <c r="G850" s="7" t="str">
        <f>IF(SUMPRODUCT(--(Lookup_Status!$A$2:$A$13=LOWER(TRIM(Raw_Passengers!F850))))=0,"",INDEX(Lookup_Status!$B$2:$B$13,SUMPRODUCT((Lookup_Status!$A$2:$A$13=LOWER(TRIM(Raw_Passengers!F850)))*(ROW(Lookup_Status!$A$2:$A$13)-1))))</f>
        <v>Waitlisted</v>
      </c>
      <c r="H850" s="7" t="str">
        <f>IF(SUMPRODUCT(--(Lookup_Status!$A$2:$A$13=LOWER(TRIM(Raw_Passengers!G850))))=0,"",INDEX(Lookup_Status!$B$2:$B$13,SUMPRODUCT((Lookup_Status!$A$2:$A$13=LOWER(TRIM(Raw_Passengers!G850)))*(ROW(Lookup_Status!$A$2:$A$13)-1))))</f>
        <v>RAC</v>
      </c>
      <c r="I850" s="7">
        <f>IF(OR(G850="",G850="Cancelled",G850="Mixed"),1,0)</f>
        <v>0</v>
      </c>
      <c r="J850" s="7">
        <f>IF(OR(H850="",H850="Mixed"),1,0)</f>
        <v>0</v>
      </c>
      <c r="K850" s="7">
        <f>IF(AND(C850=0,D850=0),IF(OR(AND(I850=0,NOT(EXACT(Raw_Passengers!F850,G850))),AND(J850=0,NOT(EXACT(Raw_Passengers!G850,H850)))),1,0),0)</f>
        <v>0</v>
      </c>
      <c r="L850" s="7">
        <f>IF(AND(C850=0,D850=0,I850=1),1,0)</f>
        <v>0</v>
      </c>
      <c r="M850" s="7">
        <f>IF(AND(C850=0,D850=0,J850=1),1,0)</f>
        <v>0</v>
      </c>
    </row>
    <row r="851" spans="1:13">
      <c r="A851" s="7">
        <f>Raw_Passengers!A851</f>
        <v>284752</v>
      </c>
      <c r="B851" s="7">
        <f>Raw_Passengers!B851</f>
        <v>1141063</v>
      </c>
      <c r="C851" s="7">
        <f>IF(COUNTIF(Raw_Passengers!$A$2:A851,Raw_Passengers!A851)&gt;1,1,0)</f>
        <v>0</v>
      </c>
      <c r="D851" s="7">
        <f>IF(COUNTIF(Raw_Bookings!$A$2:$A$648,Raw_Passengers!B851)=0,1,0)</f>
        <v>0</v>
      </c>
      <c r="E851" s="7">
        <f>IF(OR(C851=1,D851=1),0,IF(NOT(ISNUMBER(Raw_Passengers!E851)),1,IF(Raw_Passengers!E851&lt;=0,1,0)))</f>
        <v>0</v>
      </c>
      <c r="F851" s="7">
        <f>IF(AND(C851=0,D851=0,TRIM(Raw_Passengers!D851&amp;"")=""),1,0)</f>
        <v>0</v>
      </c>
      <c r="G851" s="7" t="str">
        <f>IF(SUMPRODUCT(--(Lookup_Status!$A$2:$A$13=LOWER(TRIM(Raw_Passengers!F851))))=0,"",INDEX(Lookup_Status!$B$2:$B$13,SUMPRODUCT((Lookup_Status!$A$2:$A$13=LOWER(TRIM(Raw_Passengers!F851)))*(ROW(Lookup_Status!$A$2:$A$13)-1))))</f>
        <v>Waitlisted</v>
      </c>
      <c r="H851" s="7" t="str">
        <f>IF(SUMPRODUCT(--(Lookup_Status!$A$2:$A$13=LOWER(TRIM(Raw_Passengers!G851))))=0,"",INDEX(Lookup_Status!$B$2:$B$13,SUMPRODUCT((Lookup_Status!$A$2:$A$13=LOWER(TRIM(Raw_Passengers!G851)))*(ROW(Lookup_Status!$A$2:$A$13)-1))))</f>
        <v>RAC</v>
      </c>
      <c r="I851" s="7">
        <f>IF(OR(G851="",G851="Cancelled",G851="Mixed"),1,0)</f>
        <v>0</v>
      </c>
      <c r="J851" s="7">
        <f>IF(OR(H851="",H851="Mixed"),1,0)</f>
        <v>0</v>
      </c>
      <c r="K851" s="7">
        <f>IF(AND(C851=0,D851=0),IF(OR(AND(I851=0,NOT(EXACT(Raw_Passengers!F851,G851))),AND(J851=0,NOT(EXACT(Raw_Passengers!G851,H851)))),1,0),0)</f>
        <v>0</v>
      </c>
      <c r="L851" s="7">
        <f>IF(AND(C851=0,D851=0,I851=1),1,0)</f>
        <v>0</v>
      </c>
      <c r="M851" s="7">
        <f>IF(AND(C851=0,D851=0,J851=1),1,0)</f>
        <v>0</v>
      </c>
    </row>
    <row r="852" spans="1:13">
      <c r="A852" s="7">
        <f>Raw_Passengers!A852</f>
        <v>284767</v>
      </c>
      <c r="B852" s="7">
        <f>Raw_Passengers!B852</f>
        <v>1141070</v>
      </c>
      <c r="C852" s="7">
        <f>IF(COUNTIF(Raw_Passengers!$A$2:A852,Raw_Passengers!A852)&gt;1,1,0)</f>
        <v>0</v>
      </c>
      <c r="D852" s="7">
        <f>IF(COUNTIF(Raw_Bookings!$A$2:$A$648,Raw_Passengers!B852)=0,1,0)</f>
        <v>0</v>
      </c>
      <c r="E852" s="7">
        <f>IF(OR(C852=1,D852=1),0,IF(NOT(ISNUMBER(Raw_Passengers!E852)),1,IF(Raw_Passengers!E852&lt;=0,1,0)))</f>
        <v>0</v>
      </c>
      <c r="F852" s="7">
        <f>IF(AND(C852=0,D852=0,TRIM(Raw_Passengers!D852&amp;"")=""),1,0)</f>
        <v>0</v>
      </c>
      <c r="G852" s="7" t="str">
        <f>IF(SUMPRODUCT(--(Lookup_Status!$A$2:$A$13=LOWER(TRIM(Raw_Passengers!F852))))=0,"",INDEX(Lookup_Status!$B$2:$B$13,SUMPRODUCT((Lookup_Status!$A$2:$A$13=LOWER(TRIM(Raw_Passengers!F852)))*(ROW(Lookup_Status!$A$2:$A$13)-1))))</f>
        <v>Waitlisted</v>
      </c>
      <c r="H852" s="7" t="str">
        <f>IF(SUMPRODUCT(--(Lookup_Status!$A$2:$A$13=LOWER(TRIM(Raw_Passengers!G852))))=0,"",INDEX(Lookup_Status!$B$2:$B$13,SUMPRODUCT((Lookup_Status!$A$2:$A$13=LOWER(TRIM(Raw_Passengers!G852)))*(ROW(Lookup_Status!$A$2:$A$13)-1))))</f>
        <v>Waitlisted</v>
      </c>
      <c r="I852" s="7">
        <f>IF(OR(G852="",G852="Cancelled",G852="Mixed"),1,0)</f>
        <v>0</v>
      </c>
      <c r="J852" s="7">
        <f>IF(OR(H852="",H852="Mixed"),1,0)</f>
        <v>0</v>
      </c>
      <c r="K852" s="7">
        <f>IF(AND(C852=0,D852=0),IF(OR(AND(I852=0,NOT(EXACT(Raw_Passengers!F852,G852))),AND(J852=0,NOT(EXACT(Raw_Passengers!G852,H852)))),1,0),0)</f>
        <v>0</v>
      </c>
      <c r="L852" s="7">
        <f>IF(AND(C852=0,D852=0,I852=1),1,0)</f>
        <v>0</v>
      </c>
      <c r="M852" s="7">
        <f>IF(AND(C852=0,D852=0,J852=1),1,0)</f>
        <v>0</v>
      </c>
    </row>
    <row r="853" spans="1:13">
      <c r="A853" s="7">
        <f>Raw_Passengers!A853</f>
        <v>284795</v>
      </c>
      <c r="B853" s="7">
        <f>Raw_Passengers!B853</f>
        <v>1141084</v>
      </c>
      <c r="C853" s="7">
        <f>IF(COUNTIF(Raw_Passengers!$A$2:A853,Raw_Passengers!A853)&gt;1,1,0)</f>
        <v>0</v>
      </c>
      <c r="D853" s="7">
        <f>IF(COUNTIF(Raw_Bookings!$A$2:$A$648,Raw_Passengers!B853)=0,1,0)</f>
        <v>0</v>
      </c>
      <c r="E853" s="7">
        <f>IF(OR(C853=1,D853=1),0,IF(NOT(ISNUMBER(Raw_Passengers!E853)),1,IF(Raw_Passengers!E853&lt;=0,1,0)))</f>
        <v>0</v>
      </c>
      <c r="F853" s="7">
        <f>IF(AND(C853=0,D853=0,TRIM(Raw_Passengers!D853&amp;"")=""),1,0)</f>
        <v>0</v>
      </c>
      <c r="G853" s="7" t="str">
        <f>IF(SUMPRODUCT(--(Lookup_Status!$A$2:$A$13=LOWER(TRIM(Raw_Passengers!F853))))=0,"",INDEX(Lookup_Status!$B$2:$B$13,SUMPRODUCT((Lookup_Status!$A$2:$A$13=LOWER(TRIM(Raw_Passengers!F853)))*(ROW(Lookup_Status!$A$2:$A$13)-1))))</f>
        <v>Confirmed</v>
      </c>
      <c r="H853" s="7" t="str">
        <f>IF(SUMPRODUCT(--(Lookup_Status!$A$2:$A$13=LOWER(TRIM(Raw_Passengers!G853))))=0,"",INDEX(Lookup_Status!$B$2:$B$13,SUMPRODUCT((Lookup_Status!$A$2:$A$13=LOWER(TRIM(Raw_Passengers!G853)))*(ROW(Lookup_Status!$A$2:$A$13)-1))))</f>
        <v>Confirmed</v>
      </c>
      <c r="I853" s="7">
        <f>IF(OR(G853="",G853="Cancelled",G853="Mixed"),1,0)</f>
        <v>0</v>
      </c>
      <c r="J853" s="7">
        <f>IF(OR(H853="",H853="Mixed"),1,0)</f>
        <v>0</v>
      </c>
      <c r="K853" s="7">
        <f>IF(AND(C853=0,D853=0),IF(OR(AND(I853=0,NOT(EXACT(Raw_Passengers!F853,G853))),AND(J853=0,NOT(EXACT(Raw_Passengers!G853,H853)))),1,0),0)</f>
        <v>0</v>
      </c>
      <c r="L853" s="7">
        <f>IF(AND(C853=0,D853=0,I853=1),1,0)</f>
        <v>0</v>
      </c>
      <c r="M853" s="7">
        <f>IF(AND(C853=0,D853=0,J853=1),1,0)</f>
        <v>0</v>
      </c>
    </row>
    <row r="854" spans="1:13">
      <c r="A854" s="7">
        <f>Raw_Passengers!A854</f>
        <v>285007</v>
      </c>
      <c r="B854" s="7">
        <f>Raw_Passengers!B854</f>
        <v>1141196</v>
      </c>
      <c r="C854" s="7">
        <f>IF(COUNTIF(Raw_Passengers!$A$2:A854,Raw_Passengers!A854)&gt;1,1,0)</f>
        <v>0</v>
      </c>
      <c r="D854" s="7">
        <f>IF(COUNTIF(Raw_Bookings!$A$2:$A$648,Raw_Passengers!B854)=0,1,0)</f>
        <v>0</v>
      </c>
      <c r="E854" s="7">
        <f>IF(OR(C854=1,D854=1),0,IF(NOT(ISNUMBER(Raw_Passengers!E854)),1,IF(Raw_Passengers!E854&lt;=0,1,0)))</f>
        <v>0</v>
      </c>
      <c r="F854" s="7">
        <f>IF(AND(C854=0,D854=0,TRIM(Raw_Passengers!D854&amp;"")=""),1,0)</f>
        <v>0</v>
      </c>
      <c r="G854" s="7" t="str">
        <f>IF(SUMPRODUCT(--(Lookup_Status!$A$2:$A$13=LOWER(TRIM(Raw_Passengers!F854))))=0,"",INDEX(Lookup_Status!$B$2:$B$13,SUMPRODUCT((Lookup_Status!$A$2:$A$13=LOWER(TRIM(Raw_Passengers!F854)))*(ROW(Lookup_Status!$A$2:$A$13)-1))))</f>
        <v>Confirmed</v>
      </c>
      <c r="H854" s="7" t="str">
        <f>IF(SUMPRODUCT(--(Lookup_Status!$A$2:$A$13=LOWER(TRIM(Raw_Passengers!G854))))=0,"",INDEX(Lookup_Status!$B$2:$B$13,SUMPRODUCT((Lookup_Status!$A$2:$A$13=LOWER(TRIM(Raw_Passengers!G854)))*(ROW(Lookup_Status!$A$2:$A$13)-1))))</f>
        <v>Cancelled</v>
      </c>
      <c r="I854" s="7">
        <f>IF(OR(G854="",G854="Cancelled",G854="Mixed"),1,0)</f>
        <v>0</v>
      </c>
      <c r="J854" s="7">
        <f>IF(OR(H854="",H854="Mixed"),1,0)</f>
        <v>0</v>
      </c>
      <c r="K854" s="7">
        <f>IF(AND(C854=0,D854=0),IF(OR(AND(I854=0,NOT(EXACT(Raw_Passengers!F854,G854))),AND(J854=0,NOT(EXACT(Raw_Passengers!G854,H854)))),1,0),0)</f>
        <v>0</v>
      </c>
      <c r="L854" s="7">
        <f>IF(AND(C854=0,D854=0,I854=1),1,0)</f>
        <v>0</v>
      </c>
      <c r="M854" s="7">
        <f>IF(AND(C854=0,D854=0,J854=1),1,0)</f>
        <v>0</v>
      </c>
    </row>
    <row r="855" spans="1:13">
      <c r="A855" s="7">
        <f>Raw_Passengers!A855</f>
        <v>285508</v>
      </c>
      <c r="B855" s="7">
        <f>Raw_Passengers!B855</f>
        <v>1141452</v>
      </c>
      <c r="C855" s="7">
        <f>IF(COUNTIF(Raw_Passengers!$A$2:A855,Raw_Passengers!A855)&gt;1,1,0)</f>
        <v>0</v>
      </c>
      <c r="D855" s="7">
        <f>IF(COUNTIF(Raw_Bookings!$A$2:$A$648,Raw_Passengers!B855)=0,1,0)</f>
        <v>0</v>
      </c>
      <c r="E855" s="7">
        <f>IF(OR(C855=1,D855=1),0,IF(NOT(ISNUMBER(Raw_Passengers!E855)),1,IF(Raw_Passengers!E855&lt;=0,1,0)))</f>
        <v>0</v>
      </c>
      <c r="F855" s="7">
        <f>IF(AND(C855=0,D855=0,TRIM(Raw_Passengers!D855&amp;"")=""),1,0)</f>
        <v>0</v>
      </c>
      <c r="G855" s="7" t="str">
        <f>IF(SUMPRODUCT(--(Lookup_Status!$A$2:$A$13=LOWER(TRIM(Raw_Passengers!F855))))=0,"",INDEX(Lookup_Status!$B$2:$B$13,SUMPRODUCT((Lookup_Status!$A$2:$A$13=LOWER(TRIM(Raw_Passengers!F855)))*(ROW(Lookup_Status!$A$2:$A$13)-1))))</f>
        <v>Confirmed</v>
      </c>
      <c r="H855" s="7" t="str">
        <f>IF(SUMPRODUCT(--(Lookup_Status!$A$2:$A$13=LOWER(TRIM(Raw_Passengers!G855))))=0,"",INDEX(Lookup_Status!$B$2:$B$13,SUMPRODUCT((Lookup_Status!$A$2:$A$13=LOWER(TRIM(Raw_Passengers!G855)))*(ROW(Lookup_Status!$A$2:$A$13)-1))))</f>
        <v>Confirmed</v>
      </c>
      <c r="I855" s="7">
        <f>IF(OR(G855="",G855="Cancelled",G855="Mixed"),1,0)</f>
        <v>0</v>
      </c>
      <c r="J855" s="7">
        <f>IF(OR(H855="",H855="Mixed"),1,0)</f>
        <v>0</v>
      </c>
      <c r="K855" s="7">
        <f>IF(AND(C855=0,D855=0),IF(OR(AND(I855=0,NOT(EXACT(Raw_Passengers!F855,G855))),AND(J855=0,NOT(EXACT(Raw_Passengers!G855,H855)))),1,0),0)</f>
        <v>0</v>
      </c>
      <c r="L855" s="7">
        <f>IF(AND(C855=0,D855=0,I855=1),1,0)</f>
        <v>0</v>
      </c>
      <c r="M855" s="7">
        <f>IF(AND(C855=0,D855=0,J855=1),1,0)</f>
        <v>0</v>
      </c>
    </row>
    <row r="856" spans="1:13">
      <c r="A856" s="7">
        <f>Raw_Passengers!A856</f>
        <v>285509</v>
      </c>
      <c r="B856" s="7">
        <f>Raw_Passengers!B856</f>
        <v>1141452</v>
      </c>
      <c r="C856" s="7">
        <f>IF(COUNTIF(Raw_Passengers!$A$2:A856,Raw_Passengers!A856)&gt;1,1,0)</f>
        <v>0</v>
      </c>
      <c r="D856" s="7">
        <f>IF(COUNTIF(Raw_Bookings!$A$2:$A$648,Raw_Passengers!B856)=0,1,0)</f>
        <v>0</v>
      </c>
      <c r="E856" s="7">
        <f>IF(OR(C856=1,D856=1),0,IF(NOT(ISNUMBER(Raw_Passengers!E856)),1,IF(Raw_Passengers!E856&lt;=0,1,0)))</f>
        <v>0</v>
      </c>
      <c r="F856" s="7">
        <f>IF(AND(C856=0,D856=0,TRIM(Raw_Passengers!D856&amp;"")=""),1,0)</f>
        <v>0</v>
      </c>
      <c r="G856" s="7" t="str">
        <f>IF(SUMPRODUCT(--(Lookup_Status!$A$2:$A$13=LOWER(TRIM(Raw_Passengers!F856))))=0,"",INDEX(Lookup_Status!$B$2:$B$13,SUMPRODUCT((Lookup_Status!$A$2:$A$13=LOWER(TRIM(Raw_Passengers!F856)))*(ROW(Lookup_Status!$A$2:$A$13)-1))))</f>
        <v>Confirmed</v>
      </c>
      <c r="H856" s="7" t="str">
        <f>IF(SUMPRODUCT(--(Lookup_Status!$A$2:$A$13=LOWER(TRIM(Raw_Passengers!G856))))=0,"",INDEX(Lookup_Status!$B$2:$B$13,SUMPRODUCT((Lookup_Status!$A$2:$A$13=LOWER(TRIM(Raw_Passengers!G856)))*(ROW(Lookup_Status!$A$2:$A$13)-1))))</f>
        <v>Confirmed</v>
      </c>
      <c r="I856" s="7">
        <f>IF(OR(G856="",G856="Cancelled",G856="Mixed"),1,0)</f>
        <v>0</v>
      </c>
      <c r="J856" s="7">
        <f>IF(OR(H856="",H856="Mixed"),1,0)</f>
        <v>0</v>
      </c>
      <c r="K856" s="7">
        <f>IF(AND(C856=0,D856=0),IF(OR(AND(I856=0,NOT(EXACT(Raw_Passengers!F856,G856))),AND(J856=0,NOT(EXACT(Raw_Passengers!G856,H856)))),1,0),0)</f>
        <v>0</v>
      </c>
      <c r="L856" s="7">
        <f>IF(AND(C856=0,D856=0,I856=1),1,0)</f>
        <v>0</v>
      </c>
      <c r="M856" s="7">
        <f>IF(AND(C856=0,D856=0,J856=1),1,0)</f>
        <v>0</v>
      </c>
    </row>
    <row r="857" spans="1:13">
      <c r="A857" s="7">
        <f>Raw_Passengers!A857</f>
        <v>285692</v>
      </c>
      <c r="B857" s="7">
        <f>Raw_Passengers!B857</f>
        <v>1141538</v>
      </c>
      <c r="C857" s="7">
        <f>IF(COUNTIF(Raw_Passengers!$A$2:A857,Raw_Passengers!A857)&gt;1,1,0)</f>
        <v>0</v>
      </c>
      <c r="D857" s="7">
        <f>IF(COUNTIF(Raw_Bookings!$A$2:$A$648,Raw_Passengers!B857)=0,1,0)</f>
        <v>0</v>
      </c>
      <c r="E857" s="7">
        <f>IF(OR(C857=1,D857=1),0,IF(NOT(ISNUMBER(Raw_Passengers!E857)),1,IF(Raw_Passengers!E857&lt;=0,1,0)))</f>
        <v>0</v>
      </c>
      <c r="F857" s="7">
        <f>IF(AND(C857=0,D857=0,TRIM(Raw_Passengers!D857&amp;"")=""),1,0)</f>
        <v>0</v>
      </c>
      <c r="G857" s="7" t="str">
        <f>IF(SUMPRODUCT(--(Lookup_Status!$A$2:$A$13=LOWER(TRIM(Raw_Passengers!F857))))=0,"",INDEX(Lookup_Status!$B$2:$B$13,SUMPRODUCT((Lookup_Status!$A$2:$A$13=LOWER(TRIM(Raw_Passengers!F857)))*(ROW(Lookup_Status!$A$2:$A$13)-1))))</f>
        <v>Confirmed</v>
      </c>
      <c r="H857" s="7" t="str">
        <f>IF(SUMPRODUCT(--(Lookup_Status!$A$2:$A$13=LOWER(TRIM(Raw_Passengers!G857))))=0,"",INDEX(Lookup_Status!$B$2:$B$13,SUMPRODUCT((Lookup_Status!$A$2:$A$13=LOWER(TRIM(Raw_Passengers!G857)))*(ROW(Lookup_Status!$A$2:$A$13)-1))))</f>
        <v>Confirmed</v>
      </c>
      <c r="I857" s="7">
        <f>IF(OR(G857="",G857="Cancelled",G857="Mixed"),1,0)</f>
        <v>0</v>
      </c>
      <c r="J857" s="7">
        <f>IF(OR(H857="",H857="Mixed"),1,0)</f>
        <v>0</v>
      </c>
      <c r="K857" s="7">
        <f>IF(AND(C857=0,D857=0),IF(OR(AND(I857=0,NOT(EXACT(Raw_Passengers!F857,G857))),AND(J857=0,NOT(EXACT(Raw_Passengers!G857,H857)))),1,0),0)</f>
        <v>0</v>
      </c>
      <c r="L857" s="7">
        <f>IF(AND(C857=0,D857=0,I857=1),1,0)</f>
        <v>0</v>
      </c>
      <c r="M857" s="7">
        <f>IF(AND(C857=0,D857=0,J857=1),1,0)</f>
        <v>0</v>
      </c>
    </row>
    <row r="858" spans="1:13">
      <c r="A858" s="7">
        <f>Raw_Passengers!A858</f>
        <v>285693</v>
      </c>
      <c r="B858" s="7">
        <f>Raw_Passengers!B858</f>
        <v>1141538</v>
      </c>
      <c r="C858" s="7">
        <f>IF(COUNTIF(Raw_Passengers!$A$2:A858,Raw_Passengers!A858)&gt;1,1,0)</f>
        <v>0</v>
      </c>
      <c r="D858" s="7">
        <f>IF(COUNTIF(Raw_Bookings!$A$2:$A$648,Raw_Passengers!B858)=0,1,0)</f>
        <v>0</v>
      </c>
      <c r="E858" s="7">
        <f>IF(OR(C858=1,D858=1),0,IF(NOT(ISNUMBER(Raw_Passengers!E858)),1,IF(Raw_Passengers!E858&lt;=0,1,0)))</f>
        <v>0</v>
      </c>
      <c r="F858" s="7">
        <f>IF(AND(C858=0,D858=0,TRIM(Raw_Passengers!D858&amp;"")=""),1,0)</f>
        <v>0</v>
      </c>
      <c r="G858" s="7" t="str">
        <f>IF(SUMPRODUCT(--(Lookup_Status!$A$2:$A$13=LOWER(TRIM(Raw_Passengers!F858))))=0,"",INDEX(Lookup_Status!$B$2:$B$13,SUMPRODUCT((Lookup_Status!$A$2:$A$13=LOWER(TRIM(Raw_Passengers!F858)))*(ROW(Lookup_Status!$A$2:$A$13)-1))))</f>
        <v>Confirmed</v>
      </c>
      <c r="H858" s="7" t="str">
        <f>IF(SUMPRODUCT(--(Lookup_Status!$A$2:$A$13=LOWER(TRIM(Raw_Passengers!G858))))=0,"",INDEX(Lookup_Status!$B$2:$B$13,SUMPRODUCT((Lookup_Status!$A$2:$A$13=LOWER(TRIM(Raw_Passengers!G858)))*(ROW(Lookup_Status!$A$2:$A$13)-1))))</f>
        <v>Confirmed</v>
      </c>
      <c r="I858" s="7">
        <f>IF(OR(G858="",G858="Cancelled",G858="Mixed"),1,0)</f>
        <v>0</v>
      </c>
      <c r="J858" s="7">
        <f>IF(OR(H858="",H858="Mixed"),1,0)</f>
        <v>0</v>
      </c>
      <c r="K858" s="7">
        <f>IF(AND(C858=0,D858=0),IF(OR(AND(I858=0,NOT(EXACT(Raw_Passengers!F858,G858))),AND(J858=0,NOT(EXACT(Raw_Passengers!G858,H858)))),1,0),0)</f>
        <v>0</v>
      </c>
      <c r="L858" s="7">
        <f>IF(AND(C858=0,D858=0,I858=1),1,0)</f>
        <v>0</v>
      </c>
      <c r="M858" s="7">
        <f>IF(AND(C858=0,D858=0,J858=1),1,0)</f>
        <v>0</v>
      </c>
    </row>
    <row r="859" spans="1:13">
      <c r="A859" s="7">
        <f>Raw_Passengers!A859</f>
        <v>285750</v>
      </c>
      <c r="B859" s="7">
        <f>Raw_Passengers!B859</f>
        <v>1141562</v>
      </c>
      <c r="C859" s="7">
        <f>IF(COUNTIF(Raw_Passengers!$A$2:A859,Raw_Passengers!A859)&gt;1,1,0)</f>
        <v>0</v>
      </c>
      <c r="D859" s="7">
        <f>IF(COUNTIF(Raw_Bookings!$A$2:$A$648,Raw_Passengers!B859)=0,1,0)</f>
        <v>0</v>
      </c>
      <c r="E859" s="7">
        <f>IF(OR(C859=1,D859=1),0,IF(NOT(ISNUMBER(Raw_Passengers!E859)),1,IF(Raw_Passengers!E859&lt;=0,1,0)))</f>
        <v>0</v>
      </c>
      <c r="F859" s="7">
        <f>IF(AND(C859=0,D859=0,TRIM(Raw_Passengers!D859&amp;"")=""),1,0)</f>
        <v>0</v>
      </c>
      <c r="G859" s="7" t="str">
        <f>IF(SUMPRODUCT(--(Lookup_Status!$A$2:$A$13=LOWER(TRIM(Raw_Passengers!F859))))=0,"",INDEX(Lookup_Status!$B$2:$B$13,SUMPRODUCT((Lookup_Status!$A$2:$A$13=LOWER(TRIM(Raw_Passengers!F859)))*(ROW(Lookup_Status!$A$2:$A$13)-1))))</f>
        <v>Confirmed</v>
      </c>
      <c r="H859" s="7" t="str">
        <f>IF(SUMPRODUCT(--(Lookup_Status!$A$2:$A$13=LOWER(TRIM(Raw_Passengers!G859))))=0,"",INDEX(Lookup_Status!$B$2:$B$13,SUMPRODUCT((Lookup_Status!$A$2:$A$13=LOWER(TRIM(Raw_Passengers!G859)))*(ROW(Lookup_Status!$A$2:$A$13)-1))))</f>
        <v>Cancelled</v>
      </c>
      <c r="I859" s="7">
        <f>IF(OR(G859="",G859="Cancelled",G859="Mixed"),1,0)</f>
        <v>0</v>
      </c>
      <c r="J859" s="7">
        <f>IF(OR(H859="",H859="Mixed"),1,0)</f>
        <v>0</v>
      </c>
      <c r="K859" s="7">
        <f>IF(AND(C859=0,D859=0),IF(OR(AND(I859=0,NOT(EXACT(Raw_Passengers!F859,G859))),AND(J859=0,NOT(EXACT(Raw_Passengers!G859,H859)))),1,0),0)</f>
        <v>0</v>
      </c>
      <c r="L859" s="7">
        <f>IF(AND(C859=0,D859=0,I859=1),1,0)</f>
        <v>0</v>
      </c>
      <c r="M859" s="7">
        <f>IF(AND(C859=0,D859=0,J859=1),1,0)</f>
        <v>0</v>
      </c>
    </row>
    <row r="860" spans="1:13">
      <c r="A860" s="7">
        <f>Raw_Passengers!A860</f>
        <v>287742</v>
      </c>
      <c r="B860" s="7">
        <f>Raw_Passengers!B860</f>
        <v>1142545</v>
      </c>
      <c r="C860" s="7">
        <f>IF(COUNTIF(Raw_Passengers!$A$2:A860,Raw_Passengers!A860)&gt;1,1,0)</f>
        <v>0</v>
      </c>
      <c r="D860" s="7">
        <f>IF(COUNTIF(Raw_Bookings!$A$2:$A$648,Raw_Passengers!B860)=0,1,0)</f>
        <v>0</v>
      </c>
      <c r="E860" s="7">
        <f>IF(OR(C860=1,D860=1),0,IF(NOT(ISNUMBER(Raw_Passengers!E860)),1,IF(Raw_Passengers!E860&lt;=0,1,0)))</f>
        <v>0</v>
      </c>
      <c r="F860" s="7">
        <f>IF(AND(C860=0,D860=0,TRIM(Raw_Passengers!D860&amp;"")=""),1,0)</f>
        <v>0</v>
      </c>
      <c r="G860" s="7" t="str">
        <f>IF(SUMPRODUCT(--(Lookup_Status!$A$2:$A$13=LOWER(TRIM(Raw_Passengers!F860))))=0,"",INDEX(Lookup_Status!$B$2:$B$13,SUMPRODUCT((Lookup_Status!$A$2:$A$13=LOWER(TRIM(Raw_Passengers!F860)))*(ROW(Lookup_Status!$A$2:$A$13)-1))))</f>
        <v>Confirmed</v>
      </c>
      <c r="H860" s="7" t="str">
        <f>IF(SUMPRODUCT(--(Lookup_Status!$A$2:$A$13=LOWER(TRIM(Raw_Passengers!G860))))=0,"",INDEX(Lookup_Status!$B$2:$B$13,SUMPRODUCT((Lookup_Status!$A$2:$A$13=LOWER(TRIM(Raw_Passengers!G860)))*(ROW(Lookup_Status!$A$2:$A$13)-1))))</f>
        <v>Confirmed</v>
      </c>
      <c r="I860" s="7">
        <f>IF(OR(G860="",G860="Cancelled",G860="Mixed"),1,0)</f>
        <v>0</v>
      </c>
      <c r="J860" s="7">
        <f>IF(OR(H860="",H860="Mixed"),1,0)</f>
        <v>0</v>
      </c>
      <c r="K860" s="7">
        <f>IF(AND(C860=0,D860=0),IF(OR(AND(I860=0,NOT(EXACT(Raw_Passengers!F860,G860))),AND(J860=0,NOT(EXACT(Raw_Passengers!G860,H860)))),1,0),0)</f>
        <v>0</v>
      </c>
      <c r="L860" s="7">
        <f>IF(AND(C860=0,D860=0,I860=1),1,0)</f>
        <v>0</v>
      </c>
      <c r="M860" s="7">
        <f>IF(AND(C860=0,D860=0,J860=1),1,0)</f>
        <v>0</v>
      </c>
    </row>
    <row r="861" spans="1:13">
      <c r="A861" s="7">
        <f>Raw_Passengers!A861</f>
        <v>287743</v>
      </c>
      <c r="B861" s="7">
        <f>Raw_Passengers!B861</f>
        <v>1142545</v>
      </c>
      <c r="C861" s="7">
        <f>IF(COUNTIF(Raw_Passengers!$A$2:A861,Raw_Passengers!A861)&gt;1,1,0)</f>
        <v>0</v>
      </c>
      <c r="D861" s="7">
        <f>IF(COUNTIF(Raw_Bookings!$A$2:$A$648,Raw_Passengers!B861)=0,1,0)</f>
        <v>0</v>
      </c>
      <c r="E861" s="7">
        <f>IF(OR(C861=1,D861=1),0,IF(NOT(ISNUMBER(Raw_Passengers!E861)),1,IF(Raw_Passengers!E861&lt;=0,1,0)))</f>
        <v>0</v>
      </c>
      <c r="F861" s="7">
        <f>IF(AND(C861=0,D861=0,TRIM(Raw_Passengers!D861&amp;"")=""),1,0)</f>
        <v>0</v>
      </c>
      <c r="G861" s="7" t="str">
        <f>IF(SUMPRODUCT(--(Lookup_Status!$A$2:$A$13=LOWER(TRIM(Raw_Passengers!F861))))=0,"",INDEX(Lookup_Status!$B$2:$B$13,SUMPRODUCT((Lookup_Status!$A$2:$A$13=LOWER(TRIM(Raw_Passengers!F861)))*(ROW(Lookup_Status!$A$2:$A$13)-1))))</f>
        <v>Confirmed</v>
      </c>
      <c r="H861" s="7" t="str">
        <f>IF(SUMPRODUCT(--(Lookup_Status!$A$2:$A$13=LOWER(TRIM(Raw_Passengers!G861))))=0,"",INDEX(Lookup_Status!$B$2:$B$13,SUMPRODUCT((Lookup_Status!$A$2:$A$13=LOWER(TRIM(Raw_Passengers!G861)))*(ROW(Lookup_Status!$A$2:$A$13)-1))))</f>
        <v>Confirmed</v>
      </c>
      <c r="I861" s="7">
        <f>IF(OR(G861="",G861="Cancelled",G861="Mixed"),1,0)</f>
        <v>0</v>
      </c>
      <c r="J861" s="7">
        <f>IF(OR(H861="",H861="Mixed"),1,0)</f>
        <v>0</v>
      </c>
      <c r="K861" s="7">
        <f>IF(AND(C861=0,D861=0),IF(OR(AND(I861=0,NOT(EXACT(Raw_Passengers!F861,G861))),AND(J861=0,NOT(EXACT(Raw_Passengers!G861,H861)))),1,0),0)</f>
        <v>0</v>
      </c>
      <c r="L861" s="7">
        <f>IF(AND(C861=0,D861=0,I861=1),1,0)</f>
        <v>0</v>
      </c>
      <c r="M861" s="7">
        <f>IF(AND(C861=0,D861=0,J861=1),1,0)</f>
        <v>0</v>
      </c>
    </row>
    <row r="862" spans="1:13">
      <c r="A862" s="7">
        <f>Raw_Passengers!A862</f>
        <v>287991</v>
      </c>
      <c r="B862" s="7">
        <f>Raw_Passengers!B862</f>
        <v>1142683</v>
      </c>
      <c r="C862" s="7">
        <f>IF(COUNTIF(Raw_Passengers!$A$2:A862,Raw_Passengers!A862)&gt;1,1,0)</f>
        <v>0</v>
      </c>
      <c r="D862" s="7">
        <f>IF(COUNTIF(Raw_Bookings!$A$2:$A$648,Raw_Passengers!B862)=0,1,0)</f>
        <v>0</v>
      </c>
      <c r="E862" s="7">
        <f>IF(OR(C862=1,D862=1),0,IF(NOT(ISNUMBER(Raw_Passengers!E862)),1,IF(Raw_Passengers!E862&lt;=0,1,0)))</f>
        <v>0</v>
      </c>
      <c r="F862" s="7">
        <f>IF(AND(C862=0,D862=0,TRIM(Raw_Passengers!D862&amp;"")=""),1,0)</f>
        <v>0</v>
      </c>
      <c r="G862" s="7" t="str">
        <f>IF(SUMPRODUCT(--(Lookup_Status!$A$2:$A$13=LOWER(TRIM(Raw_Passengers!F862))))=0,"",INDEX(Lookup_Status!$B$2:$B$13,SUMPRODUCT((Lookup_Status!$A$2:$A$13=LOWER(TRIM(Raw_Passengers!F862)))*(ROW(Lookup_Status!$A$2:$A$13)-1))))</f>
        <v>Confirmed</v>
      </c>
      <c r="H862" s="7" t="str">
        <f>IF(SUMPRODUCT(--(Lookup_Status!$A$2:$A$13=LOWER(TRIM(Raw_Passengers!G862))))=0,"",INDEX(Lookup_Status!$B$2:$B$13,SUMPRODUCT((Lookup_Status!$A$2:$A$13=LOWER(TRIM(Raw_Passengers!G862)))*(ROW(Lookup_Status!$A$2:$A$13)-1))))</f>
        <v>Confirmed</v>
      </c>
      <c r="I862" s="7">
        <f>IF(OR(G862="",G862="Cancelled",G862="Mixed"),1,0)</f>
        <v>0</v>
      </c>
      <c r="J862" s="7">
        <f>IF(OR(H862="",H862="Mixed"),1,0)</f>
        <v>0</v>
      </c>
      <c r="K862" s="7">
        <f>IF(AND(C862=0,D862=0),IF(OR(AND(I862=0,NOT(EXACT(Raw_Passengers!F862,G862))),AND(J862=0,NOT(EXACT(Raw_Passengers!G862,H862)))),1,0),0)</f>
        <v>0</v>
      </c>
      <c r="L862" s="7">
        <f>IF(AND(C862=0,D862=0,I862=1),1,0)</f>
        <v>0</v>
      </c>
      <c r="M862" s="7">
        <f>IF(AND(C862=0,D862=0,J862=1),1,0)</f>
        <v>0</v>
      </c>
    </row>
    <row r="863" spans="1:13">
      <c r="A863" s="7">
        <f>Raw_Passengers!A863</f>
        <v>287992</v>
      </c>
      <c r="B863" s="7">
        <f>Raw_Passengers!B863</f>
        <v>1142683</v>
      </c>
      <c r="C863" s="7">
        <f>IF(COUNTIF(Raw_Passengers!$A$2:A863,Raw_Passengers!A863)&gt;1,1,0)</f>
        <v>0</v>
      </c>
      <c r="D863" s="7">
        <f>IF(COUNTIF(Raw_Bookings!$A$2:$A$648,Raw_Passengers!B863)=0,1,0)</f>
        <v>0</v>
      </c>
      <c r="E863" s="7">
        <f>IF(OR(C863=1,D863=1),0,IF(NOT(ISNUMBER(Raw_Passengers!E863)),1,IF(Raw_Passengers!E863&lt;=0,1,0)))</f>
        <v>0</v>
      </c>
      <c r="F863" s="7">
        <f>IF(AND(C863=0,D863=0,TRIM(Raw_Passengers!D863&amp;"")=""),1,0)</f>
        <v>0</v>
      </c>
      <c r="G863" s="7" t="str">
        <f>IF(SUMPRODUCT(--(Lookup_Status!$A$2:$A$13=LOWER(TRIM(Raw_Passengers!F863))))=0,"",INDEX(Lookup_Status!$B$2:$B$13,SUMPRODUCT((Lookup_Status!$A$2:$A$13=LOWER(TRIM(Raw_Passengers!F863)))*(ROW(Lookup_Status!$A$2:$A$13)-1))))</f>
        <v>Confirmed</v>
      </c>
      <c r="H863" s="7" t="str">
        <f>IF(SUMPRODUCT(--(Lookup_Status!$A$2:$A$13=LOWER(TRIM(Raw_Passengers!G863))))=0,"",INDEX(Lookup_Status!$B$2:$B$13,SUMPRODUCT((Lookup_Status!$A$2:$A$13=LOWER(TRIM(Raw_Passengers!G863)))*(ROW(Lookup_Status!$A$2:$A$13)-1))))</f>
        <v>Confirmed</v>
      </c>
      <c r="I863" s="7">
        <f>IF(OR(G863="",G863="Cancelled",G863="Mixed"),1,0)</f>
        <v>0</v>
      </c>
      <c r="J863" s="7">
        <f>IF(OR(H863="",H863="Mixed"),1,0)</f>
        <v>0</v>
      </c>
      <c r="K863" s="7">
        <f>IF(AND(C863=0,D863=0),IF(OR(AND(I863=0,NOT(EXACT(Raw_Passengers!F863,G863))),AND(J863=0,NOT(EXACT(Raw_Passengers!G863,H863)))),1,0),0)</f>
        <v>0</v>
      </c>
      <c r="L863" s="7">
        <f>IF(AND(C863=0,D863=0,I863=1),1,0)</f>
        <v>0</v>
      </c>
      <c r="M863" s="7">
        <f>IF(AND(C863=0,D863=0,J863=1),1,0)</f>
        <v>0</v>
      </c>
    </row>
    <row r="864" spans="1:13">
      <c r="A864" s="7">
        <f>Raw_Passengers!A864</f>
        <v>287993</v>
      </c>
      <c r="B864" s="7">
        <f>Raw_Passengers!B864</f>
        <v>1142683</v>
      </c>
      <c r="C864" s="7">
        <f>IF(COUNTIF(Raw_Passengers!$A$2:A864,Raw_Passengers!A864)&gt;1,1,0)</f>
        <v>0</v>
      </c>
      <c r="D864" s="7">
        <f>IF(COUNTIF(Raw_Bookings!$A$2:$A$648,Raw_Passengers!B864)=0,1,0)</f>
        <v>0</v>
      </c>
      <c r="E864" s="7">
        <f>IF(OR(C864=1,D864=1),0,IF(NOT(ISNUMBER(Raw_Passengers!E864)),1,IF(Raw_Passengers!E864&lt;=0,1,0)))</f>
        <v>0</v>
      </c>
      <c r="F864" s="7">
        <f>IF(AND(C864=0,D864=0,TRIM(Raw_Passengers!D864&amp;"")=""),1,0)</f>
        <v>0</v>
      </c>
      <c r="G864" s="7" t="str">
        <f>IF(SUMPRODUCT(--(Lookup_Status!$A$2:$A$13=LOWER(TRIM(Raw_Passengers!F864))))=0,"",INDEX(Lookup_Status!$B$2:$B$13,SUMPRODUCT((Lookup_Status!$A$2:$A$13=LOWER(TRIM(Raw_Passengers!F864)))*(ROW(Lookup_Status!$A$2:$A$13)-1))))</f>
        <v>Confirmed</v>
      </c>
      <c r="H864" s="7" t="str">
        <f>IF(SUMPRODUCT(--(Lookup_Status!$A$2:$A$13=LOWER(TRIM(Raw_Passengers!G864))))=0,"",INDEX(Lookup_Status!$B$2:$B$13,SUMPRODUCT((Lookup_Status!$A$2:$A$13=LOWER(TRIM(Raw_Passengers!G864)))*(ROW(Lookup_Status!$A$2:$A$13)-1))))</f>
        <v>Confirmed</v>
      </c>
      <c r="I864" s="7">
        <f>IF(OR(G864="",G864="Cancelled",G864="Mixed"),1,0)</f>
        <v>0</v>
      </c>
      <c r="J864" s="7">
        <f>IF(OR(H864="",H864="Mixed"),1,0)</f>
        <v>0</v>
      </c>
      <c r="K864" s="7">
        <f>IF(AND(C864=0,D864=0),IF(OR(AND(I864=0,NOT(EXACT(Raw_Passengers!F864,G864))),AND(J864=0,NOT(EXACT(Raw_Passengers!G864,H864)))),1,0),0)</f>
        <v>0</v>
      </c>
      <c r="L864" s="7">
        <f>IF(AND(C864=0,D864=0,I864=1),1,0)</f>
        <v>0</v>
      </c>
      <c r="M864" s="7">
        <f>IF(AND(C864=0,D864=0,J864=1),1,0)</f>
        <v>0</v>
      </c>
    </row>
    <row r="865" spans="1:13">
      <c r="A865" s="7">
        <f>Raw_Passengers!A865</f>
        <v>288263</v>
      </c>
      <c r="B865" s="7">
        <f>Raw_Passengers!B865</f>
        <v>1142813</v>
      </c>
      <c r="C865" s="7">
        <f>IF(COUNTIF(Raw_Passengers!$A$2:A865,Raw_Passengers!A865)&gt;1,1,0)</f>
        <v>0</v>
      </c>
      <c r="D865" s="7">
        <f>IF(COUNTIF(Raw_Bookings!$A$2:$A$648,Raw_Passengers!B865)=0,1,0)</f>
        <v>0</v>
      </c>
      <c r="E865" s="7">
        <f>IF(OR(C865=1,D865=1),0,IF(NOT(ISNUMBER(Raw_Passengers!E865)),1,IF(Raw_Passengers!E865&lt;=0,1,0)))</f>
        <v>0</v>
      </c>
      <c r="F865" s="7">
        <f>IF(AND(C865=0,D865=0,TRIM(Raw_Passengers!D865&amp;"")=""),1,0)</f>
        <v>0</v>
      </c>
      <c r="G865" s="7" t="str">
        <f>IF(SUMPRODUCT(--(Lookup_Status!$A$2:$A$13=LOWER(TRIM(Raw_Passengers!F865))))=0,"",INDEX(Lookup_Status!$B$2:$B$13,SUMPRODUCT((Lookup_Status!$A$2:$A$13=LOWER(TRIM(Raw_Passengers!F865)))*(ROW(Lookup_Status!$A$2:$A$13)-1))))</f>
        <v>Confirmed</v>
      </c>
      <c r="H865" s="7" t="str">
        <f>IF(SUMPRODUCT(--(Lookup_Status!$A$2:$A$13=LOWER(TRIM(Raw_Passengers!G865))))=0,"",INDEX(Lookup_Status!$B$2:$B$13,SUMPRODUCT((Lookup_Status!$A$2:$A$13=LOWER(TRIM(Raw_Passengers!G865)))*(ROW(Lookup_Status!$A$2:$A$13)-1))))</f>
        <v>Cancelled</v>
      </c>
      <c r="I865" s="7">
        <f>IF(OR(G865="",G865="Cancelled",G865="Mixed"),1,0)</f>
        <v>0</v>
      </c>
      <c r="J865" s="7">
        <f>IF(OR(H865="",H865="Mixed"),1,0)</f>
        <v>0</v>
      </c>
      <c r="K865" s="7">
        <f>IF(AND(C865=0,D865=0),IF(OR(AND(I865=0,NOT(EXACT(Raw_Passengers!F865,G865))),AND(J865=0,NOT(EXACT(Raw_Passengers!G865,H865)))),1,0),0)</f>
        <v>0</v>
      </c>
      <c r="L865" s="7">
        <f>IF(AND(C865=0,D865=0,I865=1),1,0)</f>
        <v>0</v>
      </c>
      <c r="M865" s="7">
        <f>IF(AND(C865=0,D865=0,J865=1),1,0)</f>
        <v>0</v>
      </c>
    </row>
    <row r="866" spans="1:13">
      <c r="A866" s="7">
        <f>Raw_Passengers!A866</f>
        <v>289433</v>
      </c>
      <c r="B866" s="7">
        <f>Raw_Passengers!B866</f>
        <v>1143359</v>
      </c>
      <c r="C866" s="7">
        <f>IF(COUNTIF(Raw_Passengers!$A$2:A866,Raw_Passengers!A866)&gt;1,1,0)</f>
        <v>0</v>
      </c>
      <c r="D866" s="7">
        <f>IF(COUNTIF(Raw_Bookings!$A$2:$A$648,Raw_Passengers!B866)=0,1,0)</f>
        <v>0</v>
      </c>
      <c r="E866" s="7">
        <f>IF(OR(C866=1,D866=1),0,IF(NOT(ISNUMBER(Raw_Passengers!E866)),1,IF(Raw_Passengers!E866&lt;=0,1,0)))</f>
        <v>0</v>
      </c>
      <c r="F866" s="7">
        <f>IF(AND(C866=0,D866=0,TRIM(Raw_Passengers!D866&amp;"")=""),1,0)</f>
        <v>0</v>
      </c>
      <c r="G866" s="7" t="str">
        <f>IF(SUMPRODUCT(--(Lookup_Status!$A$2:$A$13=LOWER(TRIM(Raw_Passengers!F866))))=0,"",INDEX(Lookup_Status!$B$2:$B$13,SUMPRODUCT((Lookup_Status!$A$2:$A$13=LOWER(TRIM(Raw_Passengers!F866)))*(ROW(Lookup_Status!$A$2:$A$13)-1))))</f>
        <v>Confirmed</v>
      </c>
      <c r="H866" s="7" t="str">
        <f>IF(SUMPRODUCT(--(Lookup_Status!$A$2:$A$13=LOWER(TRIM(Raw_Passengers!G866))))=0,"",INDEX(Lookup_Status!$B$2:$B$13,SUMPRODUCT((Lookup_Status!$A$2:$A$13=LOWER(TRIM(Raw_Passengers!G866)))*(ROW(Lookup_Status!$A$2:$A$13)-1))))</f>
        <v>Confirmed</v>
      </c>
      <c r="I866" s="7">
        <f>IF(OR(G866="",G866="Cancelled",G866="Mixed"),1,0)</f>
        <v>0</v>
      </c>
      <c r="J866" s="7">
        <f>IF(OR(H866="",H866="Mixed"),1,0)</f>
        <v>0</v>
      </c>
      <c r="K866" s="7">
        <f>IF(AND(C866=0,D866=0),IF(OR(AND(I866=0,NOT(EXACT(Raw_Passengers!F866,G866))),AND(J866=0,NOT(EXACT(Raw_Passengers!G866,H866)))),1,0),0)</f>
        <v>0</v>
      </c>
      <c r="L866" s="7">
        <f>IF(AND(C866=0,D866=0,I866=1),1,0)</f>
        <v>0</v>
      </c>
      <c r="M866" s="7">
        <f>IF(AND(C866=0,D866=0,J866=1),1,0)</f>
        <v>0</v>
      </c>
    </row>
    <row r="867" spans="1:13">
      <c r="A867" s="7">
        <f>Raw_Passengers!A867</f>
        <v>289434</v>
      </c>
      <c r="B867" s="7">
        <f>Raw_Passengers!B867</f>
        <v>1143359</v>
      </c>
      <c r="C867" s="7">
        <f>IF(COUNTIF(Raw_Passengers!$A$2:A867,Raw_Passengers!A867)&gt;1,1,0)</f>
        <v>0</v>
      </c>
      <c r="D867" s="7">
        <f>IF(COUNTIF(Raw_Bookings!$A$2:$A$648,Raw_Passengers!B867)=0,1,0)</f>
        <v>0</v>
      </c>
      <c r="E867" s="7">
        <f>IF(OR(C867=1,D867=1),0,IF(NOT(ISNUMBER(Raw_Passengers!E867)),1,IF(Raw_Passengers!E867&lt;=0,1,0)))</f>
        <v>0</v>
      </c>
      <c r="F867" s="7">
        <f>IF(AND(C867=0,D867=0,TRIM(Raw_Passengers!D867&amp;"")=""),1,0)</f>
        <v>0</v>
      </c>
      <c r="G867" s="7" t="str">
        <f>IF(SUMPRODUCT(--(Lookup_Status!$A$2:$A$13=LOWER(TRIM(Raw_Passengers!F867))))=0,"",INDEX(Lookup_Status!$B$2:$B$13,SUMPRODUCT((Lookup_Status!$A$2:$A$13=LOWER(TRIM(Raw_Passengers!F867)))*(ROW(Lookup_Status!$A$2:$A$13)-1))))</f>
        <v>Confirmed</v>
      </c>
      <c r="H867" s="7" t="str">
        <f>IF(SUMPRODUCT(--(Lookup_Status!$A$2:$A$13=LOWER(TRIM(Raw_Passengers!G867))))=0,"",INDEX(Lookup_Status!$B$2:$B$13,SUMPRODUCT((Lookup_Status!$A$2:$A$13=LOWER(TRIM(Raw_Passengers!G867)))*(ROW(Lookup_Status!$A$2:$A$13)-1))))</f>
        <v>Confirmed</v>
      </c>
      <c r="I867" s="7">
        <f>IF(OR(G867="",G867="Cancelled",G867="Mixed"),1,0)</f>
        <v>0</v>
      </c>
      <c r="J867" s="7">
        <f>IF(OR(H867="",H867="Mixed"),1,0)</f>
        <v>0</v>
      </c>
      <c r="K867" s="7">
        <f>IF(AND(C867=0,D867=0),IF(OR(AND(I867=0,NOT(EXACT(Raw_Passengers!F867,G867))),AND(J867=0,NOT(EXACT(Raw_Passengers!G867,H867)))),1,0),0)</f>
        <v>0</v>
      </c>
      <c r="L867" s="7">
        <f>IF(AND(C867=0,D867=0,I867=1),1,0)</f>
        <v>0</v>
      </c>
      <c r="M867" s="7">
        <f>IF(AND(C867=0,D867=0,J867=1),1,0)</f>
        <v>0</v>
      </c>
    </row>
    <row r="868" spans="1:13">
      <c r="A868" s="7">
        <f>Raw_Passengers!A868</f>
        <v>289435</v>
      </c>
      <c r="B868" s="7">
        <f>Raw_Passengers!B868</f>
        <v>1143359</v>
      </c>
      <c r="C868" s="7">
        <f>IF(COUNTIF(Raw_Passengers!$A$2:A868,Raw_Passengers!A868)&gt;1,1,0)</f>
        <v>0</v>
      </c>
      <c r="D868" s="7">
        <f>IF(COUNTIF(Raw_Bookings!$A$2:$A$648,Raw_Passengers!B868)=0,1,0)</f>
        <v>0</v>
      </c>
      <c r="E868" s="7">
        <f>IF(OR(C868=1,D868=1),0,IF(NOT(ISNUMBER(Raw_Passengers!E868)),1,IF(Raw_Passengers!E868&lt;=0,1,0)))</f>
        <v>0</v>
      </c>
      <c r="F868" s="7">
        <f>IF(AND(C868=0,D868=0,TRIM(Raw_Passengers!D868&amp;"")=""),1,0)</f>
        <v>0</v>
      </c>
      <c r="G868" s="7" t="str">
        <f>IF(SUMPRODUCT(--(Lookup_Status!$A$2:$A$13=LOWER(TRIM(Raw_Passengers!F868))))=0,"",INDEX(Lookup_Status!$B$2:$B$13,SUMPRODUCT((Lookup_Status!$A$2:$A$13=LOWER(TRIM(Raw_Passengers!F868)))*(ROW(Lookup_Status!$A$2:$A$13)-1))))</f>
        <v>Confirmed</v>
      </c>
      <c r="H868" s="7" t="str">
        <f>IF(SUMPRODUCT(--(Lookup_Status!$A$2:$A$13=LOWER(TRIM(Raw_Passengers!G868))))=0,"",INDEX(Lookup_Status!$B$2:$B$13,SUMPRODUCT((Lookup_Status!$A$2:$A$13=LOWER(TRIM(Raw_Passengers!G868)))*(ROW(Lookup_Status!$A$2:$A$13)-1))))</f>
        <v>Confirmed</v>
      </c>
      <c r="I868" s="7">
        <f>IF(OR(G868="",G868="Cancelled",G868="Mixed"),1,0)</f>
        <v>0</v>
      </c>
      <c r="J868" s="7">
        <f>IF(OR(H868="",H868="Mixed"),1,0)</f>
        <v>0</v>
      </c>
      <c r="K868" s="7">
        <f>IF(AND(C868=0,D868=0),IF(OR(AND(I868=0,NOT(EXACT(Raw_Passengers!F868,G868))),AND(J868=0,NOT(EXACT(Raw_Passengers!G868,H868)))),1,0),0)</f>
        <v>0</v>
      </c>
      <c r="L868" s="7">
        <f>IF(AND(C868=0,D868=0,I868=1),1,0)</f>
        <v>0</v>
      </c>
      <c r="M868" s="7">
        <f>IF(AND(C868=0,D868=0,J868=1),1,0)</f>
        <v>0</v>
      </c>
    </row>
    <row r="869" spans="1:13">
      <c r="A869" s="7">
        <f>Raw_Passengers!A869</f>
        <v>289436</v>
      </c>
      <c r="B869" s="7">
        <f>Raw_Passengers!B869</f>
        <v>1143359</v>
      </c>
      <c r="C869" s="7">
        <f>IF(COUNTIF(Raw_Passengers!$A$2:A869,Raw_Passengers!A869)&gt;1,1,0)</f>
        <v>0</v>
      </c>
      <c r="D869" s="7">
        <f>IF(COUNTIF(Raw_Bookings!$A$2:$A$648,Raw_Passengers!B869)=0,1,0)</f>
        <v>0</v>
      </c>
      <c r="E869" s="7">
        <f>IF(OR(C869=1,D869=1),0,IF(NOT(ISNUMBER(Raw_Passengers!E869)),1,IF(Raw_Passengers!E869&lt;=0,1,0)))</f>
        <v>0</v>
      </c>
      <c r="F869" s="7">
        <f>IF(AND(C869=0,D869=0,TRIM(Raw_Passengers!D869&amp;"")=""),1,0)</f>
        <v>0</v>
      </c>
      <c r="G869" s="7" t="str">
        <f>IF(SUMPRODUCT(--(Lookup_Status!$A$2:$A$13=LOWER(TRIM(Raw_Passengers!F869))))=0,"",INDEX(Lookup_Status!$B$2:$B$13,SUMPRODUCT((Lookup_Status!$A$2:$A$13=LOWER(TRIM(Raw_Passengers!F869)))*(ROW(Lookup_Status!$A$2:$A$13)-1))))</f>
        <v>Confirmed</v>
      </c>
      <c r="H869" s="7" t="str">
        <f>IF(SUMPRODUCT(--(Lookup_Status!$A$2:$A$13=LOWER(TRIM(Raw_Passengers!G869))))=0,"",INDEX(Lookup_Status!$B$2:$B$13,SUMPRODUCT((Lookup_Status!$A$2:$A$13=LOWER(TRIM(Raw_Passengers!G869)))*(ROW(Lookup_Status!$A$2:$A$13)-1))))</f>
        <v>Confirmed</v>
      </c>
      <c r="I869" s="7">
        <f>IF(OR(G869="",G869="Cancelled",G869="Mixed"),1,0)</f>
        <v>0</v>
      </c>
      <c r="J869" s="7">
        <f>IF(OR(H869="",H869="Mixed"),1,0)</f>
        <v>0</v>
      </c>
      <c r="K869" s="7">
        <f>IF(AND(C869=0,D869=0),IF(OR(AND(I869=0,NOT(EXACT(Raw_Passengers!F869,G869))),AND(J869=0,NOT(EXACT(Raw_Passengers!G869,H869)))),1,0),0)</f>
        <v>0</v>
      </c>
      <c r="L869" s="7">
        <f>IF(AND(C869=0,D869=0,I869=1),1,0)</f>
        <v>0</v>
      </c>
      <c r="M869" s="7">
        <f>IF(AND(C869=0,D869=0,J869=1),1,0)</f>
        <v>0</v>
      </c>
    </row>
    <row r="870" spans="1:13">
      <c r="A870" s="7">
        <f>Raw_Passengers!A870</f>
        <v>290147</v>
      </c>
      <c r="B870" s="7">
        <f>Raw_Passengers!B870</f>
        <v>1143705</v>
      </c>
      <c r="C870" s="7">
        <f>IF(COUNTIF(Raw_Passengers!$A$2:A870,Raw_Passengers!A870)&gt;1,1,0)</f>
        <v>0</v>
      </c>
      <c r="D870" s="7">
        <f>IF(COUNTIF(Raw_Bookings!$A$2:$A$648,Raw_Passengers!B870)=0,1,0)</f>
        <v>0</v>
      </c>
      <c r="E870" s="7">
        <f>IF(OR(C870=1,D870=1),0,IF(NOT(ISNUMBER(Raw_Passengers!E870)),1,IF(Raw_Passengers!E870&lt;=0,1,0)))</f>
        <v>0</v>
      </c>
      <c r="F870" s="7">
        <f>IF(AND(C870=0,D870=0,TRIM(Raw_Passengers!D870&amp;"")=""),1,0)</f>
        <v>0</v>
      </c>
      <c r="G870" s="7" t="str">
        <f>IF(SUMPRODUCT(--(Lookup_Status!$A$2:$A$13=LOWER(TRIM(Raw_Passengers!F870))))=0,"",INDEX(Lookup_Status!$B$2:$B$13,SUMPRODUCT((Lookup_Status!$A$2:$A$13=LOWER(TRIM(Raw_Passengers!F870)))*(ROW(Lookup_Status!$A$2:$A$13)-1))))</f>
        <v>Confirmed</v>
      </c>
      <c r="H870" s="7" t="str">
        <f>IF(SUMPRODUCT(--(Lookup_Status!$A$2:$A$13=LOWER(TRIM(Raw_Passengers!G870))))=0,"",INDEX(Lookup_Status!$B$2:$B$13,SUMPRODUCT((Lookup_Status!$A$2:$A$13=LOWER(TRIM(Raw_Passengers!G870)))*(ROW(Lookup_Status!$A$2:$A$13)-1))))</f>
        <v>Confirmed</v>
      </c>
      <c r="I870" s="7">
        <f>IF(OR(G870="",G870="Cancelled",G870="Mixed"),1,0)</f>
        <v>0</v>
      </c>
      <c r="J870" s="7">
        <f>IF(OR(H870="",H870="Mixed"),1,0)</f>
        <v>0</v>
      </c>
      <c r="K870" s="7">
        <f>IF(AND(C870=0,D870=0),IF(OR(AND(I870=0,NOT(EXACT(Raw_Passengers!F870,G870))),AND(J870=0,NOT(EXACT(Raw_Passengers!G870,H870)))),1,0),0)</f>
        <v>0</v>
      </c>
      <c r="L870" s="7">
        <f>IF(AND(C870=0,D870=0,I870=1),1,0)</f>
        <v>0</v>
      </c>
      <c r="M870" s="7">
        <f>IF(AND(C870=0,D870=0,J870=1),1,0)</f>
        <v>0</v>
      </c>
    </row>
    <row r="871" spans="1:13">
      <c r="A871" s="7">
        <f>Raw_Passengers!A871</f>
        <v>290284</v>
      </c>
      <c r="B871" s="7">
        <f>Raw_Passengers!B871</f>
        <v>1143776</v>
      </c>
      <c r="C871" s="7">
        <f>IF(COUNTIF(Raw_Passengers!$A$2:A871,Raw_Passengers!A871)&gt;1,1,0)</f>
        <v>0</v>
      </c>
      <c r="D871" s="7">
        <f>IF(COUNTIF(Raw_Bookings!$A$2:$A$648,Raw_Passengers!B871)=0,1,0)</f>
        <v>0</v>
      </c>
      <c r="E871" s="7">
        <f>IF(OR(C871=1,D871=1),0,IF(NOT(ISNUMBER(Raw_Passengers!E871)),1,IF(Raw_Passengers!E871&lt;=0,1,0)))</f>
        <v>0</v>
      </c>
      <c r="F871" s="7">
        <f>IF(AND(C871=0,D871=0,TRIM(Raw_Passengers!D871&amp;"")=""),1,0)</f>
        <v>0</v>
      </c>
      <c r="G871" s="7" t="str">
        <f>IF(SUMPRODUCT(--(Lookup_Status!$A$2:$A$13=LOWER(TRIM(Raw_Passengers!F871))))=0,"",INDEX(Lookup_Status!$B$2:$B$13,SUMPRODUCT((Lookup_Status!$A$2:$A$13=LOWER(TRIM(Raw_Passengers!F871)))*(ROW(Lookup_Status!$A$2:$A$13)-1))))</f>
        <v>Confirmed</v>
      </c>
      <c r="H871" s="7" t="str">
        <f>IF(SUMPRODUCT(--(Lookup_Status!$A$2:$A$13=LOWER(TRIM(Raw_Passengers!G871))))=0,"",INDEX(Lookup_Status!$B$2:$B$13,SUMPRODUCT((Lookup_Status!$A$2:$A$13=LOWER(TRIM(Raw_Passengers!G871)))*(ROW(Lookup_Status!$A$2:$A$13)-1))))</f>
        <v>Confirmed</v>
      </c>
      <c r="I871" s="7">
        <f>IF(OR(G871="",G871="Cancelled",G871="Mixed"),1,0)</f>
        <v>0</v>
      </c>
      <c r="J871" s="7">
        <f>IF(OR(H871="",H871="Mixed"),1,0)</f>
        <v>0</v>
      </c>
      <c r="K871" s="7">
        <f>IF(AND(C871=0,D871=0),IF(OR(AND(I871=0,NOT(EXACT(Raw_Passengers!F871,G871))),AND(J871=0,NOT(EXACT(Raw_Passengers!G871,H871)))),1,0),0)</f>
        <v>0</v>
      </c>
      <c r="L871" s="7">
        <f>IF(AND(C871=0,D871=0,I871=1),1,0)</f>
        <v>0</v>
      </c>
      <c r="M871" s="7">
        <f>IF(AND(C871=0,D871=0,J871=1),1,0)</f>
        <v>0</v>
      </c>
    </row>
    <row r="872" spans="1:13">
      <c r="A872" s="7">
        <f>Raw_Passengers!A872</f>
        <v>290365</v>
      </c>
      <c r="B872" s="7">
        <f>Raw_Passengers!B872</f>
        <v>1143824</v>
      </c>
      <c r="C872" s="7">
        <f>IF(COUNTIF(Raw_Passengers!$A$2:A872,Raw_Passengers!A872)&gt;1,1,0)</f>
        <v>0</v>
      </c>
      <c r="D872" s="7">
        <f>IF(COUNTIF(Raw_Bookings!$A$2:$A$648,Raw_Passengers!B872)=0,1,0)</f>
        <v>0</v>
      </c>
      <c r="E872" s="7">
        <f>IF(OR(C872=1,D872=1),0,IF(NOT(ISNUMBER(Raw_Passengers!E872)),1,IF(Raw_Passengers!E872&lt;=0,1,0)))</f>
        <v>0</v>
      </c>
      <c r="F872" s="7">
        <f>IF(AND(C872=0,D872=0,TRIM(Raw_Passengers!D872&amp;"")=""),1,0)</f>
        <v>0</v>
      </c>
      <c r="G872" s="7" t="str">
        <f>IF(SUMPRODUCT(--(Lookup_Status!$A$2:$A$13=LOWER(TRIM(Raw_Passengers!F872))))=0,"",INDEX(Lookup_Status!$B$2:$B$13,SUMPRODUCT((Lookup_Status!$A$2:$A$13=LOWER(TRIM(Raw_Passengers!F872)))*(ROW(Lookup_Status!$A$2:$A$13)-1))))</f>
        <v>Confirmed</v>
      </c>
      <c r="H872" s="7" t="str">
        <f>IF(SUMPRODUCT(--(Lookup_Status!$A$2:$A$13=LOWER(TRIM(Raw_Passengers!G872))))=0,"",INDEX(Lookup_Status!$B$2:$B$13,SUMPRODUCT((Lookup_Status!$A$2:$A$13=LOWER(TRIM(Raw_Passengers!G872)))*(ROW(Lookup_Status!$A$2:$A$13)-1))))</f>
        <v>Cancelled</v>
      </c>
      <c r="I872" s="7">
        <f>IF(OR(G872="",G872="Cancelled",G872="Mixed"),1,0)</f>
        <v>0</v>
      </c>
      <c r="J872" s="7">
        <f>IF(OR(H872="",H872="Mixed"),1,0)</f>
        <v>0</v>
      </c>
      <c r="K872" s="7">
        <f>IF(AND(C872=0,D872=0),IF(OR(AND(I872=0,NOT(EXACT(Raw_Passengers!F872,G872))),AND(J872=0,NOT(EXACT(Raw_Passengers!G872,H872)))),1,0),0)</f>
        <v>0</v>
      </c>
      <c r="L872" s="7">
        <f>IF(AND(C872=0,D872=0,I872=1),1,0)</f>
        <v>0</v>
      </c>
      <c r="M872" s="7">
        <f>IF(AND(C872=0,D872=0,J872=1),1,0)</f>
        <v>0</v>
      </c>
    </row>
    <row r="873" spans="1:13">
      <c r="A873" s="7">
        <f>Raw_Passengers!A873</f>
        <v>290366</v>
      </c>
      <c r="B873" s="7">
        <f>Raw_Passengers!B873</f>
        <v>1143824</v>
      </c>
      <c r="C873" s="7">
        <f>IF(COUNTIF(Raw_Passengers!$A$2:A873,Raw_Passengers!A873)&gt;1,1,0)</f>
        <v>0</v>
      </c>
      <c r="D873" s="7">
        <f>IF(COUNTIF(Raw_Bookings!$A$2:$A$648,Raw_Passengers!B873)=0,1,0)</f>
        <v>0</v>
      </c>
      <c r="E873" s="7">
        <f>IF(OR(C873=1,D873=1),0,IF(NOT(ISNUMBER(Raw_Passengers!E873)),1,IF(Raw_Passengers!E873&lt;=0,1,0)))</f>
        <v>0</v>
      </c>
      <c r="F873" s="7">
        <f>IF(AND(C873=0,D873=0,TRIM(Raw_Passengers!D873&amp;"")=""),1,0)</f>
        <v>0</v>
      </c>
      <c r="G873" s="7" t="str">
        <f>IF(SUMPRODUCT(--(Lookup_Status!$A$2:$A$13=LOWER(TRIM(Raw_Passengers!F873))))=0,"",INDEX(Lookup_Status!$B$2:$B$13,SUMPRODUCT((Lookup_Status!$A$2:$A$13=LOWER(TRIM(Raw_Passengers!F873)))*(ROW(Lookup_Status!$A$2:$A$13)-1))))</f>
        <v>Confirmed</v>
      </c>
      <c r="H873" s="7" t="str">
        <f>IF(SUMPRODUCT(--(Lookup_Status!$A$2:$A$13=LOWER(TRIM(Raw_Passengers!G873))))=0,"",INDEX(Lookup_Status!$B$2:$B$13,SUMPRODUCT((Lookup_Status!$A$2:$A$13=LOWER(TRIM(Raw_Passengers!G873)))*(ROW(Lookup_Status!$A$2:$A$13)-1))))</f>
        <v>Cancelled</v>
      </c>
      <c r="I873" s="7">
        <f>IF(OR(G873="",G873="Cancelled",G873="Mixed"),1,0)</f>
        <v>0</v>
      </c>
      <c r="J873" s="7">
        <f>IF(OR(H873="",H873="Mixed"),1,0)</f>
        <v>0</v>
      </c>
      <c r="K873" s="7">
        <f>IF(AND(C873=0,D873=0),IF(OR(AND(I873=0,NOT(EXACT(Raw_Passengers!F873,G873))),AND(J873=0,NOT(EXACT(Raw_Passengers!G873,H873)))),1,0),0)</f>
        <v>0</v>
      </c>
      <c r="L873" s="7">
        <f>IF(AND(C873=0,D873=0,I873=1),1,0)</f>
        <v>0</v>
      </c>
      <c r="M873" s="7">
        <f>IF(AND(C873=0,D873=0,J873=1),1,0)</f>
        <v>0</v>
      </c>
    </row>
    <row r="874" spans="1:13">
      <c r="A874" s="7">
        <f>Raw_Passengers!A874</f>
        <v>291073</v>
      </c>
      <c r="B874" s="7">
        <f>Raw_Passengers!B874</f>
        <v>1144187</v>
      </c>
      <c r="C874" s="7">
        <f>IF(COUNTIF(Raw_Passengers!$A$2:A874,Raw_Passengers!A874)&gt;1,1,0)</f>
        <v>0</v>
      </c>
      <c r="D874" s="7">
        <f>IF(COUNTIF(Raw_Bookings!$A$2:$A$648,Raw_Passengers!B874)=0,1,0)</f>
        <v>0</v>
      </c>
      <c r="E874" s="7">
        <f>IF(OR(C874=1,D874=1),0,IF(NOT(ISNUMBER(Raw_Passengers!E874)),1,IF(Raw_Passengers!E874&lt;=0,1,0)))</f>
        <v>0</v>
      </c>
      <c r="F874" s="7">
        <f>IF(AND(C874=0,D874=0,TRIM(Raw_Passengers!D874&amp;"")=""),1,0)</f>
        <v>0</v>
      </c>
      <c r="G874" s="7" t="str">
        <f>IF(SUMPRODUCT(--(Lookup_Status!$A$2:$A$13=LOWER(TRIM(Raw_Passengers!F874))))=0,"",INDEX(Lookup_Status!$B$2:$B$13,SUMPRODUCT((Lookup_Status!$A$2:$A$13=LOWER(TRIM(Raw_Passengers!F874)))*(ROW(Lookup_Status!$A$2:$A$13)-1))))</f>
        <v>Confirmed</v>
      </c>
      <c r="H874" s="7" t="str">
        <f>IF(SUMPRODUCT(--(Lookup_Status!$A$2:$A$13=LOWER(TRIM(Raw_Passengers!G874))))=0,"",INDEX(Lookup_Status!$B$2:$B$13,SUMPRODUCT((Lookup_Status!$A$2:$A$13=LOWER(TRIM(Raw_Passengers!G874)))*(ROW(Lookup_Status!$A$2:$A$13)-1))))</f>
        <v>Cancelled</v>
      </c>
      <c r="I874" s="7">
        <f>IF(OR(G874="",G874="Cancelled",G874="Mixed"),1,0)</f>
        <v>0</v>
      </c>
      <c r="J874" s="7">
        <f>IF(OR(H874="",H874="Mixed"),1,0)</f>
        <v>0</v>
      </c>
      <c r="K874" s="7">
        <f>IF(AND(C874=0,D874=0),IF(OR(AND(I874=0,NOT(EXACT(Raw_Passengers!F874,G874))),AND(J874=0,NOT(EXACT(Raw_Passengers!G874,H874)))),1,0),0)</f>
        <v>0</v>
      </c>
      <c r="L874" s="7">
        <f>IF(AND(C874=0,D874=0,I874=1),1,0)</f>
        <v>0</v>
      </c>
      <c r="M874" s="7">
        <f>IF(AND(C874=0,D874=0,J874=1),1,0)</f>
        <v>0</v>
      </c>
    </row>
    <row r="875" spans="1:13">
      <c r="A875" s="7">
        <f>Raw_Passengers!A875</f>
        <v>291137</v>
      </c>
      <c r="B875" s="7">
        <f>Raw_Passengers!B875</f>
        <v>1144215</v>
      </c>
      <c r="C875" s="7">
        <f>IF(COUNTIF(Raw_Passengers!$A$2:A875,Raw_Passengers!A875)&gt;1,1,0)</f>
        <v>0</v>
      </c>
      <c r="D875" s="7">
        <f>IF(COUNTIF(Raw_Bookings!$A$2:$A$648,Raw_Passengers!B875)=0,1,0)</f>
        <v>0</v>
      </c>
      <c r="E875" s="7">
        <f>IF(OR(C875=1,D875=1),0,IF(NOT(ISNUMBER(Raw_Passengers!E875)),1,IF(Raw_Passengers!E875&lt;=0,1,0)))</f>
        <v>0</v>
      </c>
      <c r="F875" s="7">
        <f>IF(AND(C875=0,D875=0,TRIM(Raw_Passengers!D875&amp;"")=""),1,0)</f>
        <v>0</v>
      </c>
      <c r="G875" s="7" t="str">
        <f>IF(SUMPRODUCT(--(Lookup_Status!$A$2:$A$13=LOWER(TRIM(Raw_Passengers!F875))))=0,"",INDEX(Lookup_Status!$B$2:$B$13,SUMPRODUCT((Lookup_Status!$A$2:$A$13=LOWER(TRIM(Raw_Passengers!F875)))*(ROW(Lookup_Status!$A$2:$A$13)-1))))</f>
        <v>Confirmed</v>
      </c>
      <c r="H875" s="7" t="str">
        <f>IF(SUMPRODUCT(--(Lookup_Status!$A$2:$A$13=LOWER(TRIM(Raw_Passengers!G875))))=0,"",INDEX(Lookup_Status!$B$2:$B$13,SUMPRODUCT((Lookup_Status!$A$2:$A$13=LOWER(TRIM(Raw_Passengers!G875)))*(ROW(Lookup_Status!$A$2:$A$13)-1))))</f>
        <v>Confirmed</v>
      </c>
      <c r="I875" s="7">
        <f>IF(OR(G875="",G875="Cancelled",G875="Mixed"),1,0)</f>
        <v>0</v>
      </c>
      <c r="J875" s="7">
        <f>IF(OR(H875="",H875="Mixed"),1,0)</f>
        <v>0</v>
      </c>
      <c r="K875" s="7">
        <f>IF(AND(C875=0,D875=0),IF(OR(AND(I875=0,NOT(EXACT(Raw_Passengers!F875,G875))),AND(J875=0,NOT(EXACT(Raw_Passengers!G875,H875)))),1,0),0)</f>
        <v>0</v>
      </c>
      <c r="L875" s="7">
        <f>IF(AND(C875=0,D875=0,I875=1),1,0)</f>
        <v>0</v>
      </c>
      <c r="M875" s="7">
        <f>IF(AND(C875=0,D875=0,J875=1),1,0)</f>
        <v>0</v>
      </c>
    </row>
    <row r="876" spans="1:13">
      <c r="A876" s="7">
        <f>Raw_Passengers!A876</f>
        <v>291525</v>
      </c>
      <c r="B876" s="7">
        <f>Raw_Passengers!B876</f>
        <v>1144413</v>
      </c>
      <c r="C876" s="7">
        <f>IF(COUNTIF(Raw_Passengers!$A$2:A876,Raw_Passengers!A876)&gt;1,1,0)</f>
        <v>0</v>
      </c>
      <c r="D876" s="7">
        <f>IF(COUNTIF(Raw_Bookings!$A$2:$A$648,Raw_Passengers!B876)=0,1,0)</f>
        <v>0</v>
      </c>
      <c r="E876" s="7">
        <f>IF(OR(C876=1,D876=1),0,IF(NOT(ISNUMBER(Raw_Passengers!E876)),1,IF(Raw_Passengers!E876&lt;=0,1,0)))</f>
        <v>0</v>
      </c>
      <c r="F876" s="7">
        <f>IF(AND(C876=0,D876=0,TRIM(Raw_Passengers!D876&amp;"")=""),1,0)</f>
        <v>0</v>
      </c>
      <c r="G876" s="7" t="str">
        <f>IF(SUMPRODUCT(--(Lookup_Status!$A$2:$A$13=LOWER(TRIM(Raw_Passengers!F876))))=0,"",INDEX(Lookup_Status!$B$2:$B$13,SUMPRODUCT((Lookup_Status!$A$2:$A$13=LOWER(TRIM(Raw_Passengers!F876)))*(ROW(Lookup_Status!$A$2:$A$13)-1))))</f>
        <v>Confirmed</v>
      </c>
      <c r="H876" s="7" t="str">
        <f>IF(SUMPRODUCT(--(Lookup_Status!$A$2:$A$13=LOWER(TRIM(Raw_Passengers!G876))))=0,"",INDEX(Lookup_Status!$B$2:$B$13,SUMPRODUCT((Lookup_Status!$A$2:$A$13=LOWER(TRIM(Raw_Passengers!G876)))*(ROW(Lookup_Status!$A$2:$A$13)-1))))</f>
        <v>Confirmed</v>
      </c>
      <c r="I876" s="7">
        <f>IF(OR(G876="",G876="Cancelled",G876="Mixed"),1,0)</f>
        <v>0</v>
      </c>
      <c r="J876" s="7">
        <f>IF(OR(H876="",H876="Mixed"),1,0)</f>
        <v>0</v>
      </c>
      <c r="K876" s="7">
        <f>IF(AND(C876=0,D876=0),IF(OR(AND(I876=0,NOT(EXACT(Raw_Passengers!F876,G876))),AND(J876=0,NOT(EXACT(Raw_Passengers!G876,H876)))),1,0),0)</f>
        <v>0</v>
      </c>
      <c r="L876" s="7">
        <f>IF(AND(C876=0,D876=0,I876=1),1,0)</f>
        <v>0</v>
      </c>
      <c r="M876" s="7">
        <f>IF(AND(C876=0,D876=0,J876=1),1,0)</f>
        <v>0</v>
      </c>
    </row>
    <row r="877" spans="1:13">
      <c r="A877" s="7">
        <f>Raw_Passengers!A877</f>
        <v>291526</v>
      </c>
      <c r="B877" s="7">
        <f>Raw_Passengers!B877</f>
        <v>1144413</v>
      </c>
      <c r="C877" s="7">
        <f>IF(COUNTIF(Raw_Passengers!$A$2:A877,Raw_Passengers!A877)&gt;1,1,0)</f>
        <v>0</v>
      </c>
      <c r="D877" s="7">
        <f>IF(COUNTIF(Raw_Bookings!$A$2:$A$648,Raw_Passengers!B877)=0,1,0)</f>
        <v>0</v>
      </c>
      <c r="E877" s="7">
        <f>IF(OR(C877=1,D877=1),0,IF(NOT(ISNUMBER(Raw_Passengers!E877)),1,IF(Raw_Passengers!E877&lt;=0,1,0)))</f>
        <v>0</v>
      </c>
      <c r="F877" s="7">
        <f>IF(AND(C877=0,D877=0,TRIM(Raw_Passengers!D877&amp;"")=""),1,0)</f>
        <v>0</v>
      </c>
      <c r="G877" s="7" t="str">
        <f>IF(SUMPRODUCT(--(Lookup_Status!$A$2:$A$13=LOWER(TRIM(Raw_Passengers!F877))))=0,"",INDEX(Lookup_Status!$B$2:$B$13,SUMPRODUCT((Lookup_Status!$A$2:$A$13=LOWER(TRIM(Raw_Passengers!F877)))*(ROW(Lookup_Status!$A$2:$A$13)-1))))</f>
        <v>Confirmed</v>
      </c>
      <c r="H877" s="7" t="str">
        <f>IF(SUMPRODUCT(--(Lookup_Status!$A$2:$A$13=LOWER(TRIM(Raw_Passengers!G877))))=0,"",INDEX(Lookup_Status!$B$2:$B$13,SUMPRODUCT((Lookup_Status!$A$2:$A$13=LOWER(TRIM(Raw_Passengers!G877)))*(ROW(Lookup_Status!$A$2:$A$13)-1))))</f>
        <v>Confirmed</v>
      </c>
      <c r="I877" s="7">
        <f>IF(OR(G877="",G877="Cancelled",G877="Mixed"),1,0)</f>
        <v>0</v>
      </c>
      <c r="J877" s="7">
        <f>IF(OR(H877="",H877="Mixed"),1,0)</f>
        <v>0</v>
      </c>
      <c r="K877" s="7">
        <f>IF(AND(C877=0,D877=0),IF(OR(AND(I877=0,NOT(EXACT(Raw_Passengers!F877,G877))),AND(J877=0,NOT(EXACT(Raw_Passengers!G877,H877)))),1,0),0)</f>
        <v>0</v>
      </c>
      <c r="L877" s="7">
        <f>IF(AND(C877=0,D877=0,I877=1),1,0)</f>
        <v>0</v>
      </c>
      <c r="M877" s="7">
        <f>IF(AND(C877=0,D877=0,J877=1),1,0)</f>
        <v>0</v>
      </c>
    </row>
    <row r="878" spans="1:13">
      <c r="A878" s="7">
        <f>Raw_Passengers!A878</f>
        <v>291768</v>
      </c>
      <c r="B878" s="7">
        <f>Raw_Passengers!B878</f>
        <v>1144538</v>
      </c>
      <c r="C878" s="7">
        <f>IF(COUNTIF(Raw_Passengers!$A$2:A878,Raw_Passengers!A878)&gt;1,1,0)</f>
        <v>0</v>
      </c>
      <c r="D878" s="7">
        <f>IF(COUNTIF(Raw_Bookings!$A$2:$A$648,Raw_Passengers!B878)=0,1,0)</f>
        <v>0</v>
      </c>
      <c r="E878" s="7">
        <f>IF(OR(C878=1,D878=1),0,IF(NOT(ISNUMBER(Raw_Passengers!E878)),1,IF(Raw_Passengers!E878&lt;=0,1,0)))</f>
        <v>0</v>
      </c>
      <c r="F878" s="7">
        <f>IF(AND(C878=0,D878=0,TRIM(Raw_Passengers!D878&amp;"")=""),1,0)</f>
        <v>0</v>
      </c>
      <c r="G878" s="7" t="str">
        <f>IF(SUMPRODUCT(--(Lookup_Status!$A$2:$A$13=LOWER(TRIM(Raw_Passengers!F878))))=0,"",INDEX(Lookup_Status!$B$2:$B$13,SUMPRODUCT((Lookup_Status!$A$2:$A$13=LOWER(TRIM(Raw_Passengers!F878)))*(ROW(Lookup_Status!$A$2:$A$13)-1))))</f>
        <v>Confirmed</v>
      </c>
      <c r="H878" s="7" t="str">
        <f>IF(SUMPRODUCT(--(Lookup_Status!$A$2:$A$13=LOWER(TRIM(Raw_Passengers!G878))))=0,"",INDEX(Lookup_Status!$B$2:$B$13,SUMPRODUCT((Lookup_Status!$A$2:$A$13=LOWER(TRIM(Raw_Passengers!G878)))*(ROW(Lookup_Status!$A$2:$A$13)-1))))</f>
        <v>Confirmed</v>
      </c>
      <c r="I878" s="7">
        <f>IF(OR(G878="",G878="Cancelled",G878="Mixed"),1,0)</f>
        <v>0</v>
      </c>
      <c r="J878" s="7">
        <f>IF(OR(H878="",H878="Mixed"),1,0)</f>
        <v>0</v>
      </c>
      <c r="K878" s="7">
        <f>IF(AND(C878=0,D878=0),IF(OR(AND(I878=0,NOT(EXACT(Raw_Passengers!F878,G878))),AND(J878=0,NOT(EXACT(Raw_Passengers!G878,H878)))),1,0),0)</f>
        <v>0</v>
      </c>
      <c r="L878" s="7">
        <f>IF(AND(C878=0,D878=0,I878=1),1,0)</f>
        <v>0</v>
      </c>
      <c r="M878" s="7">
        <f>IF(AND(C878=0,D878=0,J878=1),1,0)</f>
        <v>0</v>
      </c>
    </row>
    <row r="879" spans="1:13">
      <c r="A879" s="7">
        <f>Raw_Passengers!A879</f>
        <v>291769</v>
      </c>
      <c r="B879" s="7">
        <f>Raw_Passengers!B879</f>
        <v>1144538</v>
      </c>
      <c r="C879" s="7">
        <f>IF(COUNTIF(Raw_Passengers!$A$2:A879,Raw_Passengers!A879)&gt;1,1,0)</f>
        <v>0</v>
      </c>
      <c r="D879" s="7">
        <f>IF(COUNTIF(Raw_Bookings!$A$2:$A$648,Raw_Passengers!B879)=0,1,0)</f>
        <v>0</v>
      </c>
      <c r="E879" s="7">
        <f>IF(OR(C879=1,D879=1),0,IF(NOT(ISNUMBER(Raw_Passengers!E879)),1,IF(Raw_Passengers!E879&lt;=0,1,0)))</f>
        <v>0</v>
      </c>
      <c r="F879" s="7">
        <f>IF(AND(C879=0,D879=0,TRIM(Raw_Passengers!D879&amp;"")=""),1,0)</f>
        <v>0</v>
      </c>
      <c r="G879" s="7" t="str">
        <f>IF(SUMPRODUCT(--(Lookup_Status!$A$2:$A$13=LOWER(TRIM(Raw_Passengers!F879))))=0,"",INDEX(Lookup_Status!$B$2:$B$13,SUMPRODUCT((Lookup_Status!$A$2:$A$13=LOWER(TRIM(Raw_Passengers!F879)))*(ROW(Lookup_Status!$A$2:$A$13)-1))))</f>
        <v>Confirmed</v>
      </c>
      <c r="H879" s="7" t="str">
        <f>IF(SUMPRODUCT(--(Lookup_Status!$A$2:$A$13=LOWER(TRIM(Raw_Passengers!G879))))=0,"",INDEX(Lookup_Status!$B$2:$B$13,SUMPRODUCT((Lookup_Status!$A$2:$A$13=LOWER(TRIM(Raw_Passengers!G879)))*(ROW(Lookup_Status!$A$2:$A$13)-1))))</f>
        <v>Confirmed</v>
      </c>
      <c r="I879" s="7">
        <f>IF(OR(G879="",G879="Cancelled",G879="Mixed"),1,0)</f>
        <v>0</v>
      </c>
      <c r="J879" s="7">
        <f>IF(OR(H879="",H879="Mixed"),1,0)</f>
        <v>0</v>
      </c>
      <c r="K879" s="7">
        <f>IF(AND(C879=0,D879=0),IF(OR(AND(I879=0,NOT(EXACT(Raw_Passengers!F879,G879))),AND(J879=0,NOT(EXACT(Raw_Passengers!G879,H879)))),1,0),0)</f>
        <v>0</v>
      </c>
      <c r="L879" s="7">
        <f>IF(AND(C879=0,D879=0,I879=1),1,0)</f>
        <v>0</v>
      </c>
      <c r="M879" s="7">
        <f>IF(AND(C879=0,D879=0,J879=1),1,0)</f>
        <v>0</v>
      </c>
    </row>
    <row r="880" spans="1:13">
      <c r="A880" s="7">
        <f>Raw_Passengers!A880</f>
        <v>291770</v>
      </c>
      <c r="B880" s="7">
        <f>Raw_Passengers!B880</f>
        <v>1144538</v>
      </c>
      <c r="C880" s="7">
        <f>IF(COUNTIF(Raw_Passengers!$A$2:A880,Raw_Passengers!A880)&gt;1,1,0)</f>
        <v>0</v>
      </c>
      <c r="D880" s="7">
        <f>IF(COUNTIF(Raw_Bookings!$A$2:$A$648,Raw_Passengers!B880)=0,1,0)</f>
        <v>0</v>
      </c>
      <c r="E880" s="7">
        <f>IF(OR(C880=1,D880=1),0,IF(NOT(ISNUMBER(Raw_Passengers!E880)),1,IF(Raw_Passengers!E880&lt;=0,1,0)))</f>
        <v>0</v>
      </c>
      <c r="F880" s="7">
        <f>IF(AND(C880=0,D880=0,TRIM(Raw_Passengers!D880&amp;"")=""),1,0)</f>
        <v>0</v>
      </c>
      <c r="G880" s="7" t="str">
        <f>IF(SUMPRODUCT(--(Lookup_Status!$A$2:$A$13=LOWER(TRIM(Raw_Passengers!F880))))=0,"",INDEX(Lookup_Status!$B$2:$B$13,SUMPRODUCT((Lookup_Status!$A$2:$A$13=LOWER(TRIM(Raw_Passengers!F880)))*(ROW(Lookup_Status!$A$2:$A$13)-1))))</f>
        <v>Confirmed</v>
      </c>
      <c r="H880" s="7" t="str">
        <f>IF(SUMPRODUCT(--(Lookup_Status!$A$2:$A$13=LOWER(TRIM(Raw_Passengers!G880))))=0,"",INDEX(Lookup_Status!$B$2:$B$13,SUMPRODUCT((Lookup_Status!$A$2:$A$13=LOWER(TRIM(Raw_Passengers!G880)))*(ROW(Lookup_Status!$A$2:$A$13)-1))))</f>
        <v>Confirmed</v>
      </c>
      <c r="I880" s="7">
        <f>IF(OR(G880="",G880="Cancelled",G880="Mixed"),1,0)</f>
        <v>0</v>
      </c>
      <c r="J880" s="7">
        <f>IF(OR(H880="",H880="Mixed"),1,0)</f>
        <v>0</v>
      </c>
      <c r="K880" s="7">
        <f>IF(AND(C880=0,D880=0),IF(OR(AND(I880=0,NOT(EXACT(Raw_Passengers!F880,G880))),AND(J880=0,NOT(EXACT(Raw_Passengers!G880,H880)))),1,0),0)</f>
        <v>0</v>
      </c>
      <c r="L880" s="7">
        <f>IF(AND(C880=0,D880=0,I880=1),1,0)</f>
        <v>0</v>
      </c>
      <c r="M880" s="7">
        <f>IF(AND(C880=0,D880=0,J880=1),1,0)</f>
        <v>0</v>
      </c>
    </row>
    <row r="881" spans="1:13">
      <c r="A881" s="7">
        <f>Raw_Passengers!A881</f>
        <v>291771</v>
      </c>
      <c r="B881" s="7">
        <f>Raw_Passengers!B881</f>
        <v>1144538</v>
      </c>
      <c r="C881" s="7">
        <f>IF(COUNTIF(Raw_Passengers!$A$2:A881,Raw_Passengers!A881)&gt;1,1,0)</f>
        <v>0</v>
      </c>
      <c r="D881" s="7">
        <f>IF(COUNTIF(Raw_Bookings!$A$2:$A$648,Raw_Passengers!B881)=0,1,0)</f>
        <v>0</v>
      </c>
      <c r="E881" s="7">
        <f>IF(OR(C881=1,D881=1),0,IF(NOT(ISNUMBER(Raw_Passengers!E881)),1,IF(Raw_Passengers!E881&lt;=0,1,0)))</f>
        <v>0</v>
      </c>
      <c r="F881" s="7">
        <f>IF(AND(C881=0,D881=0,TRIM(Raw_Passengers!D881&amp;"")=""),1,0)</f>
        <v>0</v>
      </c>
      <c r="G881" s="7" t="str">
        <f>IF(SUMPRODUCT(--(Lookup_Status!$A$2:$A$13=LOWER(TRIM(Raw_Passengers!F881))))=0,"",INDEX(Lookup_Status!$B$2:$B$13,SUMPRODUCT((Lookup_Status!$A$2:$A$13=LOWER(TRIM(Raw_Passengers!F881)))*(ROW(Lookup_Status!$A$2:$A$13)-1))))</f>
        <v>Confirmed</v>
      </c>
      <c r="H881" s="7" t="str">
        <f>IF(SUMPRODUCT(--(Lookup_Status!$A$2:$A$13=LOWER(TRIM(Raw_Passengers!G881))))=0,"",INDEX(Lookup_Status!$B$2:$B$13,SUMPRODUCT((Lookup_Status!$A$2:$A$13=LOWER(TRIM(Raw_Passengers!G881)))*(ROW(Lookup_Status!$A$2:$A$13)-1))))</f>
        <v>Confirmed</v>
      </c>
      <c r="I881" s="7">
        <f>IF(OR(G881="",G881="Cancelled",G881="Mixed"),1,0)</f>
        <v>0</v>
      </c>
      <c r="J881" s="7">
        <f>IF(OR(H881="",H881="Mixed"),1,0)</f>
        <v>0</v>
      </c>
      <c r="K881" s="7">
        <f>IF(AND(C881=0,D881=0),IF(OR(AND(I881=0,NOT(EXACT(Raw_Passengers!F881,G881))),AND(J881=0,NOT(EXACT(Raw_Passengers!G881,H881)))),1,0),0)</f>
        <v>0</v>
      </c>
      <c r="L881" s="7">
        <f>IF(AND(C881=0,D881=0,I881=1),1,0)</f>
        <v>0</v>
      </c>
      <c r="M881" s="7">
        <f>IF(AND(C881=0,D881=0,J881=1),1,0)</f>
        <v>0</v>
      </c>
    </row>
    <row r="882" spans="1:13">
      <c r="A882" s="7">
        <f>Raw_Passengers!A882</f>
        <v>292182</v>
      </c>
      <c r="B882" s="7">
        <f>Raw_Passengers!B882</f>
        <v>1144730</v>
      </c>
      <c r="C882" s="7">
        <f>IF(COUNTIF(Raw_Passengers!$A$2:A882,Raw_Passengers!A882)&gt;1,1,0)</f>
        <v>0</v>
      </c>
      <c r="D882" s="7">
        <f>IF(COUNTIF(Raw_Bookings!$A$2:$A$648,Raw_Passengers!B882)=0,1,0)</f>
        <v>0</v>
      </c>
      <c r="E882" s="7">
        <f>IF(OR(C882=1,D882=1),0,IF(NOT(ISNUMBER(Raw_Passengers!E882)),1,IF(Raw_Passengers!E882&lt;=0,1,0)))</f>
        <v>0</v>
      </c>
      <c r="F882" s="7">
        <f>IF(AND(C882=0,D882=0,TRIM(Raw_Passengers!D882&amp;"")=""),1,0)</f>
        <v>0</v>
      </c>
      <c r="G882" s="7" t="str">
        <f>IF(SUMPRODUCT(--(Lookup_Status!$A$2:$A$13=LOWER(TRIM(Raw_Passengers!F882))))=0,"",INDEX(Lookup_Status!$B$2:$B$13,SUMPRODUCT((Lookup_Status!$A$2:$A$13=LOWER(TRIM(Raw_Passengers!F882)))*(ROW(Lookup_Status!$A$2:$A$13)-1))))</f>
        <v>Confirmed</v>
      </c>
      <c r="H882" s="7" t="str">
        <f>IF(SUMPRODUCT(--(Lookup_Status!$A$2:$A$13=LOWER(TRIM(Raw_Passengers!G882))))=0,"",INDEX(Lookup_Status!$B$2:$B$13,SUMPRODUCT((Lookup_Status!$A$2:$A$13=LOWER(TRIM(Raw_Passengers!G882)))*(ROW(Lookup_Status!$A$2:$A$13)-1))))</f>
        <v>Confirmed</v>
      </c>
      <c r="I882" s="7">
        <f>IF(OR(G882="",G882="Cancelled",G882="Mixed"),1,0)</f>
        <v>0</v>
      </c>
      <c r="J882" s="7">
        <f>IF(OR(H882="",H882="Mixed"),1,0)</f>
        <v>0</v>
      </c>
      <c r="K882" s="7">
        <f>IF(AND(C882=0,D882=0),IF(OR(AND(I882=0,NOT(EXACT(Raw_Passengers!F882,G882))),AND(J882=0,NOT(EXACT(Raw_Passengers!G882,H882)))),1,0),0)</f>
        <v>0</v>
      </c>
      <c r="L882" s="7">
        <f>IF(AND(C882=0,D882=0,I882=1),1,0)</f>
        <v>0</v>
      </c>
      <c r="M882" s="7">
        <f>IF(AND(C882=0,D882=0,J882=1),1,0)</f>
        <v>0</v>
      </c>
    </row>
    <row r="883" spans="1:13">
      <c r="A883" s="7">
        <f>Raw_Passengers!A883</f>
        <v>294244</v>
      </c>
      <c r="B883" s="7">
        <f>Raw_Passengers!B883</f>
        <v>1145742</v>
      </c>
      <c r="C883" s="7">
        <f>IF(COUNTIF(Raw_Passengers!$A$2:A883,Raw_Passengers!A883)&gt;1,1,0)</f>
        <v>0</v>
      </c>
      <c r="D883" s="7">
        <f>IF(COUNTIF(Raw_Bookings!$A$2:$A$648,Raw_Passengers!B883)=0,1,0)</f>
        <v>0</v>
      </c>
      <c r="E883" s="7">
        <f>IF(OR(C883=1,D883=1),0,IF(NOT(ISNUMBER(Raw_Passengers!E883)),1,IF(Raw_Passengers!E883&lt;=0,1,0)))</f>
        <v>0</v>
      </c>
      <c r="F883" s="7">
        <f>IF(AND(C883=0,D883=0,TRIM(Raw_Passengers!D883&amp;"")=""),1,0)</f>
        <v>0</v>
      </c>
      <c r="G883" s="7" t="str">
        <f>IF(SUMPRODUCT(--(Lookup_Status!$A$2:$A$13=LOWER(TRIM(Raw_Passengers!F883))))=0,"",INDEX(Lookup_Status!$B$2:$B$13,SUMPRODUCT((Lookup_Status!$A$2:$A$13=LOWER(TRIM(Raw_Passengers!F883)))*(ROW(Lookup_Status!$A$2:$A$13)-1))))</f>
        <v>Confirmed</v>
      </c>
      <c r="H883" s="7" t="str">
        <f>IF(SUMPRODUCT(--(Lookup_Status!$A$2:$A$13=LOWER(TRIM(Raw_Passengers!G883))))=0,"",INDEX(Lookup_Status!$B$2:$B$13,SUMPRODUCT((Lookup_Status!$A$2:$A$13=LOWER(TRIM(Raw_Passengers!G883)))*(ROW(Lookup_Status!$A$2:$A$13)-1))))</f>
        <v>Confirmed</v>
      </c>
      <c r="I883" s="7">
        <f>IF(OR(G883="",G883="Cancelled",G883="Mixed"),1,0)</f>
        <v>0</v>
      </c>
      <c r="J883" s="7">
        <f>IF(OR(H883="",H883="Mixed"),1,0)</f>
        <v>0</v>
      </c>
      <c r="K883" s="7">
        <f>IF(AND(C883=0,D883=0),IF(OR(AND(I883=0,NOT(EXACT(Raw_Passengers!F883,G883))),AND(J883=0,NOT(EXACT(Raw_Passengers!G883,H883)))),1,0),0)</f>
        <v>0</v>
      </c>
      <c r="L883" s="7">
        <f>IF(AND(C883=0,D883=0,I883=1),1,0)</f>
        <v>0</v>
      </c>
      <c r="M883" s="7">
        <f>IF(AND(C883=0,D883=0,J883=1),1,0)</f>
        <v>0</v>
      </c>
    </row>
    <row r="884" spans="1:13">
      <c r="A884" s="7">
        <f>Raw_Passengers!A884</f>
        <v>294245</v>
      </c>
      <c r="B884" s="7">
        <f>Raw_Passengers!B884</f>
        <v>1145742</v>
      </c>
      <c r="C884" s="7">
        <f>IF(COUNTIF(Raw_Passengers!$A$2:A884,Raw_Passengers!A884)&gt;1,1,0)</f>
        <v>0</v>
      </c>
      <c r="D884" s="7">
        <f>IF(COUNTIF(Raw_Bookings!$A$2:$A$648,Raw_Passengers!B884)=0,1,0)</f>
        <v>0</v>
      </c>
      <c r="E884" s="7">
        <f>IF(OR(C884=1,D884=1),0,IF(NOT(ISNUMBER(Raw_Passengers!E884)),1,IF(Raw_Passengers!E884&lt;=0,1,0)))</f>
        <v>0</v>
      </c>
      <c r="F884" s="7">
        <f>IF(AND(C884=0,D884=0,TRIM(Raw_Passengers!D884&amp;"")=""),1,0)</f>
        <v>0</v>
      </c>
      <c r="G884" s="7" t="str">
        <f>IF(SUMPRODUCT(--(Lookup_Status!$A$2:$A$13=LOWER(TRIM(Raw_Passengers!F884))))=0,"",INDEX(Lookup_Status!$B$2:$B$13,SUMPRODUCT((Lookup_Status!$A$2:$A$13=LOWER(TRIM(Raw_Passengers!F884)))*(ROW(Lookup_Status!$A$2:$A$13)-1))))</f>
        <v>Confirmed</v>
      </c>
      <c r="H884" s="7" t="str">
        <f>IF(SUMPRODUCT(--(Lookup_Status!$A$2:$A$13=LOWER(TRIM(Raw_Passengers!G884))))=0,"",INDEX(Lookup_Status!$B$2:$B$13,SUMPRODUCT((Lookup_Status!$A$2:$A$13=LOWER(TRIM(Raw_Passengers!G884)))*(ROW(Lookup_Status!$A$2:$A$13)-1))))</f>
        <v>Confirmed</v>
      </c>
      <c r="I884" s="7">
        <f>IF(OR(G884="",G884="Cancelled",G884="Mixed"),1,0)</f>
        <v>0</v>
      </c>
      <c r="J884" s="7">
        <f>IF(OR(H884="",H884="Mixed"),1,0)</f>
        <v>0</v>
      </c>
      <c r="K884" s="7">
        <f>IF(AND(C884=0,D884=0),IF(OR(AND(I884=0,NOT(EXACT(Raw_Passengers!F884,G884))),AND(J884=0,NOT(EXACT(Raw_Passengers!G884,H884)))),1,0),0)</f>
        <v>0</v>
      </c>
      <c r="L884" s="7">
        <f>IF(AND(C884=0,D884=0,I884=1),1,0)</f>
        <v>0</v>
      </c>
      <c r="M884" s="7">
        <f>IF(AND(C884=0,D884=0,J884=1),1,0)</f>
        <v>0</v>
      </c>
    </row>
    <row r="885" spans="1:13">
      <c r="A885" s="7">
        <f>Raw_Passengers!A885</f>
        <v>294660</v>
      </c>
      <c r="B885" s="7">
        <f>Raw_Passengers!B885</f>
        <v>1145945</v>
      </c>
      <c r="C885" s="7">
        <f>IF(COUNTIF(Raw_Passengers!$A$2:A885,Raw_Passengers!A885)&gt;1,1,0)</f>
        <v>0</v>
      </c>
      <c r="D885" s="7">
        <f>IF(COUNTIF(Raw_Bookings!$A$2:$A$648,Raw_Passengers!B885)=0,1,0)</f>
        <v>0</v>
      </c>
      <c r="E885" s="7">
        <f>IF(OR(C885=1,D885=1),0,IF(NOT(ISNUMBER(Raw_Passengers!E885)),1,IF(Raw_Passengers!E885&lt;=0,1,0)))</f>
        <v>0</v>
      </c>
      <c r="F885" s="7">
        <f>IF(AND(C885=0,D885=0,TRIM(Raw_Passengers!D885&amp;"")=""),1,0)</f>
        <v>0</v>
      </c>
      <c r="G885" s="7" t="str">
        <f>IF(SUMPRODUCT(--(Lookup_Status!$A$2:$A$13=LOWER(TRIM(Raw_Passengers!F885))))=0,"",INDEX(Lookup_Status!$B$2:$B$13,SUMPRODUCT((Lookup_Status!$A$2:$A$13=LOWER(TRIM(Raw_Passengers!F885)))*(ROW(Lookup_Status!$A$2:$A$13)-1))))</f>
        <v>Confirmed</v>
      </c>
      <c r="H885" s="7" t="str">
        <f>IF(SUMPRODUCT(--(Lookup_Status!$A$2:$A$13=LOWER(TRIM(Raw_Passengers!G885))))=0,"",INDEX(Lookup_Status!$B$2:$B$13,SUMPRODUCT((Lookup_Status!$A$2:$A$13=LOWER(TRIM(Raw_Passengers!G885)))*(ROW(Lookup_Status!$A$2:$A$13)-1))))</f>
        <v>Confirmed</v>
      </c>
      <c r="I885" s="7">
        <f>IF(OR(G885="",G885="Cancelled",G885="Mixed"),1,0)</f>
        <v>0</v>
      </c>
      <c r="J885" s="7">
        <f>IF(OR(H885="",H885="Mixed"),1,0)</f>
        <v>0</v>
      </c>
      <c r="K885" s="7">
        <f>IF(AND(C885=0,D885=0),IF(OR(AND(I885=0,NOT(EXACT(Raw_Passengers!F885,G885))),AND(J885=0,NOT(EXACT(Raw_Passengers!G885,H885)))),1,0),0)</f>
        <v>0</v>
      </c>
      <c r="L885" s="7">
        <f>IF(AND(C885=0,D885=0,I885=1),1,0)</f>
        <v>0</v>
      </c>
      <c r="M885" s="7">
        <f>IF(AND(C885=0,D885=0,J885=1),1,0)</f>
        <v>0</v>
      </c>
    </row>
    <row r="886" spans="1:13">
      <c r="A886" s="7">
        <f>Raw_Passengers!A886</f>
        <v>294681</v>
      </c>
      <c r="B886" s="7">
        <f>Raw_Passengers!B886</f>
        <v>1145955</v>
      </c>
      <c r="C886" s="7">
        <f>IF(COUNTIF(Raw_Passengers!$A$2:A886,Raw_Passengers!A886)&gt;1,1,0)</f>
        <v>0</v>
      </c>
      <c r="D886" s="7">
        <f>IF(COUNTIF(Raw_Bookings!$A$2:$A$648,Raw_Passengers!B886)=0,1,0)</f>
        <v>0</v>
      </c>
      <c r="E886" s="7">
        <f>IF(OR(C886=1,D886=1),0,IF(NOT(ISNUMBER(Raw_Passengers!E886)),1,IF(Raw_Passengers!E886&lt;=0,1,0)))</f>
        <v>0</v>
      </c>
      <c r="F886" s="7">
        <f>IF(AND(C886=0,D886=0,TRIM(Raw_Passengers!D886&amp;"")=""),1,0)</f>
        <v>1</v>
      </c>
      <c r="G886" s="7" t="str">
        <f>IF(SUMPRODUCT(--(Lookup_Status!$A$2:$A$13=LOWER(TRIM(Raw_Passengers!F886))))=0,"",INDEX(Lookup_Status!$B$2:$B$13,SUMPRODUCT((Lookup_Status!$A$2:$A$13=LOWER(TRIM(Raw_Passengers!F886)))*(ROW(Lookup_Status!$A$2:$A$13)-1))))</f>
        <v>Confirmed</v>
      </c>
      <c r="H886" s="7" t="str">
        <f>IF(SUMPRODUCT(--(Lookup_Status!$A$2:$A$13=LOWER(TRIM(Raw_Passengers!G886))))=0,"",INDEX(Lookup_Status!$B$2:$B$13,SUMPRODUCT((Lookup_Status!$A$2:$A$13=LOWER(TRIM(Raw_Passengers!G886)))*(ROW(Lookup_Status!$A$2:$A$13)-1))))</f>
        <v>Cancelled</v>
      </c>
      <c r="I886" s="7">
        <f>IF(OR(G886="",G886="Cancelled",G886="Mixed"),1,0)</f>
        <v>0</v>
      </c>
      <c r="J886" s="7">
        <f>IF(OR(H886="",H886="Mixed"),1,0)</f>
        <v>0</v>
      </c>
      <c r="K886" s="7">
        <f>IF(AND(C886=0,D886=0),IF(OR(AND(I886=0,NOT(EXACT(Raw_Passengers!F886,G886))),AND(J886=0,NOT(EXACT(Raw_Passengers!G886,H886)))),1,0),0)</f>
        <v>0</v>
      </c>
      <c r="L886" s="7">
        <f>IF(AND(C886=0,D886=0,I886=1),1,0)</f>
        <v>0</v>
      </c>
      <c r="M886" s="7">
        <f>IF(AND(C886=0,D886=0,J886=1),1,0)</f>
        <v>0</v>
      </c>
    </row>
    <row r="887" spans="1:13">
      <c r="A887" s="7">
        <f>Raw_Passengers!A887</f>
        <v>294682</v>
      </c>
      <c r="B887" s="7">
        <f>Raw_Passengers!B887</f>
        <v>1145955</v>
      </c>
      <c r="C887" s="7">
        <f>IF(COUNTIF(Raw_Passengers!$A$2:A887,Raw_Passengers!A887)&gt;1,1,0)</f>
        <v>0</v>
      </c>
      <c r="D887" s="7">
        <f>IF(COUNTIF(Raw_Bookings!$A$2:$A$648,Raw_Passengers!B887)=0,1,0)</f>
        <v>0</v>
      </c>
      <c r="E887" s="7">
        <f>IF(OR(C887=1,D887=1),0,IF(NOT(ISNUMBER(Raw_Passengers!E887)),1,IF(Raw_Passengers!E887&lt;=0,1,0)))</f>
        <v>0</v>
      </c>
      <c r="F887" s="7">
        <f>IF(AND(C887=0,D887=0,TRIM(Raw_Passengers!D887&amp;"")=""),1,0)</f>
        <v>0</v>
      </c>
      <c r="G887" s="7" t="str">
        <f>IF(SUMPRODUCT(--(Lookup_Status!$A$2:$A$13=LOWER(TRIM(Raw_Passengers!F887))))=0,"",INDEX(Lookup_Status!$B$2:$B$13,SUMPRODUCT((Lookup_Status!$A$2:$A$13=LOWER(TRIM(Raw_Passengers!F887)))*(ROW(Lookup_Status!$A$2:$A$13)-1))))</f>
        <v>Confirmed</v>
      </c>
      <c r="H887" s="7" t="str">
        <f>IF(SUMPRODUCT(--(Lookup_Status!$A$2:$A$13=LOWER(TRIM(Raw_Passengers!G887))))=0,"",INDEX(Lookup_Status!$B$2:$B$13,SUMPRODUCT((Lookup_Status!$A$2:$A$13=LOWER(TRIM(Raw_Passengers!G887)))*(ROW(Lookup_Status!$A$2:$A$13)-1))))</f>
        <v>Cancelled</v>
      </c>
      <c r="I887" s="7">
        <f>IF(OR(G887="",G887="Cancelled",G887="Mixed"),1,0)</f>
        <v>0</v>
      </c>
      <c r="J887" s="7">
        <f>IF(OR(H887="",H887="Mixed"),1,0)</f>
        <v>0</v>
      </c>
      <c r="K887" s="7">
        <f>IF(AND(C887=0,D887=0),IF(OR(AND(I887=0,NOT(EXACT(Raw_Passengers!F887,G887))),AND(J887=0,NOT(EXACT(Raw_Passengers!G887,H887)))),1,0),0)</f>
        <v>0</v>
      </c>
      <c r="L887" s="7">
        <f>IF(AND(C887=0,D887=0,I887=1),1,0)</f>
        <v>0</v>
      </c>
      <c r="M887" s="7">
        <f>IF(AND(C887=0,D887=0,J887=1),1,0)</f>
        <v>0</v>
      </c>
    </row>
    <row r="888" spans="1:13">
      <c r="A888" s="7">
        <f>Raw_Passengers!A888</f>
        <v>294683</v>
      </c>
      <c r="B888" s="7">
        <f>Raw_Passengers!B888</f>
        <v>1145955</v>
      </c>
      <c r="C888" s="7">
        <f>IF(COUNTIF(Raw_Passengers!$A$2:A888,Raw_Passengers!A888)&gt;1,1,0)</f>
        <v>0</v>
      </c>
      <c r="D888" s="7">
        <f>IF(COUNTIF(Raw_Bookings!$A$2:$A$648,Raw_Passengers!B888)=0,1,0)</f>
        <v>0</v>
      </c>
      <c r="E888" s="7">
        <f>IF(OR(C888=1,D888=1),0,IF(NOT(ISNUMBER(Raw_Passengers!E888)),1,IF(Raw_Passengers!E888&lt;=0,1,0)))</f>
        <v>0</v>
      </c>
      <c r="F888" s="7">
        <f>IF(AND(C888=0,D888=0,TRIM(Raw_Passengers!D888&amp;"")=""),1,0)</f>
        <v>0</v>
      </c>
      <c r="G888" s="7" t="str">
        <f>IF(SUMPRODUCT(--(Lookup_Status!$A$2:$A$13=LOWER(TRIM(Raw_Passengers!F888))))=0,"",INDEX(Lookup_Status!$B$2:$B$13,SUMPRODUCT((Lookup_Status!$A$2:$A$13=LOWER(TRIM(Raw_Passengers!F888)))*(ROW(Lookup_Status!$A$2:$A$13)-1))))</f>
        <v>Confirmed</v>
      </c>
      <c r="H888" s="7" t="str">
        <f>IF(SUMPRODUCT(--(Lookup_Status!$A$2:$A$13=LOWER(TRIM(Raw_Passengers!G888))))=0,"",INDEX(Lookup_Status!$B$2:$B$13,SUMPRODUCT((Lookup_Status!$A$2:$A$13=LOWER(TRIM(Raw_Passengers!G888)))*(ROW(Lookup_Status!$A$2:$A$13)-1))))</f>
        <v>Cancelled</v>
      </c>
      <c r="I888" s="7">
        <f>IF(OR(G888="",G888="Cancelled",G888="Mixed"),1,0)</f>
        <v>0</v>
      </c>
      <c r="J888" s="7">
        <f>IF(OR(H888="",H888="Mixed"),1,0)</f>
        <v>0</v>
      </c>
      <c r="K888" s="7">
        <f>IF(AND(C888=0,D888=0),IF(OR(AND(I888=0,NOT(EXACT(Raw_Passengers!F888,G888))),AND(J888=0,NOT(EXACT(Raw_Passengers!G888,H888)))),1,0),0)</f>
        <v>0</v>
      </c>
      <c r="L888" s="7">
        <f>IF(AND(C888=0,D888=0,I888=1),1,0)</f>
        <v>0</v>
      </c>
      <c r="M888" s="7">
        <f>IF(AND(C888=0,D888=0,J888=1),1,0)</f>
        <v>0</v>
      </c>
    </row>
    <row r="889" spans="1:13">
      <c r="A889" s="7">
        <f>Raw_Passengers!A889</f>
        <v>294684</v>
      </c>
      <c r="B889" s="7">
        <f>Raw_Passengers!B889</f>
        <v>1145955</v>
      </c>
      <c r="C889" s="7">
        <f>IF(COUNTIF(Raw_Passengers!$A$2:A889,Raw_Passengers!A889)&gt;1,1,0)</f>
        <v>0</v>
      </c>
      <c r="D889" s="7">
        <f>IF(COUNTIF(Raw_Bookings!$A$2:$A$648,Raw_Passengers!B889)=0,1,0)</f>
        <v>0</v>
      </c>
      <c r="E889" s="7">
        <f>IF(OR(C889=1,D889=1),0,IF(NOT(ISNUMBER(Raw_Passengers!E889)),1,IF(Raw_Passengers!E889&lt;=0,1,0)))</f>
        <v>0</v>
      </c>
      <c r="F889" s="7">
        <f>IF(AND(C889=0,D889=0,TRIM(Raw_Passengers!D889&amp;"")=""),1,0)</f>
        <v>0</v>
      </c>
      <c r="G889" s="7" t="str">
        <f>IF(SUMPRODUCT(--(Lookup_Status!$A$2:$A$13=LOWER(TRIM(Raw_Passengers!F889))))=0,"",INDEX(Lookup_Status!$B$2:$B$13,SUMPRODUCT((Lookup_Status!$A$2:$A$13=LOWER(TRIM(Raw_Passengers!F889)))*(ROW(Lookup_Status!$A$2:$A$13)-1))))</f>
        <v>Confirmed</v>
      </c>
      <c r="H889" s="7" t="str">
        <f>IF(SUMPRODUCT(--(Lookup_Status!$A$2:$A$13=LOWER(TRIM(Raw_Passengers!G889))))=0,"",INDEX(Lookup_Status!$B$2:$B$13,SUMPRODUCT((Lookup_Status!$A$2:$A$13=LOWER(TRIM(Raw_Passengers!G889)))*(ROW(Lookup_Status!$A$2:$A$13)-1))))</f>
        <v>Cancelled</v>
      </c>
      <c r="I889" s="7">
        <f>IF(OR(G889="",G889="Cancelled",G889="Mixed"),1,0)</f>
        <v>0</v>
      </c>
      <c r="J889" s="7">
        <f>IF(OR(H889="",H889="Mixed"),1,0)</f>
        <v>0</v>
      </c>
      <c r="K889" s="7">
        <f>IF(AND(C889=0,D889=0),IF(OR(AND(I889=0,NOT(EXACT(Raw_Passengers!F889,G889))),AND(J889=0,NOT(EXACT(Raw_Passengers!G889,H889)))),1,0),0)</f>
        <v>0</v>
      </c>
      <c r="L889" s="7">
        <f>IF(AND(C889=0,D889=0,I889=1),1,0)</f>
        <v>0</v>
      </c>
      <c r="M889" s="7">
        <f>IF(AND(C889=0,D889=0,J889=1),1,0)</f>
        <v>0</v>
      </c>
    </row>
    <row r="890" spans="1:13">
      <c r="A890" s="7">
        <f>Raw_Passengers!A890</f>
        <v>294685</v>
      </c>
      <c r="B890" s="7">
        <f>Raw_Passengers!B890</f>
        <v>1145955</v>
      </c>
      <c r="C890" s="7">
        <f>IF(COUNTIF(Raw_Passengers!$A$2:A890,Raw_Passengers!A890)&gt;1,1,0)</f>
        <v>0</v>
      </c>
      <c r="D890" s="7">
        <f>IF(COUNTIF(Raw_Bookings!$A$2:$A$648,Raw_Passengers!B890)=0,1,0)</f>
        <v>0</v>
      </c>
      <c r="E890" s="7">
        <f>IF(OR(C890=1,D890=1),0,IF(NOT(ISNUMBER(Raw_Passengers!E890)),1,IF(Raw_Passengers!E890&lt;=0,1,0)))</f>
        <v>0</v>
      </c>
      <c r="F890" s="7">
        <f>IF(AND(C890=0,D890=0,TRIM(Raw_Passengers!D890&amp;"")=""),1,0)</f>
        <v>0</v>
      </c>
      <c r="G890" s="7" t="str">
        <f>IF(SUMPRODUCT(--(Lookup_Status!$A$2:$A$13=LOWER(TRIM(Raw_Passengers!F890))))=0,"",INDEX(Lookup_Status!$B$2:$B$13,SUMPRODUCT((Lookup_Status!$A$2:$A$13=LOWER(TRIM(Raw_Passengers!F890)))*(ROW(Lookup_Status!$A$2:$A$13)-1))))</f>
        <v>Confirmed</v>
      </c>
      <c r="H890" s="7" t="str">
        <f>IF(SUMPRODUCT(--(Lookup_Status!$A$2:$A$13=LOWER(TRIM(Raw_Passengers!G890))))=0,"",INDEX(Lookup_Status!$B$2:$B$13,SUMPRODUCT((Lookup_Status!$A$2:$A$13=LOWER(TRIM(Raw_Passengers!G890)))*(ROW(Lookup_Status!$A$2:$A$13)-1))))</f>
        <v>Cancelled</v>
      </c>
      <c r="I890" s="7">
        <f>IF(OR(G890="",G890="Cancelled",G890="Mixed"),1,0)</f>
        <v>0</v>
      </c>
      <c r="J890" s="7">
        <f>IF(OR(H890="",H890="Mixed"),1,0)</f>
        <v>0</v>
      </c>
      <c r="K890" s="7">
        <f>IF(AND(C890=0,D890=0),IF(OR(AND(I890=0,NOT(EXACT(Raw_Passengers!F890,G890))),AND(J890=0,NOT(EXACT(Raw_Passengers!G890,H890)))),1,0),0)</f>
        <v>0</v>
      </c>
      <c r="L890" s="7">
        <f>IF(AND(C890=0,D890=0,I890=1),1,0)</f>
        <v>0</v>
      </c>
      <c r="M890" s="7">
        <f>IF(AND(C890=0,D890=0,J890=1),1,0)</f>
        <v>0</v>
      </c>
    </row>
    <row r="891" spans="1:13">
      <c r="A891" s="7">
        <f>Raw_Passengers!A891</f>
        <v>294686</v>
      </c>
      <c r="B891" s="7">
        <f>Raw_Passengers!B891</f>
        <v>1145955</v>
      </c>
      <c r="C891" s="7">
        <f>IF(COUNTIF(Raw_Passengers!$A$2:A891,Raw_Passengers!A891)&gt;1,1,0)</f>
        <v>0</v>
      </c>
      <c r="D891" s="7">
        <f>IF(COUNTIF(Raw_Bookings!$A$2:$A$648,Raw_Passengers!B891)=0,1,0)</f>
        <v>0</v>
      </c>
      <c r="E891" s="7">
        <f>IF(OR(C891=1,D891=1),0,IF(NOT(ISNUMBER(Raw_Passengers!E891)),1,IF(Raw_Passengers!E891&lt;=0,1,0)))</f>
        <v>0</v>
      </c>
      <c r="F891" s="7">
        <f>IF(AND(C891=0,D891=0,TRIM(Raw_Passengers!D891&amp;"")=""),1,0)</f>
        <v>0</v>
      </c>
      <c r="G891" s="7" t="str">
        <f>IF(SUMPRODUCT(--(Lookup_Status!$A$2:$A$13=LOWER(TRIM(Raw_Passengers!F891))))=0,"",INDEX(Lookup_Status!$B$2:$B$13,SUMPRODUCT((Lookup_Status!$A$2:$A$13=LOWER(TRIM(Raw_Passengers!F891)))*(ROW(Lookup_Status!$A$2:$A$13)-1))))</f>
        <v>Confirmed</v>
      </c>
      <c r="H891" s="7" t="str">
        <f>IF(SUMPRODUCT(--(Lookup_Status!$A$2:$A$13=LOWER(TRIM(Raw_Passengers!G891))))=0,"",INDEX(Lookup_Status!$B$2:$B$13,SUMPRODUCT((Lookup_Status!$A$2:$A$13=LOWER(TRIM(Raw_Passengers!G891)))*(ROW(Lookup_Status!$A$2:$A$13)-1))))</f>
        <v>Cancelled</v>
      </c>
      <c r="I891" s="7">
        <f>IF(OR(G891="",G891="Cancelled",G891="Mixed"),1,0)</f>
        <v>0</v>
      </c>
      <c r="J891" s="7">
        <f>IF(OR(H891="",H891="Mixed"),1,0)</f>
        <v>0</v>
      </c>
      <c r="K891" s="7">
        <f>IF(AND(C891=0,D891=0),IF(OR(AND(I891=0,NOT(EXACT(Raw_Passengers!F891,G891))),AND(J891=0,NOT(EXACT(Raw_Passengers!G891,H891)))),1,0),0)</f>
        <v>0</v>
      </c>
      <c r="L891" s="7">
        <f>IF(AND(C891=0,D891=0,I891=1),1,0)</f>
        <v>0</v>
      </c>
      <c r="M891" s="7">
        <f>IF(AND(C891=0,D891=0,J891=1),1,0)</f>
        <v>0</v>
      </c>
    </row>
    <row r="892" spans="1:13">
      <c r="A892" s="7">
        <f>Raw_Passengers!A892</f>
        <v>295158</v>
      </c>
      <c r="B892" s="7">
        <f>Raw_Passengers!B892</f>
        <v>1146201</v>
      </c>
      <c r="C892" s="7">
        <f>IF(COUNTIF(Raw_Passengers!$A$2:A892,Raw_Passengers!A892)&gt;1,1,0)</f>
        <v>0</v>
      </c>
      <c r="D892" s="7">
        <f>IF(COUNTIF(Raw_Bookings!$A$2:$A$648,Raw_Passengers!B892)=0,1,0)</f>
        <v>0</v>
      </c>
      <c r="E892" s="7">
        <f>IF(OR(C892=1,D892=1),0,IF(NOT(ISNUMBER(Raw_Passengers!E892)),1,IF(Raw_Passengers!E892&lt;=0,1,0)))</f>
        <v>0</v>
      </c>
      <c r="F892" s="7">
        <f>IF(AND(C892=0,D892=0,TRIM(Raw_Passengers!D892&amp;"")=""),1,0)</f>
        <v>0</v>
      </c>
      <c r="G892" s="7" t="str">
        <f>IF(SUMPRODUCT(--(Lookup_Status!$A$2:$A$13=LOWER(TRIM(Raw_Passengers!F892))))=0,"",INDEX(Lookup_Status!$B$2:$B$13,SUMPRODUCT((Lookup_Status!$A$2:$A$13=LOWER(TRIM(Raw_Passengers!F892)))*(ROW(Lookup_Status!$A$2:$A$13)-1))))</f>
        <v>Waitlisted</v>
      </c>
      <c r="H892" s="7" t="str">
        <f>IF(SUMPRODUCT(--(Lookup_Status!$A$2:$A$13=LOWER(TRIM(Raw_Passengers!G892))))=0,"",INDEX(Lookup_Status!$B$2:$B$13,SUMPRODUCT((Lookup_Status!$A$2:$A$13=LOWER(TRIM(Raw_Passengers!G892)))*(ROW(Lookup_Status!$A$2:$A$13)-1))))</f>
        <v>Cancelled</v>
      </c>
      <c r="I892" s="7">
        <f>IF(OR(G892="",G892="Cancelled",G892="Mixed"),1,0)</f>
        <v>0</v>
      </c>
      <c r="J892" s="7">
        <f>IF(OR(H892="",H892="Mixed"),1,0)</f>
        <v>0</v>
      </c>
      <c r="K892" s="7">
        <f>IF(AND(C892=0,D892=0),IF(OR(AND(I892=0,NOT(EXACT(Raw_Passengers!F892,G892))),AND(J892=0,NOT(EXACT(Raw_Passengers!G892,H892)))),1,0),0)</f>
        <v>0</v>
      </c>
      <c r="L892" s="7">
        <f>IF(AND(C892=0,D892=0,I892=1),1,0)</f>
        <v>0</v>
      </c>
      <c r="M892" s="7">
        <f>IF(AND(C892=0,D892=0,J892=1),1,0)</f>
        <v>0</v>
      </c>
    </row>
    <row r="893" spans="1:13">
      <c r="A893" s="7">
        <f>Raw_Passengers!A893</f>
        <v>295159</v>
      </c>
      <c r="B893" s="7">
        <f>Raw_Passengers!B893</f>
        <v>1146201</v>
      </c>
      <c r="C893" s="7">
        <f>IF(COUNTIF(Raw_Passengers!$A$2:A893,Raw_Passengers!A893)&gt;1,1,0)</f>
        <v>0</v>
      </c>
      <c r="D893" s="7">
        <f>IF(COUNTIF(Raw_Bookings!$A$2:$A$648,Raw_Passengers!B893)=0,1,0)</f>
        <v>0</v>
      </c>
      <c r="E893" s="7">
        <f>IF(OR(C893=1,D893=1),0,IF(NOT(ISNUMBER(Raw_Passengers!E893)),1,IF(Raw_Passengers!E893&lt;=0,1,0)))</f>
        <v>0</v>
      </c>
      <c r="F893" s="7">
        <f>IF(AND(C893=0,D893=0,TRIM(Raw_Passengers!D893&amp;"")=""),1,0)</f>
        <v>0</v>
      </c>
      <c r="G893" s="7" t="str">
        <f>IF(SUMPRODUCT(--(Lookup_Status!$A$2:$A$13=LOWER(TRIM(Raw_Passengers!F893))))=0,"",INDEX(Lookup_Status!$B$2:$B$13,SUMPRODUCT((Lookup_Status!$A$2:$A$13=LOWER(TRIM(Raw_Passengers!F893)))*(ROW(Lookup_Status!$A$2:$A$13)-1))))</f>
        <v>Waitlisted</v>
      </c>
      <c r="H893" s="7" t="str">
        <f>IF(SUMPRODUCT(--(Lookup_Status!$A$2:$A$13=LOWER(TRIM(Raw_Passengers!G893))))=0,"",INDEX(Lookup_Status!$B$2:$B$13,SUMPRODUCT((Lookup_Status!$A$2:$A$13=LOWER(TRIM(Raw_Passengers!G893)))*(ROW(Lookup_Status!$A$2:$A$13)-1))))</f>
        <v>Cancelled</v>
      </c>
      <c r="I893" s="7">
        <f>IF(OR(G893="",G893="Cancelled",G893="Mixed"),1,0)</f>
        <v>0</v>
      </c>
      <c r="J893" s="7">
        <f>IF(OR(H893="",H893="Mixed"),1,0)</f>
        <v>0</v>
      </c>
      <c r="K893" s="7">
        <f>IF(AND(C893=0,D893=0),IF(OR(AND(I893=0,NOT(EXACT(Raw_Passengers!F893,G893))),AND(J893=0,NOT(EXACT(Raw_Passengers!G893,H893)))),1,0),0)</f>
        <v>0</v>
      </c>
      <c r="L893" s="7">
        <f>IF(AND(C893=0,D893=0,I893=1),1,0)</f>
        <v>0</v>
      </c>
      <c r="M893" s="7">
        <f>IF(AND(C893=0,D893=0,J893=1),1,0)</f>
        <v>0</v>
      </c>
    </row>
    <row r="894" spans="1:13">
      <c r="A894" s="7">
        <f>Raw_Passengers!A894</f>
        <v>296236</v>
      </c>
      <c r="B894" s="7">
        <f>Raw_Passengers!B894</f>
        <v>1146740</v>
      </c>
      <c r="C894" s="7">
        <f>IF(COUNTIF(Raw_Passengers!$A$2:A894,Raw_Passengers!A894)&gt;1,1,0)</f>
        <v>0</v>
      </c>
      <c r="D894" s="7">
        <f>IF(COUNTIF(Raw_Bookings!$A$2:$A$648,Raw_Passengers!B894)=0,1,0)</f>
        <v>0</v>
      </c>
      <c r="E894" s="7">
        <f>IF(OR(C894=1,D894=1),0,IF(NOT(ISNUMBER(Raw_Passengers!E894)),1,IF(Raw_Passengers!E894&lt;=0,1,0)))</f>
        <v>0</v>
      </c>
      <c r="F894" s="7">
        <f>IF(AND(C894=0,D894=0,TRIM(Raw_Passengers!D894&amp;"")=""),1,0)</f>
        <v>0</v>
      </c>
      <c r="G894" s="7" t="str">
        <f>IF(SUMPRODUCT(--(Lookup_Status!$A$2:$A$13=LOWER(TRIM(Raw_Passengers!F894))))=0,"",INDEX(Lookup_Status!$B$2:$B$13,SUMPRODUCT((Lookup_Status!$A$2:$A$13=LOWER(TRIM(Raw_Passengers!F894)))*(ROW(Lookup_Status!$A$2:$A$13)-1))))</f>
        <v>Confirmed</v>
      </c>
      <c r="H894" s="7" t="str">
        <f>IF(SUMPRODUCT(--(Lookup_Status!$A$2:$A$13=LOWER(TRIM(Raw_Passengers!G894))))=0,"",INDEX(Lookup_Status!$B$2:$B$13,SUMPRODUCT((Lookup_Status!$A$2:$A$13=LOWER(TRIM(Raw_Passengers!G894)))*(ROW(Lookup_Status!$A$2:$A$13)-1))))</f>
        <v>Cancelled</v>
      </c>
      <c r="I894" s="7">
        <f>IF(OR(G894="",G894="Cancelled",G894="Mixed"),1,0)</f>
        <v>0</v>
      </c>
      <c r="J894" s="7">
        <f>IF(OR(H894="",H894="Mixed"),1,0)</f>
        <v>0</v>
      </c>
      <c r="K894" s="7">
        <f>IF(AND(C894=0,D894=0),IF(OR(AND(I894=0,NOT(EXACT(Raw_Passengers!F894,G894))),AND(J894=0,NOT(EXACT(Raw_Passengers!G894,H894)))),1,0),0)</f>
        <v>0</v>
      </c>
      <c r="L894" s="7">
        <f>IF(AND(C894=0,D894=0,I894=1),1,0)</f>
        <v>0</v>
      </c>
      <c r="M894" s="7">
        <f>IF(AND(C894=0,D894=0,J894=1),1,0)</f>
        <v>0</v>
      </c>
    </row>
    <row r="895" spans="1:13">
      <c r="A895" s="7">
        <f>Raw_Passengers!A895</f>
        <v>296237</v>
      </c>
      <c r="B895" s="7">
        <f>Raw_Passengers!B895</f>
        <v>1146740</v>
      </c>
      <c r="C895" s="7">
        <f>IF(COUNTIF(Raw_Passengers!$A$2:A895,Raw_Passengers!A895)&gt;1,1,0)</f>
        <v>0</v>
      </c>
      <c r="D895" s="7">
        <f>IF(COUNTIF(Raw_Bookings!$A$2:$A$648,Raw_Passengers!B895)=0,1,0)</f>
        <v>0</v>
      </c>
      <c r="E895" s="7">
        <f>IF(OR(C895=1,D895=1),0,IF(NOT(ISNUMBER(Raw_Passengers!E895)),1,IF(Raw_Passengers!E895&lt;=0,1,0)))</f>
        <v>0</v>
      </c>
      <c r="F895" s="7">
        <f>IF(AND(C895=0,D895=0,TRIM(Raw_Passengers!D895&amp;"")=""),1,0)</f>
        <v>0</v>
      </c>
      <c r="G895" s="7" t="str">
        <f>IF(SUMPRODUCT(--(Lookup_Status!$A$2:$A$13=LOWER(TRIM(Raw_Passengers!F895))))=0,"",INDEX(Lookup_Status!$B$2:$B$13,SUMPRODUCT((Lookup_Status!$A$2:$A$13=LOWER(TRIM(Raw_Passengers!F895)))*(ROW(Lookup_Status!$A$2:$A$13)-1))))</f>
        <v>Confirmed</v>
      </c>
      <c r="H895" s="7" t="str">
        <f>IF(SUMPRODUCT(--(Lookup_Status!$A$2:$A$13=LOWER(TRIM(Raw_Passengers!G895))))=0,"",INDEX(Lookup_Status!$B$2:$B$13,SUMPRODUCT((Lookup_Status!$A$2:$A$13=LOWER(TRIM(Raw_Passengers!G895)))*(ROW(Lookup_Status!$A$2:$A$13)-1))))</f>
        <v>Cancelled</v>
      </c>
      <c r="I895" s="7">
        <f>IF(OR(G895="",G895="Cancelled",G895="Mixed"),1,0)</f>
        <v>0</v>
      </c>
      <c r="J895" s="7">
        <f>IF(OR(H895="",H895="Mixed"),1,0)</f>
        <v>0</v>
      </c>
      <c r="K895" s="7">
        <f>IF(AND(C895=0,D895=0),IF(OR(AND(I895=0,NOT(EXACT(Raw_Passengers!F895,G895))),AND(J895=0,NOT(EXACT(Raw_Passengers!G895,H895)))),1,0),0)</f>
        <v>0</v>
      </c>
      <c r="L895" s="7">
        <f>IF(AND(C895=0,D895=0,I895=1),1,0)</f>
        <v>0</v>
      </c>
      <c r="M895" s="7">
        <f>IF(AND(C895=0,D895=0,J895=1),1,0)</f>
        <v>0</v>
      </c>
    </row>
    <row r="896" spans="1:13">
      <c r="A896" s="7">
        <f>Raw_Passengers!A896</f>
        <v>296276</v>
      </c>
      <c r="B896" s="7">
        <f>Raw_Passengers!B896</f>
        <v>1146760</v>
      </c>
      <c r="C896" s="7">
        <f>IF(COUNTIF(Raw_Passengers!$A$2:A896,Raw_Passengers!A896)&gt;1,1,0)</f>
        <v>0</v>
      </c>
      <c r="D896" s="7">
        <f>IF(COUNTIF(Raw_Bookings!$A$2:$A$648,Raw_Passengers!B896)=0,1,0)</f>
        <v>0</v>
      </c>
      <c r="E896" s="7">
        <f>IF(OR(C896=1,D896=1),0,IF(NOT(ISNUMBER(Raw_Passengers!E896)),1,IF(Raw_Passengers!E896&lt;=0,1,0)))</f>
        <v>0</v>
      </c>
      <c r="F896" s="7">
        <f>IF(AND(C896=0,D896=0,TRIM(Raw_Passengers!D896&amp;"")=""),1,0)</f>
        <v>0</v>
      </c>
      <c r="G896" s="7" t="str">
        <f>IF(SUMPRODUCT(--(Lookup_Status!$A$2:$A$13=LOWER(TRIM(Raw_Passengers!F896))))=0,"",INDEX(Lookup_Status!$B$2:$B$13,SUMPRODUCT((Lookup_Status!$A$2:$A$13=LOWER(TRIM(Raw_Passengers!F896)))*(ROW(Lookup_Status!$A$2:$A$13)-1))))</f>
        <v>Confirmed</v>
      </c>
      <c r="H896" s="7" t="str">
        <f>IF(SUMPRODUCT(--(Lookup_Status!$A$2:$A$13=LOWER(TRIM(Raw_Passengers!G896))))=0,"",INDEX(Lookup_Status!$B$2:$B$13,SUMPRODUCT((Lookup_Status!$A$2:$A$13=LOWER(TRIM(Raw_Passengers!G896)))*(ROW(Lookup_Status!$A$2:$A$13)-1))))</f>
        <v>Confirmed</v>
      </c>
      <c r="I896" s="7">
        <f>IF(OR(G896="",G896="Cancelled",G896="Mixed"),1,0)</f>
        <v>0</v>
      </c>
      <c r="J896" s="7">
        <f>IF(OR(H896="",H896="Mixed"),1,0)</f>
        <v>0</v>
      </c>
      <c r="K896" s="7">
        <f>IF(AND(C896=0,D896=0),IF(OR(AND(I896=0,NOT(EXACT(Raw_Passengers!F896,G896))),AND(J896=0,NOT(EXACT(Raw_Passengers!G896,H896)))),1,0),0)</f>
        <v>0</v>
      </c>
      <c r="L896" s="7">
        <f>IF(AND(C896=0,D896=0,I896=1),1,0)</f>
        <v>0</v>
      </c>
      <c r="M896" s="7">
        <f>IF(AND(C896=0,D896=0,J896=1),1,0)</f>
        <v>0</v>
      </c>
    </row>
    <row r="897" spans="1:13">
      <c r="A897" s="7">
        <f>Raw_Passengers!A897</f>
        <v>296506</v>
      </c>
      <c r="B897" s="7">
        <f>Raw_Passengers!B897</f>
        <v>1146868</v>
      </c>
      <c r="C897" s="7">
        <f>IF(COUNTIF(Raw_Passengers!$A$2:A897,Raw_Passengers!A897)&gt;1,1,0)</f>
        <v>0</v>
      </c>
      <c r="D897" s="7">
        <f>IF(COUNTIF(Raw_Bookings!$A$2:$A$648,Raw_Passengers!B897)=0,1,0)</f>
        <v>0</v>
      </c>
      <c r="E897" s="7">
        <f>IF(OR(C897=1,D897=1),0,IF(NOT(ISNUMBER(Raw_Passengers!E897)),1,IF(Raw_Passengers!E897&lt;=0,1,0)))</f>
        <v>0</v>
      </c>
      <c r="F897" s="7">
        <f>IF(AND(C897=0,D897=0,TRIM(Raw_Passengers!D897&amp;"")=""),1,0)</f>
        <v>0</v>
      </c>
      <c r="G897" s="7" t="str">
        <f>IF(SUMPRODUCT(--(Lookup_Status!$A$2:$A$13=LOWER(TRIM(Raw_Passengers!F897))))=0,"",INDEX(Lookup_Status!$B$2:$B$13,SUMPRODUCT((Lookup_Status!$A$2:$A$13=LOWER(TRIM(Raw_Passengers!F897)))*(ROW(Lookup_Status!$A$2:$A$13)-1))))</f>
        <v>Confirmed</v>
      </c>
      <c r="H897" s="7" t="str">
        <f>IF(SUMPRODUCT(--(Lookup_Status!$A$2:$A$13=LOWER(TRIM(Raw_Passengers!G897))))=0,"",INDEX(Lookup_Status!$B$2:$B$13,SUMPRODUCT((Lookup_Status!$A$2:$A$13=LOWER(TRIM(Raw_Passengers!G897)))*(ROW(Lookup_Status!$A$2:$A$13)-1))))</f>
        <v>Confirmed</v>
      </c>
      <c r="I897" s="7">
        <f>IF(OR(G897="",G897="Cancelled",G897="Mixed"),1,0)</f>
        <v>0</v>
      </c>
      <c r="J897" s="7">
        <f>IF(OR(H897="",H897="Mixed"),1,0)</f>
        <v>0</v>
      </c>
      <c r="K897" s="7">
        <f>IF(AND(C897=0,D897=0),IF(OR(AND(I897=0,NOT(EXACT(Raw_Passengers!F897,G897))),AND(J897=0,NOT(EXACT(Raw_Passengers!G897,H897)))),1,0),0)</f>
        <v>0</v>
      </c>
      <c r="L897" s="7">
        <f>IF(AND(C897=0,D897=0,I897=1),1,0)</f>
        <v>0</v>
      </c>
      <c r="M897" s="7">
        <f>IF(AND(C897=0,D897=0,J897=1),1,0)</f>
        <v>0</v>
      </c>
    </row>
    <row r="898" spans="1:13">
      <c r="A898" s="7">
        <f>Raw_Passengers!A898</f>
        <v>296560</v>
      </c>
      <c r="B898" s="7">
        <f>Raw_Passengers!B898</f>
        <v>1146896</v>
      </c>
      <c r="C898" s="7">
        <f>IF(COUNTIF(Raw_Passengers!$A$2:A898,Raw_Passengers!A898)&gt;1,1,0)</f>
        <v>0</v>
      </c>
      <c r="D898" s="7">
        <f>IF(COUNTIF(Raw_Bookings!$A$2:$A$648,Raw_Passengers!B898)=0,1,0)</f>
        <v>0</v>
      </c>
      <c r="E898" s="7">
        <f>IF(OR(C898=1,D898=1),0,IF(NOT(ISNUMBER(Raw_Passengers!E898)),1,IF(Raw_Passengers!E898&lt;=0,1,0)))</f>
        <v>0</v>
      </c>
      <c r="F898" s="7">
        <f>IF(AND(C898=0,D898=0,TRIM(Raw_Passengers!D898&amp;"")=""),1,0)</f>
        <v>0</v>
      </c>
      <c r="G898" s="7" t="str">
        <f>IF(SUMPRODUCT(--(Lookup_Status!$A$2:$A$13=LOWER(TRIM(Raw_Passengers!F898))))=0,"",INDEX(Lookup_Status!$B$2:$B$13,SUMPRODUCT((Lookup_Status!$A$2:$A$13=LOWER(TRIM(Raw_Passengers!F898)))*(ROW(Lookup_Status!$A$2:$A$13)-1))))</f>
        <v>Confirmed</v>
      </c>
      <c r="H898" s="7" t="str">
        <f>IF(SUMPRODUCT(--(Lookup_Status!$A$2:$A$13=LOWER(TRIM(Raw_Passengers!G898))))=0,"",INDEX(Lookup_Status!$B$2:$B$13,SUMPRODUCT((Lookup_Status!$A$2:$A$13=LOWER(TRIM(Raw_Passengers!G898)))*(ROW(Lookup_Status!$A$2:$A$13)-1))))</f>
        <v>Cancelled</v>
      </c>
      <c r="I898" s="7">
        <f>IF(OR(G898="",G898="Cancelled",G898="Mixed"),1,0)</f>
        <v>0</v>
      </c>
      <c r="J898" s="7">
        <f>IF(OR(H898="",H898="Mixed"),1,0)</f>
        <v>0</v>
      </c>
      <c r="K898" s="7">
        <f>IF(AND(C898=0,D898=0),IF(OR(AND(I898=0,NOT(EXACT(Raw_Passengers!F898,G898))),AND(J898=0,NOT(EXACT(Raw_Passengers!G898,H898)))),1,0),0)</f>
        <v>0</v>
      </c>
      <c r="L898" s="7">
        <f>IF(AND(C898=0,D898=0,I898=1),1,0)</f>
        <v>0</v>
      </c>
      <c r="M898" s="7">
        <f>IF(AND(C898=0,D898=0,J898=1),1,0)</f>
        <v>0</v>
      </c>
    </row>
    <row r="899" spans="1:13">
      <c r="A899" s="7">
        <f>Raw_Passengers!A899</f>
        <v>296561</v>
      </c>
      <c r="B899" s="7">
        <f>Raw_Passengers!B899</f>
        <v>1146896</v>
      </c>
      <c r="C899" s="7">
        <f>IF(COUNTIF(Raw_Passengers!$A$2:A899,Raw_Passengers!A899)&gt;1,1,0)</f>
        <v>0</v>
      </c>
      <c r="D899" s="7">
        <f>IF(COUNTIF(Raw_Bookings!$A$2:$A$648,Raw_Passengers!B899)=0,1,0)</f>
        <v>0</v>
      </c>
      <c r="E899" s="7">
        <f>IF(OR(C899=1,D899=1),0,IF(NOT(ISNUMBER(Raw_Passengers!E899)),1,IF(Raw_Passengers!E899&lt;=0,1,0)))</f>
        <v>0</v>
      </c>
      <c r="F899" s="7">
        <f>IF(AND(C899=0,D899=0,TRIM(Raw_Passengers!D899&amp;"")=""),1,0)</f>
        <v>0</v>
      </c>
      <c r="G899" s="7" t="str">
        <f>IF(SUMPRODUCT(--(Lookup_Status!$A$2:$A$13=LOWER(TRIM(Raw_Passengers!F899))))=0,"",INDEX(Lookup_Status!$B$2:$B$13,SUMPRODUCT((Lookup_Status!$A$2:$A$13=LOWER(TRIM(Raw_Passengers!F899)))*(ROW(Lookup_Status!$A$2:$A$13)-1))))</f>
        <v>Confirmed</v>
      </c>
      <c r="H899" s="7" t="str">
        <f>IF(SUMPRODUCT(--(Lookup_Status!$A$2:$A$13=LOWER(TRIM(Raw_Passengers!G899))))=0,"",INDEX(Lookup_Status!$B$2:$B$13,SUMPRODUCT((Lookup_Status!$A$2:$A$13=LOWER(TRIM(Raw_Passengers!G899)))*(ROW(Lookup_Status!$A$2:$A$13)-1))))</f>
        <v>Cancelled</v>
      </c>
      <c r="I899" s="7">
        <f>IF(OR(G899="",G899="Cancelled",G899="Mixed"),1,0)</f>
        <v>0</v>
      </c>
      <c r="J899" s="7">
        <f>IF(OR(H899="",H899="Mixed"),1,0)</f>
        <v>0</v>
      </c>
      <c r="K899" s="7">
        <f>IF(AND(C899=0,D899=0),IF(OR(AND(I899=0,NOT(EXACT(Raw_Passengers!F899,G899))),AND(J899=0,NOT(EXACT(Raw_Passengers!G899,H899)))),1,0),0)</f>
        <v>0</v>
      </c>
      <c r="L899" s="7">
        <f>IF(AND(C899=0,D899=0,I899=1),1,0)</f>
        <v>0</v>
      </c>
      <c r="M899" s="7">
        <f>IF(AND(C899=0,D899=0,J899=1),1,0)</f>
        <v>0</v>
      </c>
    </row>
    <row r="900" spans="1:13">
      <c r="A900" s="7">
        <f>Raw_Passengers!A900</f>
        <v>296562</v>
      </c>
      <c r="B900" s="7">
        <f>Raw_Passengers!B900</f>
        <v>1146896</v>
      </c>
      <c r="C900" s="7">
        <f>IF(COUNTIF(Raw_Passengers!$A$2:A900,Raw_Passengers!A900)&gt;1,1,0)</f>
        <v>0</v>
      </c>
      <c r="D900" s="7">
        <f>IF(COUNTIF(Raw_Bookings!$A$2:$A$648,Raw_Passengers!B900)=0,1,0)</f>
        <v>0</v>
      </c>
      <c r="E900" s="7">
        <f>IF(OR(C900=1,D900=1),0,IF(NOT(ISNUMBER(Raw_Passengers!E900)),1,IF(Raw_Passengers!E900&lt;=0,1,0)))</f>
        <v>0</v>
      </c>
      <c r="F900" s="7">
        <f>IF(AND(C900=0,D900=0,TRIM(Raw_Passengers!D900&amp;"")=""),1,0)</f>
        <v>0</v>
      </c>
      <c r="G900" s="7" t="str">
        <f>IF(SUMPRODUCT(--(Lookup_Status!$A$2:$A$13=LOWER(TRIM(Raw_Passengers!F900))))=0,"",INDEX(Lookup_Status!$B$2:$B$13,SUMPRODUCT((Lookup_Status!$A$2:$A$13=LOWER(TRIM(Raw_Passengers!F900)))*(ROW(Lookup_Status!$A$2:$A$13)-1))))</f>
        <v>Confirmed</v>
      </c>
      <c r="H900" s="7" t="str">
        <f>IF(SUMPRODUCT(--(Lookup_Status!$A$2:$A$13=LOWER(TRIM(Raw_Passengers!G900))))=0,"",INDEX(Lookup_Status!$B$2:$B$13,SUMPRODUCT((Lookup_Status!$A$2:$A$13=LOWER(TRIM(Raw_Passengers!G900)))*(ROW(Lookup_Status!$A$2:$A$13)-1))))</f>
        <v>Cancelled</v>
      </c>
      <c r="I900" s="7">
        <f>IF(OR(G900="",G900="Cancelled",G900="Mixed"),1,0)</f>
        <v>0</v>
      </c>
      <c r="J900" s="7">
        <f>IF(OR(H900="",H900="Mixed"),1,0)</f>
        <v>0</v>
      </c>
      <c r="K900" s="7">
        <f>IF(AND(C900=0,D900=0),IF(OR(AND(I900=0,NOT(EXACT(Raw_Passengers!F900,G900))),AND(J900=0,NOT(EXACT(Raw_Passengers!G900,H900)))),1,0),0)</f>
        <v>0</v>
      </c>
      <c r="L900" s="7">
        <f>IF(AND(C900=0,D900=0,I900=1),1,0)</f>
        <v>0</v>
      </c>
      <c r="M900" s="7">
        <f>IF(AND(C900=0,D900=0,J900=1),1,0)</f>
        <v>0</v>
      </c>
    </row>
    <row r="901" spans="1:13">
      <c r="A901" s="7">
        <f>Raw_Passengers!A901</f>
        <v>296728</v>
      </c>
      <c r="B901" s="7">
        <f>Raw_Passengers!B901</f>
        <v>1146993</v>
      </c>
      <c r="C901" s="7">
        <f>IF(COUNTIF(Raw_Passengers!$A$2:A901,Raw_Passengers!A901)&gt;1,1,0)</f>
        <v>0</v>
      </c>
      <c r="D901" s="7">
        <f>IF(COUNTIF(Raw_Bookings!$A$2:$A$648,Raw_Passengers!B901)=0,1,0)</f>
        <v>0</v>
      </c>
      <c r="E901" s="7">
        <f>IF(OR(C901=1,D901=1),0,IF(NOT(ISNUMBER(Raw_Passengers!E901)),1,IF(Raw_Passengers!E901&lt;=0,1,0)))</f>
        <v>0</v>
      </c>
      <c r="F901" s="7">
        <f>IF(AND(C901=0,D901=0,TRIM(Raw_Passengers!D901&amp;"")=""),1,0)</f>
        <v>0</v>
      </c>
      <c r="G901" s="7" t="str">
        <f>IF(SUMPRODUCT(--(Lookup_Status!$A$2:$A$13=LOWER(TRIM(Raw_Passengers!F901))))=0,"",INDEX(Lookup_Status!$B$2:$B$13,SUMPRODUCT((Lookup_Status!$A$2:$A$13=LOWER(TRIM(Raw_Passengers!F901)))*(ROW(Lookup_Status!$A$2:$A$13)-1))))</f>
        <v>Confirmed</v>
      </c>
      <c r="H901" s="7" t="str">
        <f>IF(SUMPRODUCT(--(Lookup_Status!$A$2:$A$13=LOWER(TRIM(Raw_Passengers!G901))))=0,"",INDEX(Lookup_Status!$B$2:$B$13,SUMPRODUCT((Lookup_Status!$A$2:$A$13=LOWER(TRIM(Raw_Passengers!G901)))*(ROW(Lookup_Status!$A$2:$A$13)-1))))</f>
        <v>Cancelled</v>
      </c>
      <c r="I901" s="7">
        <f>IF(OR(G901="",G901="Cancelled",G901="Mixed"),1,0)</f>
        <v>0</v>
      </c>
      <c r="J901" s="7">
        <f>IF(OR(H901="",H901="Mixed"),1,0)</f>
        <v>0</v>
      </c>
      <c r="K901" s="7">
        <f>IF(AND(C901=0,D901=0),IF(OR(AND(I901=0,NOT(EXACT(Raw_Passengers!F901,G901))),AND(J901=0,NOT(EXACT(Raw_Passengers!G901,H901)))),1,0),0)</f>
        <v>0</v>
      </c>
      <c r="L901" s="7">
        <f>IF(AND(C901=0,D901=0,I901=1),1,0)</f>
        <v>0</v>
      </c>
      <c r="M901" s="7">
        <f>IF(AND(C901=0,D901=0,J901=1),1,0)</f>
        <v>0</v>
      </c>
    </row>
    <row r="902" spans="1:13">
      <c r="A902" s="7">
        <f>Raw_Passengers!A902</f>
        <v>297576</v>
      </c>
      <c r="B902" s="7">
        <f>Raw_Passengers!B902</f>
        <v>1147417</v>
      </c>
      <c r="C902" s="7">
        <f>IF(COUNTIF(Raw_Passengers!$A$2:A902,Raw_Passengers!A902)&gt;1,1,0)</f>
        <v>0</v>
      </c>
      <c r="D902" s="7">
        <f>IF(COUNTIF(Raw_Bookings!$A$2:$A$648,Raw_Passengers!B902)=0,1,0)</f>
        <v>0</v>
      </c>
      <c r="E902" s="7">
        <f>IF(OR(C902=1,D902=1),0,IF(NOT(ISNUMBER(Raw_Passengers!E902)),1,IF(Raw_Passengers!E902&lt;=0,1,0)))</f>
        <v>0</v>
      </c>
      <c r="F902" s="7">
        <f>IF(AND(C902=0,D902=0,TRIM(Raw_Passengers!D902&amp;"")=""),1,0)</f>
        <v>0</v>
      </c>
      <c r="G902" s="7" t="str">
        <f>IF(SUMPRODUCT(--(Lookup_Status!$A$2:$A$13=LOWER(TRIM(Raw_Passengers!F902))))=0,"",INDEX(Lookup_Status!$B$2:$B$13,SUMPRODUCT((Lookup_Status!$A$2:$A$13=LOWER(TRIM(Raw_Passengers!F902)))*(ROW(Lookup_Status!$A$2:$A$13)-1))))</f>
        <v>Confirmed</v>
      </c>
      <c r="H902" s="7" t="str">
        <f>IF(SUMPRODUCT(--(Lookup_Status!$A$2:$A$13=LOWER(TRIM(Raw_Passengers!G902))))=0,"",INDEX(Lookup_Status!$B$2:$B$13,SUMPRODUCT((Lookup_Status!$A$2:$A$13=LOWER(TRIM(Raw_Passengers!G902)))*(ROW(Lookup_Status!$A$2:$A$13)-1))))</f>
        <v>Confirmed</v>
      </c>
      <c r="I902" s="7">
        <f>IF(OR(G902="",G902="Cancelled",G902="Mixed"),1,0)</f>
        <v>0</v>
      </c>
      <c r="J902" s="7">
        <f>IF(OR(H902="",H902="Mixed"),1,0)</f>
        <v>0</v>
      </c>
      <c r="K902" s="7">
        <f>IF(AND(C902=0,D902=0),IF(OR(AND(I902=0,NOT(EXACT(Raw_Passengers!F902,G902))),AND(J902=0,NOT(EXACT(Raw_Passengers!G902,H902)))),1,0),0)</f>
        <v>0</v>
      </c>
      <c r="L902" s="7">
        <f>IF(AND(C902=0,D902=0,I902=1),1,0)</f>
        <v>0</v>
      </c>
      <c r="M902" s="7">
        <f>IF(AND(C902=0,D902=0,J902=1),1,0)</f>
        <v>0</v>
      </c>
    </row>
    <row r="903" spans="1:13">
      <c r="A903" s="7">
        <f>Raw_Passengers!A903</f>
        <v>297577</v>
      </c>
      <c r="B903" s="7">
        <f>Raw_Passengers!B903</f>
        <v>1147417</v>
      </c>
      <c r="C903" s="7">
        <f>IF(COUNTIF(Raw_Passengers!$A$2:A903,Raw_Passengers!A903)&gt;1,1,0)</f>
        <v>0</v>
      </c>
      <c r="D903" s="7">
        <f>IF(COUNTIF(Raw_Bookings!$A$2:$A$648,Raw_Passengers!B903)=0,1,0)</f>
        <v>0</v>
      </c>
      <c r="E903" s="7">
        <f>IF(OR(C903=1,D903=1),0,IF(NOT(ISNUMBER(Raw_Passengers!E903)),1,IF(Raw_Passengers!E903&lt;=0,1,0)))</f>
        <v>0</v>
      </c>
      <c r="F903" s="7">
        <f>IF(AND(C903=0,D903=0,TRIM(Raw_Passengers!D903&amp;"")=""),1,0)</f>
        <v>0</v>
      </c>
      <c r="G903" s="7" t="str">
        <f>IF(SUMPRODUCT(--(Lookup_Status!$A$2:$A$13=LOWER(TRIM(Raw_Passengers!F903))))=0,"",INDEX(Lookup_Status!$B$2:$B$13,SUMPRODUCT((Lookup_Status!$A$2:$A$13=LOWER(TRIM(Raw_Passengers!F903)))*(ROW(Lookup_Status!$A$2:$A$13)-1))))</f>
        <v>Confirmed</v>
      </c>
      <c r="H903" s="7" t="str">
        <f>IF(SUMPRODUCT(--(Lookup_Status!$A$2:$A$13=LOWER(TRIM(Raw_Passengers!G903))))=0,"",INDEX(Lookup_Status!$B$2:$B$13,SUMPRODUCT((Lookup_Status!$A$2:$A$13=LOWER(TRIM(Raw_Passengers!G903)))*(ROW(Lookup_Status!$A$2:$A$13)-1))))</f>
        <v>Confirmed</v>
      </c>
      <c r="I903" s="7">
        <f>IF(OR(G903="",G903="Cancelled",G903="Mixed"),1,0)</f>
        <v>0</v>
      </c>
      <c r="J903" s="7">
        <f>IF(OR(H903="",H903="Mixed"),1,0)</f>
        <v>0</v>
      </c>
      <c r="K903" s="7">
        <f>IF(AND(C903=0,D903=0),IF(OR(AND(I903=0,NOT(EXACT(Raw_Passengers!F903,G903))),AND(J903=0,NOT(EXACT(Raw_Passengers!G903,H903)))),1,0),0)</f>
        <v>0</v>
      </c>
      <c r="L903" s="7">
        <f>IF(AND(C903=0,D903=0,I903=1),1,0)</f>
        <v>0</v>
      </c>
      <c r="M903" s="7">
        <f>IF(AND(C903=0,D903=0,J903=1),1,0)</f>
        <v>0</v>
      </c>
    </row>
    <row r="904" spans="1:13">
      <c r="A904" s="7">
        <f>Raw_Passengers!A904</f>
        <v>297578</v>
      </c>
      <c r="B904" s="7">
        <f>Raw_Passengers!B904</f>
        <v>1147417</v>
      </c>
      <c r="C904" s="7">
        <f>IF(COUNTIF(Raw_Passengers!$A$2:A904,Raw_Passengers!A904)&gt;1,1,0)</f>
        <v>0</v>
      </c>
      <c r="D904" s="7">
        <f>IF(COUNTIF(Raw_Bookings!$A$2:$A$648,Raw_Passengers!B904)=0,1,0)</f>
        <v>0</v>
      </c>
      <c r="E904" s="7">
        <f>IF(OR(C904=1,D904=1),0,IF(NOT(ISNUMBER(Raw_Passengers!E904)),1,IF(Raw_Passengers!E904&lt;=0,1,0)))</f>
        <v>0</v>
      </c>
      <c r="F904" s="7">
        <f>IF(AND(C904=0,D904=0,TRIM(Raw_Passengers!D904&amp;"")=""),1,0)</f>
        <v>0</v>
      </c>
      <c r="G904" s="7" t="str">
        <f>IF(SUMPRODUCT(--(Lookup_Status!$A$2:$A$13=LOWER(TRIM(Raw_Passengers!F904))))=0,"",INDEX(Lookup_Status!$B$2:$B$13,SUMPRODUCT((Lookup_Status!$A$2:$A$13=LOWER(TRIM(Raw_Passengers!F904)))*(ROW(Lookup_Status!$A$2:$A$13)-1))))</f>
        <v>Confirmed</v>
      </c>
      <c r="H904" s="7" t="str">
        <f>IF(SUMPRODUCT(--(Lookup_Status!$A$2:$A$13=LOWER(TRIM(Raw_Passengers!G904))))=0,"",INDEX(Lookup_Status!$B$2:$B$13,SUMPRODUCT((Lookup_Status!$A$2:$A$13=LOWER(TRIM(Raw_Passengers!G904)))*(ROW(Lookup_Status!$A$2:$A$13)-1))))</f>
        <v>Confirmed</v>
      </c>
      <c r="I904" s="7">
        <f>IF(OR(G904="",G904="Cancelled",G904="Mixed"),1,0)</f>
        <v>0</v>
      </c>
      <c r="J904" s="7">
        <f>IF(OR(H904="",H904="Mixed"),1,0)</f>
        <v>0</v>
      </c>
      <c r="K904" s="7">
        <f>IF(AND(C904=0,D904=0),IF(OR(AND(I904=0,NOT(EXACT(Raw_Passengers!F904,G904))),AND(J904=0,NOT(EXACT(Raw_Passengers!G904,H904)))),1,0),0)</f>
        <v>0</v>
      </c>
      <c r="L904" s="7">
        <f>IF(AND(C904=0,D904=0,I904=1),1,0)</f>
        <v>0</v>
      </c>
      <c r="M904" s="7">
        <f>IF(AND(C904=0,D904=0,J904=1),1,0)</f>
        <v>0</v>
      </c>
    </row>
    <row r="905" spans="1:13">
      <c r="A905" s="7">
        <f>Raw_Passengers!A905</f>
        <v>297765</v>
      </c>
      <c r="B905" s="7">
        <f>Raw_Passengers!B905</f>
        <v>1147512</v>
      </c>
      <c r="C905" s="7">
        <f>IF(COUNTIF(Raw_Passengers!$A$2:A905,Raw_Passengers!A905)&gt;1,1,0)</f>
        <v>0</v>
      </c>
      <c r="D905" s="7">
        <f>IF(COUNTIF(Raw_Bookings!$A$2:$A$648,Raw_Passengers!B905)=0,1,0)</f>
        <v>0</v>
      </c>
      <c r="E905" s="7">
        <f>IF(OR(C905=1,D905=1),0,IF(NOT(ISNUMBER(Raw_Passengers!E905)),1,IF(Raw_Passengers!E905&lt;=0,1,0)))</f>
        <v>0</v>
      </c>
      <c r="F905" s="7">
        <f>IF(AND(C905=0,D905=0,TRIM(Raw_Passengers!D905&amp;"")=""),1,0)</f>
        <v>0</v>
      </c>
      <c r="G905" s="7" t="str">
        <f>IF(SUMPRODUCT(--(Lookup_Status!$A$2:$A$13=LOWER(TRIM(Raw_Passengers!F905))))=0,"",INDEX(Lookup_Status!$B$2:$B$13,SUMPRODUCT((Lookup_Status!$A$2:$A$13=LOWER(TRIM(Raw_Passengers!F905)))*(ROW(Lookup_Status!$A$2:$A$13)-1))))</f>
        <v>Confirmed</v>
      </c>
      <c r="H905" s="7" t="str">
        <f>IF(SUMPRODUCT(--(Lookup_Status!$A$2:$A$13=LOWER(TRIM(Raw_Passengers!G905))))=0,"",INDEX(Lookup_Status!$B$2:$B$13,SUMPRODUCT((Lookup_Status!$A$2:$A$13=LOWER(TRIM(Raw_Passengers!G905)))*(ROW(Lookup_Status!$A$2:$A$13)-1))))</f>
        <v>Confirmed</v>
      </c>
      <c r="I905" s="7">
        <f>IF(OR(G905="",G905="Cancelled",G905="Mixed"),1,0)</f>
        <v>0</v>
      </c>
      <c r="J905" s="7">
        <f>IF(OR(H905="",H905="Mixed"),1,0)</f>
        <v>0</v>
      </c>
      <c r="K905" s="7">
        <f>IF(AND(C905=0,D905=0),IF(OR(AND(I905=0,NOT(EXACT(Raw_Passengers!F905,G905))),AND(J905=0,NOT(EXACT(Raw_Passengers!G905,H905)))),1,0),0)</f>
        <v>0</v>
      </c>
      <c r="L905" s="7">
        <f>IF(AND(C905=0,D905=0,I905=1),1,0)</f>
        <v>0</v>
      </c>
      <c r="M905" s="7">
        <f>IF(AND(C905=0,D905=0,J905=1),1,0)</f>
        <v>0</v>
      </c>
    </row>
    <row r="906" spans="1:13">
      <c r="A906" s="7">
        <f>Raw_Passengers!A906</f>
        <v>298723</v>
      </c>
      <c r="B906" s="7">
        <f>Raw_Passengers!B906</f>
        <v>1147998</v>
      </c>
      <c r="C906" s="7">
        <f>IF(COUNTIF(Raw_Passengers!$A$2:A906,Raw_Passengers!A906)&gt;1,1,0)</f>
        <v>0</v>
      </c>
      <c r="D906" s="7">
        <f>IF(COUNTIF(Raw_Bookings!$A$2:$A$648,Raw_Passengers!B906)=0,1,0)</f>
        <v>0</v>
      </c>
      <c r="E906" s="7">
        <f>IF(OR(C906=1,D906=1),0,IF(NOT(ISNUMBER(Raw_Passengers!E906)),1,IF(Raw_Passengers!E906&lt;=0,1,0)))</f>
        <v>0</v>
      </c>
      <c r="F906" s="7">
        <f>IF(AND(C906=0,D906=0,TRIM(Raw_Passengers!D906&amp;"")=""),1,0)</f>
        <v>0</v>
      </c>
      <c r="G906" s="7" t="str">
        <f>IF(SUMPRODUCT(--(Lookup_Status!$A$2:$A$13=LOWER(TRIM(Raw_Passengers!F906))))=0,"",INDEX(Lookup_Status!$B$2:$B$13,SUMPRODUCT((Lookup_Status!$A$2:$A$13=LOWER(TRIM(Raw_Passengers!F906)))*(ROW(Lookup_Status!$A$2:$A$13)-1))))</f>
        <v>RAC</v>
      </c>
      <c r="H906" s="7" t="str">
        <f>IF(SUMPRODUCT(--(Lookup_Status!$A$2:$A$13=LOWER(TRIM(Raw_Passengers!G906))))=0,"",INDEX(Lookup_Status!$B$2:$B$13,SUMPRODUCT((Lookup_Status!$A$2:$A$13=LOWER(TRIM(Raw_Passengers!G906)))*(ROW(Lookup_Status!$A$2:$A$13)-1))))</f>
        <v>Confirmed</v>
      </c>
      <c r="I906" s="7">
        <f>IF(OR(G906="",G906="Cancelled",G906="Mixed"),1,0)</f>
        <v>0</v>
      </c>
      <c r="J906" s="7">
        <f>IF(OR(H906="",H906="Mixed"),1,0)</f>
        <v>0</v>
      </c>
      <c r="K906" s="7">
        <f>IF(AND(C906=0,D906=0),IF(OR(AND(I906=0,NOT(EXACT(Raw_Passengers!F906,G906))),AND(J906=0,NOT(EXACT(Raw_Passengers!G906,H906)))),1,0),0)</f>
        <v>0</v>
      </c>
      <c r="L906" s="7">
        <f>IF(AND(C906=0,D906=0,I906=1),1,0)</f>
        <v>0</v>
      </c>
      <c r="M906" s="7">
        <f>IF(AND(C906=0,D906=0,J906=1),1,0)</f>
        <v>0</v>
      </c>
    </row>
    <row r="907" spans="1:13">
      <c r="A907" s="7">
        <f>Raw_Passengers!A907</f>
        <v>299027</v>
      </c>
      <c r="B907" s="7">
        <f>Raw_Passengers!B907</f>
        <v>1148151</v>
      </c>
      <c r="C907" s="7">
        <f>IF(COUNTIF(Raw_Passengers!$A$2:A907,Raw_Passengers!A907)&gt;1,1,0)</f>
        <v>0</v>
      </c>
      <c r="D907" s="7">
        <f>IF(COUNTIF(Raw_Bookings!$A$2:$A$648,Raw_Passengers!B907)=0,1,0)</f>
        <v>0</v>
      </c>
      <c r="E907" s="7">
        <f>IF(OR(C907=1,D907=1),0,IF(NOT(ISNUMBER(Raw_Passengers!E907)),1,IF(Raw_Passengers!E907&lt;=0,1,0)))</f>
        <v>0</v>
      </c>
      <c r="F907" s="7">
        <f>IF(AND(C907=0,D907=0,TRIM(Raw_Passengers!D907&amp;"")=""),1,0)</f>
        <v>0</v>
      </c>
      <c r="G907" s="7" t="str">
        <f>IF(SUMPRODUCT(--(Lookup_Status!$A$2:$A$13=LOWER(TRIM(Raw_Passengers!F907))))=0,"",INDEX(Lookup_Status!$B$2:$B$13,SUMPRODUCT((Lookup_Status!$A$2:$A$13=LOWER(TRIM(Raw_Passengers!F907)))*(ROW(Lookup_Status!$A$2:$A$13)-1))))</f>
        <v>Confirmed</v>
      </c>
      <c r="H907" s="7" t="str">
        <f>IF(SUMPRODUCT(--(Lookup_Status!$A$2:$A$13=LOWER(TRIM(Raw_Passengers!G907))))=0,"",INDEX(Lookup_Status!$B$2:$B$13,SUMPRODUCT((Lookup_Status!$A$2:$A$13=LOWER(TRIM(Raw_Passengers!G907)))*(ROW(Lookup_Status!$A$2:$A$13)-1))))</f>
        <v>Cancelled</v>
      </c>
      <c r="I907" s="7">
        <f>IF(OR(G907="",G907="Cancelled",G907="Mixed"),1,0)</f>
        <v>0</v>
      </c>
      <c r="J907" s="7">
        <f>IF(OR(H907="",H907="Mixed"),1,0)</f>
        <v>0</v>
      </c>
      <c r="K907" s="7">
        <f>IF(AND(C907=0,D907=0),IF(OR(AND(I907=0,NOT(EXACT(Raw_Passengers!F907,G907))),AND(J907=0,NOT(EXACT(Raw_Passengers!G907,H907)))),1,0),0)</f>
        <v>0</v>
      </c>
      <c r="L907" s="7">
        <f>IF(AND(C907=0,D907=0,I907=1),1,0)</f>
        <v>0</v>
      </c>
      <c r="M907" s="7">
        <f>IF(AND(C907=0,D907=0,J907=1),1,0)</f>
        <v>0</v>
      </c>
    </row>
    <row r="908" spans="1:13">
      <c r="A908" s="7">
        <f>Raw_Passengers!A908</f>
        <v>299028</v>
      </c>
      <c r="B908" s="7">
        <f>Raw_Passengers!B908</f>
        <v>1148151</v>
      </c>
      <c r="C908" s="7">
        <f>IF(COUNTIF(Raw_Passengers!$A$2:A908,Raw_Passengers!A908)&gt;1,1,0)</f>
        <v>0</v>
      </c>
      <c r="D908" s="7">
        <f>IF(COUNTIF(Raw_Bookings!$A$2:$A$648,Raw_Passengers!B908)=0,1,0)</f>
        <v>0</v>
      </c>
      <c r="E908" s="7">
        <f>IF(OR(C908=1,D908=1),0,IF(NOT(ISNUMBER(Raw_Passengers!E908)),1,IF(Raw_Passengers!E908&lt;=0,1,0)))</f>
        <v>0</v>
      </c>
      <c r="F908" s="7">
        <f>IF(AND(C908=0,D908=0,TRIM(Raw_Passengers!D908&amp;"")=""),1,0)</f>
        <v>0</v>
      </c>
      <c r="G908" s="7" t="str">
        <f>IF(SUMPRODUCT(--(Lookup_Status!$A$2:$A$13=LOWER(TRIM(Raw_Passengers!F908))))=0,"",INDEX(Lookup_Status!$B$2:$B$13,SUMPRODUCT((Lookup_Status!$A$2:$A$13=LOWER(TRIM(Raw_Passengers!F908)))*(ROW(Lookup_Status!$A$2:$A$13)-1))))</f>
        <v>Confirmed</v>
      </c>
      <c r="H908" s="7" t="str">
        <f>IF(SUMPRODUCT(--(Lookup_Status!$A$2:$A$13=LOWER(TRIM(Raw_Passengers!G908))))=0,"",INDEX(Lookup_Status!$B$2:$B$13,SUMPRODUCT((Lookup_Status!$A$2:$A$13=LOWER(TRIM(Raw_Passengers!G908)))*(ROW(Lookup_Status!$A$2:$A$13)-1))))</f>
        <v>Confirmed</v>
      </c>
      <c r="I908" s="7">
        <f>IF(OR(G908="",G908="Cancelled",G908="Mixed"),1,0)</f>
        <v>0</v>
      </c>
      <c r="J908" s="7">
        <f>IF(OR(H908="",H908="Mixed"),1,0)</f>
        <v>0</v>
      </c>
      <c r="K908" s="7">
        <f>IF(AND(C908=0,D908=0),IF(OR(AND(I908=0,NOT(EXACT(Raw_Passengers!F908,G908))),AND(J908=0,NOT(EXACT(Raw_Passengers!G908,H908)))),1,0),0)</f>
        <v>0</v>
      </c>
      <c r="L908" s="7">
        <f>IF(AND(C908=0,D908=0,I908=1),1,0)</f>
        <v>0</v>
      </c>
      <c r="M908" s="7">
        <f>IF(AND(C908=0,D908=0,J908=1),1,0)</f>
        <v>0</v>
      </c>
    </row>
    <row r="909" spans="1:13">
      <c r="A909" s="7">
        <f>Raw_Passengers!A909</f>
        <v>300082</v>
      </c>
      <c r="B909" s="7">
        <f>Raw_Passengers!B909</f>
        <v>1148655</v>
      </c>
      <c r="C909" s="7">
        <f>IF(COUNTIF(Raw_Passengers!$A$2:A909,Raw_Passengers!A909)&gt;1,1,0)</f>
        <v>0</v>
      </c>
      <c r="D909" s="7">
        <f>IF(COUNTIF(Raw_Bookings!$A$2:$A$648,Raw_Passengers!B909)=0,1,0)</f>
        <v>0</v>
      </c>
      <c r="E909" s="7">
        <f>IF(OR(C909=1,D909=1),0,IF(NOT(ISNUMBER(Raw_Passengers!E909)),1,IF(Raw_Passengers!E909&lt;=0,1,0)))</f>
        <v>0</v>
      </c>
      <c r="F909" s="7">
        <f>IF(AND(C909=0,D909=0,TRIM(Raw_Passengers!D909&amp;"")=""),1,0)</f>
        <v>0</v>
      </c>
      <c r="G909" s="7" t="str">
        <f>IF(SUMPRODUCT(--(Lookup_Status!$A$2:$A$13=LOWER(TRIM(Raw_Passengers!F909))))=0,"",INDEX(Lookup_Status!$B$2:$B$13,SUMPRODUCT((Lookup_Status!$A$2:$A$13=LOWER(TRIM(Raw_Passengers!F909)))*(ROW(Lookup_Status!$A$2:$A$13)-1))))</f>
        <v>Confirmed</v>
      </c>
      <c r="H909" s="7" t="str">
        <f>IF(SUMPRODUCT(--(Lookup_Status!$A$2:$A$13=LOWER(TRIM(Raw_Passengers!G909))))=0,"",INDEX(Lookup_Status!$B$2:$B$13,SUMPRODUCT((Lookup_Status!$A$2:$A$13=LOWER(TRIM(Raw_Passengers!G909)))*(ROW(Lookup_Status!$A$2:$A$13)-1))))</f>
        <v>Confirmed</v>
      </c>
      <c r="I909" s="7">
        <f>IF(OR(G909="",G909="Cancelled",G909="Mixed"),1,0)</f>
        <v>0</v>
      </c>
      <c r="J909" s="7">
        <f>IF(OR(H909="",H909="Mixed"),1,0)</f>
        <v>0</v>
      </c>
      <c r="K909" s="7">
        <f>IF(AND(C909=0,D909=0),IF(OR(AND(I909=0,NOT(EXACT(Raw_Passengers!F909,G909))),AND(J909=0,NOT(EXACT(Raw_Passengers!G909,H909)))),1,0),0)</f>
        <v>0</v>
      </c>
      <c r="L909" s="7">
        <f>IF(AND(C909=0,D909=0,I909=1),1,0)</f>
        <v>0</v>
      </c>
      <c r="M909" s="7">
        <f>IF(AND(C909=0,D909=0,J909=1),1,0)</f>
        <v>0</v>
      </c>
    </row>
    <row r="910" spans="1:13">
      <c r="A910" s="7">
        <f>Raw_Passengers!A910</f>
        <v>300083</v>
      </c>
      <c r="B910" s="7">
        <f>Raw_Passengers!B910</f>
        <v>1148655</v>
      </c>
      <c r="C910" s="7">
        <f>IF(COUNTIF(Raw_Passengers!$A$2:A910,Raw_Passengers!A910)&gt;1,1,0)</f>
        <v>0</v>
      </c>
      <c r="D910" s="7">
        <f>IF(COUNTIF(Raw_Bookings!$A$2:$A$648,Raw_Passengers!B910)=0,1,0)</f>
        <v>0</v>
      </c>
      <c r="E910" s="7">
        <f>IF(OR(C910=1,D910=1),0,IF(NOT(ISNUMBER(Raw_Passengers!E910)),1,IF(Raw_Passengers!E910&lt;=0,1,0)))</f>
        <v>0</v>
      </c>
      <c r="F910" s="7">
        <f>IF(AND(C910=0,D910=0,TRIM(Raw_Passengers!D910&amp;"")=""),1,0)</f>
        <v>0</v>
      </c>
      <c r="G910" s="7" t="str">
        <f>IF(SUMPRODUCT(--(Lookup_Status!$A$2:$A$13=LOWER(TRIM(Raw_Passengers!F910))))=0,"",INDEX(Lookup_Status!$B$2:$B$13,SUMPRODUCT((Lookup_Status!$A$2:$A$13=LOWER(TRIM(Raw_Passengers!F910)))*(ROW(Lookup_Status!$A$2:$A$13)-1))))</f>
        <v>Confirmed</v>
      </c>
      <c r="H910" s="7" t="str">
        <f>IF(SUMPRODUCT(--(Lookup_Status!$A$2:$A$13=LOWER(TRIM(Raw_Passengers!G910))))=0,"",INDEX(Lookup_Status!$B$2:$B$13,SUMPRODUCT((Lookup_Status!$A$2:$A$13=LOWER(TRIM(Raw_Passengers!G910)))*(ROW(Lookup_Status!$A$2:$A$13)-1))))</f>
        <v>Confirmed</v>
      </c>
      <c r="I910" s="7">
        <f>IF(OR(G910="",G910="Cancelled",G910="Mixed"),1,0)</f>
        <v>0</v>
      </c>
      <c r="J910" s="7">
        <f>IF(OR(H910="",H910="Mixed"),1,0)</f>
        <v>0</v>
      </c>
      <c r="K910" s="7">
        <f>IF(AND(C910=0,D910=0),IF(OR(AND(I910=0,NOT(EXACT(Raw_Passengers!F910,G910))),AND(J910=0,NOT(EXACT(Raw_Passengers!G910,H910)))),1,0),0)</f>
        <v>0</v>
      </c>
      <c r="L910" s="7">
        <f>IF(AND(C910=0,D910=0,I910=1),1,0)</f>
        <v>0</v>
      </c>
      <c r="M910" s="7">
        <f>IF(AND(C910=0,D910=0,J910=1),1,0)</f>
        <v>0</v>
      </c>
    </row>
    <row r="911" spans="1:13">
      <c r="A911" s="7">
        <f>Raw_Passengers!A911</f>
        <v>300105</v>
      </c>
      <c r="B911" s="7">
        <f>Raw_Passengers!B911</f>
        <v>1148664</v>
      </c>
      <c r="C911" s="7">
        <f>IF(COUNTIF(Raw_Passengers!$A$2:A911,Raw_Passengers!A911)&gt;1,1,0)</f>
        <v>0</v>
      </c>
      <c r="D911" s="7">
        <f>IF(COUNTIF(Raw_Bookings!$A$2:$A$648,Raw_Passengers!B911)=0,1,0)</f>
        <v>0</v>
      </c>
      <c r="E911" s="7">
        <f>IF(OR(C911=1,D911=1),0,IF(NOT(ISNUMBER(Raw_Passengers!E911)),1,IF(Raw_Passengers!E911&lt;=0,1,0)))</f>
        <v>0</v>
      </c>
      <c r="F911" s="7">
        <f>IF(AND(C911=0,D911=0,TRIM(Raw_Passengers!D911&amp;"")=""),1,0)</f>
        <v>0</v>
      </c>
      <c r="G911" s="7" t="str">
        <f>IF(SUMPRODUCT(--(Lookup_Status!$A$2:$A$13=LOWER(TRIM(Raw_Passengers!F911))))=0,"",INDEX(Lookup_Status!$B$2:$B$13,SUMPRODUCT((Lookup_Status!$A$2:$A$13=LOWER(TRIM(Raw_Passengers!F911)))*(ROW(Lookup_Status!$A$2:$A$13)-1))))</f>
        <v>Confirmed</v>
      </c>
      <c r="H911" s="7" t="str">
        <f>IF(SUMPRODUCT(--(Lookup_Status!$A$2:$A$13=LOWER(TRIM(Raw_Passengers!G911))))=0,"",INDEX(Lookup_Status!$B$2:$B$13,SUMPRODUCT((Lookup_Status!$A$2:$A$13=LOWER(TRIM(Raw_Passengers!G911)))*(ROW(Lookup_Status!$A$2:$A$13)-1))))</f>
        <v>Confirmed</v>
      </c>
      <c r="I911" s="7">
        <f>IF(OR(G911="",G911="Cancelled",G911="Mixed"),1,0)</f>
        <v>0</v>
      </c>
      <c r="J911" s="7">
        <f>IF(OR(H911="",H911="Mixed"),1,0)</f>
        <v>0</v>
      </c>
      <c r="K911" s="7">
        <f>IF(AND(C911=0,D911=0),IF(OR(AND(I911=0,NOT(EXACT(Raw_Passengers!F911,G911))),AND(J911=0,NOT(EXACT(Raw_Passengers!G911,H911)))),1,0),0)</f>
        <v>0</v>
      </c>
      <c r="L911" s="7">
        <f>IF(AND(C911=0,D911=0,I911=1),1,0)</f>
        <v>0</v>
      </c>
      <c r="M911" s="7">
        <f>IF(AND(C911=0,D911=0,J911=1),1,0)</f>
        <v>0</v>
      </c>
    </row>
    <row r="912" spans="1:13">
      <c r="A912" s="7">
        <f>Raw_Passengers!A912</f>
        <v>300577</v>
      </c>
      <c r="B912" s="7">
        <f>Raw_Passengers!B912</f>
        <v>1148902</v>
      </c>
      <c r="C912" s="7">
        <f>IF(COUNTIF(Raw_Passengers!$A$2:A912,Raw_Passengers!A912)&gt;1,1,0)</f>
        <v>0</v>
      </c>
      <c r="D912" s="7">
        <f>IF(COUNTIF(Raw_Bookings!$A$2:$A$648,Raw_Passengers!B912)=0,1,0)</f>
        <v>0</v>
      </c>
      <c r="E912" s="7">
        <f>IF(OR(C912=1,D912=1),0,IF(NOT(ISNUMBER(Raw_Passengers!E912)),1,IF(Raw_Passengers!E912&lt;=0,1,0)))</f>
        <v>0</v>
      </c>
      <c r="F912" s="7">
        <f>IF(AND(C912=0,D912=0,TRIM(Raw_Passengers!D912&amp;"")=""),1,0)</f>
        <v>0</v>
      </c>
      <c r="G912" s="7" t="str">
        <f>IF(SUMPRODUCT(--(Lookup_Status!$A$2:$A$13=LOWER(TRIM(Raw_Passengers!F912))))=0,"",INDEX(Lookup_Status!$B$2:$B$13,SUMPRODUCT((Lookup_Status!$A$2:$A$13=LOWER(TRIM(Raw_Passengers!F912)))*(ROW(Lookup_Status!$A$2:$A$13)-1))))</f>
        <v>Confirmed</v>
      </c>
      <c r="H912" s="7" t="str">
        <f>IF(SUMPRODUCT(--(Lookup_Status!$A$2:$A$13=LOWER(TRIM(Raw_Passengers!G912))))=0,"",INDEX(Lookup_Status!$B$2:$B$13,SUMPRODUCT((Lookup_Status!$A$2:$A$13=LOWER(TRIM(Raw_Passengers!G912)))*(ROW(Lookup_Status!$A$2:$A$13)-1))))</f>
        <v>Confirmed</v>
      </c>
      <c r="I912" s="7">
        <f>IF(OR(G912="",G912="Cancelled",G912="Mixed"),1,0)</f>
        <v>0</v>
      </c>
      <c r="J912" s="7">
        <f>IF(OR(H912="",H912="Mixed"),1,0)</f>
        <v>0</v>
      </c>
      <c r="K912" s="7">
        <f>IF(AND(C912=0,D912=0),IF(OR(AND(I912=0,NOT(EXACT(Raw_Passengers!F912,G912))),AND(J912=0,NOT(EXACT(Raw_Passengers!G912,H912)))),1,0),0)</f>
        <v>0</v>
      </c>
      <c r="L912" s="7">
        <f>IF(AND(C912=0,D912=0,I912=1),1,0)</f>
        <v>0</v>
      </c>
      <c r="M912" s="7">
        <f>IF(AND(C912=0,D912=0,J912=1),1,0)</f>
        <v>0</v>
      </c>
    </row>
    <row r="913" spans="1:13">
      <c r="A913" s="7">
        <f>Raw_Passengers!A913</f>
        <v>300578</v>
      </c>
      <c r="B913" s="7">
        <f>Raw_Passengers!B913</f>
        <v>1148902</v>
      </c>
      <c r="C913" s="7">
        <f>IF(COUNTIF(Raw_Passengers!$A$2:A913,Raw_Passengers!A913)&gt;1,1,0)</f>
        <v>0</v>
      </c>
      <c r="D913" s="7">
        <f>IF(COUNTIF(Raw_Bookings!$A$2:$A$648,Raw_Passengers!B913)=0,1,0)</f>
        <v>0</v>
      </c>
      <c r="E913" s="7">
        <f>IF(OR(C913=1,D913=1),0,IF(NOT(ISNUMBER(Raw_Passengers!E913)),1,IF(Raw_Passengers!E913&lt;=0,1,0)))</f>
        <v>0</v>
      </c>
      <c r="F913" s="7">
        <f>IF(AND(C913=0,D913=0,TRIM(Raw_Passengers!D913&amp;"")=""),1,0)</f>
        <v>0</v>
      </c>
      <c r="G913" s="7" t="str">
        <f>IF(SUMPRODUCT(--(Lookup_Status!$A$2:$A$13=LOWER(TRIM(Raw_Passengers!F913))))=0,"",INDEX(Lookup_Status!$B$2:$B$13,SUMPRODUCT((Lookup_Status!$A$2:$A$13=LOWER(TRIM(Raw_Passengers!F913)))*(ROW(Lookup_Status!$A$2:$A$13)-1))))</f>
        <v>Confirmed</v>
      </c>
      <c r="H913" s="7" t="str">
        <f>IF(SUMPRODUCT(--(Lookup_Status!$A$2:$A$13=LOWER(TRIM(Raw_Passengers!G913))))=0,"",INDEX(Lookup_Status!$B$2:$B$13,SUMPRODUCT((Lookup_Status!$A$2:$A$13=LOWER(TRIM(Raw_Passengers!G913)))*(ROW(Lookup_Status!$A$2:$A$13)-1))))</f>
        <v>Confirmed</v>
      </c>
      <c r="I913" s="7">
        <f>IF(OR(G913="",G913="Cancelled",G913="Mixed"),1,0)</f>
        <v>0</v>
      </c>
      <c r="J913" s="7">
        <f>IF(OR(H913="",H913="Mixed"),1,0)</f>
        <v>0</v>
      </c>
      <c r="K913" s="7">
        <f>IF(AND(C913=0,D913=0),IF(OR(AND(I913=0,NOT(EXACT(Raw_Passengers!F913,G913))),AND(J913=0,NOT(EXACT(Raw_Passengers!G913,H913)))),1,0),0)</f>
        <v>0</v>
      </c>
      <c r="L913" s="7">
        <f>IF(AND(C913=0,D913=0,I913=1),1,0)</f>
        <v>0</v>
      </c>
      <c r="M913" s="7">
        <f>IF(AND(C913=0,D913=0,J913=1),1,0)</f>
        <v>0</v>
      </c>
    </row>
    <row r="914" spans="1:13">
      <c r="A914" s="7">
        <f>Raw_Passengers!A914</f>
        <v>300579</v>
      </c>
      <c r="B914" s="7">
        <f>Raw_Passengers!B914</f>
        <v>1148902</v>
      </c>
      <c r="C914" s="7">
        <f>IF(COUNTIF(Raw_Passengers!$A$2:A914,Raw_Passengers!A914)&gt;1,1,0)</f>
        <v>0</v>
      </c>
      <c r="D914" s="7">
        <f>IF(COUNTIF(Raw_Bookings!$A$2:$A$648,Raw_Passengers!B914)=0,1,0)</f>
        <v>0</v>
      </c>
      <c r="E914" s="7">
        <f>IF(OR(C914=1,D914=1),0,IF(NOT(ISNUMBER(Raw_Passengers!E914)),1,IF(Raw_Passengers!E914&lt;=0,1,0)))</f>
        <v>0</v>
      </c>
      <c r="F914" s="7">
        <f>IF(AND(C914=0,D914=0,TRIM(Raw_Passengers!D914&amp;"")=""),1,0)</f>
        <v>0</v>
      </c>
      <c r="G914" s="7" t="str">
        <f>IF(SUMPRODUCT(--(Lookup_Status!$A$2:$A$13=LOWER(TRIM(Raw_Passengers!F914))))=0,"",INDEX(Lookup_Status!$B$2:$B$13,SUMPRODUCT((Lookup_Status!$A$2:$A$13=LOWER(TRIM(Raw_Passengers!F914)))*(ROW(Lookup_Status!$A$2:$A$13)-1))))</f>
        <v>Confirmed</v>
      </c>
      <c r="H914" s="7" t="str">
        <f>IF(SUMPRODUCT(--(Lookup_Status!$A$2:$A$13=LOWER(TRIM(Raw_Passengers!G914))))=0,"",INDEX(Lookup_Status!$B$2:$B$13,SUMPRODUCT((Lookup_Status!$A$2:$A$13=LOWER(TRIM(Raw_Passengers!G914)))*(ROW(Lookup_Status!$A$2:$A$13)-1))))</f>
        <v>Confirmed</v>
      </c>
      <c r="I914" s="7">
        <f>IF(OR(G914="",G914="Cancelled",G914="Mixed"),1,0)</f>
        <v>0</v>
      </c>
      <c r="J914" s="7">
        <f>IF(OR(H914="",H914="Mixed"),1,0)</f>
        <v>0</v>
      </c>
      <c r="K914" s="7">
        <f>IF(AND(C914=0,D914=0),IF(OR(AND(I914=0,NOT(EXACT(Raw_Passengers!F914,G914))),AND(J914=0,NOT(EXACT(Raw_Passengers!G914,H914)))),1,0),0)</f>
        <v>0</v>
      </c>
      <c r="L914" s="7">
        <f>IF(AND(C914=0,D914=0,I914=1),1,0)</f>
        <v>0</v>
      </c>
      <c r="M914" s="7">
        <f>IF(AND(C914=0,D914=0,J914=1),1,0)</f>
        <v>0</v>
      </c>
    </row>
    <row r="915" spans="1:13">
      <c r="A915" s="7">
        <f>Raw_Passengers!A915</f>
        <v>300580</v>
      </c>
      <c r="B915" s="7">
        <f>Raw_Passengers!B915</f>
        <v>1148902</v>
      </c>
      <c r="C915" s="7">
        <f>IF(COUNTIF(Raw_Passengers!$A$2:A915,Raw_Passengers!A915)&gt;1,1,0)</f>
        <v>0</v>
      </c>
      <c r="D915" s="7">
        <f>IF(COUNTIF(Raw_Bookings!$A$2:$A$648,Raw_Passengers!B915)=0,1,0)</f>
        <v>0</v>
      </c>
      <c r="E915" s="7">
        <f>IF(OR(C915=1,D915=1),0,IF(NOT(ISNUMBER(Raw_Passengers!E915)),1,IF(Raw_Passengers!E915&lt;=0,1,0)))</f>
        <v>0</v>
      </c>
      <c r="F915" s="7">
        <f>IF(AND(C915=0,D915=0,TRIM(Raw_Passengers!D915&amp;"")=""),1,0)</f>
        <v>0</v>
      </c>
      <c r="G915" s="7" t="str">
        <f>IF(SUMPRODUCT(--(Lookup_Status!$A$2:$A$13=LOWER(TRIM(Raw_Passengers!F915))))=0,"",INDEX(Lookup_Status!$B$2:$B$13,SUMPRODUCT((Lookup_Status!$A$2:$A$13=LOWER(TRIM(Raw_Passengers!F915)))*(ROW(Lookup_Status!$A$2:$A$13)-1))))</f>
        <v>Confirmed</v>
      </c>
      <c r="H915" s="7" t="str">
        <f>IF(SUMPRODUCT(--(Lookup_Status!$A$2:$A$13=LOWER(TRIM(Raw_Passengers!G915))))=0,"",INDEX(Lookup_Status!$B$2:$B$13,SUMPRODUCT((Lookup_Status!$A$2:$A$13=LOWER(TRIM(Raw_Passengers!G915)))*(ROW(Lookup_Status!$A$2:$A$13)-1))))</f>
        <v>Confirmed</v>
      </c>
      <c r="I915" s="7">
        <f>IF(OR(G915="",G915="Cancelled",G915="Mixed"),1,0)</f>
        <v>0</v>
      </c>
      <c r="J915" s="7">
        <f>IF(OR(H915="",H915="Mixed"),1,0)</f>
        <v>0</v>
      </c>
      <c r="K915" s="7">
        <f>IF(AND(C915=0,D915=0),IF(OR(AND(I915=0,NOT(EXACT(Raw_Passengers!F915,G915))),AND(J915=0,NOT(EXACT(Raw_Passengers!G915,H915)))),1,0),0)</f>
        <v>0</v>
      </c>
      <c r="L915" s="7">
        <f>IF(AND(C915=0,D915=0,I915=1),1,0)</f>
        <v>0</v>
      </c>
      <c r="M915" s="7">
        <f>IF(AND(C915=0,D915=0,J915=1),1,0)</f>
        <v>0</v>
      </c>
    </row>
    <row r="916" spans="1:13">
      <c r="A916" s="7">
        <f>Raw_Passengers!A916</f>
        <v>300748</v>
      </c>
      <c r="B916" s="7">
        <f>Raw_Passengers!B916</f>
        <v>1148989</v>
      </c>
      <c r="C916" s="7">
        <f>IF(COUNTIF(Raw_Passengers!$A$2:A916,Raw_Passengers!A916)&gt;1,1,0)</f>
        <v>0</v>
      </c>
      <c r="D916" s="7">
        <f>IF(COUNTIF(Raw_Bookings!$A$2:$A$648,Raw_Passengers!B916)=0,1,0)</f>
        <v>0</v>
      </c>
      <c r="E916" s="7">
        <f>IF(OR(C916=1,D916=1),0,IF(NOT(ISNUMBER(Raw_Passengers!E916)),1,IF(Raw_Passengers!E916&lt;=0,1,0)))</f>
        <v>0</v>
      </c>
      <c r="F916" s="7">
        <f>IF(AND(C916=0,D916=0,TRIM(Raw_Passengers!D916&amp;"")=""),1,0)</f>
        <v>0</v>
      </c>
      <c r="G916" s="7" t="str">
        <f>IF(SUMPRODUCT(--(Lookup_Status!$A$2:$A$13=LOWER(TRIM(Raw_Passengers!F916))))=0,"",INDEX(Lookup_Status!$B$2:$B$13,SUMPRODUCT((Lookup_Status!$A$2:$A$13=LOWER(TRIM(Raw_Passengers!F916)))*(ROW(Lookup_Status!$A$2:$A$13)-1))))</f>
        <v>Confirmed</v>
      </c>
      <c r="H916" s="7" t="str">
        <f>IF(SUMPRODUCT(--(Lookup_Status!$A$2:$A$13=LOWER(TRIM(Raw_Passengers!G916))))=0,"",INDEX(Lookup_Status!$B$2:$B$13,SUMPRODUCT((Lookup_Status!$A$2:$A$13=LOWER(TRIM(Raw_Passengers!G916)))*(ROW(Lookup_Status!$A$2:$A$13)-1))))</f>
        <v>Confirmed</v>
      </c>
      <c r="I916" s="7">
        <f>IF(OR(G916="",G916="Cancelled",G916="Mixed"),1,0)</f>
        <v>0</v>
      </c>
      <c r="J916" s="7">
        <f>IF(OR(H916="",H916="Mixed"),1,0)</f>
        <v>0</v>
      </c>
      <c r="K916" s="7">
        <f>IF(AND(C916=0,D916=0),IF(OR(AND(I916=0,NOT(EXACT(Raw_Passengers!F916,G916))),AND(J916=0,NOT(EXACT(Raw_Passengers!G916,H916)))),1,0),0)</f>
        <v>1</v>
      </c>
      <c r="L916" s="7">
        <f>IF(AND(C916=0,D916=0,I916=1),1,0)</f>
        <v>0</v>
      </c>
      <c r="M916" s="7">
        <f>IF(AND(C916=0,D916=0,J916=1),1,0)</f>
        <v>0</v>
      </c>
    </row>
    <row r="917" spans="1:13">
      <c r="A917" s="7">
        <f>Raw_Passengers!A917</f>
        <v>301743</v>
      </c>
      <c r="B917" s="7">
        <f>Raw_Passengers!B917</f>
        <v>1149512</v>
      </c>
      <c r="C917" s="7">
        <f>IF(COUNTIF(Raw_Passengers!$A$2:A917,Raw_Passengers!A917)&gt;1,1,0)</f>
        <v>0</v>
      </c>
      <c r="D917" s="7">
        <f>IF(COUNTIF(Raw_Bookings!$A$2:$A$648,Raw_Passengers!B917)=0,1,0)</f>
        <v>0</v>
      </c>
      <c r="E917" s="7">
        <f>IF(OR(C917=1,D917=1),0,IF(NOT(ISNUMBER(Raw_Passengers!E917)),1,IF(Raw_Passengers!E917&lt;=0,1,0)))</f>
        <v>0</v>
      </c>
      <c r="F917" s="7">
        <f>IF(AND(C917=0,D917=0,TRIM(Raw_Passengers!D917&amp;"")=""),1,0)</f>
        <v>0</v>
      </c>
      <c r="G917" s="7" t="str">
        <f>IF(SUMPRODUCT(--(Lookup_Status!$A$2:$A$13=LOWER(TRIM(Raw_Passengers!F917))))=0,"",INDEX(Lookup_Status!$B$2:$B$13,SUMPRODUCT((Lookup_Status!$A$2:$A$13=LOWER(TRIM(Raw_Passengers!F917)))*(ROW(Lookup_Status!$A$2:$A$13)-1))))</f>
        <v>Confirmed</v>
      </c>
      <c r="H917" s="7" t="str">
        <f>IF(SUMPRODUCT(--(Lookup_Status!$A$2:$A$13=LOWER(TRIM(Raw_Passengers!G917))))=0,"",INDEX(Lookup_Status!$B$2:$B$13,SUMPRODUCT((Lookup_Status!$A$2:$A$13=LOWER(TRIM(Raw_Passengers!G917)))*(ROW(Lookup_Status!$A$2:$A$13)-1))))</f>
        <v>Confirmed</v>
      </c>
      <c r="I917" s="7">
        <f>IF(OR(G917="",G917="Cancelled",G917="Mixed"),1,0)</f>
        <v>0</v>
      </c>
      <c r="J917" s="7">
        <f>IF(OR(H917="",H917="Mixed"),1,0)</f>
        <v>0</v>
      </c>
      <c r="K917" s="7">
        <f>IF(AND(C917=0,D917=0),IF(OR(AND(I917=0,NOT(EXACT(Raw_Passengers!F917,G917))),AND(J917=0,NOT(EXACT(Raw_Passengers!G917,H917)))),1,0),0)</f>
        <v>0</v>
      </c>
      <c r="L917" s="7">
        <f>IF(AND(C917=0,D917=0,I917=1),1,0)</f>
        <v>0</v>
      </c>
      <c r="M917" s="7">
        <f>IF(AND(C917=0,D917=0,J917=1),1,0)</f>
        <v>0</v>
      </c>
    </row>
    <row r="918" spans="1:13">
      <c r="A918" s="7">
        <f>Raw_Passengers!A918</f>
        <v>301744</v>
      </c>
      <c r="B918" s="7">
        <f>Raw_Passengers!B918</f>
        <v>1149512</v>
      </c>
      <c r="C918" s="7">
        <f>IF(COUNTIF(Raw_Passengers!$A$2:A918,Raw_Passengers!A918)&gt;1,1,0)</f>
        <v>0</v>
      </c>
      <c r="D918" s="7">
        <f>IF(COUNTIF(Raw_Bookings!$A$2:$A$648,Raw_Passengers!B918)=0,1,0)</f>
        <v>0</v>
      </c>
      <c r="E918" s="7">
        <f>IF(OR(C918=1,D918=1),0,IF(NOT(ISNUMBER(Raw_Passengers!E918)),1,IF(Raw_Passengers!E918&lt;=0,1,0)))</f>
        <v>0</v>
      </c>
      <c r="F918" s="7">
        <f>IF(AND(C918=0,D918=0,TRIM(Raw_Passengers!D918&amp;"")=""),1,0)</f>
        <v>0</v>
      </c>
      <c r="G918" s="7" t="str">
        <f>IF(SUMPRODUCT(--(Lookup_Status!$A$2:$A$13=LOWER(TRIM(Raw_Passengers!F918))))=0,"",INDEX(Lookup_Status!$B$2:$B$13,SUMPRODUCT((Lookup_Status!$A$2:$A$13=LOWER(TRIM(Raw_Passengers!F918)))*(ROW(Lookup_Status!$A$2:$A$13)-1))))</f>
        <v>Confirmed</v>
      </c>
      <c r="H918" s="7" t="str">
        <f>IF(SUMPRODUCT(--(Lookup_Status!$A$2:$A$13=LOWER(TRIM(Raw_Passengers!G918))))=0,"",INDEX(Lookup_Status!$B$2:$B$13,SUMPRODUCT((Lookup_Status!$A$2:$A$13=LOWER(TRIM(Raw_Passengers!G918)))*(ROW(Lookup_Status!$A$2:$A$13)-1))))</f>
        <v>Confirmed</v>
      </c>
      <c r="I918" s="7">
        <f>IF(OR(G918="",G918="Cancelled",G918="Mixed"),1,0)</f>
        <v>0</v>
      </c>
      <c r="J918" s="7">
        <f>IF(OR(H918="",H918="Mixed"),1,0)</f>
        <v>0</v>
      </c>
      <c r="K918" s="7">
        <f>IF(AND(C918=0,D918=0),IF(OR(AND(I918=0,NOT(EXACT(Raw_Passengers!F918,G918))),AND(J918=0,NOT(EXACT(Raw_Passengers!G918,H918)))),1,0),0)</f>
        <v>0</v>
      </c>
      <c r="L918" s="7">
        <f>IF(AND(C918=0,D918=0,I918=1),1,0)</f>
        <v>0</v>
      </c>
      <c r="M918" s="7">
        <f>IF(AND(C918=0,D918=0,J918=1),1,0)</f>
        <v>0</v>
      </c>
    </row>
    <row r="919" spans="1:13">
      <c r="A919" s="7">
        <f>Raw_Passengers!A919</f>
        <v>301745</v>
      </c>
      <c r="B919" s="7">
        <f>Raw_Passengers!B919</f>
        <v>1149512</v>
      </c>
      <c r="C919" s="7">
        <f>IF(COUNTIF(Raw_Passengers!$A$2:A919,Raw_Passengers!A919)&gt;1,1,0)</f>
        <v>0</v>
      </c>
      <c r="D919" s="7">
        <f>IF(COUNTIF(Raw_Bookings!$A$2:$A$648,Raw_Passengers!B919)=0,1,0)</f>
        <v>0</v>
      </c>
      <c r="E919" s="7">
        <f>IF(OR(C919=1,D919=1),0,IF(NOT(ISNUMBER(Raw_Passengers!E919)),1,IF(Raw_Passengers!E919&lt;=0,1,0)))</f>
        <v>0</v>
      </c>
      <c r="F919" s="7">
        <f>IF(AND(C919=0,D919=0,TRIM(Raw_Passengers!D919&amp;"")=""),1,0)</f>
        <v>0</v>
      </c>
      <c r="G919" s="7" t="str">
        <f>IF(SUMPRODUCT(--(Lookup_Status!$A$2:$A$13=LOWER(TRIM(Raw_Passengers!F919))))=0,"",INDEX(Lookup_Status!$B$2:$B$13,SUMPRODUCT((Lookup_Status!$A$2:$A$13=LOWER(TRIM(Raw_Passengers!F919)))*(ROW(Lookup_Status!$A$2:$A$13)-1))))</f>
        <v>Confirmed</v>
      </c>
      <c r="H919" s="7" t="str">
        <f>IF(SUMPRODUCT(--(Lookup_Status!$A$2:$A$13=LOWER(TRIM(Raw_Passengers!G919))))=0,"",INDEX(Lookup_Status!$B$2:$B$13,SUMPRODUCT((Lookup_Status!$A$2:$A$13=LOWER(TRIM(Raw_Passengers!G919)))*(ROW(Lookup_Status!$A$2:$A$13)-1))))</f>
        <v>Confirmed</v>
      </c>
      <c r="I919" s="7">
        <f>IF(OR(G919="",G919="Cancelled",G919="Mixed"),1,0)</f>
        <v>0</v>
      </c>
      <c r="J919" s="7">
        <f>IF(OR(H919="",H919="Mixed"),1,0)</f>
        <v>0</v>
      </c>
      <c r="K919" s="7">
        <f>IF(AND(C919=0,D919=0),IF(OR(AND(I919=0,NOT(EXACT(Raw_Passengers!F919,G919))),AND(J919=0,NOT(EXACT(Raw_Passengers!G919,H919)))),1,0),0)</f>
        <v>0</v>
      </c>
      <c r="L919" s="7">
        <f>IF(AND(C919=0,D919=0,I919=1),1,0)</f>
        <v>0</v>
      </c>
      <c r="M919" s="7">
        <f>IF(AND(C919=0,D919=0,J919=1),1,0)</f>
        <v>0</v>
      </c>
    </row>
    <row r="920" spans="1:13">
      <c r="A920" s="7">
        <f>Raw_Passengers!A920</f>
        <v>301988</v>
      </c>
      <c r="B920" s="7">
        <f>Raw_Passengers!B920</f>
        <v>1149632</v>
      </c>
      <c r="C920" s="7">
        <f>IF(COUNTIF(Raw_Passengers!$A$2:A920,Raw_Passengers!A920)&gt;1,1,0)</f>
        <v>0</v>
      </c>
      <c r="D920" s="7">
        <f>IF(COUNTIF(Raw_Bookings!$A$2:$A$648,Raw_Passengers!B920)=0,1,0)</f>
        <v>0</v>
      </c>
      <c r="E920" s="7">
        <f>IF(OR(C920=1,D920=1),0,IF(NOT(ISNUMBER(Raw_Passengers!E920)),1,IF(Raw_Passengers!E920&lt;=0,1,0)))</f>
        <v>0</v>
      </c>
      <c r="F920" s="7">
        <f>IF(AND(C920=0,D920=0,TRIM(Raw_Passengers!D920&amp;"")=""),1,0)</f>
        <v>0</v>
      </c>
      <c r="G920" s="7" t="str">
        <f>IF(SUMPRODUCT(--(Lookup_Status!$A$2:$A$13=LOWER(TRIM(Raw_Passengers!F920))))=0,"",INDEX(Lookup_Status!$B$2:$B$13,SUMPRODUCT((Lookup_Status!$A$2:$A$13=LOWER(TRIM(Raw_Passengers!F920)))*(ROW(Lookup_Status!$A$2:$A$13)-1))))</f>
        <v>Waitlisted</v>
      </c>
      <c r="H920" s="7" t="str">
        <f>IF(SUMPRODUCT(--(Lookup_Status!$A$2:$A$13=LOWER(TRIM(Raw_Passengers!G920))))=0,"",INDEX(Lookup_Status!$B$2:$B$13,SUMPRODUCT((Lookup_Status!$A$2:$A$13=LOWER(TRIM(Raw_Passengers!G920)))*(ROW(Lookup_Status!$A$2:$A$13)-1))))</f>
        <v>Waitlisted</v>
      </c>
      <c r="I920" s="7">
        <f>IF(OR(G920="",G920="Cancelled",G920="Mixed"),1,0)</f>
        <v>0</v>
      </c>
      <c r="J920" s="7">
        <f>IF(OR(H920="",H920="Mixed"),1,0)</f>
        <v>0</v>
      </c>
      <c r="K920" s="7">
        <f>IF(AND(C920=0,D920=0),IF(OR(AND(I920=0,NOT(EXACT(Raw_Passengers!F920,G920))),AND(J920=0,NOT(EXACT(Raw_Passengers!G920,H920)))),1,0),0)</f>
        <v>0</v>
      </c>
      <c r="L920" s="7">
        <f>IF(AND(C920=0,D920=0,I920=1),1,0)</f>
        <v>0</v>
      </c>
      <c r="M920" s="7">
        <f>IF(AND(C920=0,D920=0,J920=1),1,0)</f>
        <v>0</v>
      </c>
    </row>
    <row r="921" spans="1:13">
      <c r="A921" s="7">
        <f>Raw_Passengers!A921</f>
        <v>301989</v>
      </c>
      <c r="B921" s="7">
        <f>Raw_Passengers!B921</f>
        <v>1149632</v>
      </c>
      <c r="C921" s="7">
        <f>IF(COUNTIF(Raw_Passengers!$A$2:A921,Raw_Passengers!A921)&gt;1,1,0)</f>
        <v>0</v>
      </c>
      <c r="D921" s="7">
        <f>IF(COUNTIF(Raw_Bookings!$A$2:$A$648,Raw_Passengers!B921)=0,1,0)</f>
        <v>0</v>
      </c>
      <c r="E921" s="7">
        <f>IF(OR(C921=1,D921=1),0,IF(NOT(ISNUMBER(Raw_Passengers!E921)),1,IF(Raw_Passengers!E921&lt;=0,1,0)))</f>
        <v>0</v>
      </c>
      <c r="F921" s="7">
        <f>IF(AND(C921=0,D921=0,TRIM(Raw_Passengers!D921&amp;"")=""),1,0)</f>
        <v>0</v>
      </c>
      <c r="G921" s="7" t="str">
        <f>IF(SUMPRODUCT(--(Lookup_Status!$A$2:$A$13=LOWER(TRIM(Raw_Passengers!F921))))=0,"",INDEX(Lookup_Status!$B$2:$B$13,SUMPRODUCT((Lookup_Status!$A$2:$A$13=LOWER(TRIM(Raw_Passengers!F921)))*(ROW(Lookup_Status!$A$2:$A$13)-1))))</f>
        <v>Waitlisted</v>
      </c>
      <c r="H921" s="7" t="str">
        <f>IF(SUMPRODUCT(--(Lookup_Status!$A$2:$A$13=LOWER(TRIM(Raw_Passengers!G921))))=0,"",INDEX(Lookup_Status!$B$2:$B$13,SUMPRODUCT((Lookup_Status!$A$2:$A$13=LOWER(TRIM(Raw_Passengers!G921)))*(ROW(Lookup_Status!$A$2:$A$13)-1))))</f>
        <v>Waitlisted</v>
      </c>
      <c r="I921" s="7">
        <f>IF(OR(G921="",G921="Cancelled",G921="Mixed"),1,0)</f>
        <v>0</v>
      </c>
      <c r="J921" s="7">
        <f>IF(OR(H921="",H921="Mixed"),1,0)</f>
        <v>0</v>
      </c>
      <c r="K921" s="7">
        <f>IF(AND(C921=0,D921=0),IF(OR(AND(I921=0,NOT(EXACT(Raw_Passengers!F921,G921))),AND(J921=0,NOT(EXACT(Raw_Passengers!G921,H921)))),1,0),0)</f>
        <v>0</v>
      </c>
      <c r="L921" s="7">
        <f>IF(AND(C921=0,D921=0,I921=1),1,0)</f>
        <v>0</v>
      </c>
      <c r="M921" s="7">
        <f>IF(AND(C921=0,D921=0,J921=1),1,0)</f>
        <v>0</v>
      </c>
    </row>
    <row r="922" spans="1:13">
      <c r="A922" s="7">
        <f>Raw_Passengers!A922</f>
        <v>304025</v>
      </c>
      <c r="B922" s="7">
        <f>Raw_Passengers!B922</f>
        <v>1150654</v>
      </c>
      <c r="C922" s="7">
        <f>IF(COUNTIF(Raw_Passengers!$A$2:A922,Raw_Passengers!A922)&gt;1,1,0)</f>
        <v>0</v>
      </c>
      <c r="D922" s="7">
        <f>IF(COUNTIF(Raw_Bookings!$A$2:$A$648,Raw_Passengers!B922)=0,1,0)</f>
        <v>0</v>
      </c>
      <c r="E922" s="7">
        <f>IF(OR(C922=1,D922=1),0,IF(NOT(ISNUMBER(Raw_Passengers!E922)),1,IF(Raw_Passengers!E922&lt;=0,1,0)))</f>
        <v>0</v>
      </c>
      <c r="F922" s="7">
        <f>IF(AND(C922=0,D922=0,TRIM(Raw_Passengers!D922&amp;"")=""),1,0)</f>
        <v>0</v>
      </c>
      <c r="G922" s="7" t="str">
        <f>IF(SUMPRODUCT(--(Lookup_Status!$A$2:$A$13=LOWER(TRIM(Raw_Passengers!F922))))=0,"",INDEX(Lookup_Status!$B$2:$B$13,SUMPRODUCT((Lookup_Status!$A$2:$A$13=LOWER(TRIM(Raw_Passengers!F922)))*(ROW(Lookup_Status!$A$2:$A$13)-1))))</f>
        <v>Confirmed</v>
      </c>
      <c r="H922" s="7" t="str">
        <f>IF(SUMPRODUCT(--(Lookup_Status!$A$2:$A$13=LOWER(TRIM(Raw_Passengers!G922))))=0,"",INDEX(Lookup_Status!$B$2:$B$13,SUMPRODUCT((Lookup_Status!$A$2:$A$13=LOWER(TRIM(Raw_Passengers!G922)))*(ROW(Lookup_Status!$A$2:$A$13)-1))))</f>
        <v>Cancelled</v>
      </c>
      <c r="I922" s="7">
        <f>IF(OR(G922="",G922="Cancelled",G922="Mixed"),1,0)</f>
        <v>0</v>
      </c>
      <c r="J922" s="7">
        <f>IF(OR(H922="",H922="Mixed"),1,0)</f>
        <v>0</v>
      </c>
      <c r="K922" s="7">
        <f>IF(AND(C922=0,D922=0),IF(OR(AND(I922=0,NOT(EXACT(Raw_Passengers!F922,G922))),AND(J922=0,NOT(EXACT(Raw_Passengers!G922,H922)))),1,0),0)</f>
        <v>0</v>
      </c>
      <c r="L922" s="7">
        <f>IF(AND(C922=0,D922=0,I922=1),1,0)</f>
        <v>0</v>
      </c>
      <c r="M922" s="7">
        <f>IF(AND(C922=0,D922=0,J922=1),1,0)</f>
        <v>0</v>
      </c>
    </row>
    <row r="923" spans="1:13">
      <c r="A923" s="7">
        <f>Raw_Passengers!A923</f>
        <v>304400</v>
      </c>
      <c r="B923" s="7">
        <f>Raw_Passengers!B923</f>
        <v>1150852</v>
      </c>
      <c r="C923" s="7">
        <f>IF(COUNTIF(Raw_Passengers!$A$2:A923,Raw_Passengers!A923)&gt;1,1,0)</f>
        <v>0</v>
      </c>
      <c r="D923" s="7">
        <f>IF(COUNTIF(Raw_Bookings!$A$2:$A$648,Raw_Passengers!B923)=0,1,0)</f>
        <v>0</v>
      </c>
      <c r="E923" s="7">
        <f>IF(OR(C923=1,D923=1),0,IF(NOT(ISNUMBER(Raw_Passengers!E923)),1,IF(Raw_Passengers!E923&lt;=0,1,0)))</f>
        <v>0</v>
      </c>
      <c r="F923" s="7">
        <f>IF(AND(C923=0,D923=0,TRIM(Raw_Passengers!D923&amp;"")=""),1,0)</f>
        <v>0</v>
      </c>
      <c r="G923" s="7" t="str">
        <f>IF(SUMPRODUCT(--(Lookup_Status!$A$2:$A$13=LOWER(TRIM(Raw_Passengers!F923))))=0,"",INDEX(Lookup_Status!$B$2:$B$13,SUMPRODUCT((Lookup_Status!$A$2:$A$13=LOWER(TRIM(Raw_Passengers!F923)))*(ROW(Lookup_Status!$A$2:$A$13)-1))))</f>
        <v>Waitlisted</v>
      </c>
      <c r="H923" s="7" t="str">
        <f>IF(SUMPRODUCT(--(Lookup_Status!$A$2:$A$13=LOWER(TRIM(Raw_Passengers!G923))))=0,"",INDEX(Lookup_Status!$B$2:$B$13,SUMPRODUCT((Lookup_Status!$A$2:$A$13=LOWER(TRIM(Raw_Passengers!G923)))*(ROW(Lookup_Status!$A$2:$A$13)-1))))</f>
        <v>Cancelled</v>
      </c>
      <c r="I923" s="7">
        <f>IF(OR(G923="",G923="Cancelled",G923="Mixed"),1,0)</f>
        <v>0</v>
      </c>
      <c r="J923" s="7">
        <f>IF(OR(H923="",H923="Mixed"),1,0)</f>
        <v>0</v>
      </c>
      <c r="K923" s="7">
        <f>IF(AND(C923=0,D923=0),IF(OR(AND(I923=0,NOT(EXACT(Raw_Passengers!F923,G923))),AND(J923=0,NOT(EXACT(Raw_Passengers!G923,H923)))),1,0),0)</f>
        <v>0</v>
      </c>
      <c r="L923" s="7">
        <f>IF(AND(C923=0,D923=0,I923=1),1,0)</f>
        <v>0</v>
      </c>
      <c r="M923" s="7">
        <f>IF(AND(C923=0,D923=0,J923=1),1,0)</f>
        <v>0</v>
      </c>
    </row>
    <row r="924" spans="1:13">
      <c r="A924" s="7">
        <f>Raw_Passengers!A924</f>
        <v>304401</v>
      </c>
      <c r="B924" s="7">
        <f>Raw_Passengers!B924</f>
        <v>1150852</v>
      </c>
      <c r="C924" s="7">
        <f>IF(COUNTIF(Raw_Passengers!$A$2:A924,Raw_Passengers!A924)&gt;1,1,0)</f>
        <v>0</v>
      </c>
      <c r="D924" s="7">
        <f>IF(COUNTIF(Raw_Bookings!$A$2:$A$648,Raw_Passengers!B924)=0,1,0)</f>
        <v>0</v>
      </c>
      <c r="E924" s="7">
        <f>IF(OR(C924=1,D924=1),0,IF(NOT(ISNUMBER(Raw_Passengers!E924)),1,IF(Raw_Passengers!E924&lt;=0,1,0)))</f>
        <v>0</v>
      </c>
      <c r="F924" s="7">
        <f>IF(AND(C924=0,D924=0,TRIM(Raw_Passengers!D924&amp;"")=""),1,0)</f>
        <v>0</v>
      </c>
      <c r="G924" s="7" t="str">
        <f>IF(SUMPRODUCT(--(Lookup_Status!$A$2:$A$13=LOWER(TRIM(Raw_Passengers!F924))))=0,"",INDEX(Lookup_Status!$B$2:$B$13,SUMPRODUCT((Lookup_Status!$A$2:$A$13=LOWER(TRIM(Raw_Passengers!F924)))*(ROW(Lookup_Status!$A$2:$A$13)-1))))</f>
        <v>Waitlisted</v>
      </c>
      <c r="H924" s="7" t="str">
        <f>IF(SUMPRODUCT(--(Lookup_Status!$A$2:$A$13=LOWER(TRIM(Raw_Passengers!G924))))=0,"",INDEX(Lookup_Status!$B$2:$B$13,SUMPRODUCT((Lookup_Status!$A$2:$A$13=LOWER(TRIM(Raw_Passengers!G924)))*(ROW(Lookup_Status!$A$2:$A$13)-1))))</f>
        <v>Cancelled</v>
      </c>
      <c r="I924" s="7">
        <f>IF(OR(G924="",G924="Cancelled",G924="Mixed"),1,0)</f>
        <v>0</v>
      </c>
      <c r="J924" s="7">
        <f>IF(OR(H924="",H924="Mixed"),1,0)</f>
        <v>0</v>
      </c>
      <c r="K924" s="7">
        <f>IF(AND(C924=0,D924=0),IF(OR(AND(I924=0,NOT(EXACT(Raw_Passengers!F924,G924))),AND(J924=0,NOT(EXACT(Raw_Passengers!G924,H924)))),1,0),0)</f>
        <v>0</v>
      </c>
      <c r="L924" s="7">
        <f>IF(AND(C924=0,D924=0,I924=1),1,0)</f>
        <v>0</v>
      </c>
      <c r="M924" s="7">
        <f>IF(AND(C924=0,D924=0,J924=1),1,0)</f>
        <v>0</v>
      </c>
    </row>
    <row r="925" spans="1:13">
      <c r="A925" s="7">
        <f>Raw_Passengers!A925</f>
        <v>304402</v>
      </c>
      <c r="B925" s="7">
        <f>Raw_Passengers!B925</f>
        <v>1150852</v>
      </c>
      <c r="C925" s="7">
        <f>IF(COUNTIF(Raw_Passengers!$A$2:A925,Raw_Passengers!A925)&gt;1,1,0)</f>
        <v>0</v>
      </c>
      <c r="D925" s="7">
        <f>IF(COUNTIF(Raw_Bookings!$A$2:$A$648,Raw_Passengers!B925)=0,1,0)</f>
        <v>0</v>
      </c>
      <c r="E925" s="7">
        <f>IF(OR(C925=1,D925=1),0,IF(NOT(ISNUMBER(Raw_Passengers!E925)),1,IF(Raw_Passengers!E925&lt;=0,1,0)))</f>
        <v>0</v>
      </c>
      <c r="F925" s="7">
        <f>IF(AND(C925=0,D925=0,TRIM(Raw_Passengers!D925&amp;"")=""),1,0)</f>
        <v>0</v>
      </c>
      <c r="G925" s="7" t="str">
        <f>IF(SUMPRODUCT(--(Lookup_Status!$A$2:$A$13=LOWER(TRIM(Raw_Passengers!F925))))=0,"",INDEX(Lookup_Status!$B$2:$B$13,SUMPRODUCT((Lookup_Status!$A$2:$A$13=LOWER(TRIM(Raw_Passengers!F925)))*(ROW(Lookup_Status!$A$2:$A$13)-1))))</f>
        <v>Waitlisted</v>
      </c>
      <c r="H925" s="7" t="str">
        <f>IF(SUMPRODUCT(--(Lookup_Status!$A$2:$A$13=LOWER(TRIM(Raw_Passengers!G925))))=0,"",INDEX(Lookup_Status!$B$2:$B$13,SUMPRODUCT((Lookup_Status!$A$2:$A$13=LOWER(TRIM(Raw_Passengers!G925)))*(ROW(Lookup_Status!$A$2:$A$13)-1))))</f>
        <v>Cancelled</v>
      </c>
      <c r="I925" s="7">
        <f>IF(OR(G925="",G925="Cancelled",G925="Mixed"),1,0)</f>
        <v>0</v>
      </c>
      <c r="J925" s="7">
        <f>IF(OR(H925="",H925="Mixed"),1,0)</f>
        <v>0</v>
      </c>
      <c r="K925" s="7">
        <f>IF(AND(C925=0,D925=0),IF(OR(AND(I925=0,NOT(EXACT(Raw_Passengers!F925,G925))),AND(J925=0,NOT(EXACT(Raw_Passengers!G925,H925)))),1,0),0)</f>
        <v>0</v>
      </c>
      <c r="L925" s="7">
        <f>IF(AND(C925=0,D925=0,I925=1),1,0)</f>
        <v>0</v>
      </c>
      <c r="M925" s="7">
        <f>IF(AND(C925=0,D925=0,J925=1),1,0)</f>
        <v>0</v>
      </c>
    </row>
    <row r="926" spans="1:13">
      <c r="A926" s="7">
        <f>Raw_Passengers!A926</f>
        <v>305426</v>
      </c>
      <c r="B926" s="7">
        <f>Raw_Passengers!B926</f>
        <v>1151385</v>
      </c>
      <c r="C926" s="7">
        <f>IF(COUNTIF(Raw_Passengers!$A$2:A926,Raw_Passengers!A926)&gt;1,1,0)</f>
        <v>0</v>
      </c>
      <c r="D926" s="7">
        <f>IF(COUNTIF(Raw_Bookings!$A$2:$A$648,Raw_Passengers!B926)=0,1,0)</f>
        <v>0</v>
      </c>
      <c r="E926" s="7">
        <f>IF(OR(C926=1,D926=1),0,IF(NOT(ISNUMBER(Raw_Passengers!E926)),1,IF(Raw_Passengers!E926&lt;=0,1,0)))</f>
        <v>0</v>
      </c>
      <c r="F926" s="7">
        <f>IF(AND(C926=0,D926=0,TRIM(Raw_Passengers!D926&amp;"")=""),1,0)</f>
        <v>0</v>
      </c>
      <c r="G926" s="7" t="str">
        <f>IF(SUMPRODUCT(--(Lookup_Status!$A$2:$A$13=LOWER(TRIM(Raw_Passengers!F926))))=0,"",INDEX(Lookup_Status!$B$2:$B$13,SUMPRODUCT((Lookup_Status!$A$2:$A$13=LOWER(TRIM(Raw_Passengers!F926)))*(ROW(Lookup_Status!$A$2:$A$13)-1))))</f>
        <v>Confirmed</v>
      </c>
      <c r="H926" s="7" t="str">
        <f>IF(SUMPRODUCT(--(Lookup_Status!$A$2:$A$13=LOWER(TRIM(Raw_Passengers!G926))))=0,"",INDEX(Lookup_Status!$B$2:$B$13,SUMPRODUCT((Lookup_Status!$A$2:$A$13=LOWER(TRIM(Raw_Passengers!G926)))*(ROW(Lookup_Status!$A$2:$A$13)-1))))</f>
        <v>Confirmed</v>
      </c>
      <c r="I926" s="7">
        <f>IF(OR(G926="",G926="Cancelled",G926="Mixed"),1,0)</f>
        <v>0</v>
      </c>
      <c r="J926" s="7">
        <f>IF(OR(H926="",H926="Mixed"),1,0)</f>
        <v>0</v>
      </c>
      <c r="K926" s="7">
        <f>IF(AND(C926=0,D926=0),IF(OR(AND(I926=0,NOT(EXACT(Raw_Passengers!F926,G926))),AND(J926=0,NOT(EXACT(Raw_Passengers!G926,H926)))),1,0),0)</f>
        <v>0</v>
      </c>
      <c r="L926" s="7">
        <f>IF(AND(C926=0,D926=0,I926=1),1,0)</f>
        <v>0</v>
      </c>
      <c r="M926" s="7">
        <f>IF(AND(C926=0,D926=0,J926=1),1,0)</f>
        <v>0</v>
      </c>
    </row>
    <row r="927" spans="1:13">
      <c r="A927" s="7">
        <f>Raw_Passengers!A927</f>
        <v>305427</v>
      </c>
      <c r="B927" s="7">
        <f>Raw_Passengers!B927</f>
        <v>1151385</v>
      </c>
      <c r="C927" s="7">
        <f>IF(COUNTIF(Raw_Passengers!$A$2:A927,Raw_Passengers!A927)&gt;1,1,0)</f>
        <v>0</v>
      </c>
      <c r="D927" s="7">
        <f>IF(COUNTIF(Raw_Bookings!$A$2:$A$648,Raw_Passengers!B927)=0,1,0)</f>
        <v>0</v>
      </c>
      <c r="E927" s="7">
        <f>IF(OR(C927=1,D927=1),0,IF(NOT(ISNUMBER(Raw_Passengers!E927)),1,IF(Raw_Passengers!E927&lt;=0,1,0)))</f>
        <v>0</v>
      </c>
      <c r="F927" s="7">
        <f>IF(AND(C927=0,D927=0,TRIM(Raw_Passengers!D927&amp;"")=""),1,0)</f>
        <v>0</v>
      </c>
      <c r="G927" s="7" t="str">
        <f>IF(SUMPRODUCT(--(Lookup_Status!$A$2:$A$13=LOWER(TRIM(Raw_Passengers!F927))))=0,"",INDEX(Lookup_Status!$B$2:$B$13,SUMPRODUCT((Lookup_Status!$A$2:$A$13=LOWER(TRIM(Raw_Passengers!F927)))*(ROW(Lookup_Status!$A$2:$A$13)-1))))</f>
        <v>Confirmed</v>
      </c>
      <c r="H927" s="7" t="str">
        <f>IF(SUMPRODUCT(--(Lookup_Status!$A$2:$A$13=LOWER(TRIM(Raw_Passengers!G927))))=0,"",INDEX(Lookup_Status!$B$2:$B$13,SUMPRODUCT((Lookup_Status!$A$2:$A$13=LOWER(TRIM(Raw_Passengers!G927)))*(ROW(Lookup_Status!$A$2:$A$13)-1))))</f>
        <v>Confirmed</v>
      </c>
      <c r="I927" s="7">
        <f>IF(OR(G927="",G927="Cancelled",G927="Mixed"),1,0)</f>
        <v>0</v>
      </c>
      <c r="J927" s="7">
        <f>IF(OR(H927="",H927="Mixed"),1,0)</f>
        <v>0</v>
      </c>
      <c r="K927" s="7">
        <f>IF(AND(C927=0,D927=0),IF(OR(AND(I927=0,NOT(EXACT(Raw_Passengers!F927,G927))),AND(J927=0,NOT(EXACT(Raw_Passengers!G927,H927)))),1,0),0)</f>
        <v>0</v>
      </c>
      <c r="L927" s="7">
        <f>IF(AND(C927=0,D927=0,I927=1),1,0)</f>
        <v>0</v>
      </c>
      <c r="M927" s="7">
        <f>IF(AND(C927=0,D927=0,J927=1),1,0)</f>
        <v>0</v>
      </c>
    </row>
    <row r="928" spans="1:13">
      <c r="A928" s="7">
        <f>Raw_Passengers!A928</f>
        <v>305428</v>
      </c>
      <c r="B928" s="7">
        <f>Raw_Passengers!B928</f>
        <v>1151385</v>
      </c>
      <c r="C928" s="7">
        <f>IF(COUNTIF(Raw_Passengers!$A$2:A928,Raw_Passengers!A928)&gt;1,1,0)</f>
        <v>0</v>
      </c>
      <c r="D928" s="7">
        <f>IF(COUNTIF(Raw_Bookings!$A$2:$A$648,Raw_Passengers!B928)=0,1,0)</f>
        <v>0</v>
      </c>
      <c r="E928" s="7">
        <f>IF(OR(C928=1,D928=1),0,IF(NOT(ISNUMBER(Raw_Passengers!E928)),1,IF(Raw_Passengers!E928&lt;=0,1,0)))</f>
        <v>0</v>
      </c>
      <c r="F928" s="7">
        <f>IF(AND(C928=0,D928=0,TRIM(Raw_Passengers!D928&amp;"")=""),1,0)</f>
        <v>0</v>
      </c>
      <c r="G928" s="7" t="str">
        <f>IF(SUMPRODUCT(--(Lookup_Status!$A$2:$A$13=LOWER(TRIM(Raw_Passengers!F928))))=0,"",INDEX(Lookup_Status!$B$2:$B$13,SUMPRODUCT((Lookup_Status!$A$2:$A$13=LOWER(TRIM(Raw_Passengers!F928)))*(ROW(Lookup_Status!$A$2:$A$13)-1))))</f>
        <v>Confirmed</v>
      </c>
      <c r="H928" s="7" t="str">
        <f>IF(SUMPRODUCT(--(Lookup_Status!$A$2:$A$13=LOWER(TRIM(Raw_Passengers!G928))))=0,"",INDEX(Lookup_Status!$B$2:$B$13,SUMPRODUCT((Lookup_Status!$A$2:$A$13=LOWER(TRIM(Raw_Passengers!G928)))*(ROW(Lookup_Status!$A$2:$A$13)-1))))</f>
        <v>Confirmed</v>
      </c>
      <c r="I928" s="7">
        <f>IF(OR(G928="",G928="Cancelled",G928="Mixed"),1,0)</f>
        <v>0</v>
      </c>
      <c r="J928" s="7">
        <f>IF(OR(H928="",H928="Mixed"),1,0)</f>
        <v>0</v>
      </c>
      <c r="K928" s="7">
        <f>IF(AND(C928=0,D928=0),IF(OR(AND(I928=0,NOT(EXACT(Raw_Passengers!F928,G928))),AND(J928=0,NOT(EXACT(Raw_Passengers!G928,H928)))),1,0),0)</f>
        <v>0</v>
      </c>
      <c r="L928" s="7">
        <f>IF(AND(C928=0,D928=0,I928=1),1,0)</f>
        <v>0</v>
      </c>
      <c r="M928" s="7">
        <f>IF(AND(C928=0,D928=0,J928=1),1,0)</f>
        <v>0</v>
      </c>
    </row>
    <row r="929" spans="1:13">
      <c r="A929" s="7">
        <f>Raw_Passengers!A929</f>
        <v>305429</v>
      </c>
      <c r="B929" s="7">
        <f>Raw_Passengers!B929</f>
        <v>1151385</v>
      </c>
      <c r="C929" s="7">
        <f>IF(COUNTIF(Raw_Passengers!$A$2:A929,Raw_Passengers!A929)&gt;1,1,0)</f>
        <v>0</v>
      </c>
      <c r="D929" s="7">
        <f>IF(COUNTIF(Raw_Bookings!$A$2:$A$648,Raw_Passengers!B929)=0,1,0)</f>
        <v>0</v>
      </c>
      <c r="E929" s="7">
        <f>IF(OR(C929=1,D929=1),0,IF(NOT(ISNUMBER(Raw_Passengers!E929)),1,IF(Raw_Passengers!E929&lt;=0,1,0)))</f>
        <v>0</v>
      </c>
      <c r="F929" s="7">
        <f>IF(AND(C929=0,D929=0,TRIM(Raw_Passengers!D929&amp;"")=""),1,0)</f>
        <v>0</v>
      </c>
      <c r="G929" s="7" t="str">
        <f>IF(SUMPRODUCT(--(Lookup_Status!$A$2:$A$13=LOWER(TRIM(Raw_Passengers!F929))))=0,"",INDEX(Lookup_Status!$B$2:$B$13,SUMPRODUCT((Lookup_Status!$A$2:$A$13=LOWER(TRIM(Raw_Passengers!F929)))*(ROW(Lookup_Status!$A$2:$A$13)-1))))</f>
        <v>Confirmed</v>
      </c>
      <c r="H929" s="7" t="str">
        <f>IF(SUMPRODUCT(--(Lookup_Status!$A$2:$A$13=LOWER(TRIM(Raw_Passengers!G929))))=0,"",INDEX(Lookup_Status!$B$2:$B$13,SUMPRODUCT((Lookup_Status!$A$2:$A$13=LOWER(TRIM(Raw_Passengers!G929)))*(ROW(Lookup_Status!$A$2:$A$13)-1))))</f>
        <v>Confirmed</v>
      </c>
      <c r="I929" s="7">
        <f>IF(OR(G929="",G929="Cancelled",G929="Mixed"),1,0)</f>
        <v>0</v>
      </c>
      <c r="J929" s="7">
        <f>IF(OR(H929="",H929="Mixed"),1,0)</f>
        <v>0</v>
      </c>
      <c r="K929" s="7">
        <f>IF(AND(C929=0,D929=0),IF(OR(AND(I929=0,NOT(EXACT(Raw_Passengers!F929,G929))),AND(J929=0,NOT(EXACT(Raw_Passengers!G929,H929)))),1,0),0)</f>
        <v>0</v>
      </c>
      <c r="L929" s="7">
        <f>IF(AND(C929=0,D929=0,I929=1),1,0)</f>
        <v>0</v>
      </c>
      <c r="M929" s="7">
        <f>IF(AND(C929=0,D929=0,J929=1),1,0)</f>
        <v>0</v>
      </c>
    </row>
    <row r="930" spans="1:13">
      <c r="A930" s="7">
        <f>Raw_Passengers!A930</f>
        <v>306078</v>
      </c>
      <c r="B930" s="7">
        <f>Raw_Passengers!B930</f>
        <v>1151709</v>
      </c>
      <c r="C930" s="7">
        <f>IF(COUNTIF(Raw_Passengers!$A$2:A930,Raw_Passengers!A930)&gt;1,1,0)</f>
        <v>0</v>
      </c>
      <c r="D930" s="7">
        <f>IF(COUNTIF(Raw_Bookings!$A$2:$A$648,Raw_Passengers!B930)=0,1,0)</f>
        <v>0</v>
      </c>
      <c r="E930" s="7">
        <f>IF(OR(C930=1,D930=1),0,IF(NOT(ISNUMBER(Raw_Passengers!E930)),1,IF(Raw_Passengers!E930&lt;=0,1,0)))</f>
        <v>0</v>
      </c>
      <c r="F930" s="7">
        <f>IF(AND(C930=0,D930=0,TRIM(Raw_Passengers!D930&amp;"")=""),1,0)</f>
        <v>0</v>
      </c>
      <c r="G930" s="7" t="str">
        <f>IF(SUMPRODUCT(--(Lookup_Status!$A$2:$A$13=LOWER(TRIM(Raw_Passengers!F930))))=0,"",INDEX(Lookup_Status!$B$2:$B$13,SUMPRODUCT((Lookup_Status!$A$2:$A$13=LOWER(TRIM(Raw_Passengers!F930)))*(ROW(Lookup_Status!$A$2:$A$13)-1))))</f>
        <v>Confirmed</v>
      </c>
      <c r="H930" s="7" t="str">
        <f>IF(SUMPRODUCT(--(Lookup_Status!$A$2:$A$13=LOWER(TRIM(Raw_Passengers!G930))))=0,"",INDEX(Lookup_Status!$B$2:$B$13,SUMPRODUCT((Lookup_Status!$A$2:$A$13=LOWER(TRIM(Raw_Passengers!G930)))*(ROW(Lookup_Status!$A$2:$A$13)-1))))</f>
        <v>Confirmed</v>
      </c>
      <c r="I930" s="7">
        <f>IF(OR(G930="",G930="Cancelled",G930="Mixed"),1,0)</f>
        <v>0</v>
      </c>
      <c r="J930" s="7">
        <f>IF(OR(H930="",H930="Mixed"),1,0)</f>
        <v>0</v>
      </c>
      <c r="K930" s="7">
        <f>IF(AND(C930=0,D930=0),IF(OR(AND(I930=0,NOT(EXACT(Raw_Passengers!F930,G930))),AND(J930=0,NOT(EXACT(Raw_Passengers!G930,H930)))),1,0),0)</f>
        <v>0</v>
      </c>
      <c r="L930" s="7">
        <f>IF(AND(C930=0,D930=0,I930=1),1,0)</f>
        <v>0</v>
      </c>
      <c r="M930" s="7">
        <f>IF(AND(C930=0,D930=0,J930=1),1,0)</f>
        <v>0</v>
      </c>
    </row>
    <row r="931" spans="1:13">
      <c r="A931" s="7">
        <f>Raw_Passengers!A931</f>
        <v>306079</v>
      </c>
      <c r="B931" s="7">
        <f>Raw_Passengers!B931</f>
        <v>1151709</v>
      </c>
      <c r="C931" s="7">
        <f>IF(COUNTIF(Raw_Passengers!$A$2:A931,Raw_Passengers!A931)&gt;1,1,0)</f>
        <v>0</v>
      </c>
      <c r="D931" s="7">
        <f>IF(COUNTIF(Raw_Bookings!$A$2:$A$648,Raw_Passengers!B931)=0,1,0)</f>
        <v>0</v>
      </c>
      <c r="E931" s="7">
        <f>IF(OR(C931=1,D931=1),0,IF(NOT(ISNUMBER(Raw_Passengers!E931)),1,IF(Raw_Passengers!E931&lt;=0,1,0)))</f>
        <v>0</v>
      </c>
      <c r="F931" s="7">
        <f>IF(AND(C931=0,D931=0,TRIM(Raw_Passengers!D931&amp;"")=""),1,0)</f>
        <v>0</v>
      </c>
      <c r="G931" s="7" t="str">
        <f>IF(SUMPRODUCT(--(Lookup_Status!$A$2:$A$13=LOWER(TRIM(Raw_Passengers!F931))))=0,"",INDEX(Lookup_Status!$B$2:$B$13,SUMPRODUCT((Lookup_Status!$A$2:$A$13=LOWER(TRIM(Raw_Passengers!F931)))*(ROW(Lookup_Status!$A$2:$A$13)-1))))</f>
        <v>Confirmed</v>
      </c>
      <c r="H931" s="7" t="str">
        <f>IF(SUMPRODUCT(--(Lookup_Status!$A$2:$A$13=LOWER(TRIM(Raw_Passengers!G931))))=0,"",INDEX(Lookup_Status!$B$2:$B$13,SUMPRODUCT((Lookup_Status!$A$2:$A$13=LOWER(TRIM(Raw_Passengers!G931)))*(ROW(Lookup_Status!$A$2:$A$13)-1))))</f>
        <v>Confirmed</v>
      </c>
      <c r="I931" s="7">
        <f>IF(OR(G931="",G931="Cancelled",G931="Mixed"),1,0)</f>
        <v>0</v>
      </c>
      <c r="J931" s="7">
        <f>IF(OR(H931="",H931="Mixed"),1,0)</f>
        <v>0</v>
      </c>
      <c r="K931" s="7">
        <f>IF(AND(C931=0,D931=0),IF(OR(AND(I931=0,NOT(EXACT(Raw_Passengers!F931,G931))),AND(J931=0,NOT(EXACT(Raw_Passengers!G931,H931)))),1,0),0)</f>
        <v>0</v>
      </c>
      <c r="L931" s="7">
        <f>IF(AND(C931=0,D931=0,I931=1),1,0)</f>
        <v>0</v>
      </c>
      <c r="M931" s="7">
        <f>IF(AND(C931=0,D931=0,J931=1),1,0)</f>
        <v>0</v>
      </c>
    </row>
    <row r="932" spans="1:13">
      <c r="A932" s="7">
        <f>Raw_Passengers!A932</f>
        <v>306080</v>
      </c>
      <c r="B932" s="7">
        <f>Raw_Passengers!B932</f>
        <v>1151709</v>
      </c>
      <c r="C932" s="7">
        <f>IF(COUNTIF(Raw_Passengers!$A$2:A932,Raw_Passengers!A932)&gt;1,1,0)</f>
        <v>0</v>
      </c>
      <c r="D932" s="7">
        <f>IF(COUNTIF(Raw_Bookings!$A$2:$A$648,Raw_Passengers!B932)=0,1,0)</f>
        <v>0</v>
      </c>
      <c r="E932" s="7">
        <f>IF(OR(C932=1,D932=1),0,IF(NOT(ISNUMBER(Raw_Passengers!E932)),1,IF(Raw_Passengers!E932&lt;=0,1,0)))</f>
        <v>0</v>
      </c>
      <c r="F932" s="7">
        <f>IF(AND(C932=0,D932=0,TRIM(Raw_Passengers!D932&amp;"")=""),1,0)</f>
        <v>0</v>
      </c>
      <c r="G932" s="7" t="str">
        <f>IF(SUMPRODUCT(--(Lookup_Status!$A$2:$A$13=LOWER(TRIM(Raw_Passengers!F932))))=0,"",INDEX(Lookup_Status!$B$2:$B$13,SUMPRODUCT((Lookup_Status!$A$2:$A$13=LOWER(TRIM(Raw_Passengers!F932)))*(ROW(Lookup_Status!$A$2:$A$13)-1))))</f>
        <v>Confirmed</v>
      </c>
      <c r="H932" s="7" t="str">
        <f>IF(SUMPRODUCT(--(Lookup_Status!$A$2:$A$13=LOWER(TRIM(Raw_Passengers!G932))))=0,"",INDEX(Lookup_Status!$B$2:$B$13,SUMPRODUCT((Lookup_Status!$A$2:$A$13=LOWER(TRIM(Raw_Passengers!G932)))*(ROW(Lookup_Status!$A$2:$A$13)-1))))</f>
        <v>Confirmed</v>
      </c>
      <c r="I932" s="7">
        <f>IF(OR(G932="",G932="Cancelled",G932="Mixed"),1,0)</f>
        <v>0</v>
      </c>
      <c r="J932" s="7">
        <f>IF(OR(H932="",H932="Mixed"),1,0)</f>
        <v>0</v>
      </c>
      <c r="K932" s="7">
        <f>IF(AND(C932=0,D932=0),IF(OR(AND(I932=0,NOT(EXACT(Raw_Passengers!F932,G932))),AND(J932=0,NOT(EXACT(Raw_Passengers!G932,H932)))),1,0),0)</f>
        <v>0</v>
      </c>
      <c r="L932" s="7">
        <f>IF(AND(C932=0,D932=0,I932=1),1,0)</f>
        <v>0</v>
      </c>
      <c r="M932" s="7">
        <f>IF(AND(C932=0,D932=0,J932=1),1,0)</f>
        <v>0</v>
      </c>
    </row>
    <row r="933" spans="1:13">
      <c r="A933" s="7">
        <f>Raw_Passengers!A933</f>
        <v>306114</v>
      </c>
      <c r="B933" s="7">
        <f>Raw_Passengers!B933</f>
        <v>1151722</v>
      </c>
      <c r="C933" s="7">
        <f>IF(COUNTIF(Raw_Passengers!$A$2:A933,Raw_Passengers!A933)&gt;1,1,0)</f>
        <v>0</v>
      </c>
      <c r="D933" s="7">
        <f>IF(COUNTIF(Raw_Bookings!$A$2:$A$648,Raw_Passengers!B933)=0,1,0)</f>
        <v>0</v>
      </c>
      <c r="E933" s="7">
        <f>IF(OR(C933=1,D933=1),0,IF(NOT(ISNUMBER(Raw_Passengers!E933)),1,IF(Raw_Passengers!E933&lt;=0,1,0)))</f>
        <v>0</v>
      </c>
      <c r="F933" s="7">
        <f>IF(AND(C933=0,D933=0,TRIM(Raw_Passengers!D933&amp;"")=""),1,0)</f>
        <v>0</v>
      </c>
      <c r="G933" s="7" t="str">
        <f>IF(SUMPRODUCT(--(Lookup_Status!$A$2:$A$13=LOWER(TRIM(Raw_Passengers!F933))))=0,"",INDEX(Lookup_Status!$B$2:$B$13,SUMPRODUCT((Lookup_Status!$A$2:$A$13=LOWER(TRIM(Raw_Passengers!F933)))*(ROW(Lookup_Status!$A$2:$A$13)-1))))</f>
        <v>Confirmed</v>
      </c>
      <c r="H933" s="7" t="str">
        <f>IF(SUMPRODUCT(--(Lookup_Status!$A$2:$A$13=LOWER(TRIM(Raw_Passengers!G933))))=0,"",INDEX(Lookup_Status!$B$2:$B$13,SUMPRODUCT((Lookup_Status!$A$2:$A$13=LOWER(TRIM(Raw_Passengers!G933)))*(ROW(Lookup_Status!$A$2:$A$13)-1))))</f>
        <v>Confirmed</v>
      </c>
      <c r="I933" s="7">
        <f>IF(OR(G933="",G933="Cancelled",G933="Mixed"),1,0)</f>
        <v>0</v>
      </c>
      <c r="J933" s="7">
        <f>IF(OR(H933="",H933="Mixed"),1,0)</f>
        <v>0</v>
      </c>
      <c r="K933" s="7">
        <f>IF(AND(C933=0,D933=0),IF(OR(AND(I933=0,NOT(EXACT(Raw_Passengers!F933,G933))),AND(J933=0,NOT(EXACT(Raw_Passengers!G933,H933)))),1,0),0)</f>
        <v>0</v>
      </c>
      <c r="L933" s="7">
        <f>IF(AND(C933=0,D933=0,I933=1),1,0)</f>
        <v>0</v>
      </c>
      <c r="M933" s="7">
        <f>IF(AND(C933=0,D933=0,J933=1),1,0)</f>
        <v>0</v>
      </c>
    </row>
    <row r="934" spans="1:13">
      <c r="A934" s="7">
        <f>Raw_Passengers!A934</f>
        <v>306115</v>
      </c>
      <c r="B934" s="7">
        <f>Raw_Passengers!B934</f>
        <v>1151722</v>
      </c>
      <c r="C934" s="7">
        <f>IF(COUNTIF(Raw_Passengers!$A$2:A934,Raw_Passengers!A934)&gt;1,1,0)</f>
        <v>0</v>
      </c>
      <c r="D934" s="7">
        <f>IF(COUNTIF(Raw_Bookings!$A$2:$A$648,Raw_Passengers!B934)=0,1,0)</f>
        <v>0</v>
      </c>
      <c r="E934" s="7">
        <f>IF(OR(C934=1,D934=1),0,IF(NOT(ISNUMBER(Raw_Passengers!E934)),1,IF(Raw_Passengers!E934&lt;=0,1,0)))</f>
        <v>0</v>
      </c>
      <c r="F934" s="7">
        <f>IF(AND(C934=0,D934=0,TRIM(Raw_Passengers!D934&amp;"")=""),1,0)</f>
        <v>0</v>
      </c>
      <c r="G934" s="7" t="str">
        <f>IF(SUMPRODUCT(--(Lookup_Status!$A$2:$A$13=LOWER(TRIM(Raw_Passengers!F934))))=0,"",INDEX(Lookup_Status!$B$2:$B$13,SUMPRODUCT((Lookup_Status!$A$2:$A$13=LOWER(TRIM(Raw_Passengers!F934)))*(ROW(Lookup_Status!$A$2:$A$13)-1))))</f>
        <v>Confirmed</v>
      </c>
      <c r="H934" s="7" t="str">
        <f>IF(SUMPRODUCT(--(Lookup_Status!$A$2:$A$13=LOWER(TRIM(Raw_Passengers!G934))))=0,"",INDEX(Lookup_Status!$B$2:$B$13,SUMPRODUCT((Lookup_Status!$A$2:$A$13=LOWER(TRIM(Raw_Passengers!G934)))*(ROW(Lookup_Status!$A$2:$A$13)-1))))</f>
        <v>Confirmed</v>
      </c>
      <c r="I934" s="7">
        <f>IF(OR(G934="",G934="Cancelled",G934="Mixed"),1,0)</f>
        <v>0</v>
      </c>
      <c r="J934" s="7">
        <f>IF(OR(H934="",H934="Mixed"),1,0)</f>
        <v>0</v>
      </c>
      <c r="K934" s="7">
        <f>IF(AND(C934=0,D934=0),IF(OR(AND(I934=0,NOT(EXACT(Raw_Passengers!F934,G934))),AND(J934=0,NOT(EXACT(Raw_Passengers!G934,H934)))),1,0),0)</f>
        <v>0</v>
      </c>
      <c r="L934" s="7">
        <f>IF(AND(C934=0,D934=0,I934=1),1,0)</f>
        <v>0</v>
      </c>
      <c r="M934" s="7">
        <f>IF(AND(C934=0,D934=0,J934=1),1,0)</f>
        <v>0</v>
      </c>
    </row>
    <row r="935" spans="1:13">
      <c r="A935" s="7">
        <f>Raw_Passengers!A935</f>
        <v>306116</v>
      </c>
      <c r="B935" s="7">
        <f>Raw_Passengers!B935</f>
        <v>1151722</v>
      </c>
      <c r="C935" s="7">
        <f>IF(COUNTIF(Raw_Passengers!$A$2:A935,Raw_Passengers!A935)&gt;1,1,0)</f>
        <v>0</v>
      </c>
      <c r="D935" s="7">
        <f>IF(COUNTIF(Raw_Bookings!$A$2:$A$648,Raw_Passengers!B935)=0,1,0)</f>
        <v>0</v>
      </c>
      <c r="E935" s="7">
        <f>IF(OR(C935=1,D935=1),0,IF(NOT(ISNUMBER(Raw_Passengers!E935)),1,IF(Raw_Passengers!E935&lt;=0,1,0)))</f>
        <v>0</v>
      </c>
      <c r="F935" s="7">
        <f>IF(AND(C935=0,D935=0,TRIM(Raw_Passengers!D935&amp;"")=""),1,0)</f>
        <v>0</v>
      </c>
      <c r="G935" s="7" t="str">
        <f>IF(SUMPRODUCT(--(Lookup_Status!$A$2:$A$13=LOWER(TRIM(Raw_Passengers!F935))))=0,"",INDEX(Lookup_Status!$B$2:$B$13,SUMPRODUCT((Lookup_Status!$A$2:$A$13=LOWER(TRIM(Raw_Passengers!F935)))*(ROW(Lookup_Status!$A$2:$A$13)-1))))</f>
        <v>Confirmed</v>
      </c>
      <c r="H935" s="7" t="str">
        <f>IF(SUMPRODUCT(--(Lookup_Status!$A$2:$A$13=LOWER(TRIM(Raw_Passengers!G935))))=0,"",INDEX(Lookup_Status!$B$2:$B$13,SUMPRODUCT((Lookup_Status!$A$2:$A$13=LOWER(TRIM(Raw_Passengers!G935)))*(ROW(Lookup_Status!$A$2:$A$13)-1))))</f>
        <v>Confirmed</v>
      </c>
      <c r="I935" s="7">
        <f>IF(OR(G935="",G935="Cancelled",G935="Mixed"),1,0)</f>
        <v>0</v>
      </c>
      <c r="J935" s="7">
        <f>IF(OR(H935="",H935="Mixed"),1,0)</f>
        <v>0</v>
      </c>
      <c r="K935" s="7">
        <f>IF(AND(C935=0,D935=0),IF(OR(AND(I935=0,NOT(EXACT(Raw_Passengers!F935,G935))),AND(J935=0,NOT(EXACT(Raw_Passengers!G935,H935)))),1,0),0)</f>
        <v>0</v>
      </c>
      <c r="L935" s="7">
        <f>IF(AND(C935=0,D935=0,I935=1),1,0)</f>
        <v>0</v>
      </c>
      <c r="M935" s="7">
        <f>IF(AND(C935=0,D935=0,J935=1),1,0)</f>
        <v>0</v>
      </c>
    </row>
    <row r="936" spans="1:13">
      <c r="A936" s="7">
        <f>Raw_Passengers!A936</f>
        <v>306117</v>
      </c>
      <c r="B936" s="7">
        <f>Raw_Passengers!B936</f>
        <v>1151722</v>
      </c>
      <c r="C936" s="7">
        <f>IF(COUNTIF(Raw_Passengers!$A$2:A936,Raw_Passengers!A936)&gt;1,1,0)</f>
        <v>0</v>
      </c>
      <c r="D936" s="7">
        <f>IF(COUNTIF(Raw_Bookings!$A$2:$A$648,Raw_Passengers!B936)=0,1,0)</f>
        <v>0</v>
      </c>
      <c r="E936" s="7">
        <f>IF(OR(C936=1,D936=1),0,IF(NOT(ISNUMBER(Raw_Passengers!E936)),1,IF(Raw_Passengers!E936&lt;=0,1,0)))</f>
        <v>0</v>
      </c>
      <c r="F936" s="7">
        <f>IF(AND(C936=0,D936=0,TRIM(Raw_Passengers!D936&amp;"")=""),1,0)</f>
        <v>0</v>
      </c>
      <c r="G936" s="7" t="str">
        <f>IF(SUMPRODUCT(--(Lookup_Status!$A$2:$A$13=LOWER(TRIM(Raw_Passengers!F936))))=0,"",INDEX(Lookup_Status!$B$2:$B$13,SUMPRODUCT((Lookup_Status!$A$2:$A$13=LOWER(TRIM(Raw_Passengers!F936)))*(ROW(Lookup_Status!$A$2:$A$13)-1))))</f>
        <v>Confirmed</v>
      </c>
      <c r="H936" s="7" t="str">
        <f>IF(SUMPRODUCT(--(Lookup_Status!$A$2:$A$13=LOWER(TRIM(Raw_Passengers!G936))))=0,"",INDEX(Lookup_Status!$B$2:$B$13,SUMPRODUCT((Lookup_Status!$A$2:$A$13=LOWER(TRIM(Raw_Passengers!G936)))*(ROW(Lookup_Status!$A$2:$A$13)-1))))</f>
        <v>Confirmed</v>
      </c>
      <c r="I936" s="7">
        <f>IF(OR(G936="",G936="Cancelled",G936="Mixed"),1,0)</f>
        <v>0</v>
      </c>
      <c r="J936" s="7">
        <f>IF(OR(H936="",H936="Mixed"),1,0)</f>
        <v>0</v>
      </c>
      <c r="K936" s="7">
        <f>IF(AND(C936=0,D936=0),IF(OR(AND(I936=0,NOT(EXACT(Raw_Passengers!F936,G936))),AND(J936=0,NOT(EXACT(Raw_Passengers!G936,H936)))),1,0),0)</f>
        <v>0</v>
      </c>
      <c r="L936" s="7">
        <f>IF(AND(C936=0,D936=0,I936=1),1,0)</f>
        <v>0</v>
      </c>
      <c r="M936" s="7">
        <f>IF(AND(C936=0,D936=0,J936=1),1,0)</f>
        <v>0</v>
      </c>
    </row>
    <row r="937" spans="1:13">
      <c r="A937" s="7">
        <f>Raw_Passengers!A937</f>
        <v>306376</v>
      </c>
      <c r="B937" s="7">
        <f>Raw_Passengers!B937</f>
        <v>1151847</v>
      </c>
      <c r="C937" s="7">
        <f>IF(COUNTIF(Raw_Passengers!$A$2:A937,Raw_Passengers!A937)&gt;1,1,0)</f>
        <v>0</v>
      </c>
      <c r="D937" s="7">
        <f>IF(COUNTIF(Raw_Bookings!$A$2:$A$648,Raw_Passengers!B937)=0,1,0)</f>
        <v>0</v>
      </c>
      <c r="E937" s="7">
        <f>IF(OR(C937=1,D937=1),0,IF(NOT(ISNUMBER(Raw_Passengers!E937)),1,IF(Raw_Passengers!E937&lt;=0,1,0)))</f>
        <v>0</v>
      </c>
      <c r="F937" s="7">
        <f>IF(AND(C937=0,D937=0,TRIM(Raw_Passengers!D937&amp;"")=""),1,0)</f>
        <v>0</v>
      </c>
      <c r="G937" s="7" t="str">
        <f>IF(SUMPRODUCT(--(Lookup_Status!$A$2:$A$13=LOWER(TRIM(Raw_Passengers!F937))))=0,"",INDEX(Lookup_Status!$B$2:$B$13,SUMPRODUCT((Lookup_Status!$A$2:$A$13=LOWER(TRIM(Raw_Passengers!F937)))*(ROW(Lookup_Status!$A$2:$A$13)-1))))</f>
        <v>Waitlisted</v>
      </c>
      <c r="H937" s="7" t="str">
        <f>IF(SUMPRODUCT(--(Lookup_Status!$A$2:$A$13=LOWER(TRIM(Raw_Passengers!G937))))=0,"",INDEX(Lookup_Status!$B$2:$B$13,SUMPRODUCT((Lookup_Status!$A$2:$A$13=LOWER(TRIM(Raw_Passengers!G937)))*(ROW(Lookup_Status!$A$2:$A$13)-1))))</f>
        <v>RAC</v>
      </c>
      <c r="I937" s="7">
        <f>IF(OR(G937="",G937="Cancelled",G937="Mixed"),1,0)</f>
        <v>0</v>
      </c>
      <c r="J937" s="7">
        <f>IF(OR(H937="",H937="Mixed"),1,0)</f>
        <v>0</v>
      </c>
      <c r="K937" s="7">
        <f>IF(AND(C937=0,D937=0),IF(OR(AND(I937=0,NOT(EXACT(Raw_Passengers!F937,G937))),AND(J937=0,NOT(EXACT(Raw_Passengers!G937,H937)))),1,0),0)</f>
        <v>0</v>
      </c>
      <c r="L937" s="7">
        <f>IF(AND(C937=0,D937=0,I937=1),1,0)</f>
        <v>0</v>
      </c>
      <c r="M937" s="7">
        <f>IF(AND(C937=0,D937=0,J937=1),1,0)</f>
        <v>0</v>
      </c>
    </row>
    <row r="938" spans="1:13">
      <c r="A938" s="7">
        <f>Raw_Passengers!A938</f>
        <v>306377</v>
      </c>
      <c r="B938" s="7">
        <f>Raw_Passengers!B938</f>
        <v>1151847</v>
      </c>
      <c r="C938" s="7">
        <f>IF(COUNTIF(Raw_Passengers!$A$2:A938,Raw_Passengers!A938)&gt;1,1,0)</f>
        <v>0</v>
      </c>
      <c r="D938" s="7">
        <f>IF(COUNTIF(Raw_Bookings!$A$2:$A$648,Raw_Passengers!B938)=0,1,0)</f>
        <v>0</v>
      </c>
      <c r="E938" s="7">
        <f>IF(OR(C938=1,D938=1),0,IF(NOT(ISNUMBER(Raw_Passengers!E938)),1,IF(Raw_Passengers!E938&lt;=0,1,0)))</f>
        <v>0</v>
      </c>
      <c r="F938" s="7">
        <f>IF(AND(C938=0,D938=0,TRIM(Raw_Passengers!D938&amp;"")=""),1,0)</f>
        <v>0</v>
      </c>
      <c r="G938" s="7" t="str">
        <f>IF(SUMPRODUCT(--(Lookup_Status!$A$2:$A$13=LOWER(TRIM(Raw_Passengers!F938))))=0,"",INDEX(Lookup_Status!$B$2:$B$13,SUMPRODUCT((Lookup_Status!$A$2:$A$13=LOWER(TRIM(Raw_Passengers!F938)))*(ROW(Lookup_Status!$A$2:$A$13)-1))))</f>
        <v>Waitlisted</v>
      </c>
      <c r="H938" s="7" t="str">
        <f>IF(SUMPRODUCT(--(Lookup_Status!$A$2:$A$13=LOWER(TRIM(Raw_Passengers!G938))))=0,"",INDEX(Lookup_Status!$B$2:$B$13,SUMPRODUCT((Lookup_Status!$A$2:$A$13=LOWER(TRIM(Raw_Passengers!G938)))*(ROW(Lookup_Status!$A$2:$A$13)-1))))</f>
        <v>RAC</v>
      </c>
      <c r="I938" s="7">
        <f>IF(OR(G938="",G938="Cancelled",G938="Mixed"),1,0)</f>
        <v>0</v>
      </c>
      <c r="J938" s="7">
        <f>IF(OR(H938="",H938="Mixed"),1,0)</f>
        <v>0</v>
      </c>
      <c r="K938" s="7">
        <f>IF(AND(C938=0,D938=0),IF(OR(AND(I938=0,NOT(EXACT(Raw_Passengers!F938,G938))),AND(J938=0,NOT(EXACT(Raw_Passengers!G938,H938)))),1,0),0)</f>
        <v>0</v>
      </c>
      <c r="L938" s="7">
        <f>IF(AND(C938=0,D938=0,I938=1),1,0)</f>
        <v>0</v>
      </c>
      <c r="M938" s="7">
        <f>IF(AND(C938=0,D938=0,J938=1),1,0)</f>
        <v>0</v>
      </c>
    </row>
    <row r="939" spans="1:13">
      <c r="A939" s="7">
        <f>Raw_Passengers!A939</f>
        <v>306877</v>
      </c>
      <c r="B939" s="7">
        <f>Raw_Passengers!B939</f>
        <v>1152098</v>
      </c>
      <c r="C939" s="7">
        <f>IF(COUNTIF(Raw_Passengers!$A$2:A939,Raw_Passengers!A939)&gt;1,1,0)</f>
        <v>0</v>
      </c>
      <c r="D939" s="7">
        <f>IF(COUNTIF(Raw_Bookings!$A$2:$A$648,Raw_Passengers!B939)=0,1,0)</f>
        <v>0</v>
      </c>
      <c r="E939" s="7">
        <f>IF(OR(C939=1,D939=1),0,IF(NOT(ISNUMBER(Raw_Passengers!E939)),1,IF(Raw_Passengers!E939&lt;=0,1,0)))</f>
        <v>0</v>
      </c>
      <c r="F939" s="7">
        <f>IF(AND(C939=0,D939=0,TRIM(Raw_Passengers!D939&amp;"")=""),1,0)</f>
        <v>0</v>
      </c>
      <c r="G939" s="7" t="str">
        <f>IF(SUMPRODUCT(--(Lookup_Status!$A$2:$A$13=LOWER(TRIM(Raw_Passengers!F939))))=0,"",INDEX(Lookup_Status!$B$2:$B$13,SUMPRODUCT((Lookup_Status!$A$2:$A$13=LOWER(TRIM(Raw_Passengers!F939)))*(ROW(Lookup_Status!$A$2:$A$13)-1))))</f>
        <v>Waitlisted</v>
      </c>
      <c r="H939" s="7" t="str">
        <f>IF(SUMPRODUCT(--(Lookup_Status!$A$2:$A$13=LOWER(TRIM(Raw_Passengers!G939))))=0,"",INDEX(Lookup_Status!$B$2:$B$13,SUMPRODUCT((Lookup_Status!$A$2:$A$13=LOWER(TRIM(Raw_Passengers!G939)))*(ROW(Lookup_Status!$A$2:$A$13)-1))))</f>
        <v>Waitlisted</v>
      </c>
      <c r="I939" s="7">
        <f>IF(OR(G939="",G939="Cancelled",G939="Mixed"),1,0)</f>
        <v>0</v>
      </c>
      <c r="J939" s="7">
        <f>IF(OR(H939="",H939="Mixed"),1,0)</f>
        <v>0</v>
      </c>
      <c r="K939" s="7">
        <f>IF(AND(C939=0,D939=0),IF(OR(AND(I939=0,NOT(EXACT(Raw_Passengers!F939,G939))),AND(J939=0,NOT(EXACT(Raw_Passengers!G939,H939)))),1,0),0)</f>
        <v>0</v>
      </c>
      <c r="L939" s="7">
        <f>IF(AND(C939=0,D939=0,I939=1),1,0)</f>
        <v>0</v>
      </c>
      <c r="M939" s="7">
        <f>IF(AND(C939=0,D939=0,J939=1),1,0)</f>
        <v>0</v>
      </c>
    </row>
    <row r="940" spans="1:13">
      <c r="A940" s="7">
        <f>Raw_Passengers!A940</f>
        <v>307474</v>
      </c>
      <c r="B940" s="7">
        <f>Raw_Passengers!B940</f>
        <v>1152374</v>
      </c>
      <c r="C940" s="7">
        <f>IF(COUNTIF(Raw_Passengers!$A$2:A940,Raw_Passengers!A940)&gt;1,1,0)</f>
        <v>0</v>
      </c>
      <c r="D940" s="7">
        <f>IF(COUNTIF(Raw_Bookings!$A$2:$A$648,Raw_Passengers!B940)=0,1,0)</f>
        <v>0</v>
      </c>
      <c r="E940" s="7">
        <f>IF(OR(C940=1,D940=1),0,IF(NOT(ISNUMBER(Raw_Passengers!E940)),1,IF(Raw_Passengers!E940&lt;=0,1,0)))</f>
        <v>0</v>
      </c>
      <c r="F940" s="7">
        <f>IF(AND(C940=0,D940=0,TRIM(Raw_Passengers!D940&amp;"")=""),1,0)</f>
        <v>0</v>
      </c>
      <c r="G940" s="7" t="str">
        <f>IF(SUMPRODUCT(--(Lookup_Status!$A$2:$A$13=LOWER(TRIM(Raw_Passengers!F940))))=0,"",INDEX(Lookup_Status!$B$2:$B$13,SUMPRODUCT((Lookup_Status!$A$2:$A$13=LOWER(TRIM(Raw_Passengers!F940)))*(ROW(Lookup_Status!$A$2:$A$13)-1))))</f>
        <v>Confirmed</v>
      </c>
      <c r="H940" s="7" t="str">
        <f>IF(SUMPRODUCT(--(Lookup_Status!$A$2:$A$13=LOWER(TRIM(Raw_Passengers!G940))))=0,"",INDEX(Lookup_Status!$B$2:$B$13,SUMPRODUCT((Lookup_Status!$A$2:$A$13=LOWER(TRIM(Raw_Passengers!G940)))*(ROW(Lookup_Status!$A$2:$A$13)-1))))</f>
        <v>Confirmed</v>
      </c>
      <c r="I940" s="7">
        <f>IF(OR(G940="",G940="Cancelled",G940="Mixed"),1,0)</f>
        <v>0</v>
      </c>
      <c r="J940" s="7">
        <f>IF(OR(H940="",H940="Mixed"),1,0)</f>
        <v>0</v>
      </c>
      <c r="K940" s="7">
        <f>IF(AND(C940=0,D940=0),IF(OR(AND(I940=0,NOT(EXACT(Raw_Passengers!F940,G940))),AND(J940=0,NOT(EXACT(Raw_Passengers!G940,H940)))),1,0),0)</f>
        <v>0</v>
      </c>
      <c r="L940" s="7">
        <f>IF(AND(C940=0,D940=0,I940=1),1,0)</f>
        <v>0</v>
      </c>
      <c r="M940" s="7">
        <f>IF(AND(C940=0,D940=0,J940=1),1,0)</f>
        <v>0</v>
      </c>
    </row>
    <row r="941" spans="1:13">
      <c r="A941" s="7">
        <f>Raw_Passengers!A941</f>
        <v>307568</v>
      </c>
      <c r="B941" s="7">
        <f>Raw_Passengers!B941</f>
        <v>1152419</v>
      </c>
      <c r="C941" s="7">
        <f>IF(COUNTIF(Raw_Passengers!$A$2:A941,Raw_Passengers!A941)&gt;1,1,0)</f>
        <v>0</v>
      </c>
      <c r="D941" s="7">
        <f>IF(COUNTIF(Raw_Bookings!$A$2:$A$648,Raw_Passengers!B941)=0,1,0)</f>
        <v>0</v>
      </c>
      <c r="E941" s="7">
        <f>IF(OR(C941=1,D941=1),0,IF(NOT(ISNUMBER(Raw_Passengers!E941)),1,IF(Raw_Passengers!E941&lt;=0,1,0)))</f>
        <v>1</v>
      </c>
      <c r="F941" s="7">
        <f>IF(AND(C941=0,D941=0,TRIM(Raw_Passengers!D941&amp;"")=""),1,0)</f>
        <v>0</v>
      </c>
      <c r="G941" s="7" t="str">
        <f>IF(SUMPRODUCT(--(Lookup_Status!$A$2:$A$13=LOWER(TRIM(Raw_Passengers!F941))))=0,"",INDEX(Lookup_Status!$B$2:$B$13,SUMPRODUCT((Lookup_Status!$A$2:$A$13=LOWER(TRIM(Raw_Passengers!F941)))*(ROW(Lookup_Status!$A$2:$A$13)-1))))</f>
        <v>Confirmed</v>
      </c>
      <c r="H941" s="7" t="str">
        <f>IF(SUMPRODUCT(--(Lookup_Status!$A$2:$A$13=LOWER(TRIM(Raw_Passengers!G941))))=0,"",INDEX(Lookup_Status!$B$2:$B$13,SUMPRODUCT((Lookup_Status!$A$2:$A$13=LOWER(TRIM(Raw_Passengers!G941)))*(ROW(Lookup_Status!$A$2:$A$13)-1))))</f>
        <v>Cancelled</v>
      </c>
      <c r="I941" s="7">
        <f>IF(OR(G941="",G941="Cancelled",G941="Mixed"),1,0)</f>
        <v>0</v>
      </c>
      <c r="J941" s="7">
        <f>IF(OR(H941="",H941="Mixed"),1,0)</f>
        <v>0</v>
      </c>
      <c r="K941" s="7">
        <f>IF(AND(C941=0,D941=0),IF(OR(AND(I941=0,NOT(EXACT(Raw_Passengers!F941,G941))),AND(J941=0,NOT(EXACT(Raw_Passengers!G941,H941)))),1,0),0)</f>
        <v>0</v>
      </c>
      <c r="L941" s="7">
        <f>IF(AND(C941=0,D941=0,I941=1),1,0)</f>
        <v>0</v>
      </c>
      <c r="M941" s="7">
        <f>IF(AND(C941=0,D941=0,J941=1),1,0)</f>
        <v>0</v>
      </c>
    </row>
    <row r="942" spans="1:13">
      <c r="A942" s="7">
        <f>Raw_Passengers!A942</f>
        <v>307569</v>
      </c>
      <c r="B942" s="7">
        <f>Raw_Passengers!B942</f>
        <v>1152419</v>
      </c>
      <c r="C942" s="7">
        <f>IF(COUNTIF(Raw_Passengers!$A$2:A942,Raw_Passengers!A942)&gt;1,1,0)</f>
        <v>0</v>
      </c>
      <c r="D942" s="7">
        <f>IF(COUNTIF(Raw_Bookings!$A$2:$A$648,Raw_Passengers!B942)=0,1,0)</f>
        <v>0</v>
      </c>
      <c r="E942" s="7">
        <f>IF(OR(C942=1,D942=1),0,IF(NOT(ISNUMBER(Raw_Passengers!E942)),1,IF(Raw_Passengers!E942&lt;=0,1,0)))</f>
        <v>0</v>
      </c>
      <c r="F942" s="7">
        <f>IF(AND(C942=0,D942=0,TRIM(Raw_Passengers!D942&amp;"")=""),1,0)</f>
        <v>0</v>
      </c>
      <c r="G942" s="7" t="str">
        <f>IF(SUMPRODUCT(--(Lookup_Status!$A$2:$A$13=LOWER(TRIM(Raw_Passengers!F942))))=0,"",INDEX(Lookup_Status!$B$2:$B$13,SUMPRODUCT((Lookup_Status!$A$2:$A$13=LOWER(TRIM(Raw_Passengers!F942)))*(ROW(Lookup_Status!$A$2:$A$13)-1))))</f>
        <v>Confirmed</v>
      </c>
      <c r="H942" s="7" t="str">
        <f>IF(SUMPRODUCT(--(Lookup_Status!$A$2:$A$13=LOWER(TRIM(Raw_Passengers!G942))))=0,"",INDEX(Lookup_Status!$B$2:$B$13,SUMPRODUCT((Lookup_Status!$A$2:$A$13=LOWER(TRIM(Raw_Passengers!G942)))*(ROW(Lookup_Status!$A$2:$A$13)-1))))</f>
        <v>Cancelled</v>
      </c>
      <c r="I942" s="7">
        <f>IF(OR(G942="",G942="Cancelled",G942="Mixed"),1,0)</f>
        <v>0</v>
      </c>
      <c r="J942" s="7">
        <f>IF(OR(H942="",H942="Mixed"),1,0)</f>
        <v>0</v>
      </c>
      <c r="K942" s="7">
        <f>IF(AND(C942=0,D942=0),IF(OR(AND(I942=0,NOT(EXACT(Raw_Passengers!F942,G942))),AND(J942=0,NOT(EXACT(Raw_Passengers!G942,H942)))),1,0),0)</f>
        <v>0</v>
      </c>
      <c r="L942" s="7">
        <f>IF(AND(C942=0,D942=0,I942=1),1,0)</f>
        <v>0</v>
      </c>
      <c r="M942" s="7">
        <f>IF(AND(C942=0,D942=0,J942=1),1,0)</f>
        <v>0</v>
      </c>
    </row>
    <row r="943" spans="1:13">
      <c r="A943" s="7">
        <f>Raw_Passengers!A943</f>
        <v>307570</v>
      </c>
      <c r="B943" s="7">
        <f>Raw_Passengers!B943</f>
        <v>1152419</v>
      </c>
      <c r="C943" s="7">
        <f>IF(COUNTIF(Raw_Passengers!$A$2:A943,Raw_Passengers!A943)&gt;1,1,0)</f>
        <v>0</v>
      </c>
      <c r="D943" s="7">
        <f>IF(COUNTIF(Raw_Bookings!$A$2:$A$648,Raw_Passengers!B943)=0,1,0)</f>
        <v>0</v>
      </c>
      <c r="E943" s="7">
        <f>IF(OR(C943=1,D943=1),0,IF(NOT(ISNUMBER(Raw_Passengers!E943)),1,IF(Raw_Passengers!E943&lt;=0,1,0)))</f>
        <v>0</v>
      </c>
      <c r="F943" s="7">
        <f>IF(AND(C943=0,D943=0,TRIM(Raw_Passengers!D943&amp;"")=""),1,0)</f>
        <v>0</v>
      </c>
      <c r="G943" s="7" t="str">
        <f>IF(SUMPRODUCT(--(Lookup_Status!$A$2:$A$13=LOWER(TRIM(Raw_Passengers!F943))))=0,"",INDEX(Lookup_Status!$B$2:$B$13,SUMPRODUCT((Lookup_Status!$A$2:$A$13=LOWER(TRIM(Raw_Passengers!F943)))*(ROW(Lookup_Status!$A$2:$A$13)-1))))</f>
        <v>Confirmed</v>
      </c>
      <c r="H943" s="7" t="str">
        <f>IF(SUMPRODUCT(--(Lookup_Status!$A$2:$A$13=LOWER(TRIM(Raw_Passengers!G943))))=0,"",INDEX(Lookup_Status!$B$2:$B$13,SUMPRODUCT((Lookup_Status!$A$2:$A$13=LOWER(TRIM(Raw_Passengers!G943)))*(ROW(Lookup_Status!$A$2:$A$13)-1))))</f>
        <v>Cancelled</v>
      </c>
      <c r="I943" s="7">
        <f>IF(OR(G943="",G943="Cancelled",G943="Mixed"),1,0)</f>
        <v>0</v>
      </c>
      <c r="J943" s="7">
        <f>IF(OR(H943="",H943="Mixed"),1,0)</f>
        <v>0</v>
      </c>
      <c r="K943" s="7">
        <f>IF(AND(C943=0,D943=0),IF(OR(AND(I943=0,NOT(EXACT(Raw_Passengers!F943,G943))),AND(J943=0,NOT(EXACT(Raw_Passengers!G943,H943)))),1,0),0)</f>
        <v>0</v>
      </c>
      <c r="L943" s="7">
        <f>IF(AND(C943=0,D943=0,I943=1),1,0)</f>
        <v>0</v>
      </c>
      <c r="M943" s="7">
        <f>IF(AND(C943=0,D943=0,J943=1),1,0)</f>
        <v>0</v>
      </c>
    </row>
    <row r="944" spans="1:13">
      <c r="A944" s="7">
        <f>Raw_Passengers!A944</f>
        <v>310016</v>
      </c>
      <c r="B944" s="7">
        <f>Raw_Passengers!B944</f>
        <v>1153612</v>
      </c>
      <c r="C944" s="7">
        <f>IF(COUNTIF(Raw_Passengers!$A$2:A944,Raw_Passengers!A944)&gt;1,1,0)</f>
        <v>0</v>
      </c>
      <c r="D944" s="7">
        <f>IF(COUNTIF(Raw_Bookings!$A$2:$A$648,Raw_Passengers!B944)=0,1,0)</f>
        <v>0</v>
      </c>
      <c r="E944" s="7">
        <f>IF(OR(C944=1,D944=1),0,IF(NOT(ISNUMBER(Raw_Passengers!E944)),1,IF(Raw_Passengers!E944&lt;=0,1,0)))</f>
        <v>0</v>
      </c>
      <c r="F944" s="7">
        <f>IF(AND(C944=0,D944=0,TRIM(Raw_Passengers!D944&amp;"")=""),1,0)</f>
        <v>0</v>
      </c>
      <c r="G944" s="7" t="str">
        <f>IF(SUMPRODUCT(--(Lookup_Status!$A$2:$A$13=LOWER(TRIM(Raw_Passengers!F944))))=0,"",INDEX(Lookup_Status!$B$2:$B$13,SUMPRODUCT((Lookup_Status!$A$2:$A$13=LOWER(TRIM(Raw_Passengers!F944)))*(ROW(Lookup_Status!$A$2:$A$13)-1))))</f>
        <v>Confirmed</v>
      </c>
      <c r="H944" s="7" t="str">
        <f>IF(SUMPRODUCT(--(Lookup_Status!$A$2:$A$13=LOWER(TRIM(Raw_Passengers!G944))))=0,"",INDEX(Lookup_Status!$B$2:$B$13,SUMPRODUCT((Lookup_Status!$A$2:$A$13=LOWER(TRIM(Raw_Passengers!G944)))*(ROW(Lookup_Status!$A$2:$A$13)-1))))</f>
        <v>Confirmed</v>
      </c>
      <c r="I944" s="7">
        <f>IF(OR(G944="",G944="Cancelled",G944="Mixed"),1,0)</f>
        <v>0</v>
      </c>
      <c r="J944" s="7">
        <f>IF(OR(H944="",H944="Mixed"),1,0)</f>
        <v>0</v>
      </c>
      <c r="K944" s="7">
        <f>IF(AND(C944=0,D944=0),IF(OR(AND(I944=0,NOT(EXACT(Raw_Passengers!F944,G944))),AND(J944=0,NOT(EXACT(Raw_Passengers!G944,H944)))),1,0),0)</f>
        <v>0</v>
      </c>
      <c r="L944" s="7">
        <f>IF(AND(C944=0,D944=0,I944=1),1,0)</f>
        <v>0</v>
      </c>
      <c r="M944" s="7">
        <f>IF(AND(C944=0,D944=0,J944=1),1,0)</f>
        <v>0</v>
      </c>
    </row>
    <row r="945" spans="1:13">
      <c r="A945" s="7">
        <f>Raw_Passengers!A945</f>
        <v>310017</v>
      </c>
      <c r="B945" s="7">
        <f>Raw_Passengers!B945</f>
        <v>1153612</v>
      </c>
      <c r="C945" s="7">
        <f>IF(COUNTIF(Raw_Passengers!$A$2:A945,Raw_Passengers!A945)&gt;1,1,0)</f>
        <v>0</v>
      </c>
      <c r="D945" s="7">
        <f>IF(COUNTIF(Raw_Bookings!$A$2:$A$648,Raw_Passengers!B945)=0,1,0)</f>
        <v>0</v>
      </c>
      <c r="E945" s="7">
        <f>IF(OR(C945=1,D945=1),0,IF(NOT(ISNUMBER(Raw_Passengers!E945)),1,IF(Raw_Passengers!E945&lt;=0,1,0)))</f>
        <v>0</v>
      </c>
      <c r="F945" s="7">
        <f>IF(AND(C945=0,D945=0,TRIM(Raw_Passengers!D945&amp;"")=""),1,0)</f>
        <v>0</v>
      </c>
      <c r="G945" s="7" t="str">
        <f>IF(SUMPRODUCT(--(Lookup_Status!$A$2:$A$13=LOWER(TRIM(Raw_Passengers!F945))))=0,"",INDEX(Lookup_Status!$B$2:$B$13,SUMPRODUCT((Lookup_Status!$A$2:$A$13=LOWER(TRIM(Raw_Passengers!F945)))*(ROW(Lookup_Status!$A$2:$A$13)-1))))</f>
        <v>Confirmed</v>
      </c>
      <c r="H945" s="7" t="str">
        <f>IF(SUMPRODUCT(--(Lookup_Status!$A$2:$A$13=LOWER(TRIM(Raw_Passengers!G945))))=0,"",INDEX(Lookup_Status!$B$2:$B$13,SUMPRODUCT((Lookup_Status!$A$2:$A$13=LOWER(TRIM(Raw_Passengers!G945)))*(ROW(Lookup_Status!$A$2:$A$13)-1))))</f>
        <v>Confirmed</v>
      </c>
      <c r="I945" s="7">
        <f>IF(OR(G945="",G945="Cancelled",G945="Mixed"),1,0)</f>
        <v>0</v>
      </c>
      <c r="J945" s="7">
        <f>IF(OR(H945="",H945="Mixed"),1,0)</f>
        <v>0</v>
      </c>
      <c r="K945" s="7">
        <f>IF(AND(C945=0,D945=0),IF(OR(AND(I945=0,NOT(EXACT(Raw_Passengers!F945,G945))),AND(J945=0,NOT(EXACT(Raw_Passengers!G945,H945)))),1,0),0)</f>
        <v>0</v>
      </c>
      <c r="L945" s="7">
        <f>IF(AND(C945=0,D945=0,I945=1),1,0)</f>
        <v>0</v>
      </c>
      <c r="M945" s="7">
        <f>IF(AND(C945=0,D945=0,J945=1),1,0)</f>
        <v>0</v>
      </c>
    </row>
    <row r="946" spans="1:13">
      <c r="A946" s="7">
        <f>Raw_Passengers!A946</f>
        <v>310910</v>
      </c>
      <c r="B946" s="7">
        <f>Raw_Passengers!B946</f>
        <v>1154055</v>
      </c>
      <c r="C946" s="7">
        <f>IF(COUNTIF(Raw_Passengers!$A$2:A946,Raw_Passengers!A946)&gt;1,1,0)</f>
        <v>0</v>
      </c>
      <c r="D946" s="7">
        <f>IF(COUNTIF(Raw_Bookings!$A$2:$A$648,Raw_Passengers!B946)=0,1,0)</f>
        <v>0</v>
      </c>
      <c r="E946" s="7">
        <f>IF(OR(C946=1,D946=1),0,IF(NOT(ISNUMBER(Raw_Passengers!E946)),1,IF(Raw_Passengers!E946&lt;=0,1,0)))</f>
        <v>0</v>
      </c>
      <c r="F946" s="7">
        <f>IF(AND(C946=0,D946=0,TRIM(Raw_Passengers!D946&amp;"")=""),1,0)</f>
        <v>0</v>
      </c>
      <c r="G946" s="7" t="str">
        <f>IF(SUMPRODUCT(--(Lookup_Status!$A$2:$A$13=LOWER(TRIM(Raw_Passengers!F946))))=0,"",INDEX(Lookup_Status!$B$2:$B$13,SUMPRODUCT((Lookup_Status!$A$2:$A$13=LOWER(TRIM(Raw_Passengers!F946)))*(ROW(Lookup_Status!$A$2:$A$13)-1))))</f>
        <v>Confirmed</v>
      </c>
      <c r="H946" s="7" t="str">
        <f>IF(SUMPRODUCT(--(Lookup_Status!$A$2:$A$13=LOWER(TRIM(Raw_Passengers!G946))))=0,"",INDEX(Lookup_Status!$B$2:$B$13,SUMPRODUCT((Lookup_Status!$A$2:$A$13=LOWER(TRIM(Raw_Passengers!G946)))*(ROW(Lookup_Status!$A$2:$A$13)-1))))</f>
        <v>Confirmed</v>
      </c>
      <c r="I946" s="7">
        <f>IF(OR(G946="",G946="Cancelled",G946="Mixed"),1,0)</f>
        <v>0</v>
      </c>
      <c r="J946" s="7">
        <f>IF(OR(H946="",H946="Mixed"),1,0)</f>
        <v>0</v>
      </c>
      <c r="K946" s="7">
        <f>IF(AND(C946=0,D946=0),IF(OR(AND(I946=0,NOT(EXACT(Raw_Passengers!F946,G946))),AND(J946=0,NOT(EXACT(Raw_Passengers!G946,H946)))),1,0),0)</f>
        <v>0</v>
      </c>
      <c r="L946" s="7">
        <f>IF(AND(C946=0,D946=0,I946=1),1,0)</f>
        <v>0</v>
      </c>
      <c r="M946" s="7">
        <f>IF(AND(C946=0,D946=0,J946=1),1,0)</f>
        <v>0</v>
      </c>
    </row>
    <row r="947" spans="1:13">
      <c r="A947" s="7">
        <f>Raw_Passengers!A947</f>
        <v>310911</v>
      </c>
      <c r="B947" s="7">
        <f>Raw_Passengers!B947</f>
        <v>1154055</v>
      </c>
      <c r="C947" s="7">
        <f>IF(COUNTIF(Raw_Passengers!$A$2:A947,Raw_Passengers!A947)&gt;1,1,0)</f>
        <v>0</v>
      </c>
      <c r="D947" s="7">
        <f>IF(COUNTIF(Raw_Bookings!$A$2:$A$648,Raw_Passengers!B947)=0,1,0)</f>
        <v>0</v>
      </c>
      <c r="E947" s="7">
        <f>IF(OR(C947=1,D947=1),0,IF(NOT(ISNUMBER(Raw_Passengers!E947)),1,IF(Raw_Passengers!E947&lt;=0,1,0)))</f>
        <v>0</v>
      </c>
      <c r="F947" s="7">
        <f>IF(AND(C947=0,D947=0,TRIM(Raw_Passengers!D947&amp;"")=""),1,0)</f>
        <v>0</v>
      </c>
      <c r="G947" s="7" t="str">
        <f>IF(SUMPRODUCT(--(Lookup_Status!$A$2:$A$13=LOWER(TRIM(Raw_Passengers!F947))))=0,"",INDEX(Lookup_Status!$B$2:$B$13,SUMPRODUCT((Lookup_Status!$A$2:$A$13=LOWER(TRIM(Raw_Passengers!F947)))*(ROW(Lookup_Status!$A$2:$A$13)-1))))</f>
        <v>Confirmed</v>
      </c>
      <c r="H947" s="7" t="str">
        <f>IF(SUMPRODUCT(--(Lookup_Status!$A$2:$A$13=LOWER(TRIM(Raw_Passengers!G947))))=0,"",INDEX(Lookup_Status!$B$2:$B$13,SUMPRODUCT((Lookup_Status!$A$2:$A$13=LOWER(TRIM(Raw_Passengers!G947)))*(ROW(Lookup_Status!$A$2:$A$13)-1))))</f>
        <v>Confirmed</v>
      </c>
      <c r="I947" s="7">
        <f>IF(OR(G947="",G947="Cancelled",G947="Mixed"),1,0)</f>
        <v>0</v>
      </c>
      <c r="J947" s="7">
        <f>IF(OR(H947="",H947="Mixed"),1,0)</f>
        <v>0</v>
      </c>
      <c r="K947" s="7">
        <f>IF(AND(C947=0,D947=0),IF(OR(AND(I947=0,NOT(EXACT(Raw_Passengers!F947,G947))),AND(J947=0,NOT(EXACT(Raw_Passengers!G947,H947)))),1,0),0)</f>
        <v>0</v>
      </c>
      <c r="L947" s="7">
        <f>IF(AND(C947=0,D947=0,I947=1),1,0)</f>
        <v>0</v>
      </c>
      <c r="M947" s="7">
        <f>IF(AND(C947=0,D947=0,J947=1),1,0)</f>
        <v>0</v>
      </c>
    </row>
    <row r="948" spans="1:13">
      <c r="A948" s="7">
        <f>Raw_Passengers!A948</f>
        <v>311117</v>
      </c>
      <c r="B948" s="7">
        <f>Raw_Passengers!B948</f>
        <v>1154156</v>
      </c>
      <c r="C948" s="7">
        <f>IF(COUNTIF(Raw_Passengers!$A$2:A948,Raw_Passengers!A948)&gt;1,1,0)</f>
        <v>0</v>
      </c>
      <c r="D948" s="7">
        <f>IF(COUNTIF(Raw_Bookings!$A$2:$A$648,Raw_Passengers!B948)=0,1,0)</f>
        <v>0</v>
      </c>
      <c r="E948" s="7">
        <f>IF(OR(C948=1,D948=1),0,IF(NOT(ISNUMBER(Raw_Passengers!E948)),1,IF(Raw_Passengers!E948&lt;=0,1,0)))</f>
        <v>0</v>
      </c>
      <c r="F948" s="7">
        <f>IF(AND(C948=0,D948=0,TRIM(Raw_Passengers!D948&amp;"")=""),1,0)</f>
        <v>0</v>
      </c>
      <c r="G948" s="7" t="str">
        <f>IF(SUMPRODUCT(--(Lookup_Status!$A$2:$A$13=LOWER(TRIM(Raw_Passengers!F948))))=0,"",INDEX(Lookup_Status!$B$2:$B$13,SUMPRODUCT((Lookup_Status!$A$2:$A$13=LOWER(TRIM(Raw_Passengers!F948)))*(ROW(Lookup_Status!$A$2:$A$13)-1))))</f>
        <v>Confirmed</v>
      </c>
      <c r="H948" s="7" t="str">
        <f>IF(SUMPRODUCT(--(Lookup_Status!$A$2:$A$13=LOWER(TRIM(Raw_Passengers!G948))))=0,"",INDEX(Lookup_Status!$B$2:$B$13,SUMPRODUCT((Lookup_Status!$A$2:$A$13=LOWER(TRIM(Raw_Passengers!G948)))*(ROW(Lookup_Status!$A$2:$A$13)-1))))</f>
        <v>Confirmed</v>
      </c>
      <c r="I948" s="7">
        <f>IF(OR(G948="",G948="Cancelled",G948="Mixed"),1,0)</f>
        <v>0</v>
      </c>
      <c r="J948" s="7">
        <f>IF(OR(H948="",H948="Mixed"),1,0)</f>
        <v>0</v>
      </c>
      <c r="K948" s="7">
        <f>IF(AND(C948=0,D948=0),IF(OR(AND(I948=0,NOT(EXACT(Raw_Passengers!F948,G948))),AND(J948=0,NOT(EXACT(Raw_Passengers!G948,H948)))),1,0),0)</f>
        <v>0</v>
      </c>
      <c r="L948" s="7">
        <f>IF(AND(C948=0,D948=0,I948=1),1,0)</f>
        <v>0</v>
      </c>
      <c r="M948" s="7">
        <f>IF(AND(C948=0,D948=0,J948=1),1,0)</f>
        <v>0</v>
      </c>
    </row>
    <row r="949" spans="1:13">
      <c r="A949" s="7">
        <f>Raw_Passengers!A949</f>
        <v>311118</v>
      </c>
      <c r="B949" s="7">
        <f>Raw_Passengers!B949</f>
        <v>1154156</v>
      </c>
      <c r="C949" s="7">
        <f>IF(COUNTIF(Raw_Passengers!$A$2:A949,Raw_Passengers!A949)&gt;1,1,0)</f>
        <v>0</v>
      </c>
      <c r="D949" s="7">
        <f>IF(COUNTIF(Raw_Bookings!$A$2:$A$648,Raw_Passengers!B949)=0,1,0)</f>
        <v>0</v>
      </c>
      <c r="E949" s="7">
        <f>IF(OR(C949=1,D949=1),0,IF(NOT(ISNUMBER(Raw_Passengers!E949)),1,IF(Raw_Passengers!E949&lt;=0,1,0)))</f>
        <v>0</v>
      </c>
      <c r="F949" s="7">
        <f>IF(AND(C949=0,D949=0,TRIM(Raw_Passengers!D949&amp;"")=""),1,0)</f>
        <v>0</v>
      </c>
      <c r="G949" s="7" t="str">
        <f>IF(SUMPRODUCT(--(Lookup_Status!$A$2:$A$13=LOWER(TRIM(Raw_Passengers!F949))))=0,"",INDEX(Lookup_Status!$B$2:$B$13,SUMPRODUCT((Lookup_Status!$A$2:$A$13=LOWER(TRIM(Raw_Passengers!F949)))*(ROW(Lookup_Status!$A$2:$A$13)-1))))</f>
        <v>Confirmed</v>
      </c>
      <c r="H949" s="7" t="str">
        <f>IF(SUMPRODUCT(--(Lookup_Status!$A$2:$A$13=LOWER(TRIM(Raw_Passengers!G949))))=0,"",INDEX(Lookup_Status!$B$2:$B$13,SUMPRODUCT((Lookup_Status!$A$2:$A$13=LOWER(TRIM(Raw_Passengers!G949)))*(ROW(Lookup_Status!$A$2:$A$13)-1))))</f>
        <v>Confirmed</v>
      </c>
      <c r="I949" s="7">
        <f>IF(OR(G949="",G949="Cancelled",G949="Mixed"),1,0)</f>
        <v>0</v>
      </c>
      <c r="J949" s="7">
        <f>IF(OR(H949="",H949="Mixed"),1,0)</f>
        <v>0</v>
      </c>
      <c r="K949" s="7">
        <f>IF(AND(C949=0,D949=0),IF(OR(AND(I949=0,NOT(EXACT(Raw_Passengers!F949,G949))),AND(J949=0,NOT(EXACT(Raw_Passengers!G949,H949)))),1,0),0)</f>
        <v>0</v>
      </c>
      <c r="L949" s="7">
        <f>IF(AND(C949=0,D949=0,I949=1),1,0)</f>
        <v>0</v>
      </c>
      <c r="M949" s="7">
        <f>IF(AND(C949=0,D949=0,J949=1),1,0)</f>
        <v>0</v>
      </c>
    </row>
    <row r="950" spans="1:13">
      <c r="A950" s="7">
        <f>Raw_Passengers!A950</f>
        <v>312166</v>
      </c>
      <c r="B950" s="7">
        <f>Raw_Passengers!B950</f>
        <v>1154672</v>
      </c>
      <c r="C950" s="7">
        <f>IF(COUNTIF(Raw_Passengers!$A$2:A950,Raw_Passengers!A950)&gt;1,1,0)</f>
        <v>0</v>
      </c>
      <c r="D950" s="7">
        <f>IF(COUNTIF(Raw_Bookings!$A$2:$A$648,Raw_Passengers!B950)=0,1,0)</f>
        <v>0</v>
      </c>
      <c r="E950" s="7">
        <f>IF(OR(C950=1,D950=1),0,IF(NOT(ISNUMBER(Raw_Passengers!E950)),1,IF(Raw_Passengers!E950&lt;=0,1,0)))</f>
        <v>0</v>
      </c>
      <c r="F950" s="7">
        <f>IF(AND(C950=0,D950=0,TRIM(Raw_Passengers!D950&amp;"")=""),1,0)</f>
        <v>0</v>
      </c>
      <c r="G950" s="7" t="str">
        <f>IF(SUMPRODUCT(--(Lookup_Status!$A$2:$A$13=LOWER(TRIM(Raw_Passengers!F950))))=0,"",INDEX(Lookup_Status!$B$2:$B$13,SUMPRODUCT((Lookup_Status!$A$2:$A$13=LOWER(TRIM(Raw_Passengers!F950)))*(ROW(Lookup_Status!$A$2:$A$13)-1))))</f>
        <v>Confirmed</v>
      </c>
      <c r="H950" s="7" t="str">
        <f>IF(SUMPRODUCT(--(Lookup_Status!$A$2:$A$13=LOWER(TRIM(Raw_Passengers!G950))))=0,"",INDEX(Lookup_Status!$B$2:$B$13,SUMPRODUCT((Lookup_Status!$A$2:$A$13=LOWER(TRIM(Raw_Passengers!G950)))*(ROW(Lookup_Status!$A$2:$A$13)-1))))</f>
        <v>Confirmed</v>
      </c>
      <c r="I950" s="7">
        <f>IF(OR(G950="",G950="Cancelled",G950="Mixed"),1,0)</f>
        <v>0</v>
      </c>
      <c r="J950" s="7">
        <f>IF(OR(H950="",H950="Mixed"),1,0)</f>
        <v>0</v>
      </c>
      <c r="K950" s="7">
        <f>IF(AND(C950=0,D950=0),IF(OR(AND(I950=0,NOT(EXACT(Raw_Passengers!F950,G950))),AND(J950=0,NOT(EXACT(Raw_Passengers!G950,H950)))),1,0),0)</f>
        <v>0</v>
      </c>
      <c r="L950" s="7">
        <f>IF(AND(C950=0,D950=0,I950=1),1,0)</f>
        <v>0</v>
      </c>
      <c r="M950" s="7">
        <f>IF(AND(C950=0,D950=0,J950=1),1,0)</f>
        <v>0</v>
      </c>
    </row>
    <row r="951" spans="1:13">
      <c r="A951" s="7">
        <f>Raw_Passengers!A951</f>
        <v>312167</v>
      </c>
      <c r="B951" s="7">
        <f>Raw_Passengers!B951</f>
        <v>1154672</v>
      </c>
      <c r="C951" s="7">
        <f>IF(COUNTIF(Raw_Passengers!$A$2:A951,Raw_Passengers!A951)&gt;1,1,0)</f>
        <v>0</v>
      </c>
      <c r="D951" s="7">
        <f>IF(COUNTIF(Raw_Bookings!$A$2:$A$648,Raw_Passengers!B951)=0,1,0)</f>
        <v>0</v>
      </c>
      <c r="E951" s="7">
        <f>IF(OR(C951=1,D951=1),0,IF(NOT(ISNUMBER(Raw_Passengers!E951)),1,IF(Raw_Passengers!E951&lt;=0,1,0)))</f>
        <v>0</v>
      </c>
      <c r="F951" s="7">
        <f>IF(AND(C951=0,D951=0,TRIM(Raw_Passengers!D951&amp;"")=""),1,0)</f>
        <v>0</v>
      </c>
      <c r="G951" s="7" t="str">
        <f>IF(SUMPRODUCT(--(Lookup_Status!$A$2:$A$13=LOWER(TRIM(Raw_Passengers!F951))))=0,"",INDEX(Lookup_Status!$B$2:$B$13,SUMPRODUCT((Lookup_Status!$A$2:$A$13=LOWER(TRIM(Raw_Passengers!F951)))*(ROW(Lookup_Status!$A$2:$A$13)-1))))</f>
        <v>Confirmed</v>
      </c>
      <c r="H951" s="7" t="str">
        <f>IF(SUMPRODUCT(--(Lookup_Status!$A$2:$A$13=LOWER(TRIM(Raw_Passengers!G951))))=0,"",INDEX(Lookup_Status!$B$2:$B$13,SUMPRODUCT((Lookup_Status!$A$2:$A$13=LOWER(TRIM(Raw_Passengers!G951)))*(ROW(Lookup_Status!$A$2:$A$13)-1))))</f>
        <v>Confirmed</v>
      </c>
      <c r="I951" s="7">
        <f>IF(OR(G951="",G951="Cancelled",G951="Mixed"),1,0)</f>
        <v>0</v>
      </c>
      <c r="J951" s="7">
        <f>IF(OR(H951="",H951="Mixed"),1,0)</f>
        <v>0</v>
      </c>
      <c r="K951" s="7">
        <f>IF(AND(C951=0,D951=0),IF(OR(AND(I951=0,NOT(EXACT(Raw_Passengers!F951,G951))),AND(J951=0,NOT(EXACT(Raw_Passengers!G951,H951)))),1,0),0)</f>
        <v>0</v>
      </c>
      <c r="L951" s="7">
        <f>IF(AND(C951=0,D951=0,I951=1),1,0)</f>
        <v>0</v>
      </c>
      <c r="M951" s="7">
        <f>IF(AND(C951=0,D951=0,J951=1),1,0)</f>
        <v>0</v>
      </c>
    </row>
    <row r="952" spans="1:13">
      <c r="A952" s="7">
        <f>Raw_Passengers!A952</f>
        <v>312168</v>
      </c>
      <c r="B952" s="7">
        <f>Raw_Passengers!B952</f>
        <v>1154672</v>
      </c>
      <c r="C952" s="7">
        <f>IF(COUNTIF(Raw_Passengers!$A$2:A952,Raw_Passengers!A952)&gt;1,1,0)</f>
        <v>0</v>
      </c>
      <c r="D952" s="7">
        <f>IF(COUNTIF(Raw_Bookings!$A$2:$A$648,Raw_Passengers!B952)=0,1,0)</f>
        <v>0</v>
      </c>
      <c r="E952" s="7">
        <f>IF(OR(C952=1,D952=1),0,IF(NOT(ISNUMBER(Raw_Passengers!E952)),1,IF(Raw_Passengers!E952&lt;=0,1,0)))</f>
        <v>0</v>
      </c>
      <c r="F952" s="7">
        <f>IF(AND(C952=0,D952=0,TRIM(Raw_Passengers!D952&amp;"")=""),1,0)</f>
        <v>0</v>
      </c>
      <c r="G952" s="7" t="str">
        <f>IF(SUMPRODUCT(--(Lookup_Status!$A$2:$A$13=LOWER(TRIM(Raw_Passengers!F952))))=0,"",INDEX(Lookup_Status!$B$2:$B$13,SUMPRODUCT((Lookup_Status!$A$2:$A$13=LOWER(TRIM(Raw_Passengers!F952)))*(ROW(Lookup_Status!$A$2:$A$13)-1))))</f>
        <v>Confirmed</v>
      </c>
      <c r="H952" s="7" t="str">
        <f>IF(SUMPRODUCT(--(Lookup_Status!$A$2:$A$13=LOWER(TRIM(Raw_Passengers!G952))))=0,"",INDEX(Lookup_Status!$B$2:$B$13,SUMPRODUCT((Lookup_Status!$A$2:$A$13=LOWER(TRIM(Raw_Passengers!G952)))*(ROW(Lookup_Status!$A$2:$A$13)-1))))</f>
        <v>Confirmed</v>
      </c>
      <c r="I952" s="7">
        <f>IF(OR(G952="",G952="Cancelled",G952="Mixed"),1,0)</f>
        <v>0</v>
      </c>
      <c r="J952" s="7">
        <f>IF(OR(H952="",H952="Mixed"),1,0)</f>
        <v>0</v>
      </c>
      <c r="K952" s="7">
        <f>IF(AND(C952=0,D952=0),IF(OR(AND(I952=0,NOT(EXACT(Raw_Passengers!F952,G952))),AND(J952=0,NOT(EXACT(Raw_Passengers!G952,H952)))),1,0),0)</f>
        <v>0</v>
      </c>
      <c r="L952" s="7">
        <f>IF(AND(C952=0,D952=0,I952=1),1,0)</f>
        <v>0</v>
      </c>
      <c r="M952" s="7">
        <f>IF(AND(C952=0,D952=0,J952=1),1,0)</f>
        <v>0</v>
      </c>
    </row>
    <row r="953" spans="1:13">
      <c r="A953" s="7">
        <f>Raw_Passengers!A953</f>
        <v>312169</v>
      </c>
      <c r="B953" s="7">
        <f>Raw_Passengers!B953</f>
        <v>1154672</v>
      </c>
      <c r="C953" s="7">
        <f>IF(COUNTIF(Raw_Passengers!$A$2:A953,Raw_Passengers!A953)&gt;1,1,0)</f>
        <v>0</v>
      </c>
      <c r="D953" s="7">
        <f>IF(COUNTIF(Raw_Bookings!$A$2:$A$648,Raw_Passengers!B953)=0,1,0)</f>
        <v>0</v>
      </c>
      <c r="E953" s="7">
        <f>IF(OR(C953=1,D953=1),0,IF(NOT(ISNUMBER(Raw_Passengers!E953)),1,IF(Raw_Passengers!E953&lt;=0,1,0)))</f>
        <v>0</v>
      </c>
      <c r="F953" s="7">
        <f>IF(AND(C953=0,D953=0,TRIM(Raw_Passengers!D953&amp;"")=""),1,0)</f>
        <v>0</v>
      </c>
      <c r="G953" s="7" t="str">
        <f>IF(SUMPRODUCT(--(Lookup_Status!$A$2:$A$13=LOWER(TRIM(Raw_Passengers!F953))))=0,"",INDEX(Lookup_Status!$B$2:$B$13,SUMPRODUCT((Lookup_Status!$A$2:$A$13=LOWER(TRIM(Raw_Passengers!F953)))*(ROW(Lookup_Status!$A$2:$A$13)-1))))</f>
        <v>Confirmed</v>
      </c>
      <c r="H953" s="7" t="str">
        <f>IF(SUMPRODUCT(--(Lookup_Status!$A$2:$A$13=LOWER(TRIM(Raw_Passengers!G953))))=0,"",INDEX(Lookup_Status!$B$2:$B$13,SUMPRODUCT((Lookup_Status!$A$2:$A$13=LOWER(TRIM(Raw_Passengers!G953)))*(ROW(Lookup_Status!$A$2:$A$13)-1))))</f>
        <v>Confirmed</v>
      </c>
      <c r="I953" s="7">
        <f>IF(OR(G953="",G953="Cancelled",G953="Mixed"),1,0)</f>
        <v>0</v>
      </c>
      <c r="J953" s="7">
        <f>IF(OR(H953="",H953="Mixed"),1,0)</f>
        <v>0</v>
      </c>
      <c r="K953" s="7">
        <f>IF(AND(C953=0,D953=0),IF(OR(AND(I953=0,NOT(EXACT(Raw_Passengers!F953,G953))),AND(J953=0,NOT(EXACT(Raw_Passengers!G953,H953)))),1,0),0)</f>
        <v>0</v>
      </c>
      <c r="L953" s="7">
        <f>IF(AND(C953=0,D953=0,I953=1),1,0)</f>
        <v>0</v>
      </c>
      <c r="M953" s="7">
        <f>IF(AND(C953=0,D953=0,J953=1),1,0)</f>
        <v>0</v>
      </c>
    </row>
    <row r="954" spans="1:13">
      <c r="A954" s="7">
        <f>Raw_Passengers!A954</f>
        <v>312376</v>
      </c>
      <c r="B954" s="7">
        <f>Raw_Passengers!B954</f>
        <v>1154784</v>
      </c>
      <c r="C954" s="7">
        <f>IF(COUNTIF(Raw_Passengers!$A$2:A954,Raw_Passengers!A954)&gt;1,1,0)</f>
        <v>0</v>
      </c>
      <c r="D954" s="7">
        <f>IF(COUNTIF(Raw_Bookings!$A$2:$A$648,Raw_Passengers!B954)=0,1,0)</f>
        <v>0</v>
      </c>
      <c r="E954" s="7">
        <f>IF(OR(C954=1,D954=1),0,IF(NOT(ISNUMBER(Raw_Passengers!E954)),1,IF(Raw_Passengers!E954&lt;=0,1,0)))</f>
        <v>0</v>
      </c>
      <c r="F954" s="7">
        <f>IF(AND(C954=0,D954=0,TRIM(Raw_Passengers!D954&amp;"")=""),1,0)</f>
        <v>0</v>
      </c>
      <c r="G954" s="7" t="str">
        <f>IF(SUMPRODUCT(--(Lookup_Status!$A$2:$A$13=LOWER(TRIM(Raw_Passengers!F954))))=0,"",INDEX(Lookup_Status!$B$2:$B$13,SUMPRODUCT((Lookup_Status!$A$2:$A$13=LOWER(TRIM(Raw_Passengers!F954)))*(ROW(Lookup_Status!$A$2:$A$13)-1))))</f>
        <v>Confirmed</v>
      </c>
      <c r="H954" s="7" t="str">
        <f>IF(SUMPRODUCT(--(Lookup_Status!$A$2:$A$13=LOWER(TRIM(Raw_Passengers!G954))))=0,"",INDEX(Lookup_Status!$B$2:$B$13,SUMPRODUCT((Lookup_Status!$A$2:$A$13=LOWER(TRIM(Raw_Passengers!G954)))*(ROW(Lookup_Status!$A$2:$A$13)-1))))</f>
        <v>Confirmed</v>
      </c>
      <c r="I954" s="7">
        <f>IF(OR(G954="",G954="Cancelled",G954="Mixed"),1,0)</f>
        <v>0</v>
      </c>
      <c r="J954" s="7">
        <f>IF(OR(H954="",H954="Mixed"),1,0)</f>
        <v>0</v>
      </c>
      <c r="K954" s="7">
        <f>IF(AND(C954=0,D954=0),IF(OR(AND(I954=0,NOT(EXACT(Raw_Passengers!F954,G954))),AND(J954=0,NOT(EXACT(Raw_Passengers!G954,H954)))),1,0),0)</f>
        <v>0</v>
      </c>
      <c r="L954" s="7">
        <f>IF(AND(C954=0,D954=0,I954=1),1,0)</f>
        <v>0</v>
      </c>
      <c r="M954" s="7">
        <f>IF(AND(C954=0,D954=0,J954=1),1,0)</f>
        <v>0</v>
      </c>
    </row>
    <row r="955" spans="1:13">
      <c r="A955" s="7">
        <f>Raw_Passengers!A955</f>
        <v>312377</v>
      </c>
      <c r="B955" s="7">
        <f>Raw_Passengers!B955</f>
        <v>1154784</v>
      </c>
      <c r="C955" s="7">
        <f>IF(COUNTIF(Raw_Passengers!$A$2:A955,Raw_Passengers!A955)&gt;1,1,0)</f>
        <v>0</v>
      </c>
      <c r="D955" s="7">
        <f>IF(COUNTIF(Raw_Bookings!$A$2:$A$648,Raw_Passengers!B955)=0,1,0)</f>
        <v>0</v>
      </c>
      <c r="E955" s="7">
        <f>IF(OR(C955=1,D955=1),0,IF(NOT(ISNUMBER(Raw_Passengers!E955)),1,IF(Raw_Passengers!E955&lt;=0,1,0)))</f>
        <v>0</v>
      </c>
      <c r="F955" s="7">
        <f>IF(AND(C955=0,D955=0,TRIM(Raw_Passengers!D955&amp;"")=""),1,0)</f>
        <v>0</v>
      </c>
      <c r="G955" s="7" t="str">
        <f>IF(SUMPRODUCT(--(Lookup_Status!$A$2:$A$13=LOWER(TRIM(Raw_Passengers!F955))))=0,"",INDEX(Lookup_Status!$B$2:$B$13,SUMPRODUCT((Lookup_Status!$A$2:$A$13=LOWER(TRIM(Raw_Passengers!F955)))*(ROW(Lookup_Status!$A$2:$A$13)-1))))</f>
        <v>Confirmed</v>
      </c>
      <c r="H955" s="7" t="str">
        <f>IF(SUMPRODUCT(--(Lookup_Status!$A$2:$A$13=LOWER(TRIM(Raw_Passengers!G955))))=0,"",INDEX(Lookup_Status!$B$2:$B$13,SUMPRODUCT((Lookup_Status!$A$2:$A$13=LOWER(TRIM(Raw_Passengers!G955)))*(ROW(Lookup_Status!$A$2:$A$13)-1))))</f>
        <v>Confirmed</v>
      </c>
      <c r="I955" s="7">
        <f>IF(OR(G955="",G955="Cancelled",G955="Mixed"),1,0)</f>
        <v>0</v>
      </c>
      <c r="J955" s="7">
        <f>IF(OR(H955="",H955="Mixed"),1,0)</f>
        <v>0</v>
      </c>
      <c r="K955" s="7">
        <f>IF(AND(C955=0,D955=0),IF(OR(AND(I955=0,NOT(EXACT(Raw_Passengers!F955,G955))),AND(J955=0,NOT(EXACT(Raw_Passengers!G955,H955)))),1,0),0)</f>
        <v>0</v>
      </c>
      <c r="L955" s="7">
        <f>IF(AND(C955=0,D955=0,I955=1),1,0)</f>
        <v>0</v>
      </c>
      <c r="M955" s="7">
        <f>IF(AND(C955=0,D955=0,J955=1),1,0)</f>
        <v>0</v>
      </c>
    </row>
    <row r="956" spans="1:13">
      <c r="A956" s="7">
        <f>Raw_Passengers!A956</f>
        <v>312402</v>
      </c>
      <c r="B956" s="7">
        <f>Raw_Passengers!B956</f>
        <v>1154799</v>
      </c>
      <c r="C956" s="7">
        <f>IF(COUNTIF(Raw_Passengers!$A$2:A956,Raw_Passengers!A956)&gt;1,1,0)</f>
        <v>0</v>
      </c>
      <c r="D956" s="7">
        <f>IF(COUNTIF(Raw_Bookings!$A$2:$A$648,Raw_Passengers!B956)=0,1,0)</f>
        <v>0</v>
      </c>
      <c r="E956" s="7">
        <f>IF(OR(C956=1,D956=1),0,IF(NOT(ISNUMBER(Raw_Passengers!E956)),1,IF(Raw_Passengers!E956&lt;=0,1,0)))</f>
        <v>0</v>
      </c>
      <c r="F956" s="7">
        <f>IF(AND(C956=0,D956=0,TRIM(Raw_Passengers!D956&amp;"")=""),1,0)</f>
        <v>0</v>
      </c>
      <c r="G956" s="7" t="str">
        <f>IF(SUMPRODUCT(--(Lookup_Status!$A$2:$A$13=LOWER(TRIM(Raw_Passengers!F956))))=0,"",INDEX(Lookup_Status!$B$2:$B$13,SUMPRODUCT((Lookup_Status!$A$2:$A$13=LOWER(TRIM(Raw_Passengers!F956)))*(ROW(Lookup_Status!$A$2:$A$13)-1))))</f>
        <v>Confirmed</v>
      </c>
      <c r="H956" s="7" t="str">
        <f>IF(SUMPRODUCT(--(Lookup_Status!$A$2:$A$13=LOWER(TRIM(Raw_Passengers!G956))))=0,"",INDEX(Lookup_Status!$B$2:$B$13,SUMPRODUCT((Lookup_Status!$A$2:$A$13=LOWER(TRIM(Raw_Passengers!G956)))*(ROW(Lookup_Status!$A$2:$A$13)-1))))</f>
        <v>Confirmed</v>
      </c>
      <c r="I956" s="7">
        <f>IF(OR(G956="",G956="Cancelled",G956="Mixed"),1,0)</f>
        <v>0</v>
      </c>
      <c r="J956" s="7">
        <f>IF(OR(H956="",H956="Mixed"),1,0)</f>
        <v>0</v>
      </c>
      <c r="K956" s="7">
        <f>IF(AND(C956=0,D956=0),IF(OR(AND(I956=0,NOT(EXACT(Raw_Passengers!F956,G956))),AND(J956=0,NOT(EXACT(Raw_Passengers!G956,H956)))),1,0),0)</f>
        <v>0</v>
      </c>
      <c r="L956" s="7">
        <f>IF(AND(C956=0,D956=0,I956=1),1,0)</f>
        <v>0</v>
      </c>
      <c r="M956" s="7">
        <f>IF(AND(C956=0,D956=0,J956=1),1,0)</f>
        <v>0</v>
      </c>
    </row>
    <row r="957" spans="1:13">
      <c r="A957" s="7">
        <f>Raw_Passengers!A957</f>
        <v>312594</v>
      </c>
      <c r="B957" s="7">
        <f>Raw_Passengers!B957</f>
        <v>1154897</v>
      </c>
      <c r="C957" s="7">
        <f>IF(COUNTIF(Raw_Passengers!$A$2:A957,Raw_Passengers!A957)&gt;1,1,0)</f>
        <v>0</v>
      </c>
      <c r="D957" s="7">
        <f>IF(COUNTIF(Raw_Bookings!$A$2:$A$648,Raw_Passengers!B957)=0,1,0)</f>
        <v>0</v>
      </c>
      <c r="E957" s="7">
        <f>IF(OR(C957=1,D957=1),0,IF(NOT(ISNUMBER(Raw_Passengers!E957)),1,IF(Raw_Passengers!E957&lt;=0,1,0)))</f>
        <v>0</v>
      </c>
      <c r="F957" s="7">
        <f>IF(AND(C957=0,D957=0,TRIM(Raw_Passengers!D957&amp;"")=""),1,0)</f>
        <v>0</v>
      </c>
      <c r="G957" s="7" t="str">
        <f>IF(SUMPRODUCT(--(Lookup_Status!$A$2:$A$13=LOWER(TRIM(Raw_Passengers!F957))))=0,"",INDEX(Lookup_Status!$B$2:$B$13,SUMPRODUCT((Lookup_Status!$A$2:$A$13=LOWER(TRIM(Raw_Passengers!F957)))*(ROW(Lookup_Status!$A$2:$A$13)-1))))</f>
        <v>Confirmed</v>
      </c>
      <c r="H957" s="7" t="str">
        <f>IF(SUMPRODUCT(--(Lookup_Status!$A$2:$A$13=LOWER(TRIM(Raw_Passengers!G957))))=0,"",INDEX(Lookup_Status!$B$2:$B$13,SUMPRODUCT((Lookup_Status!$A$2:$A$13=LOWER(TRIM(Raw_Passengers!G957)))*(ROW(Lookup_Status!$A$2:$A$13)-1))))</f>
        <v>Confirmed</v>
      </c>
      <c r="I957" s="7">
        <f>IF(OR(G957="",G957="Cancelled",G957="Mixed"),1,0)</f>
        <v>0</v>
      </c>
      <c r="J957" s="7">
        <f>IF(OR(H957="",H957="Mixed"),1,0)</f>
        <v>0</v>
      </c>
      <c r="K957" s="7">
        <f>IF(AND(C957=0,D957=0),IF(OR(AND(I957=0,NOT(EXACT(Raw_Passengers!F957,G957))),AND(J957=0,NOT(EXACT(Raw_Passengers!G957,H957)))),1,0),0)</f>
        <v>0</v>
      </c>
      <c r="L957" s="7">
        <f>IF(AND(C957=0,D957=0,I957=1),1,0)</f>
        <v>0</v>
      </c>
      <c r="M957" s="7">
        <f>IF(AND(C957=0,D957=0,J957=1),1,0)</f>
        <v>0</v>
      </c>
    </row>
    <row r="958" spans="1:13">
      <c r="A958" s="7">
        <f>Raw_Passengers!A958</f>
        <v>312828</v>
      </c>
      <c r="B958" s="7">
        <f>Raw_Passengers!B958</f>
        <v>1155002</v>
      </c>
      <c r="C958" s="7">
        <f>IF(COUNTIF(Raw_Passengers!$A$2:A958,Raw_Passengers!A958)&gt;1,1,0)</f>
        <v>0</v>
      </c>
      <c r="D958" s="7">
        <f>IF(COUNTIF(Raw_Bookings!$A$2:$A$648,Raw_Passengers!B958)=0,1,0)</f>
        <v>0</v>
      </c>
      <c r="E958" s="7">
        <f>IF(OR(C958=1,D958=1),0,IF(NOT(ISNUMBER(Raw_Passengers!E958)),1,IF(Raw_Passengers!E958&lt;=0,1,0)))</f>
        <v>0</v>
      </c>
      <c r="F958" s="7">
        <f>IF(AND(C958=0,D958=0,TRIM(Raw_Passengers!D958&amp;"")=""),1,0)</f>
        <v>0</v>
      </c>
      <c r="G958" s="7" t="str">
        <f>IF(SUMPRODUCT(--(Lookup_Status!$A$2:$A$13=LOWER(TRIM(Raw_Passengers!F958))))=0,"",INDEX(Lookup_Status!$B$2:$B$13,SUMPRODUCT((Lookup_Status!$A$2:$A$13=LOWER(TRIM(Raw_Passengers!F958)))*(ROW(Lookup_Status!$A$2:$A$13)-1))))</f>
        <v>Confirmed</v>
      </c>
      <c r="H958" s="7" t="str">
        <f>IF(SUMPRODUCT(--(Lookup_Status!$A$2:$A$13=LOWER(TRIM(Raw_Passengers!G958))))=0,"",INDEX(Lookup_Status!$B$2:$B$13,SUMPRODUCT((Lookup_Status!$A$2:$A$13=LOWER(TRIM(Raw_Passengers!G958)))*(ROW(Lookup_Status!$A$2:$A$13)-1))))</f>
        <v>Confirmed</v>
      </c>
      <c r="I958" s="7">
        <f>IF(OR(G958="",G958="Cancelled",G958="Mixed"),1,0)</f>
        <v>0</v>
      </c>
      <c r="J958" s="7">
        <f>IF(OR(H958="",H958="Mixed"),1,0)</f>
        <v>0</v>
      </c>
      <c r="K958" s="7">
        <f>IF(AND(C958=0,D958=0),IF(OR(AND(I958=0,NOT(EXACT(Raw_Passengers!F958,G958))),AND(J958=0,NOT(EXACT(Raw_Passengers!G958,H958)))),1,0),0)</f>
        <v>0</v>
      </c>
      <c r="L958" s="7">
        <f>IF(AND(C958=0,D958=0,I958=1),1,0)</f>
        <v>0</v>
      </c>
      <c r="M958" s="7">
        <f>IF(AND(C958=0,D958=0,J958=1),1,0)</f>
        <v>0</v>
      </c>
    </row>
    <row r="959" spans="1:13">
      <c r="A959" s="7">
        <f>Raw_Passengers!A959</f>
        <v>312829</v>
      </c>
      <c r="B959" s="7">
        <f>Raw_Passengers!B959</f>
        <v>1155002</v>
      </c>
      <c r="C959" s="7">
        <f>IF(COUNTIF(Raw_Passengers!$A$2:A959,Raw_Passengers!A959)&gt;1,1,0)</f>
        <v>0</v>
      </c>
      <c r="D959" s="7">
        <f>IF(COUNTIF(Raw_Bookings!$A$2:$A$648,Raw_Passengers!B959)=0,1,0)</f>
        <v>0</v>
      </c>
      <c r="E959" s="7">
        <f>IF(OR(C959=1,D959=1),0,IF(NOT(ISNUMBER(Raw_Passengers!E959)),1,IF(Raw_Passengers!E959&lt;=0,1,0)))</f>
        <v>0</v>
      </c>
      <c r="F959" s="7">
        <f>IF(AND(C959=0,D959=0,TRIM(Raw_Passengers!D959&amp;"")=""),1,0)</f>
        <v>0</v>
      </c>
      <c r="G959" s="7" t="str">
        <f>IF(SUMPRODUCT(--(Lookup_Status!$A$2:$A$13=LOWER(TRIM(Raw_Passengers!F959))))=0,"",INDEX(Lookup_Status!$B$2:$B$13,SUMPRODUCT((Lookup_Status!$A$2:$A$13=LOWER(TRIM(Raw_Passengers!F959)))*(ROW(Lookup_Status!$A$2:$A$13)-1))))</f>
        <v>Confirmed</v>
      </c>
      <c r="H959" s="7" t="str">
        <f>IF(SUMPRODUCT(--(Lookup_Status!$A$2:$A$13=LOWER(TRIM(Raw_Passengers!G959))))=0,"",INDEX(Lookup_Status!$B$2:$B$13,SUMPRODUCT((Lookup_Status!$A$2:$A$13=LOWER(TRIM(Raw_Passengers!G959)))*(ROW(Lookup_Status!$A$2:$A$13)-1))))</f>
        <v>Confirmed</v>
      </c>
      <c r="I959" s="7">
        <f>IF(OR(G959="",G959="Cancelled",G959="Mixed"),1,0)</f>
        <v>0</v>
      </c>
      <c r="J959" s="7">
        <f>IF(OR(H959="",H959="Mixed"),1,0)</f>
        <v>0</v>
      </c>
      <c r="K959" s="7">
        <f>IF(AND(C959=0,D959=0),IF(OR(AND(I959=0,NOT(EXACT(Raw_Passengers!F959,G959))),AND(J959=0,NOT(EXACT(Raw_Passengers!G959,H959)))),1,0),0)</f>
        <v>0</v>
      </c>
      <c r="L959" s="7">
        <f>IF(AND(C959=0,D959=0,I959=1),1,0)</f>
        <v>0</v>
      </c>
      <c r="M959" s="7">
        <f>IF(AND(C959=0,D959=0,J959=1),1,0)</f>
        <v>0</v>
      </c>
    </row>
    <row r="960" spans="1:13">
      <c r="A960" s="7">
        <f>Raw_Passengers!A960</f>
        <v>313876</v>
      </c>
      <c r="B960" s="7">
        <f>Raw_Passengers!B960</f>
        <v>1155548</v>
      </c>
      <c r="C960" s="7">
        <f>IF(COUNTIF(Raw_Passengers!$A$2:A960,Raw_Passengers!A960)&gt;1,1,0)</f>
        <v>0</v>
      </c>
      <c r="D960" s="7">
        <f>IF(COUNTIF(Raw_Bookings!$A$2:$A$648,Raw_Passengers!B960)=0,1,0)</f>
        <v>0</v>
      </c>
      <c r="E960" s="7">
        <f>IF(OR(C960=1,D960=1),0,IF(NOT(ISNUMBER(Raw_Passengers!E960)),1,IF(Raw_Passengers!E960&lt;=0,1,0)))</f>
        <v>1</v>
      </c>
      <c r="F960" s="7">
        <f>IF(AND(C960=0,D960=0,TRIM(Raw_Passengers!D960&amp;"")=""),1,0)</f>
        <v>0</v>
      </c>
      <c r="G960" s="7" t="str">
        <f>IF(SUMPRODUCT(--(Lookup_Status!$A$2:$A$13=LOWER(TRIM(Raw_Passengers!F960))))=0,"",INDEX(Lookup_Status!$B$2:$B$13,SUMPRODUCT((Lookup_Status!$A$2:$A$13=LOWER(TRIM(Raw_Passengers!F960)))*(ROW(Lookup_Status!$A$2:$A$13)-1))))</f>
        <v>Confirmed</v>
      </c>
      <c r="H960" s="7" t="str">
        <f>IF(SUMPRODUCT(--(Lookup_Status!$A$2:$A$13=LOWER(TRIM(Raw_Passengers!G960))))=0,"",INDEX(Lookup_Status!$B$2:$B$13,SUMPRODUCT((Lookup_Status!$A$2:$A$13=LOWER(TRIM(Raw_Passengers!G960)))*(ROW(Lookup_Status!$A$2:$A$13)-1))))</f>
        <v>Cancelled</v>
      </c>
      <c r="I960" s="7">
        <f>IF(OR(G960="",G960="Cancelled",G960="Mixed"),1,0)</f>
        <v>0</v>
      </c>
      <c r="J960" s="7">
        <f>IF(OR(H960="",H960="Mixed"),1,0)</f>
        <v>0</v>
      </c>
      <c r="K960" s="7">
        <f>IF(AND(C960=0,D960=0),IF(OR(AND(I960=0,NOT(EXACT(Raw_Passengers!F960,G960))),AND(J960=0,NOT(EXACT(Raw_Passengers!G960,H960)))),1,0),0)</f>
        <v>0</v>
      </c>
      <c r="L960" s="7">
        <f>IF(AND(C960=0,D960=0,I960=1),1,0)</f>
        <v>0</v>
      </c>
      <c r="M960" s="7">
        <f>IF(AND(C960=0,D960=0,J960=1),1,0)</f>
        <v>0</v>
      </c>
    </row>
    <row r="961" spans="1:13">
      <c r="A961" s="7">
        <f>Raw_Passengers!A961</f>
        <v>314533</v>
      </c>
      <c r="B961" s="7">
        <f>Raw_Passengers!B961</f>
        <v>1155881</v>
      </c>
      <c r="C961" s="7">
        <f>IF(COUNTIF(Raw_Passengers!$A$2:A961,Raw_Passengers!A961)&gt;1,1,0)</f>
        <v>0</v>
      </c>
      <c r="D961" s="7">
        <f>IF(COUNTIF(Raw_Bookings!$A$2:$A$648,Raw_Passengers!B961)=0,1,0)</f>
        <v>0</v>
      </c>
      <c r="E961" s="7">
        <f>IF(OR(C961=1,D961=1),0,IF(NOT(ISNUMBER(Raw_Passengers!E961)),1,IF(Raw_Passengers!E961&lt;=0,1,0)))</f>
        <v>0</v>
      </c>
      <c r="F961" s="7">
        <f>IF(AND(C961=0,D961=0,TRIM(Raw_Passengers!D961&amp;"")=""),1,0)</f>
        <v>0</v>
      </c>
      <c r="G961" s="7" t="str">
        <f>IF(SUMPRODUCT(--(Lookup_Status!$A$2:$A$13=LOWER(TRIM(Raw_Passengers!F961))))=0,"",INDEX(Lookup_Status!$B$2:$B$13,SUMPRODUCT((Lookup_Status!$A$2:$A$13=LOWER(TRIM(Raw_Passengers!F961)))*(ROW(Lookup_Status!$A$2:$A$13)-1))))</f>
        <v>Confirmed</v>
      </c>
      <c r="H961" s="7" t="str">
        <f>IF(SUMPRODUCT(--(Lookup_Status!$A$2:$A$13=LOWER(TRIM(Raw_Passengers!G961))))=0,"",INDEX(Lookup_Status!$B$2:$B$13,SUMPRODUCT((Lookup_Status!$A$2:$A$13=LOWER(TRIM(Raw_Passengers!G961)))*(ROW(Lookup_Status!$A$2:$A$13)-1))))</f>
        <v>Confirmed</v>
      </c>
      <c r="I961" s="7">
        <f>IF(OR(G961="",G961="Cancelled",G961="Mixed"),1,0)</f>
        <v>0</v>
      </c>
      <c r="J961" s="7">
        <f>IF(OR(H961="",H961="Mixed"),1,0)</f>
        <v>0</v>
      </c>
      <c r="K961" s="7">
        <f>IF(AND(C961=0,D961=0),IF(OR(AND(I961=0,NOT(EXACT(Raw_Passengers!F961,G961))),AND(J961=0,NOT(EXACT(Raw_Passengers!G961,H961)))),1,0),0)</f>
        <v>0</v>
      </c>
      <c r="L961" s="7">
        <f>IF(AND(C961=0,D961=0,I961=1),1,0)</f>
        <v>0</v>
      </c>
      <c r="M961" s="7">
        <f>IF(AND(C961=0,D961=0,J961=1),1,0)</f>
        <v>0</v>
      </c>
    </row>
    <row r="962" spans="1:13">
      <c r="A962" s="7">
        <f>Raw_Passengers!A962</f>
        <v>314680</v>
      </c>
      <c r="B962" s="7">
        <f>Raw_Passengers!B962</f>
        <v>1155958</v>
      </c>
      <c r="C962" s="7">
        <f>IF(COUNTIF(Raw_Passengers!$A$2:A962,Raw_Passengers!A962)&gt;1,1,0)</f>
        <v>0</v>
      </c>
      <c r="D962" s="7">
        <f>IF(COUNTIF(Raw_Bookings!$A$2:$A$648,Raw_Passengers!B962)=0,1,0)</f>
        <v>0</v>
      </c>
      <c r="E962" s="7">
        <f>IF(OR(C962=1,D962=1),0,IF(NOT(ISNUMBER(Raw_Passengers!E962)),1,IF(Raw_Passengers!E962&lt;=0,1,0)))</f>
        <v>0</v>
      </c>
      <c r="F962" s="7">
        <f>IF(AND(C962=0,D962=0,TRIM(Raw_Passengers!D962&amp;"")=""),1,0)</f>
        <v>0</v>
      </c>
      <c r="G962" s="7" t="str">
        <f>IF(SUMPRODUCT(--(Lookup_Status!$A$2:$A$13=LOWER(TRIM(Raw_Passengers!F962))))=0,"",INDEX(Lookup_Status!$B$2:$B$13,SUMPRODUCT((Lookup_Status!$A$2:$A$13=LOWER(TRIM(Raw_Passengers!F962)))*(ROW(Lookup_Status!$A$2:$A$13)-1))))</f>
        <v>RAC</v>
      </c>
      <c r="H962" s="7" t="str">
        <f>IF(SUMPRODUCT(--(Lookup_Status!$A$2:$A$13=LOWER(TRIM(Raw_Passengers!G962))))=0,"",INDEX(Lookup_Status!$B$2:$B$13,SUMPRODUCT((Lookup_Status!$A$2:$A$13=LOWER(TRIM(Raw_Passengers!G962)))*(ROW(Lookup_Status!$A$2:$A$13)-1))))</f>
        <v>RAC</v>
      </c>
      <c r="I962" s="7">
        <f>IF(OR(G962="",G962="Cancelled",G962="Mixed"),1,0)</f>
        <v>0</v>
      </c>
      <c r="J962" s="7">
        <f>IF(OR(H962="",H962="Mixed"),1,0)</f>
        <v>0</v>
      </c>
      <c r="K962" s="7">
        <f>IF(AND(C962=0,D962=0),IF(OR(AND(I962=0,NOT(EXACT(Raw_Passengers!F962,G962))),AND(J962=0,NOT(EXACT(Raw_Passengers!G962,H962)))),1,0),0)</f>
        <v>0</v>
      </c>
      <c r="L962" s="7">
        <f>IF(AND(C962=0,D962=0,I962=1),1,0)</f>
        <v>0</v>
      </c>
      <c r="M962" s="7">
        <f>IF(AND(C962=0,D962=0,J962=1),1,0)</f>
        <v>0</v>
      </c>
    </row>
    <row r="963" spans="1:13">
      <c r="A963" s="7">
        <f>Raw_Passengers!A963</f>
        <v>314681</v>
      </c>
      <c r="B963" s="7">
        <f>Raw_Passengers!B963</f>
        <v>1155958</v>
      </c>
      <c r="C963" s="7">
        <f>IF(COUNTIF(Raw_Passengers!$A$2:A963,Raw_Passengers!A963)&gt;1,1,0)</f>
        <v>0</v>
      </c>
      <c r="D963" s="7">
        <f>IF(COUNTIF(Raw_Bookings!$A$2:$A$648,Raw_Passengers!B963)=0,1,0)</f>
        <v>0</v>
      </c>
      <c r="E963" s="7">
        <f>IF(OR(C963=1,D963=1),0,IF(NOT(ISNUMBER(Raw_Passengers!E963)),1,IF(Raw_Passengers!E963&lt;=0,1,0)))</f>
        <v>0</v>
      </c>
      <c r="F963" s="7">
        <f>IF(AND(C963=0,D963=0,TRIM(Raw_Passengers!D963&amp;"")=""),1,0)</f>
        <v>0</v>
      </c>
      <c r="G963" s="7" t="str">
        <f>IF(SUMPRODUCT(--(Lookup_Status!$A$2:$A$13=LOWER(TRIM(Raw_Passengers!F963))))=0,"",INDEX(Lookup_Status!$B$2:$B$13,SUMPRODUCT((Lookup_Status!$A$2:$A$13=LOWER(TRIM(Raw_Passengers!F963)))*(ROW(Lookup_Status!$A$2:$A$13)-1))))</f>
        <v>RAC</v>
      </c>
      <c r="H963" s="7" t="str">
        <f>IF(SUMPRODUCT(--(Lookup_Status!$A$2:$A$13=LOWER(TRIM(Raw_Passengers!G963))))=0,"",INDEX(Lookup_Status!$B$2:$B$13,SUMPRODUCT((Lookup_Status!$A$2:$A$13=LOWER(TRIM(Raw_Passengers!G963)))*(ROW(Lookup_Status!$A$2:$A$13)-1))))</f>
        <v>RAC</v>
      </c>
      <c r="I963" s="7">
        <f>IF(OR(G963="",G963="Cancelled",G963="Mixed"),1,0)</f>
        <v>0</v>
      </c>
      <c r="J963" s="7">
        <f>IF(OR(H963="",H963="Mixed"),1,0)</f>
        <v>0</v>
      </c>
      <c r="K963" s="7">
        <f>IF(AND(C963=0,D963=0),IF(OR(AND(I963=0,NOT(EXACT(Raw_Passengers!F963,G963))),AND(J963=0,NOT(EXACT(Raw_Passengers!G963,H963)))),1,0),0)</f>
        <v>0</v>
      </c>
      <c r="L963" s="7">
        <f>IF(AND(C963=0,D963=0,I963=1),1,0)</f>
        <v>0</v>
      </c>
      <c r="M963" s="7">
        <f>IF(AND(C963=0,D963=0,J963=1),1,0)</f>
        <v>0</v>
      </c>
    </row>
    <row r="964" spans="1:13">
      <c r="A964" s="7">
        <f>Raw_Passengers!A964</f>
        <v>314682</v>
      </c>
      <c r="B964" s="7">
        <f>Raw_Passengers!B964</f>
        <v>1155958</v>
      </c>
      <c r="C964" s="7">
        <f>IF(COUNTIF(Raw_Passengers!$A$2:A964,Raw_Passengers!A964)&gt;1,1,0)</f>
        <v>0</v>
      </c>
      <c r="D964" s="7">
        <f>IF(COUNTIF(Raw_Bookings!$A$2:$A$648,Raw_Passengers!B964)=0,1,0)</f>
        <v>0</v>
      </c>
      <c r="E964" s="7">
        <f>IF(OR(C964=1,D964=1),0,IF(NOT(ISNUMBER(Raw_Passengers!E964)),1,IF(Raw_Passengers!E964&lt;=0,1,0)))</f>
        <v>0</v>
      </c>
      <c r="F964" s="7">
        <f>IF(AND(C964=0,D964=0,TRIM(Raw_Passengers!D964&amp;"")=""),1,0)</f>
        <v>0</v>
      </c>
      <c r="G964" s="7" t="str">
        <f>IF(SUMPRODUCT(--(Lookup_Status!$A$2:$A$13=LOWER(TRIM(Raw_Passengers!F964))))=0,"",INDEX(Lookup_Status!$B$2:$B$13,SUMPRODUCT((Lookup_Status!$A$2:$A$13=LOWER(TRIM(Raw_Passengers!F964)))*(ROW(Lookup_Status!$A$2:$A$13)-1))))</f>
        <v>RAC</v>
      </c>
      <c r="H964" s="7" t="str">
        <f>IF(SUMPRODUCT(--(Lookup_Status!$A$2:$A$13=LOWER(TRIM(Raw_Passengers!G964))))=0,"",INDEX(Lookup_Status!$B$2:$B$13,SUMPRODUCT((Lookup_Status!$A$2:$A$13=LOWER(TRIM(Raw_Passengers!G964)))*(ROW(Lookup_Status!$A$2:$A$13)-1))))</f>
        <v>RAC</v>
      </c>
      <c r="I964" s="7">
        <f>IF(OR(G964="",G964="Cancelled",G964="Mixed"),1,0)</f>
        <v>0</v>
      </c>
      <c r="J964" s="7">
        <f>IF(OR(H964="",H964="Mixed"),1,0)</f>
        <v>0</v>
      </c>
      <c r="K964" s="7">
        <f>IF(AND(C964=0,D964=0),IF(OR(AND(I964=0,NOT(EXACT(Raw_Passengers!F964,G964))),AND(J964=0,NOT(EXACT(Raw_Passengers!G964,H964)))),1,0),0)</f>
        <v>0</v>
      </c>
      <c r="L964" s="7">
        <f>IF(AND(C964=0,D964=0,I964=1),1,0)</f>
        <v>0</v>
      </c>
      <c r="M964" s="7">
        <f>IF(AND(C964=0,D964=0,J964=1),1,0)</f>
        <v>0</v>
      </c>
    </row>
    <row r="965" spans="1:13">
      <c r="A965" s="7">
        <f>Raw_Passengers!A965</f>
        <v>314683</v>
      </c>
      <c r="B965" s="7">
        <f>Raw_Passengers!B965</f>
        <v>1155958</v>
      </c>
      <c r="C965" s="7">
        <f>IF(COUNTIF(Raw_Passengers!$A$2:A965,Raw_Passengers!A965)&gt;1,1,0)</f>
        <v>0</v>
      </c>
      <c r="D965" s="7">
        <f>IF(COUNTIF(Raw_Bookings!$A$2:$A$648,Raw_Passengers!B965)=0,1,0)</f>
        <v>0</v>
      </c>
      <c r="E965" s="7">
        <f>IF(OR(C965=1,D965=1),0,IF(NOT(ISNUMBER(Raw_Passengers!E965)),1,IF(Raw_Passengers!E965&lt;=0,1,0)))</f>
        <v>0</v>
      </c>
      <c r="F965" s="7">
        <f>IF(AND(C965=0,D965=0,TRIM(Raw_Passengers!D965&amp;"")=""),1,0)</f>
        <v>0</v>
      </c>
      <c r="G965" s="7" t="str">
        <f>IF(SUMPRODUCT(--(Lookup_Status!$A$2:$A$13=LOWER(TRIM(Raw_Passengers!F965))))=0,"",INDEX(Lookup_Status!$B$2:$B$13,SUMPRODUCT((Lookup_Status!$A$2:$A$13=LOWER(TRIM(Raw_Passengers!F965)))*(ROW(Lookup_Status!$A$2:$A$13)-1))))</f>
        <v>RAC</v>
      </c>
      <c r="H965" s="7" t="str">
        <f>IF(SUMPRODUCT(--(Lookup_Status!$A$2:$A$13=LOWER(TRIM(Raw_Passengers!G965))))=0,"",INDEX(Lookup_Status!$B$2:$B$13,SUMPRODUCT((Lookup_Status!$A$2:$A$13=LOWER(TRIM(Raw_Passengers!G965)))*(ROW(Lookup_Status!$A$2:$A$13)-1))))</f>
        <v>RAC</v>
      </c>
      <c r="I965" s="7">
        <f>IF(OR(G965="",G965="Cancelled",G965="Mixed"),1,0)</f>
        <v>0</v>
      </c>
      <c r="J965" s="7">
        <f>IF(OR(H965="",H965="Mixed"),1,0)</f>
        <v>0</v>
      </c>
      <c r="K965" s="7">
        <f>IF(AND(C965=0,D965=0),IF(OR(AND(I965=0,NOT(EXACT(Raw_Passengers!F965,G965))),AND(J965=0,NOT(EXACT(Raw_Passengers!G965,H965)))),1,0),0)</f>
        <v>0</v>
      </c>
      <c r="L965" s="7">
        <f>IF(AND(C965=0,D965=0,I965=1),1,0)</f>
        <v>0</v>
      </c>
      <c r="M965" s="7">
        <f>IF(AND(C965=0,D965=0,J965=1),1,0)</f>
        <v>0</v>
      </c>
    </row>
    <row r="966" spans="1:13">
      <c r="A966" s="7">
        <f>Raw_Passengers!A966</f>
        <v>316165</v>
      </c>
      <c r="B966" s="7">
        <f>Raw_Passengers!B966</f>
        <v>1156722</v>
      </c>
      <c r="C966" s="7">
        <f>IF(COUNTIF(Raw_Passengers!$A$2:A966,Raw_Passengers!A966)&gt;1,1,0)</f>
        <v>0</v>
      </c>
      <c r="D966" s="7">
        <f>IF(COUNTIF(Raw_Bookings!$A$2:$A$648,Raw_Passengers!B966)=0,1,0)</f>
        <v>0</v>
      </c>
      <c r="E966" s="7">
        <f>IF(OR(C966=1,D966=1),0,IF(NOT(ISNUMBER(Raw_Passengers!E966)),1,IF(Raw_Passengers!E966&lt;=0,1,0)))</f>
        <v>0</v>
      </c>
      <c r="F966" s="7">
        <f>IF(AND(C966=0,D966=0,TRIM(Raw_Passengers!D966&amp;"")=""),1,0)</f>
        <v>0</v>
      </c>
      <c r="G966" s="7" t="str">
        <f>IF(SUMPRODUCT(--(Lookup_Status!$A$2:$A$13=LOWER(TRIM(Raw_Passengers!F966))))=0,"",INDEX(Lookup_Status!$B$2:$B$13,SUMPRODUCT((Lookup_Status!$A$2:$A$13=LOWER(TRIM(Raw_Passengers!F966)))*(ROW(Lookup_Status!$A$2:$A$13)-1))))</f>
        <v>Waitlisted</v>
      </c>
      <c r="H966" s="7" t="str">
        <f>IF(SUMPRODUCT(--(Lookup_Status!$A$2:$A$13=LOWER(TRIM(Raw_Passengers!G966))))=0,"",INDEX(Lookup_Status!$B$2:$B$13,SUMPRODUCT((Lookup_Status!$A$2:$A$13=LOWER(TRIM(Raw_Passengers!G966)))*(ROW(Lookup_Status!$A$2:$A$13)-1))))</f>
        <v>Waitlisted</v>
      </c>
      <c r="I966" s="7">
        <f>IF(OR(G966="",G966="Cancelled",G966="Mixed"),1,0)</f>
        <v>0</v>
      </c>
      <c r="J966" s="7">
        <f>IF(OR(H966="",H966="Mixed"),1,0)</f>
        <v>0</v>
      </c>
      <c r="K966" s="7">
        <f>IF(AND(C966=0,D966=0),IF(OR(AND(I966=0,NOT(EXACT(Raw_Passengers!F966,G966))),AND(J966=0,NOT(EXACT(Raw_Passengers!G966,H966)))),1,0),0)</f>
        <v>0</v>
      </c>
      <c r="L966" s="7">
        <f>IF(AND(C966=0,D966=0,I966=1),1,0)</f>
        <v>0</v>
      </c>
      <c r="M966" s="7">
        <f>IF(AND(C966=0,D966=0,J966=1),1,0)</f>
        <v>0</v>
      </c>
    </row>
    <row r="967" spans="1:13">
      <c r="A967" s="7">
        <f>Raw_Passengers!A967</f>
        <v>316166</v>
      </c>
      <c r="B967" s="7">
        <f>Raw_Passengers!B967</f>
        <v>1156722</v>
      </c>
      <c r="C967" s="7">
        <f>IF(COUNTIF(Raw_Passengers!$A$2:A967,Raw_Passengers!A967)&gt;1,1,0)</f>
        <v>0</v>
      </c>
      <c r="D967" s="7">
        <f>IF(COUNTIF(Raw_Bookings!$A$2:$A$648,Raw_Passengers!B967)=0,1,0)</f>
        <v>0</v>
      </c>
      <c r="E967" s="7">
        <f>IF(OR(C967=1,D967=1),0,IF(NOT(ISNUMBER(Raw_Passengers!E967)),1,IF(Raw_Passengers!E967&lt;=0,1,0)))</f>
        <v>0</v>
      </c>
      <c r="F967" s="7">
        <f>IF(AND(C967=0,D967=0,TRIM(Raw_Passengers!D967&amp;"")=""),1,0)</f>
        <v>0</v>
      </c>
      <c r="G967" s="7" t="str">
        <f>IF(SUMPRODUCT(--(Lookup_Status!$A$2:$A$13=LOWER(TRIM(Raw_Passengers!F967))))=0,"",INDEX(Lookup_Status!$B$2:$B$13,SUMPRODUCT((Lookup_Status!$A$2:$A$13=LOWER(TRIM(Raw_Passengers!F967)))*(ROW(Lookup_Status!$A$2:$A$13)-1))))</f>
        <v>Waitlisted</v>
      </c>
      <c r="H967" s="7" t="str">
        <f>IF(SUMPRODUCT(--(Lookup_Status!$A$2:$A$13=LOWER(TRIM(Raw_Passengers!G967))))=0,"",INDEX(Lookup_Status!$B$2:$B$13,SUMPRODUCT((Lookup_Status!$A$2:$A$13=LOWER(TRIM(Raw_Passengers!G967)))*(ROW(Lookup_Status!$A$2:$A$13)-1))))</f>
        <v>Waitlisted</v>
      </c>
      <c r="I967" s="7">
        <f>IF(OR(G967="",G967="Cancelled",G967="Mixed"),1,0)</f>
        <v>0</v>
      </c>
      <c r="J967" s="7">
        <f>IF(OR(H967="",H967="Mixed"),1,0)</f>
        <v>0</v>
      </c>
      <c r="K967" s="7">
        <f>IF(AND(C967=0,D967=0),IF(OR(AND(I967=0,NOT(EXACT(Raw_Passengers!F967,G967))),AND(J967=0,NOT(EXACT(Raw_Passengers!G967,H967)))),1,0),0)</f>
        <v>0</v>
      </c>
      <c r="L967" s="7">
        <f>IF(AND(C967=0,D967=0,I967=1),1,0)</f>
        <v>0</v>
      </c>
      <c r="M967" s="7">
        <f>IF(AND(C967=0,D967=0,J967=1),1,0)</f>
        <v>0</v>
      </c>
    </row>
    <row r="968" spans="1:13">
      <c r="A968" s="7">
        <f>Raw_Passengers!A968</f>
        <v>318244</v>
      </c>
      <c r="B968" s="7">
        <f>Raw_Passengers!B968</f>
        <v>1157753</v>
      </c>
      <c r="C968" s="7">
        <f>IF(COUNTIF(Raw_Passengers!$A$2:A968,Raw_Passengers!A968)&gt;1,1,0)</f>
        <v>0</v>
      </c>
      <c r="D968" s="7">
        <f>IF(COUNTIF(Raw_Bookings!$A$2:$A$648,Raw_Passengers!B968)=0,1,0)</f>
        <v>0</v>
      </c>
      <c r="E968" s="7">
        <f>IF(OR(C968=1,D968=1),0,IF(NOT(ISNUMBER(Raw_Passengers!E968)),1,IF(Raw_Passengers!E968&lt;=0,1,0)))</f>
        <v>0</v>
      </c>
      <c r="F968" s="7">
        <f>IF(AND(C968=0,D968=0,TRIM(Raw_Passengers!D968&amp;"")=""),1,0)</f>
        <v>0</v>
      </c>
      <c r="G968" s="7" t="str">
        <f>IF(SUMPRODUCT(--(Lookup_Status!$A$2:$A$13=LOWER(TRIM(Raw_Passengers!F968))))=0,"",INDEX(Lookup_Status!$B$2:$B$13,SUMPRODUCT((Lookup_Status!$A$2:$A$13=LOWER(TRIM(Raw_Passengers!F968)))*(ROW(Lookup_Status!$A$2:$A$13)-1))))</f>
        <v>Waitlisted</v>
      </c>
      <c r="H968" s="7" t="str">
        <f>IF(SUMPRODUCT(--(Lookup_Status!$A$2:$A$13=LOWER(TRIM(Raw_Passengers!G968))))=0,"",INDEX(Lookup_Status!$B$2:$B$13,SUMPRODUCT((Lookup_Status!$A$2:$A$13=LOWER(TRIM(Raw_Passengers!G968)))*(ROW(Lookup_Status!$A$2:$A$13)-1))))</f>
        <v>Waitlisted</v>
      </c>
      <c r="I968" s="7">
        <f>IF(OR(G968="",G968="Cancelled",G968="Mixed"),1,0)</f>
        <v>0</v>
      </c>
      <c r="J968" s="7">
        <f>IF(OR(H968="",H968="Mixed"),1,0)</f>
        <v>0</v>
      </c>
      <c r="K968" s="7">
        <f>IF(AND(C968=0,D968=0),IF(OR(AND(I968=0,NOT(EXACT(Raw_Passengers!F968,G968))),AND(J968=0,NOT(EXACT(Raw_Passengers!G968,H968)))),1,0),0)</f>
        <v>0</v>
      </c>
      <c r="L968" s="7">
        <f>IF(AND(C968=0,D968=0,I968=1),1,0)</f>
        <v>0</v>
      </c>
      <c r="M968" s="7">
        <f>IF(AND(C968=0,D968=0,J968=1),1,0)</f>
        <v>0</v>
      </c>
    </row>
    <row r="969" spans="1:13">
      <c r="A969" s="7">
        <f>Raw_Passengers!A969</f>
        <v>318908</v>
      </c>
      <c r="B969" s="7">
        <f>Raw_Passengers!B969</f>
        <v>1158099</v>
      </c>
      <c r="C969" s="7">
        <f>IF(COUNTIF(Raw_Passengers!$A$2:A969,Raw_Passengers!A969)&gt;1,1,0)</f>
        <v>0</v>
      </c>
      <c r="D969" s="7">
        <f>IF(COUNTIF(Raw_Bookings!$A$2:$A$648,Raw_Passengers!B969)=0,1,0)</f>
        <v>0</v>
      </c>
      <c r="E969" s="7">
        <f>IF(OR(C969=1,D969=1),0,IF(NOT(ISNUMBER(Raw_Passengers!E969)),1,IF(Raw_Passengers!E969&lt;=0,1,0)))</f>
        <v>0</v>
      </c>
      <c r="F969" s="7">
        <f>IF(AND(C969=0,D969=0,TRIM(Raw_Passengers!D969&amp;"")=""),1,0)</f>
        <v>0</v>
      </c>
      <c r="G969" s="7" t="str">
        <f>IF(SUMPRODUCT(--(Lookup_Status!$A$2:$A$13=LOWER(TRIM(Raw_Passengers!F969))))=0,"",INDEX(Lookup_Status!$B$2:$B$13,SUMPRODUCT((Lookup_Status!$A$2:$A$13=LOWER(TRIM(Raw_Passengers!F969)))*(ROW(Lookup_Status!$A$2:$A$13)-1))))</f>
        <v>Confirmed</v>
      </c>
      <c r="H969" s="7" t="str">
        <f>IF(SUMPRODUCT(--(Lookup_Status!$A$2:$A$13=LOWER(TRIM(Raw_Passengers!G969))))=0,"",INDEX(Lookup_Status!$B$2:$B$13,SUMPRODUCT((Lookup_Status!$A$2:$A$13=LOWER(TRIM(Raw_Passengers!G969)))*(ROW(Lookup_Status!$A$2:$A$13)-1))))</f>
        <v>Confirmed</v>
      </c>
      <c r="I969" s="7">
        <f>IF(OR(G969="",G969="Cancelled",G969="Mixed"),1,0)</f>
        <v>0</v>
      </c>
      <c r="J969" s="7">
        <f>IF(OR(H969="",H969="Mixed"),1,0)</f>
        <v>0</v>
      </c>
      <c r="K969" s="7">
        <f>IF(AND(C969=0,D969=0),IF(OR(AND(I969=0,NOT(EXACT(Raw_Passengers!F969,G969))),AND(J969=0,NOT(EXACT(Raw_Passengers!G969,H969)))),1,0),0)</f>
        <v>0</v>
      </c>
      <c r="L969" s="7">
        <f>IF(AND(C969=0,D969=0,I969=1),1,0)</f>
        <v>0</v>
      </c>
      <c r="M969" s="7">
        <f>IF(AND(C969=0,D969=0,J969=1),1,0)</f>
        <v>0</v>
      </c>
    </row>
    <row r="970" spans="1:13">
      <c r="A970" s="7">
        <f>Raw_Passengers!A970</f>
        <v>320140</v>
      </c>
      <c r="B970" s="7">
        <f>Raw_Passengers!B970</f>
        <v>1158698</v>
      </c>
      <c r="C970" s="7">
        <f>IF(COUNTIF(Raw_Passengers!$A$2:A970,Raw_Passengers!A970)&gt;1,1,0)</f>
        <v>0</v>
      </c>
      <c r="D970" s="7">
        <f>IF(COUNTIF(Raw_Bookings!$A$2:$A$648,Raw_Passengers!B970)=0,1,0)</f>
        <v>0</v>
      </c>
      <c r="E970" s="7">
        <f>IF(OR(C970=1,D970=1),0,IF(NOT(ISNUMBER(Raw_Passengers!E970)),1,IF(Raw_Passengers!E970&lt;=0,1,0)))</f>
        <v>0</v>
      </c>
      <c r="F970" s="7">
        <f>IF(AND(C970=0,D970=0,TRIM(Raw_Passengers!D970&amp;"")=""),1,0)</f>
        <v>0</v>
      </c>
      <c r="G970" s="7" t="str">
        <f>IF(SUMPRODUCT(--(Lookup_Status!$A$2:$A$13=LOWER(TRIM(Raw_Passengers!F970))))=0,"",INDEX(Lookup_Status!$B$2:$B$13,SUMPRODUCT((Lookup_Status!$A$2:$A$13=LOWER(TRIM(Raw_Passengers!F970)))*(ROW(Lookup_Status!$A$2:$A$13)-1))))</f>
        <v>Confirmed</v>
      </c>
      <c r="H970" s="7" t="str">
        <f>IF(SUMPRODUCT(--(Lookup_Status!$A$2:$A$13=LOWER(TRIM(Raw_Passengers!G970))))=0,"",INDEX(Lookup_Status!$B$2:$B$13,SUMPRODUCT((Lookup_Status!$A$2:$A$13=LOWER(TRIM(Raw_Passengers!G970)))*(ROW(Lookup_Status!$A$2:$A$13)-1))))</f>
        <v>Confirmed</v>
      </c>
      <c r="I970" s="7">
        <f>IF(OR(G970="",G970="Cancelled",G970="Mixed"),1,0)</f>
        <v>0</v>
      </c>
      <c r="J970" s="7">
        <f>IF(OR(H970="",H970="Mixed"),1,0)</f>
        <v>0</v>
      </c>
      <c r="K970" s="7">
        <f>IF(AND(C970=0,D970=0),IF(OR(AND(I970=0,NOT(EXACT(Raw_Passengers!F970,G970))),AND(J970=0,NOT(EXACT(Raw_Passengers!G970,H970)))),1,0),0)</f>
        <v>0</v>
      </c>
      <c r="L970" s="7">
        <f>IF(AND(C970=0,D970=0,I970=1),1,0)</f>
        <v>0</v>
      </c>
      <c r="M970" s="7">
        <f>IF(AND(C970=0,D970=0,J970=1),1,0)</f>
        <v>0</v>
      </c>
    </row>
    <row r="971" spans="1:13">
      <c r="A971" s="7">
        <f>Raw_Passengers!A971</f>
        <v>320364</v>
      </c>
      <c r="B971" s="7">
        <f>Raw_Passengers!B971</f>
        <v>1158815</v>
      </c>
      <c r="C971" s="7">
        <f>IF(COUNTIF(Raw_Passengers!$A$2:A971,Raw_Passengers!A971)&gt;1,1,0)</f>
        <v>0</v>
      </c>
      <c r="D971" s="7">
        <f>IF(COUNTIF(Raw_Bookings!$A$2:$A$648,Raw_Passengers!B971)=0,1,0)</f>
        <v>0</v>
      </c>
      <c r="E971" s="7">
        <f>IF(OR(C971=1,D971=1),0,IF(NOT(ISNUMBER(Raw_Passengers!E971)),1,IF(Raw_Passengers!E971&lt;=0,1,0)))</f>
        <v>0</v>
      </c>
      <c r="F971" s="7">
        <f>IF(AND(C971=0,D971=0,TRIM(Raw_Passengers!D971&amp;"")=""),1,0)</f>
        <v>0</v>
      </c>
      <c r="G971" s="7" t="str">
        <f>IF(SUMPRODUCT(--(Lookup_Status!$A$2:$A$13=LOWER(TRIM(Raw_Passengers!F971))))=0,"",INDEX(Lookup_Status!$B$2:$B$13,SUMPRODUCT((Lookup_Status!$A$2:$A$13=LOWER(TRIM(Raw_Passengers!F971)))*(ROW(Lookup_Status!$A$2:$A$13)-1))))</f>
        <v>Confirmed</v>
      </c>
      <c r="H971" s="7" t="str">
        <f>IF(SUMPRODUCT(--(Lookup_Status!$A$2:$A$13=LOWER(TRIM(Raw_Passengers!G971))))=0,"",INDEX(Lookup_Status!$B$2:$B$13,SUMPRODUCT((Lookup_Status!$A$2:$A$13=LOWER(TRIM(Raw_Passengers!G971)))*(ROW(Lookup_Status!$A$2:$A$13)-1))))</f>
        <v>Cancelled</v>
      </c>
      <c r="I971" s="7">
        <f>IF(OR(G971="",G971="Cancelled",G971="Mixed"),1,0)</f>
        <v>0</v>
      </c>
      <c r="J971" s="7">
        <f>IF(OR(H971="",H971="Mixed"),1,0)</f>
        <v>0</v>
      </c>
      <c r="K971" s="7">
        <f>IF(AND(C971=0,D971=0),IF(OR(AND(I971=0,NOT(EXACT(Raw_Passengers!F971,G971))),AND(J971=0,NOT(EXACT(Raw_Passengers!G971,H971)))),1,0),0)</f>
        <v>0</v>
      </c>
      <c r="L971" s="7">
        <f>IF(AND(C971=0,D971=0,I971=1),1,0)</f>
        <v>0</v>
      </c>
      <c r="M971" s="7">
        <f>IF(AND(C971=0,D971=0,J971=1),1,0)</f>
        <v>0</v>
      </c>
    </row>
    <row r="972" spans="1:13">
      <c r="A972" s="7">
        <f>Raw_Passengers!A972</f>
        <v>320365</v>
      </c>
      <c r="B972" s="7">
        <f>Raw_Passengers!B972</f>
        <v>1158815</v>
      </c>
      <c r="C972" s="7">
        <f>IF(COUNTIF(Raw_Passengers!$A$2:A972,Raw_Passengers!A972)&gt;1,1,0)</f>
        <v>0</v>
      </c>
      <c r="D972" s="7">
        <f>IF(COUNTIF(Raw_Bookings!$A$2:$A$648,Raw_Passengers!B972)=0,1,0)</f>
        <v>0</v>
      </c>
      <c r="E972" s="7">
        <f>IF(OR(C972=1,D972=1),0,IF(NOT(ISNUMBER(Raw_Passengers!E972)),1,IF(Raw_Passengers!E972&lt;=0,1,0)))</f>
        <v>0</v>
      </c>
      <c r="F972" s="7">
        <f>IF(AND(C972=0,D972=0,TRIM(Raw_Passengers!D972&amp;"")=""),1,0)</f>
        <v>0</v>
      </c>
      <c r="G972" s="7" t="str">
        <f>IF(SUMPRODUCT(--(Lookup_Status!$A$2:$A$13=LOWER(TRIM(Raw_Passengers!F972))))=0,"",INDEX(Lookup_Status!$B$2:$B$13,SUMPRODUCT((Lookup_Status!$A$2:$A$13=LOWER(TRIM(Raw_Passengers!F972)))*(ROW(Lookup_Status!$A$2:$A$13)-1))))</f>
        <v>Confirmed</v>
      </c>
      <c r="H972" s="7" t="str">
        <f>IF(SUMPRODUCT(--(Lookup_Status!$A$2:$A$13=LOWER(TRIM(Raw_Passengers!G972))))=0,"",INDEX(Lookup_Status!$B$2:$B$13,SUMPRODUCT((Lookup_Status!$A$2:$A$13=LOWER(TRIM(Raw_Passengers!G972)))*(ROW(Lookup_Status!$A$2:$A$13)-1))))</f>
        <v>Cancelled</v>
      </c>
      <c r="I972" s="7">
        <f>IF(OR(G972="",G972="Cancelled",G972="Mixed"),1,0)</f>
        <v>0</v>
      </c>
      <c r="J972" s="7">
        <f>IF(OR(H972="",H972="Mixed"),1,0)</f>
        <v>0</v>
      </c>
      <c r="K972" s="7">
        <f>IF(AND(C972=0,D972=0),IF(OR(AND(I972=0,NOT(EXACT(Raw_Passengers!F972,G972))),AND(J972=0,NOT(EXACT(Raw_Passengers!G972,H972)))),1,0),0)</f>
        <v>0</v>
      </c>
      <c r="L972" s="7">
        <f>IF(AND(C972=0,D972=0,I972=1),1,0)</f>
        <v>0</v>
      </c>
      <c r="M972" s="7">
        <f>IF(AND(C972=0,D972=0,J972=1),1,0)</f>
        <v>0</v>
      </c>
    </row>
    <row r="973" spans="1:13">
      <c r="A973" s="7">
        <f>Raw_Passengers!A973</f>
        <v>320366</v>
      </c>
      <c r="B973" s="7">
        <f>Raw_Passengers!B973</f>
        <v>1158815</v>
      </c>
      <c r="C973" s="7">
        <f>IF(COUNTIF(Raw_Passengers!$A$2:A973,Raw_Passengers!A973)&gt;1,1,0)</f>
        <v>0</v>
      </c>
      <c r="D973" s="7">
        <f>IF(COUNTIF(Raw_Bookings!$A$2:$A$648,Raw_Passengers!B973)=0,1,0)</f>
        <v>0</v>
      </c>
      <c r="E973" s="7">
        <f>IF(OR(C973=1,D973=1),0,IF(NOT(ISNUMBER(Raw_Passengers!E973)),1,IF(Raw_Passengers!E973&lt;=0,1,0)))</f>
        <v>0</v>
      </c>
      <c r="F973" s="7">
        <f>IF(AND(C973=0,D973=0,TRIM(Raw_Passengers!D973&amp;"")=""),1,0)</f>
        <v>0</v>
      </c>
      <c r="G973" s="7" t="str">
        <f>IF(SUMPRODUCT(--(Lookup_Status!$A$2:$A$13=LOWER(TRIM(Raw_Passengers!F973))))=0,"",INDEX(Lookup_Status!$B$2:$B$13,SUMPRODUCT((Lookup_Status!$A$2:$A$13=LOWER(TRIM(Raw_Passengers!F973)))*(ROW(Lookup_Status!$A$2:$A$13)-1))))</f>
        <v>Confirmed</v>
      </c>
      <c r="H973" s="7" t="str">
        <f>IF(SUMPRODUCT(--(Lookup_Status!$A$2:$A$13=LOWER(TRIM(Raw_Passengers!G973))))=0,"",INDEX(Lookup_Status!$B$2:$B$13,SUMPRODUCT((Lookup_Status!$A$2:$A$13=LOWER(TRIM(Raw_Passengers!G973)))*(ROW(Lookup_Status!$A$2:$A$13)-1))))</f>
        <v>Confirmed</v>
      </c>
      <c r="I973" s="7">
        <f>IF(OR(G973="",G973="Cancelled",G973="Mixed"),1,0)</f>
        <v>0</v>
      </c>
      <c r="J973" s="7">
        <f>IF(OR(H973="",H973="Mixed"),1,0)</f>
        <v>0</v>
      </c>
      <c r="K973" s="7">
        <f>IF(AND(C973=0,D973=0),IF(OR(AND(I973=0,NOT(EXACT(Raw_Passengers!F973,G973))),AND(J973=0,NOT(EXACT(Raw_Passengers!G973,H973)))),1,0),0)</f>
        <v>0</v>
      </c>
      <c r="L973" s="7">
        <f>IF(AND(C973=0,D973=0,I973=1),1,0)</f>
        <v>0</v>
      </c>
      <c r="M973" s="7">
        <f>IF(AND(C973=0,D973=0,J973=1),1,0)</f>
        <v>0</v>
      </c>
    </row>
    <row r="974" spans="1:13">
      <c r="A974" s="7">
        <f>Raw_Passengers!A974</f>
        <v>320367</v>
      </c>
      <c r="B974" s="7">
        <f>Raw_Passengers!B974</f>
        <v>1158815</v>
      </c>
      <c r="C974" s="7">
        <f>IF(COUNTIF(Raw_Passengers!$A$2:A974,Raw_Passengers!A974)&gt;1,1,0)</f>
        <v>0</v>
      </c>
      <c r="D974" s="7">
        <f>IF(COUNTIF(Raw_Bookings!$A$2:$A$648,Raw_Passengers!B974)=0,1,0)</f>
        <v>0</v>
      </c>
      <c r="E974" s="7">
        <f>IF(OR(C974=1,D974=1),0,IF(NOT(ISNUMBER(Raw_Passengers!E974)),1,IF(Raw_Passengers!E974&lt;=0,1,0)))</f>
        <v>0</v>
      </c>
      <c r="F974" s="7">
        <f>IF(AND(C974=0,D974=0,TRIM(Raw_Passengers!D974&amp;"")=""),1,0)</f>
        <v>0</v>
      </c>
      <c r="G974" s="7" t="str">
        <f>IF(SUMPRODUCT(--(Lookup_Status!$A$2:$A$13=LOWER(TRIM(Raw_Passengers!F974))))=0,"",INDEX(Lookup_Status!$B$2:$B$13,SUMPRODUCT((Lookup_Status!$A$2:$A$13=LOWER(TRIM(Raw_Passengers!F974)))*(ROW(Lookup_Status!$A$2:$A$13)-1))))</f>
        <v>Confirmed</v>
      </c>
      <c r="H974" s="7" t="str">
        <f>IF(SUMPRODUCT(--(Lookup_Status!$A$2:$A$13=LOWER(TRIM(Raw_Passengers!G974))))=0,"",INDEX(Lookup_Status!$B$2:$B$13,SUMPRODUCT((Lookup_Status!$A$2:$A$13=LOWER(TRIM(Raw_Passengers!G974)))*(ROW(Lookup_Status!$A$2:$A$13)-1))))</f>
        <v>Confirmed</v>
      </c>
      <c r="I974" s="7">
        <f>IF(OR(G974="",G974="Cancelled",G974="Mixed"),1,0)</f>
        <v>0</v>
      </c>
      <c r="J974" s="7">
        <f>IF(OR(H974="",H974="Mixed"),1,0)</f>
        <v>0</v>
      </c>
      <c r="K974" s="7">
        <f>IF(AND(C974=0,D974=0),IF(OR(AND(I974=0,NOT(EXACT(Raw_Passengers!F974,G974))),AND(J974=0,NOT(EXACT(Raw_Passengers!G974,H974)))),1,0),0)</f>
        <v>0</v>
      </c>
      <c r="L974" s="7">
        <f>IF(AND(C974=0,D974=0,I974=1),1,0)</f>
        <v>0</v>
      </c>
      <c r="M974" s="7">
        <f>IF(AND(C974=0,D974=0,J974=1),1,0)</f>
        <v>0</v>
      </c>
    </row>
    <row r="975" spans="1:13">
      <c r="A975" s="7">
        <f>Raw_Passengers!A975</f>
        <v>320595</v>
      </c>
      <c r="B975" s="7">
        <f>Raw_Passengers!B975</f>
        <v>1158935</v>
      </c>
      <c r="C975" s="7">
        <f>IF(COUNTIF(Raw_Passengers!$A$2:A975,Raw_Passengers!A975)&gt;1,1,0)</f>
        <v>0</v>
      </c>
      <c r="D975" s="7">
        <f>IF(COUNTIF(Raw_Bookings!$A$2:$A$648,Raw_Passengers!B975)=0,1,0)</f>
        <v>0</v>
      </c>
      <c r="E975" s="7">
        <f>IF(OR(C975=1,D975=1),0,IF(NOT(ISNUMBER(Raw_Passengers!E975)),1,IF(Raw_Passengers!E975&lt;=0,1,0)))</f>
        <v>0</v>
      </c>
      <c r="F975" s="7">
        <f>IF(AND(C975=0,D975=0,TRIM(Raw_Passengers!D975&amp;"")=""),1,0)</f>
        <v>0</v>
      </c>
      <c r="G975" s="7" t="str">
        <f>IF(SUMPRODUCT(--(Lookup_Status!$A$2:$A$13=LOWER(TRIM(Raw_Passengers!F975))))=0,"",INDEX(Lookup_Status!$B$2:$B$13,SUMPRODUCT((Lookup_Status!$A$2:$A$13=LOWER(TRIM(Raw_Passengers!F975)))*(ROW(Lookup_Status!$A$2:$A$13)-1))))</f>
        <v>Confirmed</v>
      </c>
      <c r="H975" s="7" t="str">
        <f>IF(SUMPRODUCT(--(Lookup_Status!$A$2:$A$13=LOWER(TRIM(Raw_Passengers!G975))))=0,"",INDEX(Lookup_Status!$B$2:$B$13,SUMPRODUCT((Lookup_Status!$A$2:$A$13=LOWER(TRIM(Raw_Passengers!G975)))*(ROW(Lookup_Status!$A$2:$A$13)-1))))</f>
        <v>Confirmed</v>
      </c>
      <c r="I975" s="7">
        <f>IF(OR(G975="",G975="Cancelled",G975="Mixed"),1,0)</f>
        <v>0</v>
      </c>
      <c r="J975" s="7">
        <f>IF(OR(H975="",H975="Mixed"),1,0)</f>
        <v>0</v>
      </c>
      <c r="K975" s="7">
        <f>IF(AND(C975=0,D975=0),IF(OR(AND(I975=0,NOT(EXACT(Raw_Passengers!F975,G975))),AND(J975=0,NOT(EXACT(Raw_Passengers!G975,H975)))),1,0),0)</f>
        <v>0</v>
      </c>
      <c r="L975" s="7">
        <f>IF(AND(C975=0,D975=0,I975=1),1,0)</f>
        <v>0</v>
      </c>
      <c r="M975" s="7">
        <f>IF(AND(C975=0,D975=0,J975=1),1,0)</f>
        <v>0</v>
      </c>
    </row>
    <row r="976" spans="1:13">
      <c r="A976" s="7">
        <f>Raw_Passengers!A976</f>
        <v>320596</v>
      </c>
      <c r="B976" s="7">
        <f>Raw_Passengers!B976</f>
        <v>1158935</v>
      </c>
      <c r="C976" s="7">
        <f>IF(COUNTIF(Raw_Passengers!$A$2:A976,Raw_Passengers!A976)&gt;1,1,0)</f>
        <v>0</v>
      </c>
      <c r="D976" s="7">
        <f>IF(COUNTIF(Raw_Bookings!$A$2:$A$648,Raw_Passengers!B976)=0,1,0)</f>
        <v>0</v>
      </c>
      <c r="E976" s="7">
        <f>IF(OR(C976=1,D976=1),0,IF(NOT(ISNUMBER(Raw_Passengers!E976)),1,IF(Raw_Passengers!E976&lt;=0,1,0)))</f>
        <v>0</v>
      </c>
      <c r="F976" s="7">
        <f>IF(AND(C976=0,D976=0,TRIM(Raw_Passengers!D976&amp;"")=""),1,0)</f>
        <v>0</v>
      </c>
      <c r="G976" s="7" t="str">
        <f>IF(SUMPRODUCT(--(Lookup_Status!$A$2:$A$13=LOWER(TRIM(Raw_Passengers!F976))))=0,"",INDEX(Lookup_Status!$B$2:$B$13,SUMPRODUCT((Lookup_Status!$A$2:$A$13=LOWER(TRIM(Raw_Passengers!F976)))*(ROW(Lookup_Status!$A$2:$A$13)-1))))</f>
        <v>Confirmed</v>
      </c>
      <c r="H976" s="7" t="str">
        <f>IF(SUMPRODUCT(--(Lookup_Status!$A$2:$A$13=LOWER(TRIM(Raw_Passengers!G976))))=0,"",INDEX(Lookup_Status!$B$2:$B$13,SUMPRODUCT((Lookup_Status!$A$2:$A$13=LOWER(TRIM(Raw_Passengers!G976)))*(ROW(Lookup_Status!$A$2:$A$13)-1))))</f>
        <v>Confirmed</v>
      </c>
      <c r="I976" s="7">
        <f>IF(OR(G976="",G976="Cancelled",G976="Mixed"),1,0)</f>
        <v>0</v>
      </c>
      <c r="J976" s="7">
        <f>IF(OR(H976="",H976="Mixed"),1,0)</f>
        <v>0</v>
      </c>
      <c r="K976" s="7">
        <f>IF(AND(C976=0,D976=0),IF(OR(AND(I976=0,NOT(EXACT(Raw_Passengers!F976,G976))),AND(J976=0,NOT(EXACT(Raw_Passengers!G976,H976)))),1,0),0)</f>
        <v>0</v>
      </c>
      <c r="L976" s="7">
        <f>IF(AND(C976=0,D976=0,I976=1),1,0)</f>
        <v>0</v>
      </c>
      <c r="M976" s="7">
        <f>IF(AND(C976=0,D976=0,J976=1),1,0)</f>
        <v>0</v>
      </c>
    </row>
    <row r="977" spans="1:13">
      <c r="A977" s="7">
        <f>Raw_Passengers!A977</f>
        <v>320687</v>
      </c>
      <c r="B977" s="7">
        <f>Raw_Passengers!B977</f>
        <v>1158978</v>
      </c>
      <c r="C977" s="7">
        <f>IF(COUNTIF(Raw_Passengers!$A$2:A977,Raw_Passengers!A977)&gt;1,1,0)</f>
        <v>0</v>
      </c>
      <c r="D977" s="7">
        <f>IF(COUNTIF(Raw_Bookings!$A$2:$A$648,Raw_Passengers!B977)=0,1,0)</f>
        <v>0</v>
      </c>
      <c r="E977" s="7">
        <f>IF(OR(C977=1,D977=1),0,IF(NOT(ISNUMBER(Raw_Passengers!E977)),1,IF(Raw_Passengers!E977&lt;=0,1,0)))</f>
        <v>0</v>
      </c>
      <c r="F977" s="7">
        <f>IF(AND(C977=0,D977=0,TRIM(Raw_Passengers!D977&amp;"")=""),1,0)</f>
        <v>0</v>
      </c>
      <c r="G977" s="7" t="str">
        <f>IF(SUMPRODUCT(--(Lookup_Status!$A$2:$A$13=LOWER(TRIM(Raw_Passengers!F977))))=0,"",INDEX(Lookup_Status!$B$2:$B$13,SUMPRODUCT((Lookup_Status!$A$2:$A$13=LOWER(TRIM(Raw_Passengers!F977)))*(ROW(Lookup_Status!$A$2:$A$13)-1))))</f>
        <v>Confirmed</v>
      </c>
      <c r="H977" s="7" t="str">
        <f>IF(SUMPRODUCT(--(Lookup_Status!$A$2:$A$13=LOWER(TRIM(Raw_Passengers!G977))))=0,"",INDEX(Lookup_Status!$B$2:$B$13,SUMPRODUCT((Lookup_Status!$A$2:$A$13=LOWER(TRIM(Raw_Passengers!G977)))*(ROW(Lookup_Status!$A$2:$A$13)-1))))</f>
        <v>Cancelled</v>
      </c>
      <c r="I977" s="7">
        <f>IF(OR(G977="",G977="Cancelled",G977="Mixed"),1,0)</f>
        <v>0</v>
      </c>
      <c r="J977" s="7">
        <f>IF(OR(H977="",H977="Mixed"),1,0)</f>
        <v>0</v>
      </c>
      <c r="K977" s="7">
        <f>IF(AND(C977=0,D977=0),IF(OR(AND(I977=0,NOT(EXACT(Raw_Passengers!F977,G977))),AND(J977=0,NOT(EXACT(Raw_Passengers!G977,H977)))),1,0),0)</f>
        <v>0</v>
      </c>
      <c r="L977" s="7">
        <f>IF(AND(C977=0,D977=0,I977=1),1,0)</f>
        <v>0</v>
      </c>
      <c r="M977" s="7">
        <f>IF(AND(C977=0,D977=0,J977=1),1,0)</f>
        <v>0</v>
      </c>
    </row>
    <row r="978" spans="1:13">
      <c r="A978" s="7">
        <f>Raw_Passengers!A978</f>
        <v>320688</v>
      </c>
      <c r="B978" s="7">
        <f>Raw_Passengers!B978</f>
        <v>1158978</v>
      </c>
      <c r="C978" s="7">
        <f>IF(COUNTIF(Raw_Passengers!$A$2:A978,Raw_Passengers!A978)&gt;1,1,0)</f>
        <v>0</v>
      </c>
      <c r="D978" s="7">
        <f>IF(COUNTIF(Raw_Bookings!$A$2:$A$648,Raw_Passengers!B978)=0,1,0)</f>
        <v>0</v>
      </c>
      <c r="E978" s="7">
        <f>IF(OR(C978=1,D978=1),0,IF(NOT(ISNUMBER(Raw_Passengers!E978)),1,IF(Raw_Passengers!E978&lt;=0,1,0)))</f>
        <v>0</v>
      </c>
      <c r="F978" s="7">
        <f>IF(AND(C978=0,D978=0,TRIM(Raw_Passengers!D978&amp;"")=""),1,0)</f>
        <v>0</v>
      </c>
      <c r="G978" s="7" t="str">
        <f>IF(SUMPRODUCT(--(Lookup_Status!$A$2:$A$13=LOWER(TRIM(Raw_Passengers!F978))))=0,"",INDEX(Lookup_Status!$B$2:$B$13,SUMPRODUCT((Lookup_Status!$A$2:$A$13=LOWER(TRIM(Raw_Passengers!F978)))*(ROW(Lookup_Status!$A$2:$A$13)-1))))</f>
        <v>Confirmed</v>
      </c>
      <c r="H978" s="7" t="str">
        <f>IF(SUMPRODUCT(--(Lookup_Status!$A$2:$A$13=LOWER(TRIM(Raw_Passengers!G978))))=0,"",INDEX(Lookup_Status!$B$2:$B$13,SUMPRODUCT((Lookup_Status!$A$2:$A$13=LOWER(TRIM(Raw_Passengers!G978)))*(ROW(Lookup_Status!$A$2:$A$13)-1))))</f>
        <v>Cancelled</v>
      </c>
      <c r="I978" s="7">
        <f>IF(OR(G978="",G978="Cancelled",G978="Mixed"),1,0)</f>
        <v>0</v>
      </c>
      <c r="J978" s="7">
        <f>IF(OR(H978="",H978="Mixed"),1,0)</f>
        <v>0</v>
      </c>
      <c r="K978" s="7">
        <f>IF(AND(C978=0,D978=0),IF(OR(AND(I978=0,NOT(EXACT(Raw_Passengers!F978,G978))),AND(J978=0,NOT(EXACT(Raw_Passengers!G978,H978)))),1,0),0)</f>
        <v>0</v>
      </c>
      <c r="L978" s="7">
        <f>IF(AND(C978=0,D978=0,I978=1),1,0)</f>
        <v>0</v>
      </c>
      <c r="M978" s="7">
        <f>IF(AND(C978=0,D978=0,J978=1),1,0)</f>
        <v>0</v>
      </c>
    </row>
    <row r="979" spans="1:13">
      <c r="A979" s="7">
        <f>Raw_Passengers!A979</f>
        <v>320689</v>
      </c>
      <c r="B979" s="7">
        <f>Raw_Passengers!B979</f>
        <v>1158978</v>
      </c>
      <c r="C979" s="7">
        <f>IF(COUNTIF(Raw_Passengers!$A$2:A979,Raw_Passengers!A979)&gt;1,1,0)</f>
        <v>0</v>
      </c>
      <c r="D979" s="7">
        <f>IF(COUNTIF(Raw_Bookings!$A$2:$A$648,Raw_Passengers!B979)=0,1,0)</f>
        <v>0</v>
      </c>
      <c r="E979" s="7">
        <f>IF(OR(C979=1,D979=1),0,IF(NOT(ISNUMBER(Raw_Passengers!E979)),1,IF(Raw_Passengers!E979&lt;=0,1,0)))</f>
        <v>0</v>
      </c>
      <c r="F979" s="7">
        <f>IF(AND(C979=0,D979=0,TRIM(Raw_Passengers!D979&amp;"")=""),1,0)</f>
        <v>0</v>
      </c>
      <c r="G979" s="7" t="str">
        <f>IF(SUMPRODUCT(--(Lookup_Status!$A$2:$A$13=LOWER(TRIM(Raw_Passengers!F979))))=0,"",INDEX(Lookup_Status!$B$2:$B$13,SUMPRODUCT((Lookup_Status!$A$2:$A$13=LOWER(TRIM(Raw_Passengers!F979)))*(ROW(Lookup_Status!$A$2:$A$13)-1))))</f>
        <v>Confirmed</v>
      </c>
      <c r="H979" s="7" t="str">
        <f>IF(SUMPRODUCT(--(Lookup_Status!$A$2:$A$13=LOWER(TRIM(Raw_Passengers!G979))))=0,"",INDEX(Lookup_Status!$B$2:$B$13,SUMPRODUCT((Lookup_Status!$A$2:$A$13=LOWER(TRIM(Raw_Passengers!G979)))*(ROW(Lookup_Status!$A$2:$A$13)-1))))</f>
        <v>Cancelled</v>
      </c>
      <c r="I979" s="7">
        <f>IF(OR(G979="",G979="Cancelled",G979="Mixed"),1,0)</f>
        <v>0</v>
      </c>
      <c r="J979" s="7">
        <f>IF(OR(H979="",H979="Mixed"),1,0)</f>
        <v>0</v>
      </c>
      <c r="K979" s="7">
        <f>IF(AND(C979=0,D979=0),IF(OR(AND(I979=0,NOT(EXACT(Raw_Passengers!F979,G979))),AND(J979=0,NOT(EXACT(Raw_Passengers!G979,H979)))),1,0),0)</f>
        <v>0</v>
      </c>
      <c r="L979" s="7">
        <f>IF(AND(C979=0,D979=0,I979=1),1,0)</f>
        <v>0</v>
      </c>
      <c r="M979" s="7">
        <f>IF(AND(C979=0,D979=0,J979=1),1,0)</f>
        <v>0</v>
      </c>
    </row>
    <row r="980" spans="1:13">
      <c r="A980" s="7">
        <f>Raw_Passengers!A980</f>
        <v>320690</v>
      </c>
      <c r="B980" s="7">
        <f>Raw_Passengers!B980</f>
        <v>1158978</v>
      </c>
      <c r="C980" s="7">
        <f>IF(COUNTIF(Raw_Passengers!$A$2:A980,Raw_Passengers!A980)&gt;1,1,0)</f>
        <v>0</v>
      </c>
      <c r="D980" s="7">
        <f>IF(COUNTIF(Raw_Bookings!$A$2:$A$648,Raw_Passengers!B980)=0,1,0)</f>
        <v>0</v>
      </c>
      <c r="E980" s="7">
        <f>IF(OR(C980=1,D980=1),0,IF(NOT(ISNUMBER(Raw_Passengers!E980)),1,IF(Raw_Passengers!E980&lt;=0,1,0)))</f>
        <v>0</v>
      </c>
      <c r="F980" s="7">
        <f>IF(AND(C980=0,D980=0,TRIM(Raw_Passengers!D980&amp;"")=""),1,0)</f>
        <v>0</v>
      </c>
      <c r="G980" s="7" t="str">
        <f>IF(SUMPRODUCT(--(Lookup_Status!$A$2:$A$13=LOWER(TRIM(Raw_Passengers!F980))))=0,"",INDEX(Lookup_Status!$B$2:$B$13,SUMPRODUCT((Lookup_Status!$A$2:$A$13=LOWER(TRIM(Raw_Passengers!F980)))*(ROW(Lookup_Status!$A$2:$A$13)-1))))</f>
        <v>Confirmed</v>
      </c>
      <c r="H980" s="7" t="str">
        <f>IF(SUMPRODUCT(--(Lookup_Status!$A$2:$A$13=LOWER(TRIM(Raw_Passengers!G980))))=0,"",INDEX(Lookup_Status!$B$2:$B$13,SUMPRODUCT((Lookup_Status!$A$2:$A$13=LOWER(TRIM(Raw_Passengers!G980)))*(ROW(Lookup_Status!$A$2:$A$13)-1))))</f>
        <v>Cancelled</v>
      </c>
      <c r="I980" s="7">
        <f>IF(OR(G980="",G980="Cancelled",G980="Mixed"),1,0)</f>
        <v>0</v>
      </c>
      <c r="J980" s="7">
        <f>IF(OR(H980="",H980="Mixed"),1,0)</f>
        <v>0</v>
      </c>
      <c r="K980" s="7">
        <f>IF(AND(C980=0,D980=0),IF(OR(AND(I980=0,NOT(EXACT(Raw_Passengers!F980,G980))),AND(J980=0,NOT(EXACT(Raw_Passengers!G980,H980)))),1,0),0)</f>
        <v>0</v>
      </c>
      <c r="L980" s="7">
        <f>IF(AND(C980=0,D980=0,I980=1),1,0)</f>
        <v>0</v>
      </c>
      <c r="M980" s="7">
        <f>IF(AND(C980=0,D980=0,J980=1),1,0)</f>
        <v>0</v>
      </c>
    </row>
    <row r="981" spans="1:13">
      <c r="A981" s="7">
        <f>Raw_Passengers!A981</f>
        <v>320691</v>
      </c>
      <c r="B981" s="7">
        <f>Raw_Passengers!B981</f>
        <v>1158978</v>
      </c>
      <c r="C981" s="7">
        <f>IF(COUNTIF(Raw_Passengers!$A$2:A981,Raw_Passengers!A981)&gt;1,1,0)</f>
        <v>0</v>
      </c>
      <c r="D981" s="7">
        <f>IF(COUNTIF(Raw_Bookings!$A$2:$A$648,Raw_Passengers!B981)=0,1,0)</f>
        <v>0</v>
      </c>
      <c r="E981" s="7">
        <f>IF(OR(C981=1,D981=1),0,IF(NOT(ISNUMBER(Raw_Passengers!E981)),1,IF(Raw_Passengers!E981&lt;=0,1,0)))</f>
        <v>0</v>
      </c>
      <c r="F981" s="7">
        <f>IF(AND(C981=0,D981=0,TRIM(Raw_Passengers!D981&amp;"")=""),1,0)</f>
        <v>0</v>
      </c>
      <c r="G981" s="7" t="str">
        <f>IF(SUMPRODUCT(--(Lookup_Status!$A$2:$A$13=LOWER(TRIM(Raw_Passengers!F981))))=0,"",INDEX(Lookup_Status!$B$2:$B$13,SUMPRODUCT((Lookup_Status!$A$2:$A$13=LOWER(TRIM(Raw_Passengers!F981)))*(ROW(Lookup_Status!$A$2:$A$13)-1))))</f>
        <v>Confirmed</v>
      </c>
      <c r="H981" s="7" t="str">
        <f>IF(SUMPRODUCT(--(Lookup_Status!$A$2:$A$13=LOWER(TRIM(Raw_Passengers!G981))))=0,"",INDEX(Lookup_Status!$B$2:$B$13,SUMPRODUCT((Lookup_Status!$A$2:$A$13=LOWER(TRIM(Raw_Passengers!G981)))*(ROW(Lookup_Status!$A$2:$A$13)-1))))</f>
        <v>Cancelled</v>
      </c>
      <c r="I981" s="7">
        <f>IF(OR(G981="",G981="Cancelled",G981="Mixed"),1,0)</f>
        <v>0</v>
      </c>
      <c r="J981" s="7">
        <f>IF(OR(H981="",H981="Mixed"),1,0)</f>
        <v>0</v>
      </c>
      <c r="K981" s="7">
        <f>IF(AND(C981=0,D981=0),IF(OR(AND(I981=0,NOT(EXACT(Raw_Passengers!F981,G981))),AND(J981=0,NOT(EXACT(Raw_Passengers!G981,H981)))),1,0),0)</f>
        <v>0</v>
      </c>
      <c r="L981" s="7">
        <f>IF(AND(C981=0,D981=0,I981=1),1,0)</f>
        <v>0</v>
      </c>
      <c r="M981" s="7">
        <f>IF(AND(C981=0,D981=0,J981=1),1,0)</f>
        <v>0</v>
      </c>
    </row>
    <row r="982" spans="1:13">
      <c r="A982" s="7">
        <f>Raw_Passengers!A982</f>
        <v>322103</v>
      </c>
      <c r="B982" s="7">
        <f>Raw_Passengers!B982</f>
        <v>1159674</v>
      </c>
      <c r="C982" s="7">
        <f>IF(COUNTIF(Raw_Passengers!$A$2:A982,Raw_Passengers!A982)&gt;1,1,0)</f>
        <v>0</v>
      </c>
      <c r="D982" s="7">
        <f>IF(COUNTIF(Raw_Bookings!$A$2:$A$648,Raw_Passengers!B982)=0,1,0)</f>
        <v>0</v>
      </c>
      <c r="E982" s="7">
        <f>IF(OR(C982=1,D982=1),0,IF(NOT(ISNUMBER(Raw_Passengers!E982)),1,IF(Raw_Passengers!E982&lt;=0,1,0)))</f>
        <v>0</v>
      </c>
      <c r="F982" s="7">
        <f>IF(AND(C982=0,D982=0,TRIM(Raw_Passengers!D982&amp;"")=""),1,0)</f>
        <v>0</v>
      </c>
      <c r="G982" s="7" t="str">
        <f>IF(SUMPRODUCT(--(Lookup_Status!$A$2:$A$13=LOWER(TRIM(Raw_Passengers!F982))))=0,"",INDEX(Lookup_Status!$B$2:$B$13,SUMPRODUCT((Lookup_Status!$A$2:$A$13=LOWER(TRIM(Raw_Passengers!F982)))*(ROW(Lookup_Status!$A$2:$A$13)-1))))</f>
        <v>Confirmed</v>
      </c>
      <c r="H982" s="7" t="str">
        <f>IF(SUMPRODUCT(--(Lookup_Status!$A$2:$A$13=LOWER(TRIM(Raw_Passengers!G982))))=0,"",INDEX(Lookup_Status!$B$2:$B$13,SUMPRODUCT((Lookup_Status!$A$2:$A$13=LOWER(TRIM(Raw_Passengers!G982)))*(ROW(Lookup_Status!$A$2:$A$13)-1))))</f>
        <v>Cancelled</v>
      </c>
      <c r="I982" s="7">
        <f>IF(OR(G982="",G982="Cancelled",G982="Mixed"),1,0)</f>
        <v>0</v>
      </c>
      <c r="J982" s="7">
        <f>IF(OR(H982="",H982="Mixed"),1,0)</f>
        <v>0</v>
      </c>
      <c r="K982" s="7">
        <f>IF(AND(C982=0,D982=0),IF(OR(AND(I982=0,NOT(EXACT(Raw_Passengers!F982,G982))),AND(J982=0,NOT(EXACT(Raw_Passengers!G982,H982)))),1,0),0)</f>
        <v>0</v>
      </c>
      <c r="L982" s="7">
        <f>IF(AND(C982=0,D982=0,I982=1),1,0)</f>
        <v>0</v>
      </c>
      <c r="M982" s="7">
        <f>IF(AND(C982=0,D982=0,J982=1),1,0)</f>
        <v>0</v>
      </c>
    </row>
    <row r="983" spans="1:13">
      <c r="A983" s="7">
        <f>Raw_Passengers!A983</f>
        <v>322104</v>
      </c>
      <c r="B983" s="7">
        <f>Raw_Passengers!B983</f>
        <v>1159674</v>
      </c>
      <c r="C983" s="7">
        <f>IF(COUNTIF(Raw_Passengers!$A$2:A983,Raw_Passengers!A983)&gt;1,1,0)</f>
        <v>0</v>
      </c>
      <c r="D983" s="7">
        <f>IF(COUNTIF(Raw_Bookings!$A$2:$A$648,Raw_Passengers!B983)=0,1,0)</f>
        <v>0</v>
      </c>
      <c r="E983" s="7">
        <f>IF(OR(C983=1,D983=1),0,IF(NOT(ISNUMBER(Raw_Passengers!E983)),1,IF(Raw_Passengers!E983&lt;=0,1,0)))</f>
        <v>0</v>
      </c>
      <c r="F983" s="7">
        <f>IF(AND(C983=0,D983=0,TRIM(Raw_Passengers!D983&amp;"")=""),1,0)</f>
        <v>0</v>
      </c>
      <c r="G983" s="7" t="str">
        <f>IF(SUMPRODUCT(--(Lookup_Status!$A$2:$A$13=LOWER(TRIM(Raw_Passengers!F983))))=0,"",INDEX(Lookup_Status!$B$2:$B$13,SUMPRODUCT((Lookup_Status!$A$2:$A$13=LOWER(TRIM(Raw_Passengers!F983)))*(ROW(Lookup_Status!$A$2:$A$13)-1))))</f>
        <v>Confirmed</v>
      </c>
      <c r="H983" s="7" t="str">
        <f>IF(SUMPRODUCT(--(Lookup_Status!$A$2:$A$13=LOWER(TRIM(Raw_Passengers!G983))))=0,"",INDEX(Lookup_Status!$B$2:$B$13,SUMPRODUCT((Lookup_Status!$A$2:$A$13=LOWER(TRIM(Raw_Passengers!G983)))*(ROW(Lookup_Status!$A$2:$A$13)-1))))</f>
        <v>Cancelled</v>
      </c>
      <c r="I983" s="7">
        <f>IF(OR(G983="",G983="Cancelled",G983="Mixed"),1,0)</f>
        <v>0</v>
      </c>
      <c r="J983" s="7">
        <f>IF(OR(H983="",H983="Mixed"),1,0)</f>
        <v>0</v>
      </c>
      <c r="K983" s="7">
        <f>IF(AND(C983=0,D983=0),IF(OR(AND(I983=0,NOT(EXACT(Raw_Passengers!F983,G983))),AND(J983=0,NOT(EXACT(Raw_Passengers!G983,H983)))),1,0),0)</f>
        <v>0</v>
      </c>
      <c r="L983" s="7">
        <f>IF(AND(C983=0,D983=0,I983=1),1,0)</f>
        <v>0</v>
      </c>
      <c r="M983" s="7">
        <f>IF(AND(C983=0,D983=0,J983=1),1,0)</f>
        <v>0</v>
      </c>
    </row>
    <row r="984" spans="1:13">
      <c r="A984" s="7">
        <f>Raw_Passengers!A984</f>
        <v>322956</v>
      </c>
      <c r="B984" s="7">
        <f>Raw_Passengers!B984</f>
        <v>1160118</v>
      </c>
      <c r="C984" s="7">
        <f>IF(COUNTIF(Raw_Passengers!$A$2:A984,Raw_Passengers!A984)&gt;1,1,0)</f>
        <v>0</v>
      </c>
      <c r="D984" s="7">
        <f>IF(COUNTIF(Raw_Bookings!$A$2:$A$648,Raw_Passengers!B984)=0,1,0)</f>
        <v>0</v>
      </c>
      <c r="E984" s="7">
        <f>IF(OR(C984=1,D984=1),0,IF(NOT(ISNUMBER(Raw_Passengers!E984)),1,IF(Raw_Passengers!E984&lt;=0,1,0)))</f>
        <v>0</v>
      </c>
      <c r="F984" s="7">
        <f>IF(AND(C984=0,D984=0,TRIM(Raw_Passengers!D984&amp;"")=""),1,0)</f>
        <v>0</v>
      </c>
      <c r="G984" s="7" t="str">
        <f>IF(SUMPRODUCT(--(Lookup_Status!$A$2:$A$13=LOWER(TRIM(Raw_Passengers!F984))))=0,"",INDEX(Lookup_Status!$B$2:$B$13,SUMPRODUCT((Lookup_Status!$A$2:$A$13=LOWER(TRIM(Raw_Passengers!F984)))*(ROW(Lookup_Status!$A$2:$A$13)-1))))</f>
        <v>RAC</v>
      </c>
      <c r="H984" s="7" t="str">
        <f>IF(SUMPRODUCT(--(Lookup_Status!$A$2:$A$13=LOWER(TRIM(Raw_Passengers!G984))))=0,"",INDEX(Lookup_Status!$B$2:$B$13,SUMPRODUCT((Lookup_Status!$A$2:$A$13=LOWER(TRIM(Raw_Passengers!G984)))*(ROW(Lookup_Status!$A$2:$A$13)-1))))</f>
        <v>RAC</v>
      </c>
      <c r="I984" s="7">
        <f>IF(OR(G984="",G984="Cancelled",G984="Mixed"),1,0)</f>
        <v>0</v>
      </c>
      <c r="J984" s="7">
        <f>IF(OR(H984="",H984="Mixed"),1,0)</f>
        <v>0</v>
      </c>
      <c r="K984" s="7">
        <f>IF(AND(C984=0,D984=0),IF(OR(AND(I984=0,NOT(EXACT(Raw_Passengers!F984,G984))),AND(J984=0,NOT(EXACT(Raw_Passengers!G984,H984)))),1,0),0)</f>
        <v>0</v>
      </c>
      <c r="L984" s="7">
        <f>IF(AND(C984=0,D984=0,I984=1),1,0)</f>
        <v>0</v>
      </c>
      <c r="M984" s="7">
        <f>IF(AND(C984=0,D984=0,J984=1),1,0)</f>
        <v>0</v>
      </c>
    </row>
    <row r="985" spans="1:13">
      <c r="A985" s="7">
        <f>Raw_Passengers!A985</f>
        <v>322961</v>
      </c>
      <c r="B985" s="7">
        <f>Raw_Passengers!B985</f>
        <v>1160122</v>
      </c>
      <c r="C985" s="7">
        <f>IF(COUNTIF(Raw_Passengers!$A$2:A985,Raw_Passengers!A985)&gt;1,1,0)</f>
        <v>0</v>
      </c>
      <c r="D985" s="7">
        <f>IF(COUNTIF(Raw_Bookings!$A$2:$A$648,Raw_Passengers!B985)=0,1,0)</f>
        <v>0</v>
      </c>
      <c r="E985" s="7">
        <f>IF(OR(C985=1,D985=1),0,IF(NOT(ISNUMBER(Raw_Passengers!E985)),1,IF(Raw_Passengers!E985&lt;=0,1,0)))</f>
        <v>0</v>
      </c>
      <c r="F985" s="7">
        <f>IF(AND(C985=0,D985=0,TRIM(Raw_Passengers!D985&amp;"")=""),1,0)</f>
        <v>1</v>
      </c>
      <c r="G985" s="7" t="str">
        <f>IF(SUMPRODUCT(--(Lookup_Status!$A$2:$A$13=LOWER(TRIM(Raw_Passengers!F985))))=0,"",INDEX(Lookup_Status!$B$2:$B$13,SUMPRODUCT((Lookup_Status!$A$2:$A$13=LOWER(TRIM(Raw_Passengers!F985)))*(ROW(Lookup_Status!$A$2:$A$13)-1))))</f>
        <v>Confirmed</v>
      </c>
      <c r="H985" s="7" t="str">
        <f>IF(SUMPRODUCT(--(Lookup_Status!$A$2:$A$13=LOWER(TRIM(Raw_Passengers!G985))))=0,"",INDEX(Lookup_Status!$B$2:$B$13,SUMPRODUCT((Lookup_Status!$A$2:$A$13=LOWER(TRIM(Raw_Passengers!G985)))*(ROW(Lookup_Status!$A$2:$A$13)-1))))</f>
        <v>Confirmed</v>
      </c>
      <c r="I985" s="7">
        <f>IF(OR(G985="",G985="Cancelled",G985="Mixed"),1,0)</f>
        <v>0</v>
      </c>
      <c r="J985" s="7">
        <f>IF(OR(H985="",H985="Mixed"),1,0)</f>
        <v>0</v>
      </c>
      <c r="K985" s="7">
        <f>IF(AND(C985=0,D985=0),IF(OR(AND(I985=0,NOT(EXACT(Raw_Passengers!F985,G985))),AND(J985=0,NOT(EXACT(Raw_Passengers!G985,H985)))),1,0),0)</f>
        <v>0</v>
      </c>
      <c r="L985" s="7">
        <f>IF(AND(C985=0,D985=0,I985=1),1,0)</f>
        <v>0</v>
      </c>
      <c r="M985" s="7">
        <f>IF(AND(C985=0,D985=0,J985=1),1,0)</f>
        <v>0</v>
      </c>
    </row>
    <row r="986" spans="1:13">
      <c r="A986" s="7">
        <f>Raw_Passengers!A986</f>
        <v>323013</v>
      </c>
      <c r="B986" s="7">
        <f>Raw_Passengers!B986</f>
        <v>1160148</v>
      </c>
      <c r="C986" s="7">
        <f>IF(COUNTIF(Raw_Passengers!$A$2:A986,Raw_Passengers!A986)&gt;1,1,0)</f>
        <v>0</v>
      </c>
      <c r="D986" s="7">
        <f>IF(COUNTIF(Raw_Bookings!$A$2:$A$648,Raw_Passengers!B986)=0,1,0)</f>
        <v>0</v>
      </c>
      <c r="E986" s="7">
        <f>IF(OR(C986=1,D986=1),0,IF(NOT(ISNUMBER(Raw_Passengers!E986)),1,IF(Raw_Passengers!E986&lt;=0,1,0)))</f>
        <v>0</v>
      </c>
      <c r="F986" s="7">
        <f>IF(AND(C986=0,D986=0,TRIM(Raw_Passengers!D986&amp;"")=""),1,0)</f>
        <v>0</v>
      </c>
      <c r="G986" s="7" t="str">
        <f>IF(SUMPRODUCT(--(Lookup_Status!$A$2:$A$13=LOWER(TRIM(Raw_Passengers!F986))))=0,"",INDEX(Lookup_Status!$B$2:$B$13,SUMPRODUCT((Lookup_Status!$A$2:$A$13=LOWER(TRIM(Raw_Passengers!F986)))*(ROW(Lookup_Status!$A$2:$A$13)-1))))</f>
        <v>Confirmed</v>
      </c>
      <c r="H986" s="7" t="str">
        <f>IF(SUMPRODUCT(--(Lookup_Status!$A$2:$A$13=LOWER(TRIM(Raw_Passengers!G986))))=0,"",INDEX(Lookup_Status!$B$2:$B$13,SUMPRODUCT((Lookup_Status!$A$2:$A$13=LOWER(TRIM(Raw_Passengers!G986)))*(ROW(Lookup_Status!$A$2:$A$13)-1))))</f>
        <v>Confirmed</v>
      </c>
      <c r="I986" s="7">
        <f>IF(OR(G986="",G986="Cancelled",G986="Mixed"),1,0)</f>
        <v>0</v>
      </c>
      <c r="J986" s="7">
        <f>IF(OR(H986="",H986="Mixed"),1,0)</f>
        <v>0</v>
      </c>
      <c r="K986" s="7">
        <f>IF(AND(C986=0,D986=0),IF(OR(AND(I986=0,NOT(EXACT(Raw_Passengers!F986,G986))),AND(J986=0,NOT(EXACT(Raw_Passengers!G986,H986)))),1,0),0)</f>
        <v>0</v>
      </c>
      <c r="L986" s="7">
        <f>IF(AND(C986=0,D986=0,I986=1),1,0)</f>
        <v>0</v>
      </c>
      <c r="M986" s="7">
        <f>IF(AND(C986=0,D986=0,J986=1),1,0)</f>
        <v>0</v>
      </c>
    </row>
    <row r="987" spans="1:13">
      <c r="A987" s="7">
        <f>Raw_Passengers!A987</f>
        <v>323014</v>
      </c>
      <c r="B987" s="7">
        <f>Raw_Passengers!B987</f>
        <v>1160148</v>
      </c>
      <c r="C987" s="7">
        <f>IF(COUNTIF(Raw_Passengers!$A$2:A987,Raw_Passengers!A987)&gt;1,1,0)</f>
        <v>0</v>
      </c>
      <c r="D987" s="7">
        <f>IF(COUNTIF(Raw_Bookings!$A$2:$A$648,Raw_Passengers!B987)=0,1,0)</f>
        <v>0</v>
      </c>
      <c r="E987" s="7">
        <f>IF(OR(C987=1,D987=1),0,IF(NOT(ISNUMBER(Raw_Passengers!E987)),1,IF(Raw_Passengers!E987&lt;=0,1,0)))</f>
        <v>0</v>
      </c>
      <c r="F987" s="7">
        <f>IF(AND(C987=0,D987=0,TRIM(Raw_Passengers!D987&amp;"")=""),1,0)</f>
        <v>0</v>
      </c>
      <c r="G987" s="7" t="str">
        <f>IF(SUMPRODUCT(--(Lookup_Status!$A$2:$A$13=LOWER(TRIM(Raw_Passengers!F987))))=0,"",INDEX(Lookup_Status!$B$2:$B$13,SUMPRODUCT((Lookup_Status!$A$2:$A$13=LOWER(TRIM(Raw_Passengers!F987)))*(ROW(Lookup_Status!$A$2:$A$13)-1))))</f>
        <v>Confirmed</v>
      </c>
      <c r="H987" s="7" t="str">
        <f>IF(SUMPRODUCT(--(Lookup_Status!$A$2:$A$13=LOWER(TRIM(Raw_Passengers!G987))))=0,"",INDEX(Lookup_Status!$B$2:$B$13,SUMPRODUCT((Lookup_Status!$A$2:$A$13=LOWER(TRIM(Raw_Passengers!G987)))*(ROW(Lookup_Status!$A$2:$A$13)-1))))</f>
        <v>Confirmed</v>
      </c>
      <c r="I987" s="7">
        <f>IF(OR(G987="",G987="Cancelled",G987="Mixed"),1,0)</f>
        <v>0</v>
      </c>
      <c r="J987" s="7">
        <f>IF(OR(H987="",H987="Mixed"),1,0)</f>
        <v>0</v>
      </c>
      <c r="K987" s="7">
        <f>IF(AND(C987=0,D987=0),IF(OR(AND(I987=0,NOT(EXACT(Raw_Passengers!F987,G987))),AND(J987=0,NOT(EXACT(Raw_Passengers!G987,H987)))),1,0),0)</f>
        <v>0</v>
      </c>
      <c r="L987" s="7">
        <f>IF(AND(C987=0,D987=0,I987=1),1,0)</f>
        <v>0</v>
      </c>
      <c r="M987" s="7">
        <f>IF(AND(C987=0,D987=0,J987=1),1,0)</f>
        <v>0</v>
      </c>
    </row>
    <row r="988" spans="1:13">
      <c r="A988" s="7">
        <f>Raw_Passengers!A988</f>
        <v>323015</v>
      </c>
      <c r="B988" s="7">
        <f>Raw_Passengers!B988</f>
        <v>1160148</v>
      </c>
      <c r="C988" s="7">
        <f>IF(COUNTIF(Raw_Passengers!$A$2:A988,Raw_Passengers!A988)&gt;1,1,0)</f>
        <v>0</v>
      </c>
      <c r="D988" s="7">
        <f>IF(COUNTIF(Raw_Bookings!$A$2:$A$648,Raw_Passengers!B988)=0,1,0)</f>
        <v>0</v>
      </c>
      <c r="E988" s="7">
        <f>IF(OR(C988=1,D988=1),0,IF(NOT(ISNUMBER(Raw_Passengers!E988)),1,IF(Raw_Passengers!E988&lt;=0,1,0)))</f>
        <v>0</v>
      </c>
      <c r="F988" s="7">
        <f>IF(AND(C988=0,D988=0,TRIM(Raw_Passengers!D988&amp;"")=""),1,0)</f>
        <v>0</v>
      </c>
      <c r="G988" s="7" t="str">
        <f>IF(SUMPRODUCT(--(Lookup_Status!$A$2:$A$13=LOWER(TRIM(Raw_Passengers!F988))))=0,"",INDEX(Lookup_Status!$B$2:$B$13,SUMPRODUCT((Lookup_Status!$A$2:$A$13=LOWER(TRIM(Raw_Passengers!F988)))*(ROW(Lookup_Status!$A$2:$A$13)-1))))</f>
        <v>Confirmed</v>
      </c>
      <c r="H988" s="7" t="str">
        <f>IF(SUMPRODUCT(--(Lookup_Status!$A$2:$A$13=LOWER(TRIM(Raw_Passengers!G988))))=0,"",INDEX(Lookup_Status!$B$2:$B$13,SUMPRODUCT((Lookup_Status!$A$2:$A$13=LOWER(TRIM(Raw_Passengers!G988)))*(ROW(Lookup_Status!$A$2:$A$13)-1))))</f>
        <v>Confirmed</v>
      </c>
      <c r="I988" s="7">
        <f>IF(OR(G988="",G988="Cancelled",G988="Mixed"),1,0)</f>
        <v>0</v>
      </c>
      <c r="J988" s="7">
        <f>IF(OR(H988="",H988="Mixed"),1,0)</f>
        <v>0</v>
      </c>
      <c r="K988" s="7">
        <f>IF(AND(C988=0,D988=0),IF(OR(AND(I988=0,NOT(EXACT(Raw_Passengers!F988,G988))),AND(J988=0,NOT(EXACT(Raw_Passengers!G988,H988)))),1,0),0)</f>
        <v>0</v>
      </c>
      <c r="L988" s="7">
        <f>IF(AND(C988=0,D988=0,I988=1),1,0)</f>
        <v>0</v>
      </c>
      <c r="M988" s="7">
        <f>IF(AND(C988=0,D988=0,J988=1),1,0)</f>
        <v>0</v>
      </c>
    </row>
    <row r="989" spans="1:13">
      <c r="A989" s="7">
        <f>Raw_Passengers!A989</f>
        <v>323016</v>
      </c>
      <c r="B989" s="7">
        <f>Raw_Passengers!B989</f>
        <v>1160148</v>
      </c>
      <c r="C989" s="7">
        <f>IF(COUNTIF(Raw_Passengers!$A$2:A989,Raw_Passengers!A989)&gt;1,1,0)</f>
        <v>0</v>
      </c>
      <c r="D989" s="7">
        <f>IF(COUNTIF(Raw_Bookings!$A$2:$A$648,Raw_Passengers!B989)=0,1,0)</f>
        <v>0</v>
      </c>
      <c r="E989" s="7">
        <f>IF(OR(C989=1,D989=1),0,IF(NOT(ISNUMBER(Raw_Passengers!E989)),1,IF(Raw_Passengers!E989&lt;=0,1,0)))</f>
        <v>0</v>
      </c>
      <c r="F989" s="7">
        <f>IF(AND(C989=0,D989=0,TRIM(Raw_Passengers!D989&amp;"")=""),1,0)</f>
        <v>0</v>
      </c>
      <c r="G989" s="7" t="str">
        <f>IF(SUMPRODUCT(--(Lookup_Status!$A$2:$A$13=LOWER(TRIM(Raw_Passengers!F989))))=0,"",INDEX(Lookup_Status!$B$2:$B$13,SUMPRODUCT((Lookup_Status!$A$2:$A$13=LOWER(TRIM(Raw_Passengers!F989)))*(ROW(Lookup_Status!$A$2:$A$13)-1))))</f>
        <v>Confirmed</v>
      </c>
      <c r="H989" s="7" t="str">
        <f>IF(SUMPRODUCT(--(Lookup_Status!$A$2:$A$13=LOWER(TRIM(Raw_Passengers!G989))))=0,"",INDEX(Lookup_Status!$B$2:$B$13,SUMPRODUCT((Lookup_Status!$A$2:$A$13=LOWER(TRIM(Raw_Passengers!G989)))*(ROW(Lookup_Status!$A$2:$A$13)-1))))</f>
        <v>Confirmed</v>
      </c>
      <c r="I989" s="7">
        <f>IF(OR(G989="",G989="Cancelled",G989="Mixed"),1,0)</f>
        <v>0</v>
      </c>
      <c r="J989" s="7">
        <f>IF(OR(H989="",H989="Mixed"),1,0)</f>
        <v>0</v>
      </c>
      <c r="K989" s="7">
        <f>IF(AND(C989=0,D989=0),IF(OR(AND(I989=0,NOT(EXACT(Raw_Passengers!F989,G989))),AND(J989=0,NOT(EXACT(Raw_Passengers!G989,H989)))),1,0),0)</f>
        <v>0</v>
      </c>
      <c r="L989" s="7">
        <f>IF(AND(C989=0,D989=0,I989=1),1,0)</f>
        <v>0</v>
      </c>
      <c r="M989" s="7">
        <f>IF(AND(C989=0,D989=0,J989=1),1,0)</f>
        <v>0</v>
      </c>
    </row>
    <row r="990" spans="1:13">
      <c r="A990" s="7">
        <f>Raw_Passengers!A990</f>
        <v>323017</v>
      </c>
      <c r="B990" s="7">
        <f>Raw_Passengers!B990</f>
        <v>1160148</v>
      </c>
      <c r="C990" s="7">
        <f>IF(COUNTIF(Raw_Passengers!$A$2:A990,Raw_Passengers!A990)&gt;1,1,0)</f>
        <v>0</v>
      </c>
      <c r="D990" s="7">
        <f>IF(COUNTIF(Raw_Bookings!$A$2:$A$648,Raw_Passengers!B990)=0,1,0)</f>
        <v>0</v>
      </c>
      <c r="E990" s="7">
        <f>IF(OR(C990=1,D990=1),0,IF(NOT(ISNUMBER(Raw_Passengers!E990)),1,IF(Raw_Passengers!E990&lt;=0,1,0)))</f>
        <v>0</v>
      </c>
      <c r="F990" s="7">
        <f>IF(AND(C990=0,D990=0,TRIM(Raw_Passengers!D990&amp;"")=""),1,0)</f>
        <v>0</v>
      </c>
      <c r="G990" s="7" t="str">
        <f>IF(SUMPRODUCT(--(Lookup_Status!$A$2:$A$13=LOWER(TRIM(Raw_Passengers!F990))))=0,"",INDEX(Lookup_Status!$B$2:$B$13,SUMPRODUCT((Lookup_Status!$A$2:$A$13=LOWER(TRIM(Raw_Passengers!F990)))*(ROW(Lookup_Status!$A$2:$A$13)-1))))</f>
        <v>Confirmed</v>
      </c>
      <c r="H990" s="7" t="str">
        <f>IF(SUMPRODUCT(--(Lookup_Status!$A$2:$A$13=LOWER(TRIM(Raw_Passengers!G990))))=0,"",INDEX(Lookup_Status!$B$2:$B$13,SUMPRODUCT((Lookup_Status!$A$2:$A$13=LOWER(TRIM(Raw_Passengers!G990)))*(ROW(Lookup_Status!$A$2:$A$13)-1))))</f>
        <v>Confirmed</v>
      </c>
      <c r="I990" s="7">
        <f>IF(OR(G990="",G990="Cancelled",G990="Mixed"),1,0)</f>
        <v>0</v>
      </c>
      <c r="J990" s="7">
        <f>IF(OR(H990="",H990="Mixed"),1,0)</f>
        <v>0</v>
      </c>
      <c r="K990" s="7">
        <f>IF(AND(C990=0,D990=0),IF(OR(AND(I990=0,NOT(EXACT(Raw_Passengers!F990,G990))),AND(J990=0,NOT(EXACT(Raw_Passengers!G990,H990)))),1,0),0)</f>
        <v>0</v>
      </c>
      <c r="L990" s="7">
        <f>IF(AND(C990=0,D990=0,I990=1),1,0)</f>
        <v>0</v>
      </c>
      <c r="M990" s="7">
        <f>IF(AND(C990=0,D990=0,J990=1),1,0)</f>
        <v>0</v>
      </c>
    </row>
    <row r="991" spans="1:13">
      <c r="A991" s="7">
        <f>Raw_Passengers!A991</f>
        <v>324152</v>
      </c>
      <c r="B991" s="7">
        <f>Raw_Passengers!B991</f>
        <v>1160688</v>
      </c>
      <c r="C991" s="7">
        <f>IF(COUNTIF(Raw_Passengers!$A$2:A991,Raw_Passengers!A991)&gt;1,1,0)</f>
        <v>0</v>
      </c>
      <c r="D991" s="7">
        <f>IF(COUNTIF(Raw_Bookings!$A$2:$A$648,Raw_Passengers!B991)=0,1,0)</f>
        <v>0</v>
      </c>
      <c r="E991" s="7">
        <f>IF(OR(C991=1,D991=1),0,IF(NOT(ISNUMBER(Raw_Passengers!E991)),1,IF(Raw_Passengers!E991&lt;=0,1,0)))</f>
        <v>0</v>
      </c>
      <c r="F991" s="7">
        <f>IF(AND(C991=0,D991=0,TRIM(Raw_Passengers!D991&amp;"")=""),1,0)</f>
        <v>0</v>
      </c>
      <c r="G991" s="7" t="str">
        <f>IF(SUMPRODUCT(--(Lookup_Status!$A$2:$A$13=LOWER(TRIM(Raw_Passengers!F991))))=0,"",INDEX(Lookup_Status!$B$2:$B$13,SUMPRODUCT((Lookup_Status!$A$2:$A$13=LOWER(TRIM(Raw_Passengers!F991)))*(ROW(Lookup_Status!$A$2:$A$13)-1))))</f>
        <v>Confirmed</v>
      </c>
      <c r="H991" s="7" t="str">
        <f>IF(SUMPRODUCT(--(Lookup_Status!$A$2:$A$13=LOWER(TRIM(Raw_Passengers!G991))))=0,"",INDEX(Lookup_Status!$B$2:$B$13,SUMPRODUCT((Lookup_Status!$A$2:$A$13=LOWER(TRIM(Raw_Passengers!G991)))*(ROW(Lookup_Status!$A$2:$A$13)-1))))</f>
        <v>Confirmed</v>
      </c>
      <c r="I991" s="7">
        <f>IF(OR(G991="",G991="Cancelled",G991="Mixed"),1,0)</f>
        <v>0</v>
      </c>
      <c r="J991" s="7">
        <f>IF(OR(H991="",H991="Mixed"),1,0)</f>
        <v>0</v>
      </c>
      <c r="K991" s="7">
        <f>IF(AND(C991=0,D991=0),IF(OR(AND(I991=0,NOT(EXACT(Raw_Passengers!F991,G991))),AND(J991=0,NOT(EXACT(Raw_Passengers!G991,H991)))),1,0),0)</f>
        <v>0</v>
      </c>
      <c r="L991" s="7">
        <f>IF(AND(C991=0,D991=0,I991=1),1,0)</f>
        <v>0</v>
      </c>
      <c r="M991" s="7">
        <f>IF(AND(C991=0,D991=0,J991=1),1,0)</f>
        <v>0</v>
      </c>
    </row>
    <row r="992" spans="1:13">
      <c r="A992" s="7">
        <f>Raw_Passengers!A992</f>
        <v>325080</v>
      </c>
      <c r="B992" s="7">
        <f>Raw_Passengers!B992</f>
        <v>1161167</v>
      </c>
      <c r="C992" s="7">
        <f>IF(COUNTIF(Raw_Passengers!$A$2:A992,Raw_Passengers!A992)&gt;1,1,0)</f>
        <v>0</v>
      </c>
      <c r="D992" s="7">
        <f>IF(COUNTIF(Raw_Bookings!$A$2:$A$648,Raw_Passengers!B992)=0,1,0)</f>
        <v>0</v>
      </c>
      <c r="E992" s="7">
        <f>IF(OR(C992=1,D992=1),0,IF(NOT(ISNUMBER(Raw_Passengers!E992)),1,IF(Raw_Passengers!E992&lt;=0,1,0)))</f>
        <v>0</v>
      </c>
      <c r="F992" s="7">
        <f>IF(AND(C992=0,D992=0,TRIM(Raw_Passengers!D992&amp;"")=""),1,0)</f>
        <v>0</v>
      </c>
      <c r="G992" s="7" t="str">
        <f>IF(SUMPRODUCT(--(Lookup_Status!$A$2:$A$13=LOWER(TRIM(Raw_Passengers!F992))))=0,"",INDEX(Lookup_Status!$B$2:$B$13,SUMPRODUCT((Lookup_Status!$A$2:$A$13=LOWER(TRIM(Raw_Passengers!F992)))*(ROW(Lookup_Status!$A$2:$A$13)-1))))</f>
        <v>Confirmed</v>
      </c>
      <c r="H992" s="7" t="str">
        <f>IF(SUMPRODUCT(--(Lookup_Status!$A$2:$A$13=LOWER(TRIM(Raw_Passengers!G992))))=0,"",INDEX(Lookup_Status!$B$2:$B$13,SUMPRODUCT((Lookup_Status!$A$2:$A$13=LOWER(TRIM(Raw_Passengers!G992)))*(ROW(Lookup_Status!$A$2:$A$13)-1))))</f>
        <v>Confirmed</v>
      </c>
      <c r="I992" s="7">
        <f>IF(OR(G992="",G992="Cancelled",G992="Mixed"),1,0)</f>
        <v>0</v>
      </c>
      <c r="J992" s="7">
        <f>IF(OR(H992="",H992="Mixed"),1,0)</f>
        <v>0</v>
      </c>
      <c r="K992" s="7">
        <f>IF(AND(C992=0,D992=0),IF(OR(AND(I992=0,NOT(EXACT(Raw_Passengers!F992,G992))),AND(J992=0,NOT(EXACT(Raw_Passengers!G992,H992)))),1,0),0)</f>
        <v>0</v>
      </c>
      <c r="L992" s="7">
        <f>IF(AND(C992=0,D992=0,I992=1),1,0)</f>
        <v>0</v>
      </c>
      <c r="M992" s="7">
        <f>IF(AND(C992=0,D992=0,J992=1),1,0)</f>
        <v>0</v>
      </c>
    </row>
    <row r="993" spans="1:13">
      <c r="A993" s="7">
        <f>Raw_Passengers!A993</f>
        <v>325291</v>
      </c>
      <c r="B993" s="7">
        <f>Raw_Passengers!B993</f>
        <v>1161274</v>
      </c>
      <c r="C993" s="7">
        <f>IF(COUNTIF(Raw_Passengers!$A$2:A993,Raw_Passengers!A993)&gt;1,1,0)</f>
        <v>0</v>
      </c>
      <c r="D993" s="7">
        <f>IF(COUNTIF(Raw_Bookings!$A$2:$A$648,Raw_Passengers!B993)=0,1,0)</f>
        <v>0</v>
      </c>
      <c r="E993" s="7">
        <f>IF(OR(C993=1,D993=1),0,IF(NOT(ISNUMBER(Raw_Passengers!E993)),1,IF(Raw_Passengers!E993&lt;=0,1,0)))</f>
        <v>0</v>
      </c>
      <c r="F993" s="7">
        <f>IF(AND(C993=0,D993=0,TRIM(Raw_Passengers!D993&amp;"")=""),1,0)</f>
        <v>0</v>
      </c>
      <c r="G993" s="7" t="str">
        <f>IF(SUMPRODUCT(--(Lookup_Status!$A$2:$A$13=LOWER(TRIM(Raw_Passengers!F993))))=0,"",INDEX(Lookup_Status!$B$2:$B$13,SUMPRODUCT((Lookup_Status!$A$2:$A$13=LOWER(TRIM(Raw_Passengers!F993)))*(ROW(Lookup_Status!$A$2:$A$13)-1))))</f>
        <v>Confirmed</v>
      </c>
      <c r="H993" s="7" t="str">
        <f>IF(SUMPRODUCT(--(Lookup_Status!$A$2:$A$13=LOWER(TRIM(Raw_Passengers!G993))))=0,"",INDEX(Lookup_Status!$B$2:$B$13,SUMPRODUCT((Lookup_Status!$A$2:$A$13=LOWER(TRIM(Raw_Passengers!G993)))*(ROW(Lookup_Status!$A$2:$A$13)-1))))</f>
        <v>Confirmed</v>
      </c>
      <c r="I993" s="7">
        <f>IF(OR(G993="",G993="Cancelled",G993="Mixed"),1,0)</f>
        <v>0</v>
      </c>
      <c r="J993" s="7">
        <f>IF(OR(H993="",H993="Mixed"),1,0)</f>
        <v>0</v>
      </c>
      <c r="K993" s="7">
        <f>IF(AND(C993=0,D993=0),IF(OR(AND(I993=0,NOT(EXACT(Raw_Passengers!F993,G993))),AND(J993=0,NOT(EXACT(Raw_Passengers!G993,H993)))),1,0),0)</f>
        <v>0</v>
      </c>
      <c r="L993" s="7">
        <f>IF(AND(C993=0,D993=0,I993=1),1,0)</f>
        <v>0</v>
      </c>
      <c r="M993" s="7">
        <f>IF(AND(C993=0,D993=0,J993=1),1,0)</f>
        <v>0</v>
      </c>
    </row>
    <row r="994" spans="1:13">
      <c r="A994" s="7">
        <f>Raw_Passengers!A994</f>
        <v>325292</v>
      </c>
      <c r="B994" s="7">
        <f>Raw_Passengers!B994</f>
        <v>1161274</v>
      </c>
      <c r="C994" s="7">
        <f>IF(COUNTIF(Raw_Passengers!$A$2:A994,Raw_Passengers!A994)&gt;1,1,0)</f>
        <v>0</v>
      </c>
      <c r="D994" s="7">
        <f>IF(COUNTIF(Raw_Bookings!$A$2:$A$648,Raw_Passengers!B994)=0,1,0)</f>
        <v>0</v>
      </c>
      <c r="E994" s="7">
        <f>IF(OR(C994=1,D994=1),0,IF(NOT(ISNUMBER(Raw_Passengers!E994)),1,IF(Raw_Passengers!E994&lt;=0,1,0)))</f>
        <v>0</v>
      </c>
      <c r="F994" s="7">
        <f>IF(AND(C994=0,D994=0,TRIM(Raw_Passengers!D994&amp;"")=""),1,0)</f>
        <v>0</v>
      </c>
      <c r="G994" s="7" t="str">
        <f>IF(SUMPRODUCT(--(Lookup_Status!$A$2:$A$13=LOWER(TRIM(Raw_Passengers!F994))))=0,"",INDEX(Lookup_Status!$B$2:$B$13,SUMPRODUCT((Lookup_Status!$A$2:$A$13=LOWER(TRIM(Raw_Passengers!F994)))*(ROW(Lookup_Status!$A$2:$A$13)-1))))</f>
        <v>Confirmed</v>
      </c>
      <c r="H994" s="7" t="str">
        <f>IF(SUMPRODUCT(--(Lookup_Status!$A$2:$A$13=LOWER(TRIM(Raw_Passengers!G994))))=0,"",INDEX(Lookup_Status!$B$2:$B$13,SUMPRODUCT((Lookup_Status!$A$2:$A$13=LOWER(TRIM(Raw_Passengers!G994)))*(ROW(Lookup_Status!$A$2:$A$13)-1))))</f>
        <v>Confirmed</v>
      </c>
      <c r="I994" s="7">
        <f>IF(OR(G994="",G994="Cancelled",G994="Mixed"),1,0)</f>
        <v>0</v>
      </c>
      <c r="J994" s="7">
        <f>IF(OR(H994="",H994="Mixed"),1,0)</f>
        <v>0</v>
      </c>
      <c r="K994" s="7">
        <f>IF(AND(C994=0,D994=0),IF(OR(AND(I994=0,NOT(EXACT(Raw_Passengers!F994,G994))),AND(J994=0,NOT(EXACT(Raw_Passengers!G994,H994)))),1,0),0)</f>
        <v>0</v>
      </c>
      <c r="L994" s="7">
        <f>IF(AND(C994=0,D994=0,I994=1),1,0)</f>
        <v>0</v>
      </c>
      <c r="M994" s="7">
        <f>IF(AND(C994=0,D994=0,J994=1),1,0)</f>
        <v>0</v>
      </c>
    </row>
    <row r="995" spans="1:13">
      <c r="A995" s="7">
        <f>Raw_Passengers!A995</f>
        <v>325799</v>
      </c>
      <c r="B995" s="7">
        <f>Raw_Passengers!B995</f>
        <v>1161513</v>
      </c>
      <c r="C995" s="7">
        <f>IF(COUNTIF(Raw_Passengers!$A$2:A995,Raw_Passengers!A995)&gt;1,1,0)</f>
        <v>0</v>
      </c>
      <c r="D995" s="7">
        <f>IF(COUNTIF(Raw_Bookings!$A$2:$A$648,Raw_Passengers!B995)=0,1,0)</f>
        <v>0</v>
      </c>
      <c r="E995" s="7">
        <f>IF(OR(C995=1,D995=1),0,IF(NOT(ISNUMBER(Raw_Passengers!E995)),1,IF(Raw_Passengers!E995&lt;=0,1,0)))</f>
        <v>0</v>
      </c>
      <c r="F995" s="7">
        <f>IF(AND(C995=0,D995=0,TRIM(Raw_Passengers!D995&amp;"")=""),1,0)</f>
        <v>0</v>
      </c>
      <c r="G995" s="7" t="str">
        <f>IF(SUMPRODUCT(--(Lookup_Status!$A$2:$A$13=LOWER(TRIM(Raw_Passengers!F995))))=0,"",INDEX(Lookup_Status!$B$2:$B$13,SUMPRODUCT((Lookup_Status!$A$2:$A$13=LOWER(TRIM(Raw_Passengers!F995)))*(ROW(Lookup_Status!$A$2:$A$13)-1))))</f>
        <v>Confirmed</v>
      </c>
      <c r="H995" s="7" t="str">
        <f>IF(SUMPRODUCT(--(Lookup_Status!$A$2:$A$13=LOWER(TRIM(Raw_Passengers!G995))))=0,"",INDEX(Lookup_Status!$B$2:$B$13,SUMPRODUCT((Lookup_Status!$A$2:$A$13=LOWER(TRIM(Raw_Passengers!G995)))*(ROW(Lookup_Status!$A$2:$A$13)-1))))</f>
        <v>Confirmed</v>
      </c>
      <c r="I995" s="7">
        <f>IF(OR(G995="",G995="Cancelled",G995="Mixed"),1,0)</f>
        <v>0</v>
      </c>
      <c r="J995" s="7">
        <f>IF(OR(H995="",H995="Mixed"),1,0)</f>
        <v>0</v>
      </c>
      <c r="K995" s="7">
        <f>IF(AND(C995=0,D995=0),IF(OR(AND(I995=0,NOT(EXACT(Raw_Passengers!F995,G995))),AND(J995=0,NOT(EXACT(Raw_Passengers!G995,H995)))),1,0),0)</f>
        <v>0</v>
      </c>
      <c r="L995" s="7">
        <f>IF(AND(C995=0,D995=0,I995=1),1,0)</f>
        <v>0</v>
      </c>
      <c r="M995" s="7">
        <f>IF(AND(C995=0,D995=0,J995=1),1,0)</f>
        <v>0</v>
      </c>
    </row>
    <row r="996" spans="1:13">
      <c r="A996" s="7">
        <f>Raw_Passengers!A996</f>
        <v>326945</v>
      </c>
      <c r="B996" s="7">
        <f>Raw_Passengers!B996</f>
        <v>1162063</v>
      </c>
      <c r="C996" s="7">
        <f>IF(COUNTIF(Raw_Passengers!$A$2:A996,Raw_Passengers!A996)&gt;1,1,0)</f>
        <v>0</v>
      </c>
      <c r="D996" s="7">
        <f>IF(COUNTIF(Raw_Bookings!$A$2:$A$648,Raw_Passengers!B996)=0,1,0)</f>
        <v>0</v>
      </c>
      <c r="E996" s="7">
        <f>IF(OR(C996=1,D996=1),0,IF(NOT(ISNUMBER(Raw_Passengers!E996)),1,IF(Raw_Passengers!E996&lt;=0,1,0)))</f>
        <v>0</v>
      </c>
      <c r="F996" s="7">
        <f>IF(AND(C996=0,D996=0,TRIM(Raw_Passengers!D996&amp;"")=""),1,0)</f>
        <v>0</v>
      </c>
      <c r="G996" s="7" t="str">
        <f>IF(SUMPRODUCT(--(Lookup_Status!$A$2:$A$13=LOWER(TRIM(Raw_Passengers!F996))))=0,"",INDEX(Lookup_Status!$B$2:$B$13,SUMPRODUCT((Lookup_Status!$A$2:$A$13=LOWER(TRIM(Raw_Passengers!F996)))*(ROW(Lookup_Status!$A$2:$A$13)-1))))</f>
        <v>RAC</v>
      </c>
      <c r="H996" s="7" t="str">
        <f>IF(SUMPRODUCT(--(Lookup_Status!$A$2:$A$13=LOWER(TRIM(Raw_Passengers!G996))))=0,"",INDEX(Lookup_Status!$B$2:$B$13,SUMPRODUCT((Lookup_Status!$A$2:$A$13=LOWER(TRIM(Raw_Passengers!G996)))*(ROW(Lookup_Status!$A$2:$A$13)-1))))</f>
        <v>Cancelled</v>
      </c>
      <c r="I996" s="7">
        <f>IF(OR(G996="",G996="Cancelled",G996="Mixed"),1,0)</f>
        <v>0</v>
      </c>
      <c r="J996" s="7">
        <f>IF(OR(H996="",H996="Mixed"),1,0)</f>
        <v>0</v>
      </c>
      <c r="K996" s="7">
        <f>IF(AND(C996=0,D996=0),IF(OR(AND(I996=0,NOT(EXACT(Raw_Passengers!F996,G996))),AND(J996=0,NOT(EXACT(Raw_Passengers!G996,H996)))),1,0),0)</f>
        <v>0</v>
      </c>
      <c r="L996" s="7">
        <f>IF(AND(C996=0,D996=0,I996=1),1,0)</f>
        <v>0</v>
      </c>
      <c r="M996" s="7">
        <f>IF(AND(C996=0,D996=0,J996=1),1,0)</f>
        <v>0</v>
      </c>
    </row>
    <row r="997" spans="1:13">
      <c r="A997" s="7">
        <f>Raw_Passengers!A997</f>
        <v>328027</v>
      </c>
      <c r="B997" s="7">
        <f>Raw_Passengers!B997</f>
        <v>1162577</v>
      </c>
      <c r="C997" s="7">
        <f>IF(COUNTIF(Raw_Passengers!$A$2:A997,Raw_Passengers!A997)&gt;1,1,0)</f>
        <v>0</v>
      </c>
      <c r="D997" s="7">
        <f>IF(COUNTIF(Raw_Bookings!$A$2:$A$648,Raw_Passengers!B997)=0,1,0)</f>
        <v>0</v>
      </c>
      <c r="E997" s="7">
        <f>IF(OR(C997=1,D997=1),0,IF(NOT(ISNUMBER(Raw_Passengers!E997)),1,IF(Raw_Passengers!E997&lt;=0,1,0)))</f>
        <v>0</v>
      </c>
      <c r="F997" s="7">
        <f>IF(AND(C997=0,D997=0,TRIM(Raw_Passengers!D997&amp;"")=""),1,0)</f>
        <v>0</v>
      </c>
      <c r="G997" s="7" t="str">
        <f>IF(SUMPRODUCT(--(Lookup_Status!$A$2:$A$13=LOWER(TRIM(Raw_Passengers!F997))))=0,"",INDEX(Lookup_Status!$B$2:$B$13,SUMPRODUCT((Lookup_Status!$A$2:$A$13=LOWER(TRIM(Raw_Passengers!F997)))*(ROW(Lookup_Status!$A$2:$A$13)-1))))</f>
        <v>Confirmed</v>
      </c>
      <c r="H997" s="7" t="str">
        <f>IF(SUMPRODUCT(--(Lookup_Status!$A$2:$A$13=LOWER(TRIM(Raw_Passengers!G997))))=0,"",INDEX(Lookup_Status!$B$2:$B$13,SUMPRODUCT((Lookup_Status!$A$2:$A$13=LOWER(TRIM(Raw_Passengers!G997)))*(ROW(Lookup_Status!$A$2:$A$13)-1))))</f>
        <v>Confirmed</v>
      </c>
      <c r="I997" s="7">
        <f>IF(OR(G997="",G997="Cancelled",G997="Mixed"),1,0)</f>
        <v>0</v>
      </c>
      <c r="J997" s="7">
        <f>IF(OR(H997="",H997="Mixed"),1,0)</f>
        <v>0</v>
      </c>
      <c r="K997" s="7">
        <f>IF(AND(C997=0,D997=0),IF(OR(AND(I997=0,NOT(EXACT(Raw_Passengers!F997,G997))),AND(J997=0,NOT(EXACT(Raw_Passengers!G997,H997)))),1,0),0)</f>
        <v>0</v>
      </c>
      <c r="L997" s="7">
        <f>IF(AND(C997=0,D997=0,I997=1),1,0)</f>
        <v>0</v>
      </c>
      <c r="M997" s="7">
        <f>IF(AND(C997=0,D997=0,J997=1),1,0)</f>
        <v>0</v>
      </c>
    </row>
    <row r="998" spans="1:13">
      <c r="A998" s="7">
        <f>Raw_Passengers!A998</f>
        <v>328186</v>
      </c>
      <c r="B998" s="7">
        <f>Raw_Passengers!B998</f>
        <v>1162647</v>
      </c>
      <c r="C998" s="7">
        <f>IF(COUNTIF(Raw_Passengers!$A$2:A998,Raw_Passengers!A998)&gt;1,1,0)</f>
        <v>0</v>
      </c>
      <c r="D998" s="7">
        <f>IF(COUNTIF(Raw_Bookings!$A$2:$A$648,Raw_Passengers!B998)=0,1,0)</f>
        <v>0</v>
      </c>
      <c r="E998" s="7">
        <f>IF(OR(C998=1,D998=1),0,IF(NOT(ISNUMBER(Raw_Passengers!E998)),1,IF(Raw_Passengers!E998&lt;=0,1,0)))</f>
        <v>0</v>
      </c>
      <c r="F998" s="7">
        <f>IF(AND(C998=0,D998=0,TRIM(Raw_Passengers!D998&amp;"")=""),1,0)</f>
        <v>0</v>
      </c>
      <c r="G998" s="7" t="str">
        <f>IF(SUMPRODUCT(--(Lookup_Status!$A$2:$A$13=LOWER(TRIM(Raw_Passengers!F998))))=0,"",INDEX(Lookup_Status!$B$2:$B$13,SUMPRODUCT((Lookup_Status!$A$2:$A$13=LOWER(TRIM(Raw_Passengers!F998)))*(ROW(Lookup_Status!$A$2:$A$13)-1))))</f>
        <v>Confirmed</v>
      </c>
      <c r="H998" s="7" t="str">
        <f>IF(SUMPRODUCT(--(Lookup_Status!$A$2:$A$13=LOWER(TRIM(Raw_Passengers!G998))))=0,"",INDEX(Lookup_Status!$B$2:$B$13,SUMPRODUCT((Lookup_Status!$A$2:$A$13=LOWER(TRIM(Raw_Passengers!G998)))*(ROW(Lookup_Status!$A$2:$A$13)-1))))</f>
        <v>Cancelled</v>
      </c>
      <c r="I998" s="7">
        <f>IF(OR(G998="",G998="Cancelled",G998="Mixed"),1,0)</f>
        <v>0</v>
      </c>
      <c r="J998" s="7">
        <f>IF(OR(H998="",H998="Mixed"),1,0)</f>
        <v>0</v>
      </c>
      <c r="K998" s="7">
        <f>IF(AND(C998=0,D998=0),IF(OR(AND(I998=0,NOT(EXACT(Raw_Passengers!F998,G998))),AND(J998=0,NOT(EXACT(Raw_Passengers!G998,H998)))),1,0),0)</f>
        <v>0</v>
      </c>
      <c r="L998" s="7">
        <f>IF(AND(C998=0,D998=0,I998=1),1,0)</f>
        <v>0</v>
      </c>
      <c r="M998" s="7">
        <f>IF(AND(C998=0,D998=0,J998=1),1,0)</f>
        <v>0</v>
      </c>
    </row>
    <row r="999" spans="1:13">
      <c r="A999" s="7">
        <f>Raw_Passengers!A999</f>
        <v>328478</v>
      </c>
      <c r="B999" s="7">
        <f>Raw_Passengers!B999</f>
        <v>1162802</v>
      </c>
      <c r="C999" s="7">
        <f>IF(COUNTIF(Raw_Passengers!$A$2:A999,Raw_Passengers!A999)&gt;1,1,0)</f>
        <v>0</v>
      </c>
      <c r="D999" s="7">
        <f>IF(COUNTIF(Raw_Bookings!$A$2:$A$648,Raw_Passengers!B999)=0,1,0)</f>
        <v>0</v>
      </c>
      <c r="E999" s="7">
        <f>IF(OR(C999=1,D999=1),0,IF(NOT(ISNUMBER(Raw_Passengers!E999)),1,IF(Raw_Passengers!E999&lt;=0,1,0)))</f>
        <v>0</v>
      </c>
      <c r="F999" s="7">
        <f>IF(AND(C999=0,D999=0,TRIM(Raw_Passengers!D999&amp;"")=""),1,0)</f>
        <v>0</v>
      </c>
      <c r="G999" s="7" t="str">
        <f>IF(SUMPRODUCT(--(Lookup_Status!$A$2:$A$13=LOWER(TRIM(Raw_Passengers!F999))))=0,"",INDEX(Lookup_Status!$B$2:$B$13,SUMPRODUCT((Lookup_Status!$A$2:$A$13=LOWER(TRIM(Raw_Passengers!F999)))*(ROW(Lookup_Status!$A$2:$A$13)-1))))</f>
        <v>Confirmed</v>
      </c>
      <c r="H999" s="7" t="str">
        <f>IF(SUMPRODUCT(--(Lookup_Status!$A$2:$A$13=LOWER(TRIM(Raw_Passengers!G999))))=0,"",INDEX(Lookup_Status!$B$2:$B$13,SUMPRODUCT((Lookup_Status!$A$2:$A$13=LOWER(TRIM(Raw_Passengers!G999)))*(ROW(Lookup_Status!$A$2:$A$13)-1))))</f>
        <v>Confirmed</v>
      </c>
      <c r="I999" s="7">
        <f>IF(OR(G999="",G999="Cancelled",G999="Mixed"),1,0)</f>
        <v>0</v>
      </c>
      <c r="J999" s="7">
        <f>IF(OR(H999="",H999="Mixed"),1,0)</f>
        <v>0</v>
      </c>
      <c r="K999" s="7">
        <f>IF(AND(C999=0,D999=0),IF(OR(AND(I999=0,NOT(EXACT(Raw_Passengers!F999,G999))),AND(J999=0,NOT(EXACT(Raw_Passengers!G999,H999)))),1,0),0)</f>
        <v>0</v>
      </c>
      <c r="L999" s="7">
        <f>IF(AND(C999=0,D999=0,I999=1),1,0)</f>
        <v>0</v>
      </c>
      <c r="M999" s="7">
        <f>IF(AND(C999=0,D999=0,J999=1),1,0)</f>
        <v>0</v>
      </c>
    </row>
    <row r="1000" spans="1:13">
      <c r="A1000" s="7">
        <f>Raw_Passengers!A1000</f>
        <v>328734</v>
      </c>
      <c r="B1000" s="7">
        <f>Raw_Passengers!B1000</f>
        <v>1162927</v>
      </c>
      <c r="C1000" s="7">
        <f>IF(COUNTIF(Raw_Passengers!$A$2:A1000,Raw_Passengers!A1000)&gt;1,1,0)</f>
        <v>0</v>
      </c>
      <c r="D1000" s="7">
        <f>IF(COUNTIF(Raw_Bookings!$A$2:$A$648,Raw_Passengers!B1000)=0,1,0)</f>
        <v>0</v>
      </c>
      <c r="E1000" s="7">
        <f>IF(OR(C1000=1,D1000=1),0,IF(NOT(ISNUMBER(Raw_Passengers!E1000)),1,IF(Raw_Passengers!E1000&lt;=0,1,0)))</f>
        <v>0</v>
      </c>
      <c r="F1000" s="7">
        <f>IF(AND(C1000=0,D1000=0,TRIM(Raw_Passengers!D1000&amp;"")=""),1,0)</f>
        <v>0</v>
      </c>
      <c r="G1000" s="7" t="str">
        <f>IF(SUMPRODUCT(--(Lookup_Status!$A$2:$A$13=LOWER(TRIM(Raw_Passengers!F1000))))=0,"",INDEX(Lookup_Status!$B$2:$B$13,SUMPRODUCT((Lookup_Status!$A$2:$A$13=LOWER(TRIM(Raw_Passengers!F1000)))*(ROW(Lookup_Status!$A$2:$A$13)-1))))</f>
        <v>Confirmed</v>
      </c>
      <c r="H1000" s="7" t="str">
        <f>IF(SUMPRODUCT(--(Lookup_Status!$A$2:$A$13=LOWER(TRIM(Raw_Passengers!G1000))))=0,"",INDEX(Lookup_Status!$B$2:$B$13,SUMPRODUCT((Lookup_Status!$A$2:$A$13=LOWER(TRIM(Raw_Passengers!G1000)))*(ROW(Lookup_Status!$A$2:$A$13)-1))))</f>
        <v>Confirmed</v>
      </c>
      <c r="I1000" s="7">
        <f>IF(OR(G1000="",G1000="Cancelled",G1000="Mixed"),1,0)</f>
        <v>0</v>
      </c>
      <c r="J1000" s="7">
        <f>IF(OR(H1000="",H1000="Mixed"),1,0)</f>
        <v>0</v>
      </c>
      <c r="K1000" s="7">
        <f>IF(AND(C1000=0,D1000=0),IF(OR(AND(I1000=0,NOT(EXACT(Raw_Passengers!F1000,G1000))),AND(J1000=0,NOT(EXACT(Raw_Passengers!G1000,H1000)))),1,0),0)</f>
        <v>0</v>
      </c>
      <c r="L1000" s="7">
        <f>IF(AND(C1000=0,D1000=0,I1000=1),1,0)</f>
        <v>0</v>
      </c>
      <c r="M1000" s="7">
        <f>IF(AND(C1000=0,D1000=0,J1000=1),1,0)</f>
        <v>0</v>
      </c>
    </row>
    <row r="1001" spans="1:13">
      <c r="A1001" s="7">
        <f>Raw_Passengers!A1001</f>
        <v>328735</v>
      </c>
      <c r="B1001" s="7">
        <f>Raw_Passengers!B1001</f>
        <v>1162927</v>
      </c>
      <c r="C1001" s="7">
        <f>IF(COUNTIF(Raw_Passengers!$A$2:A1001,Raw_Passengers!A1001)&gt;1,1,0)</f>
        <v>0</v>
      </c>
      <c r="D1001" s="7">
        <f>IF(COUNTIF(Raw_Bookings!$A$2:$A$648,Raw_Passengers!B1001)=0,1,0)</f>
        <v>0</v>
      </c>
      <c r="E1001" s="7">
        <f>IF(OR(C1001=1,D1001=1),0,IF(NOT(ISNUMBER(Raw_Passengers!E1001)),1,IF(Raw_Passengers!E1001&lt;=0,1,0)))</f>
        <v>0</v>
      </c>
      <c r="F1001" s="7">
        <f>IF(AND(C1001=0,D1001=0,TRIM(Raw_Passengers!D1001&amp;"")=""),1,0)</f>
        <v>0</v>
      </c>
      <c r="G1001" s="7" t="str">
        <f>IF(SUMPRODUCT(--(Lookup_Status!$A$2:$A$13=LOWER(TRIM(Raw_Passengers!F1001))))=0,"",INDEX(Lookup_Status!$B$2:$B$13,SUMPRODUCT((Lookup_Status!$A$2:$A$13=LOWER(TRIM(Raw_Passengers!F1001)))*(ROW(Lookup_Status!$A$2:$A$13)-1))))</f>
        <v>Confirmed</v>
      </c>
      <c r="H1001" s="7" t="str">
        <f>IF(SUMPRODUCT(--(Lookup_Status!$A$2:$A$13=LOWER(TRIM(Raw_Passengers!G1001))))=0,"",INDEX(Lookup_Status!$B$2:$B$13,SUMPRODUCT((Lookup_Status!$A$2:$A$13=LOWER(TRIM(Raw_Passengers!G1001)))*(ROW(Lookup_Status!$A$2:$A$13)-1))))</f>
        <v>Confirmed</v>
      </c>
      <c r="I1001" s="7">
        <f>IF(OR(G1001="",G1001="Cancelled",G1001="Mixed"),1,0)</f>
        <v>0</v>
      </c>
      <c r="J1001" s="7">
        <f>IF(OR(H1001="",H1001="Mixed"),1,0)</f>
        <v>0</v>
      </c>
      <c r="K1001" s="7">
        <f>IF(AND(C1001=0,D1001=0),IF(OR(AND(I1001=0,NOT(EXACT(Raw_Passengers!F1001,G1001))),AND(J1001=0,NOT(EXACT(Raw_Passengers!G1001,H1001)))),1,0),0)</f>
        <v>0</v>
      </c>
      <c r="L1001" s="7">
        <f>IF(AND(C1001=0,D1001=0,I1001=1),1,0)</f>
        <v>0</v>
      </c>
      <c r="M1001" s="7">
        <f>IF(AND(C1001=0,D1001=0,J1001=1),1,0)</f>
        <v>0</v>
      </c>
    </row>
    <row r="1002" spans="1:13">
      <c r="A1002" s="7">
        <f>Raw_Passengers!A1002</f>
        <v>329255</v>
      </c>
      <c r="B1002" s="7">
        <f>Raw_Passengers!B1002</f>
        <v>1163181</v>
      </c>
      <c r="C1002" s="7">
        <f>IF(COUNTIF(Raw_Passengers!$A$2:A1002,Raw_Passengers!A1002)&gt;1,1,0)</f>
        <v>0</v>
      </c>
      <c r="D1002" s="7">
        <f>IF(COUNTIF(Raw_Bookings!$A$2:$A$648,Raw_Passengers!B1002)=0,1,0)</f>
        <v>0</v>
      </c>
      <c r="E1002" s="7">
        <f>IF(OR(C1002=1,D1002=1),0,IF(NOT(ISNUMBER(Raw_Passengers!E1002)),1,IF(Raw_Passengers!E1002&lt;=0,1,0)))</f>
        <v>0</v>
      </c>
      <c r="F1002" s="7">
        <f>IF(AND(C1002=0,D1002=0,TRIM(Raw_Passengers!D1002&amp;"")=""),1,0)</f>
        <v>0</v>
      </c>
      <c r="G1002" s="7" t="str">
        <f>IF(SUMPRODUCT(--(Lookup_Status!$A$2:$A$13=LOWER(TRIM(Raw_Passengers!F1002))))=0,"",INDEX(Lookup_Status!$B$2:$B$13,SUMPRODUCT((Lookup_Status!$A$2:$A$13=LOWER(TRIM(Raw_Passengers!F1002)))*(ROW(Lookup_Status!$A$2:$A$13)-1))))</f>
        <v>Confirmed</v>
      </c>
      <c r="H1002" s="7" t="str">
        <f>IF(SUMPRODUCT(--(Lookup_Status!$A$2:$A$13=LOWER(TRIM(Raw_Passengers!G1002))))=0,"",INDEX(Lookup_Status!$B$2:$B$13,SUMPRODUCT((Lookup_Status!$A$2:$A$13=LOWER(TRIM(Raw_Passengers!G1002)))*(ROW(Lookup_Status!$A$2:$A$13)-1))))</f>
        <v>Confirmed</v>
      </c>
      <c r="I1002" s="7">
        <f>IF(OR(G1002="",G1002="Cancelled",G1002="Mixed"),1,0)</f>
        <v>0</v>
      </c>
      <c r="J1002" s="7">
        <f>IF(OR(H1002="",H1002="Mixed"),1,0)</f>
        <v>0</v>
      </c>
      <c r="K1002" s="7">
        <f>IF(AND(C1002=0,D1002=0),IF(OR(AND(I1002=0,NOT(EXACT(Raw_Passengers!F1002,G1002))),AND(J1002=0,NOT(EXACT(Raw_Passengers!G1002,H1002)))),1,0),0)</f>
        <v>0</v>
      </c>
      <c r="L1002" s="7">
        <f>IF(AND(C1002=0,D1002=0,I1002=1),1,0)</f>
        <v>0</v>
      </c>
      <c r="M1002" s="7">
        <f>IF(AND(C1002=0,D1002=0,J1002=1),1,0)</f>
        <v>0</v>
      </c>
    </row>
    <row r="1003" spans="1:13">
      <c r="A1003" s="7">
        <f>Raw_Passengers!A1003</f>
        <v>329256</v>
      </c>
      <c r="B1003" s="7">
        <f>Raw_Passengers!B1003</f>
        <v>1163181</v>
      </c>
      <c r="C1003" s="7">
        <f>IF(COUNTIF(Raw_Passengers!$A$2:A1003,Raw_Passengers!A1003)&gt;1,1,0)</f>
        <v>0</v>
      </c>
      <c r="D1003" s="7">
        <f>IF(COUNTIF(Raw_Bookings!$A$2:$A$648,Raw_Passengers!B1003)=0,1,0)</f>
        <v>0</v>
      </c>
      <c r="E1003" s="7">
        <f>IF(OR(C1003=1,D1003=1),0,IF(NOT(ISNUMBER(Raw_Passengers!E1003)),1,IF(Raw_Passengers!E1003&lt;=0,1,0)))</f>
        <v>0</v>
      </c>
      <c r="F1003" s="7">
        <f>IF(AND(C1003=0,D1003=0,TRIM(Raw_Passengers!D1003&amp;"")=""),1,0)</f>
        <v>0</v>
      </c>
      <c r="G1003" s="7" t="str">
        <f>IF(SUMPRODUCT(--(Lookup_Status!$A$2:$A$13=LOWER(TRIM(Raw_Passengers!F1003))))=0,"",INDEX(Lookup_Status!$B$2:$B$13,SUMPRODUCT((Lookup_Status!$A$2:$A$13=LOWER(TRIM(Raw_Passengers!F1003)))*(ROW(Lookup_Status!$A$2:$A$13)-1))))</f>
        <v>Confirmed</v>
      </c>
      <c r="H1003" s="7" t="str">
        <f>IF(SUMPRODUCT(--(Lookup_Status!$A$2:$A$13=LOWER(TRIM(Raw_Passengers!G1003))))=0,"",INDEX(Lookup_Status!$B$2:$B$13,SUMPRODUCT((Lookup_Status!$A$2:$A$13=LOWER(TRIM(Raw_Passengers!G1003)))*(ROW(Lookup_Status!$A$2:$A$13)-1))))</f>
        <v>Confirmed</v>
      </c>
      <c r="I1003" s="7">
        <f>IF(OR(G1003="",G1003="Cancelled",G1003="Mixed"),1,0)</f>
        <v>0</v>
      </c>
      <c r="J1003" s="7">
        <f>IF(OR(H1003="",H1003="Mixed"),1,0)</f>
        <v>0</v>
      </c>
      <c r="K1003" s="7">
        <f>IF(AND(C1003=0,D1003=0),IF(OR(AND(I1003=0,NOT(EXACT(Raw_Passengers!F1003,G1003))),AND(J1003=0,NOT(EXACT(Raw_Passengers!G1003,H1003)))),1,0),0)</f>
        <v>0</v>
      </c>
      <c r="L1003" s="7">
        <f>IF(AND(C1003=0,D1003=0,I1003=1),1,0)</f>
        <v>0</v>
      </c>
      <c r="M1003" s="7">
        <f>IF(AND(C1003=0,D1003=0,J1003=1),1,0)</f>
        <v>0</v>
      </c>
    </row>
    <row r="1004" spans="1:13">
      <c r="A1004" s="7">
        <f>Raw_Passengers!A1004</f>
        <v>329257</v>
      </c>
      <c r="B1004" s="7">
        <f>Raw_Passengers!B1004</f>
        <v>1163181</v>
      </c>
      <c r="C1004" s="7">
        <f>IF(COUNTIF(Raw_Passengers!$A$2:A1004,Raw_Passengers!A1004)&gt;1,1,0)</f>
        <v>0</v>
      </c>
      <c r="D1004" s="7">
        <f>IF(COUNTIF(Raw_Bookings!$A$2:$A$648,Raw_Passengers!B1004)=0,1,0)</f>
        <v>0</v>
      </c>
      <c r="E1004" s="7">
        <f>IF(OR(C1004=1,D1004=1),0,IF(NOT(ISNUMBER(Raw_Passengers!E1004)),1,IF(Raw_Passengers!E1004&lt;=0,1,0)))</f>
        <v>0</v>
      </c>
      <c r="F1004" s="7">
        <f>IF(AND(C1004=0,D1004=0,TRIM(Raw_Passengers!D1004&amp;"")=""),1,0)</f>
        <v>0</v>
      </c>
      <c r="G1004" s="7" t="str">
        <f>IF(SUMPRODUCT(--(Lookup_Status!$A$2:$A$13=LOWER(TRIM(Raw_Passengers!F1004))))=0,"",INDEX(Lookup_Status!$B$2:$B$13,SUMPRODUCT((Lookup_Status!$A$2:$A$13=LOWER(TRIM(Raw_Passengers!F1004)))*(ROW(Lookup_Status!$A$2:$A$13)-1))))</f>
        <v>Confirmed</v>
      </c>
      <c r="H1004" s="7" t="str">
        <f>IF(SUMPRODUCT(--(Lookup_Status!$A$2:$A$13=LOWER(TRIM(Raw_Passengers!G1004))))=0,"",INDEX(Lookup_Status!$B$2:$B$13,SUMPRODUCT((Lookup_Status!$A$2:$A$13=LOWER(TRIM(Raw_Passengers!G1004)))*(ROW(Lookup_Status!$A$2:$A$13)-1))))</f>
        <v>Confirmed</v>
      </c>
      <c r="I1004" s="7">
        <f>IF(OR(G1004="",G1004="Cancelled",G1004="Mixed"),1,0)</f>
        <v>0</v>
      </c>
      <c r="J1004" s="7">
        <f>IF(OR(H1004="",H1004="Mixed"),1,0)</f>
        <v>0</v>
      </c>
      <c r="K1004" s="7">
        <f>IF(AND(C1004=0,D1004=0),IF(OR(AND(I1004=0,NOT(EXACT(Raw_Passengers!F1004,G1004))),AND(J1004=0,NOT(EXACT(Raw_Passengers!G1004,H1004)))),1,0),0)</f>
        <v>0</v>
      </c>
      <c r="L1004" s="7">
        <f>IF(AND(C1004=0,D1004=0,I1004=1),1,0)</f>
        <v>0</v>
      </c>
      <c r="M1004" s="7">
        <f>IF(AND(C1004=0,D1004=0,J1004=1),1,0)</f>
        <v>0</v>
      </c>
    </row>
    <row r="1005" spans="1:13">
      <c r="A1005" s="7">
        <f>Raw_Passengers!A1005</f>
        <v>330478</v>
      </c>
      <c r="B1005" s="7">
        <f>Raw_Passengers!B1005</f>
        <v>1163782</v>
      </c>
      <c r="C1005" s="7">
        <f>IF(COUNTIF(Raw_Passengers!$A$2:A1005,Raw_Passengers!A1005)&gt;1,1,0)</f>
        <v>0</v>
      </c>
      <c r="D1005" s="7">
        <f>IF(COUNTIF(Raw_Bookings!$A$2:$A$648,Raw_Passengers!B1005)=0,1,0)</f>
        <v>0</v>
      </c>
      <c r="E1005" s="7">
        <f>IF(OR(C1005=1,D1005=1),0,IF(NOT(ISNUMBER(Raw_Passengers!E1005)),1,IF(Raw_Passengers!E1005&lt;=0,1,0)))</f>
        <v>0</v>
      </c>
      <c r="F1005" s="7">
        <f>IF(AND(C1005=0,D1005=0,TRIM(Raw_Passengers!D1005&amp;"")=""),1,0)</f>
        <v>0</v>
      </c>
      <c r="G1005" s="7" t="str">
        <f>IF(SUMPRODUCT(--(Lookup_Status!$A$2:$A$13=LOWER(TRIM(Raw_Passengers!F1005))))=0,"",INDEX(Lookup_Status!$B$2:$B$13,SUMPRODUCT((Lookup_Status!$A$2:$A$13=LOWER(TRIM(Raw_Passengers!F1005)))*(ROW(Lookup_Status!$A$2:$A$13)-1))))</f>
        <v>Waitlisted</v>
      </c>
      <c r="H1005" s="7" t="str">
        <f>IF(SUMPRODUCT(--(Lookup_Status!$A$2:$A$13=LOWER(TRIM(Raw_Passengers!G1005))))=0,"",INDEX(Lookup_Status!$B$2:$B$13,SUMPRODUCT((Lookup_Status!$A$2:$A$13=LOWER(TRIM(Raw_Passengers!G1005)))*(ROW(Lookup_Status!$A$2:$A$13)-1))))</f>
        <v>Cancelled</v>
      </c>
      <c r="I1005" s="7">
        <f>IF(OR(G1005="",G1005="Cancelled",G1005="Mixed"),1,0)</f>
        <v>0</v>
      </c>
      <c r="J1005" s="7">
        <f>IF(OR(H1005="",H1005="Mixed"),1,0)</f>
        <v>0</v>
      </c>
      <c r="K1005" s="7">
        <f>IF(AND(C1005=0,D1005=0),IF(OR(AND(I1005=0,NOT(EXACT(Raw_Passengers!F1005,G1005))),AND(J1005=0,NOT(EXACT(Raw_Passengers!G1005,H1005)))),1,0),0)</f>
        <v>0</v>
      </c>
      <c r="L1005" s="7">
        <f>IF(AND(C1005=0,D1005=0,I1005=1),1,0)</f>
        <v>0</v>
      </c>
      <c r="M1005" s="7">
        <f>IF(AND(C1005=0,D1005=0,J1005=1),1,0)</f>
        <v>0</v>
      </c>
    </row>
    <row r="1006" spans="1:13">
      <c r="A1006" s="7">
        <f>Raw_Passengers!A1006</f>
        <v>330479</v>
      </c>
      <c r="B1006" s="7">
        <f>Raw_Passengers!B1006</f>
        <v>1163782</v>
      </c>
      <c r="C1006" s="7">
        <f>IF(COUNTIF(Raw_Passengers!$A$2:A1006,Raw_Passengers!A1006)&gt;1,1,0)</f>
        <v>0</v>
      </c>
      <c r="D1006" s="7">
        <f>IF(COUNTIF(Raw_Bookings!$A$2:$A$648,Raw_Passengers!B1006)=0,1,0)</f>
        <v>0</v>
      </c>
      <c r="E1006" s="7">
        <f>IF(OR(C1006=1,D1006=1),0,IF(NOT(ISNUMBER(Raw_Passengers!E1006)),1,IF(Raw_Passengers!E1006&lt;=0,1,0)))</f>
        <v>0</v>
      </c>
      <c r="F1006" s="7">
        <f>IF(AND(C1006=0,D1006=0,TRIM(Raw_Passengers!D1006&amp;"")=""),1,0)</f>
        <v>0</v>
      </c>
      <c r="G1006" s="7" t="str">
        <f>IF(SUMPRODUCT(--(Lookup_Status!$A$2:$A$13=LOWER(TRIM(Raw_Passengers!F1006))))=0,"",INDEX(Lookup_Status!$B$2:$B$13,SUMPRODUCT((Lookup_Status!$A$2:$A$13=LOWER(TRIM(Raw_Passengers!F1006)))*(ROW(Lookup_Status!$A$2:$A$13)-1))))</f>
        <v>Waitlisted</v>
      </c>
      <c r="H1006" s="7" t="str">
        <f>IF(SUMPRODUCT(--(Lookup_Status!$A$2:$A$13=LOWER(TRIM(Raw_Passengers!G1006))))=0,"",INDEX(Lookup_Status!$B$2:$B$13,SUMPRODUCT((Lookup_Status!$A$2:$A$13=LOWER(TRIM(Raw_Passengers!G1006)))*(ROW(Lookup_Status!$A$2:$A$13)-1))))</f>
        <v>Cancelled</v>
      </c>
      <c r="I1006" s="7">
        <f>IF(OR(G1006="",G1006="Cancelled",G1006="Mixed"),1,0)</f>
        <v>0</v>
      </c>
      <c r="J1006" s="7">
        <f>IF(OR(H1006="",H1006="Mixed"),1,0)</f>
        <v>0</v>
      </c>
      <c r="K1006" s="7">
        <f>IF(AND(C1006=0,D1006=0),IF(OR(AND(I1006=0,NOT(EXACT(Raw_Passengers!F1006,G1006))),AND(J1006=0,NOT(EXACT(Raw_Passengers!G1006,H1006)))),1,0),0)</f>
        <v>0</v>
      </c>
      <c r="L1006" s="7">
        <f>IF(AND(C1006=0,D1006=0,I1006=1),1,0)</f>
        <v>0</v>
      </c>
      <c r="M1006" s="7">
        <f>IF(AND(C1006=0,D1006=0,J1006=1),1,0)</f>
        <v>0</v>
      </c>
    </row>
    <row r="1007" spans="1:13">
      <c r="A1007" s="7">
        <f>Raw_Passengers!A1007</f>
        <v>330527</v>
      </c>
      <c r="B1007" s="7">
        <f>Raw_Passengers!B1007</f>
        <v>1163803</v>
      </c>
      <c r="C1007" s="7">
        <f>IF(COUNTIF(Raw_Passengers!$A$2:A1007,Raw_Passengers!A1007)&gt;1,1,0)</f>
        <v>0</v>
      </c>
      <c r="D1007" s="7">
        <f>IF(COUNTIF(Raw_Bookings!$A$2:$A$648,Raw_Passengers!B1007)=0,1,0)</f>
        <v>0</v>
      </c>
      <c r="E1007" s="7">
        <f>IF(OR(C1007=1,D1007=1),0,IF(NOT(ISNUMBER(Raw_Passengers!E1007)),1,IF(Raw_Passengers!E1007&lt;=0,1,0)))</f>
        <v>0</v>
      </c>
      <c r="F1007" s="7">
        <f>IF(AND(C1007=0,D1007=0,TRIM(Raw_Passengers!D1007&amp;"")=""),1,0)</f>
        <v>0</v>
      </c>
      <c r="G1007" s="7" t="str">
        <f>IF(SUMPRODUCT(--(Lookup_Status!$A$2:$A$13=LOWER(TRIM(Raw_Passengers!F1007))))=0,"",INDEX(Lookup_Status!$B$2:$B$13,SUMPRODUCT((Lookup_Status!$A$2:$A$13=LOWER(TRIM(Raw_Passengers!F1007)))*(ROW(Lookup_Status!$A$2:$A$13)-1))))</f>
        <v>Confirmed</v>
      </c>
      <c r="H1007" s="7" t="str">
        <f>IF(SUMPRODUCT(--(Lookup_Status!$A$2:$A$13=LOWER(TRIM(Raw_Passengers!G1007))))=0,"",INDEX(Lookup_Status!$B$2:$B$13,SUMPRODUCT((Lookup_Status!$A$2:$A$13=LOWER(TRIM(Raw_Passengers!G1007)))*(ROW(Lookup_Status!$A$2:$A$13)-1))))</f>
        <v>Confirmed</v>
      </c>
      <c r="I1007" s="7">
        <f>IF(OR(G1007="",G1007="Cancelled",G1007="Mixed"),1,0)</f>
        <v>0</v>
      </c>
      <c r="J1007" s="7">
        <f>IF(OR(H1007="",H1007="Mixed"),1,0)</f>
        <v>0</v>
      </c>
      <c r="K1007" s="7">
        <f>IF(AND(C1007=0,D1007=0),IF(OR(AND(I1007=0,NOT(EXACT(Raw_Passengers!F1007,G1007))),AND(J1007=0,NOT(EXACT(Raw_Passengers!G1007,H1007)))),1,0),0)</f>
        <v>0</v>
      </c>
      <c r="L1007" s="7">
        <f>IF(AND(C1007=0,D1007=0,I1007=1),1,0)</f>
        <v>0</v>
      </c>
      <c r="M1007" s="7">
        <f>IF(AND(C1007=0,D1007=0,J1007=1),1,0)</f>
        <v>0</v>
      </c>
    </row>
    <row r="1008" spans="1:13">
      <c r="A1008" s="7">
        <f>Raw_Passengers!A1008</f>
        <v>331027</v>
      </c>
      <c r="B1008" s="7">
        <f>Raw_Passengers!B1008</f>
        <v>1164059</v>
      </c>
      <c r="C1008" s="7">
        <f>IF(COUNTIF(Raw_Passengers!$A$2:A1008,Raw_Passengers!A1008)&gt;1,1,0)</f>
        <v>0</v>
      </c>
      <c r="D1008" s="7">
        <f>IF(COUNTIF(Raw_Bookings!$A$2:$A$648,Raw_Passengers!B1008)=0,1,0)</f>
        <v>0</v>
      </c>
      <c r="E1008" s="7">
        <f>IF(OR(C1008=1,D1008=1),0,IF(NOT(ISNUMBER(Raw_Passengers!E1008)),1,IF(Raw_Passengers!E1008&lt;=0,1,0)))</f>
        <v>0</v>
      </c>
      <c r="F1008" s="7">
        <f>IF(AND(C1008=0,D1008=0,TRIM(Raw_Passengers!D1008&amp;"")=""),1,0)</f>
        <v>0</v>
      </c>
      <c r="G1008" s="7" t="str">
        <f>IF(SUMPRODUCT(--(Lookup_Status!$A$2:$A$13=LOWER(TRIM(Raw_Passengers!F1008))))=0,"",INDEX(Lookup_Status!$B$2:$B$13,SUMPRODUCT((Lookup_Status!$A$2:$A$13=LOWER(TRIM(Raw_Passengers!F1008)))*(ROW(Lookup_Status!$A$2:$A$13)-1))))</f>
        <v>Confirmed</v>
      </c>
      <c r="H1008" s="7" t="str">
        <f>IF(SUMPRODUCT(--(Lookup_Status!$A$2:$A$13=LOWER(TRIM(Raw_Passengers!G1008))))=0,"",INDEX(Lookup_Status!$B$2:$B$13,SUMPRODUCT((Lookup_Status!$A$2:$A$13=LOWER(TRIM(Raw_Passengers!G1008)))*(ROW(Lookup_Status!$A$2:$A$13)-1))))</f>
        <v>Cancelled</v>
      </c>
      <c r="I1008" s="7">
        <f>IF(OR(G1008="",G1008="Cancelled",G1008="Mixed"),1,0)</f>
        <v>0</v>
      </c>
      <c r="J1008" s="7">
        <f>IF(OR(H1008="",H1008="Mixed"),1,0)</f>
        <v>0</v>
      </c>
      <c r="K1008" s="7">
        <f>IF(AND(C1008=0,D1008=0),IF(OR(AND(I1008=0,NOT(EXACT(Raw_Passengers!F1008,G1008))),AND(J1008=0,NOT(EXACT(Raw_Passengers!G1008,H1008)))),1,0),0)</f>
        <v>0</v>
      </c>
      <c r="L1008" s="7">
        <f>IF(AND(C1008=0,D1008=0,I1008=1),1,0)</f>
        <v>0</v>
      </c>
      <c r="M1008" s="7">
        <f>IF(AND(C1008=0,D1008=0,J1008=1),1,0)</f>
        <v>0</v>
      </c>
    </row>
    <row r="1009" spans="1:13">
      <c r="A1009" s="7">
        <f>Raw_Passengers!A1009</f>
        <v>331295</v>
      </c>
      <c r="B1009" s="7">
        <f>Raw_Passengers!B1009</f>
        <v>1164189</v>
      </c>
      <c r="C1009" s="7">
        <f>IF(COUNTIF(Raw_Passengers!$A$2:A1009,Raw_Passengers!A1009)&gt;1,1,0)</f>
        <v>0</v>
      </c>
      <c r="D1009" s="7">
        <f>IF(COUNTIF(Raw_Bookings!$A$2:$A$648,Raw_Passengers!B1009)=0,1,0)</f>
        <v>0</v>
      </c>
      <c r="E1009" s="7">
        <f>IF(OR(C1009=1,D1009=1),0,IF(NOT(ISNUMBER(Raw_Passengers!E1009)),1,IF(Raw_Passengers!E1009&lt;=0,1,0)))</f>
        <v>0</v>
      </c>
      <c r="F1009" s="7">
        <f>IF(AND(C1009=0,D1009=0,TRIM(Raw_Passengers!D1009&amp;"")=""),1,0)</f>
        <v>0</v>
      </c>
      <c r="G1009" s="7" t="str">
        <f>IF(SUMPRODUCT(--(Lookup_Status!$A$2:$A$13=LOWER(TRIM(Raw_Passengers!F1009))))=0,"",INDEX(Lookup_Status!$B$2:$B$13,SUMPRODUCT((Lookup_Status!$A$2:$A$13=LOWER(TRIM(Raw_Passengers!F1009)))*(ROW(Lookup_Status!$A$2:$A$13)-1))))</f>
        <v>Confirmed</v>
      </c>
      <c r="H1009" s="7" t="str">
        <f>IF(SUMPRODUCT(--(Lookup_Status!$A$2:$A$13=LOWER(TRIM(Raw_Passengers!G1009))))=0,"",INDEX(Lookup_Status!$B$2:$B$13,SUMPRODUCT((Lookup_Status!$A$2:$A$13=LOWER(TRIM(Raw_Passengers!G1009)))*(ROW(Lookup_Status!$A$2:$A$13)-1))))</f>
        <v>Confirmed</v>
      </c>
      <c r="I1009" s="7">
        <f>IF(OR(G1009="",G1009="Cancelled",G1009="Mixed"),1,0)</f>
        <v>0</v>
      </c>
      <c r="J1009" s="7">
        <f>IF(OR(H1009="",H1009="Mixed"),1,0)</f>
        <v>0</v>
      </c>
      <c r="K1009" s="7">
        <f>IF(AND(C1009=0,D1009=0),IF(OR(AND(I1009=0,NOT(EXACT(Raw_Passengers!F1009,G1009))),AND(J1009=0,NOT(EXACT(Raw_Passengers!G1009,H1009)))),1,0),0)</f>
        <v>0</v>
      </c>
      <c r="L1009" s="7">
        <f>IF(AND(C1009=0,D1009=0,I1009=1),1,0)</f>
        <v>0</v>
      </c>
      <c r="M1009" s="7">
        <f>IF(AND(C1009=0,D1009=0,J1009=1),1,0)</f>
        <v>0</v>
      </c>
    </row>
    <row r="1010" spans="1:13">
      <c r="A1010" s="7">
        <f>Raw_Passengers!A1010</f>
        <v>332674</v>
      </c>
      <c r="B1010" s="7">
        <f>Raw_Passengers!B1010</f>
        <v>1164898</v>
      </c>
      <c r="C1010" s="7">
        <f>IF(COUNTIF(Raw_Passengers!$A$2:A1010,Raw_Passengers!A1010)&gt;1,1,0)</f>
        <v>0</v>
      </c>
      <c r="D1010" s="7">
        <f>IF(COUNTIF(Raw_Bookings!$A$2:$A$648,Raw_Passengers!B1010)=0,1,0)</f>
        <v>0</v>
      </c>
      <c r="E1010" s="7">
        <f>IF(OR(C1010=1,D1010=1),0,IF(NOT(ISNUMBER(Raw_Passengers!E1010)),1,IF(Raw_Passengers!E1010&lt;=0,1,0)))</f>
        <v>0</v>
      </c>
      <c r="F1010" s="7">
        <f>IF(AND(C1010=0,D1010=0,TRIM(Raw_Passengers!D1010&amp;"")=""),1,0)</f>
        <v>0</v>
      </c>
      <c r="G1010" s="7" t="str">
        <f>IF(SUMPRODUCT(--(Lookup_Status!$A$2:$A$13=LOWER(TRIM(Raw_Passengers!F1010))))=0,"",INDEX(Lookup_Status!$B$2:$B$13,SUMPRODUCT((Lookup_Status!$A$2:$A$13=LOWER(TRIM(Raw_Passengers!F1010)))*(ROW(Lookup_Status!$A$2:$A$13)-1))))</f>
        <v>Waitlisted</v>
      </c>
      <c r="H1010" s="7" t="str">
        <f>IF(SUMPRODUCT(--(Lookup_Status!$A$2:$A$13=LOWER(TRIM(Raw_Passengers!G1010))))=0,"",INDEX(Lookup_Status!$B$2:$B$13,SUMPRODUCT((Lookup_Status!$A$2:$A$13=LOWER(TRIM(Raw_Passengers!G1010)))*(ROW(Lookup_Status!$A$2:$A$13)-1))))</f>
        <v>Waitlisted</v>
      </c>
      <c r="I1010" s="7">
        <f>IF(OR(G1010="",G1010="Cancelled",G1010="Mixed"),1,0)</f>
        <v>0</v>
      </c>
      <c r="J1010" s="7">
        <f>IF(OR(H1010="",H1010="Mixed"),1,0)</f>
        <v>0</v>
      </c>
      <c r="K1010" s="7">
        <f>IF(AND(C1010=0,D1010=0),IF(OR(AND(I1010=0,NOT(EXACT(Raw_Passengers!F1010,G1010))),AND(J1010=0,NOT(EXACT(Raw_Passengers!G1010,H1010)))),1,0),0)</f>
        <v>0</v>
      </c>
      <c r="L1010" s="7">
        <f>IF(AND(C1010=0,D1010=0,I1010=1),1,0)</f>
        <v>0</v>
      </c>
      <c r="M1010" s="7">
        <f>IF(AND(C1010=0,D1010=0,J1010=1),1,0)</f>
        <v>0</v>
      </c>
    </row>
    <row r="1011" spans="1:13">
      <c r="A1011" s="7">
        <f>Raw_Passengers!A1011</f>
        <v>332789</v>
      </c>
      <c r="B1011" s="7">
        <f>Raw_Passengers!B1011</f>
        <v>1164953</v>
      </c>
      <c r="C1011" s="7">
        <f>IF(COUNTIF(Raw_Passengers!$A$2:A1011,Raw_Passengers!A1011)&gt;1,1,0)</f>
        <v>0</v>
      </c>
      <c r="D1011" s="7">
        <f>IF(COUNTIF(Raw_Bookings!$A$2:$A$648,Raw_Passengers!B1011)=0,1,0)</f>
        <v>0</v>
      </c>
      <c r="E1011" s="7">
        <f>IF(OR(C1011=1,D1011=1),0,IF(NOT(ISNUMBER(Raw_Passengers!E1011)),1,IF(Raw_Passengers!E1011&lt;=0,1,0)))</f>
        <v>0</v>
      </c>
      <c r="F1011" s="7">
        <f>IF(AND(C1011=0,D1011=0,TRIM(Raw_Passengers!D1011&amp;"")=""),1,0)</f>
        <v>0</v>
      </c>
      <c r="G1011" s="7" t="str">
        <f>IF(SUMPRODUCT(--(Lookup_Status!$A$2:$A$13=LOWER(TRIM(Raw_Passengers!F1011))))=0,"",INDEX(Lookup_Status!$B$2:$B$13,SUMPRODUCT((Lookup_Status!$A$2:$A$13=LOWER(TRIM(Raw_Passengers!F1011)))*(ROW(Lookup_Status!$A$2:$A$13)-1))))</f>
        <v>Confirmed</v>
      </c>
      <c r="H1011" s="7" t="str">
        <f>IF(SUMPRODUCT(--(Lookup_Status!$A$2:$A$13=LOWER(TRIM(Raw_Passengers!G1011))))=0,"",INDEX(Lookup_Status!$B$2:$B$13,SUMPRODUCT((Lookup_Status!$A$2:$A$13=LOWER(TRIM(Raw_Passengers!G1011)))*(ROW(Lookup_Status!$A$2:$A$13)-1))))</f>
        <v>Confirmed</v>
      </c>
      <c r="I1011" s="7">
        <f>IF(OR(G1011="",G1011="Cancelled",G1011="Mixed"),1,0)</f>
        <v>0</v>
      </c>
      <c r="J1011" s="7">
        <f>IF(OR(H1011="",H1011="Mixed"),1,0)</f>
        <v>0</v>
      </c>
      <c r="K1011" s="7">
        <f>IF(AND(C1011=0,D1011=0),IF(OR(AND(I1011=0,NOT(EXACT(Raw_Passengers!F1011,G1011))),AND(J1011=0,NOT(EXACT(Raw_Passengers!G1011,H1011)))),1,0),0)</f>
        <v>0</v>
      </c>
      <c r="L1011" s="7">
        <f>IF(AND(C1011=0,D1011=0,I1011=1),1,0)</f>
        <v>0</v>
      </c>
      <c r="M1011" s="7">
        <f>IF(AND(C1011=0,D1011=0,J1011=1),1,0)</f>
        <v>0</v>
      </c>
    </row>
    <row r="1012" spans="1:13">
      <c r="A1012" s="7">
        <f>Raw_Passengers!A1012</f>
        <v>332790</v>
      </c>
      <c r="B1012" s="7">
        <f>Raw_Passengers!B1012</f>
        <v>1164953</v>
      </c>
      <c r="C1012" s="7">
        <f>IF(COUNTIF(Raw_Passengers!$A$2:A1012,Raw_Passengers!A1012)&gt;1,1,0)</f>
        <v>0</v>
      </c>
      <c r="D1012" s="7">
        <f>IF(COUNTIF(Raw_Bookings!$A$2:$A$648,Raw_Passengers!B1012)=0,1,0)</f>
        <v>0</v>
      </c>
      <c r="E1012" s="7">
        <f>IF(OR(C1012=1,D1012=1),0,IF(NOT(ISNUMBER(Raw_Passengers!E1012)),1,IF(Raw_Passengers!E1012&lt;=0,1,0)))</f>
        <v>0</v>
      </c>
      <c r="F1012" s="7">
        <f>IF(AND(C1012=0,D1012=0,TRIM(Raw_Passengers!D1012&amp;"")=""),1,0)</f>
        <v>0</v>
      </c>
      <c r="G1012" s="7" t="str">
        <f>IF(SUMPRODUCT(--(Lookup_Status!$A$2:$A$13=LOWER(TRIM(Raw_Passengers!F1012))))=0,"",INDEX(Lookup_Status!$B$2:$B$13,SUMPRODUCT((Lookup_Status!$A$2:$A$13=LOWER(TRIM(Raw_Passengers!F1012)))*(ROW(Lookup_Status!$A$2:$A$13)-1))))</f>
        <v>Confirmed</v>
      </c>
      <c r="H1012" s="7" t="str">
        <f>IF(SUMPRODUCT(--(Lookup_Status!$A$2:$A$13=LOWER(TRIM(Raw_Passengers!G1012))))=0,"",INDEX(Lookup_Status!$B$2:$B$13,SUMPRODUCT((Lookup_Status!$A$2:$A$13=LOWER(TRIM(Raw_Passengers!G1012)))*(ROW(Lookup_Status!$A$2:$A$13)-1))))</f>
        <v>Confirmed</v>
      </c>
      <c r="I1012" s="7">
        <f>IF(OR(G1012="",G1012="Cancelled",G1012="Mixed"),1,0)</f>
        <v>0</v>
      </c>
      <c r="J1012" s="7">
        <f>IF(OR(H1012="",H1012="Mixed"),1,0)</f>
        <v>0</v>
      </c>
      <c r="K1012" s="7">
        <f>IF(AND(C1012=0,D1012=0),IF(OR(AND(I1012=0,NOT(EXACT(Raw_Passengers!F1012,G1012))),AND(J1012=0,NOT(EXACT(Raw_Passengers!G1012,H1012)))),1,0),0)</f>
        <v>0</v>
      </c>
      <c r="L1012" s="7">
        <f>IF(AND(C1012=0,D1012=0,I1012=1),1,0)</f>
        <v>0</v>
      </c>
      <c r="M1012" s="7">
        <f>IF(AND(C1012=0,D1012=0,J1012=1),1,0)</f>
        <v>0</v>
      </c>
    </row>
    <row r="1013" spans="1:13">
      <c r="A1013" s="7">
        <f>Raw_Passengers!A1013</f>
        <v>332791</v>
      </c>
      <c r="B1013" s="7">
        <f>Raw_Passengers!B1013</f>
        <v>1164953</v>
      </c>
      <c r="C1013" s="7">
        <f>IF(COUNTIF(Raw_Passengers!$A$2:A1013,Raw_Passengers!A1013)&gt;1,1,0)</f>
        <v>0</v>
      </c>
      <c r="D1013" s="7">
        <f>IF(COUNTIF(Raw_Bookings!$A$2:$A$648,Raw_Passengers!B1013)=0,1,0)</f>
        <v>0</v>
      </c>
      <c r="E1013" s="7">
        <f>IF(OR(C1013=1,D1013=1),0,IF(NOT(ISNUMBER(Raw_Passengers!E1013)),1,IF(Raw_Passengers!E1013&lt;=0,1,0)))</f>
        <v>0</v>
      </c>
      <c r="F1013" s="7">
        <f>IF(AND(C1013=0,D1013=0,TRIM(Raw_Passengers!D1013&amp;"")=""),1,0)</f>
        <v>0</v>
      </c>
      <c r="G1013" s="7" t="str">
        <f>IF(SUMPRODUCT(--(Lookup_Status!$A$2:$A$13=LOWER(TRIM(Raw_Passengers!F1013))))=0,"",INDEX(Lookup_Status!$B$2:$B$13,SUMPRODUCT((Lookup_Status!$A$2:$A$13=LOWER(TRIM(Raw_Passengers!F1013)))*(ROW(Lookup_Status!$A$2:$A$13)-1))))</f>
        <v>Confirmed</v>
      </c>
      <c r="H1013" s="7" t="str">
        <f>IF(SUMPRODUCT(--(Lookup_Status!$A$2:$A$13=LOWER(TRIM(Raw_Passengers!G1013))))=0,"",INDEX(Lookup_Status!$B$2:$B$13,SUMPRODUCT((Lookup_Status!$A$2:$A$13=LOWER(TRIM(Raw_Passengers!G1013)))*(ROW(Lookup_Status!$A$2:$A$13)-1))))</f>
        <v>Confirmed</v>
      </c>
      <c r="I1013" s="7">
        <f>IF(OR(G1013="",G1013="Cancelled",G1013="Mixed"),1,0)</f>
        <v>0</v>
      </c>
      <c r="J1013" s="7">
        <f>IF(OR(H1013="",H1013="Mixed"),1,0)</f>
        <v>0</v>
      </c>
      <c r="K1013" s="7">
        <f>IF(AND(C1013=0,D1013=0),IF(OR(AND(I1013=0,NOT(EXACT(Raw_Passengers!F1013,G1013))),AND(J1013=0,NOT(EXACT(Raw_Passengers!G1013,H1013)))),1,0),0)</f>
        <v>0</v>
      </c>
      <c r="L1013" s="7">
        <f>IF(AND(C1013=0,D1013=0,I1013=1),1,0)</f>
        <v>0</v>
      </c>
      <c r="M1013" s="7">
        <f>IF(AND(C1013=0,D1013=0,J1013=1),1,0)</f>
        <v>0</v>
      </c>
    </row>
    <row r="1014" spans="1:13">
      <c r="A1014" s="7">
        <f>Raw_Passengers!A1014</f>
        <v>332792</v>
      </c>
      <c r="B1014" s="7">
        <f>Raw_Passengers!B1014</f>
        <v>1164953</v>
      </c>
      <c r="C1014" s="7">
        <f>IF(COUNTIF(Raw_Passengers!$A$2:A1014,Raw_Passengers!A1014)&gt;1,1,0)</f>
        <v>0</v>
      </c>
      <c r="D1014" s="7">
        <f>IF(COUNTIF(Raw_Bookings!$A$2:$A$648,Raw_Passengers!B1014)=0,1,0)</f>
        <v>0</v>
      </c>
      <c r="E1014" s="7">
        <f>IF(OR(C1014=1,D1014=1),0,IF(NOT(ISNUMBER(Raw_Passengers!E1014)),1,IF(Raw_Passengers!E1014&lt;=0,1,0)))</f>
        <v>0</v>
      </c>
      <c r="F1014" s="7">
        <f>IF(AND(C1014=0,D1014=0,TRIM(Raw_Passengers!D1014&amp;"")=""),1,0)</f>
        <v>0</v>
      </c>
      <c r="G1014" s="7" t="str">
        <f>IF(SUMPRODUCT(--(Lookup_Status!$A$2:$A$13=LOWER(TRIM(Raw_Passengers!F1014))))=0,"",INDEX(Lookup_Status!$B$2:$B$13,SUMPRODUCT((Lookup_Status!$A$2:$A$13=LOWER(TRIM(Raw_Passengers!F1014)))*(ROW(Lookup_Status!$A$2:$A$13)-1))))</f>
        <v>Confirmed</v>
      </c>
      <c r="H1014" s="7" t="str">
        <f>IF(SUMPRODUCT(--(Lookup_Status!$A$2:$A$13=LOWER(TRIM(Raw_Passengers!G1014))))=0,"",INDEX(Lookup_Status!$B$2:$B$13,SUMPRODUCT((Lookup_Status!$A$2:$A$13=LOWER(TRIM(Raw_Passengers!G1014)))*(ROW(Lookup_Status!$A$2:$A$13)-1))))</f>
        <v>Confirmed</v>
      </c>
      <c r="I1014" s="7">
        <f>IF(OR(G1014="",G1014="Cancelled",G1014="Mixed"),1,0)</f>
        <v>0</v>
      </c>
      <c r="J1014" s="7">
        <f>IF(OR(H1014="",H1014="Mixed"),1,0)</f>
        <v>0</v>
      </c>
      <c r="K1014" s="7">
        <f>IF(AND(C1014=0,D1014=0),IF(OR(AND(I1014=0,NOT(EXACT(Raw_Passengers!F1014,G1014))),AND(J1014=0,NOT(EXACT(Raw_Passengers!G1014,H1014)))),1,0),0)</f>
        <v>0</v>
      </c>
      <c r="L1014" s="7">
        <f>IF(AND(C1014=0,D1014=0,I1014=1),1,0)</f>
        <v>0</v>
      </c>
      <c r="M1014" s="7">
        <f>IF(AND(C1014=0,D1014=0,J1014=1),1,0)</f>
        <v>0</v>
      </c>
    </row>
    <row r="1015" spans="1:13">
      <c r="A1015" s="7">
        <f>Raw_Passengers!A1015</f>
        <v>333147</v>
      </c>
      <c r="B1015" s="7">
        <f>Raw_Passengers!B1015</f>
        <v>1165115</v>
      </c>
      <c r="C1015" s="7">
        <f>IF(COUNTIF(Raw_Passengers!$A$2:A1015,Raw_Passengers!A1015)&gt;1,1,0)</f>
        <v>0</v>
      </c>
      <c r="D1015" s="7">
        <f>IF(COUNTIF(Raw_Bookings!$A$2:$A$648,Raw_Passengers!B1015)=0,1,0)</f>
        <v>0</v>
      </c>
      <c r="E1015" s="7">
        <f>IF(OR(C1015=1,D1015=1),0,IF(NOT(ISNUMBER(Raw_Passengers!E1015)),1,IF(Raw_Passengers!E1015&lt;=0,1,0)))</f>
        <v>0</v>
      </c>
      <c r="F1015" s="7">
        <f>IF(AND(C1015=0,D1015=0,TRIM(Raw_Passengers!D1015&amp;"")=""),1,0)</f>
        <v>0</v>
      </c>
      <c r="G1015" s="7" t="str">
        <f>IF(SUMPRODUCT(--(Lookup_Status!$A$2:$A$13=LOWER(TRIM(Raw_Passengers!F1015))))=0,"",INDEX(Lookup_Status!$B$2:$B$13,SUMPRODUCT((Lookup_Status!$A$2:$A$13=LOWER(TRIM(Raw_Passengers!F1015)))*(ROW(Lookup_Status!$A$2:$A$13)-1))))</f>
        <v>Confirmed</v>
      </c>
      <c r="H1015" s="7" t="str">
        <f>IF(SUMPRODUCT(--(Lookup_Status!$A$2:$A$13=LOWER(TRIM(Raw_Passengers!G1015))))=0,"",INDEX(Lookup_Status!$B$2:$B$13,SUMPRODUCT((Lookup_Status!$A$2:$A$13=LOWER(TRIM(Raw_Passengers!G1015)))*(ROW(Lookup_Status!$A$2:$A$13)-1))))</f>
        <v>Cancelled</v>
      </c>
      <c r="I1015" s="7">
        <f>IF(OR(G1015="",G1015="Cancelled",G1015="Mixed"),1,0)</f>
        <v>0</v>
      </c>
      <c r="J1015" s="7">
        <f>IF(OR(H1015="",H1015="Mixed"),1,0)</f>
        <v>0</v>
      </c>
      <c r="K1015" s="7">
        <f>IF(AND(C1015=0,D1015=0),IF(OR(AND(I1015=0,NOT(EXACT(Raw_Passengers!F1015,G1015))),AND(J1015=0,NOT(EXACT(Raw_Passengers!G1015,H1015)))),1,0),0)</f>
        <v>0</v>
      </c>
      <c r="L1015" s="7">
        <f>IF(AND(C1015=0,D1015=0,I1015=1),1,0)</f>
        <v>0</v>
      </c>
      <c r="M1015" s="7">
        <f>IF(AND(C1015=0,D1015=0,J1015=1),1,0)</f>
        <v>0</v>
      </c>
    </row>
    <row r="1016" spans="1:13">
      <c r="A1016" s="7">
        <f>Raw_Passengers!A1016</f>
        <v>333148</v>
      </c>
      <c r="B1016" s="7">
        <f>Raw_Passengers!B1016</f>
        <v>1165115</v>
      </c>
      <c r="C1016" s="7">
        <f>IF(COUNTIF(Raw_Passengers!$A$2:A1016,Raw_Passengers!A1016)&gt;1,1,0)</f>
        <v>0</v>
      </c>
      <c r="D1016" s="7">
        <f>IF(COUNTIF(Raw_Bookings!$A$2:$A$648,Raw_Passengers!B1016)=0,1,0)</f>
        <v>0</v>
      </c>
      <c r="E1016" s="7">
        <f>IF(OR(C1016=1,D1016=1),0,IF(NOT(ISNUMBER(Raw_Passengers!E1016)),1,IF(Raw_Passengers!E1016&lt;=0,1,0)))</f>
        <v>0</v>
      </c>
      <c r="F1016" s="7">
        <f>IF(AND(C1016=0,D1016=0,TRIM(Raw_Passengers!D1016&amp;"")=""),1,0)</f>
        <v>0</v>
      </c>
      <c r="G1016" s="7" t="str">
        <f>IF(SUMPRODUCT(--(Lookup_Status!$A$2:$A$13=LOWER(TRIM(Raw_Passengers!F1016))))=0,"",INDEX(Lookup_Status!$B$2:$B$13,SUMPRODUCT((Lookup_Status!$A$2:$A$13=LOWER(TRIM(Raw_Passengers!F1016)))*(ROW(Lookup_Status!$A$2:$A$13)-1))))</f>
        <v>Confirmed</v>
      </c>
      <c r="H1016" s="7" t="str">
        <f>IF(SUMPRODUCT(--(Lookup_Status!$A$2:$A$13=LOWER(TRIM(Raw_Passengers!G1016))))=0,"",INDEX(Lookup_Status!$B$2:$B$13,SUMPRODUCT((Lookup_Status!$A$2:$A$13=LOWER(TRIM(Raw_Passengers!G1016)))*(ROW(Lookup_Status!$A$2:$A$13)-1))))</f>
        <v>Cancelled</v>
      </c>
      <c r="I1016" s="7">
        <f>IF(OR(G1016="",G1016="Cancelled",G1016="Mixed"),1,0)</f>
        <v>0</v>
      </c>
      <c r="J1016" s="7">
        <f>IF(OR(H1016="",H1016="Mixed"),1,0)</f>
        <v>0</v>
      </c>
      <c r="K1016" s="7">
        <f>IF(AND(C1016=0,D1016=0),IF(OR(AND(I1016=0,NOT(EXACT(Raw_Passengers!F1016,G1016))),AND(J1016=0,NOT(EXACT(Raw_Passengers!G1016,H1016)))),1,0),0)</f>
        <v>0</v>
      </c>
      <c r="L1016" s="7">
        <f>IF(AND(C1016=0,D1016=0,I1016=1),1,0)</f>
        <v>0</v>
      </c>
      <c r="M1016" s="7">
        <f>IF(AND(C1016=0,D1016=0,J1016=1),1,0)</f>
        <v>0</v>
      </c>
    </row>
    <row r="1017" spans="1:13">
      <c r="A1017" s="7">
        <f>Raw_Passengers!A1017</f>
        <v>333149</v>
      </c>
      <c r="B1017" s="7">
        <f>Raw_Passengers!B1017</f>
        <v>1165115</v>
      </c>
      <c r="C1017" s="7">
        <f>IF(COUNTIF(Raw_Passengers!$A$2:A1017,Raw_Passengers!A1017)&gt;1,1,0)</f>
        <v>0</v>
      </c>
      <c r="D1017" s="7">
        <f>IF(COUNTIF(Raw_Bookings!$A$2:$A$648,Raw_Passengers!B1017)=0,1,0)</f>
        <v>0</v>
      </c>
      <c r="E1017" s="7">
        <f>IF(OR(C1017=1,D1017=1),0,IF(NOT(ISNUMBER(Raw_Passengers!E1017)),1,IF(Raw_Passengers!E1017&lt;=0,1,0)))</f>
        <v>0</v>
      </c>
      <c r="F1017" s="7">
        <f>IF(AND(C1017=0,D1017=0,TRIM(Raw_Passengers!D1017&amp;"")=""),1,0)</f>
        <v>0</v>
      </c>
      <c r="G1017" s="7" t="str">
        <f>IF(SUMPRODUCT(--(Lookup_Status!$A$2:$A$13=LOWER(TRIM(Raw_Passengers!F1017))))=0,"",INDEX(Lookup_Status!$B$2:$B$13,SUMPRODUCT((Lookup_Status!$A$2:$A$13=LOWER(TRIM(Raw_Passengers!F1017)))*(ROW(Lookup_Status!$A$2:$A$13)-1))))</f>
        <v>Confirmed</v>
      </c>
      <c r="H1017" s="7" t="str">
        <f>IF(SUMPRODUCT(--(Lookup_Status!$A$2:$A$13=LOWER(TRIM(Raw_Passengers!G1017))))=0,"",INDEX(Lookup_Status!$B$2:$B$13,SUMPRODUCT((Lookup_Status!$A$2:$A$13=LOWER(TRIM(Raw_Passengers!G1017)))*(ROW(Lookup_Status!$A$2:$A$13)-1))))</f>
        <v>Cancelled</v>
      </c>
      <c r="I1017" s="7">
        <f>IF(OR(G1017="",G1017="Cancelled",G1017="Mixed"),1,0)</f>
        <v>0</v>
      </c>
      <c r="J1017" s="7">
        <f>IF(OR(H1017="",H1017="Mixed"),1,0)</f>
        <v>0</v>
      </c>
      <c r="K1017" s="7">
        <f>IF(AND(C1017=0,D1017=0),IF(OR(AND(I1017=0,NOT(EXACT(Raw_Passengers!F1017,G1017))),AND(J1017=0,NOT(EXACT(Raw_Passengers!G1017,H1017)))),1,0),0)</f>
        <v>0</v>
      </c>
      <c r="L1017" s="7">
        <f>IF(AND(C1017=0,D1017=0,I1017=1),1,0)</f>
        <v>0</v>
      </c>
      <c r="M1017" s="7">
        <f>IF(AND(C1017=0,D1017=0,J1017=1),1,0)</f>
        <v>0</v>
      </c>
    </row>
    <row r="1018" spans="1:13">
      <c r="A1018" s="7">
        <f>Raw_Passengers!A1018</f>
        <v>333150</v>
      </c>
      <c r="B1018" s="7">
        <f>Raw_Passengers!B1018</f>
        <v>1165115</v>
      </c>
      <c r="C1018" s="7">
        <f>IF(COUNTIF(Raw_Passengers!$A$2:A1018,Raw_Passengers!A1018)&gt;1,1,0)</f>
        <v>0</v>
      </c>
      <c r="D1018" s="7">
        <f>IF(COUNTIF(Raw_Bookings!$A$2:$A$648,Raw_Passengers!B1018)=0,1,0)</f>
        <v>0</v>
      </c>
      <c r="E1018" s="7">
        <f>IF(OR(C1018=1,D1018=1),0,IF(NOT(ISNUMBER(Raw_Passengers!E1018)),1,IF(Raw_Passengers!E1018&lt;=0,1,0)))</f>
        <v>0</v>
      </c>
      <c r="F1018" s="7">
        <f>IF(AND(C1018=0,D1018=0,TRIM(Raw_Passengers!D1018&amp;"")=""),1,0)</f>
        <v>0</v>
      </c>
      <c r="G1018" s="7" t="str">
        <f>IF(SUMPRODUCT(--(Lookup_Status!$A$2:$A$13=LOWER(TRIM(Raw_Passengers!F1018))))=0,"",INDEX(Lookup_Status!$B$2:$B$13,SUMPRODUCT((Lookup_Status!$A$2:$A$13=LOWER(TRIM(Raw_Passengers!F1018)))*(ROW(Lookup_Status!$A$2:$A$13)-1))))</f>
        <v>Confirmed</v>
      </c>
      <c r="H1018" s="7" t="str">
        <f>IF(SUMPRODUCT(--(Lookup_Status!$A$2:$A$13=LOWER(TRIM(Raw_Passengers!G1018))))=0,"",INDEX(Lookup_Status!$B$2:$B$13,SUMPRODUCT((Lookup_Status!$A$2:$A$13=LOWER(TRIM(Raw_Passengers!G1018)))*(ROW(Lookup_Status!$A$2:$A$13)-1))))</f>
        <v>Cancelled</v>
      </c>
      <c r="I1018" s="7">
        <f>IF(OR(G1018="",G1018="Cancelled",G1018="Mixed"),1,0)</f>
        <v>0</v>
      </c>
      <c r="J1018" s="7">
        <f>IF(OR(H1018="",H1018="Mixed"),1,0)</f>
        <v>0</v>
      </c>
      <c r="K1018" s="7">
        <f>IF(AND(C1018=0,D1018=0),IF(OR(AND(I1018=0,NOT(EXACT(Raw_Passengers!F1018,G1018))),AND(J1018=0,NOT(EXACT(Raw_Passengers!G1018,H1018)))),1,0),0)</f>
        <v>0</v>
      </c>
      <c r="L1018" s="7">
        <f>IF(AND(C1018=0,D1018=0,I1018=1),1,0)</f>
        <v>0</v>
      </c>
      <c r="M1018" s="7">
        <f>IF(AND(C1018=0,D1018=0,J1018=1),1,0)</f>
        <v>0</v>
      </c>
    </row>
    <row r="1019" spans="1:13">
      <c r="A1019" s="7">
        <f>Raw_Passengers!A1019</f>
        <v>333151</v>
      </c>
      <c r="B1019" s="7">
        <f>Raw_Passengers!B1019</f>
        <v>1165115</v>
      </c>
      <c r="C1019" s="7">
        <f>IF(COUNTIF(Raw_Passengers!$A$2:A1019,Raw_Passengers!A1019)&gt;1,1,0)</f>
        <v>0</v>
      </c>
      <c r="D1019" s="7">
        <f>IF(COUNTIF(Raw_Bookings!$A$2:$A$648,Raw_Passengers!B1019)=0,1,0)</f>
        <v>0</v>
      </c>
      <c r="E1019" s="7">
        <f>IF(OR(C1019=1,D1019=1),0,IF(NOT(ISNUMBER(Raw_Passengers!E1019)),1,IF(Raw_Passengers!E1019&lt;=0,1,0)))</f>
        <v>0</v>
      </c>
      <c r="F1019" s="7">
        <f>IF(AND(C1019=0,D1019=0,TRIM(Raw_Passengers!D1019&amp;"")=""),1,0)</f>
        <v>0</v>
      </c>
      <c r="G1019" s="7" t="str">
        <f>IF(SUMPRODUCT(--(Lookup_Status!$A$2:$A$13=LOWER(TRIM(Raw_Passengers!F1019))))=0,"",INDEX(Lookup_Status!$B$2:$B$13,SUMPRODUCT((Lookup_Status!$A$2:$A$13=LOWER(TRIM(Raw_Passengers!F1019)))*(ROW(Lookup_Status!$A$2:$A$13)-1))))</f>
        <v>Confirmed</v>
      </c>
      <c r="H1019" s="7" t="str">
        <f>IF(SUMPRODUCT(--(Lookup_Status!$A$2:$A$13=LOWER(TRIM(Raw_Passengers!G1019))))=0,"",INDEX(Lookup_Status!$B$2:$B$13,SUMPRODUCT((Lookup_Status!$A$2:$A$13=LOWER(TRIM(Raw_Passengers!G1019)))*(ROW(Lookup_Status!$A$2:$A$13)-1))))</f>
        <v>Cancelled</v>
      </c>
      <c r="I1019" s="7">
        <f>IF(OR(G1019="",G1019="Cancelled",G1019="Mixed"),1,0)</f>
        <v>0</v>
      </c>
      <c r="J1019" s="7">
        <f>IF(OR(H1019="",H1019="Mixed"),1,0)</f>
        <v>0</v>
      </c>
      <c r="K1019" s="7">
        <f>IF(AND(C1019=0,D1019=0),IF(OR(AND(I1019=0,NOT(EXACT(Raw_Passengers!F1019,G1019))),AND(J1019=0,NOT(EXACT(Raw_Passengers!G1019,H1019)))),1,0),0)</f>
        <v>0</v>
      </c>
      <c r="L1019" s="7">
        <f>IF(AND(C1019=0,D1019=0,I1019=1),1,0)</f>
        <v>0</v>
      </c>
      <c r="M1019" s="7">
        <f>IF(AND(C1019=0,D1019=0,J1019=1),1,0)</f>
        <v>0</v>
      </c>
    </row>
    <row r="1020" spans="1:13">
      <c r="A1020" s="7">
        <f>Raw_Passengers!A1020</f>
        <v>333179</v>
      </c>
      <c r="B1020" s="7">
        <f>Raw_Passengers!B1020</f>
        <v>1165130</v>
      </c>
      <c r="C1020" s="7">
        <f>IF(COUNTIF(Raw_Passengers!$A$2:A1020,Raw_Passengers!A1020)&gt;1,1,0)</f>
        <v>0</v>
      </c>
      <c r="D1020" s="7">
        <f>IF(COUNTIF(Raw_Bookings!$A$2:$A$648,Raw_Passengers!B1020)=0,1,0)</f>
        <v>0</v>
      </c>
      <c r="E1020" s="7">
        <f>IF(OR(C1020=1,D1020=1),0,IF(NOT(ISNUMBER(Raw_Passengers!E1020)),1,IF(Raw_Passengers!E1020&lt;=0,1,0)))</f>
        <v>0</v>
      </c>
      <c r="F1020" s="7">
        <f>IF(AND(C1020=0,D1020=0,TRIM(Raw_Passengers!D1020&amp;"")=""),1,0)</f>
        <v>0</v>
      </c>
      <c r="G1020" s="7" t="str">
        <f>IF(SUMPRODUCT(--(Lookup_Status!$A$2:$A$13=LOWER(TRIM(Raw_Passengers!F1020))))=0,"",INDEX(Lookup_Status!$B$2:$B$13,SUMPRODUCT((Lookup_Status!$A$2:$A$13=LOWER(TRIM(Raw_Passengers!F1020)))*(ROW(Lookup_Status!$A$2:$A$13)-1))))</f>
        <v>Waitlisted</v>
      </c>
      <c r="H1020" s="7" t="str">
        <f>IF(SUMPRODUCT(--(Lookup_Status!$A$2:$A$13=LOWER(TRIM(Raw_Passengers!G1020))))=0,"",INDEX(Lookup_Status!$B$2:$B$13,SUMPRODUCT((Lookup_Status!$A$2:$A$13=LOWER(TRIM(Raw_Passengers!G1020)))*(ROW(Lookup_Status!$A$2:$A$13)-1))))</f>
        <v>Cancelled</v>
      </c>
      <c r="I1020" s="7">
        <f>IF(OR(G1020="",G1020="Cancelled",G1020="Mixed"),1,0)</f>
        <v>0</v>
      </c>
      <c r="J1020" s="7">
        <f>IF(OR(H1020="",H1020="Mixed"),1,0)</f>
        <v>0</v>
      </c>
      <c r="K1020" s="7">
        <f>IF(AND(C1020=0,D1020=0),IF(OR(AND(I1020=0,NOT(EXACT(Raw_Passengers!F1020,G1020))),AND(J1020=0,NOT(EXACT(Raw_Passengers!G1020,H1020)))),1,0),0)</f>
        <v>0</v>
      </c>
      <c r="L1020" s="7">
        <f>IF(AND(C1020=0,D1020=0,I1020=1),1,0)</f>
        <v>0</v>
      </c>
      <c r="M1020" s="7">
        <f>IF(AND(C1020=0,D1020=0,J1020=1),1,0)</f>
        <v>0</v>
      </c>
    </row>
    <row r="1021" spans="1:13">
      <c r="A1021" s="7">
        <f>Raw_Passengers!A1021</f>
        <v>333978</v>
      </c>
      <c r="B1021" s="7">
        <f>Raw_Passengers!B1021</f>
        <v>1165520</v>
      </c>
      <c r="C1021" s="7">
        <f>IF(COUNTIF(Raw_Passengers!$A$2:A1021,Raw_Passengers!A1021)&gt;1,1,0)</f>
        <v>0</v>
      </c>
      <c r="D1021" s="7">
        <f>IF(COUNTIF(Raw_Bookings!$A$2:$A$648,Raw_Passengers!B1021)=0,1,0)</f>
        <v>0</v>
      </c>
      <c r="E1021" s="7">
        <f>IF(OR(C1021=1,D1021=1),0,IF(NOT(ISNUMBER(Raw_Passengers!E1021)),1,IF(Raw_Passengers!E1021&lt;=0,1,0)))</f>
        <v>0</v>
      </c>
      <c r="F1021" s="7">
        <f>IF(AND(C1021=0,D1021=0,TRIM(Raw_Passengers!D1021&amp;"")=""),1,0)</f>
        <v>1</v>
      </c>
      <c r="G1021" s="7" t="str">
        <f>IF(SUMPRODUCT(--(Lookup_Status!$A$2:$A$13=LOWER(TRIM(Raw_Passengers!F1021))))=0,"",INDEX(Lookup_Status!$B$2:$B$13,SUMPRODUCT((Lookup_Status!$A$2:$A$13=LOWER(TRIM(Raw_Passengers!F1021)))*(ROW(Lookup_Status!$A$2:$A$13)-1))))</f>
        <v>Waitlisted</v>
      </c>
      <c r="H1021" s="7" t="str">
        <f>IF(SUMPRODUCT(--(Lookup_Status!$A$2:$A$13=LOWER(TRIM(Raw_Passengers!G1021))))=0,"",INDEX(Lookup_Status!$B$2:$B$13,SUMPRODUCT((Lookup_Status!$A$2:$A$13=LOWER(TRIM(Raw_Passengers!G1021)))*(ROW(Lookup_Status!$A$2:$A$13)-1))))</f>
        <v>RAC</v>
      </c>
      <c r="I1021" s="7">
        <f>IF(OR(G1021="",G1021="Cancelled",G1021="Mixed"),1,0)</f>
        <v>0</v>
      </c>
      <c r="J1021" s="7">
        <f>IF(OR(H1021="",H1021="Mixed"),1,0)</f>
        <v>0</v>
      </c>
      <c r="K1021" s="7">
        <f>IF(AND(C1021=0,D1021=0),IF(OR(AND(I1021=0,NOT(EXACT(Raw_Passengers!F1021,G1021))),AND(J1021=0,NOT(EXACT(Raw_Passengers!G1021,H1021)))),1,0),0)</f>
        <v>0</v>
      </c>
      <c r="L1021" s="7">
        <f>IF(AND(C1021=0,D1021=0,I1021=1),1,0)</f>
        <v>0</v>
      </c>
      <c r="M1021" s="7">
        <f>IF(AND(C1021=0,D1021=0,J1021=1),1,0)</f>
        <v>0</v>
      </c>
    </row>
    <row r="1022" spans="1:13">
      <c r="A1022" s="7">
        <f>Raw_Passengers!A1022</f>
        <v>334296</v>
      </c>
      <c r="B1022" s="7">
        <f>Raw_Passengers!B1022</f>
        <v>1165685</v>
      </c>
      <c r="C1022" s="7">
        <f>IF(COUNTIF(Raw_Passengers!$A$2:A1022,Raw_Passengers!A1022)&gt;1,1,0)</f>
        <v>0</v>
      </c>
      <c r="D1022" s="7">
        <f>IF(COUNTIF(Raw_Bookings!$A$2:$A$648,Raw_Passengers!B1022)=0,1,0)</f>
        <v>0</v>
      </c>
      <c r="E1022" s="7">
        <f>IF(OR(C1022=1,D1022=1),0,IF(NOT(ISNUMBER(Raw_Passengers!E1022)),1,IF(Raw_Passengers!E1022&lt;=0,1,0)))</f>
        <v>0</v>
      </c>
      <c r="F1022" s="7">
        <f>IF(AND(C1022=0,D1022=0,TRIM(Raw_Passengers!D1022&amp;"")=""),1,0)</f>
        <v>0</v>
      </c>
      <c r="G1022" s="7" t="str">
        <f>IF(SUMPRODUCT(--(Lookup_Status!$A$2:$A$13=LOWER(TRIM(Raw_Passengers!F1022))))=0,"",INDEX(Lookup_Status!$B$2:$B$13,SUMPRODUCT((Lookup_Status!$A$2:$A$13=LOWER(TRIM(Raw_Passengers!F1022)))*(ROW(Lookup_Status!$A$2:$A$13)-1))))</f>
        <v>Confirmed</v>
      </c>
      <c r="H1022" s="7" t="str">
        <f>IF(SUMPRODUCT(--(Lookup_Status!$A$2:$A$13=LOWER(TRIM(Raw_Passengers!G1022))))=0,"",INDEX(Lookup_Status!$B$2:$B$13,SUMPRODUCT((Lookup_Status!$A$2:$A$13=LOWER(TRIM(Raw_Passengers!G1022)))*(ROW(Lookup_Status!$A$2:$A$13)-1))))</f>
        <v>Confirmed</v>
      </c>
      <c r="I1022" s="7">
        <f>IF(OR(G1022="",G1022="Cancelled",G1022="Mixed"),1,0)</f>
        <v>0</v>
      </c>
      <c r="J1022" s="7">
        <f>IF(OR(H1022="",H1022="Mixed"),1,0)</f>
        <v>0</v>
      </c>
      <c r="K1022" s="7">
        <f>IF(AND(C1022=0,D1022=0),IF(OR(AND(I1022=0,NOT(EXACT(Raw_Passengers!F1022,G1022))),AND(J1022=0,NOT(EXACT(Raw_Passengers!G1022,H1022)))),1,0),0)</f>
        <v>0</v>
      </c>
      <c r="L1022" s="7">
        <f>IF(AND(C1022=0,D1022=0,I1022=1),1,0)</f>
        <v>0</v>
      </c>
      <c r="M1022" s="7">
        <f>IF(AND(C1022=0,D1022=0,J1022=1),1,0)</f>
        <v>0</v>
      </c>
    </row>
    <row r="1023" spans="1:13">
      <c r="A1023" s="7">
        <f>Raw_Passengers!A1023</f>
        <v>334297</v>
      </c>
      <c r="B1023" s="7">
        <f>Raw_Passengers!B1023</f>
        <v>1165685</v>
      </c>
      <c r="C1023" s="7">
        <f>IF(COUNTIF(Raw_Passengers!$A$2:A1023,Raw_Passengers!A1023)&gt;1,1,0)</f>
        <v>0</v>
      </c>
      <c r="D1023" s="7">
        <f>IF(COUNTIF(Raw_Bookings!$A$2:$A$648,Raw_Passengers!B1023)=0,1,0)</f>
        <v>0</v>
      </c>
      <c r="E1023" s="7">
        <f>IF(OR(C1023=1,D1023=1),0,IF(NOT(ISNUMBER(Raw_Passengers!E1023)),1,IF(Raw_Passengers!E1023&lt;=0,1,0)))</f>
        <v>0</v>
      </c>
      <c r="F1023" s="7">
        <f>IF(AND(C1023=0,D1023=0,TRIM(Raw_Passengers!D1023&amp;"")=""),1,0)</f>
        <v>0</v>
      </c>
      <c r="G1023" s="7" t="str">
        <f>IF(SUMPRODUCT(--(Lookup_Status!$A$2:$A$13=LOWER(TRIM(Raw_Passengers!F1023))))=0,"",INDEX(Lookup_Status!$B$2:$B$13,SUMPRODUCT((Lookup_Status!$A$2:$A$13=LOWER(TRIM(Raw_Passengers!F1023)))*(ROW(Lookup_Status!$A$2:$A$13)-1))))</f>
        <v>Confirmed</v>
      </c>
      <c r="H1023" s="7" t="str">
        <f>IF(SUMPRODUCT(--(Lookup_Status!$A$2:$A$13=LOWER(TRIM(Raw_Passengers!G1023))))=0,"",INDEX(Lookup_Status!$B$2:$B$13,SUMPRODUCT((Lookup_Status!$A$2:$A$13=LOWER(TRIM(Raw_Passengers!G1023)))*(ROW(Lookup_Status!$A$2:$A$13)-1))))</f>
        <v>Confirmed</v>
      </c>
      <c r="I1023" s="7">
        <f>IF(OR(G1023="",G1023="Cancelled",G1023="Mixed"),1,0)</f>
        <v>0</v>
      </c>
      <c r="J1023" s="7">
        <f>IF(OR(H1023="",H1023="Mixed"),1,0)</f>
        <v>0</v>
      </c>
      <c r="K1023" s="7">
        <f>IF(AND(C1023=0,D1023=0),IF(OR(AND(I1023=0,NOT(EXACT(Raw_Passengers!F1023,G1023))),AND(J1023=0,NOT(EXACT(Raw_Passengers!G1023,H1023)))),1,0),0)</f>
        <v>0</v>
      </c>
      <c r="L1023" s="7">
        <f>IF(AND(C1023=0,D1023=0,I1023=1),1,0)</f>
        <v>0</v>
      </c>
      <c r="M1023" s="7">
        <f>IF(AND(C1023=0,D1023=0,J1023=1),1,0)</f>
        <v>0</v>
      </c>
    </row>
    <row r="1024" spans="1:13">
      <c r="A1024" s="7">
        <f>Raw_Passengers!A1024</f>
        <v>334901</v>
      </c>
      <c r="B1024" s="7">
        <f>Raw_Passengers!B1024</f>
        <v>1165984</v>
      </c>
      <c r="C1024" s="7">
        <f>IF(COUNTIF(Raw_Passengers!$A$2:A1024,Raw_Passengers!A1024)&gt;1,1,0)</f>
        <v>0</v>
      </c>
      <c r="D1024" s="7">
        <f>IF(COUNTIF(Raw_Bookings!$A$2:$A$648,Raw_Passengers!B1024)=0,1,0)</f>
        <v>0</v>
      </c>
      <c r="E1024" s="7">
        <f>IF(OR(C1024=1,D1024=1),0,IF(NOT(ISNUMBER(Raw_Passengers!E1024)),1,IF(Raw_Passengers!E1024&lt;=0,1,0)))</f>
        <v>0</v>
      </c>
      <c r="F1024" s="7">
        <f>IF(AND(C1024=0,D1024=0,TRIM(Raw_Passengers!D1024&amp;"")=""),1,0)</f>
        <v>0</v>
      </c>
      <c r="G1024" s="7" t="str">
        <f>IF(SUMPRODUCT(--(Lookup_Status!$A$2:$A$13=LOWER(TRIM(Raw_Passengers!F1024))))=0,"",INDEX(Lookup_Status!$B$2:$B$13,SUMPRODUCT((Lookup_Status!$A$2:$A$13=LOWER(TRIM(Raw_Passengers!F1024)))*(ROW(Lookup_Status!$A$2:$A$13)-1))))</f>
        <v>Confirmed</v>
      </c>
      <c r="H1024" s="7" t="str">
        <f>IF(SUMPRODUCT(--(Lookup_Status!$A$2:$A$13=LOWER(TRIM(Raw_Passengers!G1024))))=0,"",INDEX(Lookup_Status!$B$2:$B$13,SUMPRODUCT((Lookup_Status!$A$2:$A$13=LOWER(TRIM(Raw_Passengers!G1024)))*(ROW(Lookup_Status!$A$2:$A$13)-1))))</f>
        <v>Confirmed</v>
      </c>
      <c r="I1024" s="7">
        <f>IF(OR(G1024="",G1024="Cancelled",G1024="Mixed"),1,0)</f>
        <v>0</v>
      </c>
      <c r="J1024" s="7">
        <f>IF(OR(H1024="",H1024="Mixed"),1,0)</f>
        <v>0</v>
      </c>
      <c r="K1024" s="7">
        <f>IF(AND(C1024=0,D1024=0),IF(OR(AND(I1024=0,NOT(EXACT(Raw_Passengers!F1024,G1024))),AND(J1024=0,NOT(EXACT(Raw_Passengers!G1024,H1024)))),1,0),0)</f>
        <v>0</v>
      </c>
      <c r="L1024" s="7">
        <f>IF(AND(C1024=0,D1024=0,I1024=1),1,0)</f>
        <v>0</v>
      </c>
      <c r="M1024" s="7">
        <f>IF(AND(C1024=0,D1024=0,J1024=1),1,0)</f>
        <v>0</v>
      </c>
    </row>
    <row r="1025" spans="1:13">
      <c r="A1025" s="7">
        <f>Raw_Passengers!A1025</f>
        <v>334902</v>
      </c>
      <c r="B1025" s="7">
        <f>Raw_Passengers!B1025</f>
        <v>1165984</v>
      </c>
      <c r="C1025" s="7">
        <f>IF(COUNTIF(Raw_Passengers!$A$2:A1025,Raw_Passengers!A1025)&gt;1,1,0)</f>
        <v>0</v>
      </c>
      <c r="D1025" s="7">
        <f>IF(COUNTIF(Raw_Bookings!$A$2:$A$648,Raw_Passengers!B1025)=0,1,0)</f>
        <v>0</v>
      </c>
      <c r="E1025" s="7">
        <f>IF(OR(C1025=1,D1025=1),0,IF(NOT(ISNUMBER(Raw_Passengers!E1025)),1,IF(Raw_Passengers!E1025&lt;=0,1,0)))</f>
        <v>0</v>
      </c>
      <c r="F1025" s="7">
        <f>IF(AND(C1025=0,D1025=0,TRIM(Raw_Passengers!D1025&amp;"")=""),1,0)</f>
        <v>0</v>
      </c>
      <c r="G1025" s="7" t="str">
        <f>IF(SUMPRODUCT(--(Lookup_Status!$A$2:$A$13=LOWER(TRIM(Raw_Passengers!F1025))))=0,"",INDEX(Lookup_Status!$B$2:$B$13,SUMPRODUCT((Lookup_Status!$A$2:$A$13=LOWER(TRIM(Raw_Passengers!F1025)))*(ROW(Lookup_Status!$A$2:$A$13)-1))))</f>
        <v>Confirmed</v>
      </c>
      <c r="H1025" s="7" t="str">
        <f>IF(SUMPRODUCT(--(Lookup_Status!$A$2:$A$13=LOWER(TRIM(Raw_Passengers!G1025))))=0,"",INDEX(Lookup_Status!$B$2:$B$13,SUMPRODUCT((Lookup_Status!$A$2:$A$13=LOWER(TRIM(Raw_Passengers!G1025)))*(ROW(Lookup_Status!$A$2:$A$13)-1))))</f>
        <v>Confirmed</v>
      </c>
      <c r="I1025" s="7">
        <f>IF(OR(G1025="",G1025="Cancelled",G1025="Mixed"),1,0)</f>
        <v>0</v>
      </c>
      <c r="J1025" s="7">
        <f>IF(OR(H1025="",H1025="Mixed"),1,0)</f>
        <v>0</v>
      </c>
      <c r="K1025" s="7">
        <f>IF(AND(C1025=0,D1025=0),IF(OR(AND(I1025=0,NOT(EXACT(Raw_Passengers!F1025,G1025))),AND(J1025=0,NOT(EXACT(Raw_Passengers!G1025,H1025)))),1,0),0)</f>
        <v>0</v>
      </c>
      <c r="L1025" s="7">
        <f>IF(AND(C1025=0,D1025=0,I1025=1),1,0)</f>
        <v>0</v>
      </c>
      <c r="M1025" s="7">
        <f>IF(AND(C1025=0,D1025=0,J1025=1),1,0)</f>
        <v>0</v>
      </c>
    </row>
    <row r="1026" spans="1:13">
      <c r="A1026" s="7">
        <f>Raw_Passengers!A1026</f>
        <v>334903</v>
      </c>
      <c r="B1026" s="7">
        <f>Raw_Passengers!B1026</f>
        <v>1165984</v>
      </c>
      <c r="C1026" s="7">
        <f>IF(COUNTIF(Raw_Passengers!$A$2:A1026,Raw_Passengers!A1026)&gt;1,1,0)</f>
        <v>0</v>
      </c>
      <c r="D1026" s="7">
        <f>IF(COUNTIF(Raw_Bookings!$A$2:$A$648,Raw_Passengers!B1026)=0,1,0)</f>
        <v>0</v>
      </c>
      <c r="E1026" s="7">
        <f>IF(OR(C1026=1,D1026=1),0,IF(NOT(ISNUMBER(Raw_Passengers!E1026)),1,IF(Raw_Passengers!E1026&lt;=0,1,0)))</f>
        <v>0</v>
      </c>
      <c r="F1026" s="7">
        <f>IF(AND(C1026=0,D1026=0,TRIM(Raw_Passengers!D1026&amp;"")=""),1,0)</f>
        <v>0</v>
      </c>
      <c r="G1026" s="7" t="str">
        <f>IF(SUMPRODUCT(--(Lookup_Status!$A$2:$A$13=LOWER(TRIM(Raw_Passengers!F1026))))=0,"",INDEX(Lookup_Status!$B$2:$B$13,SUMPRODUCT((Lookup_Status!$A$2:$A$13=LOWER(TRIM(Raw_Passengers!F1026)))*(ROW(Lookup_Status!$A$2:$A$13)-1))))</f>
        <v>Confirmed</v>
      </c>
      <c r="H1026" s="7" t="str">
        <f>IF(SUMPRODUCT(--(Lookup_Status!$A$2:$A$13=LOWER(TRIM(Raw_Passengers!G1026))))=0,"",INDEX(Lookup_Status!$B$2:$B$13,SUMPRODUCT((Lookup_Status!$A$2:$A$13=LOWER(TRIM(Raw_Passengers!G1026)))*(ROW(Lookup_Status!$A$2:$A$13)-1))))</f>
        <v>Confirmed</v>
      </c>
      <c r="I1026" s="7">
        <f>IF(OR(G1026="",G1026="Cancelled",G1026="Mixed"),1,0)</f>
        <v>0</v>
      </c>
      <c r="J1026" s="7">
        <f>IF(OR(H1026="",H1026="Mixed"),1,0)</f>
        <v>0</v>
      </c>
      <c r="K1026" s="7">
        <f>IF(AND(C1026=0,D1026=0),IF(OR(AND(I1026=0,NOT(EXACT(Raw_Passengers!F1026,G1026))),AND(J1026=0,NOT(EXACT(Raw_Passengers!G1026,H1026)))),1,0),0)</f>
        <v>0</v>
      </c>
      <c r="L1026" s="7">
        <f>IF(AND(C1026=0,D1026=0,I1026=1),1,0)</f>
        <v>0</v>
      </c>
      <c r="M1026" s="7">
        <f>IF(AND(C1026=0,D1026=0,J1026=1),1,0)</f>
        <v>0</v>
      </c>
    </row>
    <row r="1027" spans="1:13">
      <c r="A1027" s="7">
        <f>Raw_Passengers!A1027</f>
        <v>334904</v>
      </c>
      <c r="B1027" s="7">
        <f>Raw_Passengers!B1027</f>
        <v>1165984</v>
      </c>
      <c r="C1027" s="7">
        <f>IF(COUNTIF(Raw_Passengers!$A$2:A1027,Raw_Passengers!A1027)&gt;1,1,0)</f>
        <v>0</v>
      </c>
      <c r="D1027" s="7">
        <f>IF(COUNTIF(Raw_Bookings!$A$2:$A$648,Raw_Passengers!B1027)=0,1,0)</f>
        <v>0</v>
      </c>
      <c r="E1027" s="7">
        <f>IF(OR(C1027=1,D1027=1),0,IF(NOT(ISNUMBER(Raw_Passengers!E1027)),1,IF(Raw_Passengers!E1027&lt;=0,1,0)))</f>
        <v>0</v>
      </c>
      <c r="F1027" s="7">
        <f>IF(AND(C1027=0,D1027=0,TRIM(Raw_Passengers!D1027&amp;"")=""),1,0)</f>
        <v>0</v>
      </c>
      <c r="G1027" s="7" t="str">
        <f>IF(SUMPRODUCT(--(Lookup_Status!$A$2:$A$13=LOWER(TRIM(Raw_Passengers!F1027))))=0,"",INDEX(Lookup_Status!$B$2:$B$13,SUMPRODUCT((Lookup_Status!$A$2:$A$13=LOWER(TRIM(Raw_Passengers!F1027)))*(ROW(Lookup_Status!$A$2:$A$13)-1))))</f>
        <v>Confirmed</v>
      </c>
      <c r="H1027" s="7" t="str">
        <f>IF(SUMPRODUCT(--(Lookup_Status!$A$2:$A$13=LOWER(TRIM(Raw_Passengers!G1027))))=0,"",INDEX(Lookup_Status!$B$2:$B$13,SUMPRODUCT((Lookup_Status!$A$2:$A$13=LOWER(TRIM(Raw_Passengers!G1027)))*(ROW(Lookup_Status!$A$2:$A$13)-1))))</f>
        <v>Confirmed</v>
      </c>
      <c r="I1027" s="7">
        <f>IF(OR(G1027="",G1027="Cancelled",G1027="Mixed"),1,0)</f>
        <v>0</v>
      </c>
      <c r="J1027" s="7">
        <f>IF(OR(H1027="",H1027="Mixed"),1,0)</f>
        <v>0</v>
      </c>
      <c r="K1027" s="7">
        <f>IF(AND(C1027=0,D1027=0),IF(OR(AND(I1027=0,NOT(EXACT(Raw_Passengers!F1027,G1027))),AND(J1027=0,NOT(EXACT(Raw_Passengers!G1027,H1027)))),1,0),0)</f>
        <v>0</v>
      </c>
      <c r="L1027" s="7">
        <f>IF(AND(C1027=0,D1027=0,I1027=1),1,0)</f>
        <v>0</v>
      </c>
      <c r="M1027" s="7">
        <f>IF(AND(C1027=0,D1027=0,J1027=1),1,0)</f>
        <v>0</v>
      </c>
    </row>
    <row r="1028" spans="1:13">
      <c r="A1028" s="7">
        <f>Raw_Passengers!A1028</f>
        <v>334945</v>
      </c>
      <c r="B1028" s="7">
        <f>Raw_Passengers!B1028</f>
        <v>1166012</v>
      </c>
      <c r="C1028" s="7">
        <f>IF(COUNTIF(Raw_Passengers!$A$2:A1028,Raw_Passengers!A1028)&gt;1,1,0)</f>
        <v>0</v>
      </c>
      <c r="D1028" s="7">
        <f>IF(COUNTIF(Raw_Bookings!$A$2:$A$648,Raw_Passengers!B1028)=0,1,0)</f>
        <v>0</v>
      </c>
      <c r="E1028" s="7">
        <f>IF(OR(C1028=1,D1028=1),0,IF(NOT(ISNUMBER(Raw_Passengers!E1028)),1,IF(Raw_Passengers!E1028&lt;=0,1,0)))</f>
        <v>0</v>
      </c>
      <c r="F1028" s="7">
        <f>IF(AND(C1028=0,D1028=0,TRIM(Raw_Passengers!D1028&amp;"")=""),1,0)</f>
        <v>0</v>
      </c>
      <c r="G1028" s="7" t="str">
        <f>IF(SUMPRODUCT(--(Lookup_Status!$A$2:$A$13=LOWER(TRIM(Raw_Passengers!F1028))))=0,"",INDEX(Lookup_Status!$B$2:$B$13,SUMPRODUCT((Lookup_Status!$A$2:$A$13=LOWER(TRIM(Raw_Passengers!F1028)))*(ROW(Lookup_Status!$A$2:$A$13)-1))))</f>
        <v>Confirmed</v>
      </c>
      <c r="H1028" s="7" t="str">
        <f>IF(SUMPRODUCT(--(Lookup_Status!$A$2:$A$13=LOWER(TRIM(Raw_Passengers!G1028))))=0,"",INDEX(Lookup_Status!$B$2:$B$13,SUMPRODUCT((Lookup_Status!$A$2:$A$13=LOWER(TRIM(Raw_Passengers!G1028)))*(ROW(Lookup_Status!$A$2:$A$13)-1))))</f>
        <v>Confirmed</v>
      </c>
      <c r="I1028" s="7">
        <f>IF(OR(G1028="",G1028="Cancelled",G1028="Mixed"),1,0)</f>
        <v>0</v>
      </c>
      <c r="J1028" s="7">
        <f>IF(OR(H1028="",H1028="Mixed"),1,0)</f>
        <v>0</v>
      </c>
      <c r="K1028" s="7">
        <f>IF(AND(C1028=0,D1028=0),IF(OR(AND(I1028=0,NOT(EXACT(Raw_Passengers!F1028,G1028))),AND(J1028=0,NOT(EXACT(Raw_Passengers!G1028,H1028)))),1,0),0)</f>
        <v>0</v>
      </c>
      <c r="L1028" s="7">
        <f>IF(AND(C1028=0,D1028=0,I1028=1),1,0)</f>
        <v>0</v>
      </c>
      <c r="M1028" s="7">
        <f>IF(AND(C1028=0,D1028=0,J1028=1),1,0)</f>
        <v>0</v>
      </c>
    </row>
    <row r="1029" spans="1:13">
      <c r="A1029" s="7">
        <f>Raw_Passengers!A1029</f>
        <v>335082</v>
      </c>
      <c r="B1029" s="7">
        <f>Raw_Passengers!B1029</f>
        <v>1166075</v>
      </c>
      <c r="C1029" s="7">
        <f>IF(COUNTIF(Raw_Passengers!$A$2:A1029,Raw_Passengers!A1029)&gt;1,1,0)</f>
        <v>0</v>
      </c>
      <c r="D1029" s="7">
        <f>IF(COUNTIF(Raw_Bookings!$A$2:$A$648,Raw_Passengers!B1029)=0,1,0)</f>
        <v>0</v>
      </c>
      <c r="E1029" s="7">
        <f>IF(OR(C1029=1,D1029=1),0,IF(NOT(ISNUMBER(Raw_Passengers!E1029)),1,IF(Raw_Passengers!E1029&lt;=0,1,0)))</f>
        <v>0</v>
      </c>
      <c r="F1029" s="7">
        <f>IF(AND(C1029=0,D1029=0,TRIM(Raw_Passengers!D1029&amp;"")=""),1,0)</f>
        <v>0</v>
      </c>
      <c r="G1029" s="7" t="str">
        <f>IF(SUMPRODUCT(--(Lookup_Status!$A$2:$A$13=LOWER(TRIM(Raw_Passengers!F1029))))=0,"",INDEX(Lookup_Status!$B$2:$B$13,SUMPRODUCT((Lookup_Status!$A$2:$A$13=LOWER(TRIM(Raw_Passengers!F1029)))*(ROW(Lookup_Status!$A$2:$A$13)-1))))</f>
        <v>Confirmed</v>
      </c>
      <c r="H1029" s="7" t="str">
        <f>IF(SUMPRODUCT(--(Lookup_Status!$A$2:$A$13=LOWER(TRIM(Raw_Passengers!G1029))))=0,"",INDEX(Lookup_Status!$B$2:$B$13,SUMPRODUCT((Lookup_Status!$A$2:$A$13=LOWER(TRIM(Raw_Passengers!G1029)))*(ROW(Lookup_Status!$A$2:$A$13)-1))))</f>
        <v>Confirmed</v>
      </c>
      <c r="I1029" s="7">
        <f>IF(OR(G1029="",G1029="Cancelled",G1029="Mixed"),1,0)</f>
        <v>0</v>
      </c>
      <c r="J1029" s="7">
        <f>IF(OR(H1029="",H1029="Mixed"),1,0)</f>
        <v>0</v>
      </c>
      <c r="K1029" s="7">
        <f>IF(AND(C1029=0,D1029=0),IF(OR(AND(I1029=0,NOT(EXACT(Raw_Passengers!F1029,G1029))),AND(J1029=0,NOT(EXACT(Raw_Passengers!G1029,H1029)))),1,0),0)</f>
        <v>0</v>
      </c>
      <c r="L1029" s="7">
        <f>IF(AND(C1029=0,D1029=0,I1029=1),1,0)</f>
        <v>0</v>
      </c>
      <c r="M1029" s="7">
        <f>IF(AND(C1029=0,D1029=0,J1029=1),1,0)</f>
        <v>0</v>
      </c>
    </row>
    <row r="1030" spans="1:13">
      <c r="A1030" s="7">
        <f>Raw_Passengers!A1030</f>
        <v>335083</v>
      </c>
      <c r="B1030" s="7">
        <f>Raw_Passengers!B1030</f>
        <v>1166075</v>
      </c>
      <c r="C1030" s="7">
        <f>IF(COUNTIF(Raw_Passengers!$A$2:A1030,Raw_Passengers!A1030)&gt;1,1,0)</f>
        <v>0</v>
      </c>
      <c r="D1030" s="7">
        <f>IF(COUNTIF(Raw_Bookings!$A$2:$A$648,Raw_Passengers!B1030)=0,1,0)</f>
        <v>0</v>
      </c>
      <c r="E1030" s="7">
        <f>IF(OR(C1030=1,D1030=1),0,IF(NOT(ISNUMBER(Raw_Passengers!E1030)),1,IF(Raw_Passengers!E1030&lt;=0,1,0)))</f>
        <v>0</v>
      </c>
      <c r="F1030" s="7">
        <f>IF(AND(C1030=0,D1030=0,TRIM(Raw_Passengers!D1030&amp;"")=""),1,0)</f>
        <v>0</v>
      </c>
      <c r="G1030" s="7" t="str">
        <f>IF(SUMPRODUCT(--(Lookup_Status!$A$2:$A$13=LOWER(TRIM(Raw_Passengers!F1030))))=0,"",INDEX(Lookup_Status!$B$2:$B$13,SUMPRODUCT((Lookup_Status!$A$2:$A$13=LOWER(TRIM(Raw_Passengers!F1030)))*(ROW(Lookup_Status!$A$2:$A$13)-1))))</f>
        <v>Confirmed</v>
      </c>
      <c r="H1030" s="7" t="str">
        <f>IF(SUMPRODUCT(--(Lookup_Status!$A$2:$A$13=LOWER(TRIM(Raw_Passengers!G1030))))=0,"",INDEX(Lookup_Status!$B$2:$B$13,SUMPRODUCT((Lookup_Status!$A$2:$A$13=LOWER(TRIM(Raw_Passengers!G1030)))*(ROW(Lookup_Status!$A$2:$A$13)-1))))</f>
        <v>Confirmed</v>
      </c>
      <c r="I1030" s="7">
        <f>IF(OR(G1030="",G1030="Cancelled",G1030="Mixed"),1,0)</f>
        <v>0</v>
      </c>
      <c r="J1030" s="7">
        <f>IF(OR(H1030="",H1030="Mixed"),1,0)</f>
        <v>0</v>
      </c>
      <c r="K1030" s="7">
        <f>IF(AND(C1030=0,D1030=0),IF(OR(AND(I1030=0,NOT(EXACT(Raw_Passengers!F1030,G1030))),AND(J1030=0,NOT(EXACT(Raw_Passengers!G1030,H1030)))),1,0),0)</f>
        <v>0</v>
      </c>
      <c r="L1030" s="7">
        <f>IF(AND(C1030=0,D1030=0,I1030=1),1,0)</f>
        <v>0</v>
      </c>
      <c r="M1030" s="7">
        <f>IF(AND(C1030=0,D1030=0,J1030=1),1,0)</f>
        <v>0</v>
      </c>
    </row>
    <row r="1031" spans="1:13">
      <c r="A1031" s="7">
        <f>Raw_Passengers!A1031</f>
        <v>335103</v>
      </c>
      <c r="B1031" s="7">
        <f>Raw_Passengers!B1031</f>
        <v>1166085</v>
      </c>
      <c r="C1031" s="7">
        <f>IF(COUNTIF(Raw_Passengers!$A$2:A1031,Raw_Passengers!A1031)&gt;1,1,0)</f>
        <v>0</v>
      </c>
      <c r="D1031" s="7">
        <f>IF(COUNTIF(Raw_Bookings!$A$2:$A$648,Raw_Passengers!B1031)=0,1,0)</f>
        <v>0</v>
      </c>
      <c r="E1031" s="7">
        <f>IF(OR(C1031=1,D1031=1),0,IF(NOT(ISNUMBER(Raw_Passengers!E1031)),1,IF(Raw_Passengers!E1031&lt;=0,1,0)))</f>
        <v>0</v>
      </c>
      <c r="F1031" s="7">
        <f>IF(AND(C1031=0,D1031=0,TRIM(Raw_Passengers!D1031&amp;"")=""),1,0)</f>
        <v>0</v>
      </c>
      <c r="G1031" s="7" t="str">
        <f>IF(SUMPRODUCT(--(Lookup_Status!$A$2:$A$13=LOWER(TRIM(Raw_Passengers!F1031))))=0,"",INDEX(Lookup_Status!$B$2:$B$13,SUMPRODUCT((Lookup_Status!$A$2:$A$13=LOWER(TRIM(Raw_Passengers!F1031)))*(ROW(Lookup_Status!$A$2:$A$13)-1))))</f>
        <v>Confirmed</v>
      </c>
      <c r="H1031" s="7" t="str">
        <f>IF(SUMPRODUCT(--(Lookup_Status!$A$2:$A$13=LOWER(TRIM(Raw_Passengers!G1031))))=0,"",INDEX(Lookup_Status!$B$2:$B$13,SUMPRODUCT((Lookup_Status!$A$2:$A$13=LOWER(TRIM(Raw_Passengers!G1031)))*(ROW(Lookup_Status!$A$2:$A$13)-1))))</f>
        <v>Cancelled</v>
      </c>
      <c r="I1031" s="7">
        <f>IF(OR(G1031="",G1031="Cancelled",G1031="Mixed"),1,0)</f>
        <v>0</v>
      </c>
      <c r="J1031" s="7">
        <f>IF(OR(H1031="",H1031="Mixed"),1,0)</f>
        <v>0</v>
      </c>
      <c r="K1031" s="7">
        <f>IF(AND(C1031=0,D1031=0),IF(OR(AND(I1031=0,NOT(EXACT(Raw_Passengers!F1031,G1031))),AND(J1031=0,NOT(EXACT(Raw_Passengers!G1031,H1031)))),1,0),0)</f>
        <v>0</v>
      </c>
      <c r="L1031" s="7">
        <f>IF(AND(C1031=0,D1031=0,I1031=1),1,0)</f>
        <v>0</v>
      </c>
      <c r="M1031" s="7">
        <f>IF(AND(C1031=0,D1031=0,J1031=1),1,0)</f>
        <v>0</v>
      </c>
    </row>
    <row r="1032" spans="1:13">
      <c r="A1032" s="7">
        <f>Raw_Passengers!A1032</f>
        <v>335104</v>
      </c>
      <c r="B1032" s="7">
        <f>Raw_Passengers!B1032</f>
        <v>1166085</v>
      </c>
      <c r="C1032" s="7">
        <f>IF(COUNTIF(Raw_Passengers!$A$2:A1032,Raw_Passengers!A1032)&gt;1,1,0)</f>
        <v>0</v>
      </c>
      <c r="D1032" s="7">
        <f>IF(COUNTIF(Raw_Bookings!$A$2:$A$648,Raw_Passengers!B1032)=0,1,0)</f>
        <v>0</v>
      </c>
      <c r="E1032" s="7">
        <f>IF(OR(C1032=1,D1032=1),0,IF(NOT(ISNUMBER(Raw_Passengers!E1032)),1,IF(Raw_Passengers!E1032&lt;=0,1,0)))</f>
        <v>0</v>
      </c>
      <c r="F1032" s="7">
        <f>IF(AND(C1032=0,D1032=0,TRIM(Raw_Passengers!D1032&amp;"")=""),1,0)</f>
        <v>0</v>
      </c>
      <c r="G1032" s="7" t="str">
        <f>IF(SUMPRODUCT(--(Lookup_Status!$A$2:$A$13=LOWER(TRIM(Raw_Passengers!F1032))))=0,"",INDEX(Lookup_Status!$B$2:$B$13,SUMPRODUCT((Lookup_Status!$A$2:$A$13=LOWER(TRIM(Raw_Passengers!F1032)))*(ROW(Lookup_Status!$A$2:$A$13)-1))))</f>
        <v>Confirmed</v>
      </c>
      <c r="H1032" s="7" t="str">
        <f>IF(SUMPRODUCT(--(Lookup_Status!$A$2:$A$13=LOWER(TRIM(Raw_Passengers!G1032))))=0,"",INDEX(Lookup_Status!$B$2:$B$13,SUMPRODUCT((Lookup_Status!$A$2:$A$13=LOWER(TRIM(Raw_Passengers!G1032)))*(ROW(Lookup_Status!$A$2:$A$13)-1))))</f>
        <v>Cancelled</v>
      </c>
      <c r="I1032" s="7">
        <f>IF(OR(G1032="",G1032="Cancelled",G1032="Mixed"),1,0)</f>
        <v>0</v>
      </c>
      <c r="J1032" s="7">
        <f>IF(OR(H1032="",H1032="Mixed"),1,0)</f>
        <v>0</v>
      </c>
      <c r="K1032" s="7">
        <f>IF(AND(C1032=0,D1032=0),IF(OR(AND(I1032=0,NOT(EXACT(Raw_Passengers!F1032,G1032))),AND(J1032=0,NOT(EXACT(Raw_Passengers!G1032,H1032)))),1,0),0)</f>
        <v>0</v>
      </c>
      <c r="L1032" s="7">
        <f>IF(AND(C1032=0,D1032=0,I1032=1),1,0)</f>
        <v>0</v>
      </c>
      <c r="M1032" s="7">
        <f>IF(AND(C1032=0,D1032=0,J1032=1),1,0)</f>
        <v>0</v>
      </c>
    </row>
    <row r="1033" spans="1:13">
      <c r="A1033" s="7">
        <f>Raw_Passengers!A1033</f>
        <v>335105</v>
      </c>
      <c r="B1033" s="7">
        <f>Raw_Passengers!B1033</f>
        <v>1166085</v>
      </c>
      <c r="C1033" s="7">
        <f>IF(COUNTIF(Raw_Passengers!$A$2:A1033,Raw_Passengers!A1033)&gt;1,1,0)</f>
        <v>0</v>
      </c>
      <c r="D1033" s="7">
        <f>IF(COUNTIF(Raw_Bookings!$A$2:$A$648,Raw_Passengers!B1033)=0,1,0)</f>
        <v>0</v>
      </c>
      <c r="E1033" s="7">
        <f>IF(OR(C1033=1,D1033=1),0,IF(NOT(ISNUMBER(Raw_Passengers!E1033)),1,IF(Raw_Passengers!E1033&lt;=0,1,0)))</f>
        <v>0</v>
      </c>
      <c r="F1033" s="7">
        <f>IF(AND(C1033=0,D1033=0,TRIM(Raw_Passengers!D1033&amp;"")=""),1,0)</f>
        <v>0</v>
      </c>
      <c r="G1033" s="7" t="str">
        <f>IF(SUMPRODUCT(--(Lookup_Status!$A$2:$A$13=LOWER(TRIM(Raw_Passengers!F1033))))=0,"",INDEX(Lookup_Status!$B$2:$B$13,SUMPRODUCT((Lookup_Status!$A$2:$A$13=LOWER(TRIM(Raw_Passengers!F1033)))*(ROW(Lookup_Status!$A$2:$A$13)-1))))</f>
        <v>Confirmed</v>
      </c>
      <c r="H1033" s="7" t="str">
        <f>IF(SUMPRODUCT(--(Lookup_Status!$A$2:$A$13=LOWER(TRIM(Raw_Passengers!G1033))))=0,"",INDEX(Lookup_Status!$B$2:$B$13,SUMPRODUCT((Lookup_Status!$A$2:$A$13=LOWER(TRIM(Raw_Passengers!G1033)))*(ROW(Lookup_Status!$A$2:$A$13)-1))))</f>
        <v>Cancelled</v>
      </c>
      <c r="I1033" s="7">
        <f>IF(OR(G1033="",G1033="Cancelled",G1033="Mixed"),1,0)</f>
        <v>0</v>
      </c>
      <c r="J1033" s="7">
        <f>IF(OR(H1033="",H1033="Mixed"),1,0)</f>
        <v>0</v>
      </c>
      <c r="K1033" s="7">
        <f>IF(AND(C1033=0,D1033=0),IF(OR(AND(I1033=0,NOT(EXACT(Raw_Passengers!F1033,G1033))),AND(J1033=0,NOT(EXACT(Raw_Passengers!G1033,H1033)))),1,0),0)</f>
        <v>0</v>
      </c>
      <c r="L1033" s="7">
        <f>IF(AND(C1033=0,D1033=0,I1033=1),1,0)</f>
        <v>0</v>
      </c>
      <c r="M1033" s="7">
        <f>IF(AND(C1033=0,D1033=0,J1033=1),1,0)</f>
        <v>0</v>
      </c>
    </row>
    <row r="1034" spans="1:13">
      <c r="A1034" s="7">
        <f>Raw_Passengers!A1034</f>
        <v>335106</v>
      </c>
      <c r="B1034" s="7">
        <f>Raw_Passengers!B1034</f>
        <v>1166085</v>
      </c>
      <c r="C1034" s="7">
        <f>IF(COUNTIF(Raw_Passengers!$A$2:A1034,Raw_Passengers!A1034)&gt;1,1,0)</f>
        <v>0</v>
      </c>
      <c r="D1034" s="7">
        <f>IF(COUNTIF(Raw_Bookings!$A$2:$A$648,Raw_Passengers!B1034)=0,1,0)</f>
        <v>0</v>
      </c>
      <c r="E1034" s="7">
        <f>IF(OR(C1034=1,D1034=1),0,IF(NOT(ISNUMBER(Raw_Passengers!E1034)),1,IF(Raw_Passengers!E1034&lt;=0,1,0)))</f>
        <v>0</v>
      </c>
      <c r="F1034" s="7">
        <f>IF(AND(C1034=0,D1034=0,TRIM(Raw_Passengers!D1034&amp;"")=""),1,0)</f>
        <v>0</v>
      </c>
      <c r="G1034" s="7" t="str">
        <f>IF(SUMPRODUCT(--(Lookup_Status!$A$2:$A$13=LOWER(TRIM(Raw_Passengers!F1034))))=0,"",INDEX(Lookup_Status!$B$2:$B$13,SUMPRODUCT((Lookup_Status!$A$2:$A$13=LOWER(TRIM(Raw_Passengers!F1034)))*(ROW(Lookup_Status!$A$2:$A$13)-1))))</f>
        <v>Confirmed</v>
      </c>
      <c r="H1034" s="7" t="str">
        <f>IF(SUMPRODUCT(--(Lookup_Status!$A$2:$A$13=LOWER(TRIM(Raw_Passengers!G1034))))=0,"",INDEX(Lookup_Status!$B$2:$B$13,SUMPRODUCT((Lookup_Status!$A$2:$A$13=LOWER(TRIM(Raw_Passengers!G1034)))*(ROW(Lookup_Status!$A$2:$A$13)-1))))</f>
        <v>Confirmed</v>
      </c>
      <c r="I1034" s="7">
        <f>IF(OR(G1034="",G1034="Cancelled",G1034="Mixed"),1,0)</f>
        <v>0</v>
      </c>
      <c r="J1034" s="7">
        <f>IF(OR(H1034="",H1034="Mixed"),1,0)</f>
        <v>0</v>
      </c>
      <c r="K1034" s="7">
        <f>IF(AND(C1034=0,D1034=0),IF(OR(AND(I1034=0,NOT(EXACT(Raw_Passengers!F1034,G1034))),AND(J1034=0,NOT(EXACT(Raw_Passengers!G1034,H1034)))),1,0),0)</f>
        <v>0</v>
      </c>
      <c r="L1034" s="7">
        <f>IF(AND(C1034=0,D1034=0,I1034=1),1,0)</f>
        <v>0</v>
      </c>
      <c r="M1034" s="7">
        <f>IF(AND(C1034=0,D1034=0,J1034=1),1,0)</f>
        <v>0</v>
      </c>
    </row>
    <row r="1035" spans="1:13">
      <c r="A1035" s="7">
        <f>Raw_Passengers!A1035</f>
        <v>335378</v>
      </c>
      <c r="B1035" s="7">
        <f>Raw_Passengers!B1035</f>
        <v>1166228</v>
      </c>
      <c r="C1035" s="7">
        <f>IF(COUNTIF(Raw_Passengers!$A$2:A1035,Raw_Passengers!A1035)&gt;1,1,0)</f>
        <v>0</v>
      </c>
      <c r="D1035" s="7">
        <f>IF(COUNTIF(Raw_Bookings!$A$2:$A$648,Raw_Passengers!B1035)=0,1,0)</f>
        <v>0</v>
      </c>
      <c r="E1035" s="7">
        <f>IF(OR(C1035=1,D1035=1),0,IF(NOT(ISNUMBER(Raw_Passengers!E1035)),1,IF(Raw_Passengers!E1035&lt;=0,1,0)))</f>
        <v>0</v>
      </c>
      <c r="F1035" s="7">
        <f>IF(AND(C1035=0,D1035=0,TRIM(Raw_Passengers!D1035&amp;"")=""),1,0)</f>
        <v>0</v>
      </c>
      <c r="G1035" s="7" t="str">
        <f>IF(SUMPRODUCT(--(Lookup_Status!$A$2:$A$13=LOWER(TRIM(Raw_Passengers!F1035))))=0,"",INDEX(Lookup_Status!$B$2:$B$13,SUMPRODUCT((Lookup_Status!$A$2:$A$13=LOWER(TRIM(Raw_Passengers!F1035)))*(ROW(Lookup_Status!$A$2:$A$13)-1))))</f>
        <v>RAC</v>
      </c>
      <c r="H1035" s="7" t="str">
        <f>IF(SUMPRODUCT(--(Lookup_Status!$A$2:$A$13=LOWER(TRIM(Raw_Passengers!G1035))))=0,"",INDEX(Lookup_Status!$B$2:$B$13,SUMPRODUCT((Lookup_Status!$A$2:$A$13=LOWER(TRIM(Raw_Passengers!G1035)))*(ROW(Lookup_Status!$A$2:$A$13)-1))))</f>
        <v>Confirmed</v>
      </c>
      <c r="I1035" s="7">
        <f>IF(OR(G1035="",G1035="Cancelled",G1035="Mixed"),1,0)</f>
        <v>0</v>
      </c>
      <c r="J1035" s="7">
        <f>IF(OR(H1035="",H1035="Mixed"),1,0)</f>
        <v>0</v>
      </c>
      <c r="K1035" s="7">
        <f>IF(AND(C1035=0,D1035=0),IF(OR(AND(I1035=0,NOT(EXACT(Raw_Passengers!F1035,G1035))),AND(J1035=0,NOT(EXACT(Raw_Passengers!G1035,H1035)))),1,0),0)</f>
        <v>0</v>
      </c>
      <c r="L1035" s="7">
        <f>IF(AND(C1035=0,D1035=0,I1035=1),1,0)</f>
        <v>0</v>
      </c>
      <c r="M1035" s="7">
        <f>IF(AND(C1035=0,D1035=0,J1035=1),1,0)</f>
        <v>0</v>
      </c>
    </row>
    <row r="1036" spans="1:13">
      <c r="A1036" s="7">
        <f>Raw_Passengers!A1036</f>
        <v>335379</v>
      </c>
      <c r="B1036" s="7">
        <f>Raw_Passengers!B1036</f>
        <v>1166228</v>
      </c>
      <c r="C1036" s="7">
        <f>IF(COUNTIF(Raw_Passengers!$A$2:A1036,Raw_Passengers!A1036)&gt;1,1,0)</f>
        <v>0</v>
      </c>
      <c r="D1036" s="7">
        <f>IF(COUNTIF(Raw_Bookings!$A$2:$A$648,Raw_Passengers!B1036)=0,1,0)</f>
        <v>0</v>
      </c>
      <c r="E1036" s="7">
        <f>IF(OR(C1036=1,D1036=1),0,IF(NOT(ISNUMBER(Raw_Passengers!E1036)),1,IF(Raw_Passengers!E1036&lt;=0,1,0)))</f>
        <v>0</v>
      </c>
      <c r="F1036" s="7">
        <f>IF(AND(C1036=0,D1036=0,TRIM(Raw_Passengers!D1036&amp;"")=""),1,0)</f>
        <v>0</v>
      </c>
      <c r="G1036" s="7" t="str">
        <f>IF(SUMPRODUCT(--(Lookup_Status!$A$2:$A$13=LOWER(TRIM(Raw_Passengers!F1036))))=0,"",INDEX(Lookup_Status!$B$2:$B$13,SUMPRODUCT((Lookup_Status!$A$2:$A$13=LOWER(TRIM(Raw_Passengers!F1036)))*(ROW(Lookup_Status!$A$2:$A$13)-1))))</f>
        <v>RAC</v>
      </c>
      <c r="H1036" s="7" t="str">
        <f>IF(SUMPRODUCT(--(Lookup_Status!$A$2:$A$13=LOWER(TRIM(Raw_Passengers!G1036))))=0,"",INDEX(Lookup_Status!$B$2:$B$13,SUMPRODUCT((Lookup_Status!$A$2:$A$13=LOWER(TRIM(Raw_Passengers!G1036)))*(ROW(Lookup_Status!$A$2:$A$13)-1))))</f>
        <v>Confirmed</v>
      </c>
      <c r="I1036" s="7">
        <f>IF(OR(G1036="",G1036="Cancelled",G1036="Mixed"),1,0)</f>
        <v>0</v>
      </c>
      <c r="J1036" s="7">
        <f>IF(OR(H1036="",H1036="Mixed"),1,0)</f>
        <v>0</v>
      </c>
      <c r="K1036" s="7">
        <f>IF(AND(C1036=0,D1036=0),IF(OR(AND(I1036=0,NOT(EXACT(Raw_Passengers!F1036,G1036))),AND(J1036=0,NOT(EXACT(Raw_Passengers!G1036,H1036)))),1,0),0)</f>
        <v>0</v>
      </c>
      <c r="L1036" s="7">
        <f>IF(AND(C1036=0,D1036=0,I1036=1),1,0)</f>
        <v>0</v>
      </c>
      <c r="M1036" s="7">
        <f>IF(AND(C1036=0,D1036=0,J1036=1),1,0)</f>
        <v>0</v>
      </c>
    </row>
    <row r="1037" spans="1:13">
      <c r="A1037" s="7">
        <f>Raw_Passengers!A1037</f>
        <v>335380</v>
      </c>
      <c r="B1037" s="7">
        <f>Raw_Passengers!B1037</f>
        <v>1166228</v>
      </c>
      <c r="C1037" s="7">
        <f>IF(COUNTIF(Raw_Passengers!$A$2:A1037,Raw_Passengers!A1037)&gt;1,1,0)</f>
        <v>0</v>
      </c>
      <c r="D1037" s="7">
        <f>IF(COUNTIF(Raw_Bookings!$A$2:$A$648,Raw_Passengers!B1037)=0,1,0)</f>
        <v>0</v>
      </c>
      <c r="E1037" s="7">
        <f>IF(OR(C1037=1,D1037=1),0,IF(NOT(ISNUMBER(Raw_Passengers!E1037)),1,IF(Raw_Passengers!E1037&lt;=0,1,0)))</f>
        <v>0</v>
      </c>
      <c r="F1037" s="7">
        <f>IF(AND(C1037=0,D1037=0,TRIM(Raw_Passengers!D1037&amp;"")=""),1,0)</f>
        <v>0</v>
      </c>
      <c r="G1037" s="7" t="str">
        <f>IF(SUMPRODUCT(--(Lookup_Status!$A$2:$A$13=LOWER(TRIM(Raw_Passengers!F1037))))=0,"",INDEX(Lookup_Status!$B$2:$B$13,SUMPRODUCT((Lookup_Status!$A$2:$A$13=LOWER(TRIM(Raw_Passengers!F1037)))*(ROW(Lookup_Status!$A$2:$A$13)-1))))</f>
        <v>RAC</v>
      </c>
      <c r="H1037" s="7" t="str">
        <f>IF(SUMPRODUCT(--(Lookup_Status!$A$2:$A$13=LOWER(TRIM(Raw_Passengers!G1037))))=0,"",INDEX(Lookup_Status!$B$2:$B$13,SUMPRODUCT((Lookup_Status!$A$2:$A$13=LOWER(TRIM(Raw_Passengers!G1037)))*(ROW(Lookup_Status!$A$2:$A$13)-1))))</f>
        <v>Confirmed</v>
      </c>
      <c r="I1037" s="7">
        <f>IF(OR(G1037="",G1037="Cancelled",G1037="Mixed"),1,0)</f>
        <v>0</v>
      </c>
      <c r="J1037" s="7">
        <f>IF(OR(H1037="",H1037="Mixed"),1,0)</f>
        <v>0</v>
      </c>
      <c r="K1037" s="7">
        <f>IF(AND(C1037=0,D1037=0),IF(OR(AND(I1037=0,NOT(EXACT(Raw_Passengers!F1037,G1037))),AND(J1037=0,NOT(EXACT(Raw_Passengers!G1037,H1037)))),1,0),0)</f>
        <v>0</v>
      </c>
      <c r="L1037" s="7">
        <f>IF(AND(C1037=0,D1037=0,I1037=1),1,0)</f>
        <v>0</v>
      </c>
      <c r="M1037" s="7">
        <f>IF(AND(C1037=0,D1037=0,J1037=1),1,0)</f>
        <v>0</v>
      </c>
    </row>
    <row r="1038" spans="1:13">
      <c r="A1038" s="7">
        <f>Raw_Passengers!A1038</f>
        <v>335381</v>
      </c>
      <c r="B1038" s="7">
        <f>Raw_Passengers!B1038</f>
        <v>1166228</v>
      </c>
      <c r="C1038" s="7">
        <f>IF(COUNTIF(Raw_Passengers!$A$2:A1038,Raw_Passengers!A1038)&gt;1,1,0)</f>
        <v>0</v>
      </c>
      <c r="D1038" s="7">
        <f>IF(COUNTIF(Raw_Bookings!$A$2:$A$648,Raw_Passengers!B1038)=0,1,0)</f>
        <v>0</v>
      </c>
      <c r="E1038" s="7">
        <f>IF(OR(C1038=1,D1038=1),0,IF(NOT(ISNUMBER(Raw_Passengers!E1038)),1,IF(Raw_Passengers!E1038&lt;=0,1,0)))</f>
        <v>0</v>
      </c>
      <c r="F1038" s="7">
        <f>IF(AND(C1038=0,D1038=0,TRIM(Raw_Passengers!D1038&amp;"")=""),1,0)</f>
        <v>0</v>
      </c>
      <c r="G1038" s="7" t="str">
        <f>IF(SUMPRODUCT(--(Lookup_Status!$A$2:$A$13=LOWER(TRIM(Raw_Passengers!F1038))))=0,"",INDEX(Lookup_Status!$B$2:$B$13,SUMPRODUCT((Lookup_Status!$A$2:$A$13=LOWER(TRIM(Raw_Passengers!F1038)))*(ROW(Lookup_Status!$A$2:$A$13)-1))))</f>
        <v>RAC</v>
      </c>
      <c r="H1038" s="7" t="str">
        <f>IF(SUMPRODUCT(--(Lookup_Status!$A$2:$A$13=LOWER(TRIM(Raw_Passengers!G1038))))=0,"",INDEX(Lookup_Status!$B$2:$B$13,SUMPRODUCT((Lookup_Status!$A$2:$A$13=LOWER(TRIM(Raw_Passengers!G1038)))*(ROW(Lookup_Status!$A$2:$A$13)-1))))</f>
        <v>Confirmed</v>
      </c>
      <c r="I1038" s="7">
        <f>IF(OR(G1038="",G1038="Cancelled",G1038="Mixed"),1,0)</f>
        <v>0</v>
      </c>
      <c r="J1038" s="7">
        <f>IF(OR(H1038="",H1038="Mixed"),1,0)</f>
        <v>0</v>
      </c>
      <c r="K1038" s="7">
        <f>IF(AND(C1038=0,D1038=0),IF(OR(AND(I1038=0,NOT(EXACT(Raw_Passengers!F1038,G1038))),AND(J1038=0,NOT(EXACT(Raw_Passengers!G1038,H1038)))),1,0),0)</f>
        <v>0</v>
      </c>
      <c r="L1038" s="7">
        <f>IF(AND(C1038=0,D1038=0,I1038=1),1,0)</f>
        <v>0</v>
      </c>
      <c r="M1038" s="7">
        <f>IF(AND(C1038=0,D1038=0,J1038=1),1,0)</f>
        <v>0</v>
      </c>
    </row>
    <row r="1039" spans="1:13">
      <c r="A1039" s="7">
        <f>Raw_Passengers!A1039</f>
        <v>335999</v>
      </c>
      <c r="B1039" s="7">
        <f>Raw_Passengers!B1039</f>
        <v>1166538</v>
      </c>
      <c r="C1039" s="7">
        <f>IF(COUNTIF(Raw_Passengers!$A$2:A1039,Raw_Passengers!A1039)&gt;1,1,0)</f>
        <v>0</v>
      </c>
      <c r="D1039" s="7">
        <f>IF(COUNTIF(Raw_Bookings!$A$2:$A$648,Raw_Passengers!B1039)=0,1,0)</f>
        <v>0</v>
      </c>
      <c r="E1039" s="7">
        <f>IF(OR(C1039=1,D1039=1),0,IF(NOT(ISNUMBER(Raw_Passengers!E1039)),1,IF(Raw_Passengers!E1039&lt;=0,1,0)))</f>
        <v>0</v>
      </c>
      <c r="F1039" s="7">
        <f>IF(AND(C1039=0,D1039=0,TRIM(Raw_Passengers!D1039&amp;"")=""),1,0)</f>
        <v>0</v>
      </c>
      <c r="G1039" s="7" t="str">
        <f>IF(SUMPRODUCT(--(Lookup_Status!$A$2:$A$13=LOWER(TRIM(Raw_Passengers!F1039))))=0,"",INDEX(Lookup_Status!$B$2:$B$13,SUMPRODUCT((Lookup_Status!$A$2:$A$13=LOWER(TRIM(Raw_Passengers!F1039)))*(ROW(Lookup_Status!$A$2:$A$13)-1))))</f>
        <v>Confirmed</v>
      </c>
      <c r="H1039" s="7" t="str">
        <f>IF(SUMPRODUCT(--(Lookup_Status!$A$2:$A$13=LOWER(TRIM(Raw_Passengers!G1039))))=0,"",INDEX(Lookup_Status!$B$2:$B$13,SUMPRODUCT((Lookup_Status!$A$2:$A$13=LOWER(TRIM(Raw_Passengers!G1039)))*(ROW(Lookup_Status!$A$2:$A$13)-1))))</f>
        <v>Cancelled</v>
      </c>
      <c r="I1039" s="7">
        <f>IF(OR(G1039="",G1039="Cancelled",G1039="Mixed"),1,0)</f>
        <v>0</v>
      </c>
      <c r="J1039" s="7">
        <f>IF(OR(H1039="",H1039="Mixed"),1,0)</f>
        <v>0</v>
      </c>
      <c r="K1039" s="7">
        <f>IF(AND(C1039=0,D1039=0),IF(OR(AND(I1039=0,NOT(EXACT(Raw_Passengers!F1039,G1039))),AND(J1039=0,NOT(EXACT(Raw_Passengers!G1039,H1039)))),1,0),0)</f>
        <v>0</v>
      </c>
      <c r="L1039" s="7">
        <f>IF(AND(C1039=0,D1039=0,I1039=1),1,0)</f>
        <v>0</v>
      </c>
      <c r="M1039" s="7">
        <f>IF(AND(C1039=0,D1039=0,J1039=1),1,0)</f>
        <v>0</v>
      </c>
    </row>
    <row r="1040" spans="1:13">
      <c r="A1040" s="7">
        <f>Raw_Passengers!A1040</f>
        <v>336539</v>
      </c>
      <c r="B1040" s="7">
        <f>Raw_Passengers!B1040</f>
        <v>1166805</v>
      </c>
      <c r="C1040" s="7">
        <f>IF(COUNTIF(Raw_Passengers!$A$2:A1040,Raw_Passengers!A1040)&gt;1,1,0)</f>
        <v>0</v>
      </c>
      <c r="D1040" s="7">
        <f>IF(COUNTIF(Raw_Bookings!$A$2:$A$648,Raw_Passengers!B1040)=0,1,0)</f>
        <v>0</v>
      </c>
      <c r="E1040" s="7">
        <f>IF(OR(C1040=1,D1040=1),0,IF(NOT(ISNUMBER(Raw_Passengers!E1040)),1,IF(Raw_Passengers!E1040&lt;=0,1,0)))</f>
        <v>0</v>
      </c>
      <c r="F1040" s="7">
        <f>IF(AND(C1040=0,D1040=0,TRIM(Raw_Passengers!D1040&amp;"")=""),1,0)</f>
        <v>0</v>
      </c>
      <c r="G1040" s="7" t="str">
        <f>IF(SUMPRODUCT(--(Lookup_Status!$A$2:$A$13=LOWER(TRIM(Raw_Passengers!F1040))))=0,"",INDEX(Lookup_Status!$B$2:$B$13,SUMPRODUCT((Lookup_Status!$A$2:$A$13=LOWER(TRIM(Raw_Passengers!F1040)))*(ROW(Lookup_Status!$A$2:$A$13)-1))))</f>
        <v>Confirmed</v>
      </c>
      <c r="H1040" s="7" t="str">
        <f>IF(SUMPRODUCT(--(Lookup_Status!$A$2:$A$13=LOWER(TRIM(Raw_Passengers!G1040))))=0,"",INDEX(Lookup_Status!$B$2:$B$13,SUMPRODUCT((Lookup_Status!$A$2:$A$13=LOWER(TRIM(Raw_Passengers!G1040)))*(ROW(Lookup_Status!$A$2:$A$13)-1))))</f>
        <v>Confirmed</v>
      </c>
      <c r="I1040" s="7">
        <f>IF(OR(G1040="",G1040="Cancelled",G1040="Mixed"),1,0)</f>
        <v>0</v>
      </c>
      <c r="J1040" s="7">
        <f>IF(OR(H1040="",H1040="Mixed"),1,0)</f>
        <v>0</v>
      </c>
      <c r="K1040" s="7">
        <f>IF(AND(C1040=0,D1040=0),IF(OR(AND(I1040=0,NOT(EXACT(Raw_Passengers!F1040,G1040))),AND(J1040=0,NOT(EXACT(Raw_Passengers!G1040,H1040)))),1,0),0)</f>
        <v>0</v>
      </c>
      <c r="L1040" s="7">
        <f>IF(AND(C1040=0,D1040=0,I1040=1),1,0)</f>
        <v>0</v>
      </c>
      <c r="M1040" s="7">
        <f>IF(AND(C1040=0,D1040=0,J1040=1),1,0)</f>
        <v>0</v>
      </c>
    </row>
    <row r="1041" spans="1:13">
      <c r="A1041" s="7">
        <f>Raw_Passengers!A1041</f>
        <v>337620</v>
      </c>
      <c r="B1041" s="7">
        <f>Raw_Passengers!B1041</f>
        <v>1167325</v>
      </c>
      <c r="C1041" s="7">
        <f>IF(COUNTIF(Raw_Passengers!$A$2:A1041,Raw_Passengers!A1041)&gt;1,1,0)</f>
        <v>0</v>
      </c>
      <c r="D1041" s="7">
        <f>IF(COUNTIF(Raw_Bookings!$A$2:$A$648,Raw_Passengers!B1041)=0,1,0)</f>
        <v>0</v>
      </c>
      <c r="E1041" s="7">
        <f>IF(OR(C1041=1,D1041=1),0,IF(NOT(ISNUMBER(Raw_Passengers!E1041)),1,IF(Raw_Passengers!E1041&lt;=0,1,0)))</f>
        <v>0</v>
      </c>
      <c r="F1041" s="7">
        <f>IF(AND(C1041=0,D1041=0,TRIM(Raw_Passengers!D1041&amp;"")=""),1,0)</f>
        <v>0</v>
      </c>
      <c r="G1041" s="7" t="str">
        <f>IF(SUMPRODUCT(--(Lookup_Status!$A$2:$A$13=LOWER(TRIM(Raw_Passengers!F1041))))=0,"",INDEX(Lookup_Status!$B$2:$B$13,SUMPRODUCT((Lookup_Status!$A$2:$A$13=LOWER(TRIM(Raw_Passengers!F1041)))*(ROW(Lookup_Status!$A$2:$A$13)-1))))</f>
        <v>Confirmed</v>
      </c>
      <c r="H1041" s="7" t="str">
        <f>IF(SUMPRODUCT(--(Lookup_Status!$A$2:$A$13=LOWER(TRIM(Raw_Passengers!G1041))))=0,"",INDEX(Lookup_Status!$B$2:$B$13,SUMPRODUCT((Lookup_Status!$A$2:$A$13=LOWER(TRIM(Raw_Passengers!G1041)))*(ROW(Lookup_Status!$A$2:$A$13)-1))))</f>
        <v>Confirmed</v>
      </c>
      <c r="I1041" s="7">
        <f>IF(OR(G1041="",G1041="Cancelled",G1041="Mixed"),1,0)</f>
        <v>0</v>
      </c>
      <c r="J1041" s="7">
        <f>IF(OR(H1041="",H1041="Mixed"),1,0)</f>
        <v>0</v>
      </c>
      <c r="K1041" s="7">
        <f>IF(AND(C1041=0,D1041=0),IF(OR(AND(I1041=0,NOT(EXACT(Raw_Passengers!F1041,G1041))),AND(J1041=0,NOT(EXACT(Raw_Passengers!G1041,H1041)))),1,0),0)</f>
        <v>0</v>
      </c>
      <c r="L1041" s="7">
        <f>IF(AND(C1041=0,D1041=0,I1041=1),1,0)</f>
        <v>0</v>
      </c>
      <c r="M1041" s="7">
        <f>IF(AND(C1041=0,D1041=0,J1041=1),1,0)</f>
        <v>0</v>
      </c>
    </row>
    <row r="1042" spans="1:13">
      <c r="A1042" s="7">
        <f>Raw_Passengers!A1042</f>
        <v>337621</v>
      </c>
      <c r="B1042" s="7">
        <f>Raw_Passengers!B1042</f>
        <v>1167325</v>
      </c>
      <c r="C1042" s="7">
        <f>IF(COUNTIF(Raw_Passengers!$A$2:A1042,Raw_Passengers!A1042)&gt;1,1,0)</f>
        <v>0</v>
      </c>
      <c r="D1042" s="7">
        <f>IF(COUNTIF(Raw_Bookings!$A$2:$A$648,Raw_Passengers!B1042)=0,1,0)</f>
        <v>0</v>
      </c>
      <c r="E1042" s="7">
        <f>IF(OR(C1042=1,D1042=1),0,IF(NOT(ISNUMBER(Raw_Passengers!E1042)),1,IF(Raw_Passengers!E1042&lt;=0,1,0)))</f>
        <v>0</v>
      </c>
      <c r="F1042" s="7">
        <f>IF(AND(C1042=0,D1042=0,TRIM(Raw_Passengers!D1042&amp;"")=""),1,0)</f>
        <v>0</v>
      </c>
      <c r="G1042" s="7" t="str">
        <f>IF(SUMPRODUCT(--(Lookup_Status!$A$2:$A$13=LOWER(TRIM(Raw_Passengers!F1042))))=0,"",INDEX(Lookup_Status!$B$2:$B$13,SUMPRODUCT((Lookup_Status!$A$2:$A$13=LOWER(TRIM(Raw_Passengers!F1042)))*(ROW(Lookup_Status!$A$2:$A$13)-1))))</f>
        <v>Confirmed</v>
      </c>
      <c r="H1042" s="7" t="str">
        <f>IF(SUMPRODUCT(--(Lookup_Status!$A$2:$A$13=LOWER(TRIM(Raw_Passengers!G1042))))=0,"",INDEX(Lookup_Status!$B$2:$B$13,SUMPRODUCT((Lookup_Status!$A$2:$A$13=LOWER(TRIM(Raw_Passengers!G1042)))*(ROW(Lookup_Status!$A$2:$A$13)-1))))</f>
        <v>Confirmed</v>
      </c>
      <c r="I1042" s="7">
        <f>IF(OR(G1042="",G1042="Cancelled",G1042="Mixed"),1,0)</f>
        <v>0</v>
      </c>
      <c r="J1042" s="7">
        <f>IF(OR(H1042="",H1042="Mixed"),1,0)</f>
        <v>0</v>
      </c>
      <c r="K1042" s="7">
        <f>IF(AND(C1042=0,D1042=0),IF(OR(AND(I1042=0,NOT(EXACT(Raw_Passengers!F1042,G1042))),AND(J1042=0,NOT(EXACT(Raw_Passengers!G1042,H1042)))),1,0),0)</f>
        <v>0</v>
      </c>
      <c r="L1042" s="7">
        <f>IF(AND(C1042=0,D1042=0,I1042=1),1,0)</f>
        <v>0</v>
      </c>
      <c r="M1042" s="7">
        <f>IF(AND(C1042=0,D1042=0,J1042=1),1,0)</f>
        <v>0</v>
      </c>
    </row>
    <row r="1043" spans="1:13">
      <c r="A1043" s="7">
        <f>Raw_Passengers!A1043</f>
        <v>337622</v>
      </c>
      <c r="B1043" s="7">
        <f>Raw_Passengers!B1043</f>
        <v>1167325</v>
      </c>
      <c r="C1043" s="7">
        <f>IF(COUNTIF(Raw_Passengers!$A$2:A1043,Raw_Passengers!A1043)&gt;1,1,0)</f>
        <v>0</v>
      </c>
      <c r="D1043" s="7">
        <f>IF(COUNTIF(Raw_Bookings!$A$2:$A$648,Raw_Passengers!B1043)=0,1,0)</f>
        <v>0</v>
      </c>
      <c r="E1043" s="7">
        <f>IF(OR(C1043=1,D1043=1),0,IF(NOT(ISNUMBER(Raw_Passengers!E1043)),1,IF(Raw_Passengers!E1043&lt;=0,1,0)))</f>
        <v>0</v>
      </c>
      <c r="F1043" s="7">
        <f>IF(AND(C1043=0,D1043=0,TRIM(Raw_Passengers!D1043&amp;"")=""),1,0)</f>
        <v>0</v>
      </c>
      <c r="G1043" s="7" t="str">
        <f>IF(SUMPRODUCT(--(Lookup_Status!$A$2:$A$13=LOWER(TRIM(Raw_Passengers!F1043))))=0,"",INDEX(Lookup_Status!$B$2:$B$13,SUMPRODUCT((Lookup_Status!$A$2:$A$13=LOWER(TRIM(Raw_Passengers!F1043)))*(ROW(Lookup_Status!$A$2:$A$13)-1))))</f>
        <v>Confirmed</v>
      </c>
      <c r="H1043" s="7" t="str">
        <f>IF(SUMPRODUCT(--(Lookup_Status!$A$2:$A$13=LOWER(TRIM(Raw_Passengers!G1043))))=0,"",INDEX(Lookup_Status!$B$2:$B$13,SUMPRODUCT((Lookup_Status!$A$2:$A$13=LOWER(TRIM(Raw_Passengers!G1043)))*(ROW(Lookup_Status!$A$2:$A$13)-1))))</f>
        <v>Confirmed</v>
      </c>
      <c r="I1043" s="7">
        <f>IF(OR(G1043="",G1043="Cancelled",G1043="Mixed"),1,0)</f>
        <v>0</v>
      </c>
      <c r="J1043" s="7">
        <f>IF(OR(H1043="",H1043="Mixed"),1,0)</f>
        <v>0</v>
      </c>
      <c r="K1043" s="7">
        <f>IF(AND(C1043=0,D1043=0),IF(OR(AND(I1043=0,NOT(EXACT(Raw_Passengers!F1043,G1043))),AND(J1043=0,NOT(EXACT(Raw_Passengers!G1043,H1043)))),1,0),0)</f>
        <v>0</v>
      </c>
      <c r="L1043" s="7">
        <f>IF(AND(C1043=0,D1043=0,I1043=1),1,0)</f>
        <v>0</v>
      </c>
      <c r="M1043" s="7">
        <f>IF(AND(C1043=0,D1043=0,J1043=1),1,0)</f>
        <v>0</v>
      </c>
    </row>
    <row r="1044" spans="1:13">
      <c r="A1044" s="7">
        <f>Raw_Passengers!A1044</f>
        <v>338591</v>
      </c>
      <c r="B1044" s="7">
        <f>Raw_Passengers!B1044</f>
        <v>1167777</v>
      </c>
      <c r="C1044" s="7">
        <f>IF(COUNTIF(Raw_Passengers!$A$2:A1044,Raw_Passengers!A1044)&gt;1,1,0)</f>
        <v>0</v>
      </c>
      <c r="D1044" s="7">
        <f>IF(COUNTIF(Raw_Bookings!$A$2:$A$648,Raw_Passengers!B1044)=0,1,0)</f>
        <v>0</v>
      </c>
      <c r="E1044" s="7">
        <f>IF(OR(C1044=1,D1044=1),0,IF(NOT(ISNUMBER(Raw_Passengers!E1044)),1,IF(Raw_Passengers!E1044&lt;=0,1,0)))</f>
        <v>0</v>
      </c>
      <c r="F1044" s="7">
        <f>IF(AND(C1044=0,D1044=0,TRIM(Raw_Passengers!D1044&amp;"")=""),1,0)</f>
        <v>0</v>
      </c>
      <c r="G1044" s="7" t="str">
        <f>IF(SUMPRODUCT(--(Lookup_Status!$A$2:$A$13=LOWER(TRIM(Raw_Passengers!F1044))))=0,"",INDEX(Lookup_Status!$B$2:$B$13,SUMPRODUCT((Lookup_Status!$A$2:$A$13=LOWER(TRIM(Raw_Passengers!F1044)))*(ROW(Lookup_Status!$A$2:$A$13)-1))))</f>
        <v>Confirmed</v>
      </c>
      <c r="H1044" s="7" t="str">
        <f>IF(SUMPRODUCT(--(Lookup_Status!$A$2:$A$13=LOWER(TRIM(Raw_Passengers!G1044))))=0,"",INDEX(Lookup_Status!$B$2:$B$13,SUMPRODUCT((Lookup_Status!$A$2:$A$13=LOWER(TRIM(Raw_Passengers!G1044)))*(ROW(Lookup_Status!$A$2:$A$13)-1))))</f>
        <v>Confirmed</v>
      </c>
      <c r="I1044" s="7">
        <f>IF(OR(G1044="",G1044="Cancelled",G1044="Mixed"),1,0)</f>
        <v>0</v>
      </c>
      <c r="J1044" s="7">
        <f>IF(OR(H1044="",H1044="Mixed"),1,0)</f>
        <v>0</v>
      </c>
      <c r="K1044" s="7">
        <f>IF(AND(C1044=0,D1044=0),IF(OR(AND(I1044=0,NOT(EXACT(Raw_Passengers!F1044,G1044))),AND(J1044=0,NOT(EXACT(Raw_Passengers!G1044,H1044)))),1,0),0)</f>
        <v>0</v>
      </c>
      <c r="L1044" s="7">
        <f>IF(AND(C1044=0,D1044=0,I1044=1),1,0)</f>
        <v>0</v>
      </c>
      <c r="M1044" s="7">
        <f>IF(AND(C1044=0,D1044=0,J1044=1),1,0)</f>
        <v>0</v>
      </c>
    </row>
    <row r="1045" spans="1:13">
      <c r="A1045" s="7">
        <f>Raw_Passengers!A1045</f>
        <v>339825</v>
      </c>
      <c r="B1045" s="7">
        <f>Raw_Passengers!B1045</f>
        <v>1168404</v>
      </c>
      <c r="C1045" s="7">
        <f>IF(COUNTIF(Raw_Passengers!$A$2:A1045,Raw_Passengers!A1045)&gt;1,1,0)</f>
        <v>0</v>
      </c>
      <c r="D1045" s="7">
        <f>IF(COUNTIF(Raw_Bookings!$A$2:$A$648,Raw_Passengers!B1045)=0,1,0)</f>
        <v>0</v>
      </c>
      <c r="E1045" s="7">
        <f>IF(OR(C1045=1,D1045=1),0,IF(NOT(ISNUMBER(Raw_Passengers!E1045)),1,IF(Raw_Passengers!E1045&lt;=0,1,0)))</f>
        <v>0</v>
      </c>
      <c r="F1045" s="7">
        <f>IF(AND(C1045=0,D1045=0,TRIM(Raw_Passengers!D1045&amp;"")=""),1,0)</f>
        <v>0</v>
      </c>
      <c r="G1045" s="7" t="str">
        <f>IF(SUMPRODUCT(--(Lookup_Status!$A$2:$A$13=LOWER(TRIM(Raw_Passengers!F1045))))=0,"",INDEX(Lookup_Status!$B$2:$B$13,SUMPRODUCT((Lookup_Status!$A$2:$A$13=LOWER(TRIM(Raw_Passengers!F1045)))*(ROW(Lookup_Status!$A$2:$A$13)-1))))</f>
        <v>Waitlisted</v>
      </c>
      <c r="H1045" s="7" t="str">
        <f>IF(SUMPRODUCT(--(Lookup_Status!$A$2:$A$13=LOWER(TRIM(Raw_Passengers!G1045))))=0,"",INDEX(Lookup_Status!$B$2:$B$13,SUMPRODUCT((Lookup_Status!$A$2:$A$13=LOWER(TRIM(Raw_Passengers!G1045)))*(ROW(Lookup_Status!$A$2:$A$13)-1))))</f>
        <v>Waitlisted</v>
      </c>
      <c r="I1045" s="7">
        <f>IF(OR(G1045="",G1045="Cancelled",G1045="Mixed"),1,0)</f>
        <v>0</v>
      </c>
      <c r="J1045" s="7">
        <f>IF(OR(H1045="",H1045="Mixed"),1,0)</f>
        <v>0</v>
      </c>
      <c r="K1045" s="7">
        <f>IF(AND(C1045=0,D1045=0),IF(OR(AND(I1045=0,NOT(EXACT(Raw_Passengers!F1045,G1045))),AND(J1045=0,NOT(EXACT(Raw_Passengers!G1045,H1045)))),1,0),0)</f>
        <v>0</v>
      </c>
      <c r="L1045" s="7">
        <f>IF(AND(C1045=0,D1045=0,I1045=1),1,0)</f>
        <v>0</v>
      </c>
      <c r="M1045" s="7">
        <f>IF(AND(C1045=0,D1045=0,J1045=1),1,0)</f>
        <v>0</v>
      </c>
    </row>
    <row r="1046" spans="1:13">
      <c r="A1046" s="7">
        <f>Raw_Passengers!A1046</f>
        <v>340290</v>
      </c>
      <c r="B1046" s="7">
        <f>Raw_Passengers!B1046</f>
        <v>1168644</v>
      </c>
      <c r="C1046" s="7">
        <f>IF(COUNTIF(Raw_Passengers!$A$2:A1046,Raw_Passengers!A1046)&gt;1,1,0)</f>
        <v>0</v>
      </c>
      <c r="D1046" s="7">
        <f>IF(COUNTIF(Raw_Bookings!$A$2:$A$648,Raw_Passengers!B1046)=0,1,0)</f>
        <v>0</v>
      </c>
      <c r="E1046" s="7">
        <f>IF(OR(C1046=1,D1046=1),0,IF(NOT(ISNUMBER(Raw_Passengers!E1046)),1,IF(Raw_Passengers!E1046&lt;=0,1,0)))</f>
        <v>0</v>
      </c>
      <c r="F1046" s="7">
        <f>IF(AND(C1046=0,D1046=0,TRIM(Raw_Passengers!D1046&amp;"")=""),1,0)</f>
        <v>0</v>
      </c>
      <c r="G1046" s="7" t="str">
        <f>IF(SUMPRODUCT(--(Lookup_Status!$A$2:$A$13=LOWER(TRIM(Raw_Passengers!F1046))))=0,"",INDEX(Lookup_Status!$B$2:$B$13,SUMPRODUCT((Lookup_Status!$A$2:$A$13=LOWER(TRIM(Raw_Passengers!F1046)))*(ROW(Lookup_Status!$A$2:$A$13)-1))))</f>
        <v>Confirmed</v>
      </c>
      <c r="H1046" s="7" t="str">
        <f>IF(SUMPRODUCT(--(Lookup_Status!$A$2:$A$13=LOWER(TRIM(Raw_Passengers!G1046))))=0,"",INDEX(Lookup_Status!$B$2:$B$13,SUMPRODUCT((Lookup_Status!$A$2:$A$13=LOWER(TRIM(Raw_Passengers!G1046)))*(ROW(Lookup_Status!$A$2:$A$13)-1))))</f>
        <v>Confirmed</v>
      </c>
      <c r="I1046" s="7">
        <f>IF(OR(G1046="",G1046="Cancelled",G1046="Mixed"),1,0)</f>
        <v>0</v>
      </c>
      <c r="J1046" s="7">
        <f>IF(OR(H1046="",H1046="Mixed"),1,0)</f>
        <v>0</v>
      </c>
      <c r="K1046" s="7">
        <f>IF(AND(C1046=0,D1046=0),IF(OR(AND(I1046=0,NOT(EXACT(Raw_Passengers!F1046,G1046))),AND(J1046=0,NOT(EXACT(Raw_Passengers!G1046,H1046)))),1,0),0)</f>
        <v>0</v>
      </c>
      <c r="L1046" s="7">
        <f>IF(AND(C1046=0,D1046=0,I1046=1),1,0)</f>
        <v>0</v>
      </c>
      <c r="M1046" s="7">
        <f>IF(AND(C1046=0,D1046=0,J1046=1),1,0)</f>
        <v>0</v>
      </c>
    </row>
    <row r="1047" spans="1:13">
      <c r="A1047" s="7">
        <f>Raw_Passengers!A1047</f>
        <v>340417</v>
      </c>
      <c r="B1047" s="7">
        <f>Raw_Passengers!B1047</f>
        <v>1168703</v>
      </c>
      <c r="C1047" s="7">
        <f>IF(COUNTIF(Raw_Passengers!$A$2:A1047,Raw_Passengers!A1047)&gt;1,1,0)</f>
        <v>0</v>
      </c>
      <c r="D1047" s="7">
        <f>IF(COUNTIF(Raw_Bookings!$A$2:$A$648,Raw_Passengers!B1047)=0,1,0)</f>
        <v>0</v>
      </c>
      <c r="E1047" s="7">
        <f>IF(OR(C1047=1,D1047=1),0,IF(NOT(ISNUMBER(Raw_Passengers!E1047)),1,IF(Raw_Passengers!E1047&lt;=0,1,0)))</f>
        <v>0</v>
      </c>
      <c r="F1047" s="7">
        <f>IF(AND(C1047=0,D1047=0,TRIM(Raw_Passengers!D1047&amp;"")=""),1,0)</f>
        <v>0</v>
      </c>
      <c r="G1047" s="7" t="str">
        <f>IF(SUMPRODUCT(--(Lookup_Status!$A$2:$A$13=LOWER(TRIM(Raw_Passengers!F1047))))=0,"",INDEX(Lookup_Status!$B$2:$B$13,SUMPRODUCT((Lookup_Status!$A$2:$A$13=LOWER(TRIM(Raw_Passengers!F1047)))*(ROW(Lookup_Status!$A$2:$A$13)-1))))</f>
        <v>Waitlisted</v>
      </c>
      <c r="H1047" s="7" t="str">
        <f>IF(SUMPRODUCT(--(Lookup_Status!$A$2:$A$13=LOWER(TRIM(Raw_Passengers!G1047))))=0,"",INDEX(Lookup_Status!$B$2:$B$13,SUMPRODUCT((Lookup_Status!$A$2:$A$13=LOWER(TRIM(Raw_Passengers!G1047)))*(ROW(Lookup_Status!$A$2:$A$13)-1))))</f>
        <v>Waitlisted</v>
      </c>
      <c r="I1047" s="7">
        <f>IF(OR(G1047="",G1047="Cancelled",G1047="Mixed"),1,0)</f>
        <v>0</v>
      </c>
      <c r="J1047" s="7">
        <f>IF(OR(H1047="",H1047="Mixed"),1,0)</f>
        <v>0</v>
      </c>
      <c r="K1047" s="7">
        <f>IF(AND(C1047=0,D1047=0),IF(OR(AND(I1047=0,NOT(EXACT(Raw_Passengers!F1047,G1047))),AND(J1047=0,NOT(EXACT(Raw_Passengers!G1047,H1047)))),1,0),0)</f>
        <v>0</v>
      </c>
      <c r="L1047" s="7">
        <f>IF(AND(C1047=0,D1047=0,I1047=1),1,0)</f>
        <v>0</v>
      </c>
      <c r="M1047" s="7">
        <f>IF(AND(C1047=0,D1047=0,J1047=1),1,0)</f>
        <v>0</v>
      </c>
    </row>
    <row r="1048" spans="1:13">
      <c r="A1048" s="7">
        <f>Raw_Passengers!A1048</f>
        <v>341138</v>
      </c>
      <c r="B1048" s="7">
        <f>Raw_Passengers!B1048</f>
        <v>1169051</v>
      </c>
      <c r="C1048" s="7">
        <f>IF(COUNTIF(Raw_Passengers!$A$2:A1048,Raw_Passengers!A1048)&gt;1,1,0)</f>
        <v>0</v>
      </c>
      <c r="D1048" s="7">
        <f>IF(COUNTIF(Raw_Bookings!$A$2:$A$648,Raw_Passengers!B1048)=0,1,0)</f>
        <v>0</v>
      </c>
      <c r="E1048" s="7">
        <f>IF(OR(C1048=1,D1048=1),0,IF(NOT(ISNUMBER(Raw_Passengers!E1048)),1,IF(Raw_Passengers!E1048&lt;=0,1,0)))</f>
        <v>0</v>
      </c>
      <c r="F1048" s="7">
        <f>IF(AND(C1048=0,D1048=0,TRIM(Raw_Passengers!D1048&amp;"")=""),1,0)</f>
        <v>0</v>
      </c>
      <c r="G1048" s="7" t="str">
        <f>IF(SUMPRODUCT(--(Lookup_Status!$A$2:$A$13=LOWER(TRIM(Raw_Passengers!F1048))))=0,"",INDEX(Lookup_Status!$B$2:$B$13,SUMPRODUCT((Lookup_Status!$A$2:$A$13=LOWER(TRIM(Raw_Passengers!F1048)))*(ROW(Lookup_Status!$A$2:$A$13)-1))))</f>
        <v>RAC</v>
      </c>
      <c r="H1048" s="7" t="str">
        <f>IF(SUMPRODUCT(--(Lookup_Status!$A$2:$A$13=LOWER(TRIM(Raw_Passengers!G1048))))=0,"",INDEX(Lookup_Status!$B$2:$B$13,SUMPRODUCT((Lookup_Status!$A$2:$A$13=LOWER(TRIM(Raw_Passengers!G1048)))*(ROW(Lookup_Status!$A$2:$A$13)-1))))</f>
        <v>RAC</v>
      </c>
      <c r="I1048" s="7">
        <f>IF(OR(G1048="",G1048="Cancelled",G1048="Mixed"),1,0)</f>
        <v>0</v>
      </c>
      <c r="J1048" s="7">
        <f>IF(OR(H1048="",H1048="Mixed"),1,0)</f>
        <v>0</v>
      </c>
      <c r="K1048" s="7">
        <f>IF(AND(C1048=0,D1048=0),IF(OR(AND(I1048=0,NOT(EXACT(Raw_Passengers!F1048,G1048))),AND(J1048=0,NOT(EXACT(Raw_Passengers!G1048,H1048)))),1,0),0)</f>
        <v>0</v>
      </c>
      <c r="L1048" s="7">
        <f>IF(AND(C1048=0,D1048=0,I1048=1),1,0)</f>
        <v>0</v>
      </c>
      <c r="M1048" s="7">
        <f>IF(AND(C1048=0,D1048=0,J1048=1),1,0)</f>
        <v>0</v>
      </c>
    </row>
    <row r="1049" spans="1:13">
      <c r="A1049" s="7">
        <f>Raw_Passengers!A1049</f>
        <v>341139</v>
      </c>
      <c r="B1049" s="7">
        <f>Raw_Passengers!B1049</f>
        <v>1169051</v>
      </c>
      <c r="C1049" s="7">
        <f>IF(COUNTIF(Raw_Passengers!$A$2:A1049,Raw_Passengers!A1049)&gt;1,1,0)</f>
        <v>0</v>
      </c>
      <c r="D1049" s="7">
        <f>IF(COUNTIF(Raw_Bookings!$A$2:$A$648,Raw_Passengers!B1049)=0,1,0)</f>
        <v>0</v>
      </c>
      <c r="E1049" s="7">
        <f>IF(OR(C1049=1,D1049=1),0,IF(NOT(ISNUMBER(Raw_Passengers!E1049)),1,IF(Raw_Passengers!E1049&lt;=0,1,0)))</f>
        <v>0</v>
      </c>
      <c r="F1049" s="7">
        <f>IF(AND(C1049=0,D1049=0,TRIM(Raw_Passengers!D1049&amp;"")=""),1,0)</f>
        <v>0</v>
      </c>
      <c r="G1049" s="7" t="str">
        <f>IF(SUMPRODUCT(--(Lookup_Status!$A$2:$A$13=LOWER(TRIM(Raw_Passengers!F1049))))=0,"",INDEX(Lookup_Status!$B$2:$B$13,SUMPRODUCT((Lookup_Status!$A$2:$A$13=LOWER(TRIM(Raw_Passengers!F1049)))*(ROW(Lookup_Status!$A$2:$A$13)-1))))</f>
        <v>RAC</v>
      </c>
      <c r="H1049" s="7" t="str">
        <f>IF(SUMPRODUCT(--(Lookup_Status!$A$2:$A$13=LOWER(TRIM(Raw_Passengers!G1049))))=0,"",INDEX(Lookup_Status!$B$2:$B$13,SUMPRODUCT((Lookup_Status!$A$2:$A$13=LOWER(TRIM(Raw_Passengers!G1049)))*(ROW(Lookup_Status!$A$2:$A$13)-1))))</f>
        <v>RAC</v>
      </c>
      <c r="I1049" s="7">
        <f>IF(OR(G1049="",G1049="Cancelled",G1049="Mixed"),1,0)</f>
        <v>0</v>
      </c>
      <c r="J1049" s="7">
        <f>IF(OR(H1049="",H1049="Mixed"),1,0)</f>
        <v>0</v>
      </c>
      <c r="K1049" s="7">
        <f>IF(AND(C1049=0,D1049=0),IF(OR(AND(I1049=0,NOT(EXACT(Raw_Passengers!F1049,G1049))),AND(J1049=0,NOT(EXACT(Raw_Passengers!G1049,H1049)))),1,0),0)</f>
        <v>0</v>
      </c>
      <c r="L1049" s="7">
        <f>IF(AND(C1049=0,D1049=0,I1049=1),1,0)</f>
        <v>0</v>
      </c>
      <c r="M1049" s="7">
        <f>IF(AND(C1049=0,D1049=0,J1049=1),1,0)</f>
        <v>0</v>
      </c>
    </row>
    <row r="1050" spans="1:13">
      <c r="A1050" s="7">
        <f>Raw_Passengers!A1050</f>
        <v>341209</v>
      </c>
      <c r="B1050" s="7">
        <f>Raw_Passengers!B1050</f>
        <v>1169089</v>
      </c>
      <c r="C1050" s="7">
        <f>IF(COUNTIF(Raw_Passengers!$A$2:A1050,Raw_Passengers!A1050)&gt;1,1,0)</f>
        <v>0</v>
      </c>
      <c r="D1050" s="7">
        <f>IF(COUNTIF(Raw_Bookings!$A$2:$A$648,Raw_Passengers!B1050)=0,1,0)</f>
        <v>0</v>
      </c>
      <c r="E1050" s="7">
        <f>IF(OR(C1050=1,D1050=1),0,IF(NOT(ISNUMBER(Raw_Passengers!E1050)),1,IF(Raw_Passengers!E1050&lt;=0,1,0)))</f>
        <v>0</v>
      </c>
      <c r="F1050" s="7">
        <f>IF(AND(C1050=0,D1050=0,TRIM(Raw_Passengers!D1050&amp;"")=""),1,0)</f>
        <v>0</v>
      </c>
      <c r="G1050" s="7" t="str">
        <f>IF(SUMPRODUCT(--(Lookup_Status!$A$2:$A$13=LOWER(TRIM(Raw_Passengers!F1050))))=0,"",INDEX(Lookup_Status!$B$2:$B$13,SUMPRODUCT((Lookup_Status!$A$2:$A$13=LOWER(TRIM(Raw_Passengers!F1050)))*(ROW(Lookup_Status!$A$2:$A$13)-1))))</f>
        <v>Confirmed</v>
      </c>
      <c r="H1050" s="7" t="str">
        <f>IF(SUMPRODUCT(--(Lookup_Status!$A$2:$A$13=LOWER(TRIM(Raw_Passengers!G1050))))=0,"",INDEX(Lookup_Status!$B$2:$B$13,SUMPRODUCT((Lookup_Status!$A$2:$A$13=LOWER(TRIM(Raw_Passengers!G1050)))*(ROW(Lookup_Status!$A$2:$A$13)-1))))</f>
        <v>Cancelled</v>
      </c>
      <c r="I1050" s="7">
        <f>IF(OR(G1050="",G1050="Cancelled",G1050="Mixed"),1,0)</f>
        <v>0</v>
      </c>
      <c r="J1050" s="7">
        <f>IF(OR(H1050="",H1050="Mixed"),1,0)</f>
        <v>0</v>
      </c>
      <c r="K1050" s="7">
        <f>IF(AND(C1050=0,D1050=0),IF(OR(AND(I1050=0,NOT(EXACT(Raw_Passengers!F1050,G1050))),AND(J1050=0,NOT(EXACT(Raw_Passengers!G1050,H1050)))),1,0),0)</f>
        <v>0</v>
      </c>
      <c r="L1050" s="7">
        <f>IF(AND(C1050=0,D1050=0,I1050=1),1,0)</f>
        <v>0</v>
      </c>
      <c r="M1050" s="7">
        <f>IF(AND(C1050=0,D1050=0,J1050=1),1,0)</f>
        <v>0</v>
      </c>
    </row>
    <row r="1051" spans="1:13">
      <c r="A1051" s="7">
        <f>Raw_Passengers!A1051</f>
        <v>341561</v>
      </c>
      <c r="B1051" s="7">
        <f>Raw_Passengers!B1051</f>
        <v>1169250</v>
      </c>
      <c r="C1051" s="7">
        <f>IF(COUNTIF(Raw_Passengers!$A$2:A1051,Raw_Passengers!A1051)&gt;1,1,0)</f>
        <v>0</v>
      </c>
      <c r="D1051" s="7">
        <f>IF(COUNTIF(Raw_Bookings!$A$2:$A$648,Raw_Passengers!B1051)=0,1,0)</f>
        <v>0</v>
      </c>
      <c r="E1051" s="7">
        <f>IF(OR(C1051=1,D1051=1),0,IF(NOT(ISNUMBER(Raw_Passengers!E1051)),1,IF(Raw_Passengers!E1051&lt;=0,1,0)))</f>
        <v>0</v>
      </c>
      <c r="F1051" s="7">
        <f>IF(AND(C1051=0,D1051=0,TRIM(Raw_Passengers!D1051&amp;"")=""),1,0)</f>
        <v>0</v>
      </c>
      <c r="G1051" s="7" t="str">
        <f>IF(SUMPRODUCT(--(Lookup_Status!$A$2:$A$13=LOWER(TRIM(Raw_Passengers!F1051))))=0,"",INDEX(Lookup_Status!$B$2:$B$13,SUMPRODUCT((Lookup_Status!$A$2:$A$13=LOWER(TRIM(Raw_Passengers!F1051)))*(ROW(Lookup_Status!$A$2:$A$13)-1))))</f>
        <v>Confirmed</v>
      </c>
      <c r="H1051" s="7" t="str">
        <f>IF(SUMPRODUCT(--(Lookup_Status!$A$2:$A$13=LOWER(TRIM(Raw_Passengers!G1051))))=0,"",INDEX(Lookup_Status!$B$2:$B$13,SUMPRODUCT((Lookup_Status!$A$2:$A$13=LOWER(TRIM(Raw_Passengers!G1051)))*(ROW(Lookup_Status!$A$2:$A$13)-1))))</f>
        <v>Confirmed</v>
      </c>
      <c r="I1051" s="7">
        <f>IF(OR(G1051="",G1051="Cancelled",G1051="Mixed"),1,0)</f>
        <v>0</v>
      </c>
      <c r="J1051" s="7">
        <f>IF(OR(H1051="",H1051="Mixed"),1,0)</f>
        <v>0</v>
      </c>
      <c r="K1051" s="7">
        <f>IF(AND(C1051=0,D1051=0),IF(OR(AND(I1051=0,NOT(EXACT(Raw_Passengers!F1051,G1051))),AND(J1051=0,NOT(EXACT(Raw_Passengers!G1051,H1051)))),1,0),0)</f>
        <v>0</v>
      </c>
      <c r="L1051" s="7">
        <f>IF(AND(C1051=0,D1051=0,I1051=1),1,0)</f>
        <v>0</v>
      </c>
      <c r="M1051" s="7">
        <f>IF(AND(C1051=0,D1051=0,J1051=1),1,0)</f>
        <v>0</v>
      </c>
    </row>
    <row r="1052" spans="1:13">
      <c r="A1052" s="7">
        <f>Raw_Passengers!A1052</f>
        <v>341988</v>
      </c>
      <c r="B1052" s="7">
        <f>Raw_Passengers!B1052</f>
        <v>1169457</v>
      </c>
      <c r="C1052" s="7">
        <f>IF(COUNTIF(Raw_Passengers!$A$2:A1052,Raw_Passengers!A1052)&gt;1,1,0)</f>
        <v>0</v>
      </c>
      <c r="D1052" s="7">
        <f>IF(COUNTIF(Raw_Bookings!$A$2:$A$648,Raw_Passengers!B1052)=0,1,0)</f>
        <v>0</v>
      </c>
      <c r="E1052" s="7">
        <f>IF(OR(C1052=1,D1052=1),0,IF(NOT(ISNUMBER(Raw_Passengers!E1052)),1,IF(Raw_Passengers!E1052&lt;=0,1,0)))</f>
        <v>0</v>
      </c>
      <c r="F1052" s="7">
        <f>IF(AND(C1052=0,D1052=0,TRIM(Raw_Passengers!D1052&amp;"")=""),1,0)</f>
        <v>0</v>
      </c>
      <c r="G1052" s="7" t="str">
        <f>IF(SUMPRODUCT(--(Lookup_Status!$A$2:$A$13=LOWER(TRIM(Raw_Passengers!F1052))))=0,"",INDEX(Lookup_Status!$B$2:$B$13,SUMPRODUCT((Lookup_Status!$A$2:$A$13=LOWER(TRIM(Raw_Passengers!F1052)))*(ROW(Lookup_Status!$A$2:$A$13)-1))))</f>
        <v>Confirmed</v>
      </c>
      <c r="H1052" s="7" t="str">
        <f>IF(SUMPRODUCT(--(Lookup_Status!$A$2:$A$13=LOWER(TRIM(Raw_Passengers!G1052))))=0,"",INDEX(Lookup_Status!$B$2:$B$13,SUMPRODUCT((Lookup_Status!$A$2:$A$13=LOWER(TRIM(Raw_Passengers!G1052)))*(ROW(Lookup_Status!$A$2:$A$13)-1))))</f>
        <v>Confirmed</v>
      </c>
      <c r="I1052" s="7">
        <f>IF(OR(G1052="",G1052="Cancelled",G1052="Mixed"),1,0)</f>
        <v>0</v>
      </c>
      <c r="J1052" s="7">
        <f>IF(OR(H1052="",H1052="Mixed"),1,0)</f>
        <v>0</v>
      </c>
      <c r="K1052" s="7">
        <f>IF(AND(C1052=0,D1052=0),IF(OR(AND(I1052=0,NOT(EXACT(Raw_Passengers!F1052,G1052))),AND(J1052=0,NOT(EXACT(Raw_Passengers!G1052,H1052)))),1,0),0)</f>
        <v>0</v>
      </c>
      <c r="L1052" s="7">
        <f>IF(AND(C1052=0,D1052=0,I1052=1),1,0)</f>
        <v>0</v>
      </c>
      <c r="M1052" s="7">
        <f>IF(AND(C1052=0,D1052=0,J1052=1),1,0)</f>
        <v>0</v>
      </c>
    </row>
    <row r="1053" spans="1:13">
      <c r="A1053" s="7">
        <f>Raw_Passengers!A1053</f>
        <v>341989</v>
      </c>
      <c r="B1053" s="7">
        <f>Raw_Passengers!B1053</f>
        <v>1169457</v>
      </c>
      <c r="C1053" s="7">
        <f>IF(COUNTIF(Raw_Passengers!$A$2:A1053,Raw_Passengers!A1053)&gt;1,1,0)</f>
        <v>0</v>
      </c>
      <c r="D1053" s="7">
        <f>IF(COUNTIF(Raw_Bookings!$A$2:$A$648,Raw_Passengers!B1053)=0,1,0)</f>
        <v>0</v>
      </c>
      <c r="E1053" s="7">
        <f>IF(OR(C1053=1,D1053=1),0,IF(NOT(ISNUMBER(Raw_Passengers!E1053)),1,IF(Raw_Passengers!E1053&lt;=0,1,0)))</f>
        <v>0</v>
      </c>
      <c r="F1053" s="7">
        <f>IF(AND(C1053=0,D1053=0,TRIM(Raw_Passengers!D1053&amp;"")=""),1,0)</f>
        <v>0</v>
      </c>
      <c r="G1053" s="7" t="str">
        <f>IF(SUMPRODUCT(--(Lookup_Status!$A$2:$A$13=LOWER(TRIM(Raw_Passengers!F1053))))=0,"",INDEX(Lookup_Status!$B$2:$B$13,SUMPRODUCT((Lookup_Status!$A$2:$A$13=LOWER(TRIM(Raw_Passengers!F1053)))*(ROW(Lookup_Status!$A$2:$A$13)-1))))</f>
        <v>Confirmed</v>
      </c>
      <c r="H1053" s="7" t="str">
        <f>IF(SUMPRODUCT(--(Lookup_Status!$A$2:$A$13=LOWER(TRIM(Raw_Passengers!G1053))))=0,"",INDEX(Lookup_Status!$B$2:$B$13,SUMPRODUCT((Lookup_Status!$A$2:$A$13=LOWER(TRIM(Raw_Passengers!G1053)))*(ROW(Lookup_Status!$A$2:$A$13)-1))))</f>
        <v>Confirmed</v>
      </c>
      <c r="I1053" s="7">
        <f>IF(OR(G1053="",G1053="Cancelled",G1053="Mixed"),1,0)</f>
        <v>0</v>
      </c>
      <c r="J1053" s="7">
        <f>IF(OR(H1053="",H1053="Mixed"),1,0)</f>
        <v>0</v>
      </c>
      <c r="K1053" s="7">
        <f>IF(AND(C1053=0,D1053=0),IF(OR(AND(I1053=0,NOT(EXACT(Raw_Passengers!F1053,G1053))),AND(J1053=0,NOT(EXACT(Raw_Passengers!G1053,H1053)))),1,0),0)</f>
        <v>0</v>
      </c>
      <c r="L1053" s="7">
        <f>IF(AND(C1053=0,D1053=0,I1053=1),1,0)</f>
        <v>0</v>
      </c>
      <c r="M1053" s="7">
        <f>IF(AND(C1053=0,D1053=0,J1053=1),1,0)</f>
        <v>0</v>
      </c>
    </row>
    <row r="1054" spans="1:13">
      <c r="A1054" s="7">
        <f>Raw_Passengers!A1054</f>
        <v>341990</v>
      </c>
      <c r="B1054" s="7">
        <f>Raw_Passengers!B1054</f>
        <v>1169457</v>
      </c>
      <c r="C1054" s="7">
        <f>IF(COUNTIF(Raw_Passengers!$A$2:A1054,Raw_Passengers!A1054)&gt;1,1,0)</f>
        <v>0</v>
      </c>
      <c r="D1054" s="7">
        <f>IF(COUNTIF(Raw_Bookings!$A$2:$A$648,Raw_Passengers!B1054)=0,1,0)</f>
        <v>0</v>
      </c>
      <c r="E1054" s="7">
        <f>IF(OR(C1054=1,D1054=1),0,IF(NOT(ISNUMBER(Raw_Passengers!E1054)),1,IF(Raw_Passengers!E1054&lt;=0,1,0)))</f>
        <v>0</v>
      </c>
      <c r="F1054" s="7">
        <f>IF(AND(C1054=0,D1054=0,TRIM(Raw_Passengers!D1054&amp;"")=""),1,0)</f>
        <v>0</v>
      </c>
      <c r="G1054" s="7" t="str">
        <f>IF(SUMPRODUCT(--(Lookup_Status!$A$2:$A$13=LOWER(TRIM(Raw_Passengers!F1054))))=0,"",INDEX(Lookup_Status!$B$2:$B$13,SUMPRODUCT((Lookup_Status!$A$2:$A$13=LOWER(TRIM(Raw_Passengers!F1054)))*(ROW(Lookup_Status!$A$2:$A$13)-1))))</f>
        <v>Confirmed</v>
      </c>
      <c r="H1054" s="7" t="str">
        <f>IF(SUMPRODUCT(--(Lookup_Status!$A$2:$A$13=LOWER(TRIM(Raw_Passengers!G1054))))=0,"",INDEX(Lookup_Status!$B$2:$B$13,SUMPRODUCT((Lookup_Status!$A$2:$A$13=LOWER(TRIM(Raw_Passengers!G1054)))*(ROW(Lookup_Status!$A$2:$A$13)-1))))</f>
        <v>Confirmed</v>
      </c>
      <c r="I1054" s="7">
        <f>IF(OR(G1054="",G1054="Cancelled",G1054="Mixed"),1,0)</f>
        <v>0</v>
      </c>
      <c r="J1054" s="7">
        <f>IF(OR(H1054="",H1054="Mixed"),1,0)</f>
        <v>0</v>
      </c>
      <c r="K1054" s="7">
        <f>IF(AND(C1054=0,D1054=0),IF(OR(AND(I1054=0,NOT(EXACT(Raw_Passengers!F1054,G1054))),AND(J1054=0,NOT(EXACT(Raw_Passengers!G1054,H1054)))),1,0),0)</f>
        <v>0</v>
      </c>
      <c r="L1054" s="7">
        <f>IF(AND(C1054=0,D1054=0,I1054=1),1,0)</f>
        <v>0</v>
      </c>
      <c r="M1054" s="7">
        <f>IF(AND(C1054=0,D1054=0,J1054=1),1,0)</f>
        <v>0</v>
      </c>
    </row>
    <row r="1055" spans="1:13">
      <c r="A1055" s="7">
        <f>Raw_Passengers!A1055</f>
        <v>341991</v>
      </c>
      <c r="B1055" s="7">
        <f>Raw_Passengers!B1055</f>
        <v>1169457</v>
      </c>
      <c r="C1055" s="7">
        <f>IF(COUNTIF(Raw_Passengers!$A$2:A1055,Raw_Passengers!A1055)&gt;1,1,0)</f>
        <v>0</v>
      </c>
      <c r="D1055" s="7">
        <f>IF(COUNTIF(Raw_Bookings!$A$2:$A$648,Raw_Passengers!B1055)=0,1,0)</f>
        <v>0</v>
      </c>
      <c r="E1055" s="7">
        <f>IF(OR(C1055=1,D1055=1),0,IF(NOT(ISNUMBER(Raw_Passengers!E1055)),1,IF(Raw_Passengers!E1055&lt;=0,1,0)))</f>
        <v>0</v>
      </c>
      <c r="F1055" s="7">
        <f>IF(AND(C1055=0,D1055=0,TRIM(Raw_Passengers!D1055&amp;"")=""),1,0)</f>
        <v>0</v>
      </c>
      <c r="G1055" s="7" t="str">
        <f>IF(SUMPRODUCT(--(Lookup_Status!$A$2:$A$13=LOWER(TRIM(Raw_Passengers!F1055))))=0,"",INDEX(Lookup_Status!$B$2:$B$13,SUMPRODUCT((Lookup_Status!$A$2:$A$13=LOWER(TRIM(Raw_Passengers!F1055)))*(ROW(Lookup_Status!$A$2:$A$13)-1))))</f>
        <v>Confirmed</v>
      </c>
      <c r="H1055" s="7" t="str">
        <f>IF(SUMPRODUCT(--(Lookup_Status!$A$2:$A$13=LOWER(TRIM(Raw_Passengers!G1055))))=0,"",INDEX(Lookup_Status!$B$2:$B$13,SUMPRODUCT((Lookup_Status!$A$2:$A$13=LOWER(TRIM(Raw_Passengers!G1055)))*(ROW(Lookup_Status!$A$2:$A$13)-1))))</f>
        <v>Confirmed</v>
      </c>
      <c r="I1055" s="7">
        <f>IF(OR(G1055="",G1055="Cancelled",G1055="Mixed"),1,0)</f>
        <v>0</v>
      </c>
      <c r="J1055" s="7">
        <f>IF(OR(H1055="",H1055="Mixed"),1,0)</f>
        <v>0</v>
      </c>
      <c r="K1055" s="7">
        <f>IF(AND(C1055=0,D1055=0),IF(OR(AND(I1055=0,NOT(EXACT(Raw_Passengers!F1055,G1055))),AND(J1055=0,NOT(EXACT(Raw_Passengers!G1055,H1055)))),1,0),0)</f>
        <v>0</v>
      </c>
      <c r="L1055" s="7">
        <f>IF(AND(C1055=0,D1055=0,I1055=1),1,0)</f>
        <v>0</v>
      </c>
      <c r="M1055" s="7">
        <f>IF(AND(C1055=0,D1055=0,J1055=1),1,0)</f>
        <v>0</v>
      </c>
    </row>
    <row r="1056" spans="1:13">
      <c r="A1056" s="7">
        <f>Raw_Passengers!A1056</f>
        <v>342390</v>
      </c>
      <c r="B1056" s="7">
        <f>Raw_Passengers!B1056</f>
        <v>1169665</v>
      </c>
      <c r="C1056" s="7">
        <f>IF(COUNTIF(Raw_Passengers!$A$2:A1056,Raw_Passengers!A1056)&gt;1,1,0)</f>
        <v>0</v>
      </c>
      <c r="D1056" s="7">
        <f>IF(COUNTIF(Raw_Bookings!$A$2:$A$648,Raw_Passengers!B1056)=0,1,0)</f>
        <v>0</v>
      </c>
      <c r="E1056" s="7">
        <f>IF(OR(C1056=1,D1056=1),0,IF(NOT(ISNUMBER(Raw_Passengers!E1056)),1,IF(Raw_Passengers!E1056&lt;=0,1,0)))</f>
        <v>0</v>
      </c>
      <c r="F1056" s="7">
        <f>IF(AND(C1056=0,D1056=0,TRIM(Raw_Passengers!D1056&amp;"")=""),1,0)</f>
        <v>0</v>
      </c>
      <c r="G1056" s="7" t="str">
        <f>IF(SUMPRODUCT(--(Lookup_Status!$A$2:$A$13=LOWER(TRIM(Raw_Passengers!F1056))))=0,"",INDEX(Lookup_Status!$B$2:$B$13,SUMPRODUCT((Lookup_Status!$A$2:$A$13=LOWER(TRIM(Raw_Passengers!F1056)))*(ROW(Lookup_Status!$A$2:$A$13)-1))))</f>
        <v>RAC</v>
      </c>
      <c r="H1056" s="7" t="str">
        <f>IF(SUMPRODUCT(--(Lookup_Status!$A$2:$A$13=LOWER(TRIM(Raw_Passengers!G1056))))=0,"",INDEX(Lookup_Status!$B$2:$B$13,SUMPRODUCT((Lookup_Status!$A$2:$A$13=LOWER(TRIM(Raw_Passengers!G1056)))*(ROW(Lookup_Status!$A$2:$A$13)-1))))</f>
        <v>Confirmed</v>
      </c>
      <c r="I1056" s="7">
        <f>IF(OR(G1056="",G1056="Cancelled",G1056="Mixed"),1,0)</f>
        <v>0</v>
      </c>
      <c r="J1056" s="7">
        <f>IF(OR(H1056="",H1056="Mixed"),1,0)</f>
        <v>0</v>
      </c>
      <c r="K1056" s="7">
        <f>IF(AND(C1056=0,D1056=0),IF(OR(AND(I1056=0,NOT(EXACT(Raw_Passengers!F1056,G1056))),AND(J1056=0,NOT(EXACT(Raw_Passengers!G1056,H1056)))),1,0),0)</f>
        <v>0</v>
      </c>
      <c r="L1056" s="7">
        <f>IF(AND(C1056=0,D1056=0,I1056=1),1,0)</f>
        <v>0</v>
      </c>
      <c r="M1056" s="7">
        <f>IF(AND(C1056=0,D1056=0,J1056=1),1,0)</f>
        <v>0</v>
      </c>
    </row>
    <row r="1057" spans="1:13">
      <c r="A1057" s="7">
        <f>Raw_Passengers!A1057</f>
        <v>342391</v>
      </c>
      <c r="B1057" s="7">
        <f>Raw_Passengers!B1057</f>
        <v>1169665</v>
      </c>
      <c r="C1057" s="7">
        <f>IF(COUNTIF(Raw_Passengers!$A$2:A1057,Raw_Passengers!A1057)&gt;1,1,0)</f>
        <v>0</v>
      </c>
      <c r="D1057" s="7">
        <f>IF(COUNTIF(Raw_Bookings!$A$2:$A$648,Raw_Passengers!B1057)=0,1,0)</f>
        <v>0</v>
      </c>
      <c r="E1057" s="7">
        <f>IF(OR(C1057=1,D1057=1),0,IF(NOT(ISNUMBER(Raw_Passengers!E1057)),1,IF(Raw_Passengers!E1057&lt;=0,1,0)))</f>
        <v>0</v>
      </c>
      <c r="F1057" s="7">
        <f>IF(AND(C1057=0,D1057=0,TRIM(Raw_Passengers!D1057&amp;"")=""),1,0)</f>
        <v>0</v>
      </c>
      <c r="G1057" s="7" t="str">
        <f>IF(SUMPRODUCT(--(Lookup_Status!$A$2:$A$13=LOWER(TRIM(Raw_Passengers!F1057))))=0,"",INDEX(Lookup_Status!$B$2:$B$13,SUMPRODUCT((Lookup_Status!$A$2:$A$13=LOWER(TRIM(Raw_Passengers!F1057)))*(ROW(Lookup_Status!$A$2:$A$13)-1))))</f>
        <v>RAC</v>
      </c>
      <c r="H1057" s="7" t="str">
        <f>IF(SUMPRODUCT(--(Lookup_Status!$A$2:$A$13=LOWER(TRIM(Raw_Passengers!G1057))))=0,"",INDEX(Lookup_Status!$B$2:$B$13,SUMPRODUCT((Lookup_Status!$A$2:$A$13=LOWER(TRIM(Raw_Passengers!G1057)))*(ROW(Lookup_Status!$A$2:$A$13)-1))))</f>
        <v>Confirmed</v>
      </c>
      <c r="I1057" s="7">
        <f>IF(OR(G1057="",G1057="Cancelled",G1057="Mixed"),1,0)</f>
        <v>0</v>
      </c>
      <c r="J1057" s="7">
        <f>IF(OR(H1057="",H1057="Mixed"),1,0)</f>
        <v>0</v>
      </c>
      <c r="K1057" s="7">
        <f>IF(AND(C1057=0,D1057=0),IF(OR(AND(I1057=0,NOT(EXACT(Raw_Passengers!F1057,G1057))),AND(J1057=0,NOT(EXACT(Raw_Passengers!G1057,H1057)))),1,0),0)</f>
        <v>0</v>
      </c>
      <c r="L1057" s="7">
        <f>IF(AND(C1057=0,D1057=0,I1057=1),1,0)</f>
        <v>0</v>
      </c>
      <c r="M1057" s="7">
        <f>IF(AND(C1057=0,D1057=0,J1057=1),1,0)</f>
        <v>0</v>
      </c>
    </row>
    <row r="1058" spans="1:13">
      <c r="A1058" s="7">
        <f>Raw_Passengers!A1058</f>
        <v>342759</v>
      </c>
      <c r="B1058" s="7">
        <f>Raw_Passengers!B1058</f>
        <v>1169847</v>
      </c>
      <c r="C1058" s="7">
        <f>IF(COUNTIF(Raw_Passengers!$A$2:A1058,Raw_Passengers!A1058)&gt;1,1,0)</f>
        <v>0</v>
      </c>
      <c r="D1058" s="7">
        <f>IF(COUNTIF(Raw_Bookings!$A$2:$A$648,Raw_Passengers!B1058)=0,1,0)</f>
        <v>0</v>
      </c>
      <c r="E1058" s="7">
        <f>IF(OR(C1058=1,D1058=1),0,IF(NOT(ISNUMBER(Raw_Passengers!E1058)),1,IF(Raw_Passengers!E1058&lt;=0,1,0)))</f>
        <v>0</v>
      </c>
      <c r="F1058" s="7">
        <f>IF(AND(C1058=0,D1058=0,TRIM(Raw_Passengers!D1058&amp;"")=""),1,0)</f>
        <v>0</v>
      </c>
      <c r="G1058" s="7" t="str">
        <f>IF(SUMPRODUCT(--(Lookup_Status!$A$2:$A$13=LOWER(TRIM(Raw_Passengers!F1058))))=0,"",INDEX(Lookup_Status!$B$2:$B$13,SUMPRODUCT((Lookup_Status!$A$2:$A$13=LOWER(TRIM(Raw_Passengers!F1058)))*(ROW(Lookup_Status!$A$2:$A$13)-1))))</f>
        <v>RAC</v>
      </c>
      <c r="H1058" s="7" t="str">
        <f>IF(SUMPRODUCT(--(Lookup_Status!$A$2:$A$13=LOWER(TRIM(Raw_Passengers!G1058))))=0,"",INDEX(Lookup_Status!$B$2:$B$13,SUMPRODUCT((Lookup_Status!$A$2:$A$13=LOWER(TRIM(Raw_Passengers!G1058)))*(ROW(Lookup_Status!$A$2:$A$13)-1))))</f>
        <v>Confirmed</v>
      </c>
      <c r="I1058" s="7">
        <f>IF(OR(G1058="",G1058="Cancelled",G1058="Mixed"),1,0)</f>
        <v>0</v>
      </c>
      <c r="J1058" s="7">
        <f>IF(OR(H1058="",H1058="Mixed"),1,0)</f>
        <v>0</v>
      </c>
      <c r="K1058" s="7">
        <f>IF(AND(C1058=0,D1058=0),IF(OR(AND(I1058=0,NOT(EXACT(Raw_Passengers!F1058,G1058))),AND(J1058=0,NOT(EXACT(Raw_Passengers!G1058,H1058)))),1,0),0)</f>
        <v>0</v>
      </c>
      <c r="L1058" s="7">
        <f>IF(AND(C1058=0,D1058=0,I1058=1),1,0)</f>
        <v>0</v>
      </c>
      <c r="M1058" s="7">
        <f>IF(AND(C1058=0,D1058=0,J1058=1),1,0)</f>
        <v>0</v>
      </c>
    </row>
    <row r="1059" spans="1:13">
      <c r="A1059" s="7">
        <f>Raw_Passengers!A1059</f>
        <v>342760</v>
      </c>
      <c r="B1059" s="7">
        <f>Raw_Passengers!B1059</f>
        <v>1169847</v>
      </c>
      <c r="C1059" s="7">
        <f>IF(COUNTIF(Raw_Passengers!$A$2:A1059,Raw_Passengers!A1059)&gt;1,1,0)</f>
        <v>0</v>
      </c>
      <c r="D1059" s="7">
        <f>IF(COUNTIF(Raw_Bookings!$A$2:$A$648,Raw_Passengers!B1059)=0,1,0)</f>
        <v>0</v>
      </c>
      <c r="E1059" s="7">
        <f>IF(OR(C1059=1,D1059=1),0,IF(NOT(ISNUMBER(Raw_Passengers!E1059)),1,IF(Raw_Passengers!E1059&lt;=0,1,0)))</f>
        <v>0</v>
      </c>
      <c r="F1059" s="7">
        <f>IF(AND(C1059=0,D1059=0,TRIM(Raw_Passengers!D1059&amp;"")=""),1,0)</f>
        <v>0</v>
      </c>
      <c r="G1059" s="7" t="str">
        <f>IF(SUMPRODUCT(--(Lookup_Status!$A$2:$A$13=LOWER(TRIM(Raw_Passengers!F1059))))=0,"",INDEX(Lookup_Status!$B$2:$B$13,SUMPRODUCT((Lookup_Status!$A$2:$A$13=LOWER(TRIM(Raw_Passengers!F1059)))*(ROW(Lookup_Status!$A$2:$A$13)-1))))</f>
        <v>RAC</v>
      </c>
      <c r="H1059" s="7" t="str">
        <f>IF(SUMPRODUCT(--(Lookup_Status!$A$2:$A$13=LOWER(TRIM(Raw_Passengers!G1059))))=0,"",INDEX(Lookup_Status!$B$2:$B$13,SUMPRODUCT((Lookup_Status!$A$2:$A$13=LOWER(TRIM(Raw_Passengers!G1059)))*(ROW(Lookup_Status!$A$2:$A$13)-1))))</f>
        <v>Confirmed</v>
      </c>
      <c r="I1059" s="7">
        <f>IF(OR(G1059="",G1059="Cancelled",G1059="Mixed"),1,0)</f>
        <v>0</v>
      </c>
      <c r="J1059" s="7">
        <f>IF(OR(H1059="",H1059="Mixed"),1,0)</f>
        <v>0</v>
      </c>
      <c r="K1059" s="7">
        <f>IF(AND(C1059=0,D1059=0),IF(OR(AND(I1059=0,NOT(EXACT(Raw_Passengers!F1059,G1059))),AND(J1059=0,NOT(EXACT(Raw_Passengers!G1059,H1059)))),1,0),0)</f>
        <v>0</v>
      </c>
      <c r="L1059" s="7">
        <f>IF(AND(C1059=0,D1059=0,I1059=1),1,0)</f>
        <v>0</v>
      </c>
      <c r="M1059" s="7">
        <f>IF(AND(C1059=0,D1059=0,J1059=1),1,0)</f>
        <v>0</v>
      </c>
    </row>
    <row r="1060" spans="1:13">
      <c r="A1060" s="7">
        <f>Raw_Passengers!A1060</f>
        <v>342942</v>
      </c>
      <c r="B1060" s="7">
        <f>Raw_Passengers!B1060</f>
        <v>1169931</v>
      </c>
      <c r="C1060" s="7">
        <f>IF(COUNTIF(Raw_Passengers!$A$2:A1060,Raw_Passengers!A1060)&gt;1,1,0)</f>
        <v>0</v>
      </c>
      <c r="D1060" s="7">
        <f>IF(COUNTIF(Raw_Bookings!$A$2:$A$648,Raw_Passengers!B1060)=0,1,0)</f>
        <v>0</v>
      </c>
      <c r="E1060" s="7">
        <f>IF(OR(C1060=1,D1060=1),0,IF(NOT(ISNUMBER(Raw_Passengers!E1060)),1,IF(Raw_Passengers!E1060&lt;=0,1,0)))</f>
        <v>0</v>
      </c>
      <c r="F1060" s="7">
        <f>IF(AND(C1060=0,D1060=0,TRIM(Raw_Passengers!D1060&amp;"")=""),1,0)</f>
        <v>0</v>
      </c>
      <c r="G1060" s="7" t="str">
        <f>IF(SUMPRODUCT(--(Lookup_Status!$A$2:$A$13=LOWER(TRIM(Raw_Passengers!F1060))))=0,"",INDEX(Lookup_Status!$B$2:$B$13,SUMPRODUCT((Lookup_Status!$A$2:$A$13=LOWER(TRIM(Raw_Passengers!F1060)))*(ROW(Lookup_Status!$A$2:$A$13)-1))))</f>
        <v>Confirmed</v>
      </c>
      <c r="H1060" s="7" t="str">
        <f>IF(SUMPRODUCT(--(Lookup_Status!$A$2:$A$13=LOWER(TRIM(Raw_Passengers!G1060))))=0,"",INDEX(Lookup_Status!$B$2:$B$13,SUMPRODUCT((Lookup_Status!$A$2:$A$13=LOWER(TRIM(Raw_Passengers!G1060)))*(ROW(Lookup_Status!$A$2:$A$13)-1))))</f>
        <v>Confirmed</v>
      </c>
      <c r="I1060" s="7">
        <f>IF(OR(G1060="",G1060="Cancelled",G1060="Mixed"),1,0)</f>
        <v>0</v>
      </c>
      <c r="J1060" s="7">
        <f>IF(OR(H1060="",H1060="Mixed"),1,0)</f>
        <v>0</v>
      </c>
      <c r="K1060" s="7">
        <f>IF(AND(C1060=0,D1060=0),IF(OR(AND(I1060=0,NOT(EXACT(Raw_Passengers!F1060,G1060))),AND(J1060=0,NOT(EXACT(Raw_Passengers!G1060,H1060)))),1,0),0)</f>
        <v>0</v>
      </c>
      <c r="L1060" s="7">
        <f>IF(AND(C1060=0,D1060=0,I1060=1),1,0)</f>
        <v>0</v>
      </c>
      <c r="M1060" s="7">
        <f>IF(AND(C1060=0,D1060=0,J1060=1),1,0)</f>
        <v>0</v>
      </c>
    </row>
    <row r="1061" spans="1:13">
      <c r="A1061" s="7">
        <f>Raw_Passengers!A1061</f>
        <v>342943</v>
      </c>
      <c r="B1061" s="7">
        <f>Raw_Passengers!B1061</f>
        <v>1169931</v>
      </c>
      <c r="C1061" s="7">
        <f>IF(COUNTIF(Raw_Passengers!$A$2:A1061,Raw_Passengers!A1061)&gt;1,1,0)</f>
        <v>0</v>
      </c>
      <c r="D1061" s="7">
        <f>IF(COUNTIF(Raw_Bookings!$A$2:$A$648,Raw_Passengers!B1061)=0,1,0)</f>
        <v>0</v>
      </c>
      <c r="E1061" s="7">
        <f>IF(OR(C1061=1,D1061=1),0,IF(NOT(ISNUMBER(Raw_Passengers!E1061)),1,IF(Raw_Passengers!E1061&lt;=0,1,0)))</f>
        <v>0</v>
      </c>
      <c r="F1061" s="7">
        <f>IF(AND(C1061=0,D1061=0,TRIM(Raw_Passengers!D1061&amp;"")=""),1,0)</f>
        <v>0</v>
      </c>
      <c r="G1061" s="7" t="str">
        <f>IF(SUMPRODUCT(--(Lookup_Status!$A$2:$A$13=LOWER(TRIM(Raw_Passengers!F1061))))=0,"",INDEX(Lookup_Status!$B$2:$B$13,SUMPRODUCT((Lookup_Status!$A$2:$A$13=LOWER(TRIM(Raw_Passengers!F1061)))*(ROW(Lookup_Status!$A$2:$A$13)-1))))</f>
        <v>Confirmed</v>
      </c>
      <c r="H1061" s="7" t="str">
        <f>IF(SUMPRODUCT(--(Lookup_Status!$A$2:$A$13=LOWER(TRIM(Raw_Passengers!G1061))))=0,"",INDEX(Lookup_Status!$B$2:$B$13,SUMPRODUCT((Lookup_Status!$A$2:$A$13=LOWER(TRIM(Raw_Passengers!G1061)))*(ROW(Lookup_Status!$A$2:$A$13)-1))))</f>
        <v>Confirmed</v>
      </c>
      <c r="I1061" s="7">
        <f>IF(OR(G1061="",G1061="Cancelled",G1061="Mixed"),1,0)</f>
        <v>0</v>
      </c>
      <c r="J1061" s="7">
        <f>IF(OR(H1061="",H1061="Mixed"),1,0)</f>
        <v>0</v>
      </c>
      <c r="K1061" s="7">
        <f>IF(AND(C1061=0,D1061=0),IF(OR(AND(I1061=0,NOT(EXACT(Raw_Passengers!F1061,G1061))),AND(J1061=0,NOT(EXACT(Raw_Passengers!G1061,H1061)))),1,0),0)</f>
        <v>0</v>
      </c>
      <c r="L1061" s="7">
        <f>IF(AND(C1061=0,D1061=0,I1061=1),1,0)</f>
        <v>0</v>
      </c>
      <c r="M1061" s="7">
        <f>IF(AND(C1061=0,D1061=0,J1061=1),1,0)</f>
        <v>0</v>
      </c>
    </row>
    <row r="1062" spans="1:13">
      <c r="A1062" s="7">
        <f>Raw_Passengers!A1062</f>
        <v>342944</v>
      </c>
      <c r="B1062" s="7">
        <f>Raw_Passengers!B1062</f>
        <v>1169931</v>
      </c>
      <c r="C1062" s="7">
        <f>IF(COUNTIF(Raw_Passengers!$A$2:A1062,Raw_Passengers!A1062)&gt;1,1,0)</f>
        <v>0</v>
      </c>
      <c r="D1062" s="7">
        <f>IF(COUNTIF(Raw_Bookings!$A$2:$A$648,Raw_Passengers!B1062)=0,1,0)</f>
        <v>0</v>
      </c>
      <c r="E1062" s="7">
        <f>IF(OR(C1062=1,D1062=1),0,IF(NOT(ISNUMBER(Raw_Passengers!E1062)),1,IF(Raw_Passengers!E1062&lt;=0,1,0)))</f>
        <v>0</v>
      </c>
      <c r="F1062" s="7">
        <f>IF(AND(C1062=0,D1062=0,TRIM(Raw_Passengers!D1062&amp;"")=""),1,0)</f>
        <v>0</v>
      </c>
      <c r="G1062" s="7" t="str">
        <f>IF(SUMPRODUCT(--(Lookup_Status!$A$2:$A$13=LOWER(TRIM(Raw_Passengers!F1062))))=0,"",INDEX(Lookup_Status!$B$2:$B$13,SUMPRODUCT((Lookup_Status!$A$2:$A$13=LOWER(TRIM(Raw_Passengers!F1062)))*(ROW(Lookup_Status!$A$2:$A$13)-1))))</f>
        <v>Confirmed</v>
      </c>
      <c r="H1062" s="7" t="str">
        <f>IF(SUMPRODUCT(--(Lookup_Status!$A$2:$A$13=LOWER(TRIM(Raw_Passengers!G1062))))=0,"",INDEX(Lookup_Status!$B$2:$B$13,SUMPRODUCT((Lookup_Status!$A$2:$A$13=LOWER(TRIM(Raw_Passengers!G1062)))*(ROW(Lookup_Status!$A$2:$A$13)-1))))</f>
        <v>Confirmed</v>
      </c>
      <c r="I1062" s="7">
        <f>IF(OR(G1062="",G1062="Cancelled",G1062="Mixed"),1,0)</f>
        <v>0</v>
      </c>
      <c r="J1062" s="7">
        <f>IF(OR(H1062="",H1062="Mixed"),1,0)</f>
        <v>0</v>
      </c>
      <c r="K1062" s="7">
        <f>IF(AND(C1062=0,D1062=0),IF(OR(AND(I1062=0,NOT(EXACT(Raw_Passengers!F1062,G1062))),AND(J1062=0,NOT(EXACT(Raw_Passengers!G1062,H1062)))),1,0),0)</f>
        <v>0</v>
      </c>
      <c r="L1062" s="7">
        <f>IF(AND(C1062=0,D1062=0,I1062=1),1,0)</f>
        <v>0</v>
      </c>
      <c r="M1062" s="7">
        <f>IF(AND(C1062=0,D1062=0,J1062=1),1,0)</f>
        <v>0</v>
      </c>
    </row>
    <row r="1063" spans="1:13">
      <c r="A1063" s="7">
        <f>Raw_Passengers!A1063</f>
        <v>344152</v>
      </c>
      <c r="B1063" s="7">
        <f>Raw_Passengers!B1063</f>
        <v>1170529</v>
      </c>
      <c r="C1063" s="7">
        <f>IF(COUNTIF(Raw_Passengers!$A$2:A1063,Raw_Passengers!A1063)&gt;1,1,0)</f>
        <v>0</v>
      </c>
      <c r="D1063" s="7">
        <f>IF(COUNTIF(Raw_Bookings!$A$2:$A$648,Raw_Passengers!B1063)=0,1,0)</f>
        <v>0</v>
      </c>
      <c r="E1063" s="7">
        <f>IF(OR(C1063=1,D1063=1),0,IF(NOT(ISNUMBER(Raw_Passengers!E1063)),1,IF(Raw_Passengers!E1063&lt;=0,1,0)))</f>
        <v>0</v>
      </c>
      <c r="F1063" s="7">
        <f>IF(AND(C1063=0,D1063=0,TRIM(Raw_Passengers!D1063&amp;"")=""),1,0)</f>
        <v>0</v>
      </c>
      <c r="G1063" s="7" t="str">
        <f>IF(SUMPRODUCT(--(Lookup_Status!$A$2:$A$13=LOWER(TRIM(Raw_Passengers!F1063))))=0,"",INDEX(Lookup_Status!$B$2:$B$13,SUMPRODUCT((Lookup_Status!$A$2:$A$13=LOWER(TRIM(Raw_Passengers!F1063)))*(ROW(Lookup_Status!$A$2:$A$13)-1))))</f>
        <v>Confirmed</v>
      </c>
      <c r="H1063" s="7" t="str">
        <f>IF(SUMPRODUCT(--(Lookup_Status!$A$2:$A$13=LOWER(TRIM(Raw_Passengers!G1063))))=0,"",INDEX(Lookup_Status!$B$2:$B$13,SUMPRODUCT((Lookup_Status!$A$2:$A$13=LOWER(TRIM(Raw_Passengers!G1063)))*(ROW(Lookup_Status!$A$2:$A$13)-1))))</f>
        <v>Confirmed</v>
      </c>
      <c r="I1063" s="7">
        <f>IF(OR(G1063="",G1063="Cancelled",G1063="Mixed"),1,0)</f>
        <v>0</v>
      </c>
      <c r="J1063" s="7">
        <f>IF(OR(H1063="",H1063="Mixed"),1,0)</f>
        <v>0</v>
      </c>
      <c r="K1063" s="7">
        <f>IF(AND(C1063=0,D1063=0),IF(OR(AND(I1063=0,NOT(EXACT(Raw_Passengers!F1063,G1063))),AND(J1063=0,NOT(EXACT(Raw_Passengers!G1063,H1063)))),1,0),0)</f>
        <v>0</v>
      </c>
      <c r="L1063" s="7">
        <f>IF(AND(C1063=0,D1063=0,I1063=1),1,0)</f>
        <v>0</v>
      </c>
      <c r="M1063" s="7">
        <f>IF(AND(C1063=0,D1063=0,J1063=1),1,0)</f>
        <v>0</v>
      </c>
    </row>
    <row r="1064" spans="1:13">
      <c r="A1064" s="7">
        <f>Raw_Passengers!A1064</f>
        <v>344166</v>
      </c>
      <c r="B1064" s="7">
        <f>Raw_Passengers!B1064</f>
        <v>1170536</v>
      </c>
      <c r="C1064" s="7">
        <f>IF(COUNTIF(Raw_Passengers!$A$2:A1064,Raw_Passengers!A1064)&gt;1,1,0)</f>
        <v>0</v>
      </c>
      <c r="D1064" s="7">
        <f>IF(COUNTIF(Raw_Bookings!$A$2:$A$648,Raw_Passengers!B1064)=0,1,0)</f>
        <v>0</v>
      </c>
      <c r="E1064" s="7">
        <f>IF(OR(C1064=1,D1064=1),0,IF(NOT(ISNUMBER(Raw_Passengers!E1064)),1,IF(Raw_Passengers!E1064&lt;=0,1,0)))</f>
        <v>0</v>
      </c>
      <c r="F1064" s="7">
        <f>IF(AND(C1064=0,D1064=0,TRIM(Raw_Passengers!D1064&amp;"")=""),1,0)</f>
        <v>0</v>
      </c>
      <c r="G1064" s="7" t="str">
        <f>IF(SUMPRODUCT(--(Lookup_Status!$A$2:$A$13=LOWER(TRIM(Raw_Passengers!F1064))))=0,"",INDEX(Lookup_Status!$B$2:$B$13,SUMPRODUCT((Lookup_Status!$A$2:$A$13=LOWER(TRIM(Raw_Passengers!F1064)))*(ROW(Lookup_Status!$A$2:$A$13)-1))))</f>
        <v>Confirmed</v>
      </c>
      <c r="H1064" s="7" t="str">
        <f>IF(SUMPRODUCT(--(Lookup_Status!$A$2:$A$13=LOWER(TRIM(Raw_Passengers!G1064))))=0,"",INDEX(Lookup_Status!$B$2:$B$13,SUMPRODUCT((Lookup_Status!$A$2:$A$13=LOWER(TRIM(Raw_Passengers!G1064)))*(ROW(Lookup_Status!$A$2:$A$13)-1))))</f>
        <v>Confirmed</v>
      </c>
      <c r="I1064" s="7">
        <f>IF(OR(G1064="",G1064="Cancelled",G1064="Mixed"),1,0)</f>
        <v>0</v>
      </c>
      <c r="J1064" s="7">
        <f>IF(OR(H1064="",H1064="Mixed"),1,0)</f>
        <v>0</v>
      </c>
      <c r="K1064" s="7">
        <f>IF(AND(C1064=0,D1064=0),IF(OR(AND(I1064=0,NOT(EXACT(Raw_Passengers!F1064,G1064))),AND(J1064=0,NOT(EXACT(Raw_Passengers!G1064,H1064)))),1,0),0)</f>
        <v>0</v>
      </c>
      <c r="L1064" s="7">
        <f>IF(AND(C1064=0,D1064=0,I1064=1),1,0)</f>
        <v>0</v>
      </c>
      <c r="M1064" s="7">
        <f>IF(AND(C1064=0,D1064=0,J1064=1),1,0)</f>
        <v>0</v>
      </c>
    </row>
    <row r="1065" spans="1:13">
      <c r="A1065" s="7">
        <f>Raw_Passengers!A1065</f>
        <v>344247</v>
      </c>
      <c r="B1065" s="7">
        <f>Raw_Passengers!B1065</f>
        <v>1170583</v>
      </c>
      <c r="C1065" s="7">
        <f>IF(COUNTIF(Raw_Passengers!$A$2:A1065,Raw_Passengers!A1065)&gt;1,1,0)</f>
        <v>0</v>
      </c>
      <c r="D1065" s="7">
        <f>IF(COUNTIF(Raw_Bookings!$A$2:$A$648,Raw_Passengers!B1065)=0,1,0)</f>
        <v>0</v>
      </c>
      <c r="E1065" s="7">
        <f>IF(OR(C1065=1,D1065=1),0,IF(NOT(ISNUMBER(Raw_Passengers!E1065)),1,IF(Raw_Passengers!E1065&lt;=0,1,0)))</f>
        <v>0</v>
      </c>
      <c r="F1065" s="7">
        <f>IF(AND(C1065=0,D1065=0,TRIM(Raw_Passengers!D1065&amp;"")=""),1,0)</f>
        <v>0</v>
      </c>
      <c r="G1065" s="7" t="str">
        <f>IF(SUMPRODUCT(--(Lookup_Status!$A$2:$A$13=LOWER(TRIM(Raw_Passengers!F1065))))=0,"",INDEX(Lookup_Status!$B$2:$B$13,SUMPRODUCT((Lookup_Status!$A$2:$A$13=LOWER(TRIM(Raw_Passengers!F1065)))*(ROW(Lookup_Status!$A$2:$A$13)-1))))</f>
        <v>Waitlisted</v>
      </c>
      <c r="H1065" s="7" t="str">
        <f>IF(SUMPRODUCT(--(Lookup_Status!$A$2:$A$13=LOWER(TRIM(Raw_Passengers!G1065))))=0,"",INDEX(Lookup_Status!$B$2:$B$13,SUMPRODUCT((Lookup_Status!$A$2:$A$13=LOWER(TRIM(Raw_Passengers!G1065)))*(ROW(Lookup_Status!$A$2:$A$13)-1))))</f>
        <v>Waitlisted</v>
      </c>
      <c r="I1065" s="7">
        <f>IF(OR(G1065="",G1065="Cancelled",G1065="Mixed"),1,0)</f>
        <v>0</v>
      </c>
      <c r="J1065" s="7">
        <f>IF(OR(H1065="",H1065="Mixed"),1,0)</f>
        <v>0</v>
      </c>
      <c r="K1065" s="7">
        <f>IF(AND(C1065=0,D1065=0),IF(OR(AND(I1065=0,NOT(EXACT(Raw_Passengers!F1065,G1065))),AND(J1065=0,NOT(EXACT(Raw_Passengers!G1065,H1065)))),1,0),0)</f>
        <v>0</v>
      </c>
      <c r="L1065" s="7">
        <f>IF(AND(C1065=0,D1065=0,I1065=1),1,0)</f>
        <v>0</v>
      </c>
      <c r="M1065" s="7">
        <f>IF(AND(C1065=0,D1065=0,J1065=1),1,0)</f>
        <v>0</v>
      </c>
    </row>
    <row r="1066" spans="1:13">
      <c r="A1066" s="7">
        <f>Raw_Passengers!A1066</f>
        <v>344661</v>
      </c>
      <c r="B1066" s="7">
        <f>Raw_Passengers!B1066</f>
        <v>1170781</v>
      </c>
      <c r="C1066" s="7">
        <f>IF(COUNTIF(Raw_Passengers!$A$2:A1066,Raw_Passengers!A1066)&gt;1,1,0)</f>
        <v>0</v>
      </c>
      <c r="D1066" s="7">
        <f>IF(COUNTIF(Raw_Bookings!$A$2:$A$648,Raw_Passengers!B1066)=0,1,0)</f>
        <v>0</v>
      </c>
      <c r="E1066" s="7">
        <f>IF(OR(C1066=1,D1066=1),0,IF(NOT(ISNUMBER(Raw_Passengers!E1066)),1,IF(Raw_Passengers!E1066&lt;=0,1,0)))</f>
        <v>0</v>
      </c>
      <c r="F1066" s="7">
        <f>IF(AND(C1066=0,D1066=0,TRIM(Raw_Passengers!D1066&amp;"")=""),1,0)</f>
        <v>0</v>
      </c>
      <c r="G1066" s="7" t="str">
        <f>IF(SUMPRODUCT(--(Lookup_Status!$A$2:$A$13=LOWER(TRIM(Raw_Passengers!F1066))))=0,"",INDEX(Lookup_Status!$B$2:$B$13,SUMPRODUCT((Lookup_Status!$A$2:$A$13=LOWER(TRIM(Raw_Passengers!F1066)))*(ROW(Lookup_Status!$A$2:$A$13)-1))))</f>
        <v>Confirmed</v>
      </c>
      <c r="H1066" s="7" t="str">
        <f>IF(SUMPRODUCT(--(Lookup_Status!$A$2:$A$13=LOWER(TRIM(Raw_Passengers!G1066))))=0,"",INDEX(Lookup_Status!$B$2:$B$13,SUMPRODUCT((Lookup_Status!$A$2:$A$13=LOWER(TRIM(Raw_Passengers!G1066)))*(ROW(Lookup_Status!$A$2:$A$13)-1))))</f>
        <v>Confirmed</v>
      </c>
      <c r="I1066" s="7">
        <f>IF(OR(G1066="",G1066="Cancelled",G1066="Mixed"),1,0)</f>
        <v>0</v>
      </c>
      <c r="J1066" s="7">
        <f>IF(OR(H1066="",H1066="Mixed"),1,0)</f>
        <v>0</v>
      </c>
      <c r="K1066" s="7">
        <f>IF(AND(C1066=0,D1066=0),IF(OR(AND(I1066=0,NOT(EXACT(Raw_Passengers!F1066,G1066))),AND(J1066=0,NOT(EXACT(Raw_Passengers!G1066,H1066)))),1,0),0)</f>
        <v>0</v>
      </c>
      <c r="L1066" s="7">
        <f>IF(AND(C1066=0,D1066=0,I1066=1),1,0)</f>
        <v>0</v>
      </c>
      <c r="M1066" s="7">
        <f>IF(AND(C1066=0,D1066=0,J1066=1),1,0)</f>
        <v>0</v>
      </c>
    </row>
    <row r="1067" spans="1:13">
      <c r="A1067" s="7">
        <f>Raw_Passengers!A1067</f>
        <v>344662</v>
      </c>
      <c r="B1067" s="7">
        <f>Raw_Passengers!B1067</f>
        <v>1170781</v>
      </c>
      <c r="C1067" s="7">
        <f>IF(COUNTIF(Raw_Passengers!$A$2:A1067,Raw_Passengers!A1067)&gt;1,1,0)</f>
        <v>0</v>
      </c>
      <c r="D1067" s="7">
        <f>IF(COUNTIF(Raw_Bookings!$A$2:$A$648,Raw_Passengers!B1067)=0,1,0)</f>
        <v>0</v>
      </c>
      <c r="E1067" s="7">
        <f>IF(OR(C1067=1,D1067=1),0,IF(NOT(ISNUMBER(Raw_Passengers!E1067)),1,IF(Raw_Passengers!E1067&lt;=0,1,0)))</f>
        <v>0</v>
      </c>
      <c r="F1067" s="7">
        <f>IF(AND(C1067=0,D1067=0,TRIM(Raw_Passengers!D1067&amp;"")=""),1,0)</f>
        <v>0</v>
      </c>
      <c r="G1067" s="7" t="str">
        <f>IF(SUMPRODUCT(--(Lookup_Status!$A$2:$A$13=LOWER(TRIM(Raw_Passengers!F1067))))=0,"",INDEX(Lookup_Status!$B$2:$B$13,SUMPRODUCT((Lookup_Status!$A$2:$A$13=LOWER(TRIM(Raw_Passengers!F1067)))*(ROW(Lookup_Status!$A$2:$A$13)-1))))</f>
        <v>Confirmed</v>
      </c>
      <c r="H1067" s="7" t="str">
        <f>IF(SUMPRODUCT(--(Lookup_Status!$A$2:$A$13=LOWER(TRIM(Raw_Passengers!G1067))))=0,"",INDEX(Lookup_Status!$B$2:$B$13,SUMPRODUCT((Lookup_Status!$A$2:$A$13=LOWER(TRIM(Raw_Passengers!G1067)))*(ROW(Lookup_Status!$A$2:$A$13)-1))))</f>
        <v>Confirmed</v>
      </c>
      <c r="I1067" s="7">
        <f>IF(OR(G1067="",G1067="Cancelled",G1067="Mixed"),1,0)</f>
        <v>0</v>
      </c>
      <c r="J1067" s="7">
        <f>IF(OR(H1067="",H1067="Mixed"),1,0)</f>
        <v>0</v>
      </c>
      <c r="K1067" s="7">
        <f>IF(AND(C1067=0,D1067=0),IF(OR(AND(I1067=0,NOT(EXACT(Raw_Passengers!F1067,G1067))),AND(J1067=0,NOT(EXACT(Raw_Passengers!G1067,H1067)))),1,0),0)</f>
        <v>0</v>
      </c>
      <c r="L1067" s="7">
        <f>IF(AND(C1067=0,D1067=0,I1067=1),1,0)</f>
        <v>0</v>
      </c>
      <c r="M1067" s="7">
        <f>IF(AND(C1067=0,D1067=0,J1067=1),1,0)</f>
        <v>0</v>
      </c>
    </row>
    <row r="1068" spans="1:13">
      <c r="A1068" s="7">
        <f>Raw_Passengers!A1068</f>
        <v>344951</v>
      </c>
      <c r="B1068" s="7">
        <f>Raw_Passengers!B1068</f>
        <v>1170933</v>
      </c>
      <c r="C1068" s="7">
        <f>IF(COUNTIF(Raw_Passengers!$A$2:A1068,Raw_Passengers!A1068)&gt;1,1,0)</f>
        <v>0</v>
      </c>
      <c r="D1068" s="7">
        <f>IF(COUNTIF(Raw_Bookings!$A$2:$A$648,Raw_Passengers!B1068)=0,1,0)</f>
        <v>0</v>
      </c>
      <c r="E1068" s="7">
        <f>IF(OR(C1068=1,D1068=1),0,IF(NOT(ISNUMBER(Raw_Passengers!E1068)),1,IF(Raw_Passengers!E1068&lt;=0,1,0)))</f>
        <v>0</v>
      </c>
      <c r="F1068" s="7">
        <f>IF(AND(C1068=0,D1068=0,TRIM(Raw_Passengers!D1068&amp;"")=""),1,0)</f>
        <v>0</v>
      </c>
      <c r="G1068" s="7" t="str">
        <f>IF(SUMPRODUCT(--(Lookup_Status!$A$2:$A$13=LOWER(TRIM(Raw_Passengers!F1068))))=0,"",INDEX(Lookup_Status!$B$2:$B$13,SUMPRODUCT((Lookup_Status!$A$2:$A$13=LOWER(TRIM(Raw_Passengers!F1068)))*(ROW(Lookup_Status!$A$2:$A$13)-1))))</f>
        <v>Confirmed</v>
      </c>
      <c r="H1068" s="7" t="str">
        <f>IF(SUMPRODUCT(--(Lookup_Status!$A$2:$A$13=LOWER(TRIM(Raw_Passengers!G1068))))=0,"",INDEX(Lookup_Status!$B$2:$B$13,SUMPRODUCT((Lookup_Status!$A$2:$A$13=LOWER(TRIM(Raw_Passengers!G1068)))*(ROW(Lookup_Status!$A$2:$A$13)-1))))</f>
        <v>Confirmed</v>
      </c>
      <c r="I1068" s="7">
        <f>IF(OR(G1068="",G1068="Cancelled",G1068="Mixed"),1,0)</f>
        <v>0</v>
      </c>
      <c r="J1068" s="7">
        <f>IF(OR(H1068="",H1068="Mixed"),1,0)</f>
        <v>0</v>
      </c>
      <c r="K1068" s="7">
        <f>IF(AND(C1068=0,D1068=0),IF(OR(AND(I1068=0,NOT(EXACT(Raw_Passengers!F1068,G1068))),AND(J1068=0,NOT(EXACT(Raw_Passengers!G1068,H1068)))),1,0),0)</f>
        <v>0</v>
      </c>
      <c r="L1068" s="7">
        <f>IF(AND(C1068=0,D1068=0,I1068=1),1,0)</f>
        <v>0</v>
      </c>
      <c r="M1068" s="7">
        <f>IF(AND(C1068=0,D1068=0,J1068=1),1,0)</f>
        <v>0</v>
      </c>
    </row>
    <row r="1069" spans="1:13">
      <c r="A1069" s="7">
        <f>Raw_Passengers!A1069</f>
        <v>344952</v>
      </c>
      <c r="B1069" s="7">
        <f>Raw_Passengers!B1069</f>
        <v>1170933</v>
      </c>
      <c r="C1069" s="7">
        <f>IF(COUNTIF(Raw_Passengers!$A$2:A1069,Raw_Passengers!A1069)&gt;1,1,0)</f>
        <v>0</v>
      </c>
      <c r="D1069" s="7">
        <f>IF(COUNTIF(Raw_Bookings!$A$2:$A$648,Raw_Passengers!B1069)=0,1,0)</f>
        <v>0</v>
      </c>
      <c r="E1069" s="7">
        <f>IF(OR(C1069=1,D1069=1),0,IF(NOT(ISNUMBER(Raw_Passengers!E1069)),1,IF(Raw_Passengers!E1069&lt;=0,1,0)))</f>
        <v>0</v>
      </c>
      <c r="F1069" s="7">
        <f>IF(AND(C1069=0,D1069=0,TRIM(Raw_Passengers!D1069&amp;"")=""),1,0)</f>
        <v>0</v>
      </c>
      <c r="G1069" s="7" t="str">
        <f>IF(SUMPRODUCT(--(Lookup_Status!$A$2:$A$13=LOWER(TRIM(Raw_Passengers!F1069))))=0,"",INDEX(Lookup_Status!$B$2:$B$13,SUMPRODUCT((Lookup_Status!$A$2:$A$13=LOWER(TRIM(Raw_Passengers!F1069)))*(ROW(Lookup_Status!$A$2:$A$13)-1))))</f>
        <v>Confirmed</v>
      </c>
      <c r="H1069" s="7" t="str">
        <f>IF(SUMPRODUCT(--(Lookup_Status!$A$2:$A$13=LOWER(TRIM(Raw_Passengers!G1069))))=0,"",INDEX(Lookup_Status!$B$2:$B$13,SUMPRODUCT((Lookup_Status!$A$2:$A$13=LOWER(TRIM(Raw_Passengers!G1069)))*(ROW(Lookup_Status!$A$2:$A$13)-1))))</f>
        <v>Confirmed</v>
      </c>
      <c r="I1069" s="7">
        <f>IF(OR(G1069="",G1069="Cancelled",G1069="Mixed"),1,0)</f>
        <v>0</v>
      </c>
      <c r="J1069" s="7">
        <f>IF(OR(H1069="",H1069="Mixed"),1,0)</f>
        <v>0</v>
      </c>
      <c r="K1069" s="7">
        <f>IF(AND(C1069=0,D1069=0),IF(OR(AND(I1069=0,NOT(EXACT(Raw_Passengers!F1069,G1069))),AND(J1069=0,NOT(EXACT(Raw_Passengers!G1069,H1069)))),1,0),0)</f>
        <v>0</v>
      </c>
      <c r="L1069" s="7">
        <f>IF(AND(C1069=0,D1069=0,I1069=1),1,0)</f>
        <v>0</v>
      </c>
      <c r="M1069" s="7">
        <f>IF(AND(C1069=0,D1069=0,J1069=1),1,0)</f>
        <v>0</v>
      </c>
    </row>
    <row r="1070" spans="1:13">
      <c r="A1070" s="7">
        <f>Raw_Passengers!A1070</f>
        <v>344953</v>
      </c>
      <c r="B1070" s="7">
        <f>Raw_Passengers!B1070</f>
        <v>1170933</v>
      </c>
      <c r="C1070" s="7">
        <f>IF(COUNTIF(Raw_Passengers!$A$2:A1070,Raw_Passengers!A1070)&gt;1,1,0)</f>
        <v>0</v>
      </c>
      <c r="D1070" s="7">
        <f>IF(COUNTIF(Raw_Bookings!$A$2:$A$648,Raw_Passengers!B1070)=0,1,0)</f>
        <v>0</v>
      </c>
      <c r="E1070" s="7">
        <f>IF(OR(C1070=1,D1070=1),0,IF(NOT(ISNUMBER(Raw_Passengers!E1070)),1,IF(Raw_Passengers!E1070&lt;=0,1,0)))</f>
        <v>0</v>
      </c>
      <c r="F1070" s="7">
        <f>IF(AND(C1070=0,D1070=0,TRIM(Raw_Passengers!D1070&amp;"")=""),1,0)</f>
        <v>0</v>
      </c>
      <c r="G1070" s="7" t="str">
        <f>IF(SUMPRODUCT(--(Lookup_Status!$A$2:$A$13=LOWER(TRIM(Raw_Passengers!F1070))))=0,"",INDEX(Lookup_Status!$B$2:$B$13,SUMPRODUCT((Lookup_Status!$A$2:$A$13=LOWER(TRIM(Raw_Passengers!F1070)))*(ROW(Lookup_Status!$A$2:$A$13)-1))))</f>
        <v>Confirmed</v>
      </c>
      <c r="H1070" s="7" t="str">
        <f>IF(SUMPRODUCT(--(Lookup_Status!$A$2:$A$13=LOWER(TRIM(Raw_Passengers!G1070))))=0,"",INDEX(Lookup_Status!$B$2:$B$13,SUMPRODUCT((Lookup_Status!$A$2:$A$13=LOWER(TRIM(Raw_Passengers!G1070)))*(ROW(Lookup_Status!$A$2:$A$13)-1))))</f>
        <v>Confirmed</v>
      </c>
      <c r="I1070" s="7">
        <f>IF(OR(G1070="",G1070="Cancelled",G1070="Mixed"),1,0)</f>
        <v>0</v>
      </c>
      <c r="J1070" s="7">
        <f>IF(OR(H1070="",H1070="Mixed"),1,0)</f>
        <v>0</v>
      </c>
      <c r="K1070" s="7">
        <f>IF(AND(C1070=0,D1070=0),IF(OR(AND(I1070=0,NOT(EXACT(Raw_Passengers!F1070,G1070))),AND(J1070=0,NOT(EXACT(Raw_Passengers!G1070,H1070)))),1,0),0)</f>
        <v>0</v>
      </c>
      <c r="L1070" s="7">
        <f>IF(AND(C1070=0,D1070=0,I1070=1),1,0)</f>
        <v>0</v>
      </c>
      <c r="M1070" s="7">
        <f>IF(AND(C1070=0,D1070=0,J1070=1),1,0)</f>
        <v>0</v>
      </c>
    </row>
    <row r="1071" spans="1:13">
      <c r="A1071" s="7">
        <f>Raw_Passengers!A1071</f>
        <v>344954</v>
      </c>
      <c r="B1071" s="7">
        <f>Raw_Passengers!B1071</f>
        <v>1170933</v>
      </c>
      <c r="C1071" s="7">
        <f>IF(COUNTIF(Raw_Passengers!$A$2:A1071,Raw_Passengers!A1071)&gt;1,1,0)</f>
        <v>0</v>
      </c>
      <c r="D1071" s="7">
        <f>IF(COUNTIF(Raw_Bookings!$A$2:$A$648,Raw_Passengers!B1071)=0,1,0)</f>
        <v>0</v>
      </c>
      <c r="E1071" s="7">
        <f>IF(OR(C1071=1,D1071=1),0,IF(NOT(ISNUMBER(Raw_Passengers!E1071)),1,IF(Raw_Passengers!E1071&lt;=0,1,0)))</f>
        <v>0</v>
      </c>
      <c r="F1071" s="7">
        <f>IF(AND(C1071=0,D1071=0,TRIM(Raw_Passengers!D1071&amp;"")=""),1,0)</f>
        <v>0</v>
      </c>
      <c r="G1071" s="7" t="str">
        <f>IF(SUMPRODUCT(--(Lookup_Status!$A$2:$A$13=LOWER(TRIM(Raw_Passengers!F1071))))=0,"",INDEX(Lookup_Status!$B$2:$B$13,SUMPRODUCT((Lookup_Status!$A$2:$A$13=LOWER(TRIM(Raw_Passengers!F1071)))*(ROW(Lookup_Status!$A$2:$A$13)-1))))</f>
        <v>Confirmed</v>
      </c>
      <c r="H1071" s="7" t="str">
        <f>IF(SUMPRODUCT(--(Lookup_Status!$A$2:$A$13=LOWER(TRIM(Raw_Passengers!G1071))))=0,"",INDEX(Lookup_Status!$B$2:$B$13,SUMPRODUCT((Lookup_Status!$A$2:$A$13=LOWER(TRIM(Raw_Passengers!G1071)))*(ROW(Lookup_Status!$A$2:$A$13)-1))))</f>
        <v>Confirmed</v>
      </c>
      <c r="I1071" s="7">
        <f>IF(OR(G1071="",G1071="Cancelled",G1071="Mixed"),1,0)</f>
        <v>0</v>
      </c>
      <c r="J1071" s="7">
        <f>IF(OR(H1071="",H1071="Mixed"),1,0)</f>
        <v>0</v>
      </c>
      <c r="K1071" s="7">
        <f>IF(AND(C1071=0,D1071=0),IF(OR(AND(I1071=0,NOT(EXACT(Raw_Passengers!F1071,G1071))),AND(J1071=0,NOT(EXACT(Raw_Passengers!G1071,H1071)))),1,0),0)</f>
        <v>0</v>
      </c>
      <c r="L1071" s="7">
        <f>IF(AND(C1071=0,D1071=0,I1071=1),1,0)</f>
        <v>0</v>
      </c>
      <c r="M1071" s="7">
        <f>IF(AND(C1071=0,D1071=0,J1071=1),1,0)</f>
        <v>0</v>
      </c>
    </row>
    <row r="1072" spans="1:13">
      <c r="A1072" s="7">
        <f>Raw_Passengers!A1072</f>
        <v>344955</v>
      </c>
      <c r="B1072" s="7">
        <f>Raw_Passengers!B1072</f>
        <v>1170933</v>
      </c>
      <c r="C1072" s="7">
        <f>IF(COUNTIF(Raw_Passengers!$A$2:A1072,Raw_Passengers!A1072)&gt;1,1,0)</f>
        <v>0</v>
      </c>
      <c r="D1072" s="7">
        <f>IF(COUNTIF(Raw_Bookings!$A$2:$A$648,Raw_Passengers!B1072)=0,1,0)</f>
        <v>0</v>
      </c>
      <c r="E1072" s="7">
        <f>IF(OR(C1072=1,D1072=1),0,IF(NOT(ISNUMBER(Raw_Passengers!E1072)),1,IF(Raw_Passengers!E1072&lt;=0,1,0)))</f>
        <v>0</v>
      </c>
      <c r="F1072" s="7">
        <f>IF(AND(C1072=0,D1072=0,TRIM(Raw_Passengers!D1072&amp;"")=""),1,0)</f>
        <v>0</v>
      </c>
      <c r="G1072" s="7" t="str">
        <f>IF(SUMPRODUCT(--(Lookup_Status!$A$2:$A$13=LOWER(TRIM(Raw_Passengers!F1072))))=0,"",INDEX(Lookup_Status!$B$2:$B$13,SUMPRODUCT((Lookup_Status!$A$2:$A$13=LOWER(TRIM(Raw_Passengers!F1072)))*(ROW(Lookup_Status!$A$2:$A$13)-1))))</f>
        <v>Confirmed</v>
      </c>
      <c r="H1072" s="7" t="str">
        <f>IF(SUMPRODUCT(--(Lookup_Status!$A$2:$A$13=LOWER(TRIM(Raw_Passengers!G1072))))=0,"",INDEX(Lookup_Status!$B$2:$B$13,SUMPRODUCT((Lookup_Status!$A$2:$A$13=LOWER(TRIM(Raw_Passengers!G1072)))*(ROW(Lookup_Status!$A$2:$A$13)-1))))</f>
        <v>Confirmed</v>
      </c>
      <c r="I1072" s="7">
        <f>IF(OR(G1072="",G1072="Cancelled",G1072="Mixed"),1,0)</f>
        <v>0</v>
      </c>
      <c r="J1072" s="7">
        <f>IF(OR(H1072="",H1072="Mixed"),1,0)</f>
        <v>0</v>
      </c>
      <c r="K1072" s="7">
        <f>IF(AND(C1072=0,D1072=0),IF(OR(AND(I1072=0,NOT(EXACT(Raw_Passengers!F1072,G1072))),AND(J1072=0,NOT(EXACT(Raw_Passengers!G1072,H1072)))),1,0),0)</f>
        <v>0</v>
      </c>
      <c r="L1072" s="7">
        <f>IF(AND(C1072=0,D1072=0,I1072=1),1,0)</f>
        <v>0</v>
      </c>
      <c r="M1072" s="7">
        <f>IF(AND(C1072=0,D1072=0,J1072=1),1,0)</f>
        <v>0</v>
      </c>
    </row>
    <row r="1073" spans="1:13">
      <c r="A1073" s="7">
        <f>Raw_Passengers!A1073</f>
        <v>344956</v>
      </c>
      <c r="B1073" s="7">
        <f>Raw_Passengers!B1073</f>
        <v>1170933</v>
      </c>
      <c r="C1073" s="7">
        <f>IF(COUNTIF(Raw_Passengers!$A$2:A1073,Raw_Passengers!A1073)&gt;1,1,0)</f>
        <v>0</v>
      </c>
      <c r="D1073" s="7">
        <f>IF(COUNTIF(Raw_Bookings!$A$2:$A$648,Raw_Passengers!B1073)=0,1,0)</f>
        <v>0</v>
      </c>
      <c r="E1073" s="7">
        <f>IF(OR(C1073=1,D1073=1),0,IF(NOT(ISNUMBER(Raw_Passengers!E1073)),1,IF(Raw_Passengers!E1073&lt;=0,1,0)))</f>
        <v>0</v>
      </c>
      <c r="F1073" s="7">
        <f>IF(AND(C1073=0,D1073=0,TRIM(Raw_Passengers!D1073&amp;"")=""),1,0)</f>
        <v>0</v>
      </c>
      <c r="G1073" s="7" t="str">
        <f>IF(SUMPRODUCT(--(Lookup_Status!$A$2:$A$13=LOWER(TRIM(Raw_Passengers!F1073))))=0,"",INDEX(Lookup_Status!$B$2:$B$13,SUMPRODUCT((Lookup_Status!$A$2:$A$13=LOWER(TRIM(Raw_Passengers!F1073)))*(ROW(Lookup_Status!$A$2:$A$13)-1))))</f>
        <v>Confirmed</v>
      </c>
      <c r="H1073" s="7" t="str">
        <f>IF(SUMPRODUCT(--(Lookup_Status!$A$2:$A$13=LOWER(TRIM(Raw_Passengers!G1073))))=0,"",INDEX(Lookup_Status!$B$2:$B$13,SUMPRODUCT((Lookup_Status!$A$2:$A$13=LOWER(TRIM(Raw_Passengers!G1073)))*(ROW(Lookup_Status!$A$2:$A$13)-1))))</f>
        <v>Confirmed</v>
      </c>
      <c r="I1073" s="7">
        <f>IF(OR(G1073="",G1073="Cancelled",G1073="Mixed"),1,0)</f>
        <v>0</v>
      </c>
      <c r="J1073" s="7">
        <f>IF(OR(H1073="",H1073="Mixed"),1,0)</f>
        <v>0</v>
      </c>
      <c r="K1073" s="7">
        <f>IF(AND(C1073=0,D1073=0),IF(OR(AND(I1073=0,NOT(EXACT(Raw_Passengers!F1073,G1073))),AND(J1073=0,NOT(EXACT(Raw_Passengers!G1073,H1073)))),1,0),0)</f>
        <v>0</v>
      </c>
      <c r="L1073" s="7">
        <f>IF(AND(C1073=0,D1073=0,I1073=1),1,0)</f>
        <v>0</v>
      </c>
      <c r="M1073" s="7">
        <f>IF(AND(C1073=0,D1073=0,J1073=1),1,0)</f>
        <v>0</v>
      </c>
    </row>
    <row r="1074" spans="1:13">
      <c r="A1074" s="7">
        <f>Raw_Passengers!A1074</f>
        <v>345869</v>
      </c>
      <c r="B1074" s="7">
        <f>Raw_Passengers!B1074</f>
        <v>1171385</v>
      </c>
      <c r="C1074" s="7">
        <f>IF(COUNTIF(Raw_Passengers!$A$2:A1074,Raw_Passengers!A1074)&gt;1,1,0)</f>
        <v>0</v>
      </c>
      <c r="D1074" s="7">
        <f>IF(COUNTIF(Raw_Bookings!$A$2:$A$648,Raw_Passengers!B1074)=0,1,0)</f>
        <v>0</v>
      </c>
      <c r="E1074" s="7">
        <f>IF(OR(C1074=1,D1074=1),0,IF(NOT(ISNUMBER(Raw_Passengers!E1074)),1,IF(Raw_Passengers!E1074&lt;=0,1,0)))</f>
        <v>0</v>
      </c>
      <c r="F1074" s="7">
        <f>IF(AND(C1074=0,D1074=0,TRIM(Raw_Passengers!D1074&amp;"")=""),1,0)</f>
        <v>0</v>
      </c>
      <c r="G1074" s="7" t="str">
        <f>IF(SUMPRODUCT(--(Lookup_Status!$A$2:$A$13=LOWER(TRIM(Raw_Passengers!F1074))))=0,"",INDEX(Lookup_Status!$B$2:$B$13,SUMPRODUCT((Lookup_Status!$A$2:$A$13=LOWER(TRIM(Raw_Passengers!F1074)))*(ROW(Lookup_Status!$A$2:$A$13)-1))))</f>
        <v>Confirmed</v>
      </c>
      <c r="H1074" s="7" t="str">
        <f>IF(SUMPRODUCT(--(Lookup_Status!$A$2:$A$13=LOWER(TRIM(Raw_Passengers!G1074))))=0,"",INDEX(Lookup_Status!$B$2:$B$13,SUMPRODUCT((Lookup_Status!$A$2:$A$13=LOWER(TRIM(Raw_Passengers!G1074)))*(ROW(Lookup_Status!$A$2:$A$13)-1))))</f>
        <v>Cancelled</v>
      </c>
      <c r="I1074" s="7">
        <f>IF(OR(G1074="",G1074="Cancelled",G1074="Mixed"),1,0)</f>
        <v>0</v>
      </c>
      <c r="J1074" s="7">
        <f>IF(OR(H1074="",H1074="Mixed"),1,0)</f>
        <v>0</v>
      </c>
      <c r="K1074" s="7">
        <f>IF(AND(C1074=0,D1074=0),IF(OR(AND(I1074=0,NOT(EXACT(Raw_Passengers!F1074,G1074))),AND(J1074=0,NOT(EXACT(Raw_Passengers!G1074,H1074)))),1,0),0)</f>
        <v>0</v>
      </c>
      <c r="L1074" s="7">
        <f>IF(AND(C1074=0,D1074=0,I1074=1),1,0)</f>
        <v>0</v>
      </c>
      <c r="M1074" s="7">
        <f>IF(AND(C1074=0,D1074=0,J1074=1),1,0)</f>
        <v>0</v>
      </c>
    </row>
    <row r="1075" spans="1:13">
      <c r="A1075" s="7">
        <f>Raw_Passengers!A1075</f>
        <v>345870</v>
      </c>
      <c r="B1075" s="7">
        <f>Raw_Passengers!B1075</f>
        <v>1171385</v>
      </c>
      <c r="C1075" s="7">
        <f>IF(COUNTIF(Raw_Passengers!$A$2:A1075,Raw_Passengers!A1075)&gt;1,1,0)</f>
        <v>0</v>
      </c>
      <c r="D1075" s="7">
        <f>IF(COUNTIF(Raw_Bookings!$A$2:$A$648,Raw_Passengers!B1075)=0,1,0)</f>
        <v>0</v>
      </c>
      <c r="E1075" s="7">
        <f>IF(OR(C1075=1,D1075=1),0,IF(NOT(ISNUMBER(Raw_Passengers!E1075)),1,IF(Raw_Passengers!E1075&lt;=0,1,0)))</f>
        <v>0</v>
      </c>
      <c r="F1075" s="7">
        <f>IF(AND(C1075=0,D1075=0,TRIM(Raw_Passengers!D1075&amp;"")=""),1,0)</f>
        <v>0</v>
      </c>
      <c r="G1075" s="7" t="str">
        <f>IF(SUMPRODUCT(--(Lookup_Status!$A$2:$A$13=LOWER(TRIM(Raw_Passengers!F1075))))=0,"",INDEX(Lookup_Status!$B$2:$B$13,SUMPRODUCT((Lookup_Status!$A$2:$A$13=LOWER(TRIM(Raw_Passengers!F1075)))*(ROW(Lookup_Status!$A$2:$A$13)-1))))</f>
        <v>Confirmed</v>
      </c>
      <c r="H1075" s="7" t="str">
        <f>IF(SUMPRODUCT(--(Lookup_Status!$A$2:$A$13=LOWER(TRIM(Raw_Passengers!G1075))))=0,"",INDEX(Lookup_Status!$B$2:$B$13,SUMPRODUCT((Lookup_Status!$A$2:$A$13=LOWER(TRIM(Raw_Passengers!G1075)))*(ROW(Lookup_Status!$A$2:$A$13)-1))))</f>
        <v>Cancelled</v>
      </c>
      <c r="I1075" s="7">
        <f>IF(OR(G1075="",G1075="Cancelled",G1075="Mixed"),1,0)</f>
        <v>0</v>
      </c>
      <c r="J1075" s="7">
        <f>IF(OR(H1075="",H1075="Mixed"),1,0)</f>
        <v>0</v>
      </c>
      <c r="K1075" s="7">
        <f>IF(AND(C1075=0,D1075=0),IF(OR(AND(I1075=0,NOT(EXACT(Raw_Passengers!F1075,G1075))),AND(J1075=0,NOT(EXACT(Raw_Passengers!G1075,H1075)))),1,0),0)</f>
        <v>0</v>
      </c>
      <c r="L1075" s="7">
        <f>IF(AND(C1075=0,D1075=0,I1075=1),1,0)</f>
        <v>0</v>
      </c>
      <c r="M1075" s="7">
        <f>IF(AND(C1075=0,D1075=0,J1075=1),1,0)</f>
        <v>0</v>
      </c>
    </row>
    <row r="1076" spans="1:13">
      <c r="A1076" s="7">
        <f>Raw_Passengers!A1076</f>
        <v>346864</v>
      </c>
      <c r="B1076" s="7">
        <f>Raw_Passengers!B1076</f>
        <v>1171881</v>
      </c>
      <c r="C1076" s="7">
        <f>IF(COUNTIF(Raw_Passengers!$A$2:A1076,Raw_Passengers!A1076)&gt;1,1,0)</f>
        <v>0</v>
      </c>
      <c r="D1076" s="7">
        <f>IF(COUNTIF(Raw_Bookings!$A$2:$A$648,Raw_Passengers!B1076)=0,1,0)</f>
        <v>0</v>
      </c>
      <c r="E1076" s="7">
        <f>IF(OR(C1076=1,D1076=1),0,IF(NOT(ISNUMBER(Raw_Passengers!E1076)),1,IF(Raw_Passengers!E1076&lt;=0,1,0)))</f>
        <v>1</v>
      </c>
      <c r="F1076" s="7">
        <f>IF(AND(C1076=0,D1076=0,TRIM(Raw_Passengers!D1076&amp;"")=""),1,0)</f>
        <v>0</v>
      </c>
      <c r="G1076" s="7" t="str">
        <f>IF(SUMPRODUCT(--(Lookup_Status!$A$2:$A$13=LOWER(TRIM(Raw_Passengers!F1076))))=0,"",INDEX(Lookup_Status!$B$2:$B$13,SUMPRODUCT((Lookup_Status!$A$2:$A$13=LOWER(TRIM(Raw_Passengers!F1076)))*(ROW(Lookup_Status!$A$2:$A$13)-1))))</f>
        <v>Waitlisted</v>
      </c>
      <c r="H1076" s="7" t="str">
        <f>IF(SUMPRODUCT(--(Lookup_Status!$A$2:$A$13=LOWER(TRIM(Raw_Passengers!G1076))))=0,"",INDEX(Lookup_Status!$B$2:$B$13,SUMPRODUCT((Lookup_Status!$A$2:$A$13=LOWER(TRIM(Raw_Passengers!G1076)))*(ROW(Lookup_Status!$A$2:$A$13)-1))))</f>
        <v>RAC</v>
      </c>
      <c r="I1076" s="7">
        <f>IF(OR(G1076="",G1076="Cancelled",G1076="Mixed"),1,0)</f>
        <v>0</v>
      </c>
      <c r="J1076" s="7">
        <f>IF(OR(H1076="",H1076="Mixed"),1,0)</f>
        <v>0</v>
      </c>
      <c r="K1076" s="7">
        <f>IF(AND(C1076=0,D1076=0),IF(OR(AND(I1076=0,NOT(EXACT(Raw_Passengers!F1076,G1076))),AND(J1076=0,NOT(EXACT(Raw_Passengers!G1076,H1076)))),1,0),0)</f>
        <v>0</v>
      </c>
      <c r="L1076" s="7">
        <f>IF(AND(C1076=0,D1076=0,I1076=1),1,0)</f>
        <v>0</v>
      </c>
      <c r="M1076" s="7">
        <f>IF(AND(C1076=0,D1076=0,J1076=1),1,0)</f>
        <v>0</v>
      </c>
    </row>
    <row r="1077" spans="1:13">
      <c r="A1077" s="7">
        <f>Raw_Passengers!A1077</f>
        <v>347034</v>
      </c>
      <c r="B1077" s="7">
        <f>Raw_Passengers!B1077</f>
        <v>1171977</v>
      </c>
      <c r="C1077" s="7">
        <f>IF(COUNTIF(Raw_Passengers!$A$2:A1077,Raw_Passengers!A1077)&gt;1,1,0)</f>
        <v>0</v>
      </c>
      <c r="D1077" s="7">
        <f>IF(COUNTIF(Raw_Bookings!$A$2:$A$648,Raw_Passengers!B1077)=0,1,0)</f>
        <v>0</v>
      </c>
      <c r="E1077" s="7">
        <f>IF(OR(C1077=1,D1077=1),0,IF(NOT(ISNUMBER(Raw_Passengers!E1077)),1,IF(Raw_Passengers!E1077&lt;=0,1,0)))</f>
        <v>0</v>
      </c>
      <c r="F1077" s="7">
        <f>IF(AND(C1077=0,D1077=0,TRIM(Raw_Passengers!D1077&amp;"")=""),1,0)</f>
        <v>0</v>
      </c>
      <c r="G1077" s="7" t="str">
        <f>IF(SUMPRODUCT(--(Lookup_Status!$A$2:$A$13=LOWER(TRIM(Raw_Passengers!F1077))))=0,"",INDEX(Lookup_Status!$B$2:$B$13,SUMPRODUCT((Lookup_Status!$A$2:$A$13=LOWER(TRIM(Raw_Passengers!F1077)))*(ROW(Lookup_Status!$A$2:$A$13)-1))))</f>
        <v>Waitlisted</v>
      </c>
      <c r="H1077" s="7" t="str">
        <f>IF(SUMPRODUCT(--(Lookup_Status!$A$2:$A$13=LOWER(TRIM(Raw_Passengers!G1077))))=0,"",INDEX(Lookup_Status!$B$2:$B$13,SUMPRODUCT((Lookup_Status!$A$2:$A$13=LOWER(TRIM(Raw_Passengers!G1077)))*(ROW(Lookup_Status!$A$2:$A$13)-1))))</f>
        <v>Waitlisted</v>
      </c>
      <c r="I1077" s="7">
        <f>IF(OR(G1077="",G1077="Cancelled",G1077="Mixed"),1,0)</f>
        <v>0</v>
      </c>
      <c r="J1077" s="7">
        <f>IF(OR(H1077="",H1077="Mixed"),1,0)</f>
        <v>0</v>
      </c>
      <c r="K1077" s="7">
        <f>IF(AND(C1077=0,D1077=0),IF(OR(AND(I1077=0,NOT(EXACT(Raw_Passengers!F1077,G1077))),AND(J1077=0,NOT(EXACT(Raw_Passengers!G1077,H1077)))),1,0),0)</f>
        <v>0</v>
      </c>
      <c r="L1077" s="7">
        <f>IF(AND(C1077=0,D1077=0,I1077=1),1,0)</f>
        <v>0</v>
      </c>
      <c r="M1077" s="7">
        <f>IF(AND(C1077=0,D1077=0,J1077=1),1,0)</f>
        <v>0</v>
      </c>
    </row>
    <row r="1078" spans="1:13">
      <c r="A1078" s="7">
        <f>Raw_Passengers!A1078</f>
        <v>347035</v>
      </c>
      <c r="B1078" s="7">
        <f>Raw_Passengers!B1078</f>
        <v>1171977</v>
      </c>
      <c r="C1078" s="7">
        <f>IF(COUNTIF(Raw_Passengers!$A$2:A1078,Raw_Passengers!A1078)&gt;1,1,0)</f>
        <v>0</v>
      </c>
      <c r="D1078" s="7">
        <f>IF(COUNTIF(Raw_Bookings!$A$2:$A$648,Raw_Passengers!B1078)=0,1,0)</f>
        <v>0</v>
      </c>
      <c r="E1078" s="7">
        <f>IF(OR(C1078=1,D1078=1),0,IF(NOT(ISNUMBER(Raw_Passengers!E1078)),1,IF(Raw_Passengers!E1078&lt;=0,1,0)))</f>
        <v>0</v>
      </c>
      <c r="F1078" s="7">
        <f>IF(AND(C1078=0,D1078=0,TRIM(Raw_Passengers!D1078&amp;"")=""),1,0)</f>
        <v>0</v>
      </c>
      <c r="G1078" s="7" t="str">
        <f>IF(SUMPRODUCT(--(Lookup_Status!$A$2:$A$13=LOWER(TRIM(Raw_Passengers!F1078))))=0,"",INDEX(Lookup_Status!$B$2:$B$13,SUMPRODUCT((Lookup_Status!$A$2:$A$13=LOWER(TRIM(Raw_Passengers!F1078)))*(ROW(Lookup_Status!$A$2:$A$13)-1))))</f>
        <v>Waitlisted</v>
      </c>
      <c r="H1078" s="7" t="str">
        <f>IF(SUMPRODUCT(--(Lookup_Status!$A$2:$A$13=LOWER(TRIM(Raw_Passengers!G1078))))=0,"",INDEX(Lookup_Status!$B$2:$B$13,SUMPRODUCT((Lookup_Status!$A$2:$A$13=LOWER(TRIM(Raw_Passengers!G1078)))*(ROW(Lookup_Status!$A$2:$A$13)-1))))</f>
        <v>Waitlisted</v>
      </c>
      <c r="I1078" s="7">
        <f>IF(OR(G1078="",G1078="Cancelled",G1078="Mixed"),1,0)</f>
        <v>0</v>
      </c>
      <c r="J1078" s="7">
        <f>IF(OR(H1078="",H1078="Mixed"),1,0)</f>
        <v>0</v>
      </c>
      <c r="K1078" s="7">
        <f>IF(AND(C1078=0,D1078=0),IF(OR(AND(I1078=0,NOT(EXACT(Raw_Passengers!F1078,G1078))),AND(J1078=0,NOT(EXACT(Raw_Passengers!G1078,H1078)))),1,0),0)</f>
        <v>0</v>
      </c>
      <c r="L1078" s="7">
        <f>IF(AND(C1078=0,D1078=0,I1078=1),1,0)</f>
        <v>0</v>
      </c>
      <c r="M1078" s="7">
        <f>IF(AND(C1078=0,D1078=0,J1078=1),1,0)</f>
        <v>0</v>
      </c>
    </row>
    <row r="1079" spans="1:13">
      <c r="A1079" s="7">
        <f>Raw_Passengers!A1079</f>
        <v>348451</v>
      </c>
      <c r="B1079" s="7">
        <f>Raw_Passengers!B1079</f>
        <v>1172702</v>
      </c>
      <c r="C1079" s="7">
        <f>IF(COUNTIF(Raw_Passengers!$A$2:A1079,Raw_Passengers!A1079)&gt;1,1,0)</f>
        <v>0</v>
      </c>
      <c r="D1079" s="7">
        <f>IF(COUNTIF(Raw_Bookings!$A$2:$A$648,Raw_Passengers!B1079)=0,1,0)</f>
        <v>0</v>
      </c>
      <c r="E1079" s="7">
        <f>IF(OR(C1079=1,D1079=1),0,IF(NOT(ISNUMBER(Raw_Passengers!E1079)),1,IF(Raw_Passengers!E1079&lt;=0,1,0)))</f>
        <v>0</v>
      </c>
      <c r="F1079" s="7">
        <f>IF(AND(C1079=0,D1079=0,TRIM(Raw_Passengers!D1079&amp;"")=""),1,0)</f>
        <v>0</v>
      </c>
      <c r="G1079" s="7" t="str">
        <f>IF(SUMPRODUCT(--(Lookup_Status!$A$2:$A$13=LOWER(TRIM(Raw_Passengers!F1079))))=0,"",INDEX(Lookup_Status!$B$2:$B$13,SUMPRODUCT((Lookup_Status!$A$2:$A$13=LOWER(TRIM(Raw_Passengers!F1079)))*(ROW(Lookup_Status!$A$2:$A$13)-1))))</f>
        <v>Confirmed</v>
      </c>
      <c r="H1079" s="7" t="str">
        <f>IF(SUMPRODUCT(--(Lookup_Status!$A$2:$A$13=LOWER(TRIM(Raw_Passengers!G1079))))=0,"",INDEX(Lookup_Status!$B$2:$B$13,SUMPRODUCT((Lookup_Status!$A$2:$A$13=LOWER(TRIM(Raw_Passengers!G1079)))*(ROW(Lookup_Status!$A$2:$A$13)-1))))</f>
        <v>Confirmed</v>
      </c>
      <c r="I1079" s="7">
        <f>IF(OR(G1079="",G1079="Cancelled",G1079="Mixed"),1,0)</f>
        <v>0</v>
      </c>
      <c r="J1079" s="7">
        <f>IF(OR(H1079="",H1079="Mixed"),1,0)</f>
        <v>0</v>
      </c>
      <c r="K1079" s="7">
        <f>IF(AND(C1079=0,D1079=0),IF(OR(AND(I1079=0,NOT(EXACT(Raw_Passengers!F1079,G1079))),AND(J1079=0,NOT(EXACT(Raw_Passengers!G1079,H1079)))),1,0),0)</f>
        <v>0</v>
      </c>
      <c r="L1079" s="7">
        <f>IF(AND(C1079=0,D1079=0,I1079=1),1,0)</f>
        <v>0</v>
      </c>
      <c r="M1079" s="7">
        <f>IF(AND(C1079=0,D1079=0,J1079=1),1,0)</f>
        <v>0</v>
      </c>
    </row>
    <row r="1080" spans="1:13">
      <c r="A1080" s="7">
        <f>Raw_Passengers!A1080</f>
        <v>349563</v>
      </c>
      <c r="B1080" s="7">
        <f>Raw_Passengers!B1080</f>
        <v>1173259</v>
      </c>
      <c r="C1080" s="7">
        <f>IF(COUNTIF(Raw_Passengers!$A$2:A1080,Raw_Passengers!A1080)&gt;1,1,0)</f>
        <v>0</v>
      </c>
      <c r="D1080" s="7">
        <f>IF(COUNTIF(Raw_Bookings!$A$2:$A$648,Raw_Passengers!B1080)=0,1,0)</f>
        <v>0</v>
      </c>
      <c r="E1080" s="7">
        <f>IF(OR(C1080=1,D1080=1),0,IF(NOT(ISNUMBER(Raw_Passengers!E1080)),1,IF(Raw_Passengers!E1080&lt;=0,1,0)))</f>
        <v>0</v>
      </c>
      <c r="F1080" s="7">
        <f>IF(AND(C1080=0,D1080=0,TRIM(Raw_Passengers!D1080&amp;"")=""),1,0)</f>
        <v>0</v>
      </c>
      <c r="G1080" s="7" t="str">
        <f>IF(SUMPRODUCT(--(Lookup_Status!$A$2:$A$13=LOWER(TRIM(Raw_Passengers!F1080))))=0,"",INDEX(Lookup_Status!$B$2:$B$13,SUMPRODUCT((Lookup_Status!$A$2:$A$13=LOWER(TRIM(Raw_Passengers!F1080)))*(ROW(Lookup_Status!$A$2:$A$13)-1))))</f>
        <v>Confirmed</v>
      </c>
      <c r="H1080" s="7" t="str">
        <f>IF(SUMPRODUCT(--(Lookup_Status!$A$2:$A$13=LOWER(TRIM(Raw_Passengers!G1080))))=0,"",INDEX(Lookup_Status!$B$2:$B$13,SUMPRODUCT((Lookup_Status!$A$2:$A$13=LOWER(TRIM(Raw_Passengers!G1080)))*(ROW(Lookup_Status!$A$2:$A$13)-1))))</f>
        <v>Confirmed</v>
      </c>
      <c r="I1080" s="7">
        <f>IF(OR(G1080="",G1080="Cancelled",G1080="Mixed"),1,0)</f>
        <v>0</v>
      </c>
      <c r="J1080" s="7">
        <f>IF(OR(H1080="",H1080="Mixed"),1,0)</f>
        <v>0</v>
      </c>
      <c r="K1080" s="7">
        <f>IF(AND(C1080=0,D1080=0),IF(OR(AND(I1080=0,NOT(EXACT(Raw_Passengers!F1080,G1080))),AND(J1080=0,NOT(EXACT(Raw_Passengers!G1080,H1080)))),1,0),0)</f>
        <v>0</v>
      </c>
      <c r="L1080" s="7">
        <f>IF(AND(C1080=0,D1080=0,I1080=1),1,0)</f>
        <v>0</v>
      </c>
      <c r="M1080" s="7">
        <f>IF(AND(C1080=0,D1080=0,J1080=1),1,0)</f>
        <v>0</v>
      </c>
    </row>
    <row r="1081" spans="1:13">
      <c r="A1081" s="7">
        <f>Raw_Passengers!A1081</f>
        <v>350586</v>
      </c>
      <c r="B1081" s="7">
        <f>Raw_Passengers!B1081</f>
        <v>1173778</v>
      </c>
      <c r="C1081" s="7">
        <f>IF(COUNTIF(Raw_Passengers!$A$2:A1081,Raw_Passengers!A1081)&gt;1,1,0)</f>
        <v>0</v>
      </c>
      <c r="D1081" s="7">
        <f>IF(COUNTIF(Raw_Bookings!$A$2:$A$648,Raw_Passengers!B1081)=0,1,0)</f>
        <v>0</v>
      </c>
      <c r="E1081" s="7">
        <f>IF(OR(C1081=1,D1081=1),0,IF(NOT(ISNUMBER(Raw_Passengers!E1081)),1,IF(Raw_Passengers!E1081&lt;=0,1,0)))</f>
        <v>0</v>
      </c>
      <c r="F1081" s="7">
        <f>IF(AND(C1081=0,D1081=0,TRIM(Raw_Passengers!D1081&amp;"")=""),1,0)</f>
        <v>0</v>
      </c>
      <c r="G1081" s="7" t="str">
        <f>IF(SUMPRODUCT(--(Lookup_Status!$A$2:$A$13=LOWER(TRIM(Raw_Passengers!F1081))))=0,"",INDEX(Lookup_Status!$B$2:$B$13,SUMPRODUCT((Lookup_Status!$A$2:$A$13=LOWER(TRIM(Raw_Passengers!F1081)))*(ROW(Lookup_Status!$A$2:$A$13)-1))))</f>
        <v>Confirmed</v>
      </c>
      <c r="H1081" s="7" t="str">
        <f>IF(SUMPRODUCT(--(Lookup_Status!$A$2:$A$13=LOWER(TRIM(Raw_Passengers!G1081))))=0,"",INDEX(Lookup_Status!$B$2:$B$13,SUMPRODUCT((Lookup_Status!$A$2:$A$13=LOWER(TRIM(Raw_Passengers!G1081)))*(ROW(Lookup_Status!$A$2:$A$13)-1))))</f>
        <v>Confirmed</v>
      </c>
      <c r="I1081" s="7">
        <f>IF(OR(G1081="",G1081="Cancelled",G1081="Mixed"),1,0)</f>
        <v>0</v>
      </c>
      <c r="J1081" s="7">
        <f>IF(OR(H1081="",H1081="Mixed"),1,0)</f>
        <v>0</v>
      </c>
      <c r="K1081" s="7">
        <f>IF(AND(C1081=0,D1081=0),IF(OR(AND(I1081=0,NOT(EXACT(Raw_Passengers!F1081,G1081))),AND(J1081=0,NOT(EXACT(Raw_Passengers!G1081,H1081)))),1,0),0)</f>
        <v>0</v>
      </c>
      <c r="L1081" s="7">
        <f>IF(AND(C1081=0,D1081=0,I1081=1),1,0)</f>
        <v>0</v>
      </c>
      <c r="M1081" s="7">
        <f>IF(AND(C1081=0,D1081=0,J1081=1),1,0)</f>
        <v>0</v>
      </c>
    </row>
    <row r="1082" spans="1:13">
      <c r="A1082" s="7">
        <f>Raw_Passengers!A1082</f>
        <v>350587</v>
      </c>
      <c r="B1082" s="7">
        <f>Raw_Passengers!B1082</f>
        <v>1173778</v>
      </c>
      <c r="C1082" s="7">
        <f>IF(COUNTIF(Raw_Passengers!$A$2:A1082,Raw_Passengers!A1082)&gt;1,1,0)</f>
        <v>0</v>
      </c>
      <c r="D1082" s="7">
        <f>IF(COUNTIF(Raw_Bookings!$A$2:$A$648,Raw_Passengers!B1082)=0,1,0)</f>
        <v>0</v>
      </c>
      <c r="E1082" s="7">
        <f>IF(OR(C1082=1,D1082=1),0,IF(NOT(ISNUMBER(Raw_Passengers!E1082)),1,IF(Raw_Passengers!E1082&lt;=0,1,0)))</f>
        <v>0</v>
      </c>
      <c r="F1082" s="7">
        <f>IF(AND(C1082=0,D1082=0,TRIM(Raw_Passengers!D1082&amp;"")=""),1,0)</f>
        <v>0</v>
      </c>
      <c r="G1082" s="7" t="str">
        <f>IF(SUMPRODUCT(--(Lookup_Status!$A$2:$A$13=LOWER(TRIM(Raw_Passengers!F1082))))=0,"",INDEX(Lookup_Status!$B$2:$B$13,SUMPRODUCT((Lookup_Status!$A$2:$A$13=LOWER(TRIM(Raw_Passengers!F1082)))*(ROW(Lookup_Status!$A$2:$A$13)-1))))</f>
        <v>Confirmed</v>
      </c>
      <c r="H1082" s="7" t="str">
        <f>IF(SUMPRODUCT(--(Lookup_Status!$A$2:$A$13=LOWER(TRIM(Raw_Passengers!G1082))))=0,"",INDEX(Lookup_Status!$B$2:$B$13,SUMPRODUCT((Lookup_Status!$A$2:$A$13=LOWER(TRIM(Raw_Passengers!G1082)))*(ROW(Lookup_Status!$A$2:$A$13)-1))))</f>
        <v>Confirmed</v>
      </c>
      <c r="I1082" s="7">
        <f>IF(OR(G1082="",G1082="Cancelled",G1082="Mixed"),1,0)</f>
        <v>0</v>
      </c>
      <c r="J1082" s="7">
        <f>IF(OR(H1082="",H1082="Mixed"),1,0)</f>
        <v>0</v>
      </c>
      <c r="K1082" s="7">
        <f>IF(AND(C1082=0,D1082=0),IF(OR(AND(I1082=0,NOT(EXACT(Raw_Passengers!F1082,G1082))),AND(J1082=0,NOT(EXACT(Raw_Passengers!G1082,H1082)))),1,0),0)</f>
        <v>0</v>
      </c>
      <c r="L1082" s="7">
        <f>IF(AND(C1082=0,D1082=0,I1082=1),1,0)</f>
        <v>0</v>
      </c>
      <c r="M1082" s="7">
        <f>IF(AND(C1082=0,D1082=0,J1082=1),1,0)</f>
        <v>0</v>
      </c>
    </row>
    <row r="1083" spans="1:13">
      <c r="A1083" s="7">
        <f>Raw_Passengers!A1083</f>
        <v>350588</v>
      </c>
      <c r="B1083" s="7">
        <f>Raw_Passengers!B1083</f>
        <v>1173778</v>
      </c>
      <c r="C1083" s="7">
        <f>IF(COUNTIF(Raw_Passengers!$A$2:A1083,Raw_Passengers!A1083)&gt;1,1,0)</f>
        <v>0</v>
      </c>
      <c r="D1083" s="7">
        <f>IF(COUNTIF(Raw_Bookings!$A$2:$A$648,Raw_Passengers!B1083)=0,1,0)</f>
        <v>0</v>
      </c>
      <c r="E1083" s="7">
        <f>IF(OR(C1083=1,D1083=1),0,IF(NOT(ISNUMBER(Raw_Passengers!E1083)),1,IF(Raw_Passengers!E1083&lt;=0,1,0)))</f>
        <v>0</v>
      </c>
      <c r="F1083" s="7">
        <f>IF(AND(C1083=0,D1083=0,TRIM(Raw_Passengers!D1083&amp;"")=""),1,0)</f>
        <v>0</v>
      </c>
      <c r="G1083" s="7" t="str">
        <f>IF(SUMPRODUCT(--(Lookup_Status!$A$2:$A$13=LOWER(TRIM(Raw_Passengers!F1083))))=0,"",INDEX(Lookup_Status!$B$2:$B$13,SUMPRODUCT((Lookup_Status!$A$2:$A$13=LOWER(TRIM(Raw_Passengers!F1083)))*(ROW(Lookup_Status!$A$2:$A$13)-1))))</f>
        <v>Confirmed</v>
      </c>
      <c r="H1083" s="7" t="str">
        <f>IF(SUMPRODUCT(--(Lookup_Status!$A$2:$A$13=LOWER(TRIM(Raw_Passengers!G1083))))=0,"",INDEX(Lookup_Status!$B$2:$B$13,SUMPRODUCT((Lookup_Status!$A$2:$A$13=LOWER(TRIM(Raw_Passengers!G1083)))*(ROW(Lookup_Status!$A$2:$A$13)-1))))</f>
        <v>Confirmed</v>
      </c>
      <c r="I1083" s="7">
        <f>IF(OR(G1083="",G1083="Cancelled",G1083="Mixed"),1,0)</f>
        <v>0</v>
      </c>
      <c r="J1083" s="7">
        <f>IF(OR(H1083="",H1083="Mixed"),1,0)</f>
        <v>0</v>
      </c>
      <c r="K1083" s="7">
        <f>IF(AND(C1083=0,D1083=0),IF(OR(AND(I1083=0,NOT(EXACT(Raw_Passengers!F1083,G1083))),AND(J1083=0,NOT(EXACT(Raw_Passengers!G1083,H1083)))),1,0),0)</f>
        <v>0</v>
      </c>
      <c r="L1083" s="7">
        <f>IF(AND(C1083=0,D1083=0,I1083=1),1,0)</f>
        <v>0</v>
      </c>
      <c r="M1083" s="7">
        <f>IF(AND(C1083=0,D1083=0,J1083=1),1,0)</f>
        <v>0</v>
      </c>
    </row>
    <row r="1084" spans="1:13">
      <c r="A1084" s="7">
        <f>Raw_Passengers!A1084</f>
        <v>351819</v>
      </c>
      <c r="B1084" s="7">
        <f>Raw_Passengers!B1084</f>
        <v>1174427</v>
      </c>
      <c r="C1084" s="7">
        <f>IF(COUNTIF(Raw_Passengers!$A$2:A1084,Raw_Passengers!A1084)&gt;1,1,0)</f>
        <v>0</v>
      </c>
      <c r="D1084" s="7">
        <f>IF(COUNTIF(Raw_Bookings!$A$2:$A$648,Raw_Passengers!B1084)=0,1,0)</f>
        <v>0</v>
      </c>
      <c r="E1084" s="7">
        <f>IF(OR(C1084=1,D1084=1),0,IF(NOT(ISNUMBER(Raw_Passengers!E1084)),1,IF(Raw_Passengers!E1084&lt;=0,1,0)))</f>
        <v>1</v>
      </c>
      <c r="F1084" s="7">
        <f>IF(AND(C1084=0,D1084=0,TRIM(Raw_Passengers!D1084&amp;"")=""),1,0)</f>
        <v>0</v>
      </c>
      <c r="G1084" s="7" t="str">
        <f>IF(SUMPRODUCT(--(Lookup_Status!$A$2:$A$13=LOWER(TRIM(Raw_Passengers!F1084))))=0,"",INDEX(Lookup_Status!$B$2:$B$13,SUMPRODUCT((Lookup_Status!$A$2:$A$13=LOWER(TRIM(Raw_Passengers!F1084)))*(ROW(Lookup_Status!$A$2:$A$13)-1))))</f>
        <v>Confirmed</v>
      </c>
      <c r="H1084" s="7" t="str">
        <f>IF(SUMPRODUCT(--(Lookup_Status!$A$2:$A$13=LOWER(TRIM(Raw_Passengers!G1084))))=0,"",INDEX(Lookup_Status!$B$2:$B$13,SUMPRODUCT((Lookup_Status!$A$2:$A$13=LOWER(TRIM(Raw_Passengers!G1084)))*(ROW(Lookup_Status!$A$2:$A$13)-1))))</f>
        <v>Confirmed</v>
      </c>
      <c r="I1084" s="7">
        <f>IF(OR(G1084="",G1084="Cancelled",G1084="Mixed"),1,0)</f>
        <v>0</v>
      </c>
      <c r="J1084" s="7">
        <f>IF(OR(H1084="",H1084="Mixed"),1,0)</f>
        <v>0</v>
      </c>
      <c r="K1084" s="7">
        <f>IF(AND(C1084=0,D1084=0),IF(OR(AND(I1084=0,NOT(EXACT(Raw_Passengers!F1084,G1084))),AND(J1084=0,NOT(EXACT(Raw_Passengers!G1084,H1084)))),1,0),0)</f>
        <v>0</v>
      </c>
      <c r="L1084" s="7">
        <f>IF(AND(C1084=0,D1084=0,I1084=1),1,0)</f>
        <v>0</v>
      </c>
      <c r="M1084" s="7">
        <f>IF(AND(C1084=0,D1084=0,J1084=1),1,0)</f>
        <v>0</v>
      </c>
    </row>
    <row r="1085" spans="1:13">
      <c r="A1085" s="7">
        <f>Raw_Passengers!A1085</f>
        <v>351820</v>
      </c>
      <c r="B1085" s="7">
        <f>Raw_Passengers!B1085</f>
        <v>1174427</v>
      </c>
      <c r="C1085" s="7">
        <f>IF(COUNTIF(Raw_Passengers!$A$2:A1085,Raw_Passengers!A1085)&gt;1,1,0)</f>
        <v>0</v>
      </c>
      <c r="D1085" s="7">
        <f>IF(COUNTIF(Raw_Bookings!$A$2:$A$648,Raw_Passengers!B1085)=0,1,0)</f>
        <v>0</v>
      </c>
      <c r="E1085" s="7">
        <f>IF(OR(C1085=1,D1085=1),0,IF(NOT(ISNUMBER(Raw_Passengers!E1085)),1,IF(Raw_Passengers!E1085&lt;=0,1,0)))</f>
        <v>0</v>
      </c>
      <c r="F1085" s="7">
        <f>IF(AND(C1085=0,D1085=0,TRIM(Raw_Passengers!D1085&amp;"")=""),1,0)</f>
        <v>0</v>
      </c>
      <c r="G1085" s="7" t="str">
        <f>IF(SUMPRODUCT(--(Lookup_Status!$A$2:$A$13=LOWER(TRIM(Raw_Passengers!F1085))))=0,"",INDEX(Lookup_Status!$B$2:$B$13,SUMPRODUCT((Lookup_Status!$A$2:$A$13=LOWER(TRIM(Raw_Passengers!F1085)))*(ROW(Lookup_Status!$A$2:$A$13)-1))))</f>
        <v>Confirmed</v>
      </c>
      <c r="H1085" s="7" t="str">
        <f>IF(SUMPRODUCT(--(Lookup_Status!$A$2:$A$13=LOWER(TRIM(Raw_Passengers!G1085))))=0,"",INDEX(Lookup_Status!$B$2:$B$13,SUMPRODUCT((Lookup_Status!$A$2:$A$13=LOWER(TRIM(Raw_Passengers!G1085)))*(ROW(Lookup_Status!$A$2:$A$13)-1))))</f>
        <v>Confirmed</v>
      </c>
      <c r="I1085" s="7">
        <f>IF(OR(G1085="",G1085="Cancelled",G1085="Mixed"),1,0)</f>
        <v>0</v>
      </c>
      <c r="J1085" s="7">
        <f>IF(OR(H1085="",H1085="Mixed"),1,0)</f>
        <v>0</v>
      </c>
      <c r="K1085" s="7">
        <f>IF(AND(C1085=0,D1085=0),IF(OR(AND(I1085=0,NOT(EXACT(Raw_Passengers!F1085,G1085))),AND(J1085=0,NOT(EXACT(Raw_Passengers!G1085,H1085)))),1,0),0)</f>
        <v>0</v>
      </c>
      <c r="L1085" s="7">
        <f>IF(AND(C1085=0,D1085=0,I1085=1),1,0)</f>
        <v>0</v>
      </c>
      <c r="M1085" s="7">
        <f>IF(AND(C1085=0,D1085=0,J1085=1),1,0)</f>
        <v>0</v>
      </c>
    </row>
    <row r="1086" spans="1:13">
      <c r="A1086" s="7">
        <f>Raw_Passengers!A1086</f>
        <v>351821</v>
      </c>
      <c r="B1086" s="7">
        <f>Raw_Passengers!B1086</f>
        <v>1174427</v>
      </c>
      <c r="C1086" s="7">
        <f>IF(COUNTIF(Raw_Passengers!$A$2:A1086,Raw_Passengers!A1086)&gt;1,1,0)</f>
        <v>0</v>
      </c>
      <c r="D1086" s="7">
        <f>IF(COUNTIF(Raw_Bookings!$A$2:$A$648,Raw_Passengers!B1086)=0,1,0)</f>
        <v>0</v>
      </c>
      <c r="E1086" s="7">
        <f>IF(OR(C1086=1,D1086=1),0,IF(NOT(ISNUMBER(Raw_Passengers!E1086)),1,IF(Raw_Passengers!E1086&lt;=0,1,0)))</f>
        <v>0</v>
      </c>
      <c r="F1086" s="7">
        <f>IF(AND(C1086=0,D1086=0,TRIM(Raw_Passengers!D1086&amp;"")=""),1,0)</f>
        <v>0</v>
      </c>
      <c r="G1086" s="7" t="str">
        <f>IF(SUMPRODUCT(--(Lookup_Status!$A$2:$A$13=LOWER(TRIM(Raw_Passengers!F1086))))=0,"",INDEX(Lookup_Status!$B$2:$B$13,SUMPRODUCT((Lookup_Status!$A$2:$A$13=LOWER(TRIM(Raw_Passengers!F1086)))*(ROW(Lookup_Status!$A$2:$A$13)-1))))</f>
        <v>Confirmed</v>
      </c>
      <c r="H1086" s="7" t="str">
        <f>IF(SUMPRODUCT(--(Lookup_Status!$A$2:$A$13=LOWER(TRIM(Raw_Passengers!G1086))))=0,"",INDEX(Lookup_Status!$B$2:$B$13,SUMPRODUCT((Lookup_Status!$A$2:$A$13=LOWER(TRIM(Raw_Passengers!G1086)))*(ROW(Lookup_Status!$A$2:$A$13)-1))))</f>
        <v>Confirmed</v>
      </c>
      <c r="I1086" s="7">
        <f>IF(OR(G1086="",G1086="Cancelled",G1086="Mixed"),1,0)</f>
        <v>0</v>
      </c>
      <c r="J1086" s="7">
        <f>IF(OR(H1086="",H1086="Mixed"),1,0)</f>
        <v>0</v>
      </c>
      <c r="K1086" s="7">
        <f>IF(AND(C1086=0,D1086=0),IF(OR(AND(I1086=0,NOT(EXACT(Raw_Passengers!F1086,G1086))),AND(J1086=0,NOT(EXACT(Raw_Passengers!G1086,H1086)))),1,0),0)</f>
        <v>0</v>
      </c>
      <c r="L1086" s="7">
        <f>IF(AND(C1086=0,D1086=0,I1086=1),1,0)</f>
        <v>0</v>
      </c>
      <c r="M1086" s="7">
        <f>IF(AND(C1086=0,D1086=0,J1086=1),1,0)</f>
        <v>0</v>
      </c>
    </row>
    <row r="1087" spans="1:13">
      <c r="A1087" s="7">
        <f>Raw_Passengers!A1087</f>
        <v>353547</v>
      </c>
      <c r="B1087" s="7">
        <f>Raw_Passengers!B1087</f>
        <v>1175305</v>
      </c>
      <c r="C1087" s="7">
        <f>IF(COUNTIF(Raw_Passengers!$A$2:A1087,Raw_Passengers!A1087)&gt;1,1,0)</f>
        <v>0</v>
      </c>
      <c r="D1087" s="7">
        <f>IF(COUNTIF(Raw_Bookings!$A$2:$A$648,Raw_Passengers!B1087)=0,1,0)</f>
        <v>0</v>
      </c>
      <c r="E1087" s="7">
        <f>IF(OR(C1087=1,D1087=1),0,IF(NOT(ISNUMBER(Raw_Passengers!E1087)),1,IF(Raw_Passengers!E1087&lt;=0,1,0)))</f>
        <v>0</v>
      </c>
      <c r="F1087" s="7">
        <f>IF(AND(C1087=0,D1087=0,TRIM(Raw_Passengers!D1087&amp;"")=""),1,0)</f>
        <v>0</v>
      </c>
      <c r="G1087" s="7" t="str">
        <f>IF(SUMPRODUCT(--(Lookup_Status!$A$2:$A$13=LOWER(TRIM(Raw_Passengers!F1087))))=0,"",INDEX(Lookup_Status!$B$2:$B$13,SUMPRODUCT((Lookup_Status!$A$2:$A$13=LOWER(TRIM(Raw_Passengers!F1087)))*(ROW(Lookup_Status!$A$2:$A$13)-1))))</f>
        <v>Waitlisted</v>
      </c>
      <c r="H1087" s="7" t="str">
        <f>IF(SUMPRODUCT(--(Lookup_Status!$A$2:$A$13=LOWER(TRIM(Raw_Passengers!G1087))))=0,"",INDEX(Lookup_Status!$B$2:$B$13,SUMPRODUCT((Lookup_Status!$A$2:$A$13=LOWER(TRIM(Raw_Passengers!G1087)))*(ROW(Lookup_Status!$A$2:$A$13)-1))))</f>
        <v>Waitlisted</v>
      </c>
      <c r="I1087" s="7">
        <f>IF(OR(G1087="",G1087="Cancelled",G1087="Mixed"),1,0)</f>
        <v>0</v>
      </c>
      <c r="J1087" s="7">
        <f>IF(OR(H1087="",H1087="Mixed"),1,0)</f>
        <v>0</v>
      </c>
      <c r="K1087" s="7">
        <f>IF(AND(C1087=0,D1087=0),IF(OR(AND(I1087=0,NOT(EXACT(Raw_Passengers!F1087,G1087))),AND(J1087=0,NOT(EXACT(Raw_Passengers!G1087,H1087)))),1,0),0)</f>
        <v>0</v>
      </c>
      <c r="L1087" s="7">
        <f>IF(AND(C1087=0,D1087=0,I1087=1),1,0)</f>
        <v>0</v>
      </c>
      <c r="M1087" s="7">
        <f>IF(AND(C1087=0,D1087=0,J1087=1),1,0)</f>
        <v>0</v>
      </c>
    </row>
    <row r="1088" spans="1:13">
      <c r="A1088" s="7">
        <f>Raw_Passengers!A1088</f>
        <v>353548</v>
      </c>
      <c r="B1088" s="7">
        <f>Raw_Passengers!B1088</f>
        <v>1175305</v>
      </c>
      <c r="C1088" s="7">
        <f>IF(COUNTIF(Raw_Passengers!$A$2:A1088,Raw_Passengers!A1088)&gt;1,1,0)</f>
        <v>0</v>
      </c>
      <c r="D1088" s="7">
        <f>IF(COUNTIF(Raw_Bookings!$A$2:$A$648,Raw_Passengers!B1088)=0,1,0)</f>
        <v>0</v>
      </c>
      <c r="E1088" s="7">
        <f>IF(OR(C1088=1,D1088=1),0,IF(NOT(ISNUMBER(Raw_Passengers!E1088)),1,IF(Raw_Passengers!E1088&lt;=0,1,0)))</f>
        <v>0</v>
      </c>
      <c r="F1088" s="7">
        <f>IF(AND(C1088=0,D1088=0,TRIM(Raw_Passengers!D1088&amp;"")=""),1,0)</f>
        <v>0</v>
      </c>
      <c r="G1088" s="7" t="str">
        <f>IF(SUMPRODUCT(--(Lookup_Status!$A$2:$A$13=LOWER(TRIM(Raw_Passengers!F1088))))=0,"",INDEX(Lookup_Status!$B$2:$B$13,SUMPRODUCT((Lookup_Status!$A$2:$A$13=LOWER(TRIM(Raw_Passengers!F1088)))*(ROW(Lookup_Status!$A$2:$A$13)-1))))</f>
        <v>Waitlisted</v>
      </c>
      <c r="H1088" s="7" t="str">
        <f>IF(SUMPRODUCT(--(Lookup_Status!$A$2:$A$13=LOWER(TRIM(Raw_Passengers!G1088))))=0,"",INDEX(Lookup_Status!$B$2:$B$13,SUMPRODUCT((Lookup_Status!$A$2:$A$13=LOWER(TRIM(Raw_Passengers!G1088)))*(ROW(Lookup_Status!$A$2:$A$13)-1))))</f>
        <v>Waitlisted</v>
      </c>
      <c r="I1088" s="7">
        <f>IF(OR(G1088="",G1088="Cancelled",G1088="Mixed"),1,0)</f>
        <v>0</v>
      </c>
      <c r="J1088" s="7">
        <f>IF(OR(H1088="",H1088="Mixed"),1,0)</f>
        <v>0</v>
      </c>
      <c r="K1088" s="7">
        <f>IF(AND(C1088=0,D1088=0),IF(OR(AND(I1088=0,NOT(EXACT(Raw_Passengers!F1088,G1088))),AND(J1088=0,NOT(EXACT(Raw_Passengers!G1088,H1088)))),1,0),0)</f>
        <v>0</v>
      </c>
      <c r="L1088" s="7">
        <f>IF(AND(C1088=0,D1088=0,I1088=1),1,0)</f>
        <v>0</v>
      </c>
      <c r="M1088" s="7">
        <f>IF(AND(C1088=0,D1088=0,J1088=1),1,0)</f>
        <v>0</v>
      </c>
    </row>
    <row r="1089" spans="1:13">
      <c r="A1089" s="7">
        <f>Raw_Passengers!A1089</f>
        <v>353549</v>
      </c>
      <c r="B1089" s="7">
        <f>Raw_Passengers!B1089</f>
        <v>1175305</v>
      </c>
      <c r="C1089" s="7">
        <f>IF(COUNTIF(Raw_Passengers!$A$2:A1089,Raw_Passengers!A1089)&gt;1,1,0)</f>
        <v>0</v>
      </c>
      <c r="D1089" s="7">
        <f>IF(COUNTIF(Raw_Bookings!$A$2:$A$648,Raw_Passengers!B1089)=0,1,0)</f>
        <v>0</v>
      </c>
      <c r="E1089" s="7">
        <f>IF(OR(C1089=1,D1089=1),0,IF(NOT(ISNUMBER(Raw_Passengers!E1089)),1,IF(Raw_Passengers!E1089&lt;=0,1,0)))</f>
        <v>0</v>
      </c>
      <c r="F1089" s="7">
        <f>IF(AND(C1089=0,D1089=0,TRIM(Raw_Passengers!D1089&amp;"")=""),1,0)</f>
        <v>0</v>
      </c>
      <c r="G1089" s="7" t="str">
        <f>IF(SUMPRODUCT(--(Lookup_Status!$A$2:$A$13=LOWER(TRIM(Raw_Passengers!F1089))))=0,"",INDEX(Lookup_Status!$B$2:$B$13,SUMPRODUCT((Lookup_Status!$A$2:$A$13=LOWER(TRIM(Raw_Passengers!F1089)))*(ROW(Lookup_Status!$A$2:$A$13)-1))))</f>
        <v>Waitlisted</v>
      </c>
      <c r="H1089" s="7" t="str">
        <f>IF(SUMPRODUCT(--(Lookup_Status!$A$2:$A$13=LOWER(TRIM(Raw_Passengers!G1089))))=0,"",INDEX(Lookup_Status!$B$2:$B$13,SUMPRODUCT((Lookup_Status!$A$2:$A$13=LOWER(TRIM(Raw_Passengers!G1089)))*(ROW(Lookup_Status!$A$2:$A$13)-1))))</f>
        <v>Waitlisted</v>
      </c>
      <c r="I1089" s="7">
        <f>IF(OR(G1089="",G1089="Cancelled",G1089="Mixed"),1,0)</f>
        <v>0</v>
      </c>
      <c r="J1089" s="7">
        <f>IF(OR(H1089="",H1089="Mixed"),1,0)</f>
        <v>0</v>
      </c>
      <c r="K1089" s="7">
        <f>IF(AND(C1089=0,D1089=0),IF(OR(AND(I1089=0,NOT(EXACT(Raw_Passengers!F1089,G1089))),AND(J1089=0,NOT(EXACT(Raw_Passengers!G1089,H1089)))),1,0),0)</f>
        <v>0</v>
      </c>
      <c r="L1089" s="7">
        <f>IF(AND(C1089=0,D1089=0,I1089=1),1,0)</f>
        <v>0</v>
      </c>
      <c r="M1089" s="7">
        <f>IF(AND(C1089=0,D1089=0,J1089=1),1,0)</f>
        <v>0</v>
      </c>
    </row>
    <row r="1090" spans="1:13">
      <c r="A1090" s="7">
        <f>Raw_Passengers!A1090</f>
        <v>354257</v>
      </c>
      <c r="B1090" s="7">
        <f>Raw_Passengers!B1090</f>
        <v>1175646</v>
      </c>
      <c r="C1090" s="7">
        <f>IF(COUNTIF(Raw_Passengers!$A$2:A1090,Raw_Passengers!A1090)&gt;1,1,0)</f>
        <v>0</v>
      </c>
      <c r="D1090" s="7">
        <f>IF(COUNTIF(Raw_Bookings!$A$2:$A$648,Raw_Passengers!B1090)=0,1,0)</f>
        <v>0</v>
      </c>
      <c r="E1090" s="7">
        <f>IF(OR(C1090=1,D1090=1),0,IF(NOT(ISNUMBER(Raw_Passengers!E1090)),1,IF(Raw_Passengers!E1090&lt;=0,1,0)))</f>
        <v>0</v>
      </c>
      <c r="F1090" s="7">
        <f>IF(AND(C1090=0,D1090=0,TRIM(Raw_Passengers!D1090&amp;"")=""),1,0)</f>
        <v>0</v>
      </c>
      <c r="G1090" s="7" t="str">
        <f>IF(SUMPRODUCT(--(Lookup_Status!$A$2:$A$13=LOWER(TRIM(Raw_Passengers!F1090))))=0,"",INDEX(Lookup_Status!$B$2:$B$13,SUMPRODUCT((Lookup_Status!$A$2:$A$13=LOWER(TRIM(Raw_Passengers!F1090)))*(ROW(Lookup_Status!$A$2:$A$13)-1))))</f>
        <v>Confirmed</v>
      </c>
      <c r="H1090" s="7" t="str">
        <f>IF(SUMPRODUCT(--(Lookup_Status!$A$2:$A$13=LOWER(TRIM(Raw_Passengers!G1090))))=0,"",INDEX(Lookup_Status!$B$2:$B$13,SUMPRODUCT((Lookup_Status!$A$2:$A$13=LOWER(TRIM(Raw_Passengers!G1090)))*(ROW(Lookup_Status!$A$2:$A$13)-1))))</f>
        <v>Confirmed</v>
      </c>
      <c r="I1090" s="7">
        <f>IF(OR(G1090="",G1090="Cancelled",G1090="Mixed"),1,0)</f>
        <v>0</v>
      </c>
      <c r="J1090" s="7">
        <f>IF(OR(H1090="",H1090="Mixed"),1,0)</f>
        <v>0</v>
      </c>
      <c r="K1090" s="7">
        <f>IF(AND(C1090=0,D1090=0),IF(OR(AND(I1090=0,NOT(EXACT(Raw_Passengers!F1090,G1090))),AND(J1090=0,NOT(EXACT(Raw_Passengers!G1090,H1090)))),1,0),0)</f>
        <v>0</v>
      </c>
      <c r="L1090" s="7">
        <f>IF(AND(C1090=0,D1090=0,I1090=1),1,0)</f>
        <v>0</v>
      </c>
      <c r="M1090" s="7">
        <f>IF(AND(C1090=0,D1090=0,J1090=1),1,0)</f>
        <v>0</v>
      </c>
    </row>
    <row r="1091" spans="1:13">
      <c r="A1091" s="7">
        <f>Raw_Passengers!A1091</f>
        <v>354258</v>
      </c>
      <c r="B1091" s="7">
        <f>Raw_Passengers!B1091</f>
        <v>1175646</v>
      </c>
      <c r="C1091" s="7">
        <f>IF(COUNTIF(Raw_Passengers!$A$2:A1091,Raw_Passengers!A1091)&gt;1,1,0)</f>
        <v>0</v>
      </c>
      <c r="D1091" s="7">
        <f>IF(COUNTIF(Raw_Bookings!$A$2:$A$648,Raw_Passengers!B1091)=0,1,0)</f>
        <v>0</v>
      </c>
      <c r="E1091" s="7">
        <f>IF(OR(C1091=1,D1091=1),0,IF(NOT(ISNUMBER(Raw_Passengers!E1091)),1,IF(Raw_Passengers!E1091&lt;=0,1,0)))</f>
        <v>0</v>
      </c>
      <c r="F1091" s="7">
        <f>IF(AND(C1091=0,D1091=0,TRIM(Raw_Passengers!D1091&amp;"")=""),1,0)</f>
        <v>0</v>
      </c>
      <c r="G1091" s="7" t="str">
        <f>IF(SUMPRODUCT(--(Lookup_Status!$A$2:$A$13=LOWER(TRIM(Raw_Passengers!F1091))))=0,"",INDEX(Lookup_Status!$B$2:$B$13,SUMPRODUCT((Lookup_Status!$A$2:$A$13=LOWER(TRIM(Raw_Passengers!F1091)))*(ROW(Lookup_Status!$A$2:$A$13)-1))))</f>
        <v>Confirmed</v>
      </c>
      <c r="H1091" s="7" t="str">
        <f>IF(SUMPRODUCT(--(Lookup_Status!$A$2:$A$13=LOWER(TRIM(Raw_Passengers!G1091))))=0,"",INDEX(Lookup_Status!$B$2:$B$13,SUMPRODUCT((Lookup_Status!$A$2:$A$13=LOWER(TRIM(Raw_Passengers!G1091)))*(ROW(Lookup_Status!$A$2:$A$13)-1))))</f>
        <v>Confirmed</v>
      </c>
      <c r="I1091" s="7">
        <f>IF(OR(G1091="",G1091="Cancelled",G1091="Mixed"),1,0)</f>
        <v>0</v>
      </c>
      <c r="J1091" s="7">
        <f>IF(OR(H1091="",H1091="Mixed"),1,0)</f>
        <v>0</v>
      </c>
      <c r="K1091" s="7">
        <f>IF(AND(C1091=0,D1091=0),IF(OR(AND(I1091=0,NOT(EXACT(Raw_Passengers!F1091,G1091))),AND(J1091=0,NOT(EXACT(Raw_Passengers!G1091,H1091)))),1,0),0)</f>
        <v>0</v>
      </c>
      <c r="L1091" s="7">
        <f>IF(AND(C1091=0,D1091=0,I1091=1),1,0)</f>
        <v>0</v>
      </c>
      <c r="M1091" s="7">
        <f>IF(AND(C1091=0,D1091=0,J1091=1),1,0)</f>
        <v>0</v>
      </c>
    </row>
    <row r="1092" spans="1:13">
      <c r="A1092" s="7">
        <f>Raw_Passengers!A1092</f>
        <v>354259</v>
      </c>
      <c r="B1092" s="7">
        <f>Raw_Passengers!B1092</f>
        <v>1175646</v>
      </c>
      <c r="C1092" s="7">
        <f>IF(COUNTIF(Raw_Passengers!$A$2:A1092,Raw_Passengers!A1092)&gt;1,1,0)</f>
        <v>0</v>
      </c>
      <c r="D1092" s="7">
        <f>IF(COUNTIF(Raw_Bookings!$A$2:$A$648,Raw_Passengers!B1092)=0,1,0)</f>
        <v>0</v>
      </c>
      <c r="E1092" s="7">
        <f>IF(OR(C1092=1,D1092=1),0,IF(NOT(ISNUMBER(Raw_Passengers!E1092)),1,IF(Raw_Passengers!E1092&lt;=0,1,0)))</f>
        <v>0</v>
      </c>
      <c r="F1092" s="7">
        <f>IF(AND(C1092=0,D1092=0,TRIM(Raw_Passengers!D1092&amp;"")=""),1,0)</f>
        <v>0</v>
      </c>
      <c r="G1092" s="7" t="str">
        <f>IF(SUMPRODUCT(--(Lookup_Status!$A$2:$A$13=LOWER(TRIM(Raw_Passengers!F1092))))=0,"",INDEX(Lookup_Status!$B$2:$B$13,SUMPRODUCT((Lookup_Status!$A$2:$A$13=LOWER(TRIM(Raw_Passengers!F1092)))*(ROW(Lookup_Status!$A$2:$A$13)-1))))</f>
        <v>Confirmed</v>
      </c>
      <c r="H1092" s="7" t="str">
        <f>IF(SUMPRODUCT(--(Lookup_Status!$A$2:$A$13=LOWER(TRIM(Raw_Passengers!G1092))))=0,"",INDEX(Lookup_Status!$B$2:$B$13,SUMPRODUCT((Lookup_Status!$A$2:$A$13=LOWER(TRIM(Raw_Passengers!G1092)))*(ROW(Lookup_Status!$A$2:$A$13)-1))))</f>
        <v>Confirmed</v>
      </c>
      <c r="I1092" s="7">
        <f>IF(OR(G1092="",G1092="Cancelled",G1092="Mixed"),1,0)</f>
        <v>0</v>
      </c>
      <c r="J1092" s="7">
        <f>IF(OR(H1092="",H1092="Mixed"),1,0)</f>
        <v>0</v>
      </c>
      <c r="K1092" s="7">
        <f>IF(AND(C1092=0,D1092=0),IF(OR(AND(I1092=0,NOT(EXACT(Raw_Passengers!F1092,G1092))),AND(J1092=0,NOT(EXACT(Raw_Passengers!G1092,H1092)))),1,0),0)</f>
        <v>0</v>
      </c>
      <c r="L1092" s="7">
        <f>IF(AND(C1092=0,D1092=0,I1092=1),1,0)</f>
        <v>0</v>
      </c>
      <c r="M1092" s="7">
        <f>IF(AND(C1092=0,D1092=0,J1092=1),1,0)</f>
        <v>0</v>
      </c>
    </row>
    <row r="1093" spans="1:13">
      <c r="A1093" s="7">
        <f>Raw_Passengers!A1093</f>
        <v>354787</v>
      </c>
      <c r="B1093" s="7">
        <f>Raw_Passengers!B1093</f>
        <v>1175901</v>
      </c>
      <c r="C1093" s="7">
        <f>IF(COUNTIF(Raw_Passengers!$A$2:A1093,Raw_Passengers!A1093)&gt;1,1,0)</f>
        <v>0</v>
      </c>
      <c r="D1093" s="7">
        <f>IF(COUNTIF(Raw_Bookings!$A$2:$A$648,Raw_Passengers!B1093)=0,1,0)</f>
        <v>0</v>
      </c>
      <c r="E1093" s="7">
        <f>IF(OR(C1093=1,D1093=1),0,IF(NOT(ISNUMBER(Raw_Passengers!E1093)),1,IF(Raw_Passengers!E1093&lt;=0,1,0)))</f>
        <v>0</v>
      </c>
      <c r="F1093" s="7">
        <f>IF(AND(C1093=0,D1093=0,TRIM(Raw_Passengers!D1093&amp;"")=""),1,0)</f>
        <v>0</v>
      </c>
      <c r="G1093" s="7" t="str">
        <f>IF(SUMPRODUCT(--(Lookup_Status!$A$2:$A$13=LOWER(TRIM(Raw_Passengers!F1093))))=0,"",INDEX(Lookup_Status!$B$2:$B$13,SUMPRODUCT((Lookup_Status!$A$2:$A$13=LOWER(TRIM(Raw_Passengers!F1093)))*(ROW(Lookup_Status!$A$2:$A$13)-1))))</f>
        <v>Confirmed</v>
      </c>
      <c r="H1093" s="7" t="str">
        <f>IF(SUMPRODUCT(--(Lookup_Status!$A$2:$A$13=LOWER(TRIM(Raw_Passengers!G1093))))=0,"",INDEX(Lookup_Status!$B$2:$B$13,SUMPRODUCT((Lookup_Status!$A$2:$A$13=LOWER(TRIM(Raw_Passengers!G1093)))*(ROW(Lookup_Status!$A$2:$A$13)-1))))</f>
        <v>Confirmed</v>
      </c>
      <c r="I1093" s="7">
        <f>IF(OR(G1093="",G1093="Cancelled",G1093="Mixed"),1,0)</f>
        <v>0</v>
      </c>
      <c r="J1093" s="7">
        <f>IF(OR(H1093="",H1093="Mixed"),1,0)</f>
        <v>0</v>
      </c>
      <c r="K1093" s="7">
        <f>IF(AND(C1093=0,D1093=0),IF(OR(AND(I1093=0,NOT(EXACT(Raw_Passengers!F1093,G1093))),AND(J1093=0,NOT(EXACT(Raw_Passengers!G1093,H1093)))),1,0),0)</f>
        <v>0</v>
      </c>
      <c r="L1093" s="7">
        <f>IF(AND(C1093=0,D1093=0,I1093=1),1,0)</f>
        <v>0</v>
      </c>
      <c r="M1093" s="7">
        <f>IF(AND(C1093=0,D1093=0,J1093=1),1,0)</f>
        <v>0</v>
      </c>
    </row>
    <row r="1094" spans="1:13">
      <c r="A1094" s="7">
        <f>Raw_Passengers!A1094</f>
        <v>354788</v>
      </c>
      <c r="B1094" s="7">
        <f>Raw_Passengers!B1094</f>
        <v>1175901</v>
      </c>
      <c r="C1094" s="7">
        <f>IF(COUNTIF(Raw_Passengers!$A$2:A1094,Raw_Passengers!A1094)&gt;1,1,0)</f>
        <v>0</v>
      </c>
      <c r="D1094" s="7">
        <f>IF(COUNTIF(Raw_Bookings!$A$2:$A$648,Raw_Passengers!B1094)=0,1,0)</f>
        <v>0</v>
      </c>
      <c r="E1094" s="7">
        <f>IF(OR(C1094=1,D1094=1),0,IF(NOT(ISNUMBER(Raw_Passengers!E1094)),1,IF(Raw_Passengers!E1094&lt;=0,1,0)))</f>
        <v>0</v>
      </c>
      <c r="F1094" s="7">
        <f>IF(AND(C1094=0,D1094=0,TRIM(Raw_Passengers!D1094&amp;"")=""),1,0)</f>
        <v>0</v>
      </c>
      <c r="G1094" s="7" t="str">
        <f>IF(SUMPRODUCT(--(Lookup_Status!$A$2:$A$13=LOWER(TRIM(Raw_Passengers!F1094))))=0,"",INDEX(Lookup_Status!$B$2:$B$13,SUMPRODUCT((Lookup_Status!$A$2:$A$13=LOWER(TRIM(Raw_Passengers!F1094)))*(ROW(Lookup_Status!$A$2:$A$13)-1))))</f>
        <v>Confirmed</v>
      </c>
      <c r="H1094" s="7" t="str">
        <f>IF(SUMPRODUCT(--(Lookup_Status!$A$2:$A$13=LOWER(TRIM(Raw_Passengers!G1094))))=0,"",INDEX(Lookup_Status!$B$2:$B$13,SUMPRODUCT((Lookup_Status!$A$2:$A$13=LOWER(TRIM(Raw_Passengers!G1094)))*(ROW(Lookup_Status!$A$2:$A$13)-1))))</f>
        <v>Confirmed</v>
      </c>
      <c r="I1094" s="7">
        <f>IF(OR(G1094="",G1094="Cancelled",G1094="Mixed"),1,0)</f>
        <v>0</v>
      </c>
      <c r="J1094" s="7">
        <f>IF(OR(H1094="",H1094="Mixed"),1,0)</f>
        <v>0</v>
      </c>
      <c r="K1094" s="7">
        <f>IF(AND(C1094=0,D1094=0),IF(OR(AND(I1094=0,NOT(EXACT(Raw_Passengers!F1094,G1094))),AND(J1094=0,NOT(EXACT(Raw_Passengers!G1094,H1094)))),1,0),0)</f>
        <v>0</v>
      </c>
      <c r="L1094" s="7">
        <f>IF(AND(C1094=0,D1094=0,I1094=1),1,0)</f>
        <v>0</v>
      </c>
      <c r="M1094" s="7">
        <f>IF(AND(C1094=0,D1094=0,J1094=1),1,0)</f>
        <v>0</v>
      </c>
    </row>
    <row r="1095" spans="1:13">
      <c r="A1095" s="7">
        <f>Raw_Passengers!A1095</f>
        <v>354789</v>
      </c>
      <c r="B1095" s="7">
        <f>Raw_Passengers!B1095</f>
        <v>1175901</v>
      </c>
      <c r="C1095" s="7">
        <f>IF(COUNTIF(Raw_Passengers!$A$2:A1095,Raw_Passengers!A1095)&gt;1,1,0)</f>
        <v>0</v>
      </c>
      <c r="D1095" s="7">
        <f>IF(COUNTIF(Raw_Bookings!$A$2:$A$648,Raw_Passengers!B1095)=0,1,0)</f>
        <v>0</v>
      </c>
      <c r="E1095" s="7">
        <f>IF(OR(C1095=1,D1095=1),0,IF(NOT(ISNUMBER(Raw_Passengers!E1095)),1,IF(Raw_Passengers!E1095&lt;=0,1,0)))</f>
        <v>0</v>
      </c>
      <c r="F1095" s="7">
        <f>IF(AND(C1095=0,D1095=0,TRIM(Raw_Passengers!D1095&amp;"")=""),1,0)</f>
        <v>0</v>
      </c>
      <c r="G1095" s="7" t="str">
        <f>IF(SUMPRODUCT(--(Lookup_Status!$A$2:$A$13=LOWER(TRIM(Raw_Passengers!F1095))))=0,"",INDEX(Lookup_Status!$B$2:$B$13,SUMPRODUCT((Lookup_Status!$A$2:$A$13=LOWER(TRIM(Raw_Passengers!F1095)))*(ROW(Lookup_Status!$A$2:$A$13)-1))))</f>
        <v>Confirmed</v>
      </c>
      <c r="H1095" s="7" t="str">
        <f>IF(SUMPRODUCT(--(Lookup_Status!$A$2:$A$13=LOWER(TRIM(Raw_Passengers!G1095))))=0,"",INDEX(Lookup_Status!$B$2:$B$13,SUMPRODUCT((Lookup_Status!$A$2:$A$13=LOWER(TRIM(Raw_Passengers!G1095)))*(ROW(Lookup_Status!$A$2:$A$13)-1))))</f>
        <v>Confirmed</v>
      </c>
      <c r="I1095" s="7">
        <f>IF(OR(G1095="",G1095="Cancelled",G1095="Mixed"),1,0)</f>
        <v>0</v>
      </c>
      <c r="J1095" s="7">
        <f>IF(OR(H1095="",H1095="Mixed"),1,0)</f>
        <v>0</v>
      </c>
      <c r="K1095" s="7">
        <f>IF(AND(C1095=0,D1095=0),IF(OR(AND(I1095=0,NOT(EXACT(Raw_Passengers!F1095,G1095))),AND(J1095=0,NOT(EXACT(Raw_Passengers!G1095,H1095)))),1,0),0)</f>
        <v>0</v>
      </c>
      <c r="L1095" s="7">
        <f>IF(AND(C1095=0,D1095=0,I1095=1),1,0)</f>
        <v>0</v>
      </c>
      <c r="M1095" s="7">
        <f>IF(AND(C1095=0,D1095=0,J1095=1),1,0)</f>
        <v>0</v>
      </c>
    </row>
    <row r="1096" spans="1:13">
      <c r="A1096" s="7">
        <f>Raw_Passengers!A1096</f>
        <v>354790</v>
      </c>
      <c r="B1096" s="7">
        <f>Raw_Passengers!B1096</f>
        <v>1175901</v>
      </c>
      <c r="C1096" s="7">
        <f>IF(COUNTIF(Raw_Passengers!$A$2:A1096,Raw_Passengers!A1096)&gt;1,1,0)</f>
        <v>0</v>
      </c>
      <c r="D1096" s="7">
        <f>IF(COUNTIF(Raw_Bookings!$A$2:$A$648,Raw_Passengers!B1096)=0,1,0)</f>
        <v>0</v>
      </c>
      <c r="E1096" s="7">
        <f>IF(OR(C1096=1,D1096=1),0,IF(NOT(ISNUMBER(Raw_Passengers!E1096)),1,IF(Raw_Passengers!E1096&lt;=0,1,0)))</f>
        <v>0</v>
      </c>
      <c r="F1096" s="7">
        <f>IF(AND(C1096=0,D1096=0,TRIM(Raw_Passengers!D1096&amp;"")=""),1,0)</f>
        <v>0</v>
      </c>
      <c r="G1096" s="7" t="str">
        <f>IF(SUMPRODUCT(--(Lookup_Status!$A$2:$A$13=LOWER(TRIM(Raw_Passengers!F1096))))=0,"",INDEX(Lookup_Status!$B$2:$B$13,SUMPRODUCT((Lookup_Status!$A$2:$A$13=LOWER(TRIM(Raw_Passengers!F1096)))*(ROW(Lookup_Status!$A$2:$A$13)-1))))</f>
        <v>Confirmed</v>
      </c>
      <c r="H1096" s="7" t="str">
        <f>IF(SUMPRODUCT(--(Lookup_Status!$A$2:$A$13=LOWER(TRIM(Raw_Passengers!G1096))))=0,"",INDEX(Lookup_Status!$B$2:$B$13,SUMPRODUCT((Lookup_Status!$A$2:$A$13=LOWER(TRIM(Raw_Passengers!G1096)))*(ROW(Lookup_Status!$A$2:$A$13)-1))))</f>
        <v>Confirmed</v>
      </c>
      <c r="I1096" s="7">
        <f>IF(OR(G1096="",G1096="Cancelled",G1096="Mixed"),1,0)</f>
        <v>0</v>
      </c>
      <c r="J1096" s="7">
        <f>IF(OR(H1096="",H1096="Mixed"),1,0)</f>
        <v>0</v>
      </c>
      <c r="K1096" s="7">
        <f>IF(AND(C1096=0,D1096=0),IF(OR(AND(I1096=0,NOT(EXACT(Raw_Passengers!F1096,G1096))),AND(J1096=0,NOT(EXACT(Raw_Passengers!G1096,H1096)))),1,0),0)</f>
        <v>0</v>
      </c>
      <c r="L1096" s="7">
        <f>IF(AND(C1096=0,D1096=0,I1096=1),1,0)</f>
        <v>0</v>
      </c>
      <c r="M1096" s="7">
        <f>IF(AND(C1096=0,D1096=0,J1096=1),1,0)</f>
        <v>0</v>
      </c>
    </row>
    <row r="1097" spans="1:13">
      <c r="A1097" s="7">
        <f>Raw_Passengers!A1097</f>
        <v>354828</v>
      </c>
      <c r="B1097" s="7">
        <f>Raw_Passengers!B1097</f>
        <v>1175921</v>
      </c>
      <c r="C1097" s="7">
        <f>IF(COUNTIF(Raw_Passengers!$A$2:A1097,Raw_Passengers!A1097)&gt;1,1,0)</f>
        <v>0</v>
      </c>
      <c r="D1097" s="7">
        <f>IF(COUNTIF(Raw_Bookings!$A$2:$A$648,Raw_Passengers!B1097)=0,1,0)</f>
        <v>0</v>
      </c>
      <c r="E1097" s="7">
        <f>IF(OR(C1097=1,D1097=1),0,IF(NOT(ISNUMBER(Raw_Passengers!E1097)),1,IF(Raw_Passengers!E1097&lt;=0,1,0)))</f>
        <v>0</v>
      </c>
      <c r="F1097" s="7">
        <f>IF(AND(C1097=0,D1097=0,TRIM(Raw_Passengers!D1097&amp;"")=""),1,0)</f>
        <v>0</v>
      </c>
      <c r="G1097" s="7" t="str">
        <f>IF(SUMPRODUCT(--(Lookup_Status!$A$2:$A$13=LOWER(TRIM(Raw_Passengers!F1097))))=0,"",INDEX(Lookup_Status!$B$2:$B$13,SUMPRODUCT((Lookup_Status!$A$2:$A$13=LOWER(TRIM(Raw_Passengers!F1097)))*(ROW(Lookup_Status!$A$2:$A$13)-1))))</f>
        <v>Waitlisted</v>
      </c>
      <c r="H1097" s="7" t="str">
        <f>IF(SUMPRODUCT(--(Lookup_Status!$A$2:$A$13=LOWER(TRIM(Raw_Passengers!G1097))))=0,"",INDEX(Lookup_Status!$B$2:$B$13,SUMPRODUCT((Lookup_Status!$A$2:$A$13=LOWER(TRIM(Raw_Passengers!G1097)))*(ROW(Lookup_Status!$A$2:$A$13)-1))))</f>
        <v>Waitlisted</v>
      </c>
      <c r="I1097" s="7">
        <f>IF(OR(G1097="",G1097="Cancelled",G1097="Mixed"),1,0)</f>
        <v>0</v>
      </c>
      <c r="J1097" s="7">
        <f>IF(OR(H1097="",H1097="Mixed"),1,0)</f>
        <v>0</v>
      </c>
      <c r="K1097" s="7">
        <f>IF(AND(C1097=0,D1097=0),IF(OR(AND(I1097=0,NOT(EXACT(Raw_Passengers!F1097,G1097))),AND(J1097=0,NOT(EXACT(Raw_Passengers!G1097,H1097)))),1,0),0)</f>
        <v>0</v>
      </c>
      <c r="L1097" s="7">
        <f>IF(AND(C1097=0,D1097=0,I1097=1),1,0)</f>
        <v>0</v>
      </c>
      <c r="M1097" s="7">
        <f>IF(AND(C1097=0,D1097=0,J1097=1),1,0)</f>
        <v>0</v>
      </c>
    </row>
    <row r="1098" spans="1:13">
      <c r="A1098" s="7">
        <f>Raw_Passengers!A1098</f>
        <v>354929</v>
      </c>
      <c r="B1098" s="7">
        <f>Raw_Passengers!B1098</f>
        <v>1175968</v>
      </c>
      <c r="C1098" s="7">
        <f>IF(COUNTIF(Raw_Passengers!$A$2:A1098,Raw_Passengers!A1098)&gt;1,1,0)</f>
        <v>0</v>
      </c>
      <c r="D1098" s="7">
        <f>IF(COUNTIF(Raw_Bookings!$A$2:$A$648,Raw_Passengers!B1098)=0,1,0)</f>
        <v>0</v>
      </c>
      <c r="E1098" s="7">
        <f>IF(OR(C1098=1,D1098=1),0,IF(NOT(ISNUMBER(Raw_Passengers!E1098)),1,IF(Raw_Passengers!E1098&lt;=0,1,0)))</f>
        <v>0</v>
      </c>
      <c r="F1098" s="7">
        <f>IF(AND(C1098=0,D1098=0,TRIM(Raw_Passengers!D1098&amp;"")=""),1,0)</f>
        <v>1</v>
      </c>
      <c r="G1098" s="7" t="str">
        <f>IF(SUMPRODUCT(--(Lookup_Status!$A$2:$A$13=LOWER(TRIM(Raw_Passengers!F1098))))=0,"",INDEX(Lookup_Status!$B$2:$B$13,SUMPRODUCT((Lookup_Status!$A$2:$A$13=LOWER(TRIM(Raw_Passengers!F1098)))*(ROW(Lookup_Status!$A$2:$A$13)-1))))</f>
        <v>Confirmed</v>
      </c>
      <c r="H1098" s="7" t="str">
        <f>IF(SUMPRODUCT(--(Lookup_Status!$A$2:$A$13=LOWER(TRIM(Raw_Passengers!G1098))))=0,"",INDEX(Lookup_Status!$B$2:$B$13,SUMPRODUCT((Lookup_Status!$A$2:$A$13=LOWER(TRIM(Raw_Passengers!G1098)))*(ROW(Lookup_Status!$A$2:$A$13)-1))))</f>
        <v>Confirmed</v>
      </c>
      <c r="I1098" s="7">
        <f>IF(OR(G1098="",G1098="Cancelled",G1098="Mixed"),1,0)</f>
        <v>0</v>
      </c>
      <c r="J1098" s="7">
        <f>IF(OR(H1098="",H1098="Mixed"),1,0)</f>
        <v>0</v>
      </c>
      <c r="K1098" s="7">
        <f>IF(AND(C1098=0,D1098=0),IF(OR(AND(I1098=0,NOT(EXACT(Raw_Passengers!F1098,G1098))),AND(J1098=0,NOT(EXACT(Raw_Passengers!G1098,H1098)))),1,0),0)</f>
        <v>0</v>
      </c>
      <c r="L1098" s="7">
        <f>IF(AND(C1098=0,D1098=0,I1098=1),1,0)</f>
        <v>0</v>
      </c>
      <c r="M1098" s="7">
        <f>IF(AND(C1098=0,D1098=0,J1098=1),1,0)</f>
        <v>0</v>
      </c>
    </row>
    <row r="1099" spans="1:13">
      <c r="A1099" s="7">
        <f>Raw_Passengers!A1099</f>
        <v>355181</v>
      </c>
      <c r="B1099" s="7">
        <f>Raw_Passengers!B1099</f>
        <v>1176094</v>
      </c>
      <c r="C1099" s="7">
        <f>IF(COUNTIF(Raw_Passengers!$A$2:A1099,Raw_Passengers!A1099)&gt;1,1,0)</f>
        <v>0</v>
      </c>
      <c r="D1099" s="7">
        <f>IF(COUNTIF(Raw_Bookings!$A$2:$A$648,Raw_Passengers!B1099)=0,1,0)</f>
        <v>0</v>
      </c>
      <c r="E1099" s="7">
        <f>IF(OR(C1099=1,D1099=1),0,IF(NOT(ISNUMBER(Raw_Passengers!E1099)),1,IF(Raw_Passengers!E1099&lt;=0,1,0)))</f>
        <v>0</v>
      </c>
      <c r="F1099" s="7">
        <f>IF(AND(C1099=0,D1099=0,TRIM(Raw_Passengers!D1099&amp;"")=""),1,0)</f>
        <v>0</v>
      </c>
      <c r="G1099" s="7" t="str">
        <f>IF(SUMPRODUCT(--(Lookup_Status!$A$2:$A$13=LOWER(TRIM(Raw_Passengers!F1099))))=0,"",INDEX(Lookup_Status!$B$2:$B$13,SUMPRODUCT((Lookup_Status!$A$2:$A$13=LOWER(TRIM(Raw_Passengers!F1099)))*(ROW(Lookup_Status!$A$2:$A$13)-1))))</f>
        <v>Confirmed</v>
      </c>
      <c r="H1099" s="7" t="str">
        <f>IF(SUMPRODUCT(--(Lookup_Status!$A$2:$A$13=LOWER(TRIM(Raw_Passengers!G1099))))=0,"",INDEX(Lookup_Status!$B$2:$B$13,SUMPRODUCT((Lookup_Status!$A$2:$A$13=LOWER(TRIM(Raw_Passengers!G1099)))*(ROW(Lookup_Status!$A$2:$A$13)-1))))</f>
        <v>Confirmed</v>
      </c>
      <c r="I1099" s="7">
        <f>IF(OR(G1099="",G1099="Cancelled",G1099="Mixed"),1,0)</f>
        <v>0</v>
      </c>
      <c r="J1099" s="7">
        <f>IF(OR(H1099="",H1099="Mixed"),1,0)</f>
        <v>0</v>
      </c>
      <c r="K1099" s="7">
        <f>IF(AND(C1099=0,D1099=0),IF(OR(AND(I1099=0,NOT(EXACT(Raw_Passengers!F1099,G1099))),AND(J1099=0,NOT(EXACT(Raw_Passengers!G1099,H1099)))),1,0),0)</f>
        <v>0</v>
      </c>
      <c r="L1099" s="7">
        <f>IF(AND(C1099=0,D1099=0,I1099=1),1,0)</f>
        <v>0</v>
      </c>
      <c r="M1099" s="7">
        <f>IF(AND(C1099=0,D1099=0,J1099=1),1,0)</f>
        <v>0</v>
      </c>
    </row>
    <row r="1100" spans="1:13">
      <c r="A1100" s="7">
        <f>Raw_Passengers!A1100</f>
        <v>356649</v>
      </c>
      <c r="B1100" s="7">
        <f>Raw_Passengers!B1100</f>
        <v>1176811</v>
      </c>
      <c r="C1100" s="7">
        <f>IF(COUNTIF(Raw_Passengers!$A$2:A1100,Raw_Passengers!A1100)&gt;1,1,0)</f>
        <v>0</v>
      </c>
      <c r="D1100" s="7">
        <f>IF(COUNTIF(Raw_Bookings!$A$2:$A$648,Raw_Passengers!B1100)=0,1,0)</f>
        <v>0</v>
      </c>
      <c r="E1100" s="7">
        <f>IF(OR(C1100=1,D1100=1),0,IF(NOT(ISNUMBER(Raw_Passengers!E1100)),1,IF(Raw_Passengers!E1100&lt;=0,1,0)))</f>
        <v>0</v>
      </c>
      <c r="F1100" s="7">
        <f>IF(AND(C1100=0,D1100=0,TRIM(Raw_Passengers!D1100&amp;"")=""),1,0)</f>
        <v>0</v>
      </c>
      <c r="G1100" s="7" t="str">
        <f>IF(SUMPRODUCT(--(Lookup_Status!$A$2:$A$13=LOWER(TRIM(Raw_Passengers!F1100))))=0,"",INDEX(Lookup_Status!$B$2:$B$13,SUMPRODUCT((Lookup_Status!$A$2:$A$13=LOWER(TRIM(Raw_Passengers!F1100)))*(ROW(Lookup_Status!$A$2:$A$13)-1))))</f>
        <v>RAC</v>
      </c>
      <c r="H1100" s="7" t="str">
        <f>IF(SUMPRODUCT(--(Lookup_Status!$A$2:$A$13=LOWER(TRIM(Raw_Passengers!G1100))))=0,"",INDEX(Lookup_Status!$B$2:$B$13,SUMPRODUCT((Lookup_Status!$A$2:$A$13=LOWER(TRIM(Raw_Passengers!G1100)))*(ROW(Lookup_Status!$A$2:$A$13)-1))))</f>
        <v>Cancelled</v>
      </c>
      <c r="I1100" s="7">
        <f>IF(OR(G1100="",G1100="Cancelled",G1100="Mixed"),1,0)</f>
        <v>0</v>
      </c>
      <c r="J1100" s="7">
        <f>IF(OR(H1100="",H1100="Mixed"),1,0)</f>
        <v>0</v>
      </c>
      <c r="K1100" s="7">
        <f>IF(AND(C1100=0,D1100=0),IF(OR(AND(I1100=0,NOT(EXACT(Raw_Passengers!F1100,G1100))),AND(J1100=0,NOT(EXACT(Raw_Passengers!G1100,H1100)))),1,0),0)</f>
        <v>0</v>
      </c>
      <c r="L1100" s="7">
        <f>IF(AND(C1100=0,D1100=0,I1100=1),1,0)</f>
        <v>0</v>
      </c>
      <c r="M1100" s="7">
        <f>IF(AND(C1100=0,D1100=0,J1100=1),1,0)</f>
        <v>0</v>
      </c>
    </row>
    <row r="1101" spans="1:13">
      <c r="A1101" s="7">
        <f>Raw_Passengers!A1101</f>
        <v>357330</v>
      </c>
      <c r="B1101" s="7">
        <f>Raw_Passengers!B1101</f>
        <v>1177167</v>
      </c>
      <c r="C1101" s="7">
        <f>IF(COUNTIF(Raw_Passengers!$A$2:A1101,Raw_Passengers!A1101)&gt;1,1,0)</f>
        <v>0</v>
      </c>
      <c r="D1101" s="7">
        <f>IF(COUNTIF(Raw_Bookings!$A$2:$A$648,Raw_Passengers!B1101)=0,1,0)</f>
        <v>0</v>
      </c>
      <c r="E1101" s="7">
        <f>IF(OR(C1101=1,D1101=1),0,IF(NOT(ISNUMBER(Raw_Passengers!E1101)),1,IF(Raw_Passengers!E1101&lt;=0,1,0)))</f>
        <v>0</v>
      </c>
      <c r="F1101" s="7">
        <f>IF(AND(C1101=0,D1101=0,TRIM(Raw_Passengers!D1101&amp;"")=""),1,0)</f>
        <v>0</v>
      </c>
      <c r="G1101" s="7" t="str">
        <f>IF(SUMPRODUCT(--(Lookup_Status!$A$2:$A$13=LOWER(TRIM(Raw_Passengers!F1101))))=0,"",INDEX(Lookup_Status!$B$2:$B$13,SUMPRODUCT((Lookup_Status!$A$2:$A$13=LOWER(TRIM(Raw_Passengers!F1101)))*(ROW(Lookup_Status!$A$2:$A$13)-1))))</f>
        <v>Confirmed</v>
      </c>
      <c r="H1101" s="7" t="str">
        <f>IF(SUMPRODUCT(--(Lookup_Status!$A$2:$A$13=LOWER(TRIM(Raw_Passengers!G1101))))=0,"",INDEX(Lookup_Status!$B$2:$B$13,SUMPRODUCT((Lookup_Status!$A$2:$A$13=LOWER(TRIM(Raw_Passengers!G1101)))*(ROW(Lookup_Status!$A$2:$A$13)-1))))</f>
        <v>Cancelled</v>
      </c>
      <c r="I1101" s="7">
        <f>IF(OR(G1101="",G1101="Cancelled",G1101="Mixed"),1,0)</f>
        <v>0</v>
      </c>
      <c r="J1101" s="7">
        <f>IF(OR(H1101="",H1101="Mixed"),1,0)</f>
        <v>0</v>
      </c>
      <c r="K1101" s="7">
        <f>IF(AND(C1101=0,D1101=0),IF(OR(AND(I1101=0,NOT(EXACT(Raw_Passengers!F1101,G1101))),AND(J1101=0,NOT(EXACT(Raw_Passengers!G1101,H1101)))),1,0),0)</f>
        <v>0</v>
      </c>
      <c r="L1101" s="7">
        <f>IF(AND(C1101=0,D1101=0,I1101=1),1,0)</f>
        <v>0</v>
      </c>
      <c r="M1101" s="7">
        <f>IF(AND(C1101=0,D1101=0,J1101=1),1,0)</f>
        <v>0</v>
      </c>
    </row>
    <row r="1102" spans="1:13">
      <c r="A1102" s="7">
        <f>Raw_Passengers!A1102</f>
        <v>357576</v>
      </c>
      <c r="B1102" s="7">
        <f>Raw_Passengers!B1102</f>
        <v>1177292</v>
      </c>
      <c r="C1102" s="7">
        <f>IF(COUNTIF(Raw_Passengers!$A$2:A1102,Raw_Passengers!A1102)&gt;1,1,0)</f>
        <v>0</v>
      </c>
      <c r="D1102" s="7">
        <f>IF(COUNTIF(Raw_Bookings!$A$2:$A$648,Raw_Passengers!B1102)=0,1,0)</f>
        <v>0</v>
      </c>
      <c r="E1102" s="7">
        <f>IF(OR(C1102=1,D1102=1),0,IF(NOT(ISNUMBER(Raw_Passengers!E1102)),1,IF(Raw_Passengers!E1102&lt;=0,1,0)))</f>
        <v>0</v>
      </c>
      <c r="F1102" s="7">
        <f>IF(AND(C1102=0,D1102=0,TRIM(Raw_Passengers!D1102&amp;"")=""),1,0)</f>
        <v>0</v>
      </c>
      <c r="G1102" s="7" t="str">
        <f>IF(SUMPRODUCT(--(Lookup_Status!$A$2:$A$13=LOWER(TRIM(Raw_Passengers!F1102))))=0,"",INDEX(Lookup_Status!$B$2:$B$13,SUMPRODUCT((Lookup_Status!$A$2:$A$13=LOWER(TRIM(Raw_Passengers!F1102)))*(ROW(Lookup_Status!$A$2:$A$13)-1))))</f>
        <v>Confirmed</v>
      </c>
      <c r="H1102" s="7" t="str">
        <f>IF(SUMPRODUCT(--(Lookup_Status!$A$2:$A$13=LOWER(TRIM(Raw_Passengers!G1102))))=0,"",INDEX(Lookup_Status!$B$2:$B$13,SUMPRODUCT((Lookup_Status!$A$2:$A$13=LOWER(TRIM(Raw_Passengers!G1102)))*(ROW(Lookup_Status!$A$2:$A$13)-1))))</f>
        <v>Confirmed</v>
      </c>
      <c r="I1102" s="7">
        <f>IF(OR(G1102="",G1102="Cancelled",G1102="Mixed"),1,0)</f>
        <v>0</v>
      </c>
      <c r="J1102" s="7">
        <f>IF(OR(H1102="",H1102="Mixed"),1,0)</f>
        <v>0</v>
      </c>
      <c r="K1102" s="7">
        <f>IF(AND(C1102=0,D1102=0),IF(OR(AND(I1102=0,NOT(EXACT(Raw_Passengers!F1102,G1102))),AND(J1102=0,NOT(EXACT(Raw_Passengers!G1102,H1102)))),1,0),0)</f>
        <v>0</v>
      </c>
      <c r="L1102" s="7">
        <f>IF(AND(C1102=0,D1102=0,I1102=1),1,0)</f>
        <v>0</v>
      </c>
      <c r="M1102" s="7">
        <f>IF(AND(C1102=0,D1102=0,J1102=1),1,0)</f>
        <v>0</v>
      </c>
    </row>
    <row r="1103" spans="1:13">
      <c r="A1103" s="7">
        <f>Raw_Passengers!A1103</f>
        <v>357577</v>
      </c>
      <c r="B1103" s="7">
        <f>Raw_Passengers!B1103</f>
        <v>1177292</v>
      </c>
      <c r="C1103" s="7">
        <f>IF(COUNTIF(Raw_Passengers!$A$2:A1103,Raw_Passengers!A1103)&gt;1,1,0)</f>
        <v>0</v>
      </c>
      <c r="D1103" s="7">
        <f>IF(COUNTIF(Raw_Bookings!$A$2:$A$648,Raw_Passengers!B1103)=0,1,0)</f>
        <v>0</v>
      </c>
      <c r="E1103" s="7">
        <f>IF(OR(C1103=1,D1103=1),0,IF(NOT(ISNUMBER(Raw_Passengers!E1103)),1,IF(Raw_Passengers!E1103&lt;=0,1,0)))</f>
        <v>0</v>
      </c>
      <c r="F1103" s="7">
        <f>IF(AND(C1103=0,D1103=0,TRIM(Raw_Passengers!D1103&amp;"")=""),1,0)</f>
        <v>0</v>
      </c>
      <c r="G1103" s="7" t="str">
        <f>IF(SUMPRODUCT(--(Lookup_Status!$A$2:$A$13=LOWER(TRIM(Raw_Passengers!F1103))))=0,"",INDEX(Lookup_Status!$B$2:$B$13,SUMPRODUCT((Lookup_Status!$A$2:$A$13=LOWER(TRIM(Raw_Passengers!F1103)))*(ROW(Lookup_Status!$A$2:$A$13)-1))))</f>
        <v>Confirmed</v>
      </c>
      <c r="H1103" s="7" t="str">
        <f>IF(SUMPRODUCT(--(Lookup_Status!$A$2:$A$13=LOWER(TRIM(Raw_Passengers!G1103))))=0,"",INDEX(Lookup_Status!$B$2:$B$13,SUMPRODUCT((Lookup_Status!$A$2:$A$13=LOWER(TRIM(Raw_Passengers!G1103)))*(ROW(Lookup_Status!$A$2:$A$13)-1))))</f>
        <v>Confirmed</v>
      </c>
      <c r="I1103" s="7">
        <f>IF(OR(G1103="",G1103="Cancelled",G1103="Mixed"),1,0)</f>
        <v>0</v>
      </c>
      <c r="J1103" s="7">
        <f>IF(OR(H1103="",H1103="Mixed"),1,0)</f>
        <v>0</v>
      </c>
      <c r="K1103" s="7">
        <f>IF(AND(C1103=0,D1103=0),IF(OR(AND(I1103=0,NOT(EXACT(Raw_Passengers!F1103,G1103))),AND(J1103=0,NOT(EXACT(Raw_Passengers!G1103,H1103)))),1,0),0)</f>
        <v>0</v>
      </c>
      <c r="L1103" s="7">
        <f>IF(AND(C1103=0,D1103=0,I1103=1),1,0)</f>
        <v>0</v>
      </c>
      <c r="M1103" s="7">
        <f>IF(AND(C1103=0,D1103=0,J1103=1),1,0)</f>
        <v>0</v>
      </c>
    </row>
    <row r="1104" spans="1:13">
      <c r="A1104" s="7">
        <f>Raw_Passengers!A1104</f>
        <v>357834</v>
      </c>
      <c r="B1104" s="7">
        <f>Raw_Passengers!B1104</f>
        <v>1177417</v>
      </c>
      <c r="C1104" s="7">
        <f>IF(COUNTIF(Raw_Passengers!$A$2:A1104,Raw_Passengers!A1104)&gt;1,1,0)</f>
        <v>0</v>
      </c>
      <c r="D1104" s="7">
        <f>IF(COUNTIF(Raw_Bookings!$A$2:$A$648,Raw_Passengers!B1104)=0,1,0)</f>
        <v>0</v>
      </c>
      <c r="E1104" s="7">
        <f>IF(OR(C1104=1,D1104=1),0,IF(NOT(ISNUMBER(Raw_Passengers!E1104)),1,IF(Raw_Passengers!E1104&lt;=0,1,0)))</f>
        <v>0</v>
      </c>
      <c r="F1104" s="7">
        <f>IF(AND(C1104=0,D1104=0,TRIM(Raw_Passengers!D1104&amp;"")=""),1,0)</f>
        <v>0</v>
      </c>
      <c r="G1104" s="7" t="str">
        <f>IF(SUMPRODUCT(--(Lookup_Status!$A$2:$A$13=LOWER(TRIM(Raw_Passengers!F1104))))=0,"",INDEX(Lookup_Status!$B$2:$B$13,SUMPRODUCT((Lookup_Status!$A$2:$A$13=LOWER(TRIM(Raw_Passengers!F1104)))*(ROW(Lookup_Status!$A$2:$A$13)-1))))</f>
        <v>Confirmed</v>
      </c>
      <c r="H1104" s="7" t="str">
        <f>IF(SUMPRODUCT(--(Lookup_Status!$A$2:$A$13=LOWER(TRIM(Raw_Passengers!G1104))))=0,"",INDEX(Lookup_Status!$B$2:$B$13,SUMPRODUCT((Lookup_Status!$A$2:$A$13=LOWER(TRIM(Raw_Passengers!G1104)))*(ROW(Lookup_Status!$A$2:$A$13)-1))))</f>
        <v>Confirmed</v>
      </c>
      <c r="I1104" s="7">
        <f>IF(OR(G1104="",G1104="Cancelled",G1104="Mixed"),1,0)</f>
        <v>0</v>
      </c>
      <c r="J1104" s="7">
        <f>IF(OR(H1104="",H1104="Mixed"),1,0)</f>
        <v>0</v>
      </c>
      <c r="K1104" s="7">
        <f>IF(AND(C1104=0,D1104=0),IF(OR(AND(I1104=0,NOT(EXACT(Raw_Passengers!F1104,G1104))),AND(J1104=0,NOT(EXACT(Raw_Passengers!G1104,H1104)))),1,0),0)</f>
        <v>0</v>
      </c>
      <c r="L1104" s="7">
        <f>IF(AND(C1104=0,D1104=0,I1104=1),1,0)</f>
        <v>0</v>
      </c>
      <c r="M1104" s="7">
        <f>IF(AND(C1104=0,D1104=0,J1104=1),1,0)</f>
        <v>0</v>
      </c>
    </row>
    <row r="1105" spans="1:13">
      <c r="A1105" s="7">
        <f>Raw_Passengers!A1105</f>
        <v>357835</v>
      </c>
      <c r="B1105" s="7">
        <f>Raw_Passengers!B1105</f>
        <v>1177417</v>
      </c>
      <c r="C1105" s="7">
        <f>IF(COUNTIF(Raw_Passengers!$A$2:A1105,Raw_Passengers!A1105)&gt;1,1,0)</f>
        <v>0</v>
      </c>
      <c r="D1105" s="7">
        <f>IF(COUNTIF(Raw_Bookings!$A$2:$A$648,Raw_Passengers!B1105)=0,1,0)</f>
        <v>0</v>
      </c>
      <c r="E1105" s="7">
        <f>IF(OR(C1105=1,D1105=1),0,IF(NOT(ISNUMBER(Raw_Passengers!E1105)),1,IF(Raw_Passengers!E1105&lt;=0,1,0)))</f>
        <v>0</v>
      </c>
      <c r="F1105" s="7">
        <f>IF(AND(C1105=0,D1105=0,TRIM(Raw_Passengers!D1105&amp;"")=""),1,0)</f>
        <v>0</v>
      </c>
      <c r="G1105" s="7" t="str">
        <f>IF(SUMPRODUCT(--(Lookup_Status!$A$2:$A$13=LOWER(TRIM(Raw_Passengers!F1105))))=0,"",INDEX(Lookup_Status!$B$2:$B$13,SUMPRODUCT((Lookup_Status!$A$2:$A$13=LOWER(TRIM(Raw_Passengers!F1105)))*(ROW(Lookup_Status!$A$2:$A$13)-1))))</f>
        <v>Confirmed</v>
      </c>
      <c r="H1105" s="7" t="str">
        <f>IF(SUMPRODUCT(--(Lookup_Status!$A$2:$A$13=LOWER(TRIM(Raw_Passengers!G1105))))=0,"",INDEX(Lookup_Status!$B$2:$B$13,SUMPRODUCT((Lookup_Status!$A$2:$A$13=LOWER(TRIM(Raw_Passengers!G1105)))*(ROW(Lookup_Status!$A$2:$A$13)-1))))</f>
        <v>Confirmed</v>
      </c>
      <c r="I1105" s="7">
        <f>IF(OR(G1105="",G1105="Cancelled",G1105="Mixed"),1,0)</f>
        <v>0</v>
      </c>
      <c r="J1105" s="7">
        <f>IF(OR(H1105="",H1105="Mixed"),1,0)</f>
        <v>0</v>
      </c>
      <c r="K1105" s="7">
        <f>IF(AND(C1105=0,D1105=0),IF(OR(AND(I1105=0,NOT(EXACT(Raw_Passengers!F1105,G1105))),AND(J1105=0,NOT(EXACT(Raw_Passengers!G1105,H1105)))),1,0),0)</f>
        <v>0</v>
      </c>
      <c r="L1105" s="7">
        <f>IF(AND(C1105=0,D1105=0,I1105=1),1,0)</f>
        <v>0</v>
      </c>
      <c r="M1105" s="7">
        <f>IF(AND(C1105=0,D1105=0,J1105=1),1,0)</f>
        <v>0</v>
      </c>
    </row>
    <row r="1106" spans="1:13">
      <c r="A1106" s="7">
        <f>Raw_Passengers!A1106</f>
        <v>357919</v>
      </c>
      <c r="B1106" s="7">
        <f>Raw_Passengers!B1106</f>
        <v>1177463</v>
      </c>
      <c r="C1106" s="7">
        <f>IF(COUNTIF(Raw_Passengers!$A$2:A1106,Raw_Passengers!A1106)&gt;1,1,0)</f>
        <v>0</v>
      </c>
      <c r="D1106" s="7">
        <f>IF(COUNTIF(Raw_Bookings!$A$2:$A$648,Raw_Passengers!B1106)=0,1,0)</f>
        <v>0</v>
      </c>
      <c r="E1106" s="7">
        <f>IF(OR(C1106=1,D1106=1),0,IF(NOT(ISNUMBER(Raw_Passengers!E1106)),1,IF(Raw_Passengers!E1106&lt;=0,1,0)))</f>
        <v>0</v>
      </c>
      <c r="F1106" s="7">
        <f>IF(AND(C1106=0,D1106=0,TRIM(Raw_Passengers!D1106&amp;"")=""),1,0)</f>
        <v>0</v>
      </c>
      <c r="G1106" s="7" t="str">
        <f>IF(SUMPRODUCT(--(Lookup_Status!$A$2:$A$13=LOWER(TRIM(Raw_Passengers!F1106))))=0,"",INDEX(Lookup_Status!$B$2:$B$13,SUMPRODUCT((Lookup_Status!$A$2:$A$13=LOWER(TRIM(Raw_Passengers!F1106)))*(ROW(Lookup_Status!$A$2:$A$13)-1))))</f>
        <v>Confirmed</v>
      </c>
      <c r="H1106" s="7" t="str">
        <f>IF(SUMPRODUCT(--(Lookup_Status!$A$2:$A$13=LOWER(TRIM(Raw_Passengers!G1106))))=0,"",INDEX(Lookup_Status!$B$2:$B$13,SUMPRODUCT((Lookup_Status!$A$2:$A$13=LOWER(TRIM(Raw_Passengers!G1106)))*(ROW(Lookup_Status!$A$2:$A$13)-1))))</f>
        <v>Confirmed</v>
      </c>
      <c r="I1106" s="7">
        <f>IF(OR(G1106="",G1106="Cancelled",G1106="Mixed"),1,0)</f>
        <v>0</v>
      </c>
      <c r="J1106" s="7">
        <f>IF(OR(H1106="",H1106="Mixed"),1,0)</f>
        <v>0</v>
      </c>
      <c r="K1106" s="7">
        <f>IF(AND(C1106=0,D1106=0),IF(OR(AND(I1106=0,NOT(EXACT(Raw_Passengers!F1106,G1106))),AND(J1106=0,NOT(EXACT(Raw_Passengers!G1106,H1106)))),1,0),0)</f>
        <v>0</v>
      </c>
      <c r="L1106" s="7">
        <f>IF(AND(C1106=0,D1106=0,I1106=1),1,0)</f>
        <v>0</v>
      </c>
      <c r="M1106" s="7">
        <f>IF(AND(C1106=0,D1106=0,J1106=1),1,0)</f>
        <v>0</v>
      </c>
    </row>
    <row r="1107" spans="1:13">
      <c r="A1107" s="7">
        <f>Raw_Passengers!A1107</f>
        <v>357949</v>
      </c>
      <c r="B1107" s="7">
        <f>Raw_Passengers!B1107</f>
        <v>1177481</v>
      </c>
      <c r="C1107" s="7">
        <f>IF(COUNTIF(Raw_Passengers!$A$2:A1107,Raw_Passengers!A1107)&gt;1,1,0)</f>
        <v>0</v>
      </c>
      <c r="D1107" s="7">
        <f>IF(COUNTIF(Raw_Bookings!$A$2:$A$648,Raw_Passengers!B1107)=0,1,0)</f>
        <v>0</v>
      </c>
      <c r="E1107" s="7">
        <f>IF(OR(C1107=1,D1107=1),0,IF(NOT(ISNUMBER(Raw_Passengers!E1107)),1,IF(Raw_Passengers!E1107&lt;=0,1,0)))</f>
        <v>0</v>
      </c>
      <c r="F1107" s="7">
        <f>IF(AND(C1107=0,D1107=0,TRIM(Raw_Passengers!D1107&amp;"")=""),1,0)</f>
        <v>0</v>
      </c>
      <c r="G1107" s="7" t="str">
        <f>IF(SUMPRODUCT(--(Lookup_Status!$A$2:$A$13=LOWER(TRIM(Raw_Passengers!F1107))))=0,"",INDEX(Lookup_Status!$B$2:$B$13,SUMPRODUCT((Lookup_Status!$A$2:$A$13=LOWER(TRIM(Raw_Passengers!F1107)))*(ROW(Lookup_Status!$A$2:$A$13)-1))))</f>
        <v>Waitlisted</v>
      </c>
      <c r="H1107" s="7" t="str">
        <f>IF(SUMPRODUCT(--(Lookup_Status!$A$2:$A$13=LOWER(TRIM(Raw_Passengers!G1107))))=0,"",INDEX(Lookup_Status!$B$2:$B$13,SUMPRODUCT((Lookup_Status!$A$2:$A$13=LOWER(TRIM(Raw_Passengers!G1107)))*(ROW(Lookup_Status!$A$2:$A$13)-1))))</f>
        <v>Cancelled</v>
      </c>
      <c r="I1107" s="7">
        <f>IF(OR(G1107="",G1107="Cancelled",G1107="Mixed"),1,0)</f>
        <v>0</v>
      </c>
      <c r="J1107" s="7">
        <f>IF(OR(H1107="",H1107="Mixed"),1,0)</f>
        <v>0</v>
      </c>
      <c r="K1107" s="7">
        <f>IF(AND(C1107=0,D1107=0),IF(OR(AND(I1107=0,NOT(EXACT(Raw_Passengers!F1107,G1107))),AND(J1107=0,NOT(EXACT(Raw_Passengers!G1107,H1107)))),1,0),0)</f>
        <v>0</v>
      </c>
      <c r="L1107" s="7">
        <f>IF(AND(C1107=0,D1107=0,I1107=1),1,0)</f>
        <v>0</v>
      </c>
      <c r="M1107" s="7">
        <f>IF(AND(C1107=0,D1107=0,J1107=1),1,0)</f>
        <v>0</v>
      </c>
    </row>
    <row r="1108" spans="1:13">
      <c r="A1108" s="7">
        <f>Raw_Passengers!A1108</f>
        <v>358591</v>
      </c>
      <c r="B1108" s="7">
        <f>Raw_Passengers!B1108</f>
        <v>1177797</v>
      </c>
      <c r="C1108" s="7">
        <f>IF(COUNTIF(Raw_Passengers!$A$2:A1108,Raw_Passengers!A1108)&gt;1,1,0)</f>
        <v>0</v>
      </c>
      <c r="D1108" s="7">
        <f>IF(COUNTIF(Raw_Bookings!$A$2:$A$648,Raw_Passengers!B1108)=0,1,0)</f>
        <v>0</v>
      </c>
      <c r="E1108" s="7">
        <f>IF(OR(C1108=1,D1108=1),0,IF(NOT(ISNUMBER(Raw_Passengers!E1108)),1,IF(Raw_Passengers!E1108&lt;=0,1,0)))</f>
        <v>0</v>
      </c>
      <c r="F1108" s="7">
        <f>IF(AND(C1108=0,D1108=0,TRIM(Raw_Passengers!D1108&amp;"")=""),1,0)</f>
        <v>0</v>
      </c>
      <c r="G1108" s="7" t="str">
        <f>IF(SUMPRODUCT(--(Lookup_Status!$A$2:$A$13=LOWER(TRIM(Raw_Passengers!F1108))))=0,"",INDEX(Lookup_Status!$B$2:$B$13,SUMPRODUCT((Lookup_Status!$A$2:$A$13=LOWER(TRIM(Raw_Passengers!F1108)))*(ROW(Lookup_Status!$A$2:$A$13)-1))))</f>
        <v>Confirmed</v>
      </c>
      <c r="H1108" s="7" t="str">
        <f>IF(SUMPRODUCT(--(Lookup_Status!$A$2:$A$13=LOWER(TRIM(Raw_Passengers!G1108))))=0,"",INDEX(Lookup_Status!$B$2:$B$13,SUMPRODUCT((Lookup_Status!$A$2:$A$13=LOWER(TRIM(Raw_Passengers!G1108)))*(ROW(Lookup_Status!$A$2:$A$13)-1))))</f>
        <v>Confirmed</v>
      </c>
      <c r="I1108" s="7">
        <f>IF(OR(G1108="",G1108="Cancelled",G1108="Mixed"),1,0)</f>
        <v>0</v>
      </c>
      <c r="J1108" s="7">
        <f>IF(OR(H1108="",H1108="Mixed"),1,0)</f>
        <v>0</v>
      </c>
      <c r="K1108" s="7">
        <f>IF(AND(C1108=0,D1108=0),IF(OR(AND(I1108=0,NOT(EXACT(Raw_Passengers!F1108,G1108))),AND(J1108=0,NOT(EXACT(Raw_Passengers!G1108,H1108)))),1,0),0)</f>
        <v>0</v>
      </c>
      <c r="L1108" s="7">
        <f>IF(AND(C1108=0,D1108=0,I1108=1),1,0)</f>
        <v>0</v>
      </c>
      <c r="M1108" s="7">
        <f>IF(AND(C1108=0,D1108=0,J1108=1),1,0)</f>
        <v>0</v>
      </c>
    </row>
    <row r="1109" spans="1:13">
      <c r="A1109" s="7">
        <f>Raw_Passengers!A1109</f>
        <v>358893</v>
      </c>
      <c r="B1109" s="7">
        <f>Raw_Passengers!B1109</f>
        <v>1177952</v>
      </c>
      <c r="C1109" s="7">
        <f>IF(COUNTIF(Raw_Passengers!$A$2:A1109,Raw_Passengers!A1109)&gt;1,1,0)</f>
        <v>0</v>
      </c>
      <c r="D1109" s="7">
        <f>IF(COUNTIF(Raw_Bookings!$A$2:$A$648,Raw_Passengers!B1109)=0,1,0)</f>
        <v>0</v>
      </c>
      <c r="E1109" s="7">
        <f>IF(OR(C1109=1,D1109=1),0,IF(NOT(ISNUMBER(Raw_Passengers!E1109)),1,IF(Raw_Passengers!E1109&lt;=0,1,0)))</f>
        <v>0</v>
      </c>
      <c r="F1109" s="7">
        <f>IF(AND(C1109=0,D1109=0,TRIM(Raw_Passengers!D1109&amp;"")=""),1,0)</f>
        <v>0</v>
      </c>
      <c r="G1109" s="7" t="str">
        <f>IF(SUMPRODUCT(--(Lookup_Status!$A$2:$A$13=LOWER(TRIM(Raw_Passengers!F1109))))=0,"",INDEX(Lookup_Status!$B$2:$B$13,SUMPRODUCT((Lookup_Status!$A$2:$A$13=LOWER(TRIM(Raw_Passengers!F1109)))*(ROW(Lookup_Status!$A$2:$A$13)-1))))</f>
        <v>Confirmed</v>
      </c>
      <c r="H1109" s="7" t="str">
        <f>IF(SUMPRODUCT(--(Lookup_Status!$A$2:$A$13=LOWER(TRIM(Raw_Passengers!G1109))))=0,"",INDEX(Lookup_Status!$B$2:$B$13,SUMPRODUCT((Lookup_Status!$A$2:$A$13=LOWER(TRIM(Raw_Passengers!G1109)))*(ROW(Lookup_Status!$A$2:$A$13)-1))))</f>
        <v>Confirmed</v>
      </c>
      <c r="I1109" s="7">
        <f>IF(OR(G1109="",G1109="Cancelled",G1109="Mixed"),1,0)</f>
        <v>0</v>
      </c>
      <c r="J1109" s="7">
        <f>IF(OR(H1109="",H1109="Mixed"),1,0)</f>
        <v>0</v>
      </c>
      <c r="K1109" s="7">
        <f>IF(AND(C1109=0,D1109=0),IF(OR(AND(I1109=0,NOT(EXACT(Raw_Passengers!F1109,G1109))),AND(J1109=0,NOT(EXACT(Raw_Passengers!G1109,H1109)))),1,0),0)</f>
        <v>0</v>
      </c>
      <c r="L1109" s="7">
        <f>IF(AND(C1109=0,D1109=0,I1109=1),1,0)</f>
        <v>0</v>
      </c>
      <c r="M1109" s="7">
        <f>IF(AND(C1109=0,D1109=0,J1109=1),1,0)</f>
        <v>0</v>
      </c>
    </row>
    <row r="1110" spans="1:13">
      <c r="A1110" s="7">
        <f>Raw_Passengers!A1110</f>
        <v>359410</v>
      </c>
      <c r="B1110" s="7">
        <f>Raw_Passengers!B1110</f>
        <v>1178210</v>
      </c>
      <c r="C1110" s="7">
        <f>IF(COUNTIF(Raw_Passengers!$A$2:A1110,Raw_Passengers!A1110)&gt;1,1,0)</f>
        <v>0</v>
      </c>
      <c r="D1110" s="7">
        <f>IF(COUNTIF(Raw_Bookings!$A$2:$A$648,Raw_Passengers!B1110)=0,1,0)</f>
        <v>0</v>
      </c>
      <c r="E1110" s="7">
        <f>IF(OR(C1110=1,D1110=1),0,IF(NOT(ISNUMBER(Raw_Passengers!E1110)),1,IF(Raw_Passengers!E1110&lt;=0,1,0)))</f>
        <v>0</v>
      </c>
      <c r="F1110" s="7">
        <f>IF(AND(C1110=0,D1110=0,TRIM(Raw_Passengers!D1110&amp;"")=""),1,0)</f>
        <v>0</v>
      </c>
      <c r="G1110" s="7" t="str">
        <f>IF(SUMPRODUCT(--(Lookup_Status!$A$2:$A$13=LOWER(TRIM(Raw_Passengers!F1110))))=0,"",INDEX(Lookup_Status!$B$2:$B$13,SUMPRODUCT((Lookup_Status!$A$2:$A$13=LOWER(TRIM(Raw_Passengers!F1110)))*(ROW(Lookup_Status!$A$2:$A$13)-1))))</f>
        <v>Confirmed</v>
      </c>
      <c r="H1110" s="7" t="str">
        <f>IF(SUMPRODUCT(--(Lookup_Status!$A$2:$A$13=LOWER(TRIM(Raw_Passengers!G1110))))=0,"",INDEX(Lookup_Status!$B$2:$B$13,SUMPRODUCT((Lookup_Status!$A$2:$A$13=LOWER(TRIM(Raw_Passengers!G1110)))*(ROW(Lookup_Status!$A$2:$A$13)-1))))</f>
        <v>Confirmed</v>
      </c>
      <c r="I1110" s="7">
        <f>IF(OR(G1110="",G1110="Cancelled",G1110="Mixed"),1,0)</f>
        <v>0</v>
      </c>
      <c r="J1110" s="7">
        <f>IF(OR(H1110="",H1110="Mixed"),1,0)</f>
        <v>0</v>
      </c>
      <c r="K1110" s="7">
        <f>IF(AND(C1110=0,D1110=0),IF(OR(AND(I1110=0,NOT(EXACT(Raw_Passengers!F1110,G1110))),AND(J1110=0,NOT(EXACT(Raw_Passengers!G1110,H1110)))),1,0),0)</f>
        <v>0</v>
      </c>
      <c r="L1110" s="7">
        <f>IF(AND(C1110=0,D1110=0,I1110=1),1,0)</f>
        <v>0</v>
      </c>
      <c r="M1110" s="7">
        <f>IF(AND(C1110=0,D1110=0,J1110=1),1,0)</f>
        <v>0</v>
      </c>
    </row>
    <row r="1111" spans="1:13">
      <c r="A1111" s="7">
        <f>Raw_Passengers!A1111</f>
        <v>359725</v>
      </c>
      <c r="B1111" s="7">
        <f>Raw_Passengers!B1111</f>
        <v>1178372</v>
      </c>
      <c r="C1111" s="7">
        <f>IF(COUNTIF(Raw_Passengers!$A$2:A1111,Raw_Passengers!A1111)&gt;1,1,0)</f>
        <v>0</v>
      </c>
      <c r="D1111" s="7">
        <f>IF(COUNTIF(Raw_Bookings!$A$2:$A$648,Raw_Passengers!B1111)=0,1,0)</f>
        <v>0</v>
      </c>
      <c r="E1111" s="7">
        <f>IF(OR(C1111=1,D1111=1),0,IF(NOT(ISNUMBER(Raw_Passengers!E1111)),1,IF(Raw_Passengers!E1111&lt;=0,1,0)))</f>
        <v>0</v>
      </c>
      <c r="F1111" s="7">
        <f>IF(AND(C1111=0,D1111=0,TRIM(Raw_Passengers!D1111&amp;"")=""),1,0)</f>
        <v>0</v>
      </c>
      <c r="G1111" s="7" t="str">
        <f>IF(SUMPRODUCT(--(Lookup_Status!$A$2:$A$13=LOWER(TRIM(Raw_Passengers!F1111))))=0,"",INDEX(Lookup_Status!$B$2:$B$13,SUMPRODUCT((Lookup_Status!$A$2:$A$13=LOWER(TRIM(Raw_Passengers!F1111)))*(ROW(Lookup_Status!$A$2:$A$13)-1))))</f>
        <v>Confirmed</v>
      </c>
      <c r="H1111" s="7" t="str">
        <f>IF(SUMPRODUCT(--(Lookup_Status!$A$2:$A$13=LOWER(TRIM(Raw_Passengers!G1111))))=0,"",INDEX(Lookup_Status!$B$2:$B$13,SUMPRODUCT((Lookup_Status!$A$2:$A$13=LOWER(TRIM(Raw_Passengers!G1111)))*(ROW(Lookup_Status!$A$2:$A$13)-1))))</f>
        <v>Confirmed</v>
      </c>
      <c r="I1111" s="7">
        <f>IF(OR(G1111="",G1111="Cancelled",G1111="Mixed"),1,0)</f>
        <v>0</v>
      </c>
      <c r="J1111" s="7">
        <f>IF(OR(H1111="",H1111="Mixed"),1,0)</f>
        <v>0</v>
      </c>
      <c r="K1111" s="7">
        <f>IF(AND(C1111=0,D1111=0),IF(OR(AND(I1111=0,NOT(EXACT(Raw_Passengers!F1111,G1111))),AND(J1111=0,NOT(EXACT(Raw_Passengers!G1111,H1111)))),1,0),0)</f>
        <v>0</v>
      </c>
      <c r="L1111" s="7">
        <f>IF(AND(C1111=0,D1111=0,I1111=1),1,0)</f>
        <v>0</v>
      </c>
      <c r="M1111" s="7">
        <f>IF(AND(C1111=0,D1111=0,J1111=1),1,0)</f>
        <v>0</v>
      </c>
    </row>
    <row r="1112" spans="1:13">
      <c r="A1112" s="7">
        <f>Raw_Passengers!A1112</f>
        <v>360136</v>
      </c>
      <c r="B1112" s="7">
        <f>Raw_Passengers!B1112</f>
        <v>1178581</v>
      </c>
      <c r="C1112" s="7">
        <f>IF(COUNTIF(Raw_Passengers!$A$2:A1112,Raw_Passengers!A1112)&gt;1,1,0)</f>
        <v>0</v>
      </c>
      <c r="D1112" s="7">
        <f>IF(COUNTIF(Raw_Bookings!$A$2:$A$648,Raw_Passengers!B1112)=0,1,0)</f>
        <v>0</v>
      </c>
      <c r="E1112" s="7">
        <f>IF(OR(C1112=1,D1112=1),0,IF(NOT(ISNUMBER(Raw_Passengers!E1112)),1,IF(Raw_Passengers!E1112&lt;=0,1,0)))</f>
        <v>0</v>
      </c>
      <c r="F1112" s="7">
        <f>IF(AND(C1112=0,D1112=0,TRIM(Raw_Passengers!D1112&amp;"")=""),1,0)</f>
        <v>0</v>
      </c>
      <c r="G1112" s="7" t="str">
        <f>IF(SUMPRODUCT(--(Lookup_Status!$A$2:$A$13=LOWER(TRIM(Raw_Passengers!F1112))))=0,"",INDEX(Lookup_Status!$B$2:$B$13,SUMPRODUCT((Lookup_Status!$A$2:$A$13=LOWER(TRIM(Raw_Passengers!F1112)))*(ROW(Lookup_Status!$A$2:$A$13)-1))))</f>
        <v>RAC</v>
      </c>
      <c r="H1112" s="7" t="str">
        <f>IF(SUMPRODUCT(--(Lookup_Status!$A$2:$A$13=LOWER(TRIM(Raw_Passengers!G1112))))=0,"",INDEX(Lookup_Status!$B$2:$B$13,SUMPRODUCT((Lookup_Status!$A$2:$A$13=LOWER(TRIM(Raw_Passengers!G1112)))*(ROW(Lookup_Status!$A$2:$A$13)-1))))</f>
        <v>RAC</v>
      </c>
      <c r="I1112" s="7">
        <f>IF(OR(G1112="",G1112="Cancelled",G1112="Mixed"),1,0)</f>
        <v>0</v>
      </c>
      <c r="J1112" s="7">
        <f>IF(OR(H1112="",H1112="Mixed"),1,0)</f>
        <v>0</v>
      </c>
      <c r="K1112" s="7">
        <f>IF(AND(C1112=0,D1112=0),IF(OR(AND(I1112=0,NOT(EXACT(Raw_Passengers!F1112,G1112))),AND(J1112=0,NOT(EXACT(Raw_Passengers!G1112,H1112)))),1,0),0)</f>
        <v>0</v>
      </c>
      <c r="L1112" s="7">
        <f>IF(AND(C1112=0,D1112=0,I1112=1),1,0)</f>
        <v>0</v>
      </c>
      <c r="M1112" s="7">
        <f>IF(AND(C1112=0,D1112=0,J1112=1),1,0)</f>
        <v>0</v>
      </c>
    </row>
    <row r="1113" spans="1:13">
      <c r="A1113" s="7">
        <f>Raw_Passengers!A1113</f>
        <v>360137</v>
      </c>
      <c r="B1113" s="7">
        <f>Raw_Passengers!B1113</f>
        <v>1178581</v>
      </c>
      <c r="C1113" s="7">
        <f>IF(COUNTIF(Raw_Passengers!$A$2:A1113,Raw_Passengers!A1113)&gt;1,1,0)</f>
        <v>0</v>
      </c>
      <c r="D1113" s="7">
        <f>IF(COUNTIF(Raw_Bookings!$A$2:$A$648,Raw_Passengers!B1113)=0,1,0)</f>
        <v>0</v>
      </c>
      <c r="E1113" s="7">
        <f>IF(OR(C1113=1,D1113=1),0,IF(NOT(ISNUMBER(Raw_Passengers!E1113)),1,IF(Raw_Passengers!E1113&lt;=0,1,0)))</f>
        <v>0</v>
      </c>
      <c r="F1113" s="7">
        <f>IF(AND(C1113=0,D1113=0,TRIM(Raw_Passengers!D1113&amp;"")=""),1,0)</f>
        <v>0</v>
      </c>
      <c r="G1113" s="7" t="str">
        <f>IF(SUMPRODUCT(--(Lookup_Status!$A$2:$A$13=LOWER(TRIM(Raw_Passengers!F1113))))=0,"",INDEX(Lookup_Status!$B$2:$B$13,SUMPRODUCT((Lookup_Status!$A$2:$A$13=LOWER(TRIM(Raw_Passengers!F1113)))*(ROW(Lookup_Status!$A$2:$A$13)-1))))</f>
        <v>RAC</v>
      </c>
      <c r="H1113" s="7" t="str">
        <f>IF(SUMPRODUCT(--(Lookup_Status!$A$2:$A$13=LOWER(TRIM(Raw_Passengers!G1113))))=0,"",INDEX(Lookup_Status!$B$2:$B$13,SUMPRODUCT((Lookup_Status!$A$2:$A$13=LOWER(TRIM(Raw_Passengers!G1113)))*(ROW(Lookup_Status!$A$2:$A$13)-1))))</f>
        <v>RAC</v>
      </c>
      <c r="I1113" s="7">
        <f>IF(OR(G1113="",G1113="Cancelled",G1113="Mixed"),1,0)</f>
        <v>0</v>
      </c>
      <c r="J1113" s="7">
        <f>IF(OR(H1113="",H1113="Mixed"),1,0)</f>
        <v>0</v>
      </c>
      <c r="K1113" s="7">
        <f>IF(AND(C1113=0,D1113=0),IF(OR(AND(I1113=0,NOT(EXACT(Raw_Passengers!F1113,G1113))),AND(J1113=0,NOT(EXACT(Raw_Passengers!G1113,H1113)))),1,0),0)</f>
        <v>0</v>
      </c>
      <c r="L1113" s="7">
        <f>IF(AND(C1113=0,D1113=0,I1113=1),1,0)</f>
        <v>0</v>
      </c>
      <c r="M1113" s="7">
        <f>IF(AND(C1113=0,D1113=0,J1113=1),1,0)</f>
        <v>0</v>
      </c>
    </row>
    <row r="1114" spans="1:13">
      <c r="A1114" s="7">
        <f>Raw_Passengers!A1114</f>
        <v>360834</v>
      </c>
      <c r="B1114" s="7">
        <f>Raw_Passengers!B1114</f>
        <v>1178955</v>
      </c>
      <c r="C1114" s="7">
        <f>IF(COUNTIF(Raw_Passengers!$A$2:A1114,Raw_Passengers!A1114)&gt;1,1,0)</f>
        <v>0</v>
      </c>
      <c r="D1114" s="7">
        <f>IF(COUNTIF(Raw_Bookings!$A$2:$A$648,Raw_Passengers!B1114)=0,1,0)</f>
        <v>0</v>
      </c>
      <c r="E1114" s="7">
        <f>IF(OR(C1114=1,D1114=1),0,IF(NOT(ISNUMBER(Raw_Passengers!E1114)),1,IF(Raw_Passengers!E1114&lt;=0,1,0)))</f>
        <v>0</v>
      </c>
      <c r="F1114" s="7">
        <f>IF(AND(C1114=0,D1114=0,TRIM(Raw_Passengers!D1114&amp;"")=""),1,0)</f>
        <v>0</v>
      </c>
      <c r="G1114" s="7" t="str">
        <f>IF(SUMPRODUCT(--(Lookup_Status!$A$2:$A$13=LOWER(TRIM(Raw_Passengers!F1114))))=0,"",INDEX(Lookup_Status!$B$2:$B$13,SUMPRODUCT((Lookup_Status!$A$2:$A$13=LOWER(TRIM(Raw_Passengers!F1114)))*(ROW(Lookup_Status!$A$2:$A$13)-1))))</f>
        <v>Confirmed</v>
      </c>
      <c r="H1114" s="7" t="str">
        <f>IF(SUMPRODUCT(--(Lookup_Status!$A$2:$A$13=LOWER(TRIM(Raw_Passengers!G1114))))=0,"",INDEX(Lookup_Status!$B$2:$B$13,SUMPRODUCT((Lookup_Status!$A$2:$A$13=LOWER(TRIM(Raw_Passengers!G1114)))*(ROW(Lookup_Status!$A$2:$A$13)-1))))</f>
        <v>Confirmed</v>
      </c>
      <c r="I1114" s="7">
        <f>IF(OR(G1114="",G1114="Cancelled",G1114="Mixed"),1,0)</f>
        <v>0</v>
      </c>
      <c r="J1114" s="7">
        <f>IF(OR(H1114="",H1114="Mixed"),1,0)</f>
        <v>0</v>
      </c>
      <c r="K1114" s="7">
        <f>IF(AND(C1114=0,D1114=0),IF(OR(AND(I1114=0,NOT(EXACT(Raw_Passengers!F1114,G1114))),AND(J1114=0,NOT(EXACT(Raw_Passengers!G1114,H1114)))),1,0),0)</f>
        <v>0</v>
      </c>
      <c r="L1114" s="7">
        <f>IF(AND(C1114=0,D1114=0,I1114=1),1,0)</f>
        <v>0</v>
      </c>
      <c r="M1114" s="7">
        <f>IF(AND(C1114=0,D1114=0,J1114=1),1,0)</f>
        <v>0</v>
      </c>
    </row>
    <row r="1115" spans="1:13">
      <c r="A1115" s="7">
        <f>Raw_Passengers!A1115</f>
        <v>360835</v>
      </c>
      <c r="B1115" s="7">
        <f>Raw_Passengers!B1115</f>
        <v>1178955</v>
      </c>
      <c r="C1115" s="7">
        <f>IF(COUNTIF(Raw_Passengers!$A$2:A1115,Raw_Passengers!A1115)&gt;1,1,0)</f>
        <v>0</v>
      </c>
      <c r="D1115" s="7">
        <f>IF(COUNTIF(Raw_Bookings!$A$2:$A$648,Raw_Passengers!B1115)=0,1,0)</f>
        <v>0</v>
      </c>
      <c r="E1115" s="7">
        <f>IF(OR(C1115=1,D1115=1),0,IF(NOT(ISNUMBER(Raw_Passengers!E1115)),1,IF(Raw_Passengers!E1115&lt;=0,1,0)))</f>
        <v>0</v>
      </c>
      <c r="F1115" s="7">
        <f>IF(AND(C1115=0,D1115=0,TRIM(Raw_Passengers!D1115&amp;"")=""),1,0)</f>
        <v>0</v>
      </c>
      <c r="G1115" s="7" t="str">
        <f>IF(SUMPRODUCT(--(Lookup_Status!$A$2:$A$13=LOWER(TRIM(Raw_Passengers!F1115))))=0,"",INDEX(Lookup_Status!$B$2:$B$13,SUMPRODUCT((Lookup_Status!$A$2:$A$13=LOWER(TRIM(Raw_Passengers!F1115)))*(ROW(Lookup_Status!$A$2:$A$13)-1))))</f>
        <v>Confirmed</v>
      </c>
      <c r="H1115" s="7" t="str">
        <f>IF(SUMPRODUCT(--(Lookup_Status!$A$2:$A$13=LOWER(TRIM(Raw_Passengers!G1115))))=0,"",INDEX(Lookup_Status!$B$2:$B$13,SUMPRODUCT((Lookup_Status!$A$2:$A$13=LOWER(TRIM(Raw_Passengers!G1115)))*(ROW(Lookup_Status!$A$2:$A$13)-1))))</f>
        <v>Confirmed</v>
      </c>
      <c r="I1115" s="7">
        <f>IF(OR(G1115="",G1115="Cancelled",G1115="Mixed"),1,0)</f>
        <v>0</v>
      </c>
      <c r="J1115" s="7">
        <f>IF(OR(H1115="",H1115="Mixed"),1,0)</f>
        <v>0</v>
      </c>
      <c r="K1115" s="7">
        <f>IF(AND(C1115=0,D1115=0),IF(OR(AND(I1115=0,NOT(EXACT(Raw_Passengers!F1115,G1115))),AND(J1115=0,NOT(EXACT(Raw_Passengers!G1115,H1115)))),1,0),0)</f>
        <v>0</v>
      </c>
      <c r="L1115" s="7">
        <f>IF(AND(C1115=0,D1115=0,I1115=1),1,0)</f>
        <v>0</v>
      </c>
      <c r="M1115" s="7">
        <f>IF(AND(C1115=0,D1115=0,J1115=1),1,0)</f>
        <v>0</v>
      </c>
    </row>
    <row r="1116" spans="1:13">
      <c r="A1116" s="7">
        <f>Raw_Passengers!A1116</f>
        <v>360836</v>
      </c>
      <c r="B1116" s="7">
        <f>Raw_Passengers!B1116</f>
        <v>1178955</v>
      </c>
      <c r="C1116" s="7">
        <f>IF(COUNTIF(Raw_Passengers!$A$2:A1116,Raw_Passengers!A1116)&gt;1,1,0)</f>
        <v>0</v>
      </c>
      <c r="D1116" s="7">
        <f>IF(COUNTIF(Raw_Bookings!$A$2:$A$648,Raw_Passengers!B1116)=0,1,0)</f>
        <v>0</v>
      </c>
      <c r="E1116" s="7">
        <f>IF(OR(C1116=1,D1116=1),0,IF(NOT(ISNUMBER(Raw_Passengers!E1116)),1,IF(Raw_Passengers!E1116&lt;=0,1,0)))</f>
        <v>0</v>
      </c>
      <c r="F1116" s="7">
        <f>IF(AND(C1116=0,D1116=0,TRIM(Raw_Passengers!D1116&amp;"")=""),1,0)</f>
        <v>0</v>
      </c>
      <c r="G1116" s="7" t="str">
        <f>IF(SUMPRODUCT(--(Lookup_Status!$A$2:$A$13=LOWER(TRIM(Raw_Passengers!F1116))))=0,"",INDEX(Lookup_Status!$B$2:$B$13,SUMPRODUCT((Lookup_Status!$A$2:$A$13=LOWER(TRIM(Raw_Passengers!F1116)))*(ROW(Lookup_Status!$A$2:$A$13)-1))))</f>
        <v>Confirmed</v>
      </c>
      <c r="H1116" s="7" t="str">
        <f>IF(SUMPRODUCT(--(Lookup_Status!$A$2:$A$13=LOWER(TRIM(Raw_Passengers!G1116))))=0,"",INDEX(Lookup_Status!$B$2:$B$13,SUMPRODUCT((Lookup_Status!$A$2:$A$13=LOWER(TRIM(Raw_Passengers!G1116)))*(ROW(Lookup_Status!$A$2:$A$13)-1))))</f>
        <v>Confirmed</v>
      </c>
      <c r="I1116" s="7">
        <f>IF(OR(G1116="",G1116="Cancelled",G1116="Mixed"),1,0)</f>
        <v>0</v>
      </c>
      <c r="J1116" s="7">
        <f>IF(OR(H1116="",H1116="Mixed"),1,0)</f>
        <v>0</v>
      </c>
      <c r="K1116" s="7">
        <f>IF(AND(C1116=0,D1116=0),IF(OR(AND(I1116=0,NOT(EXACT(Raw_Passengers!F1116,G1116))),AND(J1116=0,NOT(EXACT(Raw_Passengers!G1116,H1116)))),1,0),0)</f>
        <v>0</v>
      </c>
      <c r="L1116" s="7">
        <f>IF(AND(C1116=0,D1116=0,I1116=1),1,0)</f>
        <v>0</v>
      </c>
      <c r="M1116" s="7">
        <f>IF(AND(C1116=0,D1116=0,J1116=1),1,0)</f>
        <v>0</v>
      </c>
    </row>
    <row r="1117" spans="1:13">
      <c r="A1117" s="7">
        <f>Raw_Passengers!A1117</f>
        <v>360837</v>
      </c>
      <c r="B1117" s="7">
        <f>Raw_Passengers!B1117</f>
        <v>1178955</v>
      </c>
      <c r="C1117" s="7">
        <f>IF(COUNTIF(Raw_Passengers!$A$2:A1117,Raw_Passengers!A1117)&gt;1,1,0)</f>
        <v>0</v>
      </c>
      <c r="D1117" s="7">
        <f>IF(COUNTIF(Raw_Bookings!$A$2:$A$648,Raw_Passengers!B1117)=0,1,0)</f>
        <v>0</v>
      </c>
      <c r="E1117" s="7">
        <f>IF(OR(C1117=1,D1117=1),0,IF(NOT(ISNUMBER(Raw_Passengers!E1117)),1,IF(Raw_Passengers!E1117&lt;=0,1,0)))</f>
        <v>0</v>
      </c>
      <c r="F1117" s="7">
        <f>IF(AND(C1117=0,D1117=0,TRIM(Raw_Passengers!D1117&amp;"")=""),1,0)</f>
        <v>0</v>
      </c>
      <c r="G1117" s="7" t="str">
        <f>IF(SUMPRODUCT(--(Lookup_Status!$A$2:$A$13=LOWER(TRIM(Raw_Passengers!F1117))))=0,"",INDEX(Lookup_Status!$B$2:$B$13,SUMPRODUCT((Lookup_Status!$A$2:$A$13=LOWER(TRIM(Raw_Passengers!F1117)))*(ROW(Lookup_Status!$A$2:$A$13)-1))))</f>
        <v>Confirmed</v>
      </c>
      <c r="H1117" s="7" t="str">
        <f>IF(SUMPRODUCT(--(Lookup_Status!$A$2:$A$13=LOWER(TRIM(Raw_Passengers!G1117))))=0,"",INDEX(Lookup_Status!$B$2:$B$13,SUMPRODUCT((Lookup_Status!$A$2:$A$13=LOWER(TRIM(Raw_Passengers!G1117)))*(ROW(Lookup_Status!$A$2:$A$13)-1))))</f>
        <v>Confirmed</v>
      </c>
      <c r="I1117" s="7">
        <f>IF(OR(G1117="",G1117="Cancelled",G1117="Mixed"),1,0)</f>
        <v>0</v>
      </c>
      <c r="J1117" s="7">
        <f>IF(OR(H1117="",H1117="Mixed"),1,0)</f>
        <v>0</v>
      </c>
      <c r="K1117" s="7">
        <f>IF(AND(C1117=0,D1117=0),IF(OR(AND(I1117=0,NOT(EXACT(Raw_Passengers!F1117,G1117))),AND(J1117=0,NOT(EXACT(Raw_Passengers!G1117,H1117)))),1,0),0)</f>
        <v>0</v>
      </c>
      <c r="L1117" s="7">
        <f>IF(AND(C1117=0,D1117=0,I1117=1),1,0)</f>
        <v>0</v>
      </c>
      <c r="M1117" s="7">
        <f>IF(AND(C1117=0,D1117=0,J1117=1),1,0)</f>
        <v>0</v>
      </c>
    </row>
    <row r="1118" spans="1:13">
      <c r="A1118" s="7">
        <f>Raw_Passengers!A1118</f>
        <v>360838</v>
      </c>
      <c r="B1118" s="7">
        <f>Raw_Passengers!B1118</f>
        <v>1178955</v>
      </c>
      <c r="C1118" s="7">
        <f>IF(COUNTIF(Raw_Passengers!$A$2:A1118,Raw_Passengers!A1118)&gt;1,1,0)</f>
        <v>0</v>
      </c>
      <c r="D1118" s="7">
        <f>IF(COUNTIF(Raw_Bookings!$A$2:$A$648,Raw_Passengers!B1118)=0,1,0)</f>
        <v>0</v>
      </c>
      <c r="E1118" s="7">
        <f>IF(OR(C1118=1,D1118=1),0,IF(NOT(ISNUMBER(Raw_Passengers!E1118)),1,IF(Raw_Passengers!E1118&lt;=0,1,0)))</f>
        <v>0</v>
      </c>
      <c r="F1118" s="7">
        <f>IF(AND(C1118=0,D1118=0,TRIM(Raw_Passengers!D1118&amp;"")=""),1,0)</f>
        <v>0</v>
      </c>
      <c r="G1118" s="7" t="str">
        <f>IF(SUMPRODUCT(--(Lookup_Status!$A$2:$A$13=LOWER(TRIM(Raw_Passengers!F1118))))=0,"",INDEX(Lookup_Status!$B$2:$B$13,SUMPRODUCT((Lookup_Status!$A$2:$A$13=LOWER(TRIM(Raw_Passengers!F1118)))*(ROW(Lookup_Status!$A$2:$A$13)-1))))</f>
        <v>Confirmed</v>
      </c>
      <c r="H1118" s="7" t="str">
        <f>IF(SUMPRODUCT(--(Lookup_Status!$A$2:$A$13=LOWER(TRIM(Raw_Passengers!G1118))))=0,"",INDEX(Lookup_Status!$B$2:$B$13,SUMPRODUCT((Lookup_Status!$A$2:$A$13=LOWER(TRIM(Raw_Passengers!G1118)))*(ROW(Lookup_Status!$A$2:$A$13)-1))))</f>
        <v>Confirmed</v>
      </c>
      <c r="I1118" s="7">
        <f>IF(OR(G1118="",G1118="Cancelled",G1118="Mixed"),1,0)</f>
        <v>0</v>
      </c>
      <c r="J1118" s="7">
        <f>IF(OR(H1118="",H1118="Mixed"),1,0)</f>
        <v>0</v>
      </c>
      <c r="K1118" s="7">
        <f>IF(AND(C1118=0,D1118=0),IF(OR(AND(I1118=0,NOT(EXACT(Raw_Passengers!F1118,G1118))),AND(J1118=0,NOT(EXACT(Raw_Passengers!G1118,H1118)))),1,0),0)</f>
        <v>0</v>
      </c>
      <c r="L1118" s="7">
        <f>IF(AND(C1118=0,D1118=0,I1118=1),1,0)</f>
        <v>0</v>
      </c>
      <c r="M1118" s="7">
        <f>IF(AND(C1118=0,D1118=0,J1118=1),1,0)</f>
        <v>0</v>
      </c>
    </row>
    <row r="1119" spans="1:13">
      <c r="A1119" s="7">
        <f>Raw_Passengers!A1119</f>
        <v>360839</v>
      </c>
      <c r="B1119" s="7">
        <f>Raw_Passengers!B1119</f>
        <v>1178955</v>
      </c>
      <c r="C1119" s="7">
        <f>IF(COUNTIF(Raw_Passengers!$A$2:A1119,Raw_Passengers!A1119)&gt;1,1,0)</f>
        <v>0</v>
      </c>
      <c r="D1119" s="7">
        <f>IF(COUNTIF(Raw_Bookings!$A$2:$A$648,Raw_Passengers!B1119)=0,1,0)</f>
        <v>0</v>
      </c>
      <c r="E1119" s="7">
        <f>IF(OR(C1119=1,D1119=1),0,IF(NOT(ISNUMBER(Raw_Passengers!E1119)),1,IF(Raw_Passengers!E1119&lt;=0,1,0)))</f>
        <v>0</v>
      </c>
      <c r="F1119" s="7">
        <f>IF(AND(C1119=0,D1119=0,TRIM(Raw_Passengers!D1119&amp;"")=""),1,0)</f>
        <v>0</v>
      </c>
      <c r="G1119" s="7" t="str">
        <f>IF(SUMPRODUCT(--(Lookup_Status!$A$2:$A$13=LOWER(TRIM(Raw_Passengers!F1119))))=0,"",INDEX(Lookup_Status!$B$2:$B$13,SUMPRODUCT((Lookup_Status!$A$2:$A$13=LOWER(TRIM(Raw_Passengers!F1119)))*(ROW(Lookup_Status!$A$2:$A$13)-1))))</f>
        <v>Confirmed</v>
      </c>
      <c r="H1119" s="7" t="str">
        <f>IF(SUMPRODUCT(--(Lookup_Status!$A$2:$A$13=LOWER(TRIM(Raw_Passengers!G1119))))=0,"",INDEX(Lookup_Status!$B$2:$B$13,SUMPRODUCT((Lookup_Status!$A$2:$A$13=LOWER(TRIM(Raw_Passengers!G1119)))*(ROW(Lookup_Status!$A$2:$A$13)-1))))</f>
        <v>Confirmed</v>
      </c>
      <c r="I1119" s="7">
        <f>IF(OR(G1119="",G1119="Cancelled",G1119="Mixed"),1,0)</f>
        <v>0</v>
      </c>
      <c r="J1119" s="7">
        <f>IF(OR(H1119="",H1119="Mixed"),1,0)</f>
        <v>0</v>
      </c>
      <c r="K1119" s="7">
        <f>IF(AND(C1119=0,D1119=0),IF(OR(AND(I1119=0,NOT(EXACT(Raw_Passengers!F1119,G1119))),AND(J1119=0,NOT(EXACT(Raw_Passengers!G1119,H1119)))),1,0),0)</f>
        <v>0</v>
      </c>
      <c r="L1119" s="7">
        <f>IF(AND(C1119=0,D1119=0,I1119=1),1,0)</f>
        <v>0</v>
      </c>
      <c r="M1119" s="7">
        <f>IF(AND(C1119=0,D1119=0,J1119=1),1,0)</f>
        <v>0</v>
      </c>
    </row>
    <row r="1120" spans="1:13">
      <c r="A1120" s="7">
        <f>Raw_Passengers!A1120</f>
        <v>361489</v>
      </c>
      <c r="B1120" s="7">
        <f>Raw_Passengers!B1120</f>
        <v>1179276</v>
      </c>
      <c r="C1120" s="7">
        <f>IF(COUNTIF(Raw_Passengers!$A$2:A1120,Raw_Passengers!A1120)&gt;1,1,0)</f>
        <v>0</v>
      </c>
      <c r="D1120" s="7">
        <f>IF(COUNTIF(Raw_Bookings!$A$2:$A$648,Raw_Passengers!B1120)=0,1,0)</f>
        <v>0</v>
      </c>
      <c r="E1120" s="7">
        <f>IF(OR(C1120=1,D1120=1),0,IF(NOT(ISNUMBER(Raw_Passengers!E1120)),1,IF(Raw_Passengers!E1120&lt;=0,1,0)))</f>
        <v>0</v>
      </c>
      <c r="F1120" s="7">
        <f>IF(AND(C1120=0,D1120=0,TRIM(Raw_Passengers!D1120&amp;"")=""),1,0)</f>
        <v>0</v>
      </c>
      <c r="G1120" s="7" t="str">
        <f>IF(SUMPRODUCT(--(Lookup_Status!$A$2:$A$13=LOWER(TRIM(Raw_Passengers!F1120))))=0,"",INDEX(Lookup_Status!$B$2:$B$13,SUMPRODUCT((Lookup_Status!$A$2:$A$13=LOWER(TRIM(Raw_Passengers!F1120)))*(ROW(Lookup_Status!$A$2:$A$13)-1))))</f>
        <v>Waitlisted</v>
      </c>
      <c r="H1120" s="7" t="str">
        <f>IF(SUMPRODUCT(--(Lookup_Status!$A$2:$A$13=LOWER(TRIM(Raw_Passengers!G1120))))=0,"",INDEX(Lookup_Status!$B$2:$B$13,SUMPRODUCT((Lookup_Status!$A$2:$A$13=LOWER(TRIM(Raw_Passengers!G1120)))*(ROW(Lookup_Status!$A$2:$A$13)-1))))</f>
        <v>Waitlisted</v>
      </c>
      <c r="I1120" s="7">
        <f>IF(OR(G1120="",G1120="Cancelled",G1120="Mixed"),1,0)</f>
        <v>0</v>
      </c>
      <c r="J1120" s="7">
        <f>IF(OR(H1120="",H1120="Mixed"),1,0)</f>
        <v>0</v>
      </c>
      <c r="K1120" s="7">
        <f>IF(AND(C1120=0,D1120=0),IF(OR(AND(I1120=0,NOT(EXACT(Raw_Passengers!F1120,G1120))),AND(J1120=0,NOT(EXACT(Raw_Passengers!G1120,H1120)))),1,0),0)</f>
        <v>0</v>
      </c>
      <c r="L1120" s="7">
        <f>IF(AND(C1120=0,D1120=0,I1120=1),1,0)</f>
        <v>0</v>
      </c>
      <c r="M1120" s="7">
        <f>IF(AND(C1120=0,D1120=0,J1120=1),1,0)</f>
        <v>0</v>
      </c>
    </row>
    <row r="1121" spans="1:13">
      <c r="A1121" s="7">
        <f>Raw_Passengers!A1121</f>
        <v>361490</v>
      </c>
      <c r="B1121" s="7">
        <f>Raw_Passengers!B1121</f>
        <v>1179276</v>
      </c>
      <c r="C1121" s="7">
        <f>IF(COUNTIF(Raw_Passengers!$A$2:A1121,Raw_Passengers!A1121)&gt;1,1,0)</f>
        <v>0</v>
      </c>
      <c r="D1121" s="7">
        <f>IF(COUNTIF(Raw_Bookings!$A$2:$A$648,Raw_Passengers!B1121)=0,1,0)</f>
        <v>0</v>
      </c>
      <c r="E1121" s="7">
        <f>IF(OR(C1121=1,D1121=1),0,IF(NOT(ISNUMBER(Raw_Passengers!E1121)),1,IF(Raw_Passengers!E1121&lt;=0,1,0)))</f>
        <v>0</v>
      </c>
      <c r="F1121" s="7">
        <f>IF(AND(C1121=0,D1121=0,TRIM(Raw_Passengers!D1121&amp;"")=""),1,0)</f>
        <v>0</v>
      </c>
      <c r="G1121" s="7" t="str">
        <f>IF(SUMPRODUCT(--(Lookup_Status!$A$2:$A$13=LOWER(TRIM(Raw_Passengers!F1121))))=0,"",INDEX(Lookup_Status!$B$2:$B$13,SUMPRODUCT((Lookup_Status!$A$2:$A$13=LOWER(TRIM(Raw_Passengers!F1121)))*(ROW(Lookup_Status!$A$2:$A$13)-1))))</f>
        <v>Waitlisted</v>
      </c>
      <c r="H1121" s="7" t="str">
        <f>IF(SUMPRODUCT(--(Lookup_Status!$A$2:$A$13=LOWER(TRIM(Raw_Passengers!G1121))))=0,"",INDEX(Lookup_Status!$B$2:$B$13,SUMPRODUCT((Lookup_Status!$A$2:$A$13=LOWER(TRIM(Raw_Passengers!G1121)))*(ROW(Lookup_Status!$A$2:$A$13)-1))))</f>
        <v>Waitlisted</v>
      </c>
      <c r="I1121" s="7">
        <f>IF(OR(G1121="",G1121="Cancelled",G1121="Mixed"),1,0)</f>
        <v>0</v>
      </c>
      <c r="J1121" s="7">
        <f>IF(OR(H1121="",H1121="Mixed"),1,0)</f>
        <v>0</v>
      </c>
      <c r="K1121" s="7">
        <f>IF(AND(C1121=0,D1121=0),IF(OR(AND(I1121=0,NOT(EXACT(Raw_Passengers!F1121,G1121))),AND(J1121=0,NOT(EXACT(Raw_Passengers!G1121,H1121)))),1,0),0)</f>
        <v>0</v>
      </c>
      <c r="L1121" s="7">
        <f>IF(AND(C1121=0,D1121=0,I1121=1),1,0)</f>
        <v>0</v>
      </c>
      <c r="M1121" s="7">
        <f>IF(AND(C1121=0,D1121=0,J1121=1),1,0)</f>
        <v>0</v>
      </c>
    </row>
    <row r="1122" spans="1:13">
      <c r="A1122" s="7">
        <f>Raw_Passengers!A1122</f>
        <v>361740</v>
      </c>
      <c r="B1122" s="7">
        <f>Raw_Passengers!B1122</f>
        <v>1179384</v>
      </c>
      <c r="C1122" s="7">
        <f>IF(COUNTIF(Raw_Passengers!$A$2:A1122,Raw_Passengers!A1122)&gt;1,1,0)</f>
        <v>0</v>
      </c>
      <c r="D1122" s="7">
        <f>IF(COUNTIF(Raw_Bookings!$A$2:$A$648,Raw_Passengers!B1122)=0,1,0)</f>
        <v>0</v>
      </c>
      <c r="E1122" s="7">
        <f>IF(OR(C1122=1,D1122=1),0,IF(NOT(ISNUMBER(Raw_Passengers!E1122)),1,IF(Raw_Passengers!E1122&lt;=0,1,0)))</f>
        <v>0</v>
      </c>
      <c r="F1122" s="7">
        <f>IF(AND(C1122=0,D1122=0,TRIM(Raw_Passengers!D1122&amp;"")=""),1,0)</f>
        <v>0</v>
      </c>
      <c r="G1122" s="7" t="str">
        <f>IF(SUMPRODUCT(--(Lookup_Status!$A$2:$A$13=LOWER(TRIM(Raw_Passengers!F1122))))=0,"",INDEX(Lookup_Status!$B$2:$B$13,SUMPRODUCT((Lookup_Status!$A$2:$A$13=LOWER(TRIM(Raw_Passengers!F1122)))*(ROW(Lookup_Status!$A$2:$A$13)-1))))</f>
        <v>Confirmed</v>
      </c>
      <c r="H1122" s="7" t="str">
        <f>IF(SUMPRODUCT(--(Lookup_Status!$A$2:$A$13=LOWER(TRIM(Raw_Passengers!G1122))))=0,"",INDEX(Lookup_Status!$B$2:$B$13,SUMPRODUCT((Lookup_Status!$A$2:$A$13=LOWER(TRIM(Raw_Passengers!G1122)))*(ROW(Lookup_Status!$A$2:$A$13)-1))))</f>
        <v>Confirmed</v>
      </c>
      <c r="I1122" s="7">
        <f>IF(OR(G1122="",G1122="Cancelled",G1122="Mixed"),1,0)</f>
        <v>0</v>
      </c>
      <c r="J1122" s="7">
        <f>IF(OR(H1122="",H1122="Mixed"),1,0)</f>
        <v>0</v>
      </c>
      <c r="K1122" s="7">
        <f>IF(AND(C1122=0,D1122=0),IF(OR(AND(I1122=0,NOT(EXACT(Raw_Passengers!F1122,G1122))),AND(J1122=0,NOT(EXACT(Raw_Passengers!G1122,H1122)))),1,0),0)</f>
        <v>0</v>
      </c>
      <c r="L1122" s="7">
        <f>IF(AND(C1122=0,D1122=0,I1122=1),1,0)</f>
        <v>0</v>
      </c>
      <c r="M1122" s="7">
        <f>IF(AND(C1122=0,D1122=0,J1122=1),1,0)</f>
        <v>0</v>
      </c>
    </row>
    <row r="1123" spans="1:13">
      <c r="A1123" s="7">
        <f>Raw_Passengers!A1123</f>
        <v>361741</v>
      </c>
      <c r="B1123" s="7">
        <f>Raw_Passengers!B1123</f>
        <v>1179384</v>
      </c>
      <c r="C1123" s="7">
        <f>IF(COUNTIF(Raw_Passengers!$A$2:A1123,Raw_Passengers!A1123)&gt;1,1,0)</f>
        <v>0</v>
      </c>
      <c r="D1123" s="7">
        <f>IF(COUNTIF(Raw_Bookings!$A$2:$A$648,Raw_Passengers!B1123)=0,1,0)</f>
        <v>0</v>
      </c>
      <c r="E1123" s="7">
        <f>IF(OR(C1123=1,D1123=1),0,IF(NOT(ISNUMBER(Raw_Passengers!E1123)),1,IF(Raw_Passengers!E1123&lt;=0,1,0)))</f>
        <v>0</v>
      </c>
      <c r="F1123" s="7">
        <f>IF(AND(C1123=0,D1123=0,TRIM(Raw_Passengers!D1123&amp;"")=""),1,0)</f>
        <v>0</v>
      </c>
      <c r="G1123" s="7" t="str">
        <f>IF(SUMPRODUCT(--(Lookup_Status!$A$2:$A$13=LOWER(TRIM(Raw_Passengers!F1123))))=0,"",INDEX(Lookup_Status!$B$2:$B$13,SUMPRODUCT((Lookup_Status!$A$2:$A$13=LOWER(TRIM(Raw_Passengers!F1123)))*(ROW(Lookup_Status!$A$2:$A$13)-1))))</f>
        <v>Confirmed</v>
      </c>
      <c r="H1123" s="7" t="str">
        <f>IF(SUMPRODUCT(--(Lookup_Status!$A$2:$A$13=LOWER(TRIM(Raw_Passengers!G1123))))=0,"",INDEX(Lookup_Status!$B$2:$B$13,SUMPRODUCT((Lookup_Status!$A$2:$A$13=LOWER(TRIM(Raw_Passengers!G1123)))*(ROW(Lookup_Status!$A$2:$A$13)-1))))</f>
        <v>Confirmed</v>
      </c>
      <c r="I1123" s="7">
        <f>IF(OR(G1123="",G1123="Cancelled",G1123="Mixed"),1,0)</f>
        <v>0</v>
      </c>
      <c r="J1123" s="7">
        <f>IF(OR(H1123="",H1123="Mixed"),1,0)</f>
        <v>0</v>
      </c>
      <c r="K1123" s="7">
        <f>IF(AND(C1123=0,D1123=0),IF(OR(AND(I1123=0,NOT(EXACT(Raw_Passengers!F1123,G1123))),AND(J1123=0,NOT(EXACT(Raw_Passengers!G1123,H1123)))),1,0),0)</f>
        <v>0</v>
      </c>
      <c r="L1123" s="7">
        <f>IF(AND(C1123=0,D1123=0,I1123=1),1,0)</f>
        <v>0</v>
      </c>
      <c r="M1123" s="7">
        <f>IF(AND(C1123=0,D1123=0,J1123=1),1,0)</f>
        <v>0</v>
      </c>
    </row>
    <row r="1124" spans="1:13">
      <c r="A1124" s="7">
        <f>Raw_Passengers!A1124</f>
        <v>361742</v>
      </c>
      <c r="B1124" s="7">
        <f>Raw_Passengers!B1124</f>
        <v>1179384</v>
      </c>
      <c r="C1124" s="7">
        <f>IF(COUNTIF(Raw_Passengers!$A$2:A1124,Raw_Passengers!A1124)&gt;1,1,0)</f>
        <v>0</v>
      </c>
      <c r="D1124" s="7">
        <f>IF(COUNTIF(Raw_Bookings!$A$2:$A$648,Raw_Passengers!B1124)=0,1,0)</f>
        <v>0</v>
      </c>
      <c r="E1124" s="7">
        <f>IF(OR(C1124=1,D1124=1),0,IF(NOT(ISNUMBER(Raw_Passengers!E1124)),1,IF(Raw_Passengers!E1124&lt;=0,1,0)))</f>
        <v>0</v>
      </c>
      <c r="F1124" s="7">
        <f>IF(AND(C1124=0,D1124=0,TRIM(Raw_Passengers!D1124&amp;"")=""),1,0)</f>
        <v>0</v>
      </c>
      <c r="G1124" s="7" t="str">
        <f>IF(SUMPRODUCT(--(Lookup_Status!$A$2:$A$13=LOWER(TRIM(Raw_Passengers!F1124))))=0,"",INDEX(Lookup_Status!$B$2:$B$13,SUMPRODUCT((Lookup_Status!$A$2:$A$13=LOWER(TRIM(Raw_Passengers!F1124)))*(ROW(Lookup_Status!$A$2:$A$13)-1))))</f>
        <v>Confirmed</v>
      </c>
      <c r="H1124" s="7" t="str">
        <f>IF(SUMPRODUCT(--(Lookup_Status!$A$2:$A$13=LOWER(TRIM(Raw_Passengers!G1124))))=0,"",INDEX(Lookup_Status!$B$2:$B$13,SUMPRODUCT((Lookup_Status!$A$2:$A$13=LOWER(TRIM(Raw_Passengers!G1124)))*(ROW(Lookup_Status!$A$2:$A$13)-1))))</f>
        <v>Confirmed</v>
      </c>
      <c r="I1124" s="7">
        <f>IF(OR(G1124="",G1124="Cancelled",G1124="Mixed"),1,0)</f>
        <v>0</v>
      </c>
      <c r="J1124" s="7">
        <f>IF(OR(H1124="",H1124="Mixed"),1,0)</f>
        <v>0</v>
      </c>
      <c r="K1124" s="7">
        <f>IF(AND(C1124=0,D1124=0),IF(OR(AND(I1124=0,NOT(EXACT(Raw_Passengers!F1124,G1124))),AND(J1124=0,NOT(EXACT(Raw_Passengers!G1124,H1124)))),1,0),0)</f>
        <v>0</v>
      </c>
      <c r="L1124" s="7">
        <f>IF(AND(C1124=0,D1124=0,I1124=1),1,0)</f>
        <v>0</v>
      </c>
      <c r="M1124" s="7">
        <f>IF(AND(C1124=0,D1124=0,J1124=1),1,0)</f>
        <v>0</v>
      </c>
    </row>
    <row r="1125" spans="1:13">
      <c r="A1125" s="7">
        <f>Raw_Passengers!A1125</f>
        <v>361948</v>
      </c>
      <c r="B1125" s="7">
        <f>Raw_Passengers!B1125</f>
        <v>1179482</v>
      </c>
      <c r="C1125" s="7">
        <f>IF(COUNTIF(Raw_Passengers!$A$2:A1125,Raw_Passengers!A1125)&gt;1,1,0)</f>
        <v>0</v>
      </c>
      <c r="D1125" s="7">
        <f>IF(COUNTIF(Raw_Bookings!$A$2:$A$648,Raw_Passengers!B1125)=0,1,0)</f>
        <v>0</v>
      </c>
      <c r="E1125" s="7">
        <f>IF(OR(C1125=1,D1125=1),0,IF(NOT(ISNUMBER(Raw_Passengers!E1125)),1,IF(Raw_Passengers!E1125&lt;=0,1,0)))</f>
        <v>0</v>
      </c>
      <c r="F1125" s="7">
        <f>IF(AND(C1125=0,D1125=0,TRIM(Raw_Passengers!D1125&amp;"")=""),1,0)</f>
        <v>0</v>
      </c>
      <c r="G1125" s="7" t="str">
        <f>IF(SUMPRODUCT(--(Lookup_Status!$A$2:$A$13=LOWER(TRIM(Raw_Passengers!F1125))))=0,"",INDEX(Lookup_Status!$B$2:$B$13,SUMPRODUCT((Lookup_Status!$A$2:$A$13=LOWER(TRIM(Raw_Passengers!F1125)))*(ROW(Lookup_Status!$A$2:$A$13)-1))))</f>
        <v>Waitlisted</v>
      </c>
      <c r="H1125" s="7" t="str">
        <f>IF(SUMPRODUCT(--(Lookup_Status!$A$2:$A$13=LOWER(TRIM(Raw_Passengers!G1125))))=0,"",INDEX(Lookup_Status!$B$2:$B$13,SUMPRODUCT((Lookup_Status!$A$2:$A$13=LOWER(TRIM(Raw_Passengers!G1125)))*(ROW(Lookup_Status!$A$2:$A$13)-1))))</f>
        <v>Waitlisted</v>
      </c>
      <c r="I1125" s="7">
        <f>IF(OR(G1125="",G1125="Cancelled",G1125="Mixed"),1,0)</f>
        <v>0</v>
      </c>
      <c r="J1125" s="7">
        <f>IF(OR(H1125="",H1125="Mixed"),1,0)</f>
        <v>0</v>
      </c>
      <c r="K1125" s="7">
        <f>IF(AND(C1125=0,D1125=0),IF(OR(AND(I1125=0,NOT(EXACT(Raw_Passengers!F1125,G1125))),AND(J1125=0,NOT(EXACT(Raw_Passengers!G1125,H1125)))),1,0),0)</f>
        <v>0</v>
      </c>
      <c r="L1125" s="7">
        <f>IF(AND(C1125=0,D1125=0,I1125=1),1,0)</f>
        <v>0</v>
      </c>
      <c r="M1125" s="7">
        <f>IF(AND(C1125=0,D1125=0,J1125=1),1,0)</f>
        <v>0</v>
      </c>
    </row>
    <row r="1126" spans="1:13">
      <c r="A1126" s="7">
        <f>Raw_Passengers!A1126</f>
        <v>361949</v>
      </c>
      <c r="B1126" s="7">
        <f>Raw_Passengers!B1126</f>
        <v>1179482</v>
      </c>
      <c r="C1126" s="7">
        <f>IF(COUNTIF(Raw_Passengers!$A$2:A1126,Raw_Passengers!A1126)&gt;1,1,0)</f>
        <v>0</v>
      </c>
      <c r="D1126" s="7">
        <f>IF(COUNTIF(Raw_Bookings!$A$2:$A$648,Raw_Passengers!B1126)=0,1,0)</f>
        <v>0</v>
      </c>
      <c r="E1126" s="7">
        <f>IF(OR(C1126=1,D1126=1),0,IF(NOT(ISNUMBER(Raw_Passengers!E1126)),1,IF(Raw_Passengers!E1126&lt;=0,1,0)))</f>
        <v>0</v>
      </c>
      <c r="F1126" s="7">
        <f>IF(AND(C1126=0,D1126=0,TRIM(Raw_Passengers!D1126&amp;"")=""),1,0)</f>
        <v>0</v>
      </c>
      <c r="G1126" s="7" t="str">
        <f>IF(SUMPRODUCT(--(Lookup_Status!$A$2:$A$13=LOWER(TRIM(Raw_Passengers!F1126))))=0,"",INDEX(Lookup_Status!$B$2:$B$13,SUMPRODUCT((Lookup_Status!$A$2:$A$13=LOWER(TRIM(Raw_Passengers!F1126)))*(ROW(Lookup_Status!$A$2:$A$13)-1))))</f>
        <v>Waitlisted</v>
      </c>
      <c r="H1126" s="7" t="str">
        <f>IF(SUMPRODUCT(--(Lookup_Status!$A$2:$A$13=LOWER(TRIM(Raw_Passengers!G1126))))=0,"",INDEX(Lookup_Status!$B$2:$B$13,SUMPRODUCT((Lookup_Status!$A$2:$A$13=LOWER(TRIM(Raw_Passengers!G1126)))*(ROW(Lookup_Status!$A$2:$A$13)-1))))</f>
        <v>Waitlisted</v>
      </c>
      <c r="I1126" s="7">
        <f>IF(OR(G1126="",G1126="Cancelled",G1126="Mixed"),1,0)</f>
        <v>0</v>
      </c>
      <c r="J1126" s="7">
        <f>IF(OR(H1126="",H1126="Mixed"),1,0)</f>
        <v>0</v>
      </c>
      <c r="K1126" s="7">
        <f>IF(AND(C1126=0,D1126=0),IF(OR(AND(I1126=0,NOT(EXACT(Raw_Passengers!F1126,G1126))),AND(J1126=0,NOT(EXACT(Raw_Passengers!G1126,H1126)))),1,0),0)</f>
        <v>0</v>
      </c>
      <c r="L1126" s="7">
        <f>IF(AND(C1126=0,D1126=0,I1126=1),1,0)</f>
        <v>0</v>
      </c>
      <c r="M1126" s="7">
        <f>IF(AND(C1126=0,D1126=0,J1126=1),1,0)</f>
        <v>0</v>
      </c>
    </row>
    <row r="1127" spans="1:13">
      <c r="A1127" s="7">
        <f>Raw_Passengers!A1127</f>
        <v>361950</v>
      </c>
      <c r="B1127" s="7">
        <f>Raw_Passengers!B1127</f>
        <v>1179482</v>
      </c>
      <c r="C1127" s="7">
        <f>IF(COUNTIF(Raw_Passengers!$A$2:A1127,Raw_Passengers!A1127)&gt;1,1,0)</f>
        <v>0</v>
      </c>
      <c r="D1127" s="7">
        <f>IF(COUNTIF(Raw_Bookings!$A$2:$A$648,Raw_Passengers!B1127)=0,1,0)</f>
        <v>0</v>
      </c>
      <c r="E1127" s="7">
        <f>IF(OR(C1127=1,D1127=1),0,IF(NOT(ISNUMBER(Raw_Passengers!E1127)),1,IF(Raw_Passengers!E1127&lt;=0,1,0)))</f>
        <v>0</v>
      </c>
      <c r="F1127" s="7">
        <f>IF(AND(C1127=0,D1127=0,TRIM(Raw_Passengers!D1127&amp;"")=""),1,0)</f>
        <v>0</v>
      </c>
      <c r="G1127" s="7" t="str">
        <f>IF(SUMPRODUCT(--(Lookup_Status!$A$2:$A$13=LOWER(TRIM(Raw_Passengers!F1127))))=0,"",INDEX(Lookup_Status!$B$2:$B$13,SUMPRODUCT((Lookup_Status!$A$2:$A$13=LOWER(TRIM(Raw_Passengers!F1127)))*(ROW(Lookup_Status!$A$2:$A$13)-1))))</f>
        <v>Waitlisted</v>
      </c>
      <c r="H1127" s="7" t="str">
        <f>IF(SUMPRODUCT(--(Lookup_Status!$A$2:$A$13=LOWER(TRIM(Raw_Passengers!G1127))))=0,"",INDEX(Lookup_Status!$B$2:$B$13,SUMPRODUCT((Lookup_Status!$A$2:$A$13=LOWER(TRIM(Raw_Passengers!G1127)))*(ROW(Lookup_Status!$A$2:$A$13)-1))))</f>
        <v>Waitlisted</v>
      </c>
      <c r="I1127" s="7">
        <f>IF(OR(G1127="",G1127="Cancelled",G1127="Mixed"),1,0)</f>
        <v>0</v>
      </c>
      <c r="J1127" s="7">
        <f>IF(OR(H1127="",H1127="Mixed"),1,0)</f>
        <v>0</v>
      </c>
      <c r="K1127" s="7">
        <f>IF(AND(C1127=0,D1127=0),IF(OR(AND(I1127=0,NOT(EXACT(Raw_Passengers!F1127,G1127))),AND(J1127=0,NOT(EXACT(Raw_Passengers!G1127,H1127)))),1,0),0)</f>
        <v>0</v>
      </c>
      <c r="L1127" s="7">
        <f>IF(AND(C1127=0,D1127=0,I1127=1),1,0)</f>
        <v>0</v>
      </c>
      <c r="M1127" s="7">
        <f>IF(AND(C1127=0,D1127=0,J1127=1),1,0)</f>
        <v>0</v>
      </c>
    </row>
    <row r="1128" spans="1:13">
      <c r="A1128" s="7">
        <f>Raw_Passengers!A1128</f>
        <v>361951</v>
      </c>
      <c r="B1128" s="7">
        <f>Raw_Passengers!B1128</f>
        <v>1179482</v>
      </c>
      <c r="C1128" s="7">
        <f>IF(COUNTIF(Raw_Passengers!$A$2:A1128,Raw_Passengers!A1128)&gt;1,1,0)</f>
        <v>0</v>
      </c>
      <c r="D1128" s="7">
        <f>IF(COUNTIF(Raw_Bookings!$A$2:$A$648,Raw_Passengers!B1128)=0,1,0)</f>
        <v>0</v>
      </c>
      <c r="E1128" s="7">
        <f>IF(OR(C1128=1,D1128=1),0,IF(NOT(ISNUMBER(Raw_Passengers!E1128)),1,IF(Raw_Passengers!E1128&lt;=0,1,0)))</f>
        <v>0</v>
      </c>
      <c r="F1128" s="7">
        <f>IF(AND(C1128=0,D1128=0,TRIM(Raw_Passengers!D1128&amp;"")=""),1,0)</f>
        <v>0</v>
      </c>
      <c r="G1128" s="7" t="str">
        <f>IF(SUMPRODUCT(--(Lookup_Status!$A$2:$A$13=LOWER(TRIM(Raw_Passengers!F1128))))=0,"",INDEX(Lookup_Status!$B$2:$B$13,SUMPRODUCT((Lookup_Status!$A$2:$A$13=LOWER(TRIM(Raw_Passengers!F1128)))*(ROW(Lookup_Status!$A$2:$A$13)-1))))</f>
        <v>Waitlisted</v>
      </c>
      <c r="H1128" s="7" t="str">
        <f>IF(SUMPRODUCT(--(Lookup_Status!$A$2:$A$13=LOWER(TRIM(Raw_Passengers!G1128))))=0,"",INDEX(Lookup_Status!$B$2:$B$13,SUMPRODUCT((Lookup_Status!$A$2:$A$13=LOWER(TRIM(Raw_Passengers!G1128)))*(ROW(Lookup_Status!$A$2:$A$13)-1))))</f>
        <v>Waitlisted</v>
      </c>
      <c r="I1128" s="7">
        <f>IF(OR(G1128="",G1128="Cancelled",G1128="Mixed"),1,0)</f>
        <v>0</v>
      </c>
      <c r="J1128" s="7">
        <f>IF(OR(H1128="",H1128="Mixed"),1,0)</f>
        <v>0</v>
      </c>
      <c r="K1128" s="7">
        <f>IF(AND(C1128=0,D1128=0),IF(OR(AND(I1128=0,NOT(EXACT(Raw_Passengers!F1128,G1128))),AND(J1128=0,NOT(EXACT(Raw_Passengers!G1128,H1128)))),1,0),0)</f>
        <v>0</v>
      </c>
      <c r="L1128" s="7">
        <f>IF(AND(C1128=0,D1128=0,I1128=1),1,0)</f>
        <v>0</v>
      </c>
      <c r="M1128" s="7">
        <f>IF(AND(C1128=0,D1128=0,J1128=1),1,0)</f>
        <v>0</v>
      </c>
    </row>
    <row r="1129" spans="1:13">
      <c r="A1129" s="7">
        <f>Raw_Passengers!A1129</f>
        <v>361952</v>
      </c>
      <c r="B1129" s="7">
        <f>Raw_Passengers!B1129</f>
        <v>1179482</v>
      </c>
      <c r="C1129" s="7">
        <f>IF(COUNTIF(Raw_Passengers!$A$2:A1129,Raw_Passengers!A1129)&gt;1,1,0)</f>
        <v>0</v>
      </c>
      <c r="D1129" s="7">
        <f>IF(COUNTIF(Raw_Bookings!$A$2:$A$648,Raw_Passengers!B1129)=0,1,0)</f>
        <v>0</v>
      </c>
      <c r="E1129" s="7">
        <f>IF(OR(C1129=1,D1129=1),0,IF(NOT(ISNUMBER(Raw_Passengers!E1129)),1,IF(Raw_Passengers!E1129&lt;=0,1,0)))</f>
        <v>0</v>
      </c>
      <c r="F1129" s="7">
        <f>IF(AND(C1129=0,D1129=0,TRIM(Raw_Passengers!D1129&amp;"")=""),1,0)</f>
        <v>0</v>
      </c>
      <c r="G1129" s="7" t="str">
        <f>IF(SUMPRODUCT(--(Lookup_Status!$A$2:$A$13=LOWER(TRIM(Raw_Passengers!F1129))))=0,"",INDEX(Lookup_Status!$B$2:$B$13,SUMPRODUCT((Lookup_Status!$A$2:$A$13=LOWER(TRIM(Raw_Passengers!F1129)))*(ROW(Lookup_Status!$A$2:$A$13)-1))))</f>
        <v>Waitlisted</v>
      </c>
      <c r="H1129" s="7" t="str">
        <f>IF(SUMPRODUCT(--(Lookup_Status!$A$2:$A$13=LOWER(TRIM(Raw_Passengers!G1129))))=0,"",INDEX(Lookup_Status!$B$2:$B$13,SUMPRODUCT((Lookup_Status!$A$2:$A$13=LOWER(TRIM(Raw_Passengers!G1129)))*(ROW(Lookup_Status!$A$2:$A$13)-1))))</f>
        <v>Waitlisted</v>
      </c>
      <c r="I1129" s="7">
        <f>IF(OR(G1129="",G1129="Cancelled",G1129="Mixed"),1,0)</f>
        <v>0</v>
      </c>
      <c r="J1129" s="7">
        <f>IF(OR(H1129="",H1129="Mixed"),1,0)</f>
        <v>0</v>
      </c>
      <c r="K1129" s="7">
        <f>IF(AND(C1129=0,D1129=0),IF(OR(AND(I1129=0,NOT(EXACT(Raw_Passengers!F1129,G1129))),AND(J1129=0,NOT(EXACT(Raw_Passengers!G1129,H1129)))),1,0),0)</f>
        <v>0</v>
      </c>
      <c r="L1129" s="7">
        <f>IF(AND(C1129=0,D1129=0,I1129=1),1,0)</f>
        <v>0</v>
      </c>
      <c r="M1129" s="7">
        <f>IF(AND(C1129=0,D1129=0,J1129=1),1,0)</f>
        <v>0</v>
      </c>
    </row>
    <row r="1130" spans="1:13">
      <c r="A1130" s="7">
        <f>Raw_Passengers!A1130</f>
        <v>361953</v>
      </c>
      <c r="B1130" s="7">
        <f>Raw_Passengers!B1130</f>
        <v>1179482</v>
      </c>
      <c r="C1130" s="7">
        <f>IF(COUNTIF(Raw_Passengers!$A$2:A1130,Raw_Passengers!A1130)&gt;1,1,0)</f>
        <v>0</v>
      </c>
      <c r="D1130" s="7">
        <f>IF(COUNTIF(Raw_Bookings!$A$2:$A$648,Raw_Passengers!B1130)=0,1,0)</f>
        <v>0</v>
      </c>
      <c r="E1130" s="7">
        <f>IF(OR(C1130=1,D1130=1),0,IF(NOT(ISNUMBER(Raw_Passengers!E1130)),1,IF(Raw_Passengers!E1130&lt;=0,1,0)))</f>
        <v>0</v>
      </c>
      <c r="F1130" s="7">
        <f>IF(AND(C1130=0,D1130=0,TRIM(Raw_Passengers!D1130&amp;"")=""),1,0)</f>
        <v>0</v>
      </c>
      <c r="G1130" s="7" t="str">
        <f>IF(SUMPRODUCT(--(Lookup_Status!$A$2:$A$13=LOWER(TRIM(Raw_Passengers!F1130))))=0,"",INDEX(Lookup_Status!$B$2:$B$13,SUMPRODUCT((Lookup_Status!$A$2:$A$13=LOWER(TRIM(Raw_Passengers!F1130)))*(ROW(Lookup_Status!$A$2:$A$13)-1))))</f>
        <v>Waitlisted</v>
      </c>
      <c r="H1130" s="7" t="str">
        <f>IF(SUMPRODUCT(--(Lookup_Status!$A$2:$A$13=LOWER(TRIM(Raw_Passengers!G1130))))=0,"",INDEX(Lookup_Status!$B$2:$B$13,SUMPRODUCT((Lookup_Status!$A$2:$A$13=LOWER(TRIM(Raw_Passengers!G1130)))*(ROW(Lookup_Status!$A$2:$A$13)-1))))</f>
        <v>Waitlisted</v>
      </c>
      <c r="I1130" s="7">
        <f>IF(OR(G1130="",G1130="Cancelled",G1130="Mixed"),1,0)</f>
        <v>0</v>
      </c>
      <c r="J1130" s="7">
        <f>IF(OR(H1130="",H1130="Mixed"),1,0)</f>
        <v>0</v>
      </c>
      <c r="K1130" s="7">
        <f>IF(AND(C1130=0,D1130=0),IF(OR(AND(I1130=0,NOT(EXACT(Raw_Passengers!F1130,G1130))),AND(J1130=0,NOT(EXACT(Raw_Passengers!G1130,H1130)))),1,0),0)</f>
        <v>0</v>
      </c>
      <c r="L1130" s="7">
        <f>IF(AND(C1130=0,D1130=0,I1130=1),1,0)</f>
        <v>0</v>
      </c>
      <c r="M1130" s="7">
        <f>IF(AND(C1130=0,D1130=0,J1130=1),1,0)</f>
        <v>0</v>
      </c>
    </row>
    <row r="1131" spans="1:13">
      <c r="A1131" s="7">
        <f>Raw_Passengers!A1131</f>
        <v>361976</v>
      </c>
      <c r="B1131" s="7">
        <f>Raw_Passengers!B1131</f>
        <v>1179497</v>
      </c>
      <c r="C1131" s="7">
        <f>IF(COUNTIF(Raw_Passengers!$A$2:A1131,Raw_Passengers!A1131)&gt;1,1,0)</f>
        <v>0</v>
      </c>
      <c r="D1131" s="7">
        <f>IF(COUNTIF(Raw_Bookings!$A$2:$A$648,Raw_Passengers!B1131)=0,1,0)</f>
        <v>0</v>
      </c>
      <c r="E1131" s="7">
        <f>IF(OR(C1131=1,D1131=1),0,IF(NOT(ISNUMBER(Raw_Passengers!E1131)),1,IF(Raw_Passengers!E1131&lt;=0,1,0)))</f>
        <v>0</v>
      </c>
      <c r="F1131" s="7">
        <f>IF(AND(C1131=0,D1131=0,TRIM(Raw_Passengers!D1131&amp;"")=""),1,0)</f>
        <v>0</v>
      </c>
      <c r="G1131" s="7" t="str">
        <f>IF(SUMPRODUCT(--(Lookup_Status!$A$2:$A$13=LOWER(TRIM(Raw_Passengers!F1131))))=0,"",INDEX(Lookup_Status!$B$2:$B$13,SUMPRODUCT((Lookup_Status!$A$2:$A$13=LOWER(TRIM(Raw_Passengers!F1131)))*(ROW(Lookup_Status!$A$2:$A$13)-1))))</f>
        <v>Confirmed</v>
      </c>
      <c r="H1131" s="7" t="str">
        <f>IF(SUMPRODUCT(--(Lookup_Status!$A$2:$A$13=LOWER(TRIM(Raw_Passengers!G1131))))=0,"",INDEX(Lookup_Status!$B$2:$B$13,SUMPRODUCT((Lookup_Status!$A$2:$A$13=LOWER(TRIM(Raw_Passengers!G1131)))*(ROW(Lookup_Status!$A$2:$A$13)-1))))</f>
        <v>Confirmed</v>
      </c>
      <c r="I1131" s="7">
        <f>IF(OR(G1131="",G1131="Cancelled",G1131="Mixed"),1,0)</f>
        <v>0</v>
      </c>
      <c r="J1131" s="7">
        <f>IF(OR(H1131="",H1131="Mixed"),1,0)</f>
        <v>0</v>
      </c>
      <c r="K1131" s="7">
        <f>IF(AND(C1131=0,D1131=0),IF(OR(AND(I1131=0,NOT(EXACT(Raw_Passengers!F1131,G1131))),AND(J1131=0,NOT(EXACT(Raw_Passengers!G1131,H1131)))),1,0),0)</f>
        <v>0</v>
      </c>
      <c r="L1131" s="7">
        <f>IF(AND(C1131=0,D1131=0,I1131=1),1,0)</f>
        <v>0</v>
      </c>
      <c r="M1131" s="7">
        <f>IF(AND(C1131=0,D1131=0,J1131=1),1,0)</f>
        <v>0</v>
      </c>
    </row>
    <row r="1132" spans="1:13">
      <c r="A1132" s="7">
        <f>Raw_Passengers!A1132</f>
        <v>361977</v>
      </c>
      <c r="B1132" s="7">
        <f>Raw_Passengers!B1132</f>
        <v>1179497</v>
      </c>
      <c r="C1132" s="7">
        <f>IF(COUNTIF(Raw_Passengers!$A$2:A1132,Raw_Passengers!A1132)&gt;1,1,0)</f>
        <v>0</v>
      </c>
      <c r="D1132" s="7">
        <f>IF(COUNTIF(Raw_Bookings!$A$2:$A$648,Raw_Passengers!B1132)=0,1,0)</f>
        <v>0</v>
      </c>
      <c r="E1132" s="7">
        <f>IF(OR(C1132=1,D1132=1),0,IF(NOT(ISNUMBER(Raw_Passengers!E1132)),1,IF(Raw_Passengers!E1132&lt;=0,1,0)))</f>
        <v>0</v>
      </c>
      <c r="F1132" s="7">
        <f>IF(AND(C1132=0,D1132=0,TRIM(Raw_Passengers!D1132&amp;"")=""),1,0)</f>
        <v>0</v>
      </c>
      <c r="G1132" s="7" t="str">
        <f>IF(SUMPRODUCT(--(Lookup_Status!$A$2:$A$13=LOWER(TRIM(Raw_Passengers!F1132))))=0,"",INDEX(Lookup_Status!$B$2:$B$13,SUMPRODUCT((Lookup_Status!$A$2:$A$13=LOWER(TRIM(Raw_Passengers!F1132)))*(ROW(Lookup_Status!$A$2:$A$13)-1))))</f>
        <v>RAC</v>
      </c>
      <c r="H1132" s="7" t="str">
        <f>IF(SUMPRODUCT(--(Lookup_Status!$A$2:$A$13=LOWER(TRIM(Raw_Passengers!G1132))))=0,"",INDEX(Lookup_Status!$B$2:$B$13,SUMPRODUCT((Lookup_Status!$A$2:$A$13=LOWER(TRIM(Raw_Passengers!G1132)))*(ROW(Lookup_Status!$A$2:$A$13)-1))))</f>
        <v>RAC</v>
      </c>
      <c r="I1132" s="7">
        <f>IF(OR(G1132="",G1132="Cancelled",G1132="Mixed"),1,0)</f>
        <v>0</v>
      </c>
      <c r="J1132" s="7">
        <f>IF(OR(H1132="",H1132="Mixed"),1,0)</f>
        <v>0</v>
      </c>
      <c r="K1132" s="7">
        <f>IF(AND(C1132=0,D1132=0),IF(OR(AND(I1132=0,NOT(EXACT(Raw_Passengers!F1132,G1132))),AND(J1132=0,NOT(EXACT(Raw_Passengers!G1132,H1132)))),1,0),0)</f>
        <v>0</v>
      </c>
      <c r="L1132" s="7">
        <f>IF(AND(C1132=0,D1132=0,I1132=1),1,0)</f>
        <v>0</v>
      </c>
      <c r="M1132" s="7">
        <f>IF(AND(C1132=0,D1132=0,J1132=1),1,0)</f>
        <v>0</v>
      </c>
    </row>
    <row r="1133" spans="1:13">
      <c r="A1133" s="7">
        <f>Raw_Passengers!A1133</f>
        <v>362242</v>
      </c>
      <c r="B1133" s="7">
        <f>Raw_Passengers!B1133</f>
        <v>1179635</v>
      </c>
      <c r="C1133" s="7">
        <f>IF(COUNTIF(Raw_Passengers!$A$2:A1133,Raw_Passengers!A1133)&gt;1,1,0)</f>
        <v>0</v>
      </c>
      <c r="D1133" s="7">
        <f>IF(COUNTIF(Raw_Bookings!$A$2:$A$648,Raw_Passengers!B1133)=0,1,0)</f>
        <v>0</v>
      </c>
      <c r="E1133" s="7">
        <f>IF(OR(C1133=1,D1133=1),0,IF(NOT(ISNUMBER(Raw_Passengers!E1133)),1,IF(Raw_Passengers!E1133&lt;=0,1,0)))</f>
        <v>0</v>
      </c>
      <c r="F1133" s="7">
        <f>IF(AND(C1133=0,D1133=0,TRIM(Raw_Passengers!D1133&amp;"")=""),1,0)</f>
        <v>0</v>
      </c>
      <c r="G1133" s="7" t="str">
        <f>IF(SUMPRODUCT(--(Lookup_Status!$A$2:$A$13=LOWER(TRIM(Raw_Passengers!F1133))))=0,"",INDEX(Lookup_Status!$B$2:$B$13,SUMPRODUCT((Lookup_Status!$A$2:$A$13=LOWER(TRIM(Raw_Passengers!F1133)))*(ROW(Lookup_Status!$A$2:$A$13)-1))))</f>
        <v>Waitlisted</v>
      </c>
      <c r="H1133" s="7" t="str">
        <f>IF(SUMPRODUCT(--(Lookup_Status!$A$2:$A$13=LOWER(TRIM(Raw_Passengers!G1133))))=0,"",INDEX(Lookup_Status!$B$2:$B$13,SUMPRODUCT((Lookup_Status!$A$2:$A$13=LOWER(TRIM(Raw_Passengers!G1133)))*(ROW(Lookup_Status!$A$2:$A$13)-1))))</f>
        <v>RAC</v>
      </c>
      <c r="I1133" s="7">
        <f>IF(OR(G1133="",G1133="Cancelled",G1133="Mixed"),1,0)</f>
        <v>0</v>
      </c>
      <c r="J1133" s="7">
        <f>IF(OR(H1133="",H1133="Mixed"),1,0)</f>
        <v>0</v>
      </c>
      <c r="K1133" s="7">
        <f>IF(AND(C1133=0,D1133=0),IF(OR(AND(I1133=0,NOT(EXACT(Raw_Passengers!F1133,G1133))),AND(J1133=0,NOT(EXACT(Raw_Passengers!G1133,H1133)))),1,0),0)</f>
        <v>0</v>
      </c>
      <c r="L1133" s="7">
        <f>IF(AND(C1133=0,D1133=0,I1133=1),1,0)</f>
        <v>0</v>
      </c>
      <c r="M1133" s="7">
        <f>IF(AND(C1133=0,D1133=0,J1133=1),1,0)</f>
        <v>0</v>
      </c>
    </row>
    <row r="1134" spans="1:13">
      <c r="A1134" s="7">
        <f>Raw_Passengers!A1134</f>
        <v>362243</v>
      </c>
      <c r="B1134" s="7">
        <f>Raw_Passengers!B1134</f>
        <v>1179635</v>
      </c>
      <c r="C1134" s="7">
        <f>IF(COUNTIF(Raw_Passengers!$A$2:A1134,Raw_Passengers!A1134)&gt;1,1,0)</f>
        <v>0</v>
      </c>
      <c r="D1134" s="7">
        <f>IF(COUNTIF(Raw_Bookings!$A$2:$A$648,Raw_Passengers!B1134)=0,1,0)</f>
        <v>0</v>
      </c>
      <c r="E1134" s="7">
        <f>IF(OR(C1134=1,D1134=1),0,IF(NOT(ISNUMBER(Raw_Passengers!E1134)),1,IF(Raw_Passengers!E1134&lt;=0,1,0)))</f>
        <v>0</v>
      </c>
      <c r="F1134" s="7">
        <f>IF(AND(C1134=0,D1134=0,TRIM(Raw_Passengers!D1134&amp;"")=""),1,0)</f>
        <v>0</v>
      </c>
      <c r="G1134" s="7" t="str">
        <f>IF(SUMPRODUCT(--(Lookup_Status!$A$2:$A$13=LOWER(TRIM(Raw_Passengers!F1134))))=0,"",INDEX(Lookup_Status!$B$2:$B$13,SUMPRODUCT((Lookup_Status!$A$2:$A$13=LOWER(TRIM(Raw_Passengers!F1134)))*(ROW(Lookup_Status!$A$2:$A$13)-1))))</f>
        <v>Waitlisted</v>
      </c>
      <c r="H1134" s="7" t="str">
        <f>IF(SUMPRODUCT(--(Lookup_Status!$A$2:$A$13=LOWER(TRIM(Raw_Passengers!G1134))))=0,"",INDEX(Lookup_Status!$B$2:$B$13,SUMPRODUCT((Lookup_Status!$A$2:$A$13=LOWER(TRIM(Raw_Passengers!G1134)))*(ROW(Lookup_Status!$A$2:$A$13)-1))))</f>
        <v>RAC</v>
      </c>
      <c r="I1134" s="7">
        <f>IF(OR(G1134="",G1134="Cancelled",G1134="Mixed"),1,0)</f>
        <v>0</v>
      </c>
      <c r="J1134" s="7">
        <f>IF(OR(H1134="",H1134="Mixed"),1,0)</f>
        <v>0</v>
      </c>
      <c r="K1134" s="7">
        <f>IF(AND(C1134=0,D1134=0),IF(OR(AND(I1134=0,NOT(EXACT(Raw_Passengers!F1134,G1134))),AND(J1134=0,NOT(EXACT(Raw_Passengers!G1134,H1134)))),1,0),0)</f>
        <v>0</v>
      </c>
      <c r="L1134" s="7">
        <f>IF(AND(C1134=0,D1134=0,I1134=1),1,0)</f>
        <v>0</v>
      </c>
      <c r="M1134" s="7">
        <f>IF(AND(C1134=0,D1134=0,J1134=1),1,0)</f>
        <v>0</v>
      </c>
    </row>
    <row r="1135" spans="1:13">
      <c r="A1135" s="7">
        <f>Raw_Passengers!A1135</f>
        <v>362244</v>
      </c>
      <c r="B1135" s="7">
        <f>Raw_Passengers!B1135</f>
        <v>1179635</v>
      </c>
      <c r="C1135" s="7">
        <f>IF(COUNTIF(Raw_Passengers!$A$2:A1135,Raw_Passengers!A1135)&gt;1,1,0)</f>
        <v>0</v>
      </c>
      <c r="D1135" s="7">
        <f>IF(COUNTIF(Raw_Bookings!$A$2:$A$648,Raw_Passengers!B1135)=0,1,0)</f>
        <v>0</v>
      </c>
      <c r="E1135" s="7">
        <f>IF(OR(C1135=1,D1135=1),0,IF(NOT(ISNUMBER(Raw_Passengers!E1135)),1,IF(Raw_Passengers!E1135&lt;=0,1,0)))</f>
        <v>0</v>
      </c>
      <c r="F1135" s="7">
        <f>IF(AND(C1135=0,D1135=0,TRIM(Raw_Passengers!D1135&amp;"")=""),1,0)</f>
        <v>0</v>
      </c>
      <c r="G1135" s="7" t="str">
        <f>IF(SUMPRODUCT(--(Lookup_Status!$A$2:$A$13=LOWER(TRIM(Raw_Passengers!F1135))))=0,"",INDEX(Lookup_Status!$B$2:$B$13,SUMPRODUCT((Lookup_Status!$A$2:$A$13=LOWER(TRIM(Raw_Passengers!F1135)))*(ROW(Lookup_Status!$A$2:$A$13)-1))))</f>
        <v>Waitlisted</v>
      </c>
      <c r="H1135" s="7" t="str">
        <f>IF(SUMPRODUCT(--(Lookup_Status!$A$2:$A$13=LOWER(TRIM(Raw_Passengers!G1135))))=0,"",INDEX(Lookup_Status!$B$2:$B$13,SUMPRODUCT((Lookup_Status!$A$2:$A$13=LOWER(TRIM(Raw_Passengers!G1135)))*(ROW(Lookup_Status!$A$2:$A$13)-1))))</f>
        <v>RAC</v>
      </c>
      <c r="I1135" s="7">
        <f>IF(OR(G1135="",G1135="Cancelled",G1135="Mixed"),1,0)</f>
        <v>0</v>
      </c>
      <c r="J1135" s="7">
        <f>IF(OR(H1135="",H1135="Mixed"),1,0)</f>
        <v>0</v>
      </c>
      <c r="K1135" s="7">
        <f>IF(AND(C1135=0,D1135=0),IF(OR(AND(I1135=0,NOT(EXACT(Raw_Passengers!F1135,G1135))),AND(J1135=0,NOT(EXACT(Raw_Passengers!G1135,H1135)))),1,0),0)</f>
        <v>0</v>
      </c>
      <c r="L1135" s="7">
        <f>IF(AND(C1135=0,D1135=0,I1135=1),1,0)</f>
        <v>0</v>
      </c>
      <c r="M1135" s="7">
        <f>IF(AND(C1135=0,D1135=0,J1135=1),1,0)</f>
        <v>0</v>
      </c>
    </row>
    <row r="1136" spans="1:13">
      <c r="A1136" s="7">
        <f>Raw_Passengers!A1136</f>
        <v>362245</v>
      </c>
      <c r="B1136" s="7">
        <f>Raw_Passengers!B1136</f>
        <v>1179635</v>
      </c>
      <c r="C1136" s="7">
        <f>IF(COUNTIF(Raw_Passengers!$A$2:A1136,Raw_Passengers!A1136)&gt;1,1,0)</f>
        <v>0</v>
      </c>
      <c r="D1136" s="7">
        <f>IF(COUNTIF(Raw_Bookings!$A$2:$A$648,Raw_Passengers!B1136)=0,1,0)</f>
        <v>0</v>
      </c>
      <c r="E1136" s="7">
        <f>IF(OR(C1136=1,D1136=1),0,IF(NOT(ISNUMBER(Raw_Passengers!E1136)),1,IF(Raw_Passengers!E1136&lt;=0,1,0)))</f>
        <v>0</v>
      </c>
      <c r="F1136" s="7">
        <f>IF(AND(C1136=0,D1136=0,TRIM(Raw_Passengers!D1136&amp;"")=""),1,0)</f>
        <v>0</v>
      </c>
      <c r="G1136" s="7" t="str">
        <f>IF(SUMPRODUCT(--(Lookup_Status!$A$2:$A$13=LOWER(TRIM(Raw_Passengers!F1136))))=0,"",INDEX(Lookup_Status!$B$2:$B$13,SUMPRODUCT((Lookup_Status!$A$2:$A$13=LOWER(TRIM(Raw_Passengers!F1136)))*(ROW(Lookup_Status!$A$2:$A$13)-1))))</f>
        <v>Waitlisted</v>
      </c>
      <c r="H1136" s="7" t="str">
        <f>IF(SUMPRODUCT(--(Lookup_Status!$A$2:$A$13=LOWER(TRIM(Raw_Passengers!G1136))))=0,"",INDEX(Lookup_Status!$B$2:$B$13,SUMPRODUCT((Lookup_Status!$A$2:$A$13=LOWER(TRIM(Raw_Passengers!G1136)))*(ROW(Lookup_Status!$A$2:$A$13)-1))))</f>
        <v>RAC</v>
      </c>
      <c r="I1136" s="7">
        <f>IF(OR(G1136="",G1136="Cancelled",G1136="Mixed"),1,0)</f>
        <v>0</v>
      </c>
      <c r="J1136" s="7">
        <f>IF(OR(H1136="",H1136="Mixed"),1,0)</f>
        <v>0</v>
      </c>
      <c r="K1136" s="7">
        <f>IF(AND(C1136=0,D1136=0),IF(OR(AND(I1136=0,NOT(EXACT(Raw_Passengers!F1136,G1136))),AND(J1136=0,NOT(EXACT(Raw_Passengers!G1136,H1136)))),1,0),0)</f>
        <v>0</v>
      </c>
      <c r="L1136" s="7">
        <f>IF(AND(C1136=0,D1136=0,I1136=1),1,0)</f>
        <v>0</v>
      </c>
      <c r="M1136" s="7">
        <f>IF(AND(C1136=0,D1136=0,J1136=1),1,0)</f>
        <v>0</v>
      </c>
    </row>
    <row r="1137" spans="1:13">
      <c r="A1137" s="7">
        <f>Raw_Passengers!A1137</f>
        <v>362246</v>
      </c>
      <c r="B1137" s="7">
        <f>Raw_Passengers!B1137</f>
        <v>1179635</v>
      </c>
      <c r="C1137" s="7">
        <f>IF(COUNTIF(Raw_Passengers!$A$2:A1137,Raw_Passengers!A1137)&gt;1,1,0)</f>
        <v>0</v>
      </c>
      <c r="D1137" s="7">
        <f>IF(COUNTIF(Raw_Bookings!$A$2:$A$648,Raw_Passengers!B1137)=0,1,0)</f>
        <v>0</v>
      </c>
      <c r="E1137" s="7">
        <f>IF(OR(C1137=1,D1137=1),0,IF(NOT(ISNUMBER(Raw_Passengers!E1137)),1,IF(Raw_Passengers!E1137&lt;=0,1,0)))</f>
        <v>0</v>
      </c>
      <c r="F1137" s="7">
        <f>IF(AND(C1137=0,D1137=0,TRIM(Raw_Passengers!D1137&amp;"")=""),1,0)</f>
        <v>0</v>
      </c>
      <c r="G1137" s="7" t="str">
        <f>IF(SUMPRODUCT(--(Lookup_Status!$A$2:$A$13=LOWER(TRIM(Raw_Passengers!F1137))))=0,"",INDEX(Lookup_Status!$B$2:$B$13,SUMPRODUCT((Lookup_Status!$A$2:$A$13=LOWER(TRIM(Raw_Passengers!F1137)))*(ROW(Lookup_Status!$A$2:$A$13)-1))))</f>
        <v>Waitlisted</v>
      </c>
      <c r="H1137" s="7" t="str">
        <f>IF(SUMPRODUCT(--(Lookup_Status!$A$2:$A$13=LOWER(TRIM(Raw_Passengers!G1137))))=0,"",INDEX(Lookup_Status!$B$2:$B$13,SUMPRODUCT((Lookup_Status!$A$2:$A$13=LOWER(TRIM(Raw_Passengers!G1137)))*(ROW(Lookup_Status!$A$2:$A$13)-1))))</f>
        <v>RAC</v>
      </c>
      <c r="I1137" s="7">
        <f>IF(OR(G1137="",G1137="Cancelled",G1137="Mixed"),1,0)</f>
        <v>0</v>
      </c>
      <c r="J1137" s="7">
        <f>IF(OR(H1137="",H1137="Mixed"),1,0)</f>
        <v>0</v>
      </c>
      <c r="K1137" s="7">
        <f>IF(AND(C1137=0,D1137=0),IF(OR(AND(I1137=0,NOT(EXACT(Raw_Passengers!F1137,G1137))),AND(J1137=0,NOT(EXACT(Raw_Passengers!G1137,H1137)))),1,0),0)</f>
        <v>0</v>
      </c>
      <c r="L1137" s="7">
        <f>IF(AND(C1137=0,D1137=0,I1137=1),1,0)</f>
        <v>0</v>
      </c>
      <c r="M1137" s="7">
        <f>IF(AND(C1137=0,D1137=0,J1137=1),1,0)</f>
        <v>0</v>
      </c>
    </row>
    <row r="1138" spans="1:13">
      <c r="A1138" s="7">
        <f>Raw_Passengers!A1138</f>
        <v>362247</v>
      </c>
      <c r="B1138" s="7">
        <f>Raw_Passengers!B1138</f>
        <v>1179635</v>
      </c>
      <c r="C1138" s="7">
        <f>IF(COUNTIF(Raw_Passengers!$A$2:A1138,Raw_Passengers!A1138)&gt;1,1,0)</f>
        <v>0</v>
      </c>
      <c r="D1138" s="7">
        <f>IF(COUNTIF(Raw_Bookings!$A$2:$A$648,Raw_Passengers!B1138)=0,1,0)</f>
        <v>0</v>
      </c>
      <c r="E1138" s="7">
        <f>IF(OR(C1138=1,D1138=1),0,IF(NOT(ISNUMBER(Raw_Passengers!E1138)),1,IF(Raw_Passengers!E1138&lt;=0,1,0)))</f>
        <v>0</v>
      </c>
      <c r="F1138" s="7">
        <f>IF(AND(C1138=0,D1138=0,TRIM(Raw_Passengers!D1138&amp;"")=""),1,0)</f>
        <v>0</v>
      </c>
      <c r="G1138" s="7" t="str">
        <f>IF(SUMPRODUCT(--(Lookup_Status!$A$2:$A$13=LOWER(TRIM(Raw_Passengers!F1138))))=0,"",INDEX(Lookup_Status!$B$2:$B$13,SUMPRODUCT((Lookup_Status!$A$2:$A$13=LOWER(TRIM(Raw_Passengers!F1138)))*(ROW(Lookup_Status!$A$2:$A$13)-1))))</f>
        <v>Waitlisted</v>
      </c>
      <c r="H1138" s="7" t="str">
        <f>IF(SUMPRODUCT(--(Lookup_Status!$A$2:$A$13=LOWER(TRIM(Raw_Passengers!G1138))))=0,"",INDEX(Lookup_Status!$B$2:$B$13,SUMPRODUCT((Lookup_Status!$A$2:$A$13=LOWER(TRIM(Raw_Passengers!G1138)))*(ROW(Lookup_Status!$A$2:$A$13)-1))))</f>
        <v>RAC</v>
      </c>
      <c r="I1138" s="7">
        <f>IF(OR(G1138="",G1138="Cancelled",G1138="Mixed"),1,0)</f>
        <v>0</v>
      </c>
      <c r="J1138" s="7">
        <f>IF(OR(H1138="",H1138="Mixed"),1,0)</f>
        <v>0</v>
      </c>
      <c r="K1138" s="7">
        <f>IF(AND(C1138=0,D1138=0),IF(OR(AND(I1138=0,NOT(EXACT(Raw_Passengers!F1138,G1138))),AND(J1138=0,NOT(EXACT(Raw_Passengers!G1138,H1138)))),1,0),0)</f>
        <v>0</v>
      </c>
      <c r="L1138" s="7">
        <f>IF(AND(C1138=0,D1138=0,I1138=1),1,0)</f>
        <v>0</v>
      </c>
      <c r="M1138" s="7">
        <f>IF(AND(C1138=0,D1138=0,J1138=1),1,0)</f>
        <v>0</v>
      </c>
    </row>
    <row r="1139" spans="1:13">
      <c r="A1139" s="7">
        <f>Raw_Passengers!A1139</f>
        <v>362429</v>
      </c>
      <c r="B1139" s="7">
        <f>Raw_Passengers!B1139</f>
        <v>1179722</v>
      </c>
      <c r="C1139" s="7">
        <f>IF(COUNTIF(Raw_Passengers!$A$2:A1139,Raw_Passengers!A1139)&gt;1,1,0)</f>
        <v>0</v>
      </c>
      <c r="D1139" s="7">
        <f>IF(COUNTIF(Raw_Bookings!$A$2:$A$648,Raw_Passengers!B1139)=0,1,0)</f>
        <v>0</v>
      </c>
      <c r="E1139" s="7">
        <f>IF(OR(C1139=1,D1139=1),0,IF(NOT(ISNUMBER(Raw_Passengers!E1139)),1,IF(Raw_Passengers!E1139&lt;=0,1,0)))</f>
        <v>0</v>
      </c>
      <c r="F1139" s="7">
        <f>IF(AND(C1139=0,D1139=0,TRIM(Raw_Passengers!D1139&amp;"")=""),1,0)</f>
        <v>0</v>
      </c>
      <c r="G1139" s="7" t="str">
        <f>IF(SUMPRODUCT(--(Lookup_Status!$A$2:$A$13=LOWER(TRIM(Raw_Passengers!F1139))))=0,"",INDEX(Lookup_Status!$B$2:$B$13,SUMPRODUCT((Lookup_Status!$A$2:$A$13=LOWER(TRIM(Raw_Passengers!F1139)))*(ROW(Lookup_Status!$A$2:$A$13)-1))))</f>
        <v>RAC</v>
      </c>
      <c r="H1139" s="7" t="str">
        <f>IF(SUMPRODUCT(--(Lookup_Status!$A$2:$A$13=LOWER(TRIM(Raw_Passengers!G1139))))=0,"",INDEX(Lookup_Status!$B$2:$B$13,SUMPRODUCT((Lookup_Status!$A$2:$A$13=LOWER(TRIM(Raw_Passengers!G1139)))*(ROW(Lookup_Status!$A$2:$A$13)-1))))</f>
        <v>RAC</v>
      </c>
      <c r="I1139" s="7">
        <f>IF(OR(G1139="",G1139="Cancelled",G1139="Mixed"),1,0)</f>
        <v>0</v>
      </c>
      <c r="J1139" s="7">
        <f>IF(OR(H1139="",H1139="Mixed"),1,0)</f>
        <v>0</v>
      </c>
      <c r="K1139" s="7">
        <f>IF(AND(C1139=0,D1139=0),IF(OR(AND(I1139=0,NOT(EXACT(Raw_Passengers!F1139,G1139))),AND(J1139=0,NOT(EXACT(Raw_Passengers!G1139,H1139)))),1,0),0)</f>
        <v>0</v>
      </c>
      <c r="L1139" s="7">
        <f>IF(AND(C1139=0,D1139=0,I1139=1),1,0)</f>
        <v>0</v>
      </c>
      <c r="M1139" s="7">
        <f>IF(AND(C1139=0,D1139=0,J1139=1),1,0)</f>
        <v>0</v>
      </c>
    </row>
    <row r="1140" spans="1:13">
      <c r="A1140" s="7">
        <f>Raw_Passengers!A1140</f>
        <v>362430</v>
      </c>
      <c r="B1140" s="7">
        <f>Raw_Passengers!B1140</f>
        <v>1179722</v>
      </c>
      <c r="C1140" s="7">
        <f>IF(COUNTIF(Raw_Passengers!$A$2:A1140,Raw_Passengers!A1140)&gt;1,1,0)</f>
        <v>0</v>
      </c>
      <c r="D1140" s="7">
        <f>IF(COUNTIF(Raw_Bookings!$A$2:$A$648,Raw_Passengers!B1140)=0,1,0)</f>
        <v>0</v>
      </c>
      <c r="E1140" s="7">
        <f>IF(OR(C1140=1,D1140=1),0,IF(NOT(ISNUMBER(Raw_Passengers!E1140)),1,IF(Raw_Passengers!E1140&lt;=0,1,0)))</f>
        <v>0</v>
      </c>
      <c r="F1140" s="7">
        <f>IF(AND(C1140=0,D1140=0,TRIM(Raw_Passengers!D1140&amp;"")=""),1,0)</f>
        <v>0</v>
      </c>
      <c r="G1140" s="7" t="str">
        <f>IF(SUMPRODUCT(--(Lookup_Status!$A$2:$A$13=LOWER(TRIM(Raw_Passengers!F1140))))=0,"",INDEX(Lookup_Status!$B$2:$B$13,SUMPRODUCT((Lookup_Status!$A$2:$A$13=LOWER(TRIM(Raw_Passengers!F1140)))*(ROW(Lookup_Status!$A$2:$A$13)-1))))</f>
        <v>RAC</v>
      </c>
      <c r="H1140" s="7" t="str">
        <f>IF(SUMPRODUCT(--(Lookup_Status!$A$2:$A$13=LOWER(TRIM(Raw_Passengers!G1140))))=0,"",INDEX(Lookup_Status!$B$2:$B$13,SUMPRODUCT((Lookup_Status!$A$2:$A$13=LOWER(TRIM(Raw_Passengers!G1140)))*(ROW(Lookup_Status!$A$2:$A$13)-1))))</f>
        <v>RAC</v>
      </c>
      <c r="I1140" s="7">
        <f>IF(OR(G1140="",G1140="Cancelled",G1140="Mixed"),1,0)</f>
        <v>0</v>
      </c>
      <c r="J1140" s="7">
        <f>IF(OR(H1140="",H1140="Mixed"),1,0)</f>
        <v>0</v>
      </c>
      <c r="K1140" s="7">
        <f>IF(AND(C1140=0,D1140=0),IF(OR(AND(I1140=0,NOT(EXACT(Raw_Passengers!F1140,G1140))),AND(J1140=0,NOT(EXACT(Raw_Passengers!G1140,H1140)))),1,0),0)</f>
        <v>0</v>
      </c>
      <c r="L1140" s="7">
        <f>IF(AND(C1140=0,D1140=0,I1140=1),1,0)</f>
        <v>0</v>
      </c>
      <c r="M1140" s="7">
        <f>IF(AND(C1140=0,D1140=0,J1140=1),1,0)</f>
        <v>0</v>
      </c>
    </row>
    <row r="1141" spans="1:13">
      <c r="A1141" s="7">
        <f>Raw_Passengers!A1141</f>
        <v>362431</v>
      </c>
      <c r="B1141" s="7">
        <f>Raw_Passengers!B1141</f>
        <v>1179722</v>
      </c>
      <c r="C1141" s="7">
        <f>IF(COUNTIF(Raw_Passengers!$A$2:A1141,Raw_Passengers!A1141)&gt;1,1,0)</f>
        <v>0</v>
      </c>
      <c r="D1141" s="7">
        <f>IF(COUNTIF(Raw_Bookings!$A$2:$A$648,Raw_Passengers!B1141)=0,1,0)</f>
        <v>0</v>
      </c>
      <c r="E1141" s="7">
        <f>IF(OR(C1141=1,D1141=1),0,IF(NOT(ISNUMBER(Raw_Passengers!E1141)),1,IF(Raw_Passengers!E1141&lt;=0,1,0)))</f>
        <v>0</v>
      </c>
      <c r="F1141" s="7">
        <f>IF(AND(C1141=0,D1141=0,TRIM(Raw_Passengers!D1141&amp;"")=""),1,0)</f>
        <v>0</v>
      </c>
      <c r="G1141" s="7" t="str">
        <f>IF(SUMPRODUCT(--(Lookup_Status!$A$2:$A$13=LOWER(TRIM(Raw_Passengers!F1141))))=0,"",INDEX(Lookup_Status!$B$2:$B$13,SUMPRODUCT((Lookup_Status!$A$2:$A$13=LOWER(TRIM(Raw_Passengers!F1141)))*(ROW(Lookup_Status!$A$2:$A$13)-1))))</f>
        <v>RAC</v>
      </c>
      <c r="H1141" s="7" t="str">
        <f>IF(SUMPRODUCT(--(Lookup_Status!$A$2:$A$13=LOWER(TRIM(Raw_Passengers!G1141))))=0,"",INDEX(Lookup_Status!$B$2:$B$13,SUMPRODUCT((Lookup_Status!$A$2:$A$13=LOWER(TRIM(Raw_Passengers!G1141)))*(ROW(Lookup_Status!$A$2:$A$13)-1))))</f>
        <v>RAC</v>
      </c>
      <c r="I1141" s="7">
        <f>IF(OR(G1141="",G1141="Cancelled",G1141="Mixed"),1,0)</f>
        <v>0</v>
      </c>
      <c r="J1141" s="7">
        <f>IF(OR(H1141="",H1141="Mixed"),1,0)</f>
        <v>0</v>
      </c>
      <c r="K1141" s="7">
        <f>IF(AND(C1141=0,D1141=0),IF(OR(AND(I1141=0,NOT(EXACT(Raw_Passengers!F1141,G1141))),AND(J1141=0,NOT(EXACT(Raw_Passengers!G1141,H1141)))),1,0),0)</f>
        <v>0</v>
      </c>
      <c r="L1141" s="7">
        <f>IF(AND(C1141=0,D1141=0,I1141=1),1,0)</f>
        <v>0</v>
      </c>
      <c r="M1141" s="7">
        <f>IF(AND(C1141=0,D1141=0,J1141=1),1,0)</f>
        <v>0</v>
      </c>
    </row>
    <row r="1142" spans="1:13">
      <c r="A1142" s="7">
        <f>Raw_Passengers!A1142</f>
        <v>362432</v>
      </c>
      <c r="B1142" s="7">
        <f>Raw_Passengers!B1142</f>
        <v>1179722</v>
      </c>
      <c r="C1142" s="7">
        <f>IF(COUNTIF(Raw_Passengers!$A$2:A1142,Raw_Passengers!A1142)&gt;1,1,0)</f>
        <v>0</v>
      </c>
      <c r="D1142" s="7">
        <f>IF(COUNTIF(Raw_Bookings!$A$2:$A$648,Raw_Passengers!B1142)=0,1,0)</f>
        <v>0</v>
      </c>
      <c r="E1142" s="7">
        <f>IF(OR(C1142=1,D1142=1),0,IF(NOT(ISNUMBER(Raw_Passengers!E1142)),1,IF(Raw_Passengers!E1142&lt;=0,1,0)))</f>
        <v>0</v>
      </c>
      <c r="F1142" s="7">
        <f>IF(AND(C1142=0,D1142=0,TRIM(Raw_Passengers!D1142&amp;"")=""),1,0)</f>
        <v>0</v>
      </c>
      <c r="G1142" s="7" t="str">
        <f>IF(SUMPRODUCT(--(Lookup_Status!$A$2:$A$13=LOWER(TRIM(Raw_Passengers!F1142))))=0,"",INDEX(Lookup_Status!$B$2:$B$13,SUMPRODUCT((Lookup_Status!$A$2:$A$13=LOWER(TRIM(Raw_Passengers!F1142)))*(ROW(Lookup_Status!$A$2:$A$13)-1))))</f>
        <v>RAC</v>
      </c>
      <c r="H1142" s="7" t="str">
        <f>IF(SUMPRODUCT(--(Lookup_Status!$A$2:$A$13=LOWER(TRIM(Raw_Passengers!G1142))))=0,"",INDEX(Lookup_Status!$B$2:$B$13,SUMPRODUCT((Lookup_Status!$A$2:$A$13=LOWER(TRIM(Raw_Passengers!G1142)))*(ROW(Lookup_Status!$A$2:$A$13)-1))))</f>
        <v>RAC</v>
      </c>
      <c r="I1142" s="7">
        <f>IF(OR(G1142="",G1142="Cancelled",G1142="Mixed"),1,0)</f>
        <v>0</v>
      </c>
      <c r="J1142" s="7">
        <f>IF(OR(H1142="",H1142="Mixed"),1,0)</f>
        <v>0</v>
      </c>
      <c r="K1142" s="7">
        <f>IF(AND(C1142=0,D1142=0),IF(OR(AND(I1142=0,NOT(EXACT(Raw_Passengers!F1142,G1142))),AND(J1142=0,NOT(EXACT(Raw_Passengers!G1142,H1142)))),1,0),0)</f>
        <v>0</v>
      </c>
      <c r="L1142" s="7">
        <f>IF(AND(C1142=0,D1142=0,I1142=1),1,0)</f>
        <v>0</v>
      </c>
      <c r="M1142" s="7">
        <f>IF(AND(C1142=0,D1142=0,J1142=1),1,0)</f>
        <v>0</v>
      </c>
    </row>
    <row r="1143" spans="1:13">
      <c r="A1143" s="7">
        <f>Raw_Passengers!A1143</f>
        <v>362433</v>
      </c>
      <c r="B1143" s="7">
        <f>Raw_Passengers!B1143</f>
        <v>1179722</v>
      </c>
      <c r="C1143" s="7">
        <f>IF(COUNTIF(Raw_Passengers!$A$2:A1143,Raw_Passengers!A1143)&gt;1,1,0)</f>
        <v>0</v>
      </c>
      <c r="D1143" s="7">
        <f>IF(COUNTIF(Raw_Bookings!$A$2:$A$648,Raw_Passengers!B1143)=0,1,0)</f>
        <v>0</v>
      </c>
      <c r="E1143" s="7">
        <f>IF(OR(C1143=1,D1143=1),0,IF(NOT(ISNUMBER(Raw_Passengers!E1143)),1,IF(Raw_Passengers!E1143&lt;=0,1,0)))</f>
        <v>0</v>
      </c>
      <c r="F1143" s="7">
        <f>IF(AND(C1143=0,D1143=0,TRIM(Raw_Passengers!D1143&amp;"")=""),1,0)</f>
        <v>0</v>
      </c>
      <c r="G1143" s="7" t="str">
        <f>IF(SUMPRODUCT(--(Lookup_Status!$A$2:$A$13=LOWER(TRIM(Raw_Passengers!F1143))))=0,"",INDEX(Lookup_Status!$B$2:$B$13,SUMPRODUCT((Lookup_Status!$A$2:$A$13=LOWER(TRIM(Raw_Passengers!F1143)))*(ROW(Lookup_Status!$A$2:$A$13)-1))))</f>
        <v>RAC</v>
      </c>
      <c r="H1143" s="7" t="str">
        <f>IF(SUMPRODUCT(--(Lookup_Status!$A$2:$A$13=LOWER(TRIM(Raw_Passengers!G1143))))=0,"",INDEX(Lookup_Status!$B$2:$B$13,SUMPRODUCT((Lookup_Status!$A$2:$A$13=LOWER(TRIM(Raw_Passengers!G1143)))*(ROW(Lookup_Status!$A$2:$A$13)-1))))</f>
        <v>RAC</v>
      </c>
      <c r="I1143" s="7">
        <f>IF(OR(G1143="",G1143="Cancelled",G1143="Mixed"),1,0)</f>
        <v>0</v>
      </c>
      <c r="J1143" s="7">
        <f>IF(OR(H1143="",H1143="Mixed"),1,0)</f>
        <v>0</v>
      </c>
      <c r="K1143" s="7">
        <f>IF(AND(C1143=0,D1143=0),IF(OR(AND(I1143=0,NOT(EXACT(Raw_Passengers!F1143,G1143))),AND(J1143=0,NOT(EXACT(Raw_Passengers!G1143,H1143)))),1,0),0)</f>
        <v>0</v>
      </c>
      <c r="L1143" s="7">
        <f>IF(AND(C1143=0,D1143=0,I1143=1),1,0)</f>
        <v>0</v>
      </c>
      <c r="M1143" s="7">
        <f>IF(AND(C1143=0,D1143=0,J1143=1),1,0)</f>
        <v>0</v>
      </c>
    </row>
    <row r="1144" spans="1:13">
      <c r="A1144" s="7">
        <f>Raw_Passengers!A1144</f>
        <v>363472</v>
      </c>
      <c r="B1144" s="7">
        <f>Raw_Passengers!B1144</f>
        <v>1180229</v>
      </c>
      <c r="C1144" s="7">
        <f>IF(COUNTIF(Raw_Passengers!$A$2:A1144,Raw_Passengers!A1144)&gt;1,1,0)</f>
        <v>0</v>
      </c>
      <c r="D1144" s="7">
        <f>IF(COUNTIF(Raw_Bookings!$A$2:$A$648,Raw_Passengers!B1144)=0,1,0)</f>
        <v>0</v>
      </c>
      <c r="E1144" s="7">
        <f>IF(OR(C1144=1,D1144=1),0,IF(NOT(ISNUMBER(Raw_Passengers!E1144)),1,IF(Raw_Passengers!E1144&lt;=0,1,0)))</f>
        <v>0</v>
      </c>
      <c r="F1144" s="7">
        <f>IF(AND(C1144=0,D1144=0,TRIM(Raw_Passengers!D1144&amp;"")=""),1,0)</f>
        <v>0</v>
      </c>
      <c r="G1144" s="7" t="str">
        <f>IF(SUMPRODUCT(--(Lookup_Status!$A$2:$A$13=LOWER(TRIM(Raw_Passengers!F1144))))=0,"",INDEX(Lookup_Status!$B$2:$B$13,SUMPRODUCT((Lookup_Status!$A$2:$A$13=LOWER(TRIM(Raw_Passengers!F1144)))*(ROW(Lookup_Status!$A$2:$A$13)-1))))</f>
        <v>Confirmed</v>
      </c>
      <c r="H1144" s="7" t="str">
        <f>IF(SUMPRODUCT(--(Lookup_Status!$A$2:$A$13=LOWER(TRIM(Raw_Passengers!G1144))))=0,"",INDEX(Lookup_Status!$B$2:$B$13,SUMPRODUCT((Lookup_Status!$A$2:$A$13=LOWER(TRIM(Raw_Passengers!G1144)))*(ROW(Lookup_Status!$A$2:$A$13)-1))))</f>
        <v>Confirmed</v>
      </c>
      <c r="I1144" s="7">
        <f>IF(OR(G1144="",G1144="Cancelled",G1144="Mixed"),1,0)</f>
        <v>0</v>
      </c>
      <c r="J1144" s="7">
        <f>IF(OR(H1144="",H1144="Mixed"),1,0)</f>
        <v>0</v>
      </c>
      <c r="K1144" s="7">
        <f>IF(AND(C1144=0,D1144=0),IF(OR(AND(I1144=0,NOT(EXACT(Raw_Passengers!F1144,G1144))),AND(J1144=0,NOT(EXACT(Raw_Passengers!G1144,H1144)))),1,0),0)</f>
        <v>0</v>
      </c>
      <c r="L1144" s="7">
        <f>IF(AND(C1144=0,D1144=0,I1144=1),1,0)</f>
        <v>0</v>
      </c>
      <c r="M1144" s="7">
        <f>IF(AND(C1144=0,D1144=0,J1144=1),1,0)</f>
        <v>0</v>
      </c>
    </row>
    <row r="1145" spans="1:13">
      <c r="A1145" s="7">
        <f>Raw_Passengers!A1145</f>
        <v>363473</v>
      </c>
      <c r="B1145" s="7">
        <f>Raw_Passengers!B1145</f>
        <v>1180229</v>
      </c>
      <c r="C1145" s="7">
        <f>IF(COUNTIF(Raw_Passengers!$A$2:A1145,Raw_Passengers!A1145)&gt;1,1,0)</f>
        <v>0</v>
      </c>
      <c r="D1145" s="7">
        <f>IF(COUNTIF(Raw_Bookings!$A$2:$A$648,Raw_Passengers!B1145)=0,1,0)</f>
        <v>0</v>
      </c>
      <c r="E1145" s="7">
        <f>IF(OR(C1145=1,D1145=1),0,IF(NOT(ISNUMBER(Raw_Passengers!E1145)),1,IF(Raw_Passengers!E1145&lt;=0,1,0)))</f>
        <v>0</v>
      </c>
      <c r="F1145" s="7">
        <f>IF(AND(C1145=0,D1145=0,TRIM(Raw_Passengers!D1145&amp;"")=""),1,0)</f>
        <v>0</v>
      </c>
      <c r="G1145" s="7" t="str">
        <f>IF(SUMPRODUCT(--(Lookup_Status!$A$2:$A$13=LOWER(TRIM(Raw_Passengers!F1145))))=0,"",INDEX(Lookup_Status!$B$2:$B$13,SUMPRODUCT((Lookup_Status!$A$2:$A$13=LOWER(TRIM(Raw_Passengers!F1145)))*(ROW(Lookup_Status!$A$2:$A$13)-1))))</f>
        <v>Confirmed</v>
      </c>
      <c r="H1145" s="7" t="str">
        <f>IF(SUMPRODUCT(--(Lookup_Status!$A$2:$A$13=LOWER(TRIM(Raw_Passengers!G1145))))=0,"",INDEX(Lookup_Status!$B$2:$B$13,SUMPRODUCT((Lookup_Status!$A$2:$A$13=LOWER(TRIM(Raw_Passengers!G1145)))*(ROW(Lookup_Status!$A$2:$A$13)-1))))</f>
        <v>Confirmed</v>
      </c>
      <c r="I1145" s="7">
        <f>IF(OR(G1145="",G1145="Cancelled",G1145="Mixed"),1,0)</f>
        <v>0</v>
      </c>
      <c r="J1145" s="7">
        <f>IF(OR(H1145="",H1145="Mixed"),1,0)</f>
        <v>0</v>
      </c>
      <c r="K1145" s="7">
        <f>IF(AND(C1145=0,D1145=0),IF(OR(AND(I1145=0,NOT(EXACT(Raw_Passengers!F1145,G1145))),AND(J1145=0,NOT(EXACT(Raw_Passengers!G1145,H1145)))),1,0),0)</f>
        <v>0</v>
      </c>
      <c r="L1145" s="7">
        <f>IF(AND(C1145=0,D1145=0,I1145=1),1,0)</f>
        <v>0</v>
      </c>
      <c r="M1145" s="7">
        <f>IF(AND(C1145=0,D1145=0,J1145=1),1,0)</f>
        <v>0</v>
      </c>
    </row>
    <row r="1146" spans="1:13">
      <c r="A1146" s="7">
        <f>Raw_Passengers!A1146</f>
        <v>363474</v>
      </c>
      <c r="B1146" s="7">
        <f>Raw_Passengers!B1146</f>
        <v>1180229</v>
      </c>
      <c r="C1146" s="7">
        <f>IF(COUNTIF(Raw_Passengers!$A$2:A1146,Raw_Passengers!A1146)&gt;1,1,0)</f>
        <v>0</v>
      </c>
      <c r="D1146" s="7">
        <f>IF(COUNTIF(Raw_Bookings!$A$2:$A$648,Raw_Passengers!B1146)=0,1,0)</f>
        <v>0</v>
      </c>
      <c r="E1146" s="7">
        <f>IF(OR(C1146=1,D1146=1),0,IF(NOT(ISNUMBER(Raw_Passengers!E1146)),1,IF(Raw_Passengers!E1146&lt;=0,1,0)))</f>
        <v>0</v>
      </c>
      <c r="F1146" s="7">
        <f>IF(AND(C1146=0,D1146=0,TRIM(Raw_Passengers!D1146&amp;"")=""),1,0)</f>
        <v>0</v>
      </c>
      <c r="G1146" s="7" t="str">
        <f>IF(SUMPRODUCT(--(Lookup_Status!$A$2:$A$13=LOWER(TRIM(Raw_Passengers!F1146))))=0,"",INDEX(Lookup_Status!$B$2:$B$13,SUMPRODUCT((Lookup_Status!$A$2:$A$13=LOWER(TRIM(Raw_Passengers!F1146)))*(ROW(Lookup_Status!$A$2:$A$13)-1))))</f>
        <v>Confirmed</v>
      </c>
      <c r="H1146" s="7" t="str">
        <f>IF(SUMPRODUCT(--(Lookup_Status!$A$2:$A$13=LOWER(TRIM(Raw_Passengers!G1146))))=0,"",INDEX(Lookup_Status!$B$2:$B$13,SUMPRODUCT((Lookup_Status!$A$2:$A$13=LOWER(TRIM(Raw_Passengers!G1146)))*(ROW(Lookup_Status!$A$2:$A$13)-1))))</f>
        <v>Confirmed</v>
      </c>
      <c r="I1146" s="7">
        <f>IF(OR(G1146="",G1146="Cancelled",G1146="Mixed"),1,0)</f>
        <v>0</v>
      </c>
      <c r="J1146" s="7">
        <f>IF(OR(H1146="",H1146="Mixed"),1,0)</f>
        <v>0</v>
      </c>
      <c r="K1146" s="7">
        <f>IF(AND(C1146=0,D1146=0),IF(OR(AND(I1146=0,NOT(EXACT(Raw_Passengers!F1146,G1146))),AND(J1146=0,NOT(EXACT(Raw_Passengers!G1146,H1146)))),1,0),0)</f>
        <v>0</v>
      </c>
      <c r="L1146" s="7">
        <f>IF(AND(C1146=0,D1146=0,I1146=1),1,0)</f>
        <v>0</v>
      </c>
      <c r="M1146" s="7">
        <f>IF(AND(C1146=0,D1146=0,J1146=1),1,0)</f>
        <v>0</v>
      </c>
    </row>
    <row r="1147" spans="1:13">
      <c r="A1147" s="7">
        <f>Raw_Passengers!A1147</f>
        <v>364050</v>
      </c>
      <c r="B1147" s="7">
        <f>Raw_Passengers!B1147</f>
        <v>1180523</v>
      </c>
      <c r="C1147" s="7">
        <f>IF(COUNTIF(Raw_Passengers!$A$2:A1147,Raw_Passengers!A1147)&gt;1,1,0)</f>
        <v>0</v>
      </c>
      <c r="D1147" s="7">
        <f>IF(COUNTIF(Raw_Bookings!$A$2:$A$648,Raw_Passengers!B1147)=0,1,0)</f>
        <v>0</v>
      </c>
      <c r="E1147" s="7">
        <f>IF(OR(C1147=1,D1147=1),0,IF(NOT(ISNUMBER(Raw_Passengers!E1147)),1,IF(Raw_Passengers!E1147&lt;=0,1,0)))</f>
        <v>0</v>
      </c>
      <c r="F1147" s="7">
        <f>IF(AND(C1147=0,D1147=0,TRIM(Raw_Passengers!D1147&amp;"")=""),1,0)</f>
        <v>0</v>
      </c>
      <c r="G1147" s="7" t="str">
        <f>IF(SUMPRODUCT(--(Lookup_Status!$A$2:$A$13=LOWER(TRIM(Raw_Passengers!F1147))))=0,"",INDEX(Lookup_Status!$B$2:$B$13,SUMPRODUCT((Lookup_Status!$A$2:$A$13=LOWER(TRIM(Raw_Passengers!F1147)))*(ROW(Lookup_Status!$A$2:$A$13)-1))))</f>
        <v>Waitlisted</v>
      </c>
      <c r="H1147" s="7" t="str">
        <f>IF(SUMPRODUCT(--(Lookup_Status!$A$2:$A$13=LOWER(TRIM(Raw_Passengers!G1147))))=0,"",INDEX(Lookup_Status!$B$2:$B$13,SUMPRODUCT((Lookup_Status!$A$2:$A$13=LOWER(TRIM(Raw_Passengers!G1147)))*(ROW(Lookup_Status!$A$2:$A$13)-1))))</f>
        <v>Waitlisted</v>
      </c>
      <c r="I1147" s="7">
        <f>IF(OR(G1147="",G1147="Cancelled",G1147="Mixed"),1,0)</f>
        <v>0</v>
      </c>
      <c r="J1147" s="7">
        <f>IF(OR(H1147="",H1147="Mixed"),1,0)</f>
        <v>0</v>
      </c>
      <c r="K1147" s="7">
        <f>IF(AND(C1147=0,D1147=0),IF(OR(AND(I1147=0,NOT(EXACT(Raw_Passengers!F1147,G1147))),AND(J1147=0,NOT(EXACT(Raw_Passengers!G1147,H1147)))),1,0),0)</f>
        <v>0</v>
      </c>
      <c r="L1147" s="7">
        <f>IF(AND(C1147=0,D1147=0,I1147=1),1,0)</f>
        <v>0</v>
      </c>
      <c r="M1147" s="7">
        <f>IF(AND(C1147=0,D1147=0,J1147=1),1,0)</f>
        <v>0</v>
      </c>
    </row>
    <row r="1148" spans="1:13">
      <c r="A1148" s="7">
        <f>Raw_Passengers!A1148</f>
        <v>364487</v>
      </c>
      <c r="B1148" s="7">
        <f>Raw_Passengers!B1148</f>
        <v>1180732</v>
      </c>
      <c r="C1148" s="7">
        <f>IF(COUNTIF(Raw_Passengers!$A$2:A1148,Raw_Passengers!A1148)&gt;1,1,0)</f>
        <v>0</v>
      </c>
      <c r="D1148" s="7">
        <f>IF(COUNTIF(Raw_Bookings!$A$2:$A$648,Raw_Passengers!B1148)=0,1,0)</f>
        <v>0</v>
      </c>
      <c r="E1148" s="7">
        <f>IF(OR(C1148=1,D1148=1),0,IF(NOT(ISNUMBER(Raw_Passengers!E1148)),1,IF(Raw_Passengers!E1148&lt;=0,1,0)))</f>
        <v>0</v>
      </c>
      <c r="F1148" s="7">
        <f>IF(AND(C1148=0,D1148=0,TRIM(Raw_Passengers!D1148&amp;"")=""),1,0)</f>
        <v>0</v>
      </c>
      <c r="G1148" s="7" t="str">
        <f>IF(SUMPRODUCT(--(Lookup_Status!$A$2:$A$13=LOWER(TRIM(Raw_Passengers!F1148))))=0,"",INDEX(Lookup_Status!$B$2:$B$13,SUMPRODUCT((Lookup_Status!$A$2:$A$13=LOWER(TRIM(Raw_Passengers!F1148)))*(ROW(Lookup_Status!$A$2:$A$13)-1))))</f>
        <v>Confirmed</v>
      </c>
      <c r="H1148" s="7" t="str">
        <f>IF(SUMPRODUCT(--(Lookup_Status!$A$2:$A$13=LOWER(TRIM(Raw_Passengers!G1148))))=0,"",INDEX(Lookup_Status!$B$2:$B$13,SUMPRODUCT((Lookup_Status!$A$2:$A$13=LOWER(TRIM(Raw_Passengers!G1148)))*(ROW(Lookup_Status!$A$2:$A$13)-1))))</f>
        <v>Confirmed</v>
      </c>
      <c r="I1148" s="7">
        <f>IF(OR(G1148="",G1148="Cancelled",G1148="Mixed"),1,0)</f>
        <v>0</v>
      </c>
      <c r="J1148" s="7">
        <f>IF(OR(H1148="",H1148="Mixed"),1,0)</f>
        <v>0</v>
      </c>
      <c r="K1148" s="7">
        <f>IF(AND(C1148=0,D1148=0),IF(OR(AND(I1148=0,NOT(EXACT(Raw_Passengers!F1148,G1148))),AND(J1148=0,NOT(EXACT(Raw_Passengers!G1148,H1148)))),1,0),0)</f>
        <v>0</v>
      </c>
      <c r="L1148" s="7">
        <f>IF(AND(C1148=0,D1148=0,I1148=1),1,0)</f>
        <v>0</v>
      </c>
      <c r="M1148" s="7">
        <f>IF(AND(C1148=0,D1148=0,J1148=1),1,0)</f>
        <v>0</v>
      </c>
    </row>
    <row r="1149" spans="1:13">
      <c r="A1149" s="7">
        <f>Raw_Passengers!A1149</f>
        <v>364520</v>
      </c>
      <c r="B1149" s="7">
        <f>Raw_Passengers!B1149</f>
        <v>1180749</v>
      </c>
      <c r="C1149" s="7">
        <f>IF(COUNTIF(Raw_Passengers!$A$2:A1149,Raw_Passengers!A1149)&gt;1,1,0)</f>
        <v>0</v>
      </c>
      <c r="D1149" s="7">
        <f>IF(COUNTIF(Raw_Bookings!$A$2:$A$648,Raw_Passengers!B1149)=0,1,0)</f>
        <v>0</v>
      </c>
      <c r="E1149" s="7">
        <f>IF(OR(C1149=1,D1149=1),0,IF(NOT(ISNUMBER(Raw_Passengers!E1149)),1,IF(Raw_Passengers!E1149&lt;=0,1,0)))</f>
        <v>0</v>
      </c>
      <c r="F1149" s="7">
        <f>IF(AND(C1149=0,D1149=0,TRIM(Raw_Passengers!D1149&amp;"")=""),1,0)</f>
        <v>0</v>
      </c>
      <c r="G1149" s="7" t="str">
        <f>IF(SUMPRODUCT(--(Lookup_Status!$A$2:$A$13=LOWER(TRIM(Raw_Passengers!F1149))))=0,"",INDEX(Lookup_Status!$B$2:$B$13,SUMPRODUCT((Lookup_Status!$A$2:$A$13=LOWER(TRIM(Raw_Passengers!F1149)))*(ROW(Lookup_Status!$A$2:$A$13)-1))))</f>
        <v>Waitlisted</v>
      </c>
      <c r="H1149" s="7" t="str">
        <f>IF(SUMPRODUCT(--(Lookup_Status!$A$2:$A$13=LOWER(TRIM(Raw_Passengers!G1149))))=0,"",INDEX(Lookup_Status!$B$2:$B$13,SUMPRODUCT((Lookup_Status!$A$2:$A$13=LOWER(TRIM(Raw_Passengers!G1149)))*(ROW(Lookup_Status!$A$2:$A$13)-1))))</f>
        <v>Waitlisted</v>
      </c>
      <c r="I1149" s="7">
        <f>IF(OR(G1149="",G1149="Cancelled",G1149="Mixed"),1,0)</f>
        <v>0</v>
      </c>
      <c r="J1149" s="7">
        <f>IF(OR(H1149="",H1149="Mixed"),1,0)</f>
        <v>0</v>
      </c>
      <c r="K1149" s="7">
        <f>IF(AND(C1149=0,D1149=0),IF(OR(AND(I1149=0,NOT(EXACT(Raw_Passengers!F1149,G1149))),AND(J1149=0,NOT(EXACT(Raw_Passengers!G1149,H1149)))),1,0),0)</f>
        <v>0</v>
      </c>
      <c r="L1149" s="7">
        <f>IF(AND(C1149=0,D1149=0,I1149=1),1,0)</f>
        <v>0</v>
      </c>
      <c r="M1149" s="7">
        <f>IF(AND(C1149=0,D1149=0,J1149=1),1,0)</f>
        <v>0</v>
      </c>
    </row>
    <row r="1150" spans="1:13">
      <c r="A1150" s="7">
        <f>Raw_Passengers!A1150</f>
        <v>364521</v>
      </c>
      <c r="B1150" s="7">
        <f>Raw_Passengers!B1150</f>
        <v>1180749</v>
      </c>
      <c r="C1150" s="7">
        <f>IF(COUNTIF(Raw_Passengers!$A$2:A1150,Raw_Passengers!A1150)&gt;1,1,0)</f>
        <v>0</v>
      </c>
      <c r="D1150" s="7">
        <f>IF(COUNTIF(Raw_Bookings!$A$2:$A$648,Raw_Passengers!B1150)=0,1,0)</f>
        <v>0</v>
      </c>
      <c r="E1150" s="7">
        <f>IF(OR(C1150=1,D1150=1),0,IF(NOT(ISNUMBER(Raw_Passengers!E1150)),1,IF(Raw_Passengers!E1150&lt;=0,1,0)))</f>
        <v>0</v>
      </c>
      <c r="F1150" s="7">
        <f>IF(AND(C1150=0,D1150=0,TRIM(Raw_Passengers!D1150&amp;"")=""),1,0)</f>
        <v>0</v>
      </c>
      <c r="G1150" s="7" t="str">
        <f>IF(SUMPRODUCT(--(Lookup_Status!$A$2:$A$13=LOWER(TRIM(Raw_Passengers!F1150))))=0,"",INDEX(Lookup_Status!$B$2:$B$13,SUMPRODUCT((Lookup_Status!$A$2:$A$13=LOWER(TRIM(Raw_Passengers!F1150)))*(ROW(Lookup_Status!$A$2:$A$13)-1))))</f>
        <v>Waitlisted</v>
      </c>
      <c r="H1150" s="7" t="str">
        <f>IF(SUMPRODUCT(--(Lookup_Status!$A$2:$A$13=LOWER(TRIM(Raw_Passengers!G1150))))=0,"",INDEX(Lookup_Status!$B$2:$B$13,SUMPRODUCT((Lookup_Status!$A$2:$A$13=LOWER(TRIM(Raw_Passengers!G1150)))*(ROW(Lookup_Status!$A$2:$A$13)-1))))</f>
        <v>Waitlisted</v>
      </c>
      <c r="I1150" s="7">
        <f>IF(OR(G1150="",G1150="Cancelled",G1150="Mixed"),1,0)</f>
        <v>0</v>
      </c>
      <c r="J1150" s="7">
        <f>IF(OR(H1150="",H1150="Mixed"),1,0)</f>
        <v>0</v>
      </c>
      <c r="K1150" s="7">
        <f>IF(AND(C1150=0,D1150=0),IF(OR(AND(I1150=0,NOT(EXACT(Raw_Passengers!F1150,G1150))),AND(J1150=0,NOT(EXACT(Raw_Passengers!G1150,H1150)))),1,0),0)</f>
        <v>0</v>
      </c>
      <c r="L1150" s="7">
        <f>IF(AND(C1150=0,D1150=0,I1150=1),1,0)</f>
        <v>0</v>
      </c>
      <c r="M1150" s="7">
        <f>IF(AND(C1150=0,D1150=0,J1150=1),1,0)</f>
        <v>0</v>
      </c>
    </row>
    <row r="1151" spans="1:13">
      <c r="A1151" s="7">
        <f>Raw_Passengers!A1151</f>
        <v>366884</v>
      </c>
      <c r="B1151" s="7">
        <f>Raw_Passengers!B1151</f>
        <v>1181937</v>
      </c>
      <c r="C1151" s="7">
        <f>IF(COUNTIF(Raw_Passengers!$A$2:A1151,Raw_Passengers!A1151)&gt;1,1,0)</f>
        <v>0</v>
      </c>
      <c r="D1151" s="7">
        <f>IF(COUNTIF(Raw_Bookings!$A$2:$A$648,Raw_Passengers!B1151)=0,1,0)</f>
        <v>0</v>
      </c>
      <c r="E1151" s="7">
        <f>IF(OR(C1151=1,D1151=1),0,IF(NOT(ISNUMBER(Raw_Passengers!E1151)),1,IF(Raw_Passengers!E1151&lt;=0,1,0)))</f>
        <v>0</v>
      </c>
      <c r="F1151" s="7">
        <f>IF(AND(C1151=0,D1151=0,TRIM(Raw_Passengers!D1151&amp;"")=""),1,0)</f>
        <v>0</v>
      </c>
      <c r="G1151" s="7" t="str">
        <f>IF(SUMPRODUCT(--(Lookup_Status!$A$2:$A$13=LOWER(TRIM(Raw_Passengers!F1151))))=0,"",INDEX(Lookup_Status!$B$2:$B$13,SUMPRODUCT((Lookup_Status!$A$2:$A$13=LOWER(TRIM(Raw_Passengers!F1151)))*(ROW(Lookup_Status!$A$2:$A$13)-1))))</f>
        <v>Confirmed</v>
      </c>
      <c r="H1151" s="7" t="str">
        <f>IF(SUMPRODUCT(--(Lookup_Status!$A$2:$A$13=LOWER(TRIM(Raw_Passengers!G1151))))=0,"",INDEX(Lookup_Status!$B$2:$B$13,SUMPRODUCT((Lookup_Status!$A$2:$A$13=LOWER(TRIM(Raw_Passengers!G1151)))*(ROW(Lookup_Status!$A$2:$A$13)-1))))</f>
        <v>Confirmed</v>
      </c>
      <c r="I1151" s="7">
        <f>IF(OR(G1151="",G1151="Cancelled",G1151="Mixed"),1,0)</f>
        <v>0</v>
      </c>
      <c r="J1151" s="7">
        <f>IF(OR(H1151="",H1151="Mixed"),1,0)</f>
        <v>0</v>
      </c>
      <c r="K1151" s="7">
        <f>IF(AND(C1151=0,D1151=0),IF(OR(AND(I1151=0,NOT(EXACT(Raw_Passengers!F1151,G1151))),AND(J1151=0,NOT(EXACT(Raw_Passengers!G1151,H1151)))),1,0),0)</f>
        <v>0</v>
      </c>
      <c r="L1151" s="7">
        <f>IF(AND(C1151=0,D1151=0,I1151=1),1,0)</f>
        <v>0</v>
      </c>
      <c r="M1151" s="7">
        <f>IF(AND(C1151=0,D1151=0,J1151=1),1,0)</f>
        <v>0</v>
      </c>
    </row>
    <row r="1152" spans="1:13">
      <c r="A1152" s="7">
        <f>Raw_Passengers!A1152</f>
        <v>366885</v>
      </c>
      <c r="B1152" s="7">
        <f>Raw_Passengers!B1152</f>
        <v>1181937</v>
      </c>
      <c r="C1152" s="7">
        <f>IF(COUNTIF(Raw_Passengers!$A$2:A1152,Raw_Passengers!A1152)&gt;1,1,0)</f>
        <v>0</v>
      </c>
      <c r="D1152" s="7">
        <f>IF(COUNTIF(Raw_Bookings!$A$2:$A$648,Raw_Passengers!B1152)=0,1,0)</f>
        <v>0</v>
      </c>
      <c r="E1152" s="7">
        <f>IF(OR(C1152=1,D1152=1),0,IF(NOT(ISNUMBER(Raw_Passengers!E1152)),1,IF(Raw_Passengers!E1152&lt;=0,1,0)))</f>
        <v>0</v>
      </c>
      <c r="F1152" s="7">
        <f>IF(AND(C1152=0,D1152=0,TRIM(Raw_Passengers!D1152&amp;"")=""),1,0)</f>
        <v>0</v>
      </c>
      <c r="G1152" s="7" t="str">
        <f>IF(SUMPRODUCT(--(Lookup_Status!$A$2:$A$13=LOWER(TRIM(Raw_Passengers!F1152))))=0,"",INDEX(Lookup_Status!$B$2:$B$13,SUMPRODUCT((Lookup_Status!$A$2:$A$13=LOWER(TRIM(Raw_Passengers!F1152)))*(ROW(Lookup_Status!$A$2:$A$13)-1))))</f>
        <v>Confirmed</v>
      </c>
      <c r="H1152" s="7" t="str">
        <f>IF(SUMPRODUCT(--(Lookup_Status!$A$2:$A$13=LOWER(TRIM(Raw_Passengers!G1152))))=0,"",INDEX(Lookup_Status!$B$2:$B$13,SUMPRODUCT((Lookup_Status!$A$2:$A$13=LOWER(TRIM(Raw_Passengers!G1152)))*(ROW(Lookup_Status!$A$2:$A$13)-1))))</f>
        <v>Confirmed</v>
      </c>
      <c r="I1152" s="7">
        <f>IF(OR(G1152="",G1152="Cancelled",G1152="Mixed"),1,0)</f>
        <v>0</v>
      </c>
      <c r="J1152" s="7">
        <f>IF(OR(H1152="",H1152="Mixed"),1,0)</f>
        <v>0</v>
      </c>
      <c r="K1152" s="7">
        <f>IF(AND(C1152=0,D1152=0),IF(OR(AND(I1152=0,NOT(EXACT(Raw_Passengers!F1152,G1152))),AND(J1152=0,NOT(EXACT(Raw_Passengers!G1152,H1152)))),1,0),0)</f>
        <v>0</v>
      </c>
      <c r="L1152" s="7">
        <f>IF(AND(C1152=0,D1152=0,I1152=1),1,0)</f>
        <v>0</v>
      </c>
      <c r="M1152" s="7">
        <f>IF(AND(C1152=0,D1152=0,J1152=1),1,0)</f>
        <v>0</v>
      </c>
    </row>
    <row r="1153" spans="1:13">
      <c r="A1153" s="7">
        <f>Raw_Passengers!A1153</f>
        <v>367170</v>
      </c>
      <c r="B1153" s="7">
        <f>Raw_Passengers!B1153</f>
        <v>1182073</v>
      </c>
      <c r="C1153" s="7">
        <f>IF(COUNTIF(Raw_Passengers!$A$2:A1153,Raw_Passengers!A1153)&gt;1,1,0)</f>
        <v>0</v>
      </c>
      <c r="D1153" s="7">
        <f>IF(COUNTIF(Raw_Bookings!$A$2:$A$648,Raw_Passengers!B1153)=0,1,0)</f>
        <v>0</v>
      </c>
      <c r="E1153" s="7">
        <f>IF(OR(C1153=1,D1153=1),0,IF(NOT(ISNUMBER(Raw_Passengers!E1153)),1,IF(Raw_Passengers!E1153&lt;=0,1,0)))</f>
        <v>0</v>
      </c>
      <c r="F1153" s="7">
        <f>IF(AND(C1153=0,D1153=0,TRIM(Raw_Passengers!D1153&amp;"")=""),1,0)</f>
        <v>0</v>
      </c>
      <c r="G1153" s="7" t="str">
        <f>IF(SUMPRODUCT(--(Lookup_Status!$A$2:$A$13=LOWER(TRIM(Raw_Passengers!F1153))))=0,"",INDEX(Lookup_Status!$B$2:$B$13,SUMPRODUCT((Lookup_Status!$A$2:$A$13=LOWER(TRIM(Raw_Passengers!F1153)))*(ROW(Lookup_Status!$A$2:$A$13)-1))))</f>
        <v>Waitlisted</v>
      </c>
      <c r="H1153" s="7" t="str">
        <f>IF(SUMPRODUCT(--(Lookup_Status!$A$2:$A$13=LOWER(TRIM(Raw_Passengers!G1153))))=0,"",INDEX(Lookup_Status!$B$2:$B$13,SUMPRODUCT((Lookup_Status!$A$2:$A$13=LOWER(TRIM(Raw_Passengers!G1153)))*(ROW(Lookup_Status!$A$2:$A$13)-1))))</f>
        <v>Waitlisted</v>
      </c>
      <c r="I1153" s="7">
        <f>IF(OR(G1153="",G1153="Cancelled",G1153="Mixed"),1,0)</f>
        <v>0</v>
      </c>
      <c r="J1153" s="7">
        <f>IF(OR(H1153="",H1153="Mixed"),1,0)</f>
        <v>0</v>
      </c>
      <c r="K1153" s="7">
        <f>IF(AND(C1153=0,D1153=0),IF(OR(AND(I1153=0,NOT(EXACT(Raw_Passengers!F1153,G1153))),AND(J1153=0,NOT(EXACT(Raw_Passengers!G1153,H1153)))),1,0),0)</f>
        <v>0</v>
      </c>
      <c r="L1153" s="7">
        <f>IF(AND(C1153=0,D1153=0,I1153=1),1,0)</f>
        <v>0</v>
      </c>
      <c r="M1153" s="7">
        <f>IF(AND(C1153=0,D1153=0,J1153=1),1,0)</f>
        <v>0</v>
      </c>
    </row>
    <row r="1154" spans="1:13">
      <c r="A1154" s="7">
        <f>Raw_Passengers!A1154</f>
        <v>368594</v>
      </c>
      <c r="B1154" s="7">
        <f>Raw_Passengers!B1154</f>
        <v>1182788</v>
      </c>
      <c r="C1154" s="7">
        <f>IF(COUNTIF(Raw_Passengers!$A$2:A1154,Raw_Passengers!A1154)&gt;1,1,0)</f>
        <v>0</v>
      </c>
      <c r="D1154" s="7">
        <f>IF(COUNTIF(Raw_Bookings!$A$2:$A$648,Raw_Passengers!B1154)=0,1,0)</f>
        <v>0</v>
      </c>
      <c r="E1154" s="7">
        <f>IF(OR(C1154=1,D1154=1),0,IF(NOT(ISNUMBER(Raw_Passengers!E1154)),1,IF(Raw_Passengers!E1154&lt;=0,1,0)))</f>
        <v>0</v>
      </c>
      <c r="F1154" s="7">
        <f>IF(AND(C1154=0,D1154=0,TRIM(Raw_Passengers!D1154&amp;"")=""),1,0)</f>
        <v>0</v>
      </c>
      <c r="G1154" s="7" t="str">
        <f>IF(SUMPRODUCT(--(Lookup_Status!$A$2:$A$13=LOWER(TRIM(Raw_Passengers!F1154))))=0,"",INDEX(Lookup_Status!$B$2:$B$13,SUMPRODUCT((Lookup_Status!$A$2:$A$13=LOWER(TRIM(Raw_Passengers!F1154)))*(ROW(Lookup_Status!$A$2:$A$13)-1))))</f>
        <v>Waitlisted</v>
      </c>
      <c r="H1154" s="7" t="str">
        <f>IF(SUMPRODUCT(--(Lookup_Status!$A$2:$A$13=LOWER(TRIM(Raw_Passengers!G1154))))=0,"",INDEX(Lookup_Status!$B$2:$B$13,SUMPRODUCT((Lookup_Status!$A$2:$A$13=LOWER(TRIM(Raw_Passengers!G1154)))*(ROW(Lookup_Status!$A$2:$A$13)-1))))</f>
        <v>Cancelled</v>
      </c>
      <c r="I1154" s="7">
        <f>IF(OR(G1154="",G1154="Cancelled",G1154="Mixed"),1,0)</f>
        <v>0</v>
      </c>
      <c r="J1154" s="7">
        <f>IF(OR(H1154="",H1154="Mixed"),1,0)</f>
        <v>0</v>
      </c>
      <c r="K1154" s="7">
        <f>IF(AND(C1154=0,D1154=0),IF(OR(AND(I1154=0,NOT(EXACT(Raw_Passengers!F1154,G1154))),AND(J1154=0,NOT(EXACT(Raw_Passengers!G1154,H1154)))),1,0),0)</f>
        <v>0</v>
      </c>
      <c r="L1154" s="7">
        <f>IF(AND(C1154=0,D1154=0,I1154=1),1,0)</f>
        <v>0</v>
      </c>
      <c r="M1154" s="7">
        <f>IF(AND(C1154=0,D1154=0,J1154=1),1,0)</f>
        <v>0</v>
      </c>
    </row>
    <row r="1155" spans="1:13">
      <c r="A1155" s="7">
        <f>Raw_Passengers!A1155</f>
        <v>368595</v>
      </c>
      <c r="B1155" s="7">
        <f>Raw_Passengers!B1155</f>
        <v>1182788</v>
      </c>
      <c r="C1155" s="7">
        <f>IF(COUNTIF(Raw_Passengers!$A$2:A1155,Raw_Passengers!A1155)&gt;1,1,0)</f>
        <v>0</v>
      </c>
      <c r="D1155" s="7">
        <f>IF(COUNTIF(Raw_Bookings!$A$2:$A$648,Raw_Passengers!B1155)=0,1,0)</f>
        <v>0</v>
      </c>
      <c r="E1155" s="7">
        <f>IF(OR(C1155=1,D1155=1),0,IF(NOT(ISNUMBER(Raw_Passengers!E1155)),1,IF(Raw_Passengers!E1155&lt;=0,1,0)))</f>
        <v>0</v>
      </c>
      <c r="F1155" s="7">
        <f>IF(AND(C1155=0,D1155=0,TRIM(Raw_Passengers!D1155&amp;"")=""),1,0)</f>
        <v>0</v>
      </c>
      <c r="G1155" s="7" t="str">
        <f>IF(SUMPRODUCT(--(Lookup_Status!$A$2:$A$13=LOWER(TRIM(Raw_Passengers!F1155))))=0,"",INDEX(Lookup_Status!$B$2:$B$13,SUMPRODUCT((Lookup_Status!$A$2:$A$13=LOWER(TRIM(Raw_Passengers!F1155)))*(ROW(Lookup_Status!$A$2:$A$13)-1))))</f>
        <v>Waitlisted</v>
      </c>
      <c r="H1155" s="7" t="str">
        <f>IF(SUMPRODUCT(--(Lookup_Status!$A$2:$A$13=LOWER(TRIM(Raw_Passengers!G1155))))=0,"",INDEX(Lookup_Status!$B$2:$B$13,SUMPRODUCT((Lookup_Status!$A$2:$A$13=LOWER(TRIM(Raw_Passengers!G1155)))*(ROW(Lookup_Status!$A$2:$A$13)-1))))</f>
        <v>Cancelled</v>
      </c>
      <c r="I1155" s="7">
        <f>IF(OR(G1155="",G1155="Cancelled",G1155="Mixed"),1,0)</f>
        <v>0</v>
      </c>
      <c r="J1155" s="7">
        <f>IF(OR(H1155="",H1155="Mixed"),1,0)</f>
        <v>0</v>
      </c>
      <c r="K1155" s="7">
        <f>IF(AND(C1155=0,D1155=0),IF(OR(AND(I1155=0,NOT(EXACT(Raw_Passengers!F1155,G1155))),AND(J1155=0,NOT(EXACT(Raw_Passengers!G1155,H1155)))),1,0),0)</f>
        <v>0</v>
      </c>
      <c r="L1155" s="7">
        <f>IF(AND(C1155=0,D1155=0,I1155=1),1,0)</f>
        <v>0</v>
      </c>
      <c r="M1155" s="7">
        <f>IF(AND(C1155=0,D1155=0,J1155=1),1,0)</f>
        <v>0</v>
      </c>
    </row>
    <row r="1156" spans="1:13">
      <c r="A1156" s="7">
        <f>Raw_Passengers!A1156</f>
        <v>369093</v>
      </c>
      <c r="B1156" s="7">
        <f>Raw_Passengers!B1156</f>
        <v>1183047</v>
      </c>
      <c r="C1156" s="7">
        <f>IF(COUNTIF(Raw_Passengers!$A$2:A1156,Raw_Passengers!A1156)&gt;1,1,0)</f>
        <v>0</v>
      </c>
      <c r="D1156" s="7">
        <f>IF(COUNTIF(Raw_Bookings!$A$2:$A$648,Raw_Passengers!B1156)=0,1,0)</f>
        <v>0</v>
      </c>
      <c r="E1156" s="7">
        <f>IF(OR(C1156=1,D1156=1),0,IF(NOT(ISNUMBER(Raw_Passengers!E1156)),1,IF(Raw_Passengers!E1156&lt;=0,1,0)))</f>
        <v>0</v>
      </c>
      <c r="F1156" s="7">
        <f>IF(AND(C1156=0,D1156=0,TRIM(Raw_Passengers!D1156&amp;"")=""),1,0)</f>
        <v>0</v>
      </c>
      <c r="G1156" s="7" t="str">
        <f>IF(SUMPRODUCT(--(Lookup_Status!$A$2:$A$13=LOWER(TRIM(Raw_Passengers!F1156))))=0,"",INDEX(Lookup_Status!$B$2:$B$13,SUMPRODUCT((Lookup_Status!$A$2:$A$13=LOWER(TRIM(Raw_Passengers!F1156)))*(ROW(Lookup_Status!$A$2:$A$13)-1))))</f>
        <v>Confirmed</v>
      </c>
      <c r="H1156" s="7" t="str">
        <f>IF(SUMPRODUCT(--(Lookup_Status!$A$2:$A$13=LOWER(TRIM(Raw_Passengers!G1156))))=0,"",INDEX(Lookup_Status!$B$2:$B$13,SUMPRODUCT((Lookup_Status!$A$2:$A$13=LOWER(TRIM(Raw_Passengers!G1156)))*(ROW(Lookup_Status!$A$2:$A$13)-1))))</f>
        <v>Confirmed</v>
      </c>
      <c r="I1156" s="7">
        <f>IF(OR(G1156="",G1156="Cancelled",G1156="Mixed"),1,0)</f>
        <v>0</v>
      </c>
      <c r="J1156" s="7">
        <f>IF(OR(H1156="",H1156="Mixed"),1,0)</f>
        <v>0</v>
      </c>
      <c r="K1156" s="7">
        <f>IF(AND(C1156=0,D1156=0),IF(OR(AND(I1156=0,NOT(EXACT(Raw_Passengers!F1156,G1156))),AND(J1156=0,NOT(EXACT(Raw_Passengers!G1156,H1156)))),1,0),0)</f>
        <v>0</v>
      </c>
      <c r="L1156" s="7">
        <f>IF(AND(C1156=0,D1156=0,I1156=1),1,0)</f>
        <v>0</v>
      </c>
      <c r="M1156" s="7">
        <f>IF(AND(C1156=0,D1156=0,J1156=1),1,0)</f>
        <v>0</v>
      </c>
    </row>
    <row r="1157" spans="1:13">
      <c r="A1157" s="7">
        <f>Raw_Passengers!A1157</f>
        <v>369689</v>
      </c>
      <c r="B1157" s="7">
        <f>Raw_Passengers!B1157</f>
        <v>1183346</v>
      </c>
      <c r="C1157" s="7">
        <f>IF(COUNTIF(Raw_Passengers!$A$2:A1157,Raw_Passengers!A1157)&gt;1,1,0)</f>
        <v>0</v>
      </c>
      <c r="D1157" s="7">
        <f>IF(COUNTIF(Raw_Bookings!$A$2:$A$648,Raw_Passengers!B1157)=0,1,0)</f>
        <v>0</v>
      </c>
      <c r="E1157" s="7">
        <f>IF(OR(C1157=1,D1157=1),0,IF(NOT(ISNUMBER(Raw_Passengers!E1157)),1,IF(Raw_Passengers!E1157&lt;=0,1,0)))</f>
        <v>0</v>
      </c>
      <c r="F1157" s="7">
        <f>IF(AND(C1157=0,D1157=0,TRIM(Raw_Passengers!D1157&amp;"")=""),1,0)</f>
        <v>0</v>
      </c>
      <c r="G1157" s="7" t="str">
        <f>IF(SUMPRODUCT(--(Lookup_Status!$A$2:$A$13=LOWER(TRIM(Raw_Passengers!F1157))))=0,"",INDEX(Lookup_Status!$B$2:$B$13,SUMPRODUCT((Lookup_Status!$A$2:$A$13=LOWER(TRIM(Raw_Passengers!F1157)))*(ROW(Lookup_Status!$A$2:$A$13)-1))))</f>
        <v>Waitlisted</v>
      </c>
      <c r="H1157" s="7" t="str">
        <f>IF(SUMPRODUCT(--(Lookup_Status!$A$2:$A$13=LOWER(TRIM(Raw_Passengers!G1157))))=0,"",INDEX(Lookup_Status!$B$2:$B$13,SUMPRODUCT((Lookup_Status!$A$2:$A$13=LOWER(TRIM(Raw_Passengers!G1157)))*(ROW(Lookup_Status!$A$2:$A$13)-1))))</f>
        <v>RAC</v>
      </c>
      <c r="I1157" s="7">
        <f>IF(OR(G1157="",G1157="Cancelled",G1157="Mixed"),1,0)</f>
        <v>0</v>
      </c>
      <c r="J1157" s="7">
        <f>IF(OR(H1157="",H1157="Mixed"),1,0)</f>
        <v>0</v>
      </c>
      <c r="K1157" s="7">
        <f>IF(AND(C1157=0,D1157=0),IF(OR(AND(I1157=0,NOT(EXACT(Raw_Passengers!F1157,G1157))),AND(J1157=0,NOT(EXACT(Raw_Passengers!G1157,H1157)))),1,0),0)</f>
        <v>0</v>
      </c>
      <c r="L1157" s="7">
        <f>IF(AND(C1157=0,D1157=0,I1157=1),1,0)</f>
        <v>0</v>
      </c>
      <c r="M1157" s="7">
        <f>IF(AND(C1157=0,D1157=0,J1157=1),1,0)</f>
        <v>0</v>
      </c>
    </row>
    <row r="1158" spans="1:13">
      <c r="A1158" s="7">
        <f>Raw_Passengers!A1158</f>
        <v>369690</v>
      </c>
      <c r="B1158" s="7">
        <f>Raw_Passengers!B1158</f>
        <v>1183346</v>
      </c>
      <c r="C1158" s="7">
        <f>IF(COUNTIF(Raw_Passengers!$A$2:A1158,Raw_Passengers!A1158)&gt;1,1,0)</f>
        <v>0</v>
      </c>
      <c r="D1158" s="7">
        <f>IF(COUNTIF(Raw_Bookings!$A$2:$A$648,Raw_Passengers!B1158)=0,1,0)</f>
        <v>0</v>
      </c>
      <c r="E1158" s="7">
        <f>IF(OR(C1158=1,D1158=1),0,IF(NOT(ISNUMBER(Raw_Passengers!E1158)),1,IF(Raw_Passengers!E1158&lt;=0,1,0)))</f>
        <v>0</v>
      </c>
      <c r="F1158" s="7">
        <f>IF(AND(C1158=0,D1158=0,TRIM(Raw_Passengers!D1158&amp;"")=""),1,0)</f>
        <v>0</v>
      </c>
      <c r="G1158" s="7" t="str">
        <f>IF(SUMPRODUCT(--(Lookup_Status!$A$2:$A$13=LOWER(TRIM(Raw_Passengers!F1158))))=0,"",INDEX(Lookup_Status!$B$2:$B$13,SUMPRODUCT((Lookup_Status!$A$2:$A$13=LOWER(TRIM(Raw_Passengers!F1158)))*(ROW(Lookup_Status!$A$2:$A$13)-1))))</f>
        <v>Waitlisted</v>
      </c>
      <c r="H1158" s="7" t="str">
        <f>IF(SUMPRODUCT(--(Lookup_Status!$A$2:$A$13=LOWER(TRIM(Raw_Passengers!G1158))))=0,"",INDEX(Lookup_Status!$B$2:$B$13,SUMPRODUCT((Lookup_Status!$A$2:$A$13=LOWER(TRIM(Raw_Passengers!G1158)))*(ROW(Lookup_Status!$A$2:$A$13)-1))))</f>
        <v>RAC</v>
      </c>
      <c r="I1158" s="7">
        <f>IF(OR(G1158="",G1158="Cancelled",G1158="Mixed"),1,0)</f>
        <v>0</v>
      </c>
      <c r="J1158" s="7">
        <f>IF(OR(H1158="",H1158="Mixed"),1,0)</f>
        <v>0</v>
      </c>
      <c r="K1158" s="7">
        <f>IF(AND(C1158=0,D1158=0),IF(OR(AND(I1158=0,NOT(EXACT(Raw_Passengers!F1158,G1158))),AND(J1158=0,NOT(EXACT(Raw_Passengers!G1158,H1158)))),1,0),0)</f>
        <v>0</v>
      </c>
      <c r="L1158" s="7">
        <f>IF(AND(C1158=0,D1158=0,I1158=1),1,0)</f>
        <v>0</v>
      </c>
      <c r="M1158" s="7">
        <f>IF(AND(C1158=0,D1158=0,J1158=1),1,0)</f>
        <v>0</v>
      </c>
    </row>
    <row r="1159" spans="1:13">
      <c r="A1159" s="7">
        <f>Raw_Passengers!A1159</f>
        <v>369691</v>
      </c>
      <c r="B1159" s="7">
        <f>Raw_Passengers!B1159</f>
        <v>1183346</v>
      </c>
      <c r="C1159" s="7">
        <f>IF(COUNTIF(Raw_Passengers!$A$2:A1159,Raw_Passengers!A1159)&gt;1,1,0)</f>
        <v>0</v>
      </c>
      <c r="D1159" s="7">
        <f>IF(COUNTIF(Raw_Bookings!$A$2:$A$648,Raw_Passengers!B1159)=0,1,0)</f>
        <v>0</v>
      </c>
      <c r="E1159" s="7">
        <f>IF(OR(C1159=1,D1159=1),0,IF(NOT(ISNUMBER(Raw_Passengers!E1159)),1,IF(Raw_Passengers!E1159&lt;=0,1,0)))</f>
        <v>0</v>
      </c>
      <c r="F1159" s="7">
        <f>IF(AND(C1159=0,D1159=0,TRIM(Raw_Passengers!D1159&amp;"")=""),1,0)</f>
        <v>0</v>
      </c>
      <c r="G1159" s="7" t="str">
        <f>IF(SUMPRODUCT(--(Lookup_Status!$A$2:$A$13=LOWER(TRIM(Raw_Passengers!F1159))))=0,"",INDEX(Lookup_Status!$B$2:$B$13,SUMPRODUCT((Lookup_Status!$A$2:$A$13=LOWER(TRIM(Raw_Passengers!F1159)))*(ROW(Lookup_Status!$A$2:$A$13)-1))))</f>
        <v>Waitlisted</v>
      </c>
      <c r="H1159" s="7" t="str">
        <f>IF(SUMPRODUCT(--(Lookup_Status!$A$2:$A$13=LOWER(TRIM(Raw_Passengers!G1159))))=0,"",INDEX(Lookup_Status!$B$2:$B$13,SUMPRODUCT((Lookup_Status!$A$2:$A$13=LOWER(TRIM(Raw_Passengers!G1159)))*(ROW(Lookup_Status!$A$2:$A$13)-1))))</f>
        <v>RAC</v>
      </c>
      <c r="I1159" s="7">
        <f>IF(OR(G1159="",G1159="Cancelled",G1159="Mixed"),1,0)</f>
        <v>0</v>
      </c>
      <c r="J1159" s="7">
        <f>IF(OR(H1159="",H1159="Mixed"),1,0)</f>
        <v>0</v>
      </c>
      <c r="K1159" s="7">
        <f>IF(AND(C1159=0,D1159=0),IF(OR(AND(I1159=0,NOT(EXACT(Raw_Passengers!F1159,G1159))),AND(J1159=0,NOT(EXACT(Raw_Passengers!G1159,H1159)))),1,0),0)</f>
        <v>0</v>
      </c>
      <c r="L1159" s="7">
        <f>IF(AND(C1159=0,D1159=0,I1159=1),1,0)</f>
        <v>0</v>
      </c>
      <c r="M1159" s="7">
        <f>IF(AND(C1159=0,D1159=0,J1159=1),1,0)</f>
        <v>0</v>
      </c>
    </row>
    <row r="1160" spans="1:13">
      <c r="A1160" s="7">
        <f>Raw_Passengers!A1160</f>
        <v>369692</v>
      </c>
      <c r="B1160" s="7">
        <f>Raw_Passengers!B1160</f>
        <v>1183346</v>
      </c>
      <c r="C1160" s="7">
        <f>IF(COUNTIF(Raw_Passengers!$A$2:A1160,Raw_Passengers!A1160)&gt;1,1,0)</f>
        <v>0</v>
      </c>
      <c r="D1160" s="7">
        <f>IF(COUNTIF(Raw_Bookings!$A$2:$A$648,Raw_Passengers!B1160)=0,1,0)</f>
        <v>0</v>
      </c>
      <c r="E1160" s="7">
        <f>IF(OR(C1160=1,D1160=1),0,IF(NOT(ISNUMBER(Raw_Passengers!E1160)),1,IF(Raw_Passengers!E1160&lt;=0,1,0)))</f>
        <v>0</v>
      </c>
      <c r="F1160" s="7">
        <f>IF(AND(C1160=0,D1160=0,TRIM(Raw_Passengers!D1160&amp;"")=""),1,0)</f>
        <v>0</v>
      </c>
      <c r="G1160" s="7" t="str">
        <f>IF(SUMPRODUCT(--(Lookup_Status!$A$2:$A$13=LOWER(TRIM(Raw_Passengers!F1160))))=0,"",INDEX(Lookup_Status!$B$2:$B$13,SUMPRODUCT((Lookup_Status!$A$2:$A$13=LOWER(TRIM(Raw_Passengers!F1160)))*(ROW(Lookup_Status!$A$2:$A$13)-1))))</f>
        <v>Waitlisted</v>
      </c>
      <c r="H1160" s="7" t="str">
        <f>IF(SUMPRODUCT(--(Lookup_Status!$A$2:$A$13=LOWER(TRIM(Raw_Passengers!G1160))))=0,"",INDEX(Lookup_Status!$B$2:$B$13,SUMPRODUCT((Lookup_Status!$A$2:$A$13=LOWER(TRIM(Raw_Passengers!G1160)))*(ROW(Lookup_Status!$A$2:$A$13)-1))))</f>
        <v>RAC</v>
      </c>
      <c r="I1160" s="7">
        <f>IF(OR(G1160="",G1160="Cancelled",G1160="Mixed"),1,0)</f>
        <v>0</v>
      </c>
      <c r="J1160" s="7">
        <f>IF(OR(H1160="",H1160="Mixed"),1,0)</f>
        <v>0</v>
      </c>
      <c r="K1160" s="7">
        <f>IF(AND(C1160=0,D1160=0),IF(OR(AND(I1160=0,NOT(EXACT(Raw_Passengers!F1160,G1160))),AND(J1160=0,NOT(EXACT(Raw_Passengers!G1160,H1160)))),1,0),0)</f>
        <v>0</v>
      </c>
      <c r="L1160" s="7">
        <f>IF(AND(C1160=0,D1160=0,I1160=1),1,0)</f>
        <v>0</v>
      </c>
      <c r="M1160" s="7">
        <f>IF(AND(C1160=0,D1160=0,J1160=1),1,0)</f>
        <v>0</v>
      </c>
    </row>
    <row r="1161" spans="1:13">
      <c r="A1161" s="7">
        <f>Raw_Passengers!A1161</f>
        <v>369974</v>
      </c>
      <c r="B1161" s="7">
        <f>Raw_Passengers!B1161</f>
        <v>1183483</v>
      </c>
      <c r="C1161" s="7">
        <f>IF(COUNTIF(Raw_Passengers!$A$2:A1161,Raw_Passengers!A1161)&gt;1,1,0)</f>
        <v>0</v>
      </c>
      <c r="D1161" s="7">
        <f>IF(COUNTIF(Raw_Bookings!$A$2:$A$648,Raw_Passengers!B1161)=0,1,0)</f>
        <v>0</v>
      </c>
      <c r="E1161" s="7">
        <f>IF(OR(C1161=1,D1161=1),0,IF(NOT(ISNUMBER(Raw_Passengers!E1161)),1,IF(Raw_Passengers!E1161&lt;=0,1,0)))</f>
        <v>0</v>
      </c>
      <c r="F1161" s="7">
        <f>IF(AND(C1161=0,D1161=0,TRIM(Raw_Passengers!D1161&amp;"")=""),1,0)</f>
        <v>0</v>
      </c>
      <c r="G1161" s="7" t="str">
        <f>IF(SUMPRODUCT(--(Lookup_Status!$A$2:$A$13=LOWER(TRIM(Raw_Passengers!F1161))))=0,"",INDEX(Lookup_Status!$B$2:$B$13,SUMPRODUCT((Lookup_Status!$A$2:$A$13=LOWER(TRIM(Raw_Passengers!F1161)))*(ROW(Lookup_Status!$A$2:$A$13)-1))))</f>
        <v>RAC</v>
      </c>
      <c r="H1161" s="7" t="str">
        <f>IF(SUMPRODUCT(--(Lookup_Status!$A$2:$A$13=LOWER(TRIM(Raw_Passengers!G1161))))=0,"",INDEX(Lookup_Status!$B$2:$B$13,SUMPRODUCT((Lookup_Status!$A$2:$A$13=LOWER(TRIM(Raw_Passengers!G1161)))*(ROW(Lookup_Status!$A$2:$A$13)-1))))</f>
        <v>RAC</v>
      </c>
      <c r="I1161" s="7">
        <f>IF(OR(G1161="",G1161="Cancelled",G1161="Mixed"),1,0)</f>
        <v>0</v>
      </c>
      <c r="J1161" s="7">
        <f>IF(OR(H1161="",H1161="Mixed"),1,0)</f>
        <v>0</v>
      </c>
      <c r="K1161" s="7">
        <f>IF(AND(C1161=0,D1161=0),IF(OR(AND(I1161=0,NOT(EXACT(Raw_Passengers!F1161,G1161))),AND(J1161=0,NOT(EXACT(Raw_Passengers!G1161,H1161)))),1,0),0)</f>
        <v>0</v>
      </c>
      <c r="L1161" s="7">
        <f>IF(AND(C1161=0,D1161=0,I1161=1),1,0)</f>
        <v>0</v>
      </c>
      <c r="M1161" s="7">
        <f>IF(AND(C1161=0,D1161=0,J1161=1),1,0)</f>
        <v>0</v>
      </c>
    </row>
    <row r="1162" spans="1:13">
      <c r="A1162" s="7">
        <f>Raw_Passengers!A1162</f>
        <v>370078</v>
      </c>
      <c r="B1162" s="7">
        <f>Raw_Passengers!B1162</f>
        <v>1183539</v>
      </c>
      <c r="C1162" s="7">
        <f>IF(COUNTIF(Raw_Passengers!$A$2:A1162,Raw_Passengers!A1162)&gt;1,1,0)</f>
        <v>0</v>
      </c>
      <c r="D1162" s="7">
        <f>IF(COUNTIF(Raw_Bookings!$A$2:$A$648,Raw_Passengers!B1162)=0,1,0)</f>
        <v>0</v>
      </c>
      <c r="E1162" s="7">
        <f>IF(OR(C1162=1,D1162=1),0,IF(NOT(ISNUMBER(Raw_Passengers!E1162)),1,IF(Raw_Passengers!E1162&lt;=0,1,0)))</f>
        <v>0</v>
      </c>
      <c r="F1162" s="7">
        <f>IF(AND(C1162=0,D1162=0,TRIM(Raw_Passengers!D1162&amp;"")=""),1,0)</f>
        <v>0</v>
      </c>
      <c r="G1162" s="7" t="str">
        <f>IF(SUMPRODUCT(--(Lookup_Status!$A$2:$A$13=LOWER(TRIM(Raw_Passengers!F1162))))=0,"",INDEX(Lookup_Status!$B$2:$B$13,SUMPRODUCT((Lookup_Status!$A$2:$A$13=LOWER(TRIM(Raw_Passengers!F1162)))*(ROW(Lookup_Status!$A$2:$A$13)-1))))</f>
        <v>Confirmed</v>
      </c>
      <c r="H1162" s="7" t="str">
        <f>IF(SUMPRODUCT(--(Lookup_Status!$A$2:$A$13=LOWER(TRIM(Raw_Passengers!G1162))))=0,"",INDEX(Lookup_Status!$B$2:$B$13,SUMPRODUCT((Lookup_Status!$A$2:$A$13=LOWER(TRIM(Raw_Passengers!G1162)))*(ROW(Lookup_Status!$A$2:$A$13)-1))))</f>
        <v>Confirmed</v>
      </c>
      <c r="I1162" s="7">
        <f>IF(OR(G1162="",G1162="Cancelled",G1162="Mixed"),1,0)</f>
        <v>0</v>
      </c>
      <c r="J1162" s="7">
        <f>IF(OR(H1162="",H1162="Mixed"),1,0)</f>
        <v>0</v>
      </c>
      <c r="K1162" s="7">
        <f>IF(AND(C1162=0,D1162=0),IF(OR(AND(I1162=0,NOT(EXACT(Raw_Passengers!F1162,G1162))),AND(J1162=0,NOT(EXACT(Raw_Passengers!G1162,H1162)))),1,0),0)</f>
        <v>0</v>
      </c>
      <c r="L1162" s="7">
        <f>IF(AND(C1162=0,D1162=0,I1162=1),1,0)</f>
        <v>0</v>
      </c>
      <c r="M1162" s="7">
        <f>IF(AND(C1162=0,D1162=0,J1162=1),1,0)</f>
        <v>0</v>
      </c>
    </row>
    <row r="1163" spans="1:13">
      <c r="A1163" s="7">
        <f>Raw_Passengers!A1163</f>
        <v>370361</v>
      </c>
      <c r="B1163" s="7">
        <f>Raw_Passengers!B1163</f>
        <v>1183685</v>
      </c>
      <c r="C1163" s="7">
        <f>IF(COUNTIF(Raw_Passengers!$A$2:A1163,Raw_Passengers!A1163)&gt;1,1,0)</f>
        <v>0</v>
      </c>
      <c r="D1163" s="7">
        <f>IF(COUNTIF(Raw_Bookings!$A$2:$A$648,Raw_Passengers!B1163)=0,1,0)</f>
        <v>0</v>
      </c>
      <c r="E1163" s="7">
        <f>IF(OR(C1163=1,D1163=1),0,IF(NOT(ISNUMBER(Raw_Passengers!E1163)),1,IF(Raw_Passengers!E1163&lt;=0,1,0)))</f>
        <v>0</v>
      </c>
      <c r="F1163" s="7">
        <f>IF(AND(C1163=0,D1163=0,TRIM(Raw_Passengers!D1163&amp;"")=""),1,0)</f>
        <v>0</v>
      </c>
      <c r="G1163" s="7" t="str">
        <f>IF(SUMPRODUCT(--(Lookup_Status!$A$2:$A$13=LOWER(TRIM(Raw_Passengers!F1163))))=0,"",INDEX(Lookup_Status!$B$2:$B$13,SUMPRODUCT((Lookup_Status!$A$2:$A$13=LOWER(TRIM(Raw_Passengers!F1163)))*(ROW(Lookup_Status!$A$2:$A$13)-1))))</f>
        <v>Confirmed</v>
      </c>
      <c r="H1163" s="7" t="str">
        <f>IF(SUMPRODUCT(--(Lookup_Status!$A$2:$A$13=LOWER(TRIM(Raw_Passengers!G1163))))=0,"",INDEX(Lookup_Status!$B$2:$B$13,SUMPRODUCT((Lookup_Status!$A$2:$A$13=LOWER(TRIM(Raw_Passengers!G1163)))*(ROW(Lookup_Status!$A$2:$A$13)-1))))</f>
        <v>Confirmed</v>
      </c>
      <c r="I1163" s="7">
        <f>IF(OR(G1163="",G1163="Cancelled",G1163="Mixed"),1,0)</f>
        <v>0</v>
      </c>
      <c r="J1163" s="7">
        <f>IF(OR(H1163="",H1163="Mixed"),1,0)</f>
        <v>0</v>
      </c>
      <c r="K1163" s="7">
        <f>IF(AND(C1163=0,D1163=0),IF(OR(AND(I1163=0,NOT(EXACT(Raw_Passengers!F1163,G1163))),AND(J1163=0,NOT(EXACT(Raw_Passengers!G1163,H1163)))),1,0),0)</f>
        <v>0</v>
      </c>
      <c r="L1163" s="7">
        <f>IF(AND(C1163=0,D1163=0,I1163=1),1,0)</f>
        <v>0</v>
      </c>
      <c r="M1163" s="7">
        <f>IF(AND(C1163=0,D1163=0,J1163=1),1,0)</f>
        <v>0</v>
      </c>
    </row>
    <row r="1164" spans="1:13">
      <c r="A1164" s="7">
        <f>Raw_Passengers!A1164</f>
        <v>370362</v>
      </c>
      <c r="B1164" s="7">
        <f>Raw_Passengers!B1164</f>
        <v>1183685</v>
      </c>
      <c r="C1164" s="7">
        <f>IF(COUNTIF(Raw_Passengers!$A$2:A1164,Raw_Passengers!A1164)&gt;1,1,0)</f>
        <v>0</v>
      </c>
      <c r="D1164" s="7">
        <f>IF(COUNTIF(Raw_Bookings!$A$2:$A$648,Raw_Passengers!B1164)=0,1,0)</f>
        <v>0</v>
      </c>
      <c r="E1164" s="7">
        <f>IF(OR(C1164=1,D1164=1),0,IF(NOT(ISNUMBER(Raw_Passengers!E1164)),1,IF(Raw_Passengers!E1164&lt;=0,1,0)))</f>
        <v>0</v>
      </c>
      <c r="F1164" s="7">
        <f>IF(AND(C1164=0,D1164=0,TRIM(Raw_Passengers!D1164&amp;"")=""),1,0)</f>
        <v>0</v>
      </c>
      <c r="G1164" s="7" t="str">
        <f>IF(SUMPRODUCT(--(Lookup_Status!$A$2:$A$13=LOWER(TRIM(Raw_Passengers!F1164))))=0,"",INDEX(Lookup_Status!$B$2:$B$13,SUMPRODUCT((Lookup_Status!$A$2:$A$13=LOWER(TRIM(Raw_Passengers!F1164)))*(ROW(Lookup_Status!$A$2:$A$13)-1))))</f>
        <v>Confirmed</v>
      </c>
      <c r="H1164" s="7" t="str">
        <f>IF(SUMPRODUCT(--(Lookup_Status!$A$2:$A$13=LOWER(TRIM(Raw_Passengers!G1164))))=0,"",INDEX(Lookup_Status!$B$2:$B$13,SUMPRODUCT((Lookup_Status!$A$2:$A$13=LOWER(TRIM(Raw_Passengers!G1164)))*(ROW(Lookup_Status!$A$2:$A$13)-1))))</f>
        <v>Confirmed</v>
      </c>
      <c r="I1164" s="7">
        <f>IF(OR(G1164="",G1164="Cancelled",G1164="Mixed"),1,0)</f>
        <v>0</v>
      </c>
      <c r="J1164" s="7">
        <f>IF(OR(H1164="",H1164="Mixed"),1,0)</f>
        <v>0</v>
      </c>
      <c r="K1164" s="7">
        <f>IF(AND(C1164=0,D1164=0),IF(OR(AND(I1164=0,NOT(EXACT(Raw_Passengers!F1164,G1164))),AND(J1164=0,NOT(EXACT(Raw_Passengers!G1164,H1164)))),1,0),0)</f>
        <v>0</v>
      </c>
      <c r="L1164" s="7">
        <f>IF(AND(C1164=0,D1164=0,I1164=1),1,0)</f>
        <v>0</v>
      </c>
      <c r="M1164" s="7">
        <f>IF(AND(C1164=0,D1164=0,J1164=1),1,0)</f>
        <v>0</v>
      </c>
    </row>
    <row r="1165" spans="1:13">
      <c r="A1165" s="7">
        <f>Raw_Passengers!A1165</f>
        <v>370363</v>
      </c>
      <c r="B1165" s="7">
        <f>Raw_Passengers!B1165</f>
        <v>1183685</v>
      </c>
      <c r="C1165" s="7">
        <f>IF(COUNTIF(Raw_Passengers!$A$2:A1165,Raw_Passengers!A1165)&gt;1,1,0)</f>
        <v>0</v>
      </c>
      <c r="D1165" s="7">
        <f>IF(COUNTIF(Raw_Bookings!$A$2:$A$648,Raw_Passengers!B1165)=0,1,0)</f>
        <v>0</v>
      </c>
      <c r="E1165" s="7">
        <f>IF(OR(C1165=1,D1165=1),0,IF(NOT(ISNUMBER(Raw_Passengers!E1165)),1,IF(Raw_Passengers!E1165&lt;=0,1,0)))</f>
        <v>0</v>
      </c>
      <c r="F1165" s="7">
        <f>IF(AND(C1165=0,D1165=0,TRIM(Raw_Passengers!D1165&amp;"")=""),1,0)</f>
        <v>0</v>
      </c>
      <c r="G1165" s="7" t="str">
        <f>IF(SUMPRODUCT(--(Lookup_Status!$A$2:$A$13=LOWER(TRIM(Raw_Passengers!F1165))))=0,"",INDEX(Lookup_Status!$B$2:$B$13,SUMPRODUCT((Lookup_Status!$A$2:$A$13=LOWER(TRIM(Raw_Passengers!F1165)))*(ROW(Lookup_Status!$A$2:$A$13)-1))))</f>
        <v>Confirmed</v>
      </c>
      <c r="H1165" s="7" t="str">
        <f>IF(SUMPRODUCT(--(Lookup_Status!$A$2:$A$13=LOWER(TRIM(Raw_Passengers!G1165))))=0,"",INDEX(Lookup_Status!$B$2:$B$13,SUMPRODUCT((Lookup_Status!$A$2:$A$13=LOWER(TRIM(Raw_Passengers!G1165)))*(ROW(Lookup_Status!$A$2:$A$13)-1))))</f>
        <v>Confirmed</v>
      </c>
      <c r="I1165" s="7">
        <f>IF(OR(G1165="",G1165="Cancelled",G1165="Mixed"),1,0)</f>
        <v>0</v>
      </c>
      <c r="J1165" s="7">
        <f>IF(OR(H1165="",H1165="Mixed"),1,0)</f>
        <v>0</v>
      </c>
      <c r="K1165" s="7">
        <f>IF(AND(C1165=0,D1165=0),IF(OR(AND(I1165=0,NOT(EXACT(Raw_Passengers!F1165,G1165))),AND(J1165=0,NOT(EXACT(Raw_Passengers!G1165,H1165)))),1,0),0)</f>
        <v>0</v>
      </c>
      <c r="L1165" s="7">
        <f>IF(AND(C1165=0,D1165=0,I1165=1),1,0)</f>
        <v>0</v>
      </c>
      <c r="M1165" s="7">
        <f>IF(AND(C1165=0,D1165=0,J1165=1),1,0)</f>
        <v>0</v>
      </c>
    </row>
    <row r="1166" spans="1:13">
      <c r="A1166" s="7">
        <f>Raw_Passengers!A1166</f>
        <v>370611</v>
      </c>
      <c r="B1166" s="7">
        <f>Raw_Passengers!B1166</f>
        <v>1183814</v>
      </c>
      <c r="C1166" s="7">
        <f>IF(COUNTIF(Raw_Passengers!$A$2:A1166,Raw_Passengers!A1166)&gt;1,1,0)</f>
        <v>0</v>
      </c>
      <c r="D1166" s="7">
        <f>IF(COUNTIF(Raw_Bookings!$A$2:$A$648,Raw_Passengers!B1166)=0,1,0)</f>
        <v>0</v>
      </c>
      <c r="E1166" s="7">
        <f>IF(OR(C1166=1,D1166=1),0,IF(NOT(ISNUMBER(Raw_Passengers!E1166)),1,IF(Raw_Passengers!E1166&lt;=0,1,0)))</f>
        <v>0</v>
      </c>
      <c r="F1166" s="7">
        <f>IF(AND(C1166=0,D1166=0,TRIM(Raw_Passengers!D1166&amp;"")=""),1,0)</f>
        <v>0</v>
      </c>
      <c r="G1166" s="7" t="str">
        <f>IF(SUMPRODUCT(--(Lookup_Status!$A$2:$A$13=LOWER(TRIM(Raw_Passengers!F1166))))=0,"",INDEX(Lookup_Status!$B$2:$B$13,SUMPRODUCT((Lookup_Status!$A$2:$A$13=LOWER(TRIM(Raw_Passengers!F1166)))*(ROW(Lookup_Status!$A$2:$A$13)-1))))</f>
        <v>RAC</v>
      </c>
      <c r="H1166" s="7" t="str">
        <f>IF(SUMPRODUCT(--(Lookup_Status!$A$2:$A$13=LOWER(TRIM(Raw_Passengers!G1166))))=0,"",INDEX(Lookup_Status!$B$2:$B$13,SUMPRODUCT((Lookup_Status!$A$2:$A$13=LOWER(TRIM(Raw_Passengers!G1166)))*(ROW(Lookup_Status!$A$2:$A$13)-1))))</f>
        <v>Confirmed</v>
      </c>
      <c r="I1166" s="7">
        <f>IF(OR(G1166="",G1166="Cancelled",G1166="Mixed"),1,0)</f>
        <v>0</v>
      </c>
      <c r="J1166" s="7">
        <f>IF(OR(H1166="",H1166="Mixed"),1,0)</f>
        <v>0</v>
      </c>
      <c r="K1166" s="7">
        <f>IF(AND(C1166=0,D1166=0),IF(OR(AND(I1166=0,NOT(EXACT(Raw_Passengers!F1166,G1166))),AND(J1166=0,NOT(EXACT(Raw_Passengers!G1166,H1166)))),1,0),0)</f>
        <v>0</v>
      </c>
      <c r="L1166" s="7">
        <f>IF(AND(C1166=0,D1166=0,I1166=1),1,0)</f>
        <v>0</v>
      </c>
      <c r="M1166" s="7">
        <f>IF(AND(C1166=0,D1166=0,J1166=1),1,0)</f>
        <v>0</v>
      </c>
    </row>
    <row r="1167" spans="1:13">
      <c r="A1167" s="7">
        <f>Raw_Passengers!A1167</f>
        <v>370847</v>
      </c>
      <c r="B1167" s="7">
        <f>Raw_Passengers!B1167</f>
        <v>1183934</v>
      </c>
      <c r="C1167" s="7">
        <f>IF(COUNTIF(Raw_Passengers!$A$2:A1167,Raw_Passengers!A1167)&gt;1,1,0)</f>
        <v>0</v>
      </c>
      <c r="D1167" s="7">
        <f>IF(COUNTIF(Raw_Bookings!$A$2:$A$648,Raw_Passengers!B1167)=0,1,0)</f>
        <v>0</v>
      </c>
      <c r="E1167" s="7">
        <f>IF(OR(C1167=1,D1167=1),0,IF(NOT(ISNUMBER(Raw_Passengers!E1167)),1,IF(Raw_Passengers!E1167&lt;=0,1,0)))</f>
        <v>0</v>
      </c>
      <c r="F1167" s="7">
        <f>IF(AND(C1167=0,D1167=0,TRIM(Raw_Passengers!D1167&amp;"")=""),1,0)</f>
        <v>0</v>
      </c>
      <c r="G1167" s="7" t="str">
        <f>IF(SUMPRODUCT(--(Lookup_Status!$A$2:$A$13=LOWER(TRIM(Raw_Passengers!F1167))))=0,"",INDEX(Lookup_Status!$B$2:$B$13,SUMPRODUCT((Lookup_Status!$A$2:$A$13=LOWER(TRIM(Raw_Passengers!F1167)))*(ROW(Lookup_Status!$A$2:$A$13)-1))))</f>
        <v>Waitlisted</v>
      </c>
      <c r="H1167" s="7" t="str">
        <f>IF(SUMPRODUCT(--(Lookup_Status!$A$2:$A$13=LOWER(TRIM(Raw_Passengers!G1167))))=0,"",INDEX(Lookup_Status!$B$2:$B$13,SUMPRODUCT((Lookup_Status!$A$2:$A$13=LOWER(TRIM(Raw_Passengers!G1167)))*(ROW(Lookup_Status!$A$2:$A$13)-1))))</f>
        <v>Waitlisted</v>
      </c>
      <c r="I1167" s="7">
        <f>IF(OR(G1167="",G1167="Cancelled",G1167="Mixed"),1,0)</f>
        <v>0</v>
      </c>
      <c r="J1167" s="7">
        <f>IF(OR(H1167="",H1167="Mixed"),1,0)</f>
        <v>0</v>
      </c>
      <c r="K1167" s="7">
        <f>IF(AND(C1167=0,D1167=0),IF(OR(AND(I1167=0,NOT(EXACT(Raw_Passengers!F1167,G1167))),AND(J1167=0,NOT(EXACT(Raw_Passengers!G1167,H1167)))),1,0),0)</f>
        <v>0</v>
      </c>
      <c r="L1167" s="7">
        <f>IF(AND(C1167=0,D1167=0,I1167=1),1,0)</f>
        <v>0</v>
      </c>
      <c r="M1167" s="7">
        <f>IF(AND(C1167=0,D1167=0,J1167=1),1,0)</f>
        <v>0</v>
      </c>
    </row>
    <row r="1168" spans="1:13">
      <c r="A1168" s="7">
        <f>Raw_Passengers!A1168</f>
        <v>370848</v>
      </c>
      <c r="B1168" s="7">
        <f>Raw_Passengers!B1168</f>
        <v>1183934</v>
      </c>
      <c r="C1168" s="7">
        <f>IF(COUNTIF(Raw_Passengers!$A$2:A1168,Raw_Passengers!A1168)&gt;1,1,0)</f>
        <v>0</v>
      </c>
      <c r="D1168" s="7">
        <f>IF(COUNTIF(Raw_Bookings!$A$2:$A$648,Raw_Passengers!B1168)=0,1,0)</f>
        <v>0</v>
      </c>
      <c r="E1168" s="7">
        <f>IF(OR(C1168=1,D1168=1),0,IF(NOT(ISNUMBER(Raw_Passengers!E1168)),1,IF(Raw_Passengers!E1168&lt;=0,1,0)))</f>
        <v>0</v>
      </c>
      <c r="F1168" s="7">
        <f>IF(AND(C1168=0,D1168=0,TRIM(Raw_Passengers!D1168&amp;"")=""),1,0)</f>
        <v>0</v>
      </c>
      <c r="G1168" s="7" t="str">
        <f>IF(SUMPRODUCT(--(Lookup_Status!$A$2:$A$13=LOWER(TRIM(Raw_Passengers!F1168))))=0,"",INDEX(Lookup_Status!$B$2:$B$13,SUMPRODUCT((Lookup_Status!$A$2:$A$13=LOWER(TRIM(Raw_Passengers!F1168)))*(ROW(Lookup_Status!$A$2:$A$13)-1))))</f>
        <v>Waitlisted</v>
      </c>
      <c r="H1168" s="7" t="str">
        <f>IF(SUMPRODUCT(--(Lookup_Status!$A$2:$A$13=LOWER(TRIM(Raw_Passengers!G1168))))=0,"",INDEX(Lookup_Status!$B$2:$B$13,SUMPRODUCT((Lookup_Status!$A$2:$A$13=LOWER(TRIM(Raw_Passengers!G1168)))*(ROW(Lookup_Status!$A$2:$A$13)-1))))</f>
        <v>Waitlisted</v>
      </c>
      <c r="I1168" s="7">
        <f>IF(OR(G1168="",G1168="Cancelled",G1168="Mixed"),1,0)</f>
        <v>0</v>
      </c>
      <c r="J1168" s="7">
        <f>IF(OR(H1168="",H1168="Mixed"),1,0)</f>
        <v>0</v>
      </c>
      <c r="K1168" s="7">
        <f>IF(AND(C1168=0,D1168=0),IF(OR(AND(I1168=0,NOT(EXACT(Raw_Passengers!F1168,G1168))),AND(J1168=0,NOT(EXACT(Raw_Passengers!G1168,H1168)))),1,0),0)</f>
        <v>0</v>
      </c>
      <c r="L1168" s="7">
        <f>IF(AND(C1168=0,D1168=0,I1168=1),1,0)</f>
        <v>0</v>
      </c>
      <c r="M1168" s="7">
        <f>IF(AND(C1168=0,D1168=0,J1168=1),1,0)</f>
        <v>0</v>
      </c>
    </row>
    <row r="1169" spans="1:13">
      <c r="A1169" s="7">
        <f>Raw_Passengers!A1169</f>
        <v>371640</v>
      </c>
      <c r="B1169" s="7">
        <f>Raw_Passengers!B1169</f>
        <v>1184347</v>
      </c>
      <c r="C1169" s="7">
        <f>IF(COUNTIF(Raw_Passengers!$A$2:A1169,Raw_Passengers!A1169)&gt;1,1,0)</f>
        <v>0</v>
      </c>
      <c r="D1169" s="7">
        <f>IF(COUNTIF(Raw_Bookings!$A$2:$A$648,Raw_Passengers!B1169)=0,1,0)</f>
        <v>0</v>
      </c>
      <c r="E1169" s="7">
        <f>IF(OR(C1169=1,D1169=1),0,IF(NOT(ISNUMBER(Raw_Passengers!E1169)),1,IF(Raw_Passengers!E1169&lt;=0,1,0)))</f>
        <v>0</v>
      </c>
      <c r="F1169" s="7">
        <f>IF(AND(C1169=0,D1169=0,TRIM(Raw_Passengers!D1169&amp;"")=""),1,0)</f>
        <v>0</v>
      </c>
      <c r="G1169" s="7" t="str">
        <f>IF(SUMPRODUCT(--(Lookup_Status!$A$2:$A$13=LOWER(TRIM(Raw_Passengers!F1169))))=0,"",INDEX(Lookup_Status!$B$2:$B$13,SUMPRODUCT((Lookup_Status!$A$2:$A$13=LOWER(TRIM(Raw_Passengers!F1169)))*(ROW(Lookup_Status!$A$2:$A$13)-1))))</f>
        <v>Confirmed</v>
      </c>
      <c r="H1169" s="7" t="str">
        <f>IF(SUMPRODUCT(--(Lookup_Status!$A$2:$A$13=LOWER(TRIM(Raw_Passengers!G1169))))=0,"",INDEX(Lookup_Status!$B$2:$B$13,SUMPRODUCT((Lookup_Status!$A$2:$A$13=LOWER(TRIM(Raw_Passengers!G1169)))*(ROW(Lookup_Status!$A$2:$A$13)-1))))</f>
        <v>Confirmed</v>
      </c>
      <c r="I1169" s="7">
        <f>IF(OR(G1169="",G1169="Cancelled",G1169="Mixed"),1,0)</f>
        <v>0</v>
      </c>
      <c r="J1169" s="7">
        <f>IF(OR(H1169="",H1169="Mixed"),1,0)</f>
        <v>0</v>
      </c>
      <c r="K1169" s="7">
        <f>IF(AND(C1169=0,D1169=0),IF(OR(AND(I1169=0,NOT(EXACT(Raw_Passengers!F1169,G1169))),AND(J1169=0,NOT(EXACT(Raw_Passengers!G1169,H1169)))),1,0),0)</f>
        <v>0</v>
      </c>
      <c r="L1169" s="7">
        <f>IF(AND(C1169=0,D1169=0,I1169=1),1,0)</f>
        <v>0</v>
      </c>
      <c r="M1169" s="7">
        <f>IF(AND(C1169=0,D1169=0,J1169=1),1,0)</f>
        <v>0</v>
      </c>
    </row>
    <row r="1170" spans="1:13">
      <c r="A1170" s="7">
        <f>Raw_Passengers!A1170</f>
        <v>371641</v>
      </c>
      <c r="B1170" s="7">
        <f>Raw_Passengers!B1170</f>
        <v>1184347</v>
      </c>
      <c r="C1170" s="7">
        <f>IF(COUNTIF(Raw_Passengers!$A$2:A1170,Raw_Passengers!A1170)&gt;1,1,0)</f>
        <v>0</v>
      </c>
      <c r="D1170" s="7">
        <f>IF(COUNTIF(Raw_Bookings!$A$2:$A$648,Raw_Passengers!B1170)=0,1,0)</f>
        <v>0</v>
      </c>
      <c r="E1170" s="7">
        <f>IF(OR(C1170=1,D1170=1),0,IF(NOT(ISNUMBER(Raw_Passengers!E1170)),1,IF(Raw_Passengers!E1170&lt;=0,1,0)))</f>
        <v>0</v>
      </c>
      <c r="F1170" s="7">
        <f>IF(AND(C1170=0,D1170=0,TRIM(Raw_Passengers!D1170&amp;"")=""),1,0)</f>
        <v>0</v>
      </c>
      <c r="G1170" s="7" t="str">
        <f>IF(SUMPRODUCT(--(Lookup_Status!$A$2:$A$13=LOWER(TRIM(Raw_Passengers!F1170))))=0,"",INDEX(Lookup_Status!$B$2:$B$13,SUMPRODUCT((Lookup_Status!$A$2:$A$13=LOWER(TRIM(Raw_Passengers!F1170)))*(ROW(Lookup_Status!$A$2:$A$13)-1))))</f>
        <v>Confirmed</v>
      </c>
      <c r="H1170" s="7" t="str">
        <f>IF(SUMPRODUCT(--(Lookup_Status!$A$2:$A$13=LOWER(TRIM(Raw_Passengers!G1170))))=0,"",INDEX(Lookup_Status!$B$2:$B$13,SUMPRODUCT((Lookup_Status!$A$2:$A$13=LOWER(TRIM(Raw_Passengers!G1170)))*(ROW(Lookup_Status!$A$2:$A$13)-1))))</f>
        <v>Confirmed</v>
      </c>
      <c r="I1170" s="7">
        <f>IF(OR(G1170="",G1170="Cancelled",G1170="Mixed"),1,0)</f>
        <v>0</v>
      </c>
      <c r="J1170" s="7">
        <f>IF(OR(H1170="",H1170="Mixed"),1,0)</f>
        <v>0</v>
      </c>
      <c r="K1170" s="7">
        <f>IF(AND(C1170=0,D1170=0),IF(OR(AND(I1170=0,NOT(EXACT(Raw_Passengers!F1170,G1170))),AND(J1170=0,NOT(EXACT(Raw_Passengers!G1170,H1170)))),1,0),0)</f>
        <v>0</v>
      </c>
      <c r="L1170" s="7">
        <f>IF(AND(C1170=0,D1170=0,I1170=1),1,0)</f>
        <v>0</v>
      </c>
      <c r="M1170" s="7">
        <f>IF(AND(C1170=0,D1170=0,J1170=1),1,0)</f>
        <v>0</v>
      </c>
    </row>
    <row r="1171" spans="1:13">
      <c r="A1171" s="7">
        <f>Raw_Passengers!A1171</f>
        <v>371916</v>
      </c>
      <c r="B1171" s="7">
        <f>Raw_Passengers!B1171</f>
        <v>1184489</v>
      </c>
      <c r="C1171" s="7">
        <f>IF(COUNTIF(Raw_Passengers!$A$2:A1171,Raw_Passengers!A1171)&gt;1,1,0)</f>
        <v>0</v>
      </c>
      <c r="D1171" s="7">
        <f>IF(COUNTIF(Raw_Bookings!$A$2:$A$648,Raw_Passengers!B1171)=0,1,0)</f>
        <v>0</v>
      </c>
      <c r="E1171" s="7">
        <f>IF(OR(C1171=1,D1171=1),0,IF(NOT(ISNUMBER(Raw_Passengers!E1171)),1,IF(Raw_Passengers!E1171&lt;=0,1,0)))</f>
        <v>0</v>
      </c>
      <c r="F1171" s="7">
        <f>IF(AND(C1171=0,D1171=0,TRIM(Raw_Passengers!D1171&amp;"")=""),1,0)</f>
        <v>0</v>
      </c>
      <c r="G1171" s="7" t="str">
        <f>IF(SUMPRODUCT(--(Lookup_Status!$A$2:$A$13=LOWER(TRIM(Raw_Passengers!F1171))))=0,"",INDEX(Lookup_Status!$B$2:$B$13,SUMPRODUCT((Lookup_Status!$A$2:$A$13=LOWER(TRIM(Raw_Passengers!F1171)))*(ROW(Lookup_Status!$A$2:$A$13)-1))))</f>
        <v>Confirmed</v>
      </c>
      <c r="H1171" s="7" t="str">
        <f>IF(SUMPRODUCT(--(Lookup_Status!$A$2:$A$13=LOWER(TRIM(Raw_Passengers!G1171))))=0,"",INDEX(Lookup_Status!$B$2:$B$13,SUMPRODUCT((Lookup_Status!$A$2:$A$13=LOWER(TRIM(Raw_Passengers!G1171)))*(ROW(Lookup_Status!$A$2:$A$13)-1))))</f>
        <v>Confirmed</v>
      </c>
      <c r="I1171" s="7">
        <f>IF(OR(G1171="",G1171="Cancelled",G1171="Mixed"),1,0)</f>
        <v>0</v>
      </c>
      <c r="J1171" s="7">
        <f>IF(OR(H1171="",H1171="Mixed"),1,0)</f>
        <v>0</v>
      </c>
      <c r="K1171" s="7">
        <f>IF(AND(C1171=0,D1171=0),IF(OR(AND(I1171=0,NOT(EXACT(Raw_Passengers!F1171,G1171))),AND(J1171=0,NOT(EXACT(Raw_Passengers!G1171,H1171)))),1,0),0)</f>
        <v>0</v>
      </c>
      <c r="L1171" s="7">
        <f>IF(AND(C1171=0,D1171=0,I1171=1),1,0)</f>
        <v>0</v>
      </c>
      <c r="M1171" s="7">
        <f>IF(AND(C1171=0,D1171=0,J1171=1),1,0)</f>
        <v>0</v>
      </c>
    </row>
    <row r="1172" spans="1:13">
      <c r="A1172" s="7">
        <f>Raw_Passengers!A1172</f>
        <v>371917</v>
      </c>
      <c r="B1172" s="7">
        <f>Raw_Passengers!B1172</f>
        <v>1184489</v>
      </c>
      <c r="C1172" s="7">
        <f>IF(COUNTIF(Raw_Passengers!$A$2:A1172,Raw_Passengers!A1172)&gt;1,1,0)</f>
        <v>0</v>
      </c>
      <c r="D1172" s="7">
        <f>IF(COUNTIF(Raw_Bookings!$A$2:$A$648,Raw_Passengers!B1172)=0,1,0)</f>
        <v>0</v>
      </c>
      <c r="E1172" s="7">
        <f>IF(OR(C1172=1,D1172=1),0,IF(NOT(ISNUMBER(Raw_Passengers!E1172)),1,IF(Raw_Passengers!E1172&lt;=0,1,0)))</f>
        <v>0</v>
      </c>
      <c r="F1172" s="7">
        <f>IF(AND(C1172=0,D1172=0,TRIM(Raw_Passengers!D1172&amp;"")=""),1,0)</f>
        <v>0</v>
      </c>
      <c r="G1172" s="7" t="str">
        <f>IF(SUMPRODUCT(--(Lookup_Status!$A$2:$A$13=LOWER(TRIM(Raw_Passengers!F1172))))=0,"",INDEX(Lookup_Status!$B$2:$B$13,SUMPRODUCT((Lookup_Status!$A$2:$A$13=LOWER(TRIM(Raw_Passengers!F1172)))*(ROW(Lookup_Status!$A$2:$A$13)-1))))</f>
        <v>Confirmed</v>
      </c>
      <c r="H1172" s="7" t="str">
        <f>IF(SUMPRODUCT(--(Lookup_Status!$A$2:$A$13=LOWER(TRIM(Raw_Passengers!G1172))))=0,"",INDEX(Lookup_Status!$B$2:$B$13,SUMPRODUCT((Lookup_Status!$A$2:$A$13=LOWER(TRIM(Raw_Passengers!G1172)))*(ROW(Lookup_Status!$A$2:$A$13)-1))))</f>
        <v>Confirmed</v>
      </c>
      <c r="I1172" s="7">
        <f>IF(OR(G1172="",G1172="Cancelled",G1172="Mixed"),1,0)</f>
        <v>0</v>
      </c>
      <c r="J1172" s="7">
        <f>IF(OR(H1172="",H1172="Mixed"),1,0)</f>
        <v>0</v>
      </c>
      <c r="K1172" s="7">
        <f>IF(AND(C1172=0,D1172=0),IF(OR(AND(I1172=0,NOT(EXACT(Raw_Passengers!F1172,G1172))),AND(J1172=0,NOT(EXACT(Raw_Passengers!G1172,H1172)))),1,0),0)</f>
        <v>0</v>
      </c>
      <c r="L1172" s="7">
        <f>IF(AND(C1172=0,D1172=0,I1172=1),1,0)</f>
        <v>0</v>
      </c>
      <c r="M1172" s="7">
        <f>IF(AND(C1172=0,D1172=0,J1172=1),1,0)</f>
        <v>0</v>
      </c>
    </row>
    <row r="1173" spans="1:13">
      <c r="A1173" s="7">
        <f>Raw_Passengers!A1173</f>
        <v>371918</v>
      </c>
      <c r="B1173" s="7">
        <f>Raw_Passengers!B1173</f>
        <v>1184489</v>
      </c>
      <c r="C1173" s="7">
        <f>IF(COUNTIF(Raw_Passengers!$A$2:A1173,Raw_Passengers!A1173)&gt;1,1,0)</f>
        <v>0</v>
      </c>
      <c r="D1173" s="7">
        <f>IF(COUNTIF(Raw_Bookings!$A$2:$A$648,Raw_Passengers!B1173)=0,1,0)</f>
        <v>0</v>
      </c>
      <c r="E1173" s="7">
        <f>IF(OR(C1173=1,D1173=1),0,IF(NOT(ISNUMBER(Raw_Passengers!E1173)),1,IF(Raw_Passengers!E1173&lt;=0,1,0)))</f>
        <v>0</v>
      </c>
      <c r="F1173" s="7">
        <f>IF(AND(C1173=0,D1173=0,TRIM(Raw_Passengers!D1173&amp;"")=""),1,0)</f>
        <v>0</v>
      </c>
      <c r="G1173" s="7" t="str">
        <f>IF(SUMPRODUCT(--(Lookup_Status!$A$2:$A$13=LOWER(TRIM(Raw_Passengers!F1173))))=0,"",INDEX(Lookup_Status!$B$2:$B$13,SUMPRODUCT((Lookup_Status!$A$2:$A$13=LOWER(TRIM(Raw_Passengers!F1173)))*(ROW(Lookup_Status!$A$2:$A$13)-1))))</f>
        <v>Confirmed</v>
      </c>
      <c r="H1173" s="7" t="str">
        <f>IF(SUMPRODUCT(--(Lookup_Status!$A$2:$A$13=LOWER(TRIM(Raw_Passengers!G1173))))=0,"",INDEX(Lookup_Status!$B$2:$B$13,SUMPRODUCT((Lookup_Status!$A$2:$A$13=LOWER(TRIM(Raw_Passengers!G1173)))*(ROW(Lookup_Status!$A$2:$A$13)-1))))</f>
        <v>Confirmed</v>
      </c>
      <c r="I1173" s="7">
        <f>IF(OR(G1173="",G1173="Cancelled",G1173="Mixed"),1,0)</f>
        <v>0</v>
      </c>
      <c r="J1173" s="7">
        <f>IF(OR(H1173="",H1173="Mixed"),1,0)</f>
        <v>0</v>
      </c>
      <c r="K1173" s="7">
        <f>IF(AND(C1173=0,D1173=0),IF(OR(AND(I1173=0,NOT(EXACT(Raw_Passengers!F1173,G1173))),AND(J1173=0,NOT(EXACT(Raw_Passengers!G1173,H1173)))),1,0),0)</f>
        <v>0</v>
      </c>
      <c r="L1173" s="7">
        <f>IF(AND(C1173=0,D1173=0,I1173=1),1,0)</f>
        <v>0</v>
      </c>
      <c r="M1173" s="7">
        <f>IF(AND(C1173=0,D1173=0,J1173=1),1,0)</f>
        <v>0</v>
      </c>
    </row>
    <row r="1174" spans="1:13">
      <c r="A1174" s="7">
        <f>Raw_Passengers!A1174</f>
        <v>372397</v>
      </c>
      <c r="B1174" s="7">
        <f>Raw_Passengers!B1174</f>
        <v>1184742</v>
      </c>
      <c r="C1174" s="7">
        <f>IF(COUNTIF(Raw_Passengers!$A$2:A1174,Raw_Passengers!A1174)&gt;1,1,0)</f>
        <v>0</v>
      </c>
      <c r="D1174" s="7">
        <f>IF(COUNTIF(Raw_Bookings!$A$2:$A$648,Raw_Passengers!B1174)=0,1,0)</f>
        <v>0</v>
      </c>
      <c r="E1174" s="7">
        <f>IF(OR(C1174=1,D1174=1),0,IF(NOT(ISNUMBER(Raw_Passengers!E1174)),1,IF(Raw_Passengers!E1174&lt;=0,1,0)))</f>
        <v>0</v>
      </c>
      <c r="F1174" s="7">
        <f>IF(AND(C1174=0,D1174=0,TRIM(Raw_Passengers!D1174&amp;"")=""),1,0)</f>
        <v>0</v>
      </c>
      <c r="G1174" s="7" t="str">
        <f>IF(SUMPRODUCT(--(Lookup_Status!$A$2:$A$13=LOWER(TRIM(Raw_Passengers!F1174))))=0,"",INDEX(Lookup_Status!$B$2:$B$13,SUMPRODUCT((Lookup_Status!$A$2:$A$13=LOWER(TRIM(Raw_Passengers!F1174)))*(ROW(Lookup_Status!$A$2:$A$13)-1))))</f>
        <v>Confirmed</v>
      </c>
      <c r="H1174" s="7" t="str">
        <f>IF(SUMPRODUCT(--(Lookup_Status!$A$2:$A$13=LOWER(TRIM(Raw_Passengers!G1174))))=0,"",INDEX(Lookup_Status!$B$2:$B$13,SUMPRODUCT((Lookup_Status!$A$2:$A$13=LOWER(TRIM(Raw_Passengers!G1174)))*(ROW(Lookup_Status!$A$2:$A$13)-1))))</f>
        <v>Confirmed</v>
      </c>
      <c r="I1174" s="7">
        <f>IF(OR(G1174="",G1174="Cancelled",G1174="Mixed"),1,0)</f>
        <v>0</v>
      </c>
      <c r="J1174" s="7">
        <f>IF(OR(H1174="",H1174="Mixed"),1,0)</f>
        <v>0</v>
      </c>
      <c r="K1174" s="7">
        <f>IF(AND(C1174=0,D1174=0),IF(OR(AND(I1174=0,NOT(EXACT(Raw_Passengers!F1174,G1174))),AND(J1174=0,NOT(EXACT(Raw_Passengers!G1174,H1174)))),1,0),0)</f>
        <v>0</v>
      </c>
      <c r="L1174" s="7">
        <f>IF(AND(C1174=0,D1174=0,I1174=1),1,0)</f>
        <v>0</v>
      </c>
      <c r="M1174" s="7">
        <f>IF(AND(C1174=0,D1174=0,J1174=1),1,0)</f>
        <v>0</v>
      </c>
    </row>
    <row r="1175" spans="1:13">
      <c r="A1175" s="7">
        <f>Raw_Passengers!A1175</f>
        <v>372398</v>
      </c>
      <c r="B1175" s="7">
        <f>Raw_Passengers!B1175</f>
        <v>1184742</v>
      </c>
      <c r="C1175" s="7">
        <f>IF(COUNTIF(Raw_Passengers!$A$2:A1175,Raw_Passengers!A1175)&gt;1,1,0)</f>
        <v>0</v>
      </c>
      <c r="D1175" s="7">
        <f>IF(COUNTIF(Raw_Bookings!$A$2:$A$648,Raw_Passengers!B1175)=0,1,0)</f>
        <v>0</v>
      </c>
      <c r="E1175" s="7">
        <f>IF(OR(C1175=1,D1175=1),0,IF(NOT(ISNUMBER(Raw_Passengers!E1175)),1,IF(Raw_Passengers!E1175&lt;=0,1,0)))</f>
        <v>0</v>
      </c>
      <c r="F1175" s="7">
        <f>IF(AND(C1175=0,D1175=0,TRIM(Raw_Passengers!D1175&amp;"")=""),1,0)</f>
        <v>0</v>
      </c>
      <c r="G1175" s="7" t="str">
        <f>IF(SUMPRODUCT(--(Lookup_Status!$A$2:$A$13=LOWER(TRIM(Raw_Passengers!F1175))))=0,"",INDEX(Lookup_Status!$B$2:$B$13,SUMPRODUCT((Lookup_Status!$A$2:$A$13=LOWER(TRIM(Raw_Passengers!F1175)))*(ROW(Lookup_Status!$A$2:$A$13)-1))))</f>
        <v>Confirmed</v>
      </c>
      <c r="H1175" s="7">
        <f>IF(SUMPRODUCT(--(Lookup_Status!$A$2:$A$13=LOWER(TRIM(Raw_Passengers!G1175))))=0,"",INDEX(Lookup_Status!$B$2:$B$13,SUMPRODUCT((Lookup_Status!$A$2:$A$13=LOWER(TRIM(Raw_Passengers!G1175)))*(ROW(Lookup_Status!$A$2:$A$13)-1))))</f>
        <v/>
      </c>
      <c r="I1175" s="7">
        <f>IF(OR(G1175="",G1175="Cancelled",G1175="Mixed"),1,0)</f>
        <v>0</v>
      </c>
      <c r="J1175" s="7">
        <f>IF(OR(H1175="",H1175="Mixed"),1,0)</f>
        <v>1</v>
      </c>
      <c r="K1175" s="7">
        <f>IF(AND(C1175=0,D1175=0),IF(OR(AND(I1175=0,NOT(EXACT(Raw_Passengers!F1175,G1175))),AND(J1175=0,NOT(EXACT(Raw_Passengers!G1175,H1175)))),1,0),0)</f>
        <v>0</v>
      </c>
      <c r="L1175" s="7">
        <f>IF(AND(C1175=0,D1175=0,I1175=1),1,0)</f>
        <v>0</v>
      </c>
      <c r="M1175" s="7">
        <f>IF(AND(C1175=0,D1175=0,J1175=1),1,0)</f>
        <v>1</v>
      </c>
    </row>
    <row r="1176" spans="1:13">
      <c r="A1176" s="7">
        <f>Raw_Passengers!A1176</f>
        <v>372511</v>
      </c>
      <c r="B1176" s="7">
        <f>Raw_Passengers!B1176</f>
        <v>1184805</v>
      </c>
      <c r="C1176" s="7">
        <f>IF(COUNTIF(Raw_Passengers!$A$2:A1176,Raw_Passengers!A1176)&gt;1,1,0)</f>
        <v>0</v>
      </c>
      <c r="D1176" s="7">
        <f>IF(COUNTIF(Raw_Bookings!$A$2:$A$648,Raw_Passengers!B1176)=0,1,0)</f>
        <v>0</v>
      </c>
      <c r="E1176" s="7">
        <f>IF(OR(C1176=1,D1176=1),0,IF(NOT(ISNUMBER(Raw_Passengers!E1176)),1,IF(Raw_Passengers!E1176&lt;=0,1,0)))</f>
        <v>0</v>
      </c>
      <c r="F1176" s="7">
        <f>IF(AND(C1176=0,D1176=0,TRIM(Raw_Passengers!D1176&amp;"")=""),1,0)</f>
        <v>0</v>
      </c>
      <c r="G1176" s="7" t="str">
        <f>IF(SUMPRODUCT(--(Lookup_Status!$A$2:$A$13=LOWER(TRIM(Raw_Passengers!F1176))))=0,"",INDEX(Lookup_Status!$B$2:$B$13,SUMPRODUCT((Lookup_Status!$A$2:$A$13=LOWER(TRIM(Raw_Passengers!F1176)))*(ROW(Lookup_Status!$A$2:$A$13)-1))))</f>
        <v>Waitlisted</v>
      </c>
      <c r="H1176" s="7" t="str">
        <f>IF(SUMPRODUCT(--(Lookup_Status!$A$2:$A$13=LOWER(TRIM(Raw_Passengers!G1176))))=0,"",INDEX(Lookup_Status!$B$2:$B$13,SUMPRODUCT((Lookup_Status!$A$2:$A$13=LOWER(TRIM(Raw_Passengers!G1176)))*(ROW(Lookup_Status!$A$2:$A$13)-1))))</f>
        <v>Waitlisted</v>
      </c>
      <c r="I1176" s="7">
        <f>IF(OR(G1176="",G1176="Cancelled",G1176="Mixed"),1,0)</f>
        <v>0</v>
      </c>
      <c r="J1176" s="7">
        <f>IF(OR(H1176="",H1176="Mixed"),1,0)</f>
        <v>0</v>
      </c>
      <c r="K1176" s="7">
        <f>IF(AND(C1176=0,D1176=0),IF(OR(AND(I1176=0,NOT(EXACT(Raw_Passengers!F1176,G1176))),AND(J1176=0,NOT(EXACT(Raw_Passengers!G1176,H1176)))),1,0),0)</f>
        <v>0</v>
      </c>
      <c r="L1176" s="7">
        <f>IF(AND(C1176=0,D1176=0,I1176=1),1,0)</f>
        <v>0</v>
      </c>
      <c r="M1176" s="7">
        <f>IF(AND(C1176=0,D1176=0,J1176=1),1,0)</f>
        <v>0</v>
      </c>
    </row>
    <row r="1177" spans="1:13">
      <c r="A1177" s="7">
        <f>Raw_Passengers!A1177</f>
        <v>372701</v>
      </c>
      <c r="B1177" s="7">
        <f>Raw_Passengers!B1177</f>
        <v>1184897</v>
      </c>
      <c r="C1177" s="7">
        <f>IF(COUNTIF(Raw_Passengers!$A$2:A1177,Raw_Passengers!A1177)&gt;1,1,0)</f>
        <v>0</v>
      </c>
      <c r="D1177" s="7">
        <f>IF(COUNTIF(Raw_Bookings!$A$2:$A$648,Raw_Passengers!B1177)=0,1,0)</f>
        <v>0</v>
      </c>
      <c r="E1177" s="7">
        <f>IF(OR(C1177=1,D1177=1),0,IF(NOT(ISNUMBER(Raw_Passengers!E1177)),1,IF(Raw_Passengers!E1177&lt;=0,1,0)))</f>
        <v>0</v>
      </c>
      <c r="F1177" s="7">
        <f>IF(AND(C1177=0,D1177=0,TRIM(Raw_Passengers!D1177&amp;"")=""),1,0)</f>
        <v>0</v>
      </c>
      <c r="G1177" s="7" t="str">
        <f>IF(SUMPRODUCT(--(Lookup_Status!$A$2:$A$13=LOWER(TRIM(Raw_Passengers!F1177))))=0,"",INDEX(Lookup_Status!$B$2:$B$13,SUMPRODUCT((Lookup_Status!$A$2:$A$13=LOWER(TRIM(Raw_Passengers!F1177)))*(ROW(Lookup_Status!$A$2:$A$13)-1))))</f>
        <v>Confirmed</v>
      </c>
      <c r="H1177" s="7" t="str">
        <f>IF(SUMPRODUCT(--(Lookup_Status!$A$2:$A$13=LOWER(TRIM(Raw_Passengers!G1177))))=0,"",INDEX(Lookup_Status!$B$2:$B$13,SUMPRODUCT((Lookup_Status!$A$2:$A$13=LOWER(TRIM(Raw_Passengers!G1177)))*(ROW(Lookup_Status!$A$2:$A$13)-1))))</f>
        <v>Confirmed</v>
      </c>
      <c r="I1177" s="7">
        <f>IF(OR(G1177="",G1177="Cancelled",G1177="Mixed"),1,0)</f>
        <v>0</v>
      </c>
      <c r="J1177" s="7">
        <f>IF(OR(H1177="",H1177="Mixed"),1,0)</f>
        <v>0</v>
      </c>
      <c r="K1177" s="7">
        <f>IF(AND(C1177=0,D1177=0),IF(OR(AND(I1177=0,NOT(EXACT(Raw_Passengers!F1177,G1177))),AND(J1177=0,NOT(EXACT(Raw_Passengers!G1177,H1177)))),1,0),0)</f>
        <v>0</v>
      </c>
      <c r="L1177" s="7">
        <f>IF(AND(C1177=0,D1177=0,I1177=1),1,0)</f>
        <v>0</v>
      </c>
      <c r="M1177" s="7">
        <f>IF(AND(C1177=0,D1177=0,J1177=1),1,0)</f>
        <v>0</v>
      </c>
    </row>
    <row r="1178" spans="1:13">
      <c r="A1178" s="7">
        <f>Raw_Passengers!A1178</f>
        <v>372953</v>
      </c>
      <c r="B1178" s="7">
        <f>Raw_Passengers!B1178</f>
        <v>1185029</v>
      </c>
      <c r="C1178" s="7">
        <f>IF(COUNTIF(Raw_Passengers!$A$2:A1178,Raw_Passengers!A1178)&gt;1,1,0)</f>
        <v>0</v>
      </c>
      <c r="D1178" s="7">
        <f>IF(COUNTIF(Raw_Bookings!$A$2:$A$648,Raw_Passengers!B1178)=0,1,0)</f>
        <v>0</v>
      </c>
      <c r="E1178" s="7">
        <f>IF(OR(C1178=1,D1178=1),0,IF(NOT(ISNUMBER(Raw_Passengers!E1178)),1,IF(Raw_Passengers!E1178&lt;=0,1,0)))</f>
        <v>0</v>
      </c>
      <c r="F1178" s="7">
        <f>IF(AND(C1178=0,D1178=0,TRIM(Raw_Passengers!D1178&amp;"")=""),1,0)</f>
        <v>0</v>
      </c>
      <c r="G1178" s="7" t="str">
        <f>IF(SUMPRODUCT(--(Lookup_Status!$A$2:$A$13=LOWER(TRIM(Raw_Passengers!F1178))))=0,"",INDEX(Lookup_Status!$B$2:$B$13,SUMPRODUCT((Lookup_Status!$A$2:$A$13=LOWER(TRIM(Raw_Passengers!F1178)))*(ROW(Lookup_Status!$A$2:$A$13)-1))))</f>
        <v>Confirmed</v>
      </c>
      <c r="H1178" s="7" t="str">
        <f>IF(SUMPRODUCT(--(Lookup_Status!$A$2:$A$13=LOWER(TRIM(Raw_Passengers!G1178))))=0,"",INDEX(Lookup_Status!$B$2:$B$13,SUMPRODUCT((Lookup_Status!$A$2:$A$13=LOWER(TRIM(Raw_Passengers!G1178)))*(ROW(Lookup_Status!$A$2:$A$13)-1))))</f>
        <v>Confirmed</v>
      </c>
      <c r="I1178" s="7">
        <f>IF(OR(G1178="",G1178="Cancelled",G1178="Mixed"),1,0)</f>
        <v>0</v>
      </c>
      <c r="J1178" s="7">
        <f>IF(OR(H1178="",H1178="Mixed"),1,0)</f>
        <v>0</v>
      </c>
      <c r="K1178" s="7">
        <f>IF(AND(C1178=0,D1178=0),IF(OR(AND(I1178=0,NOT(EXACT(Raw_Passengers!F1178,G1178))),AND(J1178=0,NOT(EXACT(Raw_Passengers!G1178,H1178)))),1,0),0)</f>
        <v>0</v>
      </c>
      <c r="L1178" s="7">
        <f>IF(AND(C1178=0,D1178=0,I1178=1),1,0)</f>
        <v>0</v>
      </c>
      <c r="M1178" s="7">
        <f>IF(AND(C1178=0,D1178=0,J1178=1),1,0)</f>
        <v>0</v>
      </c>
    </row>
    <row r="1179" spans="1:13">
      <c r="A1179" s="7">
        <f>Raw_Passengers!A1179</f>
        <v>372954</v>
      </c>
      <c r="B1179" s="7">
        <f>Raw_Passengers!B1179</f>
        <v>1185029</v>
      </c>
      <c r="C1179" s="7">
        <f>IF(COUNTIF(Raw_Passengers!$A$2:A1179,Raw_Passengers!A1179)&gt;1,1,0)</f>
        <v>0</v>
      </c>
      <c r="D1179" s="7">
        <f>IF(COUNTIF(Raw_Bookings!$A$2:$A$648,Raw_Passengers!B1179)=0,1,0)</f>
        <v>0</v>
      </c>
      <c r="E1179" s="7">
        <f>IF(OR(C1179=1,D1179=1),0,IF(NOT(ISNUMBER(Raw_Passengers!E1179)),1,IF(Raw_Passengers!E1179&lt;=0,1,0)))</f>
        <v>0</v>
      </c>
      <c r="F1179" s="7">
        <f>IF(AND(C1179=0,D1179=0,TRIM(Raw_Passengers!D1179&amp;"")=""),1,0)</f>
        <v>0</v>
      </c>
      <c r="G1179" s="7" t="str">
        <f>IF(SUMPRODUCT(--(Lookup_Status!$A$2:$A$13=LOWER(TRIM(Raw_Passengers!F1179))))=0,"",INDEX(Lookup_Status!$B$2:$B$13,SUMPRODUCT((Lookup_Status!$A$2:$A$13=LOWER(TRIM(Raw_Passengers!F1179)))*(ROW(Lookup_Status!$A$2:$A$13)-1))))</f>
        <v>Confirmed</v>
      </c>
      <c r="H1179" s="7">
        <f>IF(SUMPRODUCT(--(Lookup_Status!$A$2:$A$13=LOWER(TRIM(Raw_Passengers!G1179))))=0,"",INDEX(Lookup_Status!$B$2:$B$13,SUMPRODUCT((Lookup_Status!$A$2:$A$13=LOWER(TRIM(Raw_Passengers!G1179)))*(ROW(Lookup_Status!$A$2:$A$13)-1))))</f>
        <v/>
      </c>
      <c r="I1179" s="7">
        <f>IF(OR(G1179="",G1179="Cancelled",G1179="Mixed"),1,0)</f>
        <v>0</v>
      </c>
      <c r="J1179" s="7">
        <f>IF(OR(H1179="",H1179="Mixed"),1,0)</f>
        <v>1</v>
      </c>
      <c r="K1179" s="7">
        <f>IF(AND(C1179=0,D1179=0),IF(OR(AND(I1179=0,NOT(EXACT(Raw_Passengers!F1179,G1179))),AND(J1179=0,NOT(EXACT(Raw_Passengers!G1179,H1179)))),1,0),0)</f>
        <v>0</v>
      </c>
      <c r="L1179" s="7">
        <f>IF(AND(C1179=0,D1179=0,I1179=1),1,0)</f>
        <v>0</v>
      </c>
      <c r="M1179" s="7">
        <f>IF(AND(C1179=0,D1179=0,J1179=1),1,0)</f>
        <v>1</v>
      </c>
    </row>
    <row r="1180" spans="1:13">
      <c r="A1180" s="7">
        <f>Raw_Passengers!A1180</f>
        <v>373163</v>
      </c>
      <c r="B1180" s="7">
        <f>Raw_Passengers!B1180</f>
        <v>1185140</v>
      </c>
      <c r="C1180" s="7">
        <f>IF(COUNTIF(Raw_Passengers!$A$2:A1180,Raw_Passengers!A1180)&gt;1,1,0)</f>
        <v>0</v>
      </c>
      <c r="D1180" s="7">
        <f>IF(COUNTIF(Raw_Bookings!$A$2:$A$648,Raw_Passengers!B1180)=0,1,0)</f>
        <v>0</v>
      </c>
      <c r="E1180" s="7">
        <f>IF(OR(C1180=1,D1180=1),0,IF(NOT(ISNUMBER(Raw_Passengers!E1180)),1,IF(Raw_Passengers!E1180&lt;=0,1,0)))</f>
        <v>0</v>
      </c>
      <c r="F1180" s="7">
        <f>IF(AND(C1180=0,D1180=0,TRIM(Raw_Passengers!D1180&amp;"")=""),1,0)</f>
        <v>0</v>
      </c>
      <c r="G1180" s="7" t="str">
        <f>IF(SUMPRODUCT(--(Lookup_Status!$A$2:$A$13=LOWER(TRIM(Raw_Passengers!F1180))))=0,"",INDEX(Lookup_Status!$B$2:$B$13,SUMPRODUCT((Lookup_Status!$A$2:$A$13=LOWER(TRIM(Raw_Passengers!F1180)))*(ROW(Lookup_Status!$A$2:$A$13)-1))))</f>
        <v>Confirmed</v>
      </c>
      <c r="H1180" s="7" t="str">
        <f>IF(SUMPRODUCT(--(Lookup_Status!$A$2:$A$13=LOWER(TRIM(Raw_Passengers!G1180))))=0,"",INDEX(Lookup_Status!$B$2:$B$13,SUMPRODUCT((Lookup_Status!$A$2:$A$13=LOWER(TRIM(Raw_Passengers!G1180)))*(ROW(Lookup_Status!$A$2:$A$13)-1))))</f>
        <v>Confirmed</v>
      </c>
      <c r="I1180" s="7">
        <f>IF(OR(G1180="",G1180="Cancelled",G1180="Mixed"),1,0)</f>
        <v>0</v>
      </c>
      <c r="J1180" s="7">
        <f>IF(OR(H1180="",H1180="Mixed"),1,0)</f>
        <v>0</v>
      </c>
      <c r="K1180" s="7">
        <f>IF(AND(C1180=0,D1180=0),IF(OR(AND(I1180=0,NOT(EXACT(Raw_Passengers!F1180,G1180))),AND(J1180=0,NOT(EXACT(Raw_Passengers!G1180,H1180)))),1,0),0)</f>
        <v>0</v>
      </c>
      <c r="L1180" s="7">
        <f>IF(AND(C1180=0,D1180=0,I1180=1),1,0)</f>
        <v>0</v>
      </c>
      <c r="M1180" s="7">
        <f>IF(AND(C1180=0,D1180=0,J1180=1),1,0)</f>
        <v>0</v>
      </c>
    </row>
    <row r="1181" spans="1:13">
      <c r="A1181" s="7">
        <f>Raw_Passengers!A1181</f>
        <v>373529</v>
      </c>
      <c r="B1181" s="7">
        <f>Raw_Passengers!B1181</f>
        <v>1185328</v>
      </c>
      <c r="C1181" s="7">
        <f>IF(COUNTIF(Raw_Passengers!$A$2:A1181,Raw_Passengers!A1181)&gt;1,1,0)</f>
        <v>0</v>
      </c>
      <c r="D1181" s="7">
        <f>IF(COUNTIF(Raw_Bookings!$A$2:$A$648,Raw_Passengers!B1181)=0,1,0)</f>
        <v>0</v>
      </c>
      <c r="E1181" s="7">
        <f>IF(OR(C1181=1,D1181=1),0,IF(NOT(ISNUMBER(Raw_Passengers!E1181)),1,IF(Raw_Passengers!E1181&lt;=0,1,0)))</f>
        <v>0</v>
      </c>
      <c r="F1181" s="7">
        <f>IF(AND(C1181=0,D1181=0,TRIM(Raw_Passengers!D1181&amp;"")=""),1,0)</f>
        <v>0</v>
      </c>
      <c r="G1181" s="7" t="str">
        <f>IF(SUMPRODUCT(--(Lookup_Status!$A$2:$A$13=LOWER(TRIM(Raw_Passengers!F1181))))=0,"",INDEX(Lookup_Status!$B$2:$B$13,SUMPRODUCT((Lookup_Status!$A$2:$A$13=LOWER(TRIM(Raw_Passengers!F1181)))*(ROW(Lookup_Status!$A$2:$A$13)-1))))</f>
        <v>Confirmed</v>
      </c>
      <c r="H1181" s="7" t="str">
        <f>IF(SUMPRODUCT(--(Lookup_Status!$A$2:$A$13=LOWER(TRIM(Raw_Passengers!G1181))))=0,"",INDEX(Lookup_Status!$B$2:$B$13,SUMPRODUCT((Lookup_Status!$A$2:$A$13=LOWER(TRIM(Raw_Passengers!G1181)))*(ROW(Lookup_Status!$A$2:$A$13)-1))))</f>
        <v>Confirmed</v>
      </c>
      <c r="I1181" s="7">
        <f>IF(OR(G1181="",G1181="Cancelled",G1181="Mixed"),1,0)</f>
        <v>0</v>
      </c>
      <c r="J1181" s="7">
        <f>IF(OR(H1181="",H1181="Mixed"),1,0)</f>
        <v>0</v>
      </c>
      <c r="K1181" s="7">
        <f>IF(AND(C1181=0,D1181=0),IF(OR(AND(I1181=0,NOT(EXACT(Raw_Passengers!F1181,G1181))),AND(J1181=0,NOT(EXACT(Raw_Passengers!G1181,H1181)))),1,0),0)</f>
        <v>0</v>
      </c>
      <c r="L1181" s="7">
        <f>IF(AND(C1181=0,D1181=0,I1181=1),1,0)</f>
        <v>0</v>
      </c>
      <c r="M1181" s="7">
        <f>IF(AND(C1181=0,D1181=0,J1181=1),1,0)</f>
        <v>0</v>
      </c>
    </row>
    <row r="1182" spans="1:13">
      <c r="A1182" s="7">
        <f>Raw_Passengers!A1182</f>
        <v>373530</v>
      </c>
      <c r="B1182" s="7">
        <f>Raw_Passengers!B1182</f>
        <v>1185328</v>
      </c>
      <c r="C1182" s="7">
        <f>IF(COUNTIF(Raw_Passengers!$A$2:A1182,Raw_Passengers!A1182)&gt;1,1,0)</f>
        <v>0</v>
      </c>
      <c r="D1182" s="7">
        <f>IF(COUNTIF(Raw_Bookings!$A$2:$A$648,Raw_Passengers!B1182)=0,1,0)</f>
        <v>0</v>
      </c>
      <c r="E1182" s="7">
        <f>IF(OR(C1182=1,D1182=1),0,IF(NOT(ISNUMBER(Raw_Passengers!E1182)),1,IF(Raw_Passengers!E1182&lt;=0,1,0)))</f>
        <v>0</v>
      </c>
      <c r="F1182" s="7">
        <f>IF(AND(C1182=0,D1182=0,TRIM(Raw_Passengers!D1182&amp;"")=""),1,0)</f>
        <v>0</v>
      </c>
      <c r="G1182" s="7" t="str">
        <f>IF(SUMPRODUCT(--(Lookup_Status!$A$2:$A$13=LOWER(TRIM(Raw_Passengers!F1182))))=0,"",INDEX(Lookup_Status!$B$2:$B$13,SUMPRODUCT((Lookup_Status!$A$2:$A$13=LOWER(TRIM(Raw_Passengers!F1182)))*(ROW(Lookup_Status!$A$2:$A$13)-1))))</f>
        <v>Confirmed</v>
      </c>
      <c r="H1182" s="7" t="str">
        <f>IF(SUMPRODUCT(--(Lookup_Status!$A$2:$A$13=LOWER(TRIM(Raw_Passengers!G1182))))=0,"",INDEX(Lookup_Status!$B$2:$B$13,SUMPRODUCT((Lookup_Status!$A$2:$A$13=LOWER(TRIM(Raw_Passengers!G1182)))*(ROW(Lookup_Status!$A$2:$A$13)-1))))</f>
        <v>Confirmed</v>
      </c>
      <c r="I1182" s="7">
        <f>IF(OR(G1182="",G1182="Cancelled",G1182="Mixed"),1,0)</f>
        <v>0</v>
      </c>
      <c r="J1182" s="7">
        <f>IF(OR(H1182="",H1182="Mixed"),1,0)</f>
        <v>0</v>
      </c>
      <c r="K1182" s="7">
        <f>IF(AND(C1182=0,D1182=0),IF(OR(AND(I1182=0,NOT(EXACT(Raw_Passengers!F1182,G1182))),AND(J1182=0,NOT(EXACT(Raw_Passengers!G1182,H1182)))),1,0),0)</f>
        <v>0</v>
      </c>
      <c r="L1182" s="7">
        <f>IF(AND(C1182=0,D1182=0,I1182=1),1,0)</f>
        <v>0</v>
      </c>
      <c r="M1182" s="7">
        <f>IF(AND(C1182=0,D1182=0,J1182=1),1,0)</f>
        <v>0</v>
      </c>
    </row>
    <row r="1183" spans="1:13">
      <c r="A1183" s="7">
        <f>Raw_Passengers!A1183</f>
        <v>374830</v>
      </c>
      <c r="B1183" s="7">
        <f>Raw_Passengers!B1183</f>
        <v>1185986</v>
      </c>
      <c r="C1183" s="7">
        <f>IF(COUNTIF(Raw_Passengers!$A$2:A1183,Raw_Passengers!A1183)&gt;1,1,0)</f>
        <v>0</v>
      </c>
      <c r="D1183" s="7">
        <f>IF(COUNTIF(Raw_Bookings!$A$2:$A$648,Raw_Passengers!B1183)=0,1,0)</f>
        <v>0</v>
      </c>
      <c r="E1183" s="7">
        <f>IF(OR(C1183=1,D1183=1),0,IF(NOT(ISNUMBER(Raw_Passengers!E1183)),1,IF(Raw_Passengers!E1183&lt;=0,1,0)))</f>
        <v>0</v>
      </c>
      <c r="F1183" s="7">
        <f>IF(AND(C1183=0,D1183=0,TRIM(Raw_Passengers!D1183&amp;"")=""),1,0)</f>
        <v>0</v>
      </c>
      <c r="G1183" s="7" t="str">
        <f>IF(SUMPRODUCT(--(Lookup_Status!$A$2:$A$13=LOWER(TRIM(Raw_Passengers!F1183))))=0,"",INDEX(Lookup_Status!$B$2:$B$13,SUMPRODUCT((Lookup_Status!$A$2:$A$13=LOWER(TRIM(Raw_Passengers!F1183)))*(ROW(Lookup_Status!$A$2:$A$13)-1))))</f>
        <v>Confirmed</v>
      </c>
      <c r="H1183" s="7" t="str">
        <f>IF(SUMPRODUCT(--(Lookup_Status!$A$2:$A$13=LOWER(TRIM(Raw_Passengers!G1183))))=0,"",INDEX(Lookup_Status!$B$2:$B$13,SUMPRODUCT((Lookup_Status!$A$2:$A$13=LOWER(TRIM(Raw_Passengers!G1183)))*(ROW(Lookup_Status!$A$2:$A$13)-1))))</f>
        <v>Confirmed</v>
      </c>
      <c r="I1183" s="7">
        <f>IF(OR(G1183="",G1183="Cancelled",G1183="Mixed"),1,0)</f>
        <v>0</v>
      </c>
      <c r="J1183" s="7">
        <f>IF(OR(H1183="",H1183="Mixed"),1,0)</f>
        <v>0</v>
      </c>
      <c r="K1183" s="7">
        <f>IF(AND(C1183=0,D1183=0),IF(OR(AND(I1183=0,NOT(EXACT(Raw_Passengers!F1183,G1183))),AND(J1183=0,NOT(EXACT(Raw_Passengers!G1183,H1183)))),1,0),0)</f>
        <v>0</v>
      </c>
      <c r="L1183" s="7">
        <f>IF(AND(C1183=0,D1183=0,I1183=1),1,0)</f>
        <v>0</v>
      </c>
      <c r="M1183" s="7">
        <f>IF(AND(C1183=0,D1183=0,J1183=1),1,0)</f>
        <v>0</v>
      </c>
    </row>
    <row r="1184" spans="1:13">
      <c r="A1184" s="7">
        <f>Raw_Passengers!A1184</f>
        <v>375010</v>
      </c>
      <c r="B1184" s="7">
        <f>Raw_Passengers!B1184</f>
        <v>1186076</v>
      </c>
      <c r="C1184" s="7">
        <f>IF(COUNTIF(Raw_Passengers!$A$2:A1184,Raw_Passengers!A1184)&gt;1,1,0)</f>
        <v>0</v>
      </c>
      <c r="D1184" s="7">
        <f>IF(COUNTIF(Raw_Bookings!$A$2:$A$648,Raw_Passengers!B1184)=0,1,0)</f>
        <v>0</v>
      </c>
      <c r="E1184" s="7">
        <f>IF(OR(C1184=1,D1184=1),0,IF(NOT(ISNUMBER(Raw_Passengers!E1184)),1,IF(Raw_Passengers!E1184&lt;=0,1,0)))</f>
        <v>0</v>
      </c>
      <c r="F1184" s="7">
        <f>IF(AND(C1184=0,D1184=0,TRIM(Raw_Passengers!D1184&amp;"")=""),1,0)</f>
        <v>0</v>
      </c>
      <c r="G1184" s="7" t="str">
        <f>IF(SUMPRODUCT(--(Lookup_Status!$A$2:$A$13=LOWER(TRIM(Raw_Passengers!F1184))))=0,"",INDEX(Lookup_Status!$B$2:$B$13,SUMPRODUCT((Lookup_Status!$A$2:$A$13=LOWER(TRIM(Raw_Passengers!F1184)))*(ROW(Lookup_Status!$A$2:$A$13)-1))))</f>
        <v>Waitlisted</v>
      </c>
      <c r="H1184" s="7" t="str">
        <f>IF(SUMPRODUCT(--(Lookup_Status!$A$2:$A$13=LOWER(TRIM(Raw_Passengers!G1184))))=0,"",INDEX(Lookup_Status!$B$2:$B$13,SUMPRODUCT((Lookup_Status!$A$2:$A$13=LOWER(TRIM(Raw_Passengers!G1184)))*(ROW(Lookup_Status!$A$2:$A$13)-1))))</f>
        <v>Waitlisted</v>
      </c>
      <c r="I1184" s="7">
        <f>IF(OR(G1184="",G1184="Cancelled",G1184="Mixed"),1,0)</f>
        <v>0</v>
      </c>
      <c r="J1184" s="7">
        <f>IF(OR(H1184="",H1184="Mixed"),1,0)</f>
        <v>0</v>
      </c>
      <c r="K1184" s="7">
        <f>IF(AND(C1184=0,D1184=0),IF(OR(AND(I1184=0,NOT(EXACT(Raw_Passengers!F1184,G1184))),AND(J1184=0,NOT(EXACT(Raw_Passengers!G1184,H1184)))),1,0),0)</f>
        <v>0</v>
      </c>
      <c r="L1184" s="7">
        <f>IF(AND(C1184=0,D1184=0,I1184=1),1,0)</f>
        <v>0</v>
      </c>
      <c r="M1184" s="7">
        <f>IF(AND(C1184=0,D1184=0,J1184=1),1,0)</f>
        <v>0</v>
      </c>
    </row>
    <row r="1185" spans="1:13">
      <c r="A1185" s="7">
        <f>Raw_Passengers!A1185</f>
        <v>375011</v>
      </c>
      <c r="B1185" s="7">
        <f>Raw_Passengers!B1185</f>
        <v>1186076</v>
      </c>
      <c r="C1185" s="7">
        <f>IF(COUNTIF(Raw_Passengers!$A$2:A1185,Raw_Passengers!A1185)&gt;1,1,0)</f>
        <v>0</v>
      </c>
      <c r="D1185" s="7">
        <f>IF(COUNTIF(Raw_Bookings!$A$2:$A$648,Raw_Passengers!B1185)=0,1,0)</f>
        <v>0</v>
      </c>
      <c r="E1185" s="7">
        <f>IF(OR(C1185=1,D1185=1),0,IF(NOT(ISNUMBER(Raw_Passengers!E1185)),1,IF(Raw_Passengers!E1185&lt;=0,1,0)))</f>
        <v>0</v>
      </c>
      <c r="F1185" s="7">
        <f>IF(AND(C1185=0,D1185=0,TRIM(Raw_Passengers!D1185&amp;"")=""),1,0)</f>
        <v>0</v>
      </c>
      <c r="G1185" s="7" t="str">
        <f>IF(SUMPRODUCT(--(Lookup_Status!$A$2:$A$13=LOWER(TRIM(Raw_Passengers!F1185))))=0,"",INDEX(Lookup_Status!$B$2:$B$13,SUMPRODUCT((Lookup_Status!$A$2:$A$13=LOWER(TRIM(Raw_Passengers!F1185)))*(ROW(Lookup_Status!$A$2:$A$13)-1))))</f>
        <v>Waitlisted</v>
      </c>
      <c r="H1185" s="7" t="str">
        <f>IF(SUMPRODUCT(--(Lookup_Status!$A$2:$A$13=LOWER(TRIM(Raw_Passengers!G1185))))=0,"",INDEX(Lookup_Status!$B$2:$B$13,SUMPRODUCT((Lookup_Status!$A$2:$A$13=LOWER(TRIM(Raw_Passengers!G1185)))*(ROW(Lookup_Status!$A$2:$A$13)-1))))</f>
        <v>Waitlisted</v>
      </c>
      <c r="I1185" s="7">
        <f>IF(OR(G1185="",G1185="Cancelled",G1185="Mixed"),1,0)</f>
        <v>0</v>
      </c>
      <c r="J1185" s="7">
        <f>IF(OR(H1185="",H1185="Mixed"),1,0)</f>
        <v>0</v>
      </c>
      <c r="K1185" s="7">
        <f>IF(AND(C1185=0,D1185=0),IF(OR(AND(I1185=0,NOT(EXACT(Raw_Passengers!F1185,G1185))),AND(J1185=0,NOT(EXACT(Raw_Passengers!G1185,H1185)))),1,0),0)</f>
        <v>0</v>
      </c>
      <c r="L1185" s="7">
        <f>IF(AND(C1185=0,D1185=0,I1185=1),1,0)</f>
        <v>0</v>
      </c>
      <c r="M1185" s="7">
        <f>IF(AND(C1185=0,D1185=0,J1185=1),1,0)</f>
        <v>0</v>
      </c>
    </row>
    <row r="1186" spans="1:13">
      <c r="A1186" s="7">
        <f>Raw_Passengers!A1186</f>
        <v>375473</v>
      </c>
      <c r="B1186" s="7">
        <f>Raw_Passengers!B1186</f>
        <v>1186306</v>
      </c>
      <c r="C1186" s="7">
        <f>IF(COUNTIF(Raw_Passengers!$A$2:A1186,Raw_Passengers!A1186)&gt;1,1,0)</f>
        <v>0</v>
      </c>
      <c r="D1186" s="7">
        <f>IF(COUNTIF(Raw_Bookings!$A$2:$A$648,Raw_Passengers!B1186)=0,1,0)</f>
        <v>0</v>
      </c>
      <c r="E1186" s="7">
        <f>IF(OR(C1186=1,D1186=1),0,IF(NOT(ISNUMBER(Raw_Passengers!E1186)),1,IF(Raw_Passengers!E1186&lt;=0,1,0)))</f>
        <v>1</v>
      </c>
      <c r="F1186" s="7">
        <f>IF(AND(C1186=0,D1186=0,TRIM(Raw_Passengers!D1186&amp;"")=""),1,0)</f>
        <v>0</v>
      </c>
      <c r="G1186" s="7" t="str">
        <f>IF(SUMPRODUCT(--(Lookup_Status!$A$2:$A$13=LOWER(TRIM(Raw_Passengers!F1186))))=0,"",INDEX(Lookup_Status!$B$2:$B$13,SUMPRODUCT((Lookup_Status!$A$2:$A$13=LOWER(TRIM(Raw_Passengers!F1186)))*(ROW(Lookup_Status!$A$2:$A$13)-1))))</f>
        <v>Confirmed</v>
      </c>
      <c r="H1186" s="7" t="str">
        <f>IF(SUMPRODUCT(--(Lookup_Status!$A$2:$A$13=LOWER(TRIM(Raw_Passengers!G1186))))=0,"",INDEX(Lookup_Status!$B$2:$B$13,SUMPRODUCT((Lookup_Status!$A$2:$A$13=LOWER(TRIM(Raw_Passengers!G1186)))*(ROW(Lookup_Status!$A$2:$A$13)-1))))</f>
        <v>Confirmed</v>
      </c>
      <c r="I1186" s="7">
        <f>IF(OR(G1186="",G1186="Cancelled",G1186="Mixed"),1,0)</f>
        <v>0</v>
      </c>
      <c r="J1186" s="7">
        <f>IF(OR(H1186="",H1186="Mixed"),1,0)</f>
        <v>0</v>
      </c>
      <c r="K1186" s="7">
        <f>IF(AND(C1186=0,D1186=0),IF(OR(AND(I1186=0,NOT(EXACT(Raw_Passengers!F1186,G1186))),AND(J1186=0,NOT(EXACT(Raw_Passengers!G1186,H1186)))),1,0),0)</f>
        <v>0</v>
      </c>
      <c r="L1186" s="7">
        <f>IF(AND(C1186=0,D1186=0,I1186=1),1,0)</f>
        <v>0</v>
      </c>
      <c r="M1186" s="7">
        <f>IF(AND(C1186=0,D1186=0,J1186=1),1,0)</f>
        <v>0</v>
      </c>
    </row>
    <row r="1187" spans="1:13">
      <c r="A1187" s="7">
        <f>Raw_Passengers!A1187</f>
        <v>376119</v>
      </c>
      <c r="B1187" s="7">
        <f>Raw_Passengers!B1187</f>
        <v>1186631</v>
      </c>
      <c r="C1187" s="7">
        <f>IF(COUNTIF(Raw_Passengers!$A$2:A1187,Raw_Passengers!A1187)&gt;1,1,0)</f>
        <v>0</v>
      </c>
      <c r="D1187" s="7">
        <f>IF(COUNTIF(Raw_Bookings!$A$2:$A$648,Raw_Passengers!B1187)=0,1,0)</f>
        <v>0</v>
      </c>
      <c r="E1187" s="7">
        <f>IF(OR(C1187=1,D1187=1),0,IF(NOT(ISNUMBER(Raw_Passengers!E1187)),1,IF(Raw_Passengers!E1187&lt;=0,1,0)))</f>
        <v>1</v>
      </c>
      <c r="F1187" s="7">
        <f>IF(AND(C1187=0,D1187=0,TRIM(Raw_Passengers!D1187&amp;"")=""),1,0)</f>
        <v>0</v>
      </c>
      <c r="G1187" s="7" t="str">
        <f>IF(SUMPRODUCT(--(Lookup_Status!$A$2:$A$13=LOWER(TRIM(Raw_Passengers!F1187))))=0,"",INDEX(Lookup_Status!$B$2:$B$13,SUMPRODUCT((Lookup_Status!$A$2:$A$13=LOWER(TRIM(Raw_Passengers!F1187)))*(ROW(Lookup_Status!$A$2:$A$13)-1))))</f>
        <v>Confirmed</v>
      </c>
      <c r="H1187" s="7" t="str">
        <f>IF(SUMPRODUCT(--(Lookup_Status!$A$2:$A$13=LOWER(TRIM(Raw_Passengers!G1187))))=0,"",INDEX(Lookup_Status!$B$2:$B$13,SUMPRODUCT((Lookup_Status!$A$2:$A$13=LOWER(TRIM(Raw_Passengers!G1187)))*(ROW(Lookup_Status!$A$2:$A$13)-1))))</f>
        <v>Confirmed</v>
      </c>
      <c r="I1187" s="7">
        <f>IF(OR(G1187="",G1187="Cancelled",G1187="Mixed"),1,0)</f>
        <v>0</v>
      </c>
      <c r="J1187" s="7">
        <f>IF(OR(H1187="",H1187="Mixed"),1,0)</f>
        <v>0</v>
      </c>
      <c r="K1187" s="7">
        <f>IF(AND(C1187=0,D1187=0),IF(OR(AND(I1187=0,NOT(EXACT(Raw_Passengers!F1187,G1187))),AND(J1187=0,NOT(EXACT(Raw_Passengers!G1187,H1187)))),1,0),0)</f>
        <v>0</v>
      </c>
      <c r="L1187" s="7">
        <f>IF(AND(C1187=0,D1187=0,I1187=1),1,0)</f>
        <v>0</v>
      </c>
      <c r="M1187" s="7">
        <f>IF(AND(C1187=0,D1187=0,J1187=1),1,0)</f>
        <v>0</v>
      </c>
    </row>
    <row r="1188" spans="1:13">
      <c r="A1188" s="7">
        <f>Raw_Passengers!A1188</f>
        <v>376120</v>
      </c>
      <c r="B1188" s="7">
        <f>Raw_Passengers!B1188</f>
        <v>1186631</v>
      </c>
      <c r="C1188" s="7">
        <f>IF(COUNTIF(Raw_Passengers!$A$2:A1188,Raw_Passengers!A1188)&gt;1,1,0)</f>
        <v>0</v>
      </c>
      <c r="D1188" s="7">
        <f>IF(COUNTIF(Raw_Bookings!$A$2:$A$648,Raw_Passengers!B1188)=0,1,0)</f>
        <v>0</v>
      </c>
      <c r="E1188" s="7">
        <f>IF(OR(C1188=1,D1188=1),0,IF(NOT(ISNUMBER(Raw_Passengers!E1188)),1,IF(Raw_Passengers!E1188&lt;=0,1,0)))</f>
        <v>0</v>
      </c>
      <c r="F1188" s="7">
        <f>IF(AND(C1188=0,D1188=0,TRIM(Raw_Passengers!D1188&amp;"")=""),1,0)</f>
        <v>0</v>
      </c>
      <c r="G1188" s="7" t="str">
        <f>IF(SUMPRODUCT(--(Lookup_Status!$A$2:$A$13=LOWER(TRIM(Raw_Passengers!F1188))))=0,"",INDEX(Lookup_Status!$B$2:$B$13,SUMPRODUCT((Lookup_Status!$A$2:$A$13=LOWER(TRIM(Raw_Passengers!F1188)))*(ROW(Lookup_Status!$A$2:$A$13)-1))))</f>
        <v>Confirmed</v>
      </c>
      <c r="H1188" s="7" t="str">
        <f>IF(SUMPRODUCT(--(Lookup_Status!$A$2:$A$13=LOWER(TRIM(Raw_Passengers!G1188))))=0,"",INDEX(Lookup_Status!$B$2:$B$13,SUMPRODUCT((Lookup_Status!$A$2:$A$13=LOWER(TRIM(Raw_Passengers!G1188)))*(ROW(Lookup_Status!$A$2:$A$13)-1))))</f>
        <v>Confirmed</v>
      </c>
      <c r="I1188" s="7">
        <f>IF(OR(G1188="",G1188="Cancelled",G1188="Mixed"),1,0)</f>
        <v>0</v>
      </c>
      <c r="J1188" s="7">
        <f>IF(OR(H1188="",H1188="Mixed"),1,0)</f>
        <v>0</v>
      </c>
      <c r="K1188" s="7">
        <f>IF(AND(C1188=0,D1188=0),IF(OR(AND(I1188=0,NOT(EXACT(Raw_Passengers!F1188,G1188))),AND(J1188=0,NOT(EXACT(Raw_Passengers!G1188,H1188)))),1,0),0)</f>
        <v>0</v>
      </c>
      <c r="L1188" s="7">
        <f>IF(AND(C1188=0,D1188=0,I1188=1),1,0)</f>
        <v>0</v>
      </c>
      <c r="M1188" s="7">
        <f>IF(AND(C1188=0,D1188=0,J1188=1),1,0)</f>
        <v>0</v>
      </c>
    </row>
    <row r="1189" spans="1:13">
      <c r="A1189" s="7">
        <f>Raw_Passengers!A1189</f>
        <v>376293</v>
      </c>
      <c r="B1189" s="7">
        <f>Raw_Passengers!B1189</f>
        <v>1186718</v>
      </c>
      <c r="C1189" s="7">
        <f>IF(COUNTIF(Raw_Passengers!$A$2:A1189,Raw_Passengers!A1189)&gt;1,1,0)</f>
        <v>0</v>
      </c>
      <c r="D1189" s="7">
        <f>IF(COUNTIF(Raw_Bookings!$A$2:$A$648,Raw_Passengers!B1189)=0,1,0)</f>
        <v>0</v>
      </c>
      <c r="E1189" s="7">
        <f>IF(OR(C1189=1,D1189=1),0,IF(NOT(ISNUMBER(Raw_Passengers!E1189)),1,IF(Raw_Passengers!E1189&lt;=0,1,0)))</f>
        <v>0</v>
      </c>
      <c r="F1189" s="7">
        <f>IF(AND(C1189=0,D1189=0,TRIM(Raw_Passengers!D1189&amp;"")=""),1,0)</f>
        <v>0</v>
      </c>
      <c r="G1189" s="7" t="str">
        <f>IF(SUMPRODUCT(--(Lookup_Status!$A$2:$A$13=LOWER(TRIM(Raw_Passengers!F1189))))=0,"",INDEX(Lookup_Status!$B$2:$B$13,SUMPRODUCT((Lookup_Status!$A$2:$A$13=LOWER(TRIM(Raw_Passengers!F1189)))*(ROW(Lookup_Status!$A$2:$A$13)-1))))</f>
        <v>Confirmed</v>
      </c>
      <c r="H1189" s="7" t="str">
        <f>IF(SUMPRODUCT(--(Lookup_Status!$A$2:$A$13=LOWER(TRIM(Raw_Passengers!G1189))))=0,"",INDEX(Lookup_Status!$B$2:$B$13,SUMPRODUCT((Lookup_Status!$A$2:$A$13=LOWER(TRIM(Raw_Passengers!G1189)))*(ROW(Lookup_Status!$A$2:$A$13)-1))))</f>
        <v>Confirmed</v>
      </c>
      <c r="I1189" s="7">
        <f>IF(OR(G1189="",G1189="Cancelled",G1189="Mixed"),1,0)</f>
        <v>0</v>
      </c>
      <c r="J1189" s="7">
        <f>IF(OR(H1189="",H1189="Mixed"),1,0)</f>
        <v>0</v>
      </c>
      <c r="K1189" s="7">
        <f>IF(AND(C1189=0,D1189=0),IF(OR(AND(I1189=0,NOT(EXACT(Raw_Passengers!F1189,G1189))),AND(J1189=0,NOT(EXACT(Raw_Passengers!G1189,H1189)))),1,0),0)</f>
        <v>0</v>
      </c>
      <c r="L1189" s="7">
        <f>IF(AND(C1189=0,D1189=0,I1189=1),1,0)</f>
        <v>0</v>
      </c>
      <c r="M1189" s="7">
        <f>IF(AND(C1189=0,D1189=0,J1189=1),1,0)</f>
        <v>0</v>
      </c>
    </row>
    <row r="1190" spans="1:13">
      <c r="A1190" s="7">
        <f>Raw_Passengers!A1190</f>
        <v>376294</v>
      </c>
      <c r="B1190" s="7">
        <f>Raw_Passengers!B1190</f>
        <v>1186718</v>
      </c>
      <c r="C1190" s="7">
        <f>IF(COUNTIF(Raw_Passengers!$A$2:A1190,Raw_Passengers!A1190)&gt;1,1,0)</f>
        <v>0</v>
      </c>
      <c r="D1190" s="7">
        <f>IF(COUNTIF(Raw_Bookings!$A$2:$A$648,Raw_Passengers!B1190)=0,1,0)</f>
        <v>0</v>
      </c>
      <c r="E1190" s="7">
        <f>IF(OR(C1190=1,D1190=1),0,IF(NOT(ISNUMBER(Raw_Passengers!E1190)),1,IF(Raw_Passengers!E1190&lt;=0,1,0)))</f>
        <v>0</v>
      </c>
      <c r="F1190" s="7">
        <f>IF(AND(C1190=0,D1190=0,TRIM(Raw_Passengers!D1190&amp;"")=""),1,0)</f>
        <v>0</v>
      </c>
      <c r="G1190" s="7" t="str">
        <f>IF(SUMPRODUCT(--(Lookup_Status!$A$2:$A$13=LOWER(TRIM(Raw_Passengers!F1190))))=0,"",INDEX(Lookup_Status!$B$2:$B$13,SUMPRODUCT((Lookup_Status!$A$2:$A$13=LOWER(TRIM(Raw_Passengers!F1190)))*(ROW(Lookup_Status!$A$2:$A$13)-1))))</f>
        <v>Confirmed</v>
      </c>
      <c r="H1190" s="7" t="str">
        <f>IF(SUMPRODUCT(--(Lookup_Status!$A$2:$A$13=LOWER(TRIM(Raw_Passengers!G1190))))=0,"",INDEX(Lookup_Status!$B$2:$B$13,SUMPRODUCT((Lookup_Status!$A$2:$A$13=LOWER(TRIM(Raw_Passengers!G1190)))*(ROW(Lookup_Status!$A$2:$A$13)-1))))</f>
        <v>Confirmed</v>
      </c>
      <c r="I1190" s="7">
        <f>IF(OR(G1190="",G1190="Cancelled",G1190="Mixed"),1,0)</f>
        <v>0</v>
      </c>
      <c r="J1190" s="7">
        <f>IF(OR(H1190="",H1190="Mixed"),1,0)</f>
        <v>0</v>
      </c>
      <c r="K1190" s="7">
        <f>IF(AND(C1190=0,D1190=0),IF(OR(AND(I1190=0,NOT(EXACT(Raw_Passengers!F1190,G1190))),AND(J1190=0,NOT(EXACT(Raw_Passengers!G1190,H1190)))),1,0),0)</f>
        <v>0</v>
      </c>
      <c r="L1190" s="7">
        <f>IF(AND(C1190=0,D1190=0,I1190=1),1,0)</f>
        <v>0</v>
      </c>
      <c r="M1190" s="7">
        <f>IF(AND(C1190=0,D1190=0,J1190=1),1,0)</f>
        <v>0</v>
      </c>
    </row>
    <row r="1191" spans="1:13">
      <c r="A1191" s="7">
        <f>Raw_Passengers!A1191</f>
        <v>376404</v>
      </c>
      <c r="B1191" s="7">
        <f>Raw_Passengers!B1191</f>
        <v>1186780</v>
      </c>
      <c r="C1191" s="7">
        <f>IF(COUNTIF(Raw_Passengers!$A$2:A1191,Raw_Passengers!A1191)&gt;1,1,0)</f>
        <v>0</v>
      </c>
      <c r="D1191" s="7">
        <f>IF(COUNTIF(Raw_Bookings!$A$2:$A$648,Raw_Passengers!B1191)=0,1,0)</f>
        <v>0</v>
      </c>
      <c r="E1191" s="7">
        <f>IF(OR(C1191=1,D1191=1),0,IF(NOT(ISNUMBER(Raw_Passengers!E1191)),1,IF(Raw_Passengers!E1191&lt;=0,1,0)))</f>
        <v>0</v>
      </c>
      <c r="F1191" s="7">
        <f>IF(AND(C1191=0,D1191=0,TRIM(Raw_Passengers!D1191&amp;"")=""),1,0)</f>
        <v>0</v>
      </c>
      <c r="G1191" s="7" t="str">
        <f>IF(SUMPRODUCT(--(Lookup_Status!$A$2:$A$13=LOWER(TRIM(Raw_Passengers!F1191))))=0,"",INDEX(Lookup_Status!$B$2:$B$13,SUMPRODUCT((Lookup_Status!$A$2:$A$13=LOWER(TRIM(Raw_Passengers!F1191)))*(ROW(Lookup_Status!$A$2:$A$13)-1))))</f>
        <v>Confirmed</v>
      </c>
      <c r="H1191" s="7" t="str">
        <f>IF(SUMPRODUCT(--(Lookup_Status!$A$2:$A$13=LOWER(TRIM(Raw_Passengers!G1191))))=0,"",INDEX(Lookup_Status!$B$2:$B$13,SUMPRODUCT((Lookup_Status!$A$2:$A$13=LOWER(TRIM(Raw_Passengers!G1191)))*(ROW(Lookup_Status!$A$2:$A$13)-1))))</f>
        <v>Confirmed</v>
      </c>
      <c r="I1191" s="7">
        <f>IF(OR(G1191="",G1191="Cancelled",G1191="Mixed"),1,0)</f>
        <v>0</v>
      </c>
      <c r="J1191" s="7">
        <f>IF(OR(H1191="",H1191="Mixed"),1,0)</f>
        <v>0</v>
      </c>
      <c r="K1191" s="7">
        <f>IF(AND(C1191=0,D1191=0),IF(OR(AND(I1191=0,NOT(EXACT(Raw_Passengers!F1191,G1191))),AND(J1191=0,NOT(EXACT(Raw_Passengers!G1191,H1191)))),1,0),0)</f>
        <v>0</v>
      </c>
      <c r="L1191" s="7">
        <f>IF(AND(C1191=0,D1191=0,I1191=1),1,0)</f>
        <v>0</v>
      </c>
      <c r="M1191" s="7">
        <f>IF(AND(C1191=0,D1191=0,J1191=1),1,0)</f>
        <v>0</v>
      </c>
    </row>
    <row r="1192" spans="1:13">
      <c r="A1192" s="7">
        <f>Raw_Passengers!A1192</f>
        <v>376405</v>
      </c>
      <c r="B1192" s="7">
        <f>Raw_Passengers!B1192</f>
        <v>1186780</v>
      </c>
      <c r="C1192" s="7">
        <f>IF(COUNTIF(Raw_Passengers!$A$2:A1192,Raw_Passengers!A1192)&gt;1,1,0)</f>
        <v>0</v>
      </c>
      <c r="D1192" s="7">
        <f>IF(COUNTIF(Raw_Bookings!$A$2:$A$648,Raw_Passengers!B1192)=0,1,0)</f>
        <v>0</v>
      </c>
      <c r="E1192" s="7">
        <f>IF(OR(C1192=1,D1192=1),0,IF(NOT(ISNUMBER(Raw_Passengers!E1192)),1,IF(Raw_Passengers!E1192&lt;=0,1,0)))</f>
        <v>0</v>
      </c>
      <c r="F1192" s="7">
        <f>IF(AND(C1192=0,D1192=0,TRIM(Raw_Passengers!D1192&amp;"")=""),1,0)</f>
        <v>0</v>
      </c>
      <c r="G1192" s="7" t="str">
        <f>IF(SUMPRODUCT(--(Lookup_Status!$A$2:$A$13=LOWER(TRIM(Raw_Passengers!F1192))))=0,"",INDEX(Lookup_Status!$B$2:$B$13,SUMPRODUCT((Lookup_Status!$A$2:$A$13=LOWER(TRIM(Raw_Passengers!F1192)))*(ROW(Lookup_Status!$A$2:$A$13)-1))))</f>
        <v>Confirmed</v>
      </c>
      <c r="H1192" s="7" t="str">
        <f>IF(SUMPRODUCT(--(Lookup_Status!$A$2:$A$13=LOWER(TRIM(Raw_Passengers!G1192))))=0,"",INDEX(Lookup_Status!$B$2:$B$13,SUMPRODUCT((Lookup_Status!$A$2:$A$13=LOWER(TRIM(Raw_Passengers!G1192)))*(ROW(Lookup_Status!$A$2:$A$13)-1))))</f>
        <v>Confirmed</v>
      </c>
      <c r="I1192" s="7">
        <f>IF(OR(G1192="",G1192="Cancelled",G1192="Mixed"),1,0)</f>
        <v>0</v>
      </c>
      <c r="J1192" s="7">
        <f>IF(OR(H1192="",H1192="Mixed"),1,0)</f>
        <v>0</v>
      </c>
      <c r="K1192" s="7">
        <f>IF(AND(C1192=0,D1192=0),IF(OR(AND(I1192=0,NOT(EXACT(Raw_Passengers!F1192,G1192))),AND(J1192=0,NOT(EXACT(Raw_Passengers!G1192,H1192)))),1,0),0)</f>
        <v>0</v>
      </c>
      <c r="L1192" s="7">
        <f>IF(AND(C1192=0,D1192=0,I1192=1),1,0)</f>
        <v>0</v>
      </c>
      <c r="M1192" s="7">
        <f>IF(AND(C1192=0,D1192=0,J1192=1),1,0)</f>
        <v>0</v>
      </c>
    </row>
    <row r="1193" spans="1:13">
      <c r="A1193" s="7">
        <f>Raw_Passengers!A1193</f>
        <v>376406</v>
      </c>
      <c r="B1193" s="7">
        <f>Raw_Passengers!B1193</f>
        <v>1186780</v>
      </c>
      <c r="C1193" s="7">
        <f>IF(COUNTIF(Raw_Passengers!$A$2:A1193,Raw_Passengers!A1193)&gt;1,1,0)</f>
        <v>0</v>
      </c>
      <c r="D1193" s="7">
        <f>IF(COUNTIF(Raw_Bookings!$A$2:$A$648,Raw_Passengers!B1193)=0,1,0)</f>
        <v>0</v>
      </c>
      <c r="E1193" s="7">
        <f>IF(OR(C1193=1,D1193=1),0,IF(NOT(ISNUMBER(Raw_Passengers!E1193)),1,IF(Raw_Passengers!E1193&lt;=0,1,0)))</f>
        <v>0</v>
      </c>
      <c r="F1193" s="7">
        <f>IF(AND(C1193=0,D1193=0,TRIM(Raw_Passengers!D1193&amp;"")=""),1,0)</f>
        <v>0</v>
      </c>
      <c r="G1193" s="7" t="str">
        <f>IF(SUMPRODUCT(--(Lookup_Status!$A$2:$A$13=LOWER(TRIM(Raw_Passengers!F1193))))=0,"",INDEX(Lookup_Status!$B$2:$B$13,SUMPRODUCT((Lookup_Status!$A$2:$A$13=LOWER(TRIM(Raw_Passengers!F1193)))*(ROW(Lookup_Status!$A$2:$A$13)-1))))</f>
        <v>Confirmed</v>
      </c>
      <c r="H1193" s="7" t="str">
        <f>IF(SUMPRODUCT(--(Lookup_Status!$A$2:$A$13=LOWER(TRIM(Raw_Passengers!G1193))))=0,"",INDEX(Lookup_Status!$B$2:$B$13,SUMPRODUCT((Lookup_Status!$A$2:$A$13=LOWER(TRIM(Raw_Passengers!G1193)))*(ROW(Lookup_Status!$A$2:$A$13)-1))))</f>
        <v>Confirmed</v>
      </c>
      <c r="I1193" s="7">
        <f>IF(OR(G1193="",G1193="Cancelled",G1193="Mixed"),1,0)</f>
        <v>0</v>
      </c>
      <c r="J1193" s="7">
        <f>IF(OR(H1193="",H1193="Mixed"),1,0)</f>
        <v>0</v>
      </c>
      <c r="K1193" s="7">
        <f>IF(AND(C1193=0,D1193=0),IF(OR(AND(I1193=0,NOT(EXACT(Raw_Passengers!F1193,G1193))),AND(J1193=0,NOT(EXACT(Raw_Passengers!G1193,H1193)))),1,0),0)</f>
        <v>0</v>
      </c>
      <c r="L1193" s="7">
        <f>IF(AND(C1193=0,D1193=0,I1193=1),1,0)</f>
        <v>0</v>
      </c>
      <c r="M1193" s="7">
        <f>IF(AND(C1193=0,D1193=0,J1193=1),1,0)</f>
        <v>0</v>
      </c>
    </row>
    <row r="1194" spans="1:13">
      <c r="A1194" s="7">
        <f>Raw_Passengers!A1194</f>
        <v>376407</v>
      </c>
      <c r="B1194" s="7">
        <f>Raw_Passengers!B1194</f>
        <v>1186780</v>
      </c>
      <c r="C1194" s="7">
        <f>IF(COUNTIF(Raw_Passengers!$A$2:A1194,Raw_Passengers!A1194)&gt;1,1,0)</f>
        <v>0</v>
      </c>
      <c r="D1194" s="7">
        <f>IF(COUNTIF(Raw_Bookings!$A$2:$A$648,Raw_Passengers!B1194)=0,1,0)</f>
        <v>0</v>
      </c>
      <c r="E1194" s="7">
        <f>IF(OR(C1194=1,D1194=1),0,IF(NOT(ISNUMBER(Raw_Passengers!E1194)),1,IF(Raw_Passengers!E1194&lt;=0,1,0)))</f>
        <v>0</v>
      </c>
      <c r="F1194" s="7">
        <f>IF(AND(C1194=0,D1194=0,TRIM(Raw_Passengers!D1194&amp;"")=""),1,0)</f>
        <v>0</v>
      </c>
      <c r="G1194" s="7" t="str">
        <f>IF(SUMPRODUCT(--(Lookup_Status!$A$2:$A$13=LOWER(TRIM(Raw_Passengers!F1194))))=0,"",INDEX(Lookup_Status!$B$2:$B$13,SUMPRODUCT((Lookup_Status!$A$2:$A$13=LOWER(TRIM(Raw_Passengers!F1194)))*(ROW(Lookup_Status!$A$2:$A$13)-1))))</f>
        <v>Confirmed</v>
      </c>
      <c r="H1194" s="7" t="str">
        <f>IF(SUMPRODUCT(--(Lookup_Status!$A$2:$A$13=LOWER(TRIM(Raw_Passengers!G1194))))=0,"",INDEX(Lookup_Status!$B$2:$B$13,SUMPRODUCT((Lookup_Status!$A$2:$A$13=LOWER(TRIM(Raw_Passengers!G1194)))*(ROW(Lookup_Status!$A$2:$A$13)-1))))</f>
        <v>Confirmed</v>
      </c>
      <c r="I1194" s="7">
        <f>IF(OR(G1194="",G1194="Cancelled",G1194="Mixed"),1,0)</f>
        <v>0</v>
      </c>
      <c r="J1194" s="7">
        <f>IF(OR(H1194="",H1194="Mixed"),1,0)</f>
        <v>0</v>
      </c>
      <c r="K1194" s="7">
        <f>IF(AND(C1194=0,D1194=0),IF(OR(AND(I1194=0,NOT(EXACT(Raw_Passengers!F1194,G1194))),AND(J1194=0,NOT(EXACT(Raw_Passengers!G1194,H1194)))),1,0),0)</f>
        <v>0</v>
      </c>
      <c r="L1194" s="7">
        <f>IF(AND(C1194=0,D1194=0,I1194=1),1,0)</f>
        <v>0</v>
      </c>
      <c r="M1194" s="7">
        <f>IF(AND(C1194=0,D1194=0,J1194=1),1,0)</f>
        <v>0</v>
      </c>
    </row>
    <row r="1195" spans="1:13">
      <c r="A1195" s="7">
        <f>Raw_Passengers!A1195</f>
        <v>376524</v>
      </c>
      <c r="B1195" s="7">
        <f>Raw_Passengers!B1195</f>
        <v>1186842</v>
      </c>
      <c r="C1195" s="7">
        <f>IF(COUNTIF(Raw_Passengers!$A$2:A1195,Raw_Passengers!A1195)&gt;1,1,0)</f>
        <v>0</v>
      </c>
      <c r="D1195" s="7">
        <f>IF(COUNTIF(Raw_Bookings!$A$2:$A$648,Raw_Passengers!B1195)=0,1,0)</f>
        <v>0</v>
      </c>
      <c r="E1195" s="7">
        <f>IF(OR(C1195=1,D1195=1),0,IF(NOT(ISNUMBER(Raw_Passengers!E1195)),1,IF(Raw_Passengers!E1195&lt;=0,1,0)))</f>
        <v>0</v>
      </c>
      <c r="F1195" s="7">
        <f>IF(AND(C1195=0,D1195=0,TRIM(Raw_Passengers!D1195&amp;"")=""),1,0)</f>
        <v>0</v>
      </c>
      <c r="G1195" s="7" t="str">
        <f>IF(SUMPRODUCT(--(Lookup_Status!$A$2:$A$13=LOWER(TRIM(Raw_Passengers!F1195))))=0,"",INDEX(Lookup_Status!$B$2:$B$13,SUMPRODUCT((Lookup_Status!$A$2:$A$13=LOWER(TRIM(Raw_Passengers!F1195)))*(ROW(Lookup_Status!$A$2:$A$13)-1))))</f>
        <v>Confirmed</v>
      </c>
      <c r="H1195" s="7" t="str">
        <f>IF(SUMPRODUCT(--(Lookup_Status!$A$2:$A$13=LOWER(TRIM(Raw_Passengers!G1195))))=0,"",INDEX(Lookup_Status!$B$2:$B$13,SUMPRODUCT((Lookup_Status!$A$2:$A$13=LOWER(TRIM(Raw_Passengers!G1195)))*(ROW(Lookup_Status!$A$2:$A$13)-1))))</f>
        <v>Confirmed</v>
      </c>
      <c r="I1195" s="7">
        <f>IF(OR(G1195="",G1195="Cancelled",G1195="Mixed"),1,0)</f>
        <v>0</v>
      </c>
      <c r="J1195" s="7">
        <f>IF(OR(H1195="",H1195="Mixed"),1,0)</f>
        <v>0</v>
      </c>
      <c r="K1195" s="7">
        <f>IF(AND(C1195=0,D1195=0),IF(OR(AND(I1195=0,NOT(EXACT(Raw_Passengers!F1195,G1195))),AND(J1195=0,NOT(EXACT(Raw_Passengers!G1195,H1195)))),1,0),0)</f>
        <v>1</v>
      </c>
      <c r="L1195" s="7">
        <f>IF(AND(C1195=0,D1195=0,I1195=1),1,0)</f>
        <v>0</v>
      </c>
      <c r="M1195" s="7">
        <f>IF(AND(C1195=0,D1195=0,J1195=1),1,0)</f>
        <v>0</v>
      </c>
    </row>
    <row r="1196" spans="1:13">
      <c r="A1196" s="7">
        <f>Raw_Passengers!A1196</f>
        <v>376525</v>
      </c>
      <c r="B1196" s="7">
        <f>Raw_Passengers!B1196</f>
        <v>1186842</v>
      </c>
      <c r="C1196" s="7">
        <f>IF(COUNTIF(Raw_Passengers!$A$2:A1196,Raw_Passengers!A1196)&gt;1,1,0)</f>
        <v>0</v>
      </c>
      <c r="D1196" s="7">
        <f>IF(COUNTIF(Raw_Bookings!$A$2:$A$648,Raw_Passengers!B1196)=0,1,0)</f>
        <v>0</v>
      </c>
      <c r="E1196" s="7">
        <f>IF(OR(C1196=1,D1196=1),0,IF(NOT(ISNUMBER(Raw_Passengers!E1196)),1,IF(Raw_Passengers!E1196&lt;=0,1,0)))</f>
        <v>0</v>
      </c>
      <c r="F1196" s="7">
        <f>IF(AND(C1196=0,D1196=0,TRIM(Raw_Passengers!D1196&amp;"")=""),1,0)</f>
        <v>0</v>
      </c>
      <c r="G1196" s="7" t="str">
        <f>IF(SUMPRODUCT(--(Lookup_Status!$A$2:$A$13=LOWER(TRIM(Raw_Passengers!F1196))))=0,"",INDEX(Lookup_Status!$B$2:$B$13,SUMPRODUCT((Lookup_Status!$A$2:$A$13=LOWER(TRIM(Raw_Passengers!F1196)))*(ROW(Lookup_Status!$A$2:$A$13)-1))))</f>
        <v>Confirmed</v>
      </c>
      <c r="H1196" s="7" t="str">
        <f>IF(SUMPRODUCT(--(Lookup_Status!$A$2:$A$13=LOWER(TRIM(Raw_Passengers!G1196))))=0,"",INDEX(Lookup_Status!$B$2:$B$13,SUMPRODUCT((Lookup_Status!$A$2:$A$13=LOWER(TRIM(Raw_Passengers!G1196)))*(ROW(Lookup_Status!$A$2:$A$13)-1))))</f>
        <v>Confirmed</v>
      </c>
      <c r="I1196" s="7">
        <f>IF(OR(G1196="",G1196="Cancelled",G1196="Mixed"),1,0)</f>
        <v>0</v>
      </c>
      <c r="J1196" s="7">
        <f>IF(OR(H1196="",H1196="Mixed"),1,0)</f>
        <v>0</v>
      </c>
      <c r="K1196" s="7">
        <f>IF(AND(C1196=0,D1196=0),IF(OR(AND(I1196=0,NOT(EXACT(Raw_Passengers!F1196,G1196))),AND(J1196=0,NOT(EXACT(Raw_Passengers!G1196,H1196)))),1,0),0)</f>
        <v>0</v>
      </c>
      <c r="L1196" s="7">
        <f>IF(AND(C1196=0,D1196=0,I1196=1),1,0)</f>
        <v>0</v>
      </c>
      <c r="M1196" s="7">
        <f>IF(AND(C1196=0,D1196=0,J1196=1),1,0)</f>
        <v>0</v>
      </c>
    </row>
    <row r="1197" spans="1:13">
      <c r="A1197" s="7">
        <f>Raw_Passengers!A1197</f>
        <v>376526</v>
      </c>
      <c r="B1197" s="7">
        <f>Raw_Passengers!B1197</f>
        <v>1186842</v>
      </c>
      <c r="C1197" s="7">
        <f>IF(COUNTIF(Raw_Passengers!$A$2:A1197,Raw_Passengers!A1197)&gt;1,1,0)</f>
        <v>0</v>
      </c>
      <c r="D1197" s="7">
        <f>IF(COUNTIF(Raw_Bookings!$A$2:$A$648,Raw_Passengers!B1197)=0,1,0)</f>
        <v>0</v>
      </c>
      <c r="E1197" s="7">
        <f>IF(OR(C1197=1,D1197=1),0,IF(NOT(ISNUMBER(Raw_Passengers!E1197)),1,IF(Raw_Passengers!E1197&lt;=0,1,0)))</f>
        <v>0</v>
      </c>
      <c r="F1197" s="7">
        <f>IF(AND(C1197=0,D1197=0,TRIM(Raw_Passengers!D1197&amp;"")=""),1,0)</f>
        <v>0</v>
      </c>
      <c r="G1197" s="7" t="str">
        <f>IF(SUMPRODUCT(--(Lookup_Status!$A$2:$A$13=LOWER(TRIM(Raw_Passengers!F1197))))=0,"",INDEX(Lookup_Status!$B$2:$B$13,SUMPRODUCT((Lookup_Status!$A$2:$A$13=LOWER(TRIM(Raw_Passengers!F1197)))*(ROW(Lookup_Status!$A$2:$A$13)-1))))</f>
        <v>Confirmed</v>
      </c>
      <c r="H1197" s="7" t="str">
        <f>IF(SUMPRODUCT(--(Lookup_Status!$A$2:$A$13=LOWER(TRIM(Raw_Passengers!G1197))))=0,"",INDEX(Lookup_Status!$B$2:$B$13,SUMPRODUCT((Lookup_Status!$A$2:$A$13=LOWER(TRIM(Raw_Passengers!G1197)))*(ROW(Lookup_Status!$A$2:$A$13)-1))))</f>
        <v>Confirmed</v>
      </c>
      <c r="I1197" s="7">
        <f>IF(OR(G1197="",G1197="Cancelled",G1197="Mixed"),1,0)</f>
        <v>0</v>
      </c>
      <c r="J1197" s="7">
        <f>IF(OR(H1197="",H1197="Mixed"),1,0)</f>
        <v>0</v>
      </c>
      <c r="K1197" s="7">
        <f>IF(AND(C1197=0,D1197=0),IF(OR(AND(I1197=0,NOT(EXACT(Raw_Passengers!F1197,G1197))),AND(J1197=0,NOT(EXACT(Raw_Passengers!G1197,H1197)))),1,0),0)</f>
        <v>0</v>
      </c>
      <c r="L1197" s="7">
        <f>IF(AND(C1197=0,D1197=0,I1197=1),1,0)</f>
        <v>0</v>
      </c>
      <c r="M1197" s="7">
        <f>IF(AND(C1197=0,D1197=0,J1197=1),1,0)</f>
        <v>0</v>
      </c>
    </row>
    <row r="1198" spans="1:13">
      <c r="A1198" s="7">
        <f>Raw_Passengers!A1198</f>
        <v>376527</v>
      </c>
      <c r="B1198" s="7">
        <f>Raw_Passengers!B1198</f>
        <v>1186842</v>
      </c>
      <c r="C1198" s="7">
        <f>IF(COUNTIF(Raw_Passengers!$A$2:A1198,Raw_Passengers!A1198)&gt;1,1,0)</f>
        <v>0</v>
      </c>
      <c r="D1198" s="7">
        <f>IF(COUNTIF(Raw_Bookings!$A$2:$A$648,Raw_Passengers!B1198)=0,1,0)</f>
        <v>0</v>
      </c>
      <c r="E1198" s="7">
        <f>IF(OR(C1198=1,D1198=1),0,IF(NOT(ISNUMBER(Raw_Passengers!E1198)),1,IF(Raw_Passengers!E1198&lt;=0,1,0)))</f>
        <v>0</v>
      </c>
      <c r="F1198" s="7">
        <f>IF(AND(C1198=0,D1198=0,TRIM(Raw_Passengers!D1198&amp;"")=""),1,0)</f>
        <v>0</v>
      </c>
      <c r="G1198" s="7" t="str">
        <f>IF(SUMPRODUCT(--(Lookup_Status!$A$2:$A$13=LOWER(TRIM(Raw_Passengers!F1198))))=0,"",INDEX(Lookup_Status!$B$2:$B$13,SUMPRODUCT((Lookup_Status!$A$2:$A$13=LOWER(TRIM(Raw_Passengers!F1198)))*(ROW(Lookup_Status!$A$2:$A$13)-1))))</f>
        <v>Confirmed</v>
      </c>
      <c r="H1198" s="7" t="str">
        <f>IF(SUMPRODUCT(--(Lookup_Status!$A$2:$A$13=LOWER(TRIM(Raw_Passengers!G1198))))=0,"",INDEX(Lookup_Status!$B$2:$B$13,SUMPRODUCT((Lookup_Status!$A$2:$A$13=LOWER(TRIM(Raw_Passengers!G1198)))*(ROW(Lookup_Status!$A$2:$A$13)-1))))</f>
        <v>Confirmed</v>
      </c>
      <c r="I1198" s="7">
        <f>IF(OR(G1198="",G1198="Cancelled",G1198="Mixed"),1,0)</f>
        <v>0</v>
      </c>
      <c r="J1198" s="7">
        <f>IF(OR(H1198="",H1198="Mixed"),1,0)</f>
        <v>0</v>
      </c>
      <c r="K1198" s="7">
        <f>IF(AND(C1198=0,D1198=0),IF(OR(AND(I1198=0,NOT(EXACT(Raw_Passengers!F1198,G1198))),AND(J1198=0,NOT(EXACT(Raw_Passengers!G1198,H1198)))),1,0),0)</f>
        <v>0</v>
      </c>
      <c r="L1198" s="7">
        <f>IF(AND(C1198=0,D1198=0,I1198=1),1,0)</f>
        <v>0</v>
      </c>
      <c r="M1198" s="7">
        <f>IF(AND(C1198=0,D1198=0,J1198=1),1,0)</f>
        <v>0</v>
      </c>
    </row>
    <row r="1199" spans="1:13">
      <c r="A1199" s="7">
        <f>Raw_Passengers!A1199</f>
        <v>377038</v>
      </c>
      <c r="B1199" s="7">
        <f>Raw_Passengers!B1199</f>
        <v>1187089</v>
      </c>
      <c r="C1199" s="7">
        <f>IF(COUNTIF(Raw_Passengers!$A$2:A1199,Raw_Passengers!A1199)&gt;1,1,0)</f>
        <v>0</v>
      </c>
      <c r="D1199" s="7">
        <f>IF(COUNTIF(Raw_Bookings!$A$2:$A$648,Raw_Passengers!B1199)=0,1,0)</f>
        <v>0</v>
      </c>
      <c r="E1199" s="7">
        <f>IF(OR(C1199=1,D1199=1),0,IF(NOT(ISNUMBER(Raw_Passengers!E1199)),1,IF(Raw_Passengers!E1199&lt;=0,1,0)))</f>
        <v>0</v>
      </c>
      <c r="F1199" s="7">
        <f>IF(AND(C1199=0,D1199=0,TRIM(Raw_Passengers!D1199&amp;"")=""),1,0)</f>
        <v>0</v>
      </c>
      <c r="G1199" s="7" t="str">
        <f>IF(SUMPRODUCT(--(Lookup_Status!$A$2:$A$13=LOWER(TRIM(Raw_Passengers!F1199))))=0,"",INDEX(Lookup_Status!$B$2:$B$13,SUMPRODUCT((Lookup_Status!$A$2:$A$13=LOWER(TRIM(Raw_Passengers!F1199)))*(ROW(Lookup_Status!$A$2:$A$13)-1))))</f>
        <v>Waitlisted</v>
      </c>
      <c r="H1199" s="7" t="str">
        <f>IF(SUMPRODUCT(--(Lookup_Status!$A$2:$A$13=LOWER(TRIM(Raw_Passengers!G1199))))=0,"",INDEX(Lookup_Status!$B$2:$B$13,SUMPRODUCT((Lookup_Status!$A$2:$A$13=LOWER(TRIM(Raw_Passengers!G1199)))*(ROW(Lookup_Status!$A$2:$A$13)-1))))</f>
        <v>Waitlisted</v>
      </c>
      <c r="I1199" s="7">
        <f>IF(OR(G1199="",G1199="Cancelled",G1199="Mixed"),1,0)</f>
        <v>0</v>
      </c>
      <c r="J1199" s="7">
        <f>IF(OR(H1199="",H1199="Mixed"),1,0)</f>
        <v>0</v>
      </c>
      <c r="K1199" s="7">
        <f>IF(AND(C1199=0,D1199=0),IF(OR(AND(I1199=0,NOT(EXACT(Raw_Passengers!F1199,G1199))),AND(J1199=0,NOT(EXACT(Raw_Passengers!G1199,H1199)))),1,0),0)</f>
        <v>0</v>
      </c>
      <c r="L1199" s="7">
        <f>IF(AND(C1199=0,D1199=0,I1199=1),1,0)</f>
        <v>0</v>
      </c>
      <c r="M1199" s="7">
        <f>IF(AND(C1199=0,D1199=0,J1199=1),1,0)</f>
        <v>0</v>
      </c>
    </row>
    <row r="1200" spans="1:13">
      <c r="A1200" s="7">
        <f>Raw_Passengers!A1200</f>
        <v>377039</v>
      </c>
      <c r="B1200" s="7">
        <f>Raw_Passengers!B1200</f>
        <v>1187089</v>
      </c>
      <c r="C1200" s="7">
        <f>IF(COUNTIF(Raw_Passengers!$A$2:A1200,Raw_Passengers!A1200)&gt;1,1,0)</f>
        <v>0</v>
      </c>
      <c r="D1200" s="7">
        <f>IF(COUNTIF(Raw_Bookings!$A$2:$A$648,Raw_Passengers!B1200)=0,1,0)</f>
        <v>0</v>
      </c>
      <c r="E1200" s="7">
        <f>IF(OR(C1200=1,D1200=1),0,IF(NOT(ISNUMBER(Raw_Passengers!E1200)),1,IF(Raw_Passengers!E1200&lt;=0,1,0)))</f>
        <v>0</v>
      </c>
      <c r="F1200" s="7">
        <f>IF(AND(C1200=0,D1200=0,TRIM(Raw_Passengers!D1200&amp;"")=""),1,0)</f>
        <v>0</v>
      </c>
      <c r="G1200" s="7" t="str">
        <f>IF(SUMPRODUCT(--(Lookup_Status!$A$2:$A$13=LOWER(TRIM(Raw_Passengers!F1200))))=0,"",INDEX(Lookup_Status!$B$2:$B$13,SUMPRODUCT((Lookup_Status!$A$2:$A$13=LOWER(TRIM(Raw_Passengers!F1200)))*(ROW(Lookup_Status!$A$2:$A$13)-1))))</f>
        <v>Waitlisted</v>
      </c>
      <c r="H1200" s="7" t="str">
        <f>IF(SUMPRODUCT(--(Lookup_Status!$A$2:$A$13=LOWER(TRIM(Raw_Passengers!G1200))))=0,"",INDEX(Lookup_Status!$B$2:$B$13,SUMPRODUCT((Lookup_Status!$A$2:$A$13=LOWER(TRIM(Raw_Passengers!G1200)))*(ROW(Lookup_Status!$A$2:$A$13)-1))))</f>
        <v>Waitlisted</v>
      </c>
      <c r="I1200" s="7">
        <f>IF(OR(G1200="",G1200="Cancelled",G1200="Mixed"),1,0)</f>
        <v>0</v>
      </c>
      <c r="J1200" s="7">
        <f>IF(OR(H1200="",H1200="Mixed"),1,0)</f>
        <v>0</v>
      </c>
      <c r="K1200" s="7">
        <f>IF(AND(C1200=0,D1200=0),IF(OR(AND(I1200=0,NOT(EXACT(Raw_Passengers!F1200,G1200))),AND(J1200=0,NOT(EXACT(Raw_Passengers!G1200,H1200)))),1,0),0)</f>
        <v>0</v>
      </c>
      <c r="L1200" s="7">
        <f>IF(AND(C1200=0,D1200=0,I1200=1),1,0)</f>
        <v>0</v>
      </c>
      <c r="M1200" s="7">
        <f>IF(AND(C1200=0,D1200=0,J1200=1),1,0)</f>
        <v>0</v>
      </c>
    </row>
    <row r="1201" spans="1:13">
      <c r="A1201" s="7">
        <f>Raw_Passengers!A1201</f>
        <v>377040</v>
      </c>
      <c r="B1201" s="7">
        <f>Raw_Passengers!B1201</f>
        <v>1187089</v>
      </c>
      <c r="C1201" s="7">
        <f>IF(COUNTIF(Raw_Passengers!$A$2:A1201,Raw_Passengers!A1201)&gt;1,1,0)</f>
        <v>0</v>
      </c>
      <c r="D1201" s="7">
        <f>IF(COUNTIF(Raw_Bookings!$A$2:$A$648,Raw_Passengers!B1201)=0,1,0)</f>
        <v>0</v>
      </c>
      <c r="E1201" s="7">
        <f>IF(OR(C1201=1,D1201=1),0,IF(NOT(ISNUMBER(Raw_Passengers!E1201)),1,IF(Raw_Passengers!E1201&lt;=0,1,0)))</f>
        <v>0</v>
      </c>
      <c r="F1201" s="7">
        <f>IF(AND(C1201=0,D1201=0,TRIM(Raw_Passengers!D1201&amp;"")=""),1,0)</f>
        <v>0</v>
      </c>
      <c r="G1201" s="7" t="str">
        <f>IF(SUMPRODUCT(--(Lookup_Status!$A$2:$A$13=LOWER(TRIM(Raw_Passengers!F1201))))=0,"",INDEX(Lookup_Status!$B$2:$B$13,SUMPRODUCT((Lookup_Status!$A$2:$A$13=LOWER(TRIM(Raw_Passengers!F1201)))*(ROW(Lookup_Status!$A$2:$A$13)-1))))</f>
        <v>Waitlisted</v>
      </c>
      <c r="H1201" s="7" t="str">
        <f>IF(SUMPRODUCT(--(Lookup_Status!$A$2:$A$13=LOWER(TRIM(Raw_Passengers!G1201))))=0,"",INDEX(Lookup_Status!$B$2:$B$13,SUMPRODUCT((Lookup_Status!$A$2:$A$13=LOWER(TRIM(Raw_Passengers!G1201)))*(ROW(Lookup_Status!$A$2:$A$13)-1))))</f>
        <v>Waitlisted</v>
      </c>
      <c r="I1201" s="7">
        <f>IF(OR(G1201="",G1201="Cancelled",G1201="Mixed"),1,0)</f>
        <v>0</v>
      </c>
      <c r="J1201" s="7">
        <f>IF(OR(H1201="",H1201="Mixed"),1,0)</f>
        <v>0</v>
      </c>
      <c r="K1201" s="7">
        <f>IF(AND(C1201=0,D1201=0),IF(OR(AND(I1201=0,NOT(EXACT(Raw_Passengers!F1201,G1201))),AND(J1201=0,NOT(EXACT(Raw_Passengers!G1201,H1201)))),1,0),0)</f>
        <v>0</v>
      </c>
      <c r="L1201" s="7">
        <f>IF(AND(C1201=0,D1201=0,I1201=1),1,0)</f>
        <v>0</v>
      </c>
      <c r="M1201" s="7">
        <f>IF(AND(C1201=0,D1201=0,J1201=1),1,0)</f>
        <v>0</v>
      </c>
    </row>
    <row r="1202" spans="1:13">
      <c r="A1202" s="7">
        <f>Raw_Passengers!A1202</f>
        <v>377359</v>
      </c>
      <c r="B1202" s="7">
        <f>Raw_Passengers!B1202</f>
        <v>1187256</v>
      </c>
      <c r="C1202" s="7">
        <f>IF(COUNTIF(Raw_Passengers!$A$2:A1202,Raw_Passengers!A1202)&gt;1,1,0)</f>
        <v>0</v>
      </c>
      <c r="D1202" s="7">
        <f>IF(COUNTIF(Raw_Bookings!$A$2:$A$648,Raw_Passengers!B1202)=0,1,0)</f>
        <v>0</v>
      </c>
      <c r="E1202" s="7">
        <f>IF(OR(C1202=1,D1202=1),0,IF(NOT(ISNUMBER(Raw_Passengers!E1202)),1,IF(Raw_Passengers!E1202&lt;=0,1,0)))</f>
        <v>0</v>
      </c>
      <c r="F1202" s="7">
        <f>IF(AND(C1202=0,D1202=0,TRIM(Raw_Passengers!D1202&amp;"")=""),1,0)</f>
        <v>0</v>
      </c>
      <c r="G1202" s="7" t="str">
        <f>IF(SUMPRODUCT(--(Lookup_Status!$A$2:$A$13=LOWER(TRIM(Raw_Passengers!F1202))))=0,"",INDEX(Lookup_Status!$B$2:$B$13,SUMPRODUCT((Lookup_Status!$A$2:$A$13=LOWER(TRIM(Raw_Passengers!F1202)))*(ROW(Lookup_Status!$A$2:$A$13)-1))))</f>
        <v>Confirmed</v>
      </c>
      <c r="H1202" s="7" t="str">
        <f>IF(SUMPRODUCT(--(Lookup_Status!$A$2:$A$13=LOWER(TRIM(Raw_Passengers!G1202))))=0,"",INDEX(Lookup_Status!$B$2:$B$13,SUMPRODUCT((Lookup_Status!$A$2:$A$13=LOWER(TRIM(Raw_Passengers!G1202)))*(ROW(Lookup_Status!$A$2:$A$13)-1))))</f>
        <v>Confirmed</v>
      </c>
      <c r="I1202" s="7">
        <f>IF(OR(G1202="",G1202="Cancelled",G1202="Mixed"),1,0)</f>
        <v>0</v>
      </c>
      <c r="J1202" s="7">
        <f>IF(OR(H1202="",H1202="Mixed"),1,0)</f>
        <v>0</v>
      </c>
      <c r="K1202" s="7">
        <f>IF(AND(C1202=0,D1202=0),IF(OR(AND(I1202=0,NOT(EXACT(Raw_Passengers!F1202,G1202))),AND(J1202=0,NOT(EXACT(Raw_Passengers!G1202,H1202)))),1,0),0)</f>
        <v>0</v>
      </c>
      <c r="L1202" s="7">
        <f>IF(AND(C1202=0,D1202=0,I1202=1),1,0)</f>
        <v>0</v>
      </c>
      <c r="M1202" s="7">
        <f>IF(AND(C1202=0,D1202=0,J1202=1),1,0)</f>
        <v>0</v>
      </c>
    </row>
    <row r="1203" spans="1:13">
      <c r="A1203" s="7">
        <f>Raw_Passengers!A1203</f>
        <v>378026</v>
      </c>
      <c r="B1203" s="7">
        <f>Raw_Passengers!B1203</f>
        <v>1187585</v>
      </c>
      <c r="C1203" s="7">
        <f>IF(COUNTIF(Raw_Passengers!$A$2:A1203,Raw_Passengers!A1203)&gt;1,1,0)</f>
        <v>0</v>
      </c>
      <c r="D1203" s="7">
        <f>IF(COUNTIF(Raw_Bookings!$A$2:$A$648,Raw_Passengers!B1203)=0,1,0)</f>
        <v>0</v>
      </c>
      <c r="E1203" s="7">
        <f>IF(OR(C1203=1,D1203=1),0,IF(NOT(ISNUMBER(Raw_Passengers!E1203)),1,IF(Raw_Passengers!E1203&lt;=0,1,0)))</f>
        <v>0</v>
      </c>
      <c r="F1203" s="7">
        <f>IF(AND(C1203=0,D1203=0,TRIM(Raw_Passengers!D1203&amp;"")=""),1,0)</f>
        <v>0</v>
      </c>
      <c r="G1203" s="7" t="str">
        <f>IF(SUMPRODUCT(--(Lookup_Status!$A$2:$A$13=LOWER(TRIM(Raw_Passengers!F1203))))=0,"",INDEX(Lookup_Status!$B$2:$B$13,SUMPRODUCT((Lookup_Status!$A$2:$A$13=LOWER(TRIM(Raw_Passengers!F1203)))*(ROW(Lookup_Status!$A$2:$A$13)-1))))</f>
        <v>Confirmed</v>
      </c>
      <c r="H1203" s="7" t="str">
        <f>IF(SUMPRODUCT(--(Lookup_Status!$A$2:$A$13=LOWER(TRIM(Raw_Passengers!G1203))))=0,"",INDEX(Lookup_Status!$B$2:$B$13,SUMPRODUCT((Lookup_Status!$A$2:$A$13=LOWER(TRIM(Raw_Passengers!G1203)))*(ROW(Lookup_Status!$A$2:$A$13)-1))))</f>
        <v>Confirmed</v>
      </c>
      <c r="I1203" s="7">
        <f>IF(OR(G1203="",G1203="Cancelled",G1203="Mixed"),1,0)</f>
        <v>0</v>
      </c>
      <c r="J1203" s="7">
        <f>IF(OR(H1203="",H1203="Mixed"),1,0)</f>
        <v>0</v>
      </c>
      <c r="K1203" s="7">
        <f>IF(AND(C1203=0,D1203=0),IF(OR(AND(I1203=0,NOT(EXACT(Raw_Passengers!F1203,G1203))),AND(J1203=0,NOT(EXACT(Raw_Passengers!G1203,H1203)))),1,0),0)</f>
        <v>0</v>
      </c>
      <c r="L1203" s="7">
        <f>IF(AND(C1203=0,D1203=0,I1203=1),1,0)</f>
        <v>0</v>
      </c>
      <c r="M1203" s="7">
        <f>IF(AND(C1203=0,D1203=0,J1203=1),1,0)</f>
        <v>0</v>
      </c>
    </row>
    <row r="1204" spans="1:13">
      <c r="A1204" s="7">
        <f>Raw_Passengers!A1204</f>
        <v>378027</v>
      </c>
      <c r="B1204" s="7">
        <f>Raw_Passengers!B1204</f>
        <v>1187585</v>
      </c>
      <c r="C1204" s="7">
        <f>IF(COUNTIF(Raw_Passengers!$A$2:A1204,Raw_Passengers!A1204)&gt;1,1,0)</f>
        <v>0</v>
      </c>
      <c r="D1204" s="7">
        <f>IF(COUNTIF(Raw_Bookings!$A$2:$A$648,Raw_Passengers!B1204)=0,1,0)</f>
        <v>0</v>
      </c>
      <c r="E1204" s="7">
        <f>IF(OR(C1204=1,D1204=1),0,IF(NOT(ISNUMBER(Raw_Passengers!E1204)),1,IF(Raw_Passengers!E1204&lt;=0,1,0)))</f>
        <v>0</v>
      </c>
      <c r="F1204" s="7">
        <f>IF(AND(C1204=0,D1204=0,TRIM(Raw_Passengers!D1204&amp;"")=""),1,0)</f>
        <v>0</v>
      </c>
      <c r="G1204" s="7" t="str">
        <f>IF(SUMPRODUCT(--(Lookup_Status!$A$2:$A$13=LOWER(TRIM(Raw_Passengers!F1204))))=0,"",INDEX(Lookup_Status!$B$2:$B$13,SUMPRODUCT((Lookup_Status!$A$2:$A$13=LOWER(TRIM(Raw_Passengers!F1204)))*(ROW(Lookup_Status!$A$2:$A$13)-1))))</f>
        <v>Confirmed</v>
      </c>
      <c r="H1204" s="7" t="str">
        <f>IF(SUMPRODUCT(--(Lookup_Status!$A$2:$A$13=LOWER(TRIM(Raw_Passengers!G1204))))=0,"",INDEX(Lookup_Status!$B$2:$B$13,SUMPRODUCT((Lookup_Status!$A$2:$A$13=LOWER(TRIM(Raw_Passengers!G1204)))*(ROW(Lookup_Status!$A$2:$A$13)-1))))</f>
        <v>Confirmed</v>
      </c>
      <c r="I1204" s="7">
        <f>IF(OR(G1204="",G1204="Cancelled",G1204="Mixed"),1,0)</f>
        <v>0</v>
      </c>
      <c r="J1204" s="7">
        <f>IF(OR(H1204="",H1204="Mixed"),1,0)</f>
        <v>0</v>
      </c>
      <c r="K1204" s="7">
        <f>IF(AND(C1204=0,D1204=0),IF(OR(AND(I1204=0,NOT(EXACT(Raw_Passengers!F1204,G1204))),AND(J1204=0,NOT(EXACT(Raw_Passengers!G1204,H1204)))),1,0),0)</f>
        <v>0</v>
      </c>
      <c r="L1204" s="7">
        <f>IF(AND(C1204=0,D1204=0,I1204=1),1,0)</f>
        <v>0</v>
      </c>
      <c r="M1204" s="7">
        <f>IF(AND(C1204=0,D1204=0,J1204=1),1,0)</f>
        <v>0</v>
      </c>
    </row>
    <row r="1205" spans="1:13">
      <c r="A1205" s="7">
        <f>Raw_Passengers!A1205</f>
        <v>380616</v>
      </c>
      <c r="B1205" s="7">
        <f>Raw_Passengers!B1205</f>
        <v>1188878</v>
      </c>
      <c r="C1205" s="7">
        <f>IF(COUNTIF(Raw_Passengers!$A$2:A1205,Raw_Passengers!A1205)&gt;1,1,0)</f>
        <v>0</v>
      </c>
      <c r="D1205" s="7">
        <f>IF(COUNTIF(Raw_Bookings!$A$2:$A$648,Raw_Passengers!B1205)=0,1,0)</f>
        <v>0</v>
      </c>
      <c r="E1205" s="7">
        <f>IF(OR(C1205=1,D1205=1),0,IF(NOT(ISNUMBER(Raw_Passengers!E1205)),1,IF(Raw_Passengers!E1205&lt;=0,1,0)))</f>
        <v>0</v>
      </c>
      <c r="F1205" s="7">
        <f>IF(AND(C1205=0,D1205=0,TRIM(Raw_Passengers!D1205&amp;"")=""),1,0)</f>
        <v>0</v>
      </c>
      <c r="G1205" s="7" t="str">
        <f>IF(SUMPRODUCT(--(Lookup_Status!$A$2:$A$13=LOWER(TRIM(Raw_Passengers!F1205))))=0,"",INDEX(Lookup_Status!$B$2:$B$13,SUMPRODUCT((Lookup_Status!$A$2:$A$13=LOWER(TRIM(Raw_Passengers!F1205)))*(ROW(Lookup_Status!$A$2:$A$13)-1))))</f>
        <v>Confirmed</v>
      </c>
      <c r="H1205" s="7" t="str">
        <f>IF(SUMPRODUCT(--(Lookup_Status!$A$2:$A$13=LOWER(TRIM(Raw_Passengers!G1205))))=0,"",INDEX(Lookup_Status!$B$2:$B$13,SUMPRODUCT((Lookup_Status!$A$2:$A$13=LOWER(TRIM(Raw_Passengers!G1205)))*(ROW(Lookup_Status!$A$2:$A$13)-1))))</f>
        <v>Cancelled</v>
      </c>
      <c r="I1205" s="7">
        <f>IF(OR(G1205="",G1205="Cancelled",G1205="Mixed"),1,0)</f>
        <v>0</v>
      </c>
      <c r="J1205" s="7">
        <f>IF(OR(H1205="",H1205="Mixed"),1,0)</f>
        <v>0</v>
      </c>
      <c r="K1205" s="7">
        <f>IF(AND(C1205=0,D1205=0),IF(OR(AND(I1205=0,NOT(EXACT(Raw_Passengers!F1205,G1205))),AND(J1205=0,NOT(EXACT(Raw_Passengers!G1205,H1205)))),1,0),0)</f>
        <v>0</v>
      </c>
      <c r="L1205" s="7">
        <f>IF(AND(C1205=0,D1205=0,I1205=1),1,0)</f>
        <v>0</v>
      </c>
      <c r="M1205" s="7">
        <f>IF(AND(C1205=0,D1205=0,J1205=1),1,0)</f>
        <v>0</v>
      </c>
    </row>
    <row r="1206" spans="1:13">
      <c r="A1206" s="7">
        <f>Raw_Passengers!A1206</f>
        <v>381758</v>
      </c>
      <c r="B1206" s="7">
        <f>Raw_Passengers!B1206</f>
        <v>1189426</v>
      </c>
      <c r="C1206" s="7">
        <f>IF(COUNTIF(Raw_Passengers!$A$2:A1206,Raw_Passengers!A1206)&gt;1,1,0)</f>
        <v>0</v>
      </c>
      <c r="D1206" s="7">
        <f>IF(COUNTIF(Raw_Bookings!$A$2:$A$648,Raw_Passengers!B1206)=0,1,0)</f>
        <v>0</v>
      </c>
      <c r="E1206" s="7">
        <f>IF(OR(C1206=1,D1206=1),0,IF(NOT(ISNUMBER(Raw_Passengers!E1206)),1,IF(Raw_Passengers!E1206&lt;=0,1,0)))</f>
        <v>0</v>
      </c>
      <c r="F1206" s="7">
        <f>IF(AND(C1206=0,D1206=0,TRIM(Raw_Passengers!D1206&amp;"")=""),1,0)</f>
        <v>0</v>
      </c>
      <c r="G1206" s="7" t="str">
        <f>IF(SUMPRODUCT(--(Lookup_Status!$A$2:$A$13=LOWER(TRIM(Raw_Passengers!F1206))))=0,"",INDEX(Lookup_Status!$B$2:$B$13,SUMPRODUCT((Lookup_Status!$A$2:$A$13=LOWER(TRIM(Raw_Passengers!F1206)))*(ROW(Lookup_Status!$A$2:$A$13)-1))))</f>
        <v>Confirmed</v>
      </c>
      <c r="H1206" s="7" t="str">
        <f>IF(SUMPRODUCT(--(Lookup_Status!$A$2:$A$13=LOWER(TRIM(Raw_Passengers!G1206))))=0,"",INDEX(Lookup_Status!$B$2:$B$13,SUMPRODUCT((Lookup_Status!$A$2:$A$13=LOWER(TRIM(Raw_Passengers!G1206)))*(ROW(Lookup_Status!$A$2:$A$13)-1))))</f>
        <v>Confirmed</v>
      </c>
      <c r="I1206" s="7">
        <f>IF(OR(G1206="",G1206="Cancelled",G1206="Mixed"),1,0)</f>
        <v>0</v>
      </c>
      <c r="J1206" s="7">
        <f>IF(OR(H1206="",H1206="Mixed"),1,0)</f>
        <v>0</v>
      </c>
      <c r="K1206" s="7">
        <f>IF(AND(C1206=0,D1206=0),IF(OR(AND(I1206=0,NOT(EXACT(Raw_Passengers!F1206,G1206))),AND(J1206=0,NOT(EXACT(Raw_Passengers!G1206,H1206)))),1,0),0)</f>
        <v>0</v>
      </c>
      <c r="L1206" s="7">
        <f>IF(AND(C1206=0,D1206=0,I1206=1),1,0)</f>
        <v>0</v>
      </c>
      <c r="M1206" s="7">
        <f>IF(AND(C1206=0,D1206=0,J1206=1),1,0)</f>
        <v>0</v>
      </c>
    </row>
    <row r="1207" spans="1:13">
      <c r="A1207" s="7">
        <f>Raw_Passengers!A1207</f>
        <v>381759</v>
      </c>
      <c r="B1207" s="7">
        <f>Raw_Passengers!B1207</f>
        <v>1189426</v>
      </c>
      <c r="C1207" s="7">
        <f>IF(COUNTIF(Raw_Passengers!$A$2:A1207,Raw_Passengers!A1207)&gt;1,1,0)</f>
        <v>0</v>
      </c>
      <c r="D1207" s="7">
        <f>IF(COUNTIF(Raw_Bookings!$A$2:$A$648,Raw_Passengers!B1207)=0,1,0)</f>
        <v>0</v>
      </c>
      <c r="E1207" s="7">
        <f>IF(OR(C1207=1,D1207=1),0,IF(NOT(ISNUMBER(Raw_Passengers!E1207)),1,IF(Raw_Passengers!E1207&lt;=0,1,0)))</f>
        <v>0</v>
      </c>
      <c r="F1207" s="7">
        <f>IF(AND(C1207=0,D1207=0,TRIM(Raw_Passengers!D1207&amp;"")=""),1,0)</f>
        <v>0</v>
      </c>
      <c r="G1207" s="7" t="str">
        <f>IF(SUMPRODUCT(--(Lookup_Status!$A$2:$A$13=LOWER(TRIM(Raw_Passengers!F1207))))=0,"",INDEX(Lookup_Status!$B$2:$B$13,SUMPRODUCT((Lookup_Status!$A$2:$A$13=LOWER(TRIM(Raw_Passengers!F1207)))*(ROW(Lookup_Status!$A$2:$A$13)-1))))</f>
        <v>Confirmed</v>
      </c>
      <c r="H1207" s="7" t="str">
        <f>IF(SUMPRODUCT(--(Lookup_Status!$A$2:$A$13=LOWER(TRIM(Raw_Passengers!G1207))))=0,"",INDEX(Lookup_Status!$B$2:$B$13,SUMPRODUCT((Lookup_Status!$A$2:$A$13=LOWER(TRIM(Raw_Passengers!G1207)))*(ROW(Lookup_Status!$A$2:$A$13)-1))))</f>
        <v>Confirmed</v>
      </c>
      <c r="I1207" s="7">
        <f>IF(OR(G1207="",G1207="Cancelled",G1207="Mixed"),1,0)</f>
        <v>0</v>
      </c>
      <c r="J1207" s="7">
        <f>IF(OR(H1207="",H1207="Mixed"),1,0)</f>
        <v>0</v>
      </c>
      <c r="K1207" s="7">
        <f>IF(AND(C1207=0,D1207=0),IF(OR(AND(I1207=0,NOT(EXACT(Raw_Passengers!F1207,G1207))),AND(J1207=0,NOT(EXACT(Raw_Passengers!G1207,H1207)))),1,0),0)</f>
        <v>0</v>
      </c>
      <c r="L1207" s="7">
        <f>IF(AND(C1207=0,D1207=0,I1207=1),1,0)</f>
        <v>0</v>
      </c>
      <c r="M1207" s="7">
        <f>IF(AND(C1207=0,D1207=0,J1207=1),1,0)</f>
        <v>0</v>
      </c>
    </row>
    <row r="1208" spans="1:13">
      <c r="A1208" s="7">
        <f>Raw_Passengers!A1208</f>
        <v>381760</v>
      </c>
      <c r="B1208" s="7">
        <f>Raw_Passengers!B1208</f>
        <v>1189426</v>
      </c>
      <c r="C1208" s="7">
        <f>IF(COUNTIF(Raw_Passengers!$A$2:A1208,Raw_Passengers!A1208)&gt;1,1,0)</f>
        <v>0</v>
      </c>
      <c r="D1208" s="7">
        <f>IF(COUNTIF(Raw_Bookings!$A$2:$A$648,Raw_Passengers!B1208)=0,1,0)</f>
        <v>0</v>
      </c>
      <c r="E1208" s="7">
        <f>IF(OR(C1208=1,D1208=1),0,IF(NOT(ISNUMBER(Raw_Passengers!E1208)),1,IF(Raw_Passengers!E1208&lt;=0,1,0)))</f>
        <v>0</v>
      </c>
      <c r="F1208" s="7">
        <f>IF(AND(C1208=0,D1208=0,TRIM(Raw_Passengers!D1208&amp;"")=""),1,0)</f>
        <v>0</v>
      </c>
      <c r="G1208" s="7" t="str">
        <f>IF(SUMPRODUCT(--(Lookup_Status!$A$2:$A$13=LOWER(TRIM(Raw_Passengers!F1208))))=0,"",INDEX(Lookup_Status!$B$2:$B$13,SUMPRODUCT((Lookup_Status!$A$2:$A$13=LOWER(TRIM(Raw_Passengers!F1208)))*(ROW(Lookup_Status!$A$2:$A$13)-1))))</f>
        <v>Confirmed</v>
      </c>
      <c r="H1208" s="7" t="str">
        <f>IF(SUMPRODUCT(--(Lookup_Status!$A$2:$A$13=LOWER(TRIM(Raw_Passengers!G1208))))=0,"",INDEX(Lookup_Status!$B$2:$B$13,SUMPRODUCT((Lookup_Status!$A$2:$A$13=LOWER(TRIM(Raw_Passengers!G1208)))*(ROW(Lookup_Status!$A$2:$A$13)-1))))</f>
        <v>Confirmed</v>
      </c>
      <c r="I1208" s="7">
        <f>IF(OR(G1208="",G1208="Cancelled",G1208="Mixed"),1,0)</f>
        <v>0</v>
      </c>
      <c r="J1208" s="7">
        <f>IF(OR(H1208="",H1208="Mixed"),1,0)</f>
        <v>0</v>
      </c>
      <c r="K1208" s="7">
        <f>IF(AND(C1208=0,D1208=0),IF(OR(AND(I1208=0,NOT(EXACT(Raw_Passengers!F1208,G1208))),AND(J1208=0,NOT(EXACT(Raw_Passengers!G1208,H1208)))),1,0),0)</f>
        <v>0</v>
      </c>
      <c r="L1208" s="7">
        <f>IF(AND(C1208=0,D1208=0,I1208=1),1,0)</f>
        <v>0</v>
      </c>
      <c r="M1208" s="7">
        <f>IF(AND(C1208=0,D1208=0,J1208=1),1,0)</f>
        <v>0</v>
      </c>
    </row>
    <row r="1209" spans="1:13">
      <c r="A1209" s="7">
        <f>Raw_Passengers!A1209</f>
        <v>382221</v>
      </c>
      <c r="B1209" s="7">
        <f>Raw_Passengers!B1209</f>
        <v>1189659</v>
      </c>
      <c r="C1209" s="7">
        <f>IF(COUNTIF(Raw_Passengers!$A$2:A1209,Raw_Passengers!A1209)&gt;1,1,0)</f>
        <v>0</v>
      </c>
      <c r="D1209" s="7">
        <f>IF(COUNTIF(Raw_Bookings!$A$2:$A$648,Raw_Passengers!B1209)=0,1,0)</f>
        <v>0</v>
      </c>
      <c r="E1209" s="7">
        <f>IF(OR(C1209=1,D1209=1),0,IF(NOT(ISNUMBER(Raw_Passengers!E1209)),1,IF(Raw_Passengers!E1209&lt;=0,1,0)))</f>
        <v>0</v>
      </c>
      <c r="F1209" s="7">
        <f>IF(AND(C1209=0,D1209=0,TRIM(Raw_Passengers!D1209&amp;"")=""),1,0)</f>
        <v>0</v>
      </c>
      <c r="G1209" s="7" t="str">
        <f>IF(SUMPRODUCT(--(Lookup_Status!$A$2:$A$13=LOWER(TRIM(Raw_Passengers!F1209))))=0,"",INDEX(Lookup_Status!$B$2:$B$13,SUMPRODUCT((Lookup_Status!$A$2:$A$13=LOWER(TRIM(Raw_Passengers!F1209)))*(ROW(Lookup_Status!$A$2:$A$13)-1))))</f>
        <v>Confirmed</v>
      </c>
      <c r="H1209" s="7" t="str">
        <f>IF(SUMPRODUCT(--(Lookup_Status!$A$2:$A$13=LOWER(TRIM(Raw_Passengers!G1209))))=0,"",INDEX(Lookup_Status!$B$2:$B$13,SUMPRODUCT((Lookup_Status!$A$2:$A$13=LOWER(TRIM(Raw_Passengers!G1209)))*(ROW(Lookup_Status!$A$2:$A$13)-1))))</f>
        <v>Confirmed</v>
      </c>
      <c r="I1209" s="7">
        <f>IF(OR(G1209="",G1209="Cancelled",G1209="Mixed"),1,0)</f>
        <v>0</v>
      </c>
      <c r="J1209" s="7">
        <f>IF(OR(H1209="",H1209="Mixed"),1,0)</f>
        <v>0</v>
      </c>
      <c r="K1209" s="7">
        <f>IF(AND(C1209=0,D1209=0),IF(OR(AND(I1209=0,NOT(EXACT(Raw_Passengers!F1209,G1209))),AND(J1209=0,NOT(EXACT(Raw_Passengers!G1209,H1209)))),1,0),0)</f>
        <v>0</v>
      </c>
      <c r="L1209" s="7">
        <f>IF(AND(C1209=0,D1209=0,I1209=1),1,0)</f>
        <v>0</v>
      </c>
      <c r="M1209" s="7">
        <f>IF(AND(C1209=0,D1209=0,J1209=1),1,0)</f>
        <v>0</v>
      </c>
    </row>
    <row r="1210" spans="1:13">
      <c r="A1210" s="7">
        <f>Raw_Passengers!A1210</f>
        <v>382222</v>
      </c>
      <c r="B1210" s="7">
        <f>Raw_Passengers!B1210</f>
        <v>1189659</v>
      </c>
      <c r="C1210" s="7">
        <f>IF(COUNTIF(Raw_Passengers!$A$2:A1210,Raw_Passengers!A1210)&gt;1,1,0)</f>
        <v>0</v>
      </c>
      <c r="D1210" s="7">
        <f>IF(COUNTIF(Raw_Bookings!$A$2:$A$648,Raw_Passengers!B1210)=0,1,0)</f>
        <v>0</v>
      </c>
      <c r="E1210" s="7">
        <f>IF(OR(C1210=1,D1210=1),0,IF(NOT(ISNUMBER(Raw_Passengers!E1210)),1,IF(Raw_Passengers!E1210&lt;=0,1,0)))</f>
        <v>0</v>
      </c>
      <c r="F1210" s="7">
        <f>IF(AND(C1210=0,D1210=0,TRIM(Raw_Passengers!D1210&amp;"")=""),1,0)</f>
        <v>0</v>
      </c>
      <c r="G1210" s="7" t="str">
        <f>IF(SUMPRODUCT(--(Lookup_Status!$A$2:$A$13=LOWER(TRIM(Raw_Passengers!F1210))))=0,"",INDEX(Lookup_Status!$B$2:$B$13,SUMPRODUCT((Lookup_Status!$A$2:$A$13=LOWER(TRIM(Raw_Passengers!F1210)))*(ROW(Lookup_Status!$A$2:$A$13)-1))))</f>
        <v>Confirmed</v>
      </c>
      <c r="H1210" s="7" t="str">
        <f>IF(SUMPRODUCT(--(Lookup_Status!$A$2:$A$13=LOWER(TRIM(Raw_Passengers!G1210))))=0,"",INDEX(Lookup_Status!$B$2:$B$13,SUMPRODUCT((Lookup_Status!$A$2:$A$13=LOWER(TRIM(Raw_Passengers!G1210)))*(ROW(Lookup_Status!$A$2:$A$13)-1))))</f>
        <v>Confirmed</v>
      </c>
      <c r="I1210" s="7">
        <f>IF(OR(G1210="",G1210="Cancelled",G1210="Mixed"),1,0)</f>
        <v>0</v>
      </c>
      <c r="J1210" s="7">
        <f>IF(OR(H1210="",H1210="Mixed"),1,0)</f>
        <v>0</v>
      </c>
      <c r="K1210" s="7">
        <f>IF(AND(C1210=0,D1210=0),IF(OR(AND(I1210=0,NOT(EXACT(Raw_Passengers!F1210,G1210))),AND(J1210=0,NOT(EXACT(Raw_Passengers!G1210,H1210)))),1,0),0)</f>
        <v>0</v>
      </c>
      <c r="L1210" s="7">
        <f>IF(AND(C1210=0,D1210=0,I1210=1),1,0)</f>
        <v>0</v>
      </c>
      <c r="M1210" s="7">
        <f>IF(AND(C1210=0,D1210=0,J1210=1),1,0)</f>
        <v>0</v>
      </c>
    </row>
    <row r="1211" spans="1:13">
      <c r="A1211" s="7">
        <f>Raw_Passengers!A1211</f>
        <v>382223</v>
      </c>
      <c r="B1211" s="7">
        <f>Raw_Passengers!B1211</f>
        <v>1189659</v>
      </c>
      <c r="C1211" s="7">
        <f>IF(COUNTIF(Raw_Passengers!$A$2:A1211,Raw_Passengers!A1211)&gt;1,1,0)</f>
        <v>0</v>
      </c>
      <c r="D1211" s="7">
        <f>IF(COUNTIF(Raw_Bookings!$A$2:$A$648,Raw_Passengers!B1211)=0,1,0)</f>
        <v>0</v>
      </c>
      <c r="E1211" s="7">
        <f>IF(OR(C1211=1,D1211=1),0,IF(NOT(ISNUMBER(Raw_Passengers!E1211)),1,IF(Raw_Passengers!E1211&lt;=0,1,0)))</f>
        <v>0</v>
      </c>
      <c r="F1211" s="7">
        <f>IF(AND(C1211=0,D1211=0,TRIM(Raw_Passengers!D1211&amp;"")=""),1,0)</f>
        <v>0</v>
      </c>
      <c r="G1211" s="7" t="str">
        <f>IF(SUMPRODUCT(--(Lookup_Status!$A$2:$A$13=LOWER(TRIM(Raw_Passengers!F1211))))=0,"",INDEX(Lookup_Status!$B$2:$B$13,SUMPRODUCT((Lookup_Status!$A$2:$A$13=LOWER(TRIM(Raw_Passengers!F1211)))*(ROW(Lookup_Status!$A$2:$A$13)-1))))</f>
        <v>Confirmed</v>
      </c>
      <c r="H1211" s="7" t="str">
        <f>IF(SUMPRODUCT(--(Lookup_Status!$A$2:$A$13=LOWER(TRIM(Raw_Passengers!G1211))))=0,"",INDEX(Lookup_Status!$B$2:$B$13,SUMPRODUCT((Lookup_Status!$A$2:$A$13=LOWER(TRIM(Raw_Passengers!G1211)))*(ROW(Lookup_Status!$A$2:$A$13)-1))))</f>
        <v>Confirmed</v>
      </c>
      <c r="I1211" s="7">
        <f>IF(OR(G1211="",G1211="Cancelled",G1211="Mixed"),1,0)</f>
        <v>0</v>
      </c>
      <c r="J1211" s="7">
        <f>IF(OR(H1211="",H1211="Mixed"),1,0)</f>
        <v>0</v>
      </c>
      <c r="K1211" s="7">
        <f>IF(AND(C1211=0,D1211=0),IF(OR(AND(I1211=0,NOT(EXACT(Raw_Passengers!F1211,G1211))),AND(J1211=0,NOT(EXACT(Raw_Passengers!G1211,H1211)))),1,0),0)</f>
        <v>0</v>
      </c>
      <c r="L1211" s="7">
        <f>IF(AND(C1211=0,D1211=0,I1211=1),1,0)</f>
        <v>0</v>
      </c>
      <c r="M1211" s="7">
        <f>IF(AND(C1211=0,D1211=0,J1211=1),1,0)</f>
        <v>0</v>
      </c>
    </row>
    <row r="1212" spans="1:13">
      <c r="A1212" s="7">
        <f>Raw_Passengers!A1212</f>
        <v>382825</v>
      </c>
      <c r="B1212" s="7">
        <f>Raw_Passengers!B1212</f>
        <v>1189966</v>
      </c>
      <c r="C1212" s="7">
        <f>IF(COUNTIF(Raw_Passengers!$A$2:A1212,Raw_Passengers!A1212)&gt;1,1,0)</f>
        <v>0</v>
      </c>
      <c r="D1212" s="7">
        <f>IF(COUNTIF(Raw_Bookings!$A$2:$A$648,Raw_Passengers!B1212)=0,1,0)</f>
        <v>0</v>
      </c>
      <c r="E1212" s="7">
        <f>IF(OR(C1212=1,D1212=1),0,IF(NOT(ISNUMBER(Raw_Passengers!E1212)),1,IF(Raw_Passengers!E1212&lt;=0,1,0)))</f>
        <v>0</v>
      </c>
      <c r="F1212" s="7">
        <f>IF(AND(C1212=0,D1212=0,TRIM(Raw_Passengers!D1212&amp;"")=""),1,0)</f>
        <v>0</v>
      </c>
      <c r="G1212" s="7" t="str">
        <f>IF(SUMPRODUCT(--(Lookup_Status!$A$2:$A$13=LOWER(TRIM(Raw_Passengers!F1212))))=0,"",INDEX(Lookup_Status!$B$2:$B$13,SUMPRODUCT((Lookup_Status!$A$2:$A$13=LOWER(TRIM(Raw_Passengers!F1212)))*(ROW(Lookup_Status!$A$2:$A$13)-1))))</f>
        <v>Confirmed</v>
      </c>
      <c r="H1212" s="7" t="str">
        <f>IF(SUMPRODUCT(--(Lookup_Status!$A$2:$A$13=LOWER(TRIM(Raw_Passengers!G1212))))=0,"",INDEX(Lookup_Status!$B$2:$B$13,SUMPRODUCT((Lookup_Status!$A$2:$A$13=LOWER(TRIM(Raw_Passengers!G1212)))*(ROW(Lookup_Status!$A$2:$A$13)-1))))</f>
        <v>Confirmed</v>
      </c>
      <c r="I1212" s="7">
        <f>IF(OR(G1212="",G1212="Cancelled",G1212="Mixed"),1,0)</f>
        <v>0</v>
      </c>
      <c r="J1212" s="7">
        <f>IF(OR(H1212="",H1212="Mixed"),1,0)</f>
        <v>0</v>
      </c>
      <c r="K1212" s="7">
        <f>IF(AND(C1212=0,D1212=0),IF(OR(AND(I1212=0,NOT(EXACT(Raw_Passengers!F1212,G1212))),AND(J1212=0,NOT(EXACT(Raw_Passengers!G1212,H1212)))),1,0),0)</f>
        <v>0</v>
      </c>
      <c r="L1212" s="7">
        <f>IF(AND(C1212=0,D1212=0,I1212=1),1,0)</f>
        <v>0</v>
      </c>
      <c r="M1212" s="7">
        <f>IF(AND(C1212=0,D1212=0,J1212=1),1,0)</f>
        <v>0</v>
      </c>
    </row>
    <row r="1213" spans="1:13">
      <c r="A1213" s="7">
        <f>Raw_Passengers!A1213</f>
        <v>382826</v>
      </c>
      <c r="B1213" s="7">
        <f>Raw_Passengers!B1213</f>
        <v>1189966</v>
      </c>
      <c r="C1213" s="7">
        <f>IF(COUNTIF(Raw_Passengers!$A$2:A1213,Raw_Passengers!A1213)&gt;1,1,0)</f>
        <v>0</v>
      </c>
      <c r="D1213" s="7">
        <f>IF(COUNTIF(Raw_Bookings!$A$2:$A$648,Raw_Passengers!B1213)=0,1,0)</f>
        <v>0</v>
      </c>
      <c r="E1213" s="7">
        <f>IF(OR(C1213=1,D1213=1),0,IF(NOT(ISNUMBER(Raw_Passengers!E1213)),1,IF(Raw_Passengers!E1213&lt;=0,1,0)))</f>
        <v>0</v>
      </c>
      <c r="F1213" s="7">
        <f>IF(AND(C1213=0,D1213=0,TRIM(Raw_Passengers!D1213&amp;"")=""),1,0)</f>
        <v>0</v>
      </c>
      <c r="G1213" s="7" t="str">
        <f>IF(SUMPRODUCT(--(Lookup_Status!$A$2:$A$13=LOWER(TRIM(Raw_Passengers!F1213))))=0,"",INDEX(Lookup_Status!$B$2:$B$13,SUMPRODUCT((Lookup_Status!$A$2:$A$13=LOWER(TRIM(Raw_Passengers!F1213)))*(ROW(Lookup_Status!$A$2:$A$13)-1))))</f>
        <v>Confirmed</v>
      </c>
      <c r="H1213" s="7" t="str">
        <f>IF(SUMPRODUCT(--(Lookup_Status!$A$2:$A$13=LOWER(TRIM(Raw_Passengers!G1213))))=0,"",INDEX(Lookup_Status!$B$2:$B$13,SUMPRODUCT((Lookup_Status!$A$2:$A$13=LOWER(TRIM(Raw_Passengers!G1213)))*(ROW(Lookup_Status!$A$2:$A$13)-1))))</f>
        <v>Confirmed</v>
      </c>
      <c r="I1213" s="7">
        <f>IF(OR(G1213="",G1213="Cancelled",G1213="Mixed"),1,0)</f>
        <v>0</v>
      </c>
      <c r="J1213" s="7">
        <f>IF(OR(H1213="",H1213="Mixed"),1,0)</f>
        <v>0</v>
      </c>
      <c r="K1213" s="7">
        <f>IF(AND(C1213=0,D1213=0),IF(OR(AND(I1213=0,NOT(EXACT(Raw_Passengers!F1213,G1213))),AND(J1213=0,NOT(EXACT(Raw_Passengers!G1213,H1213)))),1,0),0)</f>
        <v>0</v>
      </c>
      <c r="L1213" s="7">
        <f>IF(AND(C1213=0,D1213=0,I1213=1),1,0)</f>
        <v>0</v>
      </c>
      <c r="M1213" s="7">
        <f>IF(AND(C1213=0,D1213=0,J1213=1),1,0)</f>
        <v>0</v>
      </c>
    </row>
    <row r="1214" spans="1:13">
      <c r="A1214" s="7">
        <f>Raw_Passengers!A1214</f>
        <v>382827</v>
      </c>
      <c r="B1214" s="7">
        <f>Raw_Passengers!B1214</f>
        <v>1189966</v>
      </c>
      <c r="C1214" s="7">
        <f>IF(COUNTIF(Raw_Passengers!$A$2:A1214,Raw_Passengers!A1214)&gt;1,1,0)</f>
        <v>0</v>
      </c>
      <c r="D1214" s="7">
        <f>IF(COUNTIF(Raw_Bookings!$A$2:$A$648,Raw_Passengers!B1214)=0,1,0)</f>
        <v>0</v>
      </c>
      <c r="E1214" s="7">
        <f>IF(OR(C1214=1,D1214=1),0,IF(NOT(ISNUMBER(Raw_Passengers!E1214)),1,IF(Raw_Passengers!E1214&lt;=0,1,0)))</f>
        <v>0</v>
      </c>
      <c r="F1214" s="7">
        <f>IF(AND(C1214=0,D1214=0,TRIM(Raw_Passengers!D1214&amp;"")=""),1,0)</f>
        <v>0</v>
      </c>
      <c r="G1214" s="7" t="str">
        <f>IF(SUMPRODUCT(--(Lookup_Status!$A$2:$A$13=LOWER(TRIM(Raw_Passengers!F1214))))=0,"",INDEX(Lookup_Status!$B$2:$B$13,SUMPRODUCT((Lookup_Status!$A$2:$A$13=LOWER(TRIM(Raw_Passengers!F1214)))*(ROW(Lookup_Status!$A$2:$A$13)-1))))</f>
        <v>Confirmed</v>
      </c>
      <c r="H1214" s="7" t="str">
        <f>IF(SUMPRODUCT(--(Lookup_Status!$A$2:$A$13=LOWER(TRIM(Raw_Passengers!G1214))))=0,"",INDEX(Lookup_Status!$B$2:$B$13,SUMPRODUCT((Lookup_Status!$A$2:$A$13=LOWER(TRIM(Raw_Passengers!G1214)))*(ROW(Lookup_Status!$A$2:$A$13)-1))))</f>
        <v>Confirmed</v>
      </c>
      <c r="I1214" s="7">
        <f>IF(OR(G1214="",G1214="Cancelled",G1214="Mixed"),1,0)</f>
        <v>0</v>
      </c>
      <c r="J1214" s="7">
        <f>IF(OR(H1214="",H1214="Mixed"),1,0)</f>
        <v>0</v>
      </c>
      <c r="K1214" s="7">
        <f>IF(AND(C1214=0,D1214=0),IF(OR(AND(I1214=0,NOT(EXACT(Raw_Passengers!F1214,G1214))),AND(J1214=0,NOT(EXACT(Raw_Passengers!G1214,H1214)))),1,0),0)</f>
        <v>0</v>
      </c>
      <c r="L1214" s="7">
        <f>IF(AND(C1214=0,D1214=0,I1214=1),1,0)</f>
        <v>0</v>
      </c>
      <c r="M1214" s="7">
        <f>IF(AND(C1214=0,D1214=0,J1214=1),1,0)</f>
        <v>0</v>
      </c>
    </row>
    <row r="1215" spans="1:13">
      <c r="A1215" s="7">
        <f>Raw_Passengers!A1215</f>
        <v>382835</v>
      </c>
      <c r="B1215" s="7">
        <f>Raw_Passengers!B1215</f>
        <v>1189972</v>
      </c>
      <c r="C1215" s="7">
        <f>IF(COUNTIF(Raw_Passengers!$A$2:A1215,Raw_Passengers!A1215)&gt;1,1,0)</f>
        <v>0</v>
      </c>
      <c r="D1215" s="7">
        <f>IF(COUNTIF(Raw_Bookings!$A$2:$A$648,Raw_Passengers!B1215)=0,1,0)</f>
        <v>0</v>
      </c>
      <c r="E1215" s="7">
        <f>IF(OR(C1215=1,D1215=1),0,IF(NOT(ISNUMBER(Raw_Passengers!E1215)),1,IF(Raw_Passengers!E1215&lt;=0,1,0)))</f>
        <v>0</v>
      </c>
      <c r="F1215" s="7">
        <f>IF(AND(C1215=0,D1215=0,TRIM(Raw_Passengers!D1215&amp;"")=""),1,0)</f>
        <v>0</v>
      </c>
      <c r="G1215" s="7" t="str">
        <f>IF(SUMPRODUCT(--(Lookup_Status!$A$2:$A$13=LOWER(TRIM(Raw_Passengers!F1215))))=0,"",INDEX(Lookup_Status!$B$2:$B$13,SUMPRODUCT((Lookup_Status!$A$2:$A$13=LOWER(TRIM(Raw_Passengers!F1215)))*(ROW(Lookup_Status!$A$2:$A$13)-1))))</f>
        <v>Confirmed</v>
      </c>
      <c r="H1215" s="7" t="str">
        <f>IF(SUMPRODUCT(--(Lookup_Status!$A$2:$A$13=LOWER(TRIM(Raw_Passengers!G1215))))=0,"",INDEX(Lookup_Status!$B$2:$B$13,SUMPRODUCT((Lookup_Status!$A$2:$A$13=LOWER(TRIM(Raw_Passengers!G1215)))*(ROW(Lookup_Status!$A$2:$A$13)-1))))</f>
        <v>Confirmed</v>
      </c>
      <c r="I1215" s="7">
        <f>IF(OR(G1215="",G1215="Cancelled",G1215="Mixed"),1,0)</f>
        <v>0</v>
      </c>
      <c r="J1215" s="7">
        <f>IF(OR(H1215="",H1215="Mixed"),1,0)</f>
        <v>0</v>
      </c>
      <c r="K1215" s="7">
        <f>IF(AND(C1215=0,D1215=0),IF(OR(AND(I1215=0,NOT(EXACT(Raw_Passengers!F1215,G1215))),AND(J1215=0,NOT(EXACT(Raw_Passengers!G1215,H1215)))),1,0),0)</f>
        <v>0</v>
      </c>
      <c r="L1215" s="7">
        <f>IF(AND(C1215=0,D1215=0,I1215=1),1,0)</f>
        <v>0</v>
      </c>
      <c r="M1215" s="7">
        <f>IF(AND(C1215=0,D1215=0,J1215=1),1,0)</f>
        <v>0</v>
      </c>
    </row>
    <row r="1216" spans="1:13">
      <c r="A1216" s="7">
        <f>Raw_Passengers!A1216</f>
        <v>382836</v>
      </c>
      <c r="B1216" s="7">
        <f>Raw_Passengers!B1216</f>
        <v>1189972</v>
      </c>
      <c r="C1216" s="7">
        <f>IF(COUNTIF(Raw_Passengers!$A$2:A1216,Raw_Passengers!A1216)&gt;1,1,0)</f>
        <v>0</v>
      </c>
      <c r="D1216" s="7">
        <f>IF(COUNTIF(Raw_Bookings!$A$2:$A$648,Raw_Passengers!B1216)=0,1,0)</f>
        <v>0</v>
      </c>
      <c r="E1216" s="7">
        <f>IF(OR(C1216=1,D1216=1),0,IF(NOT(ISNUMBER(Raw_Passengers!E1216)),1,IF(Raw_Passengers!E1216&lt;=0,1,0)))</f>
        <v>0</v>
      </c>
      <c r="F1216" s="7">
        <f>IF(AND(C1216=0,D1216=0,TRIM(Raw_Passengers!D1216&amp;"")=""),1,0)</f>
        <v>0</v>
      </c>
      <c r="G1216" s="7" t="str">
        <f>IF(SUMPRODUCT(--(Lookup_Status!$A$2:$A$13=LOWER(TRIM(Raw_Passengers!F1216))))=0,"",INDEX(Lookup_Status!$B$2:$B$13,SUMPRODUCT((Lookup_Status!$A$2:$A$13=LOWER(TRIM(Raw_Passengers!F1216)))*(ROW(Lookup_Status!$A$2:$A$13)-1))))</f>
        <v>Confirmed</v>
      </c>
      <c r="H1216" s="7" t="str">
        <f>IF(SUMPRODUCT(--(Lookup_Status!$A$2:$A$13=LOWER(TRIM(Raw_Passengers!G1216))))=0,"",INDEX(Lookup_Status!$B$2:$B$13,SUMPRODUCT((Lookup_Status!$A$2:$A$13=LOWER(TRIM(Raw_Passengers!G1216)))*(ROW(Lookup_Status!$A$2:$A$13)-1))))</f>
        <v>Confirmed</v>
      </c>
      <c r="I1216" s="7">
        <f>IF(OR(G1216="",G1216="Cancelled",G1216="Mixed"),1,0)</f>
        <v>0</v>
      </c>
      <c r="J1216" s="7">
        <f>IF(OR(H1216="",H1216="Mixed"),1,0)</f>
        <v>0</v>
      </c>
      <c r="K1216" s="7">
        <f>IF(AND(C1216=0,D1216=0),IF(OR(AND(I1216=0,NOT(EXACT(Raw_Passengers!F1216,G1216))),AND(J1216=0,NOT(EXACT(Raw_Passengers!G1216,H1216)))),1,0),0)</f>
        <v>0</v>
      </c>
      <c r="L1216" s="7">
        <f>IF(AND(C1216=0,D1216=0,I1216=1),1,0)</f>
        <v>0</v>
      </c>
      <c r="M1216" s="7">
        <f>IF(AND(C1216=0,D1216=0,J1216=1),1,0)</f>
        <v>0</v>
      </c>
    </row>
    <row r="1217" spans="1:13">
      <c r="A1217" s="7">
        <f>Raw_Passengers!A1217</f>
        <v>382837</v>
      </c>
      <c r="B1217" s="7">
        <f>Raw_Passengers!B1217</f>
        <v>1189972</v>
      </c>
      <c r="C1217" s="7">
        <f>IF(COUNTIF(Raw_Passengers!$A$2:A1217,Raw_Passengers!A1217)&gt;1,1,0)</f>
        <v>0</v>
      </c>
      <c r="D1217" s="7">
        <f>IF(COUNTIF(Raw_Bookings!$A$2:$A$648,Raw_Passengers!B1217)=0,1,0)</f>
        <v>0</v>
      </c>
      <c r="E1217" s="7">
        <f>IF(OR(C1217=1,D1217=1),0,IF(NOT(ISNUMBER(Raw_Passengers!E1217)),1,IF(Raw_Passengers!E1217&lt;=0,1,0)))</f>
        <v>0</v>
      </c>
      <c r="F1217" s="7">
        <f>IF(AND(C1217=0,D1217=0,TRIM(Raw_Passengers!D1217&amp;"")=""),1,0)</f>
        <v>0</v>
      </c>
      <c r="G1217" s="7" t="str">
        <f>IF(SUMPRODUCT(--(Lookup_Status!$A$2:$A$13=LOWER(TRIM(Raw_Passengers!F1217))))=0,"",INDEX(Lookup_Status!$B$2:$B$13,SUMPRODUCT((Lookup_Status!$A$2:$A$13=LOWER(TRIM(Raw_Passengers!F1217)))*(ROW(Lookup_Status!$A$2:$A$13)-1))))</f>
        <v>Confirmed</v>
      </c>
      <c r="H1217" s="7" t="str">
        <f>IF(SUMPRODUCT(--(Lookup_Status!$A$2:$A$13=LOWER(TRIM(Raw_Passengers!G1217))))=0,"",INDEX(Lookup_Status!$B$2:$B$13,SUMPRODUCT((Lookup_Status!$A$2:$A$13=LOWER(TRIM(Raw_Passengers!G1217)))*(ROW(Lookup_Status!$A$2:$A$13)-1))))</f>
        <v>Confirmed</v>
      </c>
      <c r="I1217" s="7">
        <f>IF(OR(G1217="",G1217="Cancelled",G1217="Mixed"),1,0)</f>
        <v>0</v>
      </c>
      <c r="J1217" s="7">
        <f>IF(OR(H1217="",H1217="Mixed"),1,0)</f>
        <v>0</v>
      </c>
      <c r="K1217" s="7">
        <f>IF(AND(C1217=0,D1217=0),IF(OR(AND(I1217=0,NOT(EXACT(Raw_Passengers!F1217,G1217))),AND(J1217=0,NOT(EXACT(Raw_Passengers!G1217,H1217)))),1,0),0)</f>
        <v>0</v>
      </c>
      <c r="L1217" s="7">
        <f>IF(AND(C1217=0,D1217=0,I1217=1),1,0)</f>
        <v>0</v>
      </c>
      <c r="M1217" s="7">
        <f>IF(AND(C1217=0,D1217=0,J1217=1),1,0)</f>
        <v>0</v>
      </c>
    </row>
    <row r="1218" spans="1:13">
      <c r="A1218" s="7">
        <f>Raw_Passengers!A1218</f>
        <v>382838</v>
      </c>
      <c r="B1218" s="7">
        <f>Raw_Passengers!B1218</f>
        <v>1189972</v>
      </c>
      <c r="C1218" s="7">
        <f>IF(COUNTIF(Raw_Passengers!$A$2:A1218,Raw_Passengers!A1218)&gt;1,1,0)</f>
        <v>0</v>
      </c>
      <c r="D1218" s="7">
        <f>IF(COUNTIF(Raw_Bookings!$A$2:$A$648,Raw_Passengers!B1218)=0,1,0)</f>
        <v>0</v>
      </c>
      <c r="E1218" s="7">
        <f>IF(OR(C1218=1,D1218=1),0,IF(NOT(ISNUMBER(Raw_Passengers!E1218)),1,IF(Raw_Passengers!E1218&lt;=0,1,0)))</f>
        <v>0</v>
      </c>
      <c r="F1218" s="7">
        <f>IF(AND(C1218=0,D1218=0,TRIM(Raw_Passengers!D1218&amp;"")=""),1,0)</f>
        <v>0</v>
      </c>
      <c r="G1218" s="7" t="str">
        <f>IF(SUMPRODUCT(--(Lookup_Status!$A$2:$A$13=LOWER(TRIM(Raw_Passengers!F1218))))=0,"",INDEX(Lookup_Status!$B$2:$B$13,SUMPRODUCT((Lookup_Status!$A$2:$A$13=LOWER(TRIM(Raw_Passengers!F1218)))*(ROW(Lookup_Status!$A$2:$A$13)-1))))</f>
        <v>Confirmed</v>
      </c>
      <c r="H1218" s="7" t="str">
        <f>IF(SUMPRODUCT(--(Lookup_Status!$A$2:$A$13=LOWER(TRIM(Raw_Passengers!G1218))))=0,"",INDEX(Lookup_Status!$B$2:$B$13,SUMPRODUCT((Lookup_Status!$A$2:$A$13=LOWER(TRIM(Raw_Passengers!G1218)))*(ROW(Lookup_Status!$A$2:$A$13)-1))))</f>
        <v>Confirmed</v>
      </c>
      <c r="I1218" s="7">
        <f>IF(OR(G1218="",G1218="Cancelled",G1218="Mixed"),1,0)</f>
        <v>0</v>
      </c>
      <c r="J1218" s="7">
        <f>IF(OR(H1218="",H1218="Mixed"),1,0)</f>
        <v>0</v>
      </c>
      <c r="K1218" s="7">
        <f>IF(AND(C1218=0,D1218=0),IF(OR(AND(I1218=0,NOT(EXACT(Raw_Passengers!F1218,G1218))),AND(J1218=0,NOT(EXACT(Raw_Passengers!G1218,H1218)))),1,0),0)</f>
        <v>0</v>
      </c>
      <c r="L1218" s="7">
        <f>IF(AND(C1218=0,D1218=0,I1218=1),1,0)</f>
        <v>0</v>
      </c>
      <c r="M1218" s="7">
        <f>IF(AND(C1218=0,D1218=0,J1218=1),1,0)</f>
        <v>0</v>
      </c>
    </row>
    <row r="1219" spans="1:13">
      <c r="A1219" s="7">
        <f>Raw_Passengers!A1219</f>
        <v>382926</v>
      </c>
      <c r="B1219" s="7">
        <f>Raw_Passengers!B1219</f>
        <v>1190022</v>
      </c>
      <c r="C1219" s="7">
        <f>IF(COUNTIF(Raw_Passengers!$A$2:A1219,Raw_Passengers!A1219)&gt;1,1,0)</f>
        <v>0</v>
      </c>
      <c r="D1219" s="7">
        <f>IF(COUNTIF(Raw_Bookings!$A$2:$A$648,Raw_Passengers!B1219)=0,1,0)</f>
        <v>0</v>
      </c>
      <c r="E1219" s="7">
        <f>IF(OR(C1219=1,D1219=1),0,IF(NOT(ISNUMBER(Raw_Passengers!E1219)),1,IF(Raw_Passengers!E1219&lt;=0,1,0)))</f>
        <v>0</v>
      </c>
      <c r="F1219" s="7">
        <f>IF(AND(C1219=0,D1219=0,TRIM(Raw_Passengers!D1219&amp;"")=""),1,0)</f>
        <v>0</v>
      </c>
      <c r="G1219" s="7" t="str">
        <f>IF(SUMPRODUCT(--(Lookup_Status!$A$2:$A$13=LOWER(TRIM(Raw_Passengers!F1219))))=0,"",INDEX(Lookup_Status!$B$2:$B$13,SUMPRODUCT((Lookup_Status!$A$2:$A$13=LOWER(TRIM(Raw_Passengers!F1219)))*(ROW(Lookup_Status!$A$2:$A$13)-1))))</f>
        <v>Confirmed</v>
      </c>
      <c r="H1219" s="7" t="str">
        <f>IF(SUMPRODUCT(--(Lookup_Status!$A$2:$A$13=LOWER(TRIM(Raw_Passengers!G1219))))=0,"",INDEX(Lookup_Status!$B$2:$B$13,SUMPRODUCT((Lookup_Status!$A$2:$A$13=LOWER(TRIM(Raw_Passengers!G1219)))*(ROW(Lookup_Status!$A$2:$A$13)-1))))</f>
        <v>Confirmed</v>
      </c>
      <c r="I1219" s="7">
        <f>IF(OR(G1219="",G1219="Cancelled",G1219="Mixed"),1,0)</f>
        <v>0</v>
      </c>
      <c r="J1219" s="7">
        <f>IF(OR(H1219="",H1219="Mixed"),1,0)</f>
        <v>0</v>
      </c>
      <c r="K1219" s="7">
        <f>IF(AND(C1219=0,D1219=0),IF(OR(AND(I1219=0,NOT(EXACT(Raw_Passengers!F1219,G1219))),AND(J1219=0,NOT(EXACT(Raw_Passengers!G1219,H1219)))),1,0),0)</f>
        <v>0</v>
      </c>
      <c r="L1219" s="7">
        <f>IF(AND(C1219=0,D1219=0,I1219=1),1,0)</f>
        <v>0</v>
      </c>
      <c r="M1219" s="7">
        <f>IF(AND(C1219=0,D1219=0,J1219=1),1,0)</f>
        <v>0</v>
      </c>
    </row>
    <row r="1220" spans="1:13">
      <c r="A1220" s="7">
        <f>Raw_Passengers!A1220</f>
        <v>382927</v>
      </c>
      <c r="B1220" s="7">
        <f>Raw_Passengers!B1220</f>
        <v>1190022</v>
      </c>
      <c r="C1220" s="7">
        <f>IF(COUNTIF(Raw_Passengers!$A$2:A1220,Raw_Passengers!A1220)&gt;1,1,0)</f>
        <v>0</v>
      </c>
      <c r="D1220" s="7">
        <f>IF(COUNTIF(Raw_Bookings!$A$2:$A$648,Raw_Passengers!B1220)=0,1,0)</f>
        <v>0</v>
      </c>
      <c r="E1220" s="7">
        <f>IF(OR(C1220=1,D1220=1),0,IF(NOT(ISNUMBER(Raw_Passengers!E1220)),1,IF(Raw_Passengers!E1220&lt;=0,1,0)))</f>
        <v>0</v>
      </c>
      <c r="F1220" s="7">
        <f>IF(AND(C1220=0,D1220=0,TRIM(Raw_Passengers!D1220&amp;"")=""),1,0)</f>
        <v>0</v>
      </c>
      <c r="G1220" s="7" t="str">
        <f>IF(SUMPRODUCT(--(Lookup_Status!$A$2:$A$13=LOWER(TRIM(Raw_Passengers!F1220))))=0,"",INDEX(Lookup_Status!$B$2:$B$13,SUMPRODUCT((Lookup_Status!$A$2:$A$13=LOWER(TRIM(Raw_Passengers!F1220)))*(ROW(Lookup_Status!$A$2:$A$13)-1))))</f>
        <v>Confirmed</v>
      </c>
      <c r="H1220" s="7" t="str">
        <f>IF(SUMPRODUCT(--(Lookup_Status!$A$2:$A$13=LOWER(TRIM(Raw_Passengers!G1220))))=0,"",INDEX(Lookup_Status!$B$2:$B$13,SUMPRODUCT((Lookup_Status!$A$2:$A$13=LOWER(TRIM(Raw_Passengers!G1220)))*(ROW(Lookup_Status!$A$2:$A$13)-1))))</f>
        <v>Confirmed</v>
      </c>
      <c r="I1220" s="7">
        <f>IF(OR(G1220="",G1220="Cancelled",G1220="Mixed"),1,0)</f>
        <v>0</v>
      </c>
      <c r="J1220" s="7">
        <f>IF(OR(H1220="",H1220="Mixed"),1,0)</f>
        <v>0</v>
      </c>
      <c r="K1220" s="7">
        <f>IF(AND(C1220=0,D1220=0),IF(OR(AND(I1220=0,NOT(EXACT(Raw_Passengers!F1220,G1220))),AND(J1220=0,NOT(EXACT(Raw_Passengers!G1220,H1220)))),1,0),0)</f>
        <v>0</v>
      </c>
      <c r="L1220" s="7">
        <f>IF(AND(C1220=0,D1220=0,I1220=1),1,0)</f>
        <v>0</v>
      </c>
      <c r="M1220" s="7">
        <f>IF(AND(C1220=0,D1220=0,J1220=1),1,0)</f>
        <v>0</v>
      </c>
    </row>
    <row r="1221" spans="1:13">
      <c r="A1221" s="7">
        <f>Raw_Passengers!A1221</f>
        <v>382928</v>
      </c>
      <c r="B1221" s="7">
        <f>Raw_Passengers!B1221</f>
        <v>1190022</v>
      </c>
      <c r="C1221" s="7">
        <f>IF(COUNTIF(Raw_Passengers!$A$2:A1221,Raw_Passengers!A1221)&gt;1,1,0)</f>
        <v>0</v>
      </c>
      <c r="D1221" s="7">
        <f>IF(COUNTIF(Raw_Bookings!$A$2:$A$648,Raw_Passengers!B1221)=0,1,0)</f>
        <v>0</v>
      </c>
      <c r="E1221" s="7">
        <f>IF(OR(C1221=1,D1221=1),0,IF(NOT(ISNUMBER(Raw_Passengers!E1221)),1,IF(Raw_Passengers!E1221&lt;=0,1,0)))</f>
        <v>0</v>
      </c>
      <c r="F1221" s="7">
        <f>IF(AND(C1221=0,D1221=0,TRIM(Raw_Passengers!D1221&amp;"")=""),1,0)</f>
        <v>0</v>
      </c>
      <c r="G1221" s="7" t="str">
        <f>IF(SUMPRODUCT(--(Lookup_Status!$A$2:$A$13=LOWER(TRIM(Raw_Passengers!F1221))))=0,"",INDEX(Lookup_Status!$B$2:$B$13,SUMPRODUCT((Lookup_Status!$A$2:$A$13=LOWER(TRIM(Raw_Passengers!F1221)))*(ROW(Lookup_Status!$A$2:$A$13)-1))))</f>
        <v>Confirmed</v>
      </c>
      <c r="H1221" s="7" t="str">
        <f>IF(SUMPRODUCT(--(Lookup_Status!$A$2:$A$13=LOWER(TRIM(Raw_Passengers!G1221))))=0,"",INDEX(Lookup_Status!$B$2:$B$13,SUMPRODUCT((Lookup_Status!$A$2:$A$13=LOWER(TRIM(Raw_Passengers!G1221)))*(ROW(Lookup_Status!$A$2:$A$13)-1))))</f>
        <v>Confirmed</v>
      </c>
      <c r="I1221" s="7">
        <f>IF(OR(G1221="",G1221="Cancelled",G1221="Mixed"),1,0)</f>
        <v>0</v>
      </c>
      <c r="J1221" s="7">
        <f>IF(OR(H1221="",H1221="Mixed"),1,0)</f>
        <v>0</v>
      </c>
      <c r="K1221" s="7">
        <f>IF(AND(C1221=0,D1221=0),IF(OR(AND(I1221=0,NOT(EXACT(Raw_Passengers!F1221,G1221))),AND(J1221=0,NOT(EXACT(Raw_Passengers!G1221,H1221)))),1,0),0)</f>
        <v>0</v>
      </c>
      <c r="L1221" s="7">
        <f>IF(AND(C1221=0,D1221=0,I1221=1),1,0)</f>
        <v>0</v>
      </c>
      <c r="M1221" s="7">
        <f>IF(AND(C1221=0,D1221=0,J1221=1),1,0)</f>
        <v>0</v>
      </c>
    </row>
    <row r="1222" spans="1:13">
      <c r="A1222" s="7">
        <f>Raw_Passengers!A1222</f>
        <v>382929</v>
      </c>
      <c r="B1222" s="7">
        <f>Raw_Passengers!B1222</f>
        <v>1190022</v>
      </c>
      <c r="C1222" s="7">
        <f>IF(COUNTIF(Raw_Passengers!$A$2:A1222,Raw_Passengers!A1222)&gt;1,1,0)</f>
        <v>0</v>
      </c>
      <c r="D1222" s="7">
        <f>IF(COUNTIF(Raw_Bookings!$A$2:$A$648,Raw_Passengers!B1222)=0,1,0)</f>
        <v>0</v>
      </c>
      <c r="E1222" s="7">
        <f>IF(OR(C1222=1,D1222=1),0,IF(NOT(ISNUMBER(Raw_Passengers!E1222)),1,IF(Raw_Passengers!E1222&lt;=0,1,0)))</f>
        <v>0</v>
      </c>
      <c r="F1222" s="7">
        <f>IF(AND(C1222=0,D1222=0,TRIM(Raw_Passengers!D1222&amp;"")=""),1,0)</f>
        <v>0</v>
      </c>
      <c r="G1222" s="7" t="str">
        <f>IF(SUMPRODUCT(--(Lookup_Status!$A$2:$A$13=LOWER(TRIM(Raw_Passengers!F1222))))=0,"",INDEX(Lookup_Status!$B$2:$B$13,SUMPRODUCT((Lookup_Status!$A$2:$A$13=LOWER(TRIM(Raw_Passengers!F1222)))*(ROW(Lookup_Status!$A$2:$A$13)-1))))</f>
        <v>Confirmed</v>
      </c>
      <c r="H1222" s="7" t="str">
        <f>IF(SUMPRODUCT(--(Lookup_Status!$A$2:$A$13=LOWER(TRIM(Raw_Passengers!G1222))))=0,"",INDEX(Lookup_Status!$B$2:$B$13,SUMPRODUCT((Lookup_Status!$A$2:$A$13=LOWER(TRIM(Raw_Passengers!G1222)))*(ROW(Lookup_Status!$A$2:$A$13)-1))))</f>
        <v>Confirmed</v>
      </c>
      <c r="I1222" s="7">
        <f>IF(OR(G1222="",G1222="Cancelled",G1222="Mixed"),1,0)</f>
        <v>0</v>
      </c>
      <c r="J1222" s="7">
        <f>IF(OR(H1222="",H1222="Mixed"),1,0)</f>
        <v>0</v>
      </c>
      <c r="K1222" s="7">
        <f>IF(AND(C1222=0,D1222=0),IF(OR(AND(I1222=0,NOT(EXACT(Raw_Passengers!F1222,G1222))),AND(J1222=0,NOT(EXACT(Raw_Passengers!G1222,H1222)))),1,0),0)</f>
        <v>0</v>
      </c>
      <c r="L1222" s="7">
        <f>IF(AND(C1222=0,D1222=0,I1222=1),1,0)</f>
        <v>0</v>
      </c>
      <c r="M1222" s="7">
        <f>IF(AND(C1222=0,D1222=0,J1222=1),1,0)</f>
        <v>0</v>
      </c>
    </row>
    <row r="1223" spans="1:13">
      <c r="A1223" s="7">
        <f>Raw_Passengers!A1223</f>
        <v>382930</v>
      </c>
      <c r="B1223" s="7">
        <f>Raw_Passengers!B1223</f>
        <v>1190022</v>
      </c>
      <c r="C1223" s="7">
        <f>IF(COUNTIF(Raw_Passengers!$A$2:A1223,Raw_Passengers!A1223)&gt;1,1,0)</f>
        <v>0</v>
      </c>
      <c r="D1223" s="7">
        <f>IF(COUNTIF(Raw_Bookings!$A$2:$A$648,Raw_Passengers!B1223)=0,1,0)</f>
        <v>0</v>
      </c>
      <c r="E1223" s="7">
        <f>IF(OR(C1223=1,D1223=1),0,IF(NOT(ISNUMBER(Raw_Passengers!E1223)),1,IF(Raw_Passengers!E1223&lt;=0,1,0)))</f>
        <v>0</v>
      </c>
      <c r="F1223" s="7">
        <f>IF(AND(C1223=0,D1223=0,TRIM(Raw_Passengers!D1223&amp;"")=""),1,0)</f>
        <v>0</v>
      </c>
      <c r="G1223" s="7" t="str">
        <f>IF(SUMPRODUCT(--(Lookup_Status!$A$2:$A$13=LOWER(TRIM(Raw_Passengers!F1223))))=0,"",INDEX(Lookup_Status!$B$2:$B$13,SUMPRODUCT((Lookup_Status!$A$2:$A$13=LOWER(TRIM(Raw_Passengers!F1223)))*(ROW(Lookup_Status!$A$2:$A$13)-1))))</f>
        <v>Confirmed</v>
      </c>
      <c r="H1223" s="7" t="str">
        <f>IF(SUMPRODUCT(--(Lookup_Status!$A$2:$A$13=LOWER(TRIM(Raw_Passengers!G1223))))=0,"",INDEX(Lookup_Status!$B$2:$B$13,SUMPRODUCT((Lookup_Status!$A$2:$A$13=LOWER(TRIM(Raw_Passengers!G1223)))*(ROW(Lookup_Status!$A$2:$A$13)-1))))</f>
        <v>Confirmed</v>
      </c>
      <c r="I1223" s="7">
        <f>IF(OR(G1223="",G1223="Cancelled",G1223="Mixed"),1,0)</f>
        <v>0</v>
      </c>
      <c r="J1223" s="7">
        <f>IF(OR(H1223="",H1223="Mixed"),1,0)</f>
        <v>0</v>
      </c>
      <c r="K1223" s="7">
        <f>IF(AND(C1223=0,D1223=0),IF(OR(AND(I1223=0,NOT(EXACT(Raw_Passengers!F1223,G1223))),AND(J1223=0,NOT(EXACT(Raw_Passengers!G1223,H1223)))),1,0),0)</f>
        <v>0</v>
      </c>
      <c r="L1223" s="7">
        <f>IF(AND(C1223=0,D1223=0,I1223=1),1,0)</f>
        <v>0</v>
      </c>
      <c r="M1223" s="7">
        <f>IF(AND(C1223=0,D1223=0,J1223=1),1,0)</f>
        <v>0</v>
      </c>
    </row>
    <row r="1224" spans="1:13">
      <c r="A1224" s="7">
        <f>Raw_Passengers!A1224</f>
        <v>382931</v>
      </c>
      <c r="B1224" s="7">
        <f>Raw_Passengers!B1224</f>
        <v>1190022</v>
      </c>
      <c r="C1224" s="7">
        <f>IF(COUNTIF(Raw_Passengers!$A$2:A1224,Raw_Passengers!A1224)&gt;1,1,0)</f>
        <v>0</v>
      </c>
      <c r="D1224" s="7">
        <f>IF(COUNTIF(Raw_Bookings!$A$2:$A$648,Raw_Passengers!B1224)=0,1,0)</f>
        <v>0</v>
      </c>
      <c r="E1224" s="7">
        <f>IF(OR(C1224=1,D1224=1),0,IF(NOT(ISNUMBER(Raw_Passengers!E1224)),1,IF(Raw_Passengers!E1224&lt;=0,1,0)))</f>
        <v>0</v>
      </c>
      <c r="F1224" s="7">
        <f>IF(AND(C1224=0,D1224=0,TRIM(Raw_Passengers!D1224&amp;"")=""),1,0)</f>
        <v>0</v>
      </c>
      <c r="G1224" s="7" t="str">
        <f>IF(SUMPRODUCT(--(Lookup_Status!$A$2:$A$13=LOWER(TRIM(Raw_Passengers!F1224))))=0,"",INDEX(Lookup_Status!$B$2:$B$13,SUMPRODUCT((Lookup_Status!$A$2:$A$13=LOWER(TRIM(Raw_Passengers!F1224)))*(ROW(Lookup_Status!$A$2:$A$13)-1))))</f>
        <v>Confirmed</v>
      </c>
      <c r="H1224" s="7" t="str">
        <f>IF(SUMPRODUCT(--(Lookup_Status!$A$2:$A$13=LOWER(TRIM(Raw_Passengers!G1224))))=0,"",INDEX(Lookup_Status!$B$2:$B$13,SUMPRODUCT((Lookup_Status!$A$2:$A$13=LOWER(TRIM(Raw_Passengers!G1224)))*(ROW(Lookup_Status!$A$2:$A$13)-1))))</f>
        <v>Confirmed</v>
      </c>
      <c r="I1224" s="7">
        <f>IF(OR(G1224="",G1224="Cancelled",G1224="Mixed"),1,0)</f>
        <v>0</v>
      </c>
      <c r="J1224" s="7">
        <f>IF(OR(H1224="",H1224="Mixed"),1,0)</f>
        <v>0</v>
      </c>
      <c r="K1224" s="7">
        <f>IF(AND(C1224=0,D1224=0),IF(OR(AND(I1224=0,NOT(EXACT(Raw_Passengers!F1224,G1224))),AND(J1224=0,NOT(EXACT(Raw_Passengers!G1224,H1224)))),1,0),0)</f>
        <v>0</v>
      </c>
      <c r="L1224" s="7">
        <f>IF(AND(C1224=0,D1224=0,I1224=1),1,0)</f>
        <v>0</v>
      </c>
      <c r="M1224" s="7">
        <f>IF(AND(C1224=0,D1224=0,J1224=1),1,0)</f>
        <v>0</v>
      </c>
    </row>
    <row r="1225" spans="1:13">
      <c r="A1225" s="7">
        <f>Raw_Passengers!A1225</f>
        <v>383147</v>
      </c>
      <c r="B1225" s="7">
        <f>Raw_Passengers!B1225</f>
        <v>1190134</v>
      </c>
      <c r="C1225" s="7">
        <f>IF(COUNTIF(Raw_Passengers!$A$2:A1225,Raw_Passengers!A1225)&gt;1,1,0)</f>
        <v>0</v>
      </c>
      <c r="D1225" s="7">
        <f>IF(COUNTIF(Raw_Bookings!$A$2:$A$648,Raw_Passengers!B1225)=0,1,0)</f>
        <v>0</v>
      </c>
      <c r="E1225" s="7">
        <f>IF(OR(C1225=1,D1225=1),0,IF(NOT(ISNUMBER(Raw_Passengers!E1225)),1,IF(Raw_Passengers!E1225&lt;=0,1,0)))</f>
        <v>0</v>
      </c>
      <c r="F1225" s="7">
        <f>IF(AND(C1225=0,D1225=0,TRIM(Raw_Passengers!D1225&amp;"")=""),1,0)</f>
        <v>0</v>
      </c>
      <c r="G1225" s="7" t="str">
        <f>IF(SUMPRODUCT(--(Lookup_Status!$A$2:$A$13=LOWER(TRIM(Raw_Passengers!F1225))))=0,"",INDEX(Lookup_Status!$B$2:$B$13,SUMPRODUCT((Lookup_Status!$A$2:$A$13=LOWER(TRIM(Raw_Passengers!F1225)))*(ROW(Lookup_Status!$A$2:$A$13)-1))))</f>
        <v>Confirmed</v>
      </c>
      <c r="H1225" s="7" t="str">
        <f>IF(SUMPRODUCT(--(Lookup_Status!$A$2:$A$13=LOWER(TRIM(Raw_Passengers!G1225))))=0,"",INDEX(Lookup_Status!$B$2:$B$13,SUMPRODUCT((Lookup_Status!$A$2:$A$13=LOWER(TRIM(Raw_Passengers!G1225)))*(ROW(Lookup_Status!$A$2:$A$13)-1))))</f>
        <v>Confirmed</v>
      </c>
      <c r="I1225" s="7">
        <f>IF(OR(G1225="",G1225="Cancelled",G1225="Mixed"),1,0)</f>
        <v>0</v>
      </c>
      <c r="J1225" s="7">
        <f>IF(OR(H1225="",H1225="Mixed"),1,0)</f>
        <v>0</v>
      </c>
      <c r="K1225" s="7">
        <f>IF(AND(C1225=0,D1225=0),IF(OR(AND(I1225=0,NOT(EXACT(Raw_Passengers!F1225,G1225))),AND(J1225=0,NOT(EXACT(Raw_Passengers!G1225,H1225)))),1,0),0)</f>
        <v>0</v>
      </c>
      <c r="L1225" s="7">
        <f>IF(AND(C1225=0,D1225=0,I1225=1),1,0)</f>
        <v>0</v>
      </c>
      <c r="M1225" s="7">
        <f>IF(AND(C1225=0,D1225=0,J1225=1),1,0)</f>
        <v>0</v>
      </c>
    </row>
    <row r="1226" spans="1:13">
      <c r="A1226" s="7">
        <f>Raw_Passengers!A1226</f>
        <v>383148</v>
      </c>
      <c r="B1226" s="7">
        <f>Raw_Passengers!B1226</f>
        <v>1190134</v>
      </c>
      <c r="C1226" s="7">
        <f>IF(COUNTIF(Raw_Passengers!$A$2:A1226,Raw_Passengers!A1226)&gt;1,1,0)</f>
        <v>0</v>
      </c>
      <c r="D1226" s="7">
        <f>IF(COUNTIF(Raw_Bookings!$A$2:$A$648,Raw_Passengers!B1226)=0,1,0)</f>
        <v>0</v>
      </c>
      <c r="E1226" s="7">
        <f>IF(OR(C1226=1,D1226=1),0,IF(NOT(ISNUMBER(Raw_Passengers!E1226)),1,IF(Raw_Passengers!E1226&lt;=0,1,0)))</f>
        <v>0</v>
      </c>
      <c r="F1226" s="7">
        <f>IF(AND(C1226=0,D1226=0,TRIM(Raw_Passengers!D1226&amp;"")=""),1,0)</f>
        <v>0</v>
      </c>
      <c r="G1226" s="7" t="str">
        <f>IF(SUMPRODUCT(--(Lookup_Status!$A$2:$A$13=LOWER(TRIM(Raw_Passengers!F1226))))=0,"",INDEX(Lookup_Status!$B$2:$B$13,SUMPRODUCT((Lookup_Status!$A$2:$A$13=LOWER(TRIM(Raw_Passengers!F1226)))*(ROW(Lookup_Status!$A$2:$A$13)-1))))</f>
        <v>Confirmed</v>
      </c>
      <c r="H1226" s="7" t="str">
        <f>IF(SUMPRODUCT(--(Lookup_Status!$A$2:$A$13=LOWER(TRIM(Raw_Passengers!G1226))))=0,"",INDEX(Lookup_Status!$B$2:$B$13,SUMPRODUCT((Lookup_Status!$A$2:$A$13=LOWER(TRIM(Raw_Passengers!G1226)))*(ROW(Lookup_Status!$A$2:$A$13)-1))))</f>
        <v>Confirmed</v>
      </c>
      <c r="I1226" s="7">
        <f>IF(OR(G1226="",G1226="Cancelled",G1226="Mixed"),1,0)</f>
        <v>0</v>
      </c>
      <c r="J1226" s="7">
        <f>IF(OR(H1226="",H1226="Mixed"),1,0)</f>
        <v>0</v>
      </c>
      <c r="K1226" s="7">
        <f>IF(AND(C1226=0,D1226=0),IF(OR(AND(I1226=0,NOT(EXACT(Raw_Passengers!F1226,G1226))),AND(J1226=0,NOT(EXACT(Raw_Passengers!G1226,H1226)))),1,0),0)</f>
        <v>0</v>
      </c>
      <c r="L1226" s="7">
        <f>IF(AND(C1226=0,D1226=0,I1226=1),1,0)</f>
        <v>0</v>
      </c>
      <c r="M1226" s="7">
        <f>IF(AND(C1226=0,D1226=0,J1226=1),1,0)</f>
        <v>0</v>
      </c>
    </row>
    <row r="1227" spans="1:13">
      <c r="A1227" s="7">
        <f>Raw_Passengers!A1227</f>
        <v>383149</v>
      </c>
      <c r="B1227" s="7">
        <f>Raw_Passengers!B1227</f>
        <v>1190134</v>
      </c>
      <c r="C1227" s="7">
        <f>IF(COUNTIF(Raw_Passengers!$A$2:A1227,Raw_Passengers!A1227)&gt;1,1,0)</f>
        <v>0</v>
      </c>
      <c r="D1227" s="7">
        <f>IF(COUNTIF(Raw_Bookings!$A$2:$A$648,Raw_Passengers!B1227)=0,1,0)</f>
        <v>0</v>
      </c>
      <c r="E1227" s="7">
        <f>IF(OR(C1227=1,D1227=1),0,IF(NOT(ISNUMBER(Raw_Passengers!E1227)),1,IF(Raw_Passengers!E1227&lt;=0,1,0)))</f>
        <v>0</v>
      </c>
      <c r="F1227" s="7">
        <f>IF(AND(C1227=0,D1227=0,TRIM(Raw_Passengers!D1227&amp;"")=""),1,0)</f>
        <v>0</v>
      </c>
      <c r="G1227" s="7" t="str">
        <f>IF(SUMPRODUCT(--(Lookup_Status!$A$2:$A$13=LOWER(TRIM(Raw_Passengers!F1227))))=0,"",INDEX(Lookup_Status!$B$2:$B$13,SUMPRODUCT((Lookup_Status!$A$2:$A$13=LOWER(TRIM(Raw_Passengers!F1227)))*(ROW(Lookup_Status!$A$2:$A$13)-1))))</f>
        <v>Confirmed</v>
      </c>
      <c r="H1227" s="7" t="str">
        <f>IF(SUMPRODUCT(--(Lookup_Status!$A$2:$A$13=LOWER(TRIM(Raw_Passengers!G1227))))=0,"",INDEX(Lookup_Status!$B$2:$B$13,SUMPRODUCT((Lookup_Status!$A$2:$A$13=LOWER(TRIM(Raw_Passengers!G1227)))*(ROW(Lookup_Status!$A$2:$A$13)-1))))</f>
        <v>Confirmed</v>
      </c>
      <c r="I1227" s="7">
        <f>IF(OR(G1227="",G1227="Cancelled",G1227="Mixed"),1,0)</f>
        <v>0</v>
      </c>
      <c r="J1227" s="7">
        <f>IF(OR(H1227="",H1227="Mixed"),1,0)</f>
        <v>0</v>
      </c>
      <c r="K1227" s="7">
        <f>IF(AND(C1227=0,D1227=0),IF(OR(AND(I1227=0,NOT(EXACT(Raw_Passengers!F1227,G1227))),AND(J1227=0,NOT(EXACT(Raw_Passengers!G1227,H1227)))),1,0),0)</f>
        <v>0</v>
      </c>
      <c r="L1227" s="7">
        <f>IF(AND(C1227=0,D1227=0,I1227=1),1,0)</f>
        <v>0</v>
      </c>
      <c r="M1227" s="7">
        <f>IF(AND(C1227=0,D1227=0,J1227=1),1,0)</f>
        <v>0</v>
      </c>
    </row>
    <row r="1228" spans="1:13">
      <c r="A1228" s="7">
        <f>Raw_Passengers!A1228</f>
        <v>383150</v>
      </c>
      <c r="B1228" s="7">
        <f>Raw_Passengers!B1228</f>
        <v>1190134</v>
      </c>
      <c r="C1228" s="7">
        <f>IF(COUNTIF(Raw_Passengers!$A$2:A1228,Raw_Passengers!A1228)&gt;1,1,0)</f>
        <v>0</v>
      </c>
      <c r="D1228" s="7">
        <f>IF(COUNTIF(Raw_Bookings!$A$2:$A$648,Raw_Passengers!B1228)=0,1,0)</f>
        <v>0</v>
      </c>
      <c r="E1228" s="7">
        <f>IF(OR(C1228=1,D1228=1),0,IF(NOT(ISNUMBER(Raw_Passengers!E1228)),1,IF(Raw_Passengers!E1228&lt;=0,1,0)))</f>
        <v>0</v>
      </c>
      <c r="F1228" s="7">
        <f>IF(AND(C1228=0,D1228=0,TRIM(Raw_Passengers!D1228&amp;"")=""),1,0)</f>
        <v>0</v>
      </c>
      <c r="G1228" s="7" t="str">
        <f>IF(SUMPRODUCT(--(Lookup_Status!$A$2:$A$13=LOWER(TRIM(Raw_Passengers!F1228))))=0,"",INDEX(Lookup_Status!$B$2:$B$13,SUMPRODUCT((Lookup_Status!$A$2:$A$13=LOWER(TRIM(Raw_Passengers!F1228)))*(ROW(Lookup_Status!$A$2:$A$13)-1))))</f>
        <v>Confirmed</v>
      </c>
      <c r="H1228" s="7" t="str">
        <f>IF(SUMPRODUCT(--(Lookup_Status!$A$2:$A$13=LOWER(TRIM(Raw_Passengers!G1228))))=0,"",INDEX(Lookup_Status!$B$2:$B$13,SUMPRODUCT((Lookup_Status!$A$2:$A$13=LOWER(TRIM(Raw_Passengers!G1228)))*(ROW(Lookup_Status!$A$2:$A$13)-1))))</f>
        <v>Confirmed</v>
      </c>
      <c r="I1228" s="7">
        <f>IF(OR(G1228="",G1228="Cancelled",G1228="Mixed"),1,0)</f>
        <v>0</v>
      </c>
      <c r="J1228" s="7">
        <f>IF(OR(H1228="",H1228="Mixed"),1,0)</f>
        <v>0</v>
      </c>
      <c r="K1228" s="7">
        <f>IF(AND(C1228=0,D1228=0),IF(OR(AND(I1228=0,NOT(EXACT(Raw_Passengers!F1228,G1228))),AND(J1228=0,NOT(EXACT(Raw_Passengers!G1228,H1228)))),1,0),0)</f>
        <v>0</v>
      </c>
      <c r="L1228" s="7">
        <f>IF(AND(C1228=0,D1228=0,I1228=1),1,0)</f>
        <v>0</v>
      </c>
      <c r="M1228" s="7">
        <f>IF(AND(C1228=0,D1228=0,J1228=1),1,0)</f>
        <v>0</v>
      </c>
    </row>
    <row r="1229" spans="1:13">
      <c r="A1229" s="7">
        <f>Raw_Passengers!A1229</f>
        <v>383151</v>
      </c>
      <c r="B1229" s="7">
        <f>Raw_Passengers!B1229</f>
        <v>1190134</v>
      </c>
      <c r="C1229" s="7">
        <f>IF(COUNTIF(Raw_Passengers!$A$2:A1229,Raw_Passengers!A1229)&gt;1,1,0)</f>
        <v>0</v>
      </c>
      <c r="D1229" s="7">
        <f>IF(COUNTIF(Raw_Bookings!$A$2:$A$648,Raw_Passengers!B1229)=0,1,0)</f>
        <v>0</v>
      </c>
      <c r="E1229" s="7">
        <f>IF(OR(C1229=1,D1229=1),0,IF(NOT(ISNUMBER(Raw_Passengers!E1229)),1,IF(Raw_Passengers!E1229&lt;=0,1,0)))</f>
        <v>0</v>
      </c>
      <c r="F1229" s="7">
        <f>IF(AND(C1229=0,D1229=0,TRIM(Raw_Passengers!D1229&amp;"")=""),1,0)</f>
        <v>0</v>
      </c>
      <c r="G1229" s="7" t="str">
        <f>IF(SUMPRODUCT(--(Lookup_Status!$A$2:$A$13=LOWER(TRIM(Raw_Passengers!F1229))))=0,"",INDEX(Lookup_Status!$B$2:$B$13,SUMPRODUCT((Lookup_Status!$A$2:$A$13=LOWER(TRIM(Raw_Passengers!F1229)))*(ROW(Lookup_Status!$A$2:$A$13)-1))))</f>
        <v>Confirmed</v>
      </c>
      <c r="H1229" s="7" t="str">
        <f>IF(SUMPRODUCT(--(Lookup_Status!$A$2:$A$13=LOWER(TRIM(Raw_Passengers!G1229))))=0,"",INDEX(Lookup_Status!$B$2:$B$13,SUMPRODUCT((Lookup_Status!$A$2:$A$13=LOWER(TRIM(Raw_Passengers!G1229)))*(ROW(Lookup_Status!$A$2:$A$13)-1))))</f>
        <v>Confirmed</v>
      </c>
      <c r="I1229" s="7">
        <f>IF(OR(G1229="",G1229="Cancelled",G1229="Mixed"),1,0)</f>
        <v>0</v>
      </c>
      <c r="J1229" s="7">
        <f>IF(OR(H1229="",H1229="Mixed"),1,0)</f>
        <v>0</v>
      </c>
      <c r="K1229" s="7">
        <f>IF(AND(C1229=0,D1229=0),IF(OR(AND(I1229=0,NOT(EXACT(Raw_Passengers!F1229,G1229))),AND(J1229=0,NOT(EXACT(Raw_Passengers!G1229,H1229)))),1,0),0)</f>
        <v>0</v>
      </c>
      <c r="L1229" s="7">
        <f>IF(AND(C1229=0,D1229=0,I1229=1),1,0)</f>
        <v>0</v>
      </c>
      <c r="M1229" s="7">
        <f>IF(AND(C1229=0,D1229=0,J1229=1),1,0)</f>
        <v>0</v>
      </c>
    </row>
    <row r="1230" spans="1:13">
      <c r="A1230" s="7">
        <f>Raw_Passengers!A1230</f>
        <v>383393</v>
      </c>
      <c r="B1230" s="7">
        <f>Raw_Passengers!B1230</f>
        <v>1190251</v>
      </c>
      <c r="C1230" s="7">
        <f>IF(COUNTIF(Raw_Passengers!$A$2:A1230,Raw_Passengers!A1230)&gt;1,1,0)</f>
        <v>0</v>
      </c>
      <c r="D1230" s="7">
        <f>IF(COUNTIF(Raw_Bookings!$A$2:$A$648,Raw_Passengers!B1230)=0,1,0)</f>
        <v>0</v>
      </c>
      <c r="E1230" s="7">
        <f>IF(OR(C1230=1,D1230=1),0,IF(NOT(ISNUMBER(Raw_Passengers!E1230)),1,IF(Raw_Passengers!E1230&lt;=0,1,0)))</f>
        <v>0</v>
      </c>
      <c r="F1230" s="7">
        <f>IF(AND(C1230=0,D1230=0,TRIM(Raw_Passengers!D1230&amp;"")=""),1,0)</f>
        <v>0</v>
      </c>
      <c r="G1230" s="7" t="str">
        <f>IF(SUMPRODUCT(--(Lookup_Status!$A$2:$A$13=LOWER(TRIM(Raw_Passengers!F1230))))=0,"",INDEX(Lookup_Status!$B$2:$B$13,SUMPRODUCT((Lookup_Status!$A$2:$A$13=LOWER(TRIM(Raw_Passengers!F1230)))*(ROW(Lookup_Status!$A$2:$A$13)-1))))</f>
        <v>Confirmed</v>
      </c>
      <c r="H1230" s="7" t="str">
        <f>IF(SUMPRODUCT(--(Lookup_Status!$A$2:$A$13=LOWER(TRIM(Raw_Passengers!G1230))))=0,"",INDEX(Lookup_Status!$B$2:$B$13,SUMPRODUCT((Lookup_Status!$A$2:$A$13=LOWER(TRIM(Raw_Passengers!G1230)))*(ROW(Lookup_Status!$A$2:$A$13)-1))))</f>
        <v>Confirmed</v>
      </c>
      <c r="I1230" s="7">
        <f>IF(OR(G1230="",G1230="Cancelled",G1230="Mixed"),1,0)</f>
        <v>0</v>
      </c>
      <c r="J1230" s="7">
        <f>IF(OR(H1230="",H1230="Mixed"),1,0)</f>
        <v>0</v>
      </c>
      <c r="K1230" s="7">
        <f>IF(AND(C1230=0,D1230=0),IF(OR(AND(I1230=0,NOT(EXACT(Raw_Passengers!F1230,G1230))),AND(J1230=0,NOT(EXACT(Raw_Passengers!G1230,H1230)))),1,0),0)</f>
        <v>0</v>
      </c>
      <c r="L1230" s="7">
        <f>IF(AND(C1230=0,D1230=0,I1230=1),1,0)</f>
        <v>0</v>
      </c>
      <c r="M1230" s="7">
        <f>IF(AND(C1230=0,D1230=0,J1230=1),1,0)</f>
        <v>0</v>
      </c>
    </row>
    <row r="1231" spans="1:13">
      <c r="A1231" s="7">
        <f>Raw_Passengers!A1231</f>
        <v>385486</v>
      </c>
      <c r="B1231" s="7">
        <f>Raw_Passengers!B1231</f>
        <v>1191314</v>
      </c>
      <c r="C1231" s="7">
        <f>IF(COUNTIF(Raw_Passengers!$A$2:A1231,Raw_Passengers!A1231)&gt;1,1,0)</f>
        <v>0</v>
      </c>
      <c r="D1231" s="7">
        <f>IF(COUNTIF(Raw_Bookings!$A$2:$A$648,Raw_Passengers!B1231)=0,1,0)</f>
        <v>0</v>
      </c>
      <c r="E1231" s="7">
        <f>IF(OR(C1231=1,D1231=1),0,IF(NOT(ISNUMBER(Raw_Passengers!E1231)),1,IF(Raw_Passengers!E1231&lt;=0,1,0)))</f>
        <v>0</v>
      </c>
      <c r="F1231" s="7">
        <f>IF(AND(C1231=0,D1231=0,TRIM(Raw_Passengers!D1231&amp;"")=""),1,0)</f>
        <v>0</v>
      </c>
      <c r="G1231" s="7" t="str">
        <f>IF(SUMPRODUCT(--(Lookup_Status!$A$2:$A$13=LOWER(TRIM(Raw_Passengers!F1231))))=0,"",INDEX(Lookup_Status!$B$2:$B$13,SUMPRODUCT((Lookup_Status!$A$2:$A$13=LOWER(TRIM(Raw_Passengers!F1231)))*(ROW(Lookup_Status!$A$2:$A$13)-1))))</f>
        <v>Confirmed</v>
      </c>
      <c r="H1231" s="7" t="str">
        <f>IF(SUMPRODUCT(--(Lookup_Status!$A$2:$A$13=LOWER(TRIM(Raw_Passengers!G1231))))=0,"",INDEX(Lookup_Status!$B$2:$B$13,SUMPRODUCT((Lookup_Status!$A$2:$A$13=LOWER(TRIM(Raw_Passengers!G1231)))*(ROW(Lookup_Status!$A$2:$A$13)-1))))</f>
        <v>Cancelled</v>
      </c>
      <c r="I1231" s="7">
        <f>IF(OR(G1231="",G1231="Cancelled",G1231="Mixed"),1,0)</f>
        <v>0</v>
      </c>
      <c r="J1231" s="7">
        <f>IF(OR(H1231="",H1231="Mixed"),1,0)</f>
        <v>0</v>
      </c>
      <c r="K1231" s="7">
        <f>IF(AND(C1231=0,D1231=0),IF(OR(AND(I1231=0,NOT(EXACT(Raw_Passengers!F1231,G1231))),AND(J1231=0,NOT(EXACT(Raw_Passengers!G1231,H1231)))),1,0),0)</f>
        <v>0</v>
      </c>
      <c r="L1231" s="7">
        <f>IF(AND(C1231=0,D1231=0,I1231=1),1,0)</f>
        <v>0</v>
      </c>
      <c r="M1231" s="7">
        <f>IF(AND(C1231=0,D1231=0,J1231=1),1,0)</f>
        <v>0</v>
      </c>
    </row>
    <row r="1232" spans="1:13">
      <c r="A1232" s="7">
        <f>Raw_Passengers!A1232</f>
        <v>385487</v>
      </c>
      <c r="B1232" s="7">
        <f>Raw_Passengers!B1232</f>
        <v>1191314</v>
      </c>
      <c r="C1232" s="7">
        <f>IF(COUNTIF(Raw_Passengers!$A$2:A1232,Raw_Passengers!A1232)&gt;1,1,0)</f>
        <v>0</v>
      </c>
      <c r="D1232" s="7">
        <f>IF(COUNTIF(Raw_Bookings!$A$2:$A$648,Raw_Passengers!B1232)=0,1,0)</f>
        <v>0</v>
      </c>
      <c r="E1232" s="7">
        <f>IF(OR(C1232=1,D1232=1),0,IF(NOT(ISNUMBER(Raw_Passengers!E1232)),1,IF(Raw_Passengers!E1232&lt;=0,1,0)))</f>
        <v>0</v>
      </c>
      <c r="F1232" s="7">
        <f>IF(AND(C1232=0,D1232=0,TRIM(Raw_Passengers!D1232&amp;"")=""),1,0)</f>
        <v>0</v>
      </c>
      <c r="G1232" s="7" t="str">
        <f>IF(SUMPRODUCT(--(Lookup_Status!$A$2:$A$13=LOWER(TRIM(Raw_Passengers!F1232))))=0,"",INDEX(Lookup_Status!$B$2:$B$13,SUMPRODUCT((Lookup_Status!$A$2:$A$13=LOWER(TRIM(Raw_Passengers!F1232)))*(ROW(Lookup_Status!$A$2:$A$13)-1))))</f>
        <v>Confirmed</v>
      </c>
      <c r="H1232" s="7" t="str">
        <f>IF(SUMPRODUCT(--(Lookup_Status!$A$2:$A$13=LOWER(TRIM(Raw_Passengers!G1232))))=0,"",INDEX(Lookup_Status!$B$2:$B$13,SUMPRODUCT((Lookup_Status!$A$2:$A$13=LOWER(TRIM(Raw_Passengers!G1232)))*(ROW(Lookup_Status!$A$2:$A$13)-1))))</f>
        <v>Confirmed</v>
      </c>
      <c r="I1232" s="7">
        <f>IF(OR(G1232="",G1232="Cancelled",G1232="Mixed"),1,0)</f>
        <v>0</v>
      </c>
      <c r="J1232" s="7">
        <f>IF(OR(H1232="",H1232="Mixed"),1,0)</f>
        <v>0</v>
      </c>
      <c r="K1232" s="7">
        <f>IF(AND(C1232=0,D1232=0),IF(OR(AND(I1232=0,NOT(EXACT(Raw_Passengers!F1232,G1232))),AND(J1232=0,NOT(EXACT(Raw_Passengers!G1232,H1232)))),1,0),0)</f>
        <v>0</v>
      </c>
      <c r="L1232" s="7">
        <f>IF(AND(C1232=0,D1232=0,I1232=1),1,0)</f>
        <v>0</v>
      </c>
      <c r="M1232" s="7">
        <f>IF(AND(C1232=0,D1232=0,J1232=1),1,0)</f>
        <v>0</v>
      </c>
    </row>
    <row r="1233" spans="1:13">
      <c r="A1233" s="7">
        <f>Raw_Passengers!A1233</f>
        <v>385531</v>
      </c>
      <c r="B1233" s="7">
        <f>Raw_Passengers!B1233</f>
        <v>1191336</v>
      </c>
      <c r="C1233" s="7">
        <f>IF(COUNTIF(Raw_Passengers!$A$2:A1233,Raw_Passengers!A1233)&gt;1,1,0)</f>
        <v>0</v>
      </c>
      <c r="D1233" s="7">
        <f>IF(COUNTIF(Raw_Bookings!$A$2:$A$648,Raw_Passengers!B1233)=0,1,0)</f>
        <v>0</v>
      </c>
      <c r="E1233" s="7">
        <f>IF(OR(C1233=1,D1233=1),0,IF(NOT(ISNUMBER(Raw_Passengers!E1233)),1,IF(Raw_Passengers!E1233&lt;=0,1,0)))</f>
        <v>0</v>
      </c>
      <c r="F1233" s="7">
        <f>IF(AND(C1233=0,D1233=0,TRIM(Raw_Passengers!D1233&amp;"")=""),1,0)</f>
        <v>0</v>
      </c>
      <c r="G1233" s="7" t="str">
        <f>IF(SUMPRODUCT(--(Lookup_Status!$A$2:$A$13=LOWER(TRIM(Raw_Passengers!F1233))))=0,"",INDEX(Lookup_Status!$B$2:$B$13,SUMPRODUCT((Lookup_Status!$A$2:$A$13=LOWER(TRIM(Raw_Passengers!F1233)))*(ROW(Lookup_Status!$A$2:$A$13)-1))))</f>
        <v>Confirmed</v>
      </c>
      <c r="H1233" s="7" t="str">
        <f>IF(SUMPRODUCT(--(Lookup_Status!$A$2:$A$13=LOWER(TRIM(Raw_Passengers!G1233))))=0,"",INDEX(Lookup_Status!$B$2:$B$13,SUMPRODUCT((Lookup_Status!$A$2:$A$13=LOWER(TRIM(Raw_Passengers!G1233)))*(ROW(Lookup_Status!$A$2:$A$13)-1))))</f>
        <v>Confirmed</v>
      </c>
      <c r="I1233" s="7">
        <f>IF(OR(G1233="",G1233="Cancelled",G1233="Mixed"),1,0)</f>
        <v>0</v>
      </c>
      <c r="J1233" s="7">
        <f>IF(OR(H1233="",H1233="Mixed"),1,0)</f>
        <v>0</v>
      </c>
      <c r="K1233" s="7">
        <f>IF(AND(C1233=0,D1233=0),IF(OR(AND(I1233=0,NOT(EXACT(Raw_Passengers!F1233,G1233))),AND(J1233=0,NOT(EXACT(Raw_Passengers!G1233,H1233)))),1,0),0)</f>
        <v>0</v>
      </c>
      <c r="L1233" s="7">
        <f>IF(AND(C1233=0,D1233=0,I1233=1),1,0)</f>
        <v>0</v>
      </c>
      <c r="M1233" s="7">
        <f>IF(AND(C1233=0,D1233=0,J1233=1),1,0)</f>
        <v>0</v>
      </c>
    </row>
    <row r="1234" spans="1:13">
      <c r="A1234" s="7">
        <f>Raw_Passengers!A1234</f>
        <v>385532</v>
      </c>
      <c r="B1234" s="7">
        <f>Raw_Passengers!B1234</f>
        <v>1191336</v>
      </c>
      <c r="C1234" s="7">
        <f>IF(COUNTIF(Raw_Passengers!$A$2:A1234,Raw_Passengers!A1234)&gt;1,1,0)</f>
        <v>0</v>
      </c>
      <c r="D1234" s="7">
        <f>IF(COUNTIF(Raw_Bookings!$A$2:$A$648,Raw_Passengers!B1234)=0,1,0)</f>
        <v>0</v>
      </c>
      <c r="E1234" s="7">
        <f>IF(OR(C1234=1,D1234=1),0,IF(NOT(ISNUMBER(Raw_Passengers!E1234)),1,IF(Raw_Passengers!E1234&lt;=0,1,0)))</f>
        <v>0</v>
      </c>
      <c r="F1234" s="7">
        <f>IF(AND(C1234=0,D1234=0,TRIM(Raw_Passengers!D1234&amp;"")=""),1,0)</f>
        <v>0</v>
      </c>
      <c r="G1234" s="7" t="str">
        <f>IF(SUMPRODUCT(--(Lookup_Status!$A$2:$A$13=LOWER(TRIM(Raw_Passengers!F1234))))=0,"",INDEX(Lookup_Status!$B$2:$B$13,SUMPRODUCT((Lookup_Status!$A$2:$A$13=LOWER(TRIM(Raw_Passengers!F1234)))*(ROW(Lookup_Status!$A$2:$A$13)-1))))</f>
        <v>Confirmed</v>
      </c>
      <c r="H1234" s="7" t="str">
        <f>IF(SUMPRODUCT(--(Lookup_Status!$A$2:$A$13=LOWER(TRIM(Raw_Passengers!G1234))))=0,"",INDEX(Lookup_Status!$B$2:$B$13,SUMPRODUCT((Lookup_Status!$A$2:$A$13=LOWER(TRIM(Raw_Passengers!G1234)))*(ROW(Lookup_Status!$A$2:$A$13)-1))))</f>
        <v>Confirmed</v>
      </c>
      <c r="I1234" s="7">
        <f>IF(OR(G1234="",G1234="Cancelled",G1234="Mixed"),1,0)</f>
        <v>0</v>
      </c>
      <c r="J1234" s="7">
        <f>IF(OR(H1234="",H1234="Mixed"),1,0)</f>
        <v>0</v>
      </c>
      <c r="K1234" s="7">
        <f>IF(AND(C1234=0,D1234=0),IF(OR(AND(I1234=0,NOT(EXACT(Raw_Passengers!F1234,G1234))),AND(J1234=0,NOT(EXACT(Raw_Passengers!G1234,H1234)))),1,0),0)</f>
        <v>0</v>
      </c>
      <c r="L1234" s="7">
        <f>IF(AND(C1234=0,D1234=0,I1234=1),1,0)</f>
        <v>0</v>
      </c>
      <c r="M1234" s="7">
        <f>IF(AND(C1234=0,D1234=0,J1234=1),1,0)</f>
        <v>0</v>
      </c>
    </row>
    <row r="1235" spans="1:13">
      <c r="A1235" s="7">
        <f>Raw_Passengers!A1235</f>
        <v>385894</v>
      </c>
      <c r="B1235" s="7">
        <f>Raw_Passengers!B1235</f>
        <v>1191528</v>
      </c>
      <c r="C1235" s="7">
        <f>IF(COUNTIF(Raw_Passengers!$A$2:A1235,Raw_Passengers!A1235)&gt;1,1,0)</f>
        <v>0</v>
      </c>
      <c r="D1235" s="7">
        <f>IF(COUNTIF(Raw_Bookings!$A$2:$A$648,Raw_Passengers!B1235)=0,1,0)</f>
        <v>0</v>
      </c>
      <c r="E1235" s="7">
        <f>IF(OR(C1235=1,D1235=1),0,IF(NOT(ISNUMBER(Raw_Passengers!E1235)),1,IF(Raw_Passengers!E1235&lt;=0,1,0)))</f>
        <v>0</v>
      </c>
      <c r="F1235" s="7">
        <f>IF(AND(C1235=0,D1235=0,TRIM(Raw_Passengers!D1235&amp;"")=""),1,0)</f>
        <v>0</v>
      </c>
      <c r="G1235" s="7" t="str">
        <f>IF(SUMPRODUCT(--(Lookup_Status!$A$2:$A$13=LOWER(TRIM(Raw_Passengers!F1235))))=0,"",INDEX(Lookup_Status!$B$2:$B$13,SUMPRODUCT((Lookup_Status!$A$2:$A$13=LOWER(TRIM(Raw_Passengers!F1235)))*(ROW(Lookup_Status!$A$2:$A$13)-1))))</f>
        <v>RAC</v>
      </c>
      <c r="H1235" s="7" t="str">
        <f>IF(SUMPRODUCT(--(Lookup_Status!$A$2:$A$13=LOWER(TRIM(Raw_Passengers!G1235))))=0,"",INDEX(Lookup_Status!$B$2:$B$13,SUMPRODUCT((Lookup_Status!$A$2:$A$13=LOWER(TRIM(Raw_Passengers!G1235)))*(ROW(Lookup_Status!$A$2:$A$13)-1))))</f>
        <v>Confirmed</v>
      </c>
      <c r="I1235" s="7">
        <f>IF(OR(G1235="",G1235="Cancelled",G1235="Mixed"),1,0)</f>
        <v>0</v>
      </c>
      <c r="J1235" s="7">
        <f>IF(OR(H1235="",H1235="Mixed"),1,0)</f>
        <v>0</v>
      </c>
      <c r="K1235" s="7">
        <f>IF(AND(C1235=0,D1235=0),IF(OR(AND(I1235=0,NOT(EXACT(Raw_Passengers!F1235,G1235))),AND(J1235=0,NOT(EXACT(Raw_Passengers!G1235,H1235)))),1,0),0)</f>
        <v>0</v>
      </c>
      <c r="L1235" s="7">
        <f>IF(AND(C1235=0,D1235=0,I1235=1),1,0)</f>
        <v>0</v>
      </c>
      <c r="M1235" s="7">
        <f>IF(AND(C1235=0,D1235=0,J1235=1),1,0)</f>
        <v>0</v>
      </c>
    </row>
    <row r="1236" spans="1:13">
      <c r="A1236" s="7">
        <f>Raw_Passengers!A1236</f>
        <v>386254</v>
      </c>
      <c r="B1236" s="7">
        <f>Raw_Passengers!B1236</f>
        <v>1191703</v>
      </c>
      <c r="C1236" s="7">
        <f>IF(COUNTIF(Raw_Passengers!$A$2:A1236,Raw_Passengers!A1236)&gt;1,1,0)</f>
        <v>0</v>
      </c>
      <c r="D1236" s="7">
        <f>IF(COUNTIF(Raw_Bookings!$A$2:$A$648,Raw_Passengers!B1236)=0,1,0)</f>
        <v>0</v>
      </c>
      <c r="E1236" s="7">
        <f>IF(OR(C1236=1,D1236=1),0,IF(NOT(ISNUMBER(Raw_Passengers!E1236)),1,IF(Raw_Passengers!E1236&lt;=0,1,0)))</f>
        <v>0</v>
      </c>
      <c r="F1236" s="7">
        <f>IF(AND(C1236=0,D1236=0,TRIM(Raw_Passengers!D1236&amp;"")=""),1,0)</f>
        <v>0</v>
      </c>
      <c r="G1236" s="7" t="str">
        <f>IF(SUMPRODUCT(--(Lookup_Status!$A$2:$A$13=LOWER(TRIM(Raw_Passengers!F1236))))=0,"",INDEX(Lookup_Status!$B$2:$B$13,SUMPRODUCT((Lookup_Status!$A$2:$A$13=LOWER(TRIM(Raw_Passengers!F1236)))*(ROW(Lookup_Status!$A$2:$A$13)-1))))</f>
        <v>Confirmed</v>
      </c>
      <c r="H1236" s="7" t="str">
        <f>IF(SUMPRODUCT(--(Lookup_Status!$A$2:$A$13=LOWER(TRIM(Raw_Passengers!G1236))))=0,"",INDEX(Lookup_Status!$B$2:$B$13,SUMPRODUCT((Lookup_Status!$A$2:$A$13=LOWER(TRIM(Raw_Passengers!G1236)))*(ROW(Lookup_Status!$A$2:$A$13)-1))))</f>
        <v>Cancelled</v>
      </c>
      <c r="I1236" s="7">
        <f>IF(OR(G1236="",G1236="Cancelled",G1236="Mixed"),1,0)</f>
        <v>0</v>
      </c>
      <c r="J1236" s="7">
        <f>IF(OR(H1236="",H1236="Mixed"),1,0)</f>
        <v>0</v>
      </c>
      <c r="K1236" s="7">
        <f>IF(AND(C1236=0,D1236=0),IF(OR(AND(I1236=0,NOT(EXACT(Raw_Passengers!F1236,G1236))),AND(J1236=0,NOT(EXACT(Raw_Passengers!G1236,H1236)))),1,0),0)</f>
        <v>1</v>
      </c>
      <c r="L1236" s="7">
        <f>IF(AND(C1236=0,D1236=0,I1236=1),1,0)</f>
        <v>0</v>
      </c>
      <c r="M1236" s="7">
        <f>IF(AND(C1236=0,D1236=0,J1236=1),1,0)</f>
        <v>0</v>
      </c>
    </row>
    <row r="1237" spans="1:13">
      <c r="A1237" s="7">
        <f>Raw_Passengers!A1237</f>
        <v>387816</v>
      </c>
      <c r="B1237" s="7">
        <f>Raw_Passengers!B1237</f>
        <v>1192481</v>
      </c>
      <c r="C1237" s="7">
        <f>IF(COUNTIF(Raw_Passengers!$A$2:A1237,Raw_Passengers!A1237)&gt;1,1,0)</f>
        <v>0</v>
      </c>
      <c r="D1237" s="7">
        <f>IF(COUNTIF(Raw_Bookings!$A$2:$A$648,Raw_Passengers!B1237)=0,1,0)</f>
        <v>0</v>
      </c>
      <c r="E1237" s="7">
        <f>IF(OR(C1237=1,D1237=1),0,IF(NOT(ISNUMBER(Raw_Passengers!E1237)),1,IF(Raw_Passengers!E1237&lt;=0,1,0)))</f>
        <v>0</v>
      </c>
      <c r="F1237" s="7">
        <f>IF(AND(C1237=0,D1237=0,TRIM(Raw_Passengers!D1237&amp;"")=""),1,0)</f>
        <v>0</v>
      </c>
      <c r="G1237" s="7" t="str">
        <f>IF(SUMPRODUCT(--(Lookup_Status!$A$2:$A$13=LOWER(TRIM(Raw_Passengers!F1237))))=0,"",INDEX(Lookup_Status!$B$2:$B$13,SUMPRODUCT((Lookup_Status!$A$2:$A$13=LOWER(TRIM(Raw_Passengers!F1237)))*(ROW(Lookup_Status!$A$2:$A$13)-1))))</f>
        <v>RAC</v>
      </c>
      <c r="H1237" s="7" t="str">
        <f>IF(SUMPRODUCT(--(Lookup_Status!$A$2:$A$13=LOWER(TRIM(Raw_Passengers!G1237))))=0,"",INDEX(Lookup_Status!$B$2:$B$13,SUMPRODUCT((Lookup_Status!$A$2:$A$13=LOWER(TRIM(Raw_Passengers!G1237)))*(ROW(Lookup_Status!$A$2:$A$13)-1))))</f>
        <v>Cancelled</v>
      </c>
      <c r="I1237" s="7">
        <f>IF(OR(G1237="",G1237="Cancelled",G1237="Mixed"),1,0)</f>
        <v>0</v>
      </c>
      <c r="J1237" s="7">
        <f>IF(OR(H1237="",H1237="Mixed"),1,0)</f>
        <v>0</v>
      </c>
      <c r="K1237" s="7">
        <f>IF(AND(C1237=0,D1237=0),IF(OR(AND(I1237=0,NOT(EXACT(Raw_Passengers!F1237,G1237))),AND(J1237=0,NOT(EXACT(Raw_Passengers!G1237,H1237)))),1,0),0)</f>
        <v>0</v>
      </c>
      <c r="L1237" s="7">
        <f>IF(AND(C1237=0,D1237=0,I1237=1),1,0)</f>
        <v>0</v>
      </c>
      <c r="M1237" s="7">
        <f>IF(AND(C1237=0,D1237=0,J1237=1),1,0)</f>
        <v>0</v>
      </c>
    </row>
    <row r="1238" spans="1:13">
      <c r="A1238" s="7">
        <f>Raw_Passengers!A1238</f>
        <v>387817</v>
      </c>
      <c r="B1238" s="7">
        <f>Raw_Passengers!B1238</f>
        <v>1192481</v>
      </c>
      <c r="C1238" s="7">
        <f>IF(COUNTIF(Raw_Passengers!$A$2:A1238,Raw_Passengers!A1238)&gt;1,1,0)</f>
        <v>0</v>
      </c>
      <c r="D1238" s="7">
        <f>IF(COUNTIF(Raw_Bookings!$A$2:$A$648,Raw_Passengers!B1238)=0,1,0)</f>
        <v>0</v>
      </c>
      <c r="E1238" s="7">
        <f>IF(OR(C1238=1,D1238=1),0,IF(NOT(ISNUMBER(Raw_Passengers!E1238)),1,IF(Raw_Passengers!E1238&lt;=0,1,0)))</f>
        <v>0</v>
      </c>
      <c r="F1238" s="7">
        <f>IF(AND(C1238=0,D1238=0,TRIM(Raw_Passengers!D1238&amp;"")=""),1,0)</f>
        <v>0</v>
      </c>
      <c r="G1238" s="7" t="str">
        <f>IF(SUMPRODUCT(--(Lookup_Status!$A$2:$A$13=LOWER(TRIM(Raw_Passengers!F1238))))=0,"",INDEX(Lookup_Status!$B$2:$B$13,SUMPRODUCT((Lookup_Status!$A$2:$A$13=LOWER(TRIM(Raw_Passengers!F1238)))*(ROW(Lookup_Status!$A$2:$A$13)-1))))</f>
        <v>Waitlisted</v>
      </c>
      <c r="H1238" s="7" t="str">
        <f>IF(SUMPRODUCT(--(Lookup_Status!$A$2:$A$13=LOWER(TRIM(Raw_Passengers!G1238))))=0,"",INDEX(Lookup_Status!$B$2:$B$13,SUMPRODUCT((Lookup_Status!$A$2:$A$13=LOWER(TRIM(Raw_Passengers!G1238)))*(ROW(Lookup_Status!$A$2:$A$13)-1))))</f>
        <v>Cancelled</v>
      </c>
      <c r="I1238" s="7">
        <f>IF(OR(G1238="",G1238="Cancelled",G1238="Mixed"),1,0)</f>
        <v>0</v>
      </c>
      <c r="J1238" s="7">
        <f>IF(OR(H1238="",H1238="Mixed"),1,0)</f>
        <v>0</v>
      </c>
      <c r="K1238" s="7">
        <f>IF(AND(C1238=0,D1238=0),IF(OR(AND(I1238=0,NOT(EXACT(Raw_Passengers!F1238,G1238))),AND(J1238=0,NOT(EXACT(Raw_Passengers!G1238,H1238)))),1,0),0)</f>
        <v>0</v>
      </c>
      <c r="L1238" s="7">
        <f>IF(AND(C1238=0,D1238=0,I1238=1),1,0)</f>
        <v>0</v>
      </c>
      <c r="M1238" s="7">
        <f>IF(AND(C1238=0,D1238=0,J1238=1),1,0)</f>
        <v>0</v>
      </c>
    </row>
    <row r="1239" spans="1:13">
      <c r="A1239" s="7">
        <f>Raw_Passengers!A1239</f>
        <v>387818</v>
      </c>
      <c r="B1239" s="7">
        <f>Raw_Passengers!B1239</f>
        <v>1192481</v>
      </c>
      <c r="C1239" s="7">
        <f>IF(COUNTIF(Raw_Passengers!$A$2:A1239,Raw_Passengers!A1239)&gt;1,1,0)</f>
        <v>0</v>
      </c>
      <c r="D1239" s="7">
        <f>IF(COUNTIF(Raw_Bookings!$A$2:$A$648,Raw_Passengers!B1239)=0,1,0)</f>
        <v>0</v>
      </c>
      <c r="E1239" s="7">
        <f>IF(OR(C1239=1,D1239=1),0,IF(NOT(ISNUMBER(Raw_Passengers!E1239)),1,IF(Raw_Passengers!E1239&lt;=0,1,0)))</f>
        <v>0</v>
      </c>
      <c r="F1239" s="7">
        <f>IF(AND(C1239=0,D1239=0,TRIM(Raw_Passengers!D1239&amp;"")=""),1,0)</f>
        <v>0</v>
      </c>
      <c r="G1239" s="7" t="str">
        <f>IF(SUMPRODUCT(--(Lookup_Status!$A$2:$A$13=LOWER(TRIM(Raw_Passengers!F1239))))=0,"",INDEX(Lookup_Status!$B$2:$B$13,SUMPRODUCT((Lookup_Status!$A$2:$A$13=LOWER(TRIM(Raw_Passengers!F1239)))*(ROW(Lookup_Status!$A$2:$A$13)-1))))</f>
        <v>Waitlisted</v>
      </c>
      <c r="H1239" s="7" t="str">
        <f>IF(SUMPRODUCT(--(Lookup_Status!$A$2:$A$13=LOWER(TRIM(Raw_Passengers!G1239))))=0,"",INDEX(Lookup_Status!$B$2:$B$13,SUMPRODUCT((Lookup_Status!$A$2:$A$13=LOWER(TRIM(Raw_Passengers!G1239)))*(ROW(Lookup_Status!$A$2:$A$13)-1))))</f>
        <v>Cancelled</v>
      </c>
      <c r="I1239" s="7">
        <f>IF(OR(G1239="",G1239="Cancelled",G1239="Mixed"),1,0)</f>
        <v>0</v>
      </c>
      <c r="J1239" s="7">
        <f>IF(OR(H1239="",H1239="Mixed"),1,0)</f>
        <v>0</v>
      </c>
      <c r="K1239" s="7">
        <f>IF(AND(C1239=0,D1239=0),IF(OR(AND(I1239=0,NOT(EXACT(Raw_Passengers!F1239,G1239))),AND(J1239=0,NOT(EXACT(Raw_Passengers!G1239,H1239)))),1,0),0)</f>
        <v>0</v>
      </c>
      <c r="L1239" s="7">
        <f>IF(AND(C1239=0,D1239=0,I1239=1),1,0)</f>
        <v>0</v>
      </c>
      <c r="M1239" s="7">
        <f>IF(AND(C1239=0,D1239=0,J1239=1),1,0)</f>
        <v>0</v>
      </c>
    </row>
    <row r="1240" spans="1:13">
      <c r="A1240" s="7">
        <f>Raw_Passengers!A1240</f>
        <v>387819</v>
      </c>
      <c r="B1240" s="7">
        <f>Raw_Passengers!B1240</f>
        <v>1192481</v>
      </c>
      <c r="C1240" s="7">
        <f>IF(COUNTIF(Raw_Passengers!$A$2:A1240,Raw_Passengers!A1240)&gt;1,1,0)</f>
        <v>0</v>
      </c>
      <c r="D1240" s="7">
        <f>IF(COUNTIF(Raw_Bookings!$A$2:$A$648,Raw_Passengers!B1240)=0,1,0)</f>
        <v>0</v>
      </c>
      <c r="E1240" s="7">
        <f>IF(OR(C1240=1,D1240=1),0,IF(NOT(ISNUMBER(Raw_Passengers!E1240)),1,IF(Raw_Passengers!E1240&lt;=0,1,0)))</f>
        <v>0</v>
      </c>
      <c r="F1240" s="7">
        <f>IF(AND(C1240=0,D1240=0,TRIM(Raw_Passengers!D1240&amp;"")=""),1,0)</f>
        <v>0</v>
      </c>
      <c r="G1240" s="7" t="str">
        <f>IF(SUMPRODUCT(--(Lookup_Status!$A$2:$A$13=LOWER(TRIM(Raw_Passengers!F1240))))=0,"",INDEX(Lookup_Status!$B$2:$B$13,SUMPRODUCT((Lookup_Status!$A$2:$A$13=LOWER(TRIM(Raw_Passengers!F1240)))*(ROW(Lookup_Status!$A$2:$A$13)-1))))</f>
        <v>Waitlisted</v>
      </c>
      <c r="H1240" s="7" t="str">
        <f>IF(SUMPRODUCT(--(Lookup_Status!$A$2:$A$13=LOWER(TRIM(Raw_Passengers!G1240))))=0,"",INDEX(Lookup_Status!$B$2:$B$13,SUMPRODUCT((Lookup_Status!$A$2:$A$13=LOWER(TRIM(Raw_Passengers!G1240)))*(ROW(Lookup_Status!$A$2:$A$13)-1))))</f>
        <v>Cancelled</v>
      </c>
      <c r="I1240" s="7">
        <f>IF(OR(G1240="",G1240="Cancelled",G1240="Mixed"),1,0)</f>
        <v>0</v>
      </c>
      <c r="J1240" s="7">
        <f>IF(OR(H1240="",H1240="Mixed"),1,0)</f>
        <v>0</v>
      </c>
      <c r="K1240" s="7">
        <f>IF(AND(C1240=0,D1240=0),IF(OR(AND(I1240=0,NOT(EXACT(Raw_Passengers!F1240,G1240))),AND(J1240=0,NOT(EXACT(Raw_Passengers!G1240,H1240)))),1,0),0)</f>
        <v>0</v>
      </c>
      <c r="L1240" s="7">
        <f>IF(AND(C1240=0,D1240=0,I1240=1),1,0)</f>
        <v>0</v>
      </c>
      <c r="M1240" s="7">
        <f>IF(AND(C1240=0,D1240=0,J1240=1),1,0)</f>
        <v>0</v>
      </c>
    </row>
    <row r="1241" spans="1:13">
      <c r="A1241" s="7">
        <f>Raw_Passengers!A1241</f>
        <v>388372</v>
      </c>
      <c r="B1241" s="7">
        <f>Raw_Passengers!B1241</f>
        <v>1192749</v>
      </c>
      <c r="C1241" s="7">
        <f>IF(COUNTIF(Raw_Passengers!$A$2:A1241,Raw_Passengers!A1241)&gt;1,1,0)</f>
        <v>0</v>
      </c>
      <c r="D1241" s="7">
        <f>IF(COUNTIF(Raw_Bookings!$A$2:$A$648,Raw_Passengers!B1241)=0,1,0)</f>
        <v>0</v>
      </c>
      <c r="E1241" s="7">
        <f>IF(OR(C1241=1,D1241=1),0,IF(NOT(ISNUMBER(Raw_Passengers!E1241)),1,IF(Raw_Passengers!E1241&lt;=0,1,0)))</f>
        <v>0</v>
      </c>
      <c r="F1241" s="7">
        <f>IF(AND(C1241=0,D1241=0,TRIM(Raw_Passengers!D1241&amp;"")=""),1,0)</f>
        <v>0</v>
      </c>
      <c r="G1241" s="7" t="str">
        <f>IF(SUMPRODUCT(--(Lookup_Status!$A$2:$A$13=LOWER(TRIM(Raw_Passengers!F1241))))=0,"",INDEX(Lookup_Status!$B$2:$B$13,SUMPRODUCT((Lookup_Status!$A$2:$A$13=LOWER(TRIM(Raw_Passengers!F1241)))*(ROW(Lookup_Status!$A$2:$A$13)-1))))</f>
        <v>Confirmed</v>
      </c>
      <c r="H1241" s="7" t="str">
        <f>IF(SUMPRODUCT(--(Lookup_Status!$A$2:$A$13=LOWER(TRIM(Raw_Passengers!G1241))))=0,"",INDEX(Lookup_Status!$B$2:$B$13,SUMPRODUCT((Lookup_Status!$A$2:$A$13=LOWER(TRIM(Raw_Passengers!G1241)))*(ROW(Lookup_Status!$A$2:$A$13)-1))))</f>
        <v>Confirmed</v>
      </c>
      <c r="I1241" s="7">
        <f>IF(OR(G1241="",G1241="Cancelled",G1241="Mixed"),1,0)</f>
        <v>0</v>
      </c>
      <c r="J1241" s="7">
        <f>IF(OR(H1241="",H1241="Mixed"),1,0)</f>
        <v>0</v>
      </c>
      <c r="K1241" s="7">
        <f>IF(AND(C1241=0,D1241=0),IF(OR(AND(I1241=0,NOT(EXACT(Raw_Passengers!F1241,G1241))),AND(J1241=0,NOT(EXACT(Raw_Passengers!G1241,H1241)))),1,0),0)</f>
        <v>0</v>
      </c>
      <c r="L1241" s="7">
        <f>IF(AND(C1241=0,D1241=0,I1241=1),1,0)</f>
        <v>0</v>
      </c>
      <c r="M1241" s="7">
        <f>IF(AND(C1241=0,D1241=0,J1241=1),1,0)</f>
        <v>0</v>
      </c>
    </row>
    <row r="1242" spans="1:13">
      <c r="A1242" s="7">
        <f>Raw_Passengers!A1242</f>
        <v>388373</v>
      </c>
      <c r="B1242" s="7">
        <f>Raw_Passengers!B1242</f>
        <v>1192749</v>
      </c>
      <c r="C1242" s="7">
        <f>IF(COUNTIF(Raw_Passengers!$A$2:A1242,Raw_Passengers!A1242)&gt;1,1,0)</f>
        <v>0</v>
      </c>
      <c r="D1242" s="7">
        <f>IF(COUNTIF(Raw_Bookings!$A$2:$A$648,Raw_Passengers!B1242)=0,1,0)</f>
        <v>0</v>
      </c>
      <c r="E1242" s="7">
        <f>IF(OR(C1242=1,D1242=1),0,IF(NOT(ISNUMBER(Raw_Passengers!E1242)),1,IF(Raw_Passengers!E1242&lt;=0,1,0)))</f>
        <v>0</v>
      </c>
      <c r="F1242" s="7">
        <f>IF(AND(C1242=0,D1242=0,TRIM(Raw_Passengers!D1242&amp;"")=""),1,0)</f>
        <v>0</v>
      </c>
      <c r="G1242" s="7" t="str">
        <f>IF(SUMPRODUCT(--(Lookup_Status!$A$2:$A$13=LOWER(TRIM(Raw_Passengers!F1242))))=0,"",INDEX(Lookup_Status!$B$2:$B$13,SUMPRODUCT((Lookup_Status!$A$2:$A$13=LOWER(TRIM(Raw_Passengers!F1242)))*(ROW(Lookup_Status!$A$2:$A$13)-1))))</f>
        <v>Confirmed</v>
      </c>
      <c r="H1242" s="7" t="str">
        <f>IF(SUMPRODUCT(--(Lookup_Status!$A$2:$A$13=LOWER(TRIM(Raw_Passengers!G1242))))=0,"",INDEX(Lookup_Status!$B$2:$B$13,SUMPRODUCT((Lookup_Status!$A$2:$A$13=LOWER(TRIM(Raw_Passengers!G1242)))*(ROW(Lookup_Status!$A$2:$A$13)-1))))</f>
        <v>Confirmed</v>
      </c>
      <c r="I1242" s="7">
        <f>IF(OR(G1242="",G1242="Cancelled",G1242="Mixed"),1,0)</f>
        <v>0</v>
      </c>
      <c r="J1242" s="7">
        <f>IF(OR(H1242="",H1242="Mixed"),1,0)</f>
        <v>0</v>
      </c>
      <c r="K1242" s="7">
        <f>IF(AND(C1242=0,D1242=0),IF(OR(AND(I1242=0,NOT(EXACT(Raw_Passengers!F1242,G1242))),AND(J1242=0,NOT(EXACT(Raw_Passengers!G1242,H1242)))),1,0),0)</f>
        <v>0</v>
      </c>
      <c r="L1242" s="7">
        <f>IF(AND(C1242=0,D1242=0,I1242=1),1,0)</f>
        <v>0</v>
      </c>
      <c r="M1242" s="7">
        <f>IF(AND(C1242=0,D1242=0,J1242=1),1,0)</f>
        <v>0</v>
      </c>
    </row>
    <row r="1243" spans="1:13">
      <c r="A1243" s="7">
        <f>Raw_Passengers!A1243</f>
        <v>388380</v>
      </c>
      <c r="B1243" s="7">
        <f>Raw_Passengers!B1243</f>
        <v>1192751</v>
      </c>
      <c r="C1243" s="7">
        <f>IF(COUNTIF(Raw_Passengers!$A$2:A1243,Raw_Passengers!A1243)&gt;1,1,0)</f>
        <v>0</v>
      </c>
      <c r="D1243" s="7">
        <f>IF(COUNTIF(Raw_Bookings!$A$2:$A$648,Raw_Passengers!B1243)=0,1,0)</f>
        <v>0</v>
      </c>
      <c r="E1243" s="7">
        <f>IF(OR(C1243=1,D1243=1),0,IF(NOT(ISNUMBER(Raw_Passengers!E1243)),1,IF(Raw_Passengers!E1243&lt;=0,1,0)))</f>
        <v>0</v>
      </c>
      <c r="F1243" s="7">
        <f>IF(AND(C1243=0,D1243=0,TRIM(Raw_Passengers!D1243&amp;"")=""),1,0)</f>
        <v>0</v>
      </c>
      <c r="G1243" s="7" t="str">
        <f>IF(SUMPRODUCT(--(Lookup_Status!$A$2:$A$13=LOWER(TRIM(Raw_Passengers!F1243))))=0,"",INDEX(Lookup_Status!$B$2:$B$13,SUMPRODUCT((Lookup_Status!$A$2:$A$13=LOWER(TRIM(Raw_Passengers!F1243)))*(ROW(Lookup_Status!$A$2:$A$13)-1))))</f>
        <v>Confirmed</v>
      </c>
      <c r="H1243" s="7" t="str">
        <f>IF(SUMPRODUCT(--(Lookup_Status!$A$2:$A$13=LOWER(TRIM(Raw_Passengers!G1243))))=0,"",INDEX(Lookup_Status!$B$2:$B$13,SUMPRODUCT((Lookup_Status!$A$2:$A$13=LOWER(TRIM(Raw_Passengers!G1243)))*(ROW(Lookup_Status!$A$2:$A$13)-1))))</f>
        <v>Confirmed</v>
      </c>
      <c r="I1243" s="7">
        <f>IF(OR(G1243="",G1243="Cancelled",G1243="Mixed"),1,0)</f>
        <v>0</v>
      </c>
      <c r="J1243" s="7">
        <f>IF(OR(H1243="",H1243="Mixed"),1,0)</f>
        <v>0</v>
      </c>
      <c r="K1243" s="7">
        <f>IF(AND(C1243=0,D1243=0),IF(OR(AND(I1243=0,NOT(EXACT(Raw_Passengers!F1243,G1243))),AND(J1243=0,NOT(EXACT(Raw_Passengers!G1243,H1243)))),1,0),0)</f>
        <v>0</v>
      </c>
      <c r="L1243" s="7">
        <f>IF(AND(C1243=0,D1243=0,I1243=1),1,0)</f>
        <v>0</v>
      </c>
      <c r="M1243" s="7">
        <f>IF(AND(C1243=0,D1243=0,J1243=1),1,0)</f>
        <v>0</v>
      </c>
    </row>
    <row r="1244" spans="1:13">
      <c r="A1244" s="7">
        <f>Raw_Passengers!A1244</f>
        <v>388381</v>
      </c>
      <c r="B1244" s="7">
        <f>Raw_Passengers!B1244</f>
        <v>1192751</v>
      </c>
      <c r="C1244" s="7">
        <f>IF(COUNTIF(Raw_Passengers!$A$2:A1244,Raw_Passengers!A1244)&gt;1,1,0)</f>
        <v>0</v>
      </c>
      <c r="D1244" s="7">
        <f>IF(COUNTIF(Raw_Bookings!$A$2:$A$648,Raw_Passengers!B1244)=0,1,0)</f>
        <v>0</v>
      </c>
      <c r="E1244" s="7">
        <f>IF(OR(C1244=1,D1244=1),0,IF(NOT(ISNUMBER(Raw_Passengers!E1244)),1,IF(Raw_Passengers!E1244&lt;=0,1,0)))</f>
        <v>0</v>
      </c>
      <c r="F1244" s="7">
        <f>IF(AND(C1244=0,D1244=0,TRIM(Raw_Passengers!D1244&amp;"")=""),1,0)</f>
        <v>0</v>
      </c>
      <c r="G1244" s="7" t="str">
        <f>IF(SUMPRODUCT(--(Lookup_Status!$A$2:$A$13=LOWER(TRIM(Raw_Passengers!F1244))))=0,"",INDEX(Lookup_Status!$B$2:$B$13,SUMPRODUCT((Lookup_Status!$A$2:$A$13=LOWER(TRIM(Raw_Passengers!F1244)))*(ROW(Lookup_Status!$A$2:$A$13)-1))))</f>
        <v>Confirmed</v>
      </c>
      <c r="H1244" s="7" t="str">
        <f>IF(SUMPRODUCT(--(Lookup_Status!$A$2:$A$13=LOWER(TRIM(Raw_Passengers!G1244))))=0,"",INDEX(Lookup_Status!$B$2:$B$13,SUMPRODUCT((Lookup_Status!$A$2:$A$13=LOWER(TRIM(Raw_Passengers!G1244)))*(ROW(Lookup_Status!$A$2:$A$13)-1))))</f>
        <v>Confirmed</v>
      </c>
      <c r="I1244" s="7">
        <f>IF(OR(G1244="",G1244="Cancelled",G1244="Mixed"),1,0)</f>
        <v>0</v>
      </c>
      <c r="J1244" s="7">
        <f>IF(OR(H1244="",H1244="Mixed"),1,0)</f>
        <v>0</v>
      </c>
      <c r="K1244" s="7">
        <f>IF(AND(C1244=0,D1244=0),IF(OR(AND(I1244=0,NOT(EXACT(Raw_Passengers!F1244,G1244))),AND(J1244=0,NOT(EXACT(Raw_Passengers!G1244,H1244)))),1,0),0)</f>
        <v>0</v>
      </c>
      <c r="L1244" s="7">
        <f>IF(AND(C1244=0,D1244=0,I1244=1),1,0)</f>
        <v>0</v>
      </c>
      <c r="M1244" s="7">
        <f>IF(AND(C1244=0,D1244=0,J1244=1),1,0)</f>
        <v>0</v>
      </c>
    </row>
    <row r="1245" spans="1:13">
      <c r="A1245" s="7">
        <f>Raw_Passengers!A1245</f>
        <v>388382</v>
      </c>
      <c r="B1245" s="7">
        <f>Raw_Passengers!B1245</f>
        <v>1192751</v>
      </c>
      <c r="C1245" s="7">
        <f>IF(COUNTIF(Raw_Passengers!$A$2:A1245,Raw_Passengers!A1245)&gt;1,1,0)</f>
        <v>0</v>
      </c>
      <c r="D1245" s="7">
        <f>IF(COUNTIF(Raw_Bookings!$A$2:$A$648,Raw_Passengers!B1245)=0,1,0)</f>
        <v>0</v>
      </c>
      <c r="E1245" s="7">
        <f>IF(OR(C1245=1,D1245=1),0,IF(NOT(ISNUMBER(Raw_Passengers!E1245)),1,IF(Raw_Passengers!E1245&lt;=0,1,0)))</f>
        <v>0</v>
      </c>
      <c r="F1245" s="7">
        <f>IF(AND(C1245=0,D1245=0,TRIM(Raw_Passengers!D1245&amp;"")=""),1,0)</f>
        <v>0</v>
      </c>
      <c r="G1245" s="7" t="str">
        <f>IF(SUMPRODUCT(--(Lookup_Status!$A$2:$A$13=LOWER(TRIM(Raw_Passengers!F1245))))=0,"",INDEX(Lookup_Status!$B$2:$B$13,SUMPRODUCT((Lookup_Status!$A$2:$A$13=LOWER(TRIM(Raw_Passengers!F1245)))*(ROW(Lookup_Status!$A$2:$A$13)-1))))</f>
        <v>Confirmed</v>
      </c>
      <c r="H1245" s="7" t="str">
        <f>IF(SUMPRODUCT(--(Lookup_Status!$A$2:$A$13=LOWER(TRIM(Raw_Passengers!G1245))))=0,"",INDEX(Lookup_Status!$B$2:$B$13,SUMPRODUCT((Lookup_Status!$A$2:$A$13=LOWER(TRIM(Raw_Passengers!G1245)))*(ROW(Lookup_Status!$A$2:$A$13)-1))))</f>
        <v>Confirmed</v>
      </c>
      <c r="I1245" s="7">
        <f>IF(OR(G1245="",G1245="Cancelled",G1245="Mixed"),1,0)</f>
        <v>0</v>
      </c>
      <c r="J1245" s="7">
        <f>IF(OR(H1245="",H1245="Mixed"),1,0)</f>
        <v>0</v>
      </c>
      <c r="K1245" s="7">
        <f>IF(AND(C1245=0,D1245=0),IF(OR(AND(I1245=0,NOT(EXACT(Raw_Passengers!F1245,G1245))),AND(J1245=0,NOT(EXACT(Raw_Passengers!G1245,H1245)))),1,0),0)</f>
        <v>0</v>
      </c>
      <c r="L1245" s="7">
        <f>IF(AND(C1245=0,D1245=0,I1245=1),1,0)</f>
        <v>0</v>
      </c>
      <c r="M1245" s="7">
        <f>IF(AND(C1245=0,D1245=0,J1245=1),1,0)</f>
        <v>0</v>
      </c>
    </row>
    <row r="1246" spans="1:13">
      <c r="A1246" s="7">
        <f>Raw_Passengers!A1246</f>
        <v>388383</v>
      </c>
      <c r="B1246" s="7">
        <f>Raw_Passengers!B1246</f>
        <v>1192751</v>
      </c>
      <c r="C1246" s="7">
        <f>IF(COUNTIF(Raw_Passengers!$A$2:A1246,Raw_Passengers!A1246)&gt;1,1,0)</f>
        <v>0</v>
      </c>
      <c r="D1246" s="7">
        <f>IF(COUNTIF(Raw_Bookings!$A$2:$A$648,Raw_Passengers!B1246)=0,1,0)</f>
        <v>0</v>
      </c>
      <c r="E1246" s="7">
        <f>IF(OR(C1246=1,D1246=1),0,IF(NOT(ISNUMBER(Raw_Passengers!E1246)),1,IF(Raw_Passengers!E1246&lt;=0,1,0)))</f>
        <v>0</v>
      </c>
      <c r="F1246" s="7">
        <f>IF(AND(C1246=0,D1246=0,TRIM(Raw_Passengers!D1246&amp;"")=""),1,0)</f>
        <v>0</v>
      </c>
      <c r="G1246" s="7" t="str">
        <f>IF(SUMPRODUCT(--(Lookup_Status!$A$2:$A$13=LOWER(TRIM(Raw_Passengers!F1246))))=0,"",INDEX(Lookup_Status!$B$2:$B$13,SUMPRODUCT((Lookup_Status!$A$2:$A$13=LOWER(TRIM(Raw_Passengers!F1246)))*(ROW(Lookup_Status!$A$2:$A$13)-1))))</f>
        <v>Confirmed</v>
      </c>
      <c r="H1246" s="7" t="str">
        <f>IF(SUMPRODUCT(--(Lookup_Status!$A$2:$A$13=LOWER(TRIM(Raw_Passengers!G1246))))=0,"",INDEX(Lookup_Status!$B$2:$B$13,SUMPRODUCT((Lookup_Status!$A$2:$A$13=LOWER(TRIM(Raw_Passengers!G1246)))*(ROW(Lookup_Status!$A$2:$A$13)-1))))</f>
        <v>Confirmed</v>
      </c>
      <c r="I1246" s="7">
        <f>IF(OR(G1246="",G1246="Cancelled",G1246="Mixed"),1,0)</f>
        <v>0</v>
      </c>
      <c r="J1246" s="7">
        <f>IF(OR(H1246="",H1246="Mixed"),1,0)</f>
        <v>0</v>
      </c>
      <c r="K1246" s="7">
        <f>IF(AND(C1246=0,D1246=0),IF(OR(AND(I1246=0,NOT(EXACT(Raw_Passengers!F1246,G1246))),AND(J1246=0,NOT(EXACT(Raw_Passengers!G1246,H1246)))),1,0),0)</f>
        <v>0</v>
      </c>
      <c r="L1246" s="7">
        <f>IF(AND(C1246=0,D1246=0,I1246=1),1,0)</f>
        <v>0</v>
      </c>
      <c r="M1246" s="7">
        <f>IF(AND(C1246=0,D1246=0,J1246=1),1,0)</f>
        <v>0</v>
      </c>
    </row>
    <row r="1247" spans="1:13">
      <c r="A1247" s="7">
        <f>Raw_Passengers!A1247</f>
        <v>388384</v>
      </c>
      <c r="B1247" s="7">
        <f>Raw_Passengers!B1247</f>
        <v>1192751</v>
      </c>
      <c r="C1247" s="7">
        <f>IF(COUNTIF(Raw_Passengers!$A$2:A1247,Raw_Passengers!A1247)&gt;1,1,0)</f>
        <v>0</v>
      </c>
      <c r="D1247" s="7">
        <f>IF(COUNTIF(Raw_Bookings!$A$2:$A$648,Raw_Passengers!B1247)=0,1,0)</f>
        <v>0</v>
      </c>
      <c r="E1247" s="7">
        <f>IF(OR(C1247=1,D1247=1),0,IF(NOT(ISNUMBER(Raw_Passengers!E1247)),1,IF(Raw_Passengers!E1247&lt;=0,1,0)))</f>
        <v>0</v>
      </c>
      <c r="F1247" s="7">
        <f>IF(AND(C1247=0,D1247=0,TRIM(Raw_Passengers!D1247&amp;"")=""),1,0)</f>
        <v>0</v>
      </c>
      <c r="G1247" s="7" t="str">
        <f>IF(SUMPRODUCT(--(Lookup_Status!$A$2:$A$13=LOWER(TRIM(Raw_Passengers!F1247))))=0,"",INDEX(Lookup_Status!$B$2:$B$13,SUMPRODUCT((Lookup_Status!$A$2:$A$13=LOWER(TRIM(Raw_Passengers!F1247)))*(ROW(Lookup_Status!$A$2:$A$13)-1))))</f>
        <v>Confirmed</v>
      </c>
      <c r="H1247" s="7" t="str">
        <f>IF(SUMPRODUCT(--(Lookup_Status!$A$2:$A$13=LOWER(TRIM(Raw_Passengers!G1247))))=0,"",INDEX(Lookup_Status!$B$2:$B$13,SUMPRODUCT((Lookup_Status!$A$2:$A$13=LOWER(TRIM(Raw_Passengers!G1247)))*(ROW(Lookup_Status!$A$2:$A$13)-1))))</f>
        <v>Confirmed</v>
      </c>
      <c r="I1247" s="7">
        <f>IF(OR(G1247="",G1247="Cancelled",G1247="Mixed"),1,0)</f>
        <v>0</v>
      </c>
      <c r="J1247" s="7">
        <f>IF(OR(H1247="",H1247="Mixed"),1,0)</f>
        <v>0</v>
      </c>
      <c r="K1247" s="7">
        <f>IF(AND(C1247=0,D1247=0),IF(OR(AND(I1247=0,NOT(EXACT(Raw_Passengers!F1247,G1247))),AND(J1247=0,NOT(EXACT(Raw_Passengers!G1247,H1247)))),1,0),0)</f>
        <v>0</v>
      </c>
      <c r="L1247" s="7">
        <f>IF(AND(C1247=0,D1247=0,I1247=1),1,0)</f>
        <v>0</v>
      </c>
      <c r="M1247" s="7">
        <f>IF(AND(C1247=0,D1247=0,J1247=1),1,0)</f>
        <v>0</v>
      </c>
    </row>
    <row r="1248" spans="1:13">
      <c r="A1248" s="7">
        <f>Raw_Passengers!A1248</f>
        <v>388385</v>
      </c>
      <c r="B1248" s="7">
        <f>Raw_Passengers!B1248</f>
        <v>1192751</v>
      </c>
      <c r="C1248" s="7">
        <f>IF(COUNTIF(Raw_Passengers!$A$2:A1248,Raw_Passengers!A1248)&gt;1,1,0)</f>
        <v>0</v>
      </c>
      <c r="D1248" s="7">
        <f>IF(COUNTIF(Raw_Bookings!$A$2:$A$648,Raw_Passengers!B1248)=0,1,0)</f>
        <v>0</v>
      </c>
      <c r="E1248" s="7">
        <f>IF(OR(C1248=1,D1248=1),0,IF(NOT(ISNUMBER(Raw_Passengers!E1248)),1,IF(Raw_Passengers!E1248&lt;=0,1,0)))</f>
        <v>0</v>
      </c>
      <c r="F1248" s="7">
        <f>IF(AND(C1248=0,D1248=0,TRIM(Raw_Passengers!D1248&amp;"")=""),1,0)</f>
        <v>0</v>
      </c>
      <c r="G1248" s="7" t="str">
        <f>IF(SUMPRODUCT(--(Lookup_Status!$A$2:$A$13=LOWER(TRIM(Raw_Passengers!F1248))))=0,"",INDEX(Lookup_Status!$B$2:$B$13,SUMPRODUCT((Lookup_Status!$A$2:$A$13=LOWER(TRIM(Raw_Passengers!F1248)))*(ROW(Lookup_Status!$A$2:$A$13)-1))))</f>
        <v>Confirmed</v>
      </c>
      <c r="H1248" s="7" t="str">
        <f>IF(SUMPRODUCT(--(Lookup_Status!$A$2:$A$13=LOWER(TRIM(Raw_Passengers!G1248))))=0,"",INDEX(Lookup_Status!$B$2:$B$13,SUMPRODUCT((Lookup_Status!$A$2:$A$13=LOWER(TRIM(Raw_Passengers!G1248)))*(ROW(Lookup_Status!$A$2:$A$13)-1))))</f>
        <v>Confirmed</v>
      </c>
      <c r="I1248" s="7">
        <f>IF(OR(G1248="",G1248="Cancelled",G1248="Mixed"),1,0)</f>
        <v>0</v>
      </c>
      <c r="J1248" s="7">
        <f>IF(OR(H1248="",H1248="Mixed"),1,0)</f>
        <v>0</v>
      </c>
      <c r="K1248" s="7">
        <f>IF(AND(C1248=0,D1248=0),IF(OR(AND(I1248=0,NOT(EXACT(Raw_Passengers!F1248,G1248))),AND(J1248=0,NOT(EXACT(Raw_Passengers!G1248,H1248)))),1,0),0)</f>
        <v>0</v>
      </c>
      <c r="L1248" s="7">
        <f>IF(AND(C1248=0,D1248=0,I1248=1),1,0)</f>
        <v>0</v>
      </c>
      <c r="M1248" s="7">
        <f>IF(AND(C1248=0,D1248=0,J1248=1),1,0)</f>
        <v>0</v>
      </c>
    </row>
    <row r="1249" spans="1:13">
      <c r="A1249" s="7">
        <f>Raw_Passengers!A1249</f>
        <v>388488</v>
      </c>
      <c r="B1249" s="7">
        <f>Raw_Passengers!B1249</f>
        <v>1192802</v>
      </c>
      <c r="C1249" s="7">
        <f>IF(COUNTIF(Raw_Passengers!$A$2:A1249,Raw_Passengers!A1249)&gt;1,1,0)</f>
        <v>0</v>
      </c>
      <c r="D1249" s="7">
        <f>IF(COUNTIF(Raw_Bookings!$A$2:$A$648,Raw_Passengers!B1249)=0,1,0)</f>
        <v>0</v>
      </c>
      <c r="E1249" s="7">
        <f>IF(OR(C1249=1,D1249=1),0,IF(NOT(ISNUMBER(Raw_Passengers!E1249)),1,IF(Raw_Passengers!E1249&lt;=0,1,0)))</f>
        <v>0</v>
      </c>
      <c r="F1249" s="7">
        <f>IF(AND(C1249=0,D1249=0,TRIM(Raw_Passengers!D1249&amp;"")=""),1,0)</f>
        <v>0</v>
      </c>
      <c r="G1249" s="7" t="str">
        <f>IF(SUMPRODUCT(--(Lookup_Status!$A$2:$A$13=LOWER(TRIM(Raw_Passengers!F1249))))=0,"",INDEX(Lookup_Status!$B$2:$B$13,SUMPRODUCT((Lookup_Status!$A$2:$A$13=LOWER(TRIM(Raw_Passengers!F1249)))*(ROW(Lookup_Status!$A$2:$A$13)-1))))</f>
        <v>Confirmed</v>
      </c>
      <c r="H1249" s="7" t="str">
        <f>IF(SUMPRODUCT(--(Lookup_Status!$A$2:$A$13=LOWER(TRIM(Raw_Passengers!G1249))))=0,"",INDEX(Lookup_Status!$B$2:$B$13,SUMPRODUCT((Lookup_Status!$A$2:$A$13=LOWER(TRIM(Raw_Passengers!G1249)))*(ROW(Lookup_Status!$A$2:$A$13)-1))))</f>
        <v>Confirmed</v>
      </c>
      <c r="I1249" s="7">
        <f>IF(OR(G1249="",G1249="Cancelled",G1249="Mixed"),1,0)</f>
        <v>0</v>
      </c>
      <c r="J1249" s="7">
        <f>IF(OR(H1249="",H1249="Mixed"),1,0)</f>
        <v>0</v>
      </c>
      <c r="K1249" s="7">
        <f>IF(AND(C1249=0,D1249=0),IF(OR(AND(I1249=0,NOT(EXACT(Raw_Passengers!F1249,G1249))),AND(J1249=0,NOT(EXACT(Raw_Passengers!G1249,H1249)))),1,0),0)</f>
        <v>0</v>
      </c>
      <c r="L1249" s="7">
        <f>IF(AND(C1249=0,D1249=0,I1249=1),1,0)</f>
        <v>0</v>
      </c>
      <c r="M1249" s="7">
        <f>IF(AND(C1249=0,D1249=0,J1249=1),1,0)</f>
        <v>0</v>
      </c>
    </row>
    <row r="1250" spans="1:13">
      <c r="A1250" s="7">
        <f>Raw_Passengers!A1250</f>
        <v>388489</v>
      </c>
      <c r="B1250" s="7">
        <f>Raw_Passengers!B1250</f>
        <v>1192802</v>
      </c>
      <c r="C1250" s="7">
        <f>IF(COUNTIF(Raw_Passengers!$A$2:A1250,Raw_Passengers!A1250)&gt;1,1,0)</f>
        <v>0</v>
      </c>
      <c r="D1250" s="7">
        <f>IF(COUNTIF(Raw_Bookings!$A$2:$A$648,Raw_Passengers!B1250)=0,1,0)</f>
        <v>0</v>
      </c>
      <c r="E1250" s="7">
        <f>IF(OR(C1250=1,D1250=1),0,IF(NOT(ISNUMBER(Raw_Passengers!E1250)),1,IF(Raw_Passengers!E1250&lt;=0,1,0)))</f>
        <v>0</v>
      </c>
      <c r="F1250" s="7">
        <f>IF(AND(C1250=0,D1250=0,TRIM(Raw_Passengers!D1250&amp;"")=""),1,0)</f>
        <v>0</v>
      </c>
      <c r="G1250" s="7" t="str">
        <f>IF(SUMPRODUCT(--(Lookup_Status!$A$2:$A$13=LOWER(TRIM(Raw_Passengers!F1250))))=0,"",INDEX(Lookup_Status!$B$2:$B$13,SUMPRODUCT((Lookup_Status!$A$2:$A$13=LOWER(TRIM(Raw_Passengers!F1250)))*(ROW(Lookup_Status!$A$2:$A$13)-1))))</f>
        <v>Confirmed</v>
      </c>
      <c r="H1250" s="7" t="str">
        <f>IF(SUMPRODUCT(--(Lookup_Status!$A$2:$A$13=LOWER(TRIM(Raw_Passengers!G1250))))=0,"",INDEX(Lookup_Status!$B$2:$B$13,SUMPRODUCT((Lookup_Status!$A$2:$A$13=LOWER(TRIM(Raw_Passengers!G1250)))*(ROW(Lookup_Status!$A$2:$A$13)-1))))</f>
        <v>Confirmed</v>
      </c>
      <c r="I1250" s="7">
        <f>IF(OR(G1250="",G1250="Cancelled",G1250="Mixed"),1,0)</f>
        <v>0</v>
      </c>
      <c r="J1250" s="7">
        <f>IF(OR(H1250="",H1250="Mixed"),1,0)</f>
        <v>0</v>
      </c>
      <c r="K1250" s="7">
        <f>IF(AND(C1250=0,D1250=0),IF(OR(AND(I1250=0,NOT(EXACT(Raw_Passengers!F1250,G1250))),AND(J1250=0,NOT(EXACT(Raw_Passengers!G1250,H1250)))),1,0),0)</f>
        <v>0</v>
      </c>
      <c r="L1250" s="7">
        <f>IF(AND(C1250=0,D1250=0,I1250=1),1,0)</f>
        <v>0</v>
      </c>
      <c r="M1250" s="7">
        <f>IF(AND(C1250=0,D1250=0,J1250=1),1,0)</f>
        <v>0</v>
      </c>
    </row>
    <row r="1251" spans="1:13">
      <c r="A1251" s="7">
        <f>Raw_Passengers!A1251</f>
        <v>388490</v>
      </c>
      <c r="B1251" s="7">
        <f>Raw_Passengers!B1251</f>
        <v>1192802</v>
      </c>
      <c r="C1251" s="7">
        <f>IF(COUNTIF(Raw_Passengers!$A$2:A1251,Raw_Passengers!A1251)&gt;1,1,0)</f>
        <v>0</v>
      </c>
      <c r="D1251" s="7">
        <f>IF(COUNTIF(Raw_Bookings!$A$2:$A$648,Raw_Passengers!B1251)=0,1,0)</f>
        <v>0</v>
      </c>
      <c r="E1251" s="7">
        <f>IF(OR(C1251=1,D1251=1),0,IF(NOT(ISNUMBER(Raw_Passengers!E1251)),1,IF(Raw_Passengers!E1251&lt;=0,1,0)))</f>
        <v>0</v>
      </c>
      <c r="F1251" s="7">
        <f>IF(AND(C1251=0,D1251=0,TRIM(Raw_Passengers!D1251&amp;"")=""),1,0)</f>
        <v>0</v>
      </c>
      <c r="G1251" s="7" t="str">
        <f>IF(SUMPRODUCT(--(Lookup_Status!$A$2:$A$13=LOWER(TRIM(Raw_Passengers!F1251))))=0,"",INDEX(Lookup_Status!$B$2:$B$13,SUMPRODUCT((Lookup_Status!$A$2:$A$13=LOWER(TRIM(Raw_Passengers!F1251)))*(ROW(Lookup_Status!$A$2:$A$13)-1))))</f>
        <v>Confirmed</v>
      </c>
      <c r="H1251" s="7" t="str">
        <f>IF(SUMPRODUCT(--(Lookup_Status!$A$2:$A$13=LOWER(TRIM(Raw_Passengers!G1251))))=0,"",INDEX(Lookup_Status!$B$2:$B$13,SUMPRODUCT((Lookup_Status!$A$2:$A$13=LOWER(TRIM(Raw_Passengers!G1251)))*(ROW(Lookup_Status!$A$2:$A$13)-1))))</f>
        <v>Confirmed</v>
      </c>
      <c r="I1251" s="7">
        <f>IF(OR(G1251="",G1251="Cancelled",G1251="Mixed"),1,0)</f>
        <v>0</v>
      </c>
      <c r="J1251" s="7">
        <f>IF(OR(H1251="",H1251="Mixed"),1,0)</f>
        <v>0</v>
      </c>
      <c r="K1251" s="7">
        <f>IF(AND(C1251=0,D1251=0),IF(OR(AND(I1251=0,NOT(EXACT(Raw_Passengers!F1251,G1251))),AND(J1251=0,NOT(EXACT(Raw_Passengers!G1251,H1251)))),1,0),0)</f>
        <v>0</v>
      </c>
      <c r="L1251" s="7">
        <f>IF(AND(C1251=0,D1251=0,I1251=1),1,0)</f>
        <v>0</v>
      </c>
      <c r="M1251" s="7">
        <f>IF(AND(C1251=0,D1251=0,J1251=1),1,0)</f>
        <v>0</v>
      </c>
    </row>
    <row r="1252" spans="1:13">
      <c r="A1252" s="7">
        <f>Raw_Passengers!A1252</f>
        <v>388897</v>
      </c>
      <c r="B1252" s="7">
        <f>Raw_Passengers!B1252</f>
        <v>1193016</v>
      </c>
      <c r="C1252" s="7">
        <f>IF(COUNTIF(Raw_Passengers!$A$2:A1252,Raw_Passengers!A1252)&gt;1,1,0)</f>
        <v>0</v>
      </c>
      <c r="D1252" s="7">
        <f>IF(COUNTIF(Raw_Bookings!$A$2:$A$648,Raw_Passengers!B1252)=0,1,0)</f>
        <v>0</v>
      </c>
      <c r="E1252" s="7">
        <f>IF(OR(C1252=1,D1252=1),0,IF(NOT(ISNUMBER(Raw_Passengers!E1252)),1,IF(Raw_Passengers!E1252&lt;=0,1,0)))</f>
        <v>0</v>
      </c>
      <c r="F1252" s="7">
        <f>IF(AND(C1252=0,D1252=0,TRIM(Raw_Passengers!D1252&amp;"")=""),1,0)</f>
        <v>0</v>
      </c>
      <c r="G1252" s="7" t="str">
        <f>IF(SUMPRODUCT(--(Lookup_Status!$A$2:$A$13=LOWER(TRIM(Raw_Passengers!F1252))))=0,"",INDEX(Lookup_Status!$B$2:$B$13,SUMPRODUCT((Lookup_Status!$A$2:$A$13=LOWER(TRIM(Raw_Passengers!F1252)))*(ROW(Lookup_Status!$A$2:$A$13)-1))))</f>
        <v>Confirmed</v>
      </c>
      <c r="H1252" s="7" t="str">
        <f>IF(SUMPRODUCT(--(Lookup_Status!$A$2:$A$13=LOWER(TRIM(Raw_Passengers!G1252))))=0,"",INDEX(Lookup_Status!$B$2:$B$13,SUMPRODUCT((Lookup_Status!$A$2:$A$13=LOWER(TRIM(Raw_Passengers!G1252)))*(ROW(Lookup_Status!$A$2:$A$13)-1))))</f>
        <v>Confirmed</v>
      </c>
      <c r="I1252" s="7">
        <f>IF(OR(G1252="",G1252="Cancelled",G1252="Mixed"),1,0)</f>
        <v>0</v>
      </c>
      <c r="J1252" s="7">
        <f>IF(OR(H1252="",H1252="Mixed"),1,0)</f>
        <v>0</v>
      </c>
      <c r="K1252" s="7">
        <f>IF(AND(C1252=0,D1252=0),IF(OR(AND(I1252=0,NOT(EXACT(Raw_Passengers!F1252,G1252))),AND(J1252=0,NOT(EXACT(Raw_Passengers!G1252,H1252)))),1,0),0)</f>
        <v>0</v>
      </c>
      <c r="L1252" s="7">
        <f>IF(AND(C1252=0,D1252=0,I1252=1),1,0)</f>
        <v>0</v>
      </c>
      <c r="M1252" s="7">
        <f>IF(AND(C1252=0,D1252=0,J1252=1),1,0)</f>
        <v>0</v>
      </c>
    </row>
    <row r="1253" spans="1:13">
      <c r="A1253" s="7">
        <f>Raw_Passengers!A1253</f>
        <v>388898</v>
      </c>
      <c r="B1253" s="7">
        <f>Raw_Passengers!B1253</f>
        <v>1193016</v>
      </c>
      <c r="C1253" s="7">
        <f>IF(COUNTIF(Raw_Passengers!$A$2:A1253,Raw_Passengers!A1253)&gt;1,1,0)</f>
        <v>0</v>
      </c>
      <c r="D1253" s="7">
        <f>IF(COUNTIF(Raw_Bookings!$A$2:$A$648,Raw_Passengers!B1253)=0,1,0)</f>
        <v>0</v>
      </c>
      <c r="E1253" s="7">
        <f>IF(OR(C1253=1,D1253=1),0,IF(NOT(ISNUMBER(Raw_Passengers!E1253)),1,IF(Raw_Passengers!E1253&lt;=0,1,0)))</f>
        <v>0</v>
      </c>
      <c r="F1253" s="7">
        <f>IF(AND(C1253=0,D1253=0,TRIM(Raw_Passengers!D1253&amp;"")=""),1,0)</f>
        <v>0</v>
      </c>
      <c r="G1253" s="7" t="str">
        <f>IF(SUMPRODUCT(--(Lookup_Status!$A$2:$A$13=LOWER(TRIM(Raw_Passengers!F1253))))=0,"",INDEX(Lookup_Status!$B$2:$B$13,SUMPRODUCT((Lookup_Status!$A$2:$A$13=LOWER(TRIM(Raw_Passengers!F1253)))*(ROW(Lookup_Status!$A$2:$A$13)-1))))</f>
        <v>Confirmed</v>
      </c>
      <c r="H1253" s="7" t="str">
        <f>IF(SUMPRODUCT(--(Lookup_Status!$A$2:$A$13=LOWER(TRIM(Raw_Passengers!G1253))))=0,"",INDEX(Lookup_Status!$B$2:$B$13,SUMPRODUCT((Lookup_Status!$A$2:$A$13=LOWER(TRIM(Raw_Passengers!G1253)))*(ROW(Lookup_Status!$A$2:$A$13)-1))))</f>
        <v>Confirmed</v>
      </c>
      <c r="I1253" s="7">
        <f>IF(OR(G1253="",G1253="Cancelled",G1253="Mixed"),1,0)</f>
        <v>0</v>
      </c>
      <c r="J1253" s="7">
        <f>IF(OR(H1253="",H1253="Mixed"),1,0)</f>
        <v>0</v>
      </c>
      <c r="K1253" s="7">
        <f>IF(AND(C1253=0,D1253=0),IF(OR(AND(I1253=0,NOT(EXACT(Raw_Passengers!F1253,G1253))),AND(J1253=0,NOT(EXACT(Raw_Passengers!G1253,H1253)))),1,0),0)</f>
        <v>0</v>
      </c>
      <c r="L1253" s="7">
        <f>IF(AND(C1253=0,D1253=0,I1253=1),1,0)</f>
        <v>0</v>
      </c>
      <c r="M1253" s="7">
        <f>IF(AND(C1253=0,D1253=0,J1253=1),1,0)</f>
        <v>0</v>
      </c>
    </row>
    <row r="1254" spans="1:13">
      <c r="A1254" s="7">
        <f>Raw_Passengers!A1254</f>
        <v>388899</v>
      </c>
      <c r="B1254" s="7">
        <f>Raw_Passengers!B1254</f>
        <v>1193016</v>
      </c>
      <c r="C1254" s="7">
        <f>IF(COUNTIF(Raw_Passengers!$A$2:A1254,Raw_Passengers!A1254)&gt;1,1,0)</f>
        <v>0</v>
      </c>
      <c r="D1254" s="7">
        <f>IF(COUNTIF(Raw_Bookings!$A$2:$A$648,Raw_Passengers!B1254)=0,1,0)</f>
        <v>0</v>
      </c>
      <c r="E1254" s="7">
        <f>IF(OR(C1254=1,D1254=1),0,IF(NOT(ISNUMBER(Raw_Passengers!E1254)),1,IF(Raw_Passengers!E1254&lt;=0,1,0)))</f>
        <v>0</v>
      </c>
      <c r="F1254" s="7">
        <f>IF(AND(C1254=0,D1254=0,TRIM(Raw_Passengers!D1254&amp;"")=""),1,0)</f>
        <v>0</v>
      </c>
      <c r="G1254" s="7" t="str">
        <f>IF(SUMPRODUCT(--(Lookup_Status!$A$2:$A$13=LOWER(TRIM(Raw_Passengers!F1254))))=0,"",INDEX(Lookup_Status!$B$2:$B$13,SUMPRODUCT((Lookup_Status!$A$2:$A$13=LOWER(TRIM(Raw_Passengers!F1254)))*(ROW(Lookup_Status!$A$2:$A$13)-1))))</f>
        <v>Confirmed</v>
      </c>
      <c r="H1254" s="7" t="str">
        <f>IF(SUMPRODUCT(--(Lookup_Status!$A$2:$A$13=LOWER(TRIM(Raw_Passengers!G1254))))=0,"",INDEX(Lookup_Status!$B$2:$B$13,SUMPRODUCT((Lookup_Status!$A$2:$A$13=LOWER(TRIM(Raw_Passengers!G1254)))*(ROW(Lookup_Status!$A$2:$A$13)-1))))</f>
        <v>Confirmed</v>
      </c>
      <c r="I1254" s="7">
        <f>IF(OR(G1254="",G1254="Cancelled",G1254="Mixed"),1,0)</f>
        <v>0</v>
      </c>
      <c r="J1254" s="7">
        <f>IF(OR(H1254="",H1254="Mixed"),1,0)</f>
        <v>0</v>
      </c>
      <c r="K1254" s="7">
        <f>IF(AND(C1254=0,D1254=0),IF(OR(AND(I1254=0,NOT(EXACT(Raw_Passengers!F1254,G1254))),AND(J1254=0,NOT(EXACT(Raw_Passengers!G1254,H1254)))),1,0),0)</f>
        <v>0</v>
      </c>
      <c r="L1254" s="7">
        <f>IF(AND(C1254=0,D1254=0,I1254=1),1,0)</f>
        <v>0</v>
      </c>
      <c r="M1254" s="7">
        <f>IF(AND(C1254=0,D1254=0,J1254=1),1,0)</f>
        <v>0</v>
      </c>
    </row>
    <row r="1255" spans="1:13">
      <c r="A1255" s="7">
        <f>Raw_Passengers!A1255</f>
        <v>389354</v>
      </c>
      <c r="B1255" s="7">
        <f>Raw_Passengers!B1255</f>
        <v>1193245</v>
      </c>
      <c r="C1255" s="7">
        <f>IF(COUNTIF(Raw_Passengers!$A$2:A1255,Raw_Passengers!A1255)&gt;1,1,0)</f>
        <v>0</v>
      </c>
      <c r="D1255" s="7">
        <f>IF(COUNTIF(Raw_Bookings!$A$2:$A$648,Raw_Passengers!B1255)=0,1,0)</f>
        <v>0</v>
      </c>
      <c r="E1255" s="7">
        <f>IF(OR(C1255=1,D1255=1),0,IF(NOT(ISNUMBER(Raw_Passengers!E1255)),1,IF(Raw_Passengers!E1255&lt;=0,1,0)))</f>
        <v>0</v>
      </c>
      <c r="F1255" s="7">
        <f>IF(AND(C1255=0,D1255=0,TRIM(Raw_Passengers!D1255&amp;"")=""),1,0)</f>
        <v>0</v>
      </c>
      <c r="G1255" s="7" t="str">
        <f>IF(SUMPRODUCT(--(Lookup_Status!$A$2:$A$13=LOWER(TRIM(Raw_Passengers!F1255))))=0,"",INDEX(Lookup_Status!$B$2:$B$13,SUMPRODUCT((Lookup_Status!$A$2:$A$13=LOWER(TRIM(Raw_Passengers!F1255)))*(ROW(Lookup_Status!$A$2:$A$13)-1))))</f>
        <v>Waitlisted</v>
      </c>
      <c r="H1255" s="7" t="str">
        <f>IF(SUMPRODUCT(--(Lookup_Status!$A$2:$A$13=LOWER(TRIM(Raw_Passengers!G1255))))=0,"",INDEX(Lookup_Status!$B$2:$B$13,SUMPRODUCT((Lookup_Status!$A$2:$A$13=LOWER(TRIM(Raw_Passengers!G1255)))*(ROW(Lookup_Status!$A$2:$A$13)-1))))</f>
        <v>RAC</v>
      </c>
      <c r="I1255" s="7">
        <f>IF(OR(G1255="",G1255="Cancelled",G1255="Mixed"),1,0)</f>
        <v>0</v>
      </c>
      <c r="J1255" s="7">
        <f>IF(OR(H1255="",H1255="Mixed"),1,0)</f>
        <v>0</v>
      </c>
      <c r="K1255" s="7">
        <f>IF(AND(C1255=0,D1255=0),IF(OR(AND(I1255=0,NOT(EXACT(Raw_Passengers!F1255,G1255))),AND(J1255=0,NOT(EXACT(Raw_Passengers!G1255,H1255)))),1,0),0)</f>
        <v>1</v>
      </c>
      <c r="L1255" s="7">
        <f>IF(AND(C1255=0,D1255=0,I1255=1),1,0)</f>
        <v>0</v>
      </c>
      <c r="M1255" s="7">
        <f>IF(AND(C1255=0,D1255=0,J1255=1),1,0)</f>
        <v>0</v>
      </c>
    </row>
    <row r="1256" spans="1:13">
      <c r="A1256" s="7">
        <f>Raw_Passengers!A1256</f>
        <v>389355</v>
      </c>
      <c r="B1256" s="7">
        <f>Raw_Passengers!B1256</f>
        <v>1193245</v>
      </c>
      <c r="C1256" s="7">
        <f>IF(COUNTIF(Raw_Passengers!$A$2:A1256,Raw_Passengers!A1256)&gt;1,1,0)</f>
        <v>0</v>
      </c>
      <c r="D1256" s="7">
        <f>IF(COUNTIF(Raw_Bookings!$A$2:$A$648,Raw_Passengers!B1256)=0,1,0)</f>
        <v>0</v>
      </c>
      <c r="E1256" s="7">
        <f>IF(OR(C1256=1,D1256=1),0,IF(NOT(ISNUMBER(Raw_Passengers!E1256)),1,IF(Raw_Passengers!E1256&lt;=0,1,0)))</f>
        <v>0</v>
      </c>
      <c r="F1256" s="7">
        <f>IF(AND(C1256=0,D1256=0,TRIM(Raw_Passengers!D1256&amp;"")=""),1,0)</f>
        <v>0</v>
      </c>
      <c r="G1256" s="7" t="str">
        <f>IF(SUMPRODUCT(--(Lookup_Status!$A$2:$A$13=LOWER(TRIM(Raw_Passengers!F1256))))=0,"",INDEX(Lookup_Status!$B$2:$B$13,SUMPRODUCT((Lookup_Status!$A$2:$A$13=LOWER(TRIM(Raw_Passengers!F1256)))*(ROW(Lookup_Status!$A$2:$A$13)-1))))</f>
        <v>Waitlisted</v>
      </c>
      <c r="H1256" s="7" t="str">
        <f>IF(SUMPRODUCT(--(Lookup_Status!$A$2:$A$13=LOWER(TRIM(Raw_Passengers!G1256))))=0,"",INDEX(Lookup_Status!$B$2:$B$13,SUMPRODUCT((Lookup_Status!$A$2:$A$13=LOWER(TRIM(Raw_Passengers!G1256)))*(ROW(Lookup_Status!$A$2:$A$13)-1))))</f>
        <v>RAC</v>
      </c>
      <c r="I1256" s="7">
        <f>IF(OR(G1256="",G1256="Cancelled",G1256="Mixed"),1,0)</f>
        <v>0</v>
      </c>
      <c r="J1256" s="7">
        <f>IF(OR(H1256="",H1256="Mixed"),1,0)</f>
        <v>0</v>
      </c>
      <c r="K1256" s="7">
        <f>IF(AND(C1256=0,D1256=0),IF(OR(AND(I1256=0,NOT(EXACT(Raw_Passengers!F1256,G1256))),AND(J1256=0,NOT(EXACT(Raw_Passengers!G1256,H1256)))),1,0),0)</f>
        <v>0</v>
      </c>
      <c r="L1256" s="7">
        <f>IF(AND(C1256=0,D1256=0,I1256=1),1,0)</f>
        <v>0</v>
      </c>
      <c r="M1256" s="7">
        <f>IF(AND(C1256=0,D1256=0,J1256=1),1,0)</f>
        <v>0</v>
      </c>
    </row>
    <row r="1257" spans="1:13">
      <c r="A1257" s="7">
        <f>Raw_Passengers!A1257</f>
        <v>389356</v>
      </c>
      <c r="B1257" s="7">
        <f>Raw_Passengers!B1257</f>
        <v>1193245</v>
      </c>
      <c r="C1257" s="7">
        <f>IF(COUNTIF(Raw_Passengers!$A$2:A1257,Raw_Passengers!A1257)&gt;1,1,0)</f>
        <v>0</v>
      </c>
      <c r="D1257" s="7">
        <f>IF(COUNTIF(Raw_Bookings!$A$2:$A$648,Raw_Passengers!B1257)=0,1,0)</f>
        <v>0</v>
      </c>
      <c r="E1257" s="7">
        <f>IF(OR(C1257=1,D1257=1),0,IF(NOT(ISNUMBER(Raw_Passengers!E1257)),1,IF(Raw_Passengers!E1257&lt;=0,1,0)))</f>
        <v>0</v>
      </c>
      <c r="F1257" s="7">
        <f>IF(AND(C1257=0,D1257=0,TRIM(Raw_Passengers!D1257&amp;"")=""),1,0)</f>
        <v>0</v>
      </c>
      <c r="G1257" s="7" t="str">
        <f>IF(SUMPRODUCT(--(Lookup_Status!$A$2:$A$13=LOWER(TRIM(Raw_Passengers!F1257))))=0,"",INDEX(Lookup_Status!$B$2:$B$13,SUMPRODUCT((Lookup_Status!$A$2:$A$13=LOWER(TRIM(Raw_Passengers!F1257)))*(ROW(Lookup_Status!$A$2:$A$13)-1))))</f>
        <v>Waitlisted</v>
      </c>
      <c r="H1257" s="7" t="str">
        <f>IF(SUMPRODUCT(--(Lookup_Status!$A$2:$A$13=LOWER(TRIM(Raw_Passengers!G1257))))=0,"",INDEX(Lookup_Status!$B$2:$B$13,SUMPRODUCT((Lookup_Status!$A$2:$A$13=LOWER(TRIM(Raw_Passengers!G1257)))*(ROW(Lookup_Status!$A$2:$A$13)-1))))</f>
        <v>RAC</v>
      </c>
      <c r="I1257" s="7">
        <f>IF(OR(G1257="",G1257="Cancelled",G1257="Mixed"),1,0)</f>
        <v>0</v>
      </c>
      <c r="J1257" s="7">
        <f>IF(OR(H1257="",H1257="Mixed"),1,0)</f>
        <v>0</v>
      </c>
      <c r="K1257" s="7">
        <f>IF(AND(C1257=0,D1257=0),IF(OR(AND(I1257=0,NOT(EXACT(Raw_Passengers!F1257,G1257))),AND(J1257=0,NOT(EXACT(Raw_Passengers!G1257,H1257)))),1,0),0)</f>
        <v>0</v>
      </c>
      <c r="L1257" s="7">
        <f>IF(AND(C1257=0,D1257=0,I1257=1),1,0)</f>
        <v>0</v>
      </c>
      <c r="M1257" s="7">
        <f>IF(AND(C1257=0,D1257=0,J1257=1),1,0)</f>
        <v>0</v>
      </c>
    </row>
    <row r="1258" spans="1:13">
      <c r="A1258" s="7">
        <f>Raw_Passengers!A1258</f>
        <v>389874</v>
      </c>
      <c r="B1258" s="7">
        <f>Raw_Passengers!B1258</f>
        <v>1193481</v>
      </c>
      <c r="C1258" s="7">
        <f>IF(COUNTIF(Raw_Passengers!$A$2:A1258,Raw_Passengers!A1258)&gt;1,1,0)</f>
        <v>0</v>
      </c>
      <c r="D1258" s="7">
        <f>IF(COUNTIF(Raw_Bookings!$A$2:$A$648,Raw_Passengers!B1258)=0,1,0)</f>
        <v>0</v>
      </c>
      <c r="E1258" s="7">
        <f>IF(OR(C1258=1,D1258=1),0,IF(NOT(ISNUMBER(Raw_Passengers!E1258)),1,IF(Raw_Passengers!E1258&lt;=0,1,0)))</f>
        <v>0</v>
      </c>
      <c r="F1258" s="7">
        <f>IF(AND(C1258=0,D1258=0,TRIM(Raw_Passengers!D1258&amp;"")=""),1,0)</f>
        <v>0</v>
      </c>
      <c r="G1258" s="7" t="str">
        <f>IF(SUMPRODUCT(--(Lookup_Status!$A$2:$A$13=LOWER(TRIM(Raw_Passengers!F1258))))=0,"",INDEX(Lookup_Status!$B$2:$B$13,SUMPRODUCT((Lookup_Status!$A$2:$A$13=LOWER(TRIM(Raw_Passengers!F1258)))*(ROW(Lookup_Status!$A$2:$A$13)-1))))</f>
        <v>Confirmed</v>
      </c>
      <c r="H1258" s="7" t="str">
        <f>IF(SUMPRODUCT(--(Lookup_Status!$A$2:$A$13=LOWER(TRIM(Raw_Passengers!G1258))))=0,"",INDEX(Lookup_Status!$B$2:$B$13,SUMPRODUCT((Lookup_Status!$A$2:$A$13=LOWER(TRIM(Raw_Passengers!G1258)))*(ROW(Lookup_Status!$A$2:$A$13)-1))))</f>
        <v>Confirmed</v>
      </c>
      <c r="I1258" s="7">
        <f>IF(OR(G1258="",G1258="Cancelled",G1258="Mixed"),1,0)</f>
        <v>0</v>
      </c>
      <c r="J1258" s="7">
        <f>IF(OR(H1258="",H1258="Mixed"),1,0)</f>
        <v>0</v>
      </c>
      <c r="K1258" s="7">
        <f>IF(AND(C1258=0,D1258=0),IF(OR(AND(I1258=0,NOT(EXACT(Raw_Passengers!F1258,G1258))),AND(J1258=0,NOT(EXACT(Raw_Passengers!G1258,H1258)))),1,0),0)</f>
        <v>0</v>
      </c>
      <c r="L1258" s="7">
        <f>IF(AND(C1258=0,D1258=0,I1258=1),1,0)</f>
        <v>0</v>
      </c>
      <c r="M1258" s="7">
        <f>IF(AND(C1258=0,D1258=0,J1258=1),1,0)</f>
        <v>0</v>
      </c>
    </row>
    <row r="1259" spans="1:13">
      <c r="A1259" s="7">
        <f>Raw_Passengers!A1259</f>
        <v>389875</v>
      </c>
      <c r="B1259" s="7">
        <f>Raw_Passengers!B1259</f>
        <v>1193481</v>
      </c>
      <c r="C1259" s="7">
        <f>IF(COUNTIF(Raw_Passengers!$A$2:A1259,Raw_Passengers!A1259)&gt;1,1,0)</f>
        <v>0</v>
      </c>
      <c r="D1259" s="7">
        <f>IF(COUNTIF(Raw_Bookings!$A$2:$A$648,Raw_Passengers!B1259)=0,1,0)</f>
        <v>0</v>
      </c>
      <c r="E1259" s="7">
        <f>IF(OR(C1259=1,D1259=1),0,IF(NOT(ISNUMBER(Raw_Passengers!E1259)),1,IF(Raw_Passengers!E1259&lt;=0,1,0)))</f>
        <v>0</v>
      </c>
      <c r="F1259" s="7">
        <f>IF(AND(C1259=0,D1259=0,TRIM(Raw_Passengers!D1259&amp;"")=""),1,0)</f>
        <v>0</v>
      </c>
      <c r="G1259" s="7" t="str">
        <f>IF(SUMPRODUCT(--(Lookup_Status!$A$2:$A$13=LOWER(TRIM(Raw_Passengers!F1259))))=0,"",INDEX(Lookup_Status!$B$2:$B$13,SUMPRODUCT((Lookup_Status!$A$2:$A$13=LOWER(TRIM(Raw_Passengers!F1259)))*(ROW(Lookup_Status!$A$2:$A$13)-1))))</f>
        <v>Confirmed</v>
      </c>
      <c r="H1259" s="7" t="str">
        <f>IF(SUMPRODUCT(--(Lookup_Status!$A$2:$A$13=LOWER(TRIM(Raw_Passengers!G1259))))=0,"",INDEX(Lookup_Status!$B$2:$B$13,SUMPRODUCT((Lookup_Status!$A$2:$A$13=LOWER(TRIM(Raw_Passengers!G1259)))*(ROW(Lookup_Status!$A$2:$A$13)-1))))</f>
        <v>Confirmed</v>
      </c>
      <c r="I1259" s="7">
        <f>IF(OR(G1259="",G1259="Cancelled",G1259="Mixed"),1,0)</f>
        <v>0</v>
      </c>
      <c r="J1259" s="7">
        <f>IF(OR(H1259="",H1259="Mixed"),1,0)</f>
        <v>0</v>
      </c>
      <c r="K1259" s="7">
        <f>IF(AND(C1259=0,D1259=0),IF(OR(AND(I1259=0,NOT(EXACT(Raw_Passengers!F1259,G1259))),AND(J1259=0,NOT(EXACT(Raw_Passengers!G1259,H1259)))),1,0),0)</f>
        <v>0</v>
      </c>
      <c r="L1259" s="7">
        <f>IF(AND(C1259=0,D1259=0,I1259=1),1,0)</f>
        <v>0</v>
      </c>
      <c r="M1259" s="7">
        <f>IF(AND(C1259=0,D1259=0,J1259=1),1,0)</f>
        <v>0</v>
      </c>
    </row>
    <row r="1260" spans="1:13">
      <c r="A1260" s="7">
        <f>Raw_Passengers!A1260</f>
        <v>392177</v>
      </c>
      <c r="B1260" s="7">
        <f>Raw_Passengers!B1260</f>
        <v>1194649</v>
      </c>
      <c r="C1260" s="7">
        <f>IF(COUNTIF(Raw_Passengers!$A$2:A1260,Raw_Passengers!A1260)&gt;1,1,0)</f>
        <v>0</v>
      </c>
      <c r="D1260" s="7">
        <f>IF(COUNTIF(Raw_Bookings!$A$2:$A$648,Raw_Passengers!B1260)=0,1,0)</f>
        <v>0</v>
      </c>
      <c r="E1260" s="7">
        <f>IF(OR(C1260=1,D1260=1),0,IF(NOT(ISNUMBER(Raw_Passengers!E1260)),1,IF(Raw_Passengers!E1260&lt;=0,1,0)))</f>
        <v>0</v>
      </c>
      <c r="F1260" s="7">
        <f>IF(AND(C1260=0,D1260=0,TRIM(Raw_Passengers!D1260&amp;"")=""),1,0)</f>
        <v>0</v>
      </c>
      <c r="G1260" s="7" t="str">
        <f>IF(SUMPRODUCT(--(Lookup_Status!$A$2:$A$13=LOWER(TRIM(Raw_Passengers!F1260))))=0,"",INDEX(Lookup_Status!$B$2:$B$13,SUMPRODUCT((Lookup_Status!$A$2:$A$13=LOWER(TRIM(Raw_Passengers!F1260)))*(ROW(Lookup_Status!$A$2:$A$13)-1))))</f>
        <v>Confirmed</v>
      </c>
      <c r="H1260" s="7" t="str">
        <f>IF(SUMPRODUCT(--(Lookup_Status!$A$2:$A$13=LOWER(TRIM(Raw_Passengers!G1260))))=0,"",INDEX(Lookup_Status!$B$2:$B$13,SUMPRODUCT((Lookup_Status!$A$2:$A$13=LOWER(TRIM(Raw_Passengers!G1260)))*(ROW(Lookup_Status!$A$2:$A$13)-1))))</f>
        <v>Confirmed</v>
      </c>
      <c r="I1260" s="7">
        <f>IF(OR(G1260="",G1260="Cancelled",G1260="Mixed"),1,0)</f>
        <v>0</v>
      </c>
      <c r="J1260" s="7">
        <f>IF(OR(H1260="",H1260="Mixed"),1,0)</f>
        <v>0</v>
      </c>
      <c r="K1260" s="7">
        <f>IF(AND(C1260=0,D1260=0),IF(OR(AND(I1260=0,NOT(EXACT(Raw_Passengers!F1260,G1260))),AND(J1260=0,NOT(EXACT(Raw_Passengers!G1260,H1260)))),1,0),0)</f>
        <v>0</v>
      </c>
      <c r="L1260" s="7">
        <f>IF(AND(C1260=0,D1260=0,I1260=1),1,0)</f>
        <v>0</v>
      </c>
      <c r="M1260" s="7">
        <f>IF(AND(C1260=0,D1260=0,J1260=1),1,0)</f>
        <v>0</v>
      </c>
    </row>
    <row r="1261" spans="1:13">
      <c r="A1261" s="7">
        <f>Raw_Passengers!A1261</f>
        <v>392291</v>
      </c>
      <c r="B1261" s="7">
        <f>Raw_Passengers!B1261</f>
        <v>1194709</v>
      </c>
      <c r="C1261" s="7">
        <f>IF(COUNTIF(Raw_Passengers!$A$2:A1261,Raw_Passengers!A1261)&gt;1,1,0)</f>
        <v>0</v>
      </c>
      <c r="D1261" s="7">
        <f>IF(COUNTIF(Raw_Bookings!$A$2:$A$648,Raw_Passengers!B1261)=0,1,0)</f>
        <v>0</v>
      </c>
      <c r="E1261" s="7">
        <f>IF(OR(C1261=1,D1261=1),0,IF(NOT(ISNUMBER(Raw_Passengers!E1261)),1,IF(Raw_Passengers!E1261&lt;=0,1,0)))</f>
        <v>0</v>
      </c>
      <c r="F1261" s="7">
        <f>IF(AND(C1261=0,D1261=0,TRIM(Raw_Passengers!D1261&amp;"")=""),1,0)</f>
        <v>0</v>
      </c>
      <c r="G1261" s="7" t="str">
        <f>IF(SUMPRODUCT(--(Lookup_Status!$A$2:$A$13=LOWER(TRIM(Raw_Passengers!F1261))))=0,"",INDEX(Lookup_Status!$B$2:$B$13,SUMPRODUCT((Lookup_Status!$A$2:$A$13=LOWER(TRIM(Raw_Passengers!F1261)))*(ROW(Lookup_Status!$A$2:$A$13)-1))))</f>
        <v>RAC</v>
      </c>
      <c r="H1261" s="7" t="str">
        <f>IF(SUMPRODUCT(--(Lookup_Status!$A$2:$A$13=LOWER(TRIM(Raw_Passengers!G1261))))=0,"",INDEX(Lookup_Status!$B$2:$B$13,SUMPRODUCT((Lookup_Status!$A$2:$A$13=LOWER(TRIM(Raw_Passengers!G1261)))*(ROW(Lookup_Status!$A$2:$A$13)-1))))</f>
        <v>RAC</v>
      </c>
      <c r="I1261" s="7">
        <f>IF(OR(G1261="",G1261="Cancelled",G1261="Mixed"),1,0)</f>
        <v>0</v>
      </c>
      <c r="J1261" s="7">
        <f>IF(OR(H1261="",H1261="Mixed"),1,0)</f>
        <v>0</v>
      </c>
      <c r="K1261" s="7">
        <f>IF(AND(C1261=0,D1261=0),IF(OR(AND(I1261=0,NOT(EXACT(Raw_Passengers!F1261,G1261))),AND(J1261=0,NOT(EXACT(Raw_Passengers!G1261,H1261)))),1,0),0)</f>
        <v>0</v>
      </c>
      <c r="L1261" s="7">
        <f>IF(AND(C1261=0,D1261=0,I1261=1),1,0)</f>
        <v>0</v>
      </c>
      <c r="M1261" s="7">
        <f>IF(AND(C1261=0,D1261=0,J1261=1),1,0)</f>
        <v>0</v>
      </c>
    </row>
    <row r="1262" spans="1:13">
      <c r="A1262" s="7">
        <f>Raw_Passengers!A1262</f>
        <v>392292</v>
      </c>
      <c r="B1262" s="7">
        <f>Raw_Passengers!B1262</f>
        <v>1194709</v>
      </c>
      <c r="C1262" s="7">
        <f>IF(COUNTIF(Raw_Passengers!$A$2:A1262,Raw_Passengers!A1262)&gt;1,1,0)</f>
        <v>0</v>
      </c>
      <c r="D1262" s="7">
        <f>IF(COUNTIF(Raw_Bookings!$A$2:$A$648,Raw_Passengers!B1262)=0,1,0)</f>
        <v>0</v>
      </c>
      <c r="E1262" s="7">
        <f>IF(OR(C1262=1,D1262=1),0,IF(NOT(ISNUMBER(Raw_Passengers!E1262)),1,IF(Raw_Passengers!E1262&lt;=0,1,0)))</f>
        <v>0</v>
      </c>
      <c r="F1262" s="7">
        <f>IF(AND(C1262=0,D1262=0,TRIM(Raw_Passengers!D1262&amp;"")=""),1,0)</f>
        <v>0</v>
      </c>
      <c r="G1262" s="7" t="str">
        <f>IF(SUMPRODUCT(--(Lookup_Status!$A$2:$A$13=LOWER(TRIM(Raw_Passengers!F1262))))=0,"",INDEX(Lookup_Status!$B$2:$B$13,SUMPRODUCT((Lookup_Status!$A$2:$A$13=LOWER(TRIM(Raw_Passengers!F1262)))*(ROW(Lookup_Status!$A$2:$A$13)-1))))</f>
        <v>RAC</v>
      </c>
      <c r="H1262" s="7" t="str">
        <f>IF(SUMPRODUCT(--(Lookup_Status!$A$2:$A$13=LOWER(TRIM(Raw_Passengers!G1262))))=0,"",INDEX(Lookup_Status!$B$2:$B$13,SUMPRODUCT((Lookup_Status!$A$2:$A$13=LOWER(TRIM(Raw_Passengers!G1262)))*(ROW(Lookup_Status!$A$2:$A$13)-1))))</f>
        <v>RAC</v>
      </c>
      <c r="I1262" s="7">
        <f>IF(OR(G1262="",G1262="Cancelled",G1262="Mixed"),1,0)</f>
        <v>0</v>
      </c>
      <c r="J1262" s="7">
        <f>IF(OR(H1262="",H1262="Mixed"),1,0)</f>
        <v>0</v>
      </c>
      <c r="K1262" s="7">
        <f>IF(AND(C1262=0,D1262=0),IF(OR(AND(I1262=0,NOT(EXACT(Raw_Passengers!F1262,G1262))),AND(J1262=0,NOT(EXACT(Raw_Passengers!G1262,H1262)))),1,0),0)</f>
        <v>0</v>
      </c>
      <c r="L1262" s="7">
        <f>IF(AND(C1262=0,D1262=0,I1262=1),1,0)</f>
        <v>0</v>
      </c>
      <c r="M1262" s="7">
        <f>IF(AND(C1262=0,D1262=0,J1262=1),1,0)</f>
        <v>0</v>
      </c>
    </row>
    <row r="1263" spans="1:13">
      <c r="A1263" s="7">
        <f>Raw_Passengers!A1263</f>
        <v>393399</v>
      </c>
      <c r="B1263" s="7">
        <f>Raw_Passengers!B1263</f>
        <v>1195275</v>
      </c>
      <c r="C1263" s="7">
        <f>IF(COUNTIF(Raw_Passengers!$A$2:A1263,Raw_Passengers!A1263)&gt;1,1,0)</f>
        <v>0</v>
      </c>
      <c r="D1263" s="7">
        <f>IF(COUNTIF(Raw_Bookings!$A$2:$A$648,Raw_Passengers!B1263)=0,1,0)</f>
        <v>0</v>
      </c>
      <c r="E1263" s="7">
        <f>IF(OR(C1263=1,D1263=1),0,IF(NOT(ISNUMBER(Raw_Passengers!E1263)),1,IF(Raw_Passengers!E1263&lt;=0,1,0)))</f>
        <v>0</v>
      </c>
      <c r="F1263" s="7">
        <f>IF(AND(C1263=0,D1263=0,TRIM(Raw_Passengers!D1263&amp;"")=""),1,0)</f>
        <v>0</v>
      </c>
      <c r="G1263" s="7" t="str">
        <f>IF(SUMPRODUCT(--(Lookup_Status!$A$2:$A$13=LOWER(TRIM(Raw_Passengers!F1263))))=0,"",INDEX(Lookup_Status!$B$2:$B$13,SUMPRODUCT((Lookup_Status!$A$2:$A$13=LOWER(TRIM(Raw_Passengers!F1263)))*(ROW(Lookup_Status!$A$2:$A$13)-1))))</f>
        <v>Confirmed</v>
      </c>
      <c r="H1263" s="7" t="str">
        <f>IF(SUMPRODUCT(--(Lookup_Status!$A$2:$A$13=LOWER(TRIM(Raw_Passengers!G1263))))=0,"",INDEX(Lookup_Status!$B$2:$B$13,SUMPRODUCT((Lookup_Status!$A$2:$A$13=LOWER(TRIM(Raw_Passengers!G1263)))*(ROW(Lookup_Status!$A$2:$A$13)-1))))</f>
        <v>Cancelled</v>
      </c>
      <c r="I1263" s="7">
        <f>IF(OR(G1263="",G1263="Cancelled",G1263="Mixed"),1,0)</f>
        <v>0</v>
      </c>
      <c r="J1263" s="7">
        <f>IF(OR(H1263="",H1263="Mixed"),1,0)</f>
        <v>0</v>
      </c>
      <c r="K1263" s="7">
        <f>IF(AND(C1263=0,D1263=0),IF(OR(AND(I1263=0,NOT(EXACT(Raw_Passengers!F1263,G1263))),AND(J1263=0,NOT(EXACT(Raw_Passengers!G1263,H1263)))),1,0),0)</f>
        <v>0</v>
      </c>
      <c r="L1263" s="7">
        <f>IF(AND(C1263=0,D1263=0,I1263=1),1,0)</f>
        <v>0</v>
      </c>
      <c r="M1263" s="7">
        <f>IF(AND(C1263=0,D1263=0,J1263=1),1,0)</f>
        <v>0</v>
      </c>
    </row>
    <row r="1264" spans="1:13">
      <c r="A1264" s="7">
        <f>Raw_Passengers!A1264</f>
        <v>394246</v>
      </c>
      <c r="B1264" s="7">
        <f>Raw_Passengers!B1264</f>
        <v>1195699</v>
      </c>
      <c r="C1264" s="7">
        <f>IF(COUNTIF(Raw_Passengers!$A$2:A1264,Raw_Passengers!A1264)&gt;1,1,0)</f>
        <v>0</v>
      </c>
      <c r="D1264" s="7">
        <f>IF(COUNTIF(Raw_Bookings!$A$2:$A$648,Raw_Passengers!B1264)=0,1,0)</f>
        <v>0</v>
      </c>
      <c r="E1264" s="7">
        <f>IF(OR(C1264=1,D1264=1),0,IF(NOT(ISNUMBER(Raw_Passengers!E1264)),1,IF(Raw_Passengers!E1264&lt;=0,1,0)))</f>
        <v>0</v>
      </c>
      <c r="F1264" s="7">
        <f>IF(AND(C1264=0,D1264=0,TRIM(Raw_Passengers!D1264&amp;"")=""),1,0)</f>
        <v>0</v>
      </c>
      <c r="G1264" s="7" t="str">
        <f>IF(SUMPRODUCT(--(Lookup_Status!$A$2:$A$13=LOWER(TRIM(Raw_Passengers!F1264))))=0,"",INDEX(Lookup_Status!$B$2:$B$13,SUMPRODUCT((Lookup_Status!$A$2:$A$13=LOWER(TRIM(Raw_Passengers!F1264)))*(ROW(Lookup_Status!$A$2:$A$13)-1))))</f>
        <v>Confirmed</v>
      </c>
      <c r="H1264" s="7" t="str">
        <f>IF(SUMPRODUCT(--(Lookup_Status!$A$2:$A$13=LOWER(TRIM(Raw_Passengers!G1264))))=0,"",INDEX(Lookup_Status!$B$2:$B$13,SUMPRODUCT((Lookup_Status!$A$2:$A$13=LOWER(TRIM(Raw_Passengers!G1264)))*(ROW(Lookup_Status!$A$2:$A$13)-1))))</f>
        <v>Confirmed</v>
      </c>
      <c r="I1264" s="7">
        <f>IF(OR(G1264="",G1264="Cancelled",G1264="Mixed"),1,0)</f>
        <v>0</v>
      </c>
      <c r="J1264" s="7">
        <f>IF(OR(H1264="",H1264="Mixed"),1,0)</f>
        <v>0</v>
      </c>
      <c r="K1264" s="7">
        <f>IF(AND(C1264=0,D1264=0),IF(OR(AND(I1264=0,NOT(EXACT(Raw_Passengers!F1264,G1264))),AND(J1264=0,NOT(EXACT(Raw_Passengers!G1264,H1264)))),1,0),0)</f>
        <v>0</v>
      </c>
      <c r="L1264" s="7">
        <f>IF(AND(C1264=0,D1264=0,I1264=1),1,0)</f>
        <v>0</v>
      </c>
      <c r="M1264" s="7">
        <f>IF(AND(C1264=0,D1264=0,J1264=1),1,0)</f>
        <v>0</v>
      </c>
    </row>
    <row r="1265" spans="1:13">
      <c r="A1265" s="7">
        <f>Raw_Passengers!A1265</f>
        <v>394247</v>
      </c>
      <c r="B1265" s="7">
        <f>Raw_Passengers!B1265</f>
        <v>1195699</v>
      </c>
      <c r="C1265" s="7">
        <f>IF(COUNTIF(Raw_Passengers!$A$2:A1265,Raw_Passengers!A1265)&gt;1,1,0)</f>
        <v>0</v>
      </c>
      <c r="D1265" s="7">
        <f>IF(COUNTIF(Raw_Bookings!$A$2:$A$648,Raw_Passengers!B1265)=0,1,0)</f>
        <v>0</v>
      </c>
      <c r="E1265" s="7">
        <f>IF(OR(C1265=1,D1265=1),0,IF(NOT(ISNUMBER(Raw_Passengers!E1265)),1,IF(Raw_Passengers!E1265&lt;=0,1,0)))</f>
        <v>0</v>
      </c>
      <c r="F1265" s="7">
        <f>IF(AND(C1265=0,D1265=0,TRIM(Raw_Passengers!D1265&amp;"")=""),1,0)</f>
        <v>0</v>
      </c>
      <c r="G1265" s="7" t="str">
        <f>IF(SUMPRODUCT(--(Lookup_Status!$A$2:$A$13=LOWER(TRIM(Raw_Passengers!F1265))))=0,"",INDEX(Lookup_Status!$B$2:$B$13,SUMPRODUCT((Lookup_Status!$A$2:$A$13=LOWER(TRIM(Raw_Passengers!F1265)))*(ROW(Lookup_Status!$A$2:$A$13)-1))))</f>
        <v>Confirmed</v>
      </c>
      <c r="H1265" s="7" t="str">
        <f>IF(SUMPRODUCT(--(Lookup_Status!$A$2:$A$13=LOWER(TRIM(Raw_Passengers!G1265))))=0,"",INDEX(Lookup_Status!$B$2:$B$13,SUMPRODUCT((Lookup_Status!$A$2:$A$13=LOWER(TRIM(Raw_Passengers!G1265)))*(ROW(Lookup_Status!$A$2:$A$13)-1))))</f>
        <v>Confirmed</v>
      </c>
      <c r="I1265" s="7">
        <f>IF(OR(G1265="",G1265="Cancelled",G1265="Mixed"),1,0)</f>
        <v>0</v>
      </c>
      <c r="J1265" s="7">
        <f>IF(OR(H1265="",H1265="Mixed"),1,0)</f>
        <v>0</v>
      </c>
      <c r="K1265" s="7">
        <f>IF(AND(C1265=0,D1265=0),IF(OR(AND(I1265=0,NOT(EXACT(Raw_Passengers!F1265,G1265))),AND(J1265=0,NOT(EXACT(Raw_Passengers!G1265,H1265)))),1,0),0)</f>
        <v>0</v>
      </c>
      <c r="L1265" s="7">
        <f>IF(AND(C1265=0,D1265=0,I1265=1),1,0)</f>
        <v>0</v>
      </c>
      <c r="M1265" s="7">
        <f>IF(AND(C1265=0,D1265=0,J1265=1),1,0)</f>
        <v>0</v>
      </c>
    </row>
    <row r="1266" spans="1:13">
      <c r="A1266" s="7">
        <f>Raw_Passengers!A1266</f>
        <v>394346</v>
      </c>
      <c r="B1266" s="7">
        <f>Raw_Passengers!B1266</f>
        <v>1195755</v>
      </c>
      <c r="C1266" s="7">
        <f>IF(COUNTIF(Raw_Passengers!$A$2:A1266,Raw_Passengers!A1266)&gt;1,1,0)</f>
        <v>0</v>
      </c>
      <c r="D1266" s="7">
        <f>IF(COUNTIF(Raw_Bookings!$A$2:$A$648,Raw_Passengers!B1266)=0,1,0)</f>
        <v>0</v>
      </c>
      <c r="E1266" s="7">
        <f>IF(OR(C1266=1,D1266=1),0,IF(NOT(ISNUMBER(Raw_Passengers!E1266)),1,IF(Raw_Passengers!E1266&lt;=0,1,0)))</f>
        <v>0</v>
      </c>
      <c r="F1266" s="7">
        <f>IF(AND(C1266=0,D1266=0,TRIM(Raw_Passengers!D1266&amp;"")=""),1,0)</f>
        <v>0</v>
      </c>
      <c r="G1266" s="7" t="str">
        <f>IF(SUMPRODUCT(--(Lookup_Status!$A$2:$A$13=LOWER(TRIM(Raw_Passengers!F1266))))=0,"",INDEX(Lookup_Status!$B$2:$B$13,SUMPRODUCT((Lookup_Status!$A$2:$A$13=LOWER(TRIM(Raw_Passengers!F1266)))*(ROW(Lookup_Status!$A$2:$A$13)-1))))</f>
        <v>Confirmed</v>
      </c>
      <c r="H1266" s="7" t="str">
        <f>IF(SUMPRODUCT(--(Lookup_Status!$A$2:$A$13=LOWER(TRIM(Raw_Passengers!G1266))))=0,"",INDEX(Lookup_Status!$B$2:$B$13,SUMPRODUCT((Lookup_Status!$A$2:$A$13=LOWER(TRIM(Raw_Passengers!G1266)))*(ROW(Lookup_Status!$A$2:$A$13)-1))))</f>
        <v>Confirmed</v>
      </c>
      <c r="I1266" s="7">
        <f>IF(OR(G1266="",G1266="Cancelled",G1266="Mixed"),1,0)</f>
        <v>0</v>
      </c>
      <c r="J1266" s="7">
        <f>IF(OR(H1266="",H1266="Mixed"),1,0)</f>
        <v>0</v>
      </c>
      <c r="K1266" s="7">
        <f>IF(AND(C1266=0,D1266=0),IF(OR(AND(I1266=0,NOT(EXACT(Raw_Passengers!F1266,G1266))),AND(J1266=0,NOT(EXACT(Raw_Passengers!G1266,H1266)))),1,0),0)</f>
        <v>0</v>
      </c>
      <c r="L1266" s="7">
        <f>IF(AND(C1266=0,D1266=0,I1266=1),1,0)</f>
        <v>0</v>
      </c>
      <c r="M1266" s="7">
        <f>IF(AND(C1266=0,D1266=0,J1266=1),1,0)</f>
        <v>0</v>
      </c>
    </row>
    <row r="1267" spans="1:13">
      <c r="A1267" s="7">
        <f>Raw_Passengers!A1267</f>
        <v>394347</v>
      </c>
      <c r="B1267" s="7">
        <f>Raw_Passengers!B1267</f>
        <v>1195755</v>
      </c>
      <c r="C1267" s="7">
        <f>IF(COUNTIF(Raw_Passengers!$A$2:A1267,Raw_Passengers!A1267)&gt;1,1,0)</f>
        <v>0</v>
      </c>
      <c r="D1267" s="7">
        <f>IF(COUNTIF(Raw_Bookings!$A$2:$A$648,Raw_Passengers!B1267)=0,1,0)</f>
        <v>0</v>
      </c>
      <c r="E1267" s="7">
        <f>IF(OR(C1267=1,D1267=1),0,IF(NOT(ISNUMBER(Raw_Passengers!E1267)),1,IF(Raw_Passengers!E1267&lt;=0,1,0)))</f>
        <v>0</v>
      </c>
      <c r="F1267" s="7">
        <f>IF(AND(C1267=0,D1267=0,TRIM(Raw_Passengers!D1267&amp;"")=""),1,0)</f>
        <v>0</v>
      </c>
      <c r="G1267" s="7" t="str">
        <f>IF(SUMPRODUCT(--(Lookup_Status!$A$2:$A$13=LOWER(TRIM(Raw_Passengers!F1267))))=0,"",INDEX(Lookup_Status!$B$2:$B$13,SUMPRODUCT((Lookup_Status!$A$2:$A$13=LOWER(TRIM(Raw_Passengers!F1267)))*(ROW(Lookup_Status!$A$2:$A$13)-1))))</f>
        <v>Confirmed</v>
      </c>
      <c r="H1267" s="7" t="str">
        <f>IF(SUMPRODUCT(--(Lookup_Status!$A$2:$A$13=LOWER(TRIM(Raw_Passengers!G1267))))=0,"",INDEX(Lookup_Status!$B$2:$B$13,SUMPRODUCT((Lookup_Status!$A$2:$A$13=LOWER(TRIM(Raw_Passengers!G1267)))*(ROW(Lookup_Status!$A$2:$A$13)-1))))</f>
        <v>Confirmed</v>
      </c>
      <c r="I1267" s="7">
        <f>IF(OR(G1267="",G1267="Cancelled",G1267="Mixed"),1,0)</f>
        <v>0</v>
      </c>
      <c r="J1267" s="7">
        <f>IF(OR(H1267="",H1267="Mixed"),1,0)</f>
        <v>0</v>
      </c>
      <c r="K1267" s="7">
        <f>IF(AND(C1267=0,D1267=0),IF(OR(AND(I1267=0,NOT(EXACT(Raw_Passengers!F1267,G1267))),AND(J1267=0,NOT(EXACT(Raw_Passengers!G1267,H1267)))),1,0),0)</f>
        <v>0</v>
      </c>
      <c r="L1267" s="7">
        <f>IF(AND(C1267=0,D1267=0,I1267=1),1,0)</f>
        <v>0</v>
      </c>
      <c r="M1267" s="7">
        <f>IF(AND(C1267=0,D1267=0,J1267=1),1,0)</f>
        <v>0</v>
      </c>
    </row>
    <row r="1268" spans="1:13">
      <c r="A1268" s="7">
        <f>Raw_Passengers!A1268</f>
        <v>395692</v>
      </c>
      <c r="B1268" s="7">
        <f>Raw_Passengers!B1268</f>
        <v>1196392</v>
      </c>
      <c r="C1268" s="7">
        <f>IF(COUNTIF(Raw_Passengers!$A$2:A1268,Raw_Passengers!A1268)&gt;1,1,0)</f>
        <v>0</v>
      </c>
      <c r="D1268" s="7">
        <f>IF(COUNTIF(Raw_Bookings!$A$2:$A$648,Raw_Passengers!B1268)=0,1,0)</f>
        <v>0</v>
      </c>
      <c r="E1268" s="7">
        <f>IF(OR(C1268=1,D1268=1),0,IF(NOT(ISNUMBER(Raw_Passengers!E1268)),1,IF(Raw_Passengers!E1268&lt;=0,1,0)))</f>
        <v>0</v>
      </c>
      <c r="F1268" s="7">
        <f>IF(AND(C1268=0,D1268=0,TRIM(Raw_Passengers!D1268&amp;"")=""),1,0)</f>
        <v>0</v>
      </c>
      <c r="G1268" s="7" t="str">
        <f>IF(SUMPRODUCT(--(Lookup_Status!$A$2:$A$13=LOWER(TRIM(Raw_Passengers!F1268))))=0,"",INDEX(Lookup_Status!$B$2:$B$13,SUMPRODUCT((Lookup_Status!$A$2:$A$13=LOWER(TRIM(Raw_Passengers!F1268)))*(ROW(Lookup_Status!$A$2:$A$13)-1))))</f>
        <v>Confirmed</v>
      </c>
      <c r="H1268" s="7" t="str">
        <f>IF(SUMPRODUCT(--(Lookup_Status!$A$2:$A$13=LOWER(TRIM(Raw_Passengers!G1268))))=0,"",INDEX(Lookup_Status!$B$2:$B$13,SUMPRODUCT((Lookup_Status!$A$2:$A$13=LOWER(TRIM(Raw_Passengers!G1268)))*(ROW(Lookup_Status!$A$2:$A$13)-1))))</f>
        <v>Confirmed</v>
      </c>
      <c r="I1268" s="7">
        <f>IF(OR(G1268="",G1268="Cancelled",G1268="Mixed"),1,0)</f>
        <v>0</v>
      </c>
      <c r="J1268" s="7">
        <f>IF(OR(H1268="",H1268="Mixed"),1,0)</f>
        <v>0</v>
      </c>
      <c r="K1268" s="7">
        <f>IF(AND(C1268=0,D1268=0),IF(OR(AND(I1268=0,NOT(EXACT(Raw_Passengers!F1268,G1268))),AND(J1268=0,NOT(EXACT(Raw_Passengers!G1268,H1268)))),1,0),0)</f>
        <v>0</v>
      </c>
      <c r="L1268" s="7">
        <f>IF(AND(C1268=0,D1268=0,I1268=1),1,0)</f>
        <v>0</v>
      </c>
      <c r="M1268" s="7">
        <f>IF(AND(C1268=0,D1268=0,J1268=1),1,0)</f>
        <v>0</v>
      </c>
    </row>
    <row r="1269" spans="1:13">
      <c r="A1269" s="7">
        <f>Raw_Passengers!A1269</f>
        <v>396895</v>
      </c>
      <c r="B1269" s="7">
        <f>Raw_Passengers!B1269</f>
        <v>1197007</v>
      </c>
      <c r="C1269" s="7">
        <f>IF(COUNTIF(Raw_Passengers!$A$2:A1269,Raw_Passengers!A1269)&gt;1,1,0)</f>
        <v>0</v>
      </c>
      <c r="D1269" s="7">
        <f>IF(COUNTIF(Raw_Bookings!$A$2:$A$648,Raw_Passengers!B1269)=0,1,0)</f>
        <v>0</v>
      </c>
      <c r="E1269" s="7">
        <f>IF(OR(C1269=1,D1269=1),0,IF(NOT(ISNUMBER(Raw_Passengers!E1269)),1,IF(Raw_Passengers!E1269&lt;=0,1,0)))</f>
        <v>0</v>
      </c>
      <c r="F1269" s="7">
        <f>IF(AND(C1269=0,D1269=0,TRIM(Raw_Passengers!D1269&amp;"")=""),1,0)</f>
        <v>0</v>
      </c>
      <c r="G1269" s="7" t="str">
        <f>IF(SUMPRODUCT(--(Lookup_Status!$A$2:$A$13=LOWER(TRIM(Raw_Passengers!F1269))))=0,"",INDEX(Lookup_Status!$B$2:$B$13,SUMPRODUCT((Lookup_Status!$A$2:$A$13=LOWER(TRIM(Raw_Passengers!F1269)))*(ROW(Lookup_Status!$A$2:$A$13)-1))))</f>
        <v>Confirmed</v>
      </c>
      <c r="H1269" s="7" t="str">
        <f>IF(SUMPRODUCT(--(Lookup_Status!$A$2:$A$13=LOWER(TRIM(Raw_Passengers!G1269))))=0,"",INDEX(Lookup_Status!$B$2:$B$13,SUMPRODUCT((Lookup_Status!$A$2:$A$13=LOWER(TRIM(Raw_Passengers!G1269)))*(ROW(Lookup_Status!$A$2:$A$13)-1))))</f>
        <v>Confirmed</v>
      </c>
      <c r="I1269" s="7">
        <f>IF(OR(G1269="",G1269="Cancelled",G1269="Mixed"),1,0)</f>
        <v>0</v>
      </c>
      <c r="J1269" s="7">
        <f>IF(OR(H1269="",H1269="Mixed"),1,0)</f>
        <v>0</v>
      </c>
      <c r="K1269" s="7">
        <f>IF(AND(C1269=0,D1269=0),IF(OR(AND(I1269=0,NOT(EXACT(Raw_Passengers!F1269,G1269))),AND(J1269=0,NOT(EXACT(Raw_Passengers!G1269,H1269)))),1,0),0)</f>
        <v>0</v>
      </c>
      <c r="L1269" s="7">
        <f>IF(AND(C1269=0,D1269=0,I1269=1),1,0)</f>
        <v>0</v>
      </c>
      <c r="M1269" s="7">
        <f>IF(AND(C1269=0,D1269=0,J1269=1),1,0)</f>
        <v>0</v>
      </c>
    </row>
    <row r="1270" spans="1:13">
      <c r="A1270" s="7">
        <f>Raw_Passengers!A1270</f>
        <v>396896</v>
      </c>
      <c r="B1270" s="7">
        <f>Raw_Passengers!B1270</f>
        <v>1197007</v>
      </c>
      <c r="C1270" s="7">
        <f>IF(COUNTIF(Raw_Passengers!$A$2:A1270,Raw_Passengers!A1270)&gt;1,1,0)</f>
        <v>0</v>
      </c>
      <c r="D1270" s="7">
        <f>IF(COUNTIF(Raw_Bookings!$A$2:$A$648,Raw_Passengers!B1270)=0,1,0)</f>
        <v>0</v>
      </c>
      <c r="E1270" s="7">
        <f>IF(OR(C1270=1,D1270=1),0,IF(NOT(ISNUMBER(Raw_Passengers!E1270)),1,IF(Raw_Passengers!E1270&lt;=0,1,0)))</f>
        <v>0</v>
      </c>
      <c r="F1270" s="7">
        <f>IF(AND(C1270=0,D1270=0,TRIM(Raw_Passengers!D1270&amp;"")=""),1,0)</f>
        <v>0</v>
      </c>
      <c r="G1270" s="7" t="str">
        <f>IF(SUMPRODUCT(--(Lookup_Status!$A$2:$A$13=LOWER(TRIM(Raw_Passengers!F1270))))=0,"",INDEX(Lookup_Status!$B$2:$B$13,SUMPRODUCT((Lookup_Status!$A$2:$A$13=LOWER(TRIM(Raw_Passengers!F1270)))*(ROW(Lookup_Status!$A$2:$A$13)-1))))</f>
        <v>Confirmed</v>
      </c>
      <c r="H1270" s="7" t="str">
        <f>IF(SUMPRODUCT(--(Lookup_Status!$A$2:$A$13=LOWER(TRIM(Raw_Passengers!G1270))))=0,"",INDEX(Lookup_Status!$B$2:$B$13,SUMPRODUCT((Lookup_Status!$A$2:$A$13=LOWER(TRIM(Raw_Passengers!G1270)))*(ROW(Lookup_Status!$A$2:$A$13)-1))))</f>
        <v>Confirmed</v>
      </c>
      <c r="I1270" s="7">
        <f>IF(OR(G1270="",G1270="Cancelled",G1270="Mixed"),1,0)</f>
        <v>0</v>
      </c>
      <c r="J1270" s="7">
        <f>IF(OR(H1270="",H1270="Mixed"),1,0)</f>
        <v>0</v>
      </c>
      <c r="K1270" s="7">
        <f>IF(AND(C1270=0,D1270=0),IF(OR(AND(I1270=0,NOT(EXACT(Raw_Passengers!F1270,G1270))),AND(J1270=0,NOT(EXACT(Raw_Passengers!G1270,H1270)))),1,0),0)</f>
        <v>0</v>
      </c>
      <c r="L1270" s="7">
        <f>IF(AND(C1270=0,D1270=0,I1270=1),1,0)</f>
        <v>0</v>
      </c>
      <c r="M1270" s="7">
        <f>IF(AND(C1270=0,D1270=0,J1270=1),1,0)</f>
        <v>0</v>
      </c>
    </row>
    <row r="1271" spans="1:13">
      <c r="A1271" s="7">
        <f>Raw_Passengers!A1271</f>
        <v>397790</v>
      </c>
      <c r="B1271" s="7">
        <f>Raw_Passengers!B1271</f>
        <v>1197470</v>
      </c>
      <c r="C1271" s="7">
        <f>IF(COUNTIF(Raw_Passengers!$A$2:A1271,Raw_Passengers!A1271)&gt;1,1,0)</f>
        <v>0</v>
      </c>
      <c r="D1271" s="7">
        <f>IF(COUNTIF(Raw_Bookings!$A$2:$A$648,Raw_Passengers!B1271)=0,1,0)</f>
        <v>0</v>
      </c>
      <c r="E1271" s="7">
        <f>IF(OR(C1271=1,D1271=1),0,IF(NOT(ISNUMBER(Raw_Passengers!E1271)),1,IF(Raw_Passengers!E1271&lt;=0,1,0)))</f>
        <v>0</v>
      </c>
      <c r="F1271" s="7">
        <f>IF(AND(C1271=0,D1271=0,TRIM(Raw_Passengers!D1271&amp;"")=""),1,0)</f>
        <v>0</v>
      </c>
      <c r="G1271" s="7" t="str">
        <f>IF(SUMPRODUCT(--(Lookup_Status!$A$2:$A$13=LOWER(TRIM(Raw_Passengers!F1271))))=0,"",INDEX(Lookup_Status!$B$2:$B$13,SUMPRODUCT((Lookup_Status!$A$2:$A$13=LOWER(TRIM(Raw_Passengers!F1271)))*(ROW(Lookup_Status!$A$2:$A$13)-1))))</f>
        <v>Waitlisted</v>
      </c>
      <c r="H1271" s="7" t="str">
        <f>IF(SUMPRODUCT(--(Lookup_Status!$A$2:$A$13=LOWER(TRIM(Raw_Passengers!G1271))))=0,"",INDEX(Lookup_Status!$B$2:$B$13,SUMPRODUCT((Lookup_Status!$A$2:$A$13=LOWER(TRIM(Raw_Passengers!G1271)))*(ROW(Lookup_Status!$A$2:$A$13)-1))))</f>
        <v>Waitlisted</v>
      </c>
      <c r="I1271" s="7">
        <f>IF(OR(G1271="",G1271="Cancelled",G1271="Mixed"),1,0)</f>
        <v>0</v>
      </c>
      <c r="J1271" s="7">
        <f>IF(OR(H1271="",H1271="Mixed"),1,0)</f>
        <v>0</v>
      </c>
      <c r="K1271" s="7">
        <f>IF(AND(C1271=0,D1271=0),IF(OR(AND(I1271=0,NOT(EXACT(Raw_Passengers!F1271,G1271))),AND(J1271=0,NOT(EXACT(Raw_Passengers!G1271,H1271)))),1,0),0)</f>
        <v>0</v>
      </c>
      <c r="L1271" s="7">
        <f>IF(AND(C1271=0,D1271=0,I1271=1),1,0)</f>
        <v>0</v>
      </c>
      <c r="M1271" s="7">
        <f>IF(AND(C1271=0,D1271=0,J1271=1),1,0)</f>
        <v>0</v>
      </c>
    </row>
    <row r="1272" spans="1:13">
      <c r="A1272" s="7">
        <f>Raw_Passengers!A1272</f>
        <v>397791</v>
      </c>
      <c r="B1272" s="7">
        <f>Raw_Passengers!B1272</f>
        <v>1197470</v>
      </c>
      <c r="C1272" s="7">
        <f>IF(COUNTIF(Raw_Passengers!$A$2:A1272,Raw_Passengers!A1272)&gt;1,1,0)</f>
        <v>0</v>
      </c>
      <c r="D1272" s="7">
        <f>IF(COUNTIF(Raw_Bookings!$A$2:$A$648,Raw_Passengers!B1272)=0,1,0)</f>
        <v>0</v>
      </c>
      <c r="E1272" s="7">
        <f>IF(OR(C1272=1,D1272=1),0,IF(NOT(ISNUMBER(Raw_Passengers!E1272)),1,IF(Raw_Passengers!E1272&lt;=0,1,0)))</f>
        <v>0</v>
      </c>
      <c r="F1272" s="7">
        <f>IF(AND(C1272=0,D1272=0,TRIM(Raw_Passengers!D1272&amp;"")=""),1,0)</f>
        <v>0</v>
      </c>
      <c r="G1272" s="7" t="str">
        <f>IF(SUMPRODUCT(--(Lookup_Status!$A$2:$A$13=LOWER(TRIM(Raw_Passengers!F1272))))=0,"",INDEX(Lookup_Status!$B$2:$B$13,SUMPRODUCT((Lookup_Status!$A$2:$A$13=LOWER(TRIM(Raw_Passengers!F1272)))*(ROW(Lookup_Status!$A$2:$A$13)-1))))</f>
        <v>Waitlisted</v>
      </c>
      <c r="H1272" s="7" t="str">
        <f>IF(SUMPRODUCT(--(Lookup_Status!$A$2:$A$13=LOWER(TRIM(Raw_Passengers!G1272))))=0,"",INDEX(Lookup_Status!$B$2:$B$13,SUMPRODUCT((Lookup_Status!$A$2:$A$13=LOWER(TRIM(Raw_Passengers!G1272)))*(ROW(Lookup_Status!$A$2:$A$13)-1))))</f>
        <v>Waitlisted</v>
      </c>
      <c r="I1272" s="7">
        <f>IF(OR(G1272="",G1272="Cancelled",G1272="Mixed"),1,0)</f>
        <v>0</v>
      </c>
      <c r="J1272" s="7">
        <f>IF(OR(H1272="",H1272="Mixed"),1,0)</f>
        <v>0</v>
      </c>
      <c r="K1272" s="7">
        <f>IF(AND(C1272=0,D1272=0),IF(OR(AND(I1272=0,NOT(EXACT(Raw_Passengers!F1272,G1272))),AND(J1272=0,NOT(EXACT(Raw_Passengers!G1272,H1272)))),1,0),0)</f>
        <v>0</v>
      </c>
      <c r="L1272" s="7">
        <f>IF(AND(C1272=0,D1272=0,I1272=1),1,0)</f>
        <v>0</v>
      </c>
      <c r="M1272" s="7">
        <f>IF(AND(C1272=0,D1272=0,J1272=1),1,0)</f>
        <v>0</v>
      </c>
    </row>
    <row r="1273" spans="1:13">
      <c r="A1273" s="7">
        <f>Raw_Passengers!A1273</f>
        <v>398360</v>
      </c>
      <c r="B1273" s="7">
        <f>Raw_Passengers!B1273</f>
        <v>1197742</v>
      </c>
      <c r="C1273" s="7">
        <f>IF(COUNTIF(Raw_Passengers!$A$2:A1273,Raw_Passengers!A1273)&gt;1,1,0)</f>
        <v>0</v>
      </c>
      <c r="D1273" s="7">
        <f>IF(COUNTIF(Raw_Bookings!$A$2:$A$648,Raw_Passengers!B1273)=0,1,0)</f>
        <v>0</v>
      </c>
      <c r="E1273" s="7">
        <f>IF(OR(C1273=1,D1273=1),0,IF(NOT(ISNUMBER(Raw_Passengers!E1273)),1,IF(Raw_Passengers!E1273&lt;=0,1,0)))</f>
        <v>0</v>
      </c>
      <c r="F1273" s="7">
        <f>IF(AND(C1273=0,D1273=0,TRIM(Raw_Passengers!D1273&amp;"")=""),1,0)</f>
        <v>0</v>
      </c>
      <c r="G1273" s="7" t="str">
        <f>IF(SUMPRODUCT(--(Lookup_Status!$A$2:$A$13=LOWER(TRIM(Raw_Passengers!F1273))))=0,"",INDEX(Lookup_Status!$B$2:$B$13,SUMPRODUCT((Lookup_Status!$A$2:$A$13=LOWER(TRIM(Raw_Passengers!F1273)))*(ROW(Lookup_Status!$A$2:$A$13)-1))))</f>
        <v>Confirmed</v>
      </c>
      <c r="H1273" s="7" t="str">
        <f>IF(SUMPRODUCT(--(Lookup_Status!$A$2:$A$13=LOWER(TRIM(Raw_Passengers!G1273))))=0,"",INDEX(Lookup_Status!$B$2:$B$13,SUMPRODUCT((Lookup_Status!$A$2:$A$13=LOWER(TRIM(Raw_Passengers!G1273)))*(ROW(Lookup_Status!$A$2:$A$13)-1))))</f>
        <v>Confirmed</v>
      </c>
      <c r="I1273" s="7">
        <f>IF(OR(G1273="",G1273="Cancelled",G1273="Mixed"),1,0)</f>
        <v>0</v>
      </c>
      <c r="J1273" s="7">
        <f>IF(OR(H1273="",H1273="Mixed"),1,0)</f>
        <v>0</v>
      </c>
      <c r="K1273" s="7">
        <f>IF(AND(C1273=0,D1273=0),IF(OR(AND(I1273=0,NOT(EXACT(Raw_Passengers!F1273,G1273))),AND(J1273=0,NOT(EXACT(Raw_Passengers!G1273,H1273)))),1,0),0)</f>
        <v>0</v>
      </c>
      <c r="L1273" s="7">
        <f>IF(AND(C1273=0,D1273=0,I1273=1),1,0)</f>
        <v>0</v>
      </c>
      <c r="M1273" s="7">
        <f>IF(AND(C1273=0,D1273=0,J1273=1),1,0)</f>
        <v>0</v>
      </c>
    </row>
    <row r="1274" spans="1:13">
      <c r="A1274" s="7">
        <f>Raw_Passengers!A1274</f>
        <v>398665</v>
      </c>
      <c r="B1274" s="7">
        <f>Raw_Passengers!B1274</f>
        <v>1197896</v>
      </c>
      <c r="C1274" s="7">
        <f>IF(COUNTIF(Raw_Passengers!$A$2:A1274,Raw_Passengers!A1274)&gt;1,1,0)</f>
        <v>0</v>
      </c>
      <c r="D1274" s="7">
        <f>IF(COUNTIF(Raw_Bookings!$A$2:$A$648,Raw_Passengers!B1274)=0,1,0)</f>
        <v>0</v>
      </c>
      <c r="E1274" s="7">
        <f>IF(OR(C1274=1,D1274=1),0,IF(NOT(ISNUMBER(Raw_Passengers!E1274)),1,IF(Raw_Passengers!E1274&lt;=0,1,0)))</f>
        <v>0</v>
      </c>
      <c r="F1274" s="7">
        <f>IF(AND(C1274=0,D1274=0,TRIM(Raw_Passengers!D1274&amp;"")=""),1,0)</f>
        <v>0</v>
      </c>
      <c r="G1274" s="7" t="str">
        <f>IF(SUMPRODUCT(--(Lookup_Status!$A$2:$A$13=LOWER(TRIM(Raw_Passengers!F1274))))=0,"",INDEX(Lookup_Status!$B$2:$B$13,SUMPRODUCT((Lookup_Status!$A$2:$A$13=LOWER(TRIM(Raw_Passengers!F1274)))*(ROW(Lookup_Status!$A$2:$A$13)-1))))</f>
        <v>Waitlisted</v>
      </c>
      <c r="H1274" s="7" t="str">
        <f>IF(SUMPRODUCT(--(Lookup_Status!$A$2:$A$13=LOWER(TRIM(Raw_Passengers!G1274))))=0,"",INDEX(Lookup_Status!$B$2:$B$13,SUMPRODUCT((Lookup_Status!$A$2:$A$13=LOWER(TRIM(Raw_Passengers!G1274)))*(ROW(Lookup_Status!$A$2:$A$13)-1))))</f>
        <v>Waitlisted</v>
      </c>
      <c r="I1274" s="7">
        <f>IF(OR(G1274="",G1274="Cancelled",G1274="Mixed"),1,0)</f>
        <v>0</v>
      </c>
      <c r="J1274" s="7">
        <f>IF(OR(H1274="",H1274="Mixed"),1,0)</f>
        <v>0</v>
      </c>
      <c r="K1274" s="7">
        <f>IF(AND(C1274=0,D1274=0),IF(OR(AND(I1274=0,NOT(EXACT(Raw_Passengers!F1274,G1274))),AND(J1274=0,NOT(EXACT(Raw_Passengers!G1274,H1274)))),1,0),0)</f>
        <v>0</v>
      </c>
      <c r="L1274" s="7">
        <f>IF(AND(C1274=0,D1274=0,I1274=1),1,0)</f>
        <v>0</v>
      </c>
      <c r="M1274" s="7">
        <f>IF(AND(C1274=0,D1274=0,J1274=1),1,0)</f>
        <v>0</v>
      </c>
    </row>
    <row r="1275" spans="1:13">
      <c r="A1275" s="7">
        <f>Raw_Passengers!A1275</f>
        <v>398666</v>
      </c>
      <c r="B1275" s="7">
        <f>Raw_Passengers!B1275</f>
        <v>1197896</v>
      </c>
      <c r="C1275" s="7">
        <f>IF(COUNTIF(Raw_Passengers!$A$2:A1275,Raw_Passengers!A1275)&gt;1,1,0)</f>
        <v>0</v>
      </c>
      <c r="D1275" s="7">
        <f>IF(COUNTIF(Raw_Bookings!$A$2:$A$648,Raw_Passengers!B1275)=0,1,0)</f>
        <v>0</v>
      </c>
      <c r="E1275" s="7">
        <f>IF(OR(C1275=1,D1275=1),0,IF(NOT(ISNUMBER(Raw_Passengers!E1275)),1,IF(Raw_Passengers!E1275&lt;=0,1,0)))</f>
        <v>0</v>
      </c>
      <c r="F1275" s="7">
        <f>IF(AND(C1275=0,D1275=0,TRIM(Raw_Passengers!D1275&amp;"")=""),1,0)</f>
        <v>0</v>
      </c>
      <c r="G1275" s="7" t="str">
        <f>IF(SUMPRODUCT(--(Lookup_Status!$A$2:$A$13=LOWER(TRIM(Raw_Passengers!F1275))))=0,"",INDEX(Lookup_Status!$B$2:$B$13,SUMPRODUCT((Lookup_Status!$A$2:$A$13=LOWER(TRIM(Raw_Passengers!F1275)))*(ROW(Lookup_Status!$A$2:$A$13)-1))))</f>
        <v>Waitlisted</v>
      </c>
      <c r="H1275" s="7" t="str">
        <f>IF(SUMPRODUCT(--(Lookup_Status!$A$2:$A$13=LOWER(TRIM(Raw_Passengers!G1275))))=0,"",INDEX(Lookup_Status!$B$2:$B$13,SUMPRODUCT((Lookup_Status!$A$2:$A$13=LOWER(TRIM(Raw_Passengers!G1275)))*(ROW(Lookup_Status!$A$2:$A$13)-1))))</f>
        <v>Waitlisted</v>
      </c>
      <c r="I1275" s="7">
        <f>IF(OR(G1275="",G1275="Cancelled",G1275="Mixed"),1,0)</f>
        <v>0</v>
      </c>
      <c r="J1275" s="7">
        <f>IF(OR(H1275="",H1275="Mixed"),1,0)</f>
        <v>0</v>
      </c>
      <c r="K1275" s="7">
        <f>IF(AND(C1275=0,D1275=0),IF(OR(AND(I1275=0,NOT(EXACT(Raw_Passengers!F1275,G1275))),AND(J1275=0,NOT(EXACT(Raw_Passengers!G1275,H1275)))),1,0),0)</f>
        <v>0</v>
      </c>
      <c r="L1275" s="7">
        <f>IF(AND(C1275=0,D1275=0,I1275=1),1,0)</f>
        <v>0</v>
      </c>
      <c r="M1275" s="7">
        <f>IF(AND(C1275=0,D1275=0,J1275=1),1,0)</f>
        <v>0</v>
      </c>
    </row>
    <row r="1276" spans="1:13">
      <c r="A1276" s="7">
        <f>Raw_Passengers!A1276</f>
        <v>398667</v>
      </c>
      <c r="B1276" s="7">
        <f>Raw_Passengers!B1276</f>
        <v>1197896</v>
      </c>
      <c r="C1276" s="7">
        <f>IF(COUNTIF(Raw_Passengers!$A$2:A1276,Raw_Passengers!A1276)&gt;1,1,0)</f>
        <v>0</v>
      </c>
      <c r="D1276" s="7">
        <f>IF(COUNTIF(Raw_Bookings!$A$2:$A$648,Raw_Passengers!B1276)=0,1,0)</f>
        <v>0</v>
      </c>
      <c r="E1276" s="7">
        <f>IF(OR(C1276=1,D1276=1),0,IF(NOT(ISNUMBER(Raw_Passengers!E1276)),1,IF(Raw_Passengers!E1276&lt;=0,1,0)))</f>
        <v>0</v>
      </c>
      <c r="F1276" s="7">
        <f>IF(AND(C1276=0,D1276=0,TRIM(Raw_Passengers!D1276&amp;"")=""),1,0)</f>
        <v>0</v>
      </c>
      <c r="G1276" s="7" t="str">
        <f>IF(SUMPRODUCT(--(Lookup_Status!$A$2:$A$13=LOWER(TRIM(Raw_Passengers!F1276))))=0,"",INDEX(Lookup_Status!$B$2:$B$13,SUMPRODUCT((Lookup_Status!$A$2:$A$13=LOWER(TRIM(Raw_Passengers!F1276)))*(ROW(Lookup_Status!$A$2:$A$13)-1))))</f>
        <v>Waitlisted</v>
      </c>
      <c r="H1276" s="7" t="str">
        <f>IF(SUMPRODUCT(--(Lookup_Status!$A$2:$A$13=LOWER(TRIM(Raw_Passengers!G1276))))=0,"",INDEX(Lookup_Status!$B$2:$B$13,SUMPRODUCT((Lookup_Status!$A$2:$A$13=LOWER(TRIM(Raw_Passengers!G1276)))*(ROW(Lookup_Status!$A$2:$A$13)-1))))</f>
        <v>Waitlisted</v>
      </c>
      <c r="I1276" s="7">
        <f>IF(OR(G1276="",G1276="Cancelled",G1276="Mixed"),1,0)</f>
        <v>0</v>
      </c>
      <c r="J1276" s="7">
        <f>IF(OR(H1276="",H1276="Mixed"),1,0)</f>
        <v>0</v>
      </c>
      <c r="K1276" s="7">
        <f>IF(AND(C1276=0,D1276=0),IF(OR(AND(I1276=0,NOT(EXACT(Raw_Passengers!F1276,G1276))),AND(J1276=0,NOT(EXACT(Raw_Passengers!G1276,H1276)))),1,0),0)</f>
        <v>0</v>
      </c>
      <c r="L1276" s="7">
        <f>IF(AND(C1276=0,D1276=0,I1276=1),1,0)</f>
        <v>0</v>
      </c>
      <c r="M1276" s="7">
        <f>IF(AND(C1276=0,D1276=0,J1276=1),1,0)</f>
        <v>0</v>
      </c>
    </row>
    <row r="1277" spans="1:13">
      <c r="A1277" s="7">
        <f>Raw_Passengers!A1277</f>
        <v>398850</v>
      </c>
      <c r="B1277" s="7">
        <f>Raw_Passengers!B1277</f>
        <v>1197993</v>
      </c>
      <c r="C1277" s="7">
        <f>IF(COUNTIF(Raw_Passengers!$A$2:A1277,Raw_Passengers!A1277)&gt;1,1,0)</f>
        <v>0</v>
      </c>
      <c r="D1277" s="7">
        <f>IF(COUNTIF(Raw_Bookings!$A$2:$A$648,Raw_Passengers!B1277)=0,1,0)</f>
        <v>0</v>
      </c>
      <c r="E1277" s="7">
        <f>IF(OR(C1277=1,D1277=1),0,IF(NOT(ISNUMBER(Raw_Passengers!E1277)),1,IF(Raw_Passengers!E1277&lt;=0,1,0)))</f>
        <v>0</v>
      </c>
      <c r="F1277" s="7">
        <f>IF(AND(C1277=0,D1277=0,TRIM(Raw_Passengers!D1277&amp;"")=""),1,0)</f>
        <v>0</v>
      </c>
      <c r="G1277" s="7" t="str">
        <f>IF(SUMPRODUCT(--(Lookup_Status!$A$2:$A$13=LOWER(TRIM(Raw_Passengers!F1277))))=0,"",INDEX(Lookup_Status!$B$2:$B$13,SUMPRODUCT((Lookup_Status!$A$2:$A$13=LOWER(TRIM(Raw_Passengers!F1277)))*(ROW(Lookup_Status!$A$2:$A$13)-1))))</f>
        <v>Confirmed</v>
      </c>
      <c r="H1277" s="7" t="str">
        <f>IF(SUMPRODUCT(--(Lookup_Status!$A$2:$A$13=LOWER(TRIM(Raw_Passengers!G1277))))=0,"",INDEX(Lookup_Status!$B$2:$B$13,SUMPRODUCT((Lookup_Status!$A$2:$A$13=LOWER(TRIM(Raw_Passengers!G1277)))*(ROW(Lookup_Status!$A$2:$A$13)-1))))</f>
        <v>Confirmed</v>
      </c>
      <c r="I1277" s="7">
        <f>IF(OR(G1277="",G1277="Cancelled",G1277="Mixed"),1,0)</f>
        <v>0</v>
      </c>
      <c r="J1277" s="7">
        <f>IF(OR(H1277="",H1277="Mixed"),1,0)</f>
        <v>0</v>
      </c>
      <c r="K1277" s="7">
        <f>IF(AND(C1277=0,D1277=0),IF(OR(AND(I1277=0,NOT(EXACT(Raw_Passengers!F1277,G1277))),AND(J1277=0,NOT(EXACT(Raw_Passengers!G1277,H1277)))),1,0),0)</f>
        <v>0</v>
      </c>
      <c r="L1277" s="7">
        <f>IF(AND(C1277=0,D1277=0,I1277=1),1,0)</f>
        <v>0</v>
      </c>
      <c r="M1277" s="7">
        <f>IF(AND(C1277=0,D1277=0,J1277=1),1,0)</f>
        <v>0</v>
      </c>
    </row>
    <row r="1278" spans="1:13">
      <c r="A1278" s="7">
        <f>Raw_Passengers!A1278</f>
        <v>399138</v>
      </c>
      <c r="B1278" s="7">
        <f>Raw_Passengers!B1278</f>
        <v>1198119</v>
      </c>
      <c r="C1278" s="7">
        <f>IF(COUNTIF(Raw_Passengers!$A$2:A1278,Raw_Passengers!A1278)&gt;1,1,0)</f>
        <v>0</v>
      </c>
      <c r="D1278" s="7">
        <f>IF(COUNTIF(Raw_Bookings!$A$2:$A$648,Raw_Passengers!B1278)=0,1,0)</f>
        <v>0</v>
      </c>
      <c r="E1278" s="7">
        <f>IF(OR(C1278=1,D1278=1),0,IF(NOT(ISNUMBER(Raw_Passengers!E1278)),1,IF(Raw_Passengers!E1278&lt;=0,1,0)))</f>
        <v>0</v>
      </c>
      <c r="F1278" s="7">
        <f>IF(AND(C1278=0,D1278=0,TRIM(Raw_Passengers!D1278&amp;"")=""),1,0)</f>
        <v>0</v>
      </c>
      <c r="G1278" s="7" t="str">
        <f>IF(SUMPRODUCT(--(Lookup_Status!$A$2:$A$13=LOWER(TRIM(Raw_Passengers!F1278))))=0,"",INDEX(Lookup_Status!$B$2:$B$13,SUMPRODUCT((Lookup_Status!$A$2:$A$13=LOWER(TRIM(Raw_Passengers!F1278)))*(ROW(Lookup_Status!$A$2:$A$13)-1))))</f>
        <v>RAC</v>
      </c>
      <c r="H1278" s="7" t="str">
        <f>IF(SUMPRODUCT(--(Lookup_Status!$A$2:$A$13=LOWER(TRIM(Raw_Passengers!G1278))))=0,"",INDEX(Lookup_Status!$B$2:$B$13,SUMPRODUCT((Lookup_Status!$A$2:$A$13=LOWER(TRIM(Raw_Passengers!G1278)))*(ROW(Lookup_Status!$A$2:$A$13)-1))))</f>
        <v>Confirmed</v>
      </c>
      <c r="I1278" s="7">
        <f>IF(OR(G1278="",G1278="Cancelled",G1278="Mixed"),1,0)</f>
        <v>0</v>
      </c>
      <c r="J1278" s="7">
        <f>IF(OR(H1278="",H1278="Mixed"),1,0)</f>
        <v>0</v>
      </c>
      <c r="K1278" s="7">
        <f>IF(AND(C1278=0,D1278=0),IF(OR(AND(I1278=0,NOT(EXACT(Raw_Passengers!F1278,G1278))),AND(J1278=0,NOT(EXACT(Raw_Passengers!G1278,H1278)))),1,0),0)</f>
        <v>0</v>
      </c>
      <c r="L1278" s="7">
        <f>IF(AND(C1278=0,D1278=0,I1278=1),1,0)</f>
        <v>0</v>
      </c>
      <c r="M1278" s="7">
        <f>IF(AND(C1278=0,D1278=0,J1278=1),1,0)</f>
        <v>0</v>
      </c>
    </row>
    <row r="1279" spans="1:13">
      <c r="A1279" s="7">
        <f>Raw_Passengers!A1279</f>
        <v>399139</v>
      </c>
      <c r="B1279" s="7">
        <f>Raw_Passengers!B1279</f>
        <v>1198119</v>
      </c>
      <c r="C1279" s="7">
        <f>IF(COUNTIF(Raw_Passengers!$A$2:A1279,Raw_Passengers!A1279)&gt;1,1,0)</f>
        <v>0</v>
      </c>
      <c r="D1279" s="7">
        <f>IF(COUNTIF(Raw_Bookings!$A$2:$A$648,Raw_Passengers!B1279)=0,1,0)</f>
        <v>0</v>
      </c>
      <c r="E1279" s="7">
        <f>IF(OR(C1279=1,D1279=1),0,IF(NOT(ISNUMBER(Raw_Passengers!E1279)),1,IF(Raw_Passengers!E1279&lt;=0,1,0)))</f>
        <v>0</v>
      </c>
      <c r="F1279" s="7">
        <f>IF(AND(C1279=0,D1279=0,TRIM(Raw_Passengers!D1279&amp;"")=""),1,0)</f>
        <v>0</v>
      </c>
      <c r="G1279" s="7" t="str">
        <f>IF(SUMPRODUCT(--(Lookup_Status!$A$2:$A$13=LOWER(TRIM(Raw_Passengers!F1279))))=0,"",INDEX(Lookup_Status!$B$2:$B$13,SUMPRODUCT((Lookup_Status!$A$2:$A$13=LOWER(TRIM(Raw_Passengers!F1279)))*(ROW(Lookup_Status!$A$2:$A$13)-1))))</f>
        <v>RAC</v>
      </c>
      <c r="H1279" s="7" t="str">
        <f>IF(SUMPRODUCT(--(Lookup_Status!$A$2:$A$13=LOWER(TRIM(Raw_Passengers!G1279))))=0,"",INDEX(Lookup_Status!$B$2:$B$13,SUMPRODUCT((Lookup_Status!$A$2:$A$13=LOWER(TRIM(Raw_Passengers!G1279)))*(ROW(Lookup_Status!$A$2:$A$13)-1))))</f>
        <v>Confirmed</v>
      </c>
      <c r="I1279" s="7">
        <f>IF(OR(G1279="",G1279="Cancelled",G1279="Mixed"),1,0)</f>
        <v>0</v>
      </c>
      <c r="J1279" s="7">
        <f>IF(OR(H1279="",H1279="Mixed"),1,0)</f>
        <v>0</v>
      </c>
      <c r="K1279" s="7">
        <f>IF(AND(C1279=0,D1279=0),IF(OR(AND(I1279=0,NOT(EXACT(Raw_Passengers!F1279,G1279))),AND(J1279=0,NOT(EXACT(Raw_Passengers!G1279,H1279)))),1,0),0)</f>
        <v>0</v>
      </c>
      <c r="L1279" s="7">
        <f>IF(AND(C1279=0,D1279=0,I1279=1),1,0)</f>
        <v>0</v>
      </c>
      <c r="M1279" s="7">
        <f>IF(AND(C1279=0,D1279=0,J1279=1),1,0)</f>
        <v>0</v>
      </c>
    </row>
    <row r="1280" spans="1:13">
      <c r="A1280" s="7">
        <f>Raw_Passengers!A1280</f>
        <v>399140</v>
      </c>
      <c r="B1280" s="7">
        <f>Raw_Passengers!B1280</f>
        <v>1198119</v>
      </c>
      <c r="C1280" s="7">
        <f>IF(COUNTIF(Raw_Passengers!$A$2:A1280,Raw_Passengers!A1280)&gt;1,1,0)</f>
        <v>0</v>
      </c>
      <c r="D1280" s="7">
        <f>IF(COUNTIF(Raw_Bookings!$A$2:$A$648,Raw_Passengers!B1280)=0,1,0)</f>
        <v>0</v>
      </c>
      <c r="E1280" s="7">
        <f>IF(OR(C1280=1,D1280=1),0,IF(NOT(ISNUMBER(Raw_Passengers!E1280)),1,IF(Raw_Passengers!E1280&lt;=0,1,0)))</f>
        <v>0</v>
      </c>
      <c r="F1280" s="7">
        <f>IF(AND(C1280=0,D1280=0,TRIM(Raw_Passengers!D1280&amp;"")=""),1,0)</f>
        <v>0</v>
      </c>
      <c r="G1280" s="7" t="str">
        <f>IF(SUMPRODUCT(--(Lookup_Status!$A$2:$A$13=LOWER(TRIM(Raw_Passengers!F1280))))=0,"",INDEX(Lookup_Status!$B$2:$B$13,SUMPRODUCT((Lookup_Status!$A$2:$A$13=LOWER(TRIM(Raw_Passengers!F1280)))*(ROW(Lookup_Status!$A$2:$A$13)-1))))</f>
        <v>RAC</v>
      </c>
      <c r="H1280" s="7" t="str">
        <f>IF(SUMPRODUCT(--(Lookup_Status!$A$2:$A$13=LOWER(TRIM(Raw_Passengers!G1280))))=0,"",INDEX(Lookup_Status!$B$2:$B$13,SUMPRODUCT((Lookup_Status!$A$2:$A$13=LOWER(TRIM(Raw_Passengers!G1280)))*(ROW(Lookup_Status!$A$2:$A$13)-1))))</f>
        <v>Confirmed</v>
      </c>
      <c r="I1280" s="7">
        <f>IF(OR(G1280="",G1280="Cancelled",G1280="Mixed"),1,0)</f>
        <v>0</v>
      </c>
      <c r="J1280" s="7">
        <f>IF(OR(H1280="",H1280="Mixed"),1,0)</f>
        <v>0</v>
      </c>
      <c r="K1280" s="7">
        <f>IF(AND(C1280=0,D1280=0),IF(OR(AND(I1280=0,NOT(EXACT(Raw_Passengers!F1280,G1280))),AND(J1280=0,NOT(EXACT(Raw_Passengers!G1280,H1280)))),1,0),0)</f>
        <v>0</v>
      </c>
      <c r="L1280" s="7">
        <f>IF(AND(C1280=0,D1280=0,I1280=1),1,0)</f>
        <v>0</v>
      </c>
      <c r="M1280" s="7">
        <f>IF(AND(C1280=0,D1280=0,J1280=1),1,0)</f>
        <v>0</v>
      </c>
    </row>
    <row r="1281" spans="1:13">
      <c r="A1281" s="7">
        <f>Raw_Passengers!A1281</f>
        <v>399141</v>
      </c>
      <c r="B1281" s="7">
        <f>Raw_Passengers!B1281</f>
        <v>1198119</v>
      </c>
      <c r="C1281" s="7">
        <f>IF(COUNTIF(Raw_Passengers!$A$2:A1281,Raw_Passengers!A1281)&gt;1,1,0)</f>
        <v>0</v>
      </c>
      <c r="D1281" s="7">
        <f>IF(COUNTIF(Raw_Bookings!$A$2:$A$648,Raw_Passengers!B1281)=0,1,0)</f>
        <v>0</v>
      </c>
      <c r="E1281" s="7">
        <f>IF(OR(C1281=1,D1281=1),0,IF(NOT(ISNUMBER(Raw_Passengers!E1281)),1,IF(Raw_Passengers!E1281&lt;=0,1,0)))</f>
        <v>0</v>
      </c>
      <c r="F1281" s="7">
        <f>IF(AND(C1281=0,D1281=0,TRIM(Raw_Passengers!D1281&amp;"")=""),1,0)</f>
        <v>0</v>
      </c>
      <c r="G1281" s="7" t="str">
        <f>IF(SUMPRODUCT(--(Lookup_Status!$A$2:$A$13=LOWER(TRIM(Raw_Passengers!F1281))))=0,"",INDEX(Lookup_Status!$B$2:$B$13,SUMPRODUCT((Lookup_Status!$A$2:$A$13=LOWER(TRIM(Raw_Passengers!F1281)))*(ROW(Lookup_Status!$A$2:$A$13)-1))))</f>
        <v>RAC</v>
      </c>
      <c r="H1281" s="7" t="str">
        <f>IF(SUMPRODUCT(--(Lookup_Status!$A$2:$A$13=LOWER(TRIM(Raw_Passengers!G1281))))=0,"",INDEX(Lookup_Status!$B$2:$B$13,SUMPRODUCT((Lookup_Status!$A$2:$A$13=LOWER(TRIM(Raw_Passengers!G1281)))*(ROW(Lookup_Status!$A$2:$A$13)-1))))</f>
        <v>Confirmed</v>
      </c>
      <c r="I1281" s="7">
        <f>IF(OR(G1281="",G1281="Cancelled",G1281="Mixed"),1,0)</f>
        <v>0</v>
      </c>
      <c r="J1281" s="7">
        <f>IF(OR(H1281="",H1281="Mixed"),1,0)</f>
        <v>0</v>
      </c>
      <c r="K1281" s="7">
        <f>IF(AND(C1281=0,D1281=0),IF(OR(AND(I1281=0,NOT(EXACT(Raw_Passengers!F1281,G1281))),AND(J1281=0,NOT(EXACT(Raw_Passengers!G1281,H1281)))),1,0),0)</f>
        <v>0</v>
      </c>
      <c r="L1281" s="7">
        <f>IF(AND(C1281=0,D1281=0,I1281=1),1,0)</f>
        <v>0</v>
      </c>
      <c r="M1281" s="7">
        <f>IF(AND(C1281=0,D1281=0,J1281=1),1,0)</f>
        <v>0</v>
      </c>
    </row>
    <row r="1282" spans="1:13">
      <c r="A1282" s="7">
        <f>Raw_Passengers!A1282</f>
        <v>399229</v>
      </c>
      <c r="B1282" s="7">
        <f>Raw_Passengers!B1282</f>
        <v>1198169</v>
      </c>
      <c r="C1282" s="7">
        <f>IF(COUNTIF(Raw_Passengers!$A$2:A1282,Raw_Passengers!A1282)&gt;1,1,0)</f>
        <v>0</v>
      </c>
      <c r="D1282" s="7">
        <f>IF(COUNTIF(Raw_Bookings!$A$2:$A$648,Raw_Passengers!B1282)=0,1,0)</f>
        <v>0</v>
      </c>
      <c r="E1282" s="7">
        <f>IF(OR(C1282=1,D1282=1),0,IF(NOT(ISNUMBER(Raw_Passengers!E1282)),1,IF(Raw_Passengers!E1282&lt;=0,1,0)))</f>
        <v>0</v>
      </c>
      <c r="F1282" s="7">
        <f>IF(AND(C1282=0,D1282=0,TRIM(Raw_Passengers!D1282&amp;"")=""),1,0)</f>
        <v>0</v>
      </c>
      <c r="G1282" s="7" t="str">
        <f>IF(SUMPRODUCT(--(Lookup_Status!$A$2:$A$13=LOWER(TRIM(Raw_Passengers!F1282))))=0,"",INDEX(Lookup_Status!$B$2:$B$13,SUMPRODUCT((Lookup_Status!$A$2:$A$13=LOWER(TRIM(Raw_Passengers!F1282)))*(ROW(Lookup_Status!$A$2:$A$13)-1))))</f>
        <v>Confirmed</v>
      </c>
      <c r="H1282" s="7" t="str">
        <f>IF(SUMPRODUCT(--(Lookup_Status!$A$2:$A$13=LOWER(TRIM(Raw_Passengers!G1282))))=0,"",INDEX(Lookup_Status!$B$2:$B$13,SUMPRODUCT((Lookup_Status!$A$2:$A$13=LOWER(TRIM(Raw_Passengers!G1282)))*(ROW(Lookup_Status!$A$2:$A$13)-1))))</f>
        <v>Confirmed</v>
      </c>
      <c r="I1282" s="7">
        <f>IF(OR(G1282="",G1282="Cancelled",G1282="Mixed"),1,0)</f>
        <v>0</v>
      </c>
      <c r="J1282" s="7">
        <f>IF(OR(H1282="",H1282="Mixed"),1,0)</f>
        <v>0</v>
      </c>
      <c r="K1282" s="7">
        <f>IF(AND(C1282=0,D1282=0),IF(OR(AND(I1282=0,NOT(EXACT(Raw_Passengers!F1282,G1282))),AND(J1282=0,NOT(EXACT(Raw_Passengers!G1282,H1282)))),1,0),0)</f>
        <v>0</v>
      </c>
      <c r="L1282" s="7">
        <f>IF(AND(C1282=0,D1282=0,I1282=1),1,0)</f>
        <v>0</v>
      </c>
      <c r="M1282" s="7">
        <f>IF(AND(C1282=0,D1282=0,J1282=1),1,0)</f>
        <v>0</v>
      </c>
    </row>
    <row r="1283" spans="1:13">
      <c r="A1283" s="7">
        <f>Raw_Passengers!A1283</f>
        <v>399230</v>
      </c>
      <c r="B1283" s="7">
        <f>Raw_Passengers!B1283</f>
        <v>1198169</v>
      </c>
      <c r="C1283" s="7">
        <f>IF(COUNTIF(Raw_Passengers!$A$2:A1283,Raw_Passengers!A1283)&gt;1,1,0)</f>
        <v>0</v>
      </c>
      <c r="D1283" s="7">
        <f>IF(COUNTIF(Raw_Bookings!$A$2:$A$648,Raw_Passengers!B1283)=0,1,0)</f>
        <v>0</v>
      </c>
      <c r="E1283" s="7">
        <f>IF(OR(C1283=1,D1283=1),0,IF(NOT(ISNUMBER(Raw_Passengers!E1283)),1,IF(Raw_Passengers!E1283&lt;=0,1,0)))</f>
        <v>0</v>
      </c>
      <c r="F1283" s="7">
        <f>IF(AND(C1283=0,D1283=0,TRIM(Raw_Passengers!D1283&amp;"")=""),1,0)</f>
        <v>0</v>
      </c>
      <c r="G1283" s="7" t="str">
        <f>IF(SUMPRODUCT(--(Lookup_Status!$A$2:$A$13=LOWER(TRIM(Raw_Passengers!F1283))))=0,"",INDEX(Lookup_Status!$B$2:$B$13,SUMPRODUCT((Lookup_Status!$A$2:$A$13=LOWER(TRIM(Raw_Passengers!F1283)))*(ROW(Lookup_Status!$A$2:$A$13)-1))))</f>
        <v>Confirmed</v>
      </c>
      <c r="H1283" s="7" t="str">
        <f>IF(SUMPRODUCT(--(Lookup_Status!$A$2:$A$13=LOWER(TRIM(Raw_Passengers!G1283))))=0,"",INDEX(Lookup_Status!$B$2:$B$13,SUMPRODUCT((Lookup_Status!$A$2:$A$13=LOWER(TRIM(Raw_Passengers!G1283)))*(ROW(Lookup_Status!$A$2:$A$13)-1))))</f>
        <v>Confirmed</v>
      </c>
      <c r="I1283" s="7">
        <f>IF(OR(G1283="",G1283="Cancelled",G1283="Mixed"),1,0)</f>
        <v>0</v>
      </c>
      <c r="J1283" s="7">
        <f>IF(OR(H1283="",H1283="Mixed"),1,0)</f>
        <v>0</v>
      </c>
      <c r="K1283" s="7">
        <f>IF(AND(C1283=0,D1283=0),IF(OR(AND(I1283=0,NOT(EXACT(Raw_Passengers!F1283,G1283))),AND(J1283=0,NOT(EXACT(Raw_Passengers!G1283,H1283)))),1,0),0)</f>
        <v>0</v>
      </c>
      <c r="L1283" s="7">
        <f>IF(AND(C1283=0,D1283=0,I1283=1),1,0)</f>
        <v>0</v>
      </c>
      <c r="M1283" s="7">
        <f>IF(AND(C1283=0,D1283=0,J1283=1),1,0)</f>
        <v>0</v>
      </c>
    </row>
    <row r="1284" spans="1:13">
      <c r="A1284" s="7">
        <f>Raw_Passengers!A1284</f>
        <v>400531</v>
      </c>
      <c r="B1284" s="7">
        <f>Raw_Passengers!B1284</f>
        <v>1198822</v>
      </c>
      <c r="C1284" s="7">
        <f>IF(COUNTIF(Raw_Passengers!$A$2:A1284,Raw_Passengers!A1284)&gt;1,1,0)</f>
        <v>0</v>
      </c>
      <c r="D1284" s="7">
        <f>IF(COUNTIF(Raw_Bookings!$A$2:$A$648,Raw_Passengers!B1284)=0,1,0)</f>
        <v>0</v>
      </c>
      <c r="E1284" s="7">
        <f>IF(OR(C1284=1,D1284=1),0,IF(NOT(ISNUMBER(Raw_Passengers!E1284)),1,IF(Raw_Passengers!E1284&lt;=0,1,0)))</f>
        <v>0</v>
      </c>
      <c r="F1284" s="7">
        <f>IF(AND(C1284=0,D1284=0,TRIM(Raw_Passengers!D1284&amp;"")=""),1,0)</f>
        <v>0</v>
      </c>
      <c r="G1284" s="7" t="str">
        <f>IF(SUMPRODUCT(--(Lookup_Status!$A$2:$A$13=LOWER(TRIM(Raw_Passengers!F1284))))=0,"",INDEX(Lookup_Status!$B$2:$B$13,SUMPRODUCT((Lookup_Status!$A$2:$A$13=LOWER(TRIM(Raw_Passengers!F1284)))*(ROW(Lookup_Status!$A$2:$A$13)-1))))</f>
        <v>Confirmed</v>
      </c>
      <c r="H1284" s="7" t="str">
        <f>IF(SUMPRODUCT(--(Lookup_Status!$A$2:$A$13=LOWER(TRIM(Raw_Passengers!G1284))))=0,"",INDEX(Lookup_Status!$B$2:$B$13,SUMPRODUCT((Lookup_Status!$A$2:$A$13=LOWER(TRIM(Raw_Passengers!G1284)))*(ROW(Lookup_Status!$A$2:$A$13)-1))))</f>
        <v>Confirmed</v>
      </c>
      <c r="I1284" s="7">
        <f>IF(OR(G1284="",G1284="Cancelled",G1284="Mixed"),1,0)</f>
        <v>0</v>
      </c>
      <c r="J1284" s="7">
        <f>IF(OR(H1284="",H1284="Mixed"),1,0)</f>
        <v>0</v>
      </c>
      <c r="K1284" s="7">
        <f>IF(AND(C1284=0,D1284=0),IF(OR(AND(I1284=0,NOT(EXACT(Raw_Passengers!F1284,G1284))),AND(J1284=0,NOT(EXACT(Raw_Passengers!G1284,H1284)))),1,0),0)</f>
        <v>0</v>
      </c>
      <c r="L1284" s="7">
        <f>IF(AND(C1284=0,D1284=0,I1284=1),1,0)</f>
        <v>0</v>
      </c>
      <c r="M1284" s="7">
        <f>IF(AND(C1284=0,D1284=0,J1284=1),1,0)</f>
        <v>0</v>
      </c>
    </row>
    <row r="1285" spans="1:13">
      <c r="A1285" s="7">
        <f>Raw_Passengers!A1285</f>
        <v>401140</v>
      </c>
      <c r="B1285" s="7">
        <f>Raw_Passengers!B1285</f>
        <v>1199119</v>
      </c>
      <c r="C1285" s="7">
        <f>IF(COUNTIF(Raw_Passengers!$A$2:A1285,Raw_Passengers!A1285)&gt;1,1,0)</f>
        <v>0</v>
      </c>
      <c r="D1285" s="7">
        <f>IF(COUNTIF(Raw_Bookings!$A$2:$A$648,Raw_Passengers!B1285)=0,1,0)</f>
        <v>0</v>
      </c>
      <c r="E1285" s="7">
        <f>IF(OR(C1285=1,D1285=1),0,IF(NOT(ISNUMBER(Raw_Passengers!E1285)),1,IF(Raw_Passengers!E1285&lt;=0,1,0)))</f>
        <v>0</v>
      </c>
      <c r="F1285" s="7">
        <f>IF(AND(C1285=0,D1285=0,TRIM(Raw_Passengers!D1285&amp;"")=""),1,0)</f>
        <v>0</v>
      </c>
      <c r="G1285" s="7" t="str">
        <f>IF(SUMPRODUCT(--(Lookup_Status!$A$2:$A$13=LOWER(TRIM(Raw_Passengers!F1285))))=0,"",INDEX(Lookup_Status!$B$2:$B$13,SUMPRODUCT((Lookup_Status!$A$2:$A$13=LOWER(TRIM(Raw_Passengers!F1285)))*(ROW(Lookup_Status!$A$2:$A$13)-1))))</f>
        <v>Waitlisted</v>
      </c>
      <c r="H1285" s="7" t="str">
        <f>IF(SUMPRODUCT(--(Lookup_Status!$A$2:$A$13=LOWER(TRIM(Raw_Passengers!G1285))))=0,"",INDEX(Lookup_Status!$B$2:$B$13,SUMPRODUCT((Lookup_Status!$A$2:$A$13=LOWER(TRIM(Raw_Passengers!G1285)))*(ROW(Lookup_Status!$A$2:$A$13)-1))))</f>
        <v>Waitlisted</v>
      </c>
      <c r="I1285" s="7">
        <f>IF(OR(G1285="",G1285="Cancelled",G1285="Mixed"),1,0)</f>
        <v>0</v>
      </c>
      <c r="J1285" s="7">
        <f>IF(OR(H1285="",H1285="Mixed"),1,0)</f>
        <v>0</v>
      </c>
      <c r="K1285" s="7">
        <f>IF(AND(C1285=0,D1285=0),IF(OR(AND(I1285=0,NOT(EXACT(Raw_Passengers!F1285,G1285))),AND(J1285=0,NOT(EXACT(Raw_Passengers!G1285,H1285)))),1,0),0)</f>
        <v>0</v>
      </c>
      <c r="L1285" s="7">
        <f>IF(AND(C1285=0,D1285=0,I1285=1),1,0)</f>
        <v>0</v>
      </c>
      <c r="M1285" s="7">
        <f>IF(AND(C1285=0,D1285=0,J1285=1),1,0)</f>
        <v>0</v>
      </c>
    </row>
    <row r="1286" spans="1:13">
      <c r="A1286" s="7">
        <f>Raw_Passengers!A1286</f>
        <v>401141</v>
      </c>
      <c r="B1286" s="7">
        <f>Raw_Passengers!B1286</f>
        <v>1199119</v>
      </c>
      <c r="C1286" s="7">
        <f>IF(COUNTIF(Raw_Passengers!$A$2:A1286,Raw_Passengers!A1286)&gt;1,1,0)</f>
        <v>0</v>
      </c>
      <c r="D1286" s="7">
        <f>IF(COUNTIF(Raw_Bookings!$A$2:$A$648,Raw_Passengers!B1286)=0,1,0)</f>
        <v>0</v>
      </c>
      <c r="E1286" s="7">
        <f>IF(OR(C1286=1,D1286=1),0,IF(NOT(ISNUMBER(Raw_Passengers!E1286)),1,IF(Raw_Passengers!E1286&lt;=0,1,0)))</f>
        <v>0</v>
      </c>
      <c r="F1286" s="7">
        <f>IF(AND(C1286=0,D1286=0,TRIM(Raw_Passengers!D1286&amp;"")=""),1,0)</f>
        <v>0</v>
      </c>
      <c r="G1286" s="7" t="str">
        <f>IF(SUMPRODUCT(--(Lookup_Status!$A$2:$A$13=LOWER(TRIM(Raw_Passengers!F1286))))=0,"",INDEX(Lookup_Status!$B$2:$B$13,SUMPRODUCT((Lookup_Status!$A$2:$A$13=LOWER(TRIM(Raw_Passengers!F1286)))*(ROW(Lookup_Status!$A$2:$A$13)-1))))</f>
        <v>Waitlisted</v>
      </c>
      <c r="H1286" s="7" t="str">
        <f>IF(SUMPRODUCT(--(Lookup_Status!$A$2:$A$13=LOWER(TRIM(Raw_Passengers!G1286))))=0,"",INDEX(Lookup_Status!$B$2:$B$13,SUMPRODUCT((Lookup_Status!$A$2:$A$13=LOWER(TRIM(Raw_Passengers!G1286)))*(ROW(Lookup_Status!$A$2:$A$13)-1))))</f>
        <v>Waitlisted</v>
      </c>
      <c r="I1286" s="7">
        <f>IF(OR(G1286="",G1286="Cancelled",G1286="Mixed"),1,0)</f>
        <v>0</v>
      </c>
      <c r="J1286" s="7">
        <f>IF(OR(H1286="",H1286="Mixed"),1,0)</f>
        <v>0</v>
      </c>
      <c r="K1286" s="7">
        <f>IF(AND(C1286=0,D1286=0),IF(OR(AND(I1286=0,NOT(EXACT(Raw_Passengers!F1286,G1286))),AND(J1286=0,NOT(EXACT(Raw_Passengers!G1286,H1286)))),1,0),0)</f>
        <v>0</v>
      </c>
      <c r="L1286" s="7">
        <f>IF(AND(C1286=0,D1286=0,I1286=1),1,0)</f>
        <v>0</v>
      </c>
      <c r="M1286" s="7">
        <f>IF(AND(C1286=0,D1286=0,J1286=1),1,0)</f>
        <v>0</v>
      </c>
    </row>
    <row r="1287" spans="1:13">
      <c r="A1287" s="7">
        <f>Raw_Passengers!A1287</f>
        <v>401455</v>
      </c>
      <c r="B1287" s="7">
        <f>Raw_Passengers!B1287</f>
        <v>1199281</v>
      </c>
      <c r="C1287" s="7">
        <f>IF(COUNTIF(Raw_Passengers!$A$2:A1287,Raw_Passengers!A1287)&gt;1,1,0)</f>
        <v>0</v>
      </c>
      <c r="D1287" s="7">
        <f>IF(COUNTIF(Raw_Bookings!$A$2:$A$648,Raw_Passengers!B1287)=0,1,0)</f>
        <v>0</v>
      </c>
      <c r="E1287" s="7">
        <f>IF(OR(C1287=1,D1287=1),0,IF(NOT(ISNUMBER(Raw_Passengers!E1287)),1,IF(Raw_Passengers!E1287&lt;=0,1,0)))</f>
        <v>0</v>
      </c>
      <c r="F1287" s="7">
        <f>IF(AND(C1287=0,D1287=0,TRIM(Raw_Passengers!D1287&amp;"")=""),1,0)</f>
        <v>0</v>
      </c>
      <c r="G1287" s="7" t="str">
        <f>IF(SUMPRODUCT(--(Lookup_Status!$A$2:$A$13=LOWER(TRIM(Raw_Passengers!F1287))))=0,"",INDEX(Lookup_Status!$B$2:$B$13,SUMPRODUCT((Lookup_Status!$A$2:$A$13=LOWER(TRIM(Raw_Passengers!F1287)))*(ROW(Lookup_Status!$A$2:$A$13)-1))))</f>
        <v>Confirmed</v>
      </c>
      <c r="H1287" s="7" t="str">
        <f>IF(SUMPRODUCT(--(Lookup_Status!$A$2:$A$13=LOWER(TRIM(Raw_Passengers!G1287))))=0,"",INDEX(Lookup_Status!$B$2:$B$13,SUMPRODUCT((Lookup_Status!$A$2:$A$13=LOWER(TRIM(Raw_Passengers!G1287)))*(ROW(Lookup_Status!$A$2:$A$13)-1))))</f>
        <v>Confirmed</v>
      </c>
      <c r="I1287" s="7">
        <f>IF(OR(G1287="",G1287="Cancelled",G1287="Mixed"),1,0)</f>
        <v>0</v>
      </c>
      <c r="J1287" s="7">
        <f>IF(OR(H1287="",H1287="Mixed"),1,0)</f>
        <v>0</v>
      </c>
      <c r="K1287" s="7">
        <f>IF(AND(C1287=0,D1287=0),IF(OR(AND(I1287=0,NOT(EXACT(Raw_Passengers!F1287,G1287))),AND(J1287=0,NOT(EXACT(Raw_Passengers!G1287,H1287)))),1,0),0)</f>
        <v>0</v>
      </c>
      <c r="L1287" s="7">
        <f>IF(AND(C1287=0,D1287=0,I1287=1),1,0)</f>
        <v>0</v>
      </c>
      <c r="M1287" s="7">
        <f>IF(AND(C1287=0,D1287=0,J1287=1),1,0)</f>
        <v>0</v>
      </c>
    </row>
    <row r="1288" spans="1:13">
      <c r="A1288" s="7">
        <f>Raw_Passengers!A1288</f>
        <v>401456</v>
      </c>
      <c r="B1288" s="7">
        <f>Raw_Passengers!B1288</f>
        <v>1199281</v>
      </c>
      <c r="C1288" s="7">
        <f>IF(COUNTIF(Raw_Passengers!$A$2:A1288,Raw_Passengers!A1288)&gt;1,1,0)</f>
        <v>0</v>
      </c>
      <c r="D1288" s="7">
        <f>IF(COUNTIF(Raw_Bookings!$A$2:$A$648,Raw_Passengers!B1288)=0,1,0)</f>
        <v>0</v>
      </c>
      <c r="E1288" s="7">
        <f>IF(OR(C1288=1,D1288=1),0,IF(NOT(ISNUMBER(Raw_Passengers!E1288)),1,IF(Raw_Passengers!E1288&lt;=0,1,0)))</f>
        <v>0</v>
      </c>
      <c r="F1288" s="7">
        <f>IF(AND(C1288=0,D1288=0,TRIM(Raw_Passengers!D1288&amp;"")=""),1,0)</f>
        <v>0</v>
      </c>
      <c r="G1288" s="7" t="str">
        <f>IF(SUMPRODUCT(--(Lookup_Status!$A$2:$A$13=LOWER(TRIM(Raw_Passengers!F1288))))=0,"",INDEX(Lookup_Status!$B$2:$B$13,SUMPRODUCT((Lookup_Status!$A$2:$A$13=LOWER(TRIM(Raw_Passengers!F1288)))*(ROW(Lookup_Status!$A$2:$A$13)-1))))</f>
        <v>Confirmed</v>
      </c>
      <c r="H1288" s="7" t="str">
        <f>IF(SUMPRODUCT(--(Lookup_Status!$A$2:$A$13=LOWER(TRIM(Raw_Passengers!G1288))))=0,"",INDEX(Lookup_Status!$B$2:$B$13,SUMPRODUCT((Lookup_Status!$A$2:$A$13=LOWER(TRIM(Raw_Passengers!G1288)))*(ROW(Lookup_Status!$A$2:$A$13)-1))))</f>
        <v>Confirmed</v>
      </c>
      <c r="I1288" s="7">
        <f>IF(OR(G1288="",G1288="Cancelled",G1288="Mixed"),1,0)</f>
        <v>0</v>
      </c>
      <c r="J1288" s="7">
        <f>IF(OR(H1288="",H1288="Mixed"),1,0)</f>
        <v>0</v>
      </c>
      <c r="K1288" s="7">
        <f>IF(AND(C1288=0,D1288=0),IF(OR(AND(I1288=0,NOT(EXACT(Raw_Passengers!F1288,G1288))),AND(J1288=0,NOT(EXACT(Raw_Passengers!G1288,H1288)))),1,0),0)</f>
        <v>0</v>
      </c>
      <c r="L1288" s="7">
        <f>IF(AND(C1288=0,D1288=0,I1288=1),1,0)</f>
        <v>0</v>
      </c>
      <c r="M1288" s="7">
        <f>IF(AND(C1288=0,D1288=0,J1288=1),1,0)</f>
        <v>0</v>
      </c>
    </row>
    <row r="1289" spans="1:13">
      <c r="A1289" s="7">
        <f>Raw_Passengers!A1289</f>
        <v>401457</v>
      </c>
      <c r="B1289" s="7">
        <f>Raw_Passengers!B1289</f>
        <v>1199281</v>
      </c>
      <c r="C1289" s="7">
        <f>IF(COUNTIF(Raw_Passengers!$A$2:A1289,Raw_Passengers!A1289)&gt;1,1,0)</f>
        <v>0</v>
      </c>
      <c r="D1289" s="7">
        <f>IF(COUNTIF(Raw_Bookings!$A$2:$A$648,Raw_Passengers!B1289)=0,1,0)</f>
        <v>0</v>
      </c>
      <c r="E1289" s="7">
        <f>IF(OR(C1289=1,D1289=1),0,IF(NOT(ISNUMBER(Raw_Passengers!E1289)),1,IF(Raw_Passengers!E1289&lt;=0,1,0)))</f>
        <v>0</v>
      </c>
      <c r="F1289" s="7">
        <f>IF(AND(C1289=0,D1289=0,TRIM(Raw_Passengers!D1289&amp;"")=""),1,0)</f>
        <v>0</v>
      </c>
      <c r="G1289" s="7" t="str">
        <f>IF(SUMPRODUCT(--(Lookup_Status!$A$2:$A$13=LOWER(TRIM(Raw_Passengers!F1289))))=0,"",INDEX(Lookup_Status!$B$2:$B$13,SUMPRODUCT((Lookup_Status!$A$2:$A$13=LOWER(TRIM(Raw_Passengers!F1289)))*(ROW(Lookup_Status!$A$2:$A$13)-1))))</f>
        <v>Confirmed</v>
      </c>
      <c r="H1289" s="7" t="str">
        <f>IF(SUMPRODUCT(--(Lookup_Status!$A$2:$A$13=LOWER(TRIM(Raw_Passengers!G1289))))=0,"",INDEX(Lookup_Status!$B$2:$B$13,SUMPRODUCT((Lookup_Status!$A$2:$A$13=LOWER(TRIM(Raw_Passengers!G1289)))*(ROW(Lookup_Status!$A$2:$A$13)-1))))</f>
        <v>Confirmed</v>
      </c>
      <c r="I1289" s="7">
        <f>IF(OR(G1289="",G1289="Cancelled",G1289="Mixed"),1,0)</f>
        <v>0</v>
      </c>
      <c r="J1289" s="7">
        <f>IF(OR(H1289="",H1289="Mixed"),1,0)</f>
        <v>0</v>
      </c>
      <c r="K1289" s="7">
        <f>IF(AND(C1289=0,D1289=0),IF(OR(AND(I1289=0,NOT(EXACT(Raw_Passengers!F1289,G1289))),AND(J1289=0,NOT(EXACT(Raw_Passengers!G1289,H1289)))),1,0),0)</f>
        <v>0</v>
      </c>
      <c r="L1289" s="7">
        <f>IF(AND(C1289=0,D1289=0,I1289=1),1,0)</f>
        <v>0</v>
      </c>
      <c r="M1289" s="7">
        <f>IF(AND(C1289=0,D1289=0,J1289=1),1,0)</f>
        <v>0</v>
      </c>
    </row>
    <row r="1290" spans="1:13">
      <c r="A1290" s="7">
        <f>Raw_Passengers!A1290</f>
        <v>401983</v>
      </c>
      <c r="B1290" s="7">
        <f>Raw_Passengers!B1290</f>
        <v>1199549</v>
      </c>
      <c r="C1290" s="7">
        <f>IF(COUNTIF(Raw_Passengers!$A$2:A1290,Raw_Passengers!A1290)&gt;1,1,0)</f>
        <v>0</v>
      </c>
      <c r="D1290" s="7">
        <f>IF(COUNTIF(Raw_Bookings!$A$2:$A$648,Raw_Passengers!B1290)=0,1,0)</f>
        <v>0</v>
      </c>
      <c r="E1290" s="7">
        <f>IF(OR(C1290=1,D1290=1),0,IF(NOT(ISNUMBER(Raw_Passengers!E1290)),1,IF(Raw_Passengers!E1290&lt;=0,1,0)))</f>
        <v>0</v>
      </c>
      <c r="F1290" s="7">
        <f>IF(AND(C1290=0,D1290=0,TRIM(Raw_Passengers!D1290&amp;"")=""),1,0)</f>
        <v>0</v>
      </c>
      <c r="G1290" s="7" t="str">
        <f>IF(SUMPRODUCT(--(Lookup_Status!$A$2:$A$13=LOWER(TRIM(Raw_Passengers!F1290))))=0,"",INDEX(Lookup_Status!$B$2:$B$13,SUMPRODUCT((Lookup_Status!$A$2:$A$13=LOWER(TRIM(Raw_Passengers!F1290)))*(ROW(Lookup_Status!$A$2:$A$13)-1))))</f>
        <v>Confirmed</v>
      </c>
      <c r="H1290" s="7" t="str">
        <f>IF(SUMPRODUCT(--(Lookup_Status!$A$2:$A$13=LOWER(TRIM(Raw_Passengers!G1290))))=0,"",INDEX(Lookup_Status!$B$2:$B$13,SUMPRODUCT((Lookup_Status!$A$2:$A$13=LOWER(TRIM(Raw_Passengers!G1290)))*(ROW(Lookup_Status!$A$2:$A$13)-1))))</f>
        <v>Confirmed</v>
      </c>
      <c r="I1290" s="7">
        <f>IF(OR(G1290="",G1290="Cancelled",G1290="Mixed"),1,0)</f>
        <v>0</v>
      </c>
      <c r="J1290" s="7">
        <f>IF(OR(H1290="",H1290="Mixed"),1,0)</f>
        <v>0</v>
      </c>
      <c r="K1290" s="7">
        <f>IF(AND(C1290=0,D1290=0),IF(OR(AND(I1290=0,NOT(EXACT(Raw_Passengers!F1290,G1290))),AND(J1290=0,NOT(EXACT(Raw_Passengers!G1290,H1290)))),1,0),0)</f>
        <v>0</v>
      </c>
      <c r="L1290" s="7">
        <f>IF(AND(C1290=0,D1290=0,I1290=1),1,0)</f>
        <v>0</v>
      </c>
      <c r="M1290" s="7">
        <f>IF(AND(C1290=0,D1290=0,J1290=1),1,0)</f>
        <v>0</v>
      </c>
    </row>
    <row r="1291" spans="1:13">
      <c r="A1291" s="7">
        <f>Raw_Passengers!A1291</f>
        <v>401984</v>
      </c>
      <c r="B1291" s="7">
        <f>Raw_Passengers!B1291</f>
        <v>1199549</v>
      </c>
      <c r="C1291" s="7">
        <f>IF(COUNTIF(Raw_Passengers!$A$2:A1291,Raw_Passengers!A1291)&gt;1,1,0)</f>
        <v>0</v>
      </c>
      <c r="D1291" s="7">
        <f>IF(COUNTIF(Raw_Bookings!$A$2:$A$648,Raw_Passengers!B1291)=0,1,0)</f>
        <v>0</v>
      </c>
      <c r="E1291" s="7">
        <f>IF(OR(C1291=1,D1291=1),0,IF(NOT(ISNUMBER(Raw_Passengers!E1291)),1,IF(Raw_Passengers!E1291&lt;=0,1,0)))</f>
        <v>0</v>
      </c>
      <c r="F1291" s="7">
        <f>IF(AND(C1291=0,D1291=0,TRIM(Raw_Passengers!D1291&amp;"")=""),1,0)</f>
        <v>0</v>
      </c>
      <c r="G1291" s="7" t="str">
        <f>IF(SUMPRODUCT(--(Lookup_Status!$A$2:$A$13=LOWER(TRIM(Raw_Passengers!F1291))))=0,"",INDEX(Lookup_Status!$B$2:$B$13,SUMPRODUCT((Lookup_Status!$A$2:$A$13=LOWER(TRIM(Raw_Passengers!F1291)))*(ROW(Lookup_Status!$A$2:$A$13)-1))))</f>
        <v>Confirmed</v>
      </c>
      <c r="H1291" s="7" t="str">
        <f>IF(SUMPRODUCT(--(Lookup_Status!$A$2:$A$13=LOWER(TRIM(Raw_Passengers!G1291))))=0,"",INDEX(Lookup_Status!$B$2:$B$13,SUMPRODUCT((Lookup_Status!$A$2:$A$13=LOWER(TRIM(Raw_Passengers!G1291)))*(ROW(Lookup_Status!$A$2:$A$13)-1))))</f>
        <v>Confirmed</v>
      </c>
      <c r="I1291" s="7">
        <f>IF(OR(G1291="",G1291="Cancelled",G1291="Mixed"),1,0)</f>
        <v>0</v>
      </c>
      <c r="J1291" s="7">
        <f>IF(OR(H1291="",H1291="Mixed"),1,0)</f>
        <v>0</v>
      </c>
      <c r="K1291" s="7">
        <f>IF(AND(C1291=0,D1291=0),IF(OR(AND(I1291=0,NOT(EXACT(Raw_Passengers!F1291,G1291))),AND(J1291=0,NOT(EXACT(Raw_Passengers!G1291,H1291)))),1,0),0)</f>
        <v>0</v>
      </c>
      <c r="L1291" s="7">
        <f>IF(AND(C1291=0,D1291=0,I1291=1),1,0)</f>
        <v>0</v>
      </c>
      <c r="M1291" s="7">
        <f>IF(AND(C1291=0,D1291=0,J1291=1),1,0)</f>
        <v>0</v>
      </c>
    </row>
    <row r="1292" spans="1:13">
      <c r="A1292" s="7">
        <f>Raw_Passengers!A1292</f>
        <v>401985</v>
      </c>
      <c r="B1292" s="7">
        <f>Raw_Passengers!B1292</f>
        <v>1199549</v>
      </c>
      <c r="C1292" s="7">
        <f>IF(COUNTIF(Raw_Passengers!$A$2:A1292,Raw_Passengers!A1292)&gt;1,1,0)</f>
        <v>0</v>
      </c>
      <c r="D1292" s="7">
        <f>IF(COUNTIF(Raw_Bookings!$A$2:$A$648,Raw_Passengers!B1292)=0,1,0)</f>
        <v>0</v>
      </c>
      <c r="E1292" s="7">
        <f>IF(OR(C1292=1,D1292=1),0,IF(NOT(ISNUMBER(Raw_Passengers!E1292)),1,IF(Raw_Passengers!E1292&lt;=0,1,0)))</f>
        <v>0</v>
      </c>
      <c r="F1292" s="7">
        <f>IF(AND(C1292=0,D1292=0,TRIM(Raw_Passengers!D1292&amp;"")=""),1,0)</f>
        <v>0</v>
      </c>
      <c r="G1292" s="7" t="str">
        <f>IF(SUMPRODUCT(--(Lookup_Status!$A$2:$A$13=LOWER(TRIM(Raw_Passengers!F1292))))=0,"",INDEX(Lookup_Status!$B$2:$B$13,SUMPRODUCT((Lookup_Status!$A$2:$A$13=LOWER(TRIM(Raw_Passengers!F1292)))*(ROW(Lookup_Status!$A$2:$A$13)-1))))</f>
        <v>Confirmed</v>
      </c>
      <c r="H1292" s="7" t="str">
        <f>IF(SUMPRODUCT(--(Lookup_Status!$A$2:$A$13=LOWER(TRIM(Raw_Passengers!G1292))))=0,"",INDEX(Lookup_Status!$B$2:$B$13,SUMPRODUCT((Lookup_Status!$A$2:$A$13=LOWER(TRIM(Raw_Passengers!G1292)))*(ROW(Lookup_Status!$A$2:$A$13)-1))))</f>
        <v>Confirmed</v>
      </c>
      <c r="I1292" s="7">
        <f>IF(OR(G1292="",G1292="Cancelled",G1292="Mixed"),1,0)</f>
        <v>0</v>
      </c>
      <c r="J1292" s="7">
        <f>IF(OR(H1292="",H1292="Mixed"),1,0)</f>
        <v>0</v>
      </c>
      <c r="K1292" s="7">
        <f>IF(AND(C1292=0,D1292=0),IF(OR(AND(I1292=0,NOT(EXACT(Raw_Passengers!F1292,G1292))),AND(J1292=0,NOT(EXACT(Raw_Passengers!G1292,H1292)))),1,0),0)</f>
        <v>0</v>
      </c>
      <c r="L1292" s="7">
        <f>IF(AND(C1292=0,D1292=0,I1292=1),1,0)</f>
        <v>0</v>
      </c>
      <c r="M1292" s="7">
        <f>IF(AND(C1292=0,D1292=0,J1292=1),1,0)</f>
        <v>0</v>
      </c>
    </row>
    <row r="1293" spans="1:13">
      <c r="A1293" s="7">
        <f>Raw_Passengers!A1293</f>
        <v>402010</v>
      </c>
      <c r="B1293" s="7">
        <f>Raw_Passengers!B1293</f>
        <v>1199562</v>
      </c>
      <c r="C1293" s="7">
        <f>IF(COUNTIF(Raw_Passengers!$A$2:A1293,Raw_Passengers!A1293)&gt;1,1,0)</f>
        <v>0</v>
      </c>
      <c r="D1293" s="7">
        <f>IF(COUNTIF(Raw_Bookings!$A$2:$A$648,Raw_Passengers!B1293)=0,1,0)</f>
        <v>0</v>
      </c>
      <c r="E1293" s="7">
        <f>IF(OR(C1293=1,D1293=1),0,IF(NOT(ISNUMBER(Raw_Passengers!E1293)),1,IF(Raw_Passengers!E1293&lt;=0,1,0)))</f>
        <v>0</v>
      </c>
      <c r="F1293" s="7">
        <f>IF(AND(C1293=0,D1293=0,TRIM(Raw_Passengers!D1293&amp;"")=""),1,0)</f>
        <v>0</v>
      </c>
      <c r="G1293" s="7" t="str">
        <f>IF(SUMPRODUCT(--(Lookup_Status!$A$2:$A$13=LOWER(TRIM(Raw_Passengers!F1293))))=0,"",INDEX(Lookup_Status!$B$2:$B$13,SUMPRODUCT((Lookup_Status!$A$2:$A$13=LOWER(TRIM(Raw_Passengers!F1293)))*(ROW(Lookup_Status!$A$2:$A$13)-1))))</f>
        <v>Confirmed</v>
      </c>
      <c r="H1293" s="7" t="str">
        <f>IF(SUMPRODUCT(--(Lookup_Status!$A$2:$A$13=LOWER(TRIM(Raw_Passengers!G1293))))=0,"",INDEX(Lookup_Status!$B$2:$B$13,SUMPRODUCT((Lookup_Status!$A$2:$A$13=LOWER(TRIM(Raw_Passengers!G1293)))*(ROW(Lookup_Status!$A$2:$A$13)-1))))</f>
        <v>Confirmed</v>
      </c>
      <c r="I1293" s="7">
        <f>IF(OR(G1293="",G1293="Cancelled",G1293="Mixed"),1,0)</f>
        <v>0</v>
      </c>
      <c r="J1293" s="7">
        <f>IF(OR(H1293="",H1293="Mixed"),1,0)</f>
        <v>0</v>
      </c>
      <c r="K1293" s="7">
        <f>IF(AND(C1293=0,D1293=0),IF(OR(AND(I1293=0,NOT(EXACT(Raw_Passengers!F1293,G1293))),AND(J1293=0,NOT(EXACT(Raw_Passengers!G1293,H1293)))),1,0),0)</f>
        <v>0</v>
      </c>
      <c r="L1293" s="7">
        <f>IF(AND(C1293=0,D1293=0,I1293=1),1,0)</f>
        <v>0</v>
      </c>
      <c r="M1293" s="7">
        <f>IF(AND(C1293=0,D1293=0,J1293=1),1,0)</f>
        <v>0</v>
      </c>
    </row>
    <row r="1294" spans="1:13">
      <c r="A1294" s="7">
        <f>Raw_Passengers!A1294</f>
        <v>402011</v>
      </c>
      <c r="B1294" s="7">
        <f>Raw_Passengers!B1294</f>
        <v>1199562</v>
      </c>
      <c r="C1294" s="7">
        <f>IF(COUNTIF(Raw_Passengers!$A$2:A1294,Raw_Passengers!A1294)&gt;1,1,0)</f>
        <v>0</v>
      </c>
      <c r="D1294" s="7">
        <f>IF(COUNTIF(Raw_Bookings!$A$2:$A$648,Raw_Passengers!B1294)=0,1,0)</f>
        <v>0</v>
      </c>
      <c r="E1294" s="7">
        <f>IF(OR(C1294=1,D1294=1),0,IF(NOT(ISNUMBER(Raw_Passengers!E1294)),1,IF(Raw_Passengers!E1294&lt;=0,1,0)))</f>
        <v>0</v>
      </c>
      <c r="F1294" s="7">
        <f>IF(AND(C1294=0,D1294=0,TRIM(Raw_Passengers!D1294&amp;"")=""),1,0)</f>
        <v>0</v>
      </c>
      <c r="G1294" s="7" t="str">
        <f>IF(SUMPRODUCT(--(Lookup_Status!$A$2:$A$13=LOWER(TRIM(Raw_Passengers!F1294))))=0,"",INDEX(Lookup_Status!$B$2:$B$13,SUMPRODUCT((Lookup_Status!$A$2:$A$13=LOWER(TRIM(Raw_Passengers!F1294)))*(ROW(Lookup_Status!$A$2:$A$13)-1))))</f>
        <v>Confirmed</v>
      </c>
      <c r="H1294" s="7" t="str">
        <f>IF(SUMPRODUCT(--(Lookup_Status!$A$2:$A$13=LOWER(TRIM(Raw_Passengers!G1294))))=0,"",INDEX(Lookup_Status!$B$2:$B$13,SUMPRODUCT((Lookup_Status!$A$2:$A$13=LOWER(TRIM(Raw_Passengers!G1294)))*(ROW(Lookup_Status!$A$2:$A$13)-1))))</f>
        <v>Confirmed</v>
      </c>
      <c r="I1294" s="7">
        <f>IF(OR(G1294="",G1294="Cancelled",G1294="Mixed"),1,0)</f>
        <v>0</v>
      </c>
      <c r="J1294" s="7">
        <f>IF(OR(H1294="",H1294="Mixed"),1,0)</f>
        <v>0</v>
      </c>
      <c r="K1294" s="7">
        <f>IF(AND(C1294=0,D1294=0),IF(OR(AND(I1294=0,NOT(EXACT(Raw_Passengers!F1294,G1294))),AND(J1294=0,NOT(EXACT(Raw_Passengers!G1294,H1294)))),1,0),0)</f>
        <v>0</v>
      </c>
      <c r="L1294" s="7">
        <f>IF(AND(C1294=0,D1294=0,I1294=1),1,0)</f>
        <v>0</v>
      </c>
      <c r="M1294" s="7">
        <f>IF(AND(C1294=0,D1294=0,J1294=1),1,0)</f>
        <v>0</v>
      </c>
    </row>
    <row r="1295" spans="1:13">
      <c r="A1295" s="7">
        <f>Raw_Passengers!A1295</f>
        <v>402423</v>
      </c>
      <c r="B1295" s="7">
        <f>Raw_Passengers!B1295</f>
        <v>1199769</v>
      </c>
      <c r="C1295" s="7">
        <f>IF(COUNTIF(Raw_Passengers!$A$2:A1295,Raw_Passengers!A1295)&gt;1,1,0)</f>
        <v>0</v>
      </c>
      <c r="D1295" s="7">
        <f>IF(COUNTIF(Raw_Bookings!$A$2:$A$648,Raw_Passengers!B1295)=0,1,0)</f>
        <v>0</v>
      </c>
      <c r="E1295" s="7">
        <f>IF(OR(C1295=1,D1295=1),0,IF(NOT(ISNUMBER(Raw_Passengers!E1295)),1,IF(Raw_Passengers!E1295&lt;=0,1,0)))</f>
        <v>0</v>
      </c>
      <c r="F1295" s="7">
        <f>IF(AND(C1295=0,D1295=0,TRIM(Raw_Passengers!D1295&amp;"")=""),1,0)</f>
        <v>0</v>
      </c>
      <c r="G1295" s="7" t="str">
        <f>IF(SUMPRODUCT(--(Lookup_Status!$A$2:$A$13=LOWER(TRIM(Raw_Passengers!F1295))))=0,"",INDEX(Lookup_Status!$B$2:$B$13,SUMPRODUCT((Lookup_Status!$A$2:$A$13=LOWER(TRIM(Raw_Passengers!F1295)))*(ROW(Lookup_Status!$A$2:$A$13)-1))))</f>
        <v>Confirmed</v>
      </c>
      <c r="H1295" s="7" t="str">
        <f>IF(SUMPRODUCT(--(Lookup_Status!$A$2:$A$13=LOWER(TRIM(Raw_Passengers!G1295))))=0,"",INDEX(Lookup_Status!$B$2:$B$13,SUMPRODUCT((Lookup_Status!$A$2:$A$13=LOWER(TRIM(Raw_Passengers!G1295)))*(ROW(Lookup_Status!$A$2:$A$13)-1))))</f>
        <v>Confirmed</v>
      </c>
      <c r="I1295" s="7">
        <f>IF(OR(G1295="",G1295="Cancelled",G1295="Mixed"),1,0)</f>
        <v>0</v>
      </c>
      <c r="J1295" s="7">
        <f>IF(OR(H1295="",H1295="Mixed"),1,0)</f>
        <v>0</v>
      </c>
      <c r="K1295" s="7">
        <f>IF(AND(C1295=0,D1295=0),IF(OR(AND(I1295=0,NOT(EXACT(Raw_Passengers!F1295,G1295))),AND(J1295=0,NOT(EXACT(Raw_Passengers!G1295,H1295)))),1,0),0)</f>
        <v>0</v>
      </c>
      <c r="L1295" s="7">
        <f>IF(AND(C1295=0,D1295=0,I1295=1),1,0)</f>
        <v>0</v>
      </c>
      <c r="M1295" s="7">
        <f>IF(AND(C1295=0,D1295=0,J1295=1),1,0)</f>
        <v>0</v>
      </c>
    </row>
    <row r="1296" spans="1:13">
      <c r="A1296" s="7">
        <f>Raw_Passengers!A1296</f>
        <v>402424</v>
      </c>
      <c r="B1296" s="7">
        <f>Raw_Passengers!B1296</f>
        <v>1199769</v>
      </c>
      <c r="C1296" s="7">
        <f>IF(COUNTIF(Raw_Passengers!$A$2:A1296,Raw_Passengers!A1296)&gt;1,1,0)</f>
        <v>0</v>
      </c>
      <c r="D1296" s="7">
        <f>IF(COUNTIF(Raw_Bookings!$A$2:$A$648,Raw_Passengers!B1296)=0,1,0)</f>
        <v>0</v>
      </c>
      <c r="E1296" s="7">
        <f>IF(OR(C1296=1,D1296=1),0,IF(NOT(ISNUMBER(Raw_Passengers!E1296)),1,IF(Raw_Passengers!E1296&lt;=0,1,0)))</f>
        <v>0</v>
      </c>
      <c r="F1296" s="7">
        <f>IF(AND(C1296=0,D1296=0,TRIM(Raw_Passengers!D1296&amp;"")=""),1,0)</f>
        <v>0</v>
      </c>
      <c r="G1296" s="7" t="str">
        <f>IF(SUMPRODUCT(--(Lookup_Status!$A$2:$A$13=LOWER(TRIM(Raw_Passengers!F1296))))=0,"",INDEX(Lookup_Status!$B$2:$B$13,SUMPRODUCT((Lookup_Status!$A$2:$A$13=LOWER(TRIM(Raw_Passengers!F1296)))*(ROW(Lookup_Status!$A$2:$A$13)-1))))</f>
        <v>Confirmed</v>
      </c>
      <c r="H1296" s="7" t="str">
        <f>IF(SUMPRODUCT(--(Lookup_Status!$A$2:$A$13=LOWER(TRIM(Raw_Passengers!G1296))))=0,"",INDEX(Lookup_Status!$B$2:$B$13,SUMPRODUCT((Lookup_Status!$A$2:$A$13=LOWER(TRIM(Raw_Passengers!G1296)))*(ROW(Lookup_Status!$A$2:$A$13)-1))))</f>
        <v>Confirmed</v>
      </c>
      <c r="I1296" s="7">
        <f>IF(OR(G1296="",G1296="Cancelled",G1296="Mixed"),1,0)</f>
        <v>0</v>
      </c>
      <c r="J1296" s="7">
        <f>IF(OR(H1296="",H1296="Mixed"),1,0)</f>
        <v>0</v>
      </c>
      <c r="K1296" s="7">
        <f>IF(AND(C1296=0,D1296=0),IF(OR(AND(I1296=0,NOT(EXACT(Raw_Passengers!F1296,G1296))),AND(J1296=0,NOT(EXACT(Raw_Passengers!G1296,H1296)))),1,0),0)</f>
        <v>0</v>
      </c>
      <c r="L1296" s="7">
        <f>IF(AND(C1296=0,D1296=0,I1296=1),1,0)</f>
        <v>0</v>
      </c>
      <c r="M1296" s="7">
        <f>IF(AND(C1296=0,D1296=0,J1296=1),1,0)</f>
        <v>0</v>
      </c>
    </row>
    <row r="1297" spans="1:13">
      <c r="A1297" s="7">
        <f>Raw_Passengers!A1297</f>
        <v>402425</v>
      </c>
      <c r="B1297" s="7">
        <f>Raw_Passengers!B1297</f>
        <v>1199769</v>
      </c>
      <c r="C1297" s="7">
        <f>IF(COUNTIF(Raw_Passengers!$A$2:A1297,Raw_Passengers!A1297)&gt;1,1,0)</f>
        <v>0</v>
      </c>
      <c r="D1297" s="7">
        <f>IF(COUNTIF(Raw_Bookings!$A$2:$A$648,Raw_Passengers!B1297)=0,1,0)</f>
        <v>0</v>
      </c>
      <c r="E1297" s="7">
        <f>IF(OR(C1297=1,D1297=1),0,IF(NOT(ISNUMBER(Raw_Passengers!E1297)),1,IF(Raw_Passengers!E1297&lt;=0,1,0)))</f>
        <v>0</v>
      </c>
      <c r="F1297" s="7">
        <f>IF(AND(C1297=0,D1297=0,TRIM(Raw_Passengers!D1297&amp;"")=""),1,0)</f>
        <v>0</v>
      </c>
      <c r="G1297" s="7" t="str">
        <f>IF(SUMPRODUCT(--(Lookup_Status!$A$2:$A$13=LOWER(TRIM(Raw_Passengers!F1297))))=0,"",INDEX(Lookup_Status!$B$2:$B$13,SUMPRODUCT((Lookup_Status!$A$2:$A$13=LOWER(TRIM(Raw_Passengers!F1297)))*(ROW(Lookup_Status!$A$2:$A$13)-1))))</f>
        <v>Confirmed</v>
      </c>
      <c r="H1297" s="7" t="str">
        <f>IF(SUMPRODUCT(--(Lookup_Status!$A$2:$A$13=LOWER(TRIM(Raw_Passengers!G1297))))=0,"",INDEX(Lookup_Status!$B$2:$B$13,SUMPRODUCT((Lookup_Status!$A$2:$A$13=LOWER(TRIM(Raw_Passengers!G1297)))*(ROW(Lookup_Status!$A$2:$A$13)-1))))</f>
        <v>Confirmed</v>
      </c>
      <c r="I1297" s="7">
        <f>IF(OR(G1297="",G1297="Cancelled",G1297="Mixed"),1,0)</f>
        <v>0</v>
      </c>
      <c r="J1297" s="7">
        <f>IF(OR(H1297="",H1297="Mixed"),1,0)</f>
        <v>0</v>
      </c>
      <c r="K1297" s="7">
        <f>IF(AND(C1297=0,D1297=0),IF(OR(AND(I1297=0,NOT(EXACT(Raw_Passengers!F1297,G1297))),AND(J1297=0,NOT(EXACT(Raw_Passengers!G1297,H1297)))),1,0),0)</f>
        <v>0</v>
      </c>
      <c r="L1297" s="7">
        <f>IF(AND(C1297=0,D1297=0,I1297=1),1,0)</f>
        <v>0</v>
      </c>
      <c r="M1297" s="7">
        <f>IF(AND(C1297=0,D1297=0,J1297=1),1,0)</f>
        <v>0</v>
      </c>
    </row>
    <row r="1298" spans="1:13">
      <c r="A1298" s="7">
        <f>Raw_Passengers!A1298</f>
        <v>402426</v>
      </c>
      <c r="B1298" s="7">
        <f>Raw_Passengers!B1298</f>
        <v>1199769</v>
      </c>
      <c r="C1298" s="7">
        <f>IF(COUNTIF(Raw_Passengers!$A$2:A1298,Raw_Passengers!A1298)&gt;1,1,0)</f>
        <v>0</v>
      </c>
      <c r="D1298" s="7">
        <f>IF(COUNTIF(Raw_Bookings!$A$2:$A$648,Raw_Passengers!B1298)=0,1,0)</f>
        <v>0</v>
      </c>
      <c r="E1298" s="7">
        <f>IF(OR(C1298=1,D1298=1),0,IF(NOT(ISNUMBER(Raw_Passengers!E1298)),1,IF(Raw_Passengers!E1298&lt;=0,1,0)))</f>
        <v>0</v>
      </c>
      <c r="F1298" s="7">
        <f>IF(AND(C1298=0,D1298=0,TRIM(Raw_Passengers!D1298&amp;"")=""),1,0)</f>
        <v>0</v>
      </c>
      <c r="G1298" s="7" t="str">
        <f>IF(SUMPRODUCT(--(Lookup_Status!$A$2:$A$13=LOWER(TRIM(Raw_Passengers!F1298))))=0,"",INDEX(Lookup_Status!$B$2:$B$13,SUMPRODUCT((Lookup_Status!$A$2:$A$13=LOWER(TRIM(Raw_Passengers!F1298)))*(ROW(Lookup_Status!$A$2:$A$13)-1))))</f>
        <v>Confirmed</v>
      </c>
      <c r="H1298" s="7" t="str">
        <f>IF(SUMPRODUCT(--(Lookup_Status!$A$2:$A$13=LOWER(TRIM(Raw_Passengers!G1298))))=0,"",INDEX(Lookup_Status!$B$2:$B$13,SUMPRODUCT((Lookup_Status!$A$2:$A$13=LOWER(TRIM(Raw_Passengers!G1298)))*(ROW(Lookup_Status!$A$2:$A$13)-1))))</f>
        <v>Confirmed</v>
      </c>
      <c r="I1298" s="7">
        <f>IF(OR(G1298="",G1298="Cancelled",G1298="Mixed"),1,0)</f>
        <v>0</v>
      </c>
      <c r="J1298" s="7">
        <f>IF(OR(H1298="",H1298="Mixed"),1,0)</f>
        <v>0</v>
      </c>
      <c r="K1298" s="7">
        <f>IF(AND(C1298=0,D1298=0),IF(OR(AND(I1298=0,NOT(EXACT(Raw_Passengers!F1298,G1298))),AND(J1298=0,NOT(EXACT(Raw_Passengers!G1298,H1298)))),1,0),0)</f>
        <v>0</v>
      </c>
      <c r="L1298" s="7">
        <f>IF(AND(C1298=0,D1298=0,I1298=1),1,0)</f>
        <v>0</v>
      </c>
      <c r="M1298" s="7">
        <f>IF(AND(C1298=0,D1298=0,J1298=1),1,0)</f>
        <v>0</v>
      </c>
    </row>
    <row r="1299" spans="1:13">
      <c r="A1299" s="7">
        <f>Raw_Passengers!A1299</f>
        <v>402979</v>
      </c>
      <c r="B1299" s="7">
        <f>Raw_Passengers!B1299</f>
        <v>1200060</v>
      </c>
      <c r="C1299" s="7">
        <f>IF(COUNTIF(Raw_Passengers!$A$2:A1299,Raw_Passengers!A1299)&gt;1,1,0)</f>
        <v>0</v>
      </c>
      <c r="D1299" s="7">
        <f>IF(COUNTIF(Raw_Bookings!$A$2:$A$648,Raw_Passengers!B1299)=0,1,0)</f>
        <v>0</v>
      </c>
      <c r="E1299" s="7">
        <f>IF(OR(C1299=1,D1299=1),0,IF(NOT(ISNUMBER(Raw_Passengers!E1299)),1,IF(Raw_Passengers!E1299&lt;=0,1,0)))</f>
        <v>0</v>
      </c>
      <c r="F1299" s="7">
        <f>IF(AND(C1299=0,D1299=0,TRIM(Raw_Passengers!D1299&amp;"")=""),1,0)</f>
        <v>0</v>
      </c>
      <c r="G1299" s="7" t="str">
        <f>IF(SUMPRODUCT(--(Lookup_Status!$A$2:$A$13=LOWER(TRIM(Raw_Passengers!F1299))))=0,"",INDEX(Lookup_Status!$B$2:$B$13,SUMPRODUCT((Lookup_Status!$A$2:$A$13=LOWER(TRIM(Raw_Passengers!F1299)))*(ROW(Lookup_Status!$A$2:$A$13)-1))))</f>
        <v>Confirmed</v>
      </c>
      <c r="H1299" s="7" t="str">
        <f>IF(SUMPRODUCT(--(Lookup_Status!$A$2:$A$13=LOWER(TRIM(Raw_Passengers!G1299))))=0,"",INDEX(Lookup_Status!$B$2:$B$13,SUMPRODUCT((Lookup_Status!$A$2:$A$13=LOWER(TRIM(Raw_Passengers!G1299)))*(ROW(Lookup_Status!$A$2:$A$13)-1))))</f>
        <v>Confirmed</v>
      </c>
      <c r="I1299" s="7">
        <f>IF(OR(G1299="",G1299="Cancelled",G1299="Mixed"),1,0)</f>
        <v>0</v>
      </c>
      <c r="J1299" s="7">
        <f>IF(OR(H1299="",H1299="Mixed"),1,0)</f>
        <v>0</v>
      </c>
      <c r="K1299" s="7">
        <f>IF(AND(C1299=0,D1299=0),IF(OR(AND(I1299=0,NOT(EXACT(Raw_Passengers!F1299,G1299))),AND(J1299=0,NOT(EXACT(Raw_Passengers!G1299,H1299)))),1,0),0)</f>
        <v>0</v>
      </c>
      <c r="L1299" s="7">
        <f>IF(AND(C1299=0,D1299=0,I1299=1),1,0)</f>
        <v>0</v>
      </c>
      <c r="M1299" s="7">
        <f>IF(AND(C1299=0,D1299=0,J1299=1),1,0)</f>
        <v>0</v>
      </c>
    </row>
    <row r="1300" spans="1:13">
      <c r="A1300" s="7">
        <f>Raw_Passengers!A1300</f>
        <v>402980</v>
      </c>
      <c r="B1300" s="7">
        <f>Raw_Passengers!B1300</f>
        <v>1200060</v>
      </c>
      <c r="C1300" s="7">
        <f>IF(COUNTIF(Raw_Passengers!$A$2:A1300,Raw_Passengers!A1300)&gt;1,1,0)</f>
        <v>0</v>
      </c>
      <c r="D1300" s="7">
        <f>IF(COUNTIF(Raw_Bookings!$A$2:$A$648,Raw_Passengers!B1300)=0,1,0)</f>
        <v>0</v>
      </c>
      <c r="E1300" s="7">
        <f>IF(OR(C1300=1,D1300=1),0,IF(NOT(ISNUMBER(Raw_Passengers!E1300)),1,IF(Raw_Passengers!E1300&lt;=0,1,0)))</f>
        <v>0</v>
      </c>
      <c r="F1300" s="7">
        <f>IF(AND(C1300=0,D1300=0,TRIM(Raw_Passengers!D1300&amp;"")=""),1,0)</f>
        <v>0</v>
      </c>
      <c r="G1300" s="7" t="str">
        <f>IF(SUMPRODUCT(--(Lookup_Status!$A$2:$A$13=LOWER(TRIM(Raw_Passengers!F1300))))=0,"",INDEX(Lookup_Status!$B$2:$B$13,SUMPRODUCT((Lookup_Status!$A$2:$A$13=LOWER(TRIM(Raw_Passengers!F1300)))*(ROW(Lookup_Status!$A$2:$A$13)-1))))</f>
        <v>Confirmed</v>
      </c>
      <c r="H1300" s="7" t="str">
        <f>IF(SUMPRODUCT(--(Lookup_Status!$A$2:$A$13=LOWER(TRIM(Raw_Passengers!G1300))))=0,"",INDEX(Lookup_Status!$B$2:$B$13,SUMPRODUCT((Lookup_Status!$A$2:$A$13=LOWER(TRIM(Raw_Passengers!G1300)))*(ROW(Lookup_Status!$A$2:$A$13)-1))))</f>
        <v>Confirmed</v>
      </c>
      <c r="I1300" s="7">
        <f>IF(OR(G1300="",G1300="Cancelled",G1300="Mixed"),1,0)</f>
        <v>0</v>
      </c>
      <c r="J1300" s="7">
        <f>IF(OR(H1300="",H1300="Mixed"),1,0)</f>
        <v>0</v>
      </c>
      <c r="K1300" s="7">
        <f>IF(AND(C1300=0,D1300=0),IF(OR(AND(I1300=0,NOT(EXACT(Raw_Passengers!F1300,G1300))),AND(J1300=0,NOT(EXACT(Raw_Passengers!G1300,H1300)))),1,0),0)</f>
        <v>0</v>
      </c>
      <c r="L1300" s="7">
        <f>IF(AND(C1300=0,D1300=0,I1300=1),1,0)</f>
        <v>0</v>
      </c>
      <c r="M1300" s="7">
        <f>IF(AND(C1300=0,D1300=0,J1300=1),1,0)</f>
        <v>0</v>
      </c>
    </row>
    <row r="1301" spans="1:13">
      <c r="A1301" s="7">
        <f>Raw_Passengers!A1301</f>
        <v>402981</v>
      </c>
      <c r="B1301" s="7">
        <f>Raw_Passengers!B1301</f>
        <v>1200060</v>
      </c>
      <c r="C1301" s="7">
        <f>IF(COUNTIF(Raw_Passengers!$A$2:A1301,Raw_Passengers!A1301)&gt;1,1,0)</f>
        <v>0</v>
      </c>
      <c r="D1301" s="7">
        <f>IF(COUNTIF(Raw_Bookings!$A$2:$A$648,Raw_Passengers!B1301)=0,1,0)</f>
        <v>0</v>
      </c>
      <c r="E1301" s="7">
        <f>IF(OR(C1301=1,D1301=1),0,IF(NOT(ISNUMBER(Raw_Passengers!E1301)),1,IF(Raw_Passengers!E1301&lt;=0,1,0)))</f>
        <v>0</v>
      </c>
      <c r="F1301" s="7">
        <f>IF(AND(C1301=0,D1301=0,TRIM(Raw_Passengers!D1301&amp;"")=""),1,0)</f>
        <v>0</v>
      </c>
      <c r="G1301" s="7" t="str">
        <f>IF(SUMPRODUCT(--(Lookup_Status!$A$2:$A$13=LOWER(TRIM(Raw_Passengers!F1301))))=0,"",INDEX(Lookup_Status!$B$2:$B$13,SUMPRODUCT((Lookup_Status!$A$2:$A$13=LOWER(TRIM(Raw_Passengers!F1301)))*(ROW(Lookup_Status!$A$2:$A$13)-1))))</f>
        <v>Confirmed</v>
      </c>
      <c r="H1301" s="7" t="str">
        <f>IF(SUMPRODUCT(--(Lookup_Status!$A$2:$A$13=LOWER(TRIM(Raw_Passengers!G1301))))=0,"",INDEX(Lookup_Status!$B$2:$B$13,SUMPRODUCT((Lookup_Status!$A$2:$A$13=LOWER(TRIM(Raw_Passengers!G1301)))*(ROW(Lookup_Status!$A$2:$A$13)-1))))</f>
        <v>Confirmed</v>
      </c>
      <c r="I1301" s="7">
        <f>IF(OR(G1301="",G1301="Cancelled",G1301="Mixed"),1,0)</f>
        <v>0</v>
      </c>
      <c r="J1301" s="7">
        <f>IF(OR(H1301="",H1301="Mixed"),1,0)</f>
        <v>0</v>
      </c>
      <c r="K1301" s="7">
        <f>IF(AND(C1301=0,D1301=0),IF(OR(AND(I1301=0,NOT(EXACT(Raw_Passengers!F1301,G1301))),AND(J1301=0,NOT(EXACT(Raw_Passengers!G1301,H1301)))),1,0),0)</f>
        <v>0</v>
      </c>
      <c r="L1301" s="7">
        <f>IF(AND(C1301=0,D1301=0,I1301=1),1,0)</f>
        <v>0</v>
      </c>
      <c r="M1301" s="7">
        <f>IF(AND(C1301=0,D1301=0,J1301=1),1,0)</f>
        <v>0</v>
      </c>
    </row>
    <row r="1302" spans="1:13">
      <c r="A1302" s="7">
        <f>Raw_Passengers!A1302</f>
        <v>403164</v>
      </c>
      <c r="B1302" s="7">
        <f>Raw_Passengers!B1302</f>
        <v>1200160</v>
      </c>
      <c r="C1302" s="7">
        <f>IF(COUNTIF(Raw_Passengers!$A$2:A1302,Raw_Passengers!A1302)&gt;1,1,0)</f>
        <v>0</v>
      </c>
      <c r="D1302" s="7">
        <f>IF(COUNTIF(Raw_Bookings!$A$2:$A$648,Raw_Passengers!B1302)=0,1,0)</f>
        <v>0</v>
      </c>
      <c r="E1302" s="7">
        <f>IF(OR(C1302=1,D1302=1),0,IF(NOT(ISNUMBER(Raw_Passengers!E1302)),1,IF(Raw_Passengers!E1302&lt;=0,1,0)))</f>
        <v>0</v>
      </c>
      <c r="F1302" s="7">
        <f>IF(AND(C1302=0,D1302=0,TRIM(Raw_Passengers!D1302&amp;"")=""),1,0)</f>
        <v>0</v>
      </c>
      <c r="G1302" s="7" t="str">
        <f>IF(SUMPRODUCT(--(Lookup_Status!$A$2:$A$13=LOWER(TRIM(Raw_Passengers!F1302))))=0,"",INDEX(Lookup_Status!$B$2:$B$13,SUMPRODUCT((Lookup_Status!$A$2:$A$13=LOWER(TRIM(Raw_Passengers!F1302)))*(ROW(Lookup_Status!$A$2:$A$13)-1))))</f>
        <v>Waitlisted</v>
      </c>
      <c r="H1302" s="7" t="str">
        <f>IF(SUMPRODUCT(--(Lookup_Status!$A$2:$A$13=LOWER(TRIM(Raw_Passengers!G1302))))=0,"",INDEX(Lookup_Status!$B$2:$B$13,SUMPRODUCT((Lookup_Status!$A$2:$A$13=LOWER(TRIM(Raw_Passengers!G1302)))*(ROW(Lookup_Status!$A$2:$A$13)-1))))</f>
        <v>Waitlisted</v>
      </c>
      <c r="I1302" s="7">
        <f>IF(OR(G1302="",G1302="Cancelled",G1302="Mixed"),1,0)</f>
        <v>0</v>
      </c>
      <c r="J1302" s="7">
        <f>IF(OR(H1302="",H1302="Mixed"),1,0)</f>
        <v>0</v>
      </c>
      <c r="K1302" s="7">
        <f>IF(AND(C1302=0,D1302=0),IF(OR(AND(I1302=0,NOT(EXACT(Raw_Passengers!F1302,G1302))),AND(J1302=0,NOT(EXACT(Raw_Passengers!G1302,H1302)))),1,0),0)</f>
        <v>0</v>
      </c>
      <c r="L1302" s="7">
        <f>IF(AND(C1302=0,D1302=0,I1302=1),1,0)</f>
        <v>0</v>
      </c>
      <c r="M1302" s="7">
        <f>IF(AND(C1302=0,D1302=0,J1302=1),1,0)</f>
        <v>0</v>
      </c>
    </row>
    <row r="1303" spans="1:13">
      <c r="A1303" s="7">
        <f>Raw_Passengers!A1303</f>
        <v>403165</v>
      </c>
      <c r="B1303" s="7">
        <f>Raw_Passengers!B1303</f>
        <v>1200160</v>
      </c>
      <c r="C1303" s="7">
        <f>IF(COUNTIF(Raw_Passengers!$A$2:A1303,Raw_Passengers!A1303)&gt;1,1,0)</f>
        <v>0</v>
      </c>
      <c r="D1303" s="7">
        <f>IF(COUNTIF(Raw_Bookings!$A$2:$A$648,Raw_Passengers!B1303)=0,1,0)</f>
        <v>0</v>
      </c>
      <c r="E1303" s="7">
        <f>IF(OR(C1303=1,D1303=1),0,IF(NOT(ISNUMBER(Raw_Passengers!E1303)),1,IF(Raw_Passengers!E1303&lt;=0,1,0)))</f>
        <v>0</v>
      </c>
      <c r="F1303" s="7">
        <f>IF(AND(C1303=0,D1303=0,TRIM(Raw_Passengers!D1303&amp;"")=""),1,0)</f>
        <v>0</v>
      </c>
      <c r="G1303" s="7" t="str">
        <f>IF(SUMPRODUCT(--(Lookup_Status!$A$2:$A$13=LOWER(TRIM(Raw_Passengers!F1303))))=0,"",INDEX(Lookup_Status!$B$2:$B$13,SUMPRODUCT((Lookup_Status!$A$2:$A$13=LOWER(TRIM(Raw_Passengers!F1303)))*(ROW(Lookup_Status!$A$2:$A$13)-1))))</f>
        <v>Waitlisted</v>
      </c>
      <c r="H1303" s="7" t="str">
        <f>IF(SUMPRODUCT(--(Lookup_Status!$A$2:$A$13=LOWER(TRIM(Raw_Passengers!G1303))))=0,"",INDEX(Lookup_Status!$B$2:$B$13,SUMPRODUCT((Lookup_Status!$A$2:$A$13=LOWER(TRIM(Raw_Passengers!G1303)))*(ROW(Lookup_Status!$A$2:$A$13)-1))))</f>
        <v>Waitlisted</v>
      </c>
      <c r="I1303" s="7">
        <f>IF(OR(G1303="",G1303="Cancelled",G1303="Mixed"),1,0)</f>
        <v>0</v>
      </c>
      <c r="J1303" s="7">
        <f>IF(OR(H1303="",H1303="Mixed"),1,0)</f>
        <v>0</v>
      </c>
      <c r="K1303" s="7">
        <f>IF(AND(C1303=0,D1303=0),IF(OR(AND(I1303=0,NOT(EXACT(Raw_Passengers!F1303,G1303))),AND(J1303=0,NOT(EXACT(Raw_Passengers!G1303,H1303)))),1,0),0)</f>
        <v>0</v>
      </c>
      <c r="L1303" s="7">
        <f>IF(AND(C1303=0,D1303=0,I1303=1),1,0)</f>
        <v>0</v>
      </c>
      <c r="M1303" s="7">
        <f>IF(AND(C1303=0,D1303=0,J1303=1),1,0)</f>
        <v>0</v>
      </c>
    </row>
    <row r="1304" spans="1:13">
      <c r="A1304" s="7">
        <f>Raw_Passengers!A1304</f>
        <v>403595</v>
      </c>
      <c r="B1304" s="7">
        <f>Raw_Passengers!B1304</f>
        <v>1200394</v>
      </c>
      <c r="C1304" s="7">
        <f>IF(COUNTIF(Raw_Passengers!$A$2:A1304,Raw_Passengers!A1304)&gt;1,1,0)</f>
        <v>0</v>
      </c>
      <c r="D1304" s="7">
        <f>IF(COUNTIF(Raw_Bookings!$A$2:$A$648,Raw_Passengers!B1304)=0,1,0)</f>
        <v>0</v>
      </c>
      <c r="E1304" s="7">
        <f>IF(OR(C1304=1,D1304=1),0,IF(NOT(ISNUMBER(Raw_Passengers!E1304)),1,IF(Raw_Passengers!E1304&lt;=0,1,0)))</f>
        <v>0</v>
      </c>
      <c r="F1304" s="7">
        <f>IF(AND(C1304=0,D1304=0,TRIM(Raw_Passengers!D1304&amp;"")=""),1,0)</f>
        <v>0</v>
      </c>
      <c r="G1304" s="7" t="str">
        <f>IF(SUMPRODUCT(--(Lookup_Status!$A$2:$A$13=LOWER(TRIM(Raw_Passengers!F1304))))=0,"",INDEX(Lookup_Status!$B$2:$B$13,SUMPRODUCT((Lookup_Status!$A$2:$A$13=LOWER(TRIM(Raw_Passengers!F1304)))*(ROW(Lookup_Status!$A$2:$A$13)-1))))</f>
        <v>Confirmed</v>
      </c>
      <c r="H1304" s="7" t="str">
        <f>IF(SUMPRODUCT(--(Lookup_Status!$A$2:$A$13=LOWER(TRIM(Raw_Passengers!G1304))))=0,"",INDEX(Lookup_Status!$B$2:$B$13,SUMPRODUCT((Lookup_Status!$A$2:$A$13=LOWER(TRIM(Raw_Passengers!G1304)))*(ROW(Lookup_Status!$A$2:$A$13)-1))))</f>
        <v>Confirmed</v>
      </c>
      <c r="I1304" s="7">
        <f>IF(OR(G1304="",G1304="Cancelled",G1304="Mixed"),1,0)</f>
        <v>0</v>
      </c>
      <c r="J1304" s="7">
        <f>IF(OR(H1304="",H1304="Mixed"),1,0)</f>
        <v>0</v>
      </c>
      <c r="K1304" s="7">
        <f>IF(AND(C1304=0,D1304=0),IF(OR(AND(I1304=0,NOT(EXACT(Raw_Passengers!F1304,G1304))),AND(J1304=0,NOT(EXACT(Raw_Passengers!G1304,H1304)))),1,0),0)</f>
        <v>0</v>
      </c>
      <c r="L1304" s="7">
        <f>IF(AND(C1304=0,D1304=0,I1304=1),1,0)</f>
        <v>0</v>
      </c>
      <c r="M1304" s="7">
        <f>IF(AND(C1304=0,D1304=0,J1304=1),1,0)</f>
        <v>0</v>
      </c>
    </row>
    <row r="1305" spans="1:13">
      <c r="A1305" s="7">
        <f>Raw_Passengers!A1305</f>
        <v>403596</v>
      </c>
      <c r="B1305" s="7">
        <f>Raw_Passengers!B1305</f>
        <v>1200394</v>
      </c>
      <c r="C1305" s="7">
        <f>IF(COUNTIF(Raw_Passengers!$A$2:A1305,Raw_Passengers!A1305)&gt;1,1,0)</f>
        <v>0</v>
      </c>
      <c r="D1305" s="7">
        <f>IF(COUNTIF(Raw_Bookings!$A$2:$A$648,Raw_Passengers!B1305)=0,1,0)</f>
        <v>0</v>
      </c>
      <c r="E1305" s="7">
        <f>IF(OR(C1305=1,D1305=1),0,IF(NOT(ISNUMBER(Raw_Passengers!E1305)),1,IF(Raw_Passengers!E1305&lt;=0,1,0)))</f>
        <v>0</v>
      </c>
      <c r="F1305" s="7">
        <f>IF(AND(C1305=0,D1305=0,TRIM(Raw_Passengers!D1305&amp;"")=""),1,0)</f>
        <v>0</v>
      </c>
      <c r="G1305" s="7" t="str">
        <f>IF(SUMPRODUCT(--(Lookup_Status!$A$2:$A$13=LOWER(TRIM(Raw_Passengers!F1305))))=0,"",INDEX(Lookup_Status!$B$2:$B$13,SUMPRODUCT((Lookup_Status!$A$2:$A$13=LOWER(TRIM(Raw_Passengers!F1305)))*(ROW(Lookup_Status!$A$2:$A$13)-1))))</f>
        <v>Confirmed</v>
      </c>
      <c r="H1305" s="7" t="str">
        <f>IF(SUMPRODUCT(--(Lookup_Status!$A$2:$A$13=LOWER(TRIM(Raw_Passengers!G1305))))=0,"",INDEX(Lookup_Status!$B$2:$B$13,SUMPRODUCT((Lookup_Status!$A$2:$A$13=LOWER(TRIM(Raw_Passengers!G1305)))*(ROW(Lookup_Status!$A$2:$A$13)-1))))</f>
        <v>Confirmed</v>
      </c>
      <c r="I1305" s="7">
        <f>IF(OR(G1305="",G1305="Cancelled",G1305="Mixed"),1,0)</f>
        <v>0</v>
      </c>
      <c r="J1305" s="7">
        <f>IF(OR(H1305="",H1305="Mixed"),1,0)</f>
        <v>0</v>
      </c>
      <c r="K1305" s="7">
        <f>IF(AND(C1305=0,D1305=0),IF(OR(AND(I1305=0,NOT(EXACT(Raw_Passengers!F1305,G1305))),AND(J1305=0,NOT(EXACT(Raw_Passengers!G1305,H1305)))),1,0),0)</f>
        <v>0</v>
      </c>
      <c r="L1305" s="7">
        <f>IF(AND(C1305=0,D1305=0,I1305=1),1,0)</f>
        <v>0</v>
      </c>
      <c r="M1305" s="7">
        <f>IF(AND(C1305=0,D1305=0,J1305=1),1,0)</f>
        <v>0</v>
      </c>
    </row>
    <row r="1306" spans="1:13">
      <c r="A1306" s="7">
        <f>Raw_Passengers!A1306</f>
        <v>403678</v>
      </c>
      <c r="B1306" s="7">
        <f>Raw_Passengers!B1306</f>
        <v>1200433</v>
      </c>
      <c r="C1306" s="7">
        <f>IF(COUNTIF(Raw_Passengers!$A$2:A1306,Raw_Passengers!A1306)&gt;1,1,0)</f>
        <v>0</v>
      </c>
      <c r="D1306" s="7">
        <f>IF(COUNTIF(Raw_Bookings!$A$2:$A$648,Raw_Passengers!B1306)=0,1,0)</f>
        <v>0</v>
      </c>
      <c r="E1306" s="7">
        <f>IF(OR(C1306=1,D1306=1),0,IF(NOT(ISNUMBER(Raw_Passengers!E1306)),1,IF(Raw_Passengers!E1306&lt;=0,1,0)))</f>
        <v>0</v>
      </c>
      <c r="F1306" s="7">
        <f>IF(AND(C1306=0,D1306=0,TRIM(Raw_Passengers!D1306&amp;"")=""),1,0)</f>
        <v>0</v>
      </c>
      <c r="G1306" s="7" t="str">
        <f>IF(SUMPRODUCT(--(Lookup_Status!$A$2:$A$13=LOWER(TRIM(Raw_Passengers!F1306))))=0,"",INDEX(Lookup_Status!$B$2:$B$13,SUMPRODUCT((Lookup_Status!$A$2:$A$13=LOWER(TRIM(Raw_Passengers!F1306)))*(ROW(Lookup_Status!$A$2:$A$13)-1))))</f>
        <v>Confirmed</v>
      </c>
      <c r="H1306" s="7" t="str">
        <f>IF(SUMPRODUCT(--(Lookup_Status!$A$2:$A$13=LOWER(TRIM(Raw_Passengers!G1306))))=0,"",INDEX(Lookup_Status!$B$2:$B$13,SUMPRODUCT((Lookup_Status!$A$2:$A$13=LOWER(TRIM(Raw_Passengers!G1306)))*(ROW(Lookup_Status!$A$2:$A$13)-1))))</f>
        <v>Cancelled</v>
      </c>
      <c r="I1306" s="7">
        <f>IF(OR(G1306="",G1306="Cancelled",G1306="Mixed"),1,0)</f>
        <v>0</v>
      </c>
      <c r="J1306" s="7">
        <f>IF(OR(H1306="",H1306="Mixed"),1,0)</f>
        <v>0</v>
      </c>
      <c r="K1306" s="7">
        <f>IF(AND(C1306=0,D1306=0),IF(OR(AND(I1306=0,NOT(EXACT(Raw_Passengers!F1306,G1306))),AND(J1306=0,NOT(EXACT(Raw_Passengers!G1306,H1306)))),1,0),0)</f>
        <v>0</v>
      </c>
      <c r="L1306" s="7">
        <f>IF(AND(C1306=0,D1306=0,I1306=1),1,0)</f>
        <v>0</v>
      </c>
      <c r="M1306" s="7">
        <f>IF(AND(C1306=0,D1306=0,J1306=1),1,0)</f>
        <v>0</v>
      </c>
    </row>
    <row r="1307" spans="1:13">
      <c r="A1307" s="7">
        <f>Raw_Passengers!A1307</f>
        <v>404130</v>
      </c>
      <c r="B1307" s="7">
        <f>Raw_Passengers!B1307</f>
        <v>1200653</v>
      </c>
      <c r="C1307" s="7">
        <f>IF(COUNTIF(Raw_Passengers!$A$2:A1307,Raw_Passengers!A1307)&gt;1,1,0)</f>
        <v>0</v>
      </c>
      <c r="D1307" s="7">
        <f>IF(COUNTIF(Raw_Bookings!$A$2:$A$648,Raw_Passengers!B1307)=0,1,0)</f>
        <v>0</v>
      </c>
      <c r="E1307" s="7">
        <f>IF(OR(C1307=1,D1307=1),0,IF(NOT(ISNUMBER(Raw_Passengers!E1307)),1,IF(Raw_Passengers!E1307&lt;=0,1,0)))</f>
        <v>0</v>
      </c>
      <c r="F1307" s="7">
        <f>IF(AND(C1307=0,D1307=0,TRIM(Raw_Passengers!D1307&amp;"")=""),1,0)</f>
        <v>0</v>
      </c>
      <c r="G1307" s="7" t="str">
        <f>IF(SUMPRODUCT(--(Lookup_Status!$A$2:$A$13=LOWER(TRIM(Raw_Passengers!F1307))))=0,"",INDEX(Lookup_Status!$B$2:$B$13,SUMPRODUCT((Lookup_Status!$A$2:$A$13=LOWER(TRIM(Raw_Passengers!F1307)))*(ROW(Lookup_Status!$A$2:$A$13)-1))))</f>
        <v>Confirmed</v>
      </c>
      <c r="H1307" s="7" t="str">
        <f>IF(SUMPRODUCT(--(Lookup_Status!$A$2:$A$13=LOWER(TRIM(Raw_Passengers!G1307))))=0,"",INDEX(Lookup_Status!$B$2:$B$13,SUMPRODUCT((Lookup_Status!$A$2:$A$13=LOWER(TRIM(Raw_Passengers!G1307)))*(ROW(Lookup_Status!$A$2:$A$13)-1))))</f>
        <v>Cancelled</v>
      </c>
      <c r="I1307" s="7">
        <f>IF(OR(G1307="",G1307="Cancelled",G1307="Mixed"),1,0)</f>
        <v>0</v>
      </c>
      <c r="J1307" s="7">
        <f>IF(OR(H1307="",H1307="Mixed"),1,0)</f>
        <v>0</v>
      </c>
      <c r="K1307" s="7">
        <f>IF(AND(C1307=0,D1307=0),IF(OR(AND(I1307=0,NOT(EXACT(Raw_Passengers!F1307,G1307))),AND(J1307=0,NOT(EXACT(Raw_Passengers!G1307,H1307)))),1,0),0)</f>
        <v>0</v>
      </c>
      <c r="L1307" s="7">
        <f>IF(AND(C1307=0,D1307=0,I1307=1),1,0)</f>
        <v>0</v>
      </c>
      <c r="M1307" s="7">
        <f>IF(AND(C1307=0,D1307=0,J1307=1),1,0)</f>
        <v>0</v>
      </c>
    </row>
    <row r="1308" spans="1:13">
      <c r="A1308" s="7">
        <f>Raw_Passengers!A1308</f>
        <v>404131</v>
      </c>
      <c r="B1308" s="7">
        <f>Raw_Passengers!B1308</f>
        <v>1200653</v>
      </c>
      <c r="C1308" s="7">
        <f>IF(COUNTIF(Raw_Passengers!$A$2:A1308,Raw_Passengers!A1308)&gt;1,1,0)</f>
        <v>0</v>
      </c>
      <c r="D1308" s="7">
        <f>IF(COUNTIF(Raw_Bookings!$A$2:$A$648,Raw_Passengers!B1308)=0,1,0)</f>
        <v>0</v>
      </c>
      <c r="E1308" s="7">
        <f>IF(OR(C1308=1,D1308=1),0,IF(NOT(ISNUMBER(Raw_Passengers!E1308)),1,IF(Raw_Passengers!E1308&lt;=0,1,0)))</f>
        <v>0</v>
      </c>
      <c r="F1308" s="7">
        <f>IF(AND(C1308=0,D1308=0,TRIM(Raw_Passengers!D1308&amp;"")=""),1,0)</f>
        <v>0</v>
      </c>
      <c r="G1308" s="7" t="str">
        <f>IF(SUMPRODUCT(--(Lookup_Status!$A$2:$A$13=LOWER(TRIM(Raw_Passengers!F1308))))=0,"",INDEX(Lookup_Status!$B$2:$B$13,SUMPRODUCT((Lookup_Status!$A$2:$A$13=LOWER(TRIM(Raw_Passengers!F1308)))*(ROW(Lookup_Status!$A$2:$A$13)-1))))</f>
        <v>Confirmed</v>
      </c>
      <c r="H1308" s="7" t="str">
        <f>IF(SUMPRODUCT(--(Lookup_Status!$A$2:$A$13=LOWER(TRIM(Raw_Passengers!G1308))))=0,"",INDEX(Lookup_Status!$B$2:$B$13,SUMPRODUCT((Lookup_Status!$A$2:$A$13=LOWER(TRIM(Raw_Passengers!G1308)))*(ROW(Lookup_Status!$A$2:$A$13)-1))))</f>
        <v>Cancelled</v>
      </c>
      <c r="I1308" s="7">
        <f>IF(OR(G1308="",G1308="Cancelled",G1308="Mixed"),1,0)</f>
        <v>0</v>
      </c>
      <c r="J1308" s="7">
        <f>IF(OR(H1308="",H1308="Mixed"),1,0)</f>
        <v>0</v>
      </c>
      <c r="K1308" s="7">
        <f>IF(AND(C1308=0,D1308=0),IF(OR(AND(I1308=0,NOT(EXACT(Raw_Passengers!F1308,G1308))),AND(J1308=0,NOT(EXACT(Raw_Passengers!G1308,H1308)))),1,0),0)</f>
        <v>0</v>
      </c>
      <c r="L1308" s="7">
        <f>IF(AND(C1308=0,D1308=0,I1308=1),1,0)</f>
        <v>0</v>
      </c>
      <c r="M1308" s="7">
        <f>IF(AND(C1308=0,D1308=0,J1308=1),1,0)</f>
        <v>0</v>
      </c>
    </row>
    <row r="1309" spans="1:13">
      <c r="A1309" s="7">
        <f>Raw_Passengers!A1309</f>
        <v>404132</v>
      </c>
      <c r="B1309" s="7">
        <f>Raw_Passengers!B1309</f>
        <v>1200653</v>
      </c>
      <c r="C1309" s="7">
        <f>IF(COUNTIF(Raw_Passengers!$A$2:A1309,Raw_Passengers!A1309)&gt;1,1,0)</f>
        <v>0</v>
      </c>
      <c r="D1309" s="7">
        <f>IF(COUNTIF(Raw_Bookings!$A$2:$A$648,Raw_Passengers!B1309)=0,1,0)</f>
        <v>0</v>
      </c>
      <c r="E1309" s="7">
        <f>IF(OR(C1309=1,D1309=1),0,IF(NOT(ISNUMBER(Raw_Passengers!E1309)),1,IF(Raw_Passengers!E1309&lt;=0,1,0)))</f>
        <v>0</v>
      </c>
      <c r="F1309" s="7">
        <f>IF(AND(C1309=0,D1309=0,TRIM(Raw_Passengers!D1309&amp;"")=""),1,0)</f>
        <v>0</v>
      </c>
      <c r="G1309" s="7" t="str">
        <f>IF(SUMPRODUCT(--(Lookup_Status!$A$2:$A$13=LOWER(TRIM(Raw_Passengers!F1309))))=0,"",INDEX(Lookup_Status!$B$2:$B$13,SUMPRODUCT((Lookup_Status!$A$2:$A$13=LOWER(TRIM(Raw_Passengers!F1309)))*(ROW(Lookup_Status!$A$2:$A$13)-1))))</f>
        <v>Confirmed</v>
      </c>
      <c r="H1309" s="7" t="str">
        <f>IF(SUMPRODUCT(--(Lookup_Status!$A$2:$A$13=LOWER(TRIM(Raw_Passengers!G1309))))=0,"",INDEX(Lookup_Status!$B$2:$B$13,SUMPRODUCT((Lookup_Status!$A$2:$A$13=LOWER(TRIM(Raw_Passengers!G1309)))*(ROW(Lookup_Status!$A$2:$A$13)-1))))</f>
        <v>Cancelled</v>
      </c>
      <c r="I1309" s="7">
        <f>IF(OR(G1309="",G1309="Cancelled",G1309="Mixed"),1,0)</f>
        <v>0</v>
      </c>
      <c r="J1309" s="7">
        <f>IF(OR(H1309="",H1309="Mixed"),1,0)</f>
        <v>0</v>
      </c>
      <c r="K1309" s="7">
        <f>IF(AND(C1309=0,D1309=0),IF(OR(AND(I1309=0,NOT(EXACT(Raw_Passengers!F1309,G1309))),AND(J1309=0,NOT(EXACT(Raw_Passengers!G1309,H1309)))),1,0),0)</f>
        <v>0</v>
      </c>
      <c r="L1309" s="7">
        <f>IF(AND(C1309=0,D1309=0,I1309=1),1,0)</f>
        <v>0</v>
      </c>
      <c r="M1309" s="7">
        <f>IF(AND(C1309=0,D1309=0,J1309=1),1,0)</f>
        <v>0</v>
      </c>
    </row>
    <row r="1310" spans="1:13">
      <c r="A1310" s="7">
        <f>Raw_Passengers!A1310</f>
        <v>404133</v>
      </c>
      <c r="B1310" s="7">
        <f>Raw_Passengers!B1310</f>
        <v>1200653</v>
      </c>
      <c r="C1310" s="7">
        <f>IF(COUNTIF(Raw_Passengers!$A$2:A1310,Raw_Passengers!A1310)&gt;1,1,0)</f>
        <v>0</v>
      </c>
      <c r="D1310" s="7">
        <f>IF(COUNTIF(Raw_Bookings!$A$2:$A$648,Raw_Passengers!B1310)=0,1,0)</f>
        <v>0</v>
      </c>
      <c r="E1310" s="7">
        <f>IF(OR(C1310=1,D1310=1),0,IF(NOT(ISNUMBER(Raw_Passengers!E1310)),1,IF(Raw_Passengers!E1310&lt;=0,1,0)))</f>
        <v>0</v>
      </c>
      <c r="F1310" s="7">
        <f>IF(AND(C1310=0,D1310=0,TRIM(Raw_Passengers!D1310&amp;"")=""),1,0)</f>
        <v>0</v>
      </c>
      <c r="G1310" s="7" t="str">
        <f>IF(SUMPRODUCT(--(Lookup_Status!$A$2:$A$13=LOWER(TRIM(Raw_Passengers!F1310))))=0,"",INDEX(Lookup_Status!$B$2:$B$13,SUMPRODUCT((Lookup_Status!$A$2:$A$13=LOWER(TRIM(Raw_Passengers!F1310)))*(ROW(Lookup_Status!$A$2:$A$13)-1))))</f>
        <v>Confirmed</v>
      </c>
      <c r="H1310" s="7" t="str">
        <f>IF(SUMPRODUCT(--(Lookup_Status!$A$2:$A$13=LOWER(TRIM(Raw_Passengers!G1310))))=0,"",INDEX(Lookup_Status!$B$2:$B$13,SUMPRODUCT((Lookup_Status!$A$2:$A$13=LOWER(TRIM(Raw_Passengers!G1310)))*(ROW(Lookup_Status!$A$2:$A$13)-1))))</f>
        <v>Cancelled</v>
      </c>
      <c r="I1310" s="7">
        <f>IF(OR(G1310="",G1310="Cancelled",G1310="Mixed"),1,0)</f>
        <v>0</v>
      </c>
      <c r="J1310" s="7">
        <f>IF(OR(H1310="",H1310="Mixed"),1,0)</f>
        <v>0</v>
      </c>
      <c r="K1310" s="7">
        <f>IF(AND(C1310=0,D1310=0),IF(OR(AND(I1310=0,NOT(EXACT(Raw_Passengers!F1310,G1310))),AND(J1310=0,NOT(EXACT(Raw_Passengers!G1310,H1310)))),1,0),0)</f>
        <v>0</v>
      </c>
      <c r="L1310" s="7">
        <f>IF(AND(C1310=0,D1310=0,I1310=1),1,0)</f>
        <v>0</v>
      </c>
      <c r="M1310" s="7">
        <f>IF(AND(C1310=0,D1310=0,J1310=1),1,0)</f>
        <v>0</v>
      </c>
    </row>
    <row r="1311" spans="1:13">
      <c r="A1311" s="7">
        <f>Raw_Passengers!A1311</f>
        <v>404134</v>
      </c>
      <c r="B1311" s="7">
        <f>Raw_Passengers!B1311</f>
        <v>1200653</v>
      </c>
      <c r="C1311" s="7">
        <f>IF(COUNTIF(Raw_Passengers!$A$2:A1311,Raw_Passengers!A1311)&gt;1,1,0)</f>
        <v>0</v>
      </c>
      <c r="D1311" s="7">
        <f>IF(COUNTIF(Raw_Bookings!$A$2:$A$648,Raw_Passengers!B1311)=0,1,0)</f>
        <v>0</v>
      </c>
      <c r="E1311" s="7">
        <f>IF(OR(C1311=1,D1311=1),0,IF(NOT(ISNUMBER(Raw_Passengers!E1311)),1,IF(Raw_Passengers!E1311&lt;=0,1,0)))</f>
        <v>0</v>
      </c>
      <c r="F1311" s="7">
        <f>IF(AND(C1311=0,D1311=0,TRIM(Raw_Passengers!D1311&amp;"")=""),1,0)</f>
        <v>0</v>
      </c>
      <c r="G1311" s="7" t="str">
        <f>IF(SUMPRODUCT(--(Lookup_Status!$A$2:$A$13=LOWER(TRIM(Raw_Passengers!F1311))))=0,"",INDEX(Lookup_Status!$B$2:$B$13,SUMPRODUCT((Lookup_Status!$A$2:$A$13=LOWER(TRIM(Raw_Passengers!F1311)))*(ROW(Lookup_Status!$A$2:$A$13)-1))))</f>
        <v>Confirmed</v>
      </c>
      <c r="H1311" s="7" t="str">
        <f>IF(SUMPRODUCT(--(Lookup_Status!$A$2:$A$13=LOWER(TRIM(Raw_Passengers!G1311))))=0,"",INDEX(Lookup_Status!$B$2:$B$13,SUMPRODUCT((Lookup_Status!$A$2:$A$13=LOWER(TRIM(Raw_Passengers!G1311)))*(ROW(Lookup_Status!$A$2:$A$13)-1))))</f>
        <v>Cancelled</v>
      </c>
      <c r="I1311" s="7">
        <f>IF(OR(G1311="",G1311="Cancelled",G1311="Mixed"),1,0)</f>
        <v>0</v>
      </c>
      <c r="J1311" s="7">
        <f>IF(OR(H1311="",H1311="Mixed"),1,0)</f>
        <v>0</v>
      </c>
      <c r="K1311" s="7">
        <f>IF(AND(C1311=0,D1311=0),IF(OR(AND(I1311=0,NOT(EXACT(Raw_Passengers!F1311,G1311))),AND(J1311=0,NOT(EXACT(Raw_Passengers!G1311,H1311)))),1,0),0)</f>
        <v>0</v>
      </c>
      <c r="L1311" s="7">
        <f>IF(AND(C1311=0,D1311=0,I1311=1),1,0)</f>
        <v>0</v>
      </c>
      <c r="M1311" s="7">
        <f>IF(AND(C1311=0,D1311=0,J1311=1),1,0)</f>
        <v>0</v>
      </c>
    </row>
    <row r="1312" spans="1:13">
      <c r="A1312" s="7">
        <f>Raw_Passengers!A1312</f>
        <v>405359</v>
      </c>
      <c r="B1312" s="7">
        <f>Raw_Passengers!B1312</f>
        <v>1201266</v>
      </c>
      <c r="C1312" s="7">
        <f>IF(COUNTIF(Raw_Passengers!$A$2:A1312,Raw_Passengers!A1312)&gt;1,1,0)</f>
        <v>0</v>
      </c>
      <c r="D1312" s="7">
        <f>IF(COUNTIF(Raw_Bookings!$A$2:$A$648,Raw_Passengers!B1312)=0,1,0)</f>
        <v>0</v>
      </c>
      <c r="E1312" s="7">
        <f>IF(OR(C1312=1,D1312=1),0,IF(NOT(ISNUMBER(Raw_Passengers!E1312)),1,IF(Raw_Passengers!E1312&lt;=0,1,0)))</f>
        <v>0</v>
      </c>
      <c r="F1312" s="7">
        <f>IF(AND(C1312=0,D1312=0,TRIM(Raw_Passengers!D1312&amp;"")=""),1,0)</f>
        <v>0</v>
      </c>
      <c r="G1312" s="7" t="str">
        <f>IF(SUMPRODUCT(--(Lookup_Status!$A$2:$A$13=LOWER(TRIM(Raw_Passengers!F1312))))=0,"",INDEX(Lookup_Status!$B$2:$B$13,SUMPRODUCT((Lookup_Status!$A$2:$A$13=LOWER(TRIM(Raw_Passengers!F1312)))*(ROW(Lookup_Status!$A$2:$A$13)-1))))</f>
        <v>RAC</v>
      </c>
      <c r="H1312" s="7" t="str">
        <f>IF(SUMPRODUCT(--(Lookup_Status!$A$2:$A$13=LOWER(TRIM(Raw_Passengers!G1312))))=0,"",INDEX(Lookup_Status!$B$2:$B$13,SUMPRODUCT((Lookup_Status!$A$2:$A$13=LOWER(TRIM(Raw_Passengers!G1312)))*(ROW(Lookup_Status!$A$2:$A$13)-1))))</f>
        <v>RAC</v>
      </c>
      <c r="I1312" s="7">
        <f>IF(OR(G1312="",G1312="Cancelled",G1312="Mixed"),1,0)</f>
        <v>0</v>
      </c>
      <c r="J1312" s="7">
        <f>IF(OR(H1312="",H1312="Mixed"),1,0)</f>
        <v>0</v>
      </c>
      <c r="K1312" s="7">
        <f>IF(AND(C1312=0,D1312=0),IF(OR(AND(I1312=0,NOT(EXACT(Raw_Passengers!F1312,G1312))),AND(J1312=0,NOT(EXACT(Raw_Passengers!G1312,H1312)))),1,0),0)</f>
        <v>0</v>
      </c>
      <c r="L1312" s="7">
        <f>IF(AND(C1312=0,D1312=0,I1312=1),1,0)</f>
        <v>0</v>
      </c>
      <c r="M1312" s="7">
        <f>IF(AND(C1312=0,D1312=0,J1312=1),1,0)</f>
        <v>0</v>
      </c>
    </row>
    <row r="1313" spans="1:13">
      <c r="A1313" s="7">
        <f>Raw_Passengers!A1313</f>
        <v>405596</v>
      </c>
      <c r="B1313" s="7">
        <f>Raw_Passengers!B1313</f>
        <v>1201381</v>
      </c>
      <c r="C1313" s="7">
        <f>IF(COUNTIF(Raw_Passengers!$A$2:A1313,Raw_Passengers!A1313)&gt;1,1,0)</f>
        <v>0</v>
      </c>
      <c r="D1313" s="7">
        <f>IF(COUNTIF(Raw_Bookings!$A$2:$A$648,Raw_Passengers!B1313)=0,1,0)</f>
        <v>0</v>
      </c>
      <c r="E1313" s="7">
        <f>IF(OR(C1313=1,D1313=1),0,IF(NOT(ISNUMBER(Raw_Passengers!E1313)),1,IF(Raw_Passengers!E1313&lt;=0,1,0)))</f>
        <v>0</v>
      </c>
      <c r="F1313" s="7">
        <f>IF(AND(C1313=0,D1313=0,TRIM(Raw_Passengers!D1313&amp;"")=""),1,0)</f>
        <v>0</v>
      </c>
      <c r="G1313" s="7" t="str">
        <f>IF(SUMPRODUCT(--(Lookup_Status!$A$2:$A$13=LOWER(TRIM(Raw_Passengers!F1313))))=0,"",INDEX(Lookup_Status!$B$2:$B$13,SUMPRODUCT((Lookup_Status!$A$2:$A$13=LOWER(TRIM(Raw_Passengers!F1313)))*(ROW(Lookup_Status!$A$2:$A$13)-1))))</f>
        <v>Confirmed</v>
      </c>
      <c r="H1313" s="7" t="str">
        <f>IF(SUMPRODUCT(--(Lookup_Status!$A$2:$A$13=LOWER(TRIM(Raw_Passengers!G1313))))=0,"",INDEX(Lookup_Status!$B$2:$B$13,SUMPRODUCT((Lookup_Status!$A$2:$A$13=LOWER(TRIM(Raw_Passengers!G1313)))*(ROW(Lookup_Status!$A$2:$A$13)-1))))</f>
        <v>Confirmed</v>
      </c>
      <c r="I1313" s="7">
        <f>IF(OR(G1313="",G1313="Cancelled",G1313="Mixed"),1,0)</f>
        <v>0</v>
      </c>
      <c r="J1313" s="7">
        <f>IF(OR(H1313="",H1313="Mixed"),1,0)</f>
        <v>0</v>
      </c>
      <c r="K1313" s="7">
        <f>IF(AND(C1313=0,D1313=0),IF(OR(AND(I1313=0,NOT(EXACT(Raw_Passengers!F1313,G1313))),AND(J1313=0,NOT(EXACT(Raw_Passengers!G1313,H1313)))),1,0),0)</f>
        <v>0</v>
      </c>
      <c r="L1313" s="7">
        <f>IF(AND(C1313=0,D1313=0,I1313=1),1,0)</f>
        <v>0</v>
      </c>
      <c r="M1313" s="7">
        <f>IF(AND(C1313=0,D1313=0,J1313=1),1,0)</f>
        <v>0</v>
      </c>
    </row>
    <row r="1314" spans="1:13">
      <c r="A1314" s="7">
        <f>Raw_Passengers!A1314</f>
        <v>405724</v>
      </c>
      <c r="B1314" s="7">
        <f>Raw_Passengers!B1314</f>
        <v>1201444</v>
      </c>
      <c r="C1314" s="7">
        <f>IF(COUNTIF(Raw_Passengers!$A$2:A1314,Raw_Passengers!A1314)&gt;1,1,0)</f>
        <v>0</v>
      </c>
      <c r="D1314" s="7">
        <f>IF(COUNTIF(Raw_Bookings!$A$2:$A$648,Raw_Passengers!B1314)=0,1,0)</f>
        <v>0</v>
      </c>
      <c r="E1314" s="7">
        <f>IF(OR(C1314=1,D1314=1),0,IF(NOT(ISNUMBER(Raw_Passengers!E1314)),1,IF(Raw_Passengers!E1314&lt;=0,1,0)))</f>
        <v>0</v>
      </c>
      <c r="F1314" s="7">
        <f>IF(AND(C1314=0,D1314=0,TRIM(Raw_Passengers!D1314&amp;"")=""),1,0)</f>
        <v>0</v>
      </c>
      <c r="G1314" s="7" t="str">
        <f>IF(SUMPRODUCT(--(Lookup_Status!$A$2:$A$13=LOWER(TRIM(Raw_Passengers!F1314))))=0,"",INDEX(Lookup_Status!$B$2:$B$13,SUMPRODUCT((Lookup_Status!$A$2:$A$13=LOWER(TRIM(Raw_Passengers!F1314)))*(ROW(Lookup_Status!$A$2:$A$13)-1))))</f>
        <v>Confirmed</v>
      </c>
      <c r="H1314" s="7" t="str">
        <f>IF(SUMPRODUCT(--(Lookup_Status!$A$2:$A$13=LOWER(TRIM(Raw_Passengers!G1314))))=0,"",INDEX(Lookup_Status!$B$2:$B$13,SUMPRODUCT((Lookup_Status!$A$2:$A$13=LOWER(TRIM(Raw_Passengers!G1314)))*(ROW(Lookup_Status!$A$2:$A$13)-1))))</f>
        <v>Confirmed</v>
      </c>
      <c r="I1314" s="7">
        <f>IF(OR(G1314="",G1314="Cancelled",G1314="Mixed"),1,0)</f>
        <v>0</v>
      </c>
      <c r="J1314" s="7">
        <f>IF(OR(H1314="",H1314="Mixed"),1,0)</f>
        <v>0</v>
      </c>
      <c r="K1314" s="7">
        <f>IF(AND(C1314=0,D1314=0),IF(OR(AND(I1314=0,NOT(EXACT(Raw_Passengers!F1314,G1314))),AND(J1314=0,NOT(EXACT(Raw_Passengers!G1314,H1314)))),1,0),0)</f>
        <v>0</v>
      </c>
      <c r="L1314" s="7">
        <f>IF(AND(C1314=0,D1314=0,I1314=1),1,0)</f>
        <v>0</v>
      </c>
      <c r="M1314" s="7">
        <f>IF(AND(C1314=0,D1314=0,J1314=1),1,0)</f>
        <v>0</v>
      </c>
    </row>
    <row r="1315" spans="1:13">
      <c r="A1315" s="7">
        <f>Raw_Passengers!A1315</f>
        <v>405725</v>
      </c>
      <c r="B1315" s="7">
        <f>Raw_Passengers!B1315</f>
        <v>1201444</v>
      </c>
      <c r="C1315" s="7">
        <f>IF(COUNTIF(Raw_Passengers!$A$2:A1315,Raw_Passengers!A1315)&gt;1,1,0)</f>
        <v>0</v>
      </c>
      <c r="D1315" s="7">
        <f>IF(COUNTIF(Raw_Bookings!$A$2:$A$648,Raw_Passengers!B1315)=0,1,0)</f>
        <v>0</v>
      </c>
      <c r="E1315" s="7">
        <f>IF(OR(C1315=1,D1315=1),0,IF(NOT(ISNUMBER(Raw_Passengers!E1315)),1,IF(Raw_Passengers!E1315&lt;=0,1,0)))</f>
        <v>0</v>
      </c>
      <c r="F1315" s="7">
        <f>IF(AND(C1315=0,D1315=0,TRIM(Raw_Passengers!D1315&amp;"")=""),1,0)</f>
        <v>0</v>
      </c>
      <c r="G1315" s="7" t="str">
        <f>IF(SUMPRODUCT(--(Lookup_Status!$A$2:$A$13=LOWER(TRIM(Raw_Passengers!F1315))))=0,"",INDEX(Lookup_Status!$B$2:$B$13,SUMPRODUCT((Lookup_Status!$A$2:$A$13=LOWER(TRIM(Raw_Passengers!F1315)))*(ROW(Lookup_Status!$A$2:$A$13)-1))))</f>
        <v>Confirmed</v>
      </c>
      <c r="H1315" s="7" t="str">
        <f>IF(SUMPRODUCT(--(Lookup_Status!$A$2:$A$13=LOWER(TRIM(Raw_Passengers!G1315))))=0,"",INDEX(Lookup_Status!$B$2:$B$13,SUMPRODUCT((Lookup_Status!$A$2:$A$13=LOWER(TRIM(Raw_Passengers!G1315)))*(ROW(Lookup_Status!$A$2:$A$13)-1))))</f>
        <v>Confirmed</v>
      </c>
      <c r="I1315" s="7">
        <f>IF(OR(G1315="",G1315="Cancelled",G1315="Mixed"),1,0)</f>
        <v>0</v>
      </c>
      <c r="J1315" s="7">
        <f>IF(OR(H1315="",H1315="Mixed"),1,0)</f>
        <v>0</v>
      </c>
      <c r="K1315" s="7">
        <f>IF(AND(C1315=0,D1315=0),IF(OR(AND(I1315=0,NOT(EXACT(Raw_Passengers!F1315,G1315))),AND(J1315=0,NOT(EXACT(Raw_Passengers!G1315,H1315)))),1,0),0)</f>
        <v>0</v>
      </c>
      <c r="L1315" s="7">
        <f>IF(AND(C1315=0,D1315=0,I1315=1),1,0)</f>
        <v>0</v>
      </c>
      <c r="M1315" s="7">
        <f>IF(AND(C1315=0,D1315=0,J1315=1),1,0)</f>
        <v>0</v>
      </c>
    </row>
    <row r="1316" spans="1:13">
      <c r="A1316" s="7">
        <f>Raw_Passengers!A1316</f>
        <v>405726</v>
      </c>
      <c r="B1316" s="7">
        <f>Raw_Passengers!B1316</f>
        <v>1201444</v>
      </c>
      <c r="C1316" s="7">
        <f>IF(COUNTIF(Raw_Passengers!$A$2:A1316,Raw_Passengers!A1316)&gt;1,1,0)</f>
        <v>0</v>
      </c>
      <c r="D1316" s="7">
        <f>IF(COUNTIF(Raw_Bookings!$A$2:$A$648,Raw_Passengers!B1316)=0,1,0)</f>
        <v>0</v>
      </c>
      <c r="E1316" s="7">
        <f>IF(OR(C1316=1,D1316=1),0,IF(NOT(ISNUMBER(Raw_Passengers!E1316)),1,IF(Raw_Passengers!E1316&lt;=0,1,0)))</f>
        <v>0</v>
      </c>
      <c r="F1316" s="7">
        <f>IF(AND(C1316=0,D1316=0,TRIM(Raw_Passengers!D1316&amp;"")=""),1,0)</f>
        <v>0</v>
      </c>
      <c r="G1316" s="7" t="str">
        <f>IF(SUMPRODUCT(--(Lookup_Status!$A$2:$A$13=LOWER(TRIM(Raw_Passengers!F1316))))=0,"",INDEX(Lookup_Status!$B$2:$B$13,SUMPRODUCT((Lookup_Status!$A$2:$A$13=LOWER(TRIM(Raw_Passengers!F1316)))*(ROW(Lookup_Status!$A$2:$A$13)-1))))</f>
        <v>Confirmed</v>
      </c>
      <c r="H1316" s="7" t="str">
        <f>IF(SUMPRODUCT(--(Lookup_Status!$A$2:$A$13=LOWER(TRIM(Raw_Passengers!G1316))))=0,"",INDEX(Lookup_Status!$B$2:$B$13,SUMPRODUCT((Lookup_Status!$A$2:$A$13=LOWER(TRIM(Raw_Passengers!G1316)))*(ROW(Lookup_Status!$A$2:$A$13)-1))))</f>
        <v>Confirmed</v>
      </c>
      <c r="I1316" s="7">
        <f>IF(OR(G1316="",G1316="Cancelled",G1316="Mixed"),1,0)</f>
        <v>0</v>
      </c>
      <c r="J1316" s="7">
        <f>IF(OR(H1316="",H1316="Mixed"),1,0)</f>
        <v>0</v>
      </c>
      <c r="K1316" s="7">
        <f>IF(AND(C1316=0,D1316=0),IF(OR(AND(I1316=0,NOT(EXACT(Raw_Passengers!F1316,G1316))),AND(J1316=0,NOT(EXACT(Raw_Passengers!G1316,H1316)))),1,0),0)</f>
        <v>0</v>
      </c>
      <c r="L1316" s="7">
        <f>IF(AND(C1316=0,D1316=0,I1316=1),1,0)</f>
        <v>0</v>
      </c>
      <c r="M1316" s="7">
        <f>IF(AND(C1316=0,D1316=0,J1316=1),1,0)</f>
        <v>0</v>
      </c>
    </row>
    <row r="1317" spans="1:13">
      <c r="A1317" s="7">
        <f>Raw_Passengers!A1317</f>
        <v>405727</v>
      </c>
      <c r="B1317" s="7">
        <f>Raw_Passengers!B1317</f>
        <v>1201444</v>
      </c>
      <c r="C1317" s="7">
        <f>IF(COUNTIF(Raw_Passengers!$A$2:A1317,Raw_Passengers!A1317)&gt;1,1,0)</f>
        <v>0</v>
      </c>
      <c r="D1317" s="7">
        <f>IF(COUNTIF(Raw_Bookings!$A$2:$A$648,Raw_Passengers!B1317)=0,1,0)</f>
        <v>0</v>
      </c>
      <c r="E1317" s="7">
        <f>IF(OR(C1317=1,D1317=1),0,IF(NOT(ISNUMBER(Raw_Passengers!E1317)),1,IF(Raw_Passengers!E1317&lt;=0,1,0)))</f>
        <v>0</v>
      </c>
      <c r="F1317" s="7">
        <f>IF(AND(C1317=0,D1317=0,TRIM(Raw_Passengers!D1317&amp;"")=""),1,0)</f>
        <v>0</v>
      </c>
      <c r="G1317" s="7" t="str">
        <f>IF(SUMPRODUCT(--(Lookup_Status!$A$2:$A$13=LOWER(TRIM(Raw_Passengers!F1317))))=0,"",INDEX(Lookup_Status!$B$2:$B$13,SUMPRODUCT((Lookup_Status!$A$2:$A$13=LOWER(TRIM(Raw_Passengers!F1317)))*(ROW(Lookup_Status!$A$2:$A$13)-1))))</f>
        <v>Confirmed</v>
      </c>
      <c r="H1317" s="7" t="str">
        <f>IF(SUMPRODUCT(--(Lookup_Status!$A$2:$A$13=LOWER(TRIM(Raw_Passengers!G1317))))=0,"",INDEX(Lookup_Status!$B$2:$B$13,SUMPRODUCT((Lookup_Status!$A$2:$A$13=LOWER(TRIM(Raw_Passengers!G1317)))*(ROW(Lookup_Status!$A$2:$A$13)-1))))</f>
        <v>Confirmed</v>
      </c>
      <c r="I1317" s="7">
        <f>IF(OR(G1317="",G1317="Cancelled",G1317="Mixed"),1,0)</f>
        <v>0</v>
      </c>
      <c r="J1317" s="7">
        <f>IF(OR(H1317="",H1317="Mixed"),1,0)</f>
        <v>0</v>
      </c>
      <c r="K1317" s="7">
        <f>IF(AND(C1317=0,D1317=0),IF(OR(AND(I1317=0,NOT(EXACT(Raw_Passengers!F1317,G1317))),AND(J1317=0,NOT(EXACT(Raw_Passengers!G1317,H1317)))),1,0),0)</f>
        <v>0</v>
      </c>
      <c r="L1317" s="7">
        <f>IF(AND(C1317=0,D1317=0,I1317=1),1,0)</f>
        <v>0</v>
      </c>
      <c r="M1317" s="7">
        <f>IF(AND(C1317=0,D1317=0,J1317=1),1,0)</f>
        <v>0</v>
      </c>
    </row>
    <row r="1318" spans="1:13">
      <c r="A1318" s="7">
        <f>Raw_Passengers!A1318</f>
        <v>406468</v>
      </c>
      <c r="B1318" s="7">
        <f>Raw_Passengers!B1318</f>
        <v>1201825</v>
      </c>
      <c r="C1318" s="7">
        <f>IF(COUNTIF(Raw_Passengers!$A$2:A1318,Raw_Passengers!A1318)&gt;1,1,0)</f>
        <v>0</v>
      </c>
      <c r="D1318" s="7">
        <f>IF(COUNTIF(Raw_Bookings!$A$2:$A$648,Raw_Passengers!B1318)=0,1,0)</f>
        <v>0</v>
      </c>
      <c r="E1318" s="7">
        <f>IF(OR(C1318=1,D1318=1),0,IF(NOT(ISNUMBER(Raw_Passengers!E1318)),1,IF(Raw_Passengers!E1318&lt;=0,1,0)))</f>
        <v>0</v>
      </c>
      <c r="F1318" s="7">
        <f>IF(AND(C1318=0,D1318=0,TRIM(Raw_Passengers!D1318&amp;"")=""),1,0)</f>
        <v>0</v>
      </c>
      <c r="G1318" s="7" t="str">
        <f>IF(SUMPRODUCT(--(Lookup_Status!$A$2:$A$13=LOWER(TRIM(Raw_Passengers!F1318))))=0,"",INDEX(Lookup_Status!$B$2:$B$13,SUMPRODUCT((Lookup_Status!$A$2:$A$13=LOWER(TRIM(Raw_Passengers!F1318)))*(ROW(Lookup_Status!$A$2:$A$13)-1))))</f>
        <v>Confirmed</v>
      </c>
      <c r="H1318" s="7" t="str">
        <f>IF(SUMPRODUCT(--(Lookup_Status!$A$2:$A$13=LOWER(TRIM(Raw_Passengers!G1318))))=0,"",INDEX(Lookup_Status!$B$2:$B$13,SUMPRODUCT((Lookup_Status!$A$2:$A$13=LOWER(TRIM(Raw_Passengers!G1318)))*(ROW(Lookup_Status!$A$2:$A$13)-1))))</f>
        <v>Cancelled</v>
      </c>
      <c r="I1318" s="7">
        <f>IF(OR(G1318="",G1318="Cancelled",G1318="Mixed"),1,0)</f>
        <v>0</v>
      </c>
      <c r="J1318" s="7">
        <f>IF(OR(H1318="",H1318="Mixed"),1,0)</f>
        <v>0</v>
      </c>
      <c r="K1318" s="7">
        <f>IF(AND(C1318=0,D1318=0),IF(OR(AND(I1318=0,NOT(EXACT(Raw_Passengers!F1318,G1318))),AND(J1318=0,NOT(EXACT(Raw_Passengers!G1318,H1318)))),1,0),0)</f>
        <v>0</v>
      </c>
      <c r="L1318" s="7">
        <f>IF(AND(C1318=0,D1318=0,I1318=1),1,0)</f>
        <v>0</v>
      </c>
      <c r="M1318" s="7">
        <f>IF(AND(C1318=0,D1318=0,J1318=1),1,0)</f>
        <v>0</v>
      </c>
    </row>
    <row r="1319" spans="1:13">
      <c r="A1319" s="7">
        <f>Raw_Passengers!A1319</f>
        <v>406469</v>
      </c>
      <c r="B1319" s="7">
        <f>Raw_Passengers!B1319</f>
        <v>1201825</v>
      </c>
      <c r="C1319" s="7">
        <f>IF(COUNTIF(Raw_Passengers!$A$2:A1319,Raw_Passengers!A1319)&gt;1,1,0)</f>
        <v>0</v>
      </c>
      <c r="D1319" s="7">
        <f>IF(COUNTIF(Raw_Bookings!$A$2:$A$648,Raw_Passengers!B1319)=0,1,0)</f>
        <v>0</v>
      </c>
      <c r="E1319" s="7">
        <f>IF(OR(C1319=1,D1319=1),0,IF(NOT(ISNUMBER(Raw_Passengers!E1319)),1,IF(Raw_Passengers!E1319&lt;=0,1,0)))</f>
        <v>0</v>
      </c>
      <c r="F1319" s="7">
        <f>IF(AND(C1319=0,D1319=0,TRIM(Raw_Passengers!D1319&amp;"")=""),1,0)</f>
        <v>0</v>
      </c>
      <c r="G1319" s="7" t="str">
        <f>IF(SUMPRODUCT(--(Lookup_Status!$A$2:$A$13=LOWER(TRIM(Raw_Passengers!F1319))))=0,"",INDEX(Lookup_Status!$B$2:$B$13,SUMPRODUCT((Lookup_Status!$A$2:$A$13=LOWER(TRIM(Raw_Passengers!F1319)))*(ROW(Lookup_Status!$A$2:$A$13)-1))))</f>
        <v>Confirmed</v>
      </c>
      <c r="H1319" s="7" t="str">
        <f>IF(SUMPRODUCT(--(Lookup_Status!$A$2:$A$13=LOWER(TRIM(Raw_Passengers!G1319))))=0,"",INDEX(Lookup_Status!$B$2:$B$13,SUMPRODUCT((Lookup_Status!$A$2:$A$13=LOWER(TRIM(Raw_Passengers!G1319)))*(ROW(Lookup_Status!$A$2:$A$13)-1))))</f>
        <v>Cancelled</v>
      </c>
      <c r="I1319" s="7">
        <f>IF(OR(G1319="",G1319="Cancelled",G1319="Mixed"),1,0)</f>
        <v>0</v>
      </c>
      <c r="J1319" s="7">
        <f>IF(OR(H1319="",H1319="Mixed"),1,0)</f>
        <v>0</v>
      </c>
      <c r="K1319" s="7">
        <f>IF(AND(C1319=0,D1319=0),IF(OR(AND(I1319=0,NOT(EXACT(Raw_Passengers!F1319,G1319))),AND(J1319=0,NOT(EXACT(Raw_Passengers!G1319,H1319)))),1,0),0)</f>
        <v>0</v>
      </c>
      <c r="L1319" s="7">
        <f>IF(AND(C1319=0,D1319=0,I1319=1),1,0)</f>
        <v>0</v>
      </c>
      <c r="M1319" s="7">
        <f>IF(AND(C1319=0,D1319=0,J1319=1),1,0)</f>
        <v>0</v>
      </c>
    </row>
    <row r="1320" spans="1:13">
      <c r="A1320" s="7">
        <f>Raw_Passengers!A1320</f>
        <v>406470</v>
      </c>
      <c r="B1320" s="7">
        <f>Raw_Passengers!B1320</f>
        <v>1201825</v>
      </c>
      <c r="C1320" s="7">
        <f>IF(COUNTIF(Raw_Passengers!$A$2:A1320,Raw_Passengers!A1320)&gt;1,1,0)</f>
        <v>0</v>
      </c>
      <c r="D1320" s="7">
        <f>IF(COUNTIF(Raw_Bookings!$A$2:$A$648,Raw_Passengers!B1320)=0,1,0)</f>
        <v>0</v>
      </c>
      <c r="E1320" s="7">
        <f>IF(OR(C1320=1,D1320=1),0,IF(NOT(ISNUMBER(Raw_Passengers!E1320)),1,IF(Raw_Passengers!E1320&lt;=0,1,0)))</f>
        <v>0</v>
      </c>
      <c r="F1320" s="7">
        <f>IF(AND(C1320=0,D1320=0,TRIM(Raw_Passengers!D1320&amp;"")=""),1,0)</f>
        <v>0</v>
      </c>
      <c r="G1320" s="7" t="str">
        <f>IF(SUMPRODUCT(--(Lookup_Status!$A$2:$A$13=LOWER(TRIM(Raw_Passengers!F1320))))=0,"",INDEX(Lookup_Status!$B$2:$B$13,SUMPRODUCT((Lookup_Status!$A$2:$A$13=LOWER(TRIM(Raw_Passengers!F1320)))*(ROW(Lookup_Status!$A$2:$A$13)-1))))</f>
        <v>Confirmed</v>
      </c>
      <c r="H1320" s="7" t="str">
        <f>IF(SUMPRODUCT(--(Lookup_Status!$A$2:$A$13=LOWER(TRIM(Raw_Passengers!G1320))))=0,"",INDEX(Lookup_Status!$B$2:$B$13,SUMPRODUCT((Lookup_Status!$A$2:$A$13=LOWER(TRIM(Raw_Passengers!G1320)))*(ROW(Lookup_Status!$A$2:$A$13)-1))))</f>
        <v>Cancelled</v>
      </c>
      <c r="I1320" s="7">
        <f>IF(OR(G1320="",G1320="Cancelled",G1320="Mixed"),1,0)</f>
        <v>0</v>
      </c>
      <c r="J1320" s="7">
        <f>IF(OR(H1320="",H1320="Mixed"),1,0)</f>
        <v>0</v>
      </c>
      <c r="K1320" s="7">
        <f>IF(AND(C1320=0,D1320=0),IF(OR(AND(I1320=0,NOT(EXACT(Raw_Passengers!F1320,G1320))),AND(J1320=0,NOT(EXACT(Raw_Passengers!G1320,H1320)))),1,0),0)</f>
        <v>0</v>
      </c>
      <c r="L1320" s="7">
        <f>IF(AND(C1320=0,D1320=0,I1320=1),1,0)</f>
        <v>0</v>
      </c>
      <c r="M1320" s="7">
        <f>IF(AND(C1320=0,D1320=0,J1320=1),1,0)</f>
        <v>0</v>
      </c>
    </row>
    <row r="1321" spans="1:13">
      <c r="A1321" s="7">
        <f>Raw_Passengers!A1321</f>
        <v>406471</v>
      </c>
      <c r="B1321" s="7">
        <f>Raw_Passengers!B1321</f>
        <v>1201825</v>
      </c>
      <c r="C1321" s="7">
        <f>IF(COUNTIF(Raw_Passengers!$A$2:A1321,Raw_Passengers!A1321)&gt;1,1,0)</f>
        <v>0</v>
      </c>
      <c r="D1321" s="7">
        <f>IF(COUNTIF(Raw_Bookings!$A$2:$A$648,Raw_Passengers!B1321)=0,1,0)</f>
        <v>0</v>
      </c>
      <c r="E1321" s="7">
        <f>IF(OR(C1321=1,D1321=1),0,IF(NOT(ISNUMBER(Raw_Passengers!E1321)),1,IF(Raw_Passengers!E1321&lt;=0,1,0)))</f>
        <v>0</v>
      </c>
      <c r="F1321" s="7">
        <f>IF(AND(C1321=0,D1321=0,TRIM(Raw_Passengers!D1321&amp;"")=""),1,0)</f>
        <v>0</v>
      </c>
      <c r="G1321" s="7" t="str">
        <f>IF(SUMPRODUCT(--(Lookup_Status!$A$2:$A$13=LOWER(TRIM(Raw_Passengers!F1321))))=0,"",INDEX(Lookup_Status!$B$2:$B$13,SUMPRODUCT((Lookup_Status!$A$2:$A$13=LOWER(TRIM(Raw_Passengers!F1321)))*(ROW(Lookup_Status!$A$2:$A$13)-1))))</f>
        <v>Confirmed</v>
      </c>
      <c r="H1321" s="7" t="str">
        <f>IF(SUMPRODUCT(--(Lookup_Status!$A$2:$A$13=LOWER(TRIM(Raw_Passengers!G1321))))=0,"",INDEX(Lookup_Status!$B$2:$B$13,SUMPRODUCT((Lookup_Status!$A$2:$A$13=LOWER(TRIM(Raw_Passengers!G1321)))*(ROW(Lookup_Status!$A$2:$A$13)-1))))</f>
        <v>Cancelled</v>
      </c>
      <c r="I1321" s="7">
        <f>IF(OR(G1321="",G1321="Cancelled",G1321="Mixed"),1,0)</f>
        <v>0</v>
      </c>
      <c r="J1321" s="7">
        <f>IF(OR(H1321="",H1321="Mixed"),1,0)</f>
        <v>0</v>
      </c>
      <c r="K1321" s="7">
        <f>IF(AND(C1321=0,D1321=0),IF(OR(AND(I1321=0,NOT(EXACT(Raw_Passengers!F1321,G1321))),AND(J1321=0,NOT(EXACT(Raw_Passengers!G1321,H1321)))),1,0),0)</f>
        <v>0</v>
      </c>
      <c r="L1321" s="7">
        <f>IF(AND(C1321=0,D1321=0,I1321=1),1,0)</f>
        <v>0</v>
      </c>
      <c r="M1321" s="7">
        <f>IF(AND(C1321=0,D1321=0,J1321=1),1,0)</f>
        <v>0</v>
      </c>
    </row>
    <row r="1322" spans="1:13">
      <c r="A1322" s="7">
        <f>Raw_Passengers!A1322</f>
        <v>406648</v>
      </c>
      <c r="B1322" s="7">
        <f>Raw_Passengers!B1322</f>
        <v>1201915</v>
      </c>
      <c r="C1322" s="7">
        <f>IF(COUNTIF(Raw_Passengers!$A$2:A1322,Raw_Passengers!A1322)&gt;1,1,0)</f>
        <v>0</v>
      </c>
      <c r="D1322" s="7">
        <f>IF(COUNTIF(Raw_Bookings!$A$2:$A$648,Raw_Passengers!B1322)=0,1,0)</f>
        <v>0</v>
      </c>
      <c r="E1322" s="7">
        <f>IF(OR(C1322=1,D1322=1),0,IF(NOT(ISNUMBER(Raw_Passengers!E1322)),1,IF(Raw_Passengers!E1322&lt;=0,1,0)))</f>
        <v>0</v>
      </c>
      <c r="F1322" s="7">
        <f>IF(AND(C1322=0,D1322=0,TRIM(Raw_Passengers!D1322&amp;"")=""),1,0)</f>
        <v>0</v>
      </c>
      <c r="G1322" s="7" t="str">
        <f>IF(SUMPRODUCT(--(Lookup_Status!$A$2:$A$13=LOWER(TRIM(Raw_Passengers!F1322))))=0,"",INDEX(Lookup_Status!$B$2:$B$13,SUMPRODUCT((Lookup_Status!$A$2:$A$13=LOWER(TRIM(Raw_Passengers!F1322)))*(ROW(Lookup_Status!$A$2:$A$13)-1))))</f>
        <v>RAC</v>
      </c>
      <c r="H1322" s="7" t="str">
        <f>IF(SUMPRODUCT(--(Lookup_Status!$A$2:$A$13=LOWER(TRIM(Raw_Passengers!G1322))))=0,"",INDEX(Lookup_Status!$B$2:$B$13,SUMPRODUCT((Lookup_Status!$A$2:$A$13=LOWER(TRIM(Raw_Passengers!G1322)))*(ROW(Lookup_Status!$A$2:$A$13)-1))))</f>
        <v>Confirmed</v>
      </c>
      <c r="I1322" s="7">
        <f>IF(OR(G1322="",G1322="Cancelled",G1322="Mixed"),1,0)</f>
        <v>0</v>
      </c>
      <c r="J1322" s="7">
        <f>IF(OR(H1322="",H1322="Mixed"),1,0)</f>
        <v>0</v>
      </c>
      <c r="K1322" s="7">
        <f>IF(AND(C1322=0,D1322=0),IF(OR(AND(I1322=0,NOT(EXACT(Raw_Passengers!F1322,G1322))),AND(J1322=0,NOT(EXACT(Raw_Passengers!G1322,H1322)))),1,0),0)</f>
        <v>0</v>
      </c>
      <c r="L1322" s="7">
        <f>IF(AND(C1322=0,D1322=0,I1322=1),1,0)</f>
        <v>0</v>
      </c>
      <c r="M1322" s="7">
        <f>IF(AND(C1322=0,D1322=0,J1322=1),1,0)</f>
        <v>0</v>
      </c>
    </row>
    <row r="1323" spans="1:13">
      <c r="A1323" s="7">
        <f>Raw_Passengers!A1323</f>
        <v>358893</v>
      </c>
      <c r="B1323" s="7">
        <f>Raw_Passengers!B1323</f>
        <v>1177952</v>
      </c>
      <c r="C1323" s="7">
        <f>IF(COUNTIF(Raw_Passengers!$A$2:A1323,Raw_Passengers!A1323)&gt;1,1,0)</f>
        <v>1</v>
      </c>
      <c r="D1323" s="7">
        <f>IF(COUNTIF(Raw_Bookings!$A$2:$A$648,Raw_Passengers!B1323)=0,1,0)</f>
        <v>0</v>
      </c>
      <c r="E1323" s="7">
        <f>IF(OR(C1323=1,D1323=1),0,IF(NOT(ISNUMBER(Raw_Passengers!E1323)),1,IF(Raw_Passengers!E1323&lt;=0,1,0)))</f>
        <v>0</v>
      </c>
      <c r="F1323" s="7">
        <f>IF(AND(C1323=0,D1323=0,TRIM(Raw_Passengers!D1323&amp;"")=""),1,0)</f>
        <v>0</v>
      </c>
      <c r="G1323" s="7" t="str">
        <f>IF(SUMPRODUCT(--(Lookup_Status!$A$2:$A$13=LOWER(TRIM(Raw_Passengers!F1323))))=0,"",INDEX(Lookup_Status!$B$2:$B$13,SUMPRODUCT((Lookup_Status!$A$2:$A$13=LOWER(TRIM(Raw_Passengers!F1323)))*(ROW(Lookup_Status!$A$2:$A$13)-1))))</f>
        <v>Confirmed</v>
      </c>
      <c r="H1323" s="7" t="str">
        <f>IF(SUMPRODUCT(--(Lookup_Status!$A$2:$A$13=LOWER(TRIM(Raw_Passengers!G1323))))=0,"",INDEX(Lookup_Status!$B$2:$B$13,SUMPRODUCT((Lookup_Status!$A$2:$A$13=LOWER(TRIM(Raw_Passengers!G1323)))*(ROW(Lookup_Status!$A$2:$A$13)-1))))</f>
        <v>Confirmed</v>
      </c>
      <c r="I1323" s="7">
        <f>IF(OR(G1323="",G1323="Cancelled",G1323="Mixed"),1,0)</f>
        <v>0</v>
      </c>
      <c r="J1323" s="7">
        <f>IF(OR(H1323="",H1323="Mixed"),1,0)</f>
        <v>0</v>
      </c>
      <c r="K1323" s="7">
        <f>IF(AND(C1323=0,D1323=0),IF(OR(AND(I1323=0,NOT(EXACT(Raw_Passengers!F1323,G1323))),AND(J1323=0,NOT(EXACT(Raw_Passengers!G1323,H1323)))),1,0),0)</f>
        <v>0</v>
      </c>
      <c r="L1323" s="7">
        <f>IF(AND(C1323=0,D1323=0,I1323=1),1,0)</f>
        <v>0</v>
      </c>
      <c r="M1323" s="7">
        <f>IF(AND(C1323=0,D1323=0,J1323=1),1,0)</f>
        <v>0</v>
      </c>
    </row>
    <row r="1324" spans="1:13">
      <c r="A1324" s="7">
        <f>Raw_Passengers!A1324</f>
        <v>289433</v>
      </c>
      <c r="B1324" s="7">
        <f>Raw_Passengers!B1324</f>
        <v>1143359</v>
      </c>
      <c r="C1324" s="7">
        <f>IF(COUNTIF(Raw_Passengers!$A$2:A1324,Raw_Passengers!A1324)&gt;1,1,0)</f>
        <v>1</v>
      </c>
      <c r="D1324" s="7">
        <f>IF(COUNTIF(Raw_Bookings!$A$2:$A$648,Raw_Passengers!B1324)=0,1,0)</f>
        <v>0</v>
      </c>
      <c r="E1324" s="7">
        <f>IF(OR(C1324=1,D1324=1),0,IF(NOT(ISNUMBER(Raw_Passengers!E1324)),1,IF(Raw_Passengers!E1324&lt;=0,1,0)))</f>
        <v>0</v>
      </c>
      <c r="F1324" s="7">
        <f>IF(AND(C1324=0,D1324=0,TRIM(Raw_Passengers!D1324&amp;"")=""),1,0)</f>
        <v>0</v>
      </c>
      <c r="G1324" s="7" t="str">
        <f>IF(SUMPRODUCT(--(Lookup_Status!$A$2:$A$13=LOWER(TRIM(Raw_Passengers!F1324))))=0,"",INDEX(Lookup_Status!$B$2:$B$13,SUMPRODUCT((Lookup_Status!$A$2:$A$13=LOWER(TRIM(Raw_Passengers!F1324)))*(ROW(Lookup_Status!$A$2:$A$13)-1))))</f>
        <v>Confirmed</v>
      </c>
      <c r="H1324" s="7" t="str">
        <f>IF(SUMPRODUCT(--(Lookup_Status!$A$2:$A$13=LOWER(TRIM(Raw_Passengers!G1324))))=0,"",INDEX(Lookup_Status!$B$2:$B$13,SUMPRODUCT((Lookup_Status!$A$2:$A$13=LOWER(TRIM(Raw_Passengers!G1324)))*(ROW(Lookup_Status!$A$2:$A$13)-1))))</f>
        <v>Confirmed</v>
      </c>
      <c r="I1324" s="7">
        <f>IF(OR(G1324="",G1324="Cancelled",G1324="Mixed"),1,0)</f>
        <v>0</v>
      </c>
      <c r="J1324" s="7">
        <f>IF(OR(H1324="",H1324="Mixed"),1,0)</f>
        <v>0</v>
      </c>
      <c r="K1324" s="7">
        <f>IF(AND(C1324=0,D1324=0),IF(OR(AND(I1324=0,NOT(EXACT(Raw_Passengers!F1324,G1324))),AND(J1324=0,NOT(EXACT(Raw_Passengers!G1324,H1324)))),1,0),0)</f>
        <v>0</v>
      </c>
      <c r="L1324" s="7">
        <f>IF(AND(C1324=0,D1324=0,I1324=1),1,0)</f>
        <v>0</v>
      </c>
      <c r="M1324" s="7">
        <f>IF(AND(C1324=0,D1324=0,J1324=1),1,0)</f>
        <v>0</v>
      </c>
    </row>
    <row r="1325" spans="1:13">
      <c r="A1325" s="7">
        <f>Raw_Passengers!A1325</f>
        <v>294660</v>
      </c>
      <c r="B1325" s="7">
        <f>Raw_Passengers!B1325</f>
        <v>1145945</v>
      </c>
      <c r="C1325" s="7">
        <f>IF(COUNTIF(Raw_Passengers!$A$2:A1325,Raw_Passengers!A1325)&gt;1,1,0)</f>
        <v>1</v>
      </c>
      <c r="D1325" s="7">
        <f>IF(COUNTIF(Raw_Bookings!$A$2:$A$648,Raw_Passengers!B1325)=0,1,0)</f>
        <v>0</v>
      </c>
      <c r="E1325" s="7">
        <f>IF(OR(C1325=1,D1325=1),0,IF(NOT(ISNUMBER(Raw_Passengers!E1325)),1,IF(Raw_Passengers!E1325&lt;=0,1,0)))</f>
        <v>0</v>
      </c>
      <c r="F1325" s="7">
        <f>IF(AND(C1325=0,D1325=0,TRIM(Raw_Passengers!D1325&amp;"")=""),1,0)</f>
        <v>0</v>
      </c>
      <c r="G1325" s="7" t="str">
        <f>IF(SUMPRODUCT(--(Lookup_Status!$A$2:$A$13=LOWER(TRIM(Raw_Passengers!F1325))))=0,"",INDEX(Lookup_Status!$B$2:$B$13,SUMPRODUCT((Lookup_Status!$A$2:$A$13=LOWER(TRIM(Raw_Passengers!F1325)))*(ROW(Lookup_Status!$A$2:$A$13)-1))))</f>
        <v>Confirmed</v>
      </c>
      <c r="H1325" s="7" t="str">
        <f>IF(SUMPRODUCT(--(Lookup_Status!$A$2:$A$13=LOWER(TRIM(Raw_Passengers!G1325))))=0,"",INDEX(Lookup_Status!$B$2:$B$13,SUMPRODUCT((Lookup_Status!$A$2:$A$13=LOWER(TRIM(Raw_Passengers!G1325)))*(ROW(Lookup_Status!$A$2:$A$13)-1))))</f>
        <v>Confirmed</v>
      </c>
      <c r="I1325" s="7">
        <f>IF(OR(G1325="",G1325="Cancelled",G1325="Mixed"),1,0)</f>
        <v>0</v>
      </c>
      <c r="J1325" s="7">
        <f>IF(OR(H1325="",H1325="Mixed"),1,0)</f>
        <v>0</v>
      </c>
      <c r="K1325" s="7">
        <f>IF(AND(C1325=0,D1325=0),IF(OR(AND(I1325=0,NOT(EXACT(Raw_Passengers!F1325,G1325))),AND(J1325=0,NOT(EXACT(Raw_Passengers!G1325,H1325)))),1,0),0)</f>
        <v>0</v>
      </c>
      <c r="L1325" s="7">
        <f>IF(AND(C1325=0,D1325=0,I1325=1),1,0)</f>
        <v>0</v>
      </c>
      <c r="M1325" s="7">
        <f>IF(AND(C1325=0,D1325=0,J1325=1),1,0)</f>
        <v>0</v>
      </c>
    </row>
    <row r="1326" spans="1:13">
      <c r="A1326" s="7">
        <f>Raw_Passengers!A1326</f>
        <v>340417</v>
      </c>
      <c r="B1326" s="7">
        <f>Raw_Passengers!B1326</f>
        <v>1168703</v>
      </c>
      <c r="C1326" s="7">
        <f>IF(COUNTIF(Raw_Passengers!$A$2:A1326,Raw_Passengers!A1326)&gt;1,1,0)</f>
        <v>1</v>
      </c>
      <c r="D1326" s="7">
        <f>IF(COUNTIF(Raw_Bookings!$A$2:$A$648,Raw_Passengers!B1326)=0,1,0)</f>
        <v>0</v>
      </c>
      <c r="E1326" s="7">
        <f>IF(OR(C1326=1,D1326=1),0,IF(NOT(ISNUMBER(Raw_Passengers!E1326)),1,IF(Raw_Passengers!E1326&lt;=0,1,0)))</f>
        <v>0</v>
      </c>
      <c r="F1326" s="7">
        <f>IF(AND(C1326=0,D1326=0,TRIM(Raw_Passengers!D1326&amp;"")=""),1,0)</f>
        <v>0</v>
      </c>
      <c r="G1326" s="7" t="str">
        <f>IF(SUMPRODUCT(--(Lookup_Status!$A$2:$A$13=LOWER(TRIM(Raw_Passengers!F1326))))=0,"",INDEX(Lookup_Status!$B$2:$B$13,SUMPRODUCT((Lookup_Status!$A$2:$A$13=LOWER(TRIM(Raw_Passengers!F1326)))*(ROW(Lookup_Status!$A$2:$A$13)-1))))</f>
        <v>Waitlisted</v>
      </c>
      <c r="H1326" s="7" t="str">
        <f>IF(SUMPRODUCT(--(Lookup_Status!$A$2:$A$13=LOWER(TRIM(Raw_Passengers!G1326))))=0,"",INDEX(Lookup_Status!$B$2:$B$13,SUMPRODUCT((Lookup_Status!$A$2:$A$13=LOWER(TRIM(Raw_Passengers!G1326)))*(ROW(Lookup_Status!$A$2:$A$13)-1))))</f>
        <v>Waitlisted</v>
      </c>
      <c r="I1326" s="7">
        <f>IF(OR(G1326="",G1326="Cancelled",G1326="Mixed"),1,0)</f>
        <v>0</v>
      </c>
      <c r="J1326" s="7">
        <f>IF(OR(H1326="",H1326="Mixed"),1,0)</f>
        <v>0</v>
      </c>
      <c r="K1326" s="7">
        <f>IF(AND(C1326=0,D1326=0),IF(OR(AND(I1326=0,NOT(EXACT(Raw_Passengers!F1326,G1326))),AND(J1326=0,NOT(EXACT(Raw_Passengers!G1326,H1326)))),1,0),0)</f>
        <v>0</v>
      </c>
      <c r="L1326" s="7">
        <f>IF(AND(C1326=0,D1326=0,I1326=1),1,0)</f>
        <v>0</v>
      </c>
      <c r="M1326" s="7">
        <f>IF(AND(C1326=0,D1326=0,J1326=1),1,0)</f>
        <v>0</v>
      </c>
    </row>
    <row r="1327" spans="1:13">
      <c r="A1327" s="7">
        <f>Raw_Passengers!A1327</f>
        <v>318908</v>
      </c>
      <c r="B1327" s="7">
        <f>Raw_Passengers!B1327</f>
        <v>1158099</v>
      </c>
      <c r="C1327" s="7">
        <f>IF(COUNTIF(Raw_Passengers!$A$2:A1327,Raw_Passengers!A1327)&gt;1,1,0)</f>
        <v>1</v>
      </c>
      <c r="D1327" s="7">
        <f>IF(COUNTIF(Raw_Bookings!$A$2:$A$648,Raw_Passengers!B1327)=0,1,0)</f>
        <v>0</v>
      </c>
      <c r="E1327" s="7">
        <f>IF(OR(C1327=1,D1327=1),0,IF(NOT(ISNUMBER(Raw_Passengers!E1327)),1,IF(Raw_Passengers!E1327&lt;=0,1,0)))</f>
        <v>0</v>
      </c>
      <c r="F1327" s="7">
        <f>IF(AND(C1327=0,D1327=0,TRIM(Raw_Passengers!D1327&amp;"")=""),1,0)</f>
        <v>0</v>
      </c>
      <c r="G1327" s="7" t="str">
        <f>IF(SUMPRODUCT(--(Lookup_Status!$A$2:$A$13=LOWER(TRIM(Raw_Passengers!F1327))))=0,"",INDEX(Lookup_Status!$B$2:$B$13,SUMPRODUCT((Lookup_Status!$A$2:$A$13=LOWER(TRIM(Raw_Passengers!F1327)))*(ROW(Lookup_Status!$A$2:$A$13)-1))))</f>
        <v>Confirmed</v>
      </c>
      <c r="H1327" s="7" t="str">
        <f>IF(SUMPRODUCT(--(Lookup_Status!$A$2:$A$13=LOWER(TRIM(Raw_Passengers!G1327))))=0,"",INDEX(Lookup_Status!$B$2:$B$13,SUMPRODUCT((Lookup_Status!$A$2:$A$13=LOWER(TRIM(Raw_Passengers!G1327)))*(ROW(Lookup_Status!$A$2:$A$13)-1))))</f>
        <v>Confirmed</v>
      </c>
      <c r="I1327" s="7">
        <f>IF(OR(G1327="",G1327="Cancelled",G1327="Mixed"),1,0)</f>
        <v>0</v>
      </c>
      <c r="J1327" s="7">
        <f>IF(OR(H1327="",H1327="Mixed"),1,0)</f>
        <v>0</v>
      </c>
      <c r="K1327" s="7">
        <f>IF(AND(C1327=0,D1327=0),IF(OR(AND(I1327=0,NOT(EXACT(Raw_Passengers!F1327,G1327))),AND(J1327=0,NOT(EXACT(Raw_Passengers!G1327,H1327)))),1,0),0)</f>
        <v>0</v>
      </c>
      <c r="L1327" s="7">
        <f>IF(AND(C1327=0,D1327=0,I1327=1),1,0)</f>
        <v>0</v>
      </c>
      <c r="M1327" s="7">
        <f>IF(AND(C1327=0,D1327=0,J1327=1),1,0)</f>
        <v>0</v>
      </c>
    </row>
    <row r="1328" spans="1:13">
      <c r="A1328" s="7">
        <f>Raw_Passengers!A1328</f>
        <v>382221</v>
      </c>
      <c r="B1328" s="7">
        <f>Raw_Passengers!B1328</f>
        <v>1189659</v>
      </c>
      <c r="C1328" s="7">
        <f>IF(COUNTIF(Raw_Passengers!$A$2:A1328,Raw_Passengers!A1328)&gt;1,1,0)</f>
        <v>1</v>
      </c>
      <c r="D1328" s="7">
        <f>IF(COUNTIF(Raw_Bookings!$A$2:$A$648,Raw_Passengers!B1328)=0,1,0)</f>
        <v>0</v>
      </c>
      <c r="E1328" s="7">
        <f>IF(OR(C1328=1,D1328=1),0,IF(NOT(ISNUMBER(Raw_Passengers!E1328)),1,IF(Raw_Passengers!E1328&lt;=0,1,0)))</f>
        <v>0</v>
      </c>
      <c r="F1328" s="7">
        <f>IF(AND(C1328=0,D1328=0,TRIM(Raw_Passengers!D1328&amp;"")=""),1,0)</f>
        <v>0</v>
      </c>
      <c r="G1328" s="7" t="str">
        <f>IF(SUMPRODUCT(--(Lookup_Status!$A$2:$A$13=LOWER(TRIM(Raw_Passengers!F1328))))=0,"",INDEX(Lookup_Status!$B$2:$B$13,SUMPRODUCT((Lookup_Status!$A$2:$A$13=LOWER(TRIM(Raw_Passengers!F1328)))*(ROW(Lookup_Status!$A$2:$A$13)-1))))</f>
        <v>Confirmed</v>
      </c>
      <c r="H1328" s="7" t="str">
        <f>IF(SUMPRODUCT(--(Lookup_Status!$A$2:$A$13=LOWER(TRIM(Raw_Passengers!G1328))))=0,"",INDEX(Lookup_Status!$B$2:$B$13,SUMPRODUCT((Lookup_Status!$A$2:$A$13=LOWER(TRIM(Raw_Passengers!G1328)))*(ROW(Lookup_Status!$A$2:$A$13)-1))))</f>
        <v>Confirmed</v>
      </c>
      <c r="I1328" s="7">
        <f>IF(OR(G1328="",G1328="Cancelled",G1328="Mixed"),1,0)</f>
        <v>0</v>
      </c>
      <c r="J1328" s="7">
        <f>IF(OR(H1328="",H1328="Mixed"),1,0)</f>
        <v>0</v>
      </c>
      <c r="K1328" s="7">
        <f>IF(AND(C1328=0,D1328=0),IF(OR(AND(I1328=0,NOT(EXACT(Raw_Passengers!F1328,G1328))),AND(J1328=0,NOT(EXACT(Raw_Passengers!G1328,H1328)))),1,0),0)</f>
        <v>0</v>
      </c>
      <c r="L1328" s="7">
        <f>IF(AND(C1328=0,D1328=0,I1328=1),1,0)</f>
        <v>0</v>
      </c>
      <c r="M1328" s="7">
        <f>IF(AND(C1328=0,D1328=0,J1328=1),1,0)</f>
        <v>0</v>
      </c>
    </row>
    <row r="1329" spans="1:13">
      <c r="A1329" s="7">
        <f>Raw_Passengers!A1329</f>
        <v>287742</v>
      </c>
      <c r="B1329" s="7">
        <f>Raw_Passengers!B1329</f>
        <v>1142545</v>
      </c>
      <c r="C1329" s="7">
        <f>IF(COUNTIF(Raw_Passengers!$A$2:A1329,Raw_Passengers!A1329)&gt;1,1,0)</f>
        <v>1</v>
      </c>
      <c r="D1329" s="7">
        <f>IF(COUNTIF(Raw_Bookings!$A$2:$A$648,Raw_Passengers!B1329)=0,1,0)</f>
        <v>0</v>
      </c>
      <c r="E1329" s="7">
        <f>IF(OR(C1329=1,D1329=1),0,IF(NOT(ISNUMBER(Raw_Passengers!E1329)),1,IF(Raw_Passengers!E1329&lt;=0,1,0)))</f>
        <v>0</v>
      </c>
      <c r="F1329" s="7">
        <f>IF(AND(C1329=0,D1329=0,TRIM(Raw_Passengers!D1329&amp;"")=""),1,0)</f>
        <v>0</v>
      </c>
      <c r="G1329" s="7" t="str">
        <f>IF(SUMPRODUCT(--(Lookup_Status!$A$2:$A$13=LOWER(TRIM(Raw_Passengers!F1329))))=0,"",INDEX(Lookup_Status!$B$2:$B$13,SUMPRODUCT((Lookup_Status!$A$2:$A$13=LOWER(TRIM(Raw_Passengers!F1329)))*(ROW(Lookup_Status!$A$2:$A$13)-1))))</f>
        <v>Confirmed</v>
      </c>
      <c r="H1329" s="7" t="str">
        <f>IF(SUMPRODUCT(--(Lookup_Status!$A$2:$A$13=LOWER(TRIM(Raw_Passengers!G1329))))=0,"",INDEX(Lookup_Status!$B$2:$B$13,SUMPRODUCT((Lookup_Status!$A$2:$A$13=LOWER(TRIM(Raw_Passengers!G1329)))*(ROW(Lookup_Status!$A$2:$A$13)-1))))</f>
        <v>Confirmed</v>
      </c>
      <c r="I1329" s="7">
        <f>IF(OR(G1329="",G1329="Cancelled",G1329="Mixed"),1,0)</f>
        <v>0</v>
      </c>
      <c r="J1329" s="7">
        <f>IF(OR(H1329="",H1329="Mixed"),1,0)</f>
        <v>0</v>
      </c>
      <c r="K1329" s="7">
        <f>IF(AND(C1329=0,D1329=0),IF(OR(AND(I1329=0,NOT(EXACT(Raw_Passengers!F1329,G1329))),AND(J1329=0,NOT(EXACT(Raw_Passengers!G1329,H1329)))),1,0),0)</f>
        <v>0</v>
      </c>
      <c r="L1329" s="7">
        <f>IF(AND(C1329=0,D1329=0,I1329=1),1,0)</f>
        <v>0</v>
      </c>
      <c r="M1329" s="7">
        <f>IF(AND(C1329=0,D1329=0,J1329=1),1,0)</f>
        <v>0</v>
      </c>
    </row>
    <row r="1330" spans="1:13">
      <c r="A1330" s="7">
        <f>Raw_Passengers!A1330</f>
        <v>86069</v>
      </c>
      <c r="B1330" s="7">
        <f>Raw_Passengers!B1330</f>
        <v>1042637</v>
      </c>
      <c r="C1330" s="7">
        <f>IF(COUNTIF(Raw_Passengers!$A$2:A1330,Raw_Passengers!A1330)&gt;1,1,0)</f>
        <v>1</v>
      </c>
      <c r="D1330" s="7">
        <f>IF(COUNTIF(Raw_Bookings!$A$2:$A$648,Raw_Passengers!B1330)=0,1,0)</f>
        <v>0</v>
      </c>
      <c r="E1330" s="7">
        <f>IF(OR(C1330=1,D1330=1),0,IF(NOT(ISNUMBER(Raw_Passengers!E1330)),1,IF(Raw_Passengers!E1330&lt;=0,1,0)))</f>
        <v>0</v>
      </c>
      <c r="F1330" s="7">
        <f>IF(AND(C1330=0,D1330=0,TRIM(Raw_Passengers!D1330&amp;"")=""),1,0)</f>
        <v>0</v>
      </c>
      <c r="G1330" s="7" t="str">
        <f>IF(SUMPRODUCT(--(Lookup_Status!$A$2:$A$13=LOWER(TRIM(Raw_Passengers!F1330))))=0,"",INDEX(Lookup_Status!$B$2:$B$13,SUMPRODUCT((Lookup_Status!$A$2:$A$13=LOWER(TRIM(Raw_Passengers!F1330)))*(ROW(Lookup_Status!$A$2:$A$13)-1))))</f>
        <v>Confirmed</v>
      </c>
      <c r="H1330" s="7" t="str">
        <f>IF(SUMPRODUCT(--(Lookup_Status!$A$2:$A$13=LOWER(TRIM(Raw_Passengers!G1330))))=0,"",INDEX(Lookup_Status!$B$2:$B$13,SUMPRODUCT((Lookup_Status!$A$2:$A$13=LOWER(TRIM(Raw_Passengers!G1330)))*(ROW(Lookup_Status!$A$2:$A$13)-1))))</f>
        <v>Confirmed</v>
      </c>
      <c r="I1330" s="7">
        <f>IF(OR(G1330="",G1330="Cancelled",G1330="Mixed"),1,0)</f>
        <v>0</v>
      </c>
      <c r="J1330" s="7">
        <f>IF(OR(H1330="",H1330="Mixed"),1,0)</f>
        <v>0</v>
      </c>
      <c r="K1330" s="7">
        <f>IF(AND(C1330=0,D1330=0),IF(OR(AND(I1330=0,NOT(EXACT(Raw_Passengers!F1330,G1330))),AND(J1330=0,NOT(EXACT(Raw_Passengers!G1330,H1330)))),1,0),0)</f>
        <v>0</v>
      </c>
      <c r="L1330" s="7">
        <f>IF(AND(C1330=0,D1330=0,I1330=1),1,0)</f>
        <v>0</v>
      </c>
      <c r="M1330" s="7">
        <f>IF(AND(C1330=0,D1330=0,J1330=1),1,0)</f>
        <v>0</v>
      </c>
    </row>
    <row r="1331" spans="1:13">
      <c r="A1331" s="7">
        <f>Raw_Passengers!A1331</f>
        <v>406702</v>
      </c>
      <c r="B1331" s="7">
        <f>Raw_Passengers!B1331</f>
        <v>9500020</v>
      </c>
      <c r="C1331" s="7">
        <f>IF(COUNTIF(Raw_Passengers!$A$2:A1331,Raw_Passengers!A1331)&gt;1,1,0)</f>
        <v>0</v>
      </c>
      <c r="D1331" s="7">
        <f>IF(COUNTIF(Raw_Bookings!$A$2:$A$648,Raw_Passengers!B1331)=0,1,0)</f>
        <v>1</v>
      </c>
      <c r="E1331" s="7">
        <f>IF(OR(C1331=1,D1331=1),0,IF(NOT(ISNUMBER(Raw_Passengers!E1331)),1,IF(Raw_Passengers!E1331&lt;=0,1,0)))</f>
        <v>0</v>
      </c>
      <c r="F1331" s="7">
        <f>IF(AND(C1331=0,D1331=0,TRIM(Raw_Passengers!D1331&amp;"")=""),1,0)</f>
        <v>0</v>
      </c>
      <c r="G1331" s="7" t="str">
        <f>IF(SUMPRODUCT(--(Lookup_Status!$A$2:$A$13=LOWER(TRIM(Raw_Passengers!F1331))))=0,"",INDEX(Lookup_Status!$B$2:$B$13,SUMPRODUCT((Lookup_Status!$A$2:$A$13=LOWER(TRIM(Raw_Passengers!F1331)))*(ROW(Lookup_Status!$A$2:$A$13)-1))))</f>
        <v>Confirmed</v>
      </c>
      <c r="H1331" s="7" t="str">
        <f>IF(SUMPRODUCT(--(Lookup_Status!$A$2:$A$13=LOWER(TRIM(Raw_Passengers!G1331))))=0,"",INDEX(Lookup_Status!$B$2:$B$13,SUMPRODUCT((Lookup_Status!$A$2:$A$13=LOWER(TRIM(Raw_Passengers!G1331)))*(ROW(Lookup_Status!$A$2:$A$13)-1))))</f>
        <v>Confirmed</v>
      </c>
      <c r="I1331" s="7">
        <f>IF(OR(G1331="",G1331="Cancelled",G1331="Mixed"),1,0)</f>
        <v>0</v>
      </c>
      <c r="J1331" s="7">
        <f>IF(OR(H1331="",H1331="Mixed"),1,0)</f>
        <v>0</v>
      </c>
      <c r="K1331" s="7">
        <f>IF(AND(C1331=0,D1331=0),IF(OR(AND(I1331=0,NOT(EXACT(Raw_Passengers!F1331,G1331))),AND(J1331=0,NOT(EXACT(Raw_Passengers!G1331,H1331)))),1,0),0)</f>
        <v>0</v>
      </c>
      <c r="L1331" s="7">
        <f>IF(AND(C1331=0,D1331=0,I1331=1),1,0)</f>
        <v>0</v>
      </c>
      <c r="M1331" s="7">
        <f>IF(AND(C1331=0,D1331=0,J1331=1),1,0)</f>
        <v>0</v>
      </c>
    </row>
    <row r="1332" spans="1:13">
      <c r="A1332" s="7">
        <f>Raw_Passengers!A1332</f>
        <v>406718</v>
      </c>
      <c r="B1332" s="7">
        <f>Raw_Passengers!B1332</f>
        <v>9500036</v>
      </c>
      <c r="C1332" s="7">
        <f>IF(COUNTIF(Raw_Passengers!$A$2:A1332,Raw_Passengers!A1332)&gt;1,1,0)</f>
        <v>0</v>
      </c>
      <c r="D1332" s="7">
        <f>IF(COUNTIF(Raw_Bookings!$A$2:$A$648,Raw_Passengers!B1332)=0,1,0)</f>
        <v>1</v>
      </c>
      <c r="E1332" s="7">
        <f>IF(OR(C1332=1,D1332=1),0,IF(NOT(ISNUMBER(Raw_Passengers!E1332)),1,IF(Raw_Passengers!E1332&lt;=0,1,0)))</f>
        <v>0</v>
      </c>
      <c r="F1332" s="7">
        <f>IF(AND(C1332=0,D1332=0,TRIM(Raw_Passengers!D1332&amp;"")=""),1,0)</f>
        <v>0</v>
      </c>
      <c r="G1332" s="7" t="str">
        <f>IF(SUMPRODUCT(--(Lookup_Status!$A$2:$A$13=LOWER(TRIM(Raw_Passengers!F1332))))=0,"",INDEX(Lookup_Status!$B$2:$B$13,SUMPRODUCT((Lookup_Status!$A$2:$A$13=LOWER(TRIM(Raw_Passengers!F1332)))*(ROW(Lookup_Status!$A$2:$A$13)-1))))</f>
        <v>Confirmed</v>
      </c>
      <c r="H1332" s="7" t="str">
        <f>IF(SUMPRODUCT(--(Lookup_Status!$A$2:$A$13=LOWER(TRIM(Raw_Passengers!G1332))))=0,"",INDEX(Lookup_Status!$B$2:$B$13,SUMPRODUCT((Lookup_Status!$A$2:$A$13=LOWER(TRIM(Raw_Passengers!G1332)))*(ROW(Lookup_Status!$A$2:$A$13)-1))))</f>
        <v>Confirmed</v>
      </c>
      <c r="I1332" s="7">
        <f>IF(OR(G1332="",G1332="Cancelled",G1332="Mixed"),1,0)</f>
        <v>0</v>
      </c>
      <c r="J1332" s="7">
        <f>IF(OR(H1332="",H1332="Mixed"),1,0)</f>
        <v>0</v>
      </c>
      <c r="K1332" s="7">
        <f>IF(AND(C1332=0,D1332=0),IF(OR(AND(I1332=0,NOT(EXACT(Raw_Passengers!F1332,G1332))),AND(J1332=0,NOT(EXACT(Raw_Passengers!G1332,H1332)))),1,0),0)</f>
        <v>0</v>
      </c>
      <c r="L1332" s="7">
        <f>IF(AND(C1332=0,D1332=0,I1332=1),1,0)</f>
        <v>0</v>
      </c>
      <c r="M1332" s="7">
        <f>IF(AND(C1332=0,D1332=0,J1332=1),1,0)</f>
        <v>0</v>
      </c>
    </row>
    <row r="1333" spans="1:13">
      <c r="A1333" s="7">
        <f>Raw_Passengers!A1333</f>
        <v>406725</v>
      </c>
      <c r="B1333" s="7">
        <f>Raw_Passengers!B1333</f>
        <v>9500043</v>
      </c>
      <c r="C1333" s="7">
        <f>IF(COUNTIF(Raw_Passengers!$A$2:A1333,Raw_Passengers!A1333)&gt;1,1,0)</f>
        <v>0</v>
      </c>
      <c r="D1333" s="7">
        <f>IF(COUNTIF(Raw_Bookings!$A$2:$A$648,Raw_Passengers!B1333)=0,1,0)</f>
        <v>1</v>
      </c>
      <c r="E1333" s="7">
        <f>IF(OR(C1333=1,D1333=1),0,IF(NOT(ISNUMBER(Raw_Passengers!E1333)),1,IF(Raw_Passengers!E1333&lt;=0,1,0)))</f>
        <v>0</v>
      </c>
      <c r="F1333" s="7">
        <f>IF(AND(C1333=0,D1333=0,TRIM(Raw_Passengers!D1333&amp;"")=""),1,0)</f>
        <v>0</v>
      </c>
      <c r="G1333" s="7" t="str">
        <f>IF(SUMPRODUCT(--(Lookup_Status!$A$2:$A$13=LOWER(TRIM(Raw_Passengers!F1333))))=0,"",INDEX(Lookup_Status!$B$2:$B$13,SUMPRODUCT((Lookup_Status!$A$2:$A$13=LOWER(TRIM(Raw_Passengers!F1333)))*(ROW(Lookup_Status!$A$2:$A$13)-1))))</f>
        <v>Confirmed</v>
      </c>
      <c r="H1333" s="7" t="str">
        <f>IF(SUMPRODUCT(--(Lookup_Status!$A$2:$A$13=LOWER(TRIM(Raw_Passengers!G1333))))=0,"",INDEX(Lookup_Status!$B$2:$B$13,SUMPRODUCT((Lookup_Status!$A$2:$A$13=LOWER(TRIM(Raw_Passengers!G1333)))*(ROW(Lookup_Status!$A$2:$A$13)-1))))</f>
        <v>Confirmed</v>
      </c>
      <c r="I1333" s="7">
        <f>IF(OR(G1333="",G1333="Cancelled",G1333="Mixed"),1,0)</f>
        <v>0</v>
      </c>
      <c r="J1333" s="7">
        <f>IF(OR(H1333="",H1333="Mixed"),1,0)</f>
        <v>0</v>
      </c>
      <c r="K1333" s="7">
        <f>IF(AND(C1333=0,D1333=0),IF(OR(AND(I1333=0,NOT(EXACT(Raw_Passengers!F1333,G1333))),AND(J1333=0,NOT(EXACT(Raw_Passengers!G1333,H1333)))),1,0),0)</f>
        <v>0</v>
      </c>
      <c r="L1333" s="7">
        <f>IF(AND(C1333=0,D1333=0,I1333=1),1,0)</f>
        <v>0</v>
      </c>
      <c r="M1333" s="7">
        <f>IF(AND(C1333=0,D1333=0,J1333=1),1,0)</f>
        <v>0</v>
      </c>
    </row>
    <row r="1334" spans="1:13">
      <c r="A1334" s="7">
        <f>Raw_Passengers!A1334</f>
        <v>406726</v>
      </c>
      <c r="B1334" s="7">
        <f>Raw_Passengers!B1334</f>
        <v>9500044</v>
      </c>
      <c r="C1334" s="7">
        <f>IF(COUNTIF(Raw_Passengers!$A$2:A1334,Raw_Passengers!A1334)&gt;1,1,0)</f>
        <v>0</v>
      </c>
      <c r="D1334" s="7">
        <f>IF(COUNTIF(Raw_Bookings!$A$2:$A$648,Raw_Passengers!B1334)=0,1,0)</f>
        <v>1</v>
      </c>
      <c r="E1334" s="7">
        <f>IF(OR(C1334=1,D1334=1),0,IF(NOT(ISNUMBER(Raw_Passengers!E1334)),1,IF(Raw_Passengers!E1334&lt;=0,1,0)))</f>
        <v>0</v>
      </c>
      <c r="F1334" s="7">
        <f>IF(AND(C1334=0,D1334=0,TRIM(Raw_Passengers!D1334&amp;"")=""),1,0)</f>
        <v>0</v>
      </c>
      <c r="G1334" s="7" t="str">
        <f>IF(SUMPRODUCT(--(Lookup_Status!$A$2:$A$13=LOWER(TRIM(Raw_Passengers!F1334))))=0,"",INDEX(Lookup_Status!$B$2:$B$13,SUMPRODUCT((Lookup_Status!$A$2:$A$13=LOWER(TRIM(Raw_Passengers!F1334)))*(ROW(Lookup_Status!$A$2:$A$13)-1))))</f>
        <v>Confirmed</v>
      </c>
      <c r="H1334" s="7" t="str">
        <f>IF(SUMPRODUCT(--(Lookup_Status!$A$2:$A$13=LOWER(TRIM(Raw_Passengers!G1334))))=0,"",INDEX(Lookup_Status!$B$2:$B$13,SUMPRODUCT((Lookup_Status!$A$2:$A$13=LOWER(TRIM(Raw_Passengers!G1334)))*(ROW(Lookup_Status!$A$2:$A$13)-1))))</f>
        <v>Confirmed</v>
      </c>
      <c r="I1334" s="7">
        <f>IF(OR(G1334="",G1334="Cancelled",G1334="Mixed"),1,0)</f>
        <v>0</v>
      </c>
      <c r="J1334" s="7">
        <f>IF(OR(H1334="",H1334="Mixed"),1,0)</f>
        <v>0</v>
      </c>
      <c r="K1334" s="7">
        <f>IF(AND(C1334=0,D1334=0),IF(OR(AND(I1334=0,NOT(EXACT(Raw_Passengers!F1334,G1334))),AND(J1334=0,NOT(EXACT(Raw_Passengers!G1334,H1334)))),1,0),0)</f>
        <v>0</v>
      </c>
      <c r="L1334" s="7">
        <f>IF(AND(C1334=0,D1334=0,I1334=1),1,0)</f>
        <v>0</v>
      </c>
      <c r="M1334" s="7">
        <f>IF(AND(C1334=0,D1334=0,J1334=1),1,0)</f>
        <v>0</v>
      </c>
    </row>
    <row r="1335" spans="1:13">
      <c r="A1335" s="7">
        <f>Raw_Passengers!A1335</f>
        <v>406733</v>
      </c>
      <c r="B1335" s="7">
        <f>Raw_Passengers!B1335</f>
        <v>9500051</v>
      </c>
      <c r="C1335" s="7">
        <f>IF(COUNTIF(Raw_Passengers!$A$2:A1335,Raw_Passengers!A1335)&gt;1,1,0)</f>
        <v>0</v>
      </c>
      <c r="D1335" s="7">
        <f>IF(COUNTIF(Raw_Bookings!$A$2:$A$648,Raw_Passengers!B1335)=0,1,0)</f>
        <v>1</v>
      </c>
      <c r="E1335" s="7">
        <f>IF(OR(C1335=1,D1335=1),0,IF(NOT(ISNUMBER(Raw_Passengers!E1335)),1,IF(Raw_Passengers!E1335&lt;=0,1,0)))</f>
        <v>0</v>
      </c>
      <c r="F1335" s="7">
        <f>IF(AND(C1335=0,D1335=0,TRIM(Raw_Passengers!D1335&amp;"")=""),1,0)</f>
        <v>0</v>
      </c>
      <c r="G1335" s="7" t="str">
        <f>IF(SUMPRODUCT(--(Lookup_Status!$A$2:$A$13=LOWER(TRIM(Raw_Passengers!F1335))))=0,"",INDEX(Lookup_Status!$B$2:$B$13,SUMPRODUCT((Lookup_Status!$A$2:$A$13=LOWER(TRIM(Raw_Passengers!F1335)))*(ROW(Lookup_Status!$A$2:$A$13)-1))))</f>
        <v>Confirmed</v>
      </c>
      <c r="H1335" s="7" t="str">
        <f>IF(SUMPRODUCT(--(Lookup_Status!$A$2:$A$13=LOWER(TRIM(Raw_Passengers!G1335))))=0,"",INDEX(Lookup_Status!$B$2:$B$13,SUMPRODUCT((Lookup_Status!$A$2:$A$13=LOWER(TRIM(Raw_Passengers!G1335)))*(ROW(Lookup_Status!$A$2:$A$13)-1))))</f>
        <v>Confirmed</v>
      </c>
      <c r="I1335" s="7">
        <f>IF(OR(G1335="",G1335="Cancelled",G1335="Mixed"),1,0)</f>
        <v>0</v>
      </c>
      <c r="J1335" s="7">
        <f>IF(OR(H1335="",H1335="Mixed"),1,0)</f>
        <v>0</v>
      </c>
      <c r="K1335" s="7">
        <f>IF(AND(C1335=0,D1335=0),IF(OR(AND(I1335=0,NOT(EXACT(Raw_Passengers!F1335,G1335))),AND(J1335=0,NOT(EXACT(Raw_Passengers!G1335,H1335)))),1,0),0)</f>
        <v>0</v>
      </c>
      <c r="L1335" s="7">
        <f>IF(AND(C1335=0,D1335=0,I1335=1),1,0)</f>
        <v>0</v>
      </c>
      <c r="M1335" s="7">
        <f>IF(AND(C1335=0,D1335=0,J1335=1),1,0)</f>
        <v>0</v>
      </c>
    </row>
    <row r="1336" spans="1:13">
      <c r="A1336" s="7">
        <f>Raw_Passengers!A1336</f>
        <v>406771</v>
      </c>
      <c r="B1336" s="7">
        <f>Raw_Passengers!B1336</f>
        <v>9500089</v>
      </c>
      <c r="C1336" s="7">
        <f>IF(COUNTIF(Raw_Passengers!$A$2:A1336,Raw_Passengers!A1336)&gt;1,1,0)</f>
        <v>0</v>
      </c>
      <c r="D1336" s="7">
        <f>IF(COUNTIF(Raw_Bookings!$A$2:$A$648,Raw_Passengers!B1336)=0,1,0)</f>
        <v>1</v>
      </c>
      <c r="E1336" s="7">
        <f>IF(OR(C1336=1,D1336=1),0,IF(NOT(ISNUMBER(Raw_Passengers!E1336)),1,IF(Raw_Passengers!E1336&lt;=0,1,0)))</f>
        <v>0</v>
      </c>
      <c r="F1336" s="7">
        <f>IF(AND(C1336=0,D1336=0,TRIM(Raw_Passengers!D1336&amp;"")=""),1,0)</f>
        <v>0</v>
      </c>
      <c r="G1336" s="7" t="str">
        <f>IF(SUMPRODUCT(--(Lookup_Status!$A$2:$A$13=LOWER(TRIM(Raw_Passengers!F1336))))=0,"",INDEX(Lookup_Status!$B$2:$B$13,SUMPRODUCT((Lookup_Status!$A$2:$A$13=LOWER(TRIM(Raw_Passengers!F1336)))*(ROW(Lookup_Status!$A$2:$A$13)-1))))</f>
        <v>Confirmed</v>
      </c>
      <c r="H1336" s="7" t="str">
        <f>IF(SUMPRODUCT(--(Lookup_Status!$A$2:$A$13=LOWER(TRIM(Raw_Passengers!G1336))))=0,"",INDEX(Lookup_Status!$B$2:$B$13,SUMPRODUCT((Lookup_Status!$A$2:$A$13=LOWER(TRIM(Raw_Passengers!G1336)))*(ROW(Lookup_Status!$A$2:$A$13)-1))))</f>
        <v>Confirmed</v>
      </c>
      <c r="I1336" s="7">
        <f>IF(OR(G1336="",G1336="Cancelled",G1336="Mixed"),1,0)</f>
        <v>0</v>
      </c>
      <c r="J1336" s="7">
        <f>IF(OR(H1336="",H1336="Mixed"),1,0)</f>
        <v>0</v>
      </c>
      <c r="K1336" s="7">
        <f>IF(AND(C1336=0,D1336=0),IF(OR(AND(I1336=0,NOT(EXACT(Raw_Passengers!F1336,G1336))),AND(J1336=0,NOT(EXACT(Raw_Passengers!G1336,H1336)))),1,0),0)</f>
        <v>0</v>
      </c>
      <c r="L1336" s="7">
        <f>IF(AND(C1336=0,D1336=0,I1336=1),1,0)</f>
        <v>0</v>
      </c>
      <c r="M1336" s="7">
        <f>IF(AND(C1336=0,D1336=0,J1336=1),1,0)</f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rgb="FF2E75B6"/>
  </sheetPr>
  <dimension ref="A1:K17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0" width="15.7109375" customWidth="1"/>
  </cols>
  <sheetData>
    <row r="1" spans="1:11">
      <c r="A1" s="5" t="s">
        <v>1927</v>
      </c>
      <c r="B1" s="5" t="s">
        <v>1928</v>
      </c>
      <c r="C1" s="5" t="s">
        <v>1958</v>
      </c>
      <c r="D1" s="5" t="s">
        <v>1967</v>
      </c>
      <c r="E1" s="5" t="s">
        <v>1939</v>
      </c>
      <c r="F1" s="5" t="s">
        <v>1968</v>
      </c>
      <c r="G1" s="5" t="s">
        <v>69</v>
      </c>
      <c r="H1" s="5" t="s">
        <v>1969</v>
      </c>
      <c r="I1" s="5" t="s">
        <v>1970</v>
      </c>
      <c r="K1" s="9" t="s">
        <v>1956</v>
      </c>
    </row>
    <row r="2" spans="1:11">
      <c r="A2" s="7">
        <f>Raw_Cancellations!A2</f>
        <v>629</v>
      </c>
      <c r="B2" s="7">
        <f>IF(COUNTIF(Raw_Cancellations!$A$2:A2,Raw_Cancellations!A2)&gt;1,1,0)</f>
        <v>0</v>
      </c>
      <c r="C2" s="7">
        <f>IF(COUNTIF(Raw_Bookings!$A$2:$A$648,Raw_Cancellations!B2)=0,1,0)</f>
        <v>0</v>
      </c>
      <c r="D2" s="7">
        <f>IF(OR(B2=1,C2=1),0,IF(Raw_Cancellations!I2&gt;Raw_Cancellations!G2+0.005,1,0))</f>
        <v>0</v>
      </c>
      <c r="E2" s="7">
        <f>IFERROR(DATEVALUE(LEFT(Raw_Cancellations!C2,10))+TIMEVALUE(MID(Raw_Cancellations!C2,12,8)),"")</f>
        <v>45538.99303240741</v>
      </c>
      <c r="F2" s="7">
        <f>IFERROR(MATCH(Raw_Cancellations!B2,Work_Bookings!$A$2:$A$648,0),0)</f>
        <v>20</v>
      </c>
      <c r="G2" s="7">
        <f>IF(F2=0,"",INDEX(Work_Bookings!$M$2:$M$648,F2))</f>
        <v>45535.61193287037</v>
      </c>
      <c r="H2" s="7">
        <f>IF(F2=0,0,IF(OR(INDEX(Work_Bookings!$L$2:$L$648,F2)=1,INDEX(Work_Bookings!$K$2:$K$648,F2)=1,INDEX(Work_Bookings!$N$2:$N$648,F2)=1,COUNTIFS(Work_Passengers!$B$2:$B$1336,Raw_Cancellations!B2,Work_Passengers!$L$2:$L$1336,1)&gt;0),1,0))</f>
        <v>0</v>
      </c>
      <c r="I2" s="7">
        <f>IF(OR(B2=1,C2=1,H2=1),0,IF(AND(ISNUMBER(E2),ISNUMBER(G2)),IF(E2&lt;G2,1,0),0))</f>
        <v>0</v>
      </c>
    </row>
    <row r="3" spans="1:11">
      <c r="A3" s="7">
        <f>Raw_Cancellations!A3</f>
        <v>776</v>
      </c>
      <c r="B3" s="7">
        <f>IF(COUNTIF(Raw_Cancellations!$A$2:A3,Raw_Cancellations!A3)&gt;1,1,0)</f>
        <v>0</v>
      </c>
      <c r="C3" s="7">
        <f>IF(COUNTIF(Raw_Bookings!$A$2:$A$648,Raw_Cancellations!B3)=0,1,0)</f>
        <v>0</v>
      </c>
      <c r="D3" s="7">
        <f>IF(OR(B3=1,C3=1),0,IF(Raw_Cancellations!I3&gt;Raw_Cancellations!G3+0.005,1,0))</f>
        <v>0</v>
      </c>
      <c r="E3" s="7">
        <f>IFERROR(DATEVALUE(LEFT(Raw_Cancellations!C3,10))+TIMEVALUE(MID(Raw_Cancellations!C3,12,8)),"")</f>
        <v>45544.255740740744</v>
      </c>
      <c r="F3" s="7">
        <f>IFERROR(MATCH(Raw_Cancellations!B3,Work_Bookings!$A$2:$A$648,0),0)</f>
        <v>14</v>
      </c>
      <c r="G3" s="7">
        <f>IF(F3=0,"",INDEX(Work_Bookings!$M$2:$M$648,F3))</f>
        <v>45527.360300925924</v>
      </c>
      <c r="H3" s="7">
        <f>IF(F3=0,0,IF(OR(INDEX(Work_Bookings!$L$2:$L$648,F3)=1,INDEX(Work_Bookings!$K$2:$K$648,F3)=1,INDEX(Work_Bookings!$N$2:$N$648,F3)=1,COUNTIFS(Work_Passengers!$B$2:$B$1336,Raw_Cancellations!B3,Work_Passengers!$L$2:$L$1336,1)&gt;0),1,0))</f>
        <v>0</v>
      </c>
      <c r="I3" s="7">
        <f>IF(OR(B3=1,C3=1,H3=1),0,IF(AND(ISNUMBER(E3),ISNUMBER(G3)),IF(E3&lt;G3,1,0),0))</f>
        <v>0</v>
      </c>
    </row>
    <row r="4" spans="1:11">
      <c r="A4" s="7">
        <f>Raw_Cancellations!A4</f>
        <v>1069</v>
      </c>
      <c r="B4" s="7">
        <f>IF(COUNTIF(Raw_Cancellations!$A$2:A4,Raw_Cancellations!A4)&gt;1,1,0)</f>
        <v>0</v>
      </c>
      <c r="C4" s="7">
        <f>IF(COUNTIF(Raw_Bookings!$A$2:$A$648,Raw_Cancellations!B4)=0,1,0)</f>
        <v>0</v>
      </c>
      <c r="D4" s="7">
        <f>IF(OR(B4=1,C4=1),0,IF(Raw_Cancellations!I4&gt;Raw_Cancellations!G4+0.005,1,0))</f>
        <v>0</v>
      </c>
      <c r="E4" s="7">
        <f>IFERROR(DATEVALUE(LEFT(Raw_Cancellations!C4,10))+TIMEVALUE(MID(Raw_Cancellations!C4,12,8)),"")</f>
        <v>45554.90015046296</v>
      </c>
      <c r="F4" s="7">
        <f>IFERROR(MATCH(Raw_Cancellations!B4,Work_Bookings!$A$2:$A$648,0),0)</f>
        <v>24</v>
      </c>
      <c r="G4" s="7">
        <f>IF(F4=0,"",INDEX(Work_Bookings!$M$2:$M$648,F4))</f>
        <v>45537.29305555556</v>
      </c>
      <c r="H4" s="7">
        <f>IF(F4=0,0,IF(OR(INDEX(Work_Bookings!$L$2:$L$648,F4)=1,INDEX(Work_Bookings!$K$2:$K$648,F4)=1,INDEX(Work_Bookings!$N$2:$N$648,F4)=1,COUNTIFS(Work_Passengers!$B$2:$B$1336,Raw_Cancellations!B4,Work_Passengers!$L$2:$L$1336,1)&gt;0),1,0))</f>
        <v>0</v>
      </c>
      <c r="I4" s="7">
        <f>IF(OR(B4=1,C4=1,H4=1),0,IF(AND(ISNUMBER(E4),ISNUMBER(G4)),IF(E4&lt;G4,1,0),0))</f>
        <v>0</v>
      </c>
    </row>
    <row r="5" spans="1:11">
      <c r="A5" s="7">
        <f>Raw_Cancellations!A5</f>
        <v>1514</v>
      </c>
      <c r="B5" s="7">
        <f>IF(COUNTIF(Raw_Cancellations!$A$2:A5,Raw_Cancellations!A5)&gt;1,1,0)</f>
        <v>0</v>
      </c>
      <c r="C5" s="7">
        <f>IF(COUNTIF(Raw_Bookings!$A$2:$A$648,Raw_Cancellations!B5)=0,1,0)</f>
        <v>0</v>
      </c>
      <c r="D5" s="7">
        <f>IF(OR(B5=1,C5=1),0,IF(Raw_Cancellations!I5&gt;Raw_Cancellations!G5+0.005,1,0))</f>
        <v>0</v>
      </c>
      <c r="E5" s="7">
        <f>IFERROR(DATEVALUE(LEFT(Raw_Cancellations!C5,10))+TIMEVALUE(MID(Raw_Cancellations!C5,12,8)),"")</f>
        <v>45563.635416666664</v>
      </c>
      <c r="F5" s="7">
        <f>IFERROR(MATCH(Raw_Cancellations!B5,Work_Bookings!$A$2:$A$648,0),0)</f>
        <v>33</v>
      </c>
      <c r="G5" s="7">
        <f>IF(F5=0,"",INDEX(Work_Bookings!$M$2:$M$648,F5))</f>
        <v>45555.74883101852</v>
      </c>
      <c r="H5" s="7">
        <f>IF(F5=0,0,IF(OR(INDEX(Work_Bookings!$L$2:$L$648,F5)=1,INDEX(Work_Bookings!$K$2:$K$648,F5)=1,INDEX(Work_Bookings!$N$2:$N$648,F5)=1,COUNTIFS(Work_Passengers!$B$2:$B$1336,Raw_Cancellations!B5,Work_Passengers!$L$2:$L$1336,1)&gt;0),1,0))</f>
        <v>0</v>
      </c>
      <c r="I5" s="7">
        <f>IF(OR(B5=1,C5=1,H5=1),0,IF(AND(ISNUMBER(E5),ISNUMBER(G5)),IF(E5&lt;G5,1,0),0))</f>
        <v>0</v>
      </c>
    </row>
    <row r="6" spans="1:11">
      <c r="A6" s="7">
        <f>Raw_Cancellations!A6</f>
        <v>1680</v>
      </c>
      <c r="B6" s="7">
        <f>IF(COUNTIF(Raw_Cancellations!$A$2:A6,Raw_Cancellations!A6)&gt;1,1,0)</f>
        <v>0</v>
      </c>
      <c r="C6" s="7">
        <f>IF(COUNTIF(Raw_Bookings!$A$2:$A$648,Raw_Cancellations!B6)=0,1,0)</f>
        <v>0</v>
      </c>
      <c r="D6" s="7">
        <f>IF(OR(B6=1,C6=1),0,IF(Raw_Cancellations!I6&gt;Raw_Cancellations!G6+0.005,1,0))</f>
        <v>0</v>
      </c>
      <c r="E6" s="7">
        <f>IFERROR(DATEVALUE(LEFT(Raw_Cancellations!C6,10))+TIMEVALUE(MID(Raw_Cancellations!C6,12,8)),"")</f>
        <v>45567.65646990741</v>
      </c>
      <c r="F6" s="7">
        <f>IFERROR(MATCH(Raw_Cancellations!B6,Work_Bookings!$A$2:$A$648,0),0)</f>
        <v>42</v>
      </c>
      <c r="G6" s="7">
        <f>IF(F6=0,"",INDEX(Work_Bookings!$M$2:$M$648,F6))</f>
        <v>45565.41900462963</v>
      </c>
      <c r="H6" s="7">
        <f>IF(F6=0,0,IF(OR(INDEX(Work_Bookings!$L$2:$L$648,F6)=1,INDEX(Work_Bookings!$K$2:$K$648,F6)=1,INDEX(Work_Bookings!$N$2:$N$648,F6)=1,COUNTIFS(Work_Passengers!$B$2:$B$1336,Raw_Cancellations!B6,Work_Passengers!$L$2:$L$1336,1)&gt;0),1,0))</f>
        <v>0</v>
      </c>
      <c r="I6" s="7">
        <f>IF(OR(B6=1,C6=1,H6=1),0,IF(AND(ISNUMBER(E6),ISNUMBER(G6)),IF(E6&lt;G6,1,0),0))</f>
        <v>0</v>
      </c>
    </row>
    <row r="7" spans="1:11">
      <c r="A7" s="7">
        <f>Raw_Cancellations!A7</f>
        <v>1729</v>
      </c>
      <c r="B7" s="7">
        <f>IF(COUNTIF(Raw_Cancellations!$A$2:A7,Raw_Cancellations!A7)&gt;1,1,0)</f>
        <v>0</v>
      </c>
      <c r="C7" s="7">
        <f>IF(COUNTIF(Raw_Bookings!$A$2:$A$648,Raw_Cancellations!B7)=0,1,0)</f>
        <v>0</v>
      </c>
      <c r="D7" s="7">
        <f>IF(OR(B7=1,C7=1),0,IF(Raw_Cancellations!I7&gt;Raw_Cancellations!G7+0.005,1,0))</f>
        <v>0</v>
      </c>
      <c r="E7" s="7">
        <f>IFERROR(DATEVALUE(LEFT(Raw_Cancellations!C7,10))+TIMEVALUE(MID(Raw_Cancellations!C7,12,8)),"")</f>
        <v>45569.16064814815</v>
      </c>
      <c r="F7" s="7">
        <f>IFERROR(MATCH(Raw_Cancellations!B7,Work_Bookings!$A$2:$A$648,0),0)</f>
        <v>43</v>
      </c>
      <c r="G7" s="7">
        <f>IF(F7=0,"",INDEX(Work_Bookings!$M$2:$M$648,F7))</f>
        <v>45565.54722222222</v>
      </c>
      <c r="H7" s="7">
        <f>IF(F7=0,0,IF(OR(INDEX(Work_Bookings!$L$2:$L$648,F7)=1,INDEX(Work_Bookings!$K$2:$K$648,F7)=1,INDEX(Work_Bookings!$N$2:$N$648,F7)=1,COUNTIFS(Work_Passengers!$B$2:$B$1336,Raw_Cancellations!B7,Work_Passengers!$L$2:$L$1336,1)&gt;0),1,0))</f>
        <v>0</v>
      </c>
      <c r="I7" s="7">
        <f>IF(OR(B7=1,C7=1,H7=1),0,IF(AND(ISNUMBER(E7),ISNUMBER(G7)),IF(E7&lt;G7,1,0),0))</f>
        <v>0</v>
      </c>
    </row>
    <row r="8" spans="1:11">
      <c r="A8" s="7">
        <f>Raw_Cancellations!A8</f>
        <v>1828</v>
      </c>
      <c r="B8" s="7">
        <f>IF(COUNTIF(Raw_Cancellations!$A$2:A8,Raw_Cancellations!A8)&gt;1,1,0)</f>
        <v>0</v>
      </c>
      <c r="C8" s="7">
        <f>IF(COUNTIF(Raw_Bookings!$A$2:$A$648,Raw_Cancellations!B8)=0,1,0)</f>
        <v>0</v>
      </c>
      <c r="D8" s="7">
        <f>IF(OR(B8=1,C8=1),0,IF(Raw_Cancellations!I8&gt;Raw_Cancellations!G8+0.005,1,0))</f>
        <v>0</v>
      </c>
      <c r="E8" s="7">
        <f>IFERROR(DATEVALUE(LEFT(Raw_Cancellations!C8,10))+TIMEVALUE(MID(Raw_Cancellations!C8,12,8)),"")</f>
        <v>45567.493993055556</v>
      </c>
      <c r="F8" s="7">
        <f>IFERROR(MATCH(Raw_Cancellations!B8,Work_Bookings!$A$2:$A$648,0),0)</f>
        <v>48</v>
      </c>
      <c r="G8" s="7">
        <f>IF(F8=0,"",INDEX(Work_Bookings!$M$2:$M$648,F8))</f>
        <v>45568.70232638889</v>
      </c>
      <c r="H8" s="7">
        <f>IF(F8=0,0,IF(OR(INDEX(Work_Bookings!$L$2:$L$648,F8)=1,INDEX(Work_Bookings!$K$2:$K$648,F8)=1,INDEX(Work_Bookings!$N$2:$N$648,F8)=1,COUNTIFS(Work_Passengers!$B$2:$B$1336,Raw_Cancellations!B8,Work_Passengers!$L$2:$L$1336,1)&gt;0),1,0))</f>
        <v>0</v>
      </c>
      <c r="I8" s="7">
        <f>IF(OR(B8=1,C8=1,H8=1),0,IF(AND(ISNUMBER(E8),ISNUMBER(G8)),IF(E8&lt;G8,1,0),0))</f>
        <v>1</v>
      </c>
    </row>
    <row r="9" spans="1:11">
      <c r="A9" s="7">
        <f>Raw_Cancellations!A9</f>
        <v>1950</v>
      </c>
      <c r="B9" s="7">
        <f>IF(COUNTIF(Raw_Cancellations!$A$2:A9,Raw_Cancellations!A9)&gt;1,1,0)</f>
        <v>0</v>
      </c>
      <c r="C9" s="7">
        <f>IF(COUNTIF(Raw_Bookings!$A$2:$A$648,Raw_Cancellations!B9)=0,1,0)</f>
        <v>0</v>
      </c>
      <c r="D9" s="7">
        <f>IF(OR(B9=1,C9=1),0,IF(Raw_Cancellations!I9&gt;Raw_Cancellations!G9+0.005,1,0))</f>
        <v>0</v>
      </c>
      <c r="E9" s="7">
        <f>IFERROR(DATEVALUE(LEFT(Raw_Cancellations!C9,10))+TIMEVALUE(MID(Raw_Cancellations!C9,12,8)),"")</f>
        <v>45574.818344907406</v>
      </c>
      <c r="F9" s="7">
        <f>IFERROR(MATCH(Raw_Cancellations!B9,Work_Bookings!$A$2:$A$648,0),0)</f>
        <v>52</v>
      </c>
      <c r="G9" s="7">
        <f>IF(F9=0,"",INDEX(Work_Bookings!$M$2:$M$648,F9))</f>
        <v>45574.245416666665</v>
      </c>
      <c r="H9" s="7">
        <f>IF(F9=0,0,IF(OR(INDEX(Work_Bookings!$L$2:$L$648,F9)=1,INDEX(Work_Bookings!$K$2:$K$648,F9)=1,INDEX(Work_Bookings!$N$2:$N$648,F9)=1,COUNTIFS(Work_Passengers!$B$2:$B$1336,Raw_Cancellations!B9,Work_Passengers!$L$2:$L$1336,1)&gt;0),1,0))</f>
        <v>0</v>
      </c>
      <c r="I9" s="7">
        <f>IF(OR(B9=1,C9=1,H9=1),0,IF(AND(ISNUMBER(E9),ISNUMBER(G9)),IF(E9&lt;G9,1,0),0))</f>
        <v>0</v>
      </c>
    </row>
    <row r="10" spans="1:11">
      <c r="A10" s="7">
        <f>Raw_Cancellations!A10</f>
        <v>2032</v>
      </c>
      <c r="B10" s="7">
        <f>IF(COUNTIF(Raw_Cancellations!$A$2:A10,Raw_Cancellations!A10)&gt;1,1,0)</f>
        <v>0</v>
      </c>
      <c r="C10" s="7">
        <f>IF(COUNTIF(Raw_Bookings!$A$2:$A$648,Raw_Cancellations!B10)=0,1,0)</f>
        <v>0</v>
      </c>
      <c r="D10" s="7">
        <f>IF(OR(B10=1,C10=1),0,IF(Raw_Cancellations!I10&gt;Raw_Cancellations!G10+0.005,1,0))</f>
        <v>0</v>
      </c>
      <c r="E10" s="7">
        <f>IFERROR(DATEVALUE(LEFT(Raw_Cancellations!C10,10))+TIMEVALUE(MID(Raw_Cancellations!C10,12,8)),"")</f>
        <v>45576.800416666665</v>
      </c>
      <c r="F10" s="7">
        <f>IFERROR(MATCH(Raw_Cancellations!B10,Work_Bookings!$A$2:$A$648,0),0)</f>
        <v>45</v>
      </c>
      <c r="G10" s="7">
        <f>IF(F10=0,"",INDEX(Work_Bookings!$M$2:$M$648,F10))</f>
        <v>45566.44924768519</v>
      </c>
      <c r="H10" s="7">
        <f>IF(F10=0,0,IF(OR(INDEX(Work_Bookings!$L$2:$L$648,F10)=1,INDEX(Work_Bookings!$K$2:$K$648,F10)=1,INDEX(Work_Bookings!$N$2:$N$648,F10)=1,COUNTIFS(Work_Passengers!$B$2:$B$1336,Raw_Cancellations!B10,Work_Passengers!$L$2:$L$1336,1)&gt;0),1,0))</f>
        <v>0</v>
      </c>
      <c r="I10" s="7">
        <f>IF(OR(B10=1,C10=1,H10=1),0,IF(AND(ISNUMBER(E10),ISNUMBER(G10)),IF(E10&lt;G10,1,0),0))</f>
        <v>0</v>
      </c>
    </row>
    <row r="11" spans="1:11">
      <c r="A11" s="7">
        <f>Raw_Cancellations!A11</f>
        <v>2080</v>
      </c>
      <c r="B11" s="7">
        <f>IF(COUNTIF(Raw_Cancellations!$A$2:A11,Raw_Cancellations!A11)&gt;1,1,0)</f>
        <v>0</v>
      </c>
      <c r="C11" s="7">
        <f>IF(COUNTIF(Raw_Bookings!$A$2:$A$648,Raw_Cancellations!B11)=0,1,0)</f>
        <v>0</v>
      </c>
      <c r="D11" s="7">
        <f>IF(OR(B11=1,C11=1),0,IF(Raw_Cancellations!I11&gt;Raw_Cancellations!G11+0.005,1,0))</f>
        <v>0</v>
      </c>
      <c r="E11" s="7">
        <f>IFERROR(DATEVALUE(LEFT(Raw_Cancellations!C11,10))+TIMEVALUE(MID(Raw_Cancellations!C11,12,8)),"")</f>
        <v>45577.62432870371</v>
      </c>
      <c r="F11" s="7">
        <f>IFERROR(MATCH(Raw_Cancellations!B11,Work_Bookings!$A$2:$A$648,0),0)</f>
        <v>30</v>
      </c>
      <c r="G11" s="7">
        <f>IF(F11=0,"",INDEX(Work_Bookings!$M$2:$M$648,F11))</f>
        <v>45546.87253472222</v>
      </c>
      <c r="H11" s="7">
        <f>IF(F11=0,0,IF(OR(INDEX(Work_Bookings!$L$2:$L$648,F11)=1,INDEX(Work_Bookings!$K$2:$K$648,F11)=1,INDEX(Work_Bookings!$N$2:$N$648,F11)=1,COUNTIFS(Work_Passengers!$B$2:$B$1336,Raw_Cancellations!B11,Work_Passengers!$L$2:$L$1336,1)&gt;0),1,0))</f>
        <v>0</v>
      </c>
      <c r="I11" s="7">
        <f>IF(OR(B11=1,C11=1,H11=1),0,IF(AND(ISNUMBER(E11),ISNUMBER(G11)),IF(E11&lt;G11,1,0),0))</f>
        <v>0</v>
      </c>
    </row>
    <row r="12" spans="1:11">
      <c r="A12" s="7">
        <f>Raw_Cancellations!A12</f>
        <v>2515</v>
      </c>
      <c r="B12" s="7">
        <f>IF(COUNTIF(Raw_Cancellations!$A$2:A12,Raw_Cancellations!A12)&gt;1,1,0)</f>
        <v>0</v>
      </c>
      <c r="C12" s="7">
        <f>IF(COUNTIF(Raw_Bookings!$A$2:$A$648,Raw_Cancellations!B12)=0,1,0)</f>
        <v>0</v>
      </c>
      <c r="D12" s="7">
        <f>IF(OR(B12=1,C12=1),0,IF(Raw_Cancellations!I12&gt;Raw_Cancellations!G12+0.005,1,0))</f>
        <v>0</v>
      </c>
      <c r="E12" s="7">
        <f>IFERROR(DATEVALUE(LEFT(Raw_Cancellations!C12,10))+TIMEVALUE(MID(Raw_Cancellations!C12,12,8)),"")</f>
        <v>45587.064247685186</v>
      </c>
      <c r="F12" s="7">
        <f>IFERROR(MATCH(Raw_Cancellations!B12,Work_Bookings!$A$2:$A$648,0),0)</f>
        <v>38</v>
      </c>
      <c r="G12" s="7">
        <f>IF(F12=0,"",INDEX(Work_Bookings!$M$2:$M$648,F12))</f>
        <v>45561.78152777778</v>
      </c>
      <c r="H12" s="7">
        <f>IF(F12=0,0,IF(OR(INDEX(Work_Bookings!$L$2:$L$648,F12)=1,INDEX(Work_Bookings!$K$2:$K$648,F12)=1,INDEX(Work_Bookings!$N$2:$N$648,F12)=1,COUNTIFS(Work_Passengers!$B$2:$B$1336,Raw_Cancellations!B12,Work_Passengers!$L$2:$L$1336,1)&gt;0),1,0))</f>
        <v>0</v>
      </c>
      <c r="I12" s="7">
        <f>IF(OR(B12=1,C12=1,H12=1),0,IF(AND(ISNUMBER(E12),ISNUMBER(G12)),IF(E12&lt;G12,1,0),0))</f>
        <v>0</v>
      </c>
    </row>
    <row r="13" spans="1:11">
      <c r="A13" s="7">
        <f>Raw_Cancellations!A13</f>
        <v>2735</v>
      </c>
      <c r="B13" s="7">
        <f>IF(COUNTIF(Raw_Cancellations!$A$2:A13,Raw_Cancellations!A13)&gt;1,1,0)</f>
        <v>0</v>
      </c>
      <c r="C13" s="7">
        <f>IF(COUNTIF(Raw_Bookings!$A$2:$A$648,Raw_Cancellations!B13)=0,1,0)</f>
        <v>0</v>
      </c>
      <c r="D13" s="7">
        <f>IF(OR(B13=1,C13=1),0,IF(Raw_Cancellations!I13&gt;Raw_Cancellations!G13+0.005,1,0))</f>
        <v>0</v>
      </c>
      <c r="E13" s="7">
        <f>IFERROR(DATEVALUE(LEFT(Raw_Cancellations!C13,10))+TIMEVALUE(MID(Raw_Cancellations!C13,12,8)),"")</f>
        <v>45590.188888888886</v>
      </c>
      <c r="F13" s="7">
        <f>IFERROR(MATCH(Raw_Cancellations!B13,Work_Bookings!$A$2:$A$648,0),0)</f>
        <v>15</v>
      </c>
      <c r="G13" s="7">
        <f>IF(F13=0,"",INDEX(Work_Bookings!$M$2:$M$648,F13))</f>
        <v>45527.48638888889</v>
      </c>
      <c r="H13" s="7">
        <f>IF(F13=0,0,IF(OR(INDEX(Work_Bookings!$L$2:$L$648,F13)=1,INDEX(Work_Bookings!$K$2:$K$648,F13)=1,INDEX(Work_Bookings!$N$2:$N$648,F13)=1,COUNTIFS(Work_Passengers!$B$2:$B$1336,Raw_Cancellations!B13,Work_Passengers!$L$2:$L$1336,1)&gt;0),1,0))</f>
        <v>0</v>
      </c>
      <c r="I13" s="7">
        <f>IF(OR(B13=1,C13=1,H13=1),0,IF(AND(ISNUMBER(E13),ISNUMBER(G13)),IF(E13&lt;G13,1,0),0))</f>
        <v>0</v>
      </c>
    </row>
    <row r="14" spans="1:11">
      <c r="A14" s="7">
        <f>Raw_Cancellations!A14</f>
        <v>3517</v>
      </c>
      <c r="B14" s="7">
        <f>IF(COUNTIF(Raw_Cancellations!$A$2:A14,Raw_Cancellations!A14)&gt;1,1,0)</f>
        <v>0</v>
      </c>
      <c r="C14" s="7">
        <f>IF(COUNTIF(Raw_Bookings!$A$2:$A$648,Raw_Cancellations!B14)=0,1,0)</f>
        <v>0</v>
      </c>
      <c r="D14" s="7">
        <f>IF(OR(B14=1,C14=1),0,IF(Raw_Cancellations!I14&gt;Raw_Cancellations!G14+0.005,1,0))</f>
        <v>0</v>
      </c>
      <c r="E14" s="7">
        <f>IFERROR(DATEVALUE(LEFT(Raw_Cancellations!C14,10))+TIMEVALUE(MID(Raw_Cancellations!C14,12,8)),"")</f>
        <v>45599.770833333336</v>
      </c>
      <c r="F14" s="7">
        <f>IFERROR(MATCH(Raw_Cancellations!B14,Work_Bookings!$A$2:$A$648,0),0)</f>
        <v>64</v>
      </c>
      <c r="G14" s="7">
        <f>IF(F14=0,"",INDEX(Work_Bookings!$M$2:$M$648,F14))</f>
        <v>45587.57730324074</v>
      </c>
      <c r="H14" s="7">
        <f>IF(F14=0,0,IF(OR(INDEX(Work_Bookings!$L$2:$L$648,F14)=1,INDEX(Work_Bookings!$K$2:$K$648,F14)=1,INDEX(Work_Bookings!$N$2:$N$648,F14)=1,COUNTIFS(Work_Passengers!$B$2:$B$1336,Raw_Cancellations!B14,Work_Passengers!$L$2:$L$1336,1)&gt;0),1,0))</f>
        <v>0</v>
      </c>
      <c r="I14" s="7">
        <f>IF(OR(B14=1,C14=1,H14=1),0,IF(AND(ISNUMBER(E14),ISNUMBER(G14)),IF(E14&lt;G14,1,0),0))</f>
        <v>0</v>
      </c>
    </row>
    <row r="15" spans="1:11">
      <c r="A15" s="7">
        <f>Raw_Cancellations!A15</f>
        <v>3717</v>
      </c>
      <c r="B15" s="7">
        <f>IF(COUNTIF(Raw_Cancellations!$A$2:A15,Raw_Cancellations!A15)&gt;1,1,0)</f>
        <v>0</v>
      </c>
      <c r="C15" s="7">
        <f>IF(COUNTIF(Raw_Bookings!$A$2:$A$648,Raw_Cancellations!B15)=0,1,0)</f>
        <v>0</v>
      </c>
      <c r="D15" s="7">
        <f>IF(OR(B15=1,C15=1),0,IF(Raw_Cancellations!I15&gt;Raw_Cancellations!G15+0.005,1,0))</f>
        <v>0</v>
      </c>
      <c r="E15" s="7">
        <f>IFERROR(DATEVALUE(LEFT(Raw_Cancellations!C15,10))+TIMEVALUE(MID(Raw_Cancellations!C15,12,8)),"")</f>
        <v>45600.739583333336</v>
      </c>
      <c r="F15" s="7">
        <f>IFERROR(MATCH(Raw_Cancellations!B15,Work_Bookings!$A$2:$A$648,0),0)</f>
        <v>73</v>
      </c>
      <c r="G15" s="7">
        <f>IF(F15=0,"",INDEX(Work_Bookings!$M$2:$M$648,F15))</f>
        <v>45597.785104166665</v>
      </c>
      <c r="H15" s="7">
        <f>IF(F15=0,0,IF(OR(INDEX(Work_Bookings!$L$2:$L$648,F15)=1,INDEX(Work_Bookings!$K$2:$K$648,F15)=1,INDEX(Work_Bookings!$N$2:$N$648,F15)=1,COUNTIFS(Work_Passengers!$B$2:$B$1336,Raw_Cancellations!B15,Work_Passengers!$L$2:$L$1336,1)&gt;0),1,0))</f>
        <v>0</v>
      </c>
      <c r="I15" s="7">
        <f>IF(OR(B15=1,C15=1,H15=1),0,IF(AND(ISNUMBER(E15),ISNUMBER(G15)),IF(E15&lt;G15,1,0),0))</f>
        <v>0</v>
      </c>
    </row>
    <row r="16" spans="1:11">
      <c r="A16" s="7">
        <f>Raw_Cancellations!A16</f>
        <v>3743</v>
      </c>
      <c r="B16" s="7">
        <f>IF(COUNTIF(Raw_Cancellations!$A$2:A16,Raw_Cancellations!A16)&gt;1,1,0)</f>
        <v>0</v>
      </c>
      <c r="C16" s="7">
        <f>IF(COUNTIF(Raw_Bookings!$A$2:$A$648,Raw_Cancellations!B16)=0,1,0)</f>
        <v>0</v>
      </c>
      <c r="D16" s="7">
        <f>IF(OR(B16=1,C16=1),0,IF(Raw_Cancellations!I16&gt;Raw_Cancellations!G16+0.005,1,0))</f>
        <v>0</v>
      </c>
      <c r="E16" s="7">
        <f>IFERROR(DATEVALUE(LEFT(Raw_Cancellations!C16,10))+TIMEVALUE(MID(Raw_Cancellations!C16,12,8)),"")</f>
        <v>45600.82871527778</v>
      </c>
      <c r="F16" s="7">
        <f>IFERROR(MATCH(Raw_Cancellations!B16,Work_Bookings!$A$2:$A$648,0),0)</f>
        <v>72</v>
      </c>
      <c r="G16" s="7">
        <f>IF(F16=0,"",INDEX(Work_Bookings!$M$2:$M$648,F16))</f>
        <v>45596.854317129626</v>
      </c>
      <c r="H16" s="7">
        <f>IF(F16=0,0,IF(OR(INDEX(Work_Bookings!$L$2:$L$648,F16)=1,INDEX(Work_Bookings!$K$2:$K$648,F16)=1,INDEX(Work_Bookings!$N$2:$N$648,F16)=1,COUNTIFS(Work_Passengers!$B$2:$B$1336,Raw_Cancellations!B16,Work_Passengers!$L$2:$L$1336,1)&gt;0),1,0))</f>
        <v>0</v>
      </c>
      <c r="I16" s="7">
        <f>IF(OR(B16=1,C16=1,H16=1),0,IF(AND(ISNUMBER(E16),ISNUMBER(G16)),IF(E16&lt;G16,1,0),0))</f>
        <v>0</v>
      </c>
    </row>
    <row r="17" spans="1:9">
      <c r="A17" s="7">
        <f>Raw_Cancellations!A17</f>
        <v>3796</v>
      </c>
      <c r="B17" s="7">
        <f>IF(COUNTIF(Raw_Cancellations!$A$2:A17,Raw_Cancellations!A17)&gt;1,1,0)</f>
        <v>0</v>
      </c>
      <c r="C17" s="7">
        <f>IF(COUNTIF(Raw_Bookings!$A$2:$A$648,Raw_Cancellations!B17)=0,1,0)</f>
        <v>0</v>
      </c>
      <c r="D17" s="7">
        <f>IF(OR(B17=1,C17=1),0,IF(Raw_Cancellations!I17&gt;Raw_Cancellations!G17+0.005,1,0))</f>
        <v>0</v>
      </c>
      <c r="E17" s="7">
        <f>IFERROR(DATEVALUE(LEFT(Raw_Cancellations!C17,10))+TIMEVALUE(MID(Raw_Cancellations!C17,12,8)),"")</f>
        <v>45602.052083333336</v>
      </c>
      <c r="F17" s="7">
        <f>IFERROR(MATCH(Raw_Cancellations!B17,Work_Bookings!$A$2:$A$648,0),0)</f>
        <v>76</v>
      </c>
      <c r="G17" s="7">
        <f>IF(F17=0,"",INDEX(Work_Bookings!$M$2:$M$648,F17))</f>
        <v>45600.81203703704</v>
      </c>
      <c r="H17" s="7">
        <f>IF(F17=0,0,IF(OR(INDEX(Work_Bookings!$L$2:$L$648,F17)=1,INDEX(Work_Bookings!$K$2:$K$648,F17)=1,INDEX(Work_Bookings!$N$2:$N$648,F17)=1,COUNTIFS(Work_Passengers!$B$2:$B$1336,Raw_Cancellations!B17,Work_Passengers!$L$2:$L$1336,1)&gt;0),1,0))</f>
        <v>0</v>
      </c>
      <c r="I17" s="7">
        <f>IF(OR(B17=1,C17=1,H17=1),0,IF(AND(ISNUMBER(E17),ISNUMBER(G17)),IF(E17&lt;G17,1,0),0))</f>
        <v>0</v>
      </c>
    </row>
    <row r="18" spans="1:9">
      <c r="A18" s="7">
        <f>Raw_Cancellations!A18</f>
        <v>4052</v>
      </c>
      <c r="B18" s="7">
        <f>IF(COUNTIF(Raw_Cancellations!$A$2:A18,Raw_Cancellations!A18)&gt;1,1,0)</f>
        <v>0</v>
      </c>
      <c r="C18" s="7">
        <f>IF(COUNTIF(Raw_Bookings!$A$2:$A$648,Raw_Cancellations!B18)=0,1,0)</f>
        <v>0</v>
      </c>
      <c r="D18" s="7">
        <f>IF(OR(B18=1,C18=1),0,IF(Raw_Cancellations!I18&gt;Raw_Cancellations!G18+0.005,1,0))</f>
        <v>0</v>
      </c>
      <c r="E18" s="7">
        <f>IFERROR(DATEVALUE(LEFT(Raw_Cancellations!C18,10))+TIMEVALUE(MID(Raw_Cancellations!C18,12,8)),"")</f>
        <v>45608.261087962965</v>
      </c>
      <c r="F18" s="7">
        <f>IFERROR(MATCH(Raw_Cancellations!B18,Work_Bookings!$A$2:$A$648,0),0)</f>
        <v>68</v>
      </c>
      <c r="G18" s="7">
        <f>IF(F18=0,"",INDEX(Work_Bookings!$M$2:$M$648,F18))</f>
        <v>45593.67424768519</v>
      </c>
      <c r="H18" s="7">
        <f>IF(F18=0,0,IF(OR(INDEX(Work_Bookings!$L$2:$L$648,F18)=1,INDEX(Work_Bookings!$K$2:$K$648,F18)=1,INDEX(Work_Bookings!$N$2:$N$648,F18)=1,COUNTIFS(Work_Passengers!$B$2:$B$1336,Raw_Cancellations!B18,Work_Passengers!$L$2:$L$1336,1)&gt;0),1,0))</f>
        <v>0</v>
      </c>
      <c r="I18" s="7">
        <f>IF(OR(B18=1,C18=1,H18=1),0,IF(AND(ISNUMBER(E18),ISNUMBER(G18)),IF(E18&lt;G18,1,0),0))</f>
        <v>0</v>
      </c>
    </row>
    <row r="19" spans="1:9">
      <c r="A19" s="7">
        <f>Raw_Cancellations!A19</f>
        <v>4326</v>
      </c>
      <c r="B19" s="7">
        <f>IF(COUNTIF(Raw_Cancellations!$A$2:A19,Raw_Cancellations!A19)&gt;1,1,0)</f>
        <v>0</v>
      </c>
      <c r="C19" s="7">
        <f>IF(COUNTIF(Raw_Bookings!$A$2:$A$648,Raw_Cancellations!B19)=0,1,0)</f>
        <v>0</v>
      </c>
      <c r="D19" s="7">
        <f>IF(OR(B19=1,C19=1),0,IF(Raw_Cancellations!I19&gt;Raw_Cancellations!G19+0.005,1,0))</f>
        <v>0</v>
      </c>
      <c r="E19" s="7">
        <f>IFERROR(DATEVALUE(LEFT(Raw_Cancellations!C19,10))+TIMEVALUE(MID(Raw_Cancellations!C19,12,8)),"")</f>
        <v>45614.166666666664</v>
      </c>
      <c r="F19" s="7">
        <f>IFERROR(MATCH(Raw_Cancellations!B19,Work_Bookings!$A$2:$A$648,0),0)</f>
        <v>84</v>
      </c>
      <c r="G19" s="7">
        <f>IF(F19=0,"",INDEX(Work_Bookings!$M$2:$M$648,F19))</f>
        <v>45613.32912037037</v>
      </c>
      <c r="H19" s="7">
        <f>IF(F19=0,0,IF(OR(INDEX(Work_Bookings!$L$2:$L$648,F19)=1,INDEX(Work_Bookings!$K$2:$K$648,F19)=1,INDEX(Work_Bookings!$N$2:$N$648,F19)=1,COUNTIFS(Work_Passengers!$B$2:$B$1336,Raw_Cancellations!B19,Work_Passengers!$L$2:$L$1336,1)&gt;0),1,0))</f>
        <v>0</v>
      </c>
      <c r="I19" s="7">
        <f>IF(OR(B19=1,C19=1,H19=1),0,IF(AND(ISNUMBER(E19),ISNUMBER(G19)),IF(E19&lt;G19,1,0),0))</f>
        <v>0</v>
      </c>
    </row>
    <row r="20" spans="1:9">
      <c r="A20" s="7">
        <f>Raw_Cancellations!A20</f>
        <v>4488</v>
      </c>
      <c r="B20" s="7">
        <f>IF(COUNTIF(Raw_Cancellations!$A$2:A20,Raw_Cancellations!A20)&gt;1,1,0)</f>
        <v>0</v>
      </c>
      <c r="C20" s="7">
        <f>IF(COUNTIF(Raw_Bookings!$A$2:$A$648,Raw_Cancellations!B20)=0,1,0)</f>
        <v>0</v>
      </c>
      <c r="D20" s="7">
        <f>IF(OR(B20=1,C20=1),0,IF(Raw_Cancellations!I20&gt;Raw_Cancellations!G20+0.005,1,0))</f>
        <v>0</v>
      </c>
      <c r="E20" s="7">
        <f>IFERROR(DATEVALUE(LEFT(Raw_Cancellations!C20,10))+TIMEVALUE(MID(Raw_Cancellations!C20,12,8)),"")</f>
        <v>45617.436574074076</v>
      </c>
      <c r="F20" s="7">
        <f>IFERROR(MATCH(Raw_Cancellations!B20,Work_Bookings!$A$2:$A$648,0),0)</f>
        <v>51</v>
      </c>
      <c r="G20" s="7">
        <f>IF(F20=0,"",INDEX(Work_Bookings!$M$2:$M$648,F20))</f>
        <v>45573.50445601852</v>
      </c>
      <c r="H20" s="7">
        <f>IF(F20=0,0,IF(OR(INDEX(Work_Bookings!$L$2:$L$648,F20)=1,INDEX(Work_Bookings!$K$2:$K$648,F20)=1,INDEX(Work_Bookings!$N$2:$N$648,F20)=1,COUNTIFS(Work_Passengers!$B$2:$B$1336,Raw_Cancellations!B20,Work_Passengers!$L$2:$L$1336,1)&gt;0),1,0))</f>
        <v>0</v>
      </c>
      <c r="I20" s="7">
        <f>IF(OR(B20=1,C20=1,H20=1),0,IF(AND(ISNUMBER(E20),ISNUMBER(G20)),IF(E20&lt;G20,1,0),0))</f>
        <v>0</v>
      </c>
    </row>
    <row r="21" spans="1:9">
      <c r="A21" s="7">
        <f>Raw_Cancellations!A21</f>
        <v>5068</v>
      </c>
      <c r="B21" s="7">
        <f>IF(COUNTIF(Raw_Cancellations!$A$2:A21,Raw_Cancellations!A21)&gt;1,1,0)</f>
        <v>0</v>
      </c>
      <c r="C21" s="7">
        <f>IF(COUNTIF(Raw_Bookings!$A$2:$A$648,Raw_Cancellations!B21)=0,1,0)</f>
        <v>0</v>
      </c>
      <c r="D21" s="7">
        <f>IF(OR(B21=1,C21=1),0,IF(Raw_Cancellations!I21&gt;Raw_Cancellations!G21+0.005,1,0))</f>
        <v>0</v>
      </c>
      <c r="E21" s="7">
        <f>IFERROR(DATEVALUE(LEFT(Raw_Cancellations!C21,10))+TIMEVALUE(MID(Raw_Cancellations!C21,12,8)),"")</f>
        <v>45631.69550925926</v>
      </c>
      <c r="F21" s="7">
        <f>IFERROR(MATCH(Raw_Cancellations!B21,Work_Bookings!$A$2:$A$648,0),0)</f>
        <v>92</v>
      </c>
      <c r="G21" s="7">
        <f>IF(F21=0,"",INDEX(Work_Bookings!$M$2:$M$648,F21))</f>
        <v>45624.854895833334</v>
      </c>
      <c r="H21" s="7">
        <f>IF(F21=0,0,IF(OR(INDEX(Work_Bookings!$L$2:$L$648,F21)=1,INDEX(Work_Bookings!$K$2:$K$648,F21)=1,INDEX(Work_Bookings!$N$2:$N$648,F21)=1,COUNTIFS(Work_Passengers!$B$2:$B$1336,Raw_Cancellations!B21,Work_Passengers!$L$2:$L$1336,1)&gt;0),1,0))</f>
        <v>0</v>
      </c>
      <c r="I21" s="7">
        <f>IF(OR(B21=1,C21=1,H21=1),0,IF(AND(ISNUMBER(E21),ISNUMBER(G21)),IF(E21&lt;G21,1,0),0))</f>
        <v>0</v>
      </c>
    </row>
    <row r="22" spans="1:9">
      <c r="A22" s="7">
        <f>Raw_Cancellations!A22</f>
        <v>5208</v>
      </c>
      <c r="B22" s="7">
        <f>IF(COUNTIF(Raw_Cancellations!$A$2:A22,Raw_Cancellations!A22)&gt;1,1,0)</f>
        <v>0</v>
      </c>
      <c r="C22" s="7">
        <f>IF(COUNTIF(Raw_Bookings!$A$2:$A$648,Raw_Cancellations!B22)=0,1,0)</f>
        <v>0</v>
      </c>
      <c r="D22" s="7">
        <f>IF(OR(B22=1,C22=1),0,IF(Raw_Cancellations!I22&gt;Raw_Cancellations!G22+0.005,1,0))</f>
        <v>0</v>
      </c>
      <c r="E22" s="7">
        <f>IFERROR(DATEVALUE(LEFT(Raw_Cancellations!C22,10))+TIMEVALUE(MID(Raw_Cancellations!C22,12,8)),"")</f>
        <v>45635.183530092596</v>
      </c>
      <c r="F22" s="7">
        <f>IFERROR(MATCH(Raw_Cancellations!B22,Work_Bookings!$A$2:$A$648,0),0)</f>
        <v>77</v>
      </c>
      <c r="G22" s="7">
        <f>IF(F22=0,"",INDEX(Work_Bookings!$M$2:$M$648,F22))</f>
        <v>45600.91778935185</v>
      </c>
      <c r="H22" s="7">
        <f>IF(F22=0,0,IF(OR(INDEX(Work_Bookings!$L$2:$L$648,F22)=1,INDEX(Work_Bookings!$K$2:$K$648,F22)=1,INDEX(Work_Bookings!$N$2:$N$648,F22)=1,COUNTIFS(Work_Passengers!$B$2:$B$1336,Raw_Cancellations!B22,Work_Passengers!$L$2:$L$1336,1)&gt;0),1,0))</f>
        <v>0</v>
      </c>
      <c r="I22" s="7">
        <f>IF(OR(B22=1,C22=1,H22=1),0,IF(AND(ISNUMBER(E22),ISNUMBER(G22)),IF(E22&lt;G22,1,0),0))</f>
        <v>0</v>
      </c>
    </row>
    <row r="23" spans="1:9">
      <c r="A23" s="7">
        <f>Raw_Cancellations!A23</f>
        <v>5520</v>
      </c>
      <c r="B23" s="7">
        <f>IF(COUNTIF(Raw_Cancellations!$A$2:A23,Raw_Cancellations!A23)&gt;1,1,0)</f>
        <v>0</v>
      </c>
      <c r="C23" s="7">
        <f>IF(COUNTIF(Raw_Bookings!$A$2:$A$648,Raw_Cancellations!B23)=0,1,0)</f>
        <v>0</v>
      </c>
      <c r="D23" s="7">
        <f>IF(OR(B23=1,C23=1),0,IF(Raw_Cancellations!I23&gt;Raw_Cancellations!G23+0.005,1,0))</f>
        <v>0</v>
      </c>
      <c r="E23" s="7">
        <f>IFERROR(DATEVALUE(LEFT(Raw_Cancellations!C23,10))+TIMEVALUE(MID(Raw_Cancellations!C23,12,8)),"")</f>
        <v>45643.28820601852</v>
      </c>
      <c r="F23" s="7">
        <f>IFERROR(MATCH(Raw_Cancellations!B23,Work_Bookings!$A$2:$A$648,0),0)</f>
        <v>100</v>
      </c>
      <c r="G23" s="7">
        <f>IF(F23=0,"",INDEX(Work_Bookings!$M$2:$M$648,F23))</f>
        <v>45634.70607638889</v>
      </c>
      <c r="H23" s="7">
        <f>IF(F23=0,0,IF(OR(INDEX(Work_Bookings!$L$2:$L$648,F23)=1,INDEX(Work_Bookings!$K$2:$K$648,F23)=1,INDEX(Work_Bookings!$N$2:$N$648,F23)=1,COUNTIFS(Work_Passengers!$B$2:$B$1336,Raw_Cancellations!B23,Work_Passengers!$L$2:$L$1336,1)&gt;0),1,0))</f>
        <v>0</v>
      </c>
      <c r="I23" s="7">
        <f>IF(OR(B23=1,C23=1,H23=1),0,IF(AND(ISNUMBER(E23),ISNUMBER(G23)),IF(E23&lt;G23,1,0),0))</f>
        <v>0</v>
      </c>
    </row>
    <row r="24" spans="1:9">
      <c r="A24" s="7">
        <f>Raw_Cancellations!A24</f>
        <v>5990</v>
      </c>
      <c r="B24" s="7">
        <f>IF(COUNTIF(Raw_Cancellations!$A$2:A24,Raw_Cancellations!A24)&gt;1,1,0)</f>
        <v>0</v>
      </c>
      <c r="C24" s="7">
        <f>IF(COUNTIF(Raw_Bookings!$A$2:$A$648,Raw_Cancellations!B24)=0,1,0)</f>
        <v>0</v>
      </c>
      <c r="D24" s="7">
        <f>IF(OR(B24=1,C24=1),0,IF(Raw_Cancellations!I24&gt;Raw_Cancellations!G24+0.005,1,0))</f>
        <v>0</v>
      </c>
      <c r="E24" s="7">
        <f>IFERROR(DATEVALUE(LEFT(Raw_Cancellations!C24,10))+TIMEVALUE(MID(Raw_Cancellations!C24,12,8)),"")</f>
        <v>45649.4996875</v>
      </c>
      <c r="F24" s="7">
        <f>IFERROR(MATCH(Raw_Cancellations!B24,Work_Bookings!$A$2:$A$648,0),0)</f>
        <v>107</v>
      </c>
      <c r="G24" s="7">
        <f>IF(F24=0,"",INDEX(Work_Bookings!$M$2:$M$648,F24))</f>
        <v>45640.7865625</v>
      </c>
      <c r="H24" s="7">
        <f>IF(F24=0,0,IF(OR(INDEX(Work_Bookings!$L$2:$L$648,F24)=1,INDEX(Work_Bookings!$K$2:$K$648,F24)=1,INDEX(Work_Bookings!$N$2:$N$648,F24)=1,COUNTIFS(Work_Passengers!$B$2:$B$1336,Raw_Cancellations!B24,Work_Passengers!$L$2:$L$1336,1)&gt;0),1,0))</f>
        <v>0</v>
      </c>
      <c r="I24" s="7">
        <f>IF(OR(B24=1,C24=1,H24=1),0,IF(AND(ISNUMBER(E24),ISNUMBER(G24)),IF(E24&lt;G24,1,0),0))</f>
        <v>0</v>
      </c>
    </row>
    <row r="25" spans="1:9">
      <c r="A25" s="7">
        <f>Raw_Cancellations!A25</f>
        <v>6031</v>
      </c>
      <c r="B25" s="7">
        <f>IF(COUNTIF(Raw_Cancellations!$A$2:A25,Raw_Cancellations!A25)&gt;1,1,0)</f>
        <v>0</v>
      </c>
      <c r="C25" s="7">
        <f>IF(COUNTIF(Raw_Bookings!$A$2:$A$648,Raw_Cancellations!B25)=0,1,0)</f>
        <v>0</v>
      </c>
      <c r="D25" s="7">
        <f>IF(OR(B25=1,C25=1),0,IF(Raw_Cancellations!I25&gt;Raw_Cancellations!G25+0.005,1,0))</f>
        <v>0</v>
      </c>
      <c r="E25" s="7">
        <f>IFERROR(DATEVALUE(LEFT(Raw_Cancellations!C25,10))+TIMEVALUE(MID(Raw_Cancellations!C25,12,8)),"")</f>
        <v>45650.39164351852</v>
      </c>
      <c r="F25" s="7">
        <f>IFERROR(MATCH(Raw_Cancellations!B25,Work_Bookings!$A$2:$A$648,0),0)</f>
        <v>114</v>
      </c>
      <c r="G25" s="7">
        <f>IF(F25=0,"",INDEX(Work_Bookings!$M$2:$M$648,F25))</f>
        <v>45645.44318287037</v>
      </c>
      <c r="H25" s="7">
        <f>IF(F25=0,0,IF(OR(INDEX(Work_Bookings!$L$2:$L$648,F25)=1,INDEX(Work_Bookings!$K$2:$K$648,F25)=1,INDEX(Work_Bookings!$N$2:$N$648,F25)=1,COUNTIFS(Work_Passengers!$B$2:$B$1336,Raw_Cancellations!B25,Work_Passengers!$L$2:$L$1336,1)&gt;0),1,0))</f>
        <v>0</v>
      </c>
      <c r="I25" s="7">
        <f>IF(OR(B25=1,C25=1,H25=1),0,IF(AND(ISNUMBER(E25),ISNUMBER(G25)),IF(E25&lt;G25,1,0),0))</f>
        <v>0</v>
      </c>
    </row>
    <row r="26" spans="1:9">
      <c r="A26" s="7">
        <f>Raw_Cancellations!A26</f>
        <v>6481</v>
      </c>
      <c r="B26" s="7">
        <f>IF(COUNTIF(Raw_Cancellations!$A$2:A26,Raw_Cancellations!A26)&gt;1,1,0)</f>
        <v>0</v>
      </c>
      <c r="C26" s="7">
        <f>IF(COUNTIF(Raw_Bookings!$A$2:$A$648,Raw_Cancellations!B26)=0,1,0)</f>
        <v>0</v>
      </c>
      <c r="D26" s="7">
        <f>IF(OR(B26=1,C26=1),0,IF(Raw_Cancellations!I26&gt;Raw_Cancellations!G26+0.005,1,0))</f>
        <v>0</v>
      </c>
      <c r="E26" s="7">
        <f>IFERROR(DATEVALUE(LEFT(Raw_Cancellations!C26,10))+TIMEVALUE(MID(Raw_Cancellations!C26,12,8)),"")</f>
        <v>45658.770833333336</v>
      </c>
      <c r="F26" s="7">
        <f>IFERROR(MATCH(Raw_Cancellations!B26,Work_Bookings!$A$2:$A$648,0),0)</f>
        <v>122</v>
      </c>
      <c r="G26" s="7">
        <f>IF(F26=0,"",INDEX(Work_Bookings!$M$2:$M$648,F26))</f>
        <v>45656.832291666666</v>
      </c>
      <c r="H26" s="7">
        <f>IF(F26=0,0,IF(OR(INDEX(Work_Bookings!$L$2:$L$648,F26)=1,INDEX(Work_Bookings!$K$2:$K$648,F26)=1,INDEX(Work_Bookings!$N$2:$N$648,F26)=1,COUNTIFS(Work_Passengers!$B$2:$B$1336,Raw_Cancellations!B26,Work_Passengers!$L$2:$L$1336,1)&gt;0),1,0))</f>
        <v>0</v>
      </c>
      <c r="I26" s="7">
        <f>IF(OR(B26=1,C26=1,H26=1),0,IF(AND(ISNUMBER(E26),ISNUMBER(G26)),IF(E26&lt;G26,1,0),0))</f>
        <v>0</v>
      </c>
    </row>
    <row r="27" spans="1:9">
      <c r="A27" s="7">
        <f>Raw_Cancellations!A27</f>
        <v>6520</v>
      </c>
      <c r="B27" s="7">
        <f>IF(COUNTIF(Raw_Cancellations!$A$2:A27,Raw_Cancellations!A27)&gt;1,1,0)</f>
        <v>0</v>
      </c>
      <c r="C27" s="7">
        <f>IF(COUNTIF(Raw_Bookings!$A$2:$A$648,Raw_Cancellations!B27)=0,1,0)</f>
        <v>0</v>
      </c>
      <c r="D27" s="7">
        <f>IF(OR(B27=1,C27=1),0,IF(Raw_Cancellations!I27&gt;Raw_Cancellations!G27+0.005,1,0))</f>
        <v>0</v>
      </c>
      <c r="E27" s="7">
        <f>IFERROR(DATEVALUE(LEFT(Raw_Cancellations!C27,10))+TIMEVALUE(MID(Raw_Cancellations!C27,12,8)),"")</f>
        <v>45659.69189814815</v>
      </c>
      <c r="F27" s="7">
        <f>IFERROR(MATCH(Raw_Cancellations!B27,Work_Bookings!$A$2:$A$648,0),0)</f>
        <v>34</v>
      </c>
      <c r="G27" s="7">
        <f>IF(F27=0,"",INDEX(Work_Bookings!$M$2:$M$648,F27))</f>
        <v>45557.389398148145</v>
      </c>
      <c r="H27" s="7">
        <f>IF(F27=0,0,IF(OR(INDEX(Work_Bookings!$L$2:$L$648,F27)=1,INDEX(Work_Bookings!$K$2:$K$648,F27)=1,INDEX(Work_Bookings!$N$2:$N$648,F27)=1,COUNTIFS(Work_Passengers!$B$2:$B$1336,Raw_Cancellations!B27,Work_Passengers!$L$2:$L$1336,1)&gt;0),1,0))</f>
        <v>0</v>
      </c>
      <c r="I27" s="7">
        <f>IF(OR(B27=1,C27=1,H27=1),0,IF(AND(ISNUMBER(E27),ISNUMBER(G27)),IF(E27&lt;G27,1,0),0))</f>
        <v>0</v>
      </c>
    </row>
    <row r="28" spans="1:9">
      <c r="A28" s="7">
        <f>Raw_Cancellations!A28</f>
        <v>6727</v>
      </c>
      <c r="B28" s="7">
        <f>IF(COUNTIF(Raw_Cancellations!$A$2:A28,Raw_Cancellations!A28)&gt;1,1,0)</f>
        <v>0</v>
      </c>
      <c r="C28" s="7">
        <f>IF(COUNTIF(Raw_Bookings!$A$2:$A$648,Raw_Cancellations!B28)=0,1,0)</f>
        <v>0</v>
      </c>
      <c r="D28" s="7">
        <f>IF(OR(B28=1,C28=1),0,IF(Raw_Cancellations!I28&gt;Raw_Cancellations!G28+0.005,1,0))</f>
        <v>0</v>
      </c>
      <c r="E28" s="7">
        <f>IFERROR(DATEVALUE(LEFT(Raw_Cancellations!C28,10))+TIMEVALUE(MID(Raw_Cancellations!C28,12,8)),"")</f>
        <v>45664.13747685185</v>
      </c>
      <c r="F28" s="7">
        <f>IFERROR(MATCH(Raw_Cancellations!B28,Work_Bookings!$A$2:$A$648,0),0)</f>
        <v>130</v>
      </c>
      <c r="G28" s="7">
        <f>IF(F28=0,"",INDEX(Work_Bookings!$M$2:$M$648,F28))</f>
        <v>45663.93247685185</v>
      </c>
      <c r="H28" s="7">
        <f>IF(F28=0,0,IF(OR(INDEX(Work_Bookings!$L$2:$L$648,F28)=1,INDEX(Work_Bookings!$K$2:$K$648,F28)=1,INDEX(Work_Bookings!$N$2:$N$648,F28)=1,COUNTIFS(Work_Passengers!$B$2:$B$1336,Raw_Cancellations!B28,Work_Passengers!$L$2:$L$1336,1)&gt;0),1,0))</f>
        <v>0</v>
      </c>
      <c r="I28" s="7">
        <f>IF(OR(B28=1,C28=1,H28=1),0,IF(AND(ISNUMBER(E28),ISNUMBER(G28)),IF(E28&lt;G28,1,0),0))</f>
        <v>0</v>
      </c>
    </row>
    <row r="29" spans="1:9">
      <c r="A29" s="7">
        <f>Raw_Cancellations!A29</f>
        <v>6886</v>
      </c>
      <c r="B29" s="7">
        <f>IF(COUNTIF(Raw_Cancellations!$A$2:A29,Raw_Cancellations!A29)&gt;1,1,0)</f>
        <v>0</v>
      </c>
      <c r="C29" s="7">
        <f>IF(COUNTIF(Raw_Bookings!$A$2:$A$648,Raw_Cancellations!B29)=0,1,0)</f>
        <v>0</v>
      </c>
      <c r="D29" s="7">
        <f>IF(OR(B29=1,C29=1),0,IF(Raw_Cancellations!I29&gt;Raw_Cancellations!G29+0.005,1,0))</f>
        <v>0</v>
      </c>
      <c r="E29" s="7">
        <f>IFERROR(DATEVALUE(LEFT(Raw_Cancellations!C29,10))+TIMEVALUE(MID(Raw_Cancellations!C29,12,8)),"")</f>
        <v>45668.13366898148</v>
      </c>
      <c r="F29" s="7">
        <f>IFERROR(MATCH(Raw_Cancellations!B29,Work_Bookings!$A$2:$A$648,0),0)</f>
        <v>129</v>
      </c>
      <c r="G29" s="7">
        <f>IF(F29=0,"",INDEX(Work_Bookings!$M$2:$M$648,F29))</f>
        <v>45663.70253472222</v>
      </c>
      <c r="H29" s="7">
        <f>IF(F29=0,0,IF(OR(INDEX(Work_Bookings!$L$2:$L$648,F29)=1,INDEX(Work_Bookings!$K$2:$K$648,F29)=1,INDEX(Work_Bookings!$N$2:$N$648,F29)=1,COUNTIFS(Work_Passengers!$B$2:$B$1336,Raw_Cancellations!B29,Work_Passengers!$L$2:$L$1336,1)&gt;0),1,0))</f>
        <v>0</v>
      </c>
      <c r="I29" s="7">
        <f>IF(OR(B29=1,C29=1,H29=1),0,IF(AND(ISNUMBER(E29),ISNUMBER(G29)),IF(E29&lt;G29,1,0),0))</f>
        <v>0</v>
      </c>
    </row>
    <row r="30" spans="1:9">
      <c r="A30" s="7">
        <f>Raw_Cancellations!A30</f>
        <v>6979</v>
      </c>
      <c r="B30" s="7">
        <f>IF(COUNTIF(Raw_Cancellations!$A$2:A30,Raw_Cancellations!A30)&gt;1,1,0)</f>
        <v>0</v>
      </c>
      <c r="C30" s="7">
        <f>IF(COUNTIF(Raw_Bookings!$A$2:$A$648,Raw_Cancellations!B30)=0,1,0)</f>
        <v>0</v>
      </c>
      <c r="D30" s="7">
        <f>IF(OR(B30=1,C30=1),0,IF(Raw_Cancellations!I30&gt;Raw_Cancellations!G30+0.005,1,0))</f>
        <v>0</v>
      </c>
      <c r="E30" s="7">
        <f>IFERROR(DATEVALUE(LEFT(Raw_Cancellations!C30,10))+TIMEVALUE(MID(Raw_Cancellations!C30,12,8)),"")</f>
        <v>45671.339525462965</v>
      </c>
      <c r="F30" s="7">
        <f>IFERROR(MATCH(Raw_Cancellations!B30,Work_Bookings!$A$2:$A$648,0),0)</f>
        <v>126</v>
      </c>
      <c r="G30" s="7">
        <f>IF(F30=0,"",INDEX(Work_Bookings!$M$2:$M$648,F30))</f>
        <v>45661.8390162037</v>
      </c>
      <c r="H30" s="7">
        <f>IF(F30=0,0,IF(OR(INDEX(Work_Bookings!$L$2:$L$648,F30)=1,INDEX(Work_Bookings!$K$2:$K$648,F30)=1,INDEX(Work_Bookings!$N$2:$N$648,F30)=1,COUNTIFS(Work_Passengers!$B$2:$B$1336,Raw_Cancellations!B30,Work_Passengers!$L$2:$L$1336,1)&gt;0),1,0))</f>
        <v>0</v>
      </c>
      <c r="I30" s="7">
        <f>IF(OR(B30=1,C30=1,H30=1),0,IF(AND(ISNUMBER(E30),ISNUMBER(G30)),IF(E30&lt;G30,1,0),0))</f>
        <v>0</v>
      </c>
    </row>
    <row r="31" spans="1:9">
      <c r="A31" s="7">
        <f>Raw_Cancellations!A31</f>
        <v>7206</v>
      </c>
      <c r="B31" s="7">
        <f>IF(COUNTIF(Raw_Cancellations!$A$2:A31,Raw_Cancellations!A31)&gt;1,1,0)</f>
        <v>0</v>
      </c>
      <c r="C31" s="7">
        <f>IF(COUNTIF(Raw_Bookings!$A$2:$A$648,Raw_Cancellations!B31)=0,1,0)</f>
        <v>0</v>
      </c>
      <c r="D31" s="7">
        <f>IF(OR(B31=1,C31=1),0,IF(Raw_Cancellations!I31&gt;Raw_Cancellations!G31+0.005,1,0))</f>
        <v>1</v>
      </c>
      <c r="E31" s="7">
        <f>IFERROR(DATEVALUE(LEFT(Raw_Cancellations!C31,10))+TIMEVALUE(MID(Raw_Cancellations!C31,12,8)),"")</f>
        <v>45676.629375</v>
      </c>
      <c r="F31" s="7">
        <f>IFERROR(MATCH(Raw_Cancellations!B31,Work_Bookings!$A$2:$A$648,0),0)</f>
        <v>98</v>
      </c>
      <c r="G31" s="7">
        <f>IF(F31=0,"",INDEX(Work_Bookings!$M$2:$M$648,F31))</f>
        <v>45629.79315972222</v>
      </c>
      <c r="H31" s="7">
        <f>IF(F31=0,0,IF(OR(INDEX(Work_Bookings!$L$2:$L$648,F31)=1,INDEX(Work_Bookings!$K$2:$K$648,F31)=1,INDEX(Work_Bookings!$N$2:$N$648,F31)=1,COUNTIFS(Work_Passengers!$B$2:$B$1336,Raw_Cancellations!B31,Work_Passengers!$L$2:$L$1336,1)&gt;0),1,0))</f>
        <v>0</v>
      </c>
      <c r="I31" s="7">
        <f>IF(OR(B31=1,C31=1,H31=1),0,IF(AND(ISNUMBER(E31),ISNUMBER(G31)),IF(E31&lt;G31,1,0),0))</f>
        <v>0</v>
      </c>
    </row>
    <row r="32" spans="1:9">
      <c r="A32" s="7">
        <f>Raw_Cancellations!A32</f>
        <v>7536</v>
      </c>
      <c r="B32" s="7">
        <f>IF(COUNTIF(Raw_Cancellations!$A$2:A32,Raw_Cancellations!A32)&gt;1,1,0)</f>
        <v>0</v>
      </c>
      <c r="C32" s="7">
        <f>IF(COUNTIF(Raw_Bookings!$A$2:$A$648,Raw_Cancellations!B32)=0,1,0)</f>
        <v>0</v>
      </c>
      <c r="D32" s="7">
        <f>IF(OR(B32=1,C32=1),0,IF(Raw_Cancellations!I32&gt;Raw_Cancellations!G32+0.005,1,0))</f>
        <v>0</v>
      </c>
      <c r="E32" s="7">
        <f>IFERROR(DATEVALUE(LEFT(Raw_Cancellations!C32,10))+TIMEVALUE(MID(Raw_Cancellations!C32,12,8)),"")</f>
        <v>45682.951886574076</v>
      </c>
      <c r="F32" s="7">
        <f>IFERROR(MATCH(Raw_Cancellations!B32,Work_Bookings!$A$2:$A$648,0),0)</f>
        <v>119</v>
      </c>
      <c r="G32" s="7">
        <f>IF(F32=0,"",INDEX(Work_Bookings!$M$2:$M$648,F32))</f>
        <v>45653.410474537035</v>
      </c>
      <c r="H32" s="7">
        <f>IF(F32=0,0,IF(OR(INDEX(Work_Bookings!$L$2:$L$648,F32)=1,INDEX(Work_Bookings!$K$2:$K$648,F32)=1,INDEX(Work_Bookings!$N$2:$N$648,F32)=1,COUNTIFS(Work_Passengers!$B$2:$B$1336,Raw_Cancellations!B32,Work_Passengers!$L$2:$L$1336,1)&gt;0),1,0))</f>
        <v>0</v>
      </c>
      <c r="I32" s="7">
        <f>IF(OR(B32=1,C32=1,H32=1),0,IF(AND(ISNUMBER(E32),ISNUMBER(G32)),IF(E32&lt;G32,1,0),0))</f>
        <v>0</v>
      </c>
    </row>
    <row r="33" spans="1:9">
      <c r="A33" s="7">
        <f>Raw_Cancellations!A33</f>
        <v>7659</v>
      </c>
      <c r="B33" s="7">
        <f>IF(COUNTIF(Raw_Cancellations!$A$2:A33,Raw_Cancellations!A33)&gt;1,1,0)</f>
        <v>0</v>
      </c>
      <c r="C33" s="7">
        <f>IF(COUNTIF(Raw_Bookings!$A$2:$A$648,Raw_Cancellations!B33)=0,1,0)</f>
        <v>0</v>
      </c>
      <c r="D33" s="7">
        <f>IF(OR(B33=1,C33=1),0,IF(Raw_Cancellations!I33&gt;Raw_Cancellations!G33+0.005,1,0))</f>
        <v>0</v>
      </c>
      <c r="E33" s="7">
        <f>IFERROR(DATEVALUE(LEFT(Raw_Cancellations!C33,10))+TIMEVALUE(MID(Raw_Cancellations!C33,12,8)),"")</f>
        <v>45685.46212962963</v>
      </c>
      <c r="F33" s="7">
        <f>IFERROR(MATCH(Raw_Cancellations!B33,Work_Bookings!$A$2:$A$648,0),0)</f>
        <v>108</v>
      </c>
      <c r="G33" s="7">
        <f>IF(F33=0,"",INDEX(Work_Bookings!$M$2:$M$648,F33))</f>
        <v>45641.58059027778</v>
      </c>
      <c r="H33" s="7">
        <f>IF(F33=0,0,IF(OR(INDEX(Work_Bookings!$L$2:$L$648,F33)=1,INDEX(Work_Bookings!$K$2:$K$648,F33)=1,INDEX(Work_Bookings!$N$2:$N$648,F33)=1,COUNTIFS(Work_Passengers!$B$2:$B$1336,Raw_Cancellations!B33,Work_Passengers!$L$2:$L$1336,1)&gt;0),1,0))</f>
        <v>0</v>
      </c>
      <c r="I33" s="7">
        <f>IF(OR(B33=1,C33=1,H33=1),0,IF(AND(ISNUMBER(E33),ISNUMBER(G33)),IF(E33&lt;G33,1,0),0))</f>
        <v>0</v>
      </c>
    </row>
    <row r="34" spans="1:9">
      <c r="A34" s="7">
        <f>Raw_Cancellations!A34</f>
        <v>7814</v>
      </c>
      <c r="B34" s="7">
        <f>IF(COUNTIF(Raw_Cancellations!$A$2:A34,Raw_Cancellations!A34)&gt;1,1,0)</f>
        <v>0</v>
      </c>
      <c r="C34" s="7">
        <f>IF(COUNTIF(Raw_Bookings!$A$2:$A$648,Raw_Cancellations!B34)=0,1,0)</f>
        <v>0</v>
      </c>
      <c r="D34" s="7">
        <f>IF(OR(B34=1,C34=1),0,IF(Raw_Cancellations!I34&gt;Raw_Cancellations!G34+0.005,1,0))</f>
        <v>0</v>
      </c>
      <c r="E34" s="7">
        <f>IFERROR(DATEVALUE(LEFT(Raw_Cancellations!C34,10))+TIMEVALUE(MID(Raw_Cancellations!C34,12,8)),"")</f>
        <v>45689.88385416667</v>
      </c>
      <c r="F34" s="7">
        <f>IFERROR(MATCH(Raw_Cancellations!B34,Work_Bookings!$A$2:$A$648,0),0)</f>
        <v>139</v>
      </c>
      <c r="G34" s="7">
        <f>IF(F34=0,"",INDEX(Work_Bookings!$M$2:$M$648,F34))</f>
        <v>45683.87168981481</v>
      </c>
      <c r="H34" s="7">
        <f>IF(F34=0,0,IF(OR(INDEX(Work_Bookings!$L$2:$L$648,F34)=1,INDEX(Work_Bookings!$K$2:$K$648,F34)=1,INDEX(Work_Bookings!$N$2:$N$648,F34)=1,COUNTIFS(Work_Passengers!$B$2:$B$1336,Raw_Cancellations!B34,Work_Passengers!$L$2:$L$1336,1)&gt;0),1,0))</f>
        <v>0</v>
      </c>
      <c r="I34" s="7">
        <f>IF(OR(B34=1,C34=1,H34=1),0,IF(AND(ISNUMBER(E34),ISNUMBER(G34)),IF(E34&lt;G34,1,0),0))</f>
        <v>0</v>
      </c>
    </row>
    <row r="35" spans="1:9">
      <c r="A35" s="7">
        <f>Raw_Cancellations!A35</f>
        <v>8638</v>
      </c>
      <c r="B35" s="7">
        <f>IF(COUNTIF(Raw_Cancellations!$A$2:A35,Raw_Cancellations!A35)&gt;1,1,0)</f>
        <v>0</v>
      </c>
      <c r="C35" s="7">
        <f>IF(COUNTIF(Raw_Bookings!$A$2:$A$648,Raw_Cancellations!B35)=0,1,0)</f>
        <v>0</v>
      </c>
      <c r="D35" s="7">
        <f>IF(OR(B35=1,C35=1),0,IF(Raw_Cancellations!I35&gt;Raw_Cancellations!G35+0.005,1,0))</f>
        <v>0</v>
      </c>
      <c r="E35" s="7">
        <f>IFERROR(DATEVALUE(LEFT(Raw_Cancellations!C35,10))+TIMEVALUE(MID(Raw_Cancellations!C35,12,8)),"")</f>
        <v>45705.72143518519</v>
      </c>
      <c r="F35" s="7">
        <f>IFERROR(MATCH(Raw_Cancellations!B35,Work_Bookings!$A$2:$A$648,0),0)</f>
        <v>141</v>
      </c>
      <c r="G35" s="7">
        <f>IF(F35=0,"",INDEX(Work_Bookings!$M$2:$M$648,F35))</f>
        <v>45691.430763888886</v>
      </c>
      <c r="H35" s="7">
        <f>IF(F35=0,0,IF(OR(INDEX(Work_Bookings!$L$2:$L$648,F35)=1,INDEX(Work_Bookings!$K$2:$K$648,F35)=1,INDEX(Work_Bookings!$N$2:$N$648,F35)=1,COUNTIFS(Work_Passengers!$B$2:$B$1336,Raw_Cancellations!B35,Work_Passengers!$L$2:$L$1336,1)&gt;0),1,0))</f>
        <v>0</v>
      </c>
      <c r="I35" s="7">
        <f>IF(OR(B35=1,C35=1,H35=1),0,IF(AND(ISNUMBER(E35),ISNUMBER(G35)),IF(E35&lt;G35,1,0),0))</f>
        <v>0</v>
      </c>
    </row>
    <row r="36" spans="1:9">
      <c r="A36" s="7">
        <f>Raw_Cancellations!A36</f>
        <v>8720</v>
      </c>
      <c r="B36" s="7">
        <f>IF(COUNTIF(Raw_Cancellations!$A$2:A36,Raw_Cancellations!A36)&gt;1,1,0)</f>
        <v>0</v>
      </c>
      <c r="C36" s="7">
        <f>IF(COUNTIF(Raw_Bookings!$A$2:$A$648,Raw_Cancellations!B36)=0,1,0)</f>
        <v>0</v>
      </c>
      <c r="D36" s="7">
        <f>IF(OR(B36=1,C36=1),0,IF(Raw_Cancellations!I36&gt;Raw_Cancellations!G36+0.005,1,0))</f>
        <v>0</v>
      </c>
      <c r="E36" s="7">
        <f>IFERROR(DATEVALUE(LEFT(Raw_Cancellations!C36,10))+TIMEVALUE(MID(Raw_Cancellations!C36,12,8)),"")</f>
        <v>45707.43215277778</v>
      </c>
      <c r="F36" s="7">
        <f>IFERROR(MATCH(Raw_Cancellations!B36,Work_Bookings!$A$2:$A$648,0),0)</f>
        <v>153</v>
      </c>
      <c r="G36" s="7">
        <f>IF(F36=0,"",INDEX(Work_Bookings!$M$2:$M$648,F36))</f>
        <v>45706.26503472222</v>
      </c>
      <c r="H36" s="7">
        <f>IF(F36=0,0,IF(OR(INDEX(Work_Bookings!$L$2:$L$648,F36)=1,INDEX(Work_Bookings!$K$2:$K$648,F36)=1,INDEX(Work_Bookings!$N$2:$N$648,F36)=1,COUNTIFS(Work_Passengers!$B$2:$B$1336,Raw_Cancellations!B36,Work_Passengers!$L$2:$L$1336,1)&gt;0),1,0))</f>
        <v>0</v>
      </c>
      <c r="I36" s="7">
        <f>IF(OR(B36=1,C36=1,H36=1),0,IF(AND(ISNUMBER(E36),ISNUMBER(G36)),IF(E36&lt;G36,1,0),0))</f>
        <v>0</v>
      </c>
    </row>
    <row r="37" spans="1:9">
      <c r="A37" s="7">
        <f>Raw_Cancellations!A37</f>
        <v>8770</v>
      </c>
      <c r="B37" s="7">
        <f>IF(COUNTIF(Raw_Cancellations!$A$2:A37,Raw_Cancellations!A37)&gt;1,1,0)</f>
        <v>0</v>
      </c>
      <c r="C37" s="7">
        <f>IF(COUNTIF(Raw_Bookings!$A$2:$A$648,Raw_Cancellations!B37)=0,1,0)</f>
        <v>0</v>
      </c>
      <c r="D37" s="7">
        <f>IF(OR(B37=1,C37=1),0,IF(Raw_Cancellations!I37&gt;Raw_Cancellations!G37+0.005,1,0))</f>
        <v>0</v>
      </c>
      <c r="E37" s="7">
        <f>IFERROR(DATEVALUE(LEFT(Raw_Cancellations!C37,10))+TIMEVALUE(MID(Raw_Cancellations!C37,12,8)),"")</f>
        <v>45707.666666666664</v>
      </c>
      <c r="F37" s="7">
        <f>IFERROR(MATCH(Raw_Cancellations!B37,Work_Bookings!$A$2:$A$648,0),0)</f>
        <v>151</v>
      </c>
      <c r="G37" s="7">
        <f>IF(F37=0,"",INDEX(Work_Bookings!$M$2:$M$648,F37))</f>
        <v>45704.864907407406</v>
      </c>
      <c r="H37" s="7">
        <f>IF(F37=0,0,IF(OR(INDEX(Work_Bookings!$L$2:$L$648,F37)=1,INDEX(Work_Bookings!$K$2:$K$648,F37)=1,INDEX(Work_Bookings!$N$2:$N$648,F37)=1,COUNTIFS(Work_Passengers!$B$2:$B$1336,Raw_Cancellations!B37,Work_Passengers!$L$2:$L$1336,1)&gt;0),1,0))</f>
        <v>0</v>
      </c>
      <c r="I37" s="7">
        <f>IF(OR(B37=1,C37=1,H37=1),0,IF(AND(ISNUMBER(E37),ISNUMBER(G37)),IF(E37&lt;G37,1,0),0))</f>
        <v>0</v>
      </c>
    </row>
    <row r="38" spans="1:9">
      <c r="A38" s="7">
        <f>Raw_Cancellations!A38</f>
        <v>8861</v>
      </c>
      <c r="B38" s="7">
        <f>IF(COUNTIF(Raw_Cancellations!$A$2:A38,Raw_Cancellations!A38)&gt;1,1,0)</f>
        <v>0</v>
      </c>
      <c r="C38" s="7">
        <f>IF(COUNTIF(Raw_Bookings!$A$2:$A$648,Raw_Cancellations!B38)=0,1,0)</f>
        <v>0</v>
      </c>
      <c r="D38" s="7">
        <f>IF(OR(B38=1,C38=1),0,IF(Raw_Cancellations!I38&gt;Raw_Cancellations!G38+0.005,1,0))</f>
        <v>0</v>
      </c>
      <c r="E38" s="7">
        <f>IFERROR(DATEVALUE(LEFT(Raw_Cancellations!C38,10))+TIMEVALUE(MID(Raw_Cancellations!C38,12,8)),"")</f>
        <v>45709.09375</v>
      </c>
      <c r="F38" s="7">
        <f>IFERROR(MATCH(Raw_Cancellations!B38,Work_Bookings!$A$2:$A$648,0),0)</f>
        <v>154</v>
      </c>
      <c r="G38" s="7">
        <f>IF(F38=0,"",INDEX(Work_Bookings!$M$2:$M$648,F38))</f>
        <v>45706.383680555555</v>
      </c>
      <c r="H38" s="7">
        <f>IF(F38=0,0,IF(OR(INDEX(Work_Bookings!$L$2:$L$648,F38)=1,INDEX(Work_Bookings!$K$2:$K$648,F38)=1,INDEX(Work_Bookings!$N$2:$N$648,F38)=1,COUNTIFS(Work_Passengers!$B$2:$B$1336,Raw_Cancellations!B38,Work_Passengers!$L$2:$L$1336,1)&gt;0),1,0))</f>
        <v>0</v>
      </c>
      <c r="I38" s="7">
        <f>IF(OR(B38=1,C38=1,H38=1),0,IF(AND(ISNUMBER(E38),ISNUMBER(G38)),IF(E38&lt;G38,1,0),0))</f>
        <v>0</v>
      </c>
    </row>
    <row r="39" spans="1:9">
      <c r="A39" s="7">
        <f>Raw_Cancellations!A39</f>
        <v>9437</v>
      </c>
      <c r="B39" s="7">
        <f>IF(COUNTIF(Raw_Cancellations!$A$2:A39,Raw_Cancellations!A39)&gt;1,1,0)</f>
        <v>0</v>
      </c>
      <c r="C39" s="7">
        <f>IF(COUNTIF(Raw_Bookings!$A$2:$A$648,Raw_Cancellations!B39)=0,1,0)</f>
        <v>0</v>
      </c>
      <c r="D39" s="7">
        <f>IF(OR(B39=1,C39=1),0,IF(Raw_Cancellations!I39&gt;Raw_Cancellations!G39+0.005,1,0))</f>
        <v>0</v>
      </c>
      <c r="E39" s="7">
        <f>IFERROR(DATEVALUE(LEFT(Raw_Cancellations!C39,10))+TIMEVALUE(MID(Raw_Cancellations!C39,12,8)),"")</f>
        <v>45720.087800925925</v>
      </c>
      <c r="F39" s="7">
        <f>IFERROR(MATCH(Raw_Cancellations!B39,Work_Bookings!$A$2:$A$648,0),0)</f>
        <v>155</v>
      </c>
      <c r="G39" s="7">
        <f>IF(F39=0,"",INDEX(Work_Bookings!$M$2:$M$648,F39))</f>
        <v>45706.54769675926</v>
      </c>
      <c r="H39" s="7">
        <f>IF(F39=0,0,IF(OR(INDEX(Work_Bookings!$L$2:$L$648,F39)=1,INDEX(Work_Bookings!$K$2:$K$648,F39)=1,INDEX(Work_Bookings!$N$2:$N$648,F39)=1,COUNTIFS(Work_Passengers!$B$2:$B$1336,Raw_Cancellations!B39,Work_Passengers!$L$2:$L$1336,1)&gt;0),1,0))</f>
        <v>0</v>
      </c>
      <c r="I39" s="7">
        <f>IF(OR(B39=1,C39=1,H39=1),0,IF(AND(ISNUMBER(E39),ISNUMBER(G39)),IF(E39&lt;G39,1,0),0))</f>
        <v>0</v>
      </c>
    </row>
    <row r="40" spans="1:9">
      <c r="A40" s="7">
        <f>Raw_Cancellations!A40</f>
        <v>10121</v>
      </c>
      <c r="B40" s="7">
        <f>IF(COUNTIF(Raw_Cancellations!$A$2:A40,Raw_Cancellations!A40)&gt;1,1,0)</f>
        <v>0</v>
      </c>
      <c r="C40" s="7">
        <f>IF(COUNTIF(Raw_Bookings!$A$2:$A$648,Raw_Cancellations!B40)=0,1,0)</f>
        <v>0</v>
      </c>
      <c r="D40" s="7">
        <f>IF(OR(B40=1,C40=1),0,IF(Raw_Cancellations!I40&gt;Raw_Cancellations!G40+0.005,1,0))</f>
        <v>0</v>
      </c>
      <c r="E40" s="7">
        <f>IFERROR(DATEVALUE(LEFT(Raw_Cancellations!C40,10))+TIMEVALUE(MID(Raw_Cancellations!C40,12,8)),"")</f>
        <v>45729.36508101852</v>
      </c>
      <c r="F40" s="7">
        <f>IFERROR(MATCH(Raw_Cancellations!B40,Work_Bookings!$A$2:$A$648,0),0)</f>
        <v>162</v>
      </c>
      <c r="G40" s="7">
        <f>IF(F40=0,"",INDEX(Work_Bookings!$M$2:$M$648,F40))</f>
        <v>45712.854421296295</v>
      </c>
      <c r="H40" s="7">
        <f>IF(F40=0,0,IF(OR(INDEX(Work_Bookings!$L$2:$L$648,F40)=1,INDEX(Work_Bookings!$K$2:$K$648,F40)=1,INDEX(Work_Bookings!$N$2:$N$648,F40)=1,COUNTIFS(Work_Passengers!$B$2:$B$1336,Raw_Cancellations!B40,Work_Passengers!$L$2:$L$1336,1)&gt;0),1,0))</f>
        <v>0</v>
      </c>
      <c r="I40" s="7">
        <f>IF(OR(B40=1,C40=1,H40=1),0,IF(AND(ISNUMBER(E40),ISNUMBER(G40)),IF(E40&lt;G40,1,0),0))</f>
        <v>0</v>
      </c>
    </row>
    <row r="41" spans="1:9">
      <c r="A41" s="7">
        <f>Raw_Cancellations!A41</f>
        <v>10126</v>
      </c>
      <c r="B41" s="7">
        <f>IF(COUNTIF(Raw_Cancellations!$A$2:A41,Raw_Cancellations!A41)&gt;1,1,0)</f>
        <v>0</v>
      </c>
      <c r="C41" s="7">
        <f>IF(COUNTIF(Raw_Bookings!$A$2:$A$648,Raw_Cancellations!B41)=0,1,0)</f>
        <v>0</v>
      </c>
      <c r="D41" s="7">
        <f>IF(OR(B41=1,C41=1),0,IF(Raw_Cancellations!I41&gt;Raw_Cancellations!G41+0.005,1,0))</f>
        <v>0</v>
      </c>
      <c r="E41" s="7">
        <f>IFERROR(DATEVALUE(LEFT(Raw_Cancellations!C41,10))+TIMEVALUE(MID(Raw_Cancellations!C41,12,8)),"")</f>
        <v>45729.4353125</v>
      </c>
      <c r="F41" s="7">
        <f>IFERROR(MATCH(Raw_Cancellations!B41,Work_Bookings!$A$2:$A$648,0),0)</f>
        <v>165</v>
      </c>
      <c r="G41" s="7">
        <f>IF(F41=0,"",INDEX(Work_Bookings!$M$2:$M$648,F41))</f>
        <v>45718.61769675926</v>
      </c>
      <c r="H41" s="7">
        <f>IF(F41=0,0,IF(OR(INDEX(Work_Bookings!$L$2:$L$648,F41)=1,INDEX(Work_Bookings!$K$2:$K$648,F41)=1,INDEX(Work_Bookings!$N$2:$N$648,F41)=1,COUNTIFS(Work_Passengers!$B$2:$B$1336,Raw_Cancellations!B41,Work_Passengers!$L$2:$L$1336,1)&gt;0),1,0))</f>
        <v>0</v>
      </c>
      <c r="I41" s="7">
        <f>IF(OR(B41=1,C41=1,H41=1),0,IF(AND(ISNUMBER(E41),ISNUMBER(G41)),IF(E41&lt;G41,1,0),0))</f>
        <v>0</v>
      </c>
    </row>
    <row r="42" spans="1:9">
      <c r="A42" s="7">
        <f>Raw_Cancellations!A42</f>
        <v>10185</v>
      </c>
      <c r="B42" s="7">
        <f>IF(COUNTIF(Raw_Cancellations!$A$2:A42,Raw_Cancellations!A42)&gt;1,1,0)</f>
        <v>0</v>
      </c>
      <c r="C42" s="7">
        <f>IF(COUNTIF(Raw_Bookings!$A$2:$A$648,Raw_Cancellations!B42)=0,1,0)</f>
        <v>0</v>
      </c>
      <c r="D42" s="7">
        <f>IF(OR(B42=1,C42=1),0,IF(Raw_Cancellations!I42&gt;Raw_Cancellations!G42+0.005,1,0))</f>
        <v>0</v>
      </c>
      <c r="E42" s="7">
        <f>IFERROR(DATEVALUE(LEFT(Raw_Cancellations!C42,10))+TIMEVALUE(MID(Raw_Cancellations!C42,12,8)),"")</f>
        <v>45730.666666666664</v>
      </c>
      <c r="F42" s="7">
        <f>IFERROR(MATCH(Raw_Cancellations!B42,Work_Bookings!$A$2:$A$648,0),0)</f>
        <v>171</v>
      </c>
      <c r="G42" s="7">
        <f>IF(F42=0,"",INDEX(Work_Bookings!$M$2:$M$648,F42))</f>
        <v>45727.55877314815</v>
      </c>
      <c r="H42" s="7">
        <f>IF(F42=0,0,IF(OR(INDEX(Work_Bookings!$L$2:$L$648,F42)=1,INDEX(Work_Bookings!$K$2:$K$648,F42)=1,INDEX(Work_Bookings!$N$2:$N$648,F42)=1,COUNTIFS(Work_Passengers!$B$2:$B$1336,Raw_Cancellations!B42,Work_Passengers!$L$2:$L$1336,1)&gt;0),1,0))</f>
        <v>0</v>
      </c>
      <c r="I42" s="7">
        <f>IF(OR(B42=1,C42=1,H42=1),0,IF(AND(ISNUMBER(E42),ISNUMBER(G42)),IF(E42&lt;G42,1,0),0))</f>
        <v>0</v>
      </c>
    </row>
    <row r="43" spans="1:9">
      <c r="A43" s="7">
        <f>Raw_Cancellations!A43</f>
        <v>10477</v>
      </c>
      <c r="B43" s="7">
        <f>IF(COUNTIF(Raw_Cancellations!$A$2:A43,Raw_Cancellations!A43)&gt;1,1,0)</f>
        <v>0</v>
      </c>
      <c r="C43" s="7">
        <f>IF(COUNTIF(Raw_Bookings!$A$2:$A$648,Raw_Cancellations!B43)=0,1,0)</f>
        <v>0</v>
      </c>
      <c r="D43" s="7">
        <f>IF(OR(B43=1,C43=1),0,IF(Raw_Cancellations!I43&gt;Raw_Cancellations!G43+0.005,1,0))</f>
        <v>0</v>
      </c>
      <c r="E43" s="7">
        <f>IFERROR(DATEVALUE(LEFT(Raw_Cancellations!C43,10))+TIMEVALUE(MID(Raw_Cancellations!C43,12,8)),"")</f>
        <v>45733.2853125</v>
      </c>
      <c r="F43" s="7">
        <f>IFERROR(MATCH(Raw_Cancellations!B43,Work_Bookings!$A$2:$A$648,0),0)</f>
        <v>168</v>
      </c>
      <c r="G43" s="7">
        <f>IF(F43=0,"",INDEX(Work_Bookings!$M$2:$M$648,F43))</f>
        <v>45724.758356481485</v>
      </c>
      <c r="H43" s="7">
        <f>IF(F43=0,0,IF(OR(INDEX(Work_Bookings!$L$2:$L$648,F43)=1,INDEX(Work_Bookings!$K$2:$K$648,F43)=1,INDEX(Work_Bookings!$N$2:$N$648,F43)=1,COUNTIFS(Work_Passengers!$B$2:$B$1336,Raw_Cancellations!B43,Work_Passengers!$L$2:$L$1336,1)&gt;0),1,0))</f>
        <v>0</v>
      </c>
      <c r="I43" s="7">
        <f>IF(OR(B43=1,C43=1,H43=1),0,IF(AND(ISNUMBER(E43),ISNUMBER(G43)),IF(E43&lt;G43,1,0),0))</f>
        <v>0</v>
      </c>
    </row>
    <row r="44" spans="1:9">
      <c r="A44" s="7">
        <f>Raw_Cancellations!A44</f>
        <v>10668</v>
      </c>
      <c r="B44" s="7">
        <f>IF(COUNTIF(Raw_Cancellations!$A$2:A44,Raw_Cancellations!A44)&gt;1,1,0)</f>
        <v>0</v>
      </c>
      <c r="C44" s="7">
        <f>IF(COUNTIF(Raw_Bookings!$A$2:$A$648,Raw_Cancellations!B44)=0,1,0)</f>
        <v>0</v>
      </c>
      <c r="D44" s="7">
        <f>IF(OR(B44=1,C44=1),0,IF(Raw_Cancellations!I44&gt;Raw_Cancellations!G44+0.005,1,0))</f>
        <v>0</v>
      </c>
      <c r="E44" s="7">
        <f>IFERROR(DATEVALUE(LEFT(Raw_Cancellations!C44,10))+TIMEVALUE(MID(Raw_Cancellations!C44,12,8)),"")</f>
        <v>45699.53265046296</v>
      </c>
      <c r="F44" s="7">
        <f>IFERROR(MATCH(Raw_Cancellations!B44,Work_Bookings!$A$2:$A$648,0),0)</f>
        <v>149</v>
      </c>
      <c r="G44" s="7">
        <f>IF(F44=0,"",INDEX(Work_Bookings!$M$2:$M$648,F44))</f>
        <v>45701.44931712963</v>
      </c>
      <c r="H44" s="7">
        <f>IF(F44=0,0,IF(OR(INDEX(Work_Bookings!$L$2:$L$648,F44)=1,INDEX(Work_Bookings!$K$2:$K$648,F44)=1,INDEX(Work_Bookings!$N$2:$N$648,F44)=1,COUNTIFS(Work_Passengers!$B$2:$B$1336,Raw_Cancellations!B44,Work_Passengers!$L$2:$L$1336,1)&gt;0),1,0))</f>
        <v>0</v>
      </c>
      <c r="I44" s="7">
        <f>IF(OR(B44=1,C44=1,H44=1),0,IF(AND(ISNUMBER(E44),ISNUMBER(G44)),IF(E44&lt;G44,1,0),0))</f>
        <v>1</v>
      </c>
    </row>
    <row r="45" spans="1:9">
      <c r="A45" s="7">
        <f>Raw_Cancellations!A45</f>
        <v>11174</v>
      </c>
      <c r="B45" s="7">
        <f>IF(COUNTIF(Raw_Cancellations!$A$2:A45,Raw_Cancellations!A45)&gt;1,1,0)</f>
        <v>0</v>
      </c>
      <c r="C45" s="7">
        <f>IF(COUNTIF(Raw_Bookings!$A$2:$A$648,Raw_Cancellations!B45)=0,1,0)</f>
        <v>0</v>
      </c>
      <c r="D45" s="7">
        <f>IF(OR(B45=1,C45=1),0,IF(Raw_Cancellations!I45&gt;Raw_Cancellations!G45+0.005,1,0))</f>
        <v>0</v>
      </c>
      <c r="E45" s="7">
        <f>IFERROR(DATEVALUE(LEFT(Raw_Cancellations!C45,10))+TIMEVALUE(MID(Raw_Cancellations!C45,12,8)),"")</f>
        <v>45745.50140046296</v>
      </c>
      <c r="F45" s="7">
        <f>IFERROR(MATCH(Raw_Cancellations!B45,Work_Bookings!$A$2:$A$648,0),0)</f>
        <v>180</v>
      </c>
      <c r="G45" s="7">
        <f>IF(F45=0,"",INDEX(Work_Bookings!$M$2:$M$648,F45))</f>
        <v>45737.83673611111</v>
      </c>
      <c r="H45" s="7">
        <f>IF(F45=0,0,IF(OR(INDEX(Work_Bookings!$L$2:$L$648,F45)=1,INDEX(Work_Bookings!$K$2:$K$648,F45)=1,INDEX(Work_Bookings!$N$2:$N$648,F45)=1,COUNTIFS(Work_Passengers!$B$2:$B$1336,Raw_Cancellations!B45,Work_Passengers!$L$2:$L$1336,1)&gt;0),1,0))</f>
        <v>0</v>
      </c>
      <c r="I45" s="7">
        <f>IF(OR(B45=1,C45=1,H45=1),0,IF(AND(ISNUMBER(E45),ISNUMBER(G45)),IF(E45&lt;G45,1,0),0))</f>
        <v>0</v>
      </c>
    </row>
    <row r="46" spans="1:9">
      <c r="A46" s="7">
        <f>Raw_Cancellations!A46</f>
        <v>12095</v>
      </c>
      <c r="B46" s="7">
        <f>IF(COUNTIF(Raw_Cancellations!$A$2:A46,Raw_Cancellations!A46)&gt;1,1,0)</f>
        <v>0</v>
      </c>
      <c r="C46" s="7">
        <f>IF(COUNTIF(Raw_Bookings!$A$2:$A$648,Raw_Cancellations!B46)=0,1,0)</f>
        <v>0</v>
      </c>
      <c r="D46" s="7">
        <f>IF(OR(B46=1,C46=1),0,IF(Raw_Cancellations!I46&gt;Raw_Cancellations!G46+0.005,1,0))</f>
        <v>0</v>
      </c>
      <c r="E46" s="7">
        <f>IFERROR(DATEVALUE(LEFT(Raw_Cancellations!C46,10))+TIMEVALUE(MID(Raw_Cancellations!C46,12,8)),"")</f>
        <v>45760.077627314815</v>
      </c>
      <c r="F46" s="7">
        <f>IFERROR(MATCH(Raw_Cancellations!B46,Work_Bookings!$A$2:$A$648,0),0)</f>
        <v>174</v>
      </c>
      <c r="G46" s="7">
        <f>IF(F46=0,"",INDEX(Work_Bookings!$M$2:$M$648,F46))</f>
        <v>45730.611909722225</v>
      </c>
      <c r="H46" s="7">
        <f>IF(F46=0,0,IF(OR(INDEX(Work_Bookings!$L$2:$L$648,F46)=1,INDEX(Work_Bookings!$K$2:$K$648,F46)=1,INDEX(Work_Bookings!$N$2:$N$648,F46)=1,COUNTIFS(Work_Passengers!$B$2:$B$1336,Raw_Cancellations!B46,Work_Passengers!$L$2:$L$1336,1)&gt;0),1,0))</f>
        <v>0</v>
      </c>
      <c r="I46" s="7">
        <f>IF(OR(B46=1,C46=1,H46=1),0,IF(AND(ISNUMBER(E46),ISNUMBER(G46)),IF(E46&lt;G46,1,0),0))</f>
        <v>0</v>
      </c>
    </row>
    <row r="47" spans="1:9">
      <c r="A47" s="7">
        <f>Raw_Cancellations!A47</f>
        <v>12768</v>
      </c>
      <c r="B47" s="7">
        <f>IF(COUNTIF(Raw_Cancellations!$A$2:A47,Raw_Cancellations!A47)&gt;1,1,0)</f>
        <v>0</v>
      </c>
      <c r="C47" s="7">
        <f>IF(COUNTIF(Raw_Bookings!$A$2:$A$648,Raw_Cancellations!B47)=0,1,0)</f>
        <v>0</v>
      </c>
      <c r="D47" s="7">
        <f>IF(OR(B47=1,C47=1),0,IF(Raw_Cancellations!I47&gt;Raw_Cancellations!G47+0.005,1,0))</f>
        <v>0</v>
      </c>
      <c r="E47" s="7">
        <f>IFERROR(DATEVALUE(LEFT(Raw_Cancellations!C47,10))+TIMEVALUE(MID(Raw_Cancellations!C47,12,8)),"")</f>
        <v>45767.760416666664</v>
      </c>
      <c r="F47" s="7">
        <f>IFERROR(MATCH(Raw_Cancellations!B47,Work_Bookings!$A$2:$A$648,0),0)</f>
        <v>206</v>
      </c>
      <c r="G47" s="7">
        <f>IF(F47=0,"",INDEX(Work_Bookings!$M$2:$M$648,F47))</f>
        <v>45763.762824074074</v>
      </c>
      <c r="H47" s="7">
        <f>IF(F47=0,0,IF(OR(INDEX(Work_Bookings!$L$2:$L$648,F47)=1,INDEX(Work_Bookings!$K$2:$K$648,F47)=1,INDEX(Work_Bookings!$N$2:$N$648,F47)=1,COUNTIFS(Work_Passengers!$B$2:$B$1336,Raw_Cancellations!B47,Work_Passengers!$L$2:$L$1336,1)&gt;0),1,0))</f>
        <v>0</v>
      </c>
      <c r="I47" s="7">
        <f>IF(OR(B47=1,C47=1,H47=1),0,IF(AND(ISNUMBER(E47),ISNUMBER(G47)),IF(E47&lt;G47,1,0),0))</f>
        <v>0</v>
      </c>
    </row>
    <row r="48" spans="1:9">
      <c r="A48" s="7">
        <f>Raw_Cancellations!A48</f>
        <v>12778</v>
      </c>
      <c r="B48" s="7">
        <f>IF(COUNTIF(Raw_Cancellations!$A$2:A48,Raw_Cancellations!A48)&gt;1,1,0)</f>
        <v>0</v>
      </c>
      <c r="C48" s="7">
        <f>IF(COUNTIF(Raw_Bookings!$A$2:$A$648,Raw_Cancellations!B48)=0,1,0)</f>
        <v>0</v>
      </c>
      <c r="D48" s="7">
        <f>IF(OR(B48=1,C48=1),0,IF(Raw_Cancellations!I48&gt;Raw_Cancellations!G48+0.005,1,0))</f>
        <v>1</v>
      </c>
      <c r="E48" s="7">
        <f>IFERROR(DATEVALUE(LEFT(Raw_Cancellations!C48,10))+TIMEVALUE(MID(Raw_Cancellations!C48,12,8)),"")</f>
        <v>45767.760416666664</v>
      </c>
      <c r="F48" s="7">
        <f>IFERROR(MATCH(Raw_Cancellations!B48,Work_Bookings!$A$2:$A$648,0),0)</f>
        <v>207</v>
      </c>
      <c r="G48" s="7">
        <f>IF(F48=0,"",INDEX(Work_Bookings!$M$2:$M$648,F48))</f>
        <v>45764.99229166667</v>
      </c>
      <c r="H48" s="7">
        <f>IF(F48=0,0,IF(OR(INDEX(Work_Bookings!$L$2:$L$648,F48)=1,INDEX(Work_Bookings!$K$2:$K$648,F48)=1,INDEX(Work_Bookings!$N$2:$N$648,F48)=1,COUNTIFS(Work_Passengers!$B$2:$B$1336,Raw_Cancellations!B48,Work_Passengers!$L$2:$L$1336,1)&gt;0),1,0))</f>
        <v>0</v>
      </c>
      <c r="I48" s="7">
        <f>IF(OR(B48=1,C48=1,H48=1),0,IF(AND(ISNUMBER(E48),ISNUMBER(G48)),IF(E48&lt;G48,1,0),0))</f>
        <v>0</v>
      </c>
    </row>
    <row r="49" spans="1:9">
      <c r="A49" s="7">
        <f>Raw_Cancellations!A49</f>
        <v>12862</v>
      </c>
      <c r="B49" s="7">
        <f>IF(COUNTIF(Raw_Cancellations!$A$2:A49,Raw_Cancellations!A49)&gt;1,1,0)</f>
        <v>0</v>
      </c>
      <c r="C49" s="7">
        <f>IF(COUNTIF(Raw_Bookings!$A$2:$A$648,Raw_Cancellations!B49)=0,1,0)</f>
        <v>0</v>
      </c>
      <c r="D49" s="7">
        <f>IF(OR(B49=1,C49=1),0,IF(Raw_Cancellations!I49&gt;Raw_Cancellations!G49+0.005,1,0))</f>
        <v>0</v>
      </c>
      <c r="E49" s="7">
        <f>IFERROR(DATEVALUE(LEFT(Raw_Cancellations!C49,10))+TIMEVALUE(MID(Raw_Cancellations!C49,12,8)),"")</f>
        <v>45769.15625</v>
      </c>
      <c r="F49" s="7">
        <f>IFERROR(MATCH(Raw_Cancellations!B49,Work_Bookings!$A$2:$A$648,0),0)</f>
        <v>208</v>
      </c>
      <c r="G49" s="7">
        <f>IF(F49=0,"",INDEX(Work_Bookings!$M$2:$M$648,F49))</f>
        <v>45765.83480324074</v>
      </c>
      <c r="H49" s="7">
        <f>IF(F49=0,0,IF(OR(INDEX(Work_Bookings!$L$2:$L$648,F49)=1,INDEX(Work_Bookings!$K$2:$K$648,F49)=1,INDEX(Work_Bookings!$N$2:$N$648,F49)=1,COUNTIFS(Work_Passengers!$B$2:$B$1336,Raw_Cancellations!B49,Work_Passengers!$L$2:$L$1336,1)&gt;0),1,0))</f>
        <v>0</v>
      </c>
      <c r="I49" s="7">
        <f>IF(OR(B49=1,C49=1,H49=1),0,IF(AND(ISNUMBER(E49),ISNUMBER(G49)),IF(E49&lt;G49,1,0),0))</f>
        <v>0</v>
      </c>
    </row>
    <row r="50" spans="1:9">
      <c r="A50" s="7">
        <f>Raw_Cancellations!A50</f>
        <v>13048</v>
      </c>
      <c r="B50" s="7">
        <f>IF(COUNTIF(Raw_Cancellations!$A$2:A50,Raw_Cancellations!A50)&gt;1,1,0)</f>
        <v>0</v>
      </c>
      <c r="C50" s="7">
        <f>IF(COUNTIF(Raw_Bookings!$A$2:$A$648,Raw_Cancellations!B50)=0,1,0)</f>
        <v>0</v>
      </c>
      <c r="D50" s="7">
        <f>IF(OR(B50=1,C50=1),0,IF(Raw_Cancellations!I50&gt;Raw_Cancellations!G50+0.005,1,0))</f>
        <v>1</v>
      </c>
      <c r="E50" s="7">
        <f>IFERROR(DATEVALUE(LEFT(Raw_Cancellations!C50,10))+TIMEVALUE(MID(Raw_Cancellations!C50,12,8)),"")</f>
        <v>45772.480520833335</v>
      </c>
      <c r="F50" s="7">
        <f>IFERROR(MATCH(Raw_Cancellations!B50,Work_Bookings!$A$2:$A$648,0),0)</f>
        <v>184</v>
      </c>
      <c r="G50" s="7">
        <f>IF(F50=0,"",INDEX(Work_Bookings!$M$2:$M$648,F50))</f>
        <v>45743.800474537034</v>
      </c>
      <c r="H50" s="7">
        <f>IF(F50=0,0,IF(OR(INDEX(Work_Bookings!$L$2:$L$648,F50)=1,INDEX(Work_Bookings!$K$2:$K$648,F50)=1,INDEX(Work_Bookings!$N$2:$N$648,F50)=1,COUNTIFS(Work_Passengers!$B$2:$B$1336,Raw_Cancellations!B50,Work_Passengers!$L$2:$L$1336,1)&gt;0),1,0))</f>
        <v>0</v>
      </c>
      <c r="I50" s="7">
        <f>IF(OR(B50=1,C50=1,H50=1),0,IF(AND(ISNUMBER(E50),ISNUMBER(G50)),IF(E50&lt;G50,1,0),0))</f>
        <v>0</v>
      </c>
    </row>
    <row r="51" spans="1:9">
      <c r="A51" s="7">
        <f>Raw_Cancellations!A51</f>
        <v>13083</v>
      </c>
      <c r="B51" s="7">
        <f>IF(COUNTIF(Raw_Cancellations!$A$2:A51,Raw_Cancellations!A51)&gt;1,1,0)</f>
        <v>0</v>
      </c>
      <c r="C51" s="7">
        <f>IF(COUNTIF(Raw_Bookings!$A$2:$A$648,Raw_Cancellations!B51)=0,1,0)</f>
        <v>0</v>
      </c>
      <c r="D51" s="7">
        <f>IF(OR(B51=1,C51=1),0,IF(Raw_Cancellations!I51&gt;Raw_Cancellations!G51+0.005,1,0))</f>
        <v>0</v>
      </c>
      <c r="E51" s="7">
        <f>IFERROR(DATEVALUE(LEFT(Raw_Cancellations!C51,10))+TIMEVALUE(MID(Raw_Cancellations!C51,12,8)),"")</f>
        <v>45772.770833333336</v>
      </c>
      <c r="F51" s="7">
        <f>IFERROR(MATCH(Raw_Cancellations!B51,Work_Bookings!$A$2:$A$648,0),0)</f>
        <v>209</v>
      </c>
      <c r="G51" s="7">
        <f>IF(F51=0,"",INDEX(Work_Bookings!$M$2:$M$648,F51))</f>
        <v>45766.38353009259</v>
      </c>
      <c r="H51" s="7">
        <f>IF(F51=0,0,IF(OR(INDEX(Work_Bookings!$L$2:$L$648,F51)=1,INDEX(Work_Bookings!$K$2:$K$648,F51)=1,INDEX(Work_Bookings!$N$2:$N$648,F51)=1,COUNTIFS(Work_Passengers!$B$2:$B$1336,Raw_Cancellations!B51,Work_Passengers!$L$2:$L$1336,1)&gt;0),1,0))</f>
        <v>0</v>
      </c>
      <c r="I51" s="7">
        <f>IF(OR(B51=1,C51=1,H51=1),0,IF(AND(ISNUMBER(E51),ISNUMBER(G51)),IF(E51&lt;G51,1,0),0))</f>
        <v>0</v>
      </c>
    </row>
    <row r="52" spans="1:9">
      <c r="A52" s="7">
        <f>Raw_Cancellations!A52</f>
        <v>13620</v>
      </c>
      <c r="B52" s="7">
        <f>IF(COUNTIF(Raw_Cancellations!$A$2:A52,Raw_Cancellations!A52)&gt;1,1,0)</f>
        <v>0</v>
      </c>
      <c r="C52" s="7">
        <f>IF(COUNTIF(Raw_Bookings!$A$2:$A$648,Raw_Cancellations!B52)=0,1,0)</f>
        <v>0</v>
      </c>
      <c r="D52" s="7">
        <f>IF(OR(B52=1,C52=1),0,IF(Raw_Cancellations!I52&gt;Raw_Cancellations!G52+0.005,1,0))</f>
        <v>0</v>
      </c>
      <c r="E52" s="7">
        <f>IFERROR(DATEVALUE(LEFT(Raw_Cancellations!C52,10))+TIMEVALUE(MID(Raw_Cancellations!C52,12,8)),"")</f>
        <v>45780.61042824074</v>
      </c>
      <c r="F52" s="7">
        <f>IFERROR(MATCH(Raw_Cancellations!B52,Work_Bookings!$A$2:$A$648,0),0)</f>
        <v>212</v>
      </c>
      <c r="G52" s="7">
        <f>IF(F52=0,"",INDEX(Work_Bookings!$M$2:$M$648,F52))</f>
        <v>45769.02023148148</v>
      </c>
      <c r="H52" s="7">
        <f>IF(F52=0,0,IF(OR(INDEX(Work_Bookings!$L$2:$L$648,F52)=1,INDEX(Work_Bookings!$K$2:$K$648,F52)=1,INDEX(Work_Bookings!$N$2:$N$648,F52)=1,COUNTIFS(Work_Passengers!$B$2:$B$1336,Raw_Cancellations!B52,Work_Passengers!$L$2:$L$1336,1)&gt;0),1,0))</f>
        <v>0</v>
      </c>
      <c r="I52" s="7">
        <f>IF(OR(B52=1,C52=1,H52=1),0,IF(AND(ISNUMBER(E52),ISNUMBER(G52)),IF(E52&lt;G52,1,0),0))</f>
        <v>0</v>
      </c>
    </row>
    <row r="53" spans="1:9">
      <c r="A53" s="7">
        <f>Raw_Cancellations!A53</f>
        <v>13665</v>
      </c>
      <c r="B53" s="7">
        <f>IF(COUNTIF(Raw_Cancellations!$A$2:A53,Raw_Cancellations!A53)&gt;1,1,0)</f>
        <v>0</v>
      </c>
      <c r="C53" s="7">
        <f>IF(COUNTIF(Raw_Bookings!$A$2:$A$648,Raw_Cancellations!B53)=0,1,0)</f>
        <v>0</v>
      </c>
      <c r="D53" s="7">
        <f>IF(OR(B53=1,C53=1),0,IF(Raw_Cancellations!I53&gt;Raw_Cancellations!G53+0.005,1,0))</f>
        <v>0</v>
      </c>
      <c r="E53" s="7">
        <f>IFERROR(DATEVALUE(LEFT(Raw_Cancellations!C53,10))+TIMEVALUE(MID(Raw_Cancellations!C53,12,8)),"")</f>
        <v>45781.69290509259</v>
      </c>
      <c r="F53" s="7">
        <f>IFERROR(MATCH(Raw_Cancellations!B53,Work_Bookings!$A$2:$A$648,0),0)</f>
        <v>224</v>
      </c>
      <c r="G53" s="7">
        <f>IF(F53=0,"",INDEX(Work_Bookings!$M$2:$M$648,F53))</f>
        <v>45780.51184027778</v>
      </c>
      <c r="H53" s="7">
        <f>IF(F53=0,0,IF(OR(INDEX(Work_Bookings!$L$2:$L$648,F53)=1,INDEX(Work_Bookings!$K$2:$K$648,F53)=1,INDEX(Work_Bookings!$N$2:$N$648,F53)=1,COUNTIFS(Work_Passengers!$B$2:$B$1336,Raw_Cancellations!B53,Work_Passengers!$L$2:$L$1336,1)&gt;0),1,0))</f>
        <v>0</v>
      </c>
      <c r="I53" s="7">
        <f>IF(OR(B53=1,C53=1,H53=1),0,IF(AND(ISNUMBER(E53),ISNUMBER(G53)),IF(E53&lt;G53,1,0),0))</f>
        <v>0</v>
      </c>
    </row>
    <row r="54" spans="1:9">
      <c r="A54" s="7">
        <f>Raw_Cancellations!A54</f>
        <v>13905</v>
      </c>
      <c r="B54" s="7">
        <f>IF(COUNTIF(Raw_Cancellations!$A$2:A54,Raw_Cancellations!A54)&gt;1,1,0)</f>
        <v>0</v>
      </c>
      <c r="C54" s="7">
        <f>IF(COUNTIF(Raw_Bookings!$A$2:$A$648,Raw_Cancellations!B54)=0,1,0)</f>
        <v>0</v>
      </c>
      <c r="D54" s="7">
        <f>IF(OR(B54=1,C54=1),0,IF(Raw_Cancellations!I54&gt;Raw_Cancellations!G54+0.005,1,0))</f>
        <v>0</v>
      </c>
      <c r="E54" s="7">
        <f>IFERROR(DATEVALUE(LEFT(Raw_Cancellations!C54,10))+TIMEVALUE(MID(Raw_Cancellations!C54,12,8)),"")</f>
        <v>45782.677083333336</v>
      </c>
      <c r="F54" s="7">
        <f>IFERROR(MATCH(Raw_Cancellations!B54,Work_Bookings!$A$2:$A$648,0),0)</f>
        <v>224</v>
      </c>
      <c r="G54" s="7">
        <f>IF(F54=0,"",INDEX(Work_Bookings!$M$2:$M$648,F54))</f>
        <v>45780.51184027778</v>
      </c>
      <c r="H54" s="7">
        <f>IF(F54=0,0,IF(OR(INDEX(Work_Bookings!$L$2:$L$648,F54)=1,INDEX(Work_Bookings!$K$2:$K$648,F54)=1,INDEX(Work_Bookings!$N$2:$N$648,F54)=1,COUNTIFS(Work_Passengers!$B$2:$B$1336,Raw_Cancellations!B54,Work_Passengers!$L$2:$L$1336,1)&gt;0),1,0))</f>
        <v>0</v>
      </c>
      <c r="I54" s="7">
        <f>IF(OR(B54=1,C54=1,H54=1),0,IF(AND(ISNUMBER(E54),ISNUMBER(G54)),IF(E54&lt;G54,1,0),0))</f>
        <v>0</v>
      </c>
    </row>
    <row r="55" spans="1:9">
      <c r="A55" s="7">
        <f>Raw_Cancellations!A55</f>
        <v>14394</v>
      </c>
      <c r="B55" s="7">
        <f>IF(COUNTIF(Raw_Cancellations!$A$2:A55,Raw_Cancellations!A55)&gt;1,1,0)</f>
        <v>0</v>
      </c>
      <c r="C55" s="7">
        <f>IF(COUNTIF(Raw_Bookings!$A$2:$A$648,Raw_Cancellations!B55)=0,1,0)</f>
        <v>0</v>
      </c>
      <c r="D55" s="7">
        <f>IF(OR(B55=1,C55=1),0,IF(Raw_Cancellations!I55&gt;Raw_Cancellations!G55+0.005,1,0))</f>
        <v>0</v>
      </c>
      <c r="E55" s="7">
        <f>IFERROR(DATEVALUE(LEFT(Raw_Cancellations!C55,10))+TIMEVALUE(MID(Raw_Cancellations!C55,12,8)),"")</f>
        <v>45790.052083333336</v>
      </c>
      <c r="F55" s="7">
        <f>IFERROR(MATCH(Raw_Cancellations!B55,Work_Bookings!$A$2:$A$648,0),0)</f>
        <v>232</v>
      </c>
      <c r="G55" s="7">
        <f>IF(F55=0,"",INDEX(Work_Bookings!$M$2:$M$648,F55))</f>
        <v>45789.34539351852</v>
      </c>
      <c r="H55" s="7">
        <f>IF(F55=0,0,IF(OR(INDEX(Work_Bookings!$L$2:$L$648,F55)=1,INDEX(Work_Bookings!$K$2:$K$648,F55)=1,INDEX(Work_Bookings!$N$2:$N$648,F55)=1,COUNTIFS(Work_Passengers!$B$2:$B$1336,Raw_Cancellations!B55,Work_Passengers!$L$2:$L$1336,1)&gt;0),1,0))</f>
        <v>0</v>
      </c>
      <c r="I55" s="7">
        <f>IF(OR(B55=1,C55=1,H55=1),0,IF(AND(ISNUMBER(E55),ISNUMBER(G55)),IF(E55&lt;G55,1,0),0))</f>
        <v>0</v>
      </c>
    </row>
    <row r="56" spans="1:9">
      <c r="A56" s="7">
        <f>Raw_Cancellations!A56</f>
        <v>14814</v>
      </c>
      <c r="B56" s="7">
        <f>IF(COUNTIF(Raw_Cancellations!$A$2:A56,Raw_Cancellations!A56)&gt;1,1,0)</f>
        <v>0</v>
      </c>
      <c r="C56" s="7">
        <f>IF(COUNTIF(Raw_Bookings!$A$2:$A$648,Raw_Cancellations!B56)=0,1,0)</f>
        <v>0</v>
      </c>
      <c r="D56" s="7">
        <f>IF(OR(B56=1,C56=1),0,IF(Raw_Cancellations!I56&gt;Raw_Cancellations!G56+0.005,1,0))</f>
        <v>0</v>
      </c>
      <c r="E56" s="7">
        <f>IFERROR(DATEVALUE(LEFT(Raw_Cancellations!C56,10))+TIMEVALUE(MID(Raw_Cancellations!C56,12,8)),"")</f>
        <v>45793.0625</v>
      </c>
      <c r="F56" s="7">
        <f>IFERROR(MATCH(Raw_Cancellations!B56,Work_Bookings!$A$2:$A$648,0),0)</f>
        <v>234</v>
      </c>
      <c r="G56" s="7">
        <f>IF(F56=0,"",INDEX(Work_Bookings!$M$2:$M$648,F56))</f>
        <v>45790.75523148148</v>
      </c>
      <c r="H56" s="7">
        <f>IF(F56=0,0,IF(OR(INDEX(Work_Bookings!$L$2:$L$648,F56)=1,INDEX(Work_Bookings!$K$2:$K$648,F56)=1,INDEX(Work_Bookings!$N$2:$N$648,F56)=1,COUNTIFS(Work_Passengers!$B$2:$B$1336,Raw_Cancellations!B56,Work_Passengers!$L$2:$L$1336,1)&gt;0),1,0))</f>
        <v>0</v>
      </c>
      <c r="I56" s="7">
        <f>IF(OR(B56=1,C56=1,H56=1),0,IF(AND(ISNUMBER(E56),ISNUMBER(G56)),IF(E56&lt;G56,1,0),0))</f>
        <v>0</v>
      </c>
    </row>
    <row r="57" spans="1:9">
      <c r="A57" s="7">
        <f>Raw_Cancellations!A57</f>
        <v>15200</v>
      </c>
      <c r="B57" s="7">
        <f>IF(COUNTIF(Raw_Cancellations!$A$2:A57,Raw_Cancellations!A57)&gt;1,1,0)</f>
        <v>0</v>
      </c>
      <c r="C57" s="7">
        <f>IF(COUNTIF(Raw_Bookings!$A$2:$A$648,Raw_Cancellations!B57)=0,1,0)</f>
        <v>0</v>
      </c>
      <c r="D57" s="7">
        <f>IF(OR(B57=1,C57=1),0,IF(Raw_Cancellations!I57&gt;Raw_Cancellations!G57+0.005,1,0))</f>
        <v>1</v>
      </c>
      <c r="E57" s="7">
        <f>IFERROR(DATEVALUE(LEFT(Raw_Cancellations!C57,10))+TIMEVALUE(MID(Raw_Cancellations!C57,12,8)),"")</f>
        <v>45800.147685185184</v>
      </c>
      <c r="F57" s="7">
        <f>IFERROR(MATCH(Raw_Cancellations!B57,Work_Bookings!$A$2:$A$648,0),0)</f>
        <v>167</v>
      </c>
      <c r="G57" s="7">
        <f>IF(F57=0,"",INDEX(Work_Bookings!$M$2:$M$648,F57))</f>
        <v>45723.85028935185</v>
      </c>
      <c r="H57" s="7">
        <f>IF(F57=0,0,IF(OR(INDEX(Work_Bookings!$L$2:$L$648,F57)=1,INDEX(Work_Bookings!$K$2:$K$648,F57)=1,INDEX(Work_Bookings!$N$2:$N$648,F57)=1,COUNTIFS(Work_Passengers!$B$2:$B$1336,Raw_Cancellations!B57,Work_Passengers!$L$2:$L$1336,1)&gt;0),1,0))</f>
        <v>0</v>
      </c>
      <c r="I57" s="7">
        <f>IF(OR(B57=1,C57=1,H57=1),0,IF(AND(ISNUMBER(E57),ISNUMBER(G57)),IF(E57&lt;G57,1,0),0))</f>
        <v>0</v>
      </c>
    </row>
    <row r="58" spans="1:9">
      <c r="A58" s="7">
        <f>Raw_Cancellations!A58</f>
        <v>15485</v>
      </c>
      <c r="B58" s="7">
        <f>IF(COUNTIF(Raw_Cancellations!$A$2:A58,Raw_Cancellations!A58)&gt;1,1,0)</f>
        <v>0</v>
      </c>
      <c r="C58" s="7">
        <f>IF(COUNTIF(Raw_Bookings!$A$2:$A$648,Raw_Cancellations!B58)=0,1,0)</f>
        <v>0</v>
      </c>
      <c r="D58" s="7">
        <f>IF(OR(B58=1,C58=1),0,IF(Raw_Cancellations!I58&gt;Raw_Cancellations!G58+0.005,1,0))</f>
        <v>0</v>
      </c>
      <c r="E58" s="7">
        <f>IFERROR(DATEVALUE(LEFT(Raw_Cancellations!C58,10))+TIMEVALUE(MID(Raw_Cancellations!C58,12,8)),"")</f>
        <v>45803.260416666664</v>
      </c>
      <c r="F58" s="7">
        <f>IFERROR(MATCH(Raw_Cancellations!B58,Work_Bookings!$A$2:$A$648,0),0)</f>
        <v>238</v>
      </c>
      <c r="G58" s="7">
        <f>IF(F58=0,"",INDEX(Work_Bookings!$M$2:$M$648,F58))</f>
        <v>45795.59673611111</v>
      </c>
      <c r="H58" s="7">
        <f>IF(F58=0,0,IF(OR(INDEX(Work_Bookings!$L$2:$L$648,F58)=1,INDEX(Work_Bookings!$K$2:$K$648,F58)=1,INDEX(Work_Bookings!$N$2:$N$648,F58)=1,COUNTIFS(Work_Passengers!$B$2:$B$1336,Raw_Cancellations!B58,Work_Passengers!$L$2:$L$1336,1)&gt;0),1,0))</f>
        <v>0</v>
      </c>
      <c r="I58" s="7">
        <f>IF(OR(B58=1,C58=1,H58=1),0,IF(AND(ISNUMBER(E58),ISNUMBER(G58)),IF(E58&lt;G58,1,0),0))</f>
        <v>0</v>
      </c>
    </row>
    <row r="59" spans="1:9">
      <c r="A59" s="7">
        <f>Raw_Cancellations!A59</f>
        <v>15625</v>
      </c>
      <c r="B59" s="7">
        <f>IF(COUNTIF(Raw_Cancellations!$A$2:A59,Raw_Cancellations!A59)&gt;1,1,0)</f>
        <v>0</v>
      </c>
      <c r="C59" s="7">
        <f>IF(COUNTIF(Raw_Bookings!$A$2:$A$648,Raw_Cancellations!B59)=0,1,0)</f>
        <v>0</v>
      </c>
      <c r="D59" s="7">
        <f>IF(OR(B59=1,C59=1),0,IF(Raw_Cancellations!I59&gt;Raw_Cancellations!G59+0.005,1,0))</f>
        <v>0</v>
      </c>
      <c r="E59" s="7">
        <f>IFERROR(DATEVALUE(LEFT(Raw_Cancellations!C59,10))+TIMEVALUE(MID(Raw_Cancellations!C59,12,8)),"")</f>
        <v>45803.291666666664</v>
      </c>
      <c r="F59" s="7">
        <f>IFERROR(MATCH(Raw_Cancellations!B59,Work_Bookings!$A$2:$A$648,0),0)</f>
        <v>246</v>
      </c>
      <c r="G59" s="7">
        <f>IF(F59=0,"",INDEX(Work_Bookings!$M$2:$M$648,F59))</f>
        <v>45802.230046296296</v>
      </c>
      <c r="H59" s="7">
        <f>IF(F59=0,0,IF(OR(INDEX(Work_Bookings!$L$2:$L$648,F59)=1,INDEX(Work_Bookings!$K$2:$K$648,F59)=1,INDEX(Work_Bookings!$N$2:$N$648,F59)=1,COUNTIFS(Work_Passengers!$B$2:$B$1336,Raw_Cancellations!B59,Work_Passengers!$L$2:$L$1336,1)&gt;0),1,0))</f>
        <v>0</v>
      </c>
      <c r="I59" s="7">
        <f>IF(OR(B59=1,C59=1,H59=1),0,IF(AND(ISNUMBER(E59),ISNUMBER(G59)),IF(E59&lt;G59,1,0),0))</f>
        <v>0</v>
      </c>
    </row>
    <row r="60" spans="1:9">
      <c r="A60" s="7">
        <f>Raw_Cancellations!A60</f>
        <v>15639</v>
      </c>
      <c r="B60" s="7">
        <f>IF(COUNTIF(Raw_Cancellations!$A$2:A60,Raw_Cancellations!A60)&gt;1,1,0)</f>
        <v>0</v>
      </c>
      <c r="C60" s="7">
        <f>IF(COUNTIF(Raw_Bookings!$A$2:$A$648,Raw_Cancellations!B60)=0,1,0)</f>
        <v>0</v>
      </c>
      <c r="D60" s="7">
        <f>IF(OR(B60=1,C60=1),0,IF(Raw_Cancellations!I60&gt;Raw_Cancellations!G60+0.005,1,0))</f>
        <v>0</v>
      </c>
      <c r="E60" s="7">
        <f>IFERROR(DATEVALUE(LEFT(Raw_Cancellations!C60,10))+TIMEVALUE(MID(Raw_Cancellations!C60,12,8)),"")</f>
        <v>45803.63710648148</v>
      </c>
      <c r="F60" s="7">
        <f>IFERROR(MATCH(Raw_Cancellations!B60,Work_Bookings!$A$2:$A$648,0),0)</f>
        <v>244</v>
      </c>
      <c r="G60" s="7">
        <f>IF(F60=0,"",INDEX(Work_Bookings!$M$2:$M$648,F60))</f>
        <v>45800.625451388885</v>
      </c>
      <c r="H60" s="7">
        <f>IF(F60=0,0,IF(OR(INDEX(Work_Bookings!$L$2:$L$648,F60)=1,INDEX(Work_Bookings!$K$2:$K$648,F60)=1,INDEX(Work_Bookings!$N$2:$N$648,F60)=1,COUNTIFS(Work_Passengers!$B$2:$B$1336,Raw_Cancellations!B60,Work_Passengers!$L$2:$L$1336,1)&gt;0),1,0))</f>
        <v>0</v>
      </c>
      <c r="I60" s="7">
        <f>IF(OR(B60=1,C60=1,H60=1),0,IF(AND(ISNUMBER(E60),ISNUMBER(G60)),IF(E60&lt;G60,1,0),0))</f>
        <v>0</v>
      </c>
    </row>
    <row r="61" spans="1:9">
      <c r="A61" s="7">
        <f>Raw_Cancellations!A61</f>
        <v>17051</v>
      </c>
      <c r="B61" s="7">
        <f>IF(COUNTIF(Raw_Cancellations!$A$2:A61,Raw_Cancellations!A61)&gt;1,1,0)</f>
        <v>0</v>
      </c>
      <c r="C61" s="7">
        <f>IF(COUNTIF(Raw_Bookings!$A$2:$A$648,Raw_Cancellations!B61)=0,1,0)</f>
        <v>0</v>
      </c>
      <c r="D61" s="7">
        <f>IF(OR(B61=1,C61=1),0,IF(Raw_Cancellations!I61&gt;Raw_Cancellations!G61+0.005,1,0))</f>
        <v>0</v>
      </c>
      <c r="E61" s="7">
        <f>IFERROR(DATEVALUE(LEFT(Raw_Cancellations!C61,10))+TIMEVALUE(MID(Raw_Cancellations!C61,12,8)),"")</f>
        <v>45824.902141203704</v>
      </c>
      <c r="F61" s="7">
        <f>IFERROR(MATCH(Raw_Cancellations!B61,Work_Bookings!$A$2:$A$648,0),0)</f>
        <v>254</v>
      </c>
      <c r="G61" s="7">
        <f>IF(F61=0,"",INDEX(Work_Bookings!$M$2:$M$648,F61))</f>
        <v>45806.85836805555</v>
      </c>
      <c r="H61" s="7">
        <f>IF(F61=0,0,IF(OR(INDEX(Work_Bookings!$L$2:$L$648,F61)=1,INDEX(Work_Bookings!$K$2:$K$648,F61)=1,INDEX(Work_Bookings!$N$2:$N$648,F61)=1,COUNTIFS(Work_Passengers!$B$2:$B$1336,Raw_Cancellations!B61,Work_Passengers!$L$2:$L$1336,1)&gt;0),1,0))</f>
        <v>0</v>
      </c>
      <c r="I61" s="7">
        <f>IF(OR(B61=1,C61=1,H61=1),0,IF(AND(ISNUMBER(E61),ISNUMBER(G61)),IF(E61&lt;G61,1,0),0))</f>
        <v>0</v>
      </c>
    </row>
    <row r="62" spans="1:9">
      <c r="A62" s="7">
        <f>Raw_Cancellations!A62</f>
        <v>17644</v>
      </c>
      <c r="B62" s="7">
        <f>IF(COUNTIF(Raw_Cancellations!$A$2:A62,Raw_Cancellations!A62)&gt;1,1,0)</f>
        <v>0</v>
      </c>
      <c r="C62" s="7">
        <f>IF(COUNTIF(Raw_Bookings!$A$2:$A$648,Raw_Cancellations!B62)=0,1,0)</f>
        <v>0</v>
      </c>
      <c r="D62" s="7">
        <f>IF(OR(B62=1,C62=1),0,IF(Raw_Cancellations!I62&gt;Raw_Cancellations!G62+0.005,1,0))</f>
        <v>0</v>
      </c>
      <c r="E62" s="7">
        <f>IFERROR(DATEVALUE(LEFT(Raw_Cancellations!C62,10))+TIMEVALUE(MID(Raw_Cancellations!C62,12,8)),"")</f>
        <v>45835.739583333336</v>
      </c>
      <c r="F62" s="7">
        <f>IFERROR(MATCH(Raw_Cancellations!B62,Work_Bookings!$A$2:$A$648,0),0)</f>
        <v>266</v>
      </c>
      <c r="G62" s="7">
        <f>IF(F62=0,"",INDEX(Work_Bookings!$M$2:$M$648,F62))</f>
        <v>45829.32309027778</v>
      </c>
      <c r="H62" s="7">
        <f>IF(F62=0,0,IF(OR(INDEX(Work_Bookings!$L$2:$L$648,F62)=1,INDEX(Work_Bookings!$K$2:$K$648,F62)=1,INDEX(Work_Bookings!$N$2:$N$648,F62)=1,COUNTIFS(Work_Passengers!$B$2:$B$1336,Raw_Cancellations!B62,Work_Passengers!$L$2:$L$1336,1)&gt;0),1,0))</f>
        <v>0</v>
      </c>
      <c r="I62" s="7">
        <f>IF(OR(B62=1,C62=1,H62=1),0,IF(AND(ISNUMBER(E62),ISNUMBER(G62)),IF(E62&lt;G62,1,0),0))</f>
        <v>0</v>
      </c>
    </row>
    <row r="63" spans="1:9">
      <c r="A63" s="7">
        <f>Raw_Cancellations!A63</f>
        <v>18150</v>
      </c>
      <c r="B63" s="7">
        <f>IF(COUNTIF(Raw_Cancellations!$A$2:A63,Raw_Cancellations!A63)&gt;1,1,0)</f>
        <v>0</v>
      </c>
      <c r="C63" s="7">
        <f>IF(COUNTIF(Raw_Bookings!$A$2:$A$648,Raw_Cancellations!B63)=0,1,0)</f>
        <v>0</v>
      </c>
      <c r="D63" s="7">
        <f>IF(OR(B63=1,C63=1),0,IF(Raw_Cancellations!I63&gt;Raw_Cancellations!G63+0.005,1,0))</f>
        <v>0</v>
      </c>
      <c r="E63" s="7">
        <f>IFERROR(DATEVALUE(LEFT(Raw_Cancellations!C63,10))+TIMEVALUE(MID(Raw_Cancellations!C63,12,8)),"")</f>
        <v>45845.447916666664</v>
      </c>
      <c r="F63" s="7">
        <f>IFERROR(MATCH(Raw_Cancellations!B63,Work_Bookings!$A$2:$A$648,0),0)</f>
        <v>271</v>
      </c>
      <c r="G63" s="7">
        <f>IF(F63=0,"",INDEX(Work_Bookings!$M$2:$M$648,F63))</f>
        <v>45844.36252314815</v>
      </c>
      <c r="H63" s="7">
        <f>IF(F63=0,0,IF(OR(INDEX(Work_Bookings!$L$2:$L$648,F63)=1,INDEX(Work_Bookings!$K$2:$K$648,F63)=1,INDEX(Work_Bookings!$N$2:$N$648,F63)=1,COUNTIFS(Work_Passengers!$B$2:$B$1336,Raw_Cancellations!B63,Work_Passengers!$L$2:$L$1336,1)&gt;0),1,0))</f>
        <v>0</v>
      </c>
      <c r="I63" s="7">
        <f>IF(OR(B63=1,C63=1,H63=1),0,IF(AND(ISNUMBER(E63),ISNUMBER(G63)),IF(E63&lt;G63,1,0),0))</f>
        <v>0</v>
      </c>
    </row>
    <row r="64" spans="1:9">
      <c r="A64" s="7">
        <f>Raw_Cancellations!A64</f>
        <v>18403</v>
      </c>
      <c r="B64" s="7">
        <f>IF(COUNTIF(Raw_Cancellations!$A$2:A64,Raw_Cancellations!A64)&gt;1,1,0)</f>
        <v>0</v>
      </c>
      <c r="C64" s="7">
        <f>IF(COUNTIF(Raw_Bookings!$A$2:$A$648,Raw_Cancellations!B64)=0,1,0)</f>
        <v>0</v>
      </c>
      <c r="D64" s="7">
        <f>IF(OR(B64=1,C64=1),0,IF(Raw_Cancellations!I64&gt;Raw_Cancellations!G64+0.005,1,0))</f>
        <v>0</v>
      </c>
      <c r="E64" s="7">
        <f>IFERROR(DATEVALUE(LEFT(Raw_Cancellations!C64,10))+TIMEVALUE(MID(Raw_Cancellations!C64,12,8)),"")</f>
        <v>45850.572916666664</v>
      </c>
      <c r="F64" s="7">
        <f>IFERROR(MATCH(Raw_Cancellations!B64,Work_Bookings!$A$2:$A$648,0),0)</f>
        <v>274</v>
      </c>
      <c r="G64" s="7">
        <f>IF(F64=0,"",INDEX(Work_Bookings!$M$2:$M$648,F64))</f>
        <v>45848.838854166665</v>
      </c>
      <c r="H64" s="7">
        <f>IF(F64=0,0,IF(OR(INDEX(Work_Bookings!$L$2:$L$648,F64)=1,INDEX(Work_Bookings!$K$2:$K$648,F64)=1,INDEX(Work_Bookings!$N$2:$N$648,F64)=1,COUNTIFS(Work_Passengers!$B$2:$B$1336,Raw_Cancellations!B64,Work_Passengers!$L$2:$L$1336,1)&gt;0),1,0))</f>
        <v>0</v>
      </c>
      <c r="I64" s="7">
        <f>IF(OR(B64=1,C64=1,H64=1),0,IF(AND(ISNUMBER(E64),ISNUMBER(G64)),IF(E64&lt;G64,1,0),0))</f>
        <v>0</v>
      </c>
    </row>
    <row r="65" spans="1:9">
      <c r="A65" s="7">
        <f>Raw_Cancellations!A65</f>
        <v>19413</v>
      </c>
      <c r="B65" s="7">
        <f>IF(COUNTIF(Raw_Cancellations!$A$2:A65,Raw_Cancellations!A65)&gt;1,1,0)</f>
        <v>0</v>
      </c>
      <c r="C65" s="7">
        <f>IF(COUNTIF(Raw_Bookings!$A$2:$A$648,Raw_Cancellations!B65)=0,1,0)</f>
        <v>0</v>
      </c>
      <c r="D65" s="7">
        <f>IF(OR(B65=1,C65=1),0,IF(Raw_Cancellations!I65&gt;Raw_Cancellations!G65+0.005,1,0))</f>
        <v>0</v>
      </c>
      <c r="E65" s="7">
        <f>IFERROR(DATEVALUE(LEFT(Raw_Cancellations!C65,10))+TIMEVALUE(MID(Raw_Cancellations!C65,12,8)),"")</f>
        <v>45878.07332175926</v>
      </c>
      <c r="F65" s="7">
        <f>IFERROR(MATCH(Raw_Cancellations!B65,Work_Bookings!$A$2:$A$648,0),0)</f>
        <v>285</v>
      </c>
      <c r="G65" s="7">
        <f>IF(F65=0,"",INDEX(Work_Bookings!$M$2:$M$648,F65))</f>
        <v>45876.46202546296</v>
      </c>
      <c r="H65" s="7">
        <f>IF(F65=0,0,IF(OR(INDEX(Work_Bookings!$L$2:$L$648,F65)=1,INDEX(Work_Bookings!$K$2:$K$648,F65)=1,INDEX(Work_Bookings!$N$2:$N$648,F65)=1,COUNTIFS(Work_Passengers!$B$2:$B$1336,Raw_Cancellations!B65,Work_Passengers!$L$2:$L$1336,1)&gt;0),1,0))</f>
        <v>0</v>
      </c>
      <c r="I65" s="7">
        <f>IF(OR(B65=1,C65=1,H65=1),0,IF(AND(ISNUMBER(E65),ISNUMBER(G65)),IF(E65&lt;G65,1,0),0))</f>
        <v>0</v>
      </c>
    </row>
    <row r="66" spans="1:9">
      <c r="A66" s="7">
        <f>Raw_Cancellations!A66</f>
        <v>19676</v>
      </c>
      <c r="B66" s="7">
        <f>IF(COUNTIF(Raw_Cancellations!$A$2:A66,Raw_Cancellations!A66)&gt;1,1,0)</f>
        <v>0</v>
      </c>
      <c r="C66" s="7">
        <f>IF(COUNTIF(Raw_Bookings!$A$2:$A$648,Raw_Cancellations!B66)=0,1,0)</f>
        <v>0</v>
      </c>
      <c r="D66" s="7">
        <f>IF(OR(B66=1,C66=1),0,IF(Raw_Cancellations!I66&gt;Raw_Cancellations!G66+0.005,1,0))</f>
        <v>0</v>
      </c>
      <c r="E66" s="7">
        <f>IFERROR(DATEVALUE(LEFT(Raw_Cancellations!C66,10))+TIMEVALUE(MID(Raw_Cancellations!C66,12,8)),"")</f>
        <v>45884.24622685185</v>
      </c>
      <c r="F66" s="7">
        <f>IFERROR(MATCH(Raw_Cancellations!B66,Work_Bookings!$A$2:$A$648,0),0)</f>
        <v>283</v>
      </c>
      <c r="G66" s="7">
        <f>IF(F66=0,"",INDEX(Work_Bookings!$M$2:$M$648,F66))</f>
        <v>45869.71224537037</v>
      </c>
      <c r="H66" s="7">
        <f>IF(F66=0,0,IF(OR(INDEX(Work_Bookings!$L$2:$L$648,F66)=1,INDEX(Work_Bookings!$K$2:$K$648,F66)=1,INDEX(Work_Bookings!$N$2:$N$648,F66)=1,COUNTIFS(Work_Passengers!$B$2:$B$1336,Raw_Cancellations!B66,Work_Passengers!$L$2:$L$1336,1)&gt;0),1,0))</f>
        <v>0</v>
      </c>
      <c r="I66" s="7">
        <f>IF(OR(B66=1,C66=1,H66=1),0,IF(AND(ISNUMBER(E66),ISNUMBER(G66)),IF(E66&lt;G66,1,0),0))</f>
        <v>0</v>
      </c>
    </row>
    <row r="67" spans="1:9">
      <c r="A67" s="7">
        <f>Raw_Cancellations!A67</f>
        <v>19788</v>
      </c>
      <c r="B67" s="7">
        <f>IF(COUNTIF(Raw_Cancellations!$A$2:A67,Raw_Cancellations!A67)&gt;1,1,0)</f>
        <v>0</v>
      </c>
      <c r="C67" s="7">
        <f>IF(COUNTIF(Raw_Bookings!$A$2:$A$648,Raw_Cancellations!B67)=0,1,0)</f>
        <v>0</v>
      </c>
      <c r="D67" s="7">
        <f>IF(OR(B67=1,C67=1),0,IF(Raw_Cancellations!I67&gt;Raw_Cancellations!G67+0.005,1,0))</f>
        <v>0</v>
      </c>
      <c r="E67" s="7">
        <f>IFERROR(DATEVALUE(LEFT(Raw_Cancellations!C67,10))+TIMEVALUE(MID(Raw_Cancellations!C67,12,8)),"")</f>
        <v>45887.166666666664</v>
      </c>
      <c r="F67" s="7">
        <f>IFERROR(MATCH(Raw_Cancellations!B67,Work_Bookings!$A$2:$A$648,0),0)</f>
        <v>291</v>
      </c>
      <c r="G67" s="7">
        <f>IF(F67=0,"",INDEX(Work_Bookings!$M$2:$M$648,F67))</f>
        <v>45881.35444444444</v>
      </c>
      <c r="H67" s="7">
        <f>IF(F67=0,0,IF(OR(INDEX(Work_Bookings!$L$2:$L$648,F67)=1,INDEX(Work_Bookings!$K$2:$K$648,F67)=1,INDEX(Work_Bookings!$N$2:$N$648,F67)=1,COUNTIFS(Work_Passengers!$B$2:$B$1336,Raw_Cancellations!B67,Work_Passengers!$L$2:$L$1336,1)&gt;0),1,0))</f>
        <v>0</v>
      </c>
      <c r="I67" s="7">
        <f>IF(OR(B67=1,C67=1,H67=1),0,IF(AND(ISNUMBER(E67),ISNUMBER(G67)),IF(E67&lt;G67,1,0),0))</f>
        <v>0</v>
      </c>
    </row>
    <row r="68" spans="1:9">
      <c r="A68" s="7">
        <f>Raw_Cancellations!A68</f>
        <v>19793</v>
      </c>
      <c r="B68" s="7">
        <f>IF(COUNTIF(Raw_Cancellations!$A$2:A68,Raw_Cancellations!A68)&gt;1,1,0)</f>
        <v>0</v>
      </c>
      <c r="C68" s="7">
        <f>IF(COUNTIF(Raw_Bookings!$A$2:$A$648,Raw_Cancellations!B68)=0,1,0)</f>
        <v>0</v>
      </c>
      <c r="D68" s="7">
        <f>IF(OR(B68=1,C68=1),0,IF(Raw_Cancellations!I68&gt;Raw_Cancellations!G68+0.005,1,0))</f>
        <v>0</v>
      </c>
      <c r="E68" s="7">
        <f>IFERROR(DATEVALUE(LEFT(Raw_Cancellations!C68,10))+TIMEVALUE(MID(Raw_Cancellations!C68,12,8)),"")</f>
        <v>45887.166666666664</v>
      </c>
      <c r="F68" s="7">
        <f>IFERROR(MATCH(Raw_Cancellations!B68,Work_Bookings!$A$2:$A$648,0),0)</f>
        <v>292</v>
      </c>
      <c r="G68" s="7">
        <f>IF(F68=0,"",INDEX(Work_Bookings!$M$2:$M$648,F68))</f>
        <v>45883.314837962964</v>
      </c>
      <c r="H68" s="7">
        <f>IF(F68=0,0,IF(OR(INDEX(Work_Bookings!$L$2:$L$648,F68)=1,INDEX(Work_Bookings!$K$2:$K$648,F68)=1,INDEX(Work_Bookings!$N$2:$N$648,F68)=1,COUNTIFS(Work_Passengers!$B$2:$B$1336,Raw_Cancellations!B68,Work_Passengers!$L$2:$L$1336,1)&gt;0),1,0))</f>
        <v>0</v>
      </c>
      <c r="I68" s="7">
        <f>IF(OR(B68=1,C68=1,H68=1),0,IF(AND(ISNUMBER(E68),ISNUMBER(G68)),IF(E68&lt;G68,1,0),0))</f>
        <v>0</v>
      </c>
    </row>
    <row r="69" spans="1:9">
      <c r="A69" s="7">
        <f>Raw_Cancellations!A69</f>
        <v>19825</v>
      </c>
      <c r="B69" s="7">
        <f>IF(COUNTIF(Raw_Cancellations!$A$2:A69,Raw_Cancellations!A69)&gt;1,1,0)</f>
        <v>0</v>
      </c>
      <c r="C69" s="7">
        <f>IF(COUNTIF(Raw_Bookings!$A$2:$A$648,Raw_Cancellations!B69)=0,1,0)</f>
        <v>0</v>
      </c>
      <c r="D69" s="7">
        <f>IF(OR(B69=1,C69=1),0,IF(Raw_Cancellations!I69&gt;Raw_Cancellations!G69+0.005,1,0))</f>
        <v>0</v>
      </c>
      <c r="E69" s="7">
        <f>IFERROR(DATEVALUE(LEFT(Raw_Cancellations!C69,10))+TIMEVALUE(MID(Raw_Cancellations!C69,12,8)),"")</f>
        <v>45887.71776620371</v>
      </c>
      <c r="F69" s="7">
        <f>IFERROR(MATCH(Raw_Cancellations!B69,Work_Bookings!$A$2:$A$648,0),0)</f>
        <v>281</v>
      </c>
      <c r="G69" s="7">
        <f>IF(F69=0,"",INDEX(Work_Bookings!$M$2:$M$648,F69))</f>
        <v>45865.71030092592</v>
      </c>
      <c r="H69" s="7">
        <f>IF(F69=0,0,IF(OR(INDEX(Work_Bookings!$L$2:$L$648,F69)=1,INDEX(Work_Bookings!$K$2:$K$648,F69)=1,INDEX(Work_Bookings!$N$2:$N$648,F69)=1,COUNTIFS(Work_Passengers!$B$2:$B$1336,Raw_Cancellations!B69,Work_Passengers!$L$2:$L$1336,1)&gt;0),1,0))</f>
        <v>0</v>
      </c>
      <c r="I69" s="7">
        <f>IF(OR(B69=1,C69=1,H69=1),0,IF(AND(ISNUMBER(E69),ISNUMBER(G69)),IF(E69&lt;G69,1,0),0))</f>
        <v>0</v>
      </c>
    </row>
    <row r="70" spans="1:9">
      <c r="A70" s="7">
        <f>Raw_Cancellations!A70</f>
        <v>20547</v>
      </c>
      <c r="B70" s="7">
        <f>IF(COUNTIF(Raw_Cancellations!$A$2:A70,Raw_Cancellations!A70)&gt;1,1,0)</f>
        <v>0</v>
      </c>
      <c r="C70" s="7">
        <f>IF(COUNTIF(Raw_Bookings!$A$2:$A$648,Raw_Cancellations!B70)=0,1,0)</f>
        <v>0</v>
      </c>
      <c r="D70" s="7">
        <f>IF(OR(B70=1,C70=1),0,IF(Raw_Cancellations!I70&gt;Raw_Cancellations!G70+0.005,1,0))</f>
        <v>0</v>
      </c>
      <c r="E70" s="7">
        <f>IFERROR(DATEVALUE(LEFT(Raw_Cancellations!C70,10))+TIMEVALUE(MID(Raw_Cancellations!C70,12,8)),"")</f>
        <v>45907.107824074075</v>
      </c>
      <c r="F70" s="7">
        <f>IFERROR(MATCH(Raw_Cancellations!B70,Work_Bookings!$A$2:$A$648,0),0)</f>
        <v>284</v>
      </c>
      <c r="G70" s="7">
        <f>IF(F70=0,"",INDEX(Work_Bookings!$M$2:$M$648,F70))</f>
        <v>45870.829780092594</v>
      </c>
      <c r="H70" s="7">
        <f>IF(F70=0,0,IF(OR(INDEX(Work_Bookings!$L$2:$L$648,F70)=1,INDEX(Work_Bookings!$K$2:$K$648,F70)=1,INDEX(Work_Bookings!$N$2:$N$648,F70)=1,COUNTIFS(Work_Passengers!$B$2:$B$1336,Raw_Cancellations!B70,Work_Passengers!$L$2:$L$1336,1)&gt;0),1,0))</f>
        <v>0</v>
      </c>
      <c r="I70" s="7">
        <f>IF(OR(B70=1,C70=1,H70=1),0,IF(AND(ISNUMBER(E70),ISNUMBER(G70)),IF(E70&lt;G70,1,0),0))</f>
        <v>0</v>
      </c>
    </row>
    <row r="71" spans="1:9">
      <c r="A71" s="7">
        <f>Raw_Cancellations!A71</f>
        <v>20853</v>
      </c>
      <c r="B71" s="7">
        <f>IF(COUNTIF(Raw_Cancellations!$A$2:A71,Raw_Cancellations!A71)&gt;1,1,0)</f>
        <v>0</v>
      </c>
      <c r="C71" s="7">
        <f>IF(COUNTIF(Raw_Bookings!$A$2:$A$648,Raw_Cancellations!B71)=0,1,0)</f>
        <v>0</v>
      </c>
      <c r="D71" s="7">
        <f>IF(OR(B71=1,C71=1),0,IF(Raw_Cancellations!I71&gt;Raw_Cancellations!G71+0.005,1,0))</f>
        <v>0</v>
      </c>
      <c r="E71" s="7">
        <f>IFERROR(DATEVALUE(LEFT(Raw_Cancellations!C71,10))+TIMEVALUE(MID(Raw_Cancellations!C71,12,8)),"")</f>
        <v>45912.8209375</v>
      </c>
      <c r="F71" s="7">
        <f>IFERROR(MATCH(Raw_Cancellations!B71,Work_Bookings!$A$2:$A$648,0),0)</f>
        <v>311</v>
      </c>
      <c r="G71" s="7">
        <f>IF(F71=0,"",INDEX(Work_Bookings!$M$2:$M$648,F71))</f>
        <v>45909.907476851855</v>
      </c>
      <c r="H71" s="7">
        <f>IF(F71=0,0,IF(OR(INDEX(Work_Bookings!$L$2:$L$648,F71)=1,INDEX(Work_Bookings!$K$2:$K$648,F71)=1,INDEX(Work_Bookings!$N$2:$N$648,F71)=1,COUNTIFS(Work_Passengers!$B$2:$B$1336,Raw_Cancellations!B71,Work_Passengers!$L$2:$L$1336,1)&gt;0),1,0))</f>
        <v>0</v>
      </c>
      <c r="I71" s="7">
        <f>IF(OR(B71=1,C71=1,H71=1),0,IF(AND(ISNUMBER(E71),ISNUMBER(G71)),IF(E71&lt;G71,1,0),0))</f>
        <v>0</v>
      </c>
    </row>
    <row r="72" spans="1:9">
      <c r="A72" s="7">
        <f>Raw_Cancellations!A72</f>
        <v>21037</v>
      </c>
      <c r="B72" s="7">
        <f>IF(COUNTIF(Raw_Cancellations!$A$2:A72,Raw_Cancellations!A72)&gt;1,1,0)</f>
        <v>0</v>
      </c>
      <c r="C72" s="7">
        <f>IF(COUNTIF(Raw_Bookings!$A$2:$A$648,Raw_Cancellations!B72)=0,1,0)</f>
        <v>0</v>
      </c>
      <c r="D72" s="7">
        <f>IF(OR(B72=1,C72=1),0,IF(Raw_Cancellations!I72&gt;Raw_Cancellations!G72+0.005,1,0))</f>
        <v>0</v>
      </c>
      <c r="E72" s="7">
        <f>IFERROR(DATEVALUE(LEFT(Raw_Cancellations!C72,10))+TIMEVALUE(MID(Raw_Cancellations!C72,12,8)),"")</f>
        <v>45915.739583333336</v>
      </c>
      <c r="F72" s="7">
        <f>IFERROR(MATCH(Raw_Cancellations!B72,Work_Bookings!$A$2:$A$648,0),0)</f>
        <v>309</v>
      </c>
      <c r="G72" s="7">
        <f>IF(F72=0,"",INDEX(Work_Bookings!$M$2:$M$648,F72))</f>
        <v>45909.37184027778</v>
      </c>
      <c r="H72" s="7">
        <f>IF(F72=0,0,IF(OR(INDEX(Work_Bookings!$L$2:$L$648,F72)=1,INDEX(Work_Bookings!$K$2:$K$648,F72)=1,INDEX(Work_Bookings!$N$2:$N$648,F72)=1,COUNTIFS(Work_Passengers!$B$2:$B$1336,Raw_Cancellations!B72,Work_Passengers!$L$2:$L$1336,1)&gt;0),1,0))</f>
        <v>0</v>
      </c>
      <c r="I72" s="7">
        <f>IF(OR(B72=1,C72=1,H72=1),0,IF(AND(ISNUMBER(E72),ISNUMBER(G72)),IF(E72&lt;G72,1,0),0))</f>
        <v>0</v>
      </c>
    </row>
    <row r="73" spans="1:9">
      <c r="A73" s="7">
        <f>Raw_Cancellations!A73</f>
        <v>21048</v>
      </c>
      <c r="B73" s="7">
        <f>IF(COUNTIF(Raw_Cancellations!$A$2:A73,Raw_Cancellations!A73)&gt;1,1,0)</f>
        <v>0</v>
      </c>
      <c r="C73" s="7">
        <f>IF(COUNTIF(Raw_Bookings!$A$2:$A$648,Raw_Cancellations!B73)=0,1,0)</f>
        <v>0</v>
      </c>
      <c r="D73" s="7">
        <f>IF(OR(B73=1,C73=1),0,IF(Raw_Cancellations!I73&gt;Raw_Cancellations!G73+0.005,1,0))</f>
        <v>0</v>
      </c>
      <c r="E73" s="7">
        <f>IFERROR(DATEVALUE(LEFT(Raw_Cancellations!C73,10))+TIMEVALUE(MID(Raw_Cancellations!C73,12,8)),"")</f>
        <v>45911.655543981484</v>
      </c>
      <c r="F73" s="7">
        <f>IFERROR(MATCH(Raw_Cancellations!B73,Work_Bookings!$A$2:$A$648,0),0)</f>
        <v>312</v>
      </c>
      <c r="G73" s="7">
        <f>IF(F73=0,"",INDEX(Work_Bookings!$M$2:$M$648,F73))</f>
        <v>45912.32221064815</v>
      </c>
      <c r="H73" s="7">
        <f>IF(F73=0,0,IF(OR(INDEX(Work_Bookings!$L$2:$L$648,F73)=1,INDEX(Work_Bookings!$K$2:$K$648,F73)=1,INDEX(Work_Bookings!$N$2:$N$648,F73)=1,COUNTIFS(Work_Passengers!$B$2:$B$1336,Raw_Cancellations!B73,Work_Passengers!$L$2:$L$1336,1)&gt;0),1,0))</f>
        <v>0</v>
      </c>
      <c r="I73" s="7">
        <f>IF(OR(B73=1,C73=1,H73=1),0,IF(AND(ISNUMBER(E73),ISNUMBER(G73)),IF(E73&lt;G73,1,0),0))</f>
        <v>1</v>
      </c>
    </row>
    <row r="74" spans="1:9">
      <c r="A74" s="7">
        <f>Raw_Cancellations!A74</f>
        <v>21191</v>
      </c>
      <c r="B74" s="7">
        <f>IF(COUNTIF(Raw_Cancellations!$A$2:A74,Raw_Cancellations!A74)&gt;1,1,0)</f>
        <v>0</v>
      </c>
      <c r="C74" s="7">
        <f>IF(COUNTIF(Raw_Bookings!$A$2:$A$648,Raw_Cancellations!B74)=0,1,0)</f>
        <v>0</v>
      </c>
      <c r="D74" s="7">
        <f>IF(OR(B74=1,C74=1),0,IF(Raw_Cancellations!I74&gt;Raw_Cancellations!G74+0.005,1,0))</f>
        <v>0</v>
      </c>
      <c r="E74" s="7">
        <f>IFERROR(DATEVALUE(LEFT(Raw_Cancellations!C74,10))+TIMEVALUE(MID(Raw_Cancellations!C74,12,8)),"")</f>
        <v>45917.729166666664</v>
      </c>
      <c r="F74" s="7">
        <f>IFERROR(MATCH(Raw_Cancellations!B74,Work_Bookings!$A$2:$A$648,0),0)</f>
        <v>305</v>
      </c>
      <c r="G74" s="7">
        <f>IF(F74=0,"",INDEX(Work_Bookings!$M$2:$M$648,F74))</f>
        <v>45905.35693287037</v>
      </c>
      <c r="H74" s="7">
        <f>IF(F74=0,0,IF(OR(INDEX(Work_Bookings!$L$2:$L$648,F74)=1,INDEX(Work_Bookings!$K$2:$K$648,F74)=1,INDEX(Work_Bookings!$N$2:$N$648,F74)=1,COUNTIFS(Work_Passengers!$B$2:$B$1336,Raw_Cancellations!B74,Work_Passengers!$L$2:$L$1336,1)&gt;0),1,0))</f>
        <v>0</v>
      </c>
      <c r="I74" s="7">
        <f>IF(OR(B74=1,C74=1,H74=1),0,IF(AND(ISNUMBER(E74),ISNUMBER(G74)),IF(E74&lt;G74,1,0),0))</f>
        <v>0</v>
      </c>
    </row>
    <row r="75" spans="1:9">
      <c r="A75" s="7">
        <f>Raw_Cancellations!A75</f>
        <v>21433</v>
      </c>
      <c r="B75" s="7">
        <f>IF(COUNTIF(Raw_Cancellations!$A$2:A75,Raw_Cancellations!A75)&gt;1,1,0)</f>
        <v>0</v>
      </c>
      <c r="C75" s="7">
        <f>IF(COUNTIF(Raw_Bookings!$A$2:$A$648,Raw_Cancellations!B75)=0,1,0)</f>
        <v>0</v>
      </c>
      <c r="D75" s="7">
        <f>IF(OR(B75=1,C75=1),0,IF(Raw_Cancellations!I75&gt;Raw_Cancellations!G75+0.005,1,0))</f>
        <v>0</v>
      </c>
      <c r="E75" s="7">
        <f>IFERROR(DATEVALUE(LEFT(Raw_Cancellations!C75,10))+TIMEVALUE(MID(Raw_Cancellations!C75,12,8)),"")</f>
        <v>45922.06798611111</v>
      </c>
      <c r="F75" s="7">
        <f>IFERROR(MATCH(Raw_Cancellations!B75,Work_Bookings!$A$2:$A$648,0),0)</f>
        <v>322</v>
      </c>
      <c r="G75" s="7">
        <f>IF(F75=0,"",INDEX(Work_Bookings!$M$2:$M$648,F75))</f>
        <v>45921.927152777775</v>
      </c>
      <c r="H75" s="7">
        <f>IF(F75=0,0,IF(OR(INDEX(Work_Bookings!$L$2:$L$648,F75)=1,INDEX(Work_Bookings!$K$2:$K$648,F75)=1,INDEX(Work_Bookings!$N$2:$N$648,F75)=1,COUNTIFS(Work_Passengers!$B$2:$B$1336,Raw_Cancellations!B75,Work_Passengers!$L$2:$L$1336,1)&gt;0),1,0))</f>
        <v>0</v>
      </c>
      <c r="I75" s="7">
        <f>IF(OR(B75=1,C75=1,H75=1),0,IF(AND(ISNUMBER(E75),ISNUMBER(G75)),IF(E75&lt;G75,1,0),0))</f>
        <v>0</v>
      </c>
    </row>
    <row r="76" spans="1:9">
      <c r="A76" s="7">
        <f>Raw_Cancellations!A76</f>
        <v>21554</v>
      </c>
      <c r="B76" s="7">
        <f>IF(COUNTIF(Raw_Cancellations!$A$2:A76,Raw_Cancellations!A76)&gt;1,1,0)</f>
        <v>0</v>
      </c>
      <c r="C76" s="7">
        <f>IF(COUNTIF(Raw_Bookings!$A$2:$A$648,Raw_Cancellations!B76)=0,1,0)</f>
        <v>0</v>
      </c>
      <c r="D76" s="7">
        <f>IF(OR(B76=1,C76=1),0,IF(Raw_Cancellations!I76&gt;Raw_Cancellations!G76+0.005,1,0))</f>
        <v>0</v>
      </c>
      <c r="E76" s="7">
        <f>IFERROR(DATEVALUE(LEFT(Raw_Cancellations!C76,10))+TIMEVALUE(MID(Raw_Cancellations!C76,12,8)),"")</f>
        <v>45922.97592592592</v>
      </c>
      <c r="F76" s="7">
        <f>IFERROR(MATCH(Raw_Cancellations!B76,Work_Bookings!$A$2:$A$648,0),0)</f>
        <v>313</v>
      </c>
      <c r="G76" s="7">
        <f>IF(F76=0,"",INDEX(Work_Bookings!$M$2:$M$648,F76))</f>
        <v>45912.38607638889</v>
      </c>
      <c r="H76" s="7">
        <f>IF(F76=0,0,IF(OR(INDEX(Work_Bookings!$L$2:$L$648,F76)=1,INDEX(Work_Bookings!$K$2:$K$648,F76)=1,INDEX(Work_Bookings!$N$2:$N$648,F76)=1,COUNTIFS(Work_Passengers!$B$2:$B$1336,Raw_Cancellations!B76,Work_Passengers!$L$2:$L$1336,1)&gt;0),1,0))</f>
        <v>0</v>
      </c>
      <c r="I76" s="7">
        <f>IF(OR(B76=1,C76=1,H76=1),0,IF(AND(ISNUMBER(E76),ISNUMBER(G76)),IF(E76&lt;G76,1,0),0))</f>
        <v>0</v>
      </c>
    </row>
    <row r="77" spans="1:9">
      <c r="A77" s="7">
        <f>Raw_Cancellations!A77</f>
        <v>21998</v>
      </c>
      <c r="B77" s="7">
        <f>IF(COUNTIF(Raw_Cancellations!$A$2:A77,Raw_Cancellations!A77)&gt;1,1,0)</f>
        <v>0</v>
      </c>
      <c r="C77" s="7">
        <f>IF(COUNTIF(Raw_Bookings!$A$2:$A$648,Raw_Cancellations!B77)=0,1,0)</f>
        <v>0</v>
      </c>
      <c r="D77" s="7">
        <f>IF(OR(B77=1,C77=1),0,IF(Raw_Cancellations!I77&gt;Raw_Cancellations!G77+0.005,1,0))</f>
        <v>0</v>
      </c>
      <c r="E77" s="7">
        <f>IFERROR(DATEVALUE(LEFT(Raw_Cancellations!C77,10))+TIMEVALUE(MID(Raw_Cancellations!C77,12,8)),"")</f>
        <v>45933.31224537037</v>
      </c>
      <c r="F77" s="7">
        <f>IFERROR(MATCH(Raw_Cancellations!B77,Work_Bookings!$A$2:$A$648,0),0)</f>
        <v>293</v>
      </c>
      <c r="G77" s="7">
        <f>IF(F77=0,"",INDEX(Work_Bookings!$M$2:$M$648,F77))</f>
        <v>45883.71047453704</v>
      </c>
      <c r="H77" s="7">
        <f>IF(F77=0,0,IF(OR(INDEX(Work_Bookings!$L$2:$L$648,F77)=1,INDEX(Work_Bookings!$K$2:$K$648,F77)=1,INDEX(Work_Bookings!$N$2:$N$648,F77)=1,COUNTIFS(Work_Passengers!$B$2:$B$1336,Raw_Cancellations!B77,Work_Passengers!$L$2:$L$1336,1)&gt;0),1,0))</f>
        <v>0</v>
      </c>
      <c r="I77" s="7">
        <f>IF(OR(B77=1,C77=1,H77=1),0,IF(AND(ISNUMBER(E77),ISNUMBER(G77)),IF(E77&lt;G77,1,0),0))</f>
        <v>0</v>
      </c>
    </row>
    <row r="78" spans="1:9">
      <c r="A78" s="7">
        <f>Raw_Cancellations!A78</f>
        <v>23309</v>
      </c>
      <c r="B78" s="7">
        <f>IF(COUNTIF(Raw_Cancellations!$A$2:A78,Raw_Cancellations!A78)&gt;1,1,0)</f>
        <v>0</v>
      </c>
      <c r="C78" s="7">
        <f>IF(COUNTIF(Raw_Bookings!$A$2:$A$648,Raw_Cancellations!B78)=0,1,0)</f>
        <v>0</v>
      </c>
      <c r="D78" s="7">
        <f>IF(OR(B78=1,C78=1),0,IF(Raw_Cancellations!I78&gt;Raw_Cancellations!G78+0.005,1,0))</f>
        <v>0</v>
      </c>
      <c r="E78" s="7">
        <f>IFERROR(DATEVALUE(LEFT(Raw_Cancellations!C78,10))+TIMEVALUE(MID(Raw_Cancellations!C78,12,8)),"")</f>
        <v>45952.67989583333</v>
      </c>
      <c r="F78" s="7">
        <f>IFERROR(MATCH(Raw_Cancellations!B78,Work_Bookings!$A$2:$A$648,0),0)</f>
        <v>343</v>
      </c>
      <c r="G78" s="7">
        <f>IF(F78=0,"",INDEX(Work_Bookings!$M$2:$M$648,F78))</f>
        <v>45942.444756944446</v>
      </c>
      <c r="H78" s="7">
        <f>IF(F78=0,0,IF(OR(INDEX(Work_Bookings!$L$2:$L$648,F78)=1,INDEX(Work_Bookings!$K$2:$K$648,F78)=1,INDEX(Work_Bookings!$N$2:$N$648,F78)=1,COUNTIFS(Work_Passengers!$B$2:$B$1336,Raw_Cancellations!B78,Work_Passengers!$L$2:$L$1336,1)&gt;0),1,0))</f>
        <v>0</v>
      </c>
      <c r="I78" s="7">
        <f>IF(OR(B78=1,C78=1,H78=1),0,IF(AND(ISNUMBER(E78),ISNUMBER(G78)),IF(E78&lt;G78,1,0),0))</f>
        <v>0</v>
      </c>
    </row>
    <row r="79" spans="1:9">
      <c r="A79" s="7">
        <f>Raw_Cancellations!A79</f>
        <v>23364</v>
      </c>
      <c r="B79" s="7">
        <f>IF(COUNTIF(Raw_Cancellations!$A$2:A79,Raw_Cancellations!A79)&gt;1,1,0)</f>
        <v>0</v>
      </c>
      <c r="C79" s="7">
        <f>IF(COUNTIF(Raw_Bookings!$A$2:$A$648,Raw_Cancellations!B79)=0,1,0)</f>
        <v>0</v>
      </c>
      <c r="D79" s="7">
        <f>IF(OR(B79=1,C79=1),0,IF(Raw_Cancellations!I79&gt;Raw_Cancellations!G79+0.005,1,0))</f>
        <v>0</v>
      </c>
      <c r="E79" s="7">
        <f>IFERROR(DATEVALUE(LEFT(Raw_Cancellations!C79,10))+TIMEVALUE(MID(Raw_Cancellations!C79,12,8)),"")</f>
        <v>45954.1215625</v>
      </c>
      <c r="F79" s="7">
        <f>IFERROR(MATCH(Raw_Cancellations!B79,Work_Bookings!$A$2:$A$648,0),0)</f>
        <v>335</v>
      </c>
      <c r="G79" s="7">
        <f>IF(F79=0,"",INDEX(Work_Bookings!$M$2:$M$648,F79))</f>
        <v>45933.255428240744</v>
      </c>
      <c r="H79" s="7">
        <f>IF(F79=0,0,IF(OR(INDEX(Work_Bookings!$L$2:$L$648,F79)=1,INDEX(Work_Bookings!$K$2:$K$648,F79)=1,INDEX(Work_Bookings!$N$2:$N$648,F79)=1,COUNTIFS(Work_Passengers!$B$2:$B$1336,Raw_Cancellations!B79,Work_Passengers!$L$2:$L$1336,1)&gt;0),1,0))</f>
        <v>0</v>
      </c>
      <c r="I79" s="7">
        <f>IF(OR(B79=1,C79=1,H79=1),0,IF(AND(ISNUMBER(E79),ISNUMBER(G79)),IF(E79&lt;G79,1,0),0))</f>
        <v>0</v>
      </c>
    </row>
    <row r="80" spans="1:9">
      <c r="A80" s="7">
        <f>Raw_Cancellations!A80</f>
        <v>23477</v>
      </c>
      <c r="B80" s="7">
        <f>IF(COUNTIF(Raw_Cancellations!$A$2:A80,Raw_Cancellations!A80)&gt;1,1,0)</f>
        <v>0</v>
      </c>
      <c r="C80" s="7">
        <f>IF(COUNTIF(Raw_Bookings!$A$2:$A$648,Raw_Cancellations!B80)=0,1,0)</f>
        <v>0</v>
      </c>
      <c r="D80" s="7">
        <f>IF(OR(B80=1,C80=1),0,IF(Raw_Cancellations!I80&gt;Raw_Cancellations!G80+0.005,1,0))</f>
        <v>0</v>
      </c>
      <c r="E80" s="7">
        <f>IFERROR(DATEVALUE(LEFT(Raw_Cancellations!C80,10))+TIMEVALUE(MID(Raw_Cancellations!C80,12,8)),"")</f>
        <v>45956.32454861111</v>
      </c>
      <c r="F80" s="7">
        <f>IFERROR(MATCH(Raw_Cancellations!B80,Work_Bookings!$A$2:$A$648,0),0)</f>
        <v>330</v>
      </c>
      <c r="G80" s="7">
        <f>IF(F80=0,"",INDEX(Work_Bookings!$M$2:$M$648,F80))</f>
        <v>45926.815300925926</v>
      </c>
      <c r="H80" s="7">
        <f>IF(F80=0,0,IF(OR(INDEX(Work_Bookings!$L$2:$L$648,F80)=1,INDEX(Work_Bookings!$K$2:$K$648,F80)=1,INDEX(Work_Bookings!$N$2:$N$648,F80)=1,COUNTIFS(Work_Passengers!$B$2:$B$1336,Raw_Cancellations!B80,Work_Passengers!$L$2:$L$1336,1)&gt;0),1,0))</f>
        <v>0</v>
      </c>
      <c r="I80" s="7">
        <f>IF(OR(B80=1,C80=1,H80=1),0,IF(AND(ISNUMBER(E80),ISNUMBER(G80)),IF(E80&lt;G80,1,0),0))</f>
        <v>0</v>
      </c>
    </row>
    <row r="81" spans="1:9">
      <c r="A81" s="7">
        <f>Raw_Cancellations!A81</f>
        <v>23669</v>
      </c>
      <c r="B81" s="7">
        <f>IF(COUNTIF(Raw_Cancellations!$A$2:A81,Raw_Cancellations!A81)&gt;1,1,0)</f>
        <v>0</v>
      </c>
      <c r="C81" s="7">
        <f>IF(COUNTIF(Raw_Bookings!$A$2:$A$648,Raw_Cancellations!B81)=0,1,0)</f>
        <v>0</v>
      </c>
      <c r="D81" s="7">
        <f>IF(OR(B81=1,C81=1),0,IF(Raw_Cancellations!I81&gt;Raw_Cancellations!G81+0.005,1,0))</f>
        <v>0</v>
      </c>
      <c r="E81" s="7">
        <f>IFERROR(DATEVALUE(LEFT(Raw_Cancellations!C81,10))+TIMEVALUE(MID(Raw_Cancellations!C81,12,8)),"")</f>
        <v>45960.429027777776</v>
      </c>
      <c r="F81" s="7">
        <f>IFERROR(MATCH(Raw_Cancellations!B81,Work_Bookings!$A$2:$A$648,0),0)</f>
        <v>354</v>
      </c>
      <c r="G81" s="7">
        <f>IF(F81=0,"",INDEX(Work_Bookings!$M$2:$M$648,F81))</f>
        <v>45959.56699074074</v>
      </c>
      <c r="H81" s="7">
        <f>IF(F81=0,0,IF(OR(INDEX(Work_Bookings!$L$2:$L$648,F81)=1,INDEX(Work_Bookings!$K$2:$K$648,F81)=1,INDEX(Work_Bookings!$N$2:$N$648,F81)=1,COUNTIFS(Work_Passengers!$B$2:$B$1336,Raw_Cancellations!B81,Work_Passengers!$L$2:$L$1336,1)&gt;0),1,0))</f>
        <v>0</v>
      </c>
      <c r="I81" s="7">
        <f>IF(OR(B81=1,C81=1,H81=1),0,IF(AND(ISNUMBER(E81),ISNUMBER(G81)),IF(E81&lt;G81,1,0),0))</f>
        <v>0</v>
      </c>
    </row>
    <row r="82" spans="1:9">
      <c r="A82" s="7">
        <f>Raw_Cancellations!A82</f>
        <v>24124</v>
      </c>
      <c r="B82" s="7">
        <f>IF(COUNTIF(Raw_Cancellations!$A$2:A82,Raw_Cancellations!A82)&gt;1,1,0)</f>
        <v>0</v>
      </c>
      <c r="C82" s="7">
        <f>IF(COUNTIF(Raw_Bookings!$A$2:$A$648,Raw_Cancellations!B82)=0,1,0)</f>
        <v>0</v>
      </c>
      <c r="D82" s="7">
        <f>IF(OR(B82=1,C82=1),0,IF(Raw_Cancellations!I82&gt;Raw_Cancellations!G82+0.005,1,0))</f>
        <v>0</v>
      </c>
      <c r="E82" s="7">
        <f>IFERROR(DATEVALUE(LEFT(Raw_Cancellations!C82,10))+TIMEVALUE(MID(Raw_Cancellations!C82,12,8)),"")</f>
        <v>45967.2778587963</v>
      </c>
      <c r="F82" s="7">
        <f>IFERROR(MATCH(Raw_Cancellations!B82,Work_Bookings!$A$2:$A$648,0),0)</f>
        <v>336</v>
      </c>
      <c r="G82" s="7">
        <f>IF(F82=0,"",INDEX(Work_Bookings!$M$2:$M$648,F82))</f>
        <v>45933.90384259259</v>
      </c>
      <c r="H82" s="7">
        <f>IF(F82=0,0,IF(OR(INDEX(Work_Bookings!$L$2:$L$648,F82)=1,INDEX(Work_Bookings!$K$2:$K$648,F82)=1,INDEX(Work_Bookings!$N$2:$N$648,F82)=1,COUNTIFS(Work_Passengers!$B$2:$B$1336,Raw_Cancellations!B82,Work_Passengers!$L$2:$L$1336,1)&gt;0),1,0))</f>
        <v>0</v>
      </c>
      <c r="I82" s="7">
        <f>IF(OR(B82=1,C82=1,H82=1),0,IF(AND(ISNUMBER(E82),ISNUMBER(G82)),IF(E82&lt;G82,1,0),0))</f>
        <v>0</v>
      </c>
    </row>
    <row r="83" spans="1:9">
      <c r="A83" s="7">
        <f>Raw_Cancellations!A83</f>
        <v>24169</v>
      </c>
      <c r="B83" s="7">
        <f>IF(COUNTIF(Raw_Cancellations!$A$2:A83,Raw_Cancellations!A83)&gt;1,1,0)</f>
        <v>0</v>
      </c>
      <c r="C83" s="7">
        <f>IF(COUNTIF(Raw_Bookings!$A$2:$A$648,Raw_Cancellations!B83)=0,1,0)</f>
        <v>0</v>
      </c>
      <c r="D83" s="7">
        <f>IF(OR(B83=1,C83=1),0,IF(Raw_Cancellations!I83&gt;Raw_Cancellations!G83+0.005,1,0))</f>
        <v>0</v>
      </c>
      <c r="E83" s="7">
        <f>IFERROR(DATEVALUE(LEFT(Raw_Cancellations!C83,10))+TIMEVALUE(MID(Raw_Cancellations!C83,12,8)),"")</f>
        <v>45963.93306712963</v>
      </c>
      <c r="F83" s="7">
        <f>IFERROR(MATCH(Raw_Cancellations!B83,Work_Bookings!$A$2:$A$648,0),0)</f>
        <v>361</v>
      </c>
      <c r="G83" s="7">
        <f>IF(F83=0,"",INDEX(Work_Bookings!$M$2:$M$648,F83))</f>
        <v>45966.5997337963</v>
      </c>
      <c r="H83" s="7">
        <f>IF(F83=0,0,IF(OR(INDEX(Work_Bookings!$L$2:$L$648,F83)=1,INDEX(Work_Bookings!$K$2:$K$648,F83)=1,INDEX(Work_Bookings!$N$2:$N$648,F83)=1,COUNTIFS(Work_Passengers!$B$2:$B$1336,Raw_Cancellations!B83,Work_Passengers!$L$2:$L$1336,1)&gt;0),1,0))</f>
        <v>0</v>
      </c>
      <c r="I83" s="7">
        <f>IF(OR(B83=1,C83=1,H83=1),0,IF(AND(ISNUMBER(E83),ISNUMBER(G83)),IF(E83&lt;G83,1,0),0))</f>
        <v>1</v>
      </c>
    </row>
    <row r="84" spans="1:9">
      <c r="A84" s="7">
        <f>Raw_Cancellations!A84</f>
        <v>24752</v>
      </c>
      <c r="B84" s="7">
        <f>IF(COUNTIF(Raw_Cancellations!$A$2:A84,Raw_Cancellations!A84)&gt;1,1,0)</f>
        <v>0</v>
      </c>
      <c r="C84" s="7">
        <f>IF(COUNTIF(Raw_Bookings!$A$2:$A$648,Raw_Cancellations!B84)=0,1,0)</f>
        <v>0</v>
      </c>
      <c r="D84" s="7">
        <f>IF(OR(B84=1,C84=1),0,IF(Raw_Cancellations!I84&gt;Raw_Cancellations!G84+0.005,1,0))</f>
        <v>0</v>
      </c>
      <c r="E84" s="7">
        <f>IFERROR(DATEVALUE(LEFT(Raw_Cancellations!C84,10))+TIMEVALUE(MID(Raw_Cancellations!C84,12,8)),"")</f>
        <v>45978.166666666664</v>
      </c>
      <c r="F84" s="7">
        <f>IFERROR(MATCH(Raw_Cancellations!B84,Work_Bookings!$A$2:$A$648,0),0)</f>
        <v>360</v>
      </c>
      <c r="G84" s="7">
        <f>IF(F84=0,"",INDEX(Work_Bookings!$M$2:$M$648,F84))</f>
        <v>45966.584710648145</v>
      </c>
      <c r="H84" s="7">
        <f>IF(F84=0,0,IF(OR(INDEX(Work_Bookings!$L$2:$L$648,F84)=1,INDEX(Work_Bookings!$K$2:$K$648,F84)=1,INDEX(Work_Bookings!$N$2:$N$648,F84)=1,COUNTIFS(Work_Passengers!$B$2:$B$1336,Raw_Cancellations!B84,Work_Passengers!$L$2:$L$1336,1)&gt;0),1,0))</f>
        <v>0</v>
      </c>
      <c r="I84" s="7">
        <f>IF(OR(B84=1,C84=1,H84=1),0,IF(AND(ISNUMBER(E84),ISNUMBER(G84)),IF(E84&lt;G84,1,0),0))</f>
        <v>0</v>
      </c>
    </row>
    <row r="85" spans="1:9">
      <c r="A85" s="7">
        <f>Raw_Cancellations!A85</f>
        <v>24794</v>
      </c>
      <c r="B85" s="7">
        <f>IF(COUNTIF(Raw_Cancellations!$A$2:A85,Raw_Cancellations!A85)&gt;1,1,0)</f>
        <v>0</v>
      </c>
      <c r="C85" s="7">
        <f>IF(COUNTIF(Raw_Bookings!$A$2:$A$648,Raw_Cancellations!B85)=0,1,0)</f>
        <v>0</v>
      </c>
      <c r="D85" s="7">
        <f>IF(OR(B85=1,C85=1),0,IF(Raw_Cancellations!I85&gt;Raw_Cancellations!G85+0.005,1,0))</f>
        <v>0</v>
      </c>
      <c r="E85" s="7">
        <f>IFERROR(DATEVALUE(LEFT(Raw_Cancellations!C85,10))+TIMEVALUE(MID(Raw_Cancellations!C85,12,8)),"")</f>
        <v>45978.20327546296</v>
      </c>
      <c r="F85" s="7">
        <f>IFERROR(MATCH(Raw_Cancellations!B85,Work_Bookings!$A$2:$A$648,0),0)</f>
        <v>371</v>
      </c>
      <c r="G85" s="7">
        <f>IF(F85=0,"",INDEX(Work_Bookings!$M$2:$M$648,F85))</f>
        <v>45975.64486111111</v>
      </c>
      <c r="H85" s="7">
        <f>IF(F85=0,0,IF(OR(INDEX(Work_Bookings!$L$2:$L$648,F85)=1,INDEX(Work_Bookings!$K$2:$K$648,F85)=1,INDEX(Work_Bookings!$N$2:$N$648,F85)=1,COUNTIFS(Work_Passengers!$B$2:$B$1336,Raw_Cancellations!B85,Work_Passengers!$L$2:$L$1336,1)&gt;0),1,0))</f>
        <v>0</v>
      </c>
      <c r="I85" s="7">
        <f>IF(OR(B85=1,C85=1,H85=1),0,IF(AND(ISNUMBER(E85),ISNUMBER(G85)),IF(E85&lt;G85,1,0),0))</f>
        <v>0</v>
      </c>
    </row>
    <row r="86" spans="1:9">
      <c r="A86" s="7">
        <f>Raw_Cancellations!A86</f>
        <v>24799</v>
      </c>
      <c r="B86" s="7">
        <f>IF(COUNTIF(Raw_Cancellations!$A$2:A86,Raw_Cancellations!A86)&gt;1,1,0)</f>
        <v>0</v>
      </c>
      <c r="C86" s="7">
        <f>IF(COUNTIF(Raw_Bookings!$A$2:$A$648,Raw_Cancellations!B86)=0,1,0)</f>
        <v>0</v>
      </c>
      <c r="D86" s="7">
        <f>IF(OR(B86=1,C86=1),0,IF(Raw_Cancellations!I86&gt;Raw_Cancellations!G86+0.005,1,0))</f>
        <v>0</v>
      </c>
      <c r="E86" s="7">
        <f>IFERROR(DATEVALUE(LEFT(Raw_Cancellations!C86,10))+TIMEVALUE(MID(Raw_Cancellations!C86,12,8)),"")</f>
        <v>45978.29974537037</v>
      </c>
      <c r="F86" s="7">
        <f>IFERROR(MATCH(Raw_Cancellations!B86,Work_Bookings!$A$2:$A$648,0),0)</f>
        <v>367</v>
      </c>
      <c r="G86" s="7">
        <f>IF(F86=0,"",INDEX(Work_Bookings!$M$2:$M$648,F86))</f>
        <v>45968.52583333333</v>
      </c>
      <c r="H86" s="7">
        <f>IF(F86=0,0,IF(OR(INDEX(Work_Bookings!$L$2:$L$648,F86)=1,INDEX(Work_Bookings!$K$2:$K$648,F86)=1,INDEX(Work_Bookings!$N$2:$N$648,F86)=1,COUNTIFS(Work_Passengers!$B$2:$B$1336,Raw_Cancellations!B86,Work_Passengers!$L$2:$L$1336,1)&gt;0),1,0))</f>
        <v>0</v>
      </c>
      <c r="I86" s="7">
        <f>IF(OR(B86=1,C86=1,H86=1),0,IF(AND(ISNUMBER(E86),ISNUMBER(G86)),IF(E86&lt;G86,1,0),0))</f>
        <v>0</v>
      </c>
    </row>
    <row r="87" spans="1:9">
      <c r="A87" s="7">
        <f>Raw_Cancellations!A87</f>
        <v>24924</v>
      </c>
      <c r="B87" s="7">
        <f>IF(COUNTIF(Raw_Cancellations!$A$2:A87,Raw_Cancellations!A87)&gt;1,1,0)</f>
        <v>0</v>
      </c>
      <c r="C87" s="7">
        <f>IF(COUNTIF(Raw_Bookings!$A$2:$A$648,Raw_Cancellations!B87)=0,1,0)</f>
        <v>0</v>
      </c>
      <c r="D87" s="7">
        <f>IF(OR(B87=1,C87=1),0,IF(Raw_Cancellations!I87&gt;Raw_Cancellations!G87+0.005,1,0))</f>
        <v>0</v>
      </c>
      <c r="E87" s="7">
        <f>IFERROR(DATEVALUE(LEFT(Raw_Cancellations!C87,10))+TIMEVALUE(MID(Raw_Cancellations!C87,12,8)),"")</f>
        <v>45979.15625</v>
      </c>
      <c r="F87" s="7">
        <f>IFERROR(MATCH(Raw_Cancellations!B87,Work_Bookings!$A$2:$A$648,0),0)</f>
        <v>376</v>
      </c>
      <c r="G87" s="7">
        <f>IF(F87=0,"",INDEX(Work_Bookings!$M$2:$M$648,F87))</f>
        <v>45978.63920138889</v>
      </c>
      <c r="H87" s="7">
        <f>IF(F87=0,0,IF(OR(INDEX(Work_Bookings!$L$2:$L$648,F87)=1,INDEX(Work_Bookings!$K$2:$K$648,F87)=1,INDEX(Work_Bookings!$N$2:$N$648,F87)=1,COUNTIFS(Work_Passengers!$B$2:$B$1336,Raw_Cancellations!B87,Work_Passengers!$L$2:$L$1336,1)&gt;0),1,0))</f>
        <v>0</v>
      </c>
      <c r="I87" s="7">
        <f>IF(OR(B87=1,C87=1,H87=1),0,IF(AND(ISNUMBER(E87),ISNUMBER(G87)),IF(E87&lt;G87,1,0),0))</f>
        <v>0</v>
      </c>
    </row>
    <row r="88" spans="1:9">
      <c r="A88" s="7">
        <f>Raw_Cancellations!A88</f>
        <v>25015</v>
      </c>
      <c r="B88" s="7">
        <f>IF(COUNTIF(Raw_Cancellations!$A$2:A88,Raw_Cancellations!A88)&gt;1,1,0)</f>
        <v>0</v>
      </c>
      <c r="C88" s="7">
        <f>IF(COUNTIF(Raw_Bookings!$A$2:$A$648,Raw_Cancellations!B88)=0,1,0)</f>
        <v>0</v>
      </c>
      <c r="D88" s="7">
        <f>IF(OR(B88=1,C88=1),0,IF(Raw_Cancellations!I88&gt;Raw_Cancellations!G88+0.005,1,0))</f>
        <v>0</v>
      </c>
      <c r="E88" s="7">
        <f>IFERROR(DATEVALUE(LEFT(Raw_Cancellations!C88,10))+TIMEVALUE(MID(Raw_Cancellations!C88,12,8)),"")</f>
        <v>45980.84664351852</v>
      </c>
      <c r="F88" s="7">
        <f>IFERROR(MATCH(Raw_Cancellations!B88,Work_Bookings!$A$2:$A$648,0),0)</f>
        <v>344</v>
      </c>
      <c r="G88" s="7">
        <f>IF(F88=0,"",INDEX(Work_Bookings!$M$2:$M$648,F88))</f>
        <v>45942.84675925926</v>
      </c>
      <c r="H88" s="7">
        <f>IF(F88=0,0,IF(OR(INDEX(Work_Bookings!$L$2:$L$648,F88)=1,INDEX(Work_Bookings!$K$2:$K$648,F88)=1,INDEX(Work_Bookings!$N$2:$N$648,F88)=1,COUNTIFS(Work_Passengers!$B$2:$B$1336,Raw_Cancellations!B88,Work_Passengers!$L$2:$L$1336,1)&gt;0),1,0))</f>
        <v>0</v>
      </c>
      <c r="I88" s="7">
        <f>IF(OR(B88=1,C88=1,H88=1),0,IF(AND(ISNUMBER(E88),ISNUMBER(G88)),IF(E88&lt;G88,1,0),0))</f>
        <v>0</v>
      </c>
    </row>
    <row r="89" spans="1:9">
      <c r="A89" s="7">
        <f>Raw_Cancellations!A89</f>
        <v>25359</v>
      </c>
      <c r="B89" s="7">
        <f>IF(COUNTIF(Raw_Cancellations!$A$2:A89,Raw_Cancellations!A89)&gt;1,1,0)</f>
        <v>0</v>
      </c>
      <c r="C89" s="7">
        <f>IF(COUNTIF(Raw_Bookings!$A$2:$A$648,Raw_Cancellations!B89)=0,1,0)</f>
        <v>0</v>
      </c>
      <c r="D89" s="7">
        <f>IF(OR(B89=1,C89=1),0,IF(Raw_Cancellations!I89&gt;Raw_Cancellations!G89+0.005,1,0))</f>
        <v>0</v>
      </c>
      <c r="E89" s="7">
        <f>IFERROR(DATEVALUE(LEFT(Raw_Cancellations!C89,10))+TIMEVALUE(MID(Raw_Cancellations!C89,12,8)),"")</f>
        <v>45989.81114583334</v>
      </c>
      <c r="F89" s="7">
        <f>IFERROR(MATCH(Raw_Cancellations!B89,Work_Bookings!$A$2:$A$648,0),0)</f>
        <v>378</v>
      </c>
      <c r="G89" s="7">
        <f>IF(F89=0,"",INDEX(Work_Bookings!$M$2:$M$648,F89))</f>
        <v>45981.85076388889</v>
      </c>
      <c r="H89" s="7">
        <f>IF(F89=0,0,IF(OR(INDEX(Work_Bookings!$L$2:$L$648,F89)=1,INDEX(Work_Bookings!$K$2:$K$648,F89)=1,INDEX(Work_Bookings!$N$2:$N$648,F89)=1,COUNTIFS(Work_Passengers!$B$2:$B$1336,Raw_Cancellations!B89,Work_Passengers!$L$2:$L$1336,1)&gt;0),1,0))</f>
        <v>0</v>
      </c>
      <c r="I89" s="7">
        <f>IF(OR(B89=1,C89=1,H89=1),0,IF(AND(ISNUMBER(E89),ISNUMBER(G89)),IF(E89&lt;G89,1,0),0))</f>
        <v>0</v>
      </c>
    </row>
    <row r="90" spans="1:9">
      <c r="A90" s="7">
        <f>Raw_Cancellations!A90</f>
        <v>25432</v>
      </c>
      <c r="B90" s="7">
        <f>IF(COUNTIF(Raw_Cancellations!$A$2:A90,Raw_Cancellations!A90)&gt;1,1,0)</f>
        <v>0</v>
      </c>
      <c r="C90" s="7">
        <f>IF(COUNTIF(Raw_Bookings!$A$2:$A$648,Raw_Cancellations!B90)=0,1,0)</f>
        <v>0</v>
      </c>
      <c r="D90" s="7">
        <f>IF(OR(B90=1,C90=1),0,IF(Raw_Cancellations!I90&gt;Raw_Cancellations!G90+0.005,1,0))</f>
        <v>0</v>
      </c>
      <c r="E90" s="7">
        <f>IFERROR(DATEVALUE(LEFT(Raw_Cancellations!C90,10))+TIMEVALUE(MID(Raw_Cancellations!C90,12,8)),"")</f>
        <v>45991.7031712963</v>
      </c>
      <c r="F90" s="7">
        <f>IFERROR(MATCH(Raw_Cancellations!B90,Work_Bookings!$A$2:$A$648,0),0)</f>
        <v>380</v>
      </c>
      <c r="G90" s="7">
        <f>IF(F90=0,"",INDEX(Work_Bookings!$M$2:$M$648,F90))</f>
        <v>45982.46907407408</v>
      </c>
      <c r="H90" s="7">
        <f>IF(F90=0,0,IF(OR(INDEX(Work_Bookings!$L$2:$L$648,F90)=1,INDEX(Work_Bookings!$K$2:$K$648,F90)=1,INDEX(Work_Bookings!$N$2:$N$648,F90)=1,COUNTIFS(Work_Passengers!$B$2:$B$1336,Raw_Cancellations!B90,Work_Passengers!$L$2:$L$1336,1)&gt;0),1,0))</f>
        <v>0</v>
      </c>
      <c r="I90" s="7">
        <f>IF(OR(B90=1,C90=1,H90=1),0,IF(AND(ISNUMBER(E90),ISNUMBER(G90)),IF(E90&lt;G90,1,0),0))</f>
        <v>0</v>
      </c>
    </row>
    <row r="91" spans="1:9">
      <c r="A91" s="7">
        <f>Raw_Cancellations!A91</f>
        <v>25488</v>
      </c>
      <c r="B91" s="7">
        <f>IF(COUNTIF(Raw_Cancellations!$A$2:A91,Raw_Cancellations!A91)&gt;1,1,0)</f>
        <v>0</v>
      </c>
      <c r="C91" s="7">
        <f>IF(COUNTIF(Raw_Bookings!$A$2:$A$648,Raw_Cancellations!B91)=0,1,0)</f>
        <v>0</v>
      </c>
      <c r="D91" s="7">
        <f>IF(OR(B91=1,C91=1),0,IF(Raw_Cancellations!I91&gt;Raw_Cancellations!G91+0.005,1,0))</f>
        <v>0</v>
      </c>
      <c r="E91" s="7">
        <f>IFERROR(DATEVALUE(LEFT(Raw_Cancellations!C91,10))+TIMEVALUE(MID(Raw_Cancellations!C91,12,8)),"")</f>
        <v>45993.16832175926</v>
      </c>
      <c r="F91" s="7">
        <f>IFERROR(MATCH(Raw_Cancellations!B91,Work_Bookings!$A$2:$A$648,0),0)</f>
        <v>384</v>
      </c>
      <c r="G91" s="7">
        <f>IF(F91=0,"",INDEX(Work_Bookings!$M$2:$M$648,F91))</f>
        <v>45990.1405787037</v>
      </c>
      <c r="H91" s="7">
        <f>IF(F91=0,0,IF(OR(INDEX(Work_Bookings!$L$2:$L$648,F91)=1,INDEX(Work_Bookings!$K$2:$K$648,F91)=1,INDEX(Work_Bookings!$N$2:$N$648,F91)=1,COUNTIFS(Work_Passengers!$B$2:$B$1336,Raw_Cancellations!B91,Work_Passengers!$L$2:$L$1336,1)&gt;0),1,0))</f>
        <v>0</v>
      </c>
      <c r="I91" s="7">
        <f>IF(OR(B91=1,C91=1,H91=1),0,IF(AND(ISNUMBER(E91),ISNUMBER(G91)),IF(E91&lt;G91,1,0),0))</f>
        <v>0</v>
      </c>
    </row>
    <row r="92" spans="1:9">
      <c r="A92" s="7">
        <f>Raw_Cancellations!A92</f>
        <v>25824</v>
      </c>
      <c r="B92" s="7">
        <f>IF(COUNTIF(Raw_Cancellations!$A$2:A92,Raw_Cancellations!A92)&gt;1,1,0)</f>
        <v>0</v>
      </c>
      <c r="C92" s="7">
        <f>IF(COUNTIF(Raw_Bookings!$A$2:$A$648,Raw_Cancellations!B92)=0,1,0)</f>
        <v>0</v>
      </c>
      <c r="D92" s="7">
        <f>IF(OR(B92=1,C92=1),0,IF(Raw_Cancellations!I92&gt;Raw_Cancellations!G92+0.005,1,0))</f>
        <v>0</v>
      </c>
      <c r="E92" s="7">
        <f>IFERROR(DATEVALUE(LEFT(Raw_Cancellations!C92,10))+TIMEVALUE(MID(Raw_Cancellations!C92,12,8)),"")</f>
        <v>46001.49056712963</v>
      </c>
      <c r="F92" s="7">
        <f>IFERROR(MATCH(Raw_Cancellations!B92,Work_Bookings!$A$2:$A$648,0),0)</f>
        <v>314</v>
      </c>
      <c r="G92" s="7">
        <f>IF(F92=0,"",INDEX(Work_Bookings!$M$2:$M$648,F92))</f>
        <v>45912.79677083333</v>
      </c>
      <c r="H92" s="7">
        <f>IF(F92=0,0,IF(OR(INDEX(Work_Bookings!$L$2:$L$648,F92)=1,INDEX(Work_Bookings!$K$2:$K$648,F92)=1,INDEX(Work_Bookings!$N$2:$N$648,F92)=1,COUNTIFS(Work_Passengers!$B$2:$B$1336,Raw_Cancellations!B92,Work_Passengers!$L$2:$L$1336,1)&gt;0),1,0))</f>
        <v>0</v>
      </c>
      <c r="I92" s="7">
        <f>IF(OR(B92=1,C92=1,H92=1),0,IF(AND(ISNUMBER(E92),ISNUMBER(G92)),IF(E92&lt;G92,1,0),0))</f>
        <v>0</v>
      </c>
    </row>
    <row r="93" spans="1:9">
      <c r="A93" s="7">
        <f>Raw_Cancellations!A93</f>
        <v>25975</v>
      </c>
      <c r="B93" s="7">
        <f>IF(COUNTIF(Raw_Cancellations!$A$2:A93,Raw_Cancellations!A93)&gt;1,1,0)</f>
        <v>0</v>
      </c>
      <c r="C93" s="7">
        <f>IF(COUNTIF(Raw_Bookings!$A$2:$A$648,Raw_Cancellations!B93)=0,1,0)</f>
        <v>0</v>
      </c>
      <c r="D93" s="7">
        <f>IF(OR(B93=1,C93=1),0,IF(Raw_Cancellations!I93&gt;Raw_Cancellations!G93+0.005,1,0))</f>
        <v>0</v>
      </c>
      <c r="E93" s="7">
        <f>IFERROR(DATEVALUE(LEFT(Raw_Cancellations!C93,10))+TIMEVALUE(MID(Raw_Cancellations!C93,12,8)),"")</f>
        <v>46003.21875</v>
      </c>
      <c r="F93" s="7">
        <f>IFERROR(MATCH(Raw_Cancellations!B93,Work_Bookings!$A$2:$A$648,0),0)</f>
        <v>394</v>
      </c>
      <c r="G93" s="7">
        <f>IF(F93=0,"",INDEX(Work_Bookings!$M$2:$M$648,F93))</f>
        <v>45999.518738425926</v>
      </c>
      <c r="H93" s="7">
        <f>IF(F93=0,0,IF(OR(INDEX(Work_Bookings!$L$2:$L$648,F93)=1,INDEX(Work_Bookings!$K$2:$K$648,F93)=1,INDEX(Work_Bookings!$N$2:$N$648,F93)=1,COUNTIFS(Work_Passengers!$B$2:$B$1336,Raw_Cancellations!B93,Work_Passengers!$L$2:$L$1336,1)&gt;0),1,0))</f>
        <v>0</v>
      </c>
      <c r="I93" s="7">
        <f>IF(OR(B93=1,C93=1,H93=1),0,IF(AND(ISNUMBER(E93),ISNUMBER(G93)),IF(E93&lt;G93,1,0),0))</f>
        <v>0</v>
      </c>
    </row>
    <row r="94" spans="1:9">
      <c r="A94" s="7">
        <f>Raw_Cancellations!A94</f>
        <v>26097</v>
      </c>
      <c r="B94" s="7">
        <f>IF(COUNTIF(Raw_Cancellations!$A$2:A94,Raw_Cancellations!A94)&gt;1,1,0)</f>
        <v>0</v>
      </c>
      <c r="C94" s="7">
        <f>IF(COUNTIF(Raw_Bookings!$A$2:$A$648,Raw_Cancellations!B94)=0,1,0)</f>
        <v>0</v>
      </c>
      <c r="D94" s="7">
        <f>IF(OR(B94=1,C94=1),0,IF(Raw_Cancellations!I94&gt;Raw_Cancellations!G94+0.005,1,0))</f>
        <v>0</v>
      </c>
      <c r="E94" s="7">
        <f>IFERROR(DATEVALUE(LEFT(Raw_Cancellations!C94,10))+TIMEVALUE(MID(Raw_Cancellations!C94,12,8)),"")</f>
        <v>46005.40025462963</v>
      </c>
      <c r="F94" s="7">
        <f>IFERROR(MATCH(Raw_Cancellations!B94,Work_Bookings!$A$2:$A$648,0),0)</f>
        <v>381</v>
      </c>
      <c r="G94" s="7">
        <f>IF(F94=0,"",INDEX(Work_Bookings!$M$2:$M$648,F94))</f>
        <v>45985.67988425926</v>
      </c>
      <c r="H94" s="7">
        <f>IF(F94=0,0,IF(OR(INDEX(Work_Bookings!$L$2:$L$648,F94)=1,INDEX(Work_Bookings!$K$2:$K$648,F94)=1,INDEX(Work_Bookings!$N$2:$N$648,F94)=1,COUNTIFS(Work_Passengers!$B$2:$B$1336,Raw_Cancellations!B94,Work_Passengers!$L$2:$L$1336,1)&gt;0),1,0))</f>
        <v>0</v>
      </c>
      <c r="I94" s="7">
        <f>IF(OR(B94=1,C94=1,H94=1),0,IF(AND(ISNUMBER(E94),ISNUMBER(G94)),IF(E94&lt;G94,1,0),0))</f>
        <v>0</v>
      </c>
    </row>
    <row r="95" spans="1:9">
      <c r="A95" s="7">
        <f>Raw_Cancellations!A95</f>
        <v>26344</v>
      </c>
      <c r="B95" s="7">
        <f>IF(COUNTIF(Raw_Cancellations!$A$2:A95,Raw_Cancellations!A95)&gt;1,1,0)</f>
        <v>0</v>
      </c>
      <c r="C95" s="7">
        <f>IF(COUNTIF(Raw_Bookings!$A$2:$A$648,Raw_Cancellations!B95)=0,1,0)</f>
        <v>0</v>
      </c>
      <c r="D95" s="7">
        <f>IF(OR(B95=1,C95=1),0,IF(Raw_Cancellations!I95&gt;Raw_Cancellations!G95+0.005,1,0))</f>
        <v>0</v>
      </c>
      <c r="E95" s="7">
        <f>IFERROR(DATEVALUE(LEFT(Raw_Cancellations!C95,10))+TIMEVALUE(MID(Raw_Cancellations!C95,12,8)),"")</f>
        <v>46008.70321759259</v>
      </c>
      <c r="F95" s="7">
        <f>IFERROR(MATCH(Raw_Cancellations!B95,Work_Bookings!$A$2:$A$648,0),0)</f>
        <v>391</v>
      </c>
      <c r="G95" s="7">
        <f>IF(F95=0,"",INDEX(Work_Bookings!$M$2:$M$648,F95))</f>
        <v>45997.87094907407</v>
      </c>
      <c r="H95" s="7">
        <f>IF(F95=0,0,IF(OR(INDEX(Work_Bookings!$L$2:$L$648,F95)=1,INDEX(Work_Bookings!$K$2:$K$648,F95)=1,INDEX(Work_Bookings!$N$2:$N$648,F95)=1,COUNTIFS(Work_Passengers!$B$2:$B$1336,Raw_Cancellations!B95,Work_Passengers!$L$2:$L$1336,1)&gt;0),1,0))</f>
        <v>0</v>
      </c>
      <c r="I95" s="7">
        <f>IF(OR(B95=1,C95=1,H95=1),0,IF(AND(ISNUMBER(E95),ISNUMBER(G95)),IF(E95&lt;G95,1,0),0))</f>
        <v>0</v>
      </c>
    </row>
    <row r="96" spans="1:9">
      <c r="A96" s="7">
        <f>Raw_Cancellations!A96</f>
        <v>26370</v>
      </c>
      <c r="B96" s="7">
        <f>IF(COUNTIF(Raw_Cancellations!$A$2:A96,Raw_Cancellations!A96)&gt;1,1,0)</f>
        <v>0</v>
      </c>
      <c r="C96" s="7">
        <f>IF(COUNTIF(Raw_Bookings!$A$2:$A$648,Raw_Cancellations!B96)=0,1,0)</f>
        <v>0</v>
      </c>
      <c r="D96" s="7">
        <f>IF(OR(B96=1,C96=1),0,IF(Raw_Cancellations!I96&gt;Raw_Cancellations!G96+0.005,1,0))</f>
        <v>0</v>
      </c>
      <c r="E96" s="7">
        <f>IFERROR(DATEVALUE(LEFT(Raw_Cancellations!C96,10))+TIMEVALUE(MID(Raw_Cancellations!C96,12,8)),"")</f>
        <v>46009.161157407405</v>
      </c>
      <c r="F96" s="7">
        <f>IFERROR(MATCH(Raw_Cancellations!B96,Work_Bookings!$A$2:$A$648,0),0)</f>
        <v>397</v>
      </c>
      <c r="G96" s="7">
        <f>IF(F96=0,"",INDEX(Work_Bookings!$M$2:$M$648,F96))</f>
        <v>46007.80086805556</v>
      </c>
      <c r="H96" s="7">
        <f>IF(F96=0,0,IF(OR(INDEX(Work_Bookings!$L$2:$L$648,F96)=1,INDEX(Work_Bookings!$K$2:$K$648,F96)=1,INDEX(Work_Bookings!$N$2:$N$648,F96)=1,COUNTIFS(Work_Passengers!$B$2:$B$1336,Raw_Cancellations!B96,Work_Passengers!$L$2:$L$1336,1)&gt;0),1,0))</f>
        <v>0</v>
      </c>
      <c r="I96" s="7">
        <f>IF(OR(B96=1,C96=1,H96=1),0,IF(AND(ISNUMBER(E96),ISNUMBER(G96)),IF(E96&lt;G96,1,0),0))</f>
        <v>0</v>
      </c>
    </row>
    <row r="97" spans="1:9">
      <c r="A97" s="7">
        <f>Raw_Cancellations!A97</f>
        <v>27471</v>
      </c>
      <c r="B97" s="7">
        <f>IF(COUNTIF(Raw_Cancellations!$A$2:A97,Raw_Cancellations!A97)&gt;1,1,0)</f>
        <v>0</v>
      </c>
      <c r="C97" s="7">
        <f>IF(COUNTIF(Raw_Bookings!$A$2:$A$648,Raw_Cancellations!B97)=0,1,0)</f>
        <v>0</v>
      </c>
      <c r="D97" s="7">
        <f>IF(OR(B97=1,C97=1),0,IF(Raw_Cancellations!I97&gt;Raw_Cancellations!G97+0.005,1,0))</f>
        <v>0</v>
      </c>
      <c r="E97" s="7">
        <f>IFERROR(DATEVALUE(LEFT(Raw_Cancellations!C97,10))+TIMEVALUE(MID(Raw_Cancellations!C97,12,8)),"")</f>
        <v>46029.677083333336</v>
      </c>
      <c r="F97" s="7">
        <f>IFERROR(MATCH(Raw_Cancellations!B97,Work_Bookings!$A$2:$A$648,0),0)</f>
        <v>405</v>
      </c>
      <c r="G97" s="7">
        <f>IF(F97=0,"",INDEX(Work_Bookings!$M$2:$M$648,F97))</f>
        <v>46025.812372685185</v>
      </c>
      <c r="H97" s="7">
        <f>IF(F97=0,0,IF(OR(INDEX(Work_Bookings!$L$2:$L$648,F97)=1,INDEX(Work_Bookings!$K$2:$K$648,F97)=1,INDEX(Work_Bookings!$N$2:$N$648,F97)=1,COUNTIFS(Work_Passengers!$B$2:$B$1336,Raw_Cancellations!B97,Work_Passengers!$L$2:$L$1336,1)&gt;0),1,0))</f>
        <v>0</v>
      </c>
      <c r="I97" s="7">
        <f>IF(OR(B97=1,C97=1,H97=1),0,IF(AND(ISNUMBER(E97),ISNUMBER(G97)),IF(E97&lt;G97,1,0),0))</f>
        <v>0</v>
      </c>
    </row>
    <row r="98" spans="1:9">
      <c r="A98" s="7">
        <f>Raw_Cancellations!A98</f>
        <v>27813</v>
      </c>
      <c r="B98" s="7">
        <f>IF(COUNTIF(Raw_Cancellations!$A$2:A98,Raw_Cancellations!A98)&gt;1,1,0)</f>
        <v>0</v>
      </c>
      <c r="C98" s="7">
        <f>IF(COUNTIF(Raw_Bookings!$A$2:$A$648,Raw_Cancellations!B98)=0,1,0)</f>
        <v>0</v>
      </c>
      <c r="D98" s="7">
        <f>IF(OR(B98=1,C98=1),0,IF(Raw_Cancellations!I98&gt;Raw_Cancellations!G98+0.005,1,0))</f>
        <v>0</v>
      </c>
      <c r="E98" s="7">
        <f>IFERROR(DATEVALUE(LEFT(Raw_Cancellations!C98,10))+TIMEVALUE(MID(Raw_Cancellations!C98,12,8)),"")</f>
        <v>46035.15625</v>
      </c>
      <c r="F98" s="7">
        <f>IFERROR(MATCH(Raw_Cancellations!B98,Work_Bookings!$A$2:$A$648,0),0)</f>
        <v>416</v>
      </c>
      <c r="G98" s="7">
        <f>IF(F98=0,"",INDEX(Work_Bookings!$M$2:$M$648,F98))</f>
        <v>46034.59884259259</v>
      </c>
      <c r="H98" s="7">
        <f>IF(F98=0,0,IF(OR(INDEX(Work_Bookings!$L$2:$L$648,F98)=1,INDEX(Work_Bookings!$K$2:$K$648,F98)=1,INDEX(Work_Bookings!$N$2:$N$648,F98)=1,COUNTIFS(Work_Passengers!$B$2:$B$1336,Raw_Cancellations!B98,Work_Passengers!$L$2:$L$1336,1)&gt;0),1,0))</f>
        <v>0</v>
      </c>
      <c r="I98" s="7">
        <f>IF(OR(B98=1,C98=1,H98=1),0,IF(AND(ISNUMBER(E98),ISNUMBER(G98)),IF(E98&lt;G98,1,0),0))</f>
        <v>0</v>
      </c>
    </row>
    <row r="99" spans="1:9">
      <c r="A99" s="7">
        <f>Raw_Cancellations!A99</f>
        <v>28322</v>
      </c>
      <c r="B99" s="7">
        <f>IF(COUNTIF(Raw_Cancellations!$A$2:A99,Raw_Cancellations!A99)&gt;1,1,0)</f>
        <v>0</v>
      </c>
      <c r="C99" s="7">
        <f>IF(COUNTIF(Raw_Bookings!$A$2:$A$648,Raw_Cancellations!B99)=0,1,0)</f>
        <v>0</v>
      </c>
      <c r="D99" s="7">
        <f>IF(OR(B99=1,C99=1),0,IF(Raw_Cancellations!I99&gt;Raw_Cancellations!G99+0.005,1,0))</f>
        <v>0</v>
      </c>
      <c r="E99" s="7">
        <f>IFERROR(DATEVALUE(LEFT(Raw_Cancellations!C99,10))+TIMEVALUE(MID(Raw_Cancellations!C99,12,8)),"")</f>
        <v>46043.747777777775</v>
      </c>
      <c r="F99" s="7">
        <f>IFERROR(MATCH(Raw_Cancellations!B99,Work_Bookings!$A$2:$A$648,0),0)</f>
        <v>418</v>
      </c>
      <c r="G99" s="7">
        <f>IF(F99=0,"",INDEX(Work_Bookings!$M$2:$M$648,F99))</f>
        <v>46034.85796296296</v>
      </c>
      <c r="H99" s="7">
        <f>IF(F99=0,0,IF(OR(INDEX(Work_Bookings!$L$2:$L$648,F99)=1,INDEX(Work_Bookings!$K$2:$K$648,F99)=1,INDEX(Work_Bookings!$N$2:$N$648,F99)=1,COUNTIFS(Work_Passengers!$B$2:$B$1336,Raw_Cancellations!B99,Work_Passengers!$L$2:$L$1336,1)&gt;0),1,0))</f>
        <v>0</v>
      </c>
      <c r="I99" s="7">
        <f>IF(OR(B99=1,C99=1,H99=1),0,IF(AND(ISNUMBER(E99),ISNUMBER(G99)),IF(E99&lt;G99,1,0),0))</f>
        <v>0</v>
      </c>
    </row>
    <row r="100" spans="1:9">
      <c r="A100" s="7">
        <f>Raw_Cancellations!A100</f>
        <v>28630</v>
      </c>
      <c r="B100" s="7">
        <f>IF(COUNTIF(Raw_Cancellations!$A$2:A100,Raw_Cancellations!A100)&gt;1,1,0)</f>
        <v>0</v>
      </c>
      <c r="C100" s="7">
        <f>IF(COUNTIF(Raw_Bookings!$A$2:$A$648,Raw_Cancellations!B100)=0,1,0)</f>
        <v>0</v>
      </c>
      <c r="D100" s="7">
        <f>IF(OR(B100=1,C100=1),0,IF(Raw_Cancellations!I100&gt;Raw_Cancellations!G100+0.005,1,0))</f>
        <v>0</v>
      </c>
      <c r="E100" s="7">
        <f>IFERROR(DATEVALUE(LEFT(Raw_Cancellations!C100,10))+TIMEVALUE(MID(Raw_Cancellations!C100,12,8)),"")</f>
        <v>46046.86185185185</v>
      </c>
      <c r="F100" s="7">
        <f>IFERROR(MATCH(Raw_Cancellations!B100,Work_Bookings!$A$2:$A$648,0),0)</f>
        <v>352</v>
      </c>
      <c r="G100" s="7">
        <f>IF(F100=0,"",INDEX(Work_Bookings!$M$2:$M$648,F100))</f>
        <v>45957.49359953704</v>
      </c>
      <c r="H100" s="7">
        <f>IF(F100=0,0,IF(OR(INDEX(Work_Bookings!$L$2:$L$648,F100)=1,INDEX(Work_Bookings!$K$2:$K$648,F100)=1,INDEX(Work_Bookings!$N$2:$N$648,F100)=1,COUNTIFS(Work_Passengers!$B$2:$B$1336,Raw_Cancellations!B100,Work_Passengers!$L$2:$L$1336,1)&gt;0),1,0))</f>
        <v>0</v>
      </c>
      <c r="I100" s="7">
        <f>IF(OR(B100=1,C100=1,H100=1),0,IF(AND(ISNUMBER(E100),ISNUMBER(G100)),IF(E100&lt;G100,1,0),0))</f>
        <v>0</v>
      </c>
    </row>
    <row r="101" spans="1:9">
      <c r="A101" s="7">
        <f>Raw_Cancellations!A101</f>
        <v>28866</v>
      </c>
      <c r="B101" s="7">
        <f>IF(COUNTIF(Raw_Cancellations!$A$2:A101,Raw_Cancellations!A101)&gt;1,1,0)</f>
        <v>0</v>
      </c>
      <c r="C101" s="7">
        <f>IF(COUNTIF(Raw_Bookings!$A$2:$A$648,Raw_Cancellations!B101)=0,1,0)</f>
        <v>0</v>
      </c>
      <c r="D101" s="7">
        <f>IF(OR(B101=1,C101=1),0,IF(Raw_Cancellations!I101&gt;Raw_Cancellations!G101+0.005,1,0))</f>
        <v>0</v>
      </c>
      <c r="E101" s="7">
        <f>IFERROR(DATEVALUE(LEFT(Raw_Cancellations!C101,10))+TIMEVALUE(MID(Raw_Cancellations!C101,12,8)),"")</f>
        <v>46049.97298611111</v>
      </c>
      <c r="F101" s="7">
        <f>IFERROR(MATCH(Raw_Cancellations!B101,Work_Bookings!$A$2:$A$648,0),0)</f>
        <v>424</v>
      </c>
      <c r="G101" s="7">
        <f>IF(F101=0,"",INDEX(Work_Bookings!$M$2:$M$648,F101))</f>
        <v>46040.39052083333</v>
      </c>
      <c r="H101" s="7">
        <f>IF(F101=0,0,IF(OR(INDEX(Work_Bookings!$L$2:$L$648,F101)=1,INDEX(Work_Bookings!$K$2:$K$648,F101)=1,INDEX(Work_Bookings!$N$2:$N$648,F101)=1,COUNTIFS(Work_Passengers!$B$2:$B$1336,Raw_Cancellations!B101,Work_Passengers!$L$2:$L$1336,1)&gt;0),1,0))</f>
        <v>0</v>
      </c>
      <c r="I101" s="7">
        <f>IF(OR(B101=1,C101=1,H101=1),0,IF(AND(ISNUMBER(E101),ISNUMBER(G101)),IF(E101&lt;G101,1,0),0))</f>
        <v>0</v>
      </c>
    </row>
    <row r="102" spans="1:9">
      <c r="A102" s="7">
        <f>Raw_Cancellations!A102</f>
        <v>29437</v>
      </c>
      <c r="B102" s="7">
        <f>IF(COUNTIF(Raw_Cancellations!$A$2:A102,Raw_Cancellations!A102)&gt;1,1,0)</f>
        <v>0</v>
      </c>
      <c r="C102" s="7">
        <f>IF(COUNTIF(Raw_Bookings!$A$2:$A$648,Raw_Cancellations!B102)=0,1,0)</f>
        <v>0</v>
      </c>
      <c r="D102" s="7">
        <f>IF(OR(B102=1,C102=1),0,IF(Raw_Cancellations!I102&gt;Raw_Cancellations!G102+0.005,1,0))</f>
        <v>0</v>
      </c>
      <c r="E102" s="7">
        <f>IFERROR(DATEVALUE(LEFT(Raw_Cancellations!C102,10))+TIMEVALUE(MID(Raw_Cancellations!C102,12,8)),"")</f>
        <v>46060.436215277776</v>
      </c>
      <c r="F102" s="7">
        <f>IFERROR(MATCH(Raw_Cancellations!B102,Work_Bookings!$A$2:$A$648,0),0)</f>
        <v>421</v>
      </c>
      <c r="G102" s="7">
        <f>IF(F102=0,"",INDEX(Work_Bookings!$M$2:$M$648,F102))</f>
        <v>46035.875914351855</v>
      </c>
      <c r="H102" s="7">
        <f>IF(F102=0,0,IF(OR(INDEX(Work_Bookings!$L$2:$L$648,F102)=1,INDEX(Work_Bookings!$K$2:$K$648,F102)=1,INDEX(Work_Bookings!$N$2:$N$648,F102)=1,COUNTIFS(Work_Passengers!$B$2:$B$1336,Raw_Cancellations!B102,Work_Passengers!$L$2:$L$1336,1)&gt;0),1,0))</f>
        <v>0</v>
      </c>
      <c r="I102" s="7">
        <f>IF(OR(B102=1,C102=1,H102=1),0,IF(AND(ISNUMBER(E102),ISNUMBER(G102)),IF(E102&lt;G102,1,0),0))</f>
        <v>0</v>
      </c>
    </row>
    <row r="103" spans="1:9">
      <c r="A103" s="7">
        <f>Raw_Cancellations!A103</f>
        <v>29779</v>
      </c>
      <c r="B103" s="7">
        <f>IF(COUNTIF(Raw_Cancellations!$A$2:A103,Raw_Cancellations!A103)&gt;1,1,0)</f>
        <v>0</v>
      </c>
      <c r="C103" s="7">
        <f>IF(COUNTIF(Raw_Bookings!$A$2:$A$648,Raw_Cancellations!B103)=0,1,0)</f>
        <v>0</v>
      </c>
      <c r="D103" s="7">
        <f>IF(OR(B103=1,C103=1),0,IF(Raw_Cancellations!I103&gt;Raw_Cancellations!G103+0.005,1,0))</f>
        <v>0</v>
      </c>
      <c r="E103" s="7">
        <f>IFERROR(DATEVALUE(LEFT(Raw_Cancellations!C103,10))+TIMEVALUE(MID(Raw_Cancellations!C103,12,8)),"")</f>
        <v>46065.677083333336</v>
      </c>
      <c r="F103" s="7">
        <f>IFERROR(MATCH(Raw_Cancellations!B103,Work_Bookings!$A$2:$A$648,0),0)</f>
        <v>452</v>
      </c>
      <c r="G103" s="7">
        <f>IF(F103=0,"",INDEX(Work_Bookings!$M$2:$M$648,F103))</f>
        <v>46061.320914351854</v>
      </c>
      <c r="H103" s="7">
        <f>IF(F103=0,0,IF(OR(INDEX(Work_Bookings!$L$2:$L$648,F103)=1,INDEX(Work_Bookings!$K$2:$K$648,F103)=1,INDEX(Work_Bookings!$N$2:$N$648,F103)=1,COUNTIFS(Work_Passengers!$B$2:$B$1336,Raw_Cancellations!B103,Work_Passengers!$L$2:$L$1336,1)&gt;0),1,0))</f>
        <v>0</v>
      </c>
      <c r="I103" s="7">
        <f>IF(OR(B103=1,C103=1,H103=1),0,IF(AND(ISNUMBER(E103),ISNUMBER(G103)),IF(E103&lt;G103,1,0),0))</f>
        <v>0</v>
      </c>
    </row>
    <row r="104" spans="1:9">
      <c r="A104" s="7">
        <f>Raw_Cancellations!A104</f>
        <v>29938</v>
      </c>
      <c r="B104" s="7">
        <f>IF(COUNTIF(Raw_Cancellations!$A$2:A104,Raw_Cancellations!A104)&gt;1,1,0)</f>
        <v>0</v>
      </c>
      <c r="C104" s="7">
        <f>IF(COUNTIF(Raw_Bookings!$A$2:$A$648,Raw_Cancellations!B104)=0,1,0)</f>
        <v>0</v>
      </c>
      <c r="D104" s="7">
        <f>IF(OR(B104=1,C104=1),0,IF(Raw_Cancellations!I104&gt;Raw_Cancellations!G104+0.005,1,0))</f>
        <v>0</v>
      </c>
      <c r="E104" s="7">
        <f>IFERROR(DATEVALUE(LEFT(Raw_Cancellations!C104,10))+TIMEVALUE(MID(Raw_Cancellations!C104,12,8)),"")</f>
        <v>46067.134884259256</v>
      </c>
      <c r="F104" s="7">
        <f>IFERROR(MATCH(Raw_Cancellations!B104,Work_Bookings!$A$2:$A$648,0),0)</f>
        <v>438</v>
      </c>
      <c r="G104" s="7">
        <f>IF(F104=0,"",INDEX(Work_Bookings!$M$2:$M$648,F104))</f>
        <v>46052.689421296294</v>
      </c>
      <c r="H104" s="7">
        <f>IF(F104=0,0,IF(OR(INDEX(Work_Bookings!$L$2:$L$648,F104)=1,INDEX(Work_Bookings!$K$2:$K$648,F104)=1,INDEX(Work_Bookings!$N$2:$N$648,F104)=1,COUNTIFS(Work_Passengers!$B$2:$B$1336,Raw_Cancellations!B104,Work_Passengers!$L$2:$L$1336,1)&gt;0),1,0))</f>
        <v>0</v>
      </c>
      <c r="I104" s="7">
        <f>IF(OR(B104=1,C104=1,H104=1),0,IF(AND(ISNUMBER(E104),ISNUMBER(G104)),IF(E104&lt;G104,1,0),0))</f>
        <v>0</v>
      </c>
    </row>
    <row r="105" spans="1:9">
      <c r="A105" s="7">
        <f>Raw_Cancellations!A105</f>
        <v>30170</v>
      </c>
      <c r="B105" s="7">
        <f>IF(COUNTIF(Raw_Cancellations!$A$2:A105,Raw_Cancellations!A105)&gt;1,1,0)</f>
        <v>0</v>
      </c>
      <c r="C105" s="7">
        <f>IF(COUNTIF(Raw_Bookings!$A$2:$A$648,Raw_Cancellations!B105)=0,1,0)</f>
        <v>0</v>
      </c>
      <c r="D105" s="7">
        <f>IF(OR(B105=1,C105=1),0,IF(Raw_Cancellations!I105&gt;Raw_Cancellations!G105+0.005,1,0))</f>
        <v>0</v>
      </c>
      <c r="E105" s="7">
        <f>IFERROR(DATEVALUE(LEFT(Raw_Cancellations!C105,10))+TIMEVALUE(MID(Raw_Cancellations!C105,12,8)),"")</f>
        <v>46069.95815972222</v>
      </c>
      <c r="F105" s="7">
        <f>IFERROR(MATCH(Raw_Cancellations!B105,Work_Bookings!$A$2:$A$648,0),0)</f>
        <v>437</v>
      </c>
      <c r="G105" s="7">
        <f>IF(F105=0,"",INDEX(Work_Bookings!$M$2:$M$648,F105))</f>
        <v>46050.83263888889</v>
      </c>
      <c r="H105" s="7">
        <f>IF(F105=0,0,IF(OR(INDEX(Work_Bookings!$L$2:$L$648,F105)=1,INDEX(Work_Bookings!$K$2:$K$648,F105)=1,INDEX(Work_Bookings!$N$2:$N$648,F105)=1,COUNTIFS(Work_Passengers!$B$2:$B$1336,Raw_Cancellations!B105,Work_Passengers!$L$2:$L$1336,1)&gt;0),1,0))</f>
        <v>0</v>
      </c>
      <c r="I105" s="7">
        <f>IF(OR(B105=1,C105=1,H105=1),0,IF(AND(ISNUMBER(E105),ISNUMBER(G105)),IF(E105&lt;G105,1,0),0))</f>
        <v>0</v>
      </c>
    </row>
    <row r="106" spans="1:9">
      <c r="A106" s="7">
        <f>Raw_Cancellations!A106</f>
        <v>30174</v>
      </c>
      <c r="B106" s="7">
        <f>IF(COUNTIF(Raw_Cancellations!$A$2:A106,Raw_Cancellations!A106)&gt;1,1,0)</f>
        <v>0</v>
      </c>
      <c r="C106" s="7">
        <f>IF(COUNTIF(Raw_Bookings!$A$2:$A$648,Raw_Cancellations!B106)=0,1,0)</f>
        <v>0</v>
      </c>
      <c r="D106" s="7">
        <f>IF(OR(B106=1,C106=1),0,IF(Raw_Cancellations!I106&gt;Raw_Cancellations!G106+0.005,1,0))</f>
        <v>0</v>
      </c>
      <c r="E106" s="7">
        <f>IFERROR(DATEVALUE(LEFT(Raw_Cancellations!C106,10))+TIMEVALUE(MID(Raw_Cancellations!C106,12,8)),"")</f>
        <v>46070.04027777778</v>
      </c>
      <c r="F106" s="7">
        <f>IFERROR(MATCH(Raw_Cancellations!B106,Work_Bookings!$A$2:$A$648,0),0)</f>
        <v>387</v>
      </c>
      <c r="G106" s="7">
        <f>IF(F106=0,"",INDEX(Work_Bookings!$M$2:$M$648,F106))</f>
        <v>45993.012766203705</v>
      </c>
      <c r="H106" s="7">
        <f>IF(F106=0,0,IF(OR(INDEX(Work_Bookings!$L$2:$L$648,F106)=1,INDEX(Work_Bookings!$K$2:$K$648,F106)=1,INDEX(Work_Bookings!$N$2:$N$648,F106)=1,COUNTIFS(Work_Passengers!$B$2:$B$1336,Raw_Cancellations!B106,Work_Passengers!$L$2:$L$1336,1)&gt;0),1,0))</f>
        <v>0</v>
      </c>
      <c r="I106" s="7">
        <f>IF(OR(B106=1,C106=1,H106=1),0,IF(AND(ISNUMBER(E106),ISNUMBER(G106)),IF(E106&lt;G106,1,0),0))</f>
        <v>0</v>
      </c>
    </row>
    <row r="107" spans="1:9">
      <c r="A107" s="7">
        <f>Raw_Cancellations!A107</f>
        <v>30241</v>
      </c>
      <c r="B107" s="7">
        <f>IF(COUNTIF(Raw_Cancellations!$A$2:A107,Raw_Cancellations!A107)&gt;1,1,0)</f>
        <v>0</v>
      </c>
      <c r="C107" s="7">
        <f>IF(COUNTIF(Raw_Bookings!$A$2:$A$648,Raw_Cancellations!B107)=0,1,0)</f>
        <v>0</v>
      </c>
      <c r="D107" s="7">
        <f>IF(OR(B107=1,C107=1),0,IF(Raw_Cancellations!I107&gt;Raw_Cancellations!G107+0.005,1,0))</f>
        <v>0</v>
      </c>
      <c r="E107" s="7">
        <f>IFERROR(DATEVALUE(LEFT(Raw_Cancellations!C107,10))+TIMEVALUE(MID(Raw_Cancellations!C107,12,8)),"")</f>
        <v>46070.635416666664</v>
      </c>
      <c r="F107" s="7">
        <f>IFERROR(MATCH(Raw_Cancellations!B107,Work_Bookings!$A$2:$A$648,0),0)</f>
        <v>459</v>
      </c>
      <c r="G107" s="7">
        <f>IF(F107=0,"",INDEX(Work_Bookings!$M$2:$M$648,F107))</f>
        <v>46068.450057870374</v>
      </c>
      <c r="H107" s="7">
        <f>IF(F107=0,0,IF(OR(INDEX(Work_Bookings!$L$2:$L$648,F107)=1,INDEX(Work_Bookings!$K$2:$K$648,F107)=1,INDEX(Work_Bookings!$N$2:$N$648,F107)=1,COUNTIFS(Work_Passengers!$B$2:$B$1336,Raw_Cancellations!B107,Work_Passengers!$L$2:$L$1336,1)&gt;0),1,0))</f>
        <v>0</v>
      </c>
      <c r="I107" s="7">
        <f>IF(OR(B107=1,C107=1,H107=1),0,IF(AND(ISNUMBER(E107),ISNUMBER(G107)),IF(E107&lt;G107,1,0),0))</f>
        <v>0</v>
      </c>
    </row>
    <row r="108" spans="1:9">
      <c r="A108" s="7">
        <f>Raw_Cancellations!A108</f>
        <v>30495</v>
      </c>
      <c r="B108" s="7">
        <f>IF(COUNTIF(Raw_Cancellations!$A$2:A108,Raw_Cancellations!A108)&gt;1,1,0)</f>
        <v>0</v>
      </c>
      <c r="C108" s="7">
        <f>IF(COUNTIF(Raw_Bookings!$A$2:$A$648,Raw_Cancellations!B108)=0,1,0)</f>
        <v>0</v>
      </c>
      <c r="D108" s="7">
        <f>IF(OR(B108=1,C108=1),0,IF(Raw_Cancellations!I108&gt;Raw_Cancellations!G108+0.005,1,0))</f>
        <v>0</v>
      </c>
      <c r="E108" s="7">
        <f>IFERROR(DATEVALUE(LEFT(Raw_Cancellations!C108,10))+TIMEVALUE(MID(Raw_Cancellations!C108,12,8)),"")</f>
        <v>46071.97439814815</v>
      </c>
      <c r="F108" s="7">
        <f>IFERROR(MATCH(Raw_Cancellations!B108,Work_Bookings!$A$2:$A$648,0),0)</f>
        <v>436</v>
      </c>
      <c r="G108" s="7">
        <f>IF(F108=0,"",INDEX(Work_Bookings!$M$2:$M$648,F108))</f>
        <v>46050.294340277775</v>
      </c>
      <c r="H108" s="7">
        <f>IF(F108=0,0,IF(OR(INDEX(Work_Bookings!$L$2:$L$648,F108)=1,INDEX(Work_Bookings!$K$2:$K$648,F108)=1,INDEX(Work_Bookings!$N$2:$N$648,F108)=1,COUNTIFS(Work_Passengers!$B$2:$B$1336,Raw_Cancellations!B108,Work_Passengers!$L$2:$L$1336,1)&gt;0),1,0))</f>
        <v>0</v>
      </c>
      <c r="I108" s="7">
        <f>IF(OR(B108=1,C108=1,H108=1),0,IF(AND(ISNUMBER(E108),ISNUMBER(G108)),IF(E108&lt;G108,1,0),0))</f>
        <v>0</v>
      </c>
    </row>
    <row r="109" spans="1:9">
      <c r="A109" s="7">
        <f>Raw_Cancellations!A109</f>
        <v>30645</v>
      </c>
      <c r="B109" s="7">
        <f>IF(COUNTIF(Raw_Cancellations!$A$2:A109,Raw_Cancellations!A109)&gt;1,1,0)</f>
        <v>0</v>
      </c>
      <c r="C109" s="7">
        <f>IF(COUNTIF(Raw_Bookings!$A$2:$A$648,Raw_Cancellations!B109)=0,1,0)</f>
        <v>0</v>
      </c>
      <c r="D109" s="7">
        <f>IF(OR(B109=1,C109=1),0,IF(Raw_Cancellations!I109&gt;Raw_Cancellations!G109+0.005,1,0))</f>
        <v>0</v>
      </c>
      <c r="E109" s="7">
        <f>IFERROR(DATEVALUE(LEFT(Raw_Cancellations!C109,10))+TIMEVALUE(MID(Raw_Cancellations!C109,12,8)),"")</f>
        <v>46074.524143518516</v>
      </c>
      <c r="F109" s="7">
        <f>IFERROR(MATCH(Raw_Cancellations!B109,Work_Bookings!$A$2:$A$648,0),0)</f>
        <v>446</v>
      </c>
      <c r="G109" s="7">
        <f>IF(F109=0,"",INDEX(Work_Bookings!$M$2:$M$648,F109))</f>
        <v>46056.89958333333</v>
      </c>
      <c r="H109" s="7">
        <f>IF(F109=0,0,IF(OR(INDEX(Work_Bookings!$L$2:$L$648,F109)=1,INDEX(Work_Bookings!$K$2:$K$648,F109)=1,INDEX(Work_Bookings!$N$2:$N$648,F109)=1,COUNTIFS(Work_Passengers!$B$2:$B$1336,Raw_Cancellations!B109,Work_Passengers!$L$2:$L$1336,1)&gt;0),1,0))</f>
        <v>0</v>
      </c>
      <c r="I109" s="7">
        <f>IF(OR(B109=1,C109=1,H109=1),0,IF(AND(ISNUMBER(E109),ISNUMBER(G109)),IF(E109&lt;G109,1,0),0))</f>
        <v>0</v>
      </c>
    </row>
    <row r="110" spans="1:9">
      <c r="A110" s="7">
        <f>Raw_Cancellations!A110</f>
        <v>30781</v>
      </c>
      <c r="B110" s="7">
        <f>IF(COUNTIF(Raw_Cancellations!$A$2:A110,Raw_Cancellations!A110)&gt;1,1,0)</f>
        <v>0</v>
      </c>
      <c r="C110" s="7">
        <f>IF(COUNTIF(Raw_Bookings!$A$2:$A$648,Raw_Cancellations!B110)=0,1,0)</f>
        <v>0</v>
      </c>
      <c r="D110" s="7">
        <f>IF(OR(B110=1,C110=1),0,IF(Raw_Cancellations!I110&gt;Raw_Cancellations!G110+0.005,1,0))</f>
        <v>0</v>
      </c>
      <c r="E110" s="7">
        <f>IFERROR(DATEVALUE(LEFT(Raw_Cancellations!C110,10))+TIMEVALUE(MID(Raw_Cancellations!C110,12,8)),"")</f>
        <v>46077.65589120371</v>
      </c>
      <c r="F110" s="7">
        <f>IFERROR(MATCH(Raw_Cancellations!B110,Work_Bookings!$A$2:$A$648,0),0)</f>
        <v>408</v>
      </c>
      <c r="G110" s="7">
        <f>IF(F110=0,"",INDEX(Work_Bookings!$M$2:$M$648,F110))</f>
        <v>46028.608622685184</v>
      </c>
      <c r="H110" s="7">
        <f>IF(F110=0,0,IF(OR(INDEX(Work_Bookings!$L$2:$L$648,F110)=1,INDEX(Work_Bookings!$K$2:$K$648,F110)=1,INDEX(Work_Bookings!$N$2:$N$648,F110)=1,COUNTIFS(Work_Passengers!$B$2:$B$1336,Raw_Cancellations!B110,Work_Passengers!$L$2:$L$1336,1)&gt;0),1,0))</f>
        <v>0</v>
      </c>
      <c r="I110" s="7">
        <f>IF(OR(B110=1,C110=1,H110=1),0,IF(AND(ISNUMBER(E110),ISNUMBER(G110)),IF(E110&lt;G110,1,0),0))</f>
        <v>0</v>
      </c>
    </row>
    <row r="111" spans="1:9">
      <c r="A111" s="7">
        <f>Raw_Cancellations!A111</f>
        <v>31126</v>
      </c>
      <c r="B111" s="7">
        <f>IF(COUNTIF(Raw_Cancellations!$A$2:A111,Raw_Cancellations!A111)&gt;1,1,0)</f>
        <v>0</v>
      </c>
      <c r="C111" s="7">
        <f>IF(COUNTIF(Raw_Bookings!$A$2:$A$648,Raw_Cancellations!B111)=0,1,0)</f>
        <v>0</v>
      </c>
      <c r="D111" s="7">
        <f>IF(OR(B111=1,C111=1),0,IF(Raw_Cancellations!I111&gt;Raw_Cancellations!G111+0.005,1,0))</f>
        <v>0</v>
      </c>
      <c r="E111" s="7">
        <f>IFERROR(DATEVALUE(LEFT(Raw_Cancellations!C111,10))+TIMEVALUE(MID(Raw_Cancellations!C111,12,8)),"")</f>
        <v>46083.01646990741</v>
      </c>
      <c r="F111" s="7">
        <f>IFERROR(MATCH(Raw_Cancellations!B111,Work_Bookings!$A$2:$A$648,0),0)</f>
        <v>442</v>
      </c>
      <c r="G111" s="7">
        <f>IF(F111=0,"",INDEX(Work_Bookings!$M$2:$M$648,F111))</f>
        <v>46053.49145833333</v>
      </c>
      <c r="H111" s="7">
        <f>IF(F111=0,0,IF(OR(INDEX(Work_Bookings!$L$2:$L$648,F111)=1,INDEX(Work_Bookings!$K$2:$K$648,F111)=1,INDEX(Work_Bookings!$N$2:$N$648,F111)=1,COUNTIFS(Work_Passengers!$B$2:$B$1336,Raw_Cancellations!B111,Work_Passengers!$L$2:$L$1336,1)&gt;0),1,0))</f>
        <v>0</v>
      </c>
      <c r="I111" s="7">
        <f>IF(OR(B111=1,C111=1,H111=1),0,IF(AND(ISNUMBER(E111),ISNUMBER(G111)),IF(E111&lt;G111,1,0),0))</f>
        <v>0</v>
      </c>
    </row>
    <row r="112" spans="1:9">
      <c r="A112" s="7">
        <f>Raw_Cancellations!A112</f>
        <v>31311</v>
      </c>
      <c r="B112" s="7">
        <f>IF(COUNTIF(Raw_Cancellations!$A$2:A112,Raw_Cancellations!A112)&gt;1,1,0)</f>
        <v>0</v>
      </c>
      <c r="C112" s="7">
        <f>IF(COUNTIF(Raw_Bookings!$A$2:$A$648,Raw_Cancellations!B112)=0,1,0)</f>
        <v>0</v>
      </c>
      <c r="D112" s="7">
        <f>IF(OR(B112=1,C112=1),0,IF(Raw_Cancellations!I112&gt;Raw_Cancellations!G112+0.005,1,0))</f>
        <v>0</v>
      </c>
      <c r="E112" s="7">
        <f>IFERROR(DATEVALUE(LEFT(Raw_Cancellations!C112,10))+TIMEVALUE(MID(Raw_Cancellations!C112,12,8)),"")</f>
        <v>46083.739583333336</v>
      </c>
      <c r="F112" s="7">
        <f>IFERROR(MATCH(Raw_Cancellations!B112,Work_Bookings!$A$2:$A$648,0),0)</f>
        <v>473</v>
      </c>
      <c r="G112" s="7">
        <f>IF(F112=0,"",INDEX(Work_Bookings!$M$2:$M$648,F112))</f>
        <v>46082.66462962963</v>
      </c>
      <c r="H112" s="7">
        <f>IF(F112=0,0,IF(OR(INDEX(Work_Bookings!$L$2:$L$648,F112)=1,INDEX(Work_Bookings!$K$2:$K$648,F112)=1,INDEX(Work_Bookings!$N$2:$N$648,F112)=1,COUNTIFS(Work_Passengers!$B$2:$B$1336,Raw_Cancellations!B112,Work_Passengers!$L$2:$L$1336,1)&gt;0),1,0))</f>
        <v>0</v>
      </c>
      <c r="I112" s="7">
        <f>IF(OR(B112=1,C112=1,H112=1),0,IF(AND(ISNUMBER(E112),ISNUMBER(G112)),IF(E112&lt;G112,1,0),0))</f>
        <v>0</v>
      </c>
    </row>
    <row r="113" spans="1:9">
      <c r="A113" s="7">
        <f>Raw_Cancellations!A113</f>
        <v>31373</v>
      </c>
      <c r="B113" s="7">
        <f>IF(COUNTIF(Raw_Cancellations!$A$2:A113,Raw_Cancellations!A113)&gt;1,1,0)</f>
        <v>0</v>
      </c>
      <c r="C113" s="7">
        <f>IF(COUNTIF(Raw_Bookings!$A$2:$A$648,Raw_Cancellations!B113)=0,1,0)</f>
        <v>0</v>
      </c>
      <c r="D113" s="7">
        <f>IF(OR(B113=1,C113=1),0,IF(Raw_Cancellations!I113&gt;Raw_Cancellations!G113+0.005,1,0))</f>
        <v>0</v>
      </c>
      <c r="E113" s="7">
        <f>IFERROR(DATEVALUE(LEFT(Raw_Cancellations!C113,10))+TIMEVALUE(MID(Raw_Cancellations!C113,12,8)),"")</f>
        <v>46084.91722222222</v>
      </c>
      <c r="F113" s="7">
        <f>IFERROR(MATCH(Raw_Cancellations!B113,Work_Bookings!$A$2:$A$648,0),0)</f>
        <v>454</v>
      </c>
      <c r="G113" s="7">
        <f>IF(F113=0,"",INDEX(Work_Bookings!$M$2:$M$648,F113))</f>
        <v>46064.711180555554</v>
      </c>
      <c r="H113" s="7">
        <f>IF(F113=0,0,IF(OR(INDEX(Work_Bookings!$L$2:$L$648,F113)=1,INDEX(Work_Bookings!$K$2:$K$648,F113)=1,INDEX(Work_Bookings!$N$2:$N$648,F113)=1,COUNTIFS(Work_Passengers!$B$2:$B$1336,Raw_Cancellations!B113,Work_Passengers!$L$2:$L$1336,1)&gt;0),1,0))</f>
        <v>0</v>
      </c>
      <c r="I113" s="7">
        <f>IF(OR(B113=1,C113=1,H113=1),0,IF(AND(ISNUMBER(E113),ISNUMBER(G113)),IF(E113&lt;G113,1,0),0))</f>
        <v>0</v>
      </c>
    </row>
    <row r="114" spans="1:9">
      <c r="A114" s="7">
        <f>Raw_Cancellations!A114</f>
        <v>31381</v>
      </c>
      <c r="B114" s="7">
        <f>IF(COUNTIF(Raw_Cancellations!$A$2:A114,Raw_Cancellations!A114)&gt;1,1,0)</f>
        <v>0</v>
      </c>
      <c r="C114" s="7">
        <f>IF(COUNTIF(Raw_Bookings!$A$2:$A$648,Raw_Cancellations!B114)=0,1,0)</f>
        <v>0</v>
      </c>
      <c r="D114" s="7">
        <f>IF(OR(B114=1,C114=1),0,IF(Raw_Cancellations!I114&gt;Raw_Cancellations!G114+0.005,1,0))</f>
        <v>0</v>
      </c>
      <c r="E114" s="7">
        <f>IFERROR(DATEVALUE(LEFT(Raw_Cancellations!C114,10))+TIMEVALUE(MID(Raw_Cancellations!C114,12,8)),"")</f>
        <v>46085.09137731481</v>
      </c>
      <c r="F114" s="7">
        <f>IFERROR(MATCH(Raw_Cancellations!B114,Work_Bookings!$A$2:$A$648,0),0)</f>
        <v>453</v>
      </c>
      <c r="G114" s="7">
        <f>IF(F114=0,"",INDEX(Work_Bookings!$M$2:$M$648,F114))</f>
        <v>46063.95239583333</v>
      </c>
      <c r="H114" s="7">
        <f>IF(F114=0,0,IF(OR(INDEX(Work_Bookings!$L$2:$L$648,F114)=1,INDEX(Work_Bookings!$K$2:$K$648,F114)=1,INDEX(Work_Bookings!$N$2:$N$648,F114)=1,COUNTIFS(Work_Passengers!$B$2:$B$1336,Raw_Cancellations!B114,Work_Passengers!$L$2:$L$1336,1)&gt;0),1,0))</f>
        <v>0</v>
      </c>
      <c r="I114" s="7">
        <f>IF(OR(B114=1,C114=1,H114=1),0,IF(AND(ISNUMBER(E114),ISNUMBER(G114)),IF(E114&lt;G114,1,0),0))</f>
        <v>0</v>
      </c>
    </row>
    <row r="115" spans="1:9">
      <c r="A115" s="7">
        <f>Raw_Cancellations!A115</f>
        <v>32136</v>
      </c>
      <c r="B115" s="7">
        <f>IF(COUNTIF(Raw_Cancellations!$A$2:A115,Raw_Cancellations!A115)&gt;1,1,0)</f>
        <v>0</v>
      </c>
      <c r="C115" s="7">
        <f>IF(COUNTIF(Raw_Bookings!$A$2:$A$648,Raw_Cancellations!B115)=0,1,0)</f>
        <v>0</v>
      </c>
      <c r="D115" s="7">
        <f>IF(OR(B115=1,C115=1),0,IF(Raw_Cancellations!I115&gt;Raw_Cancellations!G115+0.005,1,0))</f>
        <v>0</v>
      </c>
      <c r="E115" s="7">
        <f>IFERROR(DATEVALUE(LEFT(Raw_Cancellations!C115,10))+TIMEVALUE(MID(Raw_Cancellations!C115,12,8)),"")</f>
        <v>46092.666666666664</v>
      </c>
      <c r="F115" s="7">
        <f>IFERROR(MATCH(Raw_Cancellations!B115,Work_Bookings!$A$2:$A$648,0),0)</f>
        <v>474</v>
      </c>
      <c r="G115" s="7">
        <f>IF(F115=0,"",INDEX(Work_Bookings!$M$2:$M$648,F115))</f>
        <v>46085.82247685185</v>
      </c>
      <c r="H115" s="7">
        <f>IF(F115=0,0,IF(OR(INDEX(Work_Bookings!$L$2:$L$648,F115)=1,INDEX(Work_Bookings!$K$2:$K$648,F115)=1,INDEX(Work_Bookings!$N$2:$N$648,F115)=1,COUNTIFS(Work_Passengers!$B$2:$B$1336,Raw_Cancellations!B115,Work_Passengers!$L$2:$L$1336,1)&gt;0),1,0))</f>
        <v>0</v>
      </c>
      <c r="I115" s="7">
        <f>IF(OR(B115=1,C115=1,H115=1),0,IF(AND(ISNUMBER(E115),ISNUMBER(G115)),IF(E115&lt;G115,1,0),0))</f>
        <v>0</v>
      </c>
    </row>
    <row r="116" spans="1:9">
      <c r="A116" s="7">
        <f>Raw_Cancellations!A116</f>
        <v>32265</v>
      </c>
      <c r="B116" s="7">
        <f>IF(COUNTIF(Raw_Cancellations!$A$2:A116,Raw_Cancellations!A116)&gt;1,1,0)</f>
        <v>0</v>
      </c>
      <c r="C116" s="7">
        <f>IF(COUNTIF(Raw_Bookings!$A$2:$A$648,Raw_Cancellations!B116)=0,1,0)</f>
        <v>0</v>
      </c>
      <c r="D116" s="7">
        <f>IF(OR(B116=1,C116=1),0,IF(Raw_Cancellations!I116&gt;Raw_Cancellations!G116+0.005,1,0))</f>
        <v>0</v>
      </c>
      <c r="E116" s="7">
        <f>IFERROR(DATEVALUE(LEFT(Raw_Cancellations!C116,10))+TIMEVALUE(MID(Raw_Cancellations!C116,12,8)),"")</f>
        <v>46093.506886574076</v>
      </c>
      <c r="F116" s="7">
        <f>IFERROR(MATCH(Raw_Cancellations!B116,Work_Bookings!$A$2:$A$648,0),0)</f>
        <v>480</v>
      </c>
      <c r="G116" s="7">
        <f>IF(F116=0,"",INDEX(Work_Bookings!$M$2:$M$648,F116))</f>
        <v>46092.21991898148</v>
      </c>
      <c r="H116" s="7">
        <f>IF(F116=0,0,IF(OR(INDEX(Work_Bookings!$L$2:$L$648,F116)=1,INDEX(Work_Bookings!$K$2:$K$648,F116)=1,INDEX(Work_Bookings!$N$2:$N$648,F116)=1,COUNTIFS(Work_Passengers!$B$2:$B$1336,Raw_Cancellations!B116,Work_Passengers!$L$2:$L$1336,1)&gt;0),1,0))</f>
        <v>0</v>
      </c>
      <c r="I116" s="7">
        <f>IF(OR(B116=1,C116=1,H116=1),0,IF(AND(ISNUMBER(E116),ISNUMBER(G116)),IF(E116&lt;G116,1,0),0))</f>
        <v>0</v>
      </c>
    </row>
    <row r="117" spans="1:9">
      <c r="A117" s="7">
        <f>Raw_Cancellations!A117</f>
        <v>32399</v>
      </c>
      <c r="B117" s="7">
        <f>IF(COUNTIF(Raw_Cancellations!$A$2:A117,Raw_Cancellations!A117)&gt;1,1,0)</f>
        <v>0</v>
      </c>
      <c r="C117" s="7">
        <f>IF(COUNTIF(Raw_Bookings!$A$2:$A$648,Raw_Cancellations!B117)=0,1,0)</f>
        <v>0</v>
      </c>
      <c r="D117" s="7">
        <f>IF(OR(B117=1,C117=1),0,IF(Raw_Cancellations!I117&gt;Raw_Cancellations!G117+0.005,1,0))</f>
        <v>0</v>
      </c>
      <c r="E117" s="7">
        <f>IFERROR(DATEVALUE(LEFT(Raw_Cancellations!C117,10))+TIMEVALUE(MID(Raw_Cancellations!C117,12,8)),"")</f>
        <v>46095.73349537037</v>
      </c>
      <c r="F117" s="7">
        <f>IFERROR(MATCH(Raw_Cancellations!B117,Work_Bookings!$A$2:$A$648,0),0)</f>
        <v>428</v>
      </c>
      <c r="G117" s="7">
        <f>IF(F117=0,"",INDEX(Work_Bookings!$M$2:$M$648,F117))</f>
        <v>46043.74380787037</v>
      </c>
      <c r="H117" s="7">
        <f>IF(F117=0,0,IF(OR(INDEX(Work_Bookings!$L$2:$L$648,F117)=1,INDEX(Work_Bookings!$K$2:$K$648,F117)=1,INDEX(Work_Bookings!$N$2:$N$648,F117)=1,COUNTIFS(Work_Passengers!$B$2:$B$1336,Raw_Cancellations!B117,Work_Passengers!$L$2:$L$1336,1)&gt;0),1,0))</f>
        <v>0</v>
      </c>
      <c r="I117" s="7">
        <f>IF(OR(B117=1,C117=1,H117=1),0,IF(AND(ISNUMBER(E117),ISNUMBER(G117)),IF(E117&lt;G117,1,0),0))</f>
        <v>0</v>
      </c>
    </row>
    <row r="118" spans="1:9">
      <c r="A118" s="7">
        <f>Raw_Cancellations!A118</f>
        <v>32651</v>
      </c>
      <c r="B118" s="7">
        <f>IF(COUNTIF(Raw_Cancellations!$A$2:A118,Raw_Cancellations!A118)&gt;1,1,0)</f>
        <v>0</v>
      </c>
      <c r="C118" s="7">
        <f>IF(COUNTIF(Raw_Bookings!$A$2:$A$648,Raw_Cancellations!B118)=0,1,0)</f>
        <v>0</v>
      </c>
      <c r="D118" s="7">
        <f>IF(OR(B118=1,C118=1),0,IF(Raw_Cancellations!I118&gt;Raw_Cancellations!G118+0.005,1,0))</f>
        <v>0</v>
      </c>
      <c r="E118" s="7">
        <f>IFERROR(DATEVALUE(LEFT(Raw_Cancellations!C118,10))+TIMEVALUE(MID(Raw_Cancellations!C118,12,8)),"")</f>
        <v>46100.93974537037</v>
      </c>
      <c r="F118" s="7">
        <f>IFERROR(MATCH(Raw_Cancellations!B118,Work_Bookings!$A$2:$A$648,0),0)</f>
        <v>477</v>
      </c>
      <c r="G118" s="7">
        <f>IF(F118=0,"",INDEX(Work_Bookings!$M$2:$M$648,F118))</f>
        <v>46089.59179398148</v>
      </c>
      <c r="H118" s="7">
        <f>IF(F118=0,0,IF(OR(INDEX(Work_Bookings!$L$2:$L$648,F118)=1,INDEX(Work_Bookings!$K$2:$K$648,F118)=1,INDEX(Work_Bookings!$N$2:$N$648,F118)=1,COUNTIFS(Work_Passengers!$B$2:$B$1336,Raw_Cancellations!B118,Work_Passengers!$L$2:$L$1336,1)&gt;0),1,0))</f>
        <v>0</v>
      </c>
      <c r="I118" s="7">
        <f>IF(OR(B118=1,C118=1,H118=1),0,IF(AND(ISNUMBER(E118),ISNUMBER(G118)),IF(E118&lt;G118,1,0),0))</f>
        <v>0</v>
      </c>
    </row>
    <row r="119" spans="1:9">
      <c r="A119" s="7">
        <f>Raw_Cancellations!A119</f>
        <v>32807</v>
      </c>
      <c r="B119" s="7">
        <f>IF(COUNTIF(Raw_Cancellations!$A$2:A119,Raw_Cancellations!A119)&gt;1,1,0)</f>
        <v>0</v>
      </c>
      <c r="C119" s="7">
        <f>IF(COUNTIF(Raw_Bookings!$A$2:$A$648,Raw_Cancellations!B119)=0,1,0)</f>
        <v>0</v>
      </c>
      <c r="D119" s="7">
        <f>IF(OR(B119=1,C119=1),0,IF(Raw_Cancellations!I119&gt;Raw_Cancellations!G119+0.005,1,0))</f>
        <v>0</v>
      </c>
      <c r="E119" s="7">
        <f>IFERROR(DATEVALUE(LEFT(Raw_Cancellations!C119,10))+TIMEVALUE(MID(Raw_Cancellations!C119,12,8)),"")</f>
        <v>46104.2637962963</v>
      </c>
      <c r="F119" s="7">
        <f>IFERROR(MATCH(Raw_Cancellations!B119,Work_Bookings!$A$2:$A$648,0),0)</f>
        <v>490</v>
      </c>
      <c r="G119" s="7">
        <f>IF(F119=0,"",INDEX(Work_Bookings!$M$2:$M$648,F119))</f>
        <v>46102.74025462963</v>
      </c>
      <c r="H119" s="7">
        <f>IF(F119=0,0,IF(OR(INDEX(Work_Bookings!$L$2:$L$648,F119)=1,INDEX(Work_Bookings!$K$2:$K$648,F119)=1,INDEX(Work_Bookings!$N$2:$N$648,F119)=1,COUNTIFS(Work_Passengers!$B$2:$B$1336,Raw_Cancellations!B119,Work_Passengers!$L$2:$L$1336,1)&gt;0),1,0))</f>
        <v>0</v>
      </c>
      <c r="I119" s="7">
        <f>IF(OR(B119=1,C119=1,H119=1),0,IF(AND(ISNUMBER(E119),ISNUMBER(G119)),IF(E119&lt;G119,1,0),0))</f>
        <v>0</v>
      </c>
    </row>
    <row r="120" spans="1:9">
      <c r="A120" s="7">
        <f>Raw_Cancellations!A120</f>
        <v>32815</v>
      </c>
      <c r="B120" s="7">
        <f>IF(COUNTIF(Raw_Cancellations!$A$2:A120,Raw_Cancellations!A120)&gt;1,1,0)</f>
        <v>0</v>
      </c>
      <c r="C120" s="7">
        <f>IF(COUNTIF(Raw_Bookings!$A$2:$A$648,Raw_Cancellations!B120)=0,1,0)</f>
        <v>0</v>
      </c>
      <c r="D120" s="7">
        <f>IF(OR(B120=1,C120=1),0,IF(Raw_Cancellations!I120&gt;Raw_Cancellations!G120+0.005,1,0))</f>
        <v>0</v>
      </c>
      <c r="E120" s="7">
        <f>IFERROR(DATEVALUE(LEFT(Raw_Cancellations!C120,10))+TIMEVALUE(MID(Raw_Cancellations!C120,12,8)),"")</f>
        <v>46104.45631944444</v>
      </c>
      <c r="F120" s="7">
        <f>IFERROR(MATCH(Raw_Cancellations!B120,Work_Bookings!$A$2:$A$648,0),0)</f>
        <v>488</v>
      </c>
      <c r="G120" s="7">
        <f>IF(F120=0,"",INDEX(Work_Bookings!$M$2:$M$648,F120))</f>
        <v>46100.75216435185</v>
      </c>
      <c r="H120" s="7">
        <f>IF(F120=0,0,IF(OR(INDEX(Work_Bookings!$L$2:$L$648,F120)=1,INDEX(Work_Bookings!$K$2:$K$648,F120)=1,INDEX(Work_Bookings!$N$2:$N$648,F120)=1,COUNTIFS(Work_Passengers!$B$2:$B$1336,Raw_Cancellations!B120,Work_Passengers!$L$2:$L$1336,1)&gt;0),1,0))</f>
        <v>0</v>
      </c>
      <c r="I120" s="7">
        <f>IF(OR(B120=1,C120=1,H120=1),0,IF(AND(ISNUMBER(E120),ISNUMBER(G120)),IF(E120&lt;G120,1,0),0))</f>
        <v>0</v>
      </c>
    </row>
    <row r="121" spans="1:9">
      <c r="A121" s="7">
        <f>Raw_Cancellations!A121</f>
        <v>32963</v>
      </c>
      <c r="B121" s="7">
        <f>IF(COUNTIF(Raw_Cancellations!$A$2:A121,Raw_Cancellations!A121)&gt;1,1,0)</f>
        <v>0</v>
      </c>
      <c r="C121" s="7">
        <f>IF(COUNTIF(Raw_Bookings!$A$2:$A$648,Raw_Cancellations!B121)=0,1,0)</f>
        <v>0</v>
      </c>
      <c r="D121" s="7">
        <f>IF(OR(B121=1,C121=1),0,IF(Raw_Cancellations!I121&gt;Raw_Cancellations!G121+0.005,1,0))</f>
        <v>0</v>
      </c>
      <c r="E121" s="7">
        <f>IFERROR(DATEVALUE(LEFT(Raw_Cancellations!C121,10))+TIMEVALUE(MID(Raw_Cancellations!C121,12,8)),"")</f>
        <v>46107.746724537035</v>
      </c>
      <c r="F121" s="7">
        <f>IFERROR(MATCH(Raw_Cancellations!B121,Work_Bookings!$A$2:$A$648,0),0)</f>
        <v>494</v>
      </c>
      <c r="G121" s="7">
        <f>IF(F121=0,"",INDEX(Work_Bookings!$M$2:$M$648,F121))</f>
        <v>46106.40555555555</v>
      </c>
      <c r="H121" s="7">
        <f>IF(F121=0,0,IF(OR(INDEX(Work_Bookings!$L$2:$L$648,F121)=1,INDEX(Work_Bookings!$K$2:$K$648,F121)=1,INDEX(Work_Bookings!$N$2:$N$648,F121)=1,COUNTIFS(Work_Passengers!$B$2:$B$1336,Raw_Cancellations!B121,Work_Passengers!$L$2:$L$1336,1)&gt;0),1,0))</f>
        <v>0</v>
      </c>
      <c r="I121" s="7">
        <f>IF(OR(B121=1,C121=1,H121=1),0,IF(AND(ISNUMBER(E121),ISNUMBER(G121)),IF(E121&lt;G121,1,0),0))</f>
        <v>0</v>
      </c>
    </row>
    <row r="122" spans="1:9">
      <c r="A122" s="7">
        <f>Raw_Cancellations!A122</f>
        <v>33118</v>
      </c>
      <c r="B122" s="7">
        <f>IF(COUNTIF(Raw_Cancellations!$A$2:A122,Raw_Cancellations!A122)&gt;1,1,0)</f>
        <v>0</v>
      </c>
      <c r="C122" s="7">
        <f>IF(COUNTIF(Raw_Bookings!$A$2:$A$648,Raw_Cancellations!B122)=0,1,0)</f>
        <v>0</v>
      </c>
      <c r="D122" s="7">
        <f>IF(OR(B122=1,C122=1),0,IF(Raw_Cancellations!I122&gt;Raw_Cancellations!G122+0.005,1,0))</f>
        <v>0</v>
      </c>
      <c r="E122" s="7">
        <f>IFERROR(DATEVALUE(LEFT(Raw_Cancellations!C122,10))+TIMEVALUE(MID(Raw_Cancellations!C122,12,8)),"")</f>
        <v>46110.58429398148</v>
      </c>
      <c r="F122" s="7">
        <f>IFERROR(MATCH(Raw_Cancellations!B122,Work_Bookings!$A$2:$A$648,0),0)</f>
        <v>470</v>
      </c>
      <c r="G122" s="7">
        <f>IF(F122=0,"",INDEX(Work_Bookings!$M$2:$M$648,F122))</f>
        <v>46078.900358796294</v>
      </c>
      <c r="H122" s="7">
        <f>IF(F122=0,0,IF(OR(INDEX(Work_Bookings!$L$2:$L$648,F122)=1,INDEX(Work_Bookings!$K$2:$K$648,F122)=1,INDEX(Work_Bookings!$N$2:$N$648,F122)=1,COUNTIFS(Work_Passengers!$B$2:$B$1336,Raw_Cancellations!B122,Work_Passengers!$L$2:$L$1336,1)&gt;0),1,0))</f>
        <v>0</v>
      </c>
      <c r="I122" s="7">
        <f>IF(OR(B122=1,C122=1,H122=1),0,IF(AND(ISNUMBER(E122),ISNUMBER(G122)),IF(E122&lt;G122,1,0),0))</f>
        <v>0</v>
      </c>
    </row>
    <row r="123" spans="1:9">
      <c r="A123" s="7">
        <f>Raw_Cancellations!A123</f>
        <v>33217</v>
      </c>
      <c r="B123" s="7">
        <f>IF(COUNTIF(Raw_Cancellations!$A$2:A123,Raw_Cancellations!A123)&gt;1,1,0)</f>
        <v>0</v>
      </c>
      <c r="C123" s="7">
        <f>IF(COUNTIF(Raw_Bookings!$A$2:$A$648,Raw_Cancellations!B123)=0,1,0)</f>
        <v>0</v>
      </c>
      <c r="D123" s="7">
        <f>IF(OR(B123=1,C123=1),0,IF(Raw_Cancellations!I123&gt;Raw_Cancellations!G123+0.005,1,0))</f>
        <v>0</v>
      </c>
      <c r="E123" s="7">
        <f>IFERROR(DATEVALUE(LEFT(Raw_Cancellations!C123,10))+TIMEVALUE(MID(Raw_Cancellations!C123,12,8)),"")</f>
        <v>46111.66954861111</v>
      </c>
      <c r="F123" s="7">
        <f>IFERROR(MATCH(Raw_Cancellations!B123,Work_Bookings!$A$2:$A$648,0),0)</f>
        <v>441</v>
      </c>
      <c r="G123" s="7">
        <f>IF(F123=0,"",INDEX(Work_Bookings!$M$2:$M$648,F123))</f>
        <v>46053.29137731482</v>
      </c>
      <c r="H123" s="7">
        <f>IF(F123=0,0,IF(OR(INDEX(Work_Bookings!$L$2:$L$648,F123)=1,INDEX(Work_Bookings!$K$2:$K$648,F123)=1,INDEX(Work_Bookings!$N$2:$N$648,F123)=1,COUNTIFS(Work_Passengers!$B$2:$B$1336,Raw_Cancellations!B123,Work_Passengers!$L$2:$L$1336,1)&gt;0),1,0))</f>
        <v>0</v>
      </c>
      <c r="I123" s="7">
        <f>IF(OR(B123=1,C123=1,H123=1),0,IF(AND(ISNUMBER(E123),ISNUMBER(G123)),IF(E123&lt;G123,1,0),0))</f>
        <v>0</v>
      </c>
    </row>
    <row r="124" spans="1:9">
      <c r="A124" s="7">
        <f>Raw_Cancellations!A124</f>
        <v>33318</v>
      </c>
      <c r="B124" s="7">
        <f>IF(COUNTIF(Raw_Cancellations!$A$2:A124,Raw_Cancellations!A124)&gt;1,1,0)</f>
        <v>0</v>
      </c>
      <c r="C124" s="7">
        <f>IF(COUNTIF(Raw_Bookings!$A$2:$A$648,Raw_Cancellations!B124)=0,1,0)</f>
        <v>0</v>
      </c>
      <c r="D124" s="7">
        <f>IF(OR(B124=1,C124=1),0,IF(Raw_Cancellations!I124&gt;Raw_Cancellations!G124+0.005,1,0))</f>
        <v>0</v>
      </c>
      <c r="E124" s="7">
        <f>IFERROR(DATEVALUE(LEFT(Raw_Cancellations!C124,10))+TIMEVALUE(MID(Raw_Cancellations!C124,12,8)),"")</f>
        <v>46113.54206018519</v>
      </c>
      <c r="F124" s="7">
        <f>IFERROR(MATCH(Raw_Cancellations!B124,Work_Bookings!$A$2:$A$648,0),0)</f>
        <v>479</v>
      </c>
      <c r="G124" s="7">
        <f>IF(F124=0,"",INDEX(Work_Bookings!$M$2:$M$648,F124))</f>
        <v>46089.91950231481</v>
      </c>
      <c r="H124" s="7">
        <f>IF(F124=0,0,IF(OR(INDEX(Work_Bookings!$L$2:$L$648,F124)=1,INDEX(Work_Bookings!$K$2:$K$648,F124)=1,INDEX(Work_Bookings!$N$2:$N$648,F124)=1,COUNTIFS(Work_Passengers!$B$2:$B$1336,Raw_Cancellations!B124,Work_Passengers!$L$2:$L$1336,1)&gt;0),1,0))</f>
        <v>0</v>
      </c>
      <c r="I124" s="7">
        <f>IF(OR(B124=1,C124=1,H124=1),0,IF(AND(ISNUMBER(E124),ISNUMBER(G124)),IF(E124&lt;G124,1,0),0))</f>
        <v>0</v>
      </c>
    </row>
    <row r="125" spans="1:9">
      <c r="A125" s="7">
        <f>Raw_Cancellations!A125</f>
        <v>33600</v>
      </c>
      <c r="B125" s="7">
        <f>IF(COUNTIF(Raw_Cancellations!$A$2:A125,Raw_Cancellations!A125)&gt;1,1,0)</f>
        <v>0</v>
      </c>
      <c r="C125" s="7">
        <f>IF(COUNTIF(Raw_Bookings!$A$2:$A$648,Raw_Cancellations!B125)=0,1,0)</f>
        <v>0</v>
      </c>
      <c r="D125" s="7">
        <f>IF(OR(B125=1,C125=1),0,IF(Raw_Cancellations!I125&gt;Raw_Cancellations!G125+0.005,1,0))</f>
        <v>0</v>
      </c>
      <c r="E125" s="7">
        <f>IFERROR(DATEVALUE(LEFT(Raw_Cancellations!C125,10))+TIMEVALUE(MID(Raw_Cancellations!C125,12,8)),"")</f>
        <v>46116.66575231482</v>
      </c>
      <c r="F125" s="7">
        <f>IFERROR(MATCH(Raw_Cancellations!B125,Work_Bookings!$A$2:$A$648,0),0)</f>
        <v>501</v>
      </c>
      <c r="G125" s="7">
        <f>IF(F125=0,"",INDEX(Work_Bookings!$M$2:$M$648,F125))</f>
        <v>46110.52002314815</v>
      </c>
      <c r="H125" s="7">
        <f>IF(F125=0,0,IF(OR(INDEX(Work_Bookings!$L$2:$L$648,F125)=1,INDEX(Work_Bookings!$K$2:$K$648,F125)=1,INDEX(Work_Bookings!$N$2:$N$648,F125)=1,COUNTIFS(Work_Passengers!$B$2:$B$1336,Raw_Cancellations!B125,Work_Passengers!$L$2:$L$1336,1)&gt;0),1,0))</f>
        <v>0</v>
      </c>
      <c r="I125" s="7">
        <f>IF(OR(B125=1,C125=1,H125=1),0,IF(AND(ISNUMBER(E125),ISNUMBER(G125)),IF(E125&lt;G125,1,0),0))</f>
        <v>0</v>
      </c>
    </row>
    <row r="126" spans="1:9">
      <c r="A126" s="7">
        <f>Raw_Cancellations!A126</f>
        <v>33672</v>
      </c>
      <c r="B126" s="7">
        <f>IF(COUNTIF(Raw_Cancellations!$A$2:A126,Raw_Cancellations!A126)&gt;1,1,0)</f>
        <v>0</v>
      </c>
      <c r="C126" s="7">
        <f>IF(COUNTIF(Raw_Bookings!$A$2:$A$648,Raw_Cancellations!B126)=0,1,0)</f>
        <v>0</v>
      </c>
      <c r="D126" s="7">
        <f>IF(OR(B126=1,C126=1),0,IF(Raw_Cancellations!I126&gt;Raw_Cancellations!G126+0.005,1,0))</f>
        <v>0</v>
      </c>
      <c r="E126" s="7">
        <f>IFERROR(DATEVALUE(LEFT(Raw_Cancellations!C126,10))+TIMEVALUE(MID(Raw_Cancellations!C126,12,8)),"")</f>
        <v>46117.35298611111</v>
      </c>
      <c r="F126" s="7">
        <f>IFERROR(MATCH(Raw_Cancellations!B126,Work_Bookings!$A$2:$A$648,0),0)</f>
        <v>507</v>
      </c>
      <c r="G126" s="7">
        <f>IF(F126=0,"",INDEX(Work_Bookings!$M$2:$M$648,F126))</f>
        <v>46113.38821759259</v>
      </c>
      <c r="H126" s="7">
        <f>IF(F126=0,0,IF(OR(INDEX(Work_Bookings!$L$2:$L$648,F126)=1,INDEX(Work_Bookings!$K$2:$K$648,F126)=1,INDEX(Work_Bookings!$N$2:$N$648,F126)=1,COUNTIFS(Work_Passengers!$B$2:$B$1336,Raw_Cancellations!B126,Work_Passengers!$L$2:$L$1336,1)&gt;0),1,0))</f>
        <v>0</v>
      </c>
      <c r="I126" s="7">
        <f>IF(OR(B126=1,C126=1,H126=1),0,IF(AND(ISNUMBER(E126),ISNUMBER(G126)),IF(E126&lt;G126,1,0),0))</f>
        <v>0</v>
      </c>
    </row>
    <row r="127" spans="1:9">
      <c r="A127" s="7">
        <f>Raw_Cancellations!A127</f>
        <v>33863</v>
      </c>
      <c r="B127" s="7">
        <f>IF(COUNTIF(Raw_Cancellations!$A$2:A127,Raw_Cancellations!A127)&gt;1,1,0)</f>
        <v>0</v>
      </c>
      <c r="C127" s="7">
        <f>IF(COUNTIF(Raw_Bookings!$A$2:$A$648,Raw_Cancellations!B127)=0,1,0)</f>
        <v>0</v>
      </c>
      <c r="D127" s="7">
        <f>IF(OR(B127=1,C127=1),0,IF(Raw_Cancellations!I127&gt;Raw_Cancellations!G127+0.005,1,0))</f>
        <v>0</v>
      </c>
      <c r="E127" s="7">
        <f>IFERROR(DATEVALUE(LEFT(Raw_Cancellations!C127,10))+TIMEVALUE(MID(Raw_Cancellations!C127,12,8)),"")</f>
        <v>46118.07003472222</v>
      </c>
      <c r="F127" s="7">
        <f>IFERROR(MATCH(Raw_Cancellations!B127,Work_Bookings!$A$2:$A$648,0),0)</f>
        <v>500</v>
      </c>
      <c r="G127" s="7">
        <f>IF(F127=0,"",INDEX(Work_Bookings!$M$2:$M$648,F127))</f>
        <v>46110.46960648148</v>
      </c>
      <c r="H127" s="7">
        <f>IF(F127=0,0,IF(OR(INDEX(Work_Bookings!$L$2:$L$648,F127)=1,INDEX(Work_Bookings!$K$2:$K$648,F127)=1,INDEX(Work_Bookings!$N$2:$N$648,F127)=1,COUNTIFS(Work_Passengers!$B$2:$B$1336,Raw_Cancellations!B127,Work_Passengers!$L$2:$L$1336,1)&gt;0),1,0))</f>
        <v>0</v>
      </c>
      <c r="I127" s="7">
        <f>IF(OR(B127=1,C127=1,H127=1),0,IF(AND(ISNUMBER(E127),ISNUMBER(G127)),IF(E127&lt;G127,1,0),0))</f>
        <v>0</v>
      </c>
    </row>
    <row r="128" spans="1:9">
      <c r="A128" s="7">
        <f>Raw_Cancellations!A128</f>
        <v>34140</v>
      </c>
      <c r="B128" s="7">
        <f>IF(COUNTIF(Raw_Cancellations!$A$2:A128,Raw_Cancellations!A128)&gt;1,1,0)</f>
        <v>0</v>
      </c>
      <c r="C128" s="7">
        <f>IF(COUNTIF(Raw_Bookings!$A$2:$A$648,Raw_Cancellations!B128)=0,1,0)</f>
        <v>0</v>
      </c>
      <c r="D128" s="7">
        <f>IF(OR(B128=1,C128=1),0,IF(Raw_Cancellations!I128&gt;Raw_Cancellations!G128+0.005,1,0))</f>
        <v>0</v>
      </c>
      <c r="E128" s="7">
        <f>IFERROR(DATEVALUE(LEFT(Raw_Cancellations!C128,10))+TIMEVALUE(MID(Raw_Cancellations!C128,12,8)),"")</f>
        <v>46106.849965277775</v>
      </c>
      <c r="F128" s="7">
        <f>IFERROR(MATCH(Raw_Cancellations!B128,Work_Bookings!$A$2:$A$648,0),0)</f>
        <v>498</v>
      </c>
      <c r="G128" s="7">
        <f>IF(F128=0,"",INDEX(Work_Bookings!$M$2:$M$648,F128))</f>
        <v>46109.76663194445</v>
      </c>
      <c r="H128" s="7">
        <f>IF(F128=0,0,IF(OR(INDEX(Work_Bookings!$L$2:$L$648,F128)=1,INDEX(Work_Bookings!$K$2:$K$648,F128)=1,INDEX(Work_Bookings!$N$2:$N$648,F128)=1,COUNTIFS(Work_Passengers!$B$2:$B$1336,Raw_Cancellations!B128,Work_Passengers!$L$2:$L$1336,1)&gt;0),1,0))</f>
        <v>0</v>
      </c>
      <c r="I128" s="7">
        <f>IF(OR(B128=1,C128=1,H128=1),0,IF(AND(ISNUMBER(E128),ISNUMBER(G128)),IF(E128&lt;G128,1,0),0))</f>
        <v>1</v>
      </c>
    </row>
    <row r="129" spans="1:9">
      <c r="A129" s="7">
        <f>Raw_Cancellations!A129</f>
        <v>34192</v>
      </c>
      <c r="B129" s="7">
        <f>IF(COUNTIF(Raw_Cancellations!$A$2:A129,Raw_Cancellations!A129)&gt;1,1,0)</f>
        <v>0</v>
      </c>
      <c r="C129" s="7">
        <f>IF(COUNTIF(Raw_Bookings!$A$2:$A$648,Raw_Cancellations!B129)=0,1,0)</f>
        <v>0</v>
      </c>
      <c r="D129" s="7">
        <f>IF(OR(B129=1,C129=1),0,IF(Raw_Cancellations!I129&gt;Raw_Cancellations!G129+0.005,1,0))</f>
        <v>0</v>
      </c>
      <c r="E129" s="7">
        <f>IFERROR(DATEVALUE(LEFT(Raw_Cancellations!C129,10))+TIMEVALUE(MID(Raw_Cancellations!C129,12,8)),"")</f>
        <v>46120.729166666664</v>
      </c>
      <c r="F129" s="7">
        <f>IFERROR(MATCH(Raw_Cancellations!B129,Work_Bookings!$A$2:$A$648,0),0)</f>
        <v>513</v>
      </c>
      <c r="G129" s="7">
        <f>IF(F129=0,"",INDEX(Work_Bookings!$M$2:$M$648,F129))</f>
        <v>46120.481782407405</v>
      </c>
      <c r="H129" s="7">
        <f>IF(F129=0,0,IF(OR(INDEX(Work_Bookings!$L$2:$L$648,F129)=1,INDEX(Work_Bookings!$K$2:$K$648,F129)=1,INDEX(Work_Bookings!$N$2:$N$648,F129)=1,COUNTIFS(Work_Passengers!$B$2:$B$1336,Raw_Cancellations!B129,Work_Passengers!$L$2:$L$1336,1)&gt;0),1,0))</f>
        <v>0</v>
      </c>
      <c r="I129" s="7">
        <f>IF(OR(B129=1,C129=1,H129=1),0,IF(AND(ISNUMBER(E129),ISNUMBER(G129)),IF(E129&lt;G129,1,0),0))</f>
        <v>0</v>
      </c>
    </row>
    <row r="130" spans="1:9">
      <c r="A130" s="7">
        <f>Raw_Cancellations!A130</f>
        <v>34535</v>
      </c>
      <c r="B130" s="7">
        <f>IF(COUNTIF(Raw_Cancellations!$A$2:A130,Raw_Cancellations!A130)&gt;1,1,0)</f>
        <v>0</v>
      </c>
      <c r="C130" s="7">
        <f>IF(COUNTIF(Raw_Bookings!$A$2:$A$648,Raw_Cancellations!B130)=0,1,0)</f>
        <v>0</v>
      </c>
      <c r="D130" s="7">
        <f>IF(OR(B130=1,C130=1),0,IF(Raw_Cancellations!I130&gt;Raw_Cancellations!G130+0.005,1,0))</f>
        <v>0</v>
      </c>
      <c r="E130" s="7">
        <f>IFERROR(DATEVALUE(LEFT(Raw_Cancellations!C130,10))+TIMEVALUE(MID(Raw_Cancellations!C130,12,8)),"")</f>
        <v>46127.26164351852</v>
      </c>
      <c r="F130" s="7">
        <f>IFERROR(MATCH(Raw_Cancellations!B130,Work_Bookings!$A$2:$A$648,0),0)</f>
        <v>496</v>
      </c>
      <c r="G130" s="7">
        <f>IF(F130=0,"",INDEX(Work_Bookings!$M$2:$M$648,F130))</f>
        <v>46107.37087962963</v>
      </c>
      <c r="H130" s="7">
        <f>IF(F130=0,0,IF(OR(INDEX(Work_Bookings!$L$2:$L$648,F130)=1,INDEX(Work_Bookings!$K$2:$K$648,F130)=1,INDEX(Work_Bookings!$N$2:$N$648,F130)=1,COUNTIFS(Work_Passengers!$B$2:$B$1336,Raw_Cancellations!B130,Work_Passengers!$L$2:$L$1336,1)&gt;0),1,0))</f>
        <v>0</v>
      </c>
      <c r="I130" s="7">
        <f>IF(OR(B130=1,C130=1,H130=1),0,IF(AND(ISNUMBER(E130),ISNUMBER(G130)),IF(E130&lt;G130,1,0),0))</f>
        <v>0</v>
      </c>
    </row>
    <row r="131" spans="1:9">
      <c r="A131" s="7">
        <f>Raw_Cancellations!A131</f>
        <v>34630</v>
      </c>
      <c r="B131" s="7">
        <f>IF(COUNTIF(Raw_Cancellations!$A$2:A131,Raw_Cancellations!A131)&gt;1,1,0)</f>
        <v>0</v>
      </c>
      <c r="C131" s="7">
        <f>IF(COUNTIF(Raw_Bookings!$A$2:$A$648,Raw_Cancellations!B131)=0,1,0)</f>
        <v>0</v>
      </c>
      <c r="D131" s="7">
        <f>IF(OR(B131=1,C131=1),0,IF(Raw_Cancellations!I131&gt;Raw_Cancellations!G131+0.005,1,0))</f>
        <v>0</v>
      </c>
      <c r="E131" s="7">
        <f>IFERROR(DATEVALUE(LEFT(Raw_Cancellations!C131,10))+TIMEVALUE(MID(Raw_Cancellations!C131,12,8)),"")</f>
        <v>46128.623923611114</v>
      </c>
      <c r="F131" s="7">
        <f>IFERROR(MATCH(Raw_Cancellations!B131,Work_Bookings!$A$2:$A$648,0),0)</f>
        <v>429</v>
      </c>
      <c r="G131" s="7">
        <f>IF(F131=0,"",INDEX(Work_Bookings!$M$2:$M$648,F131))</f>
        <v>46044.79006944445</v>
      </c>
      <c r="H131" s="7">
        <f>IF(F131=0,0,IF(OR(INDEX(Work_Bookings!$L$2:$L$648,F131)=1,INDEX(Work_Bookings!$K$2:$K$648,F131)=1,INDEX(Work_Bookings!$N$2:$N$648,F131)=1,COUNTIFS(Work_Passengers!$B$2:$B$1336,Raw_Cancellations!B131,Work_Passengers!$L$2:$L$1336,1)&gt;0),1,0))</f>
        <v>0</v>
      </c>
      <c r="I131" s="7">
        <f>IF(OR(B131=1,C131=1,H131=1),0,IF(AND(ISNUMBER(E131),ISNUMBER(G131)),IF(E131&lt;G131,1,0),0))</f>
        <v>0</v>
      </c>
    </row>
    <row r="132" spans="1:9">
      <c r="A132" s="7">
        <f>Raw_Cancellations!A132</f>
        <v>34856</v>
      </c>
      <c r="B132" s="7">
        <f>IF(COUNTIF(Raw_Cancellations!$A$2:A132,Raw_Cancellations!A132)&gt;1,1,0)</f>
        <v>0</v>
      </c>
      <c r="C132" s="7">
        <f>IF(COUNTIF(Raw_Bookings!$A$2:$A$648,Raw_Cancellations!B132)=0,1,0)</f>
        <v>0</v>
      </c>
      <c r="D132" s="7">
        <f>IF(OR(B132=1,C132=1),0,IF(Raw_Cancellations!I132&gt;Raw_Cancellations!G132+0.005,1,0))</f>
        <v>0</v>
      </c>
      <c r="E132" s="7">
        <f>IFERROR(DATEVALUE(LEFT(Raw_Cancellations!C132,10))+TIMEVALUE(MID(Raw_Cancellations!C132,12,8)),"")</f>
        <v>46131.09375</v>
      </c>
      <c r="F132" s="7">
        <f>IFERROR(MATCH(Raw_Cancellations!B132,Work_Bookings!$A$2:$A$648,0),0)</f>
        <v>530</v>
      </c>
      <c r="G132" s="7">
        <f>IF(F132=0,"",INDEX(Work_Bookings!$M$2:$M$648,F132))</f>
        <v>46130.79258101852</v>
      </c>
      <c r="H132" s="7">
        <f>IF(F132=0,0,IF(OR(INDEX(Work_Bookings!$L$2:$L$648,F132)=1,INDEX(Work_Bookings!$K$2:$K$648,F132)=1,INDEX(Work_Bookings!$N$2:$N$648,F132)=1,COUNTIFS(Work_Passengers!$B$2:$B$1336,Raw_Cancellations!B132,Work_Passengers!$L$2:$L$1336,1)&gt;0),1,0))</f>
        <v>0</v>
      </c>
      <c r="I132" s="7">
        <f>IF(OR(B132=1,C132=1,H132=1),0,IF(AND(ISNUMBER(E132),ISNUMBER(G132)),IF(E132&lt;G132,1,0),0))</f>
        <v>0</v>
      </c>
    </row>
    <row r="133" spans="1:9">
      <c r="A133" s="7">
        <f>Raw_Cancellations!A133</f>
        <v>35015</v>
      </c>
      <c r="B133" s="7">
        <f>IF(COUNTIF(Raw_Cancellations!$A$2:A133,Raw_Cancellations!A133)&gt;1,1,0)</f>
        <v>0</v>
      </c>
      <c r="C133" s="7">
        <f>IF(COUNTIF(Raw_Bookings!$A$2:$A$648,Raw_Cancellations!B133)=0,1,0)</f>
        <v>0</v>
      </c>
      <c r="D133" s="7">
        <f>IF(OR(B133=1,C133=1),0,IF(Raw_Cancellations!I133&gt;Raw_Cancellations!G133+0.005,1,0))</f>
        <v>1</v>
      </c>
      <c r="E133" s="7">
        <f>IFERROR(DATEVALUE(LEFT(Raw_Cancellations!C133,10))+TIMEVALUE(MID(Raw_Cancellations!C133,12,8)),"")</f>
        <v>46132.447916666664</v>
      </c>
      <c r="F133" s="7">
        <f>IFERROR(MATCH(Raw_Cancellations!B133,Work_Bookings!$A$2:$A$648,0),0)</f>
        <v>525</v>
      </c>
      <c r="G133" s="7">
        <f>IF(F133=0,"",INDEX(Work_Bookings!$M$2:$M$648,F133))</f>
        <v>46127.29650462963</v>
      </c>
      <c r="H133" s="7">
        <f>IF(F133=0,0,IF(OR(INDEX(Work_Bookings!$L$2:$L$648,F133)=1,INDEX(Work_Bookings!$K$2:$K$648,F133)=1,INDEX(Work_Bookings!$N$2:$N$648,F133)=1,COUNTIFS(Work_Passengers!$B$2:$B$1336,Raw_Cancellations!B133,Work_Passengers!$L$2:$L$1336,1)&gt;0),1,0))</f>
        <v>0</v>
      </c>
      <c r="I133" s="7">
        <f>IF(OR(B133=1,C133=1,H133=1),0,IF(AND(ISNUMBER(E133),ISNUMBER(G133)),IF(E133&lt;G133,1,0),0))</f>
        <v>0</v>
      </c>
    </row>
    <row r="134" spans="1:9">
      <c r="A134" s="7">
        <f>Raw_Cancellations!A134</f>
        <v>35468</v>
      </c>
      <c r="B134" s="7">
        <f>IF(COUNTIF(Raw_Cancellations!$A$2:A134,Raw_Cancellations!A134)&gt;1,1,0)</f>
        <v>0</v>
      </c>
      <c r="C134" s="7">
        <f>IF(COUNTIF(Raw_Bookings!$A$2:$A$648,Raw_Cancellations!B134)=0,1,0)</f>
        <v>0</v>
      </c>
      <c r="D134" s="7">
        <f>IF(OR(B134=1,C134=1),0,IF(Raw_Cancellations!I134&gt;Raw_Cancellations!G134+0.005,1,0))</f>
        <v>0</v>
      </c>
      <c r="E134" s="7">
        <f>IFERROR(DATEVALUE(LEFT(Raw_Cancellations!C134,10))+TIMEVALUE(MID(Raw_Cancellations!C134,12,8)),"")</f>
        <v>46136.052083333336</v>
      </c>
      <c r="F134" s="7">
        <f>IFERROR(MATCH(Raw_Cancellations!B134,Work_Bookings!$A$2:$A$648,0),0)</f>
        <v>515</v>
      </c>
      <c r="G134" s="7">
        <f>IF(F134=0,"",INDEX(Work_Bookings!$M$2:$M$648,F134))</f>
        <v>46121.38265046296</v>
      </c>
      <c r="H134" s="7">
        <f>IF(F134=0,0,IF(OR(INDEX(Work_Bookings!$L$2:$L$648,F134)=1,INDEX(Work_Bookings!$K$2:$K$648,F134)=1,INDEX(Work_Bookings!$N$2:$N$648,F134)=1,COUNTIFS(Work_Passengers!$B$2:$B$1336,Raw_Cancellations!B134,Work_Passengers!$L$2:$L$1336,1)&gt;0),1,0))</f>
        <v>0</v>
      </c>
      <c r="I134" s="7">
        <f>IF(OR(B134=1,C134=1,H134=1),0,IF(AND(ISNUMBER(E134),ISNUMBER(G134)),IF(E134&lt;G134,1,0),0))</f>
        <v>0</v>
      </c>
    </row>
    <row r="135" spans="1:9">
      <c r="A135" s="7">
        <f>Raw_Cancellations!A135</f>
        <v>36250</v>
      </c>
      <c r="B135" s="7">
        <f>IF(COUNTIF(Raw_Cancellations!$A$2:A135,Raw_Cancellations!A135)&gt;1,1,0)</f>
        <v>0</v>
      </c>
      <c r="C135" s="7">
        <f>IF(COUNTIF(Raw_Bookings!$A$2:$A$648,Raw_Cancellations!B135)=0,1,0)</f>
        <v>0</v>
      </c>
      <c r="D135" s="7">
        <f>IF(OR(B135=1,C135=1),0,IF(Raw_Cancellations!I135&gt;Raw_Cancellations!G135+0.005,1,0))</f>
        <v>0</v>
      </c>
      <c r="E135" s="7">
        <f>IFERROR(DATEVALUE(LEFT(Raw_Cancellations!C135,10))+TIMEVALUE(MID(Raw_Cancellations!C135,12,8)),"")</f>
        <v>46148.635416666664</v>
      </c>
      <c r="F135" s="7">
        <f>IFERROR(MATCH(Raw_Cancellations!B135,Work_Bookings!$A$2:$A$648,0),0)</f>
        <v>538</v>
      </c>
      <c r="G135" s="7">
        <f>IF(F135=0,"",INDEX(Work_Bookings!$M$2:$M$648,F135))</f>
        <v>46142.79253472222</v>
      </c>
      <c r="H135" s="7">
        <f>IF(F135=0,0,IF(OR(INDEX(Work_Bookings!$L$2:$L$648,F135)=1,INDEX(Work_Bookings!$K$2:$K$648,F135)=1,INDEX(Work_Bookings!$N$2:$N$648,F135)=1,COUNTIFS(Work_Passengers!$B$2:$B$1336,Raw_Cancellations!B135,Work_Passengers!$L$2:$L$1336,1)&gt;0),1,0))</f>
        <v>0</v>
      </c>
      <c r="I135" s="7">
        <f>IF(OR(B135=1,C135=1,H135=1),0,IF(AND(ISNUMBER(E135),ISNUMBER(G135)),IF(E135&lt;G135,1,0),0))</f>
        <v>0</v>
      </c>
    </row>
    <row r="136" spans="1:9">
      <c r="A136" s="7">
        <f>Raw_Cancellations!A136</f>
        <v>36506</v>
      </c>
      <c r="B136" s="7">
        <f>IF(COUNTIF(Raw_Cancellations!$A$2:A136,Raw_Cancellations!A136)&gt;1,1,0)</f>
        <v>0</v>
      </c>
      <c r="C136" s="7">
        <f>IF(COUNTIF(Raw_Bookings!$A$2:$A$648,Raw_Cancellations!B136)=0,1,0)</f>
        <v>0</v>
      </c>
      <c r="D136" s="7">
        <f>IF(OR(B136=1,C136=1),0,IF(Raw_Cancellations!I136&gt;Raw_Cancellations!G136+0.005,1,0))</f>
        <v>0</v>
      </c>
      <c r="E136" s="7">
        <f>IFERROR(DATEVALUE(LEFT(Raw_Cancellations!C136,10))+TIMEVALUE(MID(Raw_Cancellations!C136,12,8)),"")</f>
        <v>46150.26883101852</v>
      </c>
      <c r="F136" s="7">
        <f>IFERROR(MATCH(Raw_Cancellations!B136,Work_Bookings!$A$2:$A$648,0),0)</f>
        <v>509</v>
      </c>
      <c r="G136" s="7">
        <f>IF(F136=0,"",INDEX(Work_Bookings!$M$2:$M$648,F136))</f>
        <v>46114.74820601852</v>
      </c>
      <c r="H136" s="7">
        <f>IF(F136=0,0,IF(OR(INDEX(Work_Bookings!$L$2:$L$648,F136)=1,INDEX(Work_Bookings!$K$2:$K$648,F136)=1,INDEX(Work_Bookings!$N$2:$N$648,F136)=1,COUNTIFS(Work_Passengers!$B$2:$B$1336,Raw_Cancellations!B136,Work_Passengers!$L$2:$L$1336,1)&gt;0),1,0))</f>
        <v>0</v>
      </c>
      <c r="I136" s="7">
        <f>IF(OR(B136=1,C136=1,H136=1),0,IF(AND(ISNUMBER(E136),ISNUMBER(G136)),IF(E136&lt;G136,1,0),0))</f>
        <v>0</v>
      </c>
    </row>
    <row r="137" spans="1:9">
      <c r="A137" s="7">
        <f>Raw_Cancellations!A137</f>
        <v>36544</v>
      </c>
      <c r="B137" s="7">
        <f>IF(COUNTIF(Raw_Cancellations!$A$2:A137,Raw_Cancellations!A137)&gt;1,1,0)</f>
        <v>0</v>
      </c>
      <c r="C137" s="7">
        <f>IF(COUNTIF(Raw_Bookings!$A$2:$A$648,Raw_Cancellations!B137)=0,1,0)</f>
        <v>0</v>
      </c>
      <c r="D137" s="7">
        <f>IF(OR(B137=1,C137=1),0,IF(Raw_Cancellations!I137&gt;Raw_Cancellations!G137+0.005,1,0))</f>
        <v>0</v>
      </c>
      <c r="E137" s="7">
        <f>IFERROR(DATEVALUE(LEFT(Raw_Cancellations!C137,10))+TIMEVALUE(MID(Raw_Cancellations!C137,12,8)),"")</f>
        <v>46150.83351851852</v>
      </c>
      <c r="F137" s="7">
        <f>IFERROR(MATCH(Raw_Cancellations!B137,Work_Bookings!$A$2:$A$648,0),0)</f>
        <v>542</v>
      </c>
      <c r="G137" s="7">
        <f>IF(F137=0,"",INDEX(Work_Bookings!$M$2:$M$648,F137))</f>
        <v>46146.77076388889</v>
      </c>
      <c r="H137" s="7">
        <f>IF(F137=0,0,IF(OR(INDEX(Work_Bookings!$L$2:$L$648,F137)=1,INDEX(Work_Bookings!$K$2:$K$648,F137)=1,INDEX(Work_Bookings!$N$2:$N$648,F137)=1,COUNTIFS(Work_Passengers!$B$2:$B$1336,Raw_Cancellations!B137,Work_Passengers!$L$2:$L$1336,1)&gt;0),1,0))</f>
        <v>0</v>
      </c>
      <c r="I137" s="7">
        <f>IF(OR(B137=1,C137=1,H137=1),0,IF(AND(ISNUMBER(E137),ISNUMBER(G137)),IF(E137&lt;G137,1,0),0))</f>
        <v>0</v>
      </c>
    </row>
    <row r="138" spans="1:9">
      <c r="A138" s="7">
        <f>Raw_Cancellations!A138</f>
        <v>36578</v>
      </c>
      <c r="B138" s="7">
        <f>IF(COUNTIF(Raw_Cancellations!$A$2:A138,Raw_Cancellations!A138)&gt;1,1,0)</f>
        <v>0</v>
      </c>
      <c r="C138" s="7">
        <f>IF(COUNTIF(Raw_Bookings!$A$2:$A$648,Raw_Cancellations!B138)=0,1,0)</f>
        <v>0</v>
      </c>
      <c r="D138" s="7">
        <f>IF(OR(B138=1,C138=1),0,IF(Raw_Cancellations!I138&gt;Raw_Cancellations!G138+0.005,1,0))</f>
        <v>0</v>
      </c>
      <c r="E138" s="7">
        <f>IFERROR(DATEVALUE(LEFT(Raw_Cancellations!C138,10))+TIMEVALUE(MID(Raw_Cancellations!C138,12,8)),"")</f>
        <v>46151.21875</v>
      </c>
      <c r="F138" s="7">
        <f>IFERROR(MATCH(Raw_Cancellations!B138,Work_Bookings!$A$2:$A$648,0),0)</f>
        <v>535</v>
      </c>
      <c r="G138" s="7">
        <f>IF(F138=0,"",INDEX(Work_Bookings!$M$2:$M$648,F138))</f>
        <v>46140.74177083333</v>
      </c>
      <c r="H138" s="7">
        <f>IF(F138=0,0,IF(OR(INDEX(Work_Bookings!$L$2:$L$648,F138)=1,INDEX(Work_Bookings!$K$2:$K$648,F138)=1,INDEX(Work_Bookings!$N$2:$N$648,F138)=1,COUNTIFS(Work_Passengers!$B$2:$B$1336,Raw_Cancellations!B138,Work_Passengers!$L$2:$L$1336,1)&gt;0),1,0))</f>
        <v>0</v>
      </c>
      <c r="I138" s="7">
        <f>IF(OR(B138=1,C138=1,H138=1),0,IF(AND(ISNUMBER(E138),ISNUMBER(G138)),IF(E138&lt;G138,1,0),0))</f>
        <v>0</v>
      </c>
    </row>
    <row r="139" spans="1:9">
      <c r="A139" s="7">
        <f>Raw_Cancellations!A139</f>
        <v>36624</v>
      </c>
      <c r="B139" s="7">
        <f>IF(COUNTIF(Raw_Cancellations!$A$2:A139,Raw_Cancellations!A139)&gt;1,1,0)</f>
        <v>0</v>
      </c>
      <c r="C139" s="7">
        <f>IF(COUNTIF(Raw_Bookings!$A$2:$A$648,Raw_Cancellations!B139)=0,1,0)</f>
        <v>0</v>
      </c>
      <c r="D139" s="7">
        <f>IF(OR(B139=1,C139=1),0,IF(Raw_Cancellations!I139&gt;Raw_Cancellations!G139+0.005,1,0))</f>
        <v>0</v>
      </c>
      <c r="E139" s="7">
        <f>IFERROR(DATEVALUE(LEFT(Raw_Cancellations!C139,10))+TIMEVALUE(MID(Raw_Cancellations!C139,12,8)),"")</f>
        <v>46151.44369212963</v>
      </c>
      <c r="F139" s="7">
        <f>IFERROR(MATCH(Raw_Cancellations!B139,Work_Bookings!$A$2:$A$648,0),0)</f>
        <v>546</v>
      </c>
      <c r="G139" s="7">
        <f>IF(F139=0,"",INDEX(Work_Bookings!$M$2:$M$648,F139))</f>
        <v>46147.733078703706</v>
      </c>
      <c r="H139" s="7">
        <f>IF(F139=0,0,IF(OR(INDEX(Work_Bookings!$L$2:$L$648,F139)=1,INDEX(Work_Bookings!$K$2:$K$648,F139)=1,INDEX(Work_Bookings!$N$2:$N$648,F139)=1,COUNTIFS(Work_Passengers!$B$2:$B$1336,Raw_Cancellations!B139,Work_Passengers!$L$2:$L$1336,1)&gt;0),1,0))</f>
        <v>0</v>
      </c>
      <c r="I139" s="7">
        <f>IF(OR(B139=1,C139=1,H139=1),0,IF(AND(ISNUMBER(E139),ISNUMBER(G139)),IF(E139&lt;G139,1,0),0))</f>
        <v>0</v>
      </c>
    </row>
    <row r="140" spans="1:9">
      <c r="A140" s="7">
        <f>Raw_Cancellations!A140</f>
        <v>37031</v>
      </c>
      <c r="B140" s="7">
        <f>IF(COUNTIF(Raw_Cancellations!$A$2:A140,Raw_Cancellations!A140)&gt;1,1,0)</f>
        <v>0</v>
      </c>
      <c r="C140" s="7">
        <f>IF(COUNTIF(Raw_Bookings!$A$2:$A$648,Raw_Cancellations!B140)=0,1,0)</f>
        <v>0</v>
      </c>
      <c r="D140" s="7">
        <f>IF(OR(B140=1,C140=1),0,IF(Raw_Cancellations!I140&gt;Raw_Cancellations!G140+0.005,1,0))</f>
        <v>0</v>
      </c>
      <c r="E140" s="7">
        <f>IFERROR(DATEVALUE(LEFT(Raw_Cancellations!C140,10))+TIMEVALUE(MID(Raw_Cancellations!C140,12,8)),"")</f>
        <v>46156.595659722225</v>
      </c>
      <c r="F140" s="7">
        <f>IFERROR(MATCH(Raw_Cancellations!B140,Work_Bookings!$A$2:$A$648,0),0)</f>
        <v>541</v>
      </c>
      <c r="G140" s="7">
        <f>IF(F140=0,"",INDEX(Work_Bookings!$M$2:$M$648,F140))</f>
        <v>46145.72829861111</v>
      </c>
      <c r="H140" s="7">
        <f>IF(F140=0,0,IF(OR(INDEX(Work_Bookings!$L$2:$L$648,F140)=1,INDEX(Work_Bookings!$K$2:$K$648,F140)=1,INDEX(Work_Bookings!$N$2:$N$648,F140)=1,COUNTIFS(Work_Passengers!$B$2:$B$1336,Raw_Cancellations!B140,Work_Passengers!$L$2:$L$1336,1)&gt;0),1,0))</f>
        <v>0</v>
      </c>
      <c r="I140" s="7">
        <f>IF(OR(B140=1,C140=1,H140=1),0,IF(AND(ISNUMBER(E140),ISNUMBER(G140)),IF(E140&lt;G140,1,0),0))</f>
        <v>0</v>
      </c>
    </row>
    <row r="141" spans="1:9">
      <c r="A141" s="7">
        <f>Raw_Cancellations!A141</f>
        <v>37087</v>
      </c>
      <c r="B141" s="7">
        <f>IF(COUNTIF(Raw_Cancellations!$A$2:A141,Raw_Cancellations!A141)&gt;1,1,0)</f>
        <v>0</v>
      </c>
      <c r="C141" s="7">
        <f>IF(COUNTIF(Raw_Bookings!$A$2:$A$648,Raw_Cancellations!B141)=0,1,0)</f>
        <v>0</v>
      </c>
      <c r="D141" s="7">
        <f>IF(OR(B141=1,C141=1),0,IF(Raw_Cancellations!I141&gt;Raw_Cancellations!G141+0.005,1,0))</f>
        <v>0</v>
      </c>
      <c r="E141" s="7">
        <f>IFERROR(DATEVALUE(LEFT(Raw_Cancellations!C141,10))+TIMEVALUE(MID(Raw_Cancellations!C141,12,8)),"")</f>
        <v>46156.677083333336</v>
      </c>
      <c r="F141" s="7">
        <f>IFERROR(MATCH(Raw_Cancellations!B141,Work_Bookings!$A$2:$A$648,0),0)</f>
        <v>555</v>
      </c>
      <c r="G141" s="7">
        <f>IF(F141=0,"",INDEX(Work_Bookings!$M$2:$M$648,F141))</f>
        <v>46153.418645833335</v>
      </c>
      <c r="H141" s="7">
        <f>IF(F141=0,0,IF(OR(INDEX(Work_Bookings!$L$2:$L$648,F141)=1,INDEX(Work_Bookings!$K$2:$K$648,F141)=1,INDEX(Work_Bookings!$N$2:$N$648,F141)=1,COUNTIFS(Work_Passengers!$B$2:$B$1336,Raw_Cancellations!B141,Work_Passengers!$L$2:$L$1336,1)&gt;0),1,0))</f>
        <v>0</v>
      </c>
      <c r="I141" s="7">
        <f>IF(OR(B141=1,C141=1,H141=1),0,IF(AND(ISNUMBER(E141),ISNUMBER(G141)),IF(E141&lt;G141,1,0),0))</f>
        <v>0</v>
      </c>
    </row>
    <row r="142" spans="1:9">
      <c r="A142" s="7">
        <f>Raw_Cancellations!A142</f>
        <v>37107</v>
      </c>
      <c r="B142" s="7">
        <f>IF(COUNTIF(Raw_Cancellations!$A$2:A142,Raw_Cancellations!A142)&gt;1,1,0)</f>
        <v>0</v>
      </c>
      <c r="C142" s="7">
        <f>IF(COUNTIF(Raw_Bookings!$A$2:$A$648,Raw_Cancellations!B142)=0,1,0)</f>
        <v>0</v>
      </c>
      <c r="D142" s="7">
        <f>IF(OR(B142=1,C142=1),0,IF(Raw_Cancellations!I142&gt;Raw_Cancellations!G142+0.005,1,0))</f>
        <v>0</v>
      </c>
      <c r="E142" s="7">
        <f>IFERROR(DATEVALUE(LEFT(Raw_Cancellations!C142,10))+TIMEVALUE(MID(Raw_Cancellations!C142,12,8)),"")</f>
        <v>46156.78768518518</v>
      </c>
      <c r="F142" s="7">
        <f>IFERROR(MATCH(Raw_Cancellations!B142,Work_Bookings!$A$2:$A$648,0),0)</f>
        <v>461</v>
      </c>
      <c r="G142" s="7">
        <f>IF(F142=0,"",INDEX(Work_Bookings!$M$2:$M$648,F142))</f>
        <v>46069.35303240741</v>
      </c>
      <c r="H142" s="7">
        <f>IF(F142=0,0,IF(OR(INDEX(Work_Bookings!$L$2:$L$648,F142)=1,INDEX(Work_Bookings!$K$2:$K$648,F142)=1,INDEX(Work_Bookings!$N$2:$N$648,F142)=1,COUNTIFS(Work_Passengers!$B$2:$B$1336,Raw_Cancellations!B142,Work_Passengers!$L$2:$L$1336,1)&gt;0),1,0))</f>
        <v>0</v>
      </c>
      <c r="I142" s="7">
        <f>IF(OR(B142=1,C142=1,H142=1),0,IF(AND(ISNUMBER(E142),ISNUMBER(G142)),IF(E142&lt;G142,1,0),0))</f>
        <v>0</v>
      </c>
    </row>
    <row r="143" spans="1:9">
      <c r="A143" s="7">
        <f>Raw_Cancellations!A143</f>
        <v>37291</v>
      </c>
      <c r="B143" s="7">
        <f>IF(COUNTIF(Raw_Cancellations!$A$2:A143,Raw_Cancellations!A143)&gt;1,1,0)</f>
        <v>0</v>
      </c>
      <c r="C143" s="7">
        <f>IF(COUNTIF(Raw_Bookings!$A$2:$A$648,Raw_Cancellations!B143)=0,1,0)</f>
        <v>0</v>
      </c>
      <c r="D143" s="7">
        <f>IF(OR(B143=1,C143=1),0,IF(Raw_Cancellations!I143&gt;Raw_Cancellations!G143+0.005,1,0))</f>
        <v>0</v>
      </c>
      <c r="E143" s="7">
        <f>IFERROR(DATEVALUE(LEFT(Raw_Cancellations!C143,10))+TIMEVALUE(MID(Raw_Cancellations!C143,12,8)),"")</f>
        <v>46157.677083333336</v>
      </c>
      <c r="F143" s="7">
        <f>IFERROR(MATCH(Raw_Cancellations!B143,Work_Bookings!$A$2:$A$648,0),0)</f>
        <v>562</v>
      </c>
      <c r="G143" s="7">
        <f>IF(F143=0,"",INDEX(Work_Bookings!$M$2:$M$648,F143))</f>
        <v>46156.787152777775</v>
      </c>
      <c r="H143" s="7">
        <f>IF(F143=0,0,IF(OR(INDEX(Work_Bookings!$L$2:$L$648,F143)=1,INDEX(Work_Bookings!$K$2:$K$648,F143)=1,INDEX(Work_Bookings!$N$2:$N$648,F143)=1,COUNTIFS(Work_Passengers!$B$2:$B$1336,Raw_Cancellations!B143,Work_Passengers!$L$2:$L$1336,1)&gt;0),1,0))</f>
        <v>0</v>
      </c>
      <c r="I143" s="7">
        <f>IF(OR(B143=1,C143=1,H143=1),0,IF(AND(ISNUMBER(E143),ISNUMBER(G143)),IF(E143&lt;G143,1,0),0))</f>
        <v>0</v>
      </c>
    </row>
    <row r="144" spans="1:9">
      <c r="A144" s="7">
        <f>Raw_Cancellations!A144</f>
        <v>38099</v>
      </c>
      <c r="B144" s="7">
        <f>IF(COUNTIF(Raw_Cancellations!$A$2:A144,Raw_Cancellations!A144)&gt;1,1,0)</f>
        <v>0</v>
      </c>
      <c r="C144" s="7">
        <f>IF(COUNTIF(Raw_Bookings!$A$2:$A$648,Raw_Cancellations!B144)=0,1,0)</f>
        <v>0</v>
      </c>
      <c r="D144" s="7">
        <f>IF(OR(B144=1,C144=1),0,IF(Raw_Cancellations!I144&gt;Raw_Cancellations!G144+0.005,1,0))</f>
        <v>0</v>
      </c>
      <c r="E144" s="7">
        <f>IFERROR(DATEVALUE(LEFT(Raw_Cancellations!C144,10))+TIMEVALUE(MID(Raw_Cancellations!C144,12,8)),"")</f>
        <v>46163.666666666664</v>
      </c>
      <c r="F144" s="7">
        <f>IFERROR(MATCH(Raw_Cancellations!B144,Work_Bookings!$A$2:$A$648,0),0)</f>
        <v>564</v>
      </c>
      <c r="G144" s="7">
        <f>IF(F144=0,"",INDEX(Work_Bookings!$M$2:$M$648,F144))</f>
        <v>46160.55613425926</v>
      </c>
      <c r="H144" s="7">
        <f>IF(F144=0,0,IF(OR(INDEX(Work_Bookings!$L$2:$L$648,F144)=1,INDEX(Work_Bookings!$K$2:$K$648,F144)=1,INDEX(Work_Bookings!$N$2:$N$648,F144)=1,COUNTIFS(Work_Passengers!$B$2:$B$1336,Raw_Cancellations!B144,Work_Passengers!$L$2:$L$1336,1)&gt;0),1,0))</f>
        <v>0</v>
      </c>
      <c r="I144" s="7">
        <f>IF(OR(B144=1,C144=1,H144=1),0,IF(AND(ISNUMBER(E144),ISNUMBER(G144)),IF(E144&lt;G144,1,0),0))</f>
        <v>0</v>
      </c>
    </row>
    <row r="145" spans="1:9">
      <c r="A145" s="7">
        <f>Raw_Cancellations!A145</f>
        <v>38236</v>
      </c>
      <c r="B145" s="7">
        <f>IF(COUNTIF(Raw_Cancellations!$A$2:A145,Raw_Cancellations!A145)&gt;1,1,0)</f>
        <v>0</v>
      </c>
      <c r="C145" s="7">
        <f>IF(COUNTIF(Raw_Bookings!$A$2:$A$648,Raw_Cancellations!B145)=0,1,0)</f>
        <v>0</v>
      </c>
      <c r="D145" s="7">
        <f>IF(OR(B145=1,C145=1),0,IF(Raw_Cancellations!I145&gt;Raw_Cancellations!G145+0.005,1,0))</f>
        <v>1</v>
      </c>
      <c r="E145" s="7">
        <f>IFERROR(DATEVALUE(LEFT(Raw_Cancellations!C145,10))+TIMEVALUE(MID(Raw_Cancellations!C145,12,8)),"")</f>
        <v>46164.81271990741</v>
      </c>
      <c r="F145" s="7">
        <f>IFERROR(MATCH(Raw_Cancellations!B145,Work_Bookings!$A$2:$A$648,0),0)</f>
        <v>528</v>
      </c>
      <c r="G145" s="7">
        <f>IF(F145=0,"",INDEX(Work_Bookings!$M$2:$M$648,F145))</f>
        <v>46129.42822916667</v>
      </c>
      <c r="H145" s="7">
        <f>IF(F145=0,0,IF(OR(INDEX(Work_Bookings!$L$2:$L$648,F145)=1,INDEX(Work_Bookings!$K$2:$K$648,F145)=1,INDEX(Work_Bookings!$N$2:$N$648,F145)=1,COUNTIFS(Work_Passengers!$B$2:$B$1336,Raw_Cancellations!B145,Work_Passengers!$L$2:$L$1336,1)&gt;0),1,0))</f>
        <v>0</v>
      </c>
      <c r="I145" s="7">
        <f>IF(OR(B145=1,C145=1,H145=1),0,IF(AND(ISNUMBER(E145),ISNUMBER(G145)),IF(E145&lt;G145,1,0),0))</f>
        <v>0</v>
      </c>
    </row>
    <row r="146" spans="1:9">
      <c r="A146" s="7">
        <f>Raw_Cancellations!A146</f>
        <v>38361</v>
      </c>
      <c r="B146" s="7">
        <f>IF(COUNTIF(Raw_Cancellations!$A$2:A146,Raw_Cancellations!A146)&gt;1,1,0)</f>
        <v>0</v>
      </c>
      <c r="C146" s="7">
        <f>IF(COUNTIF(Raw_Bookings!$A$2:$A$648,Raw_Cancellations!B146)=0,1,0)</f>
        <v>0</v>
      </c>
      <c r="D146" s="7">
        <f>IF(OR(B146=1,C146=1),0,IF(Raw_Cancellations!I146&gt;Raw_Cancellations!G146+0.005,1,0))</f>
        <v>0</v>
      </c>
      <c r="E146" s="7">
        <f>IFERROR(DATEVALUE(LEFT(Raw_Cancellations!C146,10))+TIMEVALUE(MID(Raw_Cancellations!C146,12,8)),"")</f>
        <v>46167.26950231481</v>
      </c>
      <c r="F146" s="7">
        <f>IFERROR(MATCH(Raw_Cancellations!B146,Work_Bookings!$A$2:$A$648,0),0)</f>
        <v>565</v>
      </c>
      <c r="G146" s="7">
        <f>IF(F146=0,"",INDEX(Work_Bookings!$M$2:$M$648,F146))</f>
        <v>46162.758472222224</v>
      </c>
      <c r="H146" s="7">
        <f>IF(F146=0,0,IF(OR(INDEX(Work_Bookings!$L$2:$L$648,F146)=1,INDEX(Work_Bookings!$K$2:$K$648,F146)=1,INDEX(Work_Bookings!$N$2:$N$648,F146)=1,COUNTIFS(Work_Passengers!$B$2:$B$1336,Raw_Cancellations!B146,Work_Passengers!$L$2:$L$1336,1)&gt;0),1,0))</f>
        <v>0</v>
      </c>
      <c r="I146" s="7">
        <f>IF(OR(B146=1,C146=1,H146=1),0,IF(AND(ISNUMBER(E146),ISNUMBER(G146)),IF(E146&lt;G146,1,0),0))</f>
        <v>0</v>
      </c>
    </row>
    <row r="147" spans="1:9">
      <c r="A147" s="7">
        <f>Raw_Cancellations!A147</f>
        <v>38680</v>
      </c>
      <c r="B147" s="7">
        <f>IF(COUNTIF(Raw_Cancellations!$A$2:A147,Raw_Cancellations!A147)&gt;1,1,0)</f>
        <v>0</v>
      </c>
      <c r="C147" s="7">
        <f>IF(COUNTIF(Raw_Bookings!$A$2:$A$648,Raw_Cancellations!B147)=0,1,0)</f>
        <v>0</v>
      </c>
      <c r="D147" s="7">
        <f>IF(OR(B147=1,C147=1),0,IF(Raw_Cancellations!I147&gt;Raw_Cancellations!G147+0.005,1,0))</f>
        <v>0</v>
      </c>
      <c r="E147" s="7">
        <f>IFERROR(DATEVALUE(LEFT(Raw_Cancellations!C147,10))+TIMEVALUE(MID(Raw_Cancellations!C147,12,8)),"")</f>
        <v>46169.729166666664</v>
      </c>
      <c r="F147" s="7">
        <f>IFERROR(MATCH(Raw_Cancellations!B147,Work_Bookings!$A$2:$A$648,0),0)</f>
        <v>553</v>
      </c>
      <c r="G147" s="7">
        <f>IF(F147=0,"",INDEX(Work_Bookings!$M$2:$M$648,F147))</f>
        <v>46152.75247685185</v>
      </c>
      <c r="H147" s="7">
        <f>IF(F147=0,0,IF(OR(INDEX(Work_Bookings!$L$2:$L$648,F147)=1,INDEX(Work_Bookings!$K$2:$K$648,F147)=1,INDEX(Work_Bookings!$N$2:$N$648,F147)=1,COUNTIFS(Work_Passengers!$B$2:$B$1336,Raw_Cancellations!B147,Work_Passengers!$L$2:$L$1336,1)&gt;0),1,0))</f>
        <v>0</v>
      </c>
      <c r="I147" s="7">
        <f>IF(OR(B147=1,C147=1,H147=1),0,IF(AND(ISNUMBER(E147),ISNUMBER(G147)),IF(E147&lt;G147,1,0),0))</f>
        <v>0</v>
      </c>
    </row>
    <row r="148" spans="1:9">
      <c r="A148" s="7">
        <f>Raw_Cancellations!A148</f>
        <v>39229</v>
      </c>
      <c r="B148" s="7">
        <f>IF(COUNTIF(Raw_Cancellations!$A$2:A148,Raw_Cancellations!A148)&gt;1,1,0)</f>
        <v>0</v>
      </c>
      <c r="C148" s="7">
        <f>IF(COUNTIF(Raw_Bookings!$A$2:$A$648,Raw_Cancellations!B148)=0,1,0)</f>
        <v>0</v>
      </c>
      <c r="D148" s="7">
        <f>IF(OR(B148=1,C148=1),0,IF(Raw_Cancellations!I148&gt;Raw_Cancellations!G148+0.005,1,0))</f>
        <v>0</v>
      </c>
      <c r="E148" s="7">
        <f>IFERROR(DATEVALUE(LEFT(Raw_Cancellations!C148,10))+TIMEVALUE(MID(Raw_Cancellations!C148,12,8)),"")</f>
        <v>46173.635416666664</v>
      </c>
      <c r="F148" s="7">
        <f>IFERROR(MATCH(Raw_Cancellations!B148,Work_Bookings!$A$2:$A$648,0),0)</f>
        <v>560</v>
      </c>
      <c r="G148" s="7">
        <f>IF(F148=0,"",INDEX(Work_Bookings!$M$2:$M$648,F148))</f>
        <v>46156.30525462963</v>
      </c>
      <c r="H148" s="7">
        <f>IF(F148=0,0,IF(OR(INDEX(Work_Bookings!$L$2:$L$648,F148)=1,INDEX(Work_Bookings!$K$2:$K$648,F148)=1,INDEX(Work_Bookings!$N$2:$N$648,F148)=1,COUNTIFS(Work_Passengers!$B$2:$B$1336,Raw_Cancellations!B148,Work_Passengers!$L$2:$L$1336,1)&gt;0),1,0))</f>
        <v>0</v>
      </c>
      <c r="I148" s="7">
        <f>IF(OR(B148=1,C148=1,H148=1),0,IF(AND(ISNUMBER(E148),ISNUMBER(G148)),IF(E148&lt;G148,1,0),0))</f>
        <v>0</v>
      </c>
    </row>
    <row r="149" spans="1:9">
      <c r="A149" s="7">
        <f>Raw_Cancellations!A149</f>
        <v>39595</v>
      </c>
      <c r="B149" s="7">
        <f>IF(COUNTIF(Raw_Cancellations!$A$2:A149,Raw_Cancellations!A149)&gt;1,1,0)</f>
        <v>0</v>
      </c>
      <c r="C149" s="7">
        <f>IF(COUNTIF(Raw_Bookings!$A$2:$A$648,Raw_Cancellations!B149)=0,1,0)</f>
        <v>0</v>
      </c>
      <c r="D149" s="7">
        <f>IF(OR(B149=1,C149=1),0,IF(Raw_Cancellations!I149&gt;Raw_Cancellations!G149+0.005,1,0))</f>
        <v>0</v>
      </c>
      <c r="E149" s="7">
        <f>IFERROR(DATEVALUE(LEFT(Raw_Cancellations!C149,10))+TIMEVALUE(MID(Raw_Cancellations!C149,12,8)),"")</f>
        <v>46176.677083333336</v>
      </c>
      <c r="F149" s="7">
        <f>IFERROR(MATCH(Raw_Cancellations!B149,Work_Bookings!$A$2:$A$648,0),0)</f>
        <v>572</v>
      </c>
      <c r="G149" s="7">
        <f>IF(F149=0,"",INDEX(Work_Bookings!$M$2:$M$648,F149))</f>
        <v>46166.64971064815</v>
      </c>
      <c r="H149" s="7">
        <f>IF(F149=0,0,IF(OR(INDEX(Work_Bookings!$L$2:$L$648,F149)=1,INDEX(Work_Bookings!$K$2:$K$648,F149)=1,INDEX(Work_Bookings!$N$2:$N$648,F149)=1,COUNTIFS(Work_Passengers!$B$2:$B$1336,Raw_Cancellations!B149,Work_Passengers!$L$2:$L$1336,1)&gt;0),1,0))</f>
        <v>0</v>
      </c>
      <c r="I149" s="7">
        <f>IF(OR(B149=1,C149=1,H149=1),0,IF(AND(ISNUMBER(E149),ISNUMBER(G149)),IF(E149&lt;G149,1,0),0))</f>
        <v>0</v>
      </c>
    </row>
    <row r="150" spans="1:9">
      <c r="A150" s="7">
        <f>Raw_Cancellations!A150</f>
        <v>39683</v>
      </c>
      <c r="B150" s="7">
        <f>IF(COUNTIF(Raw_Cancellations!$A$2:A150,Raw_Cancellations!A150)&gt;1,1,0)</f>
        <v>0</v>
      </c>
      <c r="C150" s="7">
        <f>IF(COUNTIF(Raw_Bookings!$A$2:$A$648,Raw_Cancellations!B150)=0,1,0)</f>
        <v>0</v>
      </c>
      <c r="D150" s="7">
        <f>IF(OR(B150=1,C150=1),0,IF(Raw_Cancellations!I150&gt;Raw_Cancellations!G150+0.005,1,0))</f>
        <v>0</v>
      </c>
      <c r="E150" s="7">
        <f>IFERROR(DATEVALUE(LEFT(Raw_Cancellations!C150,10))+TIMEVALUE(MID(Raw_Cancellations!C150,12,8)),"")</f>
        <v>46176.760416666664</v>
      </c>
      <c r="F150" s="7">
        <f>IFERROR(MATCH(Raw_Cancellations!B150,Work_Bookings!$A$2:$A$648,0),0)</f>
        <v>582</v>
      </c>
      <c r="G150" s="7">
        <f>IF(F150=0,"",INDEX(Work_Bookings!$M$2:$M$648,F150))</f>
        <v>46174.74234953704</v>
      </c>
      <c r="H150" s="7">
        <f>IF(F150=0,0,IF(OR(INDEX(Work_Bookings!$L$2:$L$648,F150)=1,INDEX(Work_Bookings!$K$2:$K$648,F150)=1,INDEX(Work_Bookings!$N$2:$N$648,F150)=1,COUNTIFS(Work_Passengers!$B$2:$B$1336,Raw_Cancellations!B150,Work_Passengers!$L$2:$L$1336,1)&gt;0),1,0))</f>
        <v>0</v>
      </c>
      <c r="I150" s="7">
        <f>IF(OR(B150=1,C150=1,H150=1),0,IF(AND(ISNUMBER(E150),ISNUMBER(G150)),IF(E150&lt;G150,1,0),0))</f>
        <v>0</v>
      </c>
    </row>
    <row r="151" spans="1:9">
      <c r="A151" s="7">
        <f>Raw_Cancellations!A151</f>
        <v>39789</v>
      </c>
      <c r="B151" s="7">
        <f>IF(COUNTIF(Raw_Cancellations!$A$2:A151,Raw_Cancellations!A151)&gt;1,1,0)</f>
        <v>0</v>
      </c>
      <c r="C151" s="7">
        <f>IF(COUNTIF(Raw_Bookings!$A$2:$A$648,Raw_Cancellations!B151)=0,1,0)</f>
        <v>0</v>
      </c>
      <c r="D151" s="7">
        <f>IF(OR(B151=1,C151=1),0,IF(Raw_Cancellations!I151&gt;Raw_Cancellations!G151+0.005,1,0))</f>
        <v>0</v>
      </c>
      <c r="E151" s="7">
        <f>IFERROR(DATEVALUE(LEFT(Raw_Cancellations!C151,10))+TIMEVALUE(MID(Raw_Cancellations!C151,12,8)),"")</f>
        <v>46177.158171296294</v>
      </c>
      <c r="F151" s="7">
        <f>IFERROR(MATCH(Raw_Cancellations!B151,Work_Bookings!$A$2:$A$648,0),0)</f>
        <v>575</v>
      </c>
      <c r="G151" s="7">
        <f>IF(F151=0,"",INDEX(Work_Bookings!$M$2:$M$648,F151))</f>
        <v>46169.486875</v>
      </c>
      <c r="H151" s="7">
        <f>IF(F151=0,0,IF(OR(INDEX(Work_Bookings!$L$2:$L$648,F151)=1,INDEX(Work_Bookings!$K$2:$K$648,F151)=1,INDEX(Work_Bookings!$N$2:$N$648,F151)=1,COUNTIFS(Work_Passengers!$B$2:$B$1336,Raw_Cancellations!B151,Work_Passengers!$L$2:$L$1336,1)&gt;0),1,0))</f>
        <v>0</v>
      </c>
      <c r="I151" s="7">
        <f>IF(OR(B151=1,C151=1,H151=1),0,IF(AND(ISNUMBER(E151),ISNUMBER(G151)),IF(E151&lt;G151,1,0),0))</f>
        <v>0</v>
      </c>
    </row>
    <row r="152" spans="1:9">
      <c r="A152" s="7">
        <f>Raw_Cancellations!A152</f>
        <v>40161</v>
      </c>
      <c r="B152" s="7">
        <f>IF(COUNTIF(Raw_Cancellations!$A$2:A152,Raw_Cancellations!A152)&gt;1,1,0)</f>
        <v>0</v>
      </c>
      <c r="C152" s="7">
        <f>IF(COUNTIF(Raw_Bookings!$A$2:$A$648,Raw_Cancellations!B152)=0,1,0)</f>
        <v>0</v>
      </c>
      <c r="D152" s="7">
        <f>IF(OR(B152=1,C152=1),0,IF(Raw_Cancellations!I152&gt;Raw_Cancellations!G152+0.005,1,0))</f>
        <v>0</v>
      </c>
      <c r="E152" s="7">
        <f>IFERROR(DATEVALUE(LEFT(Raw_Cancellations!C152,10))+TIMEVALUE(MID(Raw_Cancellations!C152,12,8)),"")</f>
        <v>46180.438101851854</v>
      </c>
      <c r="F152" s="7">
        <f>IFERROR(MATCH(Raw_Cancellations!B152,Work_Bookings!$A$2:$A$648,0),0)</f>
        <v>578</v>
      </c>
      <c r="G152" s="7">
        <f>IF(F152=0,"",INDEX(Work_Bookings!$M$2:$M$648,F152))</f>
        <v>46170.54023148148</v>
      </c>
      <c r="H152" s="7">
        <f>IF(F152=0,0,IF(OR(INDEX(Work_Bookings!$L$2:$L$648,F152)=1,INDEX(Work_Bookings!$K$2:$K$648,F152)=1,INDEX(Work_Bookings!$N$2:$N$648,F152)=1,COUNTIFS(Work_Passengers!$B$2:$B$1336,Raw_Cancellations!B152,Work_Passengers!$L$2:$L$1336,1)&gt;0),1,0))</f>
        <v>0</v>
      </c>
      <c r="I152" s="7">
        <f>IF(OR(B152=1,C152=1,H152=1),0,IF(AND(ISNUMBER(E152),ISNUMBER(G152)),IF(E152&lt;G152,1,0),0))</f>
        <v>0</v>
      </c>
    </row>
    <row r="153" spans="1:9">
      <c r="A153" s="7">
        <f>Raw_Cancellations!A153</f>
        <v>40573</v>
      </c>
      <c r="B153" s="7">
        <f>IF(COUNTIF(Raw_Cancellations!$A$2:A153,Raw_Cancellations!A153)&gt;1,1,0)</f>
        <v>0</v>
      </c>
      <c r="C153" s="7">
        <f>IF(COUNTIF(Raw_Bookings!$A$2:$A$648,Raw_Cancellations!B153)=0,1,0)</f>
        <v>0</v>
      </c>
      <c r="D153" s="7">
        <f>IF(OR(B153=1,C153=1),0,IF(Raw_Cancellations!I153&gt;Raw_Cancellations!G153+0.005,1,0))</f>
        <v>0</v>
      </c>
      <c r="E153" s="7">
        <f>IFERROR(DATEVALUE(LEFT(Raw_Cancellations!C153,10))+TIMEVALUE(MID(Raw_Cancellations!C153,12,8)),"")</f>
        <v>46188.739583333336</v>
      </c>
      <c r="F153" s="7">
        <f>IFERROR(MATCH(Raw_Cancellations!B153,Work_Bookings!$A$2:$A$648,0),0)</f>
        <v>588</v>
      </c>
      <c r="G153" s="7">
        <f>IF(F153=0,"",INDEX(Work_Bookings!$M$2:$M$648,F153))</f>
        <v>46178.734085648146</v>
      </c>
      <c r="H153" s="7">
        <f>IF(F153=0,0,IF(OR(INDEX(Work_Bookings!$L$2:$L$648,F153)=1,INDEX(Work_Bookings!$K$2:$K$648,F153)=1,INDEX(Work_Bookings!$N$2:$N$648,F153)=1,COUNTIFS(Work_Passengers!$B$2:$B$1336,Raw_Cancellations!B153,Work_Passengers!$L$2:$L$1336,1)&gt;0),1,0))</f>
        <v>0</v>
      </c>
      <c r="I153" s="7">
        <f>IF(OR(B153=1,C153=1,H153=1),0,IF(AND(ISNUMBER(E153),ISNUMBER(G153)),IF(E153&lt;G153,1,0),0))</f>
        <v>0</v>
      </c>
    </row>
    <row r="154" spans="1:9">
      <c r="A154" s="7">
        <f>Raw_Cancellations!A154</f>
        <v>40654</v>
      </c>
      <c r="B154" s="7">
        <f>IF(COUNTIF(Raw_Cancellations!$A$2:A154,Raw_Cancellations!A154)&gt;1,1,0)</f>
        <v>0</v>
      </c>
      <c r="C154" s="7">
        <f>IF(COUNTIF(Raw_Bookings!$A$2:$A$648,Raw_Cancellations!B154)=0,1,0)</f>
        <v>0</v>
      </c>
      <c r="D154" s="7">
        <f>IF(OR(B154=1,C154=1),0,IF(Raw_Cancellations!I154&gt;Raw_Cancellations!G154+0.005,1,0))</f>
        <v>0</v>
      </c>
      <c r="E154" s="7">
        <f>IFERROR(DATEVALUE(LEFT(Raw_Cancellations!C154,10))+TIMEVALUE(MID(Raw_Cancellations!C154,12,8)),"")</f>
        <v>46188.739583333336</v>
      </c>
      <c r="F154" s="7">
        <f>IFERROR(MATCH(Raw_Cancellations!B154,Work_Bookings!$A$2:$A$648,0),0)</f>
        <v>576</v>
      </c>
      <c r="G154" s="7">
        <f>IF(F154=0,"",INDEX(Work_Bookings!$M$2:$M$648,F154))</f>
        <v>46169.66079861111</v>
      </c>
      <c r="H154" s="7">
        <f>IF(F154=0,0,IF(OR(INDEX(Work_Bookings!$L$2:$L$648,F154)=1,INDEX(Work_Bookings!$K$2:$K$648,F154)=1,INDEX(Work_Bookings!$N$2:$N$648,F154)=1,COUNTIFS(Work_Passengers!$B$2:$B$1336,Raw_Cancellations!B154,Work_Passengers!$L$2:$L$1336,1)&gt;0),1,0))</f>
        <v>0</v>
      </c>
      <c r="I154" s="7">
        <f>IF(OR(B154=1,C154=1,H154=1),0,IF(AND(ISNUMBER(E154),ISNUMBER(G154)),IF(E154&lt;G154,1,0),0))</f>
        <v>0</v>
      </c>
    </row>
    <row r="155" spans="1:9">
      <c r="A155" s="7">
        <f>Raw_Cancellations!A155</f>
        <v>41398</v>
      </c>
      <c r="B155" s="7">
        <f>IF(COUNTIF(Raw_Cancellations!$A$2:A155,Raw_Cancellations!A155)&gt;1,1,0)</f>
        <v>0</v>
      </c>
      <c r="C155" s="7">
        <f>IF(COUNTIF(Raw_Bookings!$A$2:$A$648,Raw_Cancellations!B155)=0,1,0)</f>
        <v>0</v>
      </c>
      <c r="D155" s="7">
        <f>IF(OR(B155=1,C155=1),0,IF(Raw_Cancellations!I155&gt;Raw_Cancellations!G155+0.005,1,0))</f>
        <v>0</v>
      </c>
      <c r="E155" s="7">
        <f>IFERROR(DATEVALUE(LEFT(Raw_Cancellations!C155,10))+TIMEVALUE(MID(Raw_Cancellations!C155,12,8)),"")</f>
        <v>46206.41504629629</v>
      </c>
      <c r="F155" s="7">
        <f>IFERROR(MATCH(Raw_Cancellations!B155,Work_Bookings!$A$2:$A$648,0),0)</f>
        <v>517</v>
      </c>
      <c r="G155" s="7">
        <f>IF(F155=0,"",INDEX(Work_Bookings!$M$2:$M$648,F155))</f>
        <v>46122.4693287037</v>
      </c>
      <c r="H155" s="7">
        <f>IF(F155=0,0,IF(OR(INDEX(Work_Bookings!$L$2:$L$648,F155)=1,INDEX(Work_Bookings!$K$2:$K$648,F155)=1,INDEX(Work_Bookings!$N$2:$N$648,F155)=1,COUNTIFS(Work_Passengers!$B$2:$B$1336,Raw_Cancellations!B155,Work_Passengers!$L$2:$L$1336,1)&gt;0),1,0))</f>
        <v>0</v>
      </c>
      <c r="I155" s="7">
        <f>IF(OR(B155=1,C155=1,H155=1),0,IF(AND(ISNUMBER(E155),ISNUMBER(G155)),IF(E155&lt;G155,1,0),0))</f>
        <v>0</v>
      </c>
    </row>
    <row r="156" spans="1:9">
      <c r="A156" s="7">
        <f>Raw_Cancellations!A156</f>
        <v>41430</v>
      </c>
      <c r="B156" s="7">
        <f>IF(COUNTIF(Raw_Cancellations!$A$2:A156,Raw_Cancellations!A156)&gt;1,1,0)</f>
        <v>0</v>
      </c>
      <c r="C156" s="7">
        <f>IF(COUNTIF(Raw_Bookings!$A$2:$A$648,Raw_Cancellations!B156)=0,1,0)</f>
        <v>0</v>
      </c>
      <c r="D156" s="7">
        <f>IF(OR(B156=1,C156=1),0,IF(Raw_Cancellations!I156&gt;Raw_Cancellations!G156+0.005,1,0))</f>
        <v>0</v>
      </c>
      <c r="E156" s="7">
        <f>IFERROR(DATEVALUE(LEFT(Raw_Cancellations!C156,10))+TIMEVALUE(MID(Raw_Cancellations!C156,12,8)),"")</f>
        <v>46203.89462962963</v>
      </c>
      <c r="F156" s="7">
        <f>IFERROR(MATCH(Raw_Cancellations!B156,Work_Bookings!$A$2:$A$648,0),0)</f>
        <v>603</v>
      </c>
      <c r="G156" s="7">
        <f>IF(F156=0,"",INDEX(Work_Bookings!$M$2:$M$648,F156))</f>
        <v>46204.22796296296</v>
      </c>
      <c r="H156" s="7">
        <f>IF(F156=0,0,IF(OR(INDEX(Work_Bookings!$L$2:$L$648,F156)=1,INDEX(Work_Bookings!$K$2:$K$648,F156)=1,INDEX(Work_Bookings!$N$2:$N$648,F156)=1,COUNTIFS(Work_Passengers!$B$2:$B$1336,Raw_Cancellations!B156,Work_Passengers!$L$2:$L$1336,1)&gt;0),1,0))</f>
        <v>0</v>
      </c>
      <c r="I156" s="7">
        <f>IF(OR(B156=1,C156=1,H156=1),0,IF(AND(ISNUMBER(E156),ISNUMBER(G156)),IF(E156&lt;G156,1,0),0))</f>
        <v>1</v>
      </c>
    </row>
    <row r="157" spans="1:9">
      <c r="A157" s="7">
        <f>Raw_Cancellations!A157</f>
        <v>41986</v>
      </c>
      <c r="B157" s="7">
        <f>IF(COUNTIF(Raw_Cancellations!$A$2:A157,Raw_Cancellations!A157)&gt;1,1,0)</f>
        <v>0</v>
      </c>
      <c r="C157" s="7">
        <f>IF(COUNTIF(Raw_Bookings!$A$2:$A$648,Raw_Cancellations!B157)=0,1,0)</f>
        <v>0</v>
      </c>
      <c r="D157" s="7">
        <f>IF(OR(B157=1,C157=1),0,IF(Raw_Cancellations!I157&gt;Raw_Cancellations!G157+0.005,1,0))</f>
        <v>0</v>
      </c>
      <c r="E157" s="7">
        <f>IFERROR(DATEVALUE(LEFT(Raw_Cancellations!C157,10))+TIMEVALUE(MID(Raw_Cancellations!C157,12,8)),"")</f>
        <v>46217.89019675926</v>
      </c>
      <c r="F157" s="7">
        <f>IFERROR(MATCH(Raw_Cancellations!B157,Work_Bookings!$A$2:$A$648,0),0)</f>
        <v>602</v>
      </c>
      <c r="G157" s="7">
        <f>IF(F157=0,"",INDEX(Work_Bookings!$M$2:$M$648,F157))</f>
        <v>46200.61548611111</v>
      </c>
      <c r="H157" s="7">
        <f>IF(F157=0,0,IF(OR(INDEX(Work_Bookings!$L$2:$L$648,F157)=1,INDEX(Work_Bookings!$K$2:$K$648,F157)=1,INDEX(Work_Bookings!$N$2:$N$648,F157)=1,COUNTIFS(Work_Passengers!$B$2:$B$1336,Raw_Cancellations!B157,Work_Passengers!$L$2:$L$1336,1)&gt;0),1,0))</f>
        <v>0</v>
      </c>
      <c r="I157" s="7">
        <f>IF(OR(B157=1,C157=1,H157=1),0,IF(AND(ISNUMBER(E157),ISNUMBER(G157)),IF(E157&lt;G157,1,0),0))</f>
        <v>0</v>
      </c>
    </row>
    <row r="158" spans="1:9">
      <c r="A158" s="7">
        <f>Raw_Cancellations!A158</f>
        <v>42060</v>
      </c>
      <c r="B158" s="7">
        <f>IF(COUNTIF(Raw_Cancellations!$A$2:A158,Raw_Cancellations!A158)&gt;1,1,0)</f>
        <v>0</v>
      </c>
      <c r="C158" s="7">
        <f>IF(COUNTIF(Raw_Bookings!$A$2:$A$648,Raw_Cancellations!B158)=0,1,0)</f>
        <v>0</v>
      </c>
      <c r="D158" s="7">
        <f>IF(OR(B158=1,C158=1),0,IF(Raw_Cancellations!I158&gt;Raw_Cancellations!G158+0.005,1,0))</f>
        <v>0</v>
      </c>
      <c r="E158" s="7">
        <f>IFERROR(DATEVALUE(LEFT(Raw_Cancellations!C158,10))+TIMEVALUE(MID(Raw_Cancellations!C158,12,8)),"")</f>
        <v>46219.057222222225</v>
      </c>
      <c r="F158" s="7">
        <f>IFERROR(MATCH(Raw_Cancellations!B158,Work_Bookings!$A$2:$A$648,0),0)</f>
        <v>591</v>
      </c>
      <c r="G158" s="7">
        <f>IF(F158=0,"",INDEX(Work_Bookings!$M$2:$M$648,F158))</f>
        <v>46186.77364583333</v>
      </c>
      <c r="H158" s="7">
        <f>IF(F158=0,0,IF(OR(INDEX(Work_Bookings!$L$2:$L$648,F158)=1,INDEX(Work_Bookings!$K$2:$K$648,F158)=1,INDEX(Work_Bookings!$N$2:$N$648,F158)=1,COUNTIFS(Work_Passengers!$B$2:$B$1336,Raw_Cancellations!B158,Work_Passengers!$L$2:$L$1336,1)&gt;0),1,0))</f>
        <v>0</v>
      </c>
      <c r="I158" s="7">
        <f>IF(OR(B158=1,C158=1,H158=1),0,IF(AND(ISNUMBER(E158),ISNUMBER(G158)),IF(E158&lt;G158,1,0),0))</f>
        <v>0</v>
      </c>
    </row>
    <row r="159" spans="1:9">
      <c r="A159" s="7">
        <f>Raw_Cancellations!A159</f>
        <v>42083</v>
      </c>
      <c r="B159" s="7">
        <f>IF(COUNTIF(Raw_Cancellations!$A$2:A159,Raw_Cancellations!A159)&gt;1,1,0)</f>
        <v>0</v>
      </c>
      <c r="C159" s="7">
        <f>IF(COUNTIF(Raw_Bookings!$A$2:$A$648,Raw_Cancellations!B159)=0,1,0)</f>
        <v>0</v>
      </c>
      <c r="D159" s="7">
        <f>IF(OR(B159=1,C159=1),0,IF(Raw_Cancellations!I159&gt;Raw_Cancellations!G159+0.005,1,0))</f>
        <v>0</v>
      </c>
      <c r="E159" s="7">
        <f>IFERROR(DATEVALUE(LEFT(Raw_Cancellations!C159,10))+TIMEVALUE(MID(Raw_Cancellations!C159,12,8)),"")</f>
        <v>46219.90724537037</v>
      </c>
      <c r="F159" s="7">
        <f>IFERROR(MATCH(Raw_Cancellations!B159,Work_Bookings!$A$2:$A$648,0),0)</f>
        <v>599</v>
      </c>
      <c r="G159" s="7">
        <f>IF(F159=0,"",INDEX(Work_Bookings!$M$2:$M$648,F159))</f>
        <v>46198.731354166666</v>
      </c>
      <c r="H159" s="7">
        <f>IF(F159=0,0,IF(OR(INDEX(Work_Bookings!$L$2:$L$648,F159)=1,INDEX(Work_Bookings!$K$2:$K$648,F159)=1,INDEX(Work_Bookings!$N$2:$N$648,F159)=1,COUNTIFS(Work_Passengers!$B$2:$B$1336,Raw_Cancellations!B159,Work_Passengers!$L$2:$L$1336,1)&gt;0),1,0))</f>
        <v>0</v>
      </c>
      <c r="I159" s="7">
        <f>IF(OR(B159=1,C159=1,H159=1),0,IF(AND(ISNUMBER(E159),ISNUMBER(G159)),IF(E159&lt;G159,1,0),0))</f>
        <v>0</v>
      </c>
    </row>
    <row r="160" spans="1:9">
      <c r="A160" s="7">
        <f>Raw_Cancellations!A160</f>
        <v>42212</v>
      </c>
      <c r="B160" s="7">
        <f>IF(COUNTIF(Raw_Cancellations!$A$2:A160,Raw_Cancellations!A160)&gt;1,1,0)</f>
        <v>0</v>
      </c>
      <c r="C160" s="7">
        <f>IF(COUNTIF(Raw_Bookings!$A$2:$A$648,Raw_Cancellations!B160)=0,1,0)</f>
        <v>0</v>
      </c>
      <c r="D160" s="7">
        <f>IF(OR(B160=1,C160=1),0,IF(Raw_Cancellations!I160&gt;Raw_Cancellations!G160+0.005,1,0))</f>
        <v>0</v>
      </c>
      <c r="E160" s="7">
        <f>IFERROR(DATEVALUE(LEFT(Raw_Cancellations!C160,10))+TIMEVALUE(MID(Raw_Cancellations!C160,12,8)),"")</f>
        <v>46223.146875</v>
      </c>
      <c r="F160" s="7">
        <f>IFERROR(MATCH(Raw_Cancellations!B160,Work_Bookings!$A$2:$A$648,0),0)</f>
        <v>612</v>
      </c>
      <c r="G160" s="7">
        <f>IF(F160=0,"",INDEX(Work_Bookings!$M$2:$M$648,F160))</f>
        <v>46216.92883101852</v>
      </c>
      <c r="H160" s="7">
        <f>IF(F160=0,0,IF(OR(INDEX(Work_Bookings!$L$2:$L$648,F160)=1,INDEX(Work_Bookings!$K$2:$K$648,F160)=1,INDEX(Work_Bookings!$N$2:$N$648,F160)=1,COUNTIFS(Work_Passengers!$B$2:$B$1336,Raw_Cancellations!B160,Work_Passengers!$L$2:$L$1336,1)&gt;0),1,0))</f>
        <v>0</v>
      </c>
      <c r="I160" s="7">
        <f>IF(OR(B160=1,C160=1,H160=1),0,IF(AND(ISNUMBER(E160),ISNUMBER(G160)),IF(E160&lt;G160,1,0),0))</f>
        <v>0</v>
      </c>
    </row>
    <row r="161" spans="1:9">
      <c r="A161" s="7">
        <f>Raw_Cancellations!A161</f>
        <v>42597</v>
      </c>
      <c r="B161" s="7">
        <f>IF(COUNTIF(Raw_Cancellations!$A$2:A161,Raw_Cancellations!A161)&gt;1,1,0)</f>
        <v>0</v>
      </c>
      <c r="C161" s="7">
        <f>IF(COUNTIF(Raw_Bookings!$A$2:$A$648,Raw_Cancellations!B161)=0,1,0)</f>
        <v>0</v>
      </c>
      <c r="D161" s="7">
        <f>IF(OR(B161=1,C161=1),0,IF(Raw_Cancellations!I161&gt;Raw_Cancellations!G161+0.005,1,0))</f>
        <v>0</v>
      </c>
      <c r="E161" s="7">
        <f>IFERROR(DATEVALUE(LEFT(Raw_Cancellations!C161,10))+TIMEVALUE(MID(Raw_Cancellations!C161,12,8)),"")</f>
        <v>46230.614583333336</v>
      </c>
      <c r="F161" s="7">
        <f>IFERROR(MATCH(Raw_Cancellations!B161,Work_Bookings!$A$2:$A$648,0),0)</f>
        <v>617</v>
      </c>
      <c r="G161" s="7">
        <f>IF(F161=0,"",INDEX(Work_Bookings!$M$2:$M$648,F161))</f>
        <v>46228.35936342592</v>
      </c>
      <c r="H161" s="7">
        <f>IF(F161=0,0,IF(OR(INDEX(Work_Bookings!$L$2:$L$648,F161)=1,INDEX(Work_Bookings!$K$2:$K$648,F161)=1,INDEX(Work_Bookings!$N$2:$N$648,F161)=1,COUNTIFS(Work_Passengers!$B$2:$B$1336,Raw_Cancellations!B161,Work_Passengers!$L$2:$L$1336,1)&gt;0),1,0))</f>
        <v>0</v>
      </c>
      <c r="I161" s="7">
        <f>IF(OR(B161=1,C161=1,H161=1),0,IF(AND(ISNUMBER(E161),ISNUMBER(G161)),IF(E161&lt;G161,1,0),0))</f>
        <v>0</v>
      </c>
    </row>
    <row r="162" spans="1:9">
      <c r="A162" s="7">
        <f>Raw_Cancellations!A162</f>
        <v>43054</v>
      </c>
      <c r="B162" s="7">
        <f>IF(COUNTIF(Raw_Cancellations!$A$2:A162,Raw_Cancellations!A162)&gt;1,1,0)</f>
        <v>0</v>
      </c>
      <c r="C162" s="7">
        <f>IF(COUNTIF(Raw_Bookings!$A$2:$A$648,Raw_Cancellations!B162)=0,1,0)</f>
        <v>0</v>
      </c>
      <c r="D162" s="7">
        <f>IF(OR(B162=1,C162=1),0,IF(Raw_Cancellations!I162&gt;Raw_Cancellations!G162+0.005,1,0))</f>
        <v>0</v>
      </c>
      <c r="E162" s="7">
        <f>IFERROR(DATEVALUE(LEFT(Raw_Cancellations!C162,10))+TIMEVALUE(MID(Raw_Cancellations!C162,12,8)),"")</f>
        <v>46237.677083333336</v>
      </c>
      <c r="F162" s="7">
        <f>IFERROR(MATCH(Raw_Cancellations!B162,Work_Bookings!$A$2:$A$648,0),0)</f>
        <v>619</v>
      </c>
      <c r="G162" s="7">
        <f>IF(F162=0,"",INDEX(Work_Bookings!$M$2:$M$648,F162))</f>
        <v>46230.482094907406</v>
      </c>
      <c r="H162" s="7">
        <f>IF(F162=0,0,IF(OR(INDEX(Work_Bookings!$L$2:$L$648,F162)=1,INDEX(Work_Bookings!$K$2:$K$648,F162)=1,INDEX(Work_Bookings!$N$2:$N$648,F162)=1,COUNTIFS(Work_Passengers!$B$2:$B$1336,Raw_Cancellations!B162,Work_Passengers!$L$2:$L$1336,1)&gt;0),1,0))</f>
        <v>0</v>
      </c>
      <c r="I162" s="7">
        <f>IF(OR(B162=1,C162=1,H162=1),0,IF(AND(ISNUMBER(E162),ISNUMBER(G162)),IF(E162&lt;G162,1,0),0))</f>
        <v>0</v>
      </c>
    </row>
    <row r="163" spans="1:9">
      <c r="A163" s="7">
        <f>Raw_Cancellations!A163</f>
        <v>43274</v>
      </c>
      <c r="B163" s="7">
        <f>IF(COUNTIF(Raw_Cancellations!$A$2:A163,Raw_Cancellations!A163)&gt;1,1,0)</f>
        <v>0</v>
      </c>
      <c r="C163" s="7">
        <f>IF(COUNTIF(Raw_Bookings!$A$2:$A$648,Raw_Cancellations!B163)=0,1,0)</f>
        <v>0</v>
      </c>
      <c r="D163" s="7">
        <f>IF(OR(B163=1,C163=1),0,IF(Raw_Cancellations!I163&gt;Raw_Cancellations!G163+0.005,1,0))</f>
        <v>0</v>
      </c>
      <c r="E163" s="7">
        <f>IFERROR(DATEVALUE(LEFT(Raw_Cancellations!C163,10))+TIMEVALUE(MID(Raw_Cancellations!C163,12,8)),"")</f>
        <v>46243.614583333336</v>
      </c>
      <c r="F163" s="7">
        <f>IFERROR(MATCH(Raw_Cancellations!B163,Work_Bookings!$A$2:$A$648,0),0)</f>
        <v>624</v>
      </c>
      <c r="G163" s="7">
        <f>IF(F163=0,"",INDEX(Work_Bookings!$M$2:$M$648,F163))</f>
        <v>46237.733761574076</v>
      </c>
      <c r="H163" s="7">
        <f>IF(F163=0,0,IF(OR(INDEX(Work_Bookings!$L$2:$L$648,F163)=1,INDEX(Work_Bookings!$K$2:$K$648,F163)=1,INDEX(Work_Bookings!$N$2:$N$648,F163)=1,COUNTIFS(Work_Passengers!$B$2:$B$1336,Raw_Cancellations!B163,Work_Passengers!$L$2:$L$1336,1)&gt;0),1,0))</f>
        <v>0</v>
      </c>
      <c r="I163" s="7">
        <f>IF(OR(B163=1,C163=1,H163=1),0,IF(AND(ISNUMBER(E163),ISNUMBER(G163)),IF(E163&lt;G163,1,0),0))</f>
        <v>0</v>
      </c>
    </row>
    <row r="164" spans="1:9">
      <c r="A164" s="7">
        <f>Raw_Cancellations!A164</f>
        <v>43433</v>
      </c>
      <c r="B164" s="7">
        <f>IF(COUNTIF(Raw_Cancellations!$A$2:A164,Raw_Cancellations!A164)&gt;1,1,0)</f>
        <v>0</v>
      </c>
      <c r="C164" s="7">
        <f>IF(COUNTIF(Raw_Bookings!$A$2:$A$648,Raw_Cancellations!B164)=0,1,0)</f>
        <v>0</v>
      </c>
      <c r="D164" s="7">
        <f>IF(OR(B164=1,C164=1),0,IF(Raw_Cancellations!I164&gt;Raw_Cancellations!G164+0.005,1,0))</f>
        <v>0</v>
      </c>
      <c r="E164" s="7">
        <f>IFERROR(DATEVALUE(LEFT(Raw_Cancellations!C164,10))+TIMEVALUE(MID(Raw_Cancellations!C164,12,8)),"")</f>
        <v>46248.41037037037</v>
      </c>
      <c r="F164" s="7">
        <f>IFERROR(MATCH(Raw_Cancellations!B164,Work_Bookings!$A$2:$A$648,0),0)</f>
        <v>632</v>
      </c>
      <c r="G164" s="7">
        <f>IF(F164=0,"",INDEX(Work_Bookings!$M$2:$M$648,F164))</f>
        <v>46247.26715277778</v>
      </c>
      <c r="H164" s="7">
        <f>IF(F164=0,0,IF(OR(INDEX(Work_Bookings!$L$2:$L$648,F164)=1,INDEX(Work_Bookings!$K$2:$K$648,F164)=1,INDEX(Work_Bookings!$N$2:$N$648,F164)=1,COUNTIFS(Work_Passengers!$B$2:$B$1336,Raw_Cancellations!B164,Work_Passengers!$L$2:$L$1336,1)&gt;0),1,0))</f>
        <v>0</v>
      </c>
      <c r="I164" s="7">
        <f>IF(OR(B164=1,C164=1,H164=1),0,IF(AND(ISNUMBER(E164),ISNUMBER(G164)),IF(E164&lt;G164,1,0),0))</f>
        <v>0</v>
      </c>
    </row>
    <row r="165" spans="1:9">
      <c r="A165" s="7">
        <f>Raw_Cancellations!A165</f>
        <v>43548</v>
      </c>
      <c r="B165" s="7">
        <f>IF(COUNTIF(Raw_Cancellations!$A$2:A165,Raw_Cancellations!A165)&gt;1,1,0)</f>
        <v>0</v>
      </c>
      <c r="C165" s="7">
        <f>IF(COUNTIF(Raw_Bookings!$A$2:$A$648,Raw_Cancellations!B165)=0,1,0)</f>
        <v>0</v>
      </c>
      <c r="D165" s="7">
        <f>IF(OR(B165=1,C165=1),0,IF(Raw_Cancellations!I165&gt;Raw_Cancellations!G165+0.005,1,0))</f>
        <v>0</v>
      </c>
      <c r="E165" s="7">
        <f>IFERROR(DATEVALUE(LEFT(Raw_Cancellations!C165,10))+TIMEVALUE(MID(Raw_Cancellations!C165,12,8)),"")</f>
        <v>46251.27307870371</v>
      </c>
      <c r="F165" s="7">
        <f>IFERROR(MATCH(Raw_Cancellations!B165,Work_Bookings!$A$2:$A$648,0),0)</f>
        <v>633</v>
      </c>
      <c r="G165" s="7">
        <f>IF(F165=0,"",INDEX(Work_Bookings!$M$2:$M$648,F165))</f>
        <v/>
      </c>
      <c r="H165" s="7">
        <f>IF(F165=0,0,IF(OR(INDEX(Work_Bookings!$L$2:$L$648,F165)=1,INDEX(Work_Bookings!$K$2:$K$648,F165)=1,INDEX(Work_Bookings!$N$2:$N$648,F165)=1,COUNTIFS(Work_Passengers!$B$2:$B$1336,Raw_Cancellations!B165,Work_Passengers!$L$2:$L$1336,1)&gt;0),1,0))</f>
        <v>1</v>
      </c>
      <c r="I165" s="7">
        <f>IF(OR(B165=1,C165=1,H165=1),0,IF(AND(ISNUMBER(E165),ISNUMBER(G165)),IF(E165&lt;G165,1,0),0))</f>
        <v>0</v>
      </c>
    </row>
    <row r="166" spans="1:9">
      <c r="A166" s="7">
        <f>Raw_Cancellations!A166</f>
        <v>43738</v>
      </c>
      <c r="B166" s="7">
        <f>IF(COUNTIF(Raw_Cancellations!$A$2:A166,Raw_Cancellations!A166)&gt;1,1,0)</f>
        <v>0</v>
      </c>
      <c r="C166" s="7">
        <f>IF(COUNTIF(Raw_Bookings!$A$2:$A$648,Raw_Cancellations!B166)=0,1,0)</f>
        <v>0</v>
      </c>
      <c r="D166" s="7">
        <f>IF(OR(B166=1,C166=1),0,IF(Raw_Cancellations!I166&gt;Raw_Cancellations!G166+0.005,1,0))</f>
        <v>0</v>
      </c>
      <c r="E166" s="7">
        <f>IFERROR(DATEVALUE(LEFT(Raw_Cancellations!C166,10))+TIMEVALUE(MID(Raw_Cancellations!C166,12,8)),"")</f>
        <v>46253.739583333336</v>
      </c>
      <c r="F166" s="7">
        <f>IFERROR(MATCH(Raw_Cancellations!B166,Work_Bookings!$A$2:$A$648,0),0)</f>
        <v>630</v>
      </c>
      <c r="G166" s="7">
        <f>IF(F166=0,"",INDEX(Work_Bookings!$M$2:$M$648,F166))</f>
        <v>46245.13334490741</v>
      </c>
      <c r="H166" s="7">
        <f>IF(F166=0,0,IF(OR(INDEX(Work_Bookings!$L$2:$L$648,F166)=1,INDEX(Work_Bookings!$K$2:$K$648,F166)=1,INDEX(Work_Bookings!$N$2:$N$648,F166)=1,COUNTIFS(Work_Passengers!$B$2:$B$1336,Raw_Cancellations!B166,Work_Passengers!$L$2:$L$1336,1)&gt;0),1,0))</f>
        <v>0</v>
      </c>
      <c r="I166" s="7">
        <f>IF(OR(B166=1,C166=1,H166=1),0,IF(AND(ISNUMBER(E166),ISNUMBER(G166)),IF(E166&lt;G166,1,0),0))</f>
        <v>0</v>
      </c>
    </row>
    <row r="167" spans="1:9">
      <c r="A167" s="7">
        <f>Raw_Cancellations!A167</f>
        <v>44096</v>
      </c>
      <c r="B167" s="7">
        <f>IF(COUNTIF(Raw_Cancellations!$A$2:A167,Raw_Cancellations!A167)&gt;1,1,0)</f>
        <v>0</v>
      </c>
      <c r="C167" s="7">
        <f>IF(COUNTIF(Raw_Bookings!$A$2:$A$648,Raw_Cancellations!B167)=0,1,0)</f>
        <v>0</v>
      </c>
      <c r="D167" s="7">
        <f>IF(OR(B167=1,C167=1),0,IF(Raw_Cancellations!I167&gt;Raw_Cancellations!G167+0.005,1,0))</f>
        <v>0</v>
      </c>
      <c r="E167" s="7">
        <f>IFERROR(DATEVALUE(LEFT(Raw_Cancellations!C167,10))+TIMEVALUE(MID(Raw_Cancellations!C167,12,8)),"")</f>
        <v>46265.527592592596</v>
      </c>
      <c r="F167" s="7">
        <f>IFERROR(MATCH(Raw_Cancellations!B167,Work_Bookings!$A$2:$A$648,0),0)</f>
        <v>637</v>
      </c>
      <c r="G167" s="7">
        <f>IF(F167=0,"",INDEX(Work_Bookings!$M$2:$M$648,F167))</f>
        <v>46262.399143518516</v>
      </c>
      <c r="H167" s="7">
        <f>IF(F167=0,0,IF(OR(INDEX(Work_Bookings!$L$2:$L$648,F167)=1,INDEX(Work_Bookings!$K$2:$K$648,F167)=1,INDEX(Work_Bookings!$N$2:$N$648,F167)=1,COUNTIFS(Work_Passengers!$B$2:$B$1336,Raw_Cancellations!B167,Work_Passengers!$L$2:$L$1336,1)&gt;0),1,0))</f>
        <v>0</v>
      </c>
      <c r="I167" s="7">
        <f>IF(OR(B167=1,C167=1,H167=1),0,IF(AND(ISNUMBER(E167),ISNUMBER(G167)),IF(E167&lt;G167,1,0),0))</f>
        <v>0</v>
      </c>
    </row>
    <row r="168" spans="1:9">
      <c r="A168" s="7">
        <f>Raw_Cancellations!A168</f>
        <v>28630</v>
      </c>
      <c r="B168" s="7">
        <f>IF(COUNTIF(Raw_Cancellations!$A$2:A168,Raw_Cancellations!A168)&gt;1,1,0)</f>
        <v>1</v>
      </c>
      <c r="C168" s="7">
        <f>IF(COUNTIF(Raw_Bookings!$A$2:$A$648,Raw_Cancellations!B168)=0,1,0)</f>
        <v>0</v>
      </c>
      <c r="D168" s="7">
        <f>IF(OR(B168=1,C168=1),0,IF(Raw_Cancellations!I168&gt;Raw_Cancellations!G168+0.005,1,0))</f>
        <v>0</v>
      </c>
      <c r="E168" s="7">
        <f>IFERROR(DATEVALUE(LEFT(Raw_Cancellations!C168,10))+TIMEVALUE(MID(Raw_Cancellations!C168,12,8)),"")</f>
        <v>46046.86185185185</v>
      </c>
      <c r="F168" s="7">
        <f>IFERROR(MATCH(Raw_Cancellations!B168,Work_Bookings!$A$2:$A$648,0),0)</f>
        <v>352</v>
      </c>
      <c r="G168" s="7">
        <f>IF(F168=0,"",INDEX(Work_Bookings!$M$2:$M$648,F168))</f>
        <v>45957.49359953704</v>
      </c>
      <c r="H168" s="7">
        <f>IF(F168=0,0,IF(OR(INDEX(Work_Bookings!$L$2:$L$648,F168)=1,INDEX(Work_Bookings!$K$2:$K$648,F168)=1,INDEX(Work_Bookings!$N$2:$N$648,F168)=1,COUNTIFS(Work_Passengers!$B$2:$B$1336,Raw_Cancellations!B168,Work_Passengers!$L$2:$L$1336,1)&gt;0),1,0))</f>
        <v>0</v>
      </c>
      <c r="I168" s="7">
        <f>IF(OR(B168=1,C168=1,H168=1),0,IF(AND(ISNUMBER(E168),ISNUMBER(G168)),IF(E168&lt;G168,1,0),0))</f>
        <v>0</v>
      </c>
    </row>
    <row r="169" spans="1:9">
      <c r="A169" s="7">
        <f>Raw_Cancellations!A169</f>
        <v>2032</v>
      </c>
      <c r="B169" s="7">
        <f>IF(COUNTIF(Raw_Cancellations!$A$2:A169,Raw_Cancellations!A169)&gt;1,1,0)</f>
        <v>1</v>
      </c>
      <c r="C169" s="7">
        <f>IF(COUNTIF(Raw_Bookings!$A$2:$A$648,Raw_Cancellations!B169)=0,1,0)</f>
        <v>0</v>
      </c>
      <c r="D169" s="7">
        <f>IF(OR(B169=1,C169=1),0,IF(Raw_Cancellations!I169&gt;Raw_Cancellations!G169+0.005,1,0))</f>
        <v>0</v>
      </c>
      <c r="E169" s="7">
        <f>IFERROR(DATEVALUE(LEFT(Raw_Cancellations!C169,10))+TIMEVALUE(MID(Raw_Cancellations!C169,12,8)),"")</f>
        <v>45576.800416666665</v>
      </c>
      <c r="F169" s="7">
        <f>IFERROR(MATCH(Raw_Cancellations!B169,Work_Bookings!$A$2:$A$648,0),0)</f>
        <v>45</v>
      </c>
      <c r="G169" s="7">
        <f>IF(F169=0,"",INDEX(Work_Bookings!$M$2:$M$648,F169))</f>
        <v>45566.44924768519</v>
      </c>
      <c r="H169" s="7">
        <f>IF(F169=0,0,IF(OR(INDEX(Work_Bookings!$L$2:$L$648,F169)=1,INDEX(Work_Bookings!$K$2:$K$648,F169)=1,INDEX(Work_Bookings!$N$2:$N$648,F169)=1,COUNTIFS(Work_Passengers!$B$2:$B$1336,Raw_Cancellations!B169,Work_Passengers!$L$2:$L$1336,1)&gt;0),1,0))</f>
        <v>0</v>
      </c>
      <c r="I169" s="7">
        <f>IF(OR(B169=1,C169=1,H169=1),0,IF(AND(ISNUMBER(E169),ISNUMBER(G169)),IF(E169&lt;G169,1,0),0))</f>
        <v>0</v>
      </c>
    </row>
    <row r="170" spans="1:9">
      <c r="A170" s="7">
        <f>Raw_Cancellations!A170</f>
        <v>1729</v>
      </c>
      <c r="B170" s="7">
        <f>IF(COUNTIF(Raw_Cancellations!$A$2:A170,Raw_Cancellations!A170)&gt;1,1,0)</f>
        <v>1</v>
      </c>
      <c r="C170" s="7">
        <f>IF(COUNTIF(Raw_Bookings!$A$2:$A$648,Raw_Cancellations!B170)=0,1,0)</f>
        <v>0</v>
      </c>
      <c r="D170" s="7">
        <f>IF(OR(B170=1,C170=1),0,IF(Raw_Cancellations!I170&gt;Raw_Cancellations!G170+0.005,1,0))</f>
        <v>0</v>
      </c>
      <c r="E170" s="7">
        <f>IFERROR(DATEVALUE(LEFT(Raw_Cancellations!C170,10))+TIMEVALUE(MID(Raw_Cancellations!C170,12,8)),"")</f>
        <v>45569.16064814815</v>
      </c>
      <c r="F170" s="7">
        <f>IFERROR(MATCH(Raw_Cancellations!B170,Work_Bookings!$A$2:$A$648,0),0)</f>
        <v>43</v>
      </c>
      <c r="G170" s="7">
        <f>IF(F170=0,"",INDEX(Work_Bookings!$M$2:$M$648,F170))</f>
        <v>45565.54722222222</v>
      </c>
      <c r="H170" s="7">
        <f>IF(F170=0,0,IF(OR(INDEX(Work_Bookings!$L$2:$L$648,F170)=1,INDEX(Work_Bookings!$K$2:$K$648,F170)=1,INDEX(Work_Bookings!$N$2:$N$648,F170)=1,COUNTIFS(Work_Passengers!$B$2:$B$1336,Raw_Cancellations!B170,Work_Passengers!$L$2:$L$1336,1)&gt;0),1,0))</f>
        <v>0</v>
      </c>
      <c r="I170" s="7">
        <f>IF(OR(B170=1,C170=1,H170=1),0,IF(AND(ISNUMBER(E170),ISNUMBER(G170)),IF(E170&lt;G170,1,0),0))</f>
        <v>0</v>
      </c>
    </row>
    <row r="171" spans="1:9">
      <c r="A171" s="7">
        <f>Raw_Cancellations!A171</f>
        <v>43274</v>
      </c>
      <c r="B171" s="7">
        <f>IF(COUNTIF(Raw_Cancellations!$A$2:A171,Raw_Cancellations!A171)&gt;1,1,0)</f>
        <v>1</v>
      </c>
      <c r="C171" s="7">
        <f>IF(COUNTIF(Raw_Bookings!$A$2:$A$648,Raw_Cancellations!B171)=0,1,0)</f>
        <v>0</v>
      </c>
      <c r="D171" s="7">
        <f>IF(OR(B171=1,C171=1),0,IF(Raw_Cancellations!I171&gt;Raw_Cancellations!G171+0.005,1,0))</f>
        <v>0</v>
      </c>
      <c r="E171" s="7">
        <f>IFERROR(DATEVALUE(LEFT(Raw_Cancellations!C171,10))+TIMEVALUE(MID(Raw_Cancellations!C171,12,8)),"")</f>
        <v>46243.614583333336</v>
      </c>
      <c r="F171" s="7">
        <f>IFERROR(MATCH(Raw_Cancellations!B171,Work_Bookings!$A$2:$A$648,0),0)</f>
        <v>624</v>
      </c>
      <c r="G171" s="7">
        <f>IF(F171=0,"",INDEX(Work_Bookings!$M$2:$M$648,F171))</f>
        <v>46237.733761574076</v>
      </c>
      <c r="H171" s="7">
        <f>IF(F171=0,0,IF(OR(INDEX(Work_Bookings!$L$2:$L$648,F171)=1,INDEX(Work_Bookings!$K$2:$K$648,F171)=1,INDEX(Work_Bookings!$N$2:$N$648,F171)=1,COUNTIFS(Work_Passengers!$B$2:$B$1336,Raw_Cancellations!B171,Work_Passengers!$L$2:$L$1336,1)&gt;0),1,0))</f>
        <v>0</v>
      </c>
      <c r="I171" s="7">
        <f>IF(OR(B171=1,C171=1,H171=1),0,IF(AND(ISNUMBER(E171),ISNUMBER(G171)),IF(E171&lt;G171,1,0),0))</f>
        <v>0</v>
      </c>
    </row>
    <row r="172" spans="1:9">
      <c r="A172" s="7">
        <f>Raw_Cancellations!A172</f>
        <v>4052</v>
      </c>
      <c r="B172" s="7">
        <f>IF(COUNTIF(Raw_Cancellations!$A$2:A172,Raw_Cancellations!A172)&gt;1,1,0)</f>
        <v>1</v>
      </c>
      <c r="C172" s="7">
        <f>IF(COUNTIF(Raw_Bookings!$A$2:$A$648,Raw_Cancellations!B172)=0,1,0)</f>
        <v>0</v>
      </c>
      <c r="D172" s="7">
        <f>IF(OR(B172=1,C172=1),0,IF(Raw_Cancellations!I172&gt;Raw_Cancellations!G172+0.005,1,0))</f>
        <v>0</v>
      </c>
      <c r="E172" s="7">
        <f>IFERROR(DATEVALUE(LEFT(Raw_Cancellations!C172,10))+TIMEVALUE(MID(Raw_Cancellations!C172,12,8)),"")</f>
        <v>45608.261087962965</v>
      </c>
      <c r="F172" s="7">
        <f>IFERROR(MATCH(Raw_Cancellations!B172,Work_Bookings!$A$2:$A$648,0),0)</f>
        <v>68</v>
      </c>
      <c r="G172" s="7">
        <f>IF(F172=0,"",INDEX(Work_Bookings!$M$2:$M$648,F172))</f>
        <v>45593.67424768519</v>
      </c>
      <c r="H172" s="7">
        <f>IF(F172=0,0,IF(OR(INDEX(Work_Bookings!$L$2:$L$648,F172)=1,INDEX(Work_Bookings!$K$2:$K$648,F172)=1,INDEX(Work_Bookings!$N$2:$N$648,F172)=1,COUNTIFS(Work_Passengers!$B$2:$B$1336,Raw_Cancellations!B172,Work_Passengers!$L$2:$L$1336,1)&gt;0),1,0))</f>
        <v>0</v>
      </c>
      <c r="I172" s="7">
        <f>IF(OR(B172=1,C172=1,H172=1),0,IF(AND(ISNUMBER(E172),ISNUMBER(G172)),IF(E172&lt;G172,1,0),0))</f>
        <v>0</v>
      </c>
    </row>
    <row r="173" spans="1:9">
      <c r="A173" s="7">
        <f>Raw_Cancellations!A173</f>
        <v>6031</v>
      </c>
      <c r="B173" s="7">
        <f>IF(COUNTIF(Raw_Cancellations!$A$2:A173,Raw_Cancellations!A173)&gt;1,1,0)</f>
        <v>1</v>
      </c>
      <c r="C173" s="7">
        <f>IF(COUNTIF(Raw_Bookings!$A$2:$A$648,Raw_Cancellations!B173)=0,1,0)</f>
        <v>0</v>
      </c>
      <c r="D173" s="7">
        <f>IF(OR(B173=1,C173=1),0,IF(Raw_Cancellations!I173&gt;Raw_Cancellations!G173+0.005,1,0))</f>
        <v>0</v>
      </c>
      <c r="E173" s="7">
        <f>IFERROR(DATEVALUE(LEFT(Raw_Cancellations!C173,10))+TIMEVALUE(MID(Raw_Cancellations!C173,12,8)),"")</f>
        <v>45650.39164351852</v>
      </c>
      <c r="F173" s="7">
        <f>IFERROR(MATCH(Raw_Cancellations!B173,Work_Bookings!$A$2:$A$648,0),0)</f>
        <v>114</v>
      </c>
      <c r="G173" s="7">
        <f>IF(F173=0,"",INDEX(Work_Bookings!$M$2:$M$648,F173))</f>
        <v>45645.44318287037</v>
      </c>
      <c r="H173" s="7">
        <f>IF(F173=0,0,IF(OR(INDEX(Work_Bookings!$L$2:$L$648,F173)=1,INDEX(Work_Bookings!$K$2:$K$648,F173)=1,INDEX(Work_Bookings!$N$2:$N$648,F173)=1,COUNTIFS(Work_Passengers!$B$2:$B$1336,Raw_Cancellations!B173,Work_Passengers!$L$2:$L$1336,1)&gt;0),1,0))</f>
        <v>0</v>
      </c>
      <c r="I173" s="7">
        <f>IF(OR(B173=1,C173=1,H173=1),0,IF(AND(ISNUMBER(E173),ISNUMBER(G173)),IF(E173&lt;G173,1,0),0))</f>
        <v>0</v>
      </c>
    </row>
    <row r="174" spans="1:9">
      <c r="A174" s="7">
        <f>Raw_Cancellations!A174</f>
        <v>44097</v>
      </c>
      <c r="B174" s="7">
        <f>IF(COUNTIF(Raw_Cancellations!$A$2:A174,Raw_Cancellations!A174)&gt;1,1,0)</f>
        <v>0</v>
      </c>
      <c r="C174" s="7">
        <f>IF(COUNTIF(Raw_Bookings!$A$2:$A$648,Raw_Cancellations!B174)=0,1,0)</f>
        <v>1</v>
      </c>
      <c r="D174" s="7">
        <f>IF(OR(B174=1,C174=1),0,IF(Raw_Cancellations!I174&gt;Raw_Cancellations!G174+0.005,1,0))</f>
        <v>0</v>
      </c>
      <c r="E174" s="7">
        <f>IFERROR(DATEVALUE(LEFT(Raw_Cancellations!C174,10))+TIMEVALUE(MID(Raw_Cancellations!C174,12,8)),"")</f>
        <v>46015.329050925924</v>
      </c>
      <c r="F174" s="7">
        <f>IFERROR(MATCH(Raw_Cancellations!B174,Work_Bookings!$A$2:$A$648,0),0)</f>
        <v>0</v>
      </c>
      <c r="G174" s="7">
        <f>IF(F174=0,"",INDEX(Work_Bookings!$M$2:$M$648,F174))</f>
        <v/>
      </c>
      <c r="H174" s="7">
        <f>IF(F174=0,0,IF(OR(INDEX(Work_Bookings!$L$2:$L$648,F174)=1,INDEX(Work_Bookings!$K$2:$K$648,F174)=1,INDEX(Work_Bookings!$N$2:$N$648,F174)=1,COUNTIFS(Work_Passengers!$B$2:$B$1336,Raw_Cancellations!B174,Work_Passengers!$L$2:$L$1336,1)&gt;0),1,0))</f>
        <v>0</v>
      </c>
      <c r="I174" s="7">
        <f>IF(OR(B174=1,C174=1,H174=1),0,IF(AND(ISNUMBER(E174),ISNUMBER(G174)),IF(E174&lt;G174,1,0),0))</f>
        <v>0</v>
      </c>
    </row>
    <row r="175" spans="1:9">
      <c r="A175" s="7">
        <f>Raw_Cancellations!A175</f>
        <v>44120</v>
      </c>
      <c r="B175" s="7">
        <f>IF(COUNTIF(Raw_Cancellations!$A$2:A175,Raw_Cancellations!A175)&gt;1,1,0)</f>
        <v>0</v>
      </c>
      <c r="C175" s="7">
        <f>IF(COUNTIF(Raw_Bookings!$A$2:$A$648,Raw_Cancellations!B175)=0,1,0)</f>
        <v>1</v>
      </c>
      <c r="D175" s="7">
        <f>IF(OR(B175=1,C175=1),0,IF(Raw_Cancellations!I175&gt;Raw_Cancellations!G175+0.005,1,0))</f>
        <v>0</v>
      </c>
      <c r="E175" s="7">
        <f>IFERROR(DATEVALUE(LEFT(Raw_Cancellations!C175,10))+TIMEVALUE(MID(Raw_Cancellations!C175,12,8)),"")</f>
        <v>46193.75585648148</v>
      </c>
      <c r="F175" s="7">
        <f>IFERROR(MATCH(Raw_Cancellations!B175,Work_Bookings!$A$2:$A$648,0),0)</f>
        <v>0</v>
      </c>
      <c r="G175" s="7">
        <f>IF(F175=0,"",INDEX(Work_Bookings!$M$2:$M$648,F175))</f>
        <v/>
      </c>
      <c r="H175" s="7">
        <f>IF(F175=0,0,IF(OR(INDEX(Work_Bookings!$L$2:$L$648,F175)=1,INDEX(Work_Bookings!$K$2:$K$648,F175)=1,INDEX(Work_Bookings!$N$2:$N$648,F175)=1,COUNTIFS(Work_Passengers!$B$2:$B$1336,Raw_Cancellations!B175,Work_Passengers!$L$2:$L$1336,1)&gt;0),1,0))</f>
        <v>0</v>
      </c>
      <c r="I175" s="7">
        <f>IF(OR(B175=1,C175=1,H175=1),0,IF(AND(ISNUMBER(E175),ISNUMBER(G175)),IF(E175&lt;G175,1,0),0))</f>
        <v>0</v>
      </c>
    </row>
    <row r="176" spans="1:9">
      <c r="A176" s="7">
        <f>Raw_Cancellations!A176</f>
        <v>44123</v>
      </c>
      <c r="B176" s="7">
        <f>IF(COUNTIF(Raw_Cancellations!$A$2:A176,Raw_Cancellations!A176)&gt;1,1,0)</f>
        <v>0</v>
      </c>
      <c r="C176" s="7">
        <f>IF(COUNTIF(Raw_Bookings!$A$2:$A$648,Raw_Cancellations!B176)=0,1,0)</f>
        <v>1</v>
      </c>
      <c r="D176" s="7">
        <f>IF(OR(B176=1,C176=1),0,IF(Raw_Cancellations!I176&gt;Raw_Cancellations!G176+0.005,1,0))</f>
        <v>0</v>
      </c>
      <c r="E176" s="7">
        <f>IFERROR(DATEVALUE(LEFT(Raw_Cancellations!C176,10))+TIMEVALUE(MID(Raw_Cancellations!C176,12,8)),"")</f>
        <v>45642.64297453704</v>
      </c>
      <c r="F176" s="7">
        <f>IFERROR(MATCH(Raw_Cancellations!B176,Work_Bookings!$A$2:$A$648,0),0)</f>
        <v>0</v>
      </c>
      <c r="G176" s="7">
        <f>IF(F176=0,"",INDEX(Work_Bookings!$M$2:$M$648,F176))</f>
        <v/>
      </c>
      <c r="H176" s="7">
        <f>IF(F176=0,0,IF(OR(INDEX(Work_Bookings!$L$2:$L$648,F176)=1,INDEX(Work_Bookings!$K$2:$K$648,F176)=1,INDEX(Work_Bookings!$N$2:$N$648,F176)=1,COUNTIFS(Work_Passengers!$B$2:$B$1336,Raw_Cancellations!B176,Work_Passengers!$L$2:$L$1336,1)&gt;0),1,0))</f>
        <v>0</v>
      </c>
      <c r="I176" s="7">
        <f>IF(OR(B176=1,C176=1,H176=1),0,IF(AND(ISNUMBER(E176),ISNUMBER(G176)),IF(E176&lt;G176,1,0),0))</f>
        <v>0</v>
      </c>
    </row>
    <row r="177" spans="1:9">
      <c r="A177" s="7">
        <f>Raw_Cancellations!A177</f>
        <v>44166</v>
      </c>
      <c r="B177" s="7">
        <f>IF(COUNTIF(Raw_Cancellations!$A$2:A177,Raw_Cancellations!A177)&gt;1,1,0)</f>
        <v>0</v>
      </c>
      <c r="C177" s="7">
        <f>IF(COUNTIF(Raw_Bookings!$A$2:$A$648,Raw_Cancellations!B177)=0,1,0)</f>
        <v>1</v>
      </c>
      <c r="D177" s="7">
        <f>IF(OR(B177=1,C177=1),0,IF(Raw_Cancellations!I177&gt;Raw_Cancellations!G177+0.005,1,0))</f>
        <v>0</v>
      </c>
      <c r="E177" s="7">
        <f>IFERROR(DATEVALUE(LEFT(Raw_Cancellations!C177,10))+TIMEVALUE(MID(Raw_Cancellations!C177,12,8)),"")</f>
        <v>45558.739583333336</v>
      </c>
      <c r="F177" s="7">
        <f>IFERROR(MATCH(Raw_Cancellations!B177,Work_Bookings!$A$2:$A$648,0),0)</f>
        <v>0</v>
      </c>
      <c r="G177" s="7">
        <f>IF(F177=0,"",INDEX(Work_Bookings!$M$2:$M$648,F177))</f>
        <v/>
      </c>
      <c r="H177" s="7">
        <f>IF(F177=0,0,IF(OR(INDEX(Work_Bookings!$L$2:$L$648,F177)=1,INDEX(Work_Bookings!$K$2:$K$648,F177)=1,INDEX(Work_Bookings!$N$2:$N$648,F177)=1,COUNTIFS(Work_Passengers!$B$2:$B$1336,Raw_Cancellations!B177,Work_Passengers!$L$2:$L$1336,1)&gt;0),1,0))</f>
        <v>0</v>
      </c>
      <c r="I177" s="7">
        <f>IF(OR(B177=1,C177=1,H177=1),0,IF(AND(ISNUMBER(E177),ISNUMBER(G177)),IF(E177&lt;G177,1,0),0))</f>
        <v>0</v>
      </c>
    </row>
    <row r="178" spans="1:9">
      <c r="A178" s="7">
        <f>Raw_Cancellations!A178</f>
        <v>44203</v>
      </c>
      <c r="B178" s="7">
        <f>IF(COUNTIF(Raw_Cancellations!$A$2:A178,Raw_Cancellations!A178)&gt;1,1,0)</f>
        <v>0</v>
      </c>
      <c r="C178" s="7">
        <f>IF(COUNTIF(Raw_Bookings!$A$2:$A$648,Raw_Cancellations!B178)=0,1,0)</f>
        <v>1</v>
      </c>
      <c r="D178" s="7">
        <f>IF(OR(B178=1,C178=1),0,IF(Raw_Cancellations!I178&gt;Raw_Cancellations!G178+0.005,1,0))</f>
        <v>0</v>
      </c>
      <c r="E178" s="7">
        <f>IFERROR(DATEVALUE(LEFT(Raw_Cancellations!C178,10))+TIMEVALUE(MID(Raw_Cancellations!C178,12,8)),"")</f>
        <v>46005.37358796296</v>
      </c>
      <c r="F178" s="7">
        <f>IFERROR(MATCH(Raw_Cancellations!B178,Work_Bookings!$A$2:$A$648,0),0)</f>
        <v>0</v>
      </c>
      <c r="G178" s="7">
        <f>IF(F178=0,"",INDEX(Work_Bookings!$M$2:$M$648,F178))</f>
        <v/>
      </c>
      <c r="H178" s="7">
        <f>IF(F178=0,0,IF(OR(INDEX(Work_Bookings!$L$2:$L$648,F178)=1,INDEX(Work_Bookings!$K$2:$K$648,F178)=1,INDEX(Work_Bookings!$N$2:$N$648,F178)=1,COUNTIFS(Work_Passengers!$B$2:$B$1336,Raw_Cancellations!B178,Work_Passengers!$L$2:$L$1336,1)&gt;0),1,0))</f>
        <v>0</v>
      </c>
      <c r="I178" s="7">
        <f>IF(OR(B178=1,C178=1,H178=1),0,IF(AND(ISNUMBER(E178),ISNUMBER(G178)),IF(E178&lt;G178,1,0),0))</f>
        <v>0</v>
      </c>
    </row>
    <row r="179" spans="1:9">
      <c r="A179" s="7">
        <f>Raw_Cancellations!A179</f>
        <v>44220</v>
      </c>
      <c r="B179" s="7">
        <f>IF(COUNTIF(Raw_Cancellations!$A$2:A179,Raw_Cancellations!A179)&gt;1,1,0)</f>
        <v>0</v>
      </c>
      <c r="C179" s="7">
        <f>IF(COUNTIF(Raw_Bookings!$A$2:$A$648,Raw_Cancellations!B179)=0,1,0)</f>
        <v>1</v>
      </c>
      <c r="D179" s="7">
        <f>IF(OR(B179=1,C179=1),0,IF(Raw_Cancellations!I179&gt;Raw_Cancellations!G179+0.005,1,0))</f>
        <v>0</v>
      </c>
      <c r="E179" s="7">
        <f>IFERROR(DATEVALUE(LEFT(Raw_Cancellations!C179,10))+TIMEVALUE(MID(Raw_Cancellations!C179,12,8)),"")</f>
        <v>46173.635416666664</v>
      </c>
      <c r="F179" s="7">
        <f>IFERROR(MATCH(Raw_Cancellations!B179,Work_Bookings!$A$2:$A$648,0),0)</f>
        <v>0</v>
      </c>
      <c r="G179" s="7">
        <f>IF(F179=0,"",INDEX(Work_Bookings!$M$2:$M$648,F179))</f>
        <v/>
      </c>
      <c r="H179" s="7">
        <f>IF(F179=0,0,IF(OR(INDEX(Work_Bookings!$L$2:$L$648,F179)=1,INDEX(Work_Bookings!$K$2:$K$648,F179)=1,INDEX(Work_Bookings!$N$2:$N$648,F179)=1,COUNTIFS(Work_Passengers!$B$2:$B$1336,Raw_Cancellations!B179,Work_Passengers!$L$2:$L$1336,1)&gt;0),1,0))</f>
        <v>0</v>
      </c>
      <c r="I179" s="7">
        <f>IF(OR(B179=1,C179=1,H179=1),0,IF(AND(ISNUMBER(E179),ISNUMBER(G179)),IF(E179&lt;G179,1,0),0))</f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2E75B6"/>
  </sheetPr>
  <dimension ref="A1:I9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8" width="15.7109375" customWidth="1"/>
  </cols>
  <sheetData>
    <row r="1" spans="1:9">
      <c r="A1" s="5" t="s">
        <v>1927</v>
      </c>
      <c r="B1" s="5" t="s">
        <v>1971</v>
      </c>
      <c r="C1" s="5" t="s">
        <v>1972</v>
      </c>
      <c r="D1" s="5" t="s">
        <v>1973</v>
      </c>
      <c r="E1" s="5" t="s">
        <v>1974</v>
      </c>
      <c r="F1" s="5" t="s">
        <v>1975</v>
      </c>
      <c r="G1" s="5" t="s">
        <v>1976</v>
      </c>
      <c r="I1" s="9" t="s">
        <v>1956</v>
      </c>
    </row>
    <row r="2" spans="1:9">
      <c r="A2" s="7">
        <f>Raw_Capacity!A2</f>
        <v>43</v>
      </c>
      <c r="B2" s="7" t="str">
        <f>Raw_Capacity!B2&amp;"|"&amp;Raw_Capacity!C2&amp;"|"&amp;Raw_Capacity!D2</f>
        <v>25|2024-09-24|2A</v>
      </c>
      <c r="C2" s="7">
        <f>INDEX(Lookup_Class!$B$2:$B$7,MATCH(Raw_Capacity!D2,Lookup_Class!$A$2:$A$7,0))</f>
        <v>46</v>
      </c>
      <c r="D2" s="7">
        <f>IF(AND(Raw_Capacity!F2=C2,Raw_Capacity!G2=Raw_Capacity!E2*Raw_Capacity!F2),1,0)</f>
        <v>1</v>
      </c>
      <c r="E2" s="7">
        <f>IF(AND(COUNTIF(Work_Capacity!$B$2:$B$92,B2)&gt;1,D2=0),1,0)</f>
        <v>0</v>
      </c>
      <c r="F2" s="7">
        <f>IF(AND(E2=0,Raw_Capacity!F2=C2,Raw_Capacity!G2&lt;&gt;Raw_Capacity!E2*Raw_Capacity!F2),1,0)</f>
        <v>0</v>
      </c>
      <c r="G2" s="7">
        <f>IF(AND(E2=0,Raw_Capacity!F2&lt;&gt;C2,Raw_Capacity!G2=Raw_Capacity!E2*C2),1,0)</f>
        <v>0</v>
      </c>
    </row>
    <row r="3" spans="1:9">
      <c r="A3" s="7">
        <f>Raw_Capacity!A3</f>
        <v>124</v>
      </c>
      <c r="B3" s="7" t="str">
        <f>Raw_Capacity!B3&amp;"|"&amp;Raw_Capacity!C3&amp;"|"&amp;Raw_Capacity!D3</f>
        <v>2|2024-10-23|SL</v>
      </c>
      <c r="C3" s="7">
        <f>INDEX(Lookup_Class!$B$2:$B$7,MATCH(Raw_Capacity!D3,Lookup_Class!$A$2:$A$7,0))</f>
        <v>72</v>
      </c>
      <c r="D3" s="7">
        <f>IF(AND(Raw_Capacity!F3=C3,Raw_Capacity!G3=Raw_Capacity!E3*Raw_Capacity!F3),1,0)</f>
        <v>1</v>
      </c>
      <c r="E3" s="7">
        <f>IF(AND(COUNTIF(Work_Capacity!$B$2:$B$92,B3)&gt;1,D3=0),1,0)</f>
        <v>0</v>
      </c>
      <c r="F3" s="7">
        <f>IF(AND(E3=0,Raw_Capacity!F3=C3,Raw_Capacity!G3&lt;&gt;Raw_Capacity!E3*Raw_Capacity!F3),1,0)</f>
        <v>0</v>
      </c>
      <c r="G3" s="7">
        <f>IF(AND(E3=0,Raw_Capacity!F3&lt;&gt;C3,Raw_Capacity!G3=Raw_Capacity!E3*C3),1,0)</f>
        <v>0</v>
      </c>
    </row>
    <row r="4" spans="1:9">
      <c r="A4" s="7">
        <f>Raw_Capacity!A4</f>
        <v>135</v>
      </c>
      <c r="B4" s="7" t="str">
        <f>Raw_Capacity!B4&amp;"|"&amp;Raw_Capacity!C4&amp;"|"&amp;Raw_Capacity!D4</f>
        <v>46|2024-10-23|2A</v>
      </c>
      <c r="C4" s="7">
        <f>INDEX(Lookup_Class!$B$2:$B$7,MATCH(Raw_Capacity!D4,Lookup_Class!$A$2:$A$7,0))</f>
        <v>46</v>
      </c>
      <c r="D4" s="7">
        <f>IF(AND(Raw_Capacity!F4=C4,Raw_Capacity!G4=Raw_Capacity!E4*Raw_Capacity!F4),1,0)</f>
        <v>1</v>
      </c>
      <c r="E4" s="7">
        <f>IF(AND(COUNTIF(Work_Capacity!$B$2:$B$92,B4)&gt;1,D4=0),1,0)</f>
        <v>0</v>
      </c>
      <c r="F4" s="7">
        <f>IF(AND(E4=0,Raw_Capacity!F4=C4,Raw_Capacity!G4&lt;&gt;Raw_Capacity!E4*Raw_Capacity!F4),1,0)</f>
        <v>0</v>
      </c>
      <c r="G4" s="7">
        <f>IF(AND(E4=0,Raw_Capacity!F4&lt;&gt;C4,Raw_Capacity!G4=Raw_Capacity!E4*C4),1,0)</f>
        <v>0</v>
      </c>
    </row>
    <row r="5" spans="1:9">
      <c r="A5" s="7">
        <f>Raw_Capacity!A5</f>
        <v>139</v>
      </c>
      <c r="B5" s="7" t="str">
        <f>Raw_Capacity!B5&amp;"|"&amp;Raw_Capacity!C5&amp;"|"&amp;Raw_Capacity!D5</f>
        <v>23|2024-10-17|3A</v>
      </c>
      <c r="C5" s="7">
        <f>INDEX(Lookup_Class!$B$2:$B$7,MATCH(Raw_Capacity!D5,Lookup_Class!$A$2:$A$7,0))</f>
        <v>64</v>
      </c>
      <c r="D5" s="7">
        <f>IF(AND(Raw_Capacity!F5=C5,Raw_Capacity!G5=Raw_Capacity!E5*Raw_Capacity!F5),1,0)</f>
        <v>1</v>
      </c>
      <c r="E5" s="7">
        <f>IF(AND(COUNTIF(Work_Capacity!$B$2:$B$92,B5)&gt;1,D5=0),1,0)</f>
        <v>0</v>
      </c>
      <c r="F5" s="7">
        <f>IF(AND(E5=0,Raw_Capacity!F5=C5,Raw_Capacity!G5&lt;&gt;Raw_Capacity!E5*Raw_Capacity!F5),1,0)</f>
        <v>0</v>
      </c>
      <c r="G5" s="7">
        <f>IF(AND(E5=0,Raw_Capacity!F5&lt;&gt;C5,Raw_Capacity!G5=Raw_Capacity!E5*C5),1,0)</f>
        <v>0</v>
      </c>
    </row>
    <row r="6" spans="1:9">
      <c r="A6" s="7">
        <f>Raw_Capacity!A6</f>
        <v>141</v>
      </c>
      <c r="B6" s="7" t="str">
        <f>Raw_Capacity!B6&amp;"|"&amp;Raw_Capacity!C6&amp;"|"&amp;Raw_Capacity!D6</f>
        <v>38|2024-10-12|2A</v>
      </c>
      <c r="C6" s="7">
        <f>INDEX(Lookup_Class!$B$2:$B$7,MATCH(Raw_Capacity!D6,Lookup_Class!$A$2:$A$7,0))</f>
        <v>46</v>
      </c>
      <c r="D6" s="7">
        <f>IF(AND(Raw_Capacity!F6=C6,Raw_Capacity!G6=Raw_Capacity!E6*Raw_Capacity!F6),1,0)</f>
        <v>1</v>
      </c>
      <c r="E6" s="7">
        <f>IF(AND(COUNTIF(Work_Capacity!$B$2:$B$92,B6)&gt;1,D6=0),1,0)</f>
        <v>0</v>
      </c>
      <c r="F6" s="7">
        <f>IF(AND(E6=0,Raw_Capacity!F6=C6,Raw_Capacity!G6&lt;&gt;Raw_Capacity!E6*Raw_Capacity!F6),1,0)</f>
        <v>0</v>
      </c>
      <c r="G6" s="7">
        <f>IF(AND(E6=0,Raw_Capacity!F6&lt;&gt;C6,Raw_Capacity!G6=Raw_Capacity!E6*C6),1,0)</f>
        <v>0</v>
      </c>
    </row>
    <row r="7" spans="1:9">
      <c r="A7" s="7">
        <f>Raw_Capacity!A7</f>
        <v>149</v>
      </c>
      <c r="B7" s="7" t="str">
        <f>Raw_Capacity!B7&amp;"|"&amp;Raw_Capacity!C7&amp;"|"&amp;Raw_Capacity!D7</f>
        <v>7|2024-10-24|SL</v>
      </c>
      <c r="C7" s="7">
        <f>INDEX(Lookup_Class!$B$2:$B$7,MATCH(Raw_Capacity!D7,Lookup_Class!$A$2:$A$7,0))</f>
        <v>72</v>
      </c>
      <c r="D7" s="7">
        <f>IF(AND(Raw_Capacity!F7=C7,Raw_Capacity!G7=Raw_Capacity!E7*Raw_Capacity!F7),1,0)</f>
        <v>1</v>
      </c>
      <c r="E7" s="7">
        <f>IF(AND(COUNTIF(Work_Capacity!$B$2:$B$92,B7)&gt;1,D7=0),1,0)</f>
        <v>0</v>
      </c>
      <c r="F7" s="7">
        <f>IF(AND(E7=0,Raw_Capacity!F7=C7,Raw_Capacity!G7&lt;&gt;Raw_Capacity!E7*Raw_Capacity!F7),1,0)</f>
        <v>0</v>
      </c>
      <c r="G7" s="7">
        <f>IF(AND(E7=0,Raw_Capacity!F7&lt;&gt;C7,Raw_Capacity!G7=Raw_Capacity!E7*C7),1,0)</f>
        <v>0</v>
      </c>
    </row>
    <row r="8" spans="1:9">
      <c r="A8" s="7">
        <f>Raw_Capacity!A8</f>
        <v>153</v>
      </c>
      <c r="B8" s="7" t="str">
        <f>Raw_Capacity!B8&amp;"|"&amp;Raw_Capacity!C8&amp;"|"&amp;Raw_Capacity!D8</f>
        <v>47|2024-10-24|3A</v>
      </c>
      <c r="C8" s="7">
        <f>INDEX(Lookup_Class!$B$2:$B$7,MATCH(Raw_Capacity!D8,Lookup_Class!$A$2:$A$7,0))</f>
        <v>64</v>
      </c>
      <c r="D8" s="7">
        <f>IF(AND(Raw_Capacity!F8=C8,Raw_Capacity!G8=Raw_Capacity!E8*Raw_Capacity!F8),1,0)</f>
        <v>1</v>
      </c>
      <c r="E8" s="7">
        <f>IF(AND(COUNTIF(Work_Capacity!$B$2:$B$92,B8)&gt;1,D8=0),1,0)</f>
        <v>0</v>
      </c>
      <c r="F8" s="7">
        <f>IF(AND(E8=0,Raw_Capacity!F8=C8,Raw_Capacity!G8&lt;&gt;Raw_Capacity!E8*Raw_Capacity!F8),1,0)</f>
        <v>0</v>
      </c>
      <c r="G8" s="7">
        <f>IF(AND(E8=0,Raw_Capacity!F8&lt;&gt;C8,Raw_Capacity!G8=Raw_Capacity!E8*C8),1,0)</f>
        <v>0</v>
      </c>
    </row>
    <row r="9" spans="1:9">
      <c r="A9" s="7">
        <f>Raw_Capacity!A9</f>
        <v>203</v>
      </c>
      <c r="B9" s="7" t="str">
        <f>Raw_Capacity!B9&amp;"|"&amp;Raw_Capacity!C9&amp;"|"&amp;Raw_Capacity!D9</f>
        <v>31|2024-11-19|3A</v>
      </c>
      <c r="C9" s="7">
        <f>INDEX(Lookup_Class!$B$2:$B$7,MATCH(Raw_Capacity!D9,Lookup_Class!$A$2:$A$7,0))</f>
        <v>64</v>
      </c>
      <c r="D9" s="7">
        <f>IF(AND(Raw_Capacity!F9=C9,Raw_Capacity!G9=Raw_Capacity!E9*Raw_Capacity!F9),1,0)</f>
        <v>1</v>
      </c>
      <c r="E9" s="7">
        <f>IF(AND(COUNTIF(Work_Capacity!$B$2:$B$92,B9)&gt;1,D9=0),1,0)</f>
        <v>0</v>
      </c>
      <c r="F9" s="7">
        <f>IF(AND(E9=0,Raw_Capacity!F9=C9,Raw_Capacity!G9&lt;&gt;Raw_Capacity!E9*Raw_Capacity!F9),1,0)</f>
        <v>0</v>
      </c>
      <c r="G9" s="7">
        <f>IF(AND(E9=0,Raw_Capacity!F9&lt;&gt;C9,Raw_Capacity!G9=Raw_Capacity!E9*C9),1,0)</f>
        <v>0</v>
      </c>
    </row>
    <row r="10" spans="1:9">
      <c r="A10" s="7">
        <f>Raw_Capacity!A10</f>
        <v>216</v>
      </c>
      <c r="B10" s="7" t="str">
        <f>Raw_Capacity!B10&amp;"|"&amp;Raw_Capacity!C10&amp;"|"&amp;Raw_Capacity!D10</f>
        <v>38|2024-11-30|3A</v>
      </c>
      <c r="C10" s="7">
        <f>INDEX(Lookup_Class!$B$2:$B$7,MATCH(Raw_Capacity!D10,Lookup_Class!$A$2:$A$7,0))</f>
        <v>64</v>
      </c>
      <c r="D10" s="7">
        <f>IF(AND(Raw_Capacity!F10=C10,Raw_Capacity!G10=Raw_Capacity!E10*Raw_Capacity!F10),1,0)</f>
        <v>1</v>
      </c>
      <c r="E10" s="7">
        <f>IF(AND(COUNTIF(Work_Capacity!$B$2:$B$92,B10)&gt;1,D10=0),1,0)</f>
        <v>0</v>
      </c>
      <c r="F10" s="7">
        <f>IF(AND(E10=0,Raw_Capacity!F10=C10,Raw_Capacity!G10&lt;&gt;Raw_Capacity!E10*Raw_Capacity!F10),1,0)</f>
        <v>0</v>
      </c>
      <c r="G10" s="7">
        <f>IF(AND(E10=0,Raw_Capacity!F10&lt;&gt;C10,Raw_Capacity!G10=Raw_Capacity!E10*C10),1,0)</f>
        <v>0</v>
      </c>
    </row>
    <row r="11" spans="1:9">
      <c r="A11" s="7">
        <f>Raw_Capacity!A11</f>
        <v>264</v>
      </c>
      <c r="B11" s="7" t="str">
        <f>Raw_Capacity!B11&amp;"|"&amp;Raw_Capacity!C11&amp;"|"&amp;Raw_Capacity!D11</f>
        <v>19|2024-11-10|SL</v>
      </c>
      <c r="C11" s="7">
        <f>INDEX(Lookup_Class!$B$2:$B$7,MATCH(Raw_Capacity!D11,Lookup_Class!$A$2:$A$7,0))</f>
        <v>72</v>
      </c>
      <c r="D11" s="7">
        <f>IF(AND(Raw_Capacity!F11=C11,Raw_Capacity!G11=Raw_Capacity!E11*Raw_Capacity!F11),1,0)</f>
        <v>1</v>
      </c>
      <c r="E11" s="7">
        <f>IF(AND(COUNTIF(Work_Capacity!$B$2:$B$92,B11)&gt;1,D11=0),1,0)</f>
        <v>0</v>
      </c>
      <c r="F11" s="7">
        <f>IF(AND(E11=0,Raw_Capacity!F11=C11,Raw_Capacity!G11&lt;&gt;Raw_Capacity!E11*Raw_Capacity!F11),1,0)</f>
        <v>0</v>
      </c>
      <c r="G11" s="7">
        <f>IF(AND(E11=0,Raw_Capacity!F11&lt;&gt;C11,Raw_Capacity!G11=Raw_Capacity!E11*C11),1,0)</f>
        <v>0</v>
      </c>
    </row>
    <row r="12" spans="1:9">
      <c r="A12" s="7">
        <f>Raw_Capacity!A12</f>
        <v>286</v>
      </c>
      <c r="B12" s="7" t="str">
        <f>Raw_Capacity!B12&amp;"|"&amp;Raw_Capacity!C12&amp;"|"&amp;Raw_Capacity!D12</f>
        <v>23|2024-11-22|SL</v>
      </c>
      <c r="C12" s="7">
        <f>INDEX(Lookup_Class!$B$2:$B$7,MATCH(Raw_Capacity!D12,Lookup_Class!$A$2:$A$7,0))</f>
        <v>72</v>
      </c>
      <c r="D12" s="7">
        <f>IF(AND(Raw_Capacity!F12=C12,Raw_Capacity!G12=Raw_Capacity!E12*Raw_Capacity!F12),1,0)</f>
        <v>0</v>
      </c>
      <c r="E12" s="7">
        <f>IF(AND(COUNTIF(Work_Capacity!$B$2:$B$92,B12)&gt;1,D12=0),1,0)</f>
        <v>0</v>
      </c>
      <c r="F12" s="7">
        <f>IF(AND(E12=0,Raw_Capacity!F12=C12,Raw_Capacity!G12&lt;&gt;Raw_Capacity!E12*Raw_Capacity!F12),1,0)</f>
        <v>0</v>
      </c>
      <c r="G12" s="7">
        <f>IF(AND(E12=0,Raw_Capacity!F12&lt;&gt;C12,Raw_Capacity!G12=Raw_Capacity!E12*C12),1,0)</f>
        <v>1</v>
      </c>
    </row>
    <row r="13" spans="1:9">
      <c r="A13" s="7">
        <f>Raw_Capacity!A13</f>
        <v>308</v>
      </c>
      <c r="B13" s="7" t="str">
        <f>Raw_Capacity!B13&amp;"|"&amp;Raw_Capacity!C13&amp;"|"&amp;Raw_Capacity!D13</f>
        <v>49|2024-12-10|3A</v>
      </c>
      <c r="C13" s="7">
        <f>INDEX(Lookup_Class!$B$2:$B$7,MATCH(Raw_Capacity!D13,Lookup_Class!$A$2:$A$7,0))</f>
        <v>64</v>
      </c>
      <c r="D13" s="7">
        <f>IF(AND(Raw_Capacity!F13=C13,Raw_Capacity!G13=Raw_Capacity!E13*Raw_Capacity!F13),1,0)</f>
        <v>1</v>
      </c>
      <c r="E13" s="7">
        <f>IF(AND(COUNTIF(Work_Capacity!$B$2:$B$92,B13)&gt;1,D13=0),1,0)</f>
        <v>0</v>
      </c>
      <c r="F13" s="7">
        <f>IF(AND(E13=0,Raw_Capacity!F13=C13,Raw_Capacity!G13&lt;&gt;Raw_Capacity!E13*Raw_Capacity!F13),1,0)</f>
        <v>0</v>
      </c>
      <c r="G13" s="7">
        <f>IF(AND(E13=0,Raw_Capacity!F13&lt;&gt;C13,Raw_Capacity!G13=Raw_Capacity!E13*C13),1,0)</f>
        <v>0</v>
      </c>
    </row>
    <row r="14" spans="1:9">
      <c r="A14" s="7">
        <f>Raw_Capacity!A14</f>
        <v>331</v>
      </c>
      <c r="B14" s="7" t="str">
        <f>Raw_Capacity!B14&amp;"|"&amp;Raw_Capacity!C14&amp;"|"&amp;Raw_Capacity!D14</f>
        <v>4|2024-12-18|3A</v>
      </c>
      <c r="C14" s="7">
        <f>INDEX(Lookup_Class!$B$2:$B$7,MATCH(Raw_Capacity!D14,Lookup_Class!$A$2:$A$7,0))</f>
        <v>64</v>
      </c>
      <c r="D14" s="7">
        <f>IF(AND(Raw_Capacity!F14=C14,Raw_Capacity!G14=Raw_Capacity!E14*Raw_Capacity!F14),1,0)</f>
        <v>1</v>
      </c>
      <c r="E14" s="7">
        <f>IF(AND(COUNTIF(Work_Capacity!$B$2:$B$92,B14)&gt;1,D14=0),1,0)</f>
        <v>0</v>
      </c>
      <c r="F14" s="7">
        <f>IF(AND(E14=0,Raw_Capacity!F14=C14,Raw_Capacity!G14&lt;&gt;Raw_Capacity!E14*Raw_Capacity!F14),1,0)</f>
        <v>0</v>
      </c>
      <c r="G14" s="7">
        <f>IF(AND(E14=0,Raw_Capacity!F14&lt;&gt;C14,Raw_Capacity!G14=Raw_Capacity!E14*C14),1,0)</f>
        <v>0</v>
      </c>
    </row>
    <row r="15" spans="1:9">
      <c r="A15" s="7">
        <f>Raw_Capacity!A15</f>
        <v>342</v>
      </c>
      <c r="B15" s="7" t="str">
        <f>Raw_Capacity!B15&amp;"|"&amp;Raw_Capacity!C15&amp;"|"&amp;Raw_Capacity!D15</f>
        <v>3|2024-12-11|2S</v>
      </c>
      <c r="C15" s="7">
        <f>INDEX(Lookup_Class!$B$2:$B$7,MATCH(Raw_Capacity!D15,Lookup_Class!$A$2:$A$7,0))</f>
        <v>108</v>
      </c>
      <c r="D15" s="7">
        <f>IF(AND(Raw_Capacity!F15=C15,Raw_Capacity!G15=Raw_Capacity!E15*Raw_Capacity!F15),1,0)</f>
        <v>1</v>
      </c>
      <c r="E15" s="7">
        <f>IF(AND(COUNTIF(Work_Capacity!$B$2:$B$92,B15)&gt;1,D15=0),1,0)</f>
        <v>0</v>
      </c>
      <c r="F15" s="7">
        <f>IF(AND(E15=0,Raw_Capacity!F15=C15,Raw_Capacity!G15&lt;&gt;Raw_Capacity!E15*Raw_Capacity!F15),1,0)</f>
        <v>0</v>
      </c>
      <c r="G15" s="7">
        <f>IF(AND(E15=0,Raw_Capacity!F15&lt;&gt;C15,Raw_Capacity!G15=Raw_Capacity!E15*C15),1,0)</f>
        <v>0</v>
      </c>
    </row>
    <row r="16" spans="1:9">
      <c r="A16" s="7">
        <f>Raw_Capacity!A16</f>
        <v>344</v>
      </c>
      <c r="B16" s="7" t="str">
        <f>Raw_Capacity!B16&amp;"|"&amp;Raw_Capacity!C16&amp;"|"&amp;Raw_Capacity!D16</f>
        <v>6|2024-12-14|3A</v>
      </c>
      <c r="C16" s="7">
        <f>INDEX(Lookup_Class!$B$2:$B$7,MATCH(Raw_Capacity!D16,Lookup_Class!$A$2:$A$7,0))</f>
        <v>64</v>
      </c>
      <c r="D16" s="7">
        <f>IF(AND(Raw_Capacity!F16=C16,Raw_Capacity!G16=Raw_Capacity!E16*Raw_Capacity!F16),1,0)</f>
        <v>1</v>
      </c>
      <c r="E16" s="7">
        <f>IF(AND(COUNTIF(Work_Capacity!$B$2:$B$92,B16)&gt;1,D16=0),1,0)</f>
        <v>0</v>
      </c>
      <c r="F16" s="7">
        <f>IF(AND(E16=0,Raw_Capacity!F16=C16,Raw_Capacity!G16&lt;&gt;Raw_Capacity!E16*Raw_Capacity!F16),1,0)</f>
        <v>0</v>
      </c>
      <c r="G16" s="7">
        <f>IF(AND(E16=0,Raw_Capacity!F16&lt;&gt;C16,Raw_Capacity!G16=Raw_Capacity!E16*C16),1,0)</f>
        <v>0</v>
      </c>
    </row>
    <row r="17" spans="1:7">
      <c r="A17" s="7">
        <f>Raw_Capacity!A17</f>
        <v>351</v>
      </c>
      <c r="B17" s="7" t="str">
        <f>Raw_Capacity!B17&amp;"|"&amp;Raw_Capacity!C17&amp;"|"&amp;Raw_Capacity!D17</f>
        <v>30|2024-12-04|2S</v>
      </c>
      <c r="C17" s="7">
        <f>INDEX(Lookup_Class!$B$2:$B$7,MATCH(Raw_Capacity!D17,Lookup_Class!$A$2:$A$7,0))</f>
        <v>108</v>
      </c>
      <c r="D17" s="7">
        <f>IF(AND(Raw_Capacity!F17=C17,Raw_Capacity!G17=Raw_Capacity!E17*Raw_Capacity!F17),1,0)</f>
        <v>1</v>
      </c>
      <c r="E17" s="7">
        <f>IF(AND(COUNTIF(Work_Capacity!$B$2:$B$92,B17)&gt;1,D17=0),1,0)</f>
        <v>0</v>
      </c>
      <c r="F17" s="7">
        <f>IF(AND(E17=0,Raw_Capacity!F17=C17,Raw_Capacity!G17&lt;&gt;Raw_Capacity!E17*Raw_Capacity!F17),1,0)</f>
        <v>0</v>
      </c>
      <c r="G17" s="7">
        <f>IF(AND(E17=0,Raw_Capacity!F17&lt;&gt;C17,Raw_Capacity!G17=Raw_Capacity!E17*C17),1,0)</f>
        <v>0</v>
      </c>
    </row>
    <row r="18" spans="1:7">
      <c r="A18" s="7">
        <f>Raw_Capacity!A18</f>
        <v>370</v>
      </c>
      <c r="B18" s="7" t="str">
        <f>Raw_Capacity!B18&amp;"|"&amp;Raw_Capacity!C18&amp;"|"&amp;Raw_Capacity!D18</f>
        <v>21|2024-12-28|2A</v>
      </c>
      <c r="C18" s="7">
        <f>INDEX(Lookup_Class!$B$2:$B$7,MATCH(Raw_Capacity!D18,Lookup_Class!$A$2:$A$7,0))</f>
        <v>46</v>
      </c>
      <c r="D18" s="7">
        <f>IF(AND(Raw_Capacity!F18=C18,Raw_Capacity!G18=Raw_Capacity!E18*Raw_Capacity!F18),1,0)</f>
        <v>1</v>
      </c>
      <c r="E18" s="7">
        <f>IF(AND(COUNTIF(Work_Capacity!$B$2:$B$92,B18)&gt;1,D18=0),1,0)</f>
        <v>0</v>
      </c>
      <c r="F18" s="7">
        <f>IF(AND(E18=0,Raw_Capacity!F18=C18,Raw_Capacity!G18&lt;&gt;Raw_Capacity!E18*Raw_Capacity!F18),1,0)</f>
        <v>0</v>
      </c>
      <c r="G18" s="7">
        <f>IF(AND(E18=0,Raw_Capacity!F18&lt;&gt;C18,Raw_Capacity!G18=Raw_Capacity!E18*C18),1,0)</f>
        <v>0</v>
      </c>
    </row>
    <row r="19" spans="1:7">
      <c r="A19" s="7">
        <f>Raw_Capacity!A19</f>
        <v>382</v>
      </c>
      <c r="B19" s="7" t="str">
        <f>Raw_Capacity!B19&amp;"|"&amp;Raw_Capacity!C19&amp;"|"&amp;Raw_Capacity!D19</f>
        <v>17|2025-01-01|3A</v>
      </c>
      <c r="C19" s="7">
        <f>INDEX(Lookup_Class!$B$2:$B$7,MATCH(Raw_Capacity!D19,Lookup_Class!$A$2:$A$7,0))</f>
        <v>64</v>
      </c>
      <c r="D19" s="7">
        <f>IF(AND(Raw_Capacity!F19=C19,Raw_Capacity!G19=Raw_Capacity!E19*Raw_Capacity!F19),1,0)</f>
        <v>1</v>
      </c>
      <c r="E19" s="7">
        <f>IF(AND(COUNTIF(Work_Capacity!$B$2:$B$92,B19)&gt;1,D19=0),1,0)</f>
        <v>0</v>
      </c>
      <c r="F19" s="7">
        <f>IF(AND(E19=0,Raw_Capacity!F19=C19,Raw_Capacity!G19&lt;&gt;Raw_Capacity!E19*Raw_Capacity!F19),1,0)</f>
        <v>0</v>
      </c>
      <c r="G19" s="7">
        <f>IF(AND(E19=0,Raw_Capacity!F19&lt;&gt;C19,Raw_Capacity!G19=Raw_Capacity!E19*C19),1,0)</f>
        <v>0</v>
      </c>
    </row>
    <row r="20" spans="1:7">
      <c r="A20" s="7">
        <f>Raw_Capacity!A20</f>
        <v>385</v>
      </c>
      <c r="B20" s="7" t="str">
        <f>Raw_Capacity!B20&amp;"|"&amp;Raw_Capacity!C20&amp;"|"&amp;Raw_Capacity!D20</f>
        <v>1|2025-01-05|3A</v>
      </c>
      <c r="C20" s="7">
        <f>INDEX(Lookup_Class!$B$2:$B$7,MATCH(Raw_Capacity!D20,Lookup_Class!$A$2:$A$7,0))</f>
        <v>64</v>
      </c>
      <c r="D20" s="7">
        <f>IF(AND(Raw_Capacity!F20=C20,Raw_Capacity!G20=Raw_Capacity!E20*Raw_Capacity!F20),1,0)</f>
        <v>0</v>
      </c>
      <c r="E20" s="7">
        <f>IF(AND(COUNTIF(Work_Capacity!$B$2:$B$92,B20)&gt;1,D20=0),1,0)</f>
        <v>0</v>
      </c>
      <c r="F20" s="7">
        <f>IF(AND(E20=0,Raw_Capacity!F20=C20,Raw_Capacity!G20&lt;&gt;Raw_Capacity!E20*Raw_Capacity!F20),1,0)</f>
        <v>1</v>
      </c>
      <c r="G20" s="7">
        <f>IF(AND(E20=0,Raw_Capacity!F20&lt;&gt;C20,Raw_Capacity!G20=Raw_Capacity!E20*C20),1,0)</f>
        <v>0</v>
      </c>
    </row>
    <row r="21" spans="1:7">
      <c r="A21" s="7">
        <f>Raw_Capacity!A21</f>
        <v>397</v>
      </c>
      <c r="B21" s="7" t="str">
        <f>Raw_Capacity!B21&amp;"|"&amp;Raw_Capacity!C21&amp;"|"&amp;Raw_Capacity!D21</f>
        <v>2|2025-01-28|3A</v>
      </c>
      <c r="C21" s="7">
        <f>INDEX(Lookup_Class!$B$2:$B$7,MATCH(Raw_Capacity!D21,Lookup_Class!$A$2:$A$7,0))</f>
        <v>64</v>
      </c>
      <c r="D21" s="7">
        <f>IF(AND(Raw_Capacity!F21=C21,Raw_Capacity!G21=Raw_Capacity!E21*Raw_Capacity!F21),1,0)</f>
        <v>1</v>
      </c>
      <c r="E21" s="7">
        <f>IF(AND(COUNTIF(Work_Capacity!$B$2:$B$92,B21)&gt;1,D21=0),1,0)</f>
        <v>0</v>
      </c>
      <c r="F21" s="7">
        <f>IF(AND(E21=0,Raw_Capacity!F21=C21,Raw_Capacity!G21&lt;&gt;Raw_Capacity!E21*Raw_Capacity!F21),1,0)</f>
        <v>0</v>
      </c>
      <c r="G21" s="7">
        <f>IF(AND(E21=0,Raw_Capacity!F21&lt;&gt;C21,Raw_Capacity!G21=Raw_Capacity!E21*C21),1,0)</f>
        <v>0</v>
      </c>
    </row>
    <row r="22" spans="1:7">
      <c r="A22" s="7">
        <f>Raw_Capacity!A22</f>
        <v>424</v>
      </c>
      <c r="B22" s="7" t="str">
        <f>Raw_Capacity!B22&amp;"|"&amp;Raw_Capacity!C22&amp;"|"&amp;Raw_Capacity!D22</f>
        <v>6|2025-01-11|2A</v>
      </c>
      <c r="C22" s="7">
        <f>INDEX(Lookup_Class!$B$2:$B$7,MATCH(Raw_Capacity!D22,Lookup_Class!$A$2:$A$7,0))</f>
        <v>46</v>
      </c>
      <c r="D22" s="7">
        <f>IF(AND(Raw_Capacity!F22=C22,Raw_Capacity!G22=Raw_Capacity!E22*Raw_Capacity!F22),1,0)</f>
        <v>1</v>
      </c>
      <c r="E22" s="7">
        <f>IF(AND(COUNTIF(Work_Capacity!$B$2:$B$92,B22)&gt;1,D22=0),1,0)</f>
        <v>0</v>
      </c>
      <c r="F22" s="7">
        <f>IF(AND(E22=0,Raw_Capacity!F22=C22,Raw_Capacity!G22&lt;&gt;Raw_Capacity!E22*Raw_Capacity!F22),1,0)</f>
        <v>0</v>
      </c>
      <c r="G22" s="7">
        <f>IF(AND(E22=0,Raw_Capacity!F22&lt;&gt;C22,Raw_Capacity!G22=Raw_Capacity!E22*C22),1,0)</f>
        <v>0</v>
      </c>
    </row>
    <row r="23" spans="1:7">
      <c r="A23" s="7">
        <f>Raw_Capacity!A23</f>
        <v>442</v>
      </c>
      <c r="B23" s="7" t="str">
        <f>Raw_Capacity!B23&amp;"|"&amp;Raw_Capacity!C23&amp;"|"&amp;Raw_Capacity!D23</f>
        <v>47|2025-01-11|3A</v>
      </c>
      <c r="C23" s="7">
        <f>INDEX(Lookup_Class!$B$2:$B$7,MATCH(Raw_Capacity!D23,Lookup_Class!$A$2:$A$7,0))</f>
        <v>64</v>
      </c>
      <c r="D23" s="7">
        <f>IF(AND(Raw_Capacity!F23=C23,Raw_Capacity!G23=Raw_Capacity!E23*Raw_Capacity!F23),1,0)</f>
        <v>1</v>
      </c>
      <c r="E23" s="7">
        <f>IF(AND(COUNTIF(Work_Capacity!$B$2:$B$92,B23)&gt;1,D23=0),1,0)</f>
        <v>0</v>
      </c>
      <c r="F23" s="7">
        <f>IF(AND(E23=0,Raw_Capacity!F23=C23,Raw_Capacity!G23&lt;&gt;Raw_Capacity!E23*Raw_Capacity!F23),1,0)</f>
        <v>0</v>
      </c>
      <c r="G23" s="7">
        <f>IF(AND(E23=0,Raw_Capacity!F23&lt;&gt;C23,Raw_Capacity!G23=Raw_Capacity!E23*C23),1,0)</f>
        <v>0</v>
      </c>
    </row>
    <row r="24" spans="1:7">
      <c r="A24" s="7">
        <f>Raw_Capacity!A24</f>
        <v>445</v>
      </c>
      <c r="B24" s="7" t="str">
        <f>Raw_Capacity!B24&amp;"|"&amp;Raw_Capacity!C24&amp;"|"&amp;Raw_Capacity!D24</f>
        <v>31|2025-01-07|3A</v>
      </c>
      <c r="C24" s="7">
        <f>INDEX(Lookup_Class!$B$2:$B$7,MATCH(Raw_Capacity!D24,Lookup_Class!$A$2:$A$7,0))</f>
        <v>64</v>
      </c>
      <c r="D24" s="7">
        <f>IF(AND(Raw_Capacity!F24=C24,Raw_Capacity!G24=Raw_Capacity!E24*Raw_Capacity!F24),1,0)</f>
        <v>0</v>
      </c>
      <c r="E24" s="7">
        <f>IF(AND(COUNTIF(Work_Capacity!$B$2:$B$92,B24)&gt;1,D24=0),1,0)</f>
        <v>0</v>
      </c>
      <c r="F24" s="7">
        <f>IF(AND(E24=0,Raw_Capacity!F24=C24,Raw_Capacity!G24&lt;&gt;Raw_Capacity!E24*Raw_Capacity!F24),1,0)</f>
        <v>0</v>
      </c>
      <c r="G24" s="7">
        <f>IF(AND(E24=0,Raw_Capacity!F24&lt;&gt;C24,Raw_Capacity!G24=Raw_Capacity!E24*C24),1,0)</f>
        <v>1</v>
      </c>
    </row>
    <row r="25" spans="1:7">
      <c r="A25" s="7">
        <f>Raw_Capacity!A25</f>
        <v>495</v>
      </c>
      <c r="B25" s="7" t="str">
        <f>Raw_Capacity!B25&amp;"|"&amp;Raw_Capacity!C25&amp;"|"&amp;Raw_Capacity!D25</f>
        <v>13|2025-02-19|1A</v>
      </c>
      <c r="C25" s="7">
        <f>INDEX(Lookup_Class!$B$2:$B$7,MATCH(Raw_Capacity!D25,Lookup_Class!$A$2:$A$7,0))</f>
        <v>24</v>
      </c>
      <c r="D25" s="7">
        <f>IF(AND(Raw_Capacity!F25=C25,Raw_Capacity!G25=Raw_Capacity!E25*Raw_Capacity!F25),1,0)</f>
        <v>1</v>
      </c>
      <c r="E25" s="7">
        <f>IF(AND(COUNTIF(Work_Capacity!$B$2:$B$92,B25)&gt;1,D25=0),1,0)</f>
        <v>0</v>
      </c>
      <c r="F25" s="7">
        <f>IF(AND(E25=0,Raw_Capacity!F25=C25,Raw_Capacity!G25&lt;&gt;Raw_Capacity!E25*Raw_Capacity!F25),1,0)</f>
        <v>0</v>
      </c>
      <c r="G25" s="7">
        <f>IF(AND(E25=0,Raw_Capacity!F25&lt;&gt;C25,Raw_Capacity!G25=Raw_Capacity!E25*C25),1,0)</f>
        <v>0</v>
      </c>
    </row>
    <row r="26" spans="1:7">
      <c r="A26" s="7">
        <f>Raw_Capacity!A26</f>
        <v>527</v>
      </c>
      <c r="B26" s="7" t="str">
        <f>Raw_Capacity!B26&amp;"|"&amp;Raw_Capacity!C26&amp;"|"&amp;Raw_Capacity!D26</f>
        <v>45|2025-02-24|3A</v>
      </c>
      <c r="C26" s="7">
        <f>INDEX(Lookup_Class!$B$2:$B$7,MATCH(Raw_Capacity!D26,Lookup_Class!$A$2:$A$7,0))</f>
        <v>64</v>
      </c>
      <c r="D26" s="7">
        <f>IF(AND(Raw_Capacity!F26=C26,Raw_Capacity!G26=Raw_Capacity!E26*Raw_Capacity!F26),1,0)</f>
        <v>0</v>
      </c>
      <c r="E26" s="7">
        <f>IF(AND(COUNTIF(Work_Capacity!$B$2:$B$92,B26)&gt;1,D26=0),1,0)</f>
        <v>0</v>
      </c>
      <c r="F26" s="7">
        <f>IF(AND(E26=0,Raw_Capacity!F26=C26,Raw_Capacity!G26&lt;&gt;Raw_Capacity!E26*Raw_Capacity!F26),1,0)</f>
        <v>0</v>
      </c>
      <c r="G26" s="7">
        <f>IF(AND(E26=0,Raw_Capacity!F26&lt;&gt;C26,Raw_Capacity!G26=Raw_Capacity!E26*C26),1,0)</f>
        <v>1</v>
      </c>
    </row>
    <row r="27" spans="1:7">
      <c r="A27" s="7">
        <f>Raw_Capacity!A27</f>
        <v>576</v>
      </c>
      <c r="B27" s="7" t="str">
        <f>Raw_Capacity!B27&amp;"|"&amp;Raw_Capacity!C27&amp;"|"&amp;Raw_Capacity!D27</f>
        <v>52|2025-03-08|SL</v>
      </c>
      <c r="C27" s="7">
        <f>INDEX(Lookup_Class!$B$2:$B$7,MATCH(Raw_Capacity!D27,Lookup_Class!$A$2:$A$7,0))</f>
        <v>72</v>
      </c>
      <c r="D27" s="7">
        <f>IF(AND(Raw_Capacity!F27=C27,Raw_Capacity!G27=Raw_Capacity!E27*Raw_Capacity!F27),1,0)</f>
        <v>1</v>
      </c>
      <c r="E27" s="7">
        <f>IF(AND(COUNTIF(Work_Capacity!$B$2:$B$92,B27)&gt;1,D27=0),1,0)</f>
        <v>0</v>
      </c>
      <c r="F27" s="7">
        <f>IF(AND(E27=0,Raw_Capacity!F27=C27,Raw_Capacity!G27&lt;&gt;Raw_Capacity!E27*Raw_Capacity!F27),1,0)</f>
        <v>0</v>
      </c>
      <c r="G27" s="7">
        <f>IF(AND(E27=0,Raw_Capacity!F27&lt;&gt;C27,Raw_Capacity!G27=Raw_Capacity!E27*C27),1,0)</f>
        <v>0</v>
      </c>
    </row>
    <row r="28" spans="1:7">
      <c r="A28" s="7">
        <f>Raw_Capacity!A28</f>
        <v>582</v>
      </c>
      <c r="B28" s="7" t="str">
        <f>Raw_Capacity!B28&amp;"|"&amp;Raw_Capacity!C28&amp;"|"&amp;Raw_Capacity!D28</f>
        <v>48|2025-03-29|3A</v>
      </c>
      <c r="C28" s="7">
        <f>INDEX(Lookup_Class!$B$2:$B$7,MATCH(Raw_Capacity!D28,Lookup_Class!$A$2:$A$7,0))</f>
        <v>64</v>
      </c>
      <c r="D28" s="7">
        <f>IF(AND(Raw_Capacity!F28=C28,Raw_Capacity!G28=Raw_Capacity!E28*Raw_Capacity!F28),1,0)</f>
        <v>0</v>
      </c>
      <c r="E28" s="7">
        <f>IF(AND(COUNTIF(Work_Capacity!$B$2:$B$92,B28)&gt;1,D28=0),1,0)</f>
        <v>0</v>
      </c>
      <c r="F28" s="7">
        <f>IF(AND(E28=0,Raw_Capacity!F28=C28,Raw_Capacity!G28&lt;&gt;Raw_Capacity!E28*Raw_Capacity!F28),1,0)</f>
        <v>1</v>
      </c>
      <c r="G28" s="7">
        <f>IF(AND(E28=0,Raw_Capacity!F28&lt;&gt;C28,Raw_Capacity!G28=Raw_Capacity!E28*C28),1,0)</f>
        <v>0</v>
      </c>
    </row>
    <row r="29" spans="1:7">
      <c r="A29" s="7">
        <f>Raw_Capacity!A29</f>
        <v>591</v>
      </c>
      <c r="B29" s="7" t="str">
        <f>Raw_Capacity!B29&amp;"|"&amp;Raw_Capacity!C29&amp;"|"&amp;Raw_Capacity!D29</f>
        <v>30|2025-03-04|SL</v>
      </c>
      <c r="C29" s="7">
        <f>INDEX(Lookup_Class!$B$2:$B$7,MATCH(Raw_Capacity!D29,Lookup_Class!$A$2:$A$7,0))</f>
        <v>72</v>
      </c>
      <c r="D29" s="7">
        <f>IF(AND(Raw_Capacity!F29=C29,Raw_Capacity!G29=Raw_Capacity!E29*Raw_Capacity!F29),1,0)</f>
        <v>0</v>
      </c>
      <c r="E29" s="7">
        <f>IF(AND(COUNTIF(Work_Capacity!$B$2:$B$92,B29)&gt;1,D29=0),1,0)</f>
        <v>0</v>
      </c>
      <c r="F29" s="7">
        <f>IF(AND(E29=0,Raw_Capacity!F29=C29,Raw_Capacity!G29&lt;&gt;Raw_Capacity!E29*Raw_Capacity!F29),1,0)</f>
        <v>1</v>
      </c>
      <c r="G29" s="7">
        <f>IF(AND(E29=0,Raw_Capacity!F29&lt;&gt;C29,Raw_Capacity!G29=Raw_Capacity!E29*C29),1,0)</f>
        <v>0</v>
      </c>
    </row>
    <row r="30" spans="1:7">
      <c r="A30" s="7">
        <f>Raw_Capacity!A30</f>
        <v>593</v>
      </c>
      <c r="B30" s="7" t="str">
        <f>Raw_Capacity!B30&amp;"|"&amp;Raw_Capacity!C30&amp;"|"&amp;Raw_Capacity!D30</f>
        <v>24|2025-03-31|2A</v>
      </c>
      <c r="C30" s="7">
        <f>INDEX(Lookup_Class!$B$2:$B$7,MATCH(Raw_Capacity!D30,Lookup_Class!$A$2:$A$7,0))</f>
        <v>46</v>
      </c>
      <c r="D30" s="7">
        <f>IF(AND(Raw_Capacity!F30=C30,Raw_Capacity!G30=Raw_Capacity!E30*Raw_Capacity!F30),1,0)</f>
        <v>0</v>
      </c>
      <c r="E30" s="7">
        <f>IF(AND(COUNTIF(Work_Capacity!$B$2:$B$92,B30)&gt;1,D30=0),1,0)</f>
        <v>0</v>
      </c>
      <c r="F30" s="7">
        <f>IF(AND(E30=0,Raw_Capacity!F30=C30,Raw_Capacity!G30&lt;&gt;Raw_Capacity!E30*Raw_Capacity!F30),1,0)</f>
        <v>1</v>
      </c>
      <c r="G30" s="7">
        <f>IF(AND(E30=0,Raw_Capacity!F30&lt;&gt;C30,Raw_Capacity!G30=Raw_Capacity!E30*C30),1,0)</f>
        <v>0</v>
      </c>
    </row>
    <row r="31" spans="1:7">
      <c r="A31" s="7">
        <f>Raw_Capacity!A31</f>
        <v>602</v>
      </c>
      <c r="B31" s="7" t="str">
        <f>Raw_Capacity!B31&amp;"|"&amp;Raw_Capacity!C31&amp;"|"&amp;Raw_Capacity!D31</f>
        <v>6|2025-03-15|2A</v>
      </c>
      <c r="C31" s="7">
        <f>INDEX(Lookup_Class!$B$2:$B$7,MATCH(Raw_Capacity!D31,Lookup_Class!$A$2:$A$7,0))</f>
        <v>46</v>
      </c>
      <c r="D31" s="7">
        <f>IF(AND(Raw_Capacity!F31=C31,Raw_Capacity!G31=Raw_Capacity!E31*Raw_Capacity!F31),1,0)</f>
        <v>1</v>
      </c>
      <c r="E31" s="7">
        <f>IF(AND(COUNTIF(Work_Capacity!$B$2:$B$92,B31)&gt;1,D31=0),1,0)</f>
        <v>0</v>
      </c>
      <c r="F31" s="7">
        <f>IF(AND(E31=0,Raw_Capacity!F31=C31,Raw_Capacity!G31&lt;&gt;Raw_Capacity!E31*Raw_Capacity!F31),1,0)</f>
        <v>0</v>
      </c>
      <c r="G31" s="7">
        <f>IF(AND(E31=0,Raw_Capacity!F31&lt;&gt;C31,Raw_Capacity!G31=Raw_Capacity!E31*C31),1,0)</f>
        <v>0</v>
      </c>
    </row>
    <row r="32" spans="1:7">
      <c r="A32" s="7">
        <f>Raw_Capacity!A32</f>
        <v>683</v>
      </c>
      <c r="B32" s="7" t="str">
        <f>Raw_Capacity!B32&amp;"|"&amp;Raw_Capacity!C32&amp;"|"&amp;Raw_Capacity!D32</f>
        <v>43|2025-04-17|SL</v>
      </c>
      <c r="C32" s="7">
        <f>INDEX(Lookup_Class!$B$2:$B$7,MATCH(Raw_Capacity!D32,Lookup_Class!$A$2:$A$7,0))</f>
        <v>72</v>
      </c>
      <c r="D32" s="7">
        <f>IF(AND(Raw_Capacity!F32=C32,Raw_Capacity!G32=Raw_Capacity!E32*Raw_Capacity!F32),1,0)</f>
        <v>1</v>
      </c>
      <c r="E32" s="7">
        <f>IF(AND(COUNTIF(Work_Capacity!$B$2:$B$92,B32)&gt;1,D32=0),1,0)</f>
        <v>0</v>
      </c>
      <c r="F32" s="7">
        <f>IF(AND(E32=0,Raw_Capacity!F32=C32,Raw_Capacity!G32&lt;&gt;Raw_Capacity!E32*Raw_Capacity!F32),1,0)</f>
        <v>0</v>
      </c>
      <c r="G32" s="7">
        <f>IF(AND(E32=0,Raw_Capacity!F32&lt;&gt;C32,Raw_Capacity!G32=Raw_Capacity!E32*C32),1,0)</f>
        <v>0</v>
      </c>
    </row>
    <row r="33" spans="1:7">
      <c r="A33" s="7">
        <f>Raw_Capacity!A33</f>
        <v>735</v>
      </c>
      <c r="B33" s="7" t="str">
        <f>Raw_Capacity!B33&amp;"|"&amp;Raw_Capacity!C33&amp;"|"&amp;Raw_Capacity!D33</f>
        <v>26|2025-04-27|2A</v>
      </c>
      <c r="C33" s="7">
        <f>INDEX(Lookup_Class!$B$2:$B$7,MATCH(Raw_Capacity!D33,Lookup_Class!$A$2:$A$7,0))</f>
        <v>46</v>
      </c>
      <c r="D33" s="7">
        <f>IF(AND(Raw_Capacity!F33=C33,Raw_Capacity!G33=Raw_Capacity!E33*Raw_Capacity!F33),1,0)</f>
        <v>1</v>
      </c>
      <c r="E33" s="7">
        <f>IF(AND(COUNTIF(Work_Capacity!$B$2:$B$92,B33)&gt;1,D33=0),1,0)</f>
        <v>0</v>
      </c>
      <c r="F33" s="7">
        <f>IF(AND(E33=0,Raw_Capacity!F33=C33,Raw_Capacity!G33&lt;&gt;Raw_Capacity!E33*Raw_Capacity!F33),1,0)</f>
        <v>0</v>
      </c>
      <c r="G33" s="7">
        <f>IF(AND(E33=0,Raw_Capacity!F33&lt;&gt;C33,Raw_Capacity!G33=Raw_Capacity!E33*C33),1,0)</f>
        <v>0</v>
      </c>
    </row>
    <row r="34" spans="1:7">
      <c r="A34" s="7">
        <f>Raw_Capacity!A34</f>
        <v>741</v>
      </c>
      <c r="B34" s="7" t="str">
        <f>Raw_Capacity!B34&amp;"|"&amp;Raw_Capacity!C34&amp;"|"&amp;Raw_Capacity!D34</f>
        <v>17|2025-04-23|3A</v>
      </c>
      <c r="C34" s="7">
        <f>INDEX(Lookup_Class!$B$2:$B$7,MATCH(Raw_Capacity!D34,Lookup_Class!$A$2:$A$7,0))</f>
        <v>64</v>
      </c>
      <c r="D34" s="7">
        <f>IF(AND(Raw_Capacity!F34=C34,Raw_Capacity!G34=Raw_Capacity!E34*Raw_Capacity!F34),1,0)</f>
        <v>1</v>
      </c>
      <c r="E34" s="7">
        <f>IF(AND(COUNTIF(Work_Capacity!$B$2:$B$92,B34)&gt;1,D34=0),1,0)</f>
        <v>0</v>
      </c>
      <c r="F34" s="7">
        <f>IF(AND(E34=0,Raw_Capacity!F34=C34,Raw_Capacity!G34&lt;&gt;Raw_Capacity!E34*Raw_Capacity!F34),1,0)</f>
        <v>0</v>
      </c>
      <c r="G34" s="7">
        <f>IF(AND(E34=0,Raw_Capacity!F34&lt;&gt;C34,Raw_Capacity!G34=Raw_Capacity!E34*C34),1,0)</f>
        <v>0</v>
      </c>
    </row>
    <row r="35" spans="1:7">
      <c r="A35" s="7">
        <f>Raw_Capacity!A35</f>
        <v>789</v>
      </c>
      <c r="B35" s="7" t="str">
        <f>Raw_Capacity!B35&amp;"|"&amp;Raw_Capacity!C35&amp;"|"&amp;Raw_Capacity!D35</f>
        <v>42|2025-05-14|3A</v>
      </c>
      <c r="C35" s="7">
        <f>INDEX(Lookup_Class!$B$2:$B$7,MATCH(Raw_Capacity!D35,Lookup_Class!$A$2:$A$7,0))</f>
        <v>64</v>
      </c>
      <c r="D35" s="7">
        <f>IF(AND(Raw_Capacity!F35=C35,Raw_Capacity!G35=Raw_Capacity!E35*Raw_Capacity!F35),1,0)</f>
        <v>0</v>
      </c>
      <c r="E35" s="7">
        <f>IF(AND(COUNTIF(Work_Capacity!$B$2:$B$92,B35)&gt;1,D35=0),1,0)</f>
        <v>0</v>
      </c>
      <c r="F35" s="7">
        <f>IF(AND(E35=0,Raw_Capacity!F35=C35,Raw_Capacity!G35&lt;&gt;Raw_Capacity!E35*Raw_Capacity!F35),1,0)</f>
        <v>1</v>
      </c>
      <c r="G35" s="7">
        <f>IF(AND(E35=0,Raw_Capacity!F35&lt;&gt;C35,Raw_Capacity!G35=Raw_Capacity!E35*C35),1,0)</f>
        <v>0</v>
      </c>
    </row>
    <row r="36" spans="1:7">
      <c r="A36" s="7">
        <f>Raw_Capacity!A36</f>
        <v>828</v>
      </c>
      <c r="B36" s="7" t="str">
        <f>Raw_Capacity!B36&amp;"|"&amp;Raw_Capacity!C36&amp;"|"&amp;Raw_Capacity!D36</f>
        <v>43|2025-05-16|SL</v>
      </c>
      <c r="C36" s="7">
        <f>INDEX(Lookup_Class!$B$2:$B$7,MATCH(Raw_Capacity!D36,Lookup_Class!$A$2:$A$7,0))</f>
        <v>72</v>
      </c>
      <c r="D36" s="7">
        <f>IF(AND(Raw_Capacity!F36=C36,Raw_Capacity!G36=Raw_Capacity!E36*Raw_Capacity!F36),1,0)</f>
        <v>1</v>
      </c>
      <c r="E36" s="7">
        <f>IF(AND(COUNTIF(Work_Capacity!$B$2:$B$92,B36)&gt;1,D36=0),1,0)</f>
        <v>0</v>
      </c>
      <c r="F36" s="7">
        <f>IF(AND(E36=0,Raw_Capacity!F36=C36,Raw_Capacity!G36&lt;&gt;Raw_Capacity!E36*Raw_Capacity!F36),1,0)</f>
        <v>0</v>
      </c>
      <c r="G36" s="7">
        <f>IF(AND(E36=0,Raw_Capacity!F36&lt;&gt;C36,Raw_Capacity!G36=Raw_Capacity!E36*C36),1,0)</f>
        <v>0</v>
      </c>
    </row>
    <row r="37" spans="1:7">
      <c r="A37" s="7">
        <f>Raw_Capacity!A37</f>
        <v>845</v>
      </c>
      <c r="B37" s="7" t="str">
        <f>Raw_Capacity!B37&amp;"|"&amp;Raw_Capacity!C37&amp;"|"&amp;Raw_Capacity!D37</f>
        <v>23|2025-05-25|2A</v>
      </c>
      <c r="C37" s="7">
        <f>INDEX(Lookup_Class!$B$2:$B$7,MATCH(Raw_Capacity!D37,Lookup_Class!$A$2:$A$7,0))</f>
        <v>46</v>
      </c>
      <c r="D37" s="7">
        <f>IF(AND(Raw_Capacity!F37=C37,Raw_Capacity!G37=Raw_Capacity!E37*Raw_Capacity!F37),1,0)</f>
        <v>1</v>
      </c>
      <c r="E37" s="7">
        <f>IF(AND(COUNTIF(Work_Capacity!$B$2:$B$92,B37)&gt;1,D37=0),1,0)</f>
        <v>0</v>
      </c>
      <c r="F37" s="7">
        <f>IF(AND(E37=0,Raw_Capacity!F37=C37,Raw_Capacity!G37&lt;&gt;Raw_Capacity!E37*Raw_Capacity!F37),1,0)</f>
        <v>0</v>
      </c>
      <c r="G37" s="7">
        <f>IF(AND(E37=0,Raw_Capacity!F37&lt;&gt;C37,Raw_Capacity!G37=Raw_Capacity!E37*C37),1,0)</f>
        <v>0</v>
      </c>
    </row>
    <row r="38" spans="1:7">
      <c r="A38" s="7">
        <f>Raw_Capacity!A38</f>
        <v>948</v>
      </c>
      <c r="B38" s="7" t="str">
        <f>Raw_Capacity!B38&amp;"|"&amp;Raw_Capacity!C38&amp;"|"&amp;Raw_Capacity!D38</f>
        <v>11|2025-06-13|3A</v>
      </c>
      <c r="C38" s="7">
        <f>INDEX(Lookup_Class!$B$2:$B$7,MATCH(Raw_Capacity!D38,Lookup_Class!$A$2:$A$7,0))</f>
        <v>64</v>
      </c>
      <c r="D38" s="7">
        <f>IF(AND(Raw_Capacity!F38=C38,Raw_Capacity!G38=Raw_Capacity!E38*Raw_Capacity!F38),1,0)</f>
        <v>1</v>
      </c>
      <c r="E38" s="7">
        <f>IF(AND(COUNTIF(Work_Capacity!$B$2:$B$92,B38)&gt;1,D38=0),1,0)</f>
        <v>0</v>
      </c>
      <c r="F38" s="7">
        <f>IF(AND(E38=0,Raw_Capacity!F38=C38,Raw_Capacity!G38&lt;&gt;Raw_Capacity!E38*Raw_Capacity!F38),1,0)</f>
        <v>0</v>
      </c>
      <c r="G38" s="7">
        <f>IF(AND(E38=0,Raw_Capacity!F38&lt;&gt;C38,Raw_Capacity!G38=Raw_Capacity!E38*C38),1,0)</f>
        <v>0</v>
      </c>
    </row>
    <row r="39" spans="1:7">
      <c r="A39" s="7">
        <f>Raw_Capacity!A39</f>
        <v>969</v>
      </c>
      <c r="B39" s="7" t="str">
        <f>Raw_Capacity!B39&amp;"|"&amp;Raw_Capacity!C39&amp;"|"&amp;Raw_Capacity!D39</f>
        <v>36|2025-07-21|SL</v>
      </c>
      <c r="C39" s="7">
        <f>INDEX(Lookup_Class!$B$2:$B$7,MATCH(Raw_Capacity!D39,Lookup_Class!$A$2:$A$7,0))</f>
        <v>72</v>
      </c>
      <c r="D39" s="7">
        <f>IF(AND(Raw_Capacity!F39=C39,Raw_Capacity!G39=Raw_Capacity!E39*Raw_Capacity!F39),1,0)</f>
        <v>1</v>
      </c>
      <c r="E39" s="7">
        <f>IF(AND(COUNTIF(Work_Capacity!$B$2:$B$92,B39)&gt;1,D39=0),1,0)</f>
        <v>0</v>
      </c>
      <c r="F39" s="7">
        <f>IF(AND(E39=0,Raw_Capacity!F39=C39,Raw_Capacity!G39&lt;&gt;Raw_Capacity!E39*Raw_Capacity!F39),1,0)</f>
        <v>0</v>
      </c>
      <c r="G39" s="7">
        <f>IF(AND(E39=0,Raw_Capacity!F39&lt;&gt;C39,Raw_Capacity!G39=Raw_Capacity!E39*C39),1,0)</f>
        <v>0</v>
      </c>
    </row>
    <row r="40" spans="1:7">
      <c r="A40" s="7">
        <f>Raw_Capacity!A40</f>
        <v>998</v>
      </c>
      <c r="B40" s="7" t="str">
        <f>Raw_Capacity!B40&amp;"|"&amp;Raw_Capacity!C40&amp;"|"&amp;Raw_Capacity!D40</f>
        <v>23|2025-07-30|3A</v>
      </c>
      <c r="C40" s="7">
        <f>INDEX(Lookup_Class!$B$2:$B$7,MATCH(Raw_Capacity!D40,Lookup_Class!$A$2:$A$7,0))</f>
        <v>64</v>
      </c>
      <c r="D40" s="7">
        <f>IF(AND(Raw_Capacity!F40=C40,Raw_Capacity!G40=Raw_Capacity!E40*Raw_Capacity!F40),1,0)</f>
        <v>1</v>
      </c>
      <c r="E40" s="7">
        <f>IF(AND(COUNTIF(Work_Capacity!$B$2:$B$92,B40)&gt;1,D40=0),1,0)</f>
        <v>0</v>
      </c>
      <c r="F40" s="7">
        <f>IF(AND(E40=0,Raw_Capacity!F40=C40,Raw_Capacity!G40&lt;&gt;Raw_Capacity!E40*Raw_Capacity!F40),1,0)</f>
        <v>0</v>
      </c>
      <c r="G40" s="7">
        <f>IF(AND(E40=0,Raw_Capacity!F40&lt;&gt;C40,Raw_Capacity!G40=Raw_Capacity!E40*C40),1,0)</f>
        <v>0</v>
      </c>
    </row>
    <row r="41" spans="1:7">
      <c r="A41" s="7">
        <f>Raw_Capacity!A41</f>
        <v>1004</v>
      </c>
      <c r="B41" s="7" t="str">
        <f>Raw_Capacity!B41&amp;"|"&amp;Raw_Capacity!C41&amp;"|"&amp;Raw_Capacity!D41</f>
        <v>47|2025-07-23|SL</v>
      </c>
      <c r="C41" s="7">
        <f>INDEX(Lookup_Class!$B$2:$B$7,MATCH(Raw_Capacity!D41,Lookup_Class!$A$2:$A$7,0))</f>
        <v>72</v>
      </c>
      <c r="D41" s="7">
        <f>IF(AND(Raw_Capacity!F41=C41,Raw_Capacity!G41=Raw_Capacity!E41*Raw_Capacity!F41),1,0)</f>
        <v>1</v>
      </c>
      <c r="E41" s="7">
        <f>IF(AND(COUNTIF(Work_Capacity!$B$2:$B$92,B41)&gt;1,D41=0),1,0)</f>
        <v>0</v>
      </c>
      <c r="F41" s="7">
        <f>IF(AND(E41=0,Raw_Capacity!F41=C41,Raw_Capacity!G41&lt;&gt;Raw_Capacity!E41*Raw_Capacity!F41),1,0)</f>
        <v>0</v>
      </c>
      <c r="G41" s="7">
        <f>IF(AND(E41=0,Raw_Capacity!F41&lt;&gt;C41,Raw_Capacity!G41=Raw_Capacity!E41*C41),1,0)</f>
        <v>0</v>
      </c>
    </row>
    <row r="42" spans="1:7">
      <c r="A42" s="7">
        <f>Raw_Capacity!A42</f>
        <v>1024</v>
      </c>
      <c r="B42" s="7" t="str">
        <f>Raw_Capacity!B42&amp;"|"&amp;Raw_Capacity!C42&amp;"|"&amp;Raw_Capacity!D42</f>
        <v>7|2025-07-28|2A</v>
      </c>
      <c r="C42" s="7">
        <f>INDEX(Lookup_Class!$B$2:$B$7,MATCH(Raw_Capacity!D42,Lookup_Class!$A$2:$A$7,0))</f>
        <v>46</v>
      </c>
      <c r="D42" s="7">
        <f>IF(AND(Raw_Capacity!F42=C42,Raw_Capacity!G42=Raw_Capacity!E42*Raw_Capacity!F42),1,0)</f>
        <v>1</v>
      </c>
      <c r="E42" s="7">
        <f>IF(AND(COUNTIF(Work_Capacity!$B$2:$B$92,B42)&gt;1,D42=0),1,0)</f>
        <v>0</v>
      </c>
      <c r="F42" s="7">
        <f>IF(AND(E42=0,Raw_Capacity!F42=C42,Raw_Capacity!G42&lt;&gt;Raw_Capacity!E42*Raw_Capacity!F42),1,0)</f>
        <v>0</v>
      </c>
      <c r="G42" s="7">
        <f>IF(AND(E42=0,Raw_Capacity!F42&lt;&gt;C42,Raw_Capacity!G42=Raw_Capacity!E42*C42),1,0)</f>
        <v>0</v>
      </c>
    </row>
    <row r="43" spans="1:7">
      <c r="A43" s="7">
        <f>Raw_Capacity!A43</f>
        <v>1030</v>
      </c>
      <c r="B43" s="7" t="str">
        <f>Raw_Capacity!B43&amp;"|"&amp;Raw_Capacity!C43&amp;"|"&amp;Raw_Capacity!D43</f>
        <v>51|2025-07-09|2A</v>
      </c>
      <c r="C43" s="7">
        <f>INDEX(Lookup_Class!$B$2:$B$7,MATCH(Raw_Capacity!D43,Lookup_Class!$A$2:$A$7,0))</f>
        <v>46</v>
      </c>
      <c r="D43" s="7">
        <f>IF(AND(Raw_Capacity!F43=C43,Raw_Capacity!G43=Raw_Capacity!E43*Raw_Capacity!F43),1,0)</f>
        <v>1</v>
      </c>
      <c r="E43" s="7">
        <f>IF(AND(COUNTIF(Work_Capacity!$B$2:$B$92,B43)&gt;1,D43=0),1,0)</f>
        <v>0</v>
      </c>
      <c r="F43" s="7">
        <f>IF(AND(E43=0,Raw_Capacity!F43=C43,Raw_Capacity!G43&lt;&gt;Raw_Capacity!E43*Raw_Capacity!F43),1,0)</f>
        <v>0</v>
      </c>
      <c r="G43" s="7">
        <f>IF(AND(E43=0,Raw_Capacity!F43&lt;&gt;C43,Raw_Capacity!G43=Raw_Capacity!E43*C43),1,0)</f>
        <v>0</v>
      </c>
    </row>
    <row r="44" spans="1:7">
      <c r="A44" s="7">
        <f>Raw_Capacity!A44</f>
        <v>1122</v>
      </c>
      <c r="B44" s="7" t="str">
        <f>Raw_Capacity!B44&amp;"|"&amp;Raw_Capacity!C44&amp;"|"&amp;Raw_Capacity!D44</f>
        <v>50|2025-08-22|2A</v>
      </c>
      <c r="C44" s="7">
        <f>INDEX(Lookup_Class!$B$2:$B$7,MATCH(Raw_Capacity!D44,Lookup_Class!$A$2:$A$7,0))</f>
        <v>46</v>
      </c>
      <c r="D44" s="7">
        <f>IF(AND(Raw_Capacity!F44=C44,Raw_Capacity!G44=Raw_Capacity!E44*Raw_Capacity!F44),1,0)</f>
        <v>0</v>
      </c>
      <c r="E44" s="7">
        <f>IF(AND(COUNTIF(Work_Capacity!$B$2:$B$92,B44)&gt;1,D44=0),1,0)</f>
        <v>0</v>
      </c>
      <c r="F44" s="7">
        <f>IF(AND(E44=0,Raw_Capacity!F44=C44,Raw_Capacity!G44&lt;&gt;Raw_Capacity!E44*Raw_Capacity!F44),1,0)</f>
        <v>0</v>
      </c>
      <c r="G44" s="7">
        <f>IF(AND(E44=0,Raw_Capacity!F44&lt;&gt;C44,Raw_Capacity!G44=Raw_Capacity!E44*C44),1,0)</f>
        <v>1</v>
      </c>
    </row>
    <row r="45" spans="1:7">
      <c r="A45" s="7">
        <f>Raw_Capacity!A45</f>
        <v>1173</v>
      </c>
      <c r="B45" s="7" t="str">
        <f>Raw_Capacity!B45&amp;"|"&amp;Raw_Capacity!C45&amp;"|"&amp;Raw_Capacity!D45</f>
        <v>42|2025-09-10|3A</v>
      </c>
      <c r="C45" s="7">
        <f>INDEX(Lookup_Class!$B$2:$B$7,MATCH(Raw_Capacity!D45,Lookup_Class!$A$2:$A$7,0))</f>
        <v>64</v>
      </c>
      <c r="D45" s="7">
        <f>IF(AND(Raw_Capacity!F45=C45,Raw_Capacity!G45=Raw_Capacity!E45*Raw_Capacity!F45),1,0)</f>
        <v>1</v>
      </c>
      <c r="E45" s="7">
        <f>IF(AND(COUNTIF(Work_Capacity!$B$2:$B$92,B45)&gt;1,D45=0),1,0)</f>
        <v>0</v>
      </c>
      <c r="F45" s="7">
        <f>IF(AND(E45=0,Raw_Capacity!F45=C45,Raw_Capacity!G45&lt;&gt;Raw_Capacity!E45*Raw_Capacity!F45),1,0)</f>
        <v>0</v>
      </c>
      <c r="G45" s="7">
        <f>IF(AND(E45=0,Raw_Capacity!F45&lt;&gt;C45,Raw_Capacity!G45=Raw_Capacity!E45*C45),1,0)</f>
        <v>0</v>
      </c>
    </row>
    <row r="46" spans="1:7">
      <c r="A46" s="7">
        <f>Raw_Capacity!A46</f>
        <v>1268</v>
      </c>
      <c r="B46" s="7" t="str">
        <f>Raw_Capacity!B46&amp;"|"&amp;Raw_Capacity!C46&amp;"|"&amp;Raw_Capacity!D46</f>
        <v>41|2025-10-13|3A</v>
      </c>
      <c r="C46" s="7">
        <f>INDEX(Lookup_Class!$B$2:$B$7,MATCH(Raw_Capacity!D46,Lookup_Class!$A$2:$A$7,0))</f>
        <v>64</v>
      </c>
      <c r="D46" s="7">
        <f>IF(AND(Raw_Capacity!F46=C46,Raw_Capacity!G46=Raw_Capacity!E46*Raw_Capacity!F46),1,0)</f>
        <v>1</v>
      </c>
      <c r="E46" s="7">
        <f>IF(AND(COUNTIF(Work_Capacity!$B$2:$B$92,B46)&gt;1,D46=0),1,0)</f>
        <v>0</v>
      </c>
      <c r="F46" s="7">
        <f>IF(AND(E46=0,Raw_Capacity!F46=C46,Raw_Capacity!G46&lt;&gt;Raw_Capacity!E46*Raw_Capacity!F46),1,0)</f>
        <v>0</v>
      </c>
      <c r="G46" s="7">
        <f>IF(AND(E46=0,Raw_Capacity!F46&lt;&gt;C46,Raw_Capacity!G46=Raw_Capacity!E46*C46),1,0)</f>
        <v>0</v>
      </c>
    </row>
    <row r="47" spans="1:7">
      <c r="A47" s="7">
        <f>Raw_Capacity!A47</f>
        <v>1280</v>
      </c>
      <c r="B47" s="7" t="str">
        <f>Raw_Capacity!B47&amp;"|"&amp;Raw_Capacity!C47&amp;"|"&amp;Raw_Capacity!D47</f>
        <v>3|2025-10-09|3A</v>
      </c>
      <c r="C47" s="7">
        <f>INDEX(Lookup_Class!$B$2:$B$7,MATCH(Raw_Capacity!D47,Lookup_Class!$A$2:$A$7,0))</f>
        <v>64</v>
      </c>
      <c r="D47" s="7">
        <f>IF(AND(Raw_Capacity!F47=C47,Raw_Capacity!G47=Raw_Capacity!E47*Raw_Capacity!F47),1,0)</f>
        <v>1</v>
      </c>
      <c r="E47" s="7">
        <f>IF(AND(COUNTIF(Work_Capacity!$B$2:$B$92,B47)&gt;1,D47=0),1,0)</f>
        <v>0</v>
      </c>
      <c r="F47" s="7">
        <f>IF(AND(E47=0,Raw_Capacity!F47=C47,Raw_Capacity!G47&lt;&gt;Raw_Capacity!E47*Raw_Capacity!F47),1,0)</f>
        <v>0</v>
      </c>
      <c r="G47" s="7">
        <f>IF(AND(E47=0,Raw_Capacity!F47&lt;&gt;C47,Raw_Capacity!G47=Raw_Capacity!E47*C47),1,0)</f>
        <v>0</v>
      </c>
    </row>
    <row r="48" spans="1:7">
      <c r="A48" s="7">
        <f>Raw_Capacity!A48</f>
        <v>1289</v>
      </c>
      <c r="B48" s="7" t="str">
        <f>Raw_Capacity!B48&amp;"|"&amp;Raw_Capacity!C48&amp;"|"&amp;Raw_Capacity!D48</f>
        <v>45|2025-10-13|3A</v>
      </c>
      <c r="C48" s="7">
        <f>INDEX(Lookup_Class!$B$2:$B$7,MATCH(Raw_Capacity!D48,Lookup_Class!$A$2:$A$7,0))</f>
        <v>64</v>
      </c>
      <c r="D48" s="7">
        <f>IF(AND(Raw_Capacity!F48=C48,Raw_Capacity!G48=Raw_Capacity!E48*Raw_Capacity!F48),1,0)</f>
        <v>1</v>
      </c>
      <c r="E48" s="7">
        <f>IF(AND(COUNTIF(Work_Capacity!$B$2:$B$92,B48)&gt;1,D48=0),1,0)</f>
        <v>0</v>
      </c>
      <c r="F48" s="7">
        <f>IF(AND(E48=0,Raw_Capacity!F48=C48,Raw_Capacity!G48&lt;&gt;Raw_Capacity!E48*Raw_Capacity!F48),1,0)</f>
        <v>0</v>
      </c>
      <c r="G48" s="7">
        <f>IF(AND(E48=0,Raw_Capacity!F48&lt;&gt;C48,Raw_Capacity!G48=Raw_Capacity!E48*C48),1,0)</f>
        <v>0</v>
      </c>
    </row>
    <row r="49" spans="1:7">
      <c r="A49" s="7">
        <f>Raw_Capacity!A49</f>
        <v>1319</v>
      </c>
      <c r="B49" s="7" t="str">
        <f>Raw_Capacity!B49&amp;"|"&amp;Raw_Capacity!C49&amp;"|"&amp;Raw_Capacity!D49</f>
        <v>48|2025-10-15|2A</v>
      </c>
      <c r="C49" s="7">
        <f>INDEX(Lookup_Class!$B$2:$B$7,MATCH(Raw_Capacity!D49,Lookup_Class!$A$2:$A$7,0))</f>
        <v>46</v>
      </c>
      <c r="D49" s="7">
        <f>IF(AND(Raw_Capacity!F49=C49,Raw_Capacity!G49=Raw_Capacity!E49*Raw_Capacity!F49),1,0)</f>
        <v>0</v>
      </c>
      <c r="E49" s="7">
        <f>IF(AND(COUNTIF(Work_Capacity!$B$2:$B$92,B49)&gt;1,D49=0),1,0)</f>
        <v>0</v>
      </c>
      <c r="F49" s="7">
        <f>IF(AND(E49=0,Raw_Capacity!F49=C49,Raw_Capacity!G49&lt;&gt;Raw_Capacity!E49*Raw_Capacity!F49),1,0)</f>
        <v>1</v>
      </c>
      <c r="G49" s="7">
        <f>IF(AND(E49=0,Raw_Capacity!F49&lt;&gt;C49,Raw_Capacity!G49=Raw_Capacity!E49*C49),1,0)</f>
        <v>0</v>
      </c>
    </row>
    <row r="50" spans="1:7">
      <c r="A50" s="7">
        <f>Raw_Capacity!A50</f>
        <v>1457</v>
      </c>
      <c r="B50" s="7" t="str">
        <f>Raw_Capacity!B50&amp;"|"&amp;Raw_Capacity!C50&amp;"|"&amp;Raw_Capacity!D50</f>
        <v>47|2025-12-22|3A</v>
      </c>
      <c r="C50" s="7">
        <f>INDEX(Lookup_Class!$B$2:$B$7,MATCH(Raw_Capacity!D50,Lookup_Class!$A$2:$A$7,0))</f>
        <v>64</v>
      </c>
      <c r="D50" s="7">
        <f>IF(AND(Raw_Capacity!F50=C50,Raw_Capacity!G50=Raw_Capacity!E50*Raw_Capacity!F50),1,0)</f>
        <v>1</v>
      </c>
      <c r="E50" s="7">
        <f>IF(AND(COUNTIF(Work_Capacity!$B$2:$B$92,B50)&gt;1,D50=0),1,0)</f>
        <v>0</v>
      </c>
      <c r="F50" s="7">
        <f>IF(AND(E50=0,Raw_Capacity!F50=C50,Raw_Capacity!G50&lt;&gt;Raw_Capacity!E50*Raw_Capacity!F50),1,0)</f>
        <v>0</v>
      </c>
      <c r="G50" s="7">
        <f>IF(AND(E50=0,Raw_Capacity!F50&lt;&gt;C50,Raw_Capacity!G50=Raw_Capacity!E50*C50),1,0)</f>
        <v>0</v>
      </c>
    </row>
    <row r="51" spans="1:7">
      <c r="A51" s="7">
        <f>Raw_Capacity!A51</f>
        <v>1467</v>
      </c>
      <c r="B51" s="7" t="str">
        <f>Raw_Capacity!B51&amp;"|"&amp;Raw_Capacity!C51&amp;"|"&amp;Raw_Capacity!D51</f>
        <v>51|2025-12-19|3A</v>
      </c>
      <c r="C51" s="7">
        <f>INDEX(Lookup_Class!$B$2:$B$7,MATCH(Raw_Capacity!D51,Lookup_Class!$A$2:$A$7,0))</f>
        <v>64</v>
      </c>
      <c r="D51" s="7">
        <f>IF(AND(Raw_Capacity!F51=C51,Raw_Capacity!G51=Raw_Capacity!E51*Raw_Capacity!F51),1,0)</f>
        <v>1</v>
      </c>
      <c r="E51" s="7">
        <f>IF(AND(COUNTIF(Work_Capacity!$B$2:$B$92,B51)&gt;1,D51=0),1,0)</f>
        <v>0</v>
      </c>
      <c r="F51" s="7">
        <f>IF(AND(E51=0,Raw_Capacity!F51=C51,Raw_Capacity!G51&lt;&gt;Raw_Capacity!E51*Raw_Capacity!F51),1,0)</f>
        <v>0</v>
      </c>
      <c r="G51" s="7">
        <f>IF(AND(E51=0,Raw_Capacity!F51&lt;&gt;C51,Raw_Capacity!G51=Raw_Capacity!E51*C51),1,0)</f>
        <v>0</v>
      </c>
    </row>
    <row r="52" spans="1:7">
      <c r="A52" s="7">
        <f>Raw_Capacity!A52</f>
        <v>1485</v>
      </c>
      <c r="B52" s="7" t="str">
        <f>Raw_Capacity!B52&amp;"|"&amp;Raw_Capacity!C52&amp;"|"&amp;Raw_Capacity!D52</f>
        <v>44|2025-12-06|SL</v>
      </c>
      <c r="C52" s="7">
        <f>INDEX(Lookup_Class!$B$2:$B$7,MATCH(Raw_Capacity!D52,Lookup_Class!$A$2:$A$7,0))</f>
        <v>72</v>
      </c>
      <c r="D52" s="7">
        <f>IF(AND(Raw_Capacity!F52=C52,Raw_Capacity!G52=Raw_Capacity!E52*Raw_Capacity!F52),1,0)</f>
        <v>1</v>
      </c>
      <c r="E52" s="7">
        <f>IF(AND(COUNTIF(Work_Capacity!$B$2:$B$92,B52)&gt;1,D52=0),1,0)</f>
        <v>0</v>
      </c>
      <c r="F52" s="7">
        <f>IF(AND(E52=0,Raw_Capacity!F52=C52,Raw_Capacity!G52&lt;&gt;Raw_Capacity!E52*Raw_Capacity!F52),1,0)</f>
        <v>0</v>
      </c>
      <c r="G52" s="7">
        <f>IF(AND(E52=0,Raw_Capacity!F52&lt;&gt;C52,Raw_Capacity!G52=Raw_Capacity!E52*C52),1,0)</f>
        <v>0</v>
      </c>
    </row>
    <row r="53" spans="1:7">
      <c r="A53" s="7">
        <f>Raw_Capacity!A53</f>
        <v>1488</v>
      </c>
      <c r="B53" s="7" t="str">
        <f>Raw_Capacity!B53&amp;"|"&amp;Raw_Capacity!C53&amp;"|"&amp;Raw_Capacity!D53</f>
        <v>38|2025-12-20|3A</v>
      </c>
      <c r="C53" s="7">
        <f>INDEX(Lookup_Class!$B$2:$B$7,MATCH(Raw_Capacity!D53,Lookup_Class!$A$2:$A$7,0))</f>
        <v>64</v>
      </c>
      <c r="D53" s="7">
        <f>IF(AND(Raw_Capacity!F53=C53,Raw_Capacity!G53=Raw_Capacity!E53*Raw_Capacity!F53),1,0)</f>
        <v>0</v>
      </c>
      <c r="E53" s="7">
        <f>IF(AND(COUNTIF(Work_Capacity!$B$2:$B$92,B53)&gt;1,D53=0),1,0)</f>
        <v>0</v>
      </c>
      <c r="F53" s="7">
        <f>IF(AND(E53=0,Raw_Capacity!F53=C53,Raw_Capacity!G53&lt;&gt;Raw_Capacity!E53*Raw_Capacity!F53),1,0)</f>
        <v>0</v>
      </c>
      <c r="G53" s="7">
        <f>IF(AND(E53=0,Raw_Capacity!F53&lt;&gt;C53,Raw_Capacity!G53=Raw_Capacity!E53*C53),1,0)</f>
        <v>1</v>
      </c>
    </row>
    <row r="54" spans="1:7">
      <c r="A54" s="7">
        <f>Raw_Capacity!A54</f>
        <v>1518</v>
      </c>
      <c r="B54" s="7" t="str">
        <f>Raw_Capacity!B54&amp;"|"&amp;Raw_Capacity!C54&amp;"|"&amp;Raw_Capacity!D54</f>
        <v>20|2025-12-09|3A</v>
      </c>
      <c r="C54" s="7">
        <f>INDEX(Lookup_Class!$B$2:$B$7,MATCH(Raw_Capacity!D54,Lookup_Class!$A$2:$A$7,0))</f>
        <v>64</v>
      </c>
      <c r="D54" s="7">
        <f>IF(AND(Raw_Capacity!F54=C54,Raw_Capacity!G54=Raw_Capacity!E54*Raw_Capacity!F54),1,0)</f>
        <v>1</v>
      </c>
      <c r="E54" s="7">
        <f>IF(AND(COUNTIF(Work_Capacity!$B$2:$B$92,B54)&gt;1,D54=0),1,0)</f>
        <v>0</v>
      </c>
      <c r="F54" s="7">
        <f>IF(AND(E54=0,Raw_Capacity!F54=C54,Raw_Capacity!G54&lt;&gt;Raw_Capacity!E54*Raw_Capacity!F54),1,0)</f>
        <v>0</v>
      </c>
      <c r="G54" s="7">
        <f>IF(AND(E54=0,Raw_Capacity!F54&lt;&gt;C54,Raw_Capacity!G54=Raw_Capacity!E54*C54),1,0)</f>
        <v>0</v>
      </c>
    </row>
    <row r="55" spans="1:7">
      <c r="A55" s="7">
        <f>Raw_Capacity!A55</f>
        <v>1565</v>
      </c>
      <c r="B55" s="7" t="str">
        <f>Raw_Capacity!B55&amp;"|"&amp;Raw_Capacity!C55&amp;"|"&amp;Raw_Capacity!D55</f>
        <v>46|2026-01-07|2A</v>
      </c>
      <c r="C55" s="7">
        <f>INDEX(Lookup_Class!$B$2:$B$7,MATCH(Raw_Capacity!D55,Lookup_Class!$A$2:$A$7,0))</f>
        <v>46</v>
      </c>
      <c r="D55" s="7">
        <f>IF(AND(Raw_Capacity!F55=C55,Raw_Capacity!G55=Raw_Capacity!E55*Raw_Capacity!F55),1,0)</f>
        <v>1</v>
      </c>
      <c r="E55" s="7">
        <f>IF(AND(COUNTIF(Work_Capacity!$B$2:$B$92,B55)&gt;1,D55=0),1,0)</f>
        <v>0</v>
      </c>
      <c r="F55" s="7">
        <f>IF(AND(E55=0,Raw_Capacity!F55=C55,Raw_Capacity!G55&lt;&gt;Raw_Capacity!E55*Raw_Capacity!F55),1,0)</f>
        <v>0</v>
      </c>
      <c r="G55" s="7">
        <f>IF(AND(E55=0,Raw_Capacity!F55&lt;&gt;C55,Raw_Capacity!G55=Raw_Capacity!E55*C55),1,0)</f>
        <v>0</v>
      </c>
    </row>
    <row r="56" spans="1:7">
      <c r="A56" s="7">
        <f>Raw_Capacity!A56</f>
        <v>1574</v>
      </c>
      <c r="B56" s="7" t="str">
        <f>Raw_Capacity!B56&amp;"|"&amp;Raw_Capacity!C56&amp;"|"&amp;Raw_Capacity!D56</f>
        <v>37|2026-01-26|2A</v>
      </c>
      <c r="C56" s="7">
        <f>INDEX(Lookup_Class!$B$2:$B$7,MATCH(Raw_Capacity!D56,Lookup_Class!$A$2:$A$7,0))</f>
        <v>46</v>
      </c>
      <c r="D56" s="7">
        <f>IF(AND(Raw_Capacity!F56=C56,Raw_Capacity!G56=Raw_Capacity!E56*Raw_Capacity!F56),1,0)</f>
        <v>1</v>
      </c>
      <c r="E56" s="7">
        <f>IF(AND(COUNTIF(Work_Capacity!$B$2:$B$92,B56)&gt;1,D56=0),1,0)</f>
        <v>0</v>
      </c>
      <c r="F56" s="7">
        <f>IF(AND(E56=0,Raw_Capacity!F56=C56,Raw_Capacity!G56&lt;&gt;Raw_Capacity!E56*Raw_Capacity!F56),1,0)</f>
        <v>0</v>
      </c>
      <c r="G56" s="7">
        <f>IF(AND(E56=0,Raw_Capacity!F56&lt;&gt;C56,Raw_Capacity!G56=Raw_Capacity!E56*C56),1,0)</f>
        <v>0</v>
      </c>
    </row>
    <row r="57" spans="1:7">
      <c r="A57" s="7">
        <f>Raw_Capacity!A57</f>
        <v>1587</v>
      </c>
      <c r="B57" s="7" t="str">
        <f>Raw_Capacity!B57&amp;"|"&amp;Raw_Capacity!C57&amp;"|"&amp;Raw_Capacity!D57</f>
        <v>45|2026-01-26|SL</v>
      </c>
      <c r="C57" s="7">
        <f>INDEX(Lookup_Class!$B$2:$B$7,MATCH(Raw_Capacity!D57,Lookup_Class!$A$2:$A$7,0))</f>
        <v>72</v>
      </c>
      <c r="D57" s="7">
        <f>IF(AND(Raw_Capacity!F57=C57,Raw_Capacity!G57=Raw_Capacity!E57*Raw_Capacity!F57),1,0)</f>
        <v>1</v>
      </c>
      <c r="E57" s="7">
        <f>IF(AND(COUNTIF(Work_Capacity!$B$2:$B$92,B57)&gt;1,D57=0),1,0)</f>
        <v>0</v>
      </c>
      <c r="F57" s="7">
        <f>IF(AND(E57=0,Raw_Capacity!F57=C57,Raw_Capacity!G57&lt;&gt;Raw_Capacity!E57*Raw_Capacity!F57),1,0)</f>
        <v>0</v>
      </c>
      <c r="G57" s="7">
        <f>IF(AND(E57=0,Raw_Capacity!F57&lt;&gt;C57,Raw_Capacity!G57=Raw_Capacity!E57*C57),1,0)</f>
        <v>0</v>
      </c>
    </row>
    <row r="58" spans="1:7">
      <c r="A58" s="7">
        <f>Raw_Capacity!A58</f>
        <v>1599</v>
      </c>
      <c r="B58" s="7" t="str">
        <f>Raw_Capacity!B58&amp;"|"&amp;Raw_Capacity!C58&amp;"|"&amp;Raw_Capacity!D58</f>
        <v>12|2026-01-27|2S</v>
      </c>
      <c r="C58" s="7">
        <f>INDEX(Lookup_Class!$B$2:$B$7,MATCH(Raw_Capacity!D58,Lookup_Class!$A$2:$A$7,0))</f>
        <v>108</v>
      </c>
      <c r="D58" s="7">
        <f>IF(AND(Raw_Capacity!F58=C58,Raw_Capacity!G58=Raw_Capacity!E58*Raw_Capacity!F58),1,0)</f>
        <v>1</v>
      </c>
      <c r="E58" s="7">
        <f>IF(AND(COUNTIF(Work_Capacity!$B$2:$B$92,B58)&gt;1,D58=0),1,0)</f>
        <v>0</v>
      </c>
      <c r="F58" s="7">
        <f>IF(AND(E58=0,Raw_Capacity!F58=C58,Raw_Capacity!G58&lt;&gt;Raw_Capacity!E58*Raw_Capacity!F58),1,0)</f>
        <v>0</v>
      </c>
      <c r="G58" s="7">
        <f>IF(AND(E58=0,Raw_Capacity!F58&lt;&gt;C58,Raw_Capacity!G58=Raw_Capacity!E58*C58),1,0)</f>
        <v>0</v>
      </c>
    </row>
    <row r="59" spans="1:7">
      <c r="A59" s="7">
        <f>Raw_Capacity!A59</f>
        <v>1604</v>
      </c>
      <c r="B59" s="7" t="str">
        <f>Raw_Capacity!B59&amp;"|"&amp;Raw_Capacity!C59&amp;"|"&amp;Raw_Capacity!D59</f>
        <v>25|2026-01-13|3A</v>
      </c>
      <c r="C59" s="7">
        <f>INDEX(Lookup_Class!$B$2:$B$7,MATCH(Raw_Capacity!D59,Lookup_Class!$A$2:$A$7,0))</f>
        <v>64</v>
      </c>
      <c r="D59" s="7">
        <f>IF(AND(Raw_Capacity!F59=C59,Raw_Capacity!G59=Raw_Capacity!E59*Raw_Capacity!F59),1,0)</f>
        <v>1</v>
      </c>
      <c r="E59" s="7">
        <f>IF(AND(COUNTIF(Work_Capacity!$B$2:$B$92,B59)&gt;1,D59=0),1,0)</f>
        <v>0</v>
      </c>
      <c r="F59" s="7">
        <f>IF(AND(E59=0,Raw_Capacity!F59=C59,Raw_Capacity!G59&lt;&gt;Raw_Capacity!E59*Raw_Capacity!F59),1,0)</f>
        <v>0</v>
      </c>
      <c r="G59" s="7">
        <f>IF(AND(E59=0,Raw_Capacity!F59&lt;&gt;C59,Raw_Capacity!G59=Raw_Capacity!E59*C59),1,0)</f>
        <v>0</v>
      </c>
    </row>
    <row r="60" spans="1:7">
      <c r="A60" s="7">
        <f>Raw_Capacity!A60</f>
        <v>1654</v>
      </c>
      <c r="B60" s="7" t="str">
        <f>Raw_Capacity!B60&amp;"|"&amp;Raw_Capacity!C60&amp;"|"&amp;Raw_Capacity!D60</f>
        <v>1|2026-02-26|SL</v>
      </c>
      <c r="C60" s="7">
        <f>INDEX(Lookup_Class!$B$2:$B$7,MATCH(Raw_Capacity!D60,Lookup_Class!$A$2:$A$7,0))</f>
        <v>72</v>
      </c>
      <c r="D60" s="7">
        <f>IF(AND(Raw_Capacity!F60=C60,Raw_Capacity!G60=Raw_Capacity!E60*Raw_Capacity!F60),1,0)</f>
        <v>0</v>
      </c>
      <c r="E60" s="7">
        <f>IF(AND(COUNTIF(Work_Capacity!$B$2:$B$92,B60)&gt;1,D60=0),1,0)</f>
        <v>0</v>
      </c>
      <c r="F60" s="7">
        <f>IF(AND(E60=0,Raw_Capacity!F60=C60,Raw_Capacity!G60&lt;&gt;Raw_Capacity!E60*Raw_Capacity!F60),1,0)</f>
        <v>1</v>
      </c>
      <c r="G60" s="7">
        <f>IF(AND(E60=0,Raw_Capacity!F60&lt;&gt;C60,Raw_Capacity!G60=Raw_Capacity!E60*C60),1,0)</f>
        <v>0</v>
      </c>
    </row>
    <row r="61" spans="1:7">
      <c r="A61" s="7">
        <f>Raw_Capacity!A61</f>
        <v>1682</v>
      </c>
      <c r="B61" s="7" t="str">
        <f>Raw_Capacity!B61&amp;"|"&amp;Raw_Capacity!C61&amp;"|"&amp;Raw_Capacity!D61</f>
        <v>19|2026-02-08|2S</v>
      </c>
      <c r="C61" s="7">
        <f>INDEX(Lookup_Class!$B$2:$B$7,MATCH(Raw_Capacity!D61,Lookup_Class!$A$2:$A$7,0))</f>
        <v>108</v>
      </c>
      <c r="D61" s="7">
        <f>IF(AND(Raw_Capacity!F61=C61,Raw_Capacity!G61=Raw_Capacity!E61*Raw_Capacity!F61),1,0)</f>
        <v>1</v>
      </c>
      <c r="E61" s="7">
        <f>IF(AND(COUNTIF(Work_Capacity!$B$2:$B$92,B61)&gt;1,D61=0),1,0)</f>
        <v>0</v>
      </c>
      <c r="F61" s="7">
        <f>IF(AND(E61=0,Raw_Capacity!F61=C61,Raw_Capacity!G61&lt;&gt;Raw_Capacity!E61*Raw_Capacity!F61),1,0)</f>
        <v>0</v>
      </c>
      <c r="G61" s="7">
        <f>IF(AND(E61=0,Raw_Capacity!F61&lt;&gt;C61,Raw_Capacity!G61=Raw_Capacity!E61*C61),1,0)</f>
        <v>0</v>
      </c>
    </row>
    <row r="62" spans="1:7">
      <c r="A62" s="7">
        <f>Raw_Capacity!A62</f>
        <v>1689</v>
      </c>
      <c r="B62" s="7" t="str">
        <f>Raw_Capacity!B62&amp;"|"&amp;Raw_Capacity!C62&amp;"|"&amp;Raw_Capacity!D62</f>
        <v>16|2026-02-22|2A</v>
      </c>
      <c r="C62" s="7">
        <f>INDEX(Lookup_Class!$B$2:$B$7,MATCH(Raw_Capacity!D62,Lookup_Class!$A$2:$A$7,0))</f>
        <v>46</v>
      </c>
      <c r="D62" s="7">
        <f>IF(AND(Raw_Capacity!F62=C62,Raw_Capacity!G62=Raw_Capacity!E62*Raw_Capacity!F62),1,0)</f>
        <v>0</v>
      </c>
      <c r="E62" s="7">
        <f>IF(AND(COUNTIF(Work_Capacity!$B$2:$B$92,B62)&gt;1,D62=0),1,0)</f>
        <v>0</v>
      </c>
      <c r="F62" s="7">
        <f>IF(AND(E62=0,Raw_Capacity!F62=C62,Raw_Capacity!G62&lt;&gt;Raw_Capacity!E62*Raw_Capacity!F62),1,0)</f>
        <v>1</v>
      </c>
      <c r="G62" s="7">
        <f>IF(AND(E62=0,Raw_Capacity!F62&lt;&gt;C62,Raw_Capacity!G62=Raw_Capacity!E62*C62),1,0)</f>
        <v>0</v>
      </c>
    </row>
    <row r="63" spans="1:7">
      <c r="A63" s="7">
        <f>Raw_Capacity!A63</f>
        <v>1752</v>
      </c>
      <c r="B63" s="7" t="str">
        <f>Raw_Capacity!B63&amp;"|"&amp;Raw_Capacity!C63&amp;"|"&amp;Raw_Capacity!D63</f>
        <v>11|2026-03-27|2A</v>
      </c>
      <c r="C63" s="7">
        <f>INDEX(Lookup_Class!$B$2:$B$7,MATCH(Raw_Capacity!D63,Lookup_Class!$A$2:$A$7,0))</f>
        <v>46</v>
      </c>
      <c r="D63" s="7">
        <f>IF(AND(Raw_Capacity!F63=C63,Raw_Capacity!G63=Raw_Capacity!E63*Raw_Capacity!F63),1,0)</f>
        <v>1</v>
      </c>
      <c r="E63" s="7">
        <f>IF(AND(COUNTIF(Work_Capacity!$B$2:$B$92,B63)&gt;1,D63=0),1,0)</f>
        <v>0</v>
      </c>
      <c r="F63" s="7">
        <f>IF(AND(E63=0,Raw_Capacity!F63=C63,Raw_Capacity!G63&lt;&gt;Raw_Capacity!E63*Raw_Capacity!F63),1,0)</f>
        <v>0</v>
      </c>
      <c r="G63" s="7">
        <f>IF(AND(E63=0,Raw_Capacity!F63&lt;&gt;C63,Raw_Capacity!G63=Raw_Capacity!E63*C63),1,0)</f>
        <v>0</v>
      </c>
    </row>
    <row r="64" spans="1:7">
      <c r="A64" s="7">
        <f>Raw_Capacity!A64</f>
        <v>1763</v>
      </c>
      <c r="B64" s="7" t="str">
        <f>Raw_Capacity!B64&amp;"|"&amp;Raw_Capacity!C64&amp;"|"&amp;Raw_Capacity!D64</f>
        <v>46|2026-03-18|2A</v>
      </c>
      <c r="C64" s="7">
        <f>INDEX(Lookup_Class!$B$2:$B$7,MATCH(Raw_Capacity!D64,Lookup_Class!$A$2:$A$7,0))</f>
        <v>46</v>
      </c>
      <c r="D64" s="7">
        <f>IF(AND(Raw_Capacity!F64=C64,Raw_Capacity!G64=Raw_Capacity!E64*Raw_Capacity!F64),1,0)</f>
        <v>1</v>
      </c>
      <c r="E64" s="7">
        <f>IF(AND(COUNTIF(Work_Capacity!$B$2:$B$92,B64)&gt;1,D64=0),1,0)</f>
        <v>0</v>
      </c>
      <c r="F64" s="7">
        <f>IF(AND(E64=0,Raw_Capacity!F64=C64,Raw_Capacity!G64&lt;&gt;Raw_Capacity!E64*Raw_Capacity!F64),1,0)</f>
        <v>0</v>
      </c>
      <c r="G64" s="7">
        <f>IF(AND(E64=0,Raw_Capacity!F64&lt;&gt;C64,Raw_Capacity!G64=Raw_Capacity!E64*C64),1,0)</f>
        <v>0</v>
      </c>
    </row>
    <row r="65" spans="1:7">
      <c r="A65" s="7">
        <f>Raw_Capacity!A65</f>
        <v>1787</v>
      </c>
      <c r="B65" s="7" t="str">
        <f>Raw_Capacity!B65&amp;"|"&amp;Raw_Capacity!C65&amp;"|"&amp;Raw_Capacity!D65</f>
        <v>24|2026-03-04|2A</v>
      </c>
      <c r="C65" s="7">
        <f>INDEX(Lookup_Class!$B$2:$B$7,MATCH(Raw_Capacity!D65,Lookup_Class!$A$2:$A$7,0))</f>
        <v>46</v>
      </c>
      <c r="D65" s="7">
        <f>IF(AND(Raw_Capacity!F65=C65,Raw_Capacity!G65=Raw_Capacity!E65*Raw_Capacity!F65),1,0)</f>
        <v>1</v>
      </c>
      <c r="E65" s="7">
        <f>IF(AND(COUNTIF(Work_Capacity!$B$2:$B$92,B65)&gt;1,D65=0),1,0)</f>
        <v>0</v>
      </c>
      <c r="F65" s="7">
        <f>IF(AND(E65=0,Raw_Capacity!F65=C65,Raw_Capacity!G65&lt;&gt;Raw_Capacity!E65*Raw_Capacity!F65),1,0)</f>
        <v>0</v>
      </c>
      <c r="G65" s="7">
        <f>IF(AND(E65=0,Raw_Capacity!F65&lt;&gt;C65,Raw_Capacity!G65=Raw_Capacity!E65*C65),1,0)</f>
        <v>0</v>
      </c>
    </row>
    <row r="66" spans="1:7">
      <c r="A66" s="7">
        <f>Raw_Capacity!A66</f>
        <v>1792</v>
      </c>
      <c r="B66" s="7" t="str">
        <f>Raw_Capacity!B66&amp;"|"&amp;Raw_Capacity!C66&amp;"|"&amp;Raw_Capacity!D66</f>
        <v>25|2026-03-28|SL</v>
      </c>
      <c r="C66" s="7">
        <f>INDEX(Lookup_Class!$B$2:$B$7,MATCH(Raw_Capacity!D66,Lookup_Class!$A$2:$A$7,0))</f>
        <v>72</v>
      </c>
      <c r="D66" s="7">
        <f>IF(AND(Raw_Capacity!F66=C66,Raw_Capacity!G66=Raw_Capacity!E66*Raw_Capacity!F66),1,0)</f>
        <v>0</v>
      </c>
      <c r="E66" s="7">
        <f>IF(AND(COUNTIF(Work_Capacity!$B$2:$B$92,B66)&gt;1,D66=0),1,0)</f>
        <v>0</v>
      </c>
      <c r="F66" s="7">
        <f>IF(AND(E66=0,Raw_Capacity!F66=C66,Raw_Capacity!G66&lt;&gt;Raw_Capacity!E66*Raw_Capacity!F66),1,0)</f>
        <v>1</v>
      </c>
      <c r="G66" s="7">
        <f>IF(AND(E66=0,Raw_Capacity!F66&lt;&gt;C66,Raw_Capacity!G66=Raw_Capacity!E66*C66),1,0)</f>
        <v>0</v>
      </c>
    </row>
    <row r="67" spans="1:7">
      <c r="A67" s="7">
        <f>Raw_Capacity!A67</f>
        <v>1856</v>
      </c>
      <c r="B67" s="7" t="str">
        <f>Raw_Capacity!B67&amp;"|"&amp;Raw_Capacity!C67&amp;"|"&amp;Raw_Capacity!D67</f>
        <v>25|2026-04-23|3A</v>
      </c>
      <c r="C67" s="7">
        <f>INDEX(Lookup_Class!$B$2:$B$7,MATCH(Raw_Capacity!D67,Lookup_Class!$A$2:$A$7,0))</f>
        <v>64</v>
      </c>
      <c r="D67" s="7">
        <f>IF(AND(Raw_Capacity!F67=C67,Raw_Capacity!G67=Raw_Capacity!E67*Raw_Capacity!F67),1,0)</f>
        <v>0</v>
      </c>
      <c r="E67" s="7">
        <f>IF(AND(COUNTIF(Work_Capacity!$B$2:$B$92,B67)&gt;1,D67=0),1,0)</f>
        <v>0</v>
      </c>
      <c r="F67" s="7">
        <f>IF(AND(E67=0,Raw_Capacity!F67=C67,Raw_Capacity!G67&lt;&gt;Raw_Capacity!E67*Raw_Capacity!F67),1,0)</f>
        <v>0</v>
      </c>
      <c r="G67" s="7">
        <f>IF(AND(E67=0,Raw_Capacity!F67&lt;&gt;C67,Raw_Capacity!G67=Raw_Capacity!E67*C67),1,0)</f>
        <v>1</v>
      </c>
    </row>
    <row r="68" spans="1:7">
      <c r="A68" s="7">
        <f>Raw_Capacity!A68</f>
        <v>1866</v>
      </c>
      <c r="B68" s="7" t="str">
        <f>Raw_Capacity!B68&amp;"|"&amp;Raw_Capacity!C68&amp;"|"&amp;Raw_Capacity!D68</f>
        <v>47|2026-04-17|2S</v>
      </c>
      <c r="C68" s="7">
        <f>INDEX(Lookup_Class!$B$2:$B$7,MATCH(Raw_Capacity!D68,Lookup_Class!$A$2:$A$7,0))</f>
        <v>108</v>
      </c>
      <c r="D68" s="7">
        <f>IF(AND(Raw_Capacity!F68=C68,Raw_Capacity!G68=Raw_Capacity!E68*Raw_Capacity!F68),1,0)</f>
        <v>1</v>
      </c>
      <c r="E68" s="7">
        <f>IF(AND(COUNTIF(Work_Capacity!$B$2:$B$92,B68)&gt;1,D68=0),1,0)</f>
        <v>0</v>
      </c>
      <c r="F68" s="7">
        <f>IF(AND(E68=0,Raw_Capacity!F68=C68,Raw_Capacity!G68&lt;&gt;Raw_Capacity!E68*Raw_Capacity!F68),1,0)</f>
        <v>0</v>
      </c>
      <c r="G68" s="7">
        <f>IF(AND(E68=0,Raw_Capacity!F68&lt;&gt;C68,Raw_Capacity!G68=Raw_Capacity!E68*C68),1,0)</f>
        <v>0</v>
      </c>
    </row>
    <row r="69" spans="1:7">
      <c r="A69" s="7">
        <f>Raw_Capacity!A69</f>
        <v>1918</v>
      </c>
      <c r="B69" s="7" t="str">
        <f>Raw_Capacity!B69&amp;"|"&amp;Raw_Capacity!C69&amp;"|"&amp;Raw_Capacity!D69</f>
        <v>24|2026-05-20|2A</v>
      </c>
      <c r="C69" s="7">
        <f>INDEX(Lookup_Class!$B$2:$B$7,MATCH(Raw_Capacity!D69,Lookup_Class!$A$2:$A$7,0))</f>
        <v>46</v>
      </c>
      <c r="D69" s="7">
        <f>IF(AND(Raw_Capacity!F69=C69,Raw_Capacity!G69=Raw_Capacity!E69*Raw_Capacity!F69),1,0)</f>
        <v>1</v>
      </c>
      <c r="E69" s="7">
        <f>IF(AND(COUNTIF(Work_Capacity!$B$2:$B$92,B69)&gt;1,D69=0),1,0)</f>
        <v>0</v>
      </c>
      <c r="F69" s="7">
        <f>IF(AND(E69=0,Raw_Capacity!F69=C69,Raw_Capacity!G69&lt;&gt;Raw_Capacity!E69*Raw_Capacity!F69),1,0)</f>
        <v>0</v>
      </c>
      <c r="G69" s="7">
        <f>IF(AND(E69=0,Raw_Capacity!F69&lt;&gt;C69,Raw_Capacity!G69=Raw_Capacity!E69*C69),1,0)</f>
        <v>0</v>
      </c>
    </row>
    <row r="70" spans="1:7">
      <c r="A70" s="7">
        <f>Raw_Capacity!A70</f>
        <v>1920</v>
      </c>
      <c r="B70" s="7" t="str">
        <f>Raw_Capacity!B70&amp;"|"&amp;Raw_Capacity!C70&amp;"|"&amp;Raw_Capacity!D70</f>
        <v>24|2026-05-20|SL</v>
      </c>
      <c r="C70" s="7">
        <f>INDEX(Lookup_Class!$B$2:$B$7,MATCH(Raw_Capacity!D70,Lookup_Class!$A$2:$A$7,0))</f>
        <v>72</v>
      </c>
      <c r="D70" s="7">
        <f>IF(AND(Raw_Capacity!F70=C70,Raw_Capacity!G70=Raw_Capacity!E70*Raw_Capacity!F70),1,0)</f>
        <v>1</v>
      </c>
      <c r="E70" s="7">
        <f>IF(AND(COUNTIF(Work_Capacity!$B$2:$B$92,B70)&gt;1,D70=0),1,0)</f>
        <v>0</v>
      </c>
      <c r="F70" s="7">
        <f>IF(AND(E70=0,Raw_Capacity!F70=C70,Raw_Capacity!G70&lt;&gt;Raw_Capacity!E70*Raw_Capacity!F70),1,0)</f>
        <v>0</v>
      </c>
      <c r="G70" s="7">
        <f>IF(AND(E70=0,Raw_Capacity!F70&lt;&gt;C70,Raw_Capacity!G70=Raw_Capacity!E70*C70),1,0)</f>
        <v>0</v>
      </c>
    </row>
    <row r="71" spans="1:7">
      <c r="A71" s="7">
        <f>Raw_Capacity!A71</f>
        <v>1929</v>
      </c>
      <c r="B71" s="7" t="str">
        <f>Raw_Capacity!B71&amp;"|"&amp;Raw_Capacity!C71&amp;"|"&amp;Raw_Capacity!D71</f>
        <v>26|2026-05-18|2A</v>
      </c>
      <c r="C71" s="7">
        <f>INDEX(Lookup_Class!$B$2:$B$7,MATCH(Raw_Capacity!D71,Lookup_Class!$A$2:$A$7,0))</f>
        <v>46</v>
      </c>
      <c r="D71" s="7">
        <f>IF(AND(Raw_Capacity!F71=C71,Raw_Capacity!G71=Raw_Capacity!E71*Raw_Capacity!F71),1,0)</f>
        <v>0</v>
      </c>
      <c r="E71" s="7">
        <f>IF(AND(COUNTIF(Work_Capacity!$B$2:$B$92,B71)&gt;1,D71=0),1,0)</f>
        <v>0</v>
      </c>
      <c r="F71" s="7">
        <f>IF(AND(E71=0,Raw_Capacity!F71=C71,Raw_Capacity!G71&lt;&gt;Raw_Capacity!E71*Raw_Capacity!F71),1,0)</f>
        <v>0</v>
      </c>
      <c r="G71" s="7">
        <f>IF(AND(E71=0,Raw_Capacity!F71&lt;&gt;C71,Raw_Capacity!G71=Raw_Capacity!E71*C71),1,0)</f>
        <v>1</v>
      </c>
    </row>
    <row r="72" spans="1:7">
      <c r="A72" s="7">
        <f>Raw_Capacity!A72</f>
        <v>1931</v>
      </c>
      <c r="B72" s="7" t="str">
        <f>Raw_Capacity!B72&amp;"|"&amp;Raw_Capacity!C72&amp;"|"&amp;Raw_Capacity!D72</f>
        <v>26|2026-05-18|SL</v>
      </c>
      <c r="C72" s="7">
        <f>INDEX(Lookup_Class!$B$2:$B$7,MATCH(Raw_Capacity!D72,Lookup_Class!$A$2:$A$7,0))</f>
        <v>72</v>
      </c>
      <c r="D72" s="7">
        <f>IF(AND(Raw_Capacity!F72=C72,Raw_Capacity!G72=Raw_Capacity!E72*Raw_Capacity!F72),1,0)</f>
        <v>1</v>
      </c>
      <c r="E72" s="7">
        <f>IF(AND(COUNTIF(Work_Capacity!$B$2:$B$92,B72)&gt;1,D72=0),1,0)</f>
        <v>0</v>
      </c>
      <c r="F72" s="7">
        <f>IF(AND(E72=0,Raw_Capacity!F72=C72,Raw_Capacity!G72&lt;&gt;Raw_Capacity!E72*Raw_Capacity!F72),1,0)</f>
        <v>0</v>
      </c>
      <c r="G72" s="7">
        <f>IF(AND(E72=0,Raw_Capacity!F72&lt;&gt;C72,Raw_Capacity!G72=Raw_Capacity!E72*C72),1,0)</f>
        <v>0</v>
      </c>
    </row>
    <row r="73" spans="1:7">
      <c r="A73" s="7">
        <f>Raw_Capacity!A73</f>
        <v>1945</v>
      </c>
      <c r="B73" s="7" t="str">
        <f>Raw_Capacity!B73&amp;"|"&amp;Raw_Capacity!C73&amp;"|"&amp;Raw_Capacity!D73</f>
        <v>17|2026-05-27|SL</v>
      </c>
      <c r="C73" s="7">
        <f>INDEX(Lookup_Class!$B$2:$B$7,MATCH(Raw_Capacity!D73,Lookup_Class!$A$2:$A$7,0))</f>
        <v>72</v>
      </c>
      <c r="D73" s="7">
        <f>IF(AND(Raw_Capacity!F73=C73,Raw_Capacity!G73=Raw_Capacity!E73*Raw_Capacity!F73),1,0)</f>
        <v>0</v>
      </c>
      <c r="E73" s="7">
        <f>IF(AND(COUNTIF(Work_Capacity!$B$2:$B$92,B73)&gt;1,D73=0),1,0)</f>
        <v>0</v>
      </c>
      <c r="F73" s="7">
        <f>IF(AND(E73=0,Raw_Capacity!F73=C73,Raw_Capacity!G73&lt;&gt;Raw_Capacity!E73*Raw_Capacity!F73),1,0)</f>
        <v>0</v>
      </c>
      <c r="G73" s="7">
        <f>IF(AND(E73=0,Raw_Capacity!F73&lt;&gt;C73,Raw_Capacity!G73=Raw_Capacity!E73*C73),1,0)</f>
        <v>1</v>
      </c>
    </row>
    <row r="74" spans="1:7">
      <c r="A74" s="7">
        <f>Raw_Capacity!A74</f>
        <v>1965</v>
      </c>
      <c r="B74" s="7" t="str">
        <f>Raw_Capacity!B74&amp;"|"&amp;Raw_Capacity!C74&amp;"|"&amp;Raw_Capacity!D74</f>
        <v>25|2026-05-25|2A</v>
      </c>
      <c r="C74" s="7">
        <f>INDEX(Lookup_Class!$B$2:$B$7,MATCH(Raw_Capacity!D74,Lookup_Class!$A$2:$A$7,0))</f>
        <v>46</v>
      </c>
      <c r="D74" s="7">
        <f>IF(AND(Raw_Capacity!F74=C74,Raw_Capacity!G74=Raw_Capacity!E74*Raw_Capacity!F74),1,0)</f>
        <v>1</v>
      </c>
      <c r="E74" s="7">
        <f>IF(AND(COUNTIF(Work_Capacity!$B$2:$B$92,B74)&gt;1,D74=0),1,0)</f>
        <v>0</v>
      </c>
      <c r="F74" s="7">
        <f>IF(AND(E74=0,Raw_Capacity!F74=C74,Raw_Capacity!G74&lt;&gt;Raw_Capacity!E74*Raw_Capacity!F74),1,0)</f>
        <v>0</v>
      </c>
      <c r="G74" s="7">
        <f>IF(AND(E74=0,Raw_Capacity!F74&lt;&gt;C74,Raw_Capacity!G74=Raw_Capacity!E74*C74),1,0)</f>
        <v>0</v>
      </c>
    </row>
    <row r="75" spans="1:7">
      <c r="A75" s="7">
        <f>Raw_Capacity!A75</f>
        <v>2055</v>
      </c>
      <c r="B75" s="7" t="str">
        <f>Raw_Capacity!B75&amp;"|"&amp;Raw_Capacity!C75&amp;"|"&amp;Raw_Capacity!D75</f>
        <v>7|2026-06-15|3A</v>
      </c>
      <c r="C75" s="7">
        <f>INDEX(Lookup_Class!$B$2:$B$7,MATCH(Raw_Capacity!D75,Lookup_Class!$A$2:$A$7,0))</f>
        <v>64</v>
      </c>
      <c r="D75" s="7">
        <f>IF(AND(Raw_Capacity!F75=C75,Raw_Capacity!G75=Raw_Capacity!E75*Raw_Capacity!F75),1,0)</f>
        <v>0</v>
      </c>
      <c r="E75" s="7">
        <f>IF(AND(COUNTIF(Work_Capacity!$B$2:$B$92,B75)&gt;1,D75=0),1,0)</f>
        <v>0</v>
      </c>
      <c r="F75" s="7">
        <f>IF(AND(E75=0,Raw_Capacity!F75=C75,Raw_Capacity!G75&lt;&gt;Raw_Capacity!E75*Raw_Capacity!F75),1,0)</f>
        <v>1</v>
      </c>
      <c r="G75" s="7">
        <f>IF(AND(E75=0,Raw_Capacity!F75&lt;&gt;C75,Raw_Capacity!G75=Raw_Capacity!E75*C75),1,0)</f>
        <v>0</v>
      </c>
    </row>
    <row r="76" spans="1:7">
      <c r="A76" s="7">
        <f>Raw_Capacity!A76</f>
        <v>2110</v>
      </c>
      <c r="B76" s="7" t="str">
        <f>Raw_Capacity!B76&amp;"|"&amp;Raw_Capacity!C76&amp;"|"&amp;Raw_Capacity!D76</f>
        <v>37|2026-07-13|2A</v>
      </c>
      <c r="C76" s="7">
        <f>INDEX(Lookup_Class!$B$2:$B$7,MATCH(Raw_Capacity!D76,Lookup_Class!$A$2:$A$7,0))</f>
        <v>46</v>
      </c>
      <c r="D76" s="7">
        <f>IF(AND(Raw_Capacity!F76=C76,Raw_Capacity!G76=Raw_Capacity!E76*Raw_Capacity!F76),1,0)</f>
        <v>1</v>
      </c>
      <c r="E76" s="7">
        <f>IF(AND(COUNTIF(Work_Capacity!$B$2:$B$92,B76)&gt;1,D76=0),1,0)</f>
        <v>0</v>
      </c>
      <c r="F76" s="7">
        <f>IF(AND(E76=0,Raw_Capacity!F76=C76,Raw_Capacity!G76&lt;&gt;Raw_Capacity!E76*Raw_Capacity!F76),1,0)</f>
        <v>0</v>
      </c>
      <c r="G76" s="7">
        <f>IF(AND(E76=0,Raw_Capacity!F76&lt;&gt;C76,Raw_Capacity!G76=Raw_Capacity!E76*C76),1,0)</f>
        <v>0</v>
      </c>
    </row>
    <row r="77" spans="1:7">
      <c r="A77" s="7">
        <f>Raw_Capacity!A77</f>
        <v>2139</v>
      </c>
      <c r="B77" s="7" t="str">
        <f>Raw_Capacity!B77&amp;"|"&amp;Raw_Capacity!C77&amp;"|"&amp;Raw_Capacity!D77</f>
        <v>2|2026-07-21|2S</v>
      </c>
      <c r="C77" s="7">
        <f>INDEX(Lookup_Class!$B$2:$B$7,MATCH(Raw_Capacity!D77,Lookup_Class!$A$2:$A$7,0))</f>
        <v>108</v>
      </c>
      <c r="D77" s="7">
        <f>IF(AND(Raw_Capacity!F77=C77,Raw_Capacity!G77=Raw_Capacity!E77*Raw_Capacity!F77),1,0)</f>
        <v>1</v>
      </c>
      <c r="E77" s="7">
        <f>IF(AND(COUNTIF(Work_Capacity!$B$2:$B$92,B77)&gt;1,D77=0),1,0)</f>
        <v>0</v>
      </c>
      <c r="F77" s="7">
        <f>IF(AND(E77=0,Raw_Capacity!F77=C77,Raw_Capacity!G77&lt;&gt;Raw_Capacity!E77*Raw_Capacity!F77),1,0)</f>
        <v>0</v>
      </c>
      <c r="G77" s="7">
        <f>IF(AND(E77=0,Raw_Capacity!F77&lt;&gt;C77,Raw_Capacity!G77=Raw_Capacity!E77*C77),1,0)</f>
        <v>0</v>
      </c>
    </row>
    <row r="78" spans="1:7">
      <c r="A78" s="7">
        <f>Raw_Capacity!A78</f>
        <v>2153</v>
      </c>
      <c r="B78" s="7" t="str">
        <f>Raw_Capacity!B78&amp;"|"&amp;Raw_Capacity!C78&amp;"|"&amp;Raw_Capacity!D78</f>
        <v>27|2026-07-10|3A</v>
      </c>
      <c r="C78" s="7">
        <f>INDEX(Lookup_Class!$B$2:$B$7,MATCH(Raw_Capacity!D78,Lookup_Class!$A$2:$A$7,0))</f>
        <v>64</v>
      </c>
      <c r="D78" s="7">
        <f>IF(AND(Raw_Capacity!F78=C78,Raw_Capacity!G78=Raw_Capacity!E78*Raw_Capacity!F78),1,0)</f>
        <v>1</v>
      </c>
      <c r="E78" s="7">
        <f>IF(AND(COUNTIF(Work_Capacity!$B$2:$B$92,B78)&gt;1,D78=0),1,0)</f>
        <v>0</v>
      </c>
      <c r="F78" s="7">
        <f>IF(AND(E78=0,Raw_Capacity!F78=C78,Raw_Capacity!G78&lt;&gt;Raw_Capacity!E78*Raw_Capacity!F78),1,0)</f>
        <v>0</v>
      </c>
      <c r="G78" s="7">
        <f>IF(AND(E78=0,Raw_Capacity!F78&lt;&gt;C78,Raw_Capacity!G78=Raw_Capacity!E78*C78),1,0)</f>
        <v>0</v>
      </c>
    </row>
    <row r="79" spans="1:7">
      <c r="A79" s="7">
        <f>Raw_Capacity!A79</f>
        <v>2154</v>
      </c>
      <c r="B79" s="7" t="str">
        <f>Raw_Capacity!B79&amp;"|"&amp;Raw_Capacity!C79&amp;"|"&amp;Raw_Capacity!D79</f>
        <v>27|2026-07-10|SL</v>
      </c>
      <c r="C79" s="7">
        <f>INDEX(Lookup_Class!$B$2:$B$7,MATCH(Raw_Capacity!D79,Lookup_Class!$A$2:$A$7,0))</f>
        <v>72</v>
      </c>
      <c r="D79" s="7">
        <f>IF(AND(Raw_Capacity!F79=C79,Raw_Capacity!G79=Raw_Capacity!E79*Raw_Capacity!F79),1,0)</f>
        <v>0</v>
      </c>
      <c r="E79" s="7">
        <f>IF(AND(COUNTIF(Work_Capacity!$B$2:$B$92,B79)&gt;1,D79=0),1,0)</f>
        <v>0</v>
      </c>
      <c r="F79" s="7">
        <f>IF(AND(E79=0,Raw_Capacity!F79=C79,Raw_Capacity!G79&lt;&gt;Raw_Capacity!E79*Raw_Capacity!F79),1,0)</f>
        <v>1</v>
      </c>
      <c r="G79" s="7">
        <f>IF(AND(E79=0,Raw_Capacity!F79&lt;&gt;C79,Raw_Capacity!G79=Raw_Capacity!E79*C79),1,0)</f>
        <v>0</v>
      </c>
    </row>
    <row r="80" spans="1:7">
      <c r="A80" s="7">
        <f>Raw_Capacity!A80</f>
        <v>2188</v>
      </c>
      <c r="B80" s="7" t="str">
        <f>Raw_Capacity!B80&amp;"|"&amp;Raw_Capacity!C80&amp;"|"&amp;Raw_Capacity!D80</f>
        <v>48|2026-07-28|2A</v>
      </c>
      <c r="C80" s="7">
        <f>INDEX(Lookup_Class!$B$2:$B$7,MATCH(Raw_Capacity!D80,Lookup_Class!$A$2:$A$7,0))</f>
        <v>46</v>
      </c>
      <c r="D80" s="7">
        <f>IF(AND(Raw_Capacity!F80=C80,Raw_Capacity!G80=Raw_Capacity!E80*Raw_Capacity!F80),1,0)</f>
        <v>1</v>
      </c>
      <c r="E80" s="7">
        <f>IF(AND(COUNTIF(Work_Capacity!$B$2:$B$92,B80)&gt;1,D80=0),1,0)</f>
        <v>0</v>
      </c>
      <c r="F80" s="7">
        <f>IF(AND(E80=0,Raw_Capacity!F80=C80,Raw_Capacity!G80&lt;&gt;Raw_Capacity!E80*Raw_Capacity!F80),1,0)</f>
        <v>0</v>
      </c>
      <c r="G80" s="7">
        <f>IF(AND(E80=0,Raw_Capacity!F80&lt;&gt;C80,Raw_Capacity!G80=Raw_Capacity!E80*C80),1,0)</f>
        <v>0</v>
      </c>
    </row>
    <row r="81" spans="1:7">
      <c r="A81" s="7">
        <f>Raw_Capacity!A81</f>
        <v>2230</v>
      </c>
      <c r="B81" s="7" t="str">
        <f>Raw_Capacity!B81&amp;"|"&amp;Raw_Capacity!C81&amp;"|"&amp;Raw_Capacity!D81</f>
        <v>27|2026-08-28|2A</v>
      </c>
      <c r="C81" s="7">
        <f>INDEX(Lookup_Class!$B$2:$B$7,MATCH(Raw_Capacity!D81,Lookup_Class!$A$2:$A$7,0))</f>
        <v>46</v>
      </c>
      <c r="D81" s="7">
        <f>IF(AND(Raw_Capacity!F81=C81,Raw_Capacity!G81=Raw_Capacity!E81*Raw_Capacity!F81),1,0)</f>
        <v>1</v>
      </c>
      <c r="E81" s="7">
        <f>IF(AND(COUNTIF(Work_Capacity!$B$2:$B$92,B81)&gt;1,D81=0),1,0)</f>
        <v>0</v>
      </c>
      <c r="F81" s="7">
        <f>IF(AND(E81=0,Raw_Capacity!F81=C81,Raw_Capacity!G81&lt;&gt;Raw_Capacity!E81*Raw_Capacity!F81),1,0)</f>
        <v>0</v>
      </c>
      <c r="G81" s="7">
        <f>IF(AND(E81=0,Raw_Capacity!F81&lt;&gt;C81,Raw_Capacity!G81=Raw_Capacity!E81*C81),1,0)</f>
        <v>0</v>
      </c>
    </row>
    <row r="82" spans="1:7">
      <c r="A82" s="7">
        <f>Raw_Capacity!A82</f>
        <v>2245</v>
      </c>
      <c r="B82" s="7" t="str">
        <f>Raw_Capacity!B82&amp;"|"&amp;Raw_Capacity!C82&amp;"|"&amp;Raw_Capacity!D82</f>
        <v>26|2026-08-29|3A</v>
      </c>
      <c r="C82" s="7">
        <f>INDEX(Lookup_Class!$B$2:$B$7,MATCH(Raw_Capacity!D82,Lookup_Class!$A$2:$A$7,0))</f>
        <v>64</v>
      </c>
      <c r="D82" s="7">
        <f>IF(AND(Raw_Capacity!F82=C82,Raw_Capacity!G82=Raw_Capacity!E82*Raw_Capacity!F82),1,0)</f>
        <v>1</v>
      </c>
      <c r="E82" s="7">
        <f>IF(AND(COUNTIF(Work_Capacity!$B$2:$B$92,B82)&gt;1,D82=0),1,0)</f>
        <v>0</v>
      </c>
      <c r="F82" s="7">
        <f>IF(AND(E82=0,Raw_Capacity!F82=C82,Raw_Capacity!G82&lt;&gt;Raw_Capacity!E82*Raw_Capacity!F82),1,0)</f>
        <v>0</v>
      </c>
      <c r="G82" s="7">
        <f>IF(AND(E82=0,Raw_Capacity!F82&lt;&gt;C82,Raw_Capacity!G82=Raw_Capacity!E82*C82),1,0)</f>
        <v>0</v>
      </c>
    </row>
    <row r="83" spans="1:7">
      <c r="A83" s="7">
        <f>Raw_Capacity!A83</f>
        <v>2263</v>
      </c>
      <c r="B83" s="7" t="str">
        <f>Raw_Capacity!B83&amp;"|"&amp;Raw_Capacity!C83&amp;"|"&amp;Raw_Capacity!D83</f>
        <v>5|2026-08-04|3A</v>
      </c>
      <c r="C83" s="7">
        <f>INDEX(Lookup_Class!$B$2:$B$7,MATCH(Raw_Capacity!D83,Lookup_Class!$A$2:$A$7,0))</f>
        <v>64</v>
      </c>
      <c r="D83" s="7">
        <f>IF(AND(Raw_Capacity!F83=C83,Raw_Capacity!G83=Raw_Capacity!E83*Raw_Capacity!F83),1,0)</f>
        <v>1</v>
      </c>
      <c r="E83" s="7">
        <f>IF(AND(COUNTIF(Work_Capacity!$B$2:$B$92,B83)&gt;1,D83=0),1,0)</f>
        <v>0</v>
      </c>
      <c r="F83" s="7">
        <f>IF(AND(E83=0,Raw_Capacity!F83=C83,Raw_Capacity!G83&lt;&gt;Raw_Capacity!E83*Raw_Capacity!F83),1,0)</f>
        <v>0</v>
      </c>
      <c r="G83" s="7">
        <f>IF(AND(E83=0,Raw_Capacity!F83&lt;&gt;C83,Raw_Capacity!G83=Raw_Capacity!E83*C83),1,0)</f>
        <v>0</v>
      </c>
    </row>
    <row r="84" spans="1:7">
      <c r="A84" s="7">
        <f>Raw_Capacity!A84</f>
        <v>2281</v>
      </c>
      <c r="B84" s="7" t="str">
        <f>Raw_Capacity!B84&amp;"|"&amp;Raw_Capacity!C84&amp;"|"&amp;Raw_Capacity!D84</f>
        <v>34|2026-08-03|3A</v>
      </c>
      <c r="C84" s="7">
        <f>INDEX(Lookup_Class!$B$2:$B$7,MATCH(Raw_Capacity!D84,Lookup_Class!$A$2:$A$7,0))</f>
        <v>64</v>
      </c>
      <c r="D84" s="7">
        <f>IF(AND(Raw_Capacity!F84=C84,Raw_Capacity!G84=Raw_Capacity!E84*Raw_Capacity!F84),1,0)</f>
        <v>1</v>
      </c>
      <c r="E84" s="7">
        <f>IF(AND(COUNTIF(Work_Capacity!$B$2:$B$92,B84)&gt;1,D84=0),1,0)</f>
        <v>0</v>
      </c>
      <c r="F84" s="7">
        <f>IF(AND(E84=0,Raw_Capacity!F84=C84,Raw_Capacity!G84&lt;&gt;Raw_Capacity!E84*Raw_Capacity!F84),1,0)</f>
        <v>0</v>
      </c>
      <c r="G84" s="7">
        <f>IF(AND(E84=0,Raw_Capacity!F84&lt;&gt;C84,Raw_Capacity!G84=Raw_Capacity!E84*C84),1,0)</f>
        <v>0</v>
      </c>
    </row>
    <row r="85" spans="1:7">
      <c r="A85" s="7">
        <f>Raw_Capacity!A85</f>
        <v>2286</v>
      </c>
      <c r="B85" s="7" t="str">
        <f>Raw_Capacity!B85&amp;"|"&amp;Raw_Capacity!C85&amp;"|"&amp;Raw_Capacity!D85</f>
        <v>21|2024-12-28|2A</v>
      </c>
      <c r="C85" s="7">
        <f>INDEX(Lookup_Class!$B$2:$B$7,MATCH(Raw_Capacity!D85,Lookup_Class!$A$2:$A$7,0))</f>
        <v>46</v>
      </c>
      <c r="D85" s="7">
        <f>IF(AND(Raw_Capacity!F85=C85,Raw_Capacity!G85=Raw_Capacity!E85*Raw_Capacity!F85),1,0)</f>
        <v>0</v>
      </c>
      <c r="E85" s="7">
        <f>IF(AND(COUNTIF(Work_Capacity!$B$2:$B$92,B85)&gt;1,D85=0),1,0)</f>
        <v>1</v>
      </c>
      <c r="F85" s="7">
        <f>IF(AND(E85=0,Raw_Capacity!F85=C85,Raw_Capacity!G85&lt;&gt;Raw_Capacity!E85*Raw_Capacity!F85),1,0)</f>
        <v>0</v>
      </c>
      <c r="G85" s="7">
        <f>IF(AND(E85=0,Raw_Capacity!F85&lt;&gt;C85,Raw_Capacity!G85=Raw_Capacity!E85*C85),1,0)</f>
        <v>0</v>
      </c>
    </row>
    <row r="86" spans="1:7">
      <c r="A86" s="7">
        <f>Raw_Capacity!A86</f>
        <v>2290</v>
      </c>
      <c r="B86" s="7" t="str">
        <f>Raw_Capacity!B86&amp;"|"&amp;Raw_Capacity!C86&amp;"|"&amp;Raw_Capacity!D86</f>
        <v>44|2025-12-06|SL</v>
      </c>
      <c r="C86" s="7">
        <f>INDEX(Lookup_Class!$B$2:$B$7,MATCH(Raw_Capacity!D86,Lookup_Class!$A$2:$A$7,0))</f>
        <v>72</v>
      </c>
      <c r="D86" s="7">
        <f>IF(AND(Raw_Capacity!F86=C86,Raw_Capacity!G86=Raw_Capacity!E86*Raw_Capacity!F86),1,0)</f>
        <v>0</v>
      </c>
      <c r="E86" s="7">
        <f>IF(AND(COUNTIF(Work_Capacity!$B$2:$B$92,B86)&gt;1,D86=0),1,0)</f>
        <v>1</v>
      </c>
      <c r="F86" s="7">
        <f>IF(AND(E86=0,Raw_Capacity!F86=C86,Raw_Capacity!G86&lt;&gt;Raw_Capacity!E86*Raw_Capacity!F86),1,0)</f>
        <v>0</v>
      </c>
      <c r="G86" s="7">
        <f>IF(AND(E86=0,Raw_Capacity!F86&lt;&gt;C86,Raw_Capacity!G86=Raw_Capacity!E86*C86),1,0)</f>
        <v>0</v>
      </c>
    </row>
    <row r="87" spans="1:7">
      <c r="A87" s="7">
        <f>Raw_Capacity!A87</f>
        <v>2292</v>
      </c>
      <c r="B87" s="7" t="str">
        <f>Raw_Capacity!B87&amp;"|"&amp;Raw_Capacity!C87&amp;"|"&amp;Raw_Capacity!D87</f>
        <v>43|2025-05-16|SL</v>
      </c>
      <c r="C87" s="7">
        <f>INDEX(Lookup_Class!$B$2:$B$7,MATCH(Raw_Capacity!D87,Lookup_Class!$A$2:$A$7,0))</f>
        <v>72</v>
      </c>
      <c r="D87" s="7">
        <f>IF(AND(Raw_Capacity!F87=C87,Raw_Capacity!G87=Raw_Capacity!E87*Raw_Capacity!F87),1,0)</f>
        <v>0</v>
      </c>
      <c r="E87" s="7">
        <f>IF(AND(COUNTIF(Work_Capacity!$B$2:$B$92,B87)&gt;1,D87=0),1,0)</f>
        <v>1</v>
      </c>
      <c r="F87" s="7">
        <f>IF(AND(E87=0,Raw_Capacity!F87=C87,Raw_Capacity!G87&lt;&gt;Raw_Capacity!E87*Raw_Capacity!F87),1,0)</f>
        <v>0</v>
      </c>
      <c r="G87" s="7">
        <f>IF(AND(E87=0,Raw_Capacity!F87&lt;&gt;C87,Raw_Capacity!G87=Raw_Capacity!E87*C87),1,0)</f>
        <v>0</v>
      </c>
    </row>
    <row r="88" spans="1:7">
      <c r="A88" s="7">
        <f>Raw_Capacity!A88</f>
        <v>2294</v>
      </c>
      <c r="B88" s="7" t="str">
        <f>Raw_Capacity!B88&amp;"|"&amp;Raw_Capacity!C88&amp;"|"&amp;Raw_Capacity!D88</f>
        <v>27|2026-07-10|3A</v>
      </c>
      <c r="C88" s="7">
        <f>INDEX(Lookup_Class!$B$2:$B$7,MATCH(Raw_Capacity!D88,Lookup_Class!$A$2:$A$7,0))</f>
        <v>64</v>
      </c>
      <c r="D88" s="7">
        <f>IF(AND(Raw_Capacity!F88=C88,Raw_Capacity!G88=Raw_Capacity!E88*Raw_Capacity!F88),1,0)</f>
        <v>0</v>
      </c>
      <c r="E88" s="7">
        <f>IF(AND(COUNTIF(Work_Capacity!$B$2:$B$92,B88)&gt;1,D88=0),1,0)</f>
        <v>1</v>
      </c>
      <c r="F88" s="7">
        <f>IF(AND(E88=0,Raw_Capacity!F88=C88,Raw_Capacity!G88&lt;&gt;Raw_Capacity!E88*Raw_Capacity!F88),1,0)</f>
        <v>0</v>
      </c>
      <c r="G88" s="7">
        <f>IF(AND(E88=0,Raw_Capacity!F88&lt;&gt;C88,Raw_Capacity!G88=Raw_Capacity!E88*C88),1,0)</f>
        <v>0</v>
      </c>
    </row>
    <row r="89" spans="1:7">
      <c r="A89" s="7">
        <f>Raw_Capacity!A89</f>
        <v>2296</v>
      </c>
      <c r="B89" s="7" t="str">
        <f>Raw_Capacity!B89&amp;"|"&amp;Raw_Capacity!C89&amp;"|"&amp;Raw_Capacity!D89</f>
        <v>17|2025-01-01|3A</v>
      </c>
      <c r="C89" s="7">
        <f>INDEX(Lookup_Class!$B$2:$B$7,MATCH(Raw_Capacity!D89,Lookup_Class!$A$2:$A$7,0))</f>
        <v>64</v>
      </c>
      <c r="D89" s="7">
        <f>IF(AND(Raw_Capacity!F89=C89,Raw_Capacity!G89=Raw_Capacity!E89*Raw_Capacity!F89),1,0)</f>
        <v>0</v>
      </c>
      <c r="E89" s="7">
        <f>IF(AND(COUNTIF(Work_Capacity!$B$2:$B$92,B89)&gt;1,D89=0),1,0)</f>
        <v>1</v>
      </c>
      <c r="F89" s="7">
        <f>IF(AND(E89=0,Raw_Capacity!F89=C89,Raw_Capacity!G89&lt;&gt;Raw_Capacity!E89*Raw_Capacity!F89),1,0)</f>
        <v>0</v>
      </c>
      <c r="G89" s="7">
        <f>IF(AND(E89=0,Raw_Capacity!F89&lt;&gt;C89,Raw_Capacity!G89=Raw_Capacity!E89*C89),1,0)</f>
        <v>0</v>
      </c>
    </row>
    <row r="90" spans="1:7">
      <c r="A90" s="7">
        <f>Raw_Capacity!A90</f>
        <v>2299</v>
      </c>
      <c r="B90" s="7" t="str">
        <f>Raw_Capacity!B90&amp;"|"&amp;Raw_Capacity!C90&amp;"|"&amp;Raw_Capacity!D90</f>
        <v>47|2025-12-22|3A</v>
      </c>
      <c r="C90" s="7">
        <f>INDEX(Lookup_Class!$B$2:$B$7,MATCH(Raw_Capacity!D90,Lookup_Class!$A$2:$A$7,0))</f>
        <v>64</v>
      </c>
      <c r="D90" s="7">
        <f>IF(AND(Raw_Capacity!F90=C90,Raw_Capacity!G90=Raw_Capacity!E90*Raw_Capacity!F90),1,0)</f>
        <v>0</v>
      </c>
      <c r="E90" s="7">
        <f>IF(AND(COUNTIF(Work_Capacity!$B$2:$B$92,B90)&gt;1,D90=0),1,0)</f>
        <v>1</v>
      </c>
      <c r="F90" s="7">
        <f>IF(AND(E90=0,Raw_Capacity!F90=C90,Raw_Capacity!G90&lt;&gt;Raw_Capacity!E90*Raw_Capacity!F90),1,0)</f>
        <v>0</v>
      </c>
      <c r="G90" s="7">
        <f>IF(AND(E90=0,Raw_Capacity!F90&lt;&gt;C90,Raw_Capacity!G90=Raw_Capacity!E90*C90),1,0)</f>
        <v>0</v>
      </c>
    </row>
    <row r="91" spans="1:7">
      <c r="A91" s="7">
        <f>Raw_Capacity!A91</f>
        <v>2302</v>
      </c>
      <c r="B91" s="7" t="str">
        <f>Raw_Capacity!B91&amp;"|"&amp;Raw_Capacity!C91&amp;"|"&amp;Raw_Capacity!D91</f>
        <v>6|2025-03-15|2A</v>
      </c>
      <c r="C91" s="7">
        <f>INDEX(Lookup_Class!$B$2:$B$7,MATCH(Raw_Capacity!D91,Lookup_Class!$A$2:$A$7,0))</f>
        <v>46</v>
      </c>
      <c r="D91" s="7">
        <f>IF(AND(Raw_Capacity!F91=C91,Raw_Capacity!G91=Raw_Capacity!E91*Raw_Capacity!F91),1,0)</f>
        <v>0</v>
      </c>
      <c r="E91" s="7">
        <f>IF(AND(COUNTIF(Work_Capacity!$B$2:$B$92,B91)&gt;1,D91=0),1,0)</f>
        <v>1</v>
      </c>
      <c r="F91" s="7">
        <f>IF(AND(E91=0,Raw_Capacity!F91=C91,Raw_Capacity!G91&lt;&gt;Raw_Capacity!E91*Raw_Capacity!F91),1,0)</f>
        <v>0</v>
      </c>
      <c r="G91" s="7">
        <f>IF(AND(E91=0,Raw_Capacity!F91&lt;&gt;C91,Raw_Capacity!G91=Raw_Capacity!E91*C91),1,0)</f>
        <v>0</v>
      </c>
    </row>
    <row r="92" spans="1:7">
      <c r="A92" s="7">
        <f>Raw_Capacity!A92</f>
        <v>2303</v>
      </c>
      <c r="B92" s="7" t="str">
        <f>Raw_Capacity!B92&amp;"|"&amp;Raw_Capacity!C92&amp;"|"&amp;Raw_Capacity!D92</f>
        <v>4|2024-12-18|3A</v>
      </c>
      <c r="C92" s="7">
        <f>INDEX(Lookup_Class!$B$2:$B$7,MATCH(Raw_Capacity!D92,Lookup_Class!$A$2:$A$7,0))</f>
        <v>64</v>
      </c>
      <c r="D92" s="7">
        <f>IF(AND(Raw_Capacity!F92=C92,Raw_Capacity!G92=Raw_Capacity!E92*Raw_Capacity!F92),1,0)</f>
        <v>0</v>
      </c>
      <c r="E92" s="7">
        <f>IF(AND(COUNTIF(Work_Capacity!$B$2:$B$92,B92)&gt;1,D92=0),1,0)</f>
        <v>1</v>
      </c>
      <c r="F92" s="7">
        <f>IF(AND(E92=0,Raw_Capacity!F92=C92,Raw_Capacity!G92&lt;&gt;Raw_Capacity!E92*Raw_Capacity!F92),1,0)</f>
        <v>0</v>
      </c>
      <c r="G92" s="7">
        <f>IF(AND(E92=0,Raw_Capacity!F92&lt;&gt;C92,Raw_Capacity!G92=Raw_Capacity!E92*C92),1,0)</f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rgb="FF2E75B6"/>
  </sheetPr>
  <dimension ref="A1:E56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4" width="15.7109375" customWidth="1"/>
  </cols>
  <sheetData>
    <row r="1" spans="1:5">
      <c r="A1" s="5" t="s">
        <v>1927</v>
      </c>
      <c r="B1" s="5" t="s">
        <v>1977</v>
      </c>
      <c r="C1" s="5" t="s">
        <v>1978</v>
      </c>
      <c r="E1" s="9" t="s">
        <v>1956</v>
      </c>
    </row>
    <row r="2" spans="1:5">
      <c r="A2" s="7">
        <f>Raw_Operations!A2</f>
        <v>12</v>
      </c>
      <c r="B2" s="7">
        <f>IF(TRIM(Raw_Operations!E2&amp;"")="",1,0)</f>
        <v>0</v>
      </c>
      <c r="C2" s="7">
        <f>IF(ISNUMBER(Raw_Operations!E2),IF(OR(Raw_Operations!E2&lt;-60,Raw_Operations!E2&gt;1440),1,0),0)</f>
        <v>0</v>
      </c>
    </row>
    <row r="3" spans="1:5">
      <c r="A3" s="7">
        <f>Raw_Operations!A3</f>
        <v>17</v>
      </c>
      <c r="B3" s="7">
        <f>IF(TRIM(Raw_Operations!E3&amp;"")="",1,0)</f>
        <v>1</v>
      </c>
      <c r="C3" s="7">
        <f>IF(ISNUMBER(Raw_Operations!E3),IF(OR(Raw_Operations!E3&lt;-60,Raw_Operations!E3&gt;1440),1,0),0)</f>
        <v>0</v>
      </c>
    </row>
    <row r="4" spans="1:5">
      <c r="A4" s="7">
        <f>Raw_Operations!A4</f>
        <v>44</v>
      </c>
      <c r="B4" s="7">
        <f>IF(TRIM(Raw_Operations!E4&amp;"")="",1,0)</f>
        <v>0</v>
      </c>
      <c r="C4" s="7">
        <f>IF(ISNUMBER(Raw_Operations!E4),IF(OR(Raw_Operations!E4&lt;-60,Raw_Operations!E4&gt;1440),1,0),0)</f>
        <v>0</v>
      </c>
    </row>
    <row r="5" spans="1:5">
      <c r="A5" s="7">
        <f>Raw_Operations!A5</f>
        <v>45</v>
      </c>
      <c r="B5" s="7">
        <f>IF(TRIM(Raw_Operations!E5&amp;"")="",1,0)</f>
        <v>0</v>
      </c>
      <c r="C5" s="7">
        <f>IF(ISNUMBER(Raw_Operations!E5),IF(OR(Raw_Operations!E5&lt;-60,Raw_Operations!E5&gt;1440),1,0),0)</f>
        <v>0</v>
      </c>
    </row>
    <row r="6" spans="1:5">
      <c r="A6" s="7">
        <f>Raw_Operations!A6</f>
        <v>57</v>
      </c>
      <c r="B6" s="7">
        <f>IF(TRIM(Raw_Operations!E6&amp;"")="",1,0)</f>
        <v>0</v>
      </c>
      <c r="C6" s="7">
        <f>IF(ISNUMBER(Raw_Operations!E6),IF(OR(Raw_Operations!E6&lt;-60,Raw_Operations!E6&gt;1440),1,0),0)</f>
        <v>0</v>
      </c>
    </row>
    <row r="7" spans="1:5">
      <c r="A7" s="7">
        <f>Raw_Operations!A7</f>
        <v>59</v>
      </c>
      <c r="B7" s="7">
        <f>IF(TRIM(Raw_Operations!E7&amp;"")="",1,0)</f>
        <v>0</v>
      </c>
      <c r="C7" s="7">
        <f>IF(ISNUMBER(Raw_Operations!E7),IF(OR(Raw_Operations!E7&lt;-60,Raw_Operations!E7&gt;1440),1,0),0)</f>
        <v>1</v>
      </c>
    </row>
    <row r="8" spans="1:5">
      <c r="A8" s="7">
        <f>Raw_Operations!A8</f>
        <v>73</v>
      </c>
      <c r="B8" s="7">
        <f>IF(TRIM(Raw_Operations!E8&amp;"")="",1,0)</f>
        <v>0</v>
      </c>
      <c r="C8" s="7">
        <f>IF(ISNUMBER(Raw_Operations!E8),IF(OR(Raw_Operations!E8&lt;-60,Raw_Operations!E8&gt;1440),1,0),0)</f>
        <v>0</v>
      </c>
    </row>
    <row r="9" spans="1:5">
      <c r="A9" s="7">
        <f>Raw_Operations!A9</f>
        <v>74</v>
      </c>
      <c r="B9" s="7">
        <f>IF(TRIM(Raw_Operations!E9&amp;"")="",1,0)</f>
        <v>0</v>
      </c>
      <c r="C9" s="7">
        <f>IF(ISNUMBER(Raw_Operations!E9),IF(OR(Raw_Operations!E9&lt;-60,Raw_Operations!E9&gt;1440),1,0),0)</f>
        <v>0</v>
      </c>
    </row>
    <row r="10" spans="1:5">
      <c r="A10" s="7">
        <f>Raw_Operations!A10</f>
        <v>93</v>
      </c>
      <c r="B10" s="7">
        <f>IF(TRIM(Raw_Operations!E10&amp;"")="",1,0)</f>
        <v>0</v>
      </c>
      <c r="C10" s="7">
        <f>IF(ISNUMBER(Raw_Operations!E10),IF(OR(Raw_Operations!E10&lt;-60,Raw_Operations!E10&gt;1440),1,0),0)</f>
        <v>0</v>
      </c>
    </row>
    <row r="11" spans="1:5">
      <c r="A11" s="7">
        <f>Raw_Operations!A11</f>
        <v>100</v>
      </c>
      <c r="B11" s="7">
        <f>IF(TRIM(Raw_Operations!E11&amp;"")="",1,0)</f>
        <v>0</v>
      </c>
      <c r="C11" s="7">
        <f>IF(ISNUMBER(Raw_Operations!E11),IF(OR(Raw_Operations!E11&lt;-60,Raw_Operations!E11&gt;1440),1,0),0)</f>
        <v>0</v>
      </c>
    </row>
    <row r="12" spans="1:5">
      <c r="A12" s="7">
        <f>Raw_Operations!A12</f>
        <v>130</v>
      </c>
      <c r="B12" s="7">
        <f>IF(TRIM(Raw_Operations!E12&amp;"")="",1,0)</f>
        <v>1</v>
      </c>
      <c r="C12" s="7">
        <f>IF(ISNUMBER(Raw_Operations!E12),IF(OR(Raw_Operations!E12&lt;-60,Raw_Operations!E12&gt;1440),1,0),0)</f>
        <v>0</v>
      </c>
    </row>
    <row r="13" spans="1:5">
      <c r="A13" s="7">
        <f>Raw_Operations!A13</f>
        <v>161</v>
      </c>
      <c r="B13" s="7">
        <f>IF(TRIM(Raw_Operations!E13&amp;"")="",1,0)</f>
        <v>0</v>
      </c>
      <c r="C13" s="7">
        <f>IF(ISNUMBER(Raw_Operations!E13),IF(OR(Raw_Operations!E13&lt;-60,Raw_Operations!E13&gt;1440),1,0),0)</f>
        <v>0</v>
      </c>
    </row>
    <row r="14" spans="1:5">
      <c r="A14" s="7">
        <f>Raw_Operations!A14</f>
        <v>168</v>
      </c>
      <c r="B14" s="7">
        <f>IF(TRIM(Raw_Operations!E14&amp;"")="",1,0)</f>
        <v>0</v>
      </c>
      <c r="C14" s="7">
        <f>IF(ISNUMBER(Raw_Operations!E14),IF(OR(Raw_Operations!E14&lt;-60,Raw_Operations!E14&gt;1440),1,0),0)</f>
        <v>0</v>
      </c>
    </row>
    <row r="15" spans="1:5">
      <c r="A15" s="7">
        <f>Raw_Operations!A15</f>
        <v>173</v>
      </c>
      <c r="B15" s="7">
        <f>IF(TRIM(Raw_Operations!E15&amp;"")="",1,0)</f>
        <v>0</v>
      </c>
      <c r="C15" s="7">
        <f>IF(ISNUMBER(Raw_Operations!E15),IF(OR(Raw_Operations!E15&lt;-60,Raw_Operations!E15&gt;1440),1,0),0)</f>
        <v>0</v>
      </c>
    </row>
    <row r="16" spans="1:5">
      <c r="A16" s="7">
        <f>Raw_Operations!A16</f>
        <v>176</v>
      </c>
      <c r="B16" s="7">
        <f>IF(TRIM(Raw_Operations!E16&amp;"")="",1,0)</f>
        <v>0</v>
      </c>
      <c r="C16" s="7">
        <f>IF(ISNUMBER(Raw_Operations!E16),IF(OR(Raw_Operations!E16&lt;-60,Raw_Operations!E16&gt;1440),1,0),0)</f>
        <v>0</v>
      </c>
    </row>
    <row r="17" spans="1:3">
      <c r="A17" s="7">
        <f>Raw_Operations!A17</f>
        <v>195</v>
      </c>
      <c r="B17" s="7">
        <f>IF(TRIM(Raw_Operations!E17&amp;"")="",1,0)</f>
        <v>0</v>
      </c>
      <c r="C17" s="7">
        <f>IF(ISNUMBER(Raw_Operations!E17),IF(OR(Raw_Operations!E17&lt;-60,Raw_Operations!E17&gt;1440),1,0),0)</f>
        <v>0</v>
      </c>
    </row>
    <row r="18" spans="1:3">
      <c r="A18" s="7">
        <f>Raw_Operations!A18</f>
        <v>217</v>
      </c>
      <c r="B18" s="7">
        <f>IF(TRIM(Raw_Operations!E18&amp;"")="",1,0)</f>
        <v>1</v>
      </c>
      <c r="C18" s="7">
        <f>IF(ISNUMBER(Raw_Operations!E18),IF(OR(Raw_Operations!E18&lt;-60,Raw_Operations!E18&gt;1440),1,0),0)</f>
        <v>0</v>
      </c>
    </row>
    <row r="19" spans="1:3">
      <c r="A19" s="7">
        <f>Raw_Operations!A19</f>
        <v>230</v>
      </c>
      <c r="B19" s="7">
        <f>IF(TRIM(Raw_Operations!E19&amp;"")="",1,0)</f>
        <v>0</v>
      </c>
      <c r="C19" s="7">
        <f>IF(ISNUMBER(Raw_Operations!E19),IF(OR(Raw_Operations!E19&lt;-60,Raw_Operations!E19&gt;1440),1,0),0)</f>
        <v>0</v>
      </c>
    </row>
    <row r="20" spans="1:3">
      <c r="A20" s="7">
        <f>Raw_Operations!A20</f>
        <v>242</v>
      </c>
      <c r="B20" s="7">
        <f>IF(TRIM(Raw_Operations!E20&amp;"")="",1,0)</f>
        <v>0</v>
      </c>
      <c r="C20" s="7">
        <f>IF(ISNUMBER(Raw_Operations!E20),IF(OR(Raw_Operations!E20&lt;-60,Raw_Operations!E20&gt;1440),1,0),0)</f>
        <v>0</v>
      </c>
    </row>
    <row r="21" spans="1:3">
      <c r="A21" s="7">
        <f>Raw_Operations!A21</f>
        <v>248</v>
      </c>
      <c r="B21" s="7">
        <f>IF(TRIM(Raw_Operations!E21&amp;"")="",1,0)</f>
        <v>0</v>
      </c>
      <c r="C21" s="7">
        <f>IF(ISNUMBER(Raw_Operations!E21),IF(OR(Raw_Operations!E21&lt;-60,Raw_Operations!E21&gt;1440),1,0),0)</f>
        <v>1</v>
      </c>
    </row>
    <row r="22" spans="1:3">
      <c r="A22" s="7">
        <f>Raw_Operations!A22</f>
        <v>260</v>
      </c>
      <c r="B22" s="7">
        <f>IF(TRIM(Raw_Operations!E22&amp;"")="",1,0)</f>
        <v>0</v>
      </c>
      <c r="C22" s="7">
        <f>IF(ISNUMBER(Raw_Operations!E22),IF(OR(Raw_Operations!E22&lt;-60,Raw_Operations!E22&gt;1440),1,0),0)</f>
        <v>0</v>
      </c>
    </row>
    <row r="23" spans="1:3">
      <c r="A23" s="7">
        <f>Raw_Operations!A23</f>
        <v>289</v>
      </c>
      <c r="B23" s="7">
        <f>IF(TRIM(Raw_Operations!E23&amp;"")="",1,0)</f>
        <v>0</v>
      </c>
      <c r="C23" s="7">
        <f>IF(ISNUMBER(Raw_Operations!E23),IF(OR(Raw_Operations!E23&lt;-60,Raw_Operations!E23&gt;1440),1,0),0)</f>
        <v>0</v>
      </c>
    </row>
    <row r="24" spans="1:3">
      <c r="A24" s="7">
        <f>Raw_Operations!A24</f>
        <v>299</v>
      </c>
      <c r="B24" s="7">
        <f>IF(TRIM(Raw_Operations!E24&amp;"")="",1,0)</f>
        <v>0</v>
      </c>
      <c r="C24" s="7">
        <f>IF(ISNUMBER(Raw_Operations!E24),IF(OR(Raw_Operations!E24&lt;-60,Raw_Operations!E24&gt;1440),1,0),0)</f>
        <v>0</v>
      </c>
    </row>
    <row r="25" spans="1:3">
      <c r="A25" s="7">
        <f>Raw_Operations!A25</f>
        <v>313</v>
      </c>
      <c r="B25" s="7">
        <f>IF(TRIM(Raw_Operations!E25&amp;"")="",1,0)</f>
        <v>0</v>
      </c>
      <c r="C25" s="7">
        <f>IF(ISNUMBER(Raw_Operations!E25),IF(OR(Raw_Operations!E25&lt;-60,Raw_Operations!E25&gt;1440),1,0),0)</f>
        <v>0</v>
      </c>
    </row>
    <row r="26" spans="1:3">
      <c r="A26" s="7">
        <f>Raw_Operations!A26</f>
        <v>321</v>
      </c>
      <c r="B26" s="7">
        <f>IF(TRIM(Raw_Operations!E26&amp;"")="",1,0)</f>
        <v>0</v>
      </c>
      <c r="C26" s="7">
        <f>IF(ISNUMBER(Raw_Operations!E26),IF(OR(Raw_Operations!E26&lt;-60,Raw_Operations!E26&gt;1440),1,0),0)</f>
        <v>0</v>
      </c>
    </row>
    <row r="27" spans="1:3">
      <c r="A27" s="7">
        <f>Raw_Operations!A27</f>
        <v>328</v>
      </c>
      <c r="B27" s="7">
        <f>IF(TRIM(Raw_Operations!E27&amp;"")="",1,0)</f>
        <v>0</v>
      </c>
      <c r="C27" s="7">
        <f>IF(ISNUMBER(Raw_Operations!E27),IF(OR(Raw_Operations!E27&lt;-60,Raw_Operations!E27&gt;1440),1,0),0)</f>
        <v>0</v>
      </c>
    </row>
    <row r="28" spans="1:3">
      <c r="A28" s="7">
        <f>Raw_Operations!A28</f>
        <v>344</v>
      </c>
      <c r="B28" s="7">
        <f>IF(TRIM(Raw_Operations!E28&amp;"")="",1,0)</f>
        <v>0</v>
      </c>
      <c r="C28" s="7">
        <f>IF(ISNUMBER(Raw_Operations!E28),IF(OR(Raw_Operations!E28&lt;-60,Raw_Operations!E28&gt;1440),1,0),0)</f>
        <v>0</v>
      </c>
    </row>
    <row r="29" spans="1:3">
      <c r="A29" s="7">
        <f>Raw_Operations!A29</f>
        <v>364</v>
      </c>
      <c r="B29" s="7">
        <f>IF(TRIM(Raw_Operations!E29&amp;"")="",1,0)</f>
        <v>1</v>
      </c>
      <c r="C29" s="7">
        <f>IF(ISNUMBER(Raw_Operations!E29),IF(OR(Raw_Operations!E29&lt;-60,Raw_Operations!E29&gt;1440),1,0),0)</f>
        <v>0</v>
      </c>
    </row>
    <row r="30" spans="1:3">
      <c r="A30" s="7">
        <f>Raw_Operations!A30</f>
        <v>384</v>
      </c>
      <c r="B30" s="7">
        <f>IF(TRIM(Raw_Operations!E30&amp;"")="",1,0)</f>
        <v>0</v>
      </c>
      <c r="C30" s="7">
        <f>IF(ISNUMBER(Raw_Operations!E30),IF(OR(Raw_Operations!E30&lt;-60,Raw_Operations!E30&gt;1440),1,0),0)</f>
        <v>0</v>
      </c>
    </row>
    <row r="31" spans="1:3">
      <c r="A31" s="7">
        <f>Raw_Operations!A31</f>
        <v>411</v>
      </c>
      <c r="B31" s="7">
        <f>IF(TRIM(Raw_Operations!E31&amp;"")="",1,0)</f>
        <v>0</v>
      </c>
      <c r="C31" s="7">
        <f>IF(ISNUMBER(Raw_Operations!E31),IF(OR(Raw_Operations!E31&lt;-60,Raw_Operations!E31&gt;1440),1,0),0)</f>
        <v>0</v>
      </c>
    </row>
    <row r="32" spans="1:3">
      <c r="A32" s="7">
        <f>Raw_Operations!A32</f>
        <v>454</v>
      </c>
      <c r="B32" s="7">
        <f>IF(TRIM(Raw_Operations!E32&amp;"")="",1,0)</f>
        <v>1</v>
      </c>
      <c r="C32" s="7">
        <f>IF(ISNUMBER(Raw_Operations!E32),IF(OR(Raw_Operations!E32&lt;-60,Raw_Operations!E32&gt;1440),1,0),0)</f>
        <v>0</v>
      </c>
    </row>
    <row r="33" spans="1:3">
      <c r="A33" s="7">
        <f>Raw_Operations!A33</f>
        <v>463</v>
      </c>
      <c r="B33" s="7">
        <f>IF(TRIM(Raw_Operations!E33&amp;"")="",1,0)</f>
        <v>0</v>
      </c>
      <c r="C33" s="7">
        <f>IF(ISNUMBER(Raw_Operations!E33),IF(OR(Raw_Operations!E33&lt;-60,Raw_Operations!E33&gt;1440),1,0),0)</f>
        <v>0</v>
      </c>
    </row>
    <row r="34" spans="1:3">
      <c r="A34" s="7">
        <f>Raw_Operations!A34</f>
        <v>490</v>
      </c>
      <c r="B34" s="7">
        <f>IF(TRIM(Raw_Operations!E34&amp;"")="",1,0)</f>
        <v>0</v>
      </c>
      <c r="C34" s="7">
        <f>IF(ISNUMBER(Raw_Operations!E34),IF(OR(Raw_Operations!E34&lt;-60,Raw_Operations!E34&gt;1440),1,0),0)</f>
        <v>1</v>
      </c>
    </row>
    <row r="35" spans="1:3">
      <c r="A35" s="7">
        <f>Raw_Operations!A35</f>
        <v>496</v>
      </c>
      <c r="B35" s="7">
        <f>IF(TRIM(Raw_Operations!E35&amp;"")="",1,0)</f>
        <v>0</v>
      </c>
      <c r="C35" s="7">
        <f>IF(ISNUMBER(Raw_Operations!E35),IF(OR(Raw_Operations!E35&lt;-60,Raw_Operations!E35&gt;1440),1,0),0)</f>
        <v>0</v>
      </c>
    </row>
    <row r="36" spans="1:3">
      <c r="A36" s="7">
        <f>Raw_Operations!A36</f>
        <v>501</v>
      </c>
      <c r="B36" s="7">
        <f>IF(TRIM(Raw_Operations!E36&amp;"")="",1,0)</f>
        <v>0</v>
      </c>
      <c r="C36" s="7">
        <f>IF(ISNUMBER(Raw_Operations!E36),IF(OR(Raw_Operations!E36&lt;-60,Raw_Operations!E36&gt;1440),1,0),0)</f>
        <v>0</v>
      </c>
    </row>
    <row r="37" spans="1:3">
      <c r="A37" s="7">
        <f>Raw_Operations!A37</f>
        <v>503</v>
      </c>
      <c r="B37" s="7">
        <f>IF(TRIM(Raw_Operations!E37&amp;"")="",1,0)</f>
        <v>1</v>
      </c>
      <c r="C37" s="7">
        <f>IF(ISNUMBER(Raw_Operations!E37),IF(OR(Raw_Operations!E37&lt;-60,Raw_Operations!E37&gt;1440),1,0),0)</f>
        <v>0</v>
      </c>
    </row>
    <row r="38" spans="1:3">
      <c r="A38" s="7">
        <f>Raw_Operations!A38</f>
        <v>509</v>
      </c>
      <c r="B38" s="7">
        <f>IF(TRIM(Raw_Operations!E38&amp;"")="",1,0)</f>
        <v>0</v>
      </c>
      <c r="C38" s="7">
        <f>IF(ISNUMBER(Raw_Operations!E38),IF(OR(Raw_Operations!E38&lt;-60,Raw_Operations!E38&gt;1440),1,0),0)</f>
        <v>1</v>
      </c>
    </row>
    <row r="39" spans="1:3">
      <c r="A39" s="7">
        <f>Raw_Operations!A39</f>
        <v>551</v>
      </c>
      <c r="B39" s="7">
        <f>IF(TRIM(Raw_Operations!E39&amp;"")="",1,0)</f>
        <v>0</v>
      </c>
      <c r="C39" s="7">
        <f>IF(ISNUMBER(Raw_Operations!E39),IF(OR(Raw_Operations!E39&lt;-60,Raw_Operations!E39&gt;1440),1,0),0)</f>
        <v>0</v>
      </c>
    </row>
    <row r="40" spans="1:3">
      <c r="A40" s="7">
        <f>Raw_Operations!A40</f>
        <v>556</v>
      </c>
      <c r="B40" s="7">
        <f>IF(TRIM(Raw_Operations!E40&amp;"")="",1,0)</f>
        <v>0</v>
      </c>
      <c r="C40" s="7">
        <f>IF(ISNUMBER(Raw_Operations!E40),IF(OR(Raw_Operations!E40&lt;-60,Raw_Operations!E40&gt;1440),1,0),0)</f>
        <v>0</v>
      </c>
    </row>
    <row r="41" spans="1:3">
      <c r="A41" s="7">
        <f>Raw_Operations!A41</f>
        <v>562</v>
      </c>
      <c r="B41" s="7">
        <f>IF(TRIM(Raw_Operations!E41&amp;"")="",1,0)</f>
        <v>0</v>
      </c>
      <c r="C41" s="7">
        <f>IF(ISNUMBER(Raw_Operations!E41),IF(OR(Raw_Operations!E41&lt;-60,Raw_Operations!E41&gt;1440),1,0),0)</f>
        <v>0</v>
      </c>
    </row>
    <row r="42" spans="1:3">
      <c r="A42" s="7">
        <f>Raw_Operations!A42</f>
        <v>565</v>
      </c>
      <c r="B42" s="7">
        <f>IF(TRIM(Raw_Operations!E42&amp;"")="",1,0)</f>
        <v>0</v>
      </c>
      <c r="C42" s="7">
        <f>IF(ISNUMBER(Raw_Operations!E42),IF(OR(Raw_Operations!E42&lt;-60,Raw_Operations!E42&gt;1440),1,0),0)</f>
        <v>0</v>
      </c>
    </row>
    <row r="43" spans="1:3">
      <c r="A43" s="7">
        <f>Raw_Operations!A43</f>
        <v>585</v>
      </c>
      <c r="B43" s="7">
        <f>IF(TRIM(Raw_Operations!E43&amp;"")="",1,0)</f>
        <v>0</v>
      </c>
      <c r="C43" s="7">
        <f>IF(ISNUMBER(Raw_Operations!E43),IF(OR(Raw_Operations!E43&lt;-60,Raw_Operations!E43&gt;1440),1,0),0)</f>
        <v>1</v>
      </c>
    </row>
    <row r="44" spans="1:3">
      <c r="A44" s="7">
        <f>Raw_Operations!A44</f>
        <v>601</v>
      </c>
      <c r="B44" s="7">
        <f>IF(TRIM(Raw_Operations!E44&amp;"")="",1,0)</f>
        <v>0</v>
      </c>
      <c r="C44" s="7">
        <f>IF(ISNUMBER(Raw_Operations!E44),IF(OR(Raw_Operations!E44&lt;-60,Raw_Operations!E44&gt;1440),1,0),0)</f>
        <v>1</v>
      </c>
    </row>
    <row r="45" spans="1:3">
      <c r="A45" s="7">
        <f>Raw_Operations!A45</f>
        <v>607</v>
      </c>
      <c r="B45" s="7">
        <f>IF(TRIM(Raw_Operations!E45&amp;"")="",1,0)</f>
        <v>0</v>
      </c>
      <c r="C45" s="7">
        <f>IF(ISNUMBER(Raw_Operations!E45),IF(OR(Raw_Operations!E45&lt;-60,Raw_Operations!E45&gt;1440),1,0),0)</f>
        <v>0</v>
      </c>
    </row>
    <row r="46" spans="1:3">
      <c r="A46" s="7">
        <f>Raw_Operations!A46</f>
        <v>640</v>
      </c>
      <c r="B46" s="7">
        <f>IF(TRIM(Raw_Operations!E46&amp;"")="",1,0)</f>
        <v>0</v>
      </c>
      <c r="C46" s="7">
        <f>IF(ISNUMBER(Raw_Operations!E46),IF(OR(Raw_Operations!E46&lt;-60,Raw_Operations!E46&gt;1440),1,0),0)</f>
        <v>0</v>
      </c>
    </row>
    <row r="47" spans="1:3">
      <c r="A47" s="7">
        <f>Raw_Operations!A47</f>
        <v>652</v>
      </c>
      <c r="B47" s="7">
        <f>IF(TRIM(Raw_Operations!E47&amp;"")="",1,0)</f>
        <v>0</v>
      </c>
      <c r="C47" s="7">
        <f>IF(ISNUMBER(Raw_Operations!E47),IF(OR(Raw_Operations!E47&lt;-60,Raw_Operations!E47&gt;1440),1,0),0)</f>
        <v>0</v>
      </c>
    </row>
    <row r="48" spans="1:3">
      <c r="A48" s="7">
        <f>Raw_Operations!A48</f>
        <v>654</v>
      </c>
      <c r="B48" s="7">
        <f>IF(TRIM(Raw_Operations!E48&amp;"")="",1,0)</f>
        <v>0</v>
      </c>
      <c r="C48" s="7">
        <f>IF(ISNUMBER(Raw_Operations!E48),IF(OR(Raw_Operations!E48&lt;-60,Raw_Operations!E48&gt;1440),1,0),0)</f>
        <v>0</v>
      </c>
    </row>
    <row r="49" spans="1:3">
      <c r="A49" s="7">
        <f>Raw_Operations!A49</f>
        <v>655</v>
      </c>
      <c r="B49" s="7">
        <f>IF(TRIM(Raw_Operations!E49&amp;"")="",1,0)</f>
        <v>0</v>
      </c>
      <c r="C49" s="7">
        <f>IF(ISNUMBER(Raw_Operations!E49),IF(OR(Raw_Operations!E49&lt;-60,Raw_Operations!E49&gt;1440),1,0),0)</f>
        <v>1</v>
      </c>
    </row>
    <row r="50" spans="1:3">
      <c r="A50" s="7">
        <f>Raw_Operations!A50</f>
        <v>661</v>
      </c>
      <c r="B50" s="7">
        <f>IF(TRIM(Raw_Operations!E50&amp;"")="",1,0)</f>
        <v>1</v>
      </c>
      <c r="C50" s="7">
        <f>IF(ISNUMBER(Raw_Operations!E50),IF(OR(Raw_Operations!E50&lt;-60,Raw_Operations!E50&gt;1440),1,0),0)</f>
        <v>0</v>
      </c>
    </row>
    <row r="51" spans="1:3">
      <c r="A51" s="7">
        <f>Raw_Operations!A51</f>
        <v>662</v>
      </c>
      <c r="B51" s="7">
        <f>IF(TRIM(Raw_Operations!E51&amp;"")="",1,0)</f>
        <v>0</v>
      </c>
      <c r="C51" s="7">
        <f>IF(ISNUMBER(Raw_Operations!E51),IF(OR(Raw_Operations!E51&lt;-60,Raw_Operations!E51&gt;1440),1,0),0)</f>
        <v>0</v>
      </c>
    </row>
    <row r="52" spans="1:3">
      <c r="A52" s="7">
        <f>Raw_Operations!A52</f>
        <v>667</v>
      </c>
      <c r="B52" s="7">
        <f>IF(TRIM(Raw_Operations!E52&amp;"")="",1,0)</f>
        <v>0</v>
      </c>
      <c r="C52" s="7">
        <f>IF(ISNUMBER(Raw_Operations!E52),IF(OR(Raw_Operations!E52&lt;-60,Raw_Operations!E52&gt;1440),1,0),0)</f>
        <v>0</v>
      </c>
    </row>
    <row r="53" spans="1:3">
      <c r="A53" s="7">
        <f>Raw_Operations!A53</f>
        <v>684</v>
      </c>
      <c r="B53" s="7">
        <f>IF(TRIM(Raw_Operations!E53&amp;"")="",1,0)</f>
        <v>0</v>
      </c>
      <c r="C53" s="7">
        <f>IF(ISNUMBER(Raw_Operations!E53),IF(OR(Raw_Operations!E53&lt;-60,Raw_Operations!E53&gt;1440),1,0),0)</f>
        <v>0</v>
      </c>
    </row>
    <row r="54" spans="1:3">
      <c r="A54" s="7">
        <f>Raw_Operations!A54</f>
        <v>688</v>
      </c>
      <c r="B54" s="7">
        <f>IF(TRIM(Raw_Operations!E54&amp;"")="",1,0)</f>
        <v>0</v>
      </c>
      <c r="C54" s="7">
        <f>IF(ISNUMBER(Raw_Operations!E54),IF(OR(Raw_Operations!E54&lt;-60,Raw_Operations!E54&gt;1440),1,0),0)</f>
        <v>0</v>
      </c>
    </row>
    <row r="55" spans="1:3">
      <c r="A55" s="7">
        <f>Raw_Operations!A55</f>
        <v>701</v>
      </c>
      <c r="B55" s="7">
        <f>IF(TRIM(Raw_Operations!E55&amp;"")="",1,0)</f>
        <v>0</v>
      </c>
      <c r="C55" s="7">
        <f>IF(ISNUMBER(Raw_Operations!E55),IF(OR(Raw_Operations!E55&lt;-60,Raw_Operations!E55&gt;1440),1,0),0)</f>
        <v>1</v>
      </c>
    </row>
    <row r="56" spans="1:3">
      <c r="A56" s="7">
        <f>Raw_Operations!A56</f>
        <v>710</v>
      </c>
      <c r="B56" s="7">
        <f>IF(TRIM(Raw_Operations!E56&amp;"")="",1,0)</f>
        <v>1</v>
      </c>
      <c r="C56" s="7">
        <f>IF(ISNUMBER(Raw_Operations!E56),IF(OR(Raw_Operations!E56&lt;-60,Raw_Operations!E56&gt;1440),1,0),0)</f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sheetPr>
    <tabColor rgb="FF548235"/>
  </sheetPr>
  <dimension ref="A1:N60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3" width="17.7109375" customWidth="1"/>
  </cols>
  <sheetData>
    <row r="1" spans="1:14">
      <c r="A1" s="5" t="s">
        <v>62</v>
      </c>
      <c r="B1" s="5" t="s">
        <v>63</v>
      </c>
      <c r="C1" s="5" t="s">
        <v>64</v>
      </c>
      <c r="D1" s="5" t="s">
        <v>65</v>
      </c>
      <c r="E1" s="5" t="s">
        <v>66</v>
      </c>
      <c r="F1" s="5" t="s">
        <v>2091</v>
      </c>
      <c r="G1" s="5" t="s">
        <v>2092</v>
      </c>
      <c r="H1" s="5" t="s">
        <v>53</v>
      </c>
      <c r="I1" s="5" t="s">
        <v>69</v>
      </c>
      <c r="J1" s="5" t="s">
        <v>70</v>
      </c>
      <c r="K1" s="5" t="s">
        <v>71</v>
      </c>
      <c r="L1" s="5" t="s">
        <v>72</v>
      </c>
      <c r="N1" s="9" t="s">
        <v>2093</v>
      </c>
    </row>
    <row r="2" spans="1:14">
      <c r="A2">
        <v>1000611</v>
      </c>
      <c r="B2" t="s">
        <v>74</v>
      </c>
      <c r="C2">
        <v>4</v>
      </c>
      <c r="D2" s="10">
        <v>45539</v>
      </c>
      <c r="E2">
        <v>2</v>
      </c>
      <c r="F2">
        <v>26</v>
      </c>
      <c r="G2">
        <v>1</v>
      </c>
      <c r="H2" t="s">
        <v>60</v>
      </c>
      <c r="I2" s="11">
        <v>45470.84200231481</v>
      </c>
      <c r="J2">
        <v>4</v>
      </c>
      <c r="K2" t="s">
        <v>41</v>
      </c>
      <c r="L2">
        <v>4731</v>
      </c>
    </row>
    <row r="3" spans="1:14">
      <c r="A3">
        <v>1001896</v>
      </c>
      <c r="B3" t="s">
        <v>78</v>
      </c>
      <c r="C3">
        <v>21</v>
      </c>
      <c r="D3" s="10">
        <v>45551</v>
      </c>
      <c r="E3">
        <v>15</v>
      </c>
      <c r="F3">
        <v>6</v>
      </c>
      <c r="G3">
        <v>10</v>
      </c>
      <c r="H3" t="s">
        <v>58</v>
      </c>
      <c r="I3" s="11">
        <v>45499.65799768519</v>
      </c>
      <c r="J3">
        <v>3</v>
      </c>
      <c r="K3" t="s">
        <v>41</v>
      </c>
      <c r="L3">
        <v>3159</v>
      </c>
    </row>
    <row r="4" spans="1:14">
      <c r="A4">
        <v>1002009</v>
      </c>
      <c r="B4" t="s">
        <v>81</v>
      </c>
      <c r="C4">
        <v>31</v>
      </c>
      <c r="D4" s="10">
        <v>45580</v>
      </c>
      <c r="E4">
        <v>23</v>
      </c>
      <c r="F4">
        <v>9</v>
      </c>
      <c r="G4">
        <v>19</v>
      </c>
      <c r="H4" t="s">
        <v>60</v>
      </c>
      <c r="I4" s="11">
        <v>45501.39252314815</v>
      </c>
      <c r="J4">
        <v>2</v>
      </c>
      <c r="K4" t="s">
        <v>41</v>
      </c>
      <c r="L4">
        <v>816</v>
      </c>
    </row>
    <row r="5" spans="1:14">
      <c r="A5">
        <v>1002389</v>
      </c>
      <c r="B5" t="s">
        <v>84</v>
      </c>
      <c r="C5">
        <v>33</v>
      </c>
      <c r="D5" s="10">
        <v>45608</v>
      </c>
      <c r="E5">
        <v>25</v>
      </c>
      <c r="F5">
        <v>11</v>
      </c>
      <c r="G5">
        <v>18</v>
      </c>
      <c r="H5" t="s">
        <v>60</v>
      </c>
      <c r="I5" s="11">
        <v>45506.34436342592</v>
      </c>
      <c r="J5">
        <v>2</v>
      </c>
      <c r="K5" t="s">
        <v>41</v>
      </c>
      <c r="L5">
        <v>1308</v>
      </c>
    </row>
    <row r="6" spans="1:14">
      <c r="A6">
        <v>1002524</v>
      </c>
      <c r="B6" t="s">
        <v>87</v>
      </c>
      <c r="C6">
        <v>44</v>
      </c>
      <c r="D6" s="10">
        <v>45563</v>
      </c>
      <c r="E6">
        <v>34</v>
      </c>
      <c r="F6">
        <v>27</v>
      </c>
      <c r="G6">
        <v>20</v>
      </c>
      <c r="H6" t="s">
        <v>57</v>
      </c>
      <c r="I6" s="11">
        <v>45507.52170138889</v>
      </c>
      <c r="J6">
        <v>2</v>
      </c>
      <c r="K6" t="s">
        <v>41</v>
      </c>
      <c r="L6">
        <v>4804</v>
      </c>
    </row>
    <row r="7" spans="1:14">
      <c r="A7">
        <v>1002921</v>
      </c>
      <c r="B7" t="s">
        <v>90</v>
      </c>
      <c r="C7">
        <v>12</v>
      </c>
      <c r="D7" s="10">
        <v>45578</v>
      </c>
      <c r="E7">
        <v>8</v>
      </c>
      <c r="F7">
        <v>17</v>
      </c>
      <c r="G7">
        <v>2</v>
      </c>
      <c r="H7" t="s">
        <v>57</v>
      </c>
      <c r="I7" s="11">
        <v>45511.788125</v>
      </c>
      <c r="J7">
        <v>2</v>
      </c>
      <c r="K7" t="s">
        <v>41</v>
      </c>
      <c r="L7">
        <v>3708</v>
      </c>
    </row>
    <row r="8" spans="1:14">
      <c r="A8">
        <v>1002990</v>
      </c>
      <c r="B8" t="s">
        <v>93</v>
      </c>
      <c r="C8">
        <v>36</v>
      </c>
      <c r="D8" s="10">
        <v>45571</v>
      </c>
      <c r="E8">
        <v>26</v>
      </c>
      <c r="F8">
        <v>18</v>
      </c>
      <c r="G8">
        <v>11</v>
      </c>
      <c r="H8" t="s">
        <v>58</v>
      </c>
      <c r="I8" s="11">
        <v>45512.51797453704</v>
      </c>
      <c r="J8">
        <v>1</v>
      </c>
      <c r="K8" t="s">
        <v>41</v>
      </c>
      <c r="L8">
        <v>1049</v>
      </c>
    </row>
    <row r="9" spans="1:14">
      <c r="A9">
        <v>1003061</v>
      </c>
      <c r="B9" t="s">
        <v>96</v>
      </c>
      <c r="C9">
        <v>30</v>
      </c>
      <c r="D9" s="10">
        <v>45630</v>
      </c>
      <c r="E9">
        <v>24</v>
      </c>
      <c r="F9">
        <v>19</v>
      </c>
      <c r="G9">
        <v>9</v>
      </c>
      <c r="H9" t="s">
        <v>60</v>
      </c>
      <c r="I9" s="11">
        <v>45513.3244212963</v>
      </c>
      <c r="J9">
        <v>2</v>
      </c>
      <c r="K9" t="s">
        <v>41</v>
      </c>
      <c r="L9">
        <v>1088</v>
      </c>
    </row>
    <row r="10" spans="1:14">
      <c r="A10">
        <v>1003110</v>
      </c>
      <c r="B10" t="s">
        <v>99</v>
      </c>
      <c r="C10">
        <v>4</v>
      </c>
      <c r="D10" s="10">
        <v>45539</v>
      </c>
      <c r="E10">
        <v>2</v>
      </c>
      <c r="F10">
        <v>26</v>
      </c>
      <c r="G10">
        <v>1</v>
      </c>
      <c r="H10" t="s">
        <v>60</v>
      </c>
      <c r="I10" s="11">
        <v>45513.62518518518</v>
      </c>
      <c r="J10">
        <v>4</v>
      </c>
      <c r="K10" t="s">
        <v>41</v>
      </c>
      <c r="L10">
        <v>5256</v>
      </c>
    </row>
    <row r="11" spans="1:14">
      <c r="A11">
        <v>1003866</v>
      </c>
      <c r="B11" t="s">
        <v>104</v>
      </c>
      <c r="C11">
        <v>5</v>
      </c>
      <c r="D11" s="10">
        <v>45572</v>
      </c>
      <c r="E11">
        <v>3</v>
      </c>
      <c r="F11">
        <v>1</v>
      </c>
      <c r="G11">
        <v>32</v>
      </c>
      <c r="H11" t="s">
        <v>57</v>
      </c>
      <c r="I11" s="11">
        <v>45520.34945601852</v>
      </c>
      <c r="J11">
        <v>1</v>
      </c>
      <c r="K11" t="s">
        <v>41</v>
      </c>
      <c r="L11">
        <v>3694</v>
      </c>
    </row>
    <row r="12" spans="1:14">
      <c r="A12">
        <v>1004416</v>
      </c>
      <c r="B12" t="s">
        <v>107</v>
      </c>
      <c r="C12">
        <v>20</v>
      </c>
      <c r="D12" s="10">
        <v>45552</v>
      </c>
      <c r="E12">
        <v>14</v>
      </c>
      <c r="F12">
        <v>16</v>
      </c>
      <c r="G12">
        <v>5</v>
      </c>
      <c r="H12" t="s">
        <v>58</v>
      </c>
      <c r="I12" s="11">
        <v>45524.59873842593</v>
      </c>
      <c r="J12">
        <v>1</v>
      </c>
      <c r="K12" t="s">
        <v>41</v>
      </c>
      <c r="L12">
        <v>482</v>
      </c>
    </row>
    <row r="13" spans="1:14">
      <c r="A13">
        <v>1004645</v>
      </c>
      <c r="B13" t="s">
        <v>110</v>
      </c>
      <c r="C13">
        <v>3</v>
      </c>
      <c r="D13" s="10">
        <v>45615</v>
      </c>
      <c r="E13">
        <v>1</v>
      </c>
      <c r="F13">
        <v>1</v>
      </c>
      <c r="G13">
        <v>26</v>
      </c>
      <c r="H13" t="s">
        <v>60</v>
      </c>
      <c r="I13" s="11">
        <v>45526.40887731482</v>
      </c>
      <c r="J13">
        <v>1</v>
      </c>
      <c r="K13" t="s">
        <v>41</v>
      </c>
      <c r="L13">
        <v>1314</v>
      </c>
    </row>
    <row r="14" spans="1:14">
      <c r="A14">
        <v>1004815</v>
      </c>
      <c r="B14" t="s">
        <v>113</v>
      </c>
      <c r="C14">
        <v>20</v>
      </c>
      <c r="D14" s="10">
        <v>45552</v>
      </c>
      <c r="E14">
        <v>14</v>
      </c>
      <c r="F14">
        <v>16</v>
      </c>
      <c r="G14">
        <v>5</v>
      </c>
      <c r="H14" t="s">
        <v>58</v>
      </c>
      <c r="I14" s="11">
        <v>45527.36030092592</v>
      </c>
      <c r="J14">
        <v>1</v>
      </c>
      <c r="K14" t="s">
        <v>37</v>
      </c>
      <c r="L14">
        <v>804</v>
      </c>
    </row>
    <row r="15" spans="1:14">
      <c r="A15">
        <v>1004847</v>
      </c>
      <c r="B15" t="s">
        <v>115</v>
      </c>
      <c r="C15">
        <v>17</v>
      </c>
      <c r="D15" s="10">
        <v>45602</v>
      </c>
      <c r="E15">
        <v>11</v>
      </c>
      <c r="F15">
        <v>4</v>
      </c>
      <c r="G15">
        <v>24</v>
      </c>
      <c r="H15" t="s">
        <v>57</v>
      </c>
      <c r="I15" s="11">
        <v>45527.48638888889</v>
      </c>
      <c r="J15">
        <v>1</v>
      </c>
      <c r="K15" t="s">
        <v>37</v>
      </c>
      <c r="L15">
        <v>3219</v>
      </c>
    </row>
    <row r="16" spans="1:14">
      <c r="A16">
        <v>1005162</v>
      </c>
      <c r="B16" t="s">
        <v>118</v>
      </c>
      <c r="C16">
        <v>12</v>
      </c>
      <c r="D16" s="10">
        <v>45630</v>
      </c>
      <c r="E16">
        <v>8</v>
      </c>
      <c r="F16">
        <v>17</v>
      </c>
      <c r="G16">
        <v>2</v>
      </c>
      <c r="H16" t="s">
        <v>57</v>
      </c>
      <c r="I16" s="11">
        <v>45529.38538194444</v>
      </c>
      <c r="J16">
        <v>1</v>
      </c>
      <c r="K16" t="s">
        <v>41</v>
      </c>
      <c r="L16">
        <v>1854</v>
      </c>
    </row>
    <row r="17" spans="1:12">
      <c r="A17">
        <v>1005562</v>
      </c>
      <c r="B17" t="s">
        <v>120</v>
      </c>
      <c r="C17">
        <v>25</v>
      </c>
      <c r="D17" s="10">
        <v>45559</v>
      </c>
      <c r="E17">
        <v>19</v>
      </c>
      <c r="F17">
        <v>7</v>
      </c>
      <c r="G17">
        <v>12</v>
      </c>
      <c r="H17" t="s">
        <v>58</v>
      </c>
      <c r="I17" s="11">
        <v>45531.57300925926</v>
      </c>
      <c r="J17">
        <v>2</v>
      </c>
      <c r="K17" t="s">
        <v>41</v>
      </c>
      <c r="L17">
        <v>1392</v>
      </c>
    </row>
    <row r="18" spans="1:12">
      <c r="A18">
        <v>1005583</v>
      </c>
      <c r="B18" t="s">
        <v>123</v>
      </c>
      <c r="C18">
        <v>6</v>
      </c>
      <c r="D18" s="10">
        <v>45640</v>
      </c>
      <c r="E18">
        <v>4</v>
      </c>
      <c r="F18">
        <v>32</v>
      </c>
      <c r="G18">
        <v>1</v>
      </c>
      <c r="H18" t="s">
        <v>58</v>
      </c>
      <c r="I18" s="11">
        <v>45531.66152777777</v>
      </c>
      <c r="J18">
        <v>1</v>
      </c>
      <c r="K18" t="s">
        <v>41</v>
      </c>
      <c r="L18">
        <v>1390</v>
      </c>
    </row>
    <row r="19" spans="1:12">
      <c r="A19">
        <v>1006037</v>
      </c>
      <c r="B19" t="s">
        <v>127</v>
      </c>
      <c r="C19">
        <v>23</v>
      </c>
      <c r="D19" s="10">
        <v>45582</v>
      </c>
      <c r="E19">
        <v>17</v>
      </c>
      <c r="F19">
        <v>7</v>
      </c>
      <c r="G19">
        <v>11</v>
      </c>
      <c r="H19" t="s">
        <v>57</v>
      </c>
      <c r="I19" s="11">
        <v>45534.22474537037</v>
      </c>
      <c r="J19">
        <v>3</v>
      </c>
      <c r="K19" t="s">
        <v>41</v>
      </c>
      <c r="L19">
        <v>6633</v>
      </c>
    </row>
    <row r="20" spans="1:12">
      <c r="A20">
        <v>1006359</v>
      </c>
      <c r="B20" t="s">
        <v>130</v>
      </c>
      <c r="C20">
        <v>29</v>
      </c>
      <c r="D20" s="10">
        <v>45543</v>
      </c>
      <c r="E20">
        <v>23</v>
      </c>
      <c r="F20">
        <v>9</v>
      </c>
      <c r="G20">
        <v>19</v>
      </c>
      <c r="H20" t="s">
        <v>58</v>
      </c>
      <c r="I20" s="11">
        <v>45535.61193287037</v>
      </c>
      <c r="J20">
        <v>1</v>
      </c>
      <c r="K20" t="s">
        <v>37</v>
      </c>
      <c r="L20">
        <v>393</v>
      </c>
    </row>
    <row r="21" spans="1:12">
      <c r="A21">
        <v>1006475</v>
      </c>
      <c r="B21" t="s">
        <v>134</v>
      </c>
      <c r="C21">
        <v>10</v>
      </c>
      <c r="D21" s="10">
        <v>45566</v>
      </c>
      <c r="E21">
        <v>6</v>
      </c>
      <c r="F21">
        <v>15</v>
      </c>
      <c r="G21">
        <v>2</v>
      </c>
      <c r="H21" t="s">
        <v>59</v>
      </c>
      <c r="I21" s="11">
        <v>45536.15283564815</v>
      </c>
      <c r="J21">
        <v>2</v>
      </c>
      <c r="K21" t="s">
        <v>41</v>
      </c>
      <c r="L21">
        <v>1666</v>
      </c>
    </row>
    <row r="22" spans="1:12">
      <c r="A22">
        <v>1006678</v>
      </c>
      <c r="B22" t="s">
        <v>137</v>
      </c>
      <c r="C22">
        <v>48</v>
      </c>
      <c r="D22" s="10">
        <v>45586</v>
      </c>
      <c r="E22">
        <v>36</v>
      </c>
      <c r="F22">
        <v>28</v>
      </c>
      <c r="G22">
        <v>21</v>
      </c>
      <c r="H22" t="s">
        <v>58</v>
      </c>
      <c r="I22" s="11">
        <v>45536.91215277778</v>
      </c>
      <c r="J22">
        <v>6</v>
      </c>
      <c r="K22" t="s">
        <v>41</v>
      </c>
      <c r="L22">
        <v>5880</v>
      </c>
    </row>
    <row r="23" spans="1:12">
      <c r="A23">
        <v>1006682</v>
      </c>
      <c r="B23" t="s">
        <v>140</v>
      </c>
      <c r="C23">
        <v>6</v>
      </c>
      <c r="D23" s="10">
        <v>45549</v>
      </c>
      <c r="E23">
        <v>4</v>
      </c>
      <c r="F23">
        <v>32</v>
      </c>
      <c r="G23">
        <v>1</v>
      </c>
      <c r="H23" t="s">
        <v>58</v>
      </c>
      <c r="I23" s="11">
        <v>45536.94667824074</v>
      </c>
      <c r="J23">
        <v>4</v>
      </c>
      <c r="K23" t="s">
        <v>41</v>
      </c>
      <c r="L23">
        <v>4170</v>
      </c>
    </row>
    <row r="24" spans="1:12">
      <c r="A24">
        <v>1006706</v>
      </c>
      <c r="B24" t="s">
        <v>143</v>
      </c>
      <c r="C24">
        <v>44</v>
      </c>
      <c r="D24" s="10">
        <v>45563</v>
      </c>
      <c r="E24">
        <v>34</v>
      </c>
      <c r="F24">
        <v>27</v>
      </c>
      <c r="G24">
        <v>20</v>
      </c>
      <c r="H24" t="s">
        <v>60</v>
      </c>
      <c r="I24" s="11">
        <v>45537.29305555556</v>
      </c>
      <c r="J24">
        <v>1</v>
      </c>
      <c r="K24" t="s">
        <v>37</v>
      </c>
      <c r="L24">
        <v>753</v>
      </c>
    </row>
    <row r="25" spans="1:12">
      <c r="A25">
        <v>1006886</v>
      </c>
      <c r="B25" t="s">
        <v>145</v>
      </c>
      <c r="C25">
        <v>15</v>
      </c>
      <c r="D25" s="10">
        <v>45600</v>
      </c>
      <c r="E25">
        <v>9</v>
      </c>
      <c r="F25">
        <v>3</v>
      </c>
      <c r="G25">
        <v>9</v>
      </c>
      <c r="H25" t="s">
        <v>57</v>
      </c>
      <c r="I25" s="11">
        <v>45537.84516203704</v>
      </c>
      <c r="J25">
        <v>1</v>
      </c>
      <c r="K25" t="s">
        <v>41</v>
      </c>
      <c r="L25">
        <v>2429</v>
      </c>
    </row>
    <row r="26" spans="1:12">
      <c r="A26">
        <v>1007455</v>
      </c>
      <c r="B26" t="s">
        <v>148</v>
      </c>
      <c r="C26">
        <v>52</v>
      </c>
      <c r="D26" s="10">
        <v>45598</v>
      </c>
      <c r="E26">
        <v>40</v>
      </c>
      <c r="F26">
        <v>29</v>
      </c>
      <c r="G26">
        <v>25</v>
      </c>
      <c r="H26" t="s">
        <v>58</v>
      </c>
      <c r="I26" s="11">
        <v>45540.54583333333</v>
      </c>
      <c r="J26">
        <v>1</v>
      </c>
      <c r="K26" t="s">
        <v>41</v>
      </c>
      <c r="L26">
        <v>854</v>
      </c>
    </row>
    <row r="27" spans="1:12">
      <c r="A27">
        <v>1007632</v>
      </c>
      <c r="B27" t="s">
        <v>151</v>
      </c>
      <c r="C27">
        <v>6</v>
      </c>
      <c r="D27" s="10">
        <v>45549</v>
      </c>
      <c r="E27">
        <v>4</v>
      </c>
      <c r="F27">
        <v>32</v>
      </c>
      <c r="G27">
        <v>1</v>
      </c>
      <c r="H27" t="s">
        <v>57</v>
      </c>
      <c r="I27" s="11">
        <v>45541.41064814815</v>
      </c>
      <c r="J27">
        <v>2</v>
      </c>
      <c r="K27" t="s">
        <v>41</v>
      </c>
      <c r="L27">
        <v>7388</v>
      </c>
    </row>
    <row r="28" spans="1:12">
      <c r="A28">
        <v>1007669</v>
      </c>
      <c r="B28" t="s">
        <v>153</v>
      </c>
      <c r="C28">
        <v>22</v>
      </c>
      <c r="D28" s="10">
        <v>45565</v>
      </c>
      <c r="E28">
        <v>16</v>
      </c>
      <c r="F28">
        <v>10</v>
      </c>
      <c r="G28">
        <v>6</v>
      </c>
      <c r="H28" t="s">
        <v>57</v>
      </c>
      <c r="I28" s="11">
        <v>45541.56873842593</v>
      </c>
      <c r="J28">
        <v>2</v>
      </c>
      <c r="K28" t="s">
        <v>41</v>
      </c>
      <c r="L28">
        <v>5590</v>
      </c>
    </row>
    <row r="29" spans="1:12">
      <c r="A29">
        <v>1008214</v>
      </c>
      <c r="B29" t="s">
        <v>156</v>
      </c>
      <c r="C29">
        <v>24</v>
      </c>
      <c r="D29" s="10">
        <v>45578</v>
      </c>
      <c r="E29">
        <v>18</v>
      </c>
      <c r="F29">
        <v>11</v>
      </c>
      <c r="G29">
        <v>7</v>
      </c>
      <c r="H29" t="s">
        <v>58</v>
      </c>
      <c r="I29" s="11">
        <v>45543.90454861111</v>
      </c>
      <c r="J29">
        <v>3</v>
      </c>
      <c r="K29" t="s">
        <v>41</v>
      </c>
      <c r="L29">
        <v>2169</v>
      </c>
    </row>
    <row r="30" spans="1:12">
      <c r="A30">
        <v>1008844</v>
      </c>
      <c r="B30" t="s">
        <v>158</v>
      </c>
      <c r="C30">
        <v>24</v>
      </c>
      <c r="D30" s="10">
        <v>45578</v>
      </c>
      <c r="E30">
        <v>18</v>
      </c>
      <c r="F30">
        <v>11</v>
      </c>
      <c r="G30">
        <v>7</v>
      </c>
      <c r="H30" t="s">
        <v>58</v>
      </c>
      <c r="I30" s="11">
        <v>45546.87253472222</v>
      </c>
      <c r="J30">
        <v>3</v>
      </c>
      <c r="K30" t="s">
        <v>45</v>
      </c>
      <c r="L30">
        <v>2502</v>
      </c>
    </row>
    <row r="31" spans="1:12">
      <c r="A31">
        <v>1008865</v>
      </c>
      <c r="B31" t="s">
        <v>160</v>
      </c>
      <c r="C31">
        <v>13</v>
      </c>
      <c r="D31" s="10">
        <v>45592</v>
      </c>
      <c r="E31">
        <v>9</v>
      </c>
      <c r="F31">
        <v>3</v>
      </c>
      <c r="G31">
        <v>9</v>
      </c>
      <c r="H31" t="s">
        <v>57</v>
      </c>
      <c r="I31" s="11">
        <v>45547.11269675926</v>
      </c>
      <c r="J31">
        <v>1</v>
      </c>
      <c r="K31" t="s">
        <v>41</v>
      </c>
      <c r="L31">
        <v>3026</v>
      </c>
    </row>
    <row r="32" spans="1:12">
      <c r="A32">
        <v>1009096</v>
      </c>
      <c r="B32" t="s">
        <v>164</v>
      </c>
      <c r="C32">
        <v>22</v>
      </c>
      <c r="D32" s="10">
        <v>45566</v>
      </c>
      <c r="E32">
        <v>16</v>
      </c>
      <c r="F32">
        <v>10</v>
      </c>
      <c r="G32">
        <v>6</v>
      </c>
      <c r="H32" t="s">
        <v>56</v>
      </c>
      <c r="I32" s="11">
        <v>45548.10452546296</v>
      </c>
      <c r="J32">
        <v>2</v>
      </c>
      <c r="K32" t="s">
        <v>41</v>
      </c>
      <c r="L32">
        <v>8022</v>
      </c>
    </row>
    <row r="33" spans="1:12">
      <c r="A33">
        <v>1010912</v>
      </c>
      <c r="B33" t="s">
        <v>166</v>
      </c>
      <c r="C33">
        <v>44</v>
      </c>
      <c r="D33" s="10">
        <v>45563</v>
      </c>
      <c r="E33">
        <v>34</v>
      </c>
      <c r="F33">
        <v>27</v>
      </c>
      <c r="G33">
        <v>20</v>
      </c>
      <c r="H33" t="s">
        <v>60</v>
      </c>
      <c r="I33" s="11">
        <v>45555.74883101852</v>
      </c>
      <c r="J33">
        <v>1</v>
      </c>
      <c r="K33" t="s">
        <v>49</v>
      </c>
      <c r="L33">
        <v>452</v>
      </c>
    </row>
    <row r="34" spans="1:12">
      <c r="A34">
        <v>1011314</v>
      </c>
      <c r="B34" t="s">
        <v>168</v>
      </c>
      <c r="C34">
        <v>31</v>
      </c>
      <c r="D34" s="10">
        <v>45664</v>
      </c>
      <c r="E34">
        <v>23</v>
      </c>
      <c r="F34">
        <v>9</v>
      </c>
      <c r="G34">
        <v>19</v>
      </c>
      <c r="H34" t="s">
        <v>57</v>
      </c>
      <c r="I34" s="11">
        <v>45557.38939814815</v>
      </c>
      <c r="J34">
        <v>1</v>
      </c>
      <c r="K34" t="s">
        <v>37</v>
      </c>
      <c r="L34">
        <v>1731</v>
      </c>
    </row>
    <row r="35" spans="1:12">
      <c r="A35">
        <v>1011658</v>
      </c>
      <c r="B35" t="s">
        <v>171</v>
      </c>
      <c r="C35">
        <v>1</v>
      </c>
      <c r="D35" s="10">
        <v>45596</v>
      </c>
      <c r="E35">
        <v>1</v>
      </c>
      <c r="F35">
        <v>1</v>
      </c>
      <c r="G35">
        <v>26</v>
      </c>
      <c r="H35" t="s">
        <v>60</v>
      </c>
      <c r="I35" s="11">
        <v>45558.70318287037</v>
      </c>
      <c r="J35">
        <v>4</v>
      </c>
      <c r="K35" t="s">
        <v>41</v>
      </c>
      <c r="L35">
        <v>5516</v>
      </c>
    </row>
    <row r="36" spans="1:12">
      <c r="A36">
        <v>1011942</v>
      </c>
      <c r="B36" t="s">
        <v>174</v>
      </c>
      <c r="C36">
        <v>17</v>
      </c>
      <c r="D36" s="10">
        <v>45560</v>
      </c>
      <c r="E36">
        <v>11</v>
      </c>
      <c r="F36">
        <v>4</v>
      </c>
      <c r="G36">
        <v>24</v>
      </c>
      <c r="H36" t="s">
        <v>60</v>
      </c>
      <c r="I36" s="11">
        <v>45559.86893518519</v>
      </c>
      <c r="J36">
        <v>1</v>
      </c>
      <c r="K36" t="s">
        <v>41</v>
      </c>
      <c r="L36">
        <v>1008</v>
      </c>
    </row>
    <row r="37" spans="1:12">
      <c r="A37">
        <v>1012042</v>
      </c>
      <c r="B37" t="s">
        <v>178</v>
      </c>
      <c r="C37">
        <v>5</v>
      </c>
      <c r="D37" s="10">
        <v>45633</v>
      </c>
      <c r="E37">
        <v>3</v>
      </c>
      <c r="F37">
        <v>1</v>
      </c>
      <c r="G37">
        <v>32</v>
      </c>
      <c r="H37" t="s">
        <v>58</v>
      </c>
      <c r="I37" s="11">
        <v>45560.4690625</v>
      </c>
      <c r="J37">
        <v>1</v>
      </c>
      <c r="K37" t="s">
        <v>41</v>
      </c>
      <c r="L37">
        <v>1390</v>
      </c>
    </row>
    <row r="38" spans="1:12">
      <c r="A38">
        <v>1012374</v>
      </c>
      <c r="B38" t="s">
        <v>181</v>
      </c>
      <c r="C38">
        <v>20</v>
      </c>
      <c r="D38" s="10">
        <v>45594</v>
      </c>
      <c r="E38">
        <v>14</v>
      </c>
      <c r="F38">
        <v>16</v>
      </c>
      <c r="G38">
        <v>5</v>
      </c>
      <c r="H38" t="s">
        <v>57</v>
      </c>
      <c r="I38" s="11">
        <v>45561.78152777778</v>
      </c>
      <c r="J38">
        <v>1</v>
      </c>
      <c r="K38" t="s">
        <v>37</v>
      </c>
      <c r="L38">
        <v>2130</v>
      </c>
    </row>
    <row r="39" spans="1:12">
      <c r="A39">
        <v>1012464</v>
      </c>
      <c r="B39" t="s">
        <v>184</v>
      </c>
      <c r="C39">
        <v>44</v>
      </c>
      <c r="D39" s="10">
        <v>45563</v>
      </c>
      <c r="E39">
        <v>34</v>
      </c>
      <c r="F39">
        <v>27</v>
      </c>
      <c r="G39">
        <v>20</v>
      </c>
      <c r="H39" t="s">
        <v>57</v>
      </c>
      <c r="I39" s="11">
        <v>45562.27722222222</v>
      </c>
      <c r="J39">
        <v>1</v>
      </c>
      <c r="K39" t="s">
        <v>47</v>
      </c>
      <c r="L39">
        <v>2402</v>
      </c>
    </row>
    <row r="40" spans="1:12">
      <c r="A40">
        <v>1012794</v>
      </c>
      <c r="B40" t="s">
        <v>188</v>
      </c>
      <c r="C40">
        <v>12</v>
      </c>
      <c r="D40" s="10">
        <v>45578</v>
      </c>
      <c r="E40">
        <v>8</v>
      </c>
      <c r="F40">
        <v>17</v>
      </c>
      <c r="G40">
        <v>2</v>
      </c>
      <c r="H40" t="s">
        <v>60</v>
      </c>
      <c r="I40" s="11">
        <v>45563.58019675926</v>
      </c>
      <c r="J40">
        <v>2</v>
      </c>
      <c r="K40" t="s">
        <v>41</v>
      </c>
      <c r="L40">
        <v>931</v>
      </c>
    </row>
    <row r="41" spans="1:12">
      <c r="A41">
        <v>1013233</v>
      </c>
      <c r="B41" t="s">
        <v>190</v>
      </c>
      <c r="C41">
        <v>31</v>
      </c>
      <c r="D41" s="10">
        <v>45580</v>
      </c>
      <c r="E41">
        <v>23</v>
      </c>
      <c r="F41">
        <v>9</v>
      </c>
      <c r="G41">
        <v>19</v>
      </c>
      <c r="H41" t="s">
        <v>58</v>
      </c>
      <c r="I41" s="11">
        <v>45565.41900462963</v>
      </c>
      <c r="J41">
        <v>1</v>
      </c>
      <c r="K41" t="s">
        <v>37</v>
      </c>
      <c r="L41">
        <v>654</v>
      </c>
    </row>
    <row r="42" spans="1:12">
      <c r="A42">
        <v>1013270</v>
      </c>
      <c r="B42" t="s">
        <v>192</v>
      </c>
      <c r="C42">
        <v>46</v>
      </c>
      <c r="D42" s="10">
        <v>45588</v>
      </c>
      <c r="E42">
        <v>34</v>
      </c>
      <c r="F42">
        <v>27</v>
      </c>
      <c r="G42">
        <v>20</v>
      </c>
      <c r="H42" t="s">
        <v>58</v>
      </c>
      <c r="I42" s="11">
        <v>45565.54722222222</v>
      </c>
      <c r="J42">
        <v>1</v>
      </c>
      <c r="K42" t="s">
        <v>37</v>
      </c>
      <c r="L42">
        <v>950</v>
      </c>
    </row>
    <row r="43" spans="1:12">
      <c r="A43">
        <v>1013494</v>
      </c>
      <c r="B43" t="s">
        <v>195</v>
      </c>
      <c r="C43">
        <v>19</v>
      </c>
      <c r="D43" s="10">
        <v>45606</v>
      </c>
      <c r="E43">
        <v>13</v>
      </c>
      <c r="F43">
        <v>5</v>
      </c>
      <c r="G43">
        <v>16</v>
      </c>
      <c r="H43" t="s">
        <v>58</v>
      </c>
      <c r="I43" s="11">
        <v>45566.44048611111</v>
      </c>
      <c r="J43">
        <v>3</v>
      </c>
      <c r="K43" t="s">
        <v>41</v>
      </c>
      <c r="L43">
        <v>2090</v>
      </c>
    </row>
    <row r="44" spans="1:12">
      <c r="A44">
        <v>1013497</v>
      </c>
      <c r="B44" t="s">
        <v>198</v>
      </c>
      <c r="C44">
        <v>33</v>
      </c>
      <c r="D44" s="10">
        <v>45608</v>
      </c>
      <c r="E44">
        <v>25</v>
      </c>
      <c r="F44">
        <v>11</v>
      </c>
      <c r="G44">
        <v>18</v>
      </c>
      <c r="H44" t="s">
        <v>57</v>
      </c>
      <c r="I44" s="11">
        <v>45566.44924768519</v>
      </c>
      <c r="J44">
        <v>2</v>
      </c>
      <c r="K44" t="s">
        <v>45</v>
      </c>
      <c r="L44">
        <v>5568</v>
      </c>
    </row>
    <row r="45" spans="1:12">
      <c r="A45">
        <v>1013731</v>
      </c>
      <c r="B45" t="s">
        <v>200</v>
      </c>
      <c r="C45">
        <v>6</v>
      </c>
      <c r="D45" s="10">
        <v>45598</v>
      </c>
      <c r="E45">
        <v>4</v>
      </c>
      <c r="F45">
        <v>32</v>
      </c>
      <c r="G45">
        <v>1</v>
      </c>
      <c r="H45" t="s">
        <v>58</v>
      </c>
      <c r="I45" s="11">
        <v>45567.4814699074</v>
      </c>
      <c r="J45">
        <v>3</v>
      </c>
      <c r="K45" t="s">
        <v>41</v>
      </c>
      <c r="L45">
        <v>3614</v>
      </c>
    </row>
    <row r="46" spans="1:12">
      <c r="A46">
        <v>1013942</v>
      </c>
      <c r="B46" t="s">
        <v>202</v>
      </c>
      <c r="C46">
        <v>52</v>
      </c>
      <c r="D46" s="10">
        <v>45598</v>
      </c>
      <c r="E46">
        <v>40</v>
      </c>
      <c r="F46">
        <v>29</v>
      </c>
      <c r="G46">
        <v>25</v>
      </c>
      <c r="H46" t="s">
        <v>57</v>
      </c>
      <c r="I46" s="11">
        <v>45568.3955787037</v>
      </c>
      <c r="J46">
        <v>1</v>
      </c>
      <c r="K46" t="s">
        <v>41</v>
      </c>
      <c r="L46">
        <v>1358</v>
      </c>
    </row>
    <row r="47" spans="1:12">
      <c r="A47">
        <v>1015068</v>
      </c>
      <c r="B47" t="s">
        <v>207</v>
      </c>
      <c r="C47">
        <v>19</v>
      </c>
      <c r="D47" s="10">
        <v>45647</v>
      </c>
      <c r="E47">
        <v>13</v>
      </c>
      <c r="F47">
        <v>5</v>
      </c>
      <c r="G47">
        <v>16</v>
      </c>
      <c r="H47" t="s">
        <v>60</v>
      </c>
      <c r="I47" s="11">
        <v>45572.72356481481</v>
      </c>
      <c r="J47">
        <v>1</v>
      </c>
      <c r="K47" t="s">
        <v>41</v>
      </c>
      <c r="L47">
        <v>668</v>
      </c>
    </row>
    <row r="48" spans="1:12">
      <c r="A48">
        <v>1015189</v>
      </c>
      <c r="B48" t="s">
        <v>210</v>
      </c>
      <c r="C48">
        <v>40</v>
      </c>
      <c r="D48" s="10">
        <v>45590</v>
      </c>
      <c r="E48">
        <v>30</v>
      </c>
      <c r="F48">
        <v>22</v>
      </c>
      <c r="G48">
        <v>14</v>
      </c>
      <c r="H48" t="s">
        <v>56</v>
      </c>
      <c r="I48" s="11">
        <v>45573.30240740741</v>
      </c>
      <c r="J48">
        <v>3</v>
      </c>
      <c r="K48" t="s">
        <v>41</v>
      </c>
      <c r="L48">
        <v>10355</v>
      </c>
    </row>
    <row r="49" spans="1:12">
      <c r="A49">
        <v>1015275</v>
      </c>
      <c r="B49" t="s">
        <v>213</v>
      </c>
      <c r="C49">
        <v>4</v>
      </c>
      <c r="D49" s="10">
        <v>45644</v>
      </c>
      <c r="E49">
        <v>2</v>
      </c>
      <c r="F49">
        <v>26</v>
      </c>
      <c r="G49">
        <v>1</v>
      </c>
      <c r="H49" t="s">
        <v>57</v>
      </c>
      <c r="I49" s="11">
        <v>45573.50445601852</v>
      </c>
      <c r="J49">
        <v>2</v>
      </c>
      <c r="K49" t="s">
        <v>37</v>
      </c>
      <c r="L49">
        <v>6297</v>
      </c>
    </row>
    <row r="50" spans="1:12">
      <c r="A50">
        <v>1015447</v>
      </c>
      <c r="B50" t="s">
        <v>216</v>
      </c>
      <c r="C50">
        <v>18</v>
      </c>
      <c r="D50" s="10">
        <v>45575</v>
      </c>
      <c r="E50">
        <v>12</v>
      </c>
      <c r="F50">
        <v>24</v>
      </c>
      <c r="G50">
        <v>4</v>
      </c>
      <c r="H50" t="s">
        <v>58</v>
      </c>
      <c r="I50" s="11">
        <v>45574.24541666666</v>
      </c>
      <c r="J50">
        <v>3</v>
      </c>
      <c r="K50" t="s">
        <v>45</v>
      </c>
      <c r="L50">
        <v>3636</v>
      </c>
    </row>
    <row r="51" spans="1:12">
      <c r="A51">
        <v>1015771</v>
      </c>
      <c r="B51" t="s">
        <v>218</v>
      </c>
      <c r="C51">
        <v>18</v>
      </c>
      <c r="D51" s="10">
        <v>45686</v>
      </c>
      <c r="E51">
        <v>12</v>
      </c>
      <c r="F51">
        <v>24</v>
      </c>
      <c r="G51">
        <v>4</v>
      </c>
      <c r="H51" t="s">
        <v>57</v>
      </c>
      <c r="I51" s="11">
        <v>45575.38422453704</v>
      </c>
      <c r="J51">
        <v>2</v>
      </c>
      <c r="K51" t="s">
        <v>41</v>
      </c>
      <c r="L51">
        <v>6438</v>
      </c>
    </row>
    <row r="52" spans="1:12">
      <c r="A52">
        <v>1015789</v>
      </c>
      <c r="B52" t="s">
        <v>221</v>
      </c>
      <c r="C52">
        <v>12</v>
      </c>
      <c r="D52" s="10">
        <v>45578</v>
      </c>
      <c r="E52">
        <v>8</v>
      </c>
      <c r="F52">
        <v>17</v>
      </c>
      <c r="G52">
        <v>2</v>
      </c>
      <c r="H52" t="s">
        <v>57</v>
      </c>
      <c r="I52" s="11">
        <v>45575.4259375</v>
      </c>
      <c r="J52">
        <v>4</v>
      </c>
      <c r="K52" t="s">
        <v>41</v>
      </c>
      <c r="L52">
        <v>5934</v>
      </c>
    </row>
    <row r="53" spans="1:12">
      <c r="A53">
        <v>1015827</v>
      </c>
      <c r="B53" t="s">
        <v>223</v>
      </c>
      <c r="C53">
        <v>23</v>
      </c>
      <c r="D53" s="10">
        <v>45582</v>
      </c>
      <c r="E53">
        <v>17</v>
      </c>
      <c r="F53">
        <v>7</v>
      </c>
      <c r="G53">
        <v>11</v>
      </c>
      <c r="H53" t="s">
        <v>57</v>
      </c>
      <c r="I53" s="11">
        <v>45575.56170138889</v>
      </c>
      <c r="J53">
        <v>1</v>
      </c>
      <c r="K53" t="s">
        <v>41</v>
      </c>
      <c r="L53">
        <v>2211</v>
      </c>
    </row>
    <row r="54" spans="1:12">
      <c r="A54">
        <v>1016727</v>
      </c>
      <c r="B54" t="s">
        <v>225</v>
      </c>
      <c r="C54">
        <v>15</v>
      </c>
      <c r="D54" s="10">
        <v>45600</v>
      </c>
      <c r="E54">
        <v>9</v>
      </c>
      <c r="F54">
        <v>3</v>
      </c>
      <c r="G54">
        <v>9</v>
      </c>
      <c r="H54" t="s">
        <v>58</v>
      </c>
      <c r="I54" s="11">
        <v>45578.58775462963</v>
      </c>
      <c r="J54">
        <v>1</v>
      </c>
      <c r="K54" t="s">
        <v>41</v>
      </c>
      <c r="L54">
        <v>549</v>
      </c>
    </row>
    <row r="55" spans="1:12">
      <c r="A55">
        <v>1016823</v>
      </c>
      <c r="B55" t="s">
        <v>227</v>
      </c>
      <c r="C55">
        <v>49</v>
      </c>
      <c r="D55" s="10">
        <v>45601</v>
      </c>
      <c r="E55">
        <v>37</v>
      </c>
      <c r="F55">
        <v>23</v>
      </c>
      <c r="G55">
        <v>30</v>
      </c>
      <c r="H55" t="s">
        <v>57</v>
      </c>
      <c r="I55" s="11">
        <v>45578.83155092593</v>
      </c>
      <c r="J55">
        <v>2</v>
      </c>
      <c r="K55" t="s">
        <v>41</v>
      </c>
      <c r="L55">
        <v>6604</v>
      </c>
    </row>
    <row r="56" spans="1:12">
      <c r="A56">
        <v>1017132</v>
      </c>
      <c r="B56" t="s">
        <v>230</v>
      </c>
      <c r="C56">
        <v>46</v>
      </c>
      <c r="D56" s="10">
        <v>45621</v>
      </c>
      <c r="E56">
        <v>34</v>
      </c>
      <c r="F56">
        <v>27</v>
      </c>
      <c r="G56">
        <v>20</v>
      </c>
      <c r="H56" t="s">
        <v>58</v>
      </c>
      <c r="I56" s="11">
        <v>45579.94372685185</v>
      </c>
      <c r="J56">
        <v>1</v>
      </c>
      <c r="K56" t="s">
        <v>41</v>
      </c>
      <c r="L56">
        <v>570</v>
      </c>
    </row>
    <row r="57" spans="1:12">
      <c r="A57">
        <v>1017303</v>
      </c>
      <c r="B57" t="s">
        <v>233</v>
      </c>
      <c r="C57">
        <v>48</v>
      </c>
      <c r="D57" s="10">
        <v>45586</v>
      </c>
      <c r="E57">
        <v>36</v>
      </c>
      <c r="F57">
        <v>28</v>
      </c>
      <c r="G57">
        <v>21</v>
      </c>
      <c r="H57" t="s">
        <v>57</v>
      </c>
      <c r="I57" s="11">
        <v>45580.70869212963</v>
      </c>
      <c r="J57">
        <v>4</v>
      </c>
      <c r="K57" t="s">
        <v>41</v>
      </c>
      <c r="L57">
        <v>12492</v>
      </c>
    </row>
    <row r="58" spans="1:12">
      <c r="A58">
        <v>1017459</v>
      </c>
      <c r="B58" t="s">
        <v>235</v>
      </c>
      <c r="C58">
        <v>28</v>
      </c>
      <c r="D58" s="10">
        <v>45633</v>
      </c>
      <c r="E58">
        <v>22</v>
      </c>
      <c r="F58">
        <v>19</v>
      </c>
      <c r="G58">
        <v>8</v>
      </c>
      <c r="H58" t="s">
        <v>57</v>
      </c>
      <c r="I58" s="11">
        <v>45581.39875</v>
      </c>
      <c r="J58">
        <v>1</v>
      </c>
      <c r="K58" t="s">
        <v>41</v>
      </c>
      <c r="L58">
        <v>3142</v>
      </c>
    </row>
    <row r="59" spans="1:12">
      <c r="A59">
        <v>1017579</v>
      </c>
      <c r="B59" t="s">
        <v>237</v>
      </c>
      <c r="C59">
        <v>15</v>
      </c>
      <c r="D59" s="10">
        <v>45588</v>
      </c>
      <c r="E59">
        <v>9</v>
      </c>
      <c r="F59">
        <v>3</v>
      </c>
      <c r="G59">
        <v>9</v>
      </c>
      <c r="H59" t="s">
        <v>60</v>
      </c>
      <c r="I59" s="11">
        <v>45581.78016203704</v>
      </c>
      <c r="J59">
        <v>3</v>
      </c>
      <c r="K59" t="s">
        <v>41</v>
      </c>
      <c r="L59">
        <v>1981</v>
      </c>
    </row>
    <row r="60" spans="1:12">
      <c r="A60">
        <v>1017595</v>
      </c>
      <c r="B60" t="s">
        <v>239</v>
      </c>
      <c r="C60">
        <v>12</v>
      </c>
      <c r="D60" s="10">
        <v>45630</v>
      </c>
      <c r="E60">
        <v>8</v>
      </c>
      <c r="F60">
        <v>17</v>
      </c>
      <c r="G60">
        <v>2</v>
      </c>
      <c r="H60" t="s">
        <v>60</v>
      </c>
      <c r="I60" s="11">
        <v>45581.83184027778</v>
      </c>
      <c r="J60">
        <v>4</v>
      </c>
      <c r="K60" t="s">
        <v>41</v>
      </c>
      <c r="L60">
        <v>2095</v>
      </c>
    </row>
    <row r="61" spans="1:12">
      <c r="A61">
        <v>1018391</v>
      </c>
      <c r="B61" t="s">
        <v>243</v>
      </c>
      <c r="C61">
        <v>16</v>
      </c>
      <c r="D61" s="10">
        <v>45611</v>
      </c>
      <c r="E61">
        <v>10</v>
      </c>
      <c r="F61">
        <v>9</v>
      </c>
      <c r="G61">
        <v>3</v>
      </c>
      <c r="H61" t="s">
        <v>57</v>
      </c>
      <c r="I61" s="11">
        <v>45584.86072916666</v>
      </c>
      <c r="J61">
        <v>5</v>
      </c>
      <c r="K61" t="s">
        <v>41</v>
      </c>
      <c r="L61">
        <v>11173</v>
      </c>
    </row>
    <row r="62" spans="1:12">
      <c r="A62">
        <v>1019199</v>
      </c>
      <c r="B62" t="s">
        <v>246</v>
      </c>
      <c r="C62">
        <v>4</v>
      </c>
      <c r="D62" s="10">
        <v>45599</v>
      </c>
      <c r="E62">
        <v>2</v>
      </c>
      <c r="F62">
        <v>26</v>
      </c>
      <c r="G62">
        <v>1</v>
      </c>
      <c r="H62" t="s">
        <v>58</v>
      </c>
      <c r="I62" s="11">
        <v>45587.57730324074</v>
      </c>
      <c r="J62">
        <v>3</v>
      </c>
      <c r="K62" t="s">
        <v>49</v>
      </c>
      <c r="L62">
        <v>4106</v>
      </c>
    </row>
    <row r="63" spans="1:12">
      <c r="A63">
        <v>1019981</v>
      </c>
      <c r="B63" t="s">
        <v>249</v>
      </c>
      <c r="C63">
        <v>40</v>
      </c>
      <c r="D63" s="10">
        <v>45590</v>
      </c>
      <c r="E63">
        <v>30</v>
      </c>
      <c r="F63">
        <v>22</v>
      </c>
      <c r="G63">
        <v>14</v>
      </c>
      <c r="H63" t="s">
        <v>58</v>
      </c>
      <c r="I63" s="11">
        <v>45589.96892361111</v>
      </c>
      <c r="J63">
        <v>2</v>
      </c>
      <c r="K63" t="s">
        <v>41</v>
      </c>
      <c r="L63">
        <v>2174</v>
      </c>
    </row>
    <row r="64" spans="1:12">
      <c r="A64">
        <v>1020492</v>
      </c>
      <c r="B64" t="s">
        <v>251</v>
      </c>
      <c r="C64">
        <v>33</v>
      </c>
      <c r="D64" s="10">
        <v>45595</v>
      </c>
      <c r="E64">
        <v>25</v>
      </c>
      <c r="F64">
        <v>11</v>
      </c>
      <c r="G64">
        <v>18</v>
      </c>
      <c r="H64" t="s">
        <v>58</v>
      </c>
      <c r="I64" s="11">
        <v>45591.84324074074</v>
      </c>
      <c r="J64">
        <v>2</v>
      </c>
      <c r="K64" t="s">
        <v>47</v>
      </c>
      <c r="L64">
        <v>2098</v>
      </c>
    </row>
    <row r="65" spans="1:12">
      <c r="A65">
        <v>1020992</v>
      </c>
      <c r="B65" t="s">
        <v>254</v>
      </c>
      <c r="C65">
        <v>46</v>
      </c>
      <c r="D65" s="10">
        <v>45621</v>
      </c>
      <c r="E65">
        <v>34</v>
      </c>
      <c r="F65">
        <v>27</v>
      </c>
      <c r="G65">
        <v>20</v>
      </c>
      <c r="H65" t="s">
        <v>56</v>
      </c>
      <c r="I65" s="11">
        <v>45593.62594907408</v>
      </c>
      <c r="J65">
        <v>2</v>
      </c>
      <c r="K65" t="s">
        <v>41</v>
      </c>
      <c r="L65">
        <v>7230</v>
      </c>
    </row>
    <row r="66" spans="1:12">
      <c r="A66">
        <v>1021010</v>
      </c>
      <c r="B66" t="s">
        <v>256</v>
      </c>
      <c r="C66">
        <v>44</v>
      </c>
      <c r="D66" s="10">
        <v>45620</v>
      </c>
      <c r="E66">
        <v>34</v>
      </c>
      <c r="F66">
        <v>27</v>
      </c>
      <c r="G66">
        <v>20</v>
      </c>
      <c r="H66" t="s">
        <v>60</v>
      </c>
      <c r="I66" s="11">
        <v>45593.67424768519</v>
      </c>
      <c r="J66">
        <v>1</v>
      </c>
      <c r="K66" t="s">
        <v>37</v>
      </c>
      <c r="L66">
        <v>753</v>
      </c>
    </row>
    <row r="67" spans="1:12">
      <c r="A67">
        <v>1021072</v>
      </c>
      <c r="B67" t="s">
        <v>259</v>
      </c>
      <c r="C67">
        <v>46</v>
      </c>
      <c r="D67" s="10">
        <v>45621</v>
      </c>
      <c r="E67">
        <v>34</v>
      </c>
      <c r="F67">
        <v>27</v>
      </c>
      <c r="G67">
        <v>20</v>
      </c>
      <c r="H67" t="s">
        <v>57</v>
      </c>
      <c r="I67" s="11">
        <v>45593.79215277778</v>
      </c>
      <c r="J67">
        <v>2</v>
      </c>
      <c r="K67" t="s">
        <v>41</v>
      </c>
      <c r="L67">
        <v>5040</v>
      </c>
    </row>
    <row r="68" spans="1:12">
      <c r="A68">
        <v>1021441</v>
      </c>
      <c r="B68" t="s">
        <v>261</v>
      </c>
      <c r="C68">
        <v>32</v>
      </c>
      <c r="D68" s="10">
        <v>45614</v>
      </c>
      <c r="E68">
        <v>24</v>
      </c>
      <c r="F68">
        <v>19</v>
      </c>
      <c r="G68">
        <v>9</v>
      </c>
      <c r="H68" t="s">
        <v>58</v>
      </c>
      <c r="I68" s="11">
        <v>45595.13194444445</v>
      </c>
      <c r="J68">
        <v>6</v>
      </c>
      <c r="K68" t="s">
        <v>41</v>
      </c>
      <c r="L68">
        <v>3663</v>
      </c>
    </row>
    <row r="69" spans="1:12">
      <c r="A69">
        <v>1021854</v>
      </c>
      <c r="B69" t="s">
        <v>264</v>
      </c>
      <c r="C69">
        <v>6</v>
      </c>
      <c r="D69" s="10">
        <v>45598</v>
      </c>
      <c r="E69">
        <v>4</v>
      </c>
      <c r="F69">
        <v>32</v>
      </c>
      <c r="G69">
        <v>1</v>
      </c>
      <c r="H69" t="s">
        <v>56</v>
      </c>
      <c r="I69" s="11">
        <v>45596.55517361111</v>
      </c>
      <c r="J69">
        <v>2</v>
      </c>
      <c r="K69" t="s">
        <v>41</v>
      </c>
      <c r="L69">
        <v>10606</v>
      </c>
    </row>
    <row r="70" spans="1:12">
      <c r="A70">
        <v>1021946</v>
      </c>
      <c r="B70" t="s">
        <v>266</v>
      </c>
      <c r="C70">
        <v>39</v>
      </c>
      <c r="D70" s="10">
        <v>45602</v>
      </c>
      <c r="E70">
        <v>29</v>
      </c>
      <c r="F70">
        <v>14</v>
      </c>
      <c r="G70">
        <v>22</v>
      </c>
      <c r="H70" t="s">
        <v>58</v>
      </c>
      <c r="I70" s="11">
        <v>45596.85431712963</v>
      </c>
      <c r="J70">
        <v>2</v>
      </c>
      <c r="K70" t="s">
        <v>37</v>
      </c>
      <c r="L70">
        <v>2174</v>
      </c>
    </row>
    <row r="71" spans="1:12">
      <c r="A71">
        <v>1022190</v>
      </c>
      <c r="B71" t="s">
        <v>268</v>
      </c>
      <c r="C71">
        <v>15</v>
      </c>
      <c r="D71" s="10">
        <v>45600</v>
      </c>
      <c r="E71">
        <v>9</v>
      </c>
      <c r="F71">
        <v>3</v>
      </c>
      <c r="G71">
        <v>9</v>
      </c>
      <c r="H71" t="s">
        <v>58</v>
      </c>
      <c r="I71" s="11">
        <v>45597.78510416667</v>
      </c>
      <c r="J71">
        <v>4</v>
      </c>
      <c r="K71" t="s">
        <v>49</v>
      </c>
      <c r="L71">
        <v>3664</v>
      </c>
    </row>
    <row r="72" spans="1:12">
      <c r="A72">
        <v>1022407</v>
      </c>
      <c r="B72" t="s">
        <v>270</v>
      </c>
      <c r="C72">
        <v>51</v>
      </c>
      <c r="D72" s="10">
        <v>45608</v>
      </c>
      <c r="E72">
        <v>39</v>
      </c>
      <c r="F72">
        <v>25</v>
      </c>
      <c r="G72">
        <v>29</v>
      </c>
      <c r="H72" t="s">
        <v>58</v>
      </c>
      <c r="I72" s="11">
        <v>45598.69686342592</v>
      </c>
      <c r="J72">
        <v>5</v>
      </c>
      <c r="K72" t="s">
        <v>41</v>
      </c>
      <c r="L72">
        <v>3586</v>
      </c>
    </row>
    <row r="73" spans="1:12">
      <c r="A73">
        <v>1022690</v>
      </c>
      <c r="B73" t="s">
        <v>273</v>
      </c>
      <c r="C73">
        <v>30</v>
      </c>
      <c r="D73" s="10">
        <v>45609</v>
      </c>
      <c r="E73">
        <v>24</v>
      </c>
      <c r="F73">
        <v>19</v>
      </c>
      <c r="G73">
        <v>9</v>
      </c>
      <c r="H73" t="s">
        <v>57</v>
      </c>
      <c r="I73" s="11">
        <v>45599.7578125</v>
      </c>
      <c r="J73">
        <v>2</v>
      </c>
      <c r="K73" t="s">
        <v>47</v>
      </c>
      <c r="L73">
        <v>2770</v>
      </c>
    </row>
    <row r="74" spans="1:12">
      <c r="A74">
        <v>1022972</v>
      </c>
      <c r="B74" t="s">
        <v>276</v>
      </c>
      <c r="C74">
        <v>14</v>
      </c>
      <c r="D74" s="10">
        <v>45602</v>
      </c>
      <c r="E74">
        <v>10</v>
      </c>
      <c r="F74">
        <v>9</v>
      </c>
      <c r="G74">
        <v>3</v>
      </c>
      <c r="H74" t="s">
        <v>55</v>
      </c>
      <c r="I74" s="11">
        <v>45600.81203703704</v>
      </c>
      <c r="J74">
        <v>1</v>
      </c>
      <c r="K74" t="s">
        <v>49</v>
      </c>
      <c r="L74">
        <v>7338</v>
      </c>
    </row>
    <row r="75" spans="1:12">
      <c r="A75">
        <v>1023016</v>
      </c>
      <c r="B75" t="s">
        <v>279</v>
      </c>
      <c r="C75">
        <v>16</v>
      </c>
      <c r="D75" s="10">
        <v>45655</v>
      </c>
      <c r="E75">
        <v>10</v>
      </c>
      <c r="F75">
        <v>9</v>
      </c>
      <c r="G75">
        <v>3</v>
      </c>
      <c r="H75" t="s">
        <v>57</v>
      </c>
      <c r="I75" s="11">
        <v>45600.91778935185</v>
      </c>
      <c r="J75">
        <v>1</v>
      </c>
      <c r="K75" t="s">
        <v>37</v>
      </c>
      <c r="L75">
        <v>2429</v>
      </c>
    </row>
    <row r="76" spans="1:12">
      <c r="A76">
        <v>1024071</v>
      </c>
      <c r="B76" t="s">
        <v>282</v>
      </c>
      <c r="C76">
        <v>12</v>
      </c>
      <c r="D76" s="10">
        <v>45630</v>
      </c>
      <c r="E76">
        <v>8</v>
      </c>
      <c r="F76">
        <v>17</v>
      </c>
      <c r="G76">
        <v>2</v>
      </c>
      <c r="H76" t="s">
        <v>58</v>
      </c>
      <c r="I76" s="11">
        <v>45605.46192129629</v>
      </c>
      <c r="J76">
        <v>2</v>
      </c>
      <c r="K76" t="s">
        <v>41</v>
      </c>
      <c r="L76">
        <v>1400</v>
      </c>
    </row>
    <row r="77" spans="1:12">
      <c r="A77">
        <v>1024249</v>
      </c>
      <c r="B77" t="s">
        <v>284</v>
      </c>
      <c r="C77">
        <v>40</v>
      </c>
      <c r="D77" s="10">
        <v>45641</v>
      </c>
      <c r="E77">
        <v>30</v>
      </c>
      <c r="F77">
        <v>22</v>
      </c>
      <c r="G77">
        <v>14</v>
      </c>
      <c r="H77" t="s">
        <v>57</v>
      </c>
      <c r="I77" s="11">
        <v>45606.2590162037</v>
      </c>
      <c r="J77">
        <v>2</v>
      </c>
      <c r="K77" t="s">
        <v>41</v>
      </c>
      <c r="L77">
        <v>4329</v>
      </c>
    </row>
    <row r="78" spans="1:12">
      <c r="A78">
        <v>1024488</v>
      </c>
      <c r="B78" t="s">
        <v>287</v>
      </c>
      <c r="C78">
        <v>48</v>
      </c>
      <c r="D78" s="10">
        <v>45613</v>
      </c>
      <c r="E78">
        <v>36</v>
      </c>
      <c r="F78">
        <v>28</v>
      </c>
      <c r="G78">
        <v>21</v>
      </c>
      <c r="H78" t="s">
        <v>58</v>
      </c>
      <c r="I78" s="11">
        <v>45606.9794675926</v>
      </c>
      <c r="J78">
        <v>1</v>
      </c>
      <c r="K78" t="s">
        <v>41</v>
      </c>
      <c r="L78">
        <v>1176</v>
      </c>
    </row>
    <row r="79" spans="1:12">
      <c r="A79">
        <v>1025070</v>
      </c>
      <c r="B79" t="s">
        <v>290</v>
      </c>
      <c r="C79">
        <v>50</v>
      </c>
      <c r="D79" s="10">
        <v>45650</v>
      </c>
      <c r="E79">
        <v>38</v>
      </c>
      <c r="F79">
        <v>30</v>
      </c>
      <c r="G79">
        <v>23</v>
      </c>
      <c r="H79" t="s">
        <v>58</v>
      </c>
      <c r="I79" s="11">
        <v>45609.45686342593</v>
      </c>
      <c r="J79">
        <v>1</v>
      </c>
      <c r="K79" t="s">
        <v>41</v>
      </c>
      <c r="L79">
        <v>1243</v>
      </c>
    </row>
    <row r="80" spans="1:12">
      <c r="A80">
        <v>1025466</v>
      </c>
      <c r="B80" t="s">
        <v>293</v>
      </c>
      <c r="C80">
        <v>44</v>
      </c>
      <c r="D80" s="10">
        <v>45620</v>
      </c>
      <c r="E80">
        <v>34</v>
      </c>
      <c r="F80">
        <v>27</v>
      </c>
      <c r="G80">
        <v>20</v>
      </c>
      <c r="H80" t="s">
        <v>60</v>
      </c>
      <c r="I80" s="11">
        <v>45610.97024305556</v>
      </c>
      <c r="J80">
        <v>1</v>
      </c>
      <c r="K80" t="s">
        <v>41</v>
      </c>
      <c r="L80">
        <v>753</v>
      </c>
    </row>
    <row r="81" spans="1:12">
      <c r="A81">
        <v>1025907</v>
      </c>
      <c r="B81" t="s">
        <v>295</v>
      </c>
      <c r="C81">
        <v>24</v>
      </c>
      <c r="D81" s="10">
        <v>45631</v>
      </c>
      <c r="E81">
        <v>18</v>
      </c>
      <c r="F81">
        <v>11</v>
      </c>
      <c r="G81">
        <v>7</v>
      </c>
      <c r="H81" t="s">
        <v>57</v>
      </c>
      <c r="I81" s="11">
        <v>45612.76711805556</v>
      </c>
      <c r="J81">
        <v>1</v>
      </c>
      <c r="K81" t="s">
        <v>41</v>
      </c>
      <c r="L81">
        <v>2211</v>
      </c>
    </row>
    <row r="82" spans="1:12">
      <c r="A82">
        <v>1026016</v>
      </c>
      <c r="B82" t="s">
        <v>298</v>
      </c>
      <c r="C82">
        <v>32</v>
      </c>
      <c r="D82" s="10">
        <v>45614</v>
      </c>
      <c r="E82">
        <v>24</v>
      </c>
      <c r="F82">
        <v>19</v>
      </c>
      <c r="G82">
        <v>9</v>
      </c>
      <c r="H82" t="s">
        <v>58</v>
      </c>
      <c r="I82" s="11">
        <v>45613.32912037037</v>
      </c>
      <c r="J82">
        <v>2</v>
      </c>
      <c r="K82" t="s">
        <v>49</v>
      </c>
      <c r="L82">
        <v>1308</v>
      </c>
    </row>
    <row r="83" spans="1:12">
      <c r="A83">
        <v>1026503</v>
      </c>
      <c r="B83" t="s">
        <v>300</v>
      </c>
      <c r="C83">
        <v>27</v>
      </c>
      <c r="D83" s="10">
        <v>45652</v>
      </c>
      <c r="E83">
        <v>21</v>
      </c>
      <c r="F83">
        <v>8</v>
      </c>
      <c r="G83">
        <v>19</v>
      </c>
      <c r="H83" t="s">
        <v>58</v>
      </c>
      <c r="I83" s="11">
        <v>45615.37180555556</v>
      </c>
      <c r="J83">
        <v>3</v>
      </c>
      <c r="K83" t="s">
        <v>41</v>
      </c>
      <c r="L83">
        <v>3076</v>
      </c>
    </row>
    <row r="84" spans="1:12">
      <c r="A84">
        <v>1026767</v>
      </c>
      <c r="B84" t="s">
        <v>303</v>
      </c>
      <c r="C84">
        <v>46</v>
      </c>
      <c r="D84" s="10">
        <v>45621</v>
      </c>
      <c r="E84">
        <v>34</v>
      </c>
      <c r="F84">
        <v>27</v>
      </c>
      <c r="G84">
        <v>20</v>
      </c>
      <c r="H84" t="s">
        <v>56</v>
      </c>
      <c r="I84" s="11">
        <v>45616.49730324074</v>
      </c>
      <c r="J84">
        <v>1</v>
      </c>
      <c r="K84" t="s">
        <v>41</v>
      </c>
      <c r="L84">
        <v>3615</v>
      </c>
    </row>
    <row r="85" spans="1:12">
      <c r="A85">
        <v>1026979</v>
      </c>
      <c r="B85" t="s">
        <v>306</v>
      </c>
      <c r="C85">
        <v>12</v>
      </c>
      <c r="D85" s="10">
        <v>45630</v>
      </c>
      <c r="E85">
        <v>8</v>
      </c>
      <c r="F85">
        <v>17</v>
      </c>
      <c r="G85">
        <v>2</v>
      </c>
      <c r="H85" t="s">
        <v>60</v>
      </c>
      <c r="I85" s="11">
        <v>45617.51605324074</v>
      </c>
      <c r="J85">
        <v>1</v>
      </c>
      <c r="K85" t="s">
        <v>41</v>
      </c>
      <c r="L85">
        <v>582</v>
      </c>
    </row>
    <row r="86" spans="1:12">
      <c r="A86">
        <v>1027209</v>
      </c>
      <c r="B86" t="s">
        <v>308</v>
      </c>
      <c r="C86">
        <v>18</v>
      </c>
      <c r="D86" s="10">
        <v>45630</v>
      </c>
      <c r="E86">
        <v>12</v>
      </c>
      <c r="F86">
        <v>24</v>
      </c>
      <c r="G86">
        <v>4</v>
      </c>
      <c r="H86" t="s">
        <v>57</v>
      </c>
      <c r="I86" s="11">
        <v>45618.52751157407</v>
      </c>
      <c r="J86">
        <v>2</v>
      </c>
      <c r="K86" t="s">
        <v>41</v>
      </c>
      <c r="L86">
        <v>5151</v>
      </c>
    </row>
    <row r="87" spans="1:12">
      <c r="A87">
        <v>1028041</v>
      </c>
      <c r="B87" t="s">
        <v>310</v>
      </c>
      <c r="C87">
        <v>24</v>
      </c>
      <c r="D87" s="10">
        <v>45665</v>
      </c>
      <c r="E87">
        <v>18</v>
      </c>
      <c r="F87">
        <v>11</v>
      </c>
      <c r="G87">
        <v>7</v>
      </c>
      <c r="H87" t="s">
        <v>56</v>
      </c>
      <c r="I87" s="11">
        <v>45621.78802083333</v>
      </c>
      <c r="J87">
        <v>1</v>
      </c>
      <c r="K87" t="s">
        <v>41</v>
      </c>
      <c r="L87">
        <v>3171</v>
      </c>
    </row>
    <row r="88" spans="1:12">
      <c r="A88">
        <v>1028506</v>
      </c>
      <c r="B88" t="s">
        <v>313</v>
      </c>
      <c r="C88">
        <v>42</v>
      </c>
      <c r="D88" s="10">
        <v>45654</v>
      </c>
      <c r="E88">
        <v>32</v>
      </c>
      <c r="F88">
        <v>31</v>
      </c>
      <c r="G88">
        <v>15</v>
      </c>
      <c r="H88" t="s">
        <v>57</v>
      </c>
      <c r="I88" s="11">
        <v>45623.82268518519</v>
      </c>
      <c r="J88">
        <v>2</v>
      </c>
      <c r="K88" t="s">
        <v>41</v>
      </c>
      <c r="L88">
        <v>4805</v>
      </c>
    </row>
    <row r="89" spans="1:12">
      <c r="A89">
        <v>1028750</v>
      </c>
      <c r="B89" t="s">
        <v>316</v>
      </c>
      <c r="C89">
        <v>39</v>
      </c>
      <c r="D89" s="10">
        <v>45636</v>
      </c>
      <c r="E89">
        <v>29</v>
      </c>
      <c r="F89">
        <v>14</v>
      </c>
      <c r="G89">
        <v>22</v>
      </c>
      <c r="H89" t="s">
        <v>58</v>
      </c>
      <c r="I89" s="11">
        <v>45624.85489583333</v>
      </c>
      <c r="J89">
        <v>1</v>
      </c>
      <c r="K89" t="s">
        <v>37</v>
      </c>
      <c r="L89">
        <v>1087</v>
      </c>
    </row>
    <row r="90" spans="1:12">
      <c r="A90">
        <v>1029155</v>
      </c>
      <c r="B90" t="s">
        <v>319</v>
      </c>
      <c r="C90">
        <v>29</v>
      </c>
      <c r="D90" s="10">
        <v>45650</v>
      </c>
      <c r="E90">
        <v>23</v>
      </c>
      <c r="F90">
        <v>9</v>
      </c>
      <c r="G90">
        <v>19</v>
      </c>
      <c r="H90" t="s">
        <v>57</v>
      </c>
      <c r="I90" s="11">
        <v>45626.69934027778</v>
      </c>
      <c r="J90">
        <v>2</v>
      </c>
      <c r="K90" t="s">
        <v>41</v>
      </c>
      <c r="L90">
        <v>3462</v>
      </c>
    </row>
    <row r="91" spans="1:12">
      <c r="A91">
        <v>1029181</v>
      </c>
      <c r="B91" t="s">
        <v>321</v>
      </c>
      <c r="C91">
        <v>26</v>
      </c>
      <c r="D91" s="10">
        <v>45683</v>
      </c>
      <c r="E91">
        <v>20</v>
      </c>
      <c r="F91">
        <v>12</v>
      </c>
      <c r="G91">
        <v>7</v>
      </c>
      <c r="H91" t="s">
        <v>58</v>
      </c>
      <c r="I91" s="11">
        <v>45626.78682870371</v>
      </c>
      <c r="J91">
        <v>1</v>
      </c>
      <c r="K91" t="s">
        <v>41</v>
      </c>
      <c r="L91">
        <v>870</v>
      </c>
    </row>
    <row r="92" spans="1:12">
      <c r="A92">
        <v>1029353</v>
      </c>
      <c r="B92" t="s">
        <v>324</v>
      </c>
      <c r="C92">
        <v>12</v>
      </c>
      <c r="D92" s="10">
        <v>45630</v>
      </c>
      <c r="E92">
        <v>8</v>
      </c>
      <c r="F92">
        <v>17</v>
      </c>
      <c r="G92">
        <v>2</v>
      </c>
      <c r="H92" t="s">
        <v>60</v>
      </c>
      <c r="I92" s="11">
        <v>45627.55447916667</v>
      </c>
      <c r="J92">
        <v>2</v>
      </c>
      <c r="K92" t="s">
        <v>41</v>
      </c>
      <c r="L92">
        <v>1164</v>
      </c>
    </row>
    <row r="93" spans="1:12">
      <c r="A93">
        <v>1029548</v>
      </c>
      <c r="B93" t="s">
        <v>326</v>
      </c>
      <c r="C93">
        <v>18</v>
      </c>
      <c r="D93" s="10">
        <v>45630</v>
      </c>
      <c r="E93">
        <v>12</v>
      </c>
      <c r="F93">
        <v>24</v>
      </c>
      <c r="G93">
        <v>4</v>
      </c>
      <c r="H93" t="s">
        <v>60</v>
      </c>
      <c r="I93" s="11">
        <v>45628.27950231481</v>
      </c>
      <c r="J93">
        <v>2</v>
      </c>
      <c r="K93" t="s">
        <v>41</v>
      </c>
      <c r="L93">
        <v>2016</v>
      </c>
    </row>
    <row r="94" spans="1:12">
      <c r="A94">
        <v>1029590</v>
      </c>
      <c r="B94" t="s">
        <v>328</v>
      </c>
      <c r="C94">
        <v>16</v>
      </c>
      <c r="D94" s="10">
        <v>45690</v>
      </c>
      <c r="E94">
        <v>10</v>
      </c>
      <c r="F94">
        <v>9</v>
      </c>
      <c r="G94">
        <v>3</v>
      </c>
      <c r="H94" t="s">
        <v>58</v>
      </c>
      <c r="I94" s="11">
        <v>45628.39833333333</v>
      </c>
      <c r="J94">
        <v>2</v>
      </c>
      <c r="K94" t="s">
        <v>41</v>
      </c>
      <c r="L94">
        <v>1832</v>
      </c>
    </row>
    <row r="95" spans="1:12">
      <c r="A95">
        <v>1029993</v>
      </c>
      <c r="B95" t="s">
        <v>331</v>
      </c>
      <c r="C95">
        <v>8</v>
      </c>
      <c r="D95" s="10">
        <v>45707</v>
      </c>
      <c r="E95">
        <v>4</v>
      </c>
      <c r="F95">
        <v>32</v>
      </c>
      <c r="G95">
        <v>1</v>
      </c>
      <c r="H95" t="s">
        <v>58</v>
      </c>
      <c r="I95" s="11">
        <v>45629.79315972222</v>
      </c>
      <c r="J95">
        <v>1</v>
      </c>
      <c r="K95" t="s">
        <v>37</v>
      </c>
      <c r="L95">
        <v>1325</v>
      </c>
    </row>
    <row r="96" spans="1:12">
      <c r="A96">
        <v>1030387</v>
      </c>
      <c r="B96" t="s">
        <v>334</v>
      </c>
      <c r="C96">
        <v>15</v>
      </c>
      <c r="D96" s="10">
        <v>45646</v>
      </c>
      <c r="E96">
        <v>9</v>
      </c>
      <c r="F96">
        <v>3</v>
      </c>
      <c r="G96">
        <v>9</v>
      </c>
      <c r="H96" t="s">
        <v>60</v>
      </c>
      <c r="I96" s="11">
        <v>45631.33871527778</v>
      </c>
      <c r="J96">
        <v>1</v>
      </c>
      <c r="K96" t="s">
        <v>41</v>
      </c>
      <c r="L96">
        <v>762</v>
      </c>
    </row>
    <row r="97" spans="1:12">
      <c r="A97">
        <v>1031206</v>
      </c>
      <c r="B97" t="s">
        <v>337</v>
      </c>
      <c r="C97">
        <v>2</v>
      </c>
      <c r="D97" s="10">
        <v>45643</v>
      </c>
      <c r="E97">
        <v>2</v>
      </c>
      <c r="F97">
        <v>26</v>
      </c>
      <c r="G97">
        <v>1</v>
      </c>
      <c r="H97" t="s">
        <v>58</v>
      </c>
      <c r="I97" s="11">
        <v>45634.70607638889</v>
      </c>
      <c r="J97">
        <v>1</v>
      </c>
      <c r="K97" t="s">
        <v>37</v>
      </c>
      <c r="L97">
        <v>1657</v>
      </c>
    </row>
    <row r="98" spans="1:12">
      <c r="A98">
        <v>1031770</v>
      </c>
      <c r="B98" t="s">
        <v>340</v>
      </c>
      <c r="C98">
        <v>21</v>
      </c>
      <c r="D98" s="10">
        <v>45654</v>
      </c>
      <c r="E98">
        <v>15</v>
      </c>
      <c r="F98">
        <v>6</v>
      </c>
      <c r="G98">
        <v>10</v>
      </c>
      <c r="H98" t="s">
        <v>58</v>
      </c>
      <c r="I98" s="11">
        <v>45636.85260416667</v>
      </c>
      <c r="J98">
        <v>1</v>
      </c>
      <c r="K98" t="s">
        <v>41</v>
      </c>
      <c r="L98">
        <v>1053</v>
      </c>
    </row>
    <row r="99" spans="1:12">
      <c r="A99">
        <v>1032006</v>
      </c>
      <c r="B99" t="s">
        <v>342</v>
      </c>
      <c r="C99">
        <v>26</v>
      </c>
      <c r="D99" s="10">
        <v>45683</v>
      </c>
      <c r="E99">
        <v>20</v>
      </c>
      <c r="F99">
        <v>12</v>
      </c>
      <c r="G99">
        <v>7</v>
      </c>
      <c r="H99" t="s">
        <v>58</v>
      </c>
      <c r="I99" s="11">
        <v>45637.94971064815</v>
      </c>
      <c r="J99">
        <v>2</v>
      </c>
      <c r="K99" t="s">
        <v>41</v>
      </c>
      <c r="L99">
        <v>1740</v>
      </c>
    </row>
    <row r="100" spans="1:12">
      <c r="A100">
        <v>1032070</v>
      </c>
      <c r="B100" t="s">
        <v>344</v>
      </c>
      <c r="C100">
        <v>1</v>
      </c>
      <c r="D100" s="10">
        <v>45648</v>
      </c>
      <c r="E100">
        <v>1</v>
      </c>
      <c r="F100">
        <v>1</v>
      </c>
      <c r="G100">
        <v>26</v>
      </c>
      <c r="H100" t="s">
        <v>60</v>
      </c>
      <c r="I100" s="11">
        <v>45638.3969212963</v>
      </c>
      <c r="J100">
        <v>4</v>
      </c>
      <c r="K100" t="s">
        <v>41</v>
      </c>
      <c r="L100">
        <v>5516</v>
      </c>
    </row>
    <row r="101" spans="1:12">
      <c r="A101">
        <v>1032096</v>
      </c>
      <c r="B101" t="s">
        <v>347</v>
      </c>
      <c r="C101">
        <v>49</v>
      </c>
      <c r="D101" s="10">
        <v>45664</v>
      </c>
      <c r="E101">
        <v>37</v>
      </c>
      <c r="F101">
        <v>23</v>
      </c>
      <c r="G101">
        <v>30</v>
      </c>
      <c r="H101" t="s">
        <v>60</v>
      </c>
      <c r="I101" s="11">
        <v>45638.46475694444</v>
      </c>
      <c r="J101">
        <v>1</v>
      </c>
      <c r="K101" t="s">
        <v>41</v>
      </c>
      <c r="L101">
        <v>1034</v>
      </c>
    </row>
    <row r="102" spans="1:12">
      <c r="A102">
        <v>1032311</v>
      </c>
      <c r="B102" t="s">
        <v>349</v>
      </c>
      <c r="C102">
        <v>43</v>
      </c>
      <c r="D102" s="10">
        <v>45681</v>
      </c>
      <c r="E102">
        <v>33</v>
      </c>
      <c r="F102">
        <v>20</v>
      </c>
      <c r="G102">
        <v>27</v>
      </c>
      <c r="H102" t="s">
        <v>60</v>
      </c>
      <c r="I102" s="11">
        <v>45639.37372685185</v>
      </c>
      <c r="J102">
        <v>2</v>
      </c>
      <c r="K102" t="s">
        <v>41</v>
      </c>
      <c r="L102">
        <v>1506</v>
      </c>
    </row>
    <row r="103" spans="1:12">
      <c r="A103">
        <v>1032683</v>
      </c>
      <c r="B103" t="s">
        <v>352</v>
      </c>
      <c r="C103">
        <v>11</v>
      </c>
      <c r="D103" s="10">
        <v>45658</v>
      </c>
      <c r="E103">
        <v>7</v>
      </c>
      <c r="F103">
        <v>2</v>
      </c>
      <c r="G103">
        <v>17</v>
      </c>
      <c r="H103" t="s">
        <v>58</v>
      </c>
      <c r="I103" s="11">
        <v>45640.62482638889</v>
      </c>
      <c r="J103">
        <v>1</v>
      </c>
      <c r="K103" t="s">
        <v>41</v>
      </c>
      <c r="L103">
        <v>700</v>
      </c>
    </row>
    <row r="104" spans="1:12">
      <c r="A104">
        <v>1032751</v>
      </c>
      <c r="B104" t="s">
        <v>355</v>
      </c>
      <c r="C104">
        <v>28</v>
      </c>
      <c r="D104" s="10">
        <v>45660</v>
      </c>
      <c r="E104">
        <v>22</v>
      </c>
      <c r="F104">
        <v>19</v>
      </c>
      <c r="G104">
        <v>8</v>
      </c>
      <c r="H104" t="s">
        <v>58</v>
      </c>
      <c r="I104" s="11">
        <v>45640.7865625</v>
      </c>
      <c r="J104">
        <v>1</v>
      </c>
      <c r="K104" t="s">
        <v>37</v>
      </c>
      <c r="L104">
        <v>1183</v>
      </c>
    </row>
    <row r="105" spans="1:12">
      <c r="A105">
        <v>1032942</v>
      </c>
      <c r="B105" t="s">
        <v>358</v>
      </c>
      <c r="C105">
        <v>30</v>
      </c>
      <c r="D105" s="10">
        <v>45720</v>
      </c>
      <c r="E105">
        <v>24</v>
      </c>
      <c r="F105">
        <v>19</v>
      </c>
      <c r="G105">
        <v>9</v>
      </c>
      <c r="H105" t="s">
        <v>60</v>
      </c>
      <c r="I105" s="11">
        <v>45641.58059027778</v>
      </c>
      <c r="J105">
        <v>2</v>
      </c>
      <c r="K105" t="s">
        <v>37</v>
      </c>
      <c r="L105">
        <v>816</v>
      </c>
    </row>
    <row r="106" spans="1:12">
      <c r="A106">
        <v>1033170</v>
      </c>
      <c r="B106" t="s">
        <v>361</v>
      </c>
      <c r="C106">
        <v>32</v>
      </c>
      <c r="D106" s="10">
        <v>45698</v>
      </c>
      <c r="E106">
        <v>24</v>
      </c>
      <c r="F106">
        <v>19</v>
      </c>
      <c r="G106">
        <v>9</v>
      </c>
      <c r="H106" t="s">
        <v>60</v>
      </c>
      <c r="I106" s="11">
        <v>45642.51140046296</v>
      </c>
      <c r="J106">
        <v>6</v>
      </c>
      <c r="K106" t="s">
        <v>41</v>
      </c>
      <c r="L106">
        <v>2828</v>
      </c>
    </row>
    <row r="107" spans="1:12">
      <c r="A107">
        <v>1033359</v>
      </c>
      <c r="B107" t="s">
        <v>364</v>
      </c>
      <c r="C107">
        <v>52</v>
      </c>
      <c r="D107" s="10">
        <v>45724</v>
      </c>
      <c r="E107">
        <v>40</v>
      </c>
      <c r="F107">
        <v>29</v>
      </c>
      <c r="G107">
        <v>25</v>
      </c>
      <c r="H107" t="s">
        <v>60</v>
      </c>
      <c r="I107" s="11">
        <v>45643.27178240741</v>
      </c>
      <c r="J107">
        <v>1</v>
      </c>
      <c r="K107" t="s">
        <v>41</v>
      </c>
      <c r="L107">
        <v>426</v>
      </c>
    </row>
    <row r="108" spans="1:12">
      <c r="A108">
        <v>1033617</v>
      </c>
      <c r="B108" t="s">
        <v>367</v>
      </c>
      <c r="C108">
        <v>9</v>
      </c>
      <c r="D108" s="10">
        <v>45660</v>
      </c>
      <c r="E108">
        <v>5</v>
      </c>
      <c r="F108">
        <v>2</v>
      </c>
      <c r="G108">
        <v>15</v>
      </c>
      <c r="H108" t="s">
        <v>59</v>
      </c>
      <c r="I108" s="11">
        <v>45644.2809837963</v>
      </c>
      <c r="J108">
        <v>2</v>
      </c>
      <c r="K108" t="s">
        <v>41</v>
      </c>
      <c r="L108">
        <v>1333</v>
      </c>
    </row>
    <row r="109" spans="1:12">
      <c r="A109">
        <v>1033662</v>
      </c>
      <c r="B109" t="s">
        <v>369</v>
      </c>
      <c r="C109">
        <v>51</v>
      </c>
      <c r="D109" s="10">
        <v>45751</v>
      </c>
      <c r="E109">
        <v>39</v>
      </c>
      <c r="F109">
        <v>25</v>
      </c>
      <c r="G109">
        <v>29</v>
      </c>
      <c r="H109" t="s">
        <v>57</v>
      </c>
      <c r="I109" s="11">
        <v>45644.42239583333</v>
      </c>
      <c r="J109">
        <v>1</v>
      </c>
      <c r="K109" t="s">
        <v>41</v>
      </c>
      <c r="L109">
        <v>2264</v>
      </c>
    </row>
    <row r="110" spans="1:12">
      <c r="A110">
        <v>1033852</v>
      </c>
      <c r="B110" t="s">
        <v>372</v>
      </c>
      <c r="C110">
        <v>27</v>
      </c>
      <c r="D110" s="10">
        <v>45652</v>
      </c>
      <c r="E110">
        <v>21</v>
      </c>
      <c r="F110">
        <v>8</v>
      </c>
      <c r="G110">
        <v>19</v>
      </c>
      <c r="H110" t="s">
        <v>56</v>
      </c>
      <c r="I110" s="11">
        <v>45644.8930787037</v>
      </c>
      <c r="J110">
        <v>1</v>
      </c>
      <c r="K110" t="s">
        <v>47</v>
      </c>
      <c r="L110">
        <v>4510</v>
      </c>
    </row>
    <row r="111" spans="1:12">
      <c r="A111">
        <v>1033943</v>
      </c>
      <c r="B111" t="s">
        <v>374</v>
      </c>
      <c r="C111">
        <v>27</v>
      </c>
      <c r="D111" s="10">
        <v>45652</v>
      </c>
      <c r="E111">
        <v>21</v>
      </c>
      <c r="F111">
        <v>8</v>
      </c>
      <c r="G111">
        <v>19</v>
      </c>
      <c r="H111" t="s">
        <v>58</v>
      </c>
      <c r="I111" s="11">
        <v>45645.44318287037</v>
      </c>
      <c r="J111">
        <v>2</v>
      </c>
      <c r="K111" t="s">
        <v>37</v>
      </c>
      <c r="L111">
        <v>1775</v>
      </c>
    </row>
    <row r="112" spans="1:12">
      <c r="A112">
        <v>1033952</v>
      </c>
      <c r="B112" t="s">
        <v>376</v>
      </c>
      <c r="C112">
        <v>2</v>
      </c>
      <c r="D112" s="10">
        <v>45685</v>
      </c>
      <c r="E112">
        <v>2</v>
      </c>
      <c r="F112">
        <v>26</v>
      </c>
      <c r="G112">
        <v>1</v>
      </c>
      <c r="H112" t="s">
        <v>58</v>
      </c>
      <c r="I112" s="11">
        <v>45645.46917824074</v>
      </c>
      <c r="J112">
        <v>2</v>
      </c>
      <c r="K112" t="s">
        <v>41</v>
      </c>
      <c r="L112">
        <v>2486</v>
      </c>
    </row>
    <row r="113" spans="1:12">
      <c r="A113">
        <v>1034717</v>
      </c>
      <c r="B113" t="s">
        <v>379</v>
      </c>
      <c r="C113">
        <v>43</v>
      </c>
      <c r="D113" s="10">
        <v>45707</v>
      </c>
      <c r="E113">
        <v>33</v>
      </c>
      <c r="F113">
        <v>20</v>
      </c>
      <c r="G113">
        <v>27</v>
      </c>
      <c r="H113" t="s">
        <v>57</v>
      </c>
      <c r="I113" s="11">
        <v>45648.49141203704</v>
      </c>
      <c r="J113">
        <v>1</v>
      </c>
      <c r="K113" t="s">
        <v>41</v>
      </c>
      <c r="L113">
        <v>1441</v>
      </c>
    </row>
    <row r="114" spans="1:12">
      <c r="A114">
        <v>1035233</v>
      </c>
      <c r="B114" t="s">
        <v>381</v>
      </c>
      <c r="C114">
        <v>32</v>
      </c>
      <c r="D114" s="10">
        <v>45677</v>
      </c>
      <c r="E114">
        <v>24</v>
      </c>
      <c r="F114">
        <v>19</v>
      </c>
      <c r="G114">
        <v>9</v>
      </c>
      <c r="H114" t="s">
        <v>57</v>
      </c>
      <c r="I114" s="11">
        <v>45650.35101851852</v>
      </c>
      <c r="J114">
        <v>2</v>
      </c>
      <c r="K114" t="s">
        <v>41</v>
      </c>
      <c r="L114">
        <v>2770</v>
      </c>
    </row>
    <row r="115" spans="1:12">
      <c r="A115">
        <v>1035543</v>
      </c>
      <c r="B115" t="s">
        <v>384</v>
      </c>
      <c r="C115">
        <v>42</v>
      </c>
      <c r="D115" s="10">
        <v>45654</v>
      </c>
      <c r="E115">
        <v>32</v>
      </c>
      <c r="F115">
        <v>31</v>
      </c>
      <c r="G115">
        <v>15</v>
      </c>
      <c r="H115" t="s">
        <v>57</v>
      </c>
      <c r="I115" s="11">
        <v>45651.49028935185</v>
      </c>
      <c r="J115">
        <v>1</v>
      </c>
      <c r="K115" t="s">
        <v>41</v>
      </c>
      <c r="L115">
        <v>3003</v>
      </c>
    </row>
    <row r="116" spans="1:12">
      <c r="A116">
        <v>1036026</v>
      </c>
      <c r="B116" t="s">
        <v>386</v>
      </c>
      <c r="C116">
        <v>2</v>
      </c>
      <c r="D116" s="10">
        <v>45685</v>
      </c>
      <c r="E116">
        <v>2</v>
      </c>
      <c r="F116">
        <v>26</v>
      </c>
      <c r="G116">
        <v>1</v>
      </c>
      <c r="H116" t="s">
        <v>60</v>
      </c>
      <c r="I116" s="11">
        <v>45653.41047453704</v>
      </c>
      <c r="J116">
        <v>1</v>
      </c>
      <c r="K116" t="s">
        <v>37</v>
      </c>
      <c r="L116">
        <v>1379</v>
      </c>
    </row>
    <row r="117" spans="1:12">
      <c r="A117">
        <v>1036697</v>
      </c>
      <c r="B117" t="s">
        <v>388</v>
      </c>
      <c r="C117">
        <v>16</v>
      </c>
      <c r="D117" s="10">
        <v>45760</v>
      </c>
      <c r="E117">
        <v>10</v>
      </c>
      <c r="F117">
        <v>9</v>
      </c>
      <c r="G117">
        <v>3</v>
      </c>
      <c r="H117" t="s">
        <v>57</v>
      </c>
      <c r="I117" s="11">
        <v>45655.83252314815</v>
      </c>
      <c r="J117">
        <v>1</v>
      </c>
      <c r="K117" t="s">
        <v>41</v>
      </c>
      <c r="L117">
        <v>2429</v>
      </c>
    </row>
    <row r="118" spans="1:12">
      <c r="A118">
        <v>1036960</v>
      </c>
      <c r="B118" t="s">
        <v>391</v>
      </c>
      <c r="C118">
        <v>31</v>
      </c>
      <c r="D118" s="10">
        <v>45769</v>
      </c>
      <c r="E118">
        <v>23</v>
      </c>
      <c r="F118">
        <v>9</v>
      </c>
      <c r="G118">
        <v>19</v>
      </c>
      <c r="H118" t="s">
        <v>57</v>
      </c>
      <c r="I118" s="11">
        <v>45656.81554398148</v>
      </c>
      <c r="J118">
        <v>6</v>
      </c>
      <c r="K118" t="s">
        <v>41</v>
      </c>
      <c r="L118">
        <v>8137</v>
      </c>
    </row>
    <row r="119" spans="1:12">
      <c r="A119">
        <v>1036967</v>
      </c>
      <c r="B119" t="s">
        <v>394</v>
      </c>
      <c r="C119">
        <v>4</v>
      </c>
      <c r="D119" s="10">
        <v>45658</v>
      </c>
      <c r="E119">
        <v>2</v>
      </c>
      <c r="F119">
        <v>26</v>
      </c>
      <c r="G119">
        <v>1</v>
      </c>
      <c r="H119" t="s">
        <v>58</v>
      </c>
      <c r="I119" s="11">
        <v>45656.83229166667</v>
      </c>
      <c r="J119">
        <v>4</v>
      </c>
      <c r="K119" t="s">
        <v>49</v>
      </c>
      <c r="L119">
        <v>6316</v>
      </c>
    </row>
    <row r="120" spans="1:12">
      <c r="A120">
        <v>1037102</v>
      </c>
      <c r="B120" t="s">
        <v>396</v>
      </c>
      <c r="C120">
        <v>42</v>
      </c>
      <c r="D120" s="10">
        <v>45675</v>
      </c>
      <c r="E120">
        <v>32</v>
      </c>
      <c r="F120">
        <v>31</v>
      </c>
      <c r="G120">
        <v>15</v>
      </c>
      <c r="H120" t="s">
        <v>57</v>
      </c>
      <c r="I120" s="11">
        <v>45657.45130787037</v>
      </c>
      <c r="J120">
        <v>1</v>
      </c>
      <c r="K120" t="s">
        <v>41</v>
      </c>
      <c r="L120">
        <v>3003</v>
      </c>
    </row>
    <row r="121" spans="1:12">
      <c r="A121">
        <v>1037976</v>
      </c>
      <c r="B121" t="s">
        <v>402</v>
      </c>
      <c r="C121">
        <v>2</v>
      </c>
      <c r="D121" s="10">
        <v>45720</v>
      </c>
      <c r="E121">
        <v>2</v>
      </c>
      <c r="F121">
        <v>26</v>
      </c>
      <c r="G121">
        <v>1</v>
      </c>
      <c r="H121" t="s">
        <v>60</v>
      </c>
      <c r="I121" s="11">
        <v>45660.72041666666</v>
      </c>
      <c r="J121">
        <v>4</v>
      </c>
      <c r="K121" t="s">
        <v>41</v>
      </c>
      <c r="L121">
        <v>4827</v>
      </c>
    </row>
    <row r="122" spans="1:12">
      <c r="A122">
        <v>1038246</v>
      </c>
      <c r="B122" t="s">
        <v>404</v>
      </c>
      <c r="C122">
        <v>44</v>
      </c>
      <c r="D122" s="10">
        <v>45676</v>
      </c>
      <c r="E122">
        <v>34</v>
      </c>
      <c r="F122">
        <v>27</v>
      </c>
      <c r="G122">
        <v>20</v>
      </c>
      <c r="H122" t="s">
        <v>58</v>
      </c>
      <c r="I122" s="11">
        <v>45661.8390162037</v>
      </c>
      <c r="J122">
        <v>4</v>
      </c>
      <c r="K122" t="s">
        <v>37</v>
      </c>
      <c r="L122">
        <v>3171</v>
      </c>
    </row>
    <row r="123" spans="1:12">
      <c r="A123">
        <v>1038289</v>
      </c>
      <c r="B123" t="s">
        <v>408</v>
      </c>
      <c r="C123">
        <v>5</v>
      </c>
      <c r="D123" s="10">
        <v>45672</v>
      </c>
      <c r="E123">
        <v>3</v>
      </c>
      <c r="F123">
        <v>1</v>
      </c>
      <c r="G123">
        <v>32</v>
      </c>
      <c r="H123" t="s">
        <v>58</v>
      </c>
      <c r="I123" s="11">
        <v>45662.07557870371</v>
      </c>
      <c r="J123">
        <v>1</v>
      </c>
      <c r="K123" t="s">
        <v>41</v>
      </c>
      <c r="L123">
        <v>1390</v>
      </c>
    </row>
    <row r="124" spans="1:12">
      <c r="A124">
        <v>1038662</v>
      </c>
      <c r="B124" t="s">
        <v>411</v>
      </c>
      <c r="C124">
        <v>18</v>
      </c>
      <c r="D124" s="10">
        <v>45686</v>
      </c>
      <c r="E124">
        <v>12</v>
      </c>
      <c r="F124">
        <v>24</v>
      </c>
      <c r="G124">
        <v>4</v>
      </c>
      <c r="H124" t="s">
        <v>57</v>
      </c>
      <c r="I124" s="11">
        <v>45663.56668981481</v>
      </c>
      <c r="J124">
        <v>2</v>
      </c>
      <c r="K124" t="s">
        <v>41</v>
      </c>
      <c r="L124">
        <v>6438</v>
      </c>
    </row>
    <row r="125" spans="1:12">
      <c r="A125">
        <v>1038708</v>
      </c>
      <c r="B125" t="s">
        <v>413</v>
      </c>
      <c r="C125">
        <v>29</v>
      </c>
      <c r="D125" s="10">
        <v>45711</v>
      </c>
      <c r="E125">
        <v>23</v>
      </c>
      <c r="F125">
        <v>9</v>
      </c>
      <c r="G125">
        <v>19</v>
      </c>
      <c r="H125" t="s">
        <v>58</v>
      </c>
      <c r="I125" s="11">
        <v>45663.70253472222</v>
      </c>
      <c r="J125">
        <v>1</v>
      </c>
      <c r="K125" t="s">
        <v>37</v>
      </c>
      <c r="L125">
        <v>654</v>
      </c>
    </row>
    <row r="126" spans="1:12">
      <c r="A126">
        <v>1038813</v>
      </c>
      <c r="B126" t="s">
        <v>416</v>
      </c>
      <c r="C126">
        <v>31</v>
      </c>
      <c r="D126" s="10">
        <v>45664</v>
      </c>
      <c r="E126">
        <v>23</v>
      </c>
      <c r="F126">
        <v>9</v>
      </c>
      <c r="G126">
        <v>19</v>
      </c>
      <c r="H126" t="s">
        <v>60</v>
      </c>
      <c r="I126" s="11">
        <v>45663.93247685185</v>
      </c>
      <c r="J126">
        <v>4</v>
      </c>
      <c r="K126" t="s">
        <v>37</v>
      </c>
      <c r="L126">
        <v>1686</v>
      </c>
    </row>
    <row r="127" spans="1:12">
      <c r="A127">
        <v>1041015</v>
      </c>
      <c r="B127" t="s">
        <v>420</v>
      </c>
      <c r="C127">
        <v>8</v>
      </c>
      <c r="D127" s="10">
        <v>45771</v>
      </c>
      <c r="E127">
        <v>4</v>
      </c>
      <c r="F127">
        <v>32</v>
      </c>
      <c r="G127">
        <v>1</v>
      </c>
      <c r="H127" t="s">
        <v>60</v>
      </c>
      <c r="I127" s="11">
        <v>45673.37979166667</v>
      </c>
      <c r="J127">
        <v>1</v>
      </c>
      <c r="K127" t="s">
        <v>41</v>
      </c>
      <c r="L127">
        <v>1102</v>
      </c>
    </row>
    <row r="128" spans="1:12">
      <c r="A128">
        <v>1041254</v>
      </c>
      <c r="B128" t="s">
        <v>423</v>
      </c>
      <c r="C128">
        <v>41</v>
      </c>
      <c r="D128" s="10">
        <v>45698</v>
      </c>
      <c r="E128">
        <v>31</v>
      </c>
      <c r="F128">
        <v>15</v>
      </c>
      <c r="G128">
        <v>31</v>
      </c>
      <c r="H128" t="s">
        <v>57</v>
      </c>
      <c r="I128" s="11">
        <v>45674.30615740741</v>
      </c>
      <c r="J128">
        <v>2</v>
      </c>
      <c r="K128" t="s">
        <v>41</v>
      </c>
      <c r="L128">
        <v>6006</v>
      </c>
    </row>
    <row r="129" spans="1:12">
      <c r="A129">
        <v>1041316</v>
      </c>
      <c r="B129" t="s">
        <v>425</v>
      </c>
      <c r="C129">
        <v>44</v>
      </c>
      <c r="D129" s="10">
        <v>45676</v>
      </c>
      <c r="E129">
        <v>34</v>
      </c>
      <c r="F129">
        <v>27</v>
      </c>
      <c r="G129">
        <v>20</v>
      </c>
      <c r="H129" t="s">
        <v>57</v>
      </c>
      <c r="I129" s="11">
        <v>45674.44359953704</v>
      </c>
      <c r="J129">
        <v>2</v>
      </c>
      <c r="K129" t="s">
        <v>47</v>
      </c>
      <c r="L129">
        <v>2882</v>
      </c>
    </row>
    <row r="130" spans="1:12">
      <c r="A130">
        <v>1041842</v>
      </c>
      <c r="B130" t="s">
        <v>427</v>
      </c>
      <c r="C130">
        <v>2</v>
      </c>
      <c r="D130" s="10">
        <v>45693</v>
      </c>
      <c r="E130">
        <v>2</v>
      </c>
      <c r="F130">
        <v>26</v>
      </c>
      <c r="G130">
        <v>1</v>
      </c>
      <c r="H130" t="s">
        <v>57</v>
      </c>
      <c r="I130" s="11">
        <v>45676.35219907408</v>
      </c>
      <c r="J130">
        <v>1</v>
      </c>
      <c r="K130" t="s">
        <v>41</v>
      </c>
      <c r="L130">
        <v>2644</v>
      </c>
    </row>
    <row r="131" spans="1:12">
      <c r="A131">
        <v>1042485</v>
      </c>
      <c r="B131" t="s">
        <v>430</v>
      </c>
      <c r="C131">
        <v>31</v>
      </c>
      <c r="D131" s="10">
        <v>45727</v>
      </c>
      <c r="E131">
        <v>23</v>
      </c>
      <c r="F131">
        <v>9</v>
      </c>
      <c r="G131">
        <v>19</v>
      </c>
      <c r="H131" t="s">
        <v>57</v>
      </c>
      <c r="I131" s="11">
        <v>45678.58958333333</v>
      </c>
      <c r="J131">
        <v>1</v>
      </c>
      <c r="K131" t="s">
        <v>41</v>
      </c>
      <c r="L131">
        <v>1731</v>
      </c>
    </row>
    <row r="132" spans="1:12">
      <c r="A132">
        <v>1042637</v>
      </c>
      <c r="B132" t="s">
        <v>433</v>
      </c>
      <c r="C132">
        <v>43</v>
      </c>
      <c r="D132" s="10">
        <v>45681</v>
      </c>
      <c r="E132">
        <v>33</v>
      </c>
      <c r="F132">
        <v>20</v>
      </c>
      <c r="G132">
        <v>27</v>
      </c>
      <c r="H132" t="s">
        <v>58</v>
      </c>
      <c r="I132" s="11">
        <v>45679.22767361111</v>
      </c>
      <c r="J132">
        <v>1</v>
      </c>
      <c r="K132" t="s">
        <v>41</v>
      </c>
      <c r="L132">
        <v>906</v>
      </c>
    </row>
    <row r="133" spans="1:12">
      <c r="A133">
        <v>1043064</v>
      </c>
      <c r="B133" t="s">
        <v>435</v>
      </c>
      <c r="C133">
        <v>35</v>
      </c>
      <c r="D133" s="10">
        <v>45684</v>
      </c>
      <c r="E133">
        <v>25</v>
      </c>
      <c r="F133">
        <v>11</v>
      </c>
      <c r="G133">
        <v>18</v>
      </c>
      <c r="H133" t="s">
        <v>58</v>
      </c>
      <c r="I133" s="11">
        <v>45680.72766203704</v>
      </c>
      <c r="J133">
        <v>1</v>
      </c>
      <c r="K133" t="s">
        <v>41</v>
      </c>
      <c r="L133">
        <v>1049</v>
      </c>
    </row>
    <row r="134" spans="1:12">
      <c r="A134">
        <v>1043917</v>
      </c>
      <c r="B134" t="s">
        <v>438</v>
      </c>
      <c r="C134">
        <v>30</v>
      </c>
      <c r="D134" s="10">
        <v>45707</v>
      </c>
      <c r="E134">
        <v>24</v>
      </c>
      <c r="F134">
        <v>19</v>
      </c>
      <c r="G134">
        <v>9</v>
      </c>
      <c r="H134" t="s">
        <v>58</v>
      </c>
      <c r="I134" s="11">
        <v>45683.55074074074</v>
      </c>
      <c r="J134">
        <v>1</v>
      </c>
      <c r="K134" t="s">
        <v>41</v>
      </c>
      <c r="L134">
        <v>654</v>
      </c>
    </row>
    <row r="135" spans="1:12">
      <c r="A135">
        <v>1044066</v>
      </c>
      <c r="B135" t="s">
        <v>440</v>
      </c>
      <c r="C135">
        <v>19</v>
      </c>
      <c r="D135" s="10">
        <v>45753</v>
      </c>
      <c r="E135">
        <v>13</v>
      </c>
      <c r="F135">
        <v>5</v>
      </c>
      <c r="G135">
        <v>16</v>
      </c>
      <c r="H135" t="s">
        <v>60</v>
      </c>
      <c r="I135" s="11">
        <v>45683.87168981481</v>
      </c>
      <c r="J135">
        <v>2</v>
      </c>
      <c r="K135" t="s">
        <v>37</v>
      </c>
      <c r="L135">
        <v>1002</v>
      </c>
    </row>
    <row r="136" spans="1:12">
      <c r="A136">
        <v>1044512</v>
      </c>
      <c r="B136" t="s">
        <v>443</v>
      </c>
      <c r="C136">
        <v>43</v>
      </c>
      <c r="D136" s="10">
        <v>45793</v>
      </c>
      <c r="E136">
        <v>33</v>
      </c>
      <c r="F136">
        <v>20</v>
      </c>
      <c r="G136">
        <v>27</v>
      </c>
      <c r="H136" t="s">
        <v>57</v>
      </c>
      <c r="I136" s="11">
        <v>45685.71079861111</v>
      </c>
      <c r="J136">
        <v>1</v>
      </c>
      <c r="K136" t="s">
        <v>41</v>
      </c>
      <c r="L136">
        <v>2402</v>
      </c>
    </row>
    <row r="137" spans="1:12">
      <c r="A137">
        <v>1046011</v>
      </c>
      <c r="B137" t="s">
        <v>446</v>
      </c>
      <c r="C137">
        <v>45</v>
      </c>
      <c r="D137" s="10">
        <v>45712</v>
      </c>
      <c r="E137">
        <v>33</v>
      </c>
      <c r="F137">
        <v>20</v>
      </c>
      <c r="G137">
        <v>27</v>
      </c>
      <c r="H137" t="s">
        <v>60</v>
      </c>
      <c r="I137" s="11">
        <v>45691.43076388889</v>
      </c>
      <c r="J137">
        <v>1</v>
      </c>
      <c r="K137" t="s">
        <v>37</v>
      </c>
      <c r="L137">
        <v>790</v>
      </c>
    </row>
    <row r="138" spans="1:12">
      <c r="A138">
        <v>1046029</v>
      </c>
      <c r="B138" t="s">
        <v>449</v>
      </c>
      <c r="C138">
        <v>13</v>
      </c>
      <c r="D138" s="10">
        <v>45721</v>
      </c>
      <c r="E138">
        <v>9</v>
      </c>
      <c r="F138">
        <v>3</v>
      </c>
      <c r="G138">
        <v>9</v>
      </c>
      <c r="H138" t="s">
        <v>55</v>
      </c>
      <c r="I138" s="11">
        <v>45691.48981481481</v>
      </c>
      <c r="J138">
        <v>1</v>
      </c>
      <c r="K138" t="s">
        <v>41</v>
      </c>
      <c r="L138">
        <v>7338</v>
      </c>
    </row>
    <row r="139" spans="1:12">
      <c r="A139">
        <v>1046157</v>
      </c>
      <c r="B139" t="s">
        <v>452</v>
      </c>
      <c r="C139">
        <v>38</v>
      </c>
      <c r="D139" s="10">
        <v>45724</v>
      </c>
      <c r="E139">
        <v>28</v>
      </c>
      <c r="F139">
        <v>26</v>
      </c>
      <c r="G139">
        <v>13</v>
      </c>
      <c r="H139" t="s">
        <v>58</v>
      </c>
      <c r="I139" s="11">
        <v>45691.82618055555</v>
      </c>
      <c r="J139">
        <v>1</v>
      </c>
      <c r="K139" t="s">
        <v>41</v>
      </c>
      <c r="L139">
        <v>607</v>
      </c>
    </row>
    <row r="140" spans="1:12">
      <c r="A140">
        <v>1046198</v>
      </c>
      <c r="B140" t="s">
        <v>454</v>
      </c>
      <c r="C140">
        <v>30</v>
      </c>
      <c r="D140" s="10">
        <v>45707</v>
      </c>
      <c r="E140">
        <v>24</v>
      </c>
      <c r="F140">
        <v>19</v>
      </c>
      <c r="G140">
        <v>9</v>
      </c>
      <c r="H140" t="s">
        <v>58</v>
      </c>
      <c r="I140" s="11">
        <v>45691.90791666666</v>
      </c>
      <c r="J140">
        <v>2</v>
      </c>
      <c r="K140" t="s">
        <v>41</v>
      </c>
      <c r="L140">
        <v>1308</v>
      </c>
    </row>
    <row r="141" spans="1:12">
      <c r="A141">
        <v>1046233</v>
      </c>
      <c r="B141" t="s">
        <v>456</v>
      </c>
      <c r="C141">
        <v>23</v>
      </c>
      <c r="D141" s="10">
        <v>45706</v>
      </c>
      <c r="E141">
        <v>17</v>
      </c>
      <c r="F141">
        <v>7</v>
      </c>
      <c r="G141">
        <v>11</v>
      </c>
      <c r="H141" t="s">
        <v>58</v>
      </c>
      <c r="I141" s="11">
        <v>45692.17106481481</v>
      </c>
      <c r="J141">
        <v>2</v>
      </c>
      <c r="K141" t="s">
        <v>41</v>
      </c>
      <c r="L141">
        <v>1335</v>
      </c>
    </row>
    <row r="142" spans="1:12">
      <c r="A142">
        <v>1046536</v>
      </c>
      <c r="B142" t="s">
        <v>461</v>
      </c>
      <c r="C142">
        <v>31</v>
      </c>
      <c r="D142" s="10">
        <v>45727</v>
      </c>
      <c r="E142">
        <v>23</v>
      </c>
      <c r="F142">
        <v>9</v>
      </c>
      <c r="G142">
        <v>19</v>
      </c>
      <c r="H142" t="s">
        <v>60</v>
      </c>
      <c r="I142" s="11">
        <v>45693.27216435185</v>
      </c>
      <c r="J142">
        <v>2</v>
      </c>
      <c r="K142" t="s">
        <v>41</v>
      </c>
      <c r="L142">
        <v>1088</v>
      </c>
    </row>
    <row r="143" spans="1:12">
      <c r="A143">
        <v>1047713</v>
      </c>
      <c r="B143" t="s">
        <v>463</v>
      </c>
      <c r="C143">
        <v>36</v>
      </c>
      <c r="D143" s="10">
        <v>45740</v>
      </c>
      <c r="E143">
        <v>26</v>
      </c>
      <c r="F143">
        <v>18</v>
      </c>
      <c r="G143">
        <v>11</v>
      </c>
      <c r="H143" t="s">
        <v>58</v>
      </c>
      <c r="I143" s="11">
        <v>45697.3396412037</v>
      </c>
      <c r="J143">
        <v>2</v>
      </c>
      <c r="K143" t="s">
        <v>41</v>
      </c>
      <c r="L143">
        <v>1573</v>
      </c>
    </row>
    <row r="144" spans="1:12">
      <c r="A144">
        <v>1048875</v>
      </c>
      <c r="B144" t="s">
        <v>466</v>
      </c>
      <c r="C144">
        <v>13</v>
      </c>
      <c r="D144" s="10">
        <v>45721</v>
      </c>
      <c r="E144">
        <v>9</v>
      </c>
      <c r="F144">
        <v>3</v>
      </c>
      <c r="G144">
        <v>9</v>
      </c>
      <c r="H144" t="s">
        <v>57</v>
      </c>
      <c r="I144" s="11">
        <v>45700.9158912037</v>
      </c>
      <c r="J144">
        <v>3</v>
      </c>
      <c r="K144" t="s">
        <v>41</v>
      </c>
      <c r="L144">
        <v>9078</v>
      </c>
    </row>
    <row r="145" spans="1:12">
      <c r="A145">
        <v>1049353</v>
      </c>
      <c r="B145" t="s">
        <v>471</v>
      </c>
      <c r="C145">
        <v>33</v>
      </c>
      <c r="D145" s="10">
        <v>45707</v>
      </c>
      <c r="E145">
        <v>25</v>
      </c>
      <c r="F145">
        <v>11</v>
      </c>
      <c r="G145">
        <v>18</v>
      </c>
      <c r="H145" t="s">
        <v>58</v>
      </c>
      <c r="I145" s="11">
        <v>45702.53961805555</v>
      </c>
      <c r="J145">
        <v>2</v>
      </c>
      <c r="K145" t="s">
        <v>41</v>
      </c>
      <c r="L145">
        <v>2098</v>
      </c>
    </row>
    <row r="146" spans="1:12">
      <c r="A146">
        <v>1050196</v>
      </c>
      <c r="B146" t="s">
        <v>473</v>
      </c>
      <c r="C146">
        <v>43</v>
      </c>
      <c r="D146" s="10">
        <v>45707</v>
      </c>
      <c r="E146">
        <v>33</v>
      </c>
      <c r="F146">
        <v>20</v>
      </c>
      <c r="G146">
        <v>27</v>
      </c>
      <c r="H146" t="s">
        <v>57</v>
      </c>
      <c r="I146" s="11">
        <v>45704.86490740741</v>
      </c>
      <c r="J146">
        <v>1</v>
      </c>
      <c r="K146" t="s">
        <v>49</v>
      </c>
      <c r="L146">
        <v>2402</v>
      </c>
    </row>
    <row r="147" spans="1:12">
      <c r="A147">
        <v>1050534</v>
      </c>
      <c r="B147" t="s">
        <v>475</v>
      </c>
      <c r="C147">
        <v>25</v>
      </c>
      <c r="D147" s="10">
        <v>45746</v>
      </c>
      <c r="E147">
        <v>19</v>
      </c>
      <c r="F147">
        <v>7</v>
      </c>
      <c r="G147">
        <v>12</v>
      </c>
      <c r="H147" t="s">
        <v>58</v>
      </c>
      <c r="I147" s="11">
        <v>45705.8908912037</v>
      </c>
      <c r="J147">
        <v>3</v>
      </c>
      <c r="K147" t="s">
        <v>41</v>
      </c>
      <c r="L147">
        <v>1566</v>
      </c>
    </row>
    <row r="148" spans="1:12">
      <c r="A148">
        <v>1050575</v>
      </c>
      <c r="B148" t="s">
        <v>478</v>
      </c>
      <c r="C148">
        <v>13</v>
      </c>
      <c r="D148" s="10">
        <v>45707</v>
      </c>
      <c r="E148">
        <v>9</v>
      </c>
      <c r="F148">
        <v>3</v>
      </c>
      <c r="G148">
        <v>9</v>
      </c>
      <c r="H148" t="s">
        <v>56</v>
      </c>
      <c r="I148" s="11">
        <v>45706.26503472222</v>
      </c>
      <c r="J148">
        <v>2</v>
      </c>
      <c r="K148" t="s">
        <v>37</v>
      </c>
      <c r="L148">
        <v>6513</v>
      </c>
    </row>
    <row r="149" spans="1:12">
      <c r="A149">
        <v>1050620</v>
      </c>
      <c r="B149" t="s">
        <v>480</v>
      </c>
      <c r="C149">
        <v>39</v>
      </c>
      <c r="D149" s="10">
        <v>45709</v>
      </c>
      <c r="E149">
        <v>29</v>
      </c>
      <c r="F149">
        <v>14</v>
      </c>
      <c r="G149">
        <v>22</v>
      </c>
      <c r="H149" t="s">
        <v>57</v>
      </c>
      <c r="I149" s="11">
        <v>45706.38368055555</v>
      </c>
      <c r="J149">
        <v>1</v>
      </c>
      <c r="K149" t="s">
        <v>49</v>
      </c>
      <c r="L149">
        <v>2886</v>
      </c>
    </row>
    <row r="150" spans="1:12">
      <c r="A150">
        <v>1050680</v>
      </c>
      <c r="B150" t="s">
        <v>483</v>
      </c>
      <c r="C150">
        <v>6</v>
      </c>
      <c r="D150" s="10">
        <v>45731</v>
      </c>
      <c r="E150">
        <v>4</v>
      </c>
      <c r="F150">
        <v>32</v>
      </c>
      <c r="G150">
        <v>1</v>
      </c>
      <c r="H150" t="s">
        <v>58</v>
      </c>
      <c r="I150" s="11">
        <v>45706.54769675926</v>
      </c>
      <c r="J150">
        <v>1</v>
      </c>
      <c r="K150" t="s">
        <v>37</v>
      </c>
      <c r="L150">
        <v>1390</v>
      </c>
    </row>
    <row r="151" spans="1:12">
      <c r="A151">
        <v>1051001</v>
      </c>
      <c r="B151" t="s">
        <v>486</v>
      </c>
      <c r="C151">
        <v>30</v>
      </c>
      <c r="D151" s="10">
        <v>45763</v>
      </c>
      <c r="E151">
        <v>24</v>
      </c>
      <c r="F151">
        <v>19</v>
      </c>
      <c r="G151">
        <v>9</v>
      </c>
      <c r="H151" t="s">
        <v>58</v>
      </c>
      <c r="I151" s="11">
        <v>45707.51035879629</v>
      </c>
      <c r="J151">
        <v>2</v>
      </c>
      <c r="K151" t="s">
        <v>41</v>
      </c>
      <c r="L151">
        <v>1308</v>
      </c>
    </row>
    <row r="152" spans="1:12">
      <c r="A152">
        <v>1051333</v>
      </c>
      <c r="B152" t="s">
        <v>491</v>
      </c>
      <c r="C152">
        <v>34</v>
      </c>
      <c r="D152" s="10">
        <v>45712</v>
      </c>
      <c r="E152">
        <v>26</v>
      </c>
      <c r="F152">
        <v>18</v>
      </c>
      <c r="G152">
        <v>11</v>
      </c>
      <c r="H152" t="s">
        <v>58</v>
      </c>
      <c r="I152" s="11">
        <v>45708.62237268518</v>
      </c>
      <c r="J152">
        <v>2</v>
      </c>
      <c r="K152" t="s">
        <v>41</v>
      </c>
      <c r="L152">
        <v>2098</v>
      </c>
    </row>
    <row r="153" spans="1:12">
      <c r="A153">
        <v>1051550</v>
      </c>
      <c r="B153" t="s">
        <v>493</v>
      </c>
      <c r="C153">
        <v>28</v>
      </c>
      <c r="D153" s="10">
        <v>45724</v>
      </c>
      <c r="E153">
        <v>22</v>
      </c>
      <c r="F153">
        <v>19</v>
      </c>
      <c r="G153">
        <v>8</v>
      </c>
      <c r="H153" t="s">
        <v>58</v>
      </c>
      <c r="I153" s="11">
        <v>45709.45103009259</v>
      </c>
      <c r="J153">
        <v>5</v>
      </c>
      <c r="K153" t="s">
        <v>41</v>
      </c>
      <c r="L153">
        <v>4733</v>
      </c>
    </row>
    <row r="154" spans="1:12">
      <c r="A154">
        <v>1051773</v>
      </c>
      <c r="B154" t="s">
        <v>495</v>
      </c>
      <c r="C154">
        <v>46</v>
      </c>
      <c r="D154" s="10">
        <v>45728</v>
      </c>
      <c r="E154">
        <v>34</v>
      </c>
      <c r="F154">
        <v>27</v>
      </c>
      <c r="G154">
        <v>20</v>
      </c>
      <c r="H154" t="s">
        <v>57</v>
      </c>
      <c r="I154" s="11">
        <v>45710.06971064815</v>
      </c>
      <c r="J154">
        <v>1</v>
      </c>
      <c r="K154" t="s">
        <v>41</v>
      </c>
      <c r="L154">
        <v>2520</v>
      </c>
    </row>
    <row r="155" spans="1:12">
      <c r="A155">
        <v>1051794</v>
      </c>
      <c r="B155" t="s">
        <v>498</v>
      </c>
      <c r="C155">
        <v>46</v>
      </c>
      <c r="D155" s="10">
        <v>45728</v>
      </c>
      <c r="E155">
        <v>34</v>
      </c>
      <c r="F155">
        <v>27</v>
      </c>
      <c r="G155">
        <v>20</v>
      </c>
      <c r="H155" t="s">
        <v>58</v>
      </c>
      <c r="I155" s="11">
        <v>45710.31715277778</v>
      </c>
      <c r="J155">
        <v>3</v>
      </c>
      <c r="K155" t="s">
        <v>41</v>
      </c>
      <c r="L155">
        <v>2470</v>
      </c>
    </row>
    <row r="156" spans="1:12">
      <c r="A156">
        <v>1052314</v>
      </c>
      <c r="B156" t="s">
        <v>501</v>
      </c>
      <c r="C156">
        <v>23</v>
      </c>
      <c r="D156" s="10">
        <v>45725</v>
      </c>
      <c r="E156">
        <v>17</v>
      </c>
      <c r="F156">
        <v>7</v>
      </c>
      <c r="G156">
        <v>11</v>
      </c>
      <c r="H156" t="s">
        <v>58</v>
      </c>
      <c r="I156" s="11">
        <v>45711.76989583333</v>
      </c>
      <c r="J156">
        <v>1</v>
      </c>
      <c r="K156" t="s">
        <v>41</v>
      </c>
      <c r="L156">
        <v>501</v>
      </c>
    </row>
    <row r="157" spans="1:12">
      <c r="A157">
        <v>1052682</v>
      </c>
      <c r="B157" t="s">
        <v>504</v>
      </c>
      <c r="C157">
        <v>43</v>
      </c>
      <c r="D157" s="10">
        <v>45730</v>
      </c>
      <c r="E157">
        <v>33</v>
      </c>
      <c r="F157">
        <v>20</v>
      </c>
      <c r="G157">
        <v>27</v>
      </c>
      <c r="H157" t="s">
        <v>57</v>
      </c>
      <c r="I157" s="11">
        <v>45712.8544212963</v>
      </c>
      <c r="J157">
        <v>2</v>
      </c>
      <c r="K157" t="s">
        <v>45</v>
      </c>
      <c r="L157">
        <v>3603</v>
      </c>
    </row>
    <row r="158" spans="1:12">
      <c r="A158">
        <v>1053583</v>
      </c>
      <c r="B158" t="s">
        <v>507</v>
      </c>
      <c r="C158">
        <v>16</v>
      </c>
      <c r="D158" s="10">
        <v>45725</v>
      </c>
      <c r="E158">
        <v>10</v>
      </c>
      <c r="F158">
        <v>9</v>
      </c>
      <c r="G158">
        <v>3</v>
      </c>
      <c r="H158" t="s">
        <v>57</v>
      </c>
      <c r="I158" s="11">
        <v>45716.08658564815</v>
      </c>
      <c r="J158">
        <v>1</v>
      </c>
      <c r="K158" t="s">
        <v>41</v>
      </c>
      <c r="L158">
        <v>2429</v>
      </c>
    </row>
    <row r="159" spans="1:12">
      <c r="A159">
        <v>1053912</v>
      </c>
      <c r="B159" t="s">
        <v>509</v>
      </c>
      <c r="C159">
        <v>42</v>
      </c>
      <c r="D159" s="10">
        <v>45735</v>
      </c>
      <c r="E159">
        <v>32</v>
      </c>
      <c r="F159">
        <v>31</v>
      </c>
      <c r="G159">
        <v>15</v>
      </c>
      <c r="H159" t="s">
        <v>58</v>
      </c>
      <c r="I159" s="11">
        <v>45717.26736111111</v>
      </c>
      <c r="J159">
        <v>6</v>
      </c>
      <c r="K159" t="s">
        <v>41</v>
      </c>
      <c r="L159">
        <v>6334</v>
      </c>
    </row>
    <row r="160" spans="1:12">
      <c r="A160">
        <v>1054382</v>
      </c>
      <c r="B160" t="s">
        <v>512</v>
      </c>
      <c r="C160">
        <v>24</v>
      </c>
      <c r="D160" s="10">
        <v>45747</v>
      </c>
      <c r="E160">
        <v>18</v>
      </c>
      <c r="F160">
        <v>11</v>
      </c>
      <c r="G160">
        <v>7</v>
      </c>
      <c r="H160" t="s">
        <v>57</v>
      </c>
      <c r="I160" s="11">
        <v>45718.61769675926</v>
      </c>
      <c r="J160">
        <v>2</v>
      </c>
      <c r="K160" t="s">
        <v>37</v>
      </c>
      <c r="L160">
        <v>4422</v>
      </c>
    </row>
    <row r="161" spans="1:12">
      <c r="A161">
        <v>1054902</v>
      </c>
      <c r="B161" t="s">
        <v>515</v>
      </c>
      <c r="C161">
        <v>8</v>
      </c>
      <c r="D161" s="10">
        <v>45771</v>
      </c>
      <c r="E161">
        <v>4</v>
      </c>
      <c r="F161">
        <v>32</v>
      </c>
      <c r="G161">
        <v>1</v>
      </c>
      <c r="H161" t="s">
        <v>57</v>
      </c>
      <c r="I161" s="11">
        <v>45720.31150462963</v>
      </c>
      <c r="J161">
        <v>1</v>
      </c>
      <c r="K161" t="s">
        <v>41</v>
      </c>
      <c r="L161">
        <v>3520</v>
      </c>
    </row>
    <row r="162" spans="1:12">
      <c r="A162">
        <v>1056099</v>
      </c>
      <c r="B162" t="s">
        <v>517</v>
      </c>
      <c r="C162">
        <v>15</v>
      </c>
      <c r="D162" s="10">
        <v>45835</v>
      </c>
      <c r="E162">
        <v>9</v>
      </c>
      <c r="F162">
        <v>3</v>
      </c>
      <c r="G162">
        <v>9</v>
      </c>
      <c r="H162" t="s">
        <v>57</v>
      </c>
      <c r="I162" s="11">
        <v>45723.85028935185</v>
      </c>
      <c r="J162">
        <v>2</v>
      </c>
      <c r="K162" t="s">
        <v>37</v>
      </c>
      <c r="L162">
        <v>4858</v>
      </c>
    </row>
    <row r="163" spans="1:12">
      <c r="A163">
        <v>1056380</v>
      </c>
      <c r="B163" t="s">
        <v>520</v>
      </c>
      <c r="C163">
        <v>18</v>
      </c>
      <c r="D163" s="10">
        <v>45735</v>
      </c>
      <c r="E163">
        <v>12</v>
      </c>
      <c r="F163">
        <v>24</v>
      </c>
      <c r="G163">
        <v>4</v>
      </c>
      <c r="H163" t="s">
        <v>60</v>
      </c>
      <c r="I163" s="11">
        <v>45724.75835648148</v>
      </c>
      <c r="J163">
        <v>4</v>
      </c>
      <c r="K163" t="s">
        <v>37</v>
      </c>
      <c r="L163">
        <v>3226</v>
      </c>
    </row>
    <row r="164" spans="1:12">
      <c r="A164">
        <v>1056639</v>
      </c>
      <c r="B164" t="s">
        <v>522</v>
      </c>
      <c r="C164">
        <v>26</v>
      </c>
      <c r="D164" s="10">
        <v>45725</v>
      </c>
      <c r="E164">
        <v>20</v>
      </c>
      <c r="F164">
        <v>12</v>
      </c>
      <c r="G164">
        <v>7</v>
      </c>
      <c r="H164" t="s">
        <v>58</v>
      </c>
      <c r="I164" s="11">
        <v>45725.56759259259</v>
      </c>
      <c r="J164">
        <v>1</v>
      </c>
      <c r="K164" t="s">
        <v>41</v>
      </c>
      <c r="L164">
        <v>870</v>
      </c>
    </row>
    <row r="165" spans="1:12">
      <c r="A165">
        <v>1057195</v>
      </c>
      <c r="B165" t="s">
        <v>527</v>
      </c>
      <c r="C165">
        <v>43</v>
      </c>
      <c r="D165" s="10">
        <v>45730</v>
      </c>
      <c r="E165">
        <v>33</v>
      </c>
      <c r="F165">
        <v>20</v>
      </c>
      <c r="G165">
        <v>27</v>
      </c>
      <c r="H165" t="s">
        <v>57</v>
      </c>
      <c r="I165" s="11">
        <v>45727.55877314815</v>
      </c>
      <c r="J165">
        <v>2</v>
      </c>
      <c r="K165" t="s">
        <v>49</v>
      </c>
      <c r="L165">
        <v>4804</v>
      </c>
    </row>
    <row r="166" spans="1:12">
      <c r="A166">
        <v>1057459</v>
      </c>
      <c r="B166" t="s">
        <v>529</v>
      </c>
      <c r="C166">
        <v>27</v>
      </c>
      <c r="D166" s="10">
        <v>45779</v>
      </c>
      <c r="E166">
        <v>21</v>
      </c>
      <c r="F166">
        <v>8</v>
      </c>
      <c r="G166">
        <v>19</v>
      </c>
      <c r="H166" t="s">
        <v>58</v>
      </c>
      <c r="I166" s="11">
        <v>45728.47116898148</v>
      </c>
      <c r="J166">
        <v>1</v>
      </c>
      <c r="K166" t="s">
        <v>41</v>
      </c>
      <c r="L166">
        <v>1183</v>
      </c>
    </row>
    <row r="167" spans="1:12">
      <c r="A167">
        <v>1057808</v>
      </c>
      <c r="B167" t="s">
        <v>532</v>
      </c>
      <c r="C167">
        <v>24</v>
      </c>
      <c r="D167" s="10">
        <v>45829</v>
      </c>
      <c r="E167">
        <v>18</v>
      </c>
      <c r="F167">
        <v>11</v>
      </c>
      <c r="G167">
        <v>7</v>
      </c>
      <c r="H167" t="s">
        <v>58</v>
      </c>
      <c r="I167" s="11">
        <v>45729.71813657408</v>
      </c>
      <c r="J167">
        <v>1</v>
      </c>
      <c r="K167" t="s">
        <v>41</v>
      </c>
      <c r="L167">
        <v>834</v>
      </c>
    </row>
    <row r="168" spans="1:12">
      <c r="A168">
        <v>1058027</v>
      </c>
      <c r="B168" t="s">
        <v>535</v>
      </c>
      <c r="C168">
        <v>29</v>
      </c>
      <c r="D168" s="10">
        <v>45767</v>
      </c>
      <c r="E168">
        <v>23</v>
      </c>
      <c r="F168">
        <v>9</v>
      </c>
      <c r="G168">
        <v>19</v>
      </c>
      <c r="H168" t="s">
        <v>57</v>
      </c>
      <c r="I168" s="11">
        <v>45730.61190972223</v>
      </c>
      <c r="J168">
        <v>3</v>
      </c>
      <c r="K168" t="s">
        <v>37</v>
      </c>
      <c r="L168">
        <v>4501</v>
      </c>
    </row>
    <row r="169" spans="1:12">
      <c r="A169">
        <v>1058296</v>
      </c>
      <c r="B169" t="s">
        <v>537</v>
      </c>
      <c r="C169">
        <v>44</v>
      </c>
      <c r="D169" s="10">
        <v>45782</v>
      </c>
      <c r="E169">
        <v>34</v>
      </c>
      <c r="F169">
        <v>27</v>
      </c>
      <c r="G169">
        <v>20</v>
      </c>
      <c r="H169" t="s">
        <v>60</v>
      </c>
      <c r="I169" s="11">
        <v>45731.56951388889</v>
      </c>
      <c r="J169">
        <v>1</v>
      </c>
      <c r="K169" t="s">
        <v>41</v>
      </c>
      <c r="L169">
        <v>753</v>
      </c>
    </row>
    <row r="170" spans="1:12">
      <c r="A170">
        <v>1058903</v>
      </c>
      <c r="B170" t="s">
        <v>540</v>
      </c>
      <c r="C170">
        <v>16</v>
      </c>
      <c r="D170" s="10">
        <v>45760</v>
      </c>
      <c r="E170">
        <v>10</v>
      </c>
      <c r="F170">
        <v>9</v>
      </c>
      <c r="G170">
        <v>3</v>
      </c>
      <c r="H170" t="s">
        <v>58</v>
      </c>
      <c r="I170" s="11">
        <v>45733.63839120371</v>
      </c>
      <c r="J170">
        <v>2</v>
      </c>
      <c r="K170" t="s">
        <v>41</v>
      </c>
      <c r="L170">
        <v>1465</v>
      </c>
    </row>
    <row r="171" spans="1:12">
      <c r="A171">
        <v>1059208</v>
      </c>
      <c r="B171" t="s">
        <v>542</v>
      </c>
      <c r="C171">
        <v>30</v>
      </c>
      <c r="D171" s="10">
        <v>45763</v>
      </c>
      <c r="E171">
        <v>24</v>
      </c>
      <c r="F171">
        <v>19</v>
      </c>
      <c r="G171">
        <v>9</v>
      </c>
      <c r="H171" t="s">
        <v>57</v>
      </c>
      <c r="I171" s="11">
        <v>45734.56761574074</v>
      </c>
      <c r="J171">
        <v>1</v>
      </c>
      <c r="K171" t="s">
        <v>41</v>
      </c>
      <c r="L171">
        <v>1731</v>
      </c>
    </row>
    <row r="172" spans="1:12">
      <c r="A172">
        <v>1059807</v>
      </c>
      <c r="B172" t="s">
        <v>547</v>
      </c>
      <c r="C172">
        <v>43</v>
      </c>
      <c r="D172" s="10">
        <v>45764</v>
      </c>
      <c r="E172">
        <v>33</v>
      </c>
      <c r="F172">
        <v>20</v>
      </c>
      <c r="G172">
        <v>27</v>
      </c>
      <c r="H172" t="s">
        <v>57</v>
      </c>
      <c r="I172" s="11">
        <v>45736.57603009259</v>
      </c>
      <c r="J172">
        <v>5</v>
      </c>
      <c r="K172" t="s">
        <v>41</v>
      </c>
      <c r="L172">
        <v>11049</v>
      </c>
    </row>
    <row r="173" spans="1:12">
      <c r="A173">
        <v>1060211</v>
      </c>
      <c r="B173" t="s">
        <v>550</v>
      </c>
      <c r="C173">
        <v>24</v>
      </c>
      <c r="D173" s="10">
        <v>45747</v>
      </c>
      <c r="E173">
        <v>18</v>
      </c>
      <c r="F173">
        <v>11</v>
      </c>
      <c r="G173">
        <v>7</v>
      </c>
      <c r="H173" t="s">
        <v>58</v>
      </c>
      <c r="I173" s="11">
        <v>45737.83673611111</v>
      </c>
      <c r="J173">
        <v>2</v>
      </c>
      <c r="K173" t="s">
        <v>37</v>
      </c>
      <c r="L173">
        <v>1668</v>
      </c>
    </row>
    <row r="174" spans="1:12">
      <c r="A174">
        <v>1060349</v>
      </c>
      <c r="B174" t="s">
        <v>552</v>
      </c>
      <c r="C174">
        <v>43</v>
      </c>
      <c r="D174" s="10">
        <v>45764</v>
      </c>
      <c r="E174">
        <v>33</v>
      </c>
      <c r="F174">
        <v>20</v>
      </c>
      <c r="G174">
        <v>27</v>
      </c>
      <c r="H174" t="s">
        <v>57</v>
      </c>
      <c r="I174" s="11">
        <v>45738.35944444445</v>
      </c>
      <c r="J174">
        <v>2</v>
      </c>
      <c r="K174" t="s">
        <v>41</v>
      </c>
      <c r="L174">
        <v>3843</v>
      </c>
    </row>
    <row r="175" spans="1:12">
      <c r="A175">
        <v>1060922</v>
      </c>
      <c r="B175" t="s">
        <v>554</v>
      </c>
      <c r="C175">
        <v>13</v>
      </c>
      <c r="D175" s="10">
        <v>45837</v>
      </c>
      <c r="E175">
        <v>9</v>
      </c>
      <c r="F175">
        <v>3</v>
      </c>
      <c r="G175">
        <v>9</v>
      </c>
      <c r="H175" t="s">
        <v>56</v>
      </c>
      <c r="I175" s="11">
        <v>45739.98409722222</v>
      </c>
      <c r="J175">
        <v>1</v>
      </c>
      <c r="K175" t="s">
        <v>41</v>
      </c>
      <c r="L175">
        <v>4342</v>
      </c>
    </row>
    <row r="176" spans="1:12">
      <c r="A176">
        <v>1061363</v>
      </c>
      <c r="B176" t="s">
        <v>557</v>
      </c>
      <c r="C176">
        <v>12</v>
      </c>
      <c r="D176" s="10">
        <v>45779</v>
      </c>
      <c r="E176">
        <v>8</v>
      </c>
      <c r="F176">
        <v>17</v>
      </c>
      <c r="G176">
        <v>2</v>
      </c>
      <c r="H176" t="s">
        <v>60</v>
      </c>
      <c r="I176" s="11">
        <v>45741.51802083333</v>
      </c>
      <c r="J176">
        <v>1</v>
      </c>
      <c r="K176" t="s">
        <v>41</v>
      </c>
      <c r="L176">
        <v>349</v>
      </c>
    </row>
    <row r="177" spans="1:12">
      <c r="A177">
        <v>1062055</v>
      </c>
      <c r="B177" t="s">
        <v>559</v>
      </c>
      <c r="C177">
        <v>2</v>
      </c>
      <c r="D177" s="10">
        <v>45791</v>
      </c>
      <c r="E177">
        <v>2</v>
      </c>
      <c r="F177">
        <v>26</v>
      </c>
      <c r="G177">
        <v>1</v>
      </c>
      <c r="H177" t="s">
        <v>60</v>
      </c>
      <c r="I177" s="11">
        <v>45743.80047453703</v>
      </c>
      <c r="J177">
        <v>1</v>
      </c>
      <c r="K177" t="s">
        <v>37</v>
      </c>
      <c r="L177">
        <v>1379</v>
      </c>
    </row>
    <row r="178" spans="1:12">
      <c r="A178">
        <v>1062073</v>
      </c>
      <c r="B178" t="s">
        <v>562</v>
      </c>
      <c r="C178">
        <v>44</v>
      </c>
      <c r="D178" s="10">
        <v>45782</v>
      </c>
      <c r="E178">
        <v>34</v>
      </c>
      <c r="F178">
        <v>27</v>
      </c>
      <c r="G178">
        <v>20</v>
      </c>
      <c r="H178" t="s">
        <v>60</v>
      </c>
      <c r="I178" s="11">
        <v>45743.82122685185</v>
      </c>
      <c r="J178">
        <v>4</v>
      </c>
      <c r="K178" t="s">
        <v>41</v>
      </c>
      <c r="L178">
        <v>2635</v>
      </c>
    </row>
    <row r="179" spans="1:12">
      <c r="A179">
        <v>1062167</v>
      </c>
      <c r="B179" t="s">
        <v>564</v>
      </c>
      <c r="C179">
        <v>45</v>
      </c>
      <c r="D179" s="10">
        <v>45831</v>
      </c>
      <c r="E179">
        <v>33</v>
      </c>
      <c r="F179">
        <v>20</v>
      </c>
      <c r="G179">
        <v>27</v>
      </c>
      <c r="H179" t="s">
        <v>60</v>
      </c>
      <c r="I179" s="11">
        <v>45744.30775462963</v>
      </c>
      <c r="J179">
        <v>1</v>
      </c>
      <c r="K179" t="s">
        <v>41</v>
      </c>
      <c r="L179">
        <v>790</v>
      </c>
    </row>
    <row r="180" spans="1:12">
      <c r="A180">
        <v>1062180</v>
      </c>
      <c r="B180" t="s">
        <v>567</v>
      </c>
      <c r="C180">
        <v>44</v>
      </c>
      <c r="D180" s="10">
        <v>45782</v>
      </c>
      <c r="E180">
        <v>34</v>
      </c>
      <c r="F180">
        <v>27</v>
      </c>
      <c r="G180">
        <v>20</v>
      </c>
      <c r="H180" t="s">
        <v>58</v>
      </c>
      <c r="I180" s="11">
        <v>45744.34153935185</v>
      </c>
      <c r="J180">
        <v>1</v>
      </c>
      <c r="K180" t="s">
        <v>41</v>
      </c>
      <c r="L180">
        <v>906</v>
      </c>
    </row>
    <row r="181" spans="1:12">
      <c r="A181">
        <v>1062244</v>
      </c>
      <c r="B181" t="s">
        <v>569</v>
      </c>
      <c r="C181">
        <v>30</v>
      </c>
      <c r="D181" s="10">
        <v>45791</v>
      </c>
      <c r="E181">
        <v>24</v>
      </c>
      <c r="F181">
        <v>19</v>
      </c>
      <c r="G181">
        <v>9</v>
      </c>
      <c r="H181" t="s">
        <v>58</v>
      </c>
      <c r="I181" s="11">
        <v>45744.48671296296</v>
      </c>
      <c r="J181">
        <v>1</v>
      </c>
      <c r="K181" t="s">
        <v>41</v>
      </c>
      <c r="L181">
        <v>654</v>
      </c>
    </row>
    <row r="182" spans="1:12">
      <c r="A182">
        <v>1062319</v>
      </c>
      <c r="B182" t="s">
        <v>574</v>
      </c>
      <c r="C182">
        <v>50</v>
      </c>
      <c r="D182" s="10">
        <v>45840</v>
      </c>
      <c r="E182">
        <v>38</v>
      </c>
      <c r="F182">
        <v>30</v>
      </c>
      <c r="G182">
        <v>23</v>
      </c>
      <c r="H182" t="s">
        <v>56</v>
      </c>
      <c r="I182" s="11">
        <v>45744.67070601852</v>
      </c>
      <c r="J182">
        <v>6</v>
      </c>
      <c r="K182" t="s">
        <v>41</v>
      </c>
      <c r="L182">
        <v>28440</v>
      </c>
    </row>
    <row r="183" spans="1:12">
      <c r="A183">
        <v>1062784</v>
      </c>
      <c r="B183" t="s">
        <v>577</v>
      </c>
      <c r="C183">
        <v>29</v>
      </c>
      <c r="D183" s="10">
        <v>45767</v>
      </c>
      <c r="E183">
        <v>23</v>
      </c>
      <c r="F183">
        <v>9</v>
      </c>
      <c r="G183">
        <v>19</v>
      </c>
      <c r="H183" t="s">
        <v>60</v>
      </c>
      <c r="I183" s="11">
        <v>45746.22715277778</v>
      </c>
      <c r="J183">
        <v>1</v>
      </c>
      <c r="K183" t="s">
        <v>41</v>
      </c>
      <c r="L183">
        <v>544</v>
      </c>
    </row>
    <row r="184" spans="1:12">
      <c r="A184">
        <v>1062812</v>
      </c>
      <c r="B184" t="s">
        <v>579</v>
      </c>
      <c r="C184">
        <v>51</v>
      </c>
      <c r="D184" s="10">
        <v>45751</v>
      </c>
      <c r="E184">
        <v>39</v>
      </c>
      <c r="F184">
        <v>25</v>
      </c>
      <c r="G184">
        <v>29</v>
      </c>
      <c r="H184" t="s">
        <v>58</v>
      </c>
      <c r="I184" s="11">
        <v>45746.32049768518</v>
      </c>
      <c r="J184">
        <v>1</v>
      </c>
      <c r="K184" t="s">
        <v>47</v>
      </c>
      <c r="L184">
        <v>854</v>
      </c>
    </row>
    <row r="185" spans="1:12">
      <c r="A185">
        <v>1063280</v>
      </c>
      <c r="B185" t="s">
        <v>581</v>
      </c>
      <c r="C185">
        <v>23</v>
      </c>
      <c r="D185" s="10">
        <v>45773</v>
      </c>
      <c r="E185">
        <v>17</v>
      </c>
      <c r="F185">
        <v>7</v>
      </c>
      <c r="G185">
        <v>11</v>
      </c>
      <c r="H185" t="s">
        <v>57</v>
      </c>
      <c r="I185" s="11">
        <v>45747.69692129629</v>
      </c>
      <c r="J185">
        <v>1</v>
      </c>
      <c r="K185" t="s">
        <v>41</v>
      </c>
      <c r="L185">
        <v>2211</v>
      </c>
    </row>
    <row r="186" spans="1:12">
      <c r="A186">
        <v>1063693</v>
      </c>
      <c r="B186" t="s">
        <v>584</v>
      </c>
      <c r="C186">
        <v>18</v>
      </c>
      <c r="D186" s="10">
        <v>45749</v>
      </c>
      <c r="E186">
        <v>12</v>
      </c>
      <c r="F186">
        <v>24</v>
      </c>
      <c r="G186">
        <v>4</v>
      </c>
      <c r="H186" t="s">
        <v>60</v>
      </c>
      <c r="I186" s="11">
        <v>45748.8269212963</v>
      </c>
      <c r="J186">
        <v>1</v>
      </c>
      <c r="K186" t="s">
        <v>41</v>
      </c>
      <c r="L186">
        <v>1008</v>
      </c>
    </row>
    <row r="187" spans="1:12">
      <c r="A187">
        <v>1064376</v>
      </c>
      <c r="B187" t="s">
        <v>587</v>
      </c>
      <c r="C187">
        <v>6</v>
      </c>
      <c r="D187" s="10">
        <v>45801</v>
      </c>
      <c r="E187">
        <v>4</v>
      </c>
      <c r="F187">
        <v>32</v>
      </c>
      <c r="G187">
        <v>1</v>
      </c>
      <c r="H187" t="s">
        <v>58</v>
      </c>
      <c r="I187" s="11">
        <v>45751.36797453704</v>
      </c>
      <c r="J187">
        <v>2</v>
      </c>
      <c r="K187" t="s">
        <v>41</v>
      </c>
      <c r="L187">
        <v>2780</v>
      </c>
    </row>
    <row r="188" spans="1:12">
      <c r="A188">
        <v>1064925</v>
      </c>
      <c r="B188" t="s">
        <v>590</v>
      </c>
      <c r="C188">
        <v>37</v>
      </c>
      <c r="D188" s="10">
        <v>45817</v>
      </c>
      <c r="E188">
        <v>27</v>
      </c>
      <c r="F188">
        <v>13</v>
      </c>
      <c r="G188">
        <v>26</v>
      </c>
      <c r="H188" t="s">
        <v>58</v>
      </c>
      <c r="I188" s="11">
        <v>45753.33664351852</v>
      </c>
      <c r="J188">
        <v>1</v>
      </c>
      <c r="K188" t="s">
        <v>41</v>
      </c>
      <c r="L188">
        <v>607</v>
      </c>
    </row>
    <row r="189" spans="1:12">
      <c r="A189">
        <v>1065300</v>
      </c>
      <c r="B189" t="s">
        <v>593</v>
      </c>
      <c r="C189">
        <v>5</v>
      </c>
      <c r="D189" s="10">
        <v>45812</v>
      </c>
      <c r="E189">
        <v>3</v>
      </c>
      <c r="F189">
        <v>1</v>
      </c>
      <c r="G189">
        <v>32</v>
      </c>
      <c r="H189" t="s">
        <v>58</v>
      </c>
      <c r="I189" s="11">
        <v>45754.45925925926</v>
      </c>
      <c r="J189">
        <v>1</v>
      </c>
      <c r="K189" t="s">
        <v>41</v>
      </c>
      <c r="L189">
        <v>1390</v>
      </c>
    </row>
    <row r="190" spans="1:12">
      <c r="A190">
        <v>1065560</v>
      </c>
      <c r="B190" t="s">
        <v>596</v>
      </c>
      <c r="C190">
        <v>12</v>
      </c>
      <c r="D190" s="10">
        <v>45758</v>
      </c>
      <c r="E190">
        <v>8</v>
      </c>
      <c r="F190">
        <v>17</v>
      </c>
      <c r="G190">
        <v>2</v>
      </c>
      <c r="H190" t="s">
        <v>57</v>
      </c>
      <c r="I190" s="11">
        <v>45755.37137731481</v>
      </c>
      <c r="J190">
        <v>1</v>
      </c>
      <c r="K190" t="s">
        <v>41</v>
      </c>
      <c r="L190">
        <v>1854</v>
      </c>
    </row>
    <row r="191" spans="1:12">
      <c r="A191">
        <v>1066087</v>
      </c>
      <c r="B191" t="s">
        <v>599</v>
      </c>
      <c r="C191">
        <v>29</v>
      </c>
      <c r="D191" s="10">
        <v>45767</v>
      </c>
      <c r="E191">
        <v>23</v>
      </c>
      <c r="F191">
        <v>9</v>
      </c>
      <c r="G191">
        <v>19</v>
      </c>
      <c r="H191" t="s">
        <v>58</v>
      </c>
      <c r="I191" s="11">
        <v>45756.87493055555</v>
      </c>
      <c r="J191">
        <v>4</v>
      </c>
      <c r="K191" t="s">
        <v>41</v>
      </c>
      <c r="L191">
        <v>2355</v>
      </c>
    </row>
    <row r="192" spans="1:12">
      <c r="A192">
        <v>1066182</v>
      </c>
      <c r="B192" t="s">
        <v>601</v>
      </c>
      <c r="C192">
        <v>23</v>
      </c>
      <c r="D192" s="10">
        <v>45802</v>
      </c>
      <c r="E192">
        <v>17</v>
      </c>
      <c r="F192">
        <v>7</v>
      </c>
      <c r="G192">
        <v>11</v>
      </c>
      <c r="H192" t="s">
        <v>58</v>
      </c>
      <c r="I192" s="11">
        <v>45757.36844907407</v>
      </c>
      <c r="J192">
        <v>2</v>
      </c>
      <c r="K192" t="s">
        <v>41</v>
      </c>
      <c r="L192">
        <v>1251</v>
      </c>
    </row>
    <row r="193" spans="1:12">
      <c r="A193">
        <v>1066186</v>
      </c>
      <c r="B193" t="s">
        <v>604</v>
      </c>
      <c r="C193">
        <v>34</v>
      </c>
      <c r="D193" s="10">
        <v>45761</v>
      </c>
      <c r="E193">
        <v>26</v>
      </c>
      <c r="F193">
        <v>18</v>
      </c>
      <c r="G193">
        <v>11</v>
      </c>
      <c r="H193" t="s">
        <v>57</v>
      </c>
      <c r="I193" s="11">
        <v>45757.3825462963</v>
      </c>
      <c r="J193">
        <v>4</v>
      </c>
      <c r="K193" t="s">
        <v>41</v>
      </c>
      <c r="L193">
        <v>10022</v>
      </c>
    </row>
    <row r="194" spans="1:12">
      <c r="A194">
        <v>1066440</v>
      </c>
      <c r="B194" t="s">
        <v>607</v>
      </c>
      <c r="C194">
        <v>38</v>
      </c>
      <c r="D194" s="10">
        <v>45805</v>
      </c>
      <c r="E194">
        <v>28</v>
      </c>
      <c r="F194">
        <v>26</v>
      </c>
      <c r="G194">
        <v>13</v>
      </c>
      <c r="H194" t="s">
        <v>57</v>
      </c>
      <c r="I194" s="11">
        <v>45758.25265046296</v>
      </c>
      <c r="J194">
        <v>1</v>
      </c>
      <c r="K194" t="s">
        <v>41</v>
      </c>
      <c r="L194">
        <v>1606</v>
      </c>
    </row>
    <row r="195" spans="1:12">
      <c r="A195">
        <v>1066636</v>
      </c>
      <c r="B195" t="s">
        <v>610</v>
      </c>
      <c r="C195">
        <v>40</v>
      </c>
      <c r="D195" s="10">
        <v>45772</v>
      </c>
      <c r="E195">
        <v>30</v>
      </c>
      <c r="F195">
        <v>22</v>
      </c>
      <c r="G195">
        <v>14</v>
      </c>
      <c r="H195" t="s">
        <v>56</v>
      </c>
      <c r="I195" s="11">
        <v>45758.78611111111</v>
      </c>
      <c r="J195">
        <v>2</v>
      </c>
      <c r="K195" t="s">
        <v>41</v>
      </c>
      <c r="L195">
        <v>8284</v>
      </c>
    </row>
    <row r="196" spans="1:12">
      <c r="A196">
        <v>1067932</v>
      </c>
      <c r="B196" t="s">
        <v>613</v>
      </c>
      <c r="C196">
        <v>1</v>
      </c>
      <c r="D196" s="10">
        <v>45774</v>
      </c>
      <c r="E196">
        <v>1</v>
      </c>
      <c r="F196">
        <v>1</v>
      </c>
      <c r="G196">
        <v>26</v>
      </c>
      <c r="H196" t="s">
        <v>60</v>
      </c>
      <c r="I196" s="11">
        <v>45762.78416666666</v>
      </c>
      <c r="J196">
        <v>2</v>
      </c>
      <c r="K196" t="s">
        <v>41</v>
      </c>
      <c r="L196">
        <v>2758</v>
      </c>
    </row>
    <row r="197" spans="1:12">
      <c r="A197">
        <v>1068175</v>
      </c>
      <c r="B197" t="s">
        <v>616</v>
      </c>
      <c r="C197">
        <v>9</v>
      </c>
      <c r="D197" s="10">
        <v>45773</v>
      </c>
      <c r="E197">
        <v>5</v>
      </c>
      <c r="F197">
        <v>2</v>
      </c>
      <c r="G197">
        <v>15</v>
      </c>
      <c r="H197" t="s">
        <v>60</v>
      </c>
      <c r="I197" s="11">
        <v>45763.53021990741</v>
      </c>
      <c r="J197">
        <v>1</v>
      </c>
      <c r="K197" t="s">
        <v>41</v>
      </c>
      <c r="L197">
        <v>173</v>
      </c>
    </row>
    <row r="198" spans="1:12">
      <c r="A198">
        <v>1068289</v>
      </c>
      <c r="B198" t="s">
        <v>618</v>
      </c>
      <c r="C198">
        <v>29</v>
      </c>
      <c r="D198" s="10">
        <v>45767</v>
      </c>
      <c r="E198">
        <v>23</v>
      </c>
      <c r="F198">
        <v>9</v>
      </c>
      <c r="G198">
        <v>19</v>
      </c>
      <c r="H198" t="s">
        <v>60</v>
      </c>
      <c r="I198" s="11">
        <v>45763.76282407407</v>
      </c>
      <c r="J198">
        <v>3</v>
      </c>
      <c r="K198" t="s">
        <v>49</v>
      </c>
      <c r="L198">
        <v>1632</v>
      </c>
    </row>
    <row r="199" spans="1:12">
      <c r="A199">
        <v>1068745</v>
      </c>
      <c r="B199" t="s">
        <v>620</v>
      </c>
      <c r="C199">
        <v>29</v>
      </c>
      <c r="D199" s="10">
        <v>45767</v>
      </c>
      <c r="E199">
        <v>23</v>
      </c>
      <c r="F199">
        <v>9</v>
      </c>
      <c r="G199">
        <v>19</v>
      </c>
      <c r="H199" t="s">
        <v>60</v>
      </c>
      <c r="I199" s="11">
        <v>45764.99229166667</v>
      </c>
      <c r="J199">
        <v>2</v>
      </c>
      <c r="K199" t="s">
        <v>49</v>
      </c>
      <c r="L199">
        <v>1088</v>
      </c>
    </row>
    <row r="200" spans="1:12">
      <c r="A200">
        <v>1069008</v>
      </c>
      <c r="B200" t="s">
        <v>622</v>
      </c>
      <c r="C200">
        <v>31</v>
      </c>
      <c r="D200" s="10">
        <v>45769</v>
      </c>
      <c r="E200">
        <v>23</v>
      </c>
      <c r="F200">
        <v>9</v>
      </c>
      <c r="G200">
        <v>19</v>
      </c>
      <c r="H200" t="s">
        <v>60</v>
      </c>
      <c r="I200" s="11">
        <v>45765.83480324074</v>
      </c>
      <c r="J200">
        <v>2</v>
      </c>
      <c r="K200" t="s">
        <v>49</v>
      </c>
      <c r="L200">
        <v>1088</v>
      </c>
    </row>
    <row r="201" spans="1:12">
      <c r="A201">
        <v>1069152</v>
      </c>
      <c r="B201" t="s">
        <v>624</v>
      </c>
      <c r="C201">
        <v>4</v>
      </c>
      <c r="D201" s="10">
        <v>45772</v>
      </c>
      <c r="E201">
        <v>2</v>
      </c>
      <c r="F201">
        <v>26</v>
      </c>
      <c r="G201">
        <v>1</v>
      </c>
      <c r="H201" t="s">
        <v>57</v>
      </c>
      <c r="I201" s="11">
        <v>45766.38353009259</v>
      </c>
      <c r="J201">
        <v>1</v>
      </c>
      <c r="K201" t="s">
        <v>49</v>
      </c>
      <c r="L201">
        <v>4198</v>
      </c>
    </row>
    <row r="202" spans="1:12">
      <c r="A202">
        <v>1069896</v>
      </c>
      <c r="B202" t="s">
        <v>626</v>
      </c>
      <c r="C202">
        <v>18</v>
      </c>
      <c r="D202" s="10">
        <v>45793</v>
      </c>
      <c r="E202">
        <v>12</v>
      </c>
      <c r="F202">
        <v>24</v>
      </c>
      <c r="G202">
        <v>4</v>
      </c>
      <c r="H202" t="s">
        <v>57</v>
      </c>
      <c r="I202" s="11">
        <v>45768.62766203703</v>
      </c>
      <c r="J202">
        <v>1</v>
      </c>
      <c r="K202" t="s">
        <v>41</v>
      </c>
      <c r="L202">
        <v>3219</v>
      </c>
    </row>
    <row r="203" spans="1:12">
      <c r="A203">
        <v>1069898</v>
      </c>
      <c r="B203" t="s">
        <v>628</v>
      </c>
      <c r="C203">
        <v>47</v>
      </c>
      <c r="D203" s="10">
        <v>45810</v>
      </c>
      <c r="E203">
        <v>35</v>
      </c>
      <c r="F203">
        <v>21</v>
      </c>
      <c r="G203">
        <v>28</v>
      </c>
      <c r="H203" t="s">
        <v>58</v>
      </c>
      <c r="I203" s="11">
        <v>45768.6299074074</v>
      </c>
      <c r="J203">
        <v>2</v>
      </c>
      <c r="K203" t="s">
        <v>41</v>
      </c>
      <c r="L203">
        <v>2352</v>
      </c>
    </row>
    <row r="204" spans="1:12">
      <c r="A204">
        <v>1070044</v>
      </c>
      <c r="B204" t="s">
        <v>631</v>
      </c>
      <c r="C204">
        <v>44</v>
      </c>
      <c r="D204" s="10">
        <v>45782</v>
      </c>
      <c r="E204">
        <v>34</v>
      </c>
      <c r="F204">
        <v>27</v>
      </c>
      <c r="G204">
        <v>20</v>
      </c>
      <c r="H204" t="s">
        <v>57</v>
      </c>
      <c r="I204" s="11">
        <v>45769.02023148148</v>
      </c>
      <c r="J204">
        <v>3</v>
      </c>
      <c r="K204" t="s">
        <v>37</v>
      </c>
      <c r="L204">
        <v>7206</v>
      </c>
    </row>
    <row r="205" spans="1:12">
      <c r="A205">
        <v>1070048</v>
      </c>
      <c r="B205" t="s">
        <v>633</v>
      </c>
      <c r="C205">
        <v>44</v>
      </c>
      <c r="D205" s="10">
        <v>45817</v>
      </c>
      <c r="E205">
        <v>34</v>
      </c>
      <c r="F205">
        <v>27</v>
      </c>
      <c r="G205">
        <v>20</v>
      </c>
      <c r="H205" t="s">
        <v>58</v>
      </c>
      <c r="I205" s="11">
        <v>45769.085625</v>
      </c>
      <c r="J205">
        <v>1</v>
      </c>
      <c r="K205" t="s">
        <v>41</v>
      </c>
      <c r="L205">
        <v>906</v>
      </c>
    </row>
    <row r="206" spans="1:12">
      <c r="A206">
        <v>1071085</v>
      </c>
      <c r="B206" t="s">
        <v>635</v>
      </c>
      <c r="C206">
        <v>40</v>
      </c>
      <c r="D206" s="10">
        <v>45793</v>
      </c>
      <c r="E206">
        <v>30</v>
      </c>
      <c r="F206">
        <v>22</v>
      </c>
      <c r="G206">
        <v>14</v>
      </c>
      <c r="H206" t="s">
        <v>57</v>
      </c>
      <c r="I206" s="11">
        <v>45772.43810185185</v>
      </c>
      <c r="J206">
        <v>4</v>
      </c>
      <c r="K206" t="s">
        <v>41</v>
      </c>
      <c r="L206">
        <v>11544</v>
      </c>
    </row>
    <row r="207" spans="1:12">
      <c r="A207">
        <v>1071462</v>
      </c>
      <c r="B207" t="s">
        <v>637</v>
      </c>
      <c r="C207">
        <v>43</v>
      </c>
      <c r="D207" s="10">
        <v>45793</v>
      </c>
      <c r="E207">
        <v>33</v>
      </c>
      <c r="F207">
        <v>20</v>
      </c>
      <c r="G207">
        <v>27</v>
      </c>
      <c r="H207" t="s">
        <v>58</v>
      </c>
      <c r="I207" s="11">
        <v>45773.66488425926</v>
      </c>
      <c r="J207">
        <v>2</v>
      </c>
      <c r="K207" t="s">
        <v>41</v>
      </c>
      <c r="L207">
        <v>1812</v>
      </c>
    </row>
    <row r="208" spans="1:12">
      <c r="A208">
        <v>1071732</v>
      </c>
      <c r="B208" t="s">
        <v>639</v>
      </c>
      <c r="C208">
        <v>10</v>
      </c>
      <c r="D208" s="10">
        <v>45783</v>
      </c>
      <c r="E208">
        <v>6</v>
      </c>
      <c r="F208">
        <v>15</v>
      </c>
      <c r="G208">
        <v>2</v>
      </c>
      <c r="H208" t="s">
        <v>60</v>
      </c>
      <c r="I208" s="11">
        <v>45774.53841435185</v>
      </c>
      <c r="J208">
        <v>4</v>
      </c>
      <c r="K208" t="s">
        <v>41</v>
      </c>
      <c r="L208">
        <v>1152</v>
      </c>
    </row>
    <row r="209" spans="1:12">
      <c r="A209">
        <v>1071944</v>
      </c>
      <c r="B209" t="s">
        <v>642</v>
      </c>
      <c r="C209">
        <v>49</v>
      </c>
      <c r="D209" s="10">
        <v>45783</v>
      </c>
      <c r="E209">
        <v>37</v>
      </c>
      <c r="F209">
        <v>23</v>
      </c>
      <c r="G209">
        <v>30</v>
      </c>
      <c r="H209" t="s">
        <v>60</v>
      </c>
      <c r="I209" s="11">
        <v>45775.35715277777</v>
      </c>
      <c r="J209">
        <v>6</v>
      </c>
      <c r="K209" t="s">
        <v>41</v>
      </c>
      <c r="L209">
        <v>5687</v>
      </c>
    </row>
    <row r="210" spans="1:12">
      <c r="A210">
        <v>1072013</v>
      </c>
      <c r="B210" t="s">
        <v>644</v>
      </c>
      <c r="C210">
        <v>2</v>
      </c>
      <c r="D210" s="10">
        <v>45791</v>
      </c>
      <c r="E210">
        <v>2</v>
      </c>
      <c r="F210">
        <v>26</v>
      </c>
      <c r="G210">
        <v>1</v>
      </c>
      <c r="H210" t="s">
        <v>58</v>
      </c>
      <c r="I210" s="11">
        <v>45775.49569444444</v>
      </c>
      <c r="J210">
        <v>1</v>
      </c>
      <c r="K210" t="s">
        <v>41</v>
      </c>
      <c r="L210">
        <v>1657</v>
      </c>
    </row>
    <row r="211" spans="1:12">
      <c r="A211">
        <v>1072140</v>
      </c>
      <c r="B211" t="s">
        <v>646</v>
      </c>
      <c r="C211">
        <v>33</v>
      </c>
      <c r="D211" s="10">
        <v>45776</v>
      </c>
      <c r="E211">
        <v>25</v>
      </c>
      <c r="F211">
        <v>11</v>
      </c>
      <c r="G211">
        <v>18</v>
      </c>
      <c r="H211" t="s">
        <v>58</v>
      </c>
      <c r="I211" s="11">
        <v>45775.83424768518</v>
      </c>
      <c r="J211">
        <v>4</v>
      </c>
      <c r="K211" t="s">
        <v>41</v>
      </c>
      <c r="L211">
        <v>4196</v>
      </c>
    </row>
    <row r="212" spans="1:12">
      <c r="A212">
        <v>1072851</v>
      </c>
      <c r="B212" t="s">
        <v>649</v>
      </c>
      <c r="C212">
        <v>45</v>
      </c>
      <c r="D212" s="10">
        <v>45845</v>
      </c>
      <c r="E212">
        <v>33</v>
      </c>
      <c r="F212">
        <v>20</v>
      </c>
      <c r="G212">
        <v>27</v>
      </c>
      <c r="H212" t="s">
        <v>60</v>
      </c>
      <c r="I212" s="11">
        <v>45778.41112268518</v>
      </c>
      <c r="J212">
        <v>2</v>
      </c>
      <c r="K212" t="s">
        <v>41</v>
      </c>
      <c r="L212">
        <v>1264</v>
      </c>
    </row>
    <row r="213" spans="1:12">
      <c r="A213">
        <v>1073017</v>
      </c>
      <c r="B213" t="s">
        <v>654</v>
      </c>
      <c r="C213">
        <v>19</v>
      </c>
      <c r="D213" s="10">
        <v>45804</v>
      </c>
      <c r="E213">
        <v>13</v>
      </c>
      <c r="F213">
        <v>5</v>
      </c>
      <c r="G213">
        <v>16</v>
      </c>
      <c r="H213" t="s">
        <v>58</v>
      </c>
      <c r="I213" s="11">
        <v>45778.79680555555</v>
      </c>
      <c r="J213">
        <v>4</v>
      </c>
      <c r="K213" t="s">
        <v>41</v>
      </c>
      <c r="L213">
        <v>2814</v>
      </c>
    </row>
    <row r="214" spans="1:12">
      <c r="A214">
        <v>1073259</v>
      </c>
      <c r="B214" t="s">
        <v>657</v>
      </c>
      <c r="C214">
        <v>42</v>
      </c>
      <c r="D214" s="10">
        <v>45791</v>
      </c>
      <c r="E214">
        <v>32</v>
      </c>
      <c r="F214">
        <v>31</v>
      </c>
      <c r="G214">
        <v>15</v>
      </c>
      <c r="H214" t="s">
        <v>60</v>
      </c>
      <c r="I214" s="11">
        <v>45779.64956018519</v>
      </c>
      <c r="J214">
        <v>3</v>
      </c>
      <c r="K214" t="s">
        <v>41</v>
      </c>
      <c r="L214">
        <v>2823</v>
      </c>
    </row>
    <row r="215" spans="1:12">
      <c r="A215">
        <v>1073449</v>
      </c>
      <c r="B215" t="s">
        <v>659</v>
      </c>
      <c r="C215">
        <v>43</v>
      </c>
      <c r="D215" s="10">
        <v>45793</v>
      </c>
      <c r="E215">
        <v>33</v>
      </c>
      <c r="F215">
        <v>20</v>
      </c>
      <c r="G215">
        <v>27</v>
      </c>
      <c r="H215" t="s">
        <v>60</v>
      </c>
      <c r="I215" s="11">
        <v>45780.33578703704</v>
      </c>
      <c r="J215">
        <v>1</v>
      </c>
      <c r="K215" t="s">
        <v>41</v>
      </c>
      <c r="L215">
        <v>753</v>
      </c>
    </row>
    <row r="216" spans="1:12">
      <c r="A216">
        <v>1073530</v>
      </c>
      <c r="B216" t="s">
        <v>661</v>
      </c>
      <c r="C216">
        <v>46</v>
      </c>
      <c r="D216" s="10">
        <v>45782</v>
      </c>
      <c r="E216">
        <v>34</v>
      </c>
      <c r="F216">
        <v>27</v>
      </c>
      <c r="G216">
        <v>20</v>
      </c>
      <c r="H216" t="s">
        <v>58</v>
      </c>
      <c r="I216" s="11">
        <v>45780.51184027778</v>
      </c>
      <c r="J216">
        <v>2</v>
      </c>
      <c r="K216" t="s">
        <v>45</v>
      </c>
      <c r="L216">
        <v>1425</v>
      </c>
    </row>
    <row r="217" spans="1:12">
      <c r="A217">
        <v>1074131</v>
      </c>
      <c r="B217" t="s">
        <v>663</v>
      </c>
      <c r="C217">
        <v>45</v>
      </c>
      <c r="D217" s="10">
        <v>45789</v>
      </c>
      <c r="E217">
        <v>33</v>
      </c>
      <c r="F217">
        <v>20</v>
      </c>
      <c r="G217">
        <v>27</v>
      </c>
      <c r="H217" t="s">
        <v>60</v>
      </c>
      <c r="I217" s="11">
        <v>45782.45618055556</v>
      </c>
      <c r="J217">
        <v>1</v>
      </c>
      <c r="K217" t="s">
        <v>41</v>
      </c>
      <c r="L217">
        <v>790</v>
      </c>
    </row>
    <row r="218" spans="1:12">
      <c r="A218">
        <v>1074365</v>
      </c>
      <c r="B218" t="s">
        <v>666</v>
      </c>
      <c r="C218">
        <v>15</v>
      </c>
      <c r="D218" s="10">
        <v>45835</v>
      </c>
      <c r="E218">
        <v>9</v>
      </c>
      <c r="F218">
        <v>3</v>
      </c>
      <c r="G218">
        <v>9</v>
      </c>
      <c r="H218" t="s">
        <v>60</v>
      </c>
      <c r="I218" s="11">
        <v>45783.2975</v>
      </c>
      <c r="J218">
        <v>2</v>
      </c>
      <c r="K218" t="s">
        <v>41</v>
      </c>
      <c r="L218">
        <v>1524</v>
      </c>
    </row>
    <row r="219" spans="1:12">
      <c r="A219">
        <v>1074639</v>
      </c>
      <c r="B219" t="s">
        <v>668</v>
      </c>
      <c r="C219">
        <v>39</v>
      </c>
      <c r="D219" s="10">
        <v>45854</v>
      </c>
      <c r="E219">
        <v>29</v>
      </c>
      <c r="F219">
        <v>14</v>
      </c>
      <c r="G219">
        <v>22</v>
      </c>
      <c r="H219" t="s">
        <v>57</v>
      </c>
      <c r="I219" s="11">
        <v>45784.25802083333</v>
      </c>
      <c r="J219">
        <v>1</v>
      </c>
      <c r="K219" t="s">
        <v>41</v>
      </c>
      <c r="L219">
        <v>2886</v>
      </c>
    </row>
    <row r="220" spans="1:12">
      <c r="A220">
        <v>1074677</v>
      </c>
      <c r="B220" t="s">
        <v>671</v>
      </c>
      <c r="C220">
        <v>31</v>
      </c>
      <c r="D220" s="10">
        <v>45804</v>
      </c>
      <c r="E220">
        <v>23</v>
      </c>
      <c r="F220">
        <v>9</v>
      </c>
      <c r="G220">
        <v>19</v>
      </c>
      <c r="H220" t="s">
        <v>58</v>
      </c>
      <c r="I220" s="11">
        <v>45784.40157407407</v>
      </c>
      <c r="J220">
        <v>1</v>
      </c>
      <c r="K220" t="s">
        <v>41</v>
      </c>
      <c r="L220">
        <v>654</v>
      </c>
    </row>
    <row r="221" spans="1:12">
      <c r="A221">
        <v>1074958</v>
      </c>
      <c r="B221" t="s">
        <v>673</v>
      </c>
      <c r="C221">
        <v>22</v>
      </c>
      <c r="D221" s="10">
        <v>45842</v>
      </c>
      <c r="E221">
        <v>16</v>
      </c>
      <c r="F221">
        <v>10</v>
      </c>
      <c r="G221">
        <v>6</v>
      </c>
      <c r="H221" t="s">
        <v>58</v>
      </c>
      <c r="I221" s="11">
        <v>45785.39578703704</v>
      </c>
      <c r="J221">
        <v>1</v>
      </c>
      <c r="K221" t="s">
        <v>41</v>
      </c>
      <c r="L221">
        <v>1053</v>
      </c>
    </row>
    <row r="222" spans="1:12">
      <c r="A222">
        <v>1075134</v>
      </c>
      <c r="B222" t="s">
        <v>676</v>
      </c>
      <c r="C222">
        <v>5</v>
      </c>
      <c r="D222" s="10">
        <v>45812</v>
      </c>
      <c r="E222">
        <v>3</v>
      </c>
      <c r="F222">
        <v>1</v>
      </c>
      <c r="G222">
        <v>32</v>
      </c>
      <c r="H222" t="s">
        <v>56</v>
      </c>
      <c r="I222" s="11">
        <v>45785.84284722222</v>
      </c>
      <c r="J222">
        <v>1</v>
      </c>
      <c r="K222" t="s">
        <v>41</v>
      </c>
      <c r="L222">
        <v>3182</v>
      </c>
    </row>
    <row r="223" spans="1:12">
      <c r="A223">
        <v>1075804</v>
      </c>
      <c r="B223" t="s">
        <v>678</v>
      </c>
      <c r="C223">
        <v>42</v>
      </c>
      <c r="D223" s="10">
        <v>45791</v>
      </c>
      <c r="E223">
        <v>32</v>
      </c>
      <c r="F223">
        <v>31</v>
      </c>
      <c r="G223">
        <v>15</v>
      </c>
      <c r="H223" t="s">
        <v>60</v>
      </c>
      <c r="I223" s="11">
        <v>45788.29795138889</v>
      </c>
      <c r="J223">
        <v>2</v>
      </c>
      <c r="K223" t="s">
        <v>41</v>
      </c>
      <c r="L223">
        <v>1882</v>
      </c>
    </row>
    <row r="224" spans="1:12">
      <c r="A224">
        <v>1076154</v>
      </c>
      <c r="B224" t="s">
        <v>680</v>
      </c>
      <c r="C224">
        <v>16</v>
      </c>
      <c r="D224" s="10">
        <v>45790</v>
      </c>
      <c r="E224">
        <v>10</v>
      </c>
      <c r="F224">
        <v>9</v>
      </c>
      <c r="G224">
        <v>3</v>
      </c>
      <c r="H224" t="s">
        <v>56</v>
      </c>
      <c r="I224" s="11">
        <v>45789.34539351852</v>
      </c>
      <c r="J224">
        <v>1</v>
      </c>
      <c r="K224" t="s">
        <v>49</v>
      </c>
      <c r="L224">
        <v>3484</v>
      </c>
    </row>
    <row r="225" spans="1:12">
      <c r="A225">
        <v>1076507</v>
      </c>
      <c r="B225" t="s">
        <v>683</v>
      </c>
      <c r="C225">
        <v>33</v>
      </c>
      <c r="D225" s="10">
        <v>45793</v>
      </c>
      <c r="E225">
        <v>25</v>
      </c>
      <c r="F225">
        <v>11</v>
      </c>
      <c r="G225">
        <v>18</v>
      </c>
      <c r="H225" t="s">
        <v>57</v>
      </c>
      <c r="I225" s="11">
        <v>45790.38886574074</v>
      </c>
      <c r="J225">
        <v>3</v>
      </c>
      <c r="K225" t="s">
        <v>47</v>
      </c>
      <c r="L225">
        <v>8352</v>
      </c>
    </row>
    <row r="226" spans="1:12">
      <c r="A226">
        <v>1076665</v>
      </c>
      <c r="B226" t="s">
        <v>685</v>
      </c>
      <c r="C226">
        <v>18</v>
      </c>
      <c r="D226" s="10">
        <v>45793</v>
      </c>
      <c r="E226">
        <v>12</v>
      </c>
      <c r="F226">
        <v>24</v>
      </c>
      <c r="G226">
        <v>4</v>
      </c>
      <c r="H226" t="s">
        <v>60</v>
      </c>
      <c r="I226" s="11">
        <v>45790.75523148148</v>
      </c>
      <c r="J226">
        <v>2</v>
      </c>
      <c r="K226" t="s">
        <v>49</v>
      </c>
      <c r="L226">
        <v>2016</v>
      </c>
    </row>
    <row r="227" spans="1:12">
      <c r="A227">
        <v>1076797</v>
      </c>
      <c r="B227" t="s">
        <v>687</v>
      </c>
      <c r="C227">
        <v>24</v>
      </c>
      <c r="D227" s="10">
        <v>45803</v>
      </c>
      <c r="E227">
        <v>18</v>
      </c>
      <c r="F227">
        <v>11</v>
      </c>
      <c r="G227">
        <v>7</v>
      </c>
      <c r="H227" t="s">
        <v>56</v>
      </c>
      <c r="I227" s="11">
        <v>45791.30408564815</v>
      </c>
      <c r="J227">
        <v>1</v>
      </c>
      <c r="K227" t="s">
        <v>47</v>
      </c>
      <c r="L227">
        <v>3171</v>
      </c>
    </row>
    <row r="228" spans="1:12">
      <c r="A228">
        <v>1076911</v>
      </c>
      <c r="B228" t="s">
        <v>690</v>
      </c>
      <c r="C228">
        <v>18</v>
      </c>
      <c r="D228" s="10">
        <v>45844</v>
      </c>
      <c r="E228">
        <v>12</v>
      </c>
      <c r="F228">
        <v>24</v>
      </c>
      <c r="G228">
        <v>4</v>
      </c>
      <c r="H228" t="s">
        <v>60</v>
      </c>
      <c r="I228" s="11">
        <v>45791.61849537037</v>
      </c>
      <c r="J228">
        <v>2</v>
      </c>
      <c r="K228" t="s">
        <v>41</v>
      </c>
      <c r="L228">
        <v>2016</v>
      </c>
    </row>
    <row r="229" spans="1:12">
      <c r="A229">
        <v>1077889</v>
      </c>
      <c r="B229" t="s">
        <v>693</v>
      </c>
      <c r="C229">
        <v>21</v>
      </c>
      <c r="D229" s="10">
        <v>45803</v>
      </c>
      <c r="E229">
        <v>15</v>
      </c>
      <c r="F229">
        <v>6</v>
      </c>
      <c r="G229">
        <v>10</v>
      </c>
      <c r="H229" t="s">
        <v>57</v>
      </c>
      <c r="I229" s="11">
        <v>45795.30707175926</v>
      </c>
      <c r="J229">
        <v>5</v>
      </c>
      <c r="K229" t="s">
        <v>41</v>
      </c>
      <c r="L229">
        <v>12857</v>
      </c>
    </row>
    <row r="230" spans="1:12">
      <c r="A230">
        <v>1077975</v>
      </c>
      <c r="B230" t="s">
        <v>695</v>
      </c>
      <c r="C230">
        <v>24</v>
      </c>
      <c r="D230" s="10">
        <v>45803</v>
      </c>
      <c r="E230">
        <v>18</v>
      </c>
      <c r="F230">
        <v>11</v>
      </c>
      <c r="G230">
        <v>7</v>
      </c>
      <c r="H230" t="s">
        <v>56</v>
      </c>
      <c r="I230" s="11">
        <v>45795.59673611111</v>
      </c>
      <c r="J230">
        <v>1</v>
      </c>
      <c r="K230" t="s">
        <v>49</v>
      </c>
      <c r="L230">
        <v>3171</v>
      </c>
    </row>
    <row r="231" spans="1:12">
      <c r="A231">
        <v>1078000</v>
      </c>
      <c r="B231" t="s">
        <v>697</v>
      </c>
      <c r="C231">
        <v>44</v>
      </c>
      <c r="D231" s="10">
        <v>45817</v>
      </c>
      <c r="E231">
        <v>34</v>
      </c>
      <c r="F231">
        <v>27</v>
      </c>
      <c r="G231">
        <v>20</v>
      </c>
      <c r="H231" t="s">
        <v>58</v>
      </c>
      <c r="I231" s="11">
        <v>45795.64859953704</v>
      </c>
      <c r="J231">
        <v>5</v>
      </c>
      <c r="K231" t="s">
        <v>47</v>
      </c>
      <c r="L231">
        <v>4167</v>
      </c>
    </row>
    <row r="232" spans="1:12">
      <c r="A232">
        <v>1078035</v>
      </c>
      <c r="B232" t="s">
        <v>699</v>
      </c>
      <c r="C232">
        <v>15</v>
      </c>
      <c r="D232" s="10">
        <v>45915</v>
      </c>
      <c r="E232">
        <v>9</v>
      </c>
      <c r="F232">
        <v>3</v>
      </c>
      <c r="G232">
        <v>9</v>
      </c>
      <c r="H232" t="s">
        <v>57</v>
      </c>
      <c r="I232" s="11">
        <v>45795.74174768518</v>
      </c>
      <c r="J232">
        <v>1</v>
      </c>
      <c r="K232" t="s">
        <v>41</v>
      </c>
      <c r="L232">
        <v>2429</v>
      </c>
    </row>
    <row r="233" spans="1:12">
      <c r="A233">
        <v>1078216</v>
      </c>
      <c r="B233" t="s">
        <v>702</v>
      </c>
      <c r="C233">
        <v>41</v>
      </c>
      <c r="D233" s="10">
        <v>45796</v>
      </c>
      <c r="E233">
        <v>31</v>
      </c>
      <c r="F233">
        <v>15</v>
      </c>
      <c r="G233">
        <v>31</v>
      </c>
      <c r="H233" t="s">
        <v>60</v>
      </c>
      <c r="I233" s="11">
        <v>45796.43667824074</v>
      </c>
      <c r="J233">
        <v>1</v>
      </c>
      <c r="K233" t="s">
        <v>41</v>
      </c>
      <c r="L233">
        <v>941</v>
      </c>
    </row>
    <row r="234" spans="1:12">
      <c r="A234">
        <v>1078604</v>
      </c>
      <c r="B234" t="s">
        <v>705</v>
      </c>
      <c r="C234">
        <v>44</v>
      </c>
      <c r="D234" s="10">
        <v>45817</v>
      </c>
      <c r="E234">
        <v>34</v>
      </c>
      <c r="F234">
        <v>27</v>
      </c>
      <c r="G234">
        <v>20</v>
      </c>
      <c r="H234" t="s">
        <v>60</v>
      </c>
      <c r="I234" s="11">
        <v>45797.82655092593</v>
      </c>
      <c r="J234">
        <v>1</v>
      </c>
      <c r="K234" t="s">
        <v>41</v>
      </c>
      <c r="L234">
        <v>753</v>
      </c>
    </row>
    <row r="235" spans="1:12">
      <c r="A235">
        <v>1078946</v>
      </c>
      <c r="B235" t="s">
        <v>707</v>
      </c>
      <c r="C235">
        <v>9</v>
      </c>
      <c r="D235" s="10">
        <v>45863</v>
      </c>
      <c r="E235">
        <v>5</v>
      </c>
      <c r="F235">
        <v>2</v>
      </c>
      <c r="G235">
        <v>15</v>
      </c>
      <c r="H235" t="s">
        <v>60</v>
      </c>
      <c r="I235" s="11">
        <v>45799.10254629629</v>
      </c>
      <c r="J235">
        <v>1</v>
      </c>
      <c r="K235" t="s">
        <v>41</v>
      </c>
      <c r="L235">
        <v>288</v>
      </c>
    </row>
    <row r="236" spans="1:12">
      <c r="A236">
        <v>1079358</v>
      </c>
      <c r="B236" t="s">
        <v>710</v>
      </c>
      <c r="C236">
        <v>47</v>
      </c>
      <c r="D236" s="10">
        <v>45810</v>
      </c>
      <c r="E236">
        <v>35</v>
      </c>
      <c r="F236">
        <v>21</v>
      </c>
      <c r="G236">
        <v>28</v>
      </c>
      <c r="H236" t="s">
        <v>57</v>
      </c>
      <c r="I236" s="11">
        <v>45800.62545138889</v>
      </c>
      <c r="J236">
        <v>4</v>
      </c>
      <c r="K236" t="s">
        <v>45</v>
      </c>
      <c r="L236">
        <v>12492</v>
      </c>
    </row>
    <row r="237" spans="1:12">
      <c r="A237">
        <v>1079788</v>
      </c>
      <c r="B237" t="s">
        <v>712</v>
      </c>
      <c r="C237">
        <v>36</v>
      </c>
      <c r="D237" s="10">
        <v>45821</v>
      </c>
      <c r="E237">
        <v>26</v>
      </c>
      <c r="F237">
        <v>18</v>
      </c>
      <c r="G237">
        <v>11</v>
      </c>
      <c r="H237" t="s">
        <v>57</v>
      </c>
      <c r="I237" s="11">
        <v>45801.89008101852</v>
      </c>
      <c r="J237">
        <v>3</v>
      </c>
      <c r="K237" t="s">
        <v>41</v>
      </c>
      <c r="L237">
        <v>8352</v>
      </c>
    </row>
    <row r="238" spans="1:12">
      <c r="A238">
        <v>1079819</v>
      </c>
      <c r="B238" t="s">
        <v>714</v>
      </c>
      <c r="C238">
        <v>8</v>
      </c>
      <c r="D238" s="10">
        <v>45803</v>
      </c>
      <c r="E238">
        <v>4</v>
      </c>
      <c r="F238">
        <v>32</v>
      </c>
      <c r="G238">
        <v>1</v>
      </c>
      <c r="H238" t="s">
        <v>60</v>
      </c>
      <c r="I238" s="11">
        <v>45802.2300462963</v>
      </c>
      <c r="J238">
        <v>2</v>
      </c>
      <c r="K238" t="s">
        <v>49</v>
      </c>
      <c r="L238">
        <v>1653</v>
      </c>
    </row>
    <row r="239" spans="1:12">
      <c r="A239">
        <v>1080019</v>
      </c>
      <c r="B239" t="s">
        <v>716</v>
      </c>
      <c r="C239">
        <v>44</v>
      </c>
      <c r="D239" s="10">
        <v>45817</v>
      </c>
      <c r="E239">
        <v>34</v>
      </c>
      <c r="F239">
        <v>27</v>
      </c>
      <c r="G239">
        <v>20</v>
      </c>
      <c r="H239" t="s">
        <v>60</v>
      </c>
      <c r="I239" s="11">
        <v>45802.74908564815</v>
      </c>
      <c r="J239">
        <v>1</v>
      </c>
      <c r="K239" t="s">
        <v>41</v>
      </c>
      <c r="L239">
        <v>753</v>
      </c>
    </row>
    <row r="240" spans="1:12">
      <c r="A240">
        <v>1080555</v>
      </c>
      <c r="B240" t="s">
        <v>718</v>
      </c>
      <c r="C240">
        <v>35</v>
      </c>
      <c r="D240" s="10">
        <v>45859</v>
      </c>
      <c r="E240">
        <v>25</v>
      </c>
      <c r="F240">
        <v>11</v>
      </c>
      <c r="G240">
        <v>18</v>
      </c>
      <c r="H240" t="s">
        <v>57</v>
      </c>
      <c r="I240" s="11">
        <v>45804.6018287037</v>
      </c>
      <c r="J240">
        <v>1</v>
      </c>
      <c r="K240" t="s">
        <v>41</v>
      </c>
      <c r="L240">
        <v>2784</v>
      </c>
    </row>
    <row r="241" spans="1:12">
      <c r="A241">
        <v>1080584</v>
      </c>
      <c r="B241" t="s">
        <v>721</v>
      </c>
      <c r="C241">
        <v>48</v>
      </c>
      <c r="D241" s="10">
        <v>45826</v>
      </c>
      <c r="E241">
        <v>36</v>
      </c>
      <c r="F241">
        <v>28</v>
      </c>
      <c r="G241">
        <v>21</v>
      </c>
      <c r="H241" t="s">
        <v>58</v>
      </c>
      <c r="I241" s="11">
        <v>45804.70953703704</v>
      </c>
      <c r="J241">
        <v>2</v>
      </c>
      <c r="K241" t="s">
        <v>41</v>
      </c>
      <c r="L241">
        <v>2352</v>
      </c>
    </row>
    <row r="242" spans="1:12">
      <c r="A242">
        <v>1080622</v>
      </c>
      <c r="B242" t="s">
        <v>724</v>
      </c>
      <c r="C242">
        <v>50</v>
      </c>
      <c r="D242" s="10">
        <v>45840</v>
      </c>
      <c r="E242">
        <v>38</v>
      </c>
      <c r="F242">
        <v>30</v>
      </c>
      <c r="G242">
        <v>23</v>
      </c>
      <c r="H242" t="s">
        <v>58</v>
      </c>
      <c r="I242" s="11">
        <v>45804.79796296296</v>
      </c>
      <c r="J242">
        <v>1</v>
      </c>
      <c r="K242" t="s">
        <v>41</v>
      </c>
      <c r="L242">
        <v>1243</v>
      </c>
    </row>
    <row r="243" spans="1:12">
      <c r="A243">
        <v>1080665</v>
      </c>
      <c r="B243" t="s">
        <v>726</v>
      </c>
      <c r="C243">
        <v>31</v>
      </c>
      <c r="D243" s="10">
        <v>45818</v>
      </c>
      <c r="E243">
        <v>23</v>
      </c>
      <c r="F243">
        <v>9</v>
      </c>
      <c r="G243">
        <v>19</v>
      </c>
      <c r="H243" t="s">
        <v>58</v>
      </c>
      <c r="I243" s="11">
        <v>45804.8983912037</v>
      </c>
      <c r="J243">
        <v>1</v>
      </c>
      <c r="K243" t="s">
        <v>41</v>
      </c>
      <c r="L243">
        <v>393</v>
      </c>
    </row>
    <row r="244" spans="1:12">
      <c r="A244">
        <v>1080716</v>
      </c>
      <c r="B244" t="s">
        <v>729</v>
      </c>
      <c r="C244">
        <v>44</v>
      </c>
      <c r="D244" s="10">
        <v>45857</v>
      </c>
      <c r="E244">
        <v>34</v>
      </c>
      <c r="F244">
        <v>27</v>
      </c>
      <c r="G244">
        <v>20</v>
      </c>
      <c r="H244" t="s">
        <v>57</v>
      </c>
      <c r="I244" s="11">
        <v>45805.30894675926</v>
      </c>
      <c r="J244">
        <v>2</v>
      </c>
      <c r="K244" t="s">
        <v>41</v>
      </c>
      <c r="L244">
        <v>4804</v>
      </c>
    </row>
    <row r="245" spans="1:12">
      <c r="A245">
        <v>1080854</v>
      </c>
      <c r="B245" t="s">
        <v>732</v>
      </c>
      <c r="C245">
        <v>11</v>
      </c>
      <c r="D245" s="10">
        <v>45821</v>
      </c>
      <c r="E245">
        <v>7</v>
      </c>
      <c r="F245">
        <v>2</v>
      </c>
      <c r="G245">
        <v>17</v>
      </c>
      <c r="H245" t="s">
        <v>56</v>
      </c>
      <c r="I245" s="11">
        <v>45805.71956018519</v>
      </c>
      <c r="J245">
        <v>1</v>
      </c>
      <c r="K245" t="s">
        <v>41</v>
      </c>
      <c r="L245">
        <v>2658</v>
      </c>
    </row>
    <row r="246" spans="1:12">
      <c r="A246">
        <v>1081189</v>
      </c>
      <c r="B246" t="s">
        <v>734</v>
      </c>
      <c r="C246">
        <v>2</v>
      </c>
      <c r="D246" s="10">
        <v>45826</v>
      </c>
      <c r="E246">
        <v>2</v>
      </c>
      <c r="F246">
        <v>26</v>
      </c>
      <c r="G246">
        <v>1</v>
      </c>
      <c r="H246" t="s">
        <v>58</v>
      </c>
      <c r="I246" s="11">
        <v>45806.85836805555</v>
      </c>
      <c r="J246">
        <v>1</v>
      </c>
      <c r="K246" t="s">
        <v>37</v>
      </c>
      <c r="L246">
        <v>1657</v>
      </c>
    </row>
    <row r="247" spans="1:12">
      <c r="A247">
        <v>1081876</v>
      </c>
      <c r="B247" t="s">
        <v>739</v>
      </c>
      <c r="C247">
        <v>48</v>
      </c>
      <c r="D247" s="10">
        <v>45857</v>
      </c>
      <c r="E247">
        <v>36</v>
      </c>
      <c r="F247">
        <v>28</v>
      </c>
      <c r="G247">
        <v>21</v>
      </c>
      <c r="H247" t="s">
        <v>58</v>
      </c>
      <c r="I247" s="11">
        <v>45809.71953703704</v>
      </c>
      <c r="J247">
        <v>2</v>
      </c>
      <c r="K247" t="s">
        <v>41</v>
      </c>
      <c r="L247">
        <v>2352</v>
      </c>
    </row>
    <row r="248" spans="1:12">
      <c r="A248">
        <v>1082449</v>
      </c>
      <c r="B248" t="s">
        <v>741</v>
      </c>
      <c r="C248">
        <v>11</v>
      </c>
      <c r="D248" s="10">
        <v>45821</v>
      </c>
      <c r="E248">
        <v>7</v>
      </c>
      <c r="F248">
        <v>2</v>
      </c>
      <c r="G248">
        <v>17</v>
      </c>
      <c r="H248" t="s">
        <v>57</v>
      </c>
      <c r="I248" s="11">
        <v>45811.86787037037</v>
      </c>
      <c r="J248">
        <v>1</v>
      </c>
      <c r="K248" t="s">
        <v>41</v>
      </c>
      <c r="L248">
        <v>1854</v>
      </c>
    </row>
    <row r="249" spans="1:12">
      <c r="A249">
        <v>1083870</v>
      </c>
      <c r="B249" t="s">
        <v>743</v>
      </c>
      <c r="C249">
        <v>10</v>
      </c>
      <c r="D249" s="10">
        <v>45818</v>
      </c>
      <c r="E249">
        <v>6</v>
      </c>
      <c r="F249">
        <v>15</v>
      </c>
      <c r="G249">
        <v>2</v>
      </c>
      <c r="H249" t="s">
        <v>58</v>
      </c>
      <c r="I249" s="11">
        <v>45816.86454861111</v>
      </c>
      <c r="J249">
        <v>6</v>
      </c>
      <c r="K249" t="s">
        <v>41</v>
      </c>
      <c r="L249">
        <v>2088</v>
      </c>
    </row>
    <row r="250" spans="1:12">
      <c r="A250">
        <v>1084581</v>
      </c>
      <c r="B250" t="s">
        <v>745</v>
      </c>
      <c r="C250">
        <v>13</v>
      </c>
      <c r="D250" s="10">
        <v>45847</v>
      </c>
      <c r="E250">
        <v>9</v>
      </c>
      <c r="F250">
        <v>3</v>
      </c>
      <c r="G250">
        <v>9</v>
      </c>
      <c r="H250" t="s">
        <v>57</v>
      </c>
      <c r="I250" s="11">
        <v>45819.60725694444</v>
      </c>
      <c r="J250">
        <v>5</v>
      </c>
      <c r="K250" t="s">
        <v>41</v>
      </c>
      <c r="L250">
        <v>15130</v>
      </c>
    </row>
    <row r="251" spans="1:12">
      <c r="A251">
        <v>1084587</v>
      </c>
      <c r="B251" t="s">
        <v>748</v>
      </c>
      <c r="C251">
        <v>15</v>
      </c>
      <c r="D251" s="10">
        <v>45835</v>
      </c>
      <c r="E251">
        <v>9</v>
      </c>
      <c r="F251">
        <v>3</v>
      </c>
      <c r="G251">
        <v>9</v>
      </c>
      <c r="H251" t="s">
        <v>58</v>
      </c>
      <c r="I251" s="11">
        <v>45819.62856481481</v>
      </c>
      <c r="J251">
        <v>1</v>
      </c>
      <c r="K251" t="s">
        <v>41</v>
      </c>
      <c r="L251">
        <v>916</v>
      </c>
    </row>
    <row r="252" spans="1:12">
      <c r="A252">
        <v>1084667</v>
      </c>
      <c r="B252" t="s">
        <v>750</v>
      </c>
      <c r="C252">
        <v>51</v>
      </c>
      <c r="D252" s="10">
        <v>45821</v>
      </c>
      <c r="E252">
        <v>39</v>
      </c>
      <c r="F252">
        <v>25</v>
      </c>
      <c r="G252">
        <v>29</v>
      </c>
      <c r="H252" t="s">
        <v>56</v>
      </c>
      <c r="I252" s="11">
        <v>45819.84810185185</v>
      </c>
      <c r="J252">
        <v>3</v>
      </c>
      <c r="K252" t="s">
        <v>47</v>
      </c>
      <c r="L252">
        <v>7143</v>
      </c>
    </row>
    <row r="253" spans="1:12">
      <c r="A253">
        <v>1084927</v>
      </c>
      <c r="B253" t="s">
        <v>752</v>
      </c>
      <c r="C253">
        <v>36</v>
      </c>
      <c r="D253" s="10">
        <v>45821</v>
      </c>
      <c r="E253">
        <v>26</v>
      </c>
      <c r="F253">
        <v>18</v>
      </c>
      <c r="G253">
        <v>11</v>
      </c>
      <c r="H253" t="s">
        <v>58</v>
      </c>
      <c r="I253" s="11">
        <v>45820.76766203704</v>
      </c>
      <c r="J253">
        <v>4</v>
      </c>
      <c r="K253" t="s">
        <v>41</v>
      </c>
      <c r="L253">
        <v>4196</v>
      </c>
    </row>
    <row r="254" spans="1:12">
      <c r="A254">
        <v>1085292</v>
      </c>
      <c r="B254" t="s">
        <v>754</v>
      </c>
      <c r="C254">
        <v>21</v>
      </c>
      <c r="D254" s="10">
        <v>45824</v>
      </c>
      <c r="E254">
        <v>15</v>
      </c>
      <c r="F254">
        <v>6</v>
      </c>
      <c r="G254">
        <v>10</v>
      </c>
      <c r="H254" t="s">
        <v>57</v>
      </c>
      <c r="I254" s="11">
        <v>45822.05143518518</v>
      </c>
      <c r="J254">
        <v>1</v>
      </c>
      <c r="K254" t="s">
        <v>41</v>
      </c>
      <c r="L254">
        <v>2795</v>
      </c>
    </row>
    <row r="255" spans="1:12">
      <c r="A255">
        <v>1085662</v>
      </c>
      <c r="B255" t="s">
        <v>760</v>
      </c>
      <c r="C255">
        <v>48</v>
      </c>
      <c r="D255" s="10">
        <v>45826</v>
      </c>
      <c r="E255">
        <v>36</v>
      </c>
      <c r="F255">
        <v>28</v>
      </c>
      <c r="G255">
        <v>21</v>
      </c>
      <c r="H255" t="s">
        <v>58</v>
      </c>
      <c r="I255" s="11">
        <v>45823.71020833333</v>
      </c>
      <c r="J255">
        <v>2</v>
      </c>
      <c r="K255" t="s">
        <v>41</v>
      </c>
      <c r="L255">
        <v>1764</v>
      </c>
    </row>
    <row r="256" spans="1:12">
      <c r="A256">
        <v>1087131</v>
      </c>
      <c r="B256" t="s">
        <v>762</v>
      </c>
      <c r="C256">
        <v>15</v>
      </c>
      <c r="D256" s="10">
        <v>45835</v>
      </c>
      <c r="E256">
        <v>9</v>
      </c>
      <c r="F256">
        <v>3</v>
      </c>
      <c r="G256">
        <v>9</v>
      </c>
      <c r="H256" t="s">
        <v>60</v>
      </c>
      <c r="I256" s="11">
        <v>45829.32309027778</v>
      </c>
      <c r="J256">
        <v>6</v>
      </c>
      <c r="K256" t="s">
        <v>49</v>
      </c>
      <c r="L256">
        <v>4267</v>
      </c>
    </row>
    <row r="257" spans="1:12">
      <c r="A257">
        <v>1087348</v>
      </c>
      <c r="B257" t="s">
        <v>764</v>
      </c>
      <c r="C257">
        <v>26</v>
      </c>
      <c r="D257" s="10">
        <v>45886</v>
      </c>
      <c r="E257">
        <v>20</v>
      </c>
      <c r="F257">
        <v>12</v>
      </c>
      <c r="G257">
        <v>7</v>
      </c>
      <c r="H257" t="s">
        <v>58</v>
      </c>
      <c r="I257" s="11">
        <v>45830.0949537037</v>
      </c>
      <c r="J257">
        <v>2</v>
      </c>
      <c r="K257" t="s">
        <v>41</v>
      </c>
      <c r="L257">
        <v>1740</v>
      </c>
    </row>
    <row r="258" spans="1:12">
      <c r="A258">
        <v>1088056</v>
      </c>
      <c r="B258" t="s">
        <v>767</v>
      </c>
      <c r="C258">
        <v>39</v>
      </c>
      <c r="D258" s="10">
        <v>45854</v>
      </c>
      <c r="E258">
        <v>29</v>
      </c>
      <c r="F258">
        <v>14</v>
      </c>
      <c r="G258">
        <v>22</v>
      </c>
      <c r="H258" t="s">
        <v>56</v>
      </c>
      <c r="I258" s="11">
        <v>45833.18188657407</v>
      </c>
      <c r="J258">
        <v>2</v>
      </c>
      <c r="K258" t="s">
        <v>41</v>
      </c>
      <c r="L258">
        <v>8284</v>
      </c>
    </row>
    <row r="259" spans="1:12">
      <c r="A259">
        <v>1089984</v>
      </c>
      <c r="B259" t="s">
        <v>769</v>
      </c>
      <c r="C259">
        <v>45</v>
      </c>
      <c r="D259" s="10">
        <v>45845</v>
      </c>
      <c r="E259">
        <v>33</v>
      </c>
      <c r="F259">
        <v>20</v>
      </c>
      <c r="G259">
        <v>27</v>
      </c>
      <c r="H259" t="s">
        <v>60</v>
      </c>
      <c r="I259" s="11">
        <v>45841.34533564815</v>
      </c>
      <c r="J259">
        <v>1</v>
      </c>
      <c r="K259" t="s">
        <v>41</v>
      </c>
      <c r="L259">
        <v>790</v>
      </c>
    </row>
    <row r="260" spans="1:12">
      <c r="A260">
        <v>1090224</v>
      </c>
      <c r="B260" t="s">
        <v>771</v>
      </c>
      <c r="C260">
        <v>18</v>
      </c>
      <c r="D260" s="10">
        <v>45844</v>
      </c>
      <c r="E260">
        <v>12</v>
      </c>
      <c r="F260">
        <v>24</v>
      </c>
      <c r="G260">
        <v>4</v>
      </c>
      <c r="H260" t="s">
        <v>60</v>
      </c>
      <c r="I260" s="11">
        <v>45842.36554398148</v>
      </c>
      <c r="J260">
        <v>1</v>
      </c>
      <c r="K260" t="s">
        <v>41</v>
      </c>
      <c r="L260">
        <v>1008</v>
      </c>
    </row>
    <row r="261" spans="1:12">
      <c r="A261">
        <v>1090748</v>
      </c>
      <c r="B261" t="s">
        <v>773</v>
      </c>
      <c r="C261">
        <v>45</v>
      </c>
      <c r="D261" s="10">
        <v>45845</v>
      </c>
      <c r="E261">
        <v>33</v>
      </c>
      <c r="F261">
        <v>20</v>
      </c>
      <c r="G261">
        <v>27</v>
      </c>
      <c r="H261" t="s">
        <v>58</v>
      </c>
      <c r="I261" s="11">
        <v>45844.36252314815</v>
      </c>
      <c r="J261">
        <v>1</v>
      </c>
      <c r="K261" t="s">
        <v>49</v>
      </c>
      <c r="L261">
        <v>950</v>
      </c>
    </row>
    <row r="262" spans="1:12">
      <c r="A262">
        <v>1091321</v>
      </c>
      <c r="B262" t="s">
        <v>775</v>
      </c>
      <c r="C262">
        <v>52</v>
      </c>
      <c r="D262" s="10">
        <v>45850</v>
      </c>
      <c r="E262">
        <v>40</v>
      </c>
      <c r="F262">
        <v>29</v>
      </c>
      <c r="G262">
        <v>25</v>
      </c>
      <c r="H262" t="s">
        <v>58</v>
      </c>
      <c r="I262" s="11">
        <v>45846.71295138889</v>
      </c>
      <c r="J262">
        <v>1</v>
      </c>
      <c r="K262" t="s">
        <v>41</v>
      </c>
      <c r="L262">
        <v>854</v>
      </c>
    </row>
    <row r="263" spans="1:12">
      <c r="A263">
        <v>1091765</v>
      </c>
      <c r="B263" t="s">
        <v>778</v>
      </c>
      <c r="C263">
        <v>32</v>
      </c>
      <c r="D263" s="10">
        <v>45887</v>
      </c>
      <c r="E263">
        <v>24</v>
      </c>
      <c r="F263">
        <v>19</v>
      </c>
      <c r="G263">
        <v>9</v>
      </c>
      <c r="H263" t="s">
        <v>60</v>
      </c>
      <c r="I263" s="11">
        <v>45848.83128472222</v>
      </c>
      <c r="J263">
        <v>2</v>
      </c>
      <c r="K263" t="s">
        <v>41</v>
      </c>
      <c r="L263">
        <v>1088</v>
      </c>
    </row>
    <row r="264" spans="1:12">
      <c r="A264">
        <v>1091769</v>
      </c>
      <c r="B264" t="s">
        <v>781</v>
      </c>
      <c r="C264">
        <v>52</v>
      </c>
      <c r="D264" s="10">
        <v>45850</v>
      </c>
      <c r="E264">
        <v>40</v>
      </c>
      <c r="F264">
        <v>29</v>
      </c>
      <c r="G264">
        <v>25</v>
      </c>
      <c r="H264" t="s">
        <v>60</v>
      </c>
      <c r="I264" s="11">
        <v>45848.83885416666</v>
      </c>
      <c r="J264">
        <v>6</v>
      </c>
      <c r="K264" t="s">
        <v>49</v>
      </c>
      <c r="L264">
        <v>3266</v>
      </c>
    </row>
    <row r="265" spans="1:12">
      <c r="A265">
        <v>1091959</v>
      </c>
      <c r="B265" t="s">
        <v>783</v>
      </c>
      <c r="C265">
        <v>48</v>
      </c>
      <c r="D265" s="10">
        <v>45857</v>
      </c>
      <c r="E265">
        <v>36</v>
      </c>
      <c r="F265">
        <v>28</v>
      </c>
      <c r="G265">
        <v>21</v>
      </c>
      <c r="H265" t="s">
        <v>58</v>
      </c>
      <c r="I265" s="11">
        <v>45849.79055555556</v>
      </c>
      <c r="J265">
        <v>1</v>
      </c>
      <c r="K265" t="s">
        <v>41</v>
      </c>
      <c r="L265">
        <v>1176</v>
      </c>
    </row>
    <row r="266" spans="1:12">
      <c r="A266">
        <v>1092107</v>
      </c>
      <c r="B266" t="s">
        <v>785</v>
      </c>
      <c r="C266">
        <v>48</v>
      </c>
      <c r="D266" s="10">
        <v>45857</v>
      </c>
      <c r="E266">
        <v>36</v>
      </c>
      <c r="F266">
        <v>28</v>
      </c>
      <c r="G266">
        <v>21</v>
      </c>
      <c r="H266" t="s">
        <v>58</v>
      </c>
      <c r="I266" s="11">
        <v>45850.5000462963</v>
      </c>
      <c r="J266">
        <v>1</v>
      </c>
      <c r="K266" t="s">
        <v>41</v>
      </c>
      <c r="L266">
        <v>1176</v>
      </c>
    </row>
    <row r="267" spans="1:12">
      <c r="A267">
        <v>1092320</v>
      </c>
      <c r="B267" t="s">
        <v>787</v>
      </c>
      <c r="C267">
        <v>40</v>
      </c>
      <c r="D267" s="10">
        <v>45893</v>
      </c>
      <c r="E267">
        <v>30</v>
      </c>
      <c r="F267">
        <v>22</v>
      </c>
      <c r="G267">
        <v>14</v>
      </c>
      <c r="H267" t="s">
        <v>57</v>
      </c>
      <c r="I267" s="11">
        <v>45851.41540509259</v>
      </c>
      <c r="J267">
        <v>4</v>
      </c>
      <c r="K267" t="s">
        <v>41</v>
      </c>
      <c r="L267">
        <v>10101</v>
      </c>
    </row>
    <row r="268" spans="1:12">
      <c r="A268">
        <v>1092995</v>
      </c>
      <c r="B268" t="s">
        <v>790</v>
      </c>
      <c r="C268">
        <v>16</v>
      </c>
      <c r="D268" s="10">
        <v>45914</v>
      </c>
      <c r="E268">
        <v>10</v>
      </c>
      <c r="F268">
        <v>9</v>
      </c>
      <c r="G268">
        <v>3</v>
      </c>
      <c r="H268" t="s">
        <v>57</v>
      </c>
      <c r="I268" s="11">
        <v>45854.47556712963</v>
      </c>
      <c r="J268">
        <v>1</v>
      </c>
      <c r="K268" t="s">
        <v>41</v>
      </c>
      <c r="L268">
        <v>2429</v>
      </c>
    </row>
    <row r="269" spans="1:12">
      <c r="A269">
        <v>1093380</v>
      </c>
      <c r="B269" t="s">
        <v>793</v>
      </c>
      <c r="C269">
        <v>36</v>
      </c>
      <c r="D269" s="10">
        <v>45859</v>
      </c>
      <c r="E269">
        <v>26</v>
      </c>
      <c r="F269">
        <v>18</v>
      </c>
      <c r="G269">
        <v>11</v>
      </c>
      <c r="H269" t="s">
        <v>57</v>
      </c>
      <c r="I269" s="11">
        <v>45856.28902777778</v>
      </c>
      <c r="J269">
        <v>1</v>
      </c>
      <c r="K269" t="s">
        <v>41</v>
      </c>
      <c r="L269">
        <v>2784</v>
      </c>
    </row>
    <row r="270" spans="1:12">
      <c r="A270">
        <v>1094153</v>
      </c>
      <c r="B270" t="s">
        <v>795</v>
      </c>
      <c r="C270">
        <v>47</v>
      </c>
      <c r="D270" s="10">
        <v>45861</v>
      </c>
      <c r="E270">
        <v>35</v>
      </c>
      <c r="F270">
        <v>21</v>
      </c>
      <c r="G270">
        <v>28</v>
      </c>
      <c r="H270" t="s">
        <v>58</v>
      </c>
      <c r="I270" s="11">
        <v>45859.52766203704</v>
      </c>
      <c r="J270">
        <v>1</v>
      </c>
      <c r="K270" t="s">
        <v>41</v>
      </c>
      <c r="L270">
        <v>1176</v>
      </c>
    </row>
    <row r="271" spans="1:12">
      <c r="A271">
        <v>1095527</v>
      </c>
      <c r="B271" t="s">
        <v>798</v>
      </c>
      <c r="C271">
        <v>48</v>
      </c>
      <c r="D271" s="10">
        <v>45899</v>
      </c>
      <c r="E271">
        <v>36</v>
      </c>
      <c r="F271">
        <v>28</v>
      </c>
      <c r="G271">
        <v>21</v>
      </c>
      <c r="H271" t="s">
        <v>56</v>
      </c>
      <c r="I271" s="11">
        <v>45865.71030092592</v>
      </c>
      <c r="J271">
        <v>6</v>
      </c>
      <c r="K271" t="s">
        <v>37</v>
      </c>
      <c r="L271">
        <v>23306</v>
      </c>
    </row>
    <row r="272" spans="1:12">
      <c r="A272">
        <v>1096099</v>
      </c>
      <c r="B272" t="s">
        <v>801</v>
      </c>
      <c r="C272">
        <v>30</v>
      </c>
      <c r="D272" s="10">
        <v>45881</v>
      </c>
      <c r="E272">
        <v>24</v>
      </c>
      <c r="F272">
        <v>19</v>
      </c>
      <c r="G272">
        <v>9</v>
      </c>
      <c r="H272" t="s">
        <v>58</v>
      </c>
      <c r="I272" s="11">
        <v>45868.59631944444</v>
      </c>
      <c r="J272">
        <v>2</v>
      </c>
      <c r="K272" t="s">
        <v>41</v>
      </c>
      <c r="L272">
        <v>1308</v>
      </c>
    </row>
    <row r="273" spans="1:12">
      <c r="A273">
        <v>1096350</v>
      </c>
      <c r="B273" t="s">
        <v>805</v>
      </c>
      <c r="C273">
        <v>37</v>
      </c>
      <c r="D273" s="10">
        <v>45971</v>
      </c>
      <c r="E273">
        <v>27</v>
      </c>
      <c r="F273">
        <v>13</v>
      </c>
      <c r="G273">
        <v>26</v>
      </c>
      <c r="H273" t="s">
        <v>57</v>
      </c>
      <c r="I273" s="11">
        <v>45869.71224537037</v>
      </c>
      <c r="J273">
        <v>3</v>
      </c>
      <c r="K273" t="s">
        <v>37</v>
      </c>
      <c r="L273">
        <v>4175</v>
      </c>
    </row>
    <row r="274" spans="1:12">
      <c r="A274">
        <v>1096648</v>
      </c>
      <c r="B274" t="s">
        <v>808</v>
      </c>
      <c r="C274">
        <v>1</v>
      </c>
      <c r="D274" s="10">
        <v>45960</v>
      </c>
      <c r="E274">
        <v>1</v>
      </c>
      <c r="F274">
        <v>1</v>
      </c>
      <c r="G274">
        <v>26</v>
      </c>
      <c r="H274" t="s">
        <v>58</v>
      </c>
      <c r="I274" s="11">
        <v>45870.82978009259</v>
      </c>
      <c r="J274">
        <v>2</v>
      </c>
      <c r="K274" t="s">
        <v>37</v>
      </c>
      <c r="L274">
        <v>2486</v>
      </c>
    </row>
    <row r="275" spans="1:12">
      <c r="A275">
        <v>1097788</v>
      </c>
      <c r="B275" t="s">
        <v>811</v>
      </c>
      <c r="C275">
        <v>9</v>
      </c>
      <c r="D275" s="10">
        <v>45885</v>
      </c>
      <c r="E275">
        <v>5</v>
      </c>
      <c r="F275">
        <v>2</v>
      </c>
      <c r="G275">
        <v>15</v>
      </c>
      <c r="H275" t="s">
        <v>60</v>
      </c>
      <c r="I275" s="11">
        <v>45876.46202546296</v>
      </c>
      <c r="J275">
        <v>4</v>
      </c>
      <c r="K275" t="s">
        <v>37</v>
      </c>
      <c r="L275">
        <v>1152</v>
      </c>
    </row>
    <row r="276" spans="1:12">
      <c r="A276">
        <v>1097941</v>
      </c>
      <c r="B276" t="s">
        <v>814</v>
      </c>
      <c r="C276">
        <v>42</v>
      </c>
      <c r="D276" s="10">
        <v>45884</v>
      </c>
      <c r="E276">
        <v>32</v>
      </c>
      <c r="F276">
        <v>31</v>
      </c>
      <c r="G276">
        <v>15</v>
      </c>
      <c r="H276" t="s">
        <v>57</v>
      </c>
      <c r="I276" s="11">
        <v>45877.30395833333</v>
      </c>
      <c r="J276">
        <v>2</v>
      </c>
      <c r="K276" t="s">
        <v>41</v>
      </c>
      <c r="L276">
        <v>4805</v>
      </c>
    </row>
    <row r="277" spans="1:12">
      <c r="A277">
        <v>1098241</v>
      </c>
      <c r="B277" t="s">
        <v>817</v>
      </c>
      <c r="C277">
        <v>31</v>
      </c>
      <c r="D277" s="10">
        <v>45979</v>
      </c>
      <c r="E277">
        <v>23</v>
      </c>
      <c r="F277">
        <v>9</v>
      </c>
      <c r="G277">
        <v>19</v>
      </c>
      <c r="H277" t="s">
        <v>58</v>
      </c>
      <c r="I277" s="11">
        <v>45878.4365625</v>
      </c>
      <c r="J277">
        <v>4</v>
      </c>
      <c r="K277" t="s">
        <v>41</v>
      </c>
      <c r="L277">
        <v>2616</v>
      </c>
    </row>
    <row r="278" spans="1:12">
      <c r="A278">
        <v>1098271</v>
      </c>
      <c r="B278" t="s">
        <v>820</v>
      </c>
      <c r="C278">
        <v>47</v>
      </c>
      <c r="D278" s="10">
        <v>45906</v>
      </c>
      <c r="E278">
        <v>35</v>
      </c>
      <c r="F278">
        <v>21</v>
      </c>
      <c r="G278">
        <v>28</v>
      </c>
      <c r="H278" t="s">
        <v>57</v>
      </c>
      <c r="I278" s="11">
        <v>45878.55275462963</v>
      </c>
      <c r="J278">
        <v>4</v>
      </c>
      <c r="K278" t="s">
        <v>41</v>
      </c>
      <c r="L278">
        <v>9682</v>
      </c>
    </row>
    <row r="279" spans="1:12">
      <c r="A279">
        <v>1098731</v>
      </c>
      <c r="B279" t="s">
        <v>823</v>
      </c>
      <c r="C279">
        <v>42</v>
      </c>
      <c r="D279" s="10">
        <v>45884</v>
      </c>
      <c r="E279">
        <v>32</v>
      </c>
      <c r="F279">
        <v>31</v>
      </c>
      <c r="G279">
        <v>15</v>
      </c>
      <c r="H279" t="s">
        <v>58</v>
      </c>
      <c r="I279" s="11">
        <v>45880.49900462963</v>
      </c>
      <c r="J279">
        <v>5</v>
      </c>
      <c r="K279" t="s">
        <v>41</v>
      </c>
      <c r="L279">
        <v>5655</v>
      </c>
    </row>
    <row r="280" spans="1:12">
      <c r="A280">
        <v>1098764</v>
      </c>
      <c r="B280" t="s">
        <v>825</v>
      </c>
      <c r="C280">
        <v>31</v>
      </c>
      <c r="D280" s="10">
        <v>45881</v>
      </c>
      <c r="E280">
        <v>23</v>
      </c>
      <c r="F280">
        <v>9</v>
      </c>
      <c r="G280">
        <v>19</v>
      </c>
      <c r="H280" t="s">
        <v>58</v>
      </c>
      <c r="I280" s="11">
        <v>45880.60060185185</v>
      </c>
      <c r="J280">
        <v>4</v>
      </c>
      <c r="K280" t="s">
        <v>41</v>
      </c>
      <c r="L280">
        <v>2616</v>
      </c>
    </row>
    <row r="281" spans="1:12">
      <c r="A281">
        <v>1098923</v>
      </c>
      <c r="B281" t="s">
        <v>827</v>
      </c>
      <c r="C281">
        <v>32</v>
      </c>
      <c r="D281" s="10">
        <v>45887</v>
      </c>
      <c r="E281">
        <v>24</v>
      </c>
      <c r="F281">
        <v>19</v>
      </c>
      <c r="G281">
        <v>9</v>
      </c>
      <c r="H281" t="s">
        <v>57</v>
      </c>
      <c r="I281" s="11">
        <v>45881.35444444444</v>
      </c>
      <c r="J281">
        <v>6</v>
      </c>
      <c r="K281" t="s">
        <v>49</v>
      </c>
      <c r="L281">
        <v>7618</v>
      </c>
    </row>
    <row r="282" spans="1:12">
      <c r="A282">
        <v>1099369</v>
      </c>
      <c r="B282" t="s">
        <v>829</v>
      </c>
      <c r="C282">
        <v>32</v>
      </c>
      <c r="D282" s="10">
        <v>45887</v>
      </c>
      <c r="E282">
        <v>24</v>
      </c>
      <c r="F282">
        <v>19</v>
      </c>
      <c r="G282">
        <v>9</v>
      </c>
      <c r="H282" t="s">
        <v>57</v>
      </c>
      <c r="I282" s="11">
        <v>45883.31483796296</v>
      </c>
      <c r="J282">
        <v>4</v>
      </c>
      <c r="K282" t="s">
        <v>49</v>
      </c>
      <c r="L282">
        <v>5367</v>
      </c>
    </row>
    <row r="283" spans="1:12">
      <c r="A283">
        <v>1099495</v>
      </c>
      <c r="B283" t="s">
        <v>831</v>
      </c>
      <c r="C283">
        <v>45</v>
      </c>
      <c r="D283" s="10">
        <v>45943</v>
      </c>
      <c r="E283">
        <v>33</v>
      </c>
      <c r="F283">
        <v>20</v>
      </c>
      <c r="G283">
        <v>27</v>
      </c>
      <c r="H283" t="s">
        <v>58</v>
      </c>
      <c r="I283" s="11">
        <v>45883.71047453704</v>
      </c>
      <c r="J283">
        <v>4</v>
      </c>
      <c r="K283" t="s">
        <v>37</v>
      </c>
      <c r="L283">
        <v>3800</v>
      </c>
    </row>
    <row r="284" spans="1:12">
      <c r="A284">
        <v>1099930</v>
      </c>
      <c r="B284" t="s">
        <v>834</v>
      </c>
      <c r="C284">
        <v>11</v>
      </c>
      <c r="D284" s="10">
        <v>45898</v>
      </c>
      <c r="E284">
        <v>7</v>
      </c>
      <c r="F284">
        <v>2</v>
      </c>
      <c r="G284">
        <v>17</v>
      </c>
      <c r="H284" t="s">
        <v>58</v>
      </c>
      <c r="I284" s="11">
        <v>45885.5265162037</v>
      </c>
      <c r="J284">
        <v>1</v>
      </c>
      <c r="K284" t="s">
        <v>41</v>
      </c>
      <c r="L284">
        <v>700</v>
      </c>
    </row>
    <row r="285" spans="1:12">
      <c r="A285">
        <v>1101414</v>
      </c>
      <c r="B285" t="s">
        <v>837</v>
      </c>
      <c r="C285">
        <v>12</v>
      </c>
      <c r="D285" s="10">
        <v>45944</v>
      </c>
      <c r="E285">
        <v>8</v>
      </c>
      <c r="F285">
        <v>17</v>
      </c>
      <c r="G285">
        <v>2</v>
      </c>
      <c r="H285" t="s">
        <v>58</v>
      </c>
      <c r="I285" s="11">
        <v>45891.80446759259</v>
      </c>
      <c r="J285">
        <v>4</v>
      </c>
      <c r="K285" t="s">
        <v>41</v>
      </c>
      <c r="L285">
        <v>2520</v>
      </c>
    </row>
    <row r="286" spans="1:12">
      <c r="A286">
        <v>1102132</v>
      </c>
      <c r="B286" t="s">
        <v>840</v>
      </c>
      <c r="C286">
        <v>7</v>
      </c>
      <c r="D286" s="10">
        <v>45908</v>
      </c>
      <c r="E286">
        <v>3</v>
      </c>
      <c r="F286">
        <v>1</v>
      </c>
      <c r="G286">
        <v>32</v>
      </c>
      <c r="H286" t="s">
        <v>56</v>
      </c>
      <c r="I286" s="11">
        <v>45894.58128472222</v>
      </c>
      <c r="J286">
        <v>1</v>
      </c>
      <c r="K286" t="s">
        <v>41</v>
      </c>
      <c r="L286">
        <v>5052</v>
      </c>
    </row>
    <row r="287" spans="1:12">
      <c r="A287">
        <v>1102138</v>
      </c>
      <c r="B287" t="s">
        <v>843</v>
      </c>
      <c r="C287">
        <v>25</v>
      </c>
      <c r="D287" s="10">
        <v>45922</v>
      </c>
      <c r="E287">
        <v>19</v>
      </c>
      <c r="F287">
        <v>7</v>
      </c>
      <c r="G287">
        <v>12</v>
      </c>
      <c r="H287" t="s">
        <v>57</v>
      </c>
      <c r="I287" s="11">
        <v>45894.60542824074</v>
      </c>
      <c r="J287">
        <v>1</v>
      </c>
      <c r="K287" t="s">
        <v>41</v>
      </c>
      <c r="L287">
        <v>2307</v>
      </c>
    </row>
    <row r="288" spans="1:12">
      <c r="A288">
        <v>1102621</v>
      </c>
      <c r="B288" t="s">
        <v>846</v>
      </c>
      <c r="C288">
        <v>42</v>
      </c>
      <c r="D288" s="10">
        <v>45947</v>
      </c>
      <c r="E288">
        <v>32</v>
      </c>
      <c r="F288">
        <v>31</v>
      </c>
      <c r="G288">
        <v>15</v>
      </c>
      <c r="H288" t="s">
        <v>57</v>
      </c>
      <c r="I288" s="11">
        <v>45896.36380787037</v>
      </c>
      <c r="J288">
        <v>1</v>
      </c>
      <c r="K288" t="s">
        <v>41</v>
      </c>
      <c r="L288">
        <v>1802</v>
      </c>
    </row>
    <row r="289" spans="1:12">
      <c r="A289">
        <v>1103424</v>
      </c>
      <c r="B289" t="s">
        <v>850</v>
      </c>
      <c r="C289">
        <v>36</v>
      </c>
      <c r="D289" s="10">
        <v>45918</v>
      </c>
      <c r="E289">
        <v>26</v>
      </c>
      <c r="F289">
        <v>18</v>
      </c>
      <c r="G289">
        <v>11</v>
      </c>
      <c r="H289" t="s">
        <v>57</v>
      </c>
      <c r="I289" s="11">
        <v>45899.26637731482</v>
      </c>
      <c r="J289">
        <v>1</v>
      </c>
      <c r="K289" t="s">
        <v>41</v>
      </c>
      <c r="L289">
        <v>2784</v>
      </c>
    </row>
    <row r="290" spans="1:12">
      <c r="A290">
        <v>1103717</v>
      </c>
      <c r="B290" t="s">
        <v>853</v>
      </c>
      <c r="C290">
        <v>42</v>
      </c>
      <c r="D290" s="10">
        <v>45910</v>
      </c>
      <c r="E290">
        <v>32</v>
      </c>
      <c r="F290">
        <v>31</v>
      </c>
      <c r="G290">
        <v>15</v>
      </c>
      <c r="H290" t="s">
        <v>57</v>
      </c>
      <c r="I290" s="11">
        <v>45900.39694444444</v>
      </c>
      <c r="J290">
        <v>3</v>
      </c>
      <c r="K290" t="s">
        <v>41</v>
      </c>
      <c r="L290">
        <v>9009</v>
      </c>
    </row>
    <row r="291" spans="1:12">
      <c r="A291">
        <v>1103873</v>
      </c>
      <c r="B291" t="s">
        <v>858</v>
      </c>
      <c r="C291">
        <v>1</v>
      </c>
      <c r="D291" s="10">
        <v>45960</v>
      </c>
      <c r="E291">
        <v>1</v>
      </c>
      <c r="F291">
        <v>1</v>
      </c>
      <c r="G291">
        <v>26</v>
      </c>
      <c r="H291" t="s">
        <v>57</v>
      </c>
      <c r="I291" s="11">
        <v>45900.89993055556</v>
      </c>
      <c r="J291">
        <v>1</v>
      </c>
      <c r="K291" t="s">
        <v>41</v>
      </c>
      <c r="L291">
        <v>4406</v>
      </c>
    </row>
    <row r="292" spans="1:12">
      <c r="A292">
        <v>1103951</v>
      </c>
      <c r="B292" t="s">
        <v>860</v>
      </c>
      <c r="C292">
        <v>33</v>
      </c>
      <c r="D292" s="10">
        <v>45947</v>
      </c>
      <c r="E292">
        <v>25</v>
      </c>
      <c r="F292">
        <v>11</v>
      </c>
      <c r="G292">
        <v>18</v>
      </c>
      <c r="H292" t="s">
        <v>58</v>
      </c>
      <c r="I292" s="11">
        <v>45901.39922453704</v>
      </c>
      <c r="J292">
        <v>1</v>
      </c>
      <c r="K292" t="s">
        <v>41</v>
      </c>
      <c r="L292">
        <v>629</v>
      </c>
    </row>
    <row r="293" spans="1:12">
      <c r="A293">
        <v>1104709</v>
      </c>
      <c r="B293" t="s">
        <v>862</v>
      </c>
      <c r="C293">
        <v>44</v>
      </c>
      <c r="D293" s="10">
        <v>45908</v>
      </c>
      <c r="E293">
        <v>34</v>
      </c>
      <c r="F293">
        <v>27</v>
      </c>
      <c r="G293">
        <v>20</v>
      </c>
      <c r="H293" t="s">
        <v>60</v>
      </c>
      <c r="I293" s="11">
        <v>45904.31003472222</v>
      </c>
      <c r="J293">
        <v>2</v>
      </c>
      <c r="K293" t="s">
        <v>41</v>
      </c>
      <c r="L293">
        <v>1506</v>
      </c>
    </row>
    <row r="294" spans="1:12">
      <c r="A294">
        <v>1104744</v>
      </c>
      <c r="B294" t="s">
        <v>864</v>
      </c>
      <c r="C294">
        <v>40</v>
      </c>
      <c r="D294" s="10">
        <v>45928</v>
      </c>
      <c r="E294">
        <v>30</v>
      </c>
      <c r="F294">
        <v>22</v>
      </c>
      <c r="G294">
        <v>14</v>
      </c>
      <c r="H294" t="s">
        <v>57</v>
      </c>
      <c r="I294" s="11">
        <v>45904.40001157407</v>
      </c>
      <c r="J294">
        <v>2</v>
      </c>
      <c r="K294" t="s">
        <v>41</v>
      </c>
      <c r="L294">
        <v>5772</v>
      </c>
    </row>
    <row r="295" spans="1:12">
      <c r="A295">
        <v>1105012</v>
      </c>
      <c r="B295" t="s">
        <v>867</v>
      </c>
      <c r="C295">
        <v>30</v>
      </c>
      <c r="D295" s="10">
        <v>45917</v>
      </c>
      <c r="E295">
        <v>24</v>
      </c>
      <c r="F295">
        <v>19</v>
      </c>
      <c r="G295">
        <v>9</v>
      </c>
      <c r="H295" t="s">
        <v>58</v>
      </c>
      <c r="I295" s="11">
        <v>45905.35693287037</v>
      </c>
      <c r="J295">
        <v>3</v>
      </c>
      <c r="K295" t="s">
        <v>49</v>
      </c>
      <c r="L295">
        <v>1962</v>
      </c>
    </row>
    <row r="296" spans="1:12">
      <c r="A296">
        <v>1105429</v>
      </c>
      <c r="B296" t="s">
        <v>870</v>
      </c>
      <c r="C296">
        <v>10</v>
      </c>
      <c r="D296" s="10">
        <v>45909</v>
      </c>
      <c r="E296">
        <v>6</v>
      </c>
      <c r="F296">
        <v>15</v>
      </c>
      <c r="G296">
        <v>2</v>
      </c>
      <c r="H296" t="s">
        <v>59</v>
      </c>
      <c r="I296" s="11">
        <v>45906.7241087963</v>
      </c>
      <c r="J296">
        <v>1</v>
      </c>
      <c r="K296" t="s">
        <v>41</v>
      </c>
      <c r="L296">
        <v>833</v>
      </c>
    </row>
    <row r="297" spans="1:12">
      <c r="A297">
        <v>1105849</v>
      </c>
      <c r="B297" t="s">
        <v>875</v>
      </c>
      <c r="C297">
        <v>19</v>
      </c>
      <c r="D297" s="10">
        <v>45918</v>
      </c>
      <c r="E297">
        <v>13</v>
      </c>
      <c r="F297">
        <v>5</v>
      </c>
      <c r="G297">
        <v>16</v>
      </c>
      <c r="H297" t="s">
        <v>60</v>
      </c>
      <c r="I297" s="11">
        <v>45908.1057175926</v>
      </c>
      <c r="J297">
        <v>1</v>
      </c>
      <c r="K297" t="s">
        <v>41</v>
      </c>
      <c r="L297">
        <v>668</v>
      </c>
    </row>
    <row r="298" spans="1:12">
      <c r="A298">
        <v>1106173</v>
      </c>
      <c r="B298" t="s">
        <v>878</v>
      </c>
      <c r="C298">
        <v>15</v>
      </c>
      <c r="D298" s="10">
        <v>45915</v>
      </c>
      <c r="E298">
        <v>9</v>
      </c>
      <c r="F298">
        <v>3</v>
      </c>
      <c r="G298">
        <v>9</v>
      </c>
      <c r="H298" t="s">
        <v>58</v>
      </c>
      <c r="I298" s="11">
        <v>45909.37184027778</v>
      </c>
      <c r="J298">
        <v>1</v>
      </c>
      <c r="K298" t="s">
        <v>49</v>
      </c>
      <c r="L298">
        <v>549</v>
      </c>
    </row>
    <row r="299" spans="1:12">
      <c r="A299">
        <v>1106210</v>
      </c>
      <c r="B299" t="s">
        <v>880</v>
      </c>
      <c r="C299">
        <v>36</v>
      </c>
      <c r="D299" s="10">
        <v>45918</v>
      </c>
      <c r="E299">
        <v>26</v>
      </c>
      <c r="F299">
        <v>18</v>
      </c>
      <c r="G299">
        <v>11</v>
      </c>
      <c r="H299" t="s">
        <v>60</v>
      </c>
      <c r="I299" s="11">
        <v>45909.44606481482</v>
      </c>
      <c r="J299">
        <v>2</v>
      </c>
      <c r="K299" t="s">
        <v>41</v>
      </c>
      <c r="L299">
        <v>1744</v>
      </c>
    </row>
    <row r="300" spans="1:12">
      <c r="A300">
        <v>1106387</v>
      </c>
      <c r="B300" t="s">
        <v>882</v>
      </c>
      <c r="C300">
        <v>33</v>
      </c>
      <c r="D300" s="10">
        <v>45947</v>
      </c>
      <c r="E300">
        <v>25</v>
      </c>
      <c r="F300">
        <v>11</v>
      </c>
      <c r="G300">
        <v>18</v>
      </c>
      <c r="H300" t="s">
        <v>60</v>
      </c>
      <c r="I300" s="11">
        <v>45909.90747685185</v>
      </c>
      <c r="J300">
        <v>1</v>
      </c>
      <c r="K300" t="s">
        <v>37</v>
      </c>
      <c r="L300">
        <v>872</v>
      </c>
    </row>
    <row r="301" spans="1:12">
      <c r="A301">
        <v>1106962</v>
      </c>
      <c r="B301" t="s">
        <v>886</v>
      </c>
      <c r="C301">
        <v>33</v>
      </c>
      <c r="D301" s="10">
        <v>45947</v>
      </c>
      <c r="E301">
        <v>25</v>
      </c>
      <c r="F301">
        <v>11</v>
      </c>
      <c r="G301">
        <v>18</v>
      </c>
      <c r="H301" t="s">
        <v>57</v>
      </c>
      <c r="I301" s="11">
        <v>45912.38607638889</v>
      </c>
      <c r="J301">
        <v>4</v>
      </c>
      <c r="K301" t="s">
        <v>45</v>
      </c>
      <c r="L301">
        <v>8630</v>
      </c>
    </row>
    <row r="302" spans="1:12">
      <c r="A302">
        <v>1107133</v>
      </c>
      <c r="B302" t="s">
        <v>888</v>
      </c>
      <c r="C302">
        <v>35</v>
      </c>
      <c r="D302" s="10">
        <v>46020</v>
      </c>
      <c r="E302">
        <v>25</v>
      </c>
      <c r="F302">
        <v>11</v>
      </c>
      <c r="G302">
        <v>18</v>
      </c>
      <c r="H302" t="s">
        <v>60</v>
      </c>
      <c r="I302" s="11">
        <v>45912.79677083333</v>
      </c>
      <c r="J302">
        <v>1</v>
      </c>
      <c r="K302" t="s">
        <v>37</v>
      </c>
      <c r="L302">
        <v>872</v>
      </c>
    </row>
    <row r="303" spans="1:12">
      <c r="A303">
        <v>1107501</v>
      </c>
      <c r="B303" t="s">
        <v>891</v>
      </c>
      <c r="C303">
        <v>32</v>
      </c>
      <c r="D303" s="10">
        <v>45922</v>
      </c>
      <c r="E303">
        <v>24</v>
      </c>
      <c r="F303">
        <v>19</v>
      </c>
      <c r="G303">
        <v>9</v>
      </c>
      <c r="H303" t="s">
        <v>57</v>
      </c>
      <c r="I303" s="11">
        <v>45914.34195601852</v>
      </c>
      <c r="J303">
        <v>2</v>
      </c>
      <c r="K303" t="s">
        <v>41</v>
      </c>
      <c r="L303">
        <v>2770</v>
      </c>
    </row>
    <row r="304" spans="1:12">
      <c r="A304">
        <v>1107838</v>
      </c>
      <c r="B304" t="s">
        <v>893</v>
      </c>
      <c r="C304">
        <v>43</v>
      </c>
      <c r="D304" s="10">
        <v>45945</v>
      </c>
      <c r="E304">
        <v>33</v>
      </c>
      <c r="F304">
        <v>20</v>
      </c>
      <c r="G304">
        <v>27</v>
      </c>
      <c r="H304" t="s">
        <v>60</v>
      </c>
      <c r="I304" s="11">
        <v>45915.5121412037</v>
      </c>
      <c r="J304">
        <v>6</v>
      </c>
      <c r="K304" t="s">
        <v>41</v>
      </c>
      <c r="L304">
        <v>4518</v>
      </c>
    </row>
    <row r="305" spans="1:12">
      <c r="A305">
        <v>1108253</v>
      </c>
      <c r="B305" t="s">
        <v>896</v>
      </c>
      <c r="C305">
        <v>51</v>
      </c>
      <c r="D305" s="10">
        <v>45964</v>
      </c>
      <c r="E305">
        <v>39</v>
      </c>
      <c r="F305">
        <v>25</v>
      </c>
      <c r="G305">
        <v>29</v>
      </c>
      <c r="H305" t="s">
        <v>58</v>
      </c>
      <c r="I305" s="11">
        <v>45916.84530092592</v>
      </c>
      <c r="J305">
        <v>2</v>
      </c>
      <c r="K305" t="s">
        <v>41</v>
      </c>
      <c r="L305">
        <v>1708</v>
      </c>
    </row>
    <row r="306" spans="1:12">
      <c r="A306">
        <v>1108410</v>
      </c>
      <c r="B306" t="s">
        <v>899</v>
      </c>
      <c r="C306">
        <v>27</v>
      </c>
      <c r="D306" s="10">
        <v>45954</v>
      </c>
      <c r="E306">
        <v>21</v>
      </c>
      <c r="F306">
        <v>8</v>
      </c>
      <c r="G306">
        <v>19</v>
      </c>
      <c r="H306" t="s">
        <v>56</v>
      </c>
      <c r="I306" s="11">
        <v>45917.44310185185</v>
      </c>
      <c r="J306">
        <v>2</v>
      </c>
      <c r="K306" t="s">
        <v>41</v>
      </c>
      <c r="L306">
        <v>9020</v>
      </c>
    </row>
    <row r="307" spans="1:12">
      <c r="A307">
        <v>1108576</v>
      </c>
      <c r="B307" t="s">
        <v>902</v>
      </c>
      <c r="C307">
        <v>8</v>
      </c>
      <c r="D307" s="10">
        <v>45971</v>
      </c>
      <c r="E307">
        <v>4</v>
      </c>
      <c r="F307">
        <v>32</v>
      </c>
      <c r="G307">
        <v>1</v>
      </c>
      <c r="H307" t="s">
        <v>58</v>
      </c>
      <c r="I307" s="11">
        <v>45917.9337037037</v>
      </c>
      <c r="J307">
        <v>3</v>
      </c>
      <c r="K307" t="s">
        <v>41</v>
      </c>
      <c r="L307">
        <v>3975</v>
      </c>
    </row>
    <row r="308" spans="1:12">
      <c r="A308">
        <v>1108951</v>
      </c>
      <c r="B308" t="s">
        <v>904</v>
      </c>
      <c r="C308">
        <v>14</v>
      </c>
      <c r="D308" s="10">
        <v>45963</v>
      </c>
      <c r="E308">
        <v>10</v>
      </c>
      <c r="F308">
        <v>9</v>
      </c>
      <c r="G308">
        <v>3</v>
      </c>
      <c r="H308" t="s">
        <v>56</v>
      </c>
      <c r="I308" s="11">
        <v>45919.6286574074</v>
      </c>
      <c r="J308">
        <v>4</v>
      </c>
      <c r="K308" t="s">
        <v>41</v>
      </c>
      <c r="L308">
        <v>13460</v>
      </c>
    </row>
    <row r="309" spans="1:12">
      <c r="A309">
        <v>1109362</v>
      </c>
      <c r="B309" t="s">
        <v>907</v>
      </c>
      <c r="C309">
        <v>22</v>
      </c>
      <c r="D309" s="10">
        <v>45922</v>
      </c>
      <c r="E309">
        <v>16</v>
      </c>
      <c r="F309">
        <v>10</v>
      </c>
      <c r="G309">
        <v>6</v>
      </c>
      <c r="H309" t="s">
        <v>58</v>
      </c>
      <c r="I309" s="11">
        <v>45921.25584490741</v>
      </c>
      <c r="J309">
        <v>1</v>
      </c>
      <c r="K309" t="s">
        <v>41</v>
      </c>
      <c r="L309">
        <v>1053</v>
      </c>
    </row>
    <row r="310" spans="1:12">
      <c r="A310">
        <v>1109655</v>
      </c>
      <c r="B310" t="s">
        <v>909</v>
      </c>
      <c r="C310">
        <v>32</v>
      </c>
      <c r="D310" s="10">
        <v>45922</v>
      </c>
      <c r="E310">
        <v>24</v>
      </c>
      <c r="F310">
        <v>19</v>
      </c>
      <c r="G310">
        <v>9</v>
      </c>
      <c r="H310" t="s">
        <v>60</v>
      </c>
      <c r="I310" s="11">
        <v>45921.92715277777</v>
      </c>
      <c r="J310">
        <v>1</v>
      </c>
      <c r="K310" t="s">
        <v>37</v>
      </c>
      <c r="L310">
        <v>326</v>
      </c>
    </row>
    <row r="311" spans="1:12">
      <c r="A311">
        <v>1109693</v>
      </c>
      <c r="B311" t="s">
        <v>911</v>
      </c>
      <c r="C311">
        <v>12</v>
      </c>
      <c r="D311" s="10">
        <v>45944</v>
      </c>
      <c r="E311">
        <v>8</v>
      </c>
      <c r="F311">
        <v>17</v>
      </c>
      <c r="G311">
        <v>2</v>
      </c>
      <c r="H311" t="s">
        <v>60</v>
      </c>
      <c r="I311" s="11">
        <v>45922.27255787037</v>
      </c>
      <c r="J311">
        <v>1</v>
      </c>
      <c r="K311" t="s">
        <v>41</v>
      </c>
      <c r="L311">
        <v>582</v>
      </c>
    </row>
    <row r="312" spans="1:12">
      <c r="A312">
        <v>1109783</v>
      </c>
      <c r="B312" t="s">
        <v>914</v>
      </c>
      <c r="C312">
        <v>29</v>
      </c>
      <c r="D312" s="10">
        <v>45928</v>
      </c>
      <c r="E312">
        <v>23</v>
      </c>
      <c r="F312">
        <v>9</v>
      </c>
      <c r="G312">
        <v>19</v>
      </c>
      <c r="H312" t="s">
        <v>60</v>
      </c>
      <c r="I312" s="11">
        <v>45922.54753472222</v>
      </c>
      <c r="J312">
        <v>1</v>
      </c>
      <c r="K312" t="s">
        <v>41</v>
      </c>
      <c r="L312">
        <v>544</v>
      </c>
    </row>
    <row r="313" spans="1:12">
      <c r="A313">
        <v>1109812</v>
      </c>
      <c r="B313" t="s">
        <v>916</v>
      </c>
      <c r="C313">
        <v>51</v>
      </c>
      <c r="D313" s="10">
        <v>45964</v>
      </c>
      <c r="E313">
        <v>39</v>
      </c>
      <c r="F313">
        <v>25</v>
      </c>
      <c r="G313">
        <v>29</v>
      </c>
      <c r="H313" t="s">
        <v>58</v>
      </c>
      <c r="I313" s="11">
        <v>45922.65881944444</v>
      </c>
      <c r="J313">
        <v>4</v>
      </c>
      <c r="K313" t="s">
        <v>41</v>
      </c>
      <c r="L313">
        <v>3416</v>
      </c>
    </row>
    <row r="314" spans="1:12">
      <c r="A314">
        <v>1109946</v>
      </c>
      <c r="B314" t="s">
        <v>918</v>
      </c>
      <c r="C314">
        <v>42</v>
      </c>
      <c r="D314" s="10">
        <v>45947</v>
      </c>
      <c r="E314">
        <v>32</v>
      </c>
      <c r="F314">
        <v>31</v>
      </c>
      <c r="G314">
        <v>15</v>
      </c>
      <c r="H314" t="s">
        <v>58</v>
      </c>
      <c r="I314" s="11">
        <v>45923.19701388889</v>
      </c>
      <c r="J314">
        <v>3</v>
      </c>
      <c r="K314" t="s">
        <v>41</v>
      </c>
      <c r="L314">
        <v>3393</v>
      </c>
    </row>
    <row r="315" spans="1:12">
      <c r="A315">
        <v>1109994</v>
      </c>
      <c r="B315" t="s">
        <v>920</v>
      </c>
      <c r="C315">
        <v>35</v>
      </c>
      <c r="D315" s="10">
        <v>45929</v>
      </c>
      <c r="E315">
        <v>25</v>
      </c>
      <c r="F315">
        <v>11</v>
      </c>
      <c r="G315">
        <v>18</v>
      </c>
      <c r="H315" t="s">
        <v>60</v>
      </c>
      <c r="I315" s="11">
        <v>45923.38245370371</v>
      </c>
      <c r="J315">
        <v>1</v>
      </c>
      <c r="K315" t="s">
        <v>41</v>
      </c>
      <c r="L315">
        <v>524</v>
      </c>
    </row>
    <row r="316" spans="1:12">
      <c r="A316">
        <v>1110648</v>
      </c>
      <c r="B316" t="s">
        <v>926</v>
      </c>
      <c r="C316">
        <v>12</v>
      </c>
      <c r="D316" s="10">
        <v>45963</v>
      </c>
      <c r="E316">
        <v>8</v>
      </c>
      <c r="F316">
        <v>17</v>
      </c>
      <c r="G316">
        <v>2</v>
      </c>
      <c r="H316" t="s">
        <v>60</v>
      </c>
      <c r="I316" s="11">
        <v>45925.7578587963</v>
      </c>
      <c r="J316">
        <v>1</v>
      </c>
      <c r="K316" t="s">
        <v>41</v>
      </c>
      <c r="L316">
        <v>582</v>
      </c>
    </row>
    <row r="317" spans="1:12">
      <c r="A317">
        <v>1110928</v>
      </c>
      <c r="B317" t="s">
        <v>928</v>
      </c>
      <c r="C317">
        <v>6</v>
      </c>
      <c r="D317" s="10">
        <v>45962</v>
      </c>
      <c r="E317">
        <v>4</v>
      </c>
      <c r="F317">
        <v>32</v>
      </c>
      <c r="G317">
        <v>1</v>
      </c>
      <c r="H317" t="s">
        <v>57</v>
      </c>
      <c r="I317" s="11">
        <v>45926.81530092593</v>
      </c>
      <c r="J317">
        <v>1</v>
      </c>
      <c r="K317" t="s">
        <v>37</v>
      </c>
      <c r="L317">
        <v>2216</v>
      </c>
    </row>
    <row r="318" spans="1:12">
      <c r="A318">
        <v>1111157</v>
      </c>
      <c r="B318" t="s">
        <v>931</v>
      </c>
      <c r="C318">
        <v>43</v>
      </c>
      <c r="D318" s="10">
        <v>45945</v>
      </c>
      <c r="E318">
        <v>33</v>
      </c>
      <c r="F318">
        <v>20</v>
      </c>
      <c r="G318">
        <v>27</v>
      </c>
      <c r="H318" t="s">
        <v>60</v>
      </c>
      <c r="I318" s="11">
        <v>45927.73581018519</v>
      </c>
      <c r="J318">
        <v>6</v>
      </c>
      <c r="K318" t="s">
        <v>41</v>
      </c>
      <c r="L318">
        <v>4217</v>
      </c>
    </row>
    <row r="319" spans="1:12">
      <c r="A319">
        <v>1111915</v>
      </c>
      <c r="B319" t="s">
        <v>933</v>
      </c>
      <c r="C319">
        <v>33</v>
      </c>
      <c r="D319" s="10">
        <v>45947</v>
      </c>
      <c r="E319">
        <v>25</v>
      </c>
      <c r="F319">
        <v>11</v>
      </c>
      <c r="G319">
        <v>18</v>
      </c>
      <c r="H319" t="s">
        <v>58</v>
      </c>
      <c r="I319" s="11">
        <v>45930.69650462963</v>
      </c>
      <c r="J319">
        <v>1</v>
      </c>
      <c r="K319" t="s">
        <v>41</v>
      </c>
      <c r="L319">
        <v>1049</v>
      </c>
    </row>
    <row r="320" spans="1:12">
      <c r="A320">
        <v>1112281</v>
      </c>
      <c r="B320" t="s">
        <v>935</v>
      </c>
      <c r="C320">
        <v>12</v>
      </c>
      <c r="D320" s="10">
        <v>45944</v>
      </c>
      <c r="E320">
        <v>8</v>
      </c>
      <c r="F320">
        <v>17</v>
      </c>
      <c r="G320">
        <v>2</v>
      </c>
      <c r="H320" t="s">
        <v>57</v>
      </c>
      <c r="I320" s="11">
        <v>45931.93689814815</v>
      </c>
      <c r="J320">
        <v>3</v>
      </c>
      <c r="K320" t="s">
        <v>41</v>
      </c>
      <c r="L320">
        <v>4080</v>
      </c>
    </row>
    <row r="321" spans="1:12">
      <c r="A321">
        <v>1112382</v>
      </c>
      <c r="B321" t="s">
        <v>937</v>
      </c>
      <c r="C321">
        <v>1</v>
      </c>
      <c r="D321" s="10">
        <v>46051</v>
      </c>
      <c r="E321">
        <v>1</v>
      </c>
      <c r="F321">
        <v>1</v>
      </c>
      <c r="G321">
        <v>26</v>
      </c>
      <c r="H321" t="s">
        <v>60</v>
      </c>
      <c r="I321" s="11">
        <v>45932.45005787037</v>
      </c>
      <c r="J321">
        <v>1</v>
      </c>
      <c r="K321" t="s">
        <v>41</v>
      </c>
      <c r="L321">
        <v>1379</v>
      </c>
    </row>
    <row r="322" spans="1:12">
      <c r="A322">
        <v>1112583</v>
      </c>
      <c r="B322" t="s">
        <v>940</v>
      </c>
      <c r="C322">
        <v>15</v>
      </c>
      <c r="D322" s="10">
        <v>45961</v>
      </c>
      <c r="E322">
        <v>9</v>
      </c>
      <c r="F322">
        <v>3</v>
      </c>
      <c r="G322">
        <v>9</v>
      </c>
      <c r="H322" t="s">
        <v>60</v>
      </c>
      <c r="I322" s="11">
        <v>45933.25542824074</v>
      </c>
      <c r="J322">
        <v>2</v>
      </c>
      <c r="K322" t="s">
        <v>37</v>
      </c>
      <c r="L322">
        <v>1524</v>
      </c>
    </row>
    <row r="323" spans="1:12">
      <c r="A323">
        <v>1112827</v>
      </c>
      <c r="B323" t="s">
        <v>943</v>
      </c>
      <c r="C323">
        <v>3</v>
      </c>
      <c r="D323" s="10">
        <v>45967</v>
      </c>
      <c r="E323">
        <v>1</v>
      </c>
      <c r="F323">
        <v>1</v>
      </c>
      <c r="G323">
        <v>26</v>
      </c>
      <c r="H323" t="s">
        <v>57</v>
      </c>
      <c r="I323" s="11">
        <v>45933.90384259259</v>
      </c>
      <c r="J323">
        <v>3</v>
      </c>
      <c r="K323" t="s">
        <v>37</v>
      </c>
      <c r="L323">
        <v>12594</v>
      </c>
    </row>
    <row r="324" spans="1:12">
      <c r="A324">
        <v>1113227</v>
      </c>
      <c r="B324" t="s">
        <v>946</v>
      </c>
      <c r="C324">
        <v>24</v>
      </c>
      <c r="D324" s="10">
        <v>46006</v>
      </c>
      <c r="E324">
        <v>18</v>
      </c>
      <c r="F324">
        <v>11</v>
      </c>
      <c r="G324">
        <v>7</v>
      </c>
      <c r="H324" t="s">
        <v>58</v>
      </c>
      <c r="I324" s="11">
        <v>45935.43277777778</v>
      </c>
      <c r="J324">
        <v>3</v>
      </c>
      <c r="K324" t="s">
        <v>41</v>
      </c>
      <c r="L324">
        <v>2169</v>
      </c>
    </row>
    <row r="325" spans="1:12">
      <c r="A325">
        <v>1113807</v>
      </c>
      <c r="B325" t="s">
        <v>949</v>
      </c>
      <c r="C325">
        <v>45</v>
      </c>
      <c r="D325" s="10">
        <v>45943</v>
      </c>
      <c r="E325">
        <v>33</v>
      </c>
      <c r="F325">
        <v>20</v>
      </c>
      <c r="G325">
        <v>27</v>
      </c>
      <c r="H325" t="s">
        <v>60</v>
      </c>
      <c r="I325" s="11">
        <v>45937.52721064815</v>
      </c>
      <c r="J325">
        <v>1</v>
      </c>
      <c r="K325" t="s">
        <v>41</v>
      </c>
      <c r="L325">
        <v>790</v>
      </c>
    </row>
    <row r="326" spans="1:12">
      <c r="A326">
        <v>1114094</v>
      </c>
      <c r="B326" t="s">
        <v>951</v>
      </c>
      <c r="C326">
        <v>23</v>
      </c>
      <c r="D326" s="10">
        <v>45965</v>
      </c>
      <c r="E326">
        <v>17</v>
      </c>
      <c r="F326">
        <v>7</v>
      </c>
      <c r="G326">
        <v>11</v>
      </c>
      <c r="H326" t="s">
        <v>58</v>
      </c>
      <c r="I326" s="11">
        <v>45938.57329861111</v>
      </c>
      <c r="J326">
        <v>1</v>
      </c>
      <c r="K326" t="s">
        <v>41</v>
      </c>
      <c r="L326">
        <v>834</v>
      </c>
    </row>
    <row r="327" spans="1:12">
      <c r="A327">
        <v>1114178</v>
      </c>
      <c r="B327" t="s">
        <v>954</v>
      </c>
      <c r="C327">
        <v>43</v>
      </c>
      <c r="D327" s="10">
        <v>45945</v>
      </c>
      <c r="E327">
        <v>33</v>
      </c>
      <c r="F327">
        <v>20</v>
      </c>
      <c r="G327">
        <v>27</v>
      </c>
      <c r="H327" t="s">
        <v>58</v>
      </c>
      <c r="I327" s="11">
        <v>45938.76938657407</v>
      </c>
      <c r="J327">
        <v>1</v>
      </c>
      <c r="K327" t="s">
        <v>41</v>
      </c>
      <c r="L327">
        <v>543</v>
      </c>
    </row>
    <row r="328" spans="1:12">
      <c r="A328">
        <v>1114288</v>
      </c>
      <c r="B328" t="s">
        <v>956</v>
      </c>
      <c r="C328">
        <v>36</v>
      </c>
      <c r="D328" s="10">
        <v>45996</v>
      </c>
      <c r="E328">
        <v>26</v>
      </c>
      <c r="F328">
        <v>18</v>
      </c>
      <c r="G328">
        <v>11</v>
      </c>
      <c r="H328" t="s">
        <v>57</v>
      </c>
      <c r="I328" s="11">
        <v>45939.31152777778</v>
      </c>
      <c r="J328">
        <v>1</v>
      </c>
      <c r="K328" t="s">
        <v>41</v>
      </c>
      <c r="L328">
        <v>2784</v>
      </c>
    </row>
    <row r="329" spans="1:12">
      <c r="A329">
        <v>1114785</v>
      </c>
      <c r="B329" t="s">
        <v>959</v>
      </c>
      <c r="C329">
        <v>3</v>
      </c>
      <c r="D329" s="10">
        <v>45967</v>
      </c>
      <c r="E329">
        <v>1</v>
      </c>
      <c r="F329">
        <v>1</v>
      </c>
      <c r="G329">
        <v>26</v>
      </c>
      <c r="H329" t="s">
        <v>58</v>
      </c>
      <c r="I329" s="11">
        <v>45940.83722222222</v>
      </c>
      <c r="J329">
        <v>1</v>
      </c>
      <c r="K329" t="s">
        <v>41</v>
      </c>
      <c r="L329">
        <v>1579</v>
      </c>
    </row>
    <row r="330" spans="1:12">
      <c r="A330">
        <v>1115198</v>
      </c>
      <c r="B330" t="s">
        <v>961</v>
      </c>
      <c r="C330">
        <v>51</v>
      </c>
      <c r="D330" s="10">
        <v>45964</v>
      </c>
      <c r="E330">
        <v>39</v>
      </c>
      <c r="F330">
        <v>25</v>
      </c>
      <c r="G330">
        <v>29</v>
      </c>
      <c r="H330" t="s">
        <v>58</v>
      </c>
      <c r="I330" s="11">
        <v>45942.44475694445</v>
      </c>
      <c r="J330">
        <v>2</v>
      </c>
      <c r="K330" t="s">
        <v>37</v>
      </c>
      <c r="L330">
        <v>1708</v>
      </c>
    </row>
    <row r="331" spans="1:12">
      <c r="A331">
        <v>1115367</v>
      </c>
      <c r="B331" t="s">
        <v>963</v>
      </c>
      <c r="C331">
        <v>33</v>
      </c>
      <c r="D331" s="10">
        <v>46054</v>
      </c>
      <c r="E331">
        <v>25</v>
      </c>
      <c r="F331">
        <v>11</v>
      </c>
      <c r="G331">
        <v>18</v>
      </c>
      <c r="H331" t="s">
        <v>58</v>
      </c>
      <c r="I331" s="11">
        <v>45942.84675925926</v>
      </c>
      <c r="J331">
        <v>1</v>
      </c>
      <c r="K331" t="s">
        <v>37</v>
      </c>
      <c r="L331">
        <v>629</v>
      </c>
    </row>
    <row r="332" spans="1:12">
      <c r="A332">
        <v>1116396</v>
      </c>
      <c r="B332" t="s">
        <v>966</v>
      </c>
      <c r="C332">
        <v>1</v>
      </c>
      <c r="D332" s="10">
        <v>45960</v>
      </c>
      <c r="E332">
        <v>1</v>
      </c>
      <c r="F332">
        <v>1</v>
      </c>
      <c r="G332">
        <v>26</v>
      </c>
      <c r="H332" t="s">
        <v>60</v>
      </c>
      <c r="I332" s="11">
        <v>45946.60251157408</v>
      </c>
      <c r="J332">
        <v>1</v>
      </c>
      <c r="K332" t="s">
        <v>41</v>
      </c>
      <c r="L332">
        <v>1379</v>
      </c>
    </row>
    <row r="333" spans="1:12">
      <c r="A333">
        <v>1116489</v>
      </c>
      <c r="B333" t="s">
        <v>968</v>
      </c>
      <c r="C333">
        <v>33</v>
      </c>
      <c r="D333" s="10">
        <v>45947</v>
      </c>
      <c r="E333">
        <v>25</v>
      </c>
      <c r="F333">
        <v>11</v>
      </c>
      <c r="G333">
        <v>18</v>
      </c>
      <c r="H333" t="s">
        <v>60</v>
      </c>
      <c r="I333" s="11">
        <v>45946.85168981482</v>
      </c>
      <c r="J333">
        <v>1</v>
      </c>
      <c r="K333" t="s">
        <v>41</v>
      </c>
      <c r="L333">
        <v>872</v>
      </c>
    </row>
    <row r="334" spans="1:12">
      <c r="A334">
        <v>1117321</v>
      </c>
      <c r="B334" t="s">
        <v>972</v>
      </c>
      <c r="C334">
        <v>3</v>
      </c>
      <c r="D334" s="10">
        <v>45967</v>
      </c>
      <c r="E334">
        <v>1</v>
      </c>
      <c r="F334">
        <v>1</v>
      </c>
      <c r="G334">
        <v>26</v>
      </c>
      <c r="H334" t="s">
        <v>57</v>
      </c>
      <c r="I334" s="11">
        <v>45949.73751157407</v>
      </c>
      <c r="J334">
        <v>3</v>
      </c>
      <c r="K334" t="s">
        <v>41</v>
      </c>
      <c r="L334">
        <v>12594</v>
      </c>
    </row>
    <row r="335" spans="1:12">
      <c r="A335">
        <v>1118149</v>
      </c>
      <c r="B335" t="s">
        <v>974</v>
      </c>
      <c r="C335">
        <v>51</v>
      </c>
      <c r="D335" s="10">
        <v>46010</v>
      </c>
      <c r="E335">
        <v>39</v>
      </c>
      <c r="F335">
        <v>25</v>
      </c>
      <c r="G335">
        <v>29</v>
      </c>
      <c r="H335" t="s">
        <v>58</v>
      </c>
      <c r="I335" s="11">
        <v>45952.56822916667</v>
      </c>
      <c r="J335">
        <v>1</v>
      </c>
      <c r="K335" t="s">
        <v>41</v>
      </c>
      <c r="L335">
        <v>854</v>
      </c>
    </row>
    <row r="336" spans="1:12">
      <c r="A336">
        <v>1118868</v>
      </c>
      <c r="B336" t="s">
        <v>980</v>
      </c>
      <c r="C336">
        <v>1</v>
      </c>
      <c r="D336" s="10">
        <v>46009</v>
      </c>
      <c r="E336">
        <v>1</v>
      </c>
      <c r="F336">
        <v>1</v>
      </c>
      <c r="G336">
        <v>26</v>
      </c>
      <c r="H336" t="s">
        <v>58</v>
      </c>
      <c r="I336" s="11">
        <v>45955.26070601852</v>
      </c>
      <c r="J336">
        <v>2</v>
      </c>
      <c r="K336" t="s">
        <v>41</v>
      </c>
      <c r="L336">
        <v>2651</v>
      </c>
    </row>
    <row r="337" spans="1:12">
      <c r="A337">
        <v>1119517</v>
      </c>
      <c r="B337" t="s">
        <v>983</v>
      </c>
      <c r="C337">
        <v>45</v>
      </c>
      <c r="D337" s="10">
        <v>46069</v>
      </c>
      <c r="E337">
        <v>33</v>
      </c>
      <c r="F337">
        <v>20</v>
      </c>
      <c r="G337">
        <v>27</v>
      </c>
      <c r="H337" t="s">
        <v>57</v>
      </c>
      <c r="I337" s="11">
        <v>45957.49359953704</v>
      </c>
      <c r="J337">
        <v>1</v>
      </c>
      <c r="K337" t="s">
        <v>37</v>
      </c>
      <c r="L337">
        <v>2520</v>
      </c>
    </row>
    <row r="338" spans="1:12">
      <c r="A338">
        <v>1119837</v>
      </c>
      <c r="B338" t="s">
        <v>986</v>
      </c>
      <c r="C338">
        <v>21</v>
      </c>
      <c r="D338" s="10">
        <v>45959</v>
      </c>
      <c r="E338">
        <v>15</v>
      </c>
      <c r="F338">
        <v>6</v>
      </c>
      <c r="G338">
        <v>10</v>
      </c>
      <c r="H338" t="s">
        <v>58</v>
      </c>
      <c r="I338" s="11">
        <v>45958.61495370371</v>
      </c>
      <c r="J338">
        <v>1</v>
      </c>
      <c r="K338" t="s">
        <v>41</v>
      </c>
      <c r="L338">
        <v>1053</v>
      </c>
    </row>
    <row r="339" spans="1:12">
      <c r="A339">
        <v>1120103</v>
      </c>
      <c r="B339" t="s">
        <v>989</v>
      </c>
      <c r="C339">
        <v>1</v>
      </c>
      <c r="D339" s="10">
        <v>45960</v>
      </c>
      <c r="E339">
        <v>1</v>
      </c>
      <c r="F339">
        <v>1</v>
      </c>
      <c r="G339">
        <v>26</v>
      </c>
      <c r="H339" t="s">
        <v>57</v>
      </c>
      <c r="I339" s="11">
        <v>45959.56699074074</v>
      </c>
      <c r="J339">
        <v>1</v>
      </c>
      <c r="K339" t="s">
        <v>37</v>
      </c>
      <c r="L339">
        <v>4406</v>
      </c>
    </row>
    <row r="340" spans="1:12">
      <c r="A340">
        <v>1120423</v>
      </c>
      <c r="B340" t="s">
        <v>991</v>
      </c>
      <c r="C340">
        <v>35</v>
      </c>
      <c r="D340" s="10">
        <v>46020</v>
      </c>
      <c r="E340">
        <v>25</v>
      </c>
      <c r="F340">
        <v>11</v>
      </c>
      <c r="G340">
        <v>18</v>
      </c>
      <c r="H340" t="s">
        <v>57</v>
      </c>
      <c r="I340" s="11">
        <v>45960.63053240741</v>
      </c>
      <c r="J340">
        <v>1</v>
      </c>
      <c r="K340" t="s">
        <v>41</v>
      </c>
      <c r="L340">
        <v>2784</v>
      </c>
    </row>
    <row r="341" spans="1:12">
      <c r="A341">
        <v>1120611</v>
      </c>
      <c r="B341" t="s">
        <v>993</v>
      </c>
      <c r="C341">
        <v>45</v>
      </c>
      <c r="D341" s="10">
        <v>45978</v>
      </c>
      <c r="E341">
        <v>33</v>
      </c>
      <c r="F341">
        <v>20</v>
      </c>
      <c r="G341">
        <v>27</v>
      </c>
      <c r="H341" t="s">
        <v>58</v>
      </c>
      <c r="I341" s="11">
        <v>45961.40824074074</v>
      </c>
      <c r="J341">
        <v>4</v>
      </c>
      <c r="K341" t="s">
        <v>45</v>
      </c>
      <c r="L341">
        <v>3800</v>
      </c>
    </row>
    <row r="342" spans="1:12">
      <c r="A342">
        <v>1120649</v>
      </c>
      <c r="B342" t="s">
        <v>996</v>
      </c>
      <c r="C342">
        <v>3</v>
      </c>
      <c r="D342" s="10">
        <v>45967</v>
      </c>
      <c r="E342">
        <v>1</v>
      </c>
      <c r="F342">
        <v>1</v>
      </c>
      <c r="G342">
        <v>26</v>
      </c>
      <c r="H342" t="s">
        <v>58</v>
      </c>
      <c r="I342" s="11">
        <v>45961.51025462963</v>
      </c>
      <c r="J342">
        <v>2</v>
      </c>
      <c r="K342" t="s">
        <v>41</v>
      </c>
      <c r="L342">
        <v>3158</v>
      </c>
    </row>
    <row r="343" spans="1:12">
      <c r="A343">
        <v>1120875</v>
      </c>
      <c r="B343" t="s">
        <v>998</v>
      </c>
      <c r="C343">
        <v>44</v>
      </c>
      <c r="D343" s="10">
        <v>45978</v>
      </c>
      <c r="E343">
        <v>34</v>
      </c>
      <c r="F343">
        <v>27</v>
      </c>
      <c r="G343">
        <v>20</v>
      </c>
      <c r="H343" t="s">
        <v>60</v>
      </c>
      <c r="I343" s="11">
        <v>45962.39168981482</v>
      </c>
      <c r="J343">
        <v>3</v>
      </c>
      <c r="K343" t="s">
        <v>41</v>
      </c>
      <c r="L343">
        <v>1657</v>
      </c>
    </row>
    <row r="344" spans="1:12">
      <c r="A344">
        <v>1121859</v>
      </c>
      <c r="B344" t="s">
        <v>1000</v>
      </c>
      <c r="C344">
        <v>32</v>
      </c>
      <c r="D344" s="10">
        <v>46006</v>
      </c>
      <c r="E344">
        <v>24</v>
      </c>
      <c r="F344">
        <v>19</v>
      </c>
      <c r="G344">
        <v>9</v>
      </c>
      <c r="H344" t="s">
        <v>57</v>
      </c>
      <c r="I344" s="11">
        <v>45965.88052083334</v>
      </c>
      <c r="J344">
        <v>1</v>
      </c>
      <c r="K344" t="s">
        <v>41</v>
      </c>
      <c r="L344">
        <v>1731</v>
      </c>
    </row>
    <row r="345" spans="1:12">
      <c r="A345">
        <v>1122006</v>
      </c>
      <c r="B345" t="s">
        <v>1002</v>
      </c>
      <c r="C345">
        <v>32</v>
      </c>
      <c r="D345" s="10">
        <v>45978</v>
      </c>
      <c r="E345">
        <v>24</v>
      </c>
      <c r="F345">
        <v>19</v>
      </c>
      <c r="G345">
        <v>9</v>
      </c>
      <c r="H345" t="s">
        <v>58</v>
      </c>
      <c r="I345" s="11">
        <v>45966.58471064815</v>
      </c>
      <c r="J345">
        <v>1</v>
      </c>
      <c r="K345" t="s">
        <v>49</v>
      </c>
      <c r="L345">
        <v>654</v>
      </c>
    </row>
    <row r="346" spans="1:12">
      <c r="A346">
        <v>1122136</v>
      </c>
      <c r="B346" t="s">
        <v>1006</v>
      </c>
      <c r="C346">
        <v>38</v>
      </c>
      <c r="D346" s="10">
        <v>45980</v>
      </c>
      <c r="E346">
        <v>28</v>
      </c>
      <c r="F346">
        <v>26</v>
      </c>
      <c r="G346">
        <v>13</v>
      </c>
      <c r="H346" t="s">
        <v>58</v>
      </c>
      <c r="I346" s="11">
        <v>45966.89646990741</v>
      </c>
      <c r="J346">
        <v>1</v>
      </c>
      <c r="K346" t="s">
        <v>41</v>
      </c>
      <c r="L346">
        <v>607</v>
      </c>
    </row>
    <row r="347" spans="1:12">
      <c r="A347">
        <v>1122145</v>
      </c>
      <c r="B347" t="s">
        <v>1011</v>
      </c>
      <c r="C347">
        <v>44</v>
      </c>
      <c r="D347" s="10">
        <v>45978</v>
      </c>
      <c r="E347">
        <v>34</v>
      </c>
      <c r="F347">
        <v>27</v>
      </c>
      <c r="G347">
        <v>20</v>
      </c>
      <c r="H347" t="s">
        <v>58</v>
      </c>
      <c r="I347" s="11">
        <v>45966.91628472223</v>
      </c>
      <c r="J347">
        <v>4</v>
      </c>
      <c r="K347" t="s">
        <v>47</v>
      </c>
      <c r="L347">
        <v>3624</v>
      </c>
    </row>
    <row r="348" spans="1:12">
      <c r="A348">
        <v>1122170</v>
      </c>
      <c r="B348" t="s">
        <v>1013</v>
      </c>
      <c r="C348">
        <v>15</v>
      </c>
      <c r="D348" s="10">
        <v>45975</v>
      </c>
      <c r="E348">
        <v>9</v>
      </c>
      <c r="F348">
        <v>3</v>
      </c>
      <c r="G348">
        <v>9</v>
      </c>
      <c r="H348" t="s">
        <v>57</v>
      </c>
      <c r="I348" s="11">
        <v>45967.17449074074</v>
      </c>
      <c r="J348">
        <v>6</v>
      </c>
      <c r="K348" t="s">
        <v>47</v>
      </c>
      <c r="L348">
        <v>14574</v>
      </c>
    </row>
    <row r="349" spans="1:12">
      <c r="A349">
        <v>1122233</v>
      </c>
      <c r="B349" t="s">
        <v>1016</v>
      </c>
      <c r="C349">
        <v>3</v>
      </c>
      <c r="D349" s="10">
        <v>45967</v>
      </c>
      <c r="E349">
        <v>1</v>
      </c>
      <c r="F349">
        <v>1</v>
      </c>
      <c r="G349">
        <v>26</v>
      </c>
      <c r="H349" t="s">
        <v>57</v>
      </c>
      <c r="I349" s="11">
        <v>45967.4102662037</v>
      </c>
      <c r="J349">
        <v>1</v>
      </c>
      <c r="K349" t="s">
        <v>47</v>
      </c>
      <c r="L349">
        <v>2519</v>
      </c>
    </row>
    <row r="350" spans="1:12">
      <c r="A350">
        <v>1122534</v>
      </c>
      <c r="B350" t="s">
        <v>1018</v>
      </c>
      <c r="C350">
        <v>28</v>
      </c>
      <c r="D350" s="10">
        <v>45979</v>
      </c>
      <c r="E350">
        <v>22</v>
      </c>
      <c r="F350">
        <v>19</v>
      </c>
      <c r="G350">
        <v>8</v>
      </c>
      <c r="H350" t="s">
        <v>60</v>
      </c>
      <c r="I350" s="11">
        <v>45968.52583333333</v>
      </c>
      <c r="J350">
        <v>5</v>
      </c>
      <c r="K350" t="s">
        <v>37</v>
      </c>
      <c r="L350">
        <v>4428</v>
      </c>
    </row>
    <row r="351" spans="1:12">
      <c r="A351">
        <v>1122677</v>
      </c>
      <c r="B351" t="s">
        <v>1020</v>
      </c>
      <c r="C351">
        <v>2</v>
      </c>
      <c r="D351" s="10">
        <v>46014</v>
      </c>
      <c r="E351">
        <v>2</v>
      </c>
      <c r="F351">
        <v>26</v>
      </c>
      <c r="G351">
        <v>1</v>
      </c>
      <c r="H351" t="s">
        <v>60</v>
      </c>
      <c r="I351" s="11">
        <v>45968.9165625</v>
      </c>
      <c r="J351">
        <v>1</v>
      </c>
      <c r="K351" t="s">
        <v>41</v>
      </c>
      <c r="L351">
        <v>1379</v>
      </c>
    </row>
    <row r="352" spans="1:12">
      <c r="A352">
        <v>1123615</v>
      </c>
      <c r="B352" t="s">
        <v>1023</v>
      </c>
      <c r="C352">
        <v>44</v>
      </c>
      <c r="D352" s="10">
        <v>45978</v>
      </c>
      <c r="E352">
        <v>34</v>
      </c>
      <c r="F352">
        <v>27</v>
      </c>
      <c r="G352">
        <v>20</v>
      </c>
      <c r="H352" t="s">
        <v>60</v>
      </c>
      <c r="I352" s="11">
        <v>45972.31498842593</v>
      </c>
      <c r="J352">
        <v>2</v>
      </c>
      <c r="K352" t="s">
        <v>41</v>
      </c>
      <c r="L352">
        <v>1506</v>
      </c>
    </row>
    <row r="353" spans="1:12">
      <c r="A353">
        <v>1123753</v>
      </c>
      <c r="B353" t="s">
        <v>1025</v>
      </c>
      <c r="C353">
        <v>29</v>
      </c>
      <c r="D353" s="10">
        <v>45994</v>
      </c>
      <c r="E353">
        <v>23</v>
      </c>
      <c r="F353">
        <v>9</v>
      </c>
      <c r="G353">
        <v>19</v>
      </c>
      <c r="H353" t="s">
        <v>58</v>
      </c>
      <c r="I353" s="11">
        <v>45972.67466435185</v>
      </c>
      <c r="J353">
        <v>1</v>
      </c>
      <c r="K353" t="s">
        <v>41</v>
      </c>
      <c r="L353">
        <v>654</v>
      </c>
    </row>
    <row r="354" spans="1:12">
      <c r="A354">
        <v>1124587</v>
      </c>
      <c r="B354" t="s">
        <v>1028</v>
      </c>
      <c r="C354">
        <v>44</v>
      </c>
      <c r="D354" s="10">
        <v>45978</v>
      </c>
      <c r="E354">
        <v>34</v>
      </c>
      <c r="F354">
        <v>27</v>
      </c>
      <c r="G354">
        <v>20</v>
      </c>
      <c r="H354" t="s">
        <v>58</v>
      </c>
      <c r="I354" s="11">
        <v>45975.64486111111</v>
      </c>
      <c r="J354">
        <v>1</v>
      </c>
      <c r="K354" t="s">
        <v>37</v>
      </c>
      <c r="L354">
        <v>906</v>
      </c>
    </row>
    <row r="355" spans="1:12">
      <c r="A355">
        <v>1124863</v>
      </c>
      <c r="B355" t="s">
        <v>1030</v>
      </c>
      <c r="C355">
        <v>25</v>
      </c>
      <c r="D355" s="10">
        <v>45986</v>
      </c>
      <c r="E355">
        <v>19</v>
      </c>
      <c r="F355">
        <v>7</v>
      </c>
      <c r="G355">
        <v>12</v>
      </c>
      <c r="H355" t="s">
        <v>58</v>
      </c>
      <c r="I355" s="11">
        <v>45976.65238425926</v>
      </c>
      <c r="J355">
        <v>2</v>
      </c>
      <c r="K355" t="s">
        <v>41</v>
      </c>
      <c r="L355">
        <v>1740</v>
      </c>
    </row>
    <row r="356" spans="1:12">
      <c r="A356">
        <v>1125038</v>
      </c>
      <c r="B356" t="s">
        <v>1033</v>
      </c>
      <c r="C356">
        <v>46</v>
      </c>
      <c r="D356" s="10">
        <v>46029</v>
      </c>
      <c r="E356">
        <v>34</v>
      </c>
      <c r="F356">
        <v>27</v>
      </c>
      <c r="G356">
        <v>20</v>
      </c>
      <c r="H356" t="s">
        <v>58</v>
      </c>
      <c r="I356" s="11">
        <v>45977.34063657407</v>
      </c>
      <c r="J356">
        <v>3</v>
      </c>
      <c r="K356" t="s">
        <v>41</v>
      </c>
      <c r="L356">
        <v>2850</v>
      </c>
    </row>
    <row r="357" spans="1:12">
      <c r="A357">
        <v>1125238</v>
      </c>
      <c r="B357" t="s">
        <v>1036</v>
      </c>
      <c r="C357">
        <v>19</v>
      </c>
      <c r="D357" s="10">
        <v>45999</v>
      </c>
      <c r="E357">
        <v>13</v>
      </c>
      <c r="F357">
        <v>5</v>
      </c>
      <c r="G357">
        <v>16</v>
      </c>
      <c r="H357" t="s">
        <v>60</v>
      </c>
      <c r="I357" s="11">
        <v>45977.80556712963</v>
      </c>
      <c r="J357">
        <v>2</v>
      </c>
      <c r="K357" t="s">
        <v>41</v>
      </c>
      <c r="L357">
        <v>1336</v>
      </c>
    </row>
    <row r="358" spans="1:12">
      <c r="A358">
        <v>1125471</v>
      </c>
      <c r="B358" t="s">
        <v>1039</v>
      </c>
      <c r="C358">
        <v>27</v>
      </c>
      <c r="D358" s="10">
        <v>46004</v>
      </c>
      <c r="E358">
        <v>21</v>
      </c>
      <c r="F358">
        <v>8</v>
      </c>
      <c r="G358">
        <v>19</v>
      </c>
      <c r="H358" t="s">
        <v>58</v>
      </c>
      <c r="I358" s="11">
        <v>45978.634375</v>
      </c>
      <c r="J358">
        <v>2</v>
      </c>
      <c r="K358" t="s">
        <v>41</v>
      </c>
      <c r="L358">
        <v>1893</v>
      </c>
    </row>
    <row r="359" spans="1:12">
      <c r="A359">
        <v>1125474</v>
      </c>
      <c r="B359" t="s">
        <v>1042</v>
      </c>
      <c r="C359">
        <v>31</v>
      </c>
      <c r="D359" s="10">
        <v>45979</v>
      </c>
      <c r="E359">
        <v>23</v>
      </c>
      <c r="F359">
        <v>9</v>
      </c>
      <c r="G359">
        <v>19</v>
      </c>
      <c r="H359" t="s">
        <v>60</v>
      </c>
      <c r="I359" s="11">
        <v>45978.63920138889</v>
      </c>
      <c r="J359">
        <v>2</v>
      </c>
      <c r="K359" t="s">
        <v>49</v>
      </c>
      <c r="L359">
        <v>816</v>
      </c>
    </row>
    <row r="360" spans="1:12">
      <c r="A360">
        <v>1126190</v>
      </c>
      <c r="B360" t="s">
        <v>1044</v>
      </c>
      <c r="C360">
        <v>1</v>
      </c>
      <c r="D360" s="10">
        <v>46009</v>
      </c>
      <c r="E360">
        <v>1</v>
      </c>
      <c r="F360">
        <v>1</v>
      </c>
      <c r="G360">
        <v>26</v>
      </c>
      <c r="H360" t="s">
        <v>60</v>
      </c>
      <c r="I360" s="11">
        <v>45981.50172453704</v>
      </c>
      <c r="J360">
        <v>1</v>
      </c>
      <c r="K360" t="s">
        <v>41</v>
      </c>
      <c r="L360">
        <v>1379</v>
      </c>
    </row>
    <row r="361" spans="1:12">
      <c r="A361">
        <v>1126291</v>
      </c>
      <c r="B361" t="s">
        <v>1046</v>
      </c>
      <c r="C361">
        <v>2</v>
      </c>
      <c r="D361" s="10">
        <v>46092</v>
      </c>
      <c r="E361">
        <v>2</v>
      </c>
      <c r="F361">
        <v>26</v>
      </c>
      <c r="G361">
        <v>1</v>
      </c>
      <c r="H361" t="s">
        <v>60</v>
      </c>
      <c r="I361" s="11">
        <v>45981.85076388889</v>
      </c>
      <c r="J361">
        <v>1</v>
      </c>
      <c r="K361" t="s">
        <v>37</v>
      </c>
      <c r="L361">
        <v>1379</v>
      </c>
    </row>
    <row r="362" spans="1:12">
      <c r="A362">
        <v>1126400</v>
      </c>
      <c r="B362" t="s">
        <v>1049</v>
      </c>
      <c r="C362">
        <v>36</v>
      </c>
      <c r="D362" s="10">
        <v>45996</v>
      </c>
      <c r="E362">
        <v>26</v>
      </c>
      <c r="F362">
        <v>18</v>
      </c>
      <c r="G362">
        <v>11</v>
      </c>
      <c r="H362" t="s">
        <v>58</v>
      </c>
      <c r="I362" s="11">
        <v>45982.45283564815</v>
      </c>
      <c r="J362">
        <v>5</v>
      </c>
      <c r="K362" t="s">
        <v>41</v>
      </c>
      <c r="L362">
        <v>5245</v>
      </c>
    </row>
    <row r="363" spans="1:12">
      <c r="A363">
        <v>1126405</v>
      </c>
      <c r="B363" t="s">
        <v>1051</v>
      </c>
      <c r="C363">
        <v>33</v>
      </c>
      <c r="D363" s="10">
        <v>46003</v>
      </c>
      <c r="E363">
        <v>25</v>
      </c>
      <c r="F363">
        <v>11</v>
      </c>
      <c r="G363">
        <v>18</v>
      </c>
      <c r="H363" t="s">
        <v>58</v>
      </c>
      <c r="I363" s="11">
        <v>45982.46907407408</v>
      </c>
      <c r="J363">
        <v>5</v>
      </c>
      <c r="K363" t="s">
        <v>37</v>
      </c>
      <c r="L363">
        <v>5245</v>
      </c>
    </row>
    <row r="364" spans="1:12">
      <c r="A364">
        <v>1127244</v>
      </c>
      <c r="B364" t="s">
        <v>1054</v>
      </c>
      <c r="C364">
        <v>2</v>
      </c>
      <c r="D364" s="10">
        <v>46014</v>
      </c>
      <c r="E364">
        <v>2</v>
      </c>
      <c r="F364">
        <v>26</v>
      </c>
      <c r="G364">
        <v>1</v>
      </c>
      <c r="H364" t="s">
        <v>57</v>
      </c>
      <c r="I364" s="11">
        <v>45985.67988425926</v>
      </c>
      <c r="J364">
        <v>1</v>
      </c>
      <c r="K364" t="s">
        <v>37</v>
      </c>
      <c r="L364">
        <v>4406</v>
      </c>
    </row>
    <row r="365" spans="1:12">
      <c r="A365">
        <v>1127773</v>
      </c>
      <c r="B365" t="s">
        <v>1056</v>
      </c>
      <c r="C365">
        <v>3</v>
      </c>
      <c r="D365" s="10">
        <v>46021</v>
      </c>
      <c r="E365">
        <v>1</v>
      </c>
      <c r="F365">
        <v>1</v>
      </c>
      <c r="G365">
        <v>26</v>
      </c>
      <c r="H365" t="s">
        <v>58</v>
      </c>
      <c r="I365" s="11">
        <v>45987.55314814814</v>
      </c>
      <c r="J365">
        <v>1</v>
      </c>
      <c r="K365" t="s">
        <v>41</v>
      </c>
      <c r="L365">
        <v>1579</v>
      </c>
    </row>
    <row r="366" spans="1:12">
      <c r="A366">
        <v>1128434</v>
      </c>
      <c r="B366" t="s">
        <v>1059</v>
      </c>
      <c r="C366">
        <v>27</v>
      </c>
      <c r="D366" s="10">
        <v>46004</v>
      </c>
      <c r="E366">
        <v>21</v>
      </c>
      <c r="F366">
        <v>8</v>
      </c>
      <c r="G366">
        <v>19</v>
      </c>
      <c r="H366" t="s">
        <v>57</v>
      </c>
      <c r="I366" s="11">
        <v>45990.12787037037</v>
      </c>
      <c r="J366">
        <v>1</v>
      </c>
      <c r="K366" t="s">
        <v>41</v>
      </c>
      <c r="L366">
        <v>3142</v>
      </c>
    </row>
    <row r="367" spans="1:12">
      <c r="A367">
        <v>1128435</v>
      </c>
      <c r="B367" t="s">
        <v>1061</v>
      </c>
      <c r="C367">
        <v>29</v>
      </c>
      <c r="D367" s="10">
        <v>45994</v>
      </c>
      <c r="E367">
        <v>23</v>
      </c>
      <c r="F367">
        <v>9</v>
      </c>
      <c r="G367">
        <v>19</v>
      </c>
      <c r="H367" t="s">
        <v>58</v>
      </c>
      <c r="I367" s="11">
        <v>45990.1405787037</v>
      </c>
      <c r="J367">
        <v>1</v>
      </c>
      <c r="K367" t="s">
        <v>37</v>
      </c>
      <c r="L367">
        <v>654</v>
      </c>
    </row>
    <row r="368" spans="1:12">
      <c r="A368">
        <v>1128767</v>
      </c>
      <c r="B368" t="s">
        <v>1063</v>
      </c>
      <c r="C368">
        <v>50</v>
      </c>
      <c r="D368" s="10">
        <v>46018</v>
      </c>
      <c r="E368">
        <v>38</v>
      </c>
      <c r="F368">
        <v>30</v>
      </c>
      <c r="G368">
        <v>23</v>
      </c>
      <c r="H368" t="s">
        <v>57</v>
      </c>
      <c r="I368" s="11">
        <v>45991.42149305555</v>
      </c>
      <c r="J368">
        <v>1</v>
      </c>
      <c r="K368" t="s">
        <v>41</v>
      </c>
      <c r="L368">
        <v>3302</v>
      </c>
    </row>
    <row r="369" spans="1:12">
      <c r="A369">
        <v>1129047</v>
      </c>
      <c r="B369" t="s">
        <v>1066</v>
      </c>
      <c r="C369">
        <v>51</v>
      </c>
      <c r="D369" s="10">
        <v>46045</v>
      </c>
      <c r="E369">
        <v>39</v>
      </c>
      <c r="F369">
        <v>25</v>
      </c>
      <c r="G369">
        <v>29</v>
      </c>
      <c r="H369" t="s">
        <v>56</v>
      </c>
      <c r="I369" s="11">
        <v>45992.40484953704</v>
      </c>
      <c r="J369">
        <v>2</v>
      </c>
      <c r="K369" t="s">
        <v>41</v>
      </c>
      <c r="L369">
        <v>6494</v>
      </c>
    </row>
    <row r="370" spans="1:12">
      <c r="A370">
        <v>1129237</v>
      </c>
      <c r="B370" t="s">
        <v>1069</v>
      </c>
      <c r="C370">
        <v>34</v>
      </c>
      <c r="D370" s="10">
        <v>46097</v>
      </c>
      <c r="E370">
        <v>26</v>
      </c>
      <c r="F370">
        <v>18</v>
      </c>
      <c r="G370">
        <v>11</v>
      </c>
      <c r="H370" t="s">
        <v>57</v>
      </c>
      <c r="I370" s="11">
        <v>45993.0127662037</v>
      </c>
      <c r="J370">
        <v>2</v>
      </c>
      <c r="K370" t="s">
        <v>37</v>
      </c>
      <c r="L370">
        <v>5568</v>
      </c>
    </row>
    <row r="371" spans="1:12">
      <c r="A371">
        <v>1129353</v>
      </c>
      <c r="B371" t="s">
        <v>1072</v>
      </c>
      <c r="C371">
        <v>37</v>
      </c>
      <c r="D371" s="10">
        <v>46084</v>
      </c>
      <c r="E371">
        <v>27</v>
      </c>
      <c r="F371">
        <v>13</v>
      </c>
      <c r="G371">
        <v>26</v>
      </c>
      <c r="H371" t="s">
        <v>56</v>
      </c>
      <c r="I371" s="11">
        <v>45993.5240625</v>
      </c>
      <c r="J371">
        <v>3</v>
      </c>
      <c r="K371" t="s">
        <v>41</v>
      </c>
      <c r="L371">
        <v>6903</v>
      </c>
    </row>
    <row r="372" spans="1:12">
      <c r="A372">
        <v>1130073</v>
      </c>
      <c r="B372" t="s">
        <v>1075</v>
      </c>
      <c r="C372">
        <v>13</v>
      </c>
      <c r="D372" s="10">
        <v>46021</v>
      </c>
      <c r="E372">
        <v>9</v>
      </c>
      <c r="F372">
        <v>3</v>
      </c>
      <c r="G372">
        <v>9</v>
      </c>
      <c r="H372" t="s">
        <v>57</v>
      </c>
      <c r="I372" s="11">
        <v>45995.83881944444</v>
      </c>
      <c r="J372">
        <v>2</v>
      </c>
      <c r="K372" t="s">
        <v>41</v>
      </c>
      <c r="L372">
        <v>6052</v>
      </c>
    </row>
    <row r="373" spans="1:12">
      <c r="A373">
        <v>1130496</v>
      </c>
      <c r="B373" t="s">
        <v>1078</v>
      </c>
      <c r="C373">
        <v>34</v>
      </c>
      <c r="D373" s="10">
        <v>46097</v>
      </c>
      <c r="E373">
        <v>26</v>
      </c>
      <c r="F373">
        <v>18</v>
      </c>
      <c r="G373">
        <v>11</v>
      </c>
      <c r="H373" t="s">
        <v>57</v>
      </c>
      <c r="I373" s="11">
        <v>45997.39461805556</v>
      </c>
      <c r="J373">
        <v>2</v>
      </c>
      <c r="K373" t="s">
        <v>41</v>
      </c>
      <c r="L373">
        <v>5568</v>
      </c>
    </row>
    <row r="374" spans="1:12">
      <c r="A374">
        <v>1130695</v>
      </c>
      <c r="B374" t="s">
        <v>1080</v>
      </c>
      <c r="C374">
        <v>6</v>
      </c>
      <c r="D374" s="10">
        <v>46018</v>
      </c>
      <c r="E374">
        <v>4</v>
      </c>
      <c r="F374">
        <v>32</v>
      </c>
      <c r="G374">
        <v>1</v>
      </c>
      <c r="H374" t="s">
        <v>58</v>
      </c>
      <c r="I374" s="11">
        <v>45997.87094907407</v>
      </c>
      <c r="J374">
        <v>1</v>
      </c>
      <c r="K374" t="s">
        <v>37</v>
      </c>
      <c r="L374">
        <v>1390</v>
      </c>
    </row>
    <row r="375" spans="1:12">
      <c r="A375">
        <v>1131105</v>
      </c>
      <c r="B375" t="s">
        <v>1082</v>
      </c>
      <c r="C375">
        <v>10</v>
      </c>
      <c r="D375" s="10">
        <v>46112</v>
      </c>
      <c r="E375">
        <v>6</v>
      </c>
      <c r="F375">
        <v>15</v>
      </c>
      <c r="G375">
        <v>2</v>
      </c>
      <c r="H375" t="s">
        <v>60</v>
      </c>
      <c r="I375" s="11">
        <v>45999.38891203704</v>
      </c>
      <c r="J375">
        <v>1</v>
      </c>
      <c r="K375" t="s">
        <v>41</v>
      </c>
      <c r="L375">
        <v>288</v>
      </c>
    </row>
    <row r="376" spans="1:12">
      <c r="A376">
        <v>1131122</v>
      </c>
      <c r="B376" t="s">
        <v>1085</v>
      </c>
      <c r="C376">
        <v>32</v>
      </c>
      <c r="D376" s="10">
        <v>46006</v>
      </c>
      <c r="E376">
        <v>24</v>
      </c>
      <c r="F376">
        <v>19</v>
      </c>
      <c r="G376">
        <v>9</v>
      </c>
      <c r="H376" t="s">
        <v>60</v>
      </c>
      <c r="I376" s="11">
        <v>45999.42277777778</v>
      </c>
      <c r="J376">
        <v>2</v>
      </c>
      <c r="K376" t="s">
        <v>41</v>
      </c>
      <c r="L376">
        <v>816</v>
      </c>
    </row>
    <row r="377" spans="1:12">
      <c r="A377">
        <v>1131156</v>
      </c>
      <c r="B377" t="s">
        <v>1087</v>
      </c>
      <c r="C377">
        <v>33</v>
      </c>
      <c r="D377" s="10">
        <v>46003</v>
      </c>
      <c r="E377">
        <v>25</v>
      </c>
      <c r="F377">
        <v>11</v>
      </c>
      <c r="G377">
        <v>18</v>
      </c>
      <c r="H377" t="s">
        <v>60</v>
      </c>
      <c r="I377" s="11">
        <v>45999.51873842593</v>
      </c>
      <c r="J377">
        <v>1</v>
      </c>
      <c r="K377" t="s">
        <v>49</v>
      </c>
      <c r="L377">
        <v>872</v>
      </c>
    </row>
    <row r="378" spans="1:12">
      <c r="A378">
        <v>1131980</v>
      </c>
      <c r="B378" t="s">
        <v>1089</v>
      </c>
      <c r="C378">
        <v>29</v>
      </c>
      <c r="D378" s="10">
        <v>46028</v>
      </c>
      <c r="E378">
        <v>23</v>
      </c>
      <c r="F378">
        <v>9</v>
      </c>
      <c r="G378">
        <v>19</v>
      </c>
      <c r="H378" t="s">
        <v>60</v>
      </c>
      <c r="I378" s="11">
        <v>46002.60618055556</v>
      </c>
      <c r="J378">
        <v>1</v>
      </c>
      <c r="K378" t="s">
        <v>41</v>
      </c>
      <c r="L378">
        <v>544</v>
      </c>
    </row>
    <row r="379" spans="1:12">
      <c r="A379">
        <v>1132914</v>
      </c>
      <c r="B379" t="s">
        <v>1091</v>
      </c>
      <c r="C379">
        <v>17</v>
      </c>
      <c r="D379" s="10">
        <v>46029</v>
      </c>
      <c r="E379">
        <v>11</v>
      </c>
      <c r="F379">
        <v>4</v>
      </c>
      <c r="G379">
        <v>24</v>
      </c>
      <c r="H379" t="s">
        <v>57</v>
      </c>
      <c r="I379" s="11">
        <v>46005.75387731481</v>
      </c>
      <c r="J379">
        <v>1</v>
      </c>
      <c r="K379" t="s">
        <v>41</v>
      </c>
      <c r="L379">
        <v>3219</v>
      </c>
    </row>
    <row r="380" spans="1:12">
      <c r="A380">
        <v>1133457</v>
      </c>
      <c r="B380" t="s">
        <v>1093</v>
      </c>
      <c r="C380">
        <v>47</v>
      </c>
      <c r="D380" s="10">
        <v>46013</v>
      </c>
      <c r="E380">
        <v>35</v>
      </c>
      <c r="F380">
        <v>21</v>
      </c>
      <c r="G380">
        <v>28</v>
      </c>
      <c r="H380" t="s">
        <v>60</v>
      </c>
      <c r="I380" s="11">
        <v>46007.80086805556</v>
      </c>
      <c r="J380">
        <v>1</v>
      </c>
      <c r="K380" t="s">
        <v>37</v>
      </c>
      <c r="L380">
        <v>587</v>
      </c>
    </row>
    <row r="381" spans="1:12">
      <c r="A381">
        <v>1133994</v>
      </c>
      <c r="B381" t="s">
        <v>1096</v>
      </c>
      <c r="C381">
        <v>17</v>
      </c>
      <c r="D381" s="10">
        <v>46029</v>
      </c>
      <c r="E381">
        <v>11</v>
      </c>
      <c r="F381">
        <v>4</v>
      </c>
      <c r="G381">
        <v>24</v>
      </c>
      <c r="H381" t="s">
        <v>60</v>
      </c>
      <c r="I381" s="11">
        <v>46009.77253472222</v>
      </c>
      <c r="J381">
        <v>2</v>
      </c>
      <c r="K381" t="s">
        <v>41</v>
      </c>
      <c r="L381">
        <v>2016</v>
      </c>
    </row>
    <row r="382" spans="1:12">
      <c r="A382">
        <v>1134104</v>
      </c>
      <c r="B382" t="s">
        <v>1098</v>
      </c>
      <c r="C382">
        <v>7</v>
      </c>
      <c r="D382" s="10">
        <v>46058</v>
      </c>
      <c r="E382">
        <v>3</v>
      </c>
      <c r="F382">
        <v>1</v>
      </c>
      <c r="G382">
        <v>32</v>
      </c>
      <c r="H382" t="s">
        <v>57</v>
      </c>
      <c r="I382" s="11">
        <v>46010.24932870371</v>
      </c>
      <c r="J382">
        <v>1</v>
      </c>
      <c r="K382" t="s">
        <v>41</v>
      </c>
      <c r="L382">
        <v>3520</v>
      </c>
    </row>
    <row r="383" spans="1:12">
      <c r="A383">
        <v>1134219</v>
      </c>
      <c r="B383" t="s">
        <v>1101</v>
      </c>
      <c r="C383">
        <v>6</v>
      </c>
      <c r="D383" s="10">
        <v>46039</v>
      </c>
      <c r="E383">
        <v>4</v>
      </c>
      <c r="F383">
        <v>32</v>
      </c>
      <c r="G383">
        <v>1</v>
      </c>
      <c r="H383" t="s">
        <v>58</v>
      </c>
      <c r="I383" s="11">
        <v>46010.56221064815</v>
      </c>
      <c r="J383">
        <v>1</v>
      </c>
      <c r="K383" t="s">
        <v>41</v>
      </c>
      <c r="L383">
        <v>1390</v>
      </c>
    </row>
    <row r="384" spans="1:12">
      <c r="A384">
        <v>1134307</v>
      </c>
      <c r="B384" t="s">
        <v>1104</v>
      </c>
      <c r="C384">
        <v>35</v>
      </c>
      <c r="D384" s="10">
        <v>46020</v>
      </c>
      <c r="E384">
        <v>25</v>
      </c>
      <c r="F384">
        <v>11</v>
      </c>
      <c r="G384">
        <v>18</v>
      </c>
      <c r="H384" t="s">
        <v>58</v>
      </c>
      <c r="I384" s="11">
        <v>46010.78903935185</v>
      </c>
      <c r="J384">
        <v>4</v>
      </c>
      <c r="K384" t="s">
        <v>41</v>
      </c>
      <c r="L384">
        <v>4196</v>
      </c>
    </row>
    <row r="385" spans="1:12">
      <c r="A385">
        <v>1136744</v>
      </c>
      <c r="B385" t="s">
        <v>1106</v>
      </c>
      <c r="C385">
        <v>3</v>
      </c>
      <c r="D385" s="10">
        <v>46021</v>
      </c>
      <c r="E385">
        <v>1</v>
      </c>
      <c r="F385">
        <v>1</v>
      </c>
      <c r="G385">
        <v>26</v>
      </c>
      <c r="H385" t="s">
        <v>60</v>
      </c>
      <c r="I385" s="11">
        <v>46019.81028935185</v>
      </c>
      <c r="J385">
        <v>1</v>
      </c>
      <c r="K385" t="s">
        <v>41</v>
      </c>
      <c r="L385">
        <v>1314</v>
      </c>
    </row>
    <row r="386" spans="1:12">
      <c r="A386">
        <v>1136796</v>
      </c>
      <c r="B386" t="s">
        <v>1108</v>
      </c>
      <c r="C386">
        <v>42</v>
      </c>
      <c r="D386" s="10">
        <v>46130</v>
      </c>
      <c r="E386">
        <v>32</v>
      </c>
      <c r="F386">
        <v>31</v>
      </c>
      <c r="G386">
        <v>15</v>
      </c>
      <c r="H386" t="s">
        <v>60</v>
      </c>
      <c r="I386" s="11">
        <v>46019.94982638889</v>
      </c>
      <c r="J386">
        <v>2</v>
      </c>
      <c r="K386" t="s">
        <v>41</v>
      </c>
      <c r="L386">
        <v>1882</v>
      </c>
    </row>
    <row r="387" spans="1:12">
      <c r="A387">
        <v>1137400</v>
      </c>
      <c r="B387" t="s">
        <v>1111</v>
      </c>
      <c r="C387">
        <v>52</v>
      </c>
      <c r="D387" s="10">
        <v>46053</v>
      </c>
      <c r="E387">
        <v>40</v>
      </c>
      <c r="F387">
        <v>29</v>
      </c>
      <c r="G387">
        <v>25</v>
      </c>
      <c r="H387" t="s">
        <v>60</v>
      </c>
      <c r="I387" s="11">
        <v>46022.294375</v>
      </c>
      <c r="J387">
        <v>2</v>
      </c>
      <c r="K387" t="s">
        <v>41</v>
      </c>
      <c r="L387">
        <v>1420</v>
      </c>
    </row>
    <row r="388" spans="1:12">
      <c r="A388">
        <v>1138455</v>
      </c>
      <c r="B388" t="s">
        <v>1114</v>
      </c>
      <c r="C388">
        <v>46</v>
      </c>
      <c r="D388" s="10">
        <v>46029</v>
      </c>
      <c r="E388">
        <v>34</v>
      </c>
      <c r="F388">
        <v>27</v>
      </c>
      <c r="G388">
        <v>20</v>
      </c>
      <c r="H388" t="s">
        <v>57</v>
      </c>
      <c r="I388" s="11">
        <v>46025.81237268518</v>
      </c>
      <c r="J388">
        <v>3</v>
      </c>
      <c r="K388" t="s">
        <v>45</v>
      </c>
      <c r="L388">
        <v>7560</v>
      </c>
    </row>
    <row r="389" spans="1:12">
      <c r="A389">
        <v>1138512</v>
      </c>
      <c r="B389" t="s">
        <v>1116</v>
      </c>
      <c r="C389">
        <v>27</v>
      </c>
      <c r="D389" s="10">
        <v>46037</v>
      </c>
      <c r="E389">
        <v>21</v>
      </c>
      <c r="F389">
        <v>8</v>
      </c>
      <c r="G389">
        <v>19</v>
      </c>
      <c r="H389" t="s">
        <v>58</v>
      </c>
      <c r="I389" s="11">
        <v>46025.92962962963</v>
      </c>
      <c r="J389">
        <v>3</v>
      </c>
      <c r="K389" t="s">
        <v>41</v>
      </c>
      <c r="L389">
        <v>2603</v>
      </c>
    </row>
    <row r="390" spans="1:12">
      <c r="A390">
        <v>1139299</v>
      </c>
      <c r="B390" t="s">
        <v>1122</v>
      </c>
      <c r="C390">
        <v>13</v>
      </c>
      <c r="D390" s="10">
        <v>46119</v>
      </c>
      <c r="E390">
        <v>9</v>
      </c>
      <c r="F390">
        <v>3</v>
      </c>
      <c r="G390">
        <v>9</v>
      </c>
      <c r="H390" t="s">
        <v>57</v>
      </c>
      <c r="I390" s="11">
        <v>46028.60862268518</v>
      </c>
      <c r="J390">
        <v>4</v>
      </c>
      <c r="K390" t="s">
        <v>37</v>
      </c>
      <c r="L390">
        <v>12104</v>
      </c>
    </row>
    <row r="391" spans="1:12">
      <c r="A391">
        <v>1139539</v>
      </c>
      <c r="B391" t="s">
        <v>1125</v>
      </c>
      <c r="C391">
        <v>17</v>
      </c>
      <c r="D391" s="10">
        <v>46029</v>
      </c>
      <c r="E391">
        <v>11</v>
      </c>
      <c r="F391">
        <v>4</v>
      </c>
      <c r="G391">
        <v>24</v>
      </c>
      <c r="H391" t="s">
        <v>60</v>
      </c>
      <c r="I391" s="11">
        <v>46029.46</v>
      </c>
      <c r="J391">
        <v>6</v>
      </c>
      <c r="K391" t="s">
        <v>41</v>
      </c>
      <c r="L391">
        <v>5645</v>
      </c>
    </row>
    <row r="392" spans="1:12">
      <c r="A392">
        <v>1139821</v>
      </c>
      <c r="B392" t="s">
        <v>1127</v>
      </c>
      <c r="C392">
        <v>50</v>
      </c>
      <c r="D392" s="10">
        <v>46060</v>
      </c>
      <c r="E392">
        <v>38</v>
      </c>
      <c r="F392">
        <v>30</v>
      </c>
      <c r="G392">
        <v>23</v>
      </c>
      <c r="H392" t="s">
        <v>58</v>
      </c>
      <c r="I392" s="11">
        <v>46030.52736111111</v>
      </c>
      <c r="J392">
        <v>2</v>
      </c>
      <c r="K392" t="s">
        <v>41</v>
      </c>
      <c r="L392">
        <v>2486</v>
      </c>
    </row>
    <row r="393" spans="1:12">
      <c r="A393">
        <v>1140161</v>
      </c>
      <c r="B393" t="s">
        <v>1130</v>
      </c>
      <c r="C393">
        <v>14</v>
      </c>
      <c r="D393" s="10">
        <v>46045</v>
      </c>
      <c r="E393">
        <v>10</v>
      </c>
      <c r="F393">
        <v>9</v>
      </c>
      <c r="G393">
        <v>3</v>
      </c>
      <c r="H393" t="s">
        <v>57</v>
      </c>
      <c r="I393" s="11">
        <v>46031.71628472222</v>
      </c>
      <c r="J393">
        <v>2</v>
      </c>
      <c r="K393" t="s">
        <v>47</v>
      </c>
      <c r="L393">
        <v>6052</v>
      </c>
    </row>
    <row r="394" spans="1:12">
      <c r="A394">
        <v>1140190</v>
      </c>
      <c r="B394" t="s">
        <v>1132</v>
      </c>
      <c r="C394">
        <v>5</v>
      </c>
      <c r="D394" s="10">
        <v>46146</v>
      </c>
      <c r="E394">
        <v>3</v>
      </c>
      <c r="F394">
        <v>1</v>
      </c>
      <c r="G394">
        <v>32</v>
      </c>
      <c r="H394" t="s">
        <v>58</v>
      </c>
      <c r="I394" s="11">
        <v>46031.79384259259</v>
      </c>
      <c r="J394">
        <v>3</v>
      </c>
      <c r="K394" t="s">
        <v>41</v>
      </c>
      <c r="L394">
        <v>3614</v>
      </c>
    </row>
    <row r="395" spans="1:12">
      <c r="A395">
        <v>1140449</v>
      </c>
      <c r="B395" t="s">
        <v>1135</v>
      </c>
      <c r="C395">
        <v>12</v>
      </c>
      <c r="D395" s="10">
        <v>46049</v>
      </c>
      <c r="E395">
        <v>8</v>
      </c>
      <c r="F395">
        <v>17</v>
      </c>
      <c r="G395">
        <v>2</v>
      </c>
      <c r="H395" t="s">
        <v>58</v>
      </c>
      <c r="I395" s="11">
        <v>46032.72604166667</v>
      </c>
      <c r="J395">
        <v>1</v>
      </c>
      <c r="K395" t="s">
        <v>41</v>
      </c>
      <c r="L395">
        <v>700</v>
      </c>
    </row>
    <row r="396" spans="1:12">
      <c r="A396">
        <v>1140539</v>
      </c>
      <c r="B396" t="s">
        <v>1138</v>
      </c>
      <c r="C396">
        <v>40</v>
      </c>
      <c r="D396" s="10">
        <v>46038</v>
      </c>
      <c r="E396">
        <v>30</v>
      </c>
      <c r="F396">
        <v>22</v>
      </c>
      <c r="G396">
        <v>14</v>
      </c>
      <c r="H396" t="s">
        <v>56</v>
      </c>
      <c r="I396" s="11">
        <v>46032.90268518519</v>
      </c>
      <c r="J396">
        <v>3</v>
      </c>
      <c r="K396" t="s">
        <v>41</v>
      </c>
      <c r="L396">
        <v>10355</v>
      </c>
    </row>
    <row r="397" spans="1:12">
      <c r="A397">
        <v>1141063</v>
      </c>
      <c r="B397" t="s">
        <v>1141</v>
      </c>
      <c r="C397">
        <v>14</v>
      </c>
      <c r="D397" s="10">
        <v>46045</v>
      </c>
      <c r="E397">
        <v>10</v>
      </c>
      <c r="F397">
        <v>9</v>
      </c>
      <c r="G397">
        <v>3</v>
      </c>
      <c r="H397" t="s">
        <v>57</v>
      </c>
      <c r="I397" s="11">
        <v>46034.58516203704</v>
      </c>
      <c r="J397">
        <v>2</v>
      </c>
      <c r="K397" t="s">
        <v>47</v>
      </c>
      <c r="L397">
        <v>4539</v>
      </c>
    </row>
    <row r="398" spans="1:12">
      <c r="A398">
        <v>1141070</v>
      </c>
      <c r="B398" t="s">
        <v>1143</v>
      </c>
      <c r="C398">
        <v>31</v>
      </c>
      <c r="D398" s="10">
        <v>46035</v>
      </c>
      <c r="E398">
        <v>23</v>
      </c>
      <c r="F398">
        <v>9</v>
      </c>
      <c r="G398">
        <v>19</v>
      </c>
      <c r="H398" t="s">
        <v>60</v>
      </c>
      <c r="I398" s="11">
        <v>46034.59884259259</v>
      </c>
      <c r="J398">
        <v>1</v>
      </c>
      <c r="K398" t="s">
        <v>49</v>
      </c>
      <c r="L398">
        <v>544</v>
      </c>
    </row>
    <row r="399" spans="1:12">
      <c r="A399">
        <v>1141084</v>
      </c>
      <c r="B399" t="s">
        <v>1147</v>
      </c>
      <c r="C399">
        <v>12</v>
      </c>
      <c r="D399" s="10">
        <v>46085</v>
      </c>
      <c r="E399">
        <v>8</v>
      </c>
      <c r="F399">
        <v>17</v>
      </c>
      <c r="G399">
        <v>2</v>
      </c>
      <c r="H399" t="s">
        <v>60</v>
      </c>
      <c r="I399" s="11">
        <v>46034.63844907407</v>
      </c>
      <c r="J399">
        <v>1</v>
      </c>
      <c r="K399" t="s">
        <v>41</v>
      </c>
      <c r="L399">
        <v>582</v>
      </c>
    </row>
    <row r="400" spans="1:12">
      <c r="A400">
        <v>1141196</v>
      </c>
      <c r="B400" t="s">
        <v>1150</v>
      </c>
      <c r="C400">
        <v>12</v>
      </c>
      <c r="D400" s="10">
        <v>46056</v>
      </c>
      <c r="E400">
        <v>8</v>
      </c>
      <c r="F400">
        <v>17</v>
      </c>
      <c r="G400">
        <v>2</v>
      </c>
      <c r="H400" t="s">
        <v>57</v>
      </c>
      <c r="I400" s="11">
        <v>46034.85796296296</v>
      </c>
      <c r="J400">
        <v>1</v>
      </c>
      <c r="K400" t="s">
        <v>37</v>
      </c>
      <c r="L400">
        <v>1854</v>
      </c>
    </row>
    <row r="401" spans="1:12">
      <c r="A401">
        <v>1141452</v>
      </c>
      <c r="B401" t="s">
        <v>1153</v>
      </c>
      <c r="C401">
        <v>40</v>
      </c>
      <c r="D401" s="10">
        <v>46038</v>
      </c>
      <c r="E401">
        <v>30</v>
      </c>
      <c r="F401">
        <v>22</v>
      </c>
      <c r="G401">
        <v>14</v>
      </c>
      <c r="H401" t="s">
        <v>57</v>
      </c>
      <c r="I401" s="11">
        <v>46035.68681712963</v>
      </c>
      <c r="J401">
        <v>2</v>
      </c>
      <c r="K401" t="s">
        <v>41</v>
      </c>
      <c r="L401">
        <v>5772</v>
      </c>
    </row>
    <row r="402" spans="1:12">
      <c r="A402">
        <v>1141538</v>
      </c>
      <c r="B402" t="s">
        <v>1155</v>
      </c>
      <c r="C402">
        <v>19</v>
      </c>
      <c r="D402" s="10">
        <v>46095</v>
      </c>
      <c r="E402">
        <v>13</v>
      </c>
      <c r="F402">
        <v>5</v>
      </c>
      <c r="G402">
        <v>16</v>
      </c>
      <c r="H402" t="s">
        <v>58</v>
      </c>
      <c r="I402" s="11">
        <v>46035.83976851852</v>
      </c>
      <c r="J402">
        <v>2</v>
      </c>
      <c r="K402" t="s">
        <v>41</v>
      </c>
      <c r="L402">
        <v>1286</v>
      </c>
    </row>
    <row r="403" spans="1:12">
      <c r="A403">
        <v>1141562</v>
      </c>
      <c r="B403" t="s">
        <v>1158</v>
      </c>
      <c r="C403">
        <v>33</v>
      </c>
      <c r="D403" s="10">
        <v>46151</v>
      </c>
      <c r="E403">
        <v>25</v>
      </c>
      <c r="F403">
        <v>11</v>
      </c>
      <c r="G403">
        <v>18</v>
      </c>
      <c r="H403" t="s">
        <v>58</v>
      </c>
      <c r="I403" s="11">
        <v>46035.87591435185</v>
      </c>
      <c r="J403">
        <v>1</v>
      </c>
      <c r="K403" t="s">
        <v>37</v>
      </c>
      <c r="L403">
        <v>1049</v>
      </c>
    </row>
    <row r="404" spans="1:12">
      <c r="A404">
        <v>1142545</v>
      </c>
      <c r="B404" t="s">
        <v>1161</v>
      </c>
      <c r="C404">
        <v>39</v>
      </c>
      <c r="D404" s="10">
        <v>46050</v>
      </c>
      <c r="E404">
        <v>29</v>
      </c>
      <c r="F404">
        <v>14</v>
      </c>
      <c r="G404">
        <v>22</v>
      </c>
      <c r="H404" t="s">
        <v>58</v>
      </c>
      <c r="I404" s="11">
        <v>46039.46921296296</v>
      </c>
      <c r="J404">
        <v>2</v>
      </c>
      <c r="K404" t="s">
        <v>41</v>
      </c>
      <c r="L404">
        <v>2174</v>
      </c>
    </row>
    <row r="405" spans="1:12">
      <c r="A405">
        <v>1142683</v>
      </c>
      <c r="B405" t="s">
        <v>1164</v>
      </c>
      <c r="C405">
        <v>31</v>
      </c>
      <c r="D405" s="10">
        <v>46063</v>
      </c>
      <c r="E405">
        <v>23</v>
      </c>
      <c r="F405">
        <v>9</v>
      </c>
      <c r="G405">
        <v>19</v>
      </c>
      <c r="H405" t="s">
        <v>58</v>
      </c>
      <c r="I405" s="11">
        <v>46039.82412037037</v>
      </c>
      <c r="J405">
        <v>3</v>
      </c>
      <c r="K405" t="s">
        <v>41</v>
      </c>
      <c r="L405">
        <v>1635</v>
      </c>
    </row>
    <row r="406" spans="1:12">
      <c r="A406">
        <v>1142813</v>
      </c>
      <c r="B406" t="s">
        <v>1167</v>
      </c>
      <c r="C406">
        <v>5</v>
      </c>
      <c r="D406" s="10">
        <v>46058</v>
      </c>
      <c r="E406">
        <v>3</v>
      </c>
      <c r="F406">
        <v>1</v>
      </c>
      <c r="G406">
        <v>32</v>
      </c>
      <c r="H406" t="s">
        <v>57</v>
      </c>
      <c r="I406" s="11">
        <v>46040.39052083333</v>
      </c>
      <c r="J406">
        <v>1</v>
      </c>
      <c r="K406" t="s">
        <v>37</v>
      </c>
      <c r="L406">
        <v>3694</v>
      </c>
    </row>
    <row r="407" spans="1:12">
      <c r="A407">
        <v>1143359</v>
      </c>
      <c r="B407" t="s">
        <v>1171</v>
      </c>
      <c r="C407">
        <v>19</v>
      </c>
      <c r="D407" s="10">
        <v>46095</v>
      </c>
      <c r="E407">
        <v>13</v>
      </c>
      <c r="F407">
        <v>5</v>
      </c>
      <c r="G407">
        <v>16</v>
      </c>
      <c r="H407" t="s">
        <v>60</v>
      </c>
      <c r="I407" s="11">
        <v>46042.31061342593</v>
      </c>
      <c r="J407">
        <v>4</v>
      </c>
      <c r="K407" t="s">
        <v>41</v>
      </c>
      <c r="L407">
        <v>2672</v>
      </c>
    </row>
    <row r="408" spans="1:12">
      <c r="A408">
        <v>1143705</v>
      </c>
      <c r="B408" t="s">
        <v>1173</v>
      </c>
      <c r="C408">
        <v>45</v>
      </c>
      <c r="D408" s="10">
        <v>46090</v>
      </c>
      <c r="E408">
        <v>33</v>
      </c>
      <c r="F408">
        <v>20</v>
      </c>
      <c r="G408">
        <v>27</v>
      </c>
      <c r="H408" t="s">
        <v>60</v>
      </c>
      <c r="I408" s="11">
        <v>46043.41675925926</v>
      </c>
      <c r="J408">
        <v>1</v>
      </c>
      <c r="K408" t="s">
        <v>41</v>
      </c>
      <c r="L408">
        <v>790</v>
      </c>
    </row>
    <row r="409" spans="1:12">
      <c r="A409">
        <v>1143776</v>
      </c>
      <c r="B409" t="s">
        <v>1176</v>
      </c>
      <c r="C409">
        <v>48</v>
      </c>
      <c r="D409" s="10">
        <v>46073</v>
      </c>
      <c r="E409">
        <v>36</v>
      </c>
      <c r="F409">
        <v>28</v>
      </c>
      <c r="G409">
        <v>21</v>
      </c>
      <c r="H409" t="s">
        <v>57</v>
      </c>
      <c r="I409" s="11">
        <v>46043.60167824074</v>
      </c>
      <c r="J409">
        <v>1</v>
      </c>
      <c r="K409" t="s">
        <v>41</v>
      </c>
      <c r="L409">
        <v>3123</v>
      </c>
    </row>
    <row r="410" spans="1:12">
      <c r="A410">
        <v>1143824</v>
      </c>
      <c r="B410" t="s">
        <v>1180</v>
      </c>
      <c r="C410">
        <v>5</v>
      </c>
      <c r="D410" s="10">
        <v>46134</v>
      </c>
      <c r="E410">
        <v>3</v>
      </c>
      <c r="F410">
        <v>1</v>
      </c>
      <c r="G410">
        <v>32</v>
      </c>
      <c r="H410" t="s">
        <v>56</v>
      </c>
      <c r="I410" s="11">
        <v>46043.74380787037</v>
      </c>
      <c r="J410">
        <v>2</v>
      </c>
      <c r="K410" t="s">
        <v>37</v>
      </c>
      <c r="L410">
        <v>5833</v>
      </c>
    </row>
    <row r="411" spans="1:12">
      <c r="A411">
        <v>1144187</v>
      </c>
      <c r="B411" t="s">
        <v>1183</v>
      </c>
      <c r="C411">
        <v>35</v>
      </c>
      <c r="D411" s="10">
        <v>46146</v>
      </c>
      <c r="E411">
        <v>25</v>
      </c>
      <c r="F411">
        <v>11</v>
      </c>
      <c r="G411">
        <v>18</v>
      </c>
      <c r="H411" t="s">
        <v>57</v>
      </c>
      <c r="I411" s="11">
        <v>46044.79006944445</v>
      </c>
      <c r="J411">
        <v>1</v>
      </c>
      <c r="K411" t="s">
        <v>37</v>
      </c>
      <c r="L411">
        <v>1670</v>
      </c>
    </row>
    <row r="412" spans="1:12">
      <c r="A412">
        <v>1144215</v>
      </c>
      <c r="B412" t="s">
        <v>1185</v>
      </c>
      <c r="C412">
        <v>1</v>
      </c>
      <c r="D412" s="10">
        <v>46131</v>
      </c>
      <c r="E412">
        <v>1</v>
      </c>
      <c r="F412">
        <v>1</v>
      </c>
      <c r="G412">
        <v>26</v>
      </c>
      <c r="H412" t="s">
        <v>60</v>
      </c>
      <c r="I412" s="11">
        <v>46044.82565972222</v>
      </c>
      <c r="J412">
        <v>1</v>
      </c>
      <c r="K412" t="s">
        <v>41</v>
      </c>
      <c r="L412">
        <v>1379</v>
      </c>
    </row>
    <row r="413" spans="1:12">
      <c r="A413">
        <v>1144413</v>
      </c>
      <c r="B413" t="s">
        <v>1188</v>
      </c>
      <c r="C413">
        <v>1</v>
      </c>
      <c r="D413" s="10">
        <v>46051</v>
      </c>
      <c r="E413">
        <v>1</v>
      </c>
      <c r="F413">
        <v>1</v>
      </c>
      <c r="G413">
        <v>26</v>
      </c>
      <c r="H413" t="s">
        <v>58</v>
      </c>
      <c r="I413" s="11">
        <v>46045.53682870371</v>
      </c>
      <c r="J413">
        <v>2</v>
      </c>
      <c r="K413" t="s">
        <v>41</v>
      </c>
      <c r="L413">
        <v>3314</v>
      </c>
    </row>
    <row r="414" spans="1:12">
      <c r="A414">
        <v>1144538</v>
      </c>
      <c r="B414" t="s">
        <v>1190</v>
      </c>
      <c r="C414">
        <v>19</v>
      </c>
      <c r="D414" s="10">
        <v>46061</v>
      </c>
      <c r="E414">
        <v>13</v>
      </c>
      <c r="F414">
        <v>5</v>
      </c>
      <c r="G414">
        <v>16</v>
      </c>
      <c r="H414" t="s">
        <v>58</v>
      </c>
      <c r="I414" s="11">
        <v>46045.84359953704</v>
      </c>
      <c r="J414">
        <v>4</v>
      </c>
      <c r="K414" t="s">
        <v>41</v>
      </c>
      <c r="L414">
        <v>3216</v>
      </c>
    </row>
    <row r="415" spans="1:12">
      <c r="A415">
        <v>1144730</v>
      </c>
      <c r="B415" t="s">
        <v>1193</v>
      </c>
      <c r="C415">
        <v>31</v>
      </c>
      <c r="D415" s="10">
        <v>46119</v>
      </c>
      <c r="E415">
        <v>23</v>
      </c>
      <c r="F415">
        <v>9</v>
      </c>
      <c r="G415">
        <v>19</v>
      </c>
      <c r="H415" t="s">
        <v>58</v>
      </c>
      <c r="I415" s="11">
        <v>46046.59513888889</v>
      </c>
      <c r="J415">
        <v>1</v>
      </c>
      <c r="K415" t="s">
        <v>41</v>
      </c>
      <c r="L415">
        <v>393</v>
      </c>
    </row>
    <row r="416" spans="1:12">
      <c r="A416">
        <v>1145742</v>
      </c>
      <c r="B416" t="s">
        <v>1195</v>
      </c>
      <c r="C416">
        <v>33</v>
      </c>
      <c r="D416" s="10">
        <v>46054</v>
      </c>
      <c r="E416">
        <v>25</v>
      </c>
      <c r="F416">
        <v>11</v>
      </c>
      <c r="G416">
        <v>18</v>
      </c>
      <c r="H416" t="s">
        <v>60</v>
      </c>
      <c r="I416" s="11">
        <v>46049.55725694444</v>
      </c>
      <c r="J416">
        <v>2</v>
      </c>
      <c r="K416" t="s">
        <v>41</v>
      </c>
      <c r="L416">
        <v>1744</v>
      </c>
    </row>
    <row r="417" spans="1:12">
      <c r="A417">
        <v>1145945</v>
      </c>
      <c r="B417" t="s">
        <v>1197</v>
      </c>
      <c r="C417">
        <v>30</v>
      </c>
      <c r="D417" s="10">
        <v>46064</v>
      </c>
      <c r="E417">
        <v>24</v>
      </c>
      <c r="F417">
        <v>19</v>
      </c>
      <c r="G417">
        <v>9</v>
      </c>
      <c r="H417" t="s">
        <v>60</v>
      </c>
      <c r="I417" s="11">
        <v>46050.23365740741</v>
      </c>
      <c r="J417">
        <v>1</v>
      </c>
      <c r="K417" t="s">
        <v>41</v>
      </c>
      <c r="L417">
        <v>544</v>
      </c>
    </row>
    <row r="418" spans="1:12">
      <c r="A418">
        <v>1145955</v>
      </c>
      <c r="B418" t="s">
        <v>1200</v>
      </c>
      <c r="C418">
        <v>30</v>
      </c>
      <c r="D418" s="10">
        <v>46090</v>
      </c>
      <c r="E418">
        <v>24</v>
      </c>
      <c r="F418">
        <v>19</v>
      </c>
      <c r="G418">
        <v>9</v>
      </c>
      <c r="H418" t="s">
        <v>58</v>
      </c>
      <c r="I418" s="11">
        <v>46050.29434027777</v>
      </c>
      <c r="J418">
        <v>6</v>
      </c>
      <c r="K418" t="s">
        <v>37</v>
      </c>
      <c r="L418">
        <v>3663</v>
      </c>
    </row>
    <row r="419" spans="1:12">
      <c r="A419">
        <v>1146201</v>
      </c>
      <c r="B419" t="s">
        <v>1202</v>
      </c>
      <c r="C419">
        <v>15</v>
      </c>
      <c r="D419" s="10">
        <v>46071</v>
      </c>
      <c r="E419">
        <v>9</v>
      </c>
      <c r="F419">
        <v>3</v>
      </c>
      <c r="G419">
        <v>9</v>
      </c>
      <c r="H419" t="s">
        <v>57</v>
      </c>
      <c r="I419" s="11">
        <v>46050.83263888889</v>
      </c>
      <c r="J419">
        <v>2</v>
      </c>
      <c r="K419" t="s">
        <v>37</v>
      </c>
      <c r="L419">
        <v>4858</v>
      </c>
    </row>
    <row r="420" spans="1:12">
      <c r="A420">
        <v>1146740</v>
      </c>
      <c r="B420" t="s">
        <v>1205</v>
      </c>
      <c r="C420">
        <v>45</v>
      </c>
      <c r="D420" s="10">
        <v>46069</v>
      </c>
      <c r="E420">
        <v>33</v>
      </c>
      <c r="F420">
        <v>20</v>
      </c>
      <c r="G420">
        <v>27</v>
      </c>
      <c r="H420" t="s">
        <v>57</v>
      </c>
      <c r="I420" s="11">
        <v>46052.68942129629</v>
      </c>
      <c r="J420">
        <v>2</v>
      </c>
      <c r="K420" t="s">
        <v>37</v>
      </c>
      <c r="L420">
        <v>4032</v>
      </c>
    </row>
    <row r="421" spans="1:12">
      <c r="A421">
        <v>1146760</v>
      </c>
      <c r="B421" t="s">
        <v>1207</v>
      </c>
      <c r="C421">
        <v>44</v>
      </c>
      <c r="D421" s="10">
        <v>46117</v>
      </c>
      <c r="E421">
        <v>34</v>
      </c>
      <c r="F421">
        <v>27</v>
      </c>
      <c r="G421">
        <v>20</v>
      </c>
      <c r="H421" t="s">
        <v>60</v>
      </c>
      <c r="I421" s="11">
        <v>46052.74438657407</v>
      </c>
      <c r="J421">
        <v>1</v>
      </c>
      <c r="K421" t="s">
        <v>41</v>
      </c>
      <c r="L421">
        <v>753</v>
      </c>
    </row>
    <row r="422" spans="1:12">
      <c r="A422">
        <v>1146868</v>
      </c>
      <c r="B422" t="s">
        <v>1210</v>
      </c>
      <c r="C422">
        <v>6</v>
      </c>
      <c r="D422" s="10">
        <v>46137</v>
      </c>
      <c r="E422">
        <v>4</v>
      </c>
      <c r="F422">
        <v>32</v>
      </c>
      <c r="G422">
        <v>1</v>
      </c>
      <c r="H422" t="s">
        <v>58</v>
      </c>
      <c r="I422" s="11">
        <v>46053.06960648148</v>
      </c>
      <c r="J422">
        <v>1</v>
      </c>
      <c r="K422" t="s">
        <v>41</v>
      </c>
      <c r="L422">
        <v>1390</v>
      </c>
    </row>
    <row r="423" spans="1:12">
      <c r="A423">
        <v>1146896</v>
      </c>
      <c r="B423" t="s">
        <v>1213</v>
      </c>
      <c r="C423">
        <v>16</v>
      </c>
      <c r="D423" s="10">
        <v>46136</v>
      </c>
      <c r="E423">
        <v>10</v>
      </c>
      <c r="F423">
        <v>9</v>
      </c>
      <c r="G423">
        <v>3</v>
      </c>
      <c r="H423" t="s">
        <v>57</v>
      </c>
      <c r="I423" s="11">
        <v>46053.29137731482</v>
      </c>
      <c r="J423">
        <v>3</v>
      </c>
      <c r="K423" t="s">
        <v>37</v>
      </c>
      <c r="L423">
        <v>7287</v>
      </c>
    </row>
    <row r="424" spans="1:12">
      <c r="A424">
        <v>1146993</v>
      </c>
      <c r="B424" t="s">
        <v>1216</v>
      </c>
      <c r="C424">
        <v>8</v>
      </c>
      <c r="D424" s="10">
        <v>46099</v>
      </c>
      <c r="E424">
        <v>4</v>
      </c>
      <c r="F424">
        <v>32</v>
      </c>
      <c r="G424">
        <v>1</v>
      </c>
      <c r="H424" t="s">
        <v>60</v>
      </c>
      <c r="I424" s="11">
        <v>46053.49145833333</v>
      </c>
      <c r="J424">
        <v>1</v>
      </c>
      <c r="K424" t="s">
        <v>37</v>
      </c>
      <c r="L424">
        <v>1102</v>
      </c>
    </row>
    <row r="425" spans="1:12">
      <c r="A425">
        <v>1147417</v>
      </c>
      <c r="B425" t="s">
        <v>1219</v>
      </c>
      <c r="C425">
        <v>46</v>
      </c>
      <c r="D425" s="10">
        <v>46099</v>
      </c>
      <c r="E425">
        <v>34</v>
      </c>
      <c r="F425">
        <v>27</v>
      </c>
      <c r="G425">
        <v>20</v>
      </c>
      <c r="H425" t="s">
        <v>56</v>
      </c>
      <c r="I425" s="11">
        <v>46054.78194444445</v>
      </c>
      <c r="J425">
        <v>3</v>
      </c>
      <c r="K425" t="s">
        <v>41</v>
      </c>
      <c r="L425">
        <v>7953</v>
      </c>
    </row>
    <row r="426" spans="1:12">
      <c r="A426">
        <v>1147512</v>
      </c>
      <c r="B426" t="s">
        <v>1221</v>
      </c>
      <c r="C426">
        <v>34</v>
      </c>
      <c r="D426" s="10">
        <v>46097</v>
      </c>
      <c r="E426">
        <v>26</v>
      </c>
      <c r="F426">
        <v>18</v>
      </c>
      <c r="G426">
        <v>11</v>
      </c>
      <c r="H426" t="s">
        <v>57</v>
      </c>
      <c r="I426" s="11">
        <v>46055.27675925926</v>
      </c>
      <c r="J426">
        <v>1</v>
      </c>
      <c r="K426" t="s">
        <v>41</v>
      </c>
      <c r="L426">
        <v>2784</v>
      </c>
    </row>
    <row r="427" spans="1:12">
      <c r="A427">
        <v>1148151</v>
      </c>
      <c r="B427" t="s">
        <v>1224</v>
      </c>
      <c r="C427">
        <v>43</v>
      </c>
      <c r="D427" s="10">
        <v>46092</v>
      </c>
      <c r="E427">
        <v>33</v>
      </c>
      <c r="F427">
        <v>20</v>
      </c>
      <c r="G427">
        <v>27</v>
      </c>
      <c r="H427" t="s">
        <v>58</v>
      </c>
      <c r="I427" s="11">
        <v>46056.89958333333</v>
      </c>
      <c r="J427">
        <v>2</v>
      </c>
      <c r="K427" t="s">
        <v>45</v>
      </c>
      <c r="L427">
        <v>1812</v>
      </c>
    </row>
    <row r="428" spans="1:12">
      <c r="A428">
        <v>1148655</v>
      </c>
      <c r="B428" t="s">
        <v>1226</v>
      </c>
      <c r="C428">
        <v>34</v>
      </c>
      <c r="D428" s="10">
        <v>46076</v>
      </c>
      <c r="E428">
        <v>26</v>
      </c>
      <c r="F428">
        <v>18</v>
      </c>
      <c r="G428">
        <v>11</v>
      </c>
      <c r="H428" t="s">
        <v>56</v>
      </c>
      <c r="I428" s="11">
        <v>46058.50668981481</v>
      </c>
      <c r="J428">
        <v>2</v>
      </c>
      <c r="K428" t="s">
        <v>41</v>
      </c>
      <c r="L428">
        <v>7988</v>
      </c>
    </row>
    <row r="429" spans="1:12">
      <c r="A429">
        <v>1148664</v>
      </c>
      <c r="B429" t="s">
        <v>1229</v>
      </c>
      <c r="C429">
        <v>29</v>
      </c>
      <c r="D429" s="10">
        <v>46068</v>
      </c>
      <c r="E429">
        <v>23</v>
      </c>
      <c r="F429">
        <v>9</v>
      </c>
      <c r="G429">
        <v>19</v>
      </c>
      <c r="H429" t="s">
        <v>57</v>
      </c>
      <c r="I429" s="11">
        <v>46058.53061342592</v>
      </c>
      <c r="J429">
        <v>1</v>
      </c>
      <c r="K429" t="s">
        <v>41</v>
      </c>
      <c r="L429">
        <v>1731</v>
      </c>
    </row>
    <row r="430" spans="1:12">
      <c r="A430">
        <v>1148902</v>
      </c>
      <c r="B430" t="s">
        <v>1232</v>
      </c>
      <c r="C430">
        <v>45</v>
      </c>
      <c r="D430" s="10">
        <v>46069</v>
      </c>
      <c r="E430">
        <v>33</v>
      </c>
      <c r="F430">
        <v>20</v>
      </c>
      <c r="G430">
        <v>27</v>
      </c>
      <c r="H430" t="s">
        <v>60</v>
      </c>
      <c r="I430" s="11">
        <v>46059.33126157407</v>
      </c>
      <c r="J430">
        <v>4</v>
      </c>
      <c r="K430" t="s">
        <v>41</v>
      </c>
      <c r="L430">
        <v>2765</v>
      </c>
    </row>
    <row r="431" spans="1:12">
      <c r="A431">
        <v>1148989</v>
      </c>
      <c r="B431" t="s">
        <v>1234</v>
      </c>
      <c r="C431">
        <v>2</v>
      </c>
      <c r="D431" s="10">
        <v>46071</v>
      </c>
      <c r="E431">
        <v>2</v>
      </c>
      <c r="F431">
        <v>26</v>
      </c>
      <c r="G431">
        <v>1</v>
      </c>
      <c r="H431" t="s">
        <v>57</v>
      </c>
      <c r="I431" s="11">
        <v>46059.51616898148</v>
      </c>
      <c r="J431">
        <v>1</v>
      </c>
      <c r="K431" t="s">
        <v>41</v>
      </c>
      <c r="L431">
        <v>4406</v>
      </c>
    </row>
    <row r="432" spans="1:12">
      <c r="A432">
        <v>1149512</v>
      </c>
      <c r="B432" t="s">
        <v>1236</v>
      </c>
      <c r="C432">
        <v>2</v>
      </c>
      <c r="D432" s="10">
        <v>46071</v>
      </c>
      <c r="E432">
        <v>2</v>
      </c>
      <c r="F432">
        <v>26</v>
      </c>
      <c r="G432">
        <v>1</v>
      </c>
      <c r="H432" t="s">
        <v>57</v>
      </c>
      <c r="I432" s="11">
        <v>46060.83615740741</v>
      </c>
      <c r="J432">
        <v>3</v>
      </c>
      <c r="K432" t="s">
        <v>41</v>
      </c>
      <c r="L432">
        <v>9253</v>
      </c>
    </row>
    <row r="433" spans="1:12">
      <c r="A433">
        <v>1149632</v>
      </c>
      <c r="B433" t="s">
        <v>1238</v>
      </c>
      <c r="C433">
        <v>51</v>
      </c>
      <c r="D433" s="10">
        <v>46065</v>
      </c>
      <c r="E433">
        <v>39</v>
      </c>
      <c r="F433">
        <v>25</v>
      </c>
      <c r="G433">
        <v>29</v>
      </c>
      <c r="H433" t="s">
        <v>56</v>
      </c>
      <c r="I433" s="11">
        <v>46061.32091435185</v>
      </c>
      <c r="J433">
        <v>2</v>
      </c>
      <c r="K433" t="s">
        <v>49</v>
      </c>
      <c r="L433">
        <v>6494</v>
      </c>
    </row>
    <row r="434" spans="1:12">
      <c r="A434">
        <v>1150654</v>
      </c>
      <c r="B434" t="s">
        <v>1241</v>
      </c>
      <c r="C434">
        <v>9</v>
      </c>
      <c r="D434" s="10">
        <v>46087</v>
      </c>
      <c r="E434">
        <v>5</v>
      </c>
      <c r="F434">
        <v>2</v>
      </c>
      <c r="G434">
        <v>15</v>
      </c>
      <c r="H434" t="s">
        <v>59</v>
      </c>
      <c r="I434" s="11">
        <v>46063.95239583333</v>
      </c>
      <c r="J434">
        <v>1</v>
      </c>
      <c r="K434" t="s">
        <v>37</v>
      </c>
      <c r="L434">
        <v>833</v>
      </c>
    </row>
    <row r="435" spans="1:12">
      <c r="A435">
        <v>1150852</v>
      </c>
      <c r="B435" t="s">
        <v>1244</v>
      </c>
      <c r="C435">
        <v>24</v>
      </c>
      <c r="D435" s="10">
        <v>46085</v>
      </c>
      <c r="E435">
        <v>18</v>
      </c>
      <c r="F435">
        <v>11</v>
      </c>
      <c r="G435">
        <v>7</v>
      </c>
      <c r="H435" t="s">
        <v>58</v>
      </c>
      <c r="I435" s="11">
        <v>46064.71118055555</v>
      </c>
      <c r="J435">
        <v>3</v>
      </c>
      <c r="K435" t="s">
        <v>37</v>
      </c>
      <c r="L435">
        <v>2502</v>
      </c>
    </row>
    <row r="436" spans="1:12">
      <c r="A436">
        <v>1151385</v>
      </c>
      <c r="B436" t="s">
        <v>1246</v>
      </c>
      <c r="C436">
        <v>44</v>
      </c>
      <c r="D436" s="10">
        <v>46117</v>
      </c>
      <c r="E436">
        <v>34</v>
      </c>
      <c r="F436">
        <v>27</v>
      </c>
      <c r="G436">
        <v>20</v>
      </c>
      <c r="H436" t="s">
        <v>60</v>
      </c>
      <c r="I436" s="11">
        <v>46066.3154050926</v>
      </c>
      <c r="J436">
        <v>4</v>
      </c>
      <c r="K436" t="s">
        <v>41</v>
      </c>
      <c r="L436">
        <v>2334</v>
      </c>
    </row>
    <row r="437" spans="1:12">
      <c r="A437">
        <v>1151709</v>
      </c>
      <c r="B437" t="s">
        <v>1248</v>
      </c>
      <c r="C437">
        <v>26</v>
      </c>
      <c r="D437" s="10">
        <v>46083</v>
      </c>
      <c r="E437">
        <v>20</v>
      </c>
      <c r="F437">
        <v>12</v>
      </c>
      <c r="G437">
        <v>7</v>
      </c>
      <c r="H437" t="s">
        <v>58</v>
      </c>
      <c r="I437" s="11">
        <v>46067.33435185185</v>
      </c>
      <c r="J437">
        <v>3</v>
      </c>
      <c r="K437" t="s">
        <v>41</v>
      </c>
      <c r="L437">
        <v>1827</v>
      </c>
    </row>
    <row r="438" spans="1:12">
      <c r="A438">
        <v>1151722</v>
      </c>
      <c r="B438" t="s">
        <v>1251</v>
      </c>
      <c r="C438">
        <v>30</v>
      </c>
      <c r="D438" s="10">
        <v>46120</v>
      </c>
      <c r="E438">
        <v>24</v>
      </c>
      <c r="F438">
        <v>19</v>
      </c>
      <c r="G438">
        <v>9</v>
      </c>
      <c r="H438" t="s">
        <v>57</v>
      </c>
      <c r="I438" s="11">
        <v>46067.35853009259</v>
      </c>
      <c r="J438">
        <v>4</v>
      </c>
      <c r="K438" t="s">
        <v>41</v>
      </c>
      <c r="L438">
        <v>6059</v>
      </c>
    </row>
    <row r="439" spans="1:12">
      <c r="A439">
        <v>1151847</v>
      </c>
      <c r="B439" t="s">
        <v>1254</v>
      </c>
      <c r="C439">
        <v>30</v>
      </c>
      <c r="D439" s="10">
        <v>46090</v>
      </c>
      <c r="E439">
        <v>24</v>
      </c>
      <c r="F439">
        <v>19</v>
      </c>
      <c r="G439">
        <v>9</v>
      </c>
      <c r="H439" t="s">
        <v>58</v>
      </c>
      <c r="I439" s="11">
        <v>46067.65023148148</v>
      </c>
      <c r="J439">
        <v>2</v>
      </c>
      <c r="K439" t="s">
        <v>47</v>
      </c>
      <c r="L439">
        <v>1308</v>
      </c>
    </row>
    <row r="440" spans="1:12">
      <c r="A440">
        <v>1152098</v>
      </c>
      <c r="B440" t="s">
        <v>1256</v>
      </c>
      <c r="C440">
        <v>13</v>
      </c>
      <c r="D440" s="10">
        <v>46070</v>
      </c>
      <c r="E440">
        <v>9</v>
      </c>
      <c r="F440">
        <v>3</v>
      </c>
      <c r="G440">
        <v>9</v>
      </c>
      <c r="H440" t="s">
        <v>57</v>
      </c>
      <c r="I440" s="11">
        <v>46068.45005787037</v>
      </c>
      <c r="J440">
        <v>1</v>
      </c>
      <c r="K440" t="s">
        <v>49</v>
      </c>
      <c r="L440">
        <v>3026</v>
      </c>
    </row>
    <row r="441" spans="1:12">
      <c r="A441">
        <v>1152374</v>
      </c>
      <c r="B441" t="s">
        <v>1259</v>
      </c>
      <c r="C441">
        <v>16</v>
      </c>
      <c r="D441" s="10">
        <v>46075</v>
      </c>
      <c r="E441">
        <v>10</v>
      </c>
      <c r="F441">
        <v>9</v>
      </c>
      <c r="G441">
        <v>3</v>
      </c>
      <c r="H441" t="s">
        <v>58</v>
      </c>
      <c r="I441" s="11">
        <v>46069.29184027778</v>
      </c>
      <c r="J441">
        <v>1</v>
      </c>
      <c r="K441" t="s">
        <v>41</v>
      </c>
      <c r="L441">
        <v>916</v>
      </c>
    </row>
    <row r="442" spans="1:12">
      <c r="A442">
        <v>1152419</v>
      </c>
      <c r="B442" t="s">
        <v>1261</v>
      </c>
      <c r="C442">
        <v>43</v>
      </c>
      <c r="D442" s="10">
        <v>46163</v>
      </c>
      <c r="E442">
        <v>33</v>
      </c>
      <c r="F442">
        <v>20</v>
      </c>
      <c r="G442">
        <v>27</v>
      </c>
      <c r="H442" t="s">
        <v>60</v>
      </c>
      <c r="I442" s="11">
        <v>46069.35303240741</v>
      </c>
      <c r="J442">
        <v>3</v>
      </c>
      <c r="K442" t="s">
        <v>37</v>
      </c>
      <c r="L442">
        <v>1958</v>
      </c>
    </row>
    <row r="443" spans="1:12">
      <c r="A443">
        <v>1153612</v>
      </c>
      <c r="B443" t="s">
        <v>1264</v>
      </c>
      <c r="C443">
        <v>14</v>
      </c>
      <c r="D443" s="10">
        <v>46115</v>
      </c>
      <c r="E443">
        <v>10</v>
      </c>
      <c r="F443">
        <v>9</v>
      </c>
      <c r="G443">
        <v>3</v>
      </c>
      <c r="H443" t="s">
        <v>57</v>
      </c>
      <c r="I443" s="11">
        <v>46072.79873842592</v>
      </c>
      <c r="J443">
        <v>2</v>
      </c>
      <c r="K443" t="s">
        <v>41</v>
      </c>
      <c r="L443">
        <v>6052</v>
      </c>
    </row>
    <row r="444" spans="1:12">
      <c r="A444">
        <v>1154055</v>
      </c>
      <c r="B444" t="s">
        <v>1267</v>
      </c>
      <c r="C444">
        <v>18</v>
      </c>
      <c r="D444" s="10">
        <v>46194</v>
      </c>
      <c r="E444">
        <v>12</v>
      </c>
      <c r="F444">
        <v>24</v>
      </c>
      <c r="G444">
        <v>4</v>
      </c>
      <c r="H444" t="s">
        <v>58</v>
      </c>
      <c r="I444" s="11">
        <v>46074.30608796296</v>
      </c>
      <c r="J444">
        <v>2</v>
      </c>
      <c r="K444" t="s">
        <v>41</v>
      </c>
      <c r="L444">
        <v>1939</v>
      </c>
    </row>
    <row r="445" spans="1:12">
      <c r="A445">
        <v>1154156</v>
      </c>
      <c r="B445" t="s">
        <v>1270</v>
      </c>
      <c r="C445">
        <v>16</v>
      </c>
      <c r="D445" s="10">
        <v>46075</v>
      </c>
      <c r="E445">
        <v>10</v>
      </c>
      <c r="F445">
        <v>9</v>
      </c>
      <c r="G445">
        <v>3</v>
      </c>
      <c r="H445" t="s">
        <v>58</v>
      </c>
      <c r="I445" s="11">
        <v>46074.53150462963</v>
      </c>
      <c r="J445">
        <v>2</v>
      </c>
      <c r="K445" t="s">
        <v>41</v>
      </c>
      <c r="L445">
        <v>1832</v>
      </c>
    </row>
    <row r="446" spans="1:12">
      <c r="A446">
        <v>1154672</v>
      </c>
      <c r="B446" t="s">
        <v>1273</v>
      </c>
      <c r="C446">
        <v>43</v>
      </c>
      <c r="D446" s="10">
        <v>46135</v>
      </c>
      <c r="E446">
        <v>33</v>
      </c>
      <c r="F446">
        <v>20</v>
      </c>
      <c r="G446">
        <v>27</v>
      </c>
      <c r="H446" t="s">
        <v>60</v>
      </c>
      <c r="I446" s="11">
        <v>46076.3275</v>
      </c>
      <c r="J446">
        <v>4</v>
      </c>
      <c r="K446" t="s">
        <v>41</v>
      </c>
      <c r="L446">
        <v>2635</v>
      </c>
    </row>
    <row r="447" spans="1:12">
      <c r="A447">
        <v>1154784</v>
      </c>
      <c r="B447" t="s">
        <v>1276</v>
      </c>
      <c r="C447">
        <v>36</v>
      </c>
      <c r="D447" s="10">
        <v>46156</v>
      </c>
      <c r="E447">
        <v>26</v>
      </c>
      <c r="F447">
        <v>18</v>
      </c>
      <c r="G447">
        <v>11</v>
      </c>
      <c r="H447" t="s">
        <v>57</v>
      </c>
      <c r="I447" s="11">
        <v>46076.61621527778</v>
      </c>
      <c r="J447">
        <v>2</v>
      </c>
      <c r="K447" t="s">
        <v>41</v>
      </c>
      <c r="L447">
        <v>5568</v>
      </c>
    </row>
    <row r="448" spans="1:12">
      <c r="A448">
        <v>1154799</v>
      </c>
      <c r="B448" t="s">
        <v>1279</v>
      </c>
      <c r="C448">
        <v>33</v>
      </c>
      <c r="D448" s="10">
        <v>46092</v>
      </c>
      <c r="E448">
        <v>25</v>
      </c>
      <c r="F448">
        <v>11</v>
      </c>
      <c r="G448">
        <v>18</v>
      </c>
      <c r="H448" t="s">
        <v>60</v>
      </c>
      <c r="I448" s="11">
        <v>46076.65060185185</v>
      </c>
      <c r="J448">
        <v>1</v>
      </c>
      <c r="K448" t="s">
        <v>41</v>
      </c>
      <c r="L448">
        <v>872</v>
      </c>
    </row>
    <row r="449" spans="1:12">
      <c r="A449">
        <v>1154897</v>
      </c>
      <c r="B449" t="s">
        <v>1281</v>
      </c>
      <c r="C449">
        <v>40</v>
      </c>
      <c r="D449" s="10">
        <v>46082</v>
      </c>
      <c r="E449">
        <v>30</v>
      </c>
      <c r="F449">
        <v>22</v>
      </c>
      <c r="G449">
        <v>14</v>
      </c>
      <c r="H449" t="s">
        <v>56</v>
      </c>
      <c r="I449" s="11">
        <v>46076.87965277778</v>
      </c>
      <c r="J449">
        <v>1</v>
      </c>
      <c r="K449" t="s">
        <v>41</v>
      </c>
      <c r="L449">
        <v>4142</v>
      </c>
    </row>
    <row r="450" spans="1:12">
      <c r="A450">
        <v>1155002</v>
      </c>
      <c r="B450" t="s">
        <v>1284</v>
      </c>
      <c r="C450">
        <v>45</v>
      </c>
      <c r="D450" s="10">
        <v>46132</v>
      </c>
      <c r="E450">
        <v>33</v>
      </c>
      <c r="F450">
        <v>20</v>
      </c>
      <c r="G450">
        <v>27</v>
      </c>
      <c r="H450" t="s">
        <v>57</v>
      </c>
      <c r="I450" s="11">
        <v>46077.41146990741</v>
      </c>
      <c r="J450">
        <v>2</v>
      </c>
      <c r="K450" t="s">
        <v>41</v>
      </c>
      <c r="L450">
        <v>5040</v>
      </c>
    </row>
    <row r="451" spans="1:12">
      <c r="A451">
        <v>1155548</v>
      </c>
      <c r="B451" t="s">
        <v>1287</v>
      </c>
      <c r="C451">
        <v>21</v>
      </c>
      <c r="D451" s="10">
        <v>46198</v>
      </c>
      <c r="E451">
        <v>15</v>
      </c>
      <c r="F451">
        <v>6</v>
      </c>
      <c r="G451">
        <v>10</v>
      </c>
      <c r="H451" t="s">
        <v>58</v>
      </c>
      <c r="I451" s="11">
        <v>46078.90035879629</v>
      </c>
      <c r="J451">
        <v>1</v>
      </c>
      <c r="K451" t="s">
        <v>37</v>
      </c>
      <c r="L451">
        <v>1053</v>
      </c>
    </row>
    <row r="452" spans="1:12">
      <c r="A452">
        <v>1155881</v>
      </c>
      <c r="B452" t="s">
        <v>1290</v>
      </c>
      <c r="C452">
        <v>10</v>
      </c>
      <c r="D452" s="10">
        <v>46140</v>
      </c>
      <c r="E452">
        <v>6</v>
      </c>
      <c r="F452">
        <v>15</v>
      </c>
      <c r="G452">
        <v>2</v>
      </c>
      <c r="H452" t="s">
        <v>58</v>
      </c>
      <c r="I452" s="11">
        <v>46080.05730324074</v>
      </c>
      <c r="J452">
        <v>1</v>
      </c>
      <c r="K452" t="s">
        <v>41</v>
      </c>
      <c r="L452">
        <v>209</v>
      </c>
    </row>
    <row r="453" spans="1:12">
      <c r="A453">
        <v>1155958</v>
      </c>
      <c r="B453" t="s">
        <v>1293</v>
      </c>
      <c r="C453">
        <v>32</v>
      </c>
      <c r="D453" s="10">
        <v>46083</v>
      </c>
      <c r="E453">
        <v>24</v>
      </c>
      <c r="F453">
        <v>19</v>
      </c>
      <c r="G453">
        <v>9</v>
      </c>
      <c r="H453" t="s">
        <v>58</v>
      </c>
      <c r="I453" s="11">
        <v>46080.38989583333</v>
      </c>
      <c r="J453">
        <v>4</v>
      </c>
      <c r="K453" t="s">
        <v>47</v>
      </c>
      <c r="L453">
        <v>2289</v>
      </c>
    </row>
    <row r="454" spans="1:12">
      <c r="A454">
        <v>1156722</v>
      </c>
      <c r="B454" t="s">
        <v>1295</v>
      </c>
      <c r="C454">
        <v>26</v>
      </c>
      <c r="D454" s="10">
        <v>46083</v>
      </c>
      <c r="E454">
        <v>20</v>
      </c>
      <c r="F454">
        <v>12</v>
      </c>
      <c r="G454">
        <v>7</v>
      </c>
      <c r="H454" t="s">
        <v>58</v>
      </c>
      <c r="I454" s="11">
        <v>46082.66462962963</v>
      </c>
      <c r="J454">
        <v>2</v>
      </c>
      <c r="K454" t="s">
        <v>49</v>
      </c>
      <c r="L454">
        <v>1740</v>
      </c>
    </row>
    <row r="455" spans="1:12">
      <c r="A455">
        <v>1157753</v>
      </c>
      <c r="B455" t="s">
        <v>1297</v>
      </c>
      <c r="C455">
        <v>43</v>
      </c>
      <c r="D455" s="10">
        <v>46092</v>
      </c>
      <c r="E455">
        <v>33</v>
      </c>
      <c r="F455">
        <v>20</v>
      </c>
      <c r="G455">
        <v>27</v>
      </c>
      <c r="H455" t="s">
        <v>60</v>
      </c>
      <c r="I455" s="11">
        <v>46085.82247685185</v>
      </c>
      <c r="J455">
        <v>1</v>
      </c>
      <c r="K455" t="s">
        <v>49</v>
      </c>
      <c r="L455">
        <v>452</v>
      </c>
    </row>
    <row r="456" spans="1:12">
      <c r="A456">
        <v>1158099</v>
      </c>
      <c r="B456" t="s">
        <v>1299</v>
      </c>
      <c r="C456">
        <v>3</v>
      </c>
      <c r="D456" s="10">
        <v>46111</v>
      </c>
      <c r="E456">
        <v>1</v>
      </c>
      <c r="F456">
        <v>1</v>
      </c>
      <c r="G456">
        <v>26</v>
      </c>
      <c r="H456" t="s">
        <v>57</v>
      </c>
      <c r="I456" s="11">
        <v>46087.31348379629</v>
      </c>
      <c r="J456">
        <v>1</v>
      </c>
      <c r="K456" t="s">
        <v>41</v>
      </c>
      <c r="L456">
        <v>2519</v>
      </c>
    </row>
    <row r="457" spans="1:12">
      <c r="A457">
        <v>1158815</v>
      </c>
      <c r="B457" t="s">
        <v>1304</v>
      </c>
      <c r="C457">
        <v>18</v>
      </c>
      <c r="D457" s="10">
        <v>46122</v>
      </c>
      <c r="E457">
        <v>12</v>
      </c>
      <c r="F457">
        <v>24</v>
      </c>
      <c r="G457">
        <v>4</v>
      </c>
      <c r="H457" t="s">
        <v>57</v>
      </c>
      <c r="I457" s="11">
        <v>46089.59179398148</v>
      </c>
      <c r="J457">
        <v>4</v>
      </c>
      <c r="K457" t="s">
        <v>45</v>
      </c>
      <c r="L457">
        <v>10302</v>
      </c>
    </row>
    <row r="458" spans="1:12">
      <c r="A458">
        <v>1158935</v>
      </c>
      <c r="B458" t="s">
        <v>1307</v>
      </c>
      <c r="C458">
        <v>30</v>
      </c>
      <c r="D458" s="10">
        <v>46148</v>
      </c>
      <c r="E458">
        <v>24</v>
      </c>
      <c r="F458">
        <v>19</v>
      </c>
      <c r="G458">
        <v>9</v>
      </c>
      <c r="H458" t="s">
        <v>57</v>
      </c>
      <c r="I458" s="11">
        <v>46089.8405324074</v>
      </c>
      <c r="J458">
        <v>2</v>
      </c>
      <c r="K458" t="s">
        <v>41</v>
      </c>
      <c r="L458">
        <v>3462</v>
      </c>
    </row>
    <row r="459" spans="1:12">
      <c r="A459">
        <v>1158978</v>
      </c>
      <c r="B459" t="s">
        <v>1310</v>
      </c>
      <c r="C459">
        <v>12</v>
      </c>
      <c r="D459" s="10">
        <v>46117</v>
      </c>
      <c r="E459">
        <v>8</v>
      </c>
      <c r="F459">
        <v>17</v>
      </c>
      <c r="G459">
        <v>2</v>
      </c>
      <c r="H459" t="s">
        <v>57</v>
      </c>
      <c r="I459" s="11">
        <v>46089.91950231481</v>
      </c>
      <c r="J459">
        <v>5</v>
      </c>
      <c r="K459" t="s">
        <v>37</v>
      </c>
      <c r="L459">
        <v>8343</v>
      </c>
    </row>
    <row r="460" spans="1:12">
      <c r="A460">
        <v>1159674</v>
      </c>
      <c r="B460" t="s">
        <v>1312</v>
      </c>
      <c r="C460">
        <v>22</v>
      </c>
      <c r="D460" s="10">
        <v>46101</v>
      </c>
      <c r="E460">
        <v>16</v>
      </c>
      <c r="F460">
        <v>10</v>
      </c>
      <c r="G460">
        <v>6</v>
      </c>
      <c r="H460" t="s">
        <v>58</v>
      </c>
      <c r="I460" s="11">
        <v>46092.21991898148</v>
      </c>
      <c r="J460">
        <v>2</v>
      </c>
      <c r="K460" t="s">
        <v>37</v>
      </c>
      <c r="L460">
        <v>2106</v>
      </c>
    </row>
    <row r="461" spans="1:12">
      <c r="A461">
        <v>1160118</v>
      </c>
      <c r="B461" t="s">
        <v>1315</v>
      </c>
      <c r="C461">
        <v>46</v>
      </c>
      <c r="D461" s="10">
        <v>46099</v>
      </c>
      <c r="E461">
        <v>34</v>
      </c>
      <c r="F461">
        <v>27</v>
      </c>
      <c r="G461">
        <v>20</v>
      </c>
      <c r="H461" t="s">
        <v>58</v>
      </c>
      <c r="I461" s="11">
        <v>46093.78399305556</v>
      </c>
      <c r="J461">
        <v>1</v>
      </c>
      <c r="K461" t="s">
        <v>47</v>
      </c>
      <c r="L461">
        <v>950</v>
      </c>
    </row>
    <row r="462" spans="1:12">
      <c r="A462">
        <v>1160122</v>
      </c>
      <c r="B462" t="s">
        <v>1317</v>
      </c>
      <c r="C462">
        <v>27</v>
      </c>
      <c r="D462" s="10">
        <v>46121</v>
      </c>
      <c r="E462">
        <v>21</v>
      </c>
      <c r="F462">
        <v>8</v>
      </c>
      <c r="G462">
        <v>19</v>
      </c>
      <c r="H462" t="s">
        <v>58</v>
      </c>
      <c r="I462" s="11">
        <v>46093.79331018519</v>
      </c>
      <c r="J462">
        <v>1</v>
      </c>
      <c r="K462" t="s">
        <v>41</v>
      </c>
      <c r="L462">
        <v>1183</v>
      </c>
    </row>
    <row r="463" spans="1:12">
      <c r="A463">
        <v>1160148</v>
      </c>
      <c r="B463" t="s">
        <v>1320</v>
      </c>
      <c r="C463">
        <v>25</v>
      </c>
      <c r="D463" s="10">
        <v>46135</v>
      </c>
      <c r="E463">
        <v>19</v>
      </c>
      <c r="F463">
        <v>7</v>
      </c>
      <c r="G463">
        <v>12</v>
      </c>
      <c r="H463" t="s">
        <v>58</v>
      </c>
      <c r="I463" s="11">
        <v>46093.83274305556</v>
      </c>
      <c r="J463">
        <v>5</v>
      </c>
      <c r="K463" t="s">
        <v>41</v>
      </c>
      <c r="L463">
        <v>4350</v>
      </c>
    </row>
    <row r="464" spans="1:12">
      <c r="A464">
        <v>1160688</v>
      </c>
      <c r="B464" t="s">
        <v>1322</v>
      </c>
      <c r="C464">
        <v>10</v>
      </c>
      <c r="D464" s="10">
        <v>46112</v>
      </c>
      <c r="E464">
        <v>6</v>
      </c>
      <c r="F464">
        <v>15</v>
      </c>
      <c r="G464">
        <v>2</v>
      </c>
      <c r="H464" t="s">
        <v>59</v>
      </c>
      <c r="I464" s="11">
        <v>46095.78861111111</v>
      </c>
      <c r="J464">
        <v>1</v>
      </c>
      <c r="K464" t="s">
        <v>41</v>
      </c>
      <c r="L464">
        <v>833</v>
      </c>
    </row>
    <row r="465" spans="1:12">
      <c r="A465">
        <v>1161167</v>
      </c>
      <c r="B465" t="s">
        <v>1325</v>
      </c>
      <c r="C465">
        <v>29</v>
      </c>
      <c r="D465" s="10">
        <v>46105</v>
      </c>
      <c r="E465">
        <v>23</v>
      </c>
      <c r="F465">
        <v>9</v>
      </c>
      <c r="G465">
        <v>19</v>
      </c>
      <c r="H465" t="s">
        <v>57</v>
      </c>
      <c r="I465" s="11">
        <v>46097.54229166666</v>
      </c>
      <c r="J465">
        <v>1</v>
      </c>
      <c r="K465" t="s">
        <v>41</v>
      </c>
      <c r="L465">
        <v>1731</v>
      </c>
    </row>
    <row r="466" spans="1:12">
      <c r="A466">
        <v>1161274</v>
      </c>
      <c r="B466" t="s">
        <v>1328</v>
      </c>
      <c r="C466">
        <v>12</v>
      </c>
      <c r="D466" s="10">
        <v>46117</v>
      </c>
      <c r="E466">
        <v>8</v>
      </c>
      <c r="F466">
        <v>17</v>
      </c>
      <c r="G466">
        <v>2</v>
      </c>
      <c r="H466" t="s">
        <v>57</v>
      </c>
      <c r="I466" s="11">
        <v>46097.83646990741</v>
      </c>
      <c r="J466">
        <v>2</v>
      </c>
      <c r="K466" t="s">
        <v>41</v>
      </c>
      <c r="L466">
        <v>3708</v>
      </c>
    </row>
    <row r="467" spans="1:12">
      <c r="A467">
        <v>1161513</v>
      </c>
      <c r="B467" t="s">
        <v>1330</v>
      </c>
      <c r="C467">
        <v>12</v>
      </c>
      <c r="D467" s="10">
        <v>46117</v>
      </c>
      <c r="E467">
        <v>8</v>
      </c>
      <c r="F467">
        <v>17</v>
      </c>
      <c r="G467">
        <v>2</v>
      </c>
      <c r="H467" t="s">
        <v>60</v>
      </c>
      <c r="I467" s="11">
        <v>46098.70436342592</v>
      </c>
      <c r="J467">
        <v>1</v>
      </c>
      <c r="K467" t="s">
        <v>41</v>
      </c>
      <c r="L467">
        <v>582</v>
      </c>
    </row>
    <row r="468" spans="1:12">
      <c r="A468">
        <v>1162063</v>
      </c>
      <c r="B468" t="s">
        <v>1332</v>
      </c>
      <c r="C468">
        <v>45</v>
      </c>
      <c r="D468" s="10">
        <v>46132</v>
      </c>
      <c r="E468">
        <v>33</v>
      </c>
      <c r="F468">
        <v>20</v>
      </c>
      <c r="G468">
        <v>27</v>
      </c>
      <c r="H468" t="s">
        <v>57</v>
      </c>
      <c r="I468" s="11">
        <v>46100.75216435185</v>
      </c>
      <c r="J468">
        <v>1</v>
      </c>
      <c r="K468" t="s">
        <v>37</v>
      </c>
      <c r="L468">
        <v>1512</v>
      </c>
    </row>
    <row r="469" spans="1:12">
      <c r="A469">
        <v>1162577</v>
      </c>
      <c r="B469" t="s">
        <v>1334</v>
      </c>
      <c r="C469">
        <v>27</v>
      </c>
      <c r="D469" s="10">
        <v>46213</v>
      </c>
      <c r="E469">
        <v>21</v>
      </c>
      <c r="F469">
        <v>8</v>
      </c>
      <c r="G469">
        <v>19</v>
      </c>
      <c r="H469" t="s">
        <v>58</v>
      </c>
      <c r="I469" s="11">
        <v>46102.56934027778</v>
      </c>
      <c r="J469">
        <v>1</v>
      </c>
      <c r="K469" t="s">
        <v>41</v>
      </c>
      <c r="L469">
        <v>710</v>
      </c>
    </row>
    <row r="470" spans="1:12">
      <c r="A470">
        <v>1162647</v>
      </c>
      <c r="B470" t="s">
        <v>1337</v>
      </c>
      <c r="C470">
        <v>41</v>
      </c>
      <c r="D470" s="10">
        <v>46111</v>
      </c>
      <c r="E470">
        <v>31</v>
      </c>
      <c r="F470">
        <v>15</v>
      </c>
      <c r="G470">
        <v>31</v>
      </c>
      <c r="H470" t="s">
        <v>60</v>
      </c>
      <c r="I470" s="11">
        <v>46102.74025462963</v>
      </c>
      <c r="J470">
        <v>1</v>
      </c>
      <c r="K470" t="s">
        <v>37</v>
      </c>
      <c r="L470">
        <v>941</v>
      </c>
    </row>
    <row r="471" spans="1:12">
      <c r="A471">
        <v>1162802</v>
      </c>
      <c r="B471" t="s">
        <v>1339</v>
      </c>
      <c r="C471">
        <v>11</v>
      </c>
      <c r="D471" s="10">
        <v>46178</v>
      </c>
      <c r="E471">
        <v>7</v>
      </c>
      <c r="F471">
        <v>2</v>
      </c>
      <c r="G471">
        <v>17</v>
      </c>
      <c r="H471" t="s">
        <v>58</v>
      </c>
      <c r="I471" s="11">
        <v>46103.33924768519</v>
      </c>
      <c r="J471">
        <v>1</v>
      </c>
      <c r="K471" t="s">
        <v>41</v>
      </c>
      <c r="L471">
        <v>700</v>
      </c>
    </row>
    <row r="472" spans="1:12">
      <c r="A472">
        <v>1162927</v>
      </c>
      <c r="B472" t="s">
        <v>1342</v>
      </c>
      <c r="C472">
        <v>12</v>
      </c>
      <c r="D472" s="10">
        <v>46117</v>
      </c>
      <c r="E472">
        <v>8</v>
      </c>
      <c r="F472">
        <v>17</v>
      </c>
      <c r="G472">
        <v>2</v>
      </c>
      <c r="H472" t="s">
        <v>58</v>
      </c>
      <c r="I472" s="11">
        <v>46103.67133101852</v>
      </c>
      <c r="J472">
        <v>2</v>
      </c>
      <c r="K472" t="s">
        <v>41</v>
      </c>
      <c r="L472">
        <v>1400</v>
      </c>
    </row>
    <row r="473" spans="1:12">
      <c r="A473">
        <v>1163181</v>
      </c>
      <c r="B473" t="s">
        <v>1344</v>
      </c>
      <c r="C473">
        <v>25</v>
      </c>
      <c r="D473" s="10">
        <v>46135</v>
      </c>
      <c r="E473">
        <v>19</v>
      </c>
      <c r="F473">
        <v>7</v>
      </c>
      <c r="G473">
        <v>12</v>
      </c>
      <c r="H473" t="s">
        <v>57</v>
      </c>
      <c r="I473" s="11">
        <v>46104.53179398148</v>
      </c>
      <c r="J473">
        <v>3</v>
      </c>
      <c r="K473" t="s">
        <v>41</v>
      </c>
      <c r="L473">
        <v>6921</v>
      </c>
    </row>
    <row r="474" spans="1:12">
      <c r="A474">
        <v>1163782</v>
      </c>
      <c r="B474" t="s">
        <v>1346</v>
      </c>
      <c r="C474">
        <v>12</v>
      </c>
      <c r="D474" s="10">
        <v>46117</v>
      </c>
      <c r="E474">
        <v>8</v>
      </c>
      <c r="F474">
        <v>17</v>
      </c>
      <c r="G474">
        <v>2</v>
      </c>
      <c r="H474" t="s">
        <v>57</v>
      </c>
      <c r="I474" s="11">
        <v>46106.40555555555</v>
      </c>
      <c r="J474">
        <v>2</v>
      </c>
      <c r="K474" t="s">
        <v>37</v>
      </c>
      <c r="L474">
        <v>2967</v>
      </c>
    </row>
    <row r="475" spans="1:12">
      <c r="A475">
        <v>1163803</v>
      </c>
      <c r="B475" t="s">
        <v>1348</v>
      </c>
      <c r="C475">
        <v>30</v>
      </c>
      <c r="D475" s="10">
        <v>46148</v>
      </c>
      <c r="E475">
        <v>24</v>
      </c>
      <c r="F475">
        <v>19</v>
      </c>
      <c r="G475">
        <v>9</v>
      </c>
      <c r="H475" t="s">
        <v>60</v>
      </c>
      <c r="I475" s="11">
        <v>46106.46298611111</v>
      </c>
      <c r="J475">
        <v>1</v>
      </c>
      <c r="K475" t="s">
        <v>41</v>
      </c>
      <c r="L475">
        <v>544</v>
      </c>
    </row>
    <row r="476" spans="1:12">
      <c r="A476">
        <v>1164059</v>
      </c>
      <c r="B476" t="s">
        <v>1350</v>
      </c>
      <c r="C476">
        <v>44</v>
      </c>
      <c r="D476" s="10">
        <v>46227</v>
      </c>
      <c r="E476">
        <v>34</v>
      </c>
      <c r="F476">
        <v>27</v>
      </c>
      <c r="G476">
        <v>20</v>
      </c>
      <c r="H476" t="s">
        <v>58</v>
      </c>
      <c r="I476" s="11">
        <v>46107.37087962963</v>
      </c>
      <c r="J476">
        <v>1</v>
      </c>
      <c r="K476" t="s">
        <v>37</v>
      </c>
      <c r="L476">
        <v>906</v>
      </c>
    </row>
    <row r="477" spans="1:12">
      <c r="A477">
        <v>1164189</v>
      </c>
      <c r="B477" t="s">
        <v>1353</v>
      </c>
      <c r="C477">
        <v>18</v>
      </c>
      <c r="D477" s="10">
        <v>46122</v>
      </c>
      <c r="E477">
        <v>12</v>
      </c>
      <c r="F477">
        <v>24</v>
      </c>
      <c r="G477">
        <v>4</v>
      </c>
      <c r="H477" t="s">
        <v>58</v>
      </c>
      <c r="I477" s="11">
        <v>46107.69834490741</v>
      </c>
      <c r="J477">
        <v>1</v>
      </c>
      <c r="K477" t="s">
        <v>41</v>
      </c>
      <c r="L477">
        <v>1212</v>
      </c>
    </row>
    <row r="478" spans="1:12">
      <c r="A478">
        <v>1164953</v>
      </c>
      <c r="B478" t="s">
        <v>1358</v>
      </c>
      <c r="C478">
        <v>32</v>
      </c>
      <c r="D478" s="10">
        <v>46202</v>
      </c>
      <c r="E478">
        <v>24</v>
      </c>
      <c r="F478">
        <v>19</v>
      </c>
      <c r="G478">
        <v>9</v>
      </c>
      <c r="H478" t="s">
        <v>57</v>
      </c>
      <c r="I478" s="11">
        <v>46109.86409722222</v>
      </c>
      <c r="J478">
        <v>4</v>
      </c>
      <c r="K478" t="s">
        <v>41</v>
      </c>
      <c r="L478">
        <v>5367</v>
      </c>
    </row>
    <row r="479" spans="1:12">
      <c r="A479">
        <v>1165115</v>
      </c>
      <c r="B479" t="s">
        <v>1361</v>
      </c>
      <c r="C479">
        <v>16</v>
      </c>
      <c r="D479" s="10">
        <v>46136</v>
      </c>
      <c r="E479">
        <v>10</v>
      </c>
      <c r="F479">
        <v>9</v>
      </c>
      <c r="G479">
        <v>3</v>
      </c>
      <c r="H479" t="s">
        <v>58</v>
      </c>
      <c r="I479" s="11">
        <v>46110.46960648148</v>
      </c>
      <c r="J479">
        <v>5</v>
      </c>
      <c r="K479" t="s">
        <v>37</v>
      </c>
      <c r="L479">
        <v>3755</v>
      </c>
    </row>
    <row r="480" spans="1:12">
      <c r="A480">
        <v>1165130</v>
      </c>
      <c r="B480" t="s">
        <v>1363</v>
      </c>
      <c r="C480">
        <v>30</v>
      </c>
      <c r="D480" s="10">
        <v>46148</v>
      </c>
      <c r="E480">
        <v>24</v>
      </c>
      <c r="F480">
        <v>19</v>
      </c>
      <c r="G480">
        <v>9</v>
      </c>
      <c r="H480" t="s">
        <v>57</v>
      </c>
      <c r="I480" s="11">
        <v>46110.52002314815</v>
      </c>
      <c r="J480">
        <v>1</v>
      </c>
      <c r="K480" t="s">
        <v>37</v>
      </c>
      <c r="L480">
        <v>1039</v>
      </c>
    </row>
    <row r="481" spans="1:12">
      <c r="A481">
        <v>1165520</v>
      </c>
      <c r="B481" t="s">
        <v>1365</v>
      </c>
      <c r="C481">
        <v>31</v>
      </c>
      <c r="D481" s="10">
        <v>46119</v>
      </c>
      <c r="E481">
        <v>23</v>
      </c>
      <c r="F481">
        <v>9</v>
      </c>
      <c r="G481">
        <v>19</v>
      </c>
      <c r="H481" t="s">
        <v>58</v>
      </c>
      <c r="I481" s="11">
        <v>46111.60959490741</v>
      </c>
      <c r="J481">
        <v>1</v>
      </c>
      <c r="K481" t="s">
        <v>47</v>
      </c>
      <c r="L481">
        <v>654</v>
      </c>
    </row>
    <row r="482" spans="1:12">
      <c r="A482">
        <v>1165685</v>
      </c>
      <c r="B482" t="s">
        <v>1367</v>
      </c>
      <c r="C482">
        <v>34</v>
      </c>
      <c r="D482" s="10">
        <v>46160</v>
      </c>
      <c r="E482">
        <v>26</v>
      </c>
      <c r="F482">
        <v>18</v>
      </c>
      <c r="G482">
        <v>11</v>
      </c>
      <c r="H482" t="s">
        <v>58</v>
      </c>
      <c r="I482" s="11">
        <v>46111.93381944444</v>
      </c>
      <c r="J482">
        <v>2</v>
      </c>
      <c r="K482" t="s">
        <v>41</v>
      </c>
      <c r="L482">
        <v>2098</v>
      </c>
    </row>
    <row r="483" spans="1:12">
      <c r="A483">
        <v>1165984</v>
      </c>
      <c r="B483" t="s">
        <v>1370</v>
      </c>
      <c r="C483">
        <v>9</v>
      </c>
      <c r="D483" s="10">
        <v>46119</v>
      </c>
      <c r="E483">
        <v>5</v>
      </c>
      <c r="F483">
        <v>2</v>
      </c>
      <c r="G483">
        <v>15</v>
      </c>
      <c r="H483" t="s">
        <v>60</v>
      </c>
      <c r="I483" s="11">
        <v>46112.90413194444</v>
      </c>
      <c r="J483">
        <v>4</v>
      </c>
      <c r="K483" t="s">
        <v>41</v>
      </c>
      <c r="L483">
        <v>1152</v>
      </c>
    </row>
    <row r="484" spans="1:12">
      <c r="A484">
        <v>1166012</v>
      </c>
      <c r="B484" t="s">
        <v>1372</v>
      </c>
      <c r="C484">
        <v>3</v>
      </c>
      <c r="D484" s="10">
        <v>46230</v>
      </c>
      <c r="E484">
        <v>1</v>
      </c>
      <c r="F484">
        <v>1</v>
      </c>
      <c r="G484">
        <v>26</v>
      </c>
      <c r="H484" t="s">
        <v>57</v>
      </c>
      <c r="I484" s="11">
        <v>46113.06447916666</v>
      </c>
      <c r="J484">
        <v>1</v>
      </c>
      <c r="K484" t="s">
        <v>41</v>
      </c>
      <c r="L484">
        <v>4198</v>
      </c>
    </row>
    <row r="485" spans="1:12">
      <c r="A485">
        <v>1166075</v>
      </c>
      <c r="B485" t="s">
        <v>1375</v>
      </c>
      <c r="C485">
        <v>14</v>
      </c>
      <c r="D485" s="10">
        <v>46157</v>
      </c>
      <c r="E485">
        <v>10</v>
      </c>
      <c r="F485">
        <v>9</v>
      </c>
      <c r="G485">
        <v>3</v>
      </c>
      <c r="H485" t="s">
        <v>56</v>
      </c>
      <c r="I485" s="11">
        <v>46113.36471064815</v>
      </c>
      <c r="J485">
        <v>2</v>
      </c>
      <c r="K485" t="s">
        <v>41</v>
      </c>
      <c r="L485">
        <v>8684</v>
      </c>
    </row>
    <row r="486" spans="1:12">
      <c r="A486">
        <v>1166085</v>
      </c>
      <c r="B486" t="s">
        <v>1378</v>
      </c>
      <c r="C486">
        <v>22</v>
      </c>
      <c r="D486" s="10">
        <v>46140</v>
      </c>
      <c r="E486">
        <v>16</v>
      </c>
      <c r="F486">
        <v>10</v>
      </c>
      <c r="G486">
        <v>6</v>
      </c>
      <c r="H486" t="s">
        <v>58</v>
      </c>
      <c r="I486" s="11">
        <v>46113.38821759259</v>
      </c>
      <c r="J486">
        <v>4</v>
      </c>
      <c r="K486" t="s">
        <v>45</v>
      </c>
      <c r="L486">
        <v>4212</v>
      </c>
    </row>
    <row r="487" spans="1:12">
      <c r="A487">
        <v>1166228</v>
      </c>
      <c r="B487" t="s">
        <v>1380</v>
      </c>
      <c r="C487">
        <v>1</v>
      </c>
      <c r="D487" s="10">
        <v>46131</v>
      </c>
      <c r="E487">
        <v>1</v>
      </c>
      <c r="F487">
        <v>1</v>
      </c>
      <c r="G487">
        <v>26</v>
      </c>
      <c r="H487" t="s">
        <v>58</v>
      </c>
      <c r="I487" s="11">
        <v>46113.76091435185</v>
      </c>
      <c r="J487">
        <v>4</v>
      </c>
      <c r="K487" t="s">
        <v>41</v>
      </c>
      <c r="L487">
        <v>5965</v>
      </c>
    </row>
    <row r="488" spans="1:12">
      <c r="A488">
        <v>1166538</v>
      </c>
      <c r="B488" t="s">
        <v>1382</v>
      </c>
      <c r="C488">
        <v>32</v>
      </c>
      <c r="D488" s="10">
        <v>46160</v>
      </c>
      <c r="E488">
        <v>24</v>
      </c>
      <c r="F488">
        <v>19</v>
      </c>
      <c r="G488">
        <v>9</v>
      </c>
      <c r="H488" t="s">
        <v>60</v>
      </c>
      <c r="I488" s="11">
        <v>46114.74820601852</v>
      </c>
      <c r="J488">
        <v>1</v>
      </c>
      <c r="K488" t="s">
        <v>37</v>
      </c>
      <c r="L488">
        <v>544</v>
      </c>
    </row>
    <row r="489" spans="1:12">
      <c r="A489">
        <v>1166805</v>
      </c>
      <c r="B489" t="s">
        <v>1384</v>
      </c>
      <c r="C489">
        <v>3</v>
      </c>
      <c r="D489" s="10">
        <v>46167</v>
      </c>
      <c r="E489">
        <v>1</v>
      </c>
      <c r="F489">
        <v>1</v>
      </c>
      <c r="G489">
        <v>26</v>
      </c>
      <c r="H489" t="s">
        <v>57</v>
      </c>
      <c r="I489" s="11">
        <v>46115.60905092592</v>
      </c>
      <c r="J489">
        <v>1</v>
      </c>
      <c r="K489" t="s">
        <v>41</v>
      </c>
      <c r="L489">
        <v>4198</v>
      </c>
    </row>
    <row r="490" spans="1:12">
      <c r="A490">
        <v>1167325</v>
      </c>
      <c r="B490" t="s">
        <v>1387</v>
      </c>
      <c r="C490">
        <v>36</v>
      </c>
      <c r="D490" s="10">
        <v>46132</v>
      </c>
      <c r="E490">
        <v>26</v>
      </c>
      <c r="F490">
        <v>18</v>
      </c>
      <c r="G490">
        <v>11</v>
      </c>
      <c r="H490" t="s">
        <v>58</v>
      </c>
      <c r="I490" s="11">
        <v>46116.97185185185</v>
      </c>
      <c r="J490">
        <v>3</v>
      </c>
      <c r="K490" t="s">
        <v>41</v>
      </c>
      <c r="L490">
        <v>3147</v>
      </c>
    </row>
    <row r="491" spans="1:12">
      <c r="A491">
        <v>1168404</v>
      </c>
      <c r="B491" t="s">
        <v>1391</v>
      </c>
      <c r="C491">
        <v>30</v>
      </c>
      <c r="D491" s="10">
        <v>46120</v>
      </c>
      <c r="E491">
        <v>24</v>
      </c>
      <c r="F491">
        <v>19</v>
      </c>
      <c r="G491">
        <v>9</v>
      </c>
      <c r="H491" t="s">
        <v>60</v>
      </c>
      <c r="I491" s="11">
        <v>46120.48178240741</v>
      </c>
      <c r="J491">
        <v>1</v>
      </c>
      <c r="K491" t="s">
        <v>49</v>
      </c>
      <c r="L491">
        <v>544</v>
      </c>
    </row>
    <row r="492" spans="1:12">
      <c r="A492">
        <v>1168644</v>
      </c>
      <c r="B492" t="s">
        <v>1393</v>
      </c>
      <c r="C492">
        <v>18</v>
      </c>
      <c r="D492" s="10">
        <v>46122</v>
      </c>
      <c r="E492">
        <v>12</v>
      </c>
      <c r="F492">
        <v>24</v>
      </c>
      <c r="G492">
        <v>4</v>
      </c>
      <c r="H492" t="s">
        <v>60</v>
      </c>
      <c r="I492" s="11">
        <v>46121.08629629629</v>
      </c>
      <c r="J492">
        <v>1</v>
      </c>
      <c r="K492" t="s">
        <v>41</v>
      </c>
      <c r="L492">
        <v>1008</v>
      </c>
    </row>
    <row r="493" spans="1:12">
      <c r="A493">
        <v>1168703</v>
      </c>
      <c r="B493" t="s">
        <v>1395</v>
      </c>
      <c r="C493">
        <v>16</v>
      </c>
      <c r="D493" s="10">
        <v>46136</v>
      </c>
      <c r="E493">
        <v>10</v>
      </c>
      <c r="F493">
        <v>9</v>
      </c>
      <c r="G493">
        <v>3</v>
      </c>
      <c r="H493" t="s">
        <v>58</v>
      </c>
      <c r="I493" s="11">
        <v>46121.38265046296</v>
      </c>
      <c r="J493">
        <v>1</v>
      </c>
      <c r="K493" t="s">
        <v>49</v>
      </c>
      <c r="L493">
        <v>916</v>
      </c>
    </row>
    <row r="494" spans="1:12">
      <c r="A494">
        <v>1169051</v>
      </c>
      <c r="B494" t="s">
        <v>1397</v>
      </c>
      <c r="C494">
        <v>16</v>
      </c>
      <c r="D494" s="10">
        <v>46136</v>
      </c>
      <c r="E494">
        <v>10</v>
      </c>
      <c r="F494">
        <v>9</v>
      </c>
      <c r="G494">
        <v>3</v>
      </c>
      <c r="H494" t="s">
        <v>57</v>
      </c>
      <c r="I494" s="11">
        <v>46122.39589120371</v>
      </c>
      <c r="J494">
        <v>2</v>
      </c>
      <c r="K494" t="s">
        <v>47</v>
      </c>
      <c r="L494">
        <v>4858</v>
      </c>
    </row>
    <row r="495" spans="1:12">
      <c r="A495">
        <v>1169089</v>
      </c>
      <c r="B495" t="s">
        <v>1399</v>
      </c>
      <c r="C495">
        <v>27</v>
      </c>
      <c r="D495" s="10">
        <v>46213</v>
      </c>
      <c r="E495">
        <v>21</v>
      </c>
      <c r="F495">
        <v>8</v>
      </c>
      <c r="G495">
        <v>19</v>
      </c>
      <c r="H495" t="s">
        <v>57</v>
      </c>
      <c r="I495" s="11">
        <v>46122.4693287037</v>
      </c>
      <c r="J495">
        <v>1</v>
      </c>
      <c r="K495" t="s">
        <v>37</v>
      </c>
      <c r="L495">
        <v>1885</v>
      </c>
    </row>
    <row r="496" spans="1:12">
      <c r="A496">
        <v>1169250</v>
      </c>
      <c r="B496" t="s">
        <v>1402</v>
      </c>
      <c r="C496">
        <v>51</v>
      </c>
      <c r="D496" s="10">
        <v>46157</v>
      </c>
      <c r="E496">
        <v>39</v>
      </c>
      <c r="F496">
        <v>25</v>
      </c>
      <c r="G496">
        <v>29</v>
      </c>
      <c r="H496" t="s">
        <v>57</v>
      </c>
      <c r="I496" s="11">
        <v>46122.8881712963</v>
      </c>
      <c r="J496">
        <v>1</v>
      </c>
      <c r="K496" t="s">
        <v>41</v>
      </c>
      <c r="L496">
        <v>2264</v>
      </c>
    </row>
    <row r="497" spans="1:12">
      <c r="A497">
        <v>1169457</v>
      </c>
      <c r="B497" t="s">
        <v>1404</v>
      </c>
      <c r="C497">
        <v>27</v>
      </c>
      <c r="D497" s="10">
        <v>46184</v>
      </c>
      <c r="E497">
        <v>21</v>
      </c>
      <c r="F497">
        <v>8</v>
      </c>
      <c r="G497">
        <v>19</v>
      </c>
      <c r="H497" t="s">
        <v>57</v>
      </c>
      <c r="I497" s="11">
        <v>46123.57181712963</v>
      </c>
      <c r="J497">
        <v>4</v>
      </c>
      <c r="K497" t="s">
        <v>41</v>
      </c>
      <c r="L497">
        <v>12568</v>
      </c>
    </row>
    <row r="498" spans="1:12">
      <c r="A498">
        <v>1169665</v>
      </c>
      <c r="B498" t="s">
        <v>1407</v>
      </c>
      <c r="C498">
        <v>30</v>
      </c>
      <c r="D498" s="10">
        <v>46148</v>
      </c>
      <c r="E498">
        <v>24</v>
      </c>
      <c r="F498">
        <v>19</v>
      </c>
      <c r="G498">
        <v>9</v>
      </c>
      <c r="H498" t="s">
        <v>58</v>
      </c>
      <c r="I498" s="11">
        <v>46124.36103009259</v>
      </c>
      <c r="J498">
        <v>2</v>
      </c>
      <c r="K498" t="s">
        <v>41</v>
      </c>
      <c r="L498">
        <v>1308</v>
      </c>
    </row>
    <row r="499" spans="1:12">
      <c r="A499">
        <v>1169847</v>
      </c>
      <c r="B499" t="s">
        <v>1409</v>
      </c>
      <c r="C499">
        <v>6</v>
      </c>
      <c r="D499" s="10">
        <v>46137</v>
      </c>
      <c r="E499">
        <v>4</v>
      </c>
      <c r="F499">
        <v>32</v>
      </c>
      <c r="G499">
        <v>1</v>
      </c>
      <c r="H499" t="s">
        <v>58</v>
      </c>
      <c r="I499" s="11">
        <v>46124.81645833333</v>
      </c>
      <c r="J499">
        <v>2</v>
      </c>
      <c r="K499" t="s">
        <v>41</v>
      </c>
      <c r="L499">
        <v>2085</v>
      </c>
    </row>
    <row r="500" spans="1:12">
      <c r="A500">
        <v>1169931</v>
      </c>
      <c r="B500" t="s">
        <v>1411</v>
      </c>
      <c r="C500">
        <v>44</v>
      </c>
      <c r="D500" s="10">
        <v>46173</v>
      </c>
      <c r="E500">
        <v>34</v>
      </c>
      <c r="F500">
        <v>27</v>
      </c>
      <c r="G500">
        <v>20</v>
      </c>
      <c r="H500" t="s">
        <v>60</v>
      </c>
      <c r="I500" s="11">
        <v>46125.28552083333</v>
      </c>
      <c r="J500">
        <v>3</v>
      </c>
      <c r="K500" t="s">
        <v>41</v>
      </c>
      <c r="L500">
        <v>1958</v>
      </c>
    </row>
    <row r="501" spans="1:12">
      <c r="A501">
        <v>1170529</v>
      </c>
      <c r="B501" t="s">
        <v>1414</v>
      </c>
      <c r="C501">
        <v>19</v>
      </c>
      <c r="D501" s="10">
        <v>46127</v>
      </c>
      <c r="E501">
        <v>13</v>
      </c>
      <c r="F501">
        <v>5</v>
      </c>
      <c r="G501">
        <v>16</v>
      </c>
      <c r="H501" t="s">
        <v>57</v>
      </c>
      <c r="I501" s="11">
        <v>46126.91171296296</v>
      </c>
      <c r="J501">
        <v>1</v>
      </c>
      <c r="K501" t="s">
        <v>41</v>
      </c>
      <c r="L501">
        <v>1278</v>
      </c>
    </row>
    <row r="502" spans="1:12">
      <c r="A502">
        <v>1170536</v>
      </c>
      <c r="B502" t="s">
        <v>1417</v>
      </c>
      <c r="C502">
        <v>5</v>
      </c>
      <c r="D502" s="10">
        <v>46146</v>
      </c>
      <c r="E502">
        <v>3</v>
      </c>
      <c r="F502">
        <v>1</v>
      </c>
      <c r="G502">
        <v>32</v>
      </c>
      <c r="H502" t="s">
        <v>57</v>
      </c>
      <c r="I502" s="11">
        <v>46126.93356481481</v>
      </c>
      <c r="J502">
        <v>1</v>
      </c>
      <c r="K502" t="s">
        <v>41</v>
      </c>
      <c r="L502">
        <v>3694</v>
      </c>
    </row>
    <row r="503" spans="1:12">
      <c r="A503">
        <v>1170583</v>
      </c>
      <c r="B503" t="s">
        <v>1419</v>
      </c>
      <c r="C503">
        <v>45</v>
      </c>
      <c r="D503" s="10">
        <v>46132</v>
      </c>
      <c r="E503">
        <v>33</v>
      </c>
      <c r="F503">
        <v>20</v>
      </c>
      <c r="G503">
        <v>27</v>
      </c>
      <c r="H503" t="s">
        <v>57</v>
      </c>
      <c r="I503" s="11">
        <v>46127.29650462963</v>
      </c>
      <c r="J503">
        <v>1</v>
      </c>
      <c r="K503" t="s">
        <v>49</v>
      </c>
      <c r="L503">
        <v>2520</v>
      </c>
    </row>
    <row r="504" spans="1:12">
      <c r="A504">
        <v>1170781</v>
      </c>
      <c r="B504" t="s">
        <v>1421</v>
      </c>
      <c r="C504">
        <v>24</v>
      </c>
      <c r="D504" s="10">
        <v>46180</v>
      </c>
      <c r="E504">
        <v>18</v>
      </c>
      <c r="F504">
        <v>11</v>
      </c>
      <c r="G504">
        <v>7</v>
      </c>
      <c r="H504" t="s">
        <v>58</v>
      </c>
      <c r="I504" s="11">
        <v>46127.73662037037</v>
      </c>
      <c r="J504">
        <v>2</v>
      </c>
      <c r="K504" t="s">
        <v>41</v>
      </c>
      <c r="L504">
        <v>1668</v>
      </c>
    </row>
    <row r="505" spans="1:12">
      <c r="A505">
        <v>1170933</v>
      </c>
      <c r="B505" t="s">
        <v>1424</v>
      </c>
      <c r="C505">
        <v>7</v>
      </c>
      <c r="D505" s="10">
        <v>46173</v>
      </c>
      <c r="E505">
        <v>3</v>
      </c>
      <c r="F505">
        <v>1</v>
      </c>
      <c r="G505">
        <v>32</v>
      </c>
      <c r="H505" t="s">
        <v>57</v>
      </c>
      <c r="I505" s="11">
        <v>46128.34827546297</v>
      </c>
      <c r="J505">
        <v>6</v>
      </c>
      <c r="K505" t="s">
        <v>41</v>
      </c>
      <c r="L505">
        <v>19360</v>
      </c>
    </row>
    <row r="506" spans="1:12">
      <c r="A506">
        <v>1171385</v>
      </c>
      <c r="B506" t="s">
        <v>1426</v>
      </c>
      <c r="C506">
        <v>42</v>
      </c>
      <c r="D506" s="10">
        <v>46179</v>
      </c>
      <c r="E506">
        <v>32</v>
      </c>
      <c r="F506">
        <v>31</v>
      </c>
      <c r="G506">
        <v>15</v>
      </c>
      <c r="H506" t="s">
        <v>57</v>
      </c>
      <c r="I506" s="11">
        <v>46129.42822916667</v>
      </c>
      <c r="J506">
        <v>2</v>
      </c>
      <c r="K506" t="s">
        <v>37</v>
      </c>
      <c r="L506">
        <v>4805</v>
      </c>
    </row>
    <row r="507" spans="1:12">
      <c r="A507">
        <v>1171881</v>
      </c>
      <c r="B507" t="s">
        <v>1429</v>
      </c>
      <c r="C507">
        <v>30</v>
      </c>
      <c r="D507" s="10">
        <v>46148</v>
      </c>
      <c r="E507">
        <v>24</v>
      </c>
      <c r="F507">
        <v>19</v>
      </c>
      <c r="G507">
        <v>9</v>
      </c>
      <c r="H507" t="s">
        <v>58</v>
      </c>
      <c r="I507" s="11">
        <v>46130.61502314815</v>
      </c>
      <c r="J507">
        <v>1</v>
      </c>
      <c r="K507" t="s">
        <v>47</v>
      </c>
      <c r="L507">
        <v>654</v>
      </c>
    </row>
    <row r="508" spans="1:12">
      <c r="A508">
        <v>1171977</v>
      </c>
      <c r="B508" t="s">
        <v>1431</v>
      </c>
      <c r="C508">
        <v>39</v>
      </c>
      <c r="D508" s="10">
        <v>46131</v>
      </c>
      <c r="E508">
        <v>29</v>
      </c>
      <c r="F508">
        <v>14</v>
      </c>
      <c r="G508">
        <v>22</v>
      </c>
      <c r="H508" t="s">
        <v>57</v>
      </c>
      <c r="I508" s="11">
        <v>46130.79258101852</v>
      </c>
      <c r="J508">
        <v>2</v>
      </c>
      <c r="K508" t="s">
        <v>49</v>
      </c>
      <c r="L508">
        <v>5772</v>
      </c>
    </row>
    <row r="509" spans="1:12">
      <c r="A509">
        <v>1172702</v>
      </c>
      <c r="B509" t="s">
        <v>1433</v>
      </c>
      <c r="C509">
        <v>46</v>
      </c>
      <c r="D509" s="10">
        <v>46176</v>
      </c>
      <c r="E509">
        <v>34</v>
      </c>
      <c r="F509">
        <v>27</v>
      </c>
      <c r="G509">
        <v>20</v>
      </c>
      <c r="H509" t="s">
        <v>57</v>
      </c>
      <c r="I509" s="11">
        <v>46132.76035879629</v>
      </c>
      <c r="J509">
        <v>1</v>
      </c>
      <c r="K509" t="s">
        <v>41</v>
      </c>
      <c r="L509">
        <v>2520</v>
      </c>
    </row>
    <row r="510" spans="1:12">
      <c r="A510">
        <v>1173259</v>
      </c>
      <c r="B510" t="s">
        <v>1436</v>
      </c>
      <c r="C510">
        <v>29</v>
      </c>
      <c r="D510" s="10">
        <v>46176</v>
      </c>
      <c r="E510">
        <v>23</v>
      </c>
      <c r="F510">
        <v>9</v>
      </c>
      <c r="G510">
        <v>19</v>
      </c>
      <c r="H510" t="s">
        <v>60</v>
      </c>
      <c r="I510" s="11">
        <v>46134.44336805555</v>
      </c>
      <c r="J510">
        <v>1</v>
      </c>
      <c r="K510" t="s">
        <v>41</v>
      </c>
      <c r="L510">
        <v>544</v>
      </c>
    </row>
    <row r="511" spans="1:12">
      <c r="A511">
        <v>1173778</v>
      </c>
      <c r="B511" t="s">
        <v>1438</v>
      </c>
      <c r="C511">
        <v>28</v>
      </c>
      <c r="D511" s="10">
        <v>46169</v>
      </c>
      <c r="E511">
        <v>22</v>
      </c>
      <c r="F511">
        <v>19</v>
      </c>
      <c r="G511">
        <v>8</v>
      </c>
      <c r="H511" t="s">
        <v>60</v>
      </c>
      <c r="I511" s="11">
        <v>46135.87422453704</v>
      </c>
      <c r="J511">
        <v>3</v>
      </c>
      <c r="K511" t="s">
        <v>41</v>
      </c>
      <c r="L511">
        <v>2559</v>
      </c>
    </row>
    <row r="512" spans="1:12">
      <c r="A512">
        <v>1174427</v>
      </c>
      <c r="B512" t="s">
        <v>1441</v>
      </c>
      <c r="C512">
        <v>16</v>
      </c>
      <c r="D512" s="10">
        <v>46161</v>
      </c>
      <c r="E512">
        <v>10</v>
      </c>
      <c r="F512">
        <v>9</v>
      </c>
      <c r="G512">
        <v>3</v>
      </c>
      <c r="H512" t="s">
        <v>56</v>
      </c>
      <c r="I512" s="11">
        <v>46137.89130787037</v>
      </c>
      <c r="J512">
        <v>3</v>
      </c>
      <c r="K512" t="s">
        <v>41</v>
      </c>
      <c r="L512">
        <v>9058</v>
      </c>
    </row>
    <row r="513" spans="1:12">
      <c r="A513">
        <v>1175305</v>
      </c>
      <c r="B513" t="s">
        <v>1444</v>
      </c>
      <c r="C513">
        <v>33</v>
      </c>
      <c r="D513" s="10">
        <v>46151</v>
      </c>
      <c r="E513">
        <v>25</v>
      </c>
      <c r="F513">
        <v>11</v>
      </c>
      <c r="G513">
        <v>18</v>
      </c>
      <c r="H513" t="s">
        <v>60</v>
      </c>
      <c r="I513" s="11">
        <v>46140.74177083333</v>
      </c>
      <c r="J513">
        <v>3</v>
      </c>
      <c r="K513" t="s">
        <v>49</v>
      </c>
      <c r="L513">
        <v>2268</v>
      </c>
    </row>
    <row r="514" spans="1:12">
      <c r="A514">
        <v>1175646</v>
      </c>
      <c r="B514" t="s">
        <v>1447</v>
      </c>
      <c r="C514">
        <v>28</v>
      </c>
      <c r="D514" s="10">
        <v>46169</v>
      </c>
      <c r="E514">
        <v>22</v>
      </c>
      <c r="F514">
        <v>19</v>
      </c>
      <c r="G514">
        <v>8</v>
      </c>
      <c r="H514" t="s">
        <v>58</v>
      </c>
      <c r="I514" s="11">
        <v>46141.83346064815</v>
      </c>
      <c r="J514">
        <v>3</v>
      </c>
      <c r="K514" t="s">
        <v>41</v>
      </c>
      <c r="L514">
        <v>2367</v>
      </c>
    </row>
    <row r="515" spans="1:12">
      <c r="A515">
        <v>1175901</v>
      </c>
      <c r="B515" t="s">
        <v>1449</v>
      </c>
      <c r="C515">
        <v>42</v>
      </c>
      <c r="D515" s="10">
        <v>46179</v>
      </c>
      <c r="E515">
        <v>32</v>
      </c>
      <c r="F515">
        <v>31</v>
      </c>
      <c r="G515">
        <v>15</v>
      </c>
      <c r="H515" t="s">
        <v>60</v>
      </c>
      <c r="I515" s="11">
        <v>46142.7539699074</v>
      </c>
      <c r="J515">
        <v>4</v>
      </c>
      <c r="K515" t="s">
        <v>41</v>
      </c>
      <c r="L515">
        <v>3012</v>
      </c>
    </row>
    <row r="516" spans="1:12">
      <c r="A516">
        <v>1175921</v>
      </c>
      <c r="B516" t="s">
        <v>1451</v>
      </c>
      <c r="C516">
        <v>13</v>
      </c>
      <c r="D516" s="10">
        <v>46148</v>
      </c>
      <c r="E516">
        <v>9</v>
      </c>
      <c r="F516">
        <v>3</v>
      </c>
      <c r="G516">
        <v>9</v>
      </c>
      <c r="H516" t="s">
        <v>56</v>
      </c>
      <c r="I516" s="11">
        <v>46142.79253472222</v>
      </c>
      <c r="J516">
        <v>1</v>
      </c>
      <c r="K516" t="s">
        <v>49</v>
      </c>
      <c r="L516">
        <v>4342</v>
      </c>
    </row>
    <row r="517" spans="1:12">
      <c r="A517">
        <v>1175968</v>
      </c>
      <c r="B517" t="s">
        <v>1453</v>
      </c>
      <c r="C517">
        <v>43</v>
      </c>
      <c r="D517" s="10">
        <v>46163</v>
      </c>
      <c r="E517">
        <v>33</v>
      </c>
      <c r="F517">
        <v>20</v>
      </c>
      <c r="G517">
        <v>27</v>
      </c>
      <c r="H517" t="s">
        <v>60</v>
      </c>
      <c r="I517" s="11">
        <v>46142.8715162037</v>
      </c>
      <c r="J517">
        <v>1</v>
      </c>
      <c r="K517" t="s">
        <v>41</v>
      </c>
      <c r="L517">
        <v>753</v>
      </c>
    </row>
    <row r="518" spans="1:12">
      <c r="A518">
        <v>1176094</v>
      </c>
      <c r="B518" t="s">
        <v>1455</v>
      </c>
      <c r="C518">
        <v>50</v>
      </c>
      <c r="D518" s="10">
        <v>46161</v>
      </c>
      <c r="E518">
        <v>38</v>
      </c>
      <c r="F518">
        <v>30</v>
      </c>
      <c r="G518">
        <v>23</v>
      </c>
      <c r="H518" t="s">
        <v>58</v>
      </c>
      <c r="I518" s="11">
        <v>46143.47665509259</v>
      </c>
      <c r="J518">
        <v>1</v>
      </c>
      <c r="K518" t="s">
        <v>41</v>
      </c>
      <c r="L518">
        <v>1243</v>
      </c>
    </row>
    <row r="519" spans="1:12">
      <c r="A519">
        <v>1176811</v>
      </c>
      <c r="B519" t="s">
        <v>1457</v>
      </c>
      <c r="C519">
        <v>28</v>
      </c>
      <c r="D519" s="10">
        <v>46169</v>
      </c>
      <c r="E519">
        <v>22</v>
      </c>
      <c r="F519">
        <v>19</v>
      </c>
      <c r="G519">
        <v>8</v>
      </c>
      <c r="H519" t="s">
        <v>57</v>
      </c>
      <c r="I519" s="11">
        <v>46145.72829861111</v>
      </c>
      <c r="J519">
        <v>1</v>
      </c>
      <c r="K519" t="s">
        <v>37</v>
      </c>
      <c r="L519">
        <v>3142</v>
      </c>
    </row>
    <row r="520" spans="1:12">
      <c r="A520">
        <v>1177167</v>
      </c>
      <c r="B520" t="s">
        <v>1459</v>
      </c>
      <c r="C520">
        <v>46</v>
      </c>
      <c r="D520" s="10">
        <v>46176</v>
      </c>
      <c r="E520">
        <v>34</v>
      </c>
      <c r="F520">
        <v>27</v>
      </c>
      <c r="G520">
        <v>20</v>
      </c>
      <c r="H520" t="s">
        <v>58</v>
      </c>
      <c r="I520" s="11">
        <v>46146.77076388889</v>
      </c>
      <c r="J520">
        <v>1</v>
      </c>
      <c r="K520" t="s">
        <v>37</v>
      </c>
      <c r="L520">
        <v>950</v>
      </c>
    </row>
    <row r="521" spans="1:12">
      <c r="A521">
        <v>1177292</v>
      </c>
      <c r="B521" t="s">
        <v>1461</v>
      </c>
      <c r="C521">
        <v>7</v>
      </c>
      <c r="D521" s="10">
        <v>46188</v>
      </c>
      <c r="E521">
        <v>3</v>
      </c>
      <c r="F521">
        <v>1</v>
      </c>
      <c r="G521">
        <v>32</v>
      </c>
      <c r="H521" t="s">
        <v>57</v>
      </c>
      <c r="I521" s="11">
        <v>46147.2349537037</v>
      </c>
      <c r="J521">
        <v>2</v>
      </c>
      <c r="K521" t="s">
        <v>41</v>
      </c>
      <c r="L521">
        <v>7040</v>
      </c>
    </row>
    <row r="522" spans="1:12">
      <c r="A522">
        <v>1177463</v>
      </c>
      <c r="B522" t="s">
        <v>1466</v>
      </c>
      <c r="C522">
        <v>24</v>
      </c>
      <c r="D522" s="10">
        <v>46180</v>
      </c>
      <c r="E522">
        <v>18</v>
      </c>
      <c r="F522">
        <v>11</v>
      </c>
      <c r="G522">
        <v>7</v>
      </c>
      <c r="H522" t="s">
        <v>57</v>
      </c>
      <c r="I522" s="11">
        <v>46147.70883101852</v>
      </c>
      <c r="J522">
        <v>1</v>
      </c>
      <c r="K522" t="s">
        <v>41</v>
      </c>
      <c r="L522">
        <v>2211</v>
      </c>
    </row>
    <row r="523" spans="1:12">
      <c r="A523">
        <v>1177481</v>
      </c>
      <c r="B523" t="s">
        <v>1468</v>
      </c>
      <c r="C523">
        <v>14</v>
      </c>
      <c r="D523" s="10">
        <v>46157</v>
      </c>
      <c r="E523">
        <v>10</v>
      </c>
      <c r="F523">
        <v>9</v>
      </c>
      <c r="G523">
        <v>3</v>
      </c>
      <c r="H523" t="s">
        <v>57</v>
      </c>
      <c r="I523" s="11">
        <v>46147.73307870371</v>
      </c>
      <c r="J523">
        <v>1</v>
      </c>
      <c r="K523" t="s">
        <v>37</v>
      </c>
      <c r="L523">
        <v>3026</v>
      </c>
    </row>
    <row r="524" spans="1:12">
      <c r="A524">
        <v>1177797</v>
      </c>
      <c r="B524" t="s">
        <v>1471</v>
      </c>
      <c r="C524">
        <v>11</v>
      </c>
      <c r="D524" s="10">
        <v>46178</v>
      </c>
      <c r="E524">
        <v>7</v>
      </c>
      <c r="F524">
        <v>2</v>
      </c>
      <c r="G524">
        <v>17</v>
      </c>
      <c r="H524" t="s">
        <v>57</v>
      </c>
      <c r="I524" s="11">
        <v>46148.64543981481</v>
      </c>
      <c r="J524">
        <v>1</v>
      </c>
      <c r="K524" t="s">
        <v>41</v>
      </c>
      <c r="L524">
        <v>1854</v>
      </c>
    </row>
    <row r="525" spans="1:12">
      <c r="A525">
        <v>1177952</v>
      </c>
      <c r="B525" t="s">
        <v>1473</v>
      </c>
      <c r="C525">
        <v>29</v>
      </c>
      <c r="D525" s="10">
        <v>46176</v>
      </c>
      <c r="E525">
        <v>23</v>
      </c>
      <c r="F525">
        <v>9</v>
      </c>
      <c r="G525">
        <v>19</v>
      </c>
      <c r="H525" t="s">
        <v>57</v>
      </c>
      <c r="I525" s="11">
        <v>46148.9671875</v>
      </c>
      <c r="J525">
        <v>1</v>
      </c>
      <c r="K525" t="s">
        <v>41</v>
      </c>
      <c r="L525">
        <v>1039</v>
      </c>
    </row>
    <row r="526" spans="1:12">
      <c r="A526">
        <v>1178210</v>
      </c>
      <c r="B526" t="s">
        <v>1475</v>
      </c>
      <c r="C526">
        <v>28</v>
      </c>
      <c r="D526" s="10">
        <v>46189</v>
      </c>
      <c r="E526">
        <v>22</v>
      </c>
      <c r="F526">
        <v>19</v>
      </c>
      <c r="G526">
        <v>8</v>
      </c>
      <c r="H526" t="s">
        <v>60</v>
      </c>
      <c r="I526" s="11">
        <v>46149.79903935185</v>
      </c>
      <c r="J526">
        <v>1</v>
      </c>
      <c r="K526" t="s">
        <v>41</v>
      </c>
      <c r="L526">
        <v>984</v>
      </c>
    </row>
    <row r="527" spans="1:12">
      <c r="A527">
        <v>1178372</v>
      </c>
      <c r="B527" t="s">
        <v>1478</v>
      </c>
      <c r="C527">
        <v>27</v>
      </c>
      <c r="D527" s="10">
        <v>46171</v>
      </c>
      <c r="E527">
        <v>21</v>
      </c>
      <c r="F527">
        <v>8</v>
      </c>
      <c r="G527">
        <v>19</v>
      </c>
      <c r="H527" t="s">
        <v>58</v>
      </c>
      <c r="I527" s="11">
        <v>46150.35015046296</v>
      </c>
      <c r="J527">
        <v>1</v>
      </c>
      <c r="K527" t="s">
        <v>41</v>
      </c>
      <c r="L527">
        <v>1183</v>
      </c>
    </row>
    <row r="528" spans="1:12">
      <c r="A528">
        <v>1178581</v>
      </c>
      <c r="B528" t="s">
        <v>1481</v>
      </c>
      <c r="C528">
        <v>43</v>
      </c>
      <c r="D528" s="10">
        <v>46163</v>
      </c>
      <c r="E528">
        <v>33</v>
      </c>
      <c r="F528">
        <v>20</v>
      </c>
      <c r="G528">
        <v>27</v>
      </c>
      <c r="H528" t="s">
        <v>57</v>
      </c>
      <c r="I528" s="11">
        <v>46150.78134259259</v>
      </c>
      <c r="J528">
        <v>2</v>
      </c>
      <c r="K528" t="s">
        <v>47</v>
      </c>
      <c r="L528">
        <v>2882</v>
      </c>
    </row>
    <row r="529" spans="1:12">
      <c r="A529">
        <v>1179276</v>
      </c>
      <c r="B529" t="s">
        <v>1486</v>
      </c>
      <c r="C529">
        <v>28</v>
      </c>
      <c r="D529" s="10">
        <v>46169</v>
      </c>
      <c r="E529">
        <v>22</v>
      </c>
      <c r="F529">
        <v>19</v>
      </c>
      <c r="G529">
        <v>8</v>
      </c>
      <c r="H529" t="s">
        <v>58</v>
      </c>
      <c r="I529" s="11">
        <v>46152.75247685185</v>
      </c>
      <c r="J529">
        <v>2</v>
      </c>
      <c r="K529" t="s">
        <v>49</v>
      </c>
      <c r="L529">
        <v>2366</v>
      </c>
    </row>
    <row r="530" spans="1:12">
      <c r="A530">
        <v>1179384</v>
      </c>
      <c r="B530" t="s">
        <v>1488</v>
      </c>
      <c r="C530">
        <v>34</v>
      </c>
      <c r="D530" s="10">
        <v>46160</v>
      </c>
      <c r="E530">
        <v>26</v>
      </c>
      <c r="F530">
        <v>18</v>
      </c>
      <c r="G530">
        <v>11</v>
      </c>
      <c r="H530" t="s">
        <v>57</v>
      </c>
      <c r="I530" s="11">
        <v>46152.95346064815</v>
      </c>
      <c r="J530">
        <v>3</v>
      </c>
      <c r="K530" t="s">
        <v>41</v>
      </c>
      <c r="L530">
        <v>8352</v>
      </c>
    </row>
    <row r="531" spans="1:12">
      <c r="A531">
        <v>1179482</v>
      </c>
      <c r="B531" t="s">
        <v>1490</v>
      </c>
      <c r="C531">
        <v>36</v>
      </c>
      <c r="D531" s="10">
        <v>46156</v>
      </c>
      <c r="E531">
        <v>26</v>
      </c>
      <c r="F531">
        <v>18</v>
      </c>
      <c r="G531">
        <v>11</v>
      </c>
      <c r="H531" t="s">
        <v>58</v>
      </c>
      <c r="I531" s="11">
        <v>46153.41864583334</v>
      </c>
      <c r="J531">
        <v>6</v>
      </c>
      <c r="K531" t="s">
        <v>49</v>
      </c>
      <c r="L531">
        <v>5769</v>
      </c>
    </row>
    <row r="532" spans="1:12">
      <c r="A532">
        <v>1179497</v>
      </c>
      <c r="B532" t="s">
        <v>1492</v>
      </c>
      <c r="C532">
        <v>16</v>
      </c>
      <c r="D532" s="10">
        <v>46175</v>
      </c>
      <c r="E532">
        <v>10</v>
      </c>
      <c r="F532">
        <v>9</v>
      </c>
      <c r="G532">
        <v>3</v>
      </c>
      <c r="H532" t="s">
        <v>56</v>
      </c>
      <c r="I532" s="11">
        <v>46153.46840277778</v>
      </c>
      <c r="J532">
        <v>2</v>
      </c>
      <c r="K532" t="s">
        <v>45</v>
      </c>
      <c r="L532">
        <v>4180</v>
      </c>
    </row>
    <row r="533" spans="1:12">
      <c r="A533">
        <v>1179635</v>
      </c>
      <c r="B533" t="s">
        <v>1495</v>
      </c>
      <c r="C533">
        <v>32</v>
      </c>
      <c r="D533" s="10">
        <v>46160</v>
      </c>
      <c r="E533">
        <v>24</v>
      </c>
      <c r="F533">
        <v>19</v>
      </c>
      <c r="G533">
        <v>9</v>
      </c>
      <c r="H533" t="s">
        <v>58</v>
      </c>
      <c r="I533" s="11">
        <v>46153.74395833333</v>
      </c>
      <c r="J533">
        <v>6</v>
      </c>
      <c r="K533" t="s">
        <v>47</v>
      </c>
      <c r="L533">
        <v>3663</v>
      </c>
    </row>
    <row r="534" spans="1:12">
      <c r="A534">
        <v>1179722</v>
      </c>
      <c r="B534" t="s">
        <v>1497</v>
      </c>
      <c r="C534">
        <v>1</v>
      </c>
      <c r="D534" s="10">
        <v>46170</v>
      </c>
      <c r="E534">
        <v>1</v>
      </c>
      <c r="F534">
        <v>1</v>
      </c>
      <c r="G534">
        <v>26</v>
      </c>
      <c r="H534" t="s">
        <v>57</v>
      </c>
      <c r="I534" s="11">
        <v>46153.87664351852</v>
      </c>
      <c r="J534">
        <v>5</v>
      </c>
      <c r="K534" t="s">
        <v>47</v>
      </c>
      <c r="L534">
        <v>20268</v>
      </c>
    </row>
    <row r="535" spans="1:12">
      <c r="A535">
        <v>1180229</v>
      </c>
      <c r="B535" t="s">
        <v>1500</v>
      </c>
      <c r="C535">
        <v>15</v>
      </c>
      <c r="D535" s="10">
        <v>46234</v>
      </c>
      <c r="E535">
        <v>9</v>
      </c>
      <c r="F535">
        <v>3</v>
      </c>
      <c r="G535">
        <v>9</v>
      </c>
      <c r="H535" t="s">
        <v>58</v>
      </c>
      <c r="I535" s="11">
        <v>46155.41584490741</v>
      </c>
      <c r="J535">
        <v>3</v>
      </c>
      <c r="K535" t="s">
        <v>41</v>
      </c>
      <c r="L535">
        <v>2748</v>
      </c>
    </row>
    <row r="536" spans="1:12">
      <c r="A536">
        <v>1180523</v>
      </c>
      <c r="B536" t="s">
        <v>1503</v>
      </c>
      <c r="C536">
        <v>44</v>
      </c>
      <c r="D536" s="10">
        <v>46173</v>
      </c>
      <c r="E536">
        <v>34</v>
      </c>
      <c r="F536">
        <v>27</v>
      </c>
      <c r="G536">
        <v>20</v>
      </c>
      <c r="H536" t="s">
        <v>58</v>
      </c>
      <c r="I536" s="11">
        <v>46156.30525462963</v>
      </c>
      <c r="J536">
        <v>1</v>
      </c>
      <c r="K536" t="s">
        <v>49</v>
      </c>
      <c r="L536">
        <v>906</v>
      </c>
    </row>
    <row r="537" spans="1:12">
      <c r="A537">
        <v>1180732</v>
      </c>
      <c r="B537" t="s">
        <v>1505</v>
      </c>
      <c r="C537">
        <v>9</v>
      </c>
      <c r="D537" s="10">
        <v>46164</v>
      </c>
      <c r="E537">
        <v>5</v>
      </c>
      <c r="F537">
        <v>2</v>
      </c>
      <c r="G537">
        <v>15</v>
      </c>
      <c r="H537" t="s">
        <v>60</v>
      </c>
      <c r="I537" s="11">
        <v>46156.76013888889</v>
      </c>
      <c r="J537">
        <v>1</v>
      </c>
      <c r="K537" t="s">
        <v>41</v>
      </c>
      <c r="L537">
        <v>288</v>
      </c>
    </row>
    <row r="538" spans="1:12">
      <c r="A538">
        <v>1180749</v>
      </c>
      <c r="B538" t="s">
        <v>1508</v>
      </c>
      <c r="C538">
        <v>51</v>
      </c>
      <c r="D538" s="10">
        <v>46157</v>
      </c>
      <c r="E538">
        <v>39</v>
      </c>
      <c r="F538">
        <v>25</v>
      </c>
      <c r="G538">
        <v>29</v>
      </c>
      <c r="H538" t="s">
        <v>58</v>
      </c>
      <c r="I538" s="11">
        <v>46156.78715277778</v>
      </c>
      <c r="J538">
        <v>2</v>
      </c>
      <c r="K538" t="s">
        <v>49</v>
      </c>
      <c r="L538">
        <v>1708</v>
      </c>
    </row>
    <row r="539" spans="1:12">
      <c r="A539">
        <v>1181937</v>
      </c>
      <c r="B539" t="s">
        <v>1510</v>
      </c>
      <c r="C539">
        <v>37</v>
      </c>
      <c r="D539" s="10">
        <v>46161</v>
      </c>
      <c r="E539">
        <v>27</v>
      </c>
      <c r="F539">
        <v>13</v>
      </c>
      <c r="G539">
        <v>26</v>
      </c>
      <c r="H539" t="s">
        <v>57</v>
      </c>
      <c r="I539" s="11">
        <v>46160.26806712963</v>
      </c>
      <c r="J539">
        <v>2</v>
      </c>
      <c r="K539" t="s">
        <v>41</v>
      </c>
      <c r="L539">
        <v>2569</v>
      </c>
    </row>
    <row r="540" spans="1:12">
      <c r="A540">
        <v>1182073</v>
      </c>
      <c r="B540" t="s">
        <v>1512</v>
      </c>
      <c r="C540">
        <v>43</v>
      </c>
      <c r="D540" s="10">
        <v>46163</v>
      </c>
      <c r="E540">
        <v>33</v>
      </c>
      <c r="F540">
        <v>20</v>
      </c>
      <c r="G540">
        <v>27</v>
      </c>
      <c r="H540" t="s">
        <v>60</v>
      </c>
      <c r="I540" s="11">
        <v>46160.55613425926</v>
      </c>
      <c r="J540">
        <v>1</v>
      </c>
      <c r="K540" t="s">
        <v>49</v>
      </c>
      <c r="L540">
        <v>753</v>
      </c>
    </row>
    <row r="541" spans="1:12">
      <c r="A541">
        <v>1182788</v>
      </c>
      <c r="B541" t="s">
        <v>1514</v>
      </c>
      <c r="C541">
        <v>28</v>
      </c>
      <c r="D541" s="10">
        <v>46169</v>
      </c>
      <c r="E541">
        <v>22</v>
      </c>
      <c r="F541">
        <v>19</v>
      </c>
      <c r="G541">
        <v>8</v>
      </c>
      <c r="H541" t="s">
        <v>60</v>
      </c>
      <c r="I541" s="11">
        <v>46162.75847222222</v>
      </c>
      <c r="J541">
        <v>2</v>
      </c>
      <c r="K541" t="s">
        <v>37</v>
      </c>
      <c r="L541">
        <v>1575</v>
      </c>
    </row>
    <row r="542" spans="1:12">
      <c r="A542">
        <v>1183047</v>
      </c>
      <c r="B542" t="s">
        <v>1516</v>
      </c>
      <c r="C542">
        <v>18</v>
      </c>
      <c r="D542" s="10">
        <v>46194</v>
      </c>
      <c r="E542">
        <v>12</v>
      </c>
      <c r="F542">
        <v>24</v>
      </c>
      <c r="G542">
        <v>4</v>
      </c>
      <c r="H542" t="s">
        <v>58</v>
      </c>
      <c r="I542" s="11">
        <v>46163.68082175926</v>
      </c>
      <c r="J542">
        <v>1</v>
      </c>
      <c r="K542" t="s">
        <v>41</v>
      </c>
      <c r="L542">
        <v>727</v>
      </c>
    </row>
    <row r="543" spans="1:12">
      <c r="A543">
        <v>1183346</v>
      </c>
      <c r="B543" t="s">
        <v>1518</v>
      </c>
      <c r="C543">
        <v>15</v>
      </c>
      <c r="D543" s="10">
        <v>46188</v>
      </c>
      <c r="E543">
        <v>9</v>
      </c>
      <c r="F543">
        <v>3</v>
      </c>
      <c r="G543">
        <v>9</v>
      </c>
      <c r="H543" t="s">
        <v>58</v>
      </c>
      <c r="I543" s="11">
        <v>46164.75368055556</v>
      </c>
      <c r="J543">
        <v>4</v>
      </c>
      <c r="K543" t="s">
        <v>47</v>
      </c>
      <c r="L543">
        <v>3297</v>
      </c>
    </row>
    <row r="544" spans="1:12">
      <c r="A544">
        <v>1183483</v>
      </c>
      <c r="B544" t="s">
        <v>1520</v>
      </c>
      <c r="C544">
        <v>16</v>
      </c>
      <c r="D544" s="10">
        <v>46175</v>
      </c>
      <c r="E544">
        <v>10</v>
      </c>
      <c r="F544">
        <v>9</v>
      </c>
      <c r="G544">
        <v>3</v>
      </c>
      <c r="H544" t="s">
        <v>58</v>
      </c>
      <c r="I544" s="11">
        <v>46165.31317129629</v>
      </c>
      <c r="J544">
        <v>1</v>
      </c>
      <c r="K544" t="s">
        <v>47</v>
      </c>
      <c r="L544">
        <v>916</v>
      </c>
    </row>
    <row r="545" spans="1:12">
      <c r="A545">
        <v>1183685</v>
      </c>
      <c r="B545" t="s">
        <v>1524</v>
      </c>
      <c r="C545">
        <v>3</v>
      </c>
      <c r="D545" s="10">
        <v>46179</v>
      </c>
      <c r="E545">
        <v>1</v>
      </c>
      <c r="F545">
        <v>1</v>
      </c>
      <c r="G545">
        <v>26</v>
      </c>
      <c r="H545" t="s">
        <v>60</v>
      </c>
      <c r="I545" s="11">
        <v>46165.85202546296</v>
      </c>
      <c r="J545">
        <v>3</v>
      </c>
      <c r="K545" t="s">
        <v>41</v>
      </c>
      <c r="L545">
        <v>3285</v>
      </c>
    </row>
    <row r="546" spans="1:12">
      <c r="A546">
        <v>1183814</v>
      </c>
      <c r="B546" t="s">
        <v>1526</v>
      </c>
      <c r="C546">
        <v>15</v>
      </c>
      <c r="D546" s="10">
        <v>46188</v>
      </c>
      <c r="E546">
        <v>9</v>
      </c>
      <c r="F546">
        <v>3</v>
      </c>
      <c r="G546">
        <v>9</v>
      </c>
      <c r="H546" t="s">
        <v>57</v>
      </c>
      <c r="I546" s="11">
        <v>46166.37598379629</v>
      </c>
      <c r="J546">
        <v>1</v>
      </c>
      <c r="K546" t="s">
        <v>41</v>
      </c>
      <c r="L546">
        <v>2429</v>
      </c>
    </row>
    <row r="547" spans="1:12">
      <c r="A547">
        <v>1183934</v>
      </c>
      <c r="B547" t="s">
        <v>1528</v>
      </c>
      <c r="C547">
        <v>46</v>
      </c>
      <c r="D547" s="10">
        <v>46176</v>
      </c>
      <c r="E547">
        <v>34</v>
      </c>
      <c r="F547">
        <v>27</v>
      </c>
      <c r="G547">
        <v>20</v>
      </c>
      <c r="H547" t="s">
        <v>57</v>
      </c>
      <c r="I547" s="11">
        <v>46166.64971064815</v>
      </c>
      <c r="J547">
        <v>2</v>
      </c>
      <c r="K547" t="s">
        <v>49</v>
      </c>
      <c r="L547">
        <v>4032</v>
      </c>
    </row>
    <row r="548" spans="1:12">
      <c r="A548">
        <v>1184347</v>
      </c>
      <c r="B548" t="s">
        <v>1530</v>
      </c>
      <c r="C548">
        <v>8</v>
      </c>
      <c r="D548" s="10">
        <v>46184</v>
      </c>
      <c r="E548">
        <v>4</v>
      </c>
      <c r="F548">
        <v>32</v>
      </c>
      <c r="G548">
        <v>1</v>
      </c>
      <c r="H548" t="s">
        <v>57</v>
      </c>
      <c r="I548" s="11">
        <v>46167.91539351852</v>
      </c>
      <c r="J548">
        <v>2</v>
      </c>
      <c r="K548" t="s">
        <v>41</v>
      </c>
      <c r="L548">
        <v>7040</v>
      </c>
    </row>
    <row r="549" spans="1:12">
      <c r="A549">
        <v>1184489</v>
      </c>
      <c r="B549" t="s">
        <v>1532</v>
      </c>
      <c r="C549">
        <v>28</v>
      </c>
      <c r="D549" s="10">
        <v>46189</v>
      </c>
      <c r="E549">
        <v>22</v>
      </c>
      <c r="F549">
        <v>19</v>
      </c>
      <c r="G549">
        <v>8</v>
      </c>
      <c r="H549" t="s">
        <v>60</v>
      </c>
      <c r="I549" s="11">
        <v>46168.58027777778</v>
      </c>
      <c r="J549">
        <v>3</v>
      </c>
      <c r="K549" t="s">
        <v>41</v>
      </c>
      <c r="L549">
        <v>2559</v>
      </c>
    </row>
    <row r="550" spans="1:12">
      <c r="A550">
        <v>1184742</v>
      </c>
      <c r="B550" t="s">
        <v>1534</v>
      </c>
      <c r="C550">
        <v>2</v>
      </c>
      <c r="D550" s="10">
        <v>46182</v>
      </c>
      <c r="E550">
        <v>2</v>
      </c>
      <c r="F550">
        <v>26</v>
      </c>
      <c r="G550">
        <v>1</v>
      </c>
      <c r="H550" t="s">
        <v>57</v>
      </c>
      <c r="I550" s="11">
        <v>46169.486875</v>
      </c>
      <c r="J550">
        <v>2</v>
      </c>
      <c r="K550" t="s">
        <v>45</v>
      </c>
      <c r="L550">
        <v>4847</v>
      </c>
    </row>
    <row r="551" spans="1:12">
      <c r="A551">
        <v>1184805</v>
      </c>
      <c r="B551" t="s">
        <v>1537</v>
      </c>
      <c r="C551">
        <v>15</v>
      </c>
      <c r="D551" s="10">
        <v>46188</v>
      </c>
      <c r="E551">
        <v>9</v>
      </c>
      <c r="F551">
        <v>3</v>
      </c>
      <c r="G551">
        <v>9</v>
      </c>
      <c r="H551" t="s">
        <v>60</v>
      </c>
      <c r="I551" s="11">
        <v>46169.66079861111</v>
      </c>
      <c r="J551">
        <v>1</v>
      </c>
      <c r="K551" t="s">
        <v>49</v>
      </c>
      <c r="L551">
        <v>762</v>
      </c>
    </row>
    <row r="552" spans="1:12">
      <c r="A552">
        <v>1184897</v>
      </c>
      <c r="B552" t="s">
        <v>1539</v>
      </c>
      <c r="C552">
        <v>35</v>
      </c>
      <c r="D552" s="10">
        <v>46188</v>
      </c>
      <c r="E552">
        <v>25</v>
      </c>
      <c r="F552">
        <v>11</v>
      </c>
      <c r="G552">
        <v>18</v>
      </c>
      <c r="H552" t="s">
        <v>58</v>
      </c>
      <c r="I552" s="11">
        <v>46169.93728009259</v>
      </c>
      <c r="J552">
        <v>1</v>
      </c>
      <c r="K552" t="s">
        <v>41</v>
      </c>
      <c r="L552">
        <v>1049</v>
      </c>
    </row>
    <row r="553" spans="1:12">
      <c r="A553">
        <v>1185029</v>
      </c>
      <c r="B553" t="s">
        <v>1541</v>
      </c>
      <c r="C553">
        <v>14</v>
      </c>
      <c r="D553" s="10">
        <v>46192</v>
      </c>
      <c r="E553">
        <v>10</v>
      </c>
      <c r="F553">
        <v>9</v>
      </c>
      <c r="G553">
        <v>3</v>
      </c>
      <c r="H553" t="s">
        <v>57</v>
      </c>
      <c r="I553" s="11">
        <v>46170.54023148148</v>
      </c>
      <c r="J553">
        <v>2</v>
      </c>
      <c r="K553" t="s">
        <v>45</v>
      </c>
      <c r="L553">
        <v>6052</v>
      </c>
    </row>
    <row r="554" spans="1:12">
      <c r="A554">
        <v>1185328</v>
      </c>
      <c r="B554" t="s">
        <v>1547</v>
      </c>
      <c r="C554">
        <v>41</v>
      </c>
      <c r="D554" s="10">
        <v>46181</v>
      </c>
      <c r="E554">
        <v>31</v>
      </c>
      <c r="F554">
        <v>15</v>
      </c>
      <c r="G554">
        <v>31</v>
      </c>
      <c r="H554" t="s">
        <v>60</v>
      </c>
      <c r="I554" s="11">
        <v>46171.70504629629</v>
      </c>
      <c r="J554">
        <v>2</v>
      </c>
      <c r="K554" t="s">
        <v>41</v>
      </c>
      <c r="L554">
        <v>1882</v>
      </c>
    </row>
    <row r="555" spans="1:12">
      <c r="A555">
        <v>1185986</v>
      </c>
      <c r="B555" t="s">
        <v>1550</v>
      </c>
      <c r="C555">
        <v>44</v>
      </c>
      <c r="D555" s="10">
        <v>46227</v>
      </c>
      <c r="E555">
        <v>34</v>
      </c>
      <c r="F555">
        <v>27</v>
      </c>
      <c r="G555">
        <v>20</v>
      </c>
      <c r="H555" t="s">
        <v>60</v>
      </c>
      <c r="I555" s="11">
        <v>46174.43467592593</v>
      </c>
      <c r="J555">
        <v>1</v>
      </c>
      <c r="K555" t="s">
        <v>41</v>
      </c>
      <c r="L555">
        <v>753</v>
      </c>
    </row>
    <row r="556" spans="1:12">
      <c r="A556">
        <v>1186076</v>
      </c>
      <c r="B556" t="s">
        <v>1552</v>
      </c>
      <c r="C556">
        <v>29</v>
      </c>
      <c r="D556" s="10">
        <v>46176</v>
      </c>
      <c r="E556">
        <v>23</v>
      </c>
      <c r="F556">
        <v>9</v>
      </c>
      <c r="G556">
        <v>19</v>
      </c>
      <c r="H556" t="s">
        <v>57</v>
      </c>
      <c r="I556" s="11">
        <v>46174.74234953704</v>
      </c>
      <c r="J556">
        <v>2</v>
      </c>
      <c r="K556" t="s">
        <v>49</v>
      </c>
      <c r="L556">
        <v>2770</v>
      </c>
    </row>
    <row r="557" spans="1:12">
      <c r="A557">
        <v>1186306</v>
      </c>
      <c r="B557" t="s">
        <v>1554</v>
      </c>
      <c r="C557">
        <v>28</v>
      </c>
      <c r="D557" s="10">
        <v>46189</v>
      </c>
      <c r="E557">
        <v>22</v>
      </c>
      <c r="F557">
        <v>19</v>
      </c>
      <c r="G557">
        <v>8</v>
      </c>
      <c r="H557" t="s">
        <v>58</v>
      </c>
      <c r="I557" s="11">
        <v>46175.7040625</v>
      </c>
      <c r="J557">
        <v>1</v>
      </c>
      <c r="K557" t="s">
        <v>41</v>
      </c>
      <c r="L557">
        <v>1183</v>
      </c>
    </row>
    <row r="558" spans="1:12">
      <c r="A558">
        <v>1186631</v>
      </c>
      <c r="B558" t="s">
        <v>1556</v>
      </c>
      <c r="C558">
        <v>12</v>
      </c>
      <c r="D558" s="10">
        <v>46265</v>
      </c>
      <c r="E558">
        <v>8</v>
      </c>
      <c r="F558">
        <v>17</v>
      </c>
      <c r="G558">
        <v>2</v>
      </c>
      <c r="H558" t="s">
        <v>58</v>
      </c>
      <c r="I558" s="11">
        <v>46176.85560185185</v>
      </c>
      <c r="J558">
        <v>2</v>
      </c>
      <c r="K558" t="s">
        <v>41</v>
      </c>
      <c r="L558">
        <v>1400</v>
      </c>
    </row>
    <row r="559" spans="1:12">
      <c r="A559">
        <v>1186718</v>
      </c>
      <c r="B559" t="s">
        <v>1559</v>
      </c>
      <c r="C559">
        <v>49</v>
      </c>
      <c r="D559" s="10">
        <v>46224</v>
      </c>
      <c r="E559">
        <v>37</v>
      </c>
      <c r="F559">
        <v>23</v>
      </c>
      <c r="G559">
        <v>30</v>
      </c>
      <c r="H559" t="s">
        <v>57</v>
      </c>
      <c r="I559" s="11">
        <v>46177.35819444444</v>
      </c>
      <c r="J559">
        <v>2</v>
      </c>
      <c r="K559" t="s">
        <v>41</v>
      </c>
      <c r="L559">
        <v>6604</v>
      </c>
    </row>
    <row r="560" spans="1:12">
      <c r="A560">
        <v>1186780</v>
      </c>
      <c r="B560" t="s">
        <v>1562</v>
      </c>
      <c r="C560">
        <v>35</v>
      </c>
      <c r="D560" s="10">
        <v>46188</v>
      </c>
      <c r="E560">
        <v>25</v>
      </c>
      <c r="F560">
        <v>11</v>
      </c>
      <c r="G560">
        <v>18</v>
      </c>
      <c r="H560" t="s">
        <v>60</v>
      </c>
      <c r="I560" s="11">
        <v>46177.55946759259</v>
      </c>
      <c r="J560">
        <v>4</v>
      </c>
      <c r="K560" t="s">
        <v>41</v>
      </c>
      <c r="L560">
        <v>3488</v>
      </c>
    </row>
    <row r="561" spans="1:12">
      <c r="A561">
        <v>1186842</v>
      </c>
      <c r="B561" t="s">
        <v>1564</v>
      </c>
      <c r="C561">
        <v>41</v>
      </c>
      <c r="D561" s="10">
        <v>46223</v>
      </c>
      <c r="E561">
        <v>31</v>
      </c>
      <c r="F561">
        <v>15</v>
      </c>
      <c r="G561">
        <v>31</v>
      </c>
      <c r="H561" t="s">
        <v>60</v>
      </c>
      <c r="I561" s="11">
        <v>46177.75010416667</v>
      </c>
      <c r="J561">
        <v>4</v>
      </c>
      <c r="K561" t="s">
        <v>41</v>
      </c>
      <c r="L561">
        <v>3012</v>
      </c>
    </row>
    <row r="562" spans="1:12">
      <c r="A562">
        <v>1187089</v>
      </c>
      <c r="B562" t="s">
        <v>1567</v>
      </c>
      <c r="C562">
        <v>15</v>
      </c>
      <c r="D562" s="10">
        <v>46188</v>
      </c>
      <c r="E562">
        <v>9</v>
      </c>
      <c r="F562">
        <v>3</v>
      </c>
      <c r="G562">
        <v>9</v>
      </c>
      <c r="H562" t="s">
        <v>57</v>
      </c>
      <c r="I562" s="11">
        <v>46178.73408564815</v>
      </c>
      <c r="J562">
        <v>3</v>
      </c>
      <c r="K562" t="s">
        <v>49</v>
      </c>
      <c r="L562">
        <v>7287</v>
      </c>
    </row>
    <row r="563" spans="1:12">
      <c r="A563">
        <v>1187256</v>
      </c>
      <c r="B563" t="s">
        <v>1569</v>
      </c>
      <c r="C563">
        <v>1</v>
      </c>
      <c r="D563" s="10">
        <v>46243</v>
      </c>
      <c r="E563">
        <v>1</v>
      </c>
      <c r="F563">
        <v>1</v>
      </c>
      <c r="G563">
        <v>26</v>
      </c>
      <c r="H563" t="s">
        <v>58</v>
      </c>
      <c r="I563" s="11">
        <v>46179.45344907408</v>
      </c>
      <c r="J563">
        <v>1</v>
      </c>
      <c r="K563" t="s">
        <v>41</v>
      </c>
      <c r="L563">
        <v>994</v>
      </c>
    </row>
    <row r="564" spans="1:12">
      <c r="A564">
        <v>1187585</v>
      </c>
      <c r="B564" t="s">
        <v>1572</v>
      </c>
      <c r="C564">
        <v>25</v>
      </c>
      <c r="D564" s="10">
        <v>46219</v>
      </c>
      <c r="E564">
        <v>19</v>
      </c>
      <c r="F564">
        <v>7</v>
      </c>
      <c r="G564">
        <v>12</v>
      </c>
      <c r="H564" t="s">
        <v>56</v>
      </c>
      <c r="I564" s="11">
        <v>46180.90027777778</v>
      </c>
      <c r="J564">
        <v>2</v>
      </c>
      <c r="K564" t="s">
        <v>41</v>
      </c>
      <c r="L564">
        <v>5294</v>
      </c>
    </row>
    <row r="565" spans="1:12">
      <c r="A565">
        <v>1188878</v>
      </c>
      <c r="B565" t="s">
        <v>1575</v>
      </c>
      <c r="C565">
        <v>15</v>
      </c>
      <c r="D565" s="10">
        <v>46234</v>
      </c>
      <c r="E565">
        <v>9</v>
      </c>
      <c r="F565">
        <v>3</v>
      </c>
      <c r="G565">
        <v>9</v>
      </c>
      <c r="H565" t="s">
        <v>58</v>
      </c>
      <c r="I565" s="11">
        <v>46186.77364583333</v>
      </c>
      <c r="J565">
        <v>1</v>
      </c>
      <c r="K565" t="s">
        <v>37</v>
      </c>
      <c r="L565">
        <v>916</v>
      </c>
    </row>
    <row r="566" spans="1:12">
      <c r="A566">
        <v>1189426</v>
      </c>
      <c r="B566" t="s">
        <v>1577</v>
      </c>
      <c r="C566">
        <v>8</v>
      </c>
      <c r="D566" s="10">
        <v>46247</v>
      </c>
      <c r="E566">
        <v>4</v>
      </c>
      <c r="F566">
        <v>32</v>
      </c>
      <c r="G566">
        <v>1</v>
      </c>
      <c r="H566" t="s">
        <v>60</v>
      </c>
      <c r="I566" s="11">
        <v>46189.40604166667</v>
      </c>
      <c r="J566">
        <v>3</v>
      </c>
      <c r="K566" t="s">
        <v>41</v>
      </c>
      <c r="L566">
        <v>2426</v>
      </c>
    </row>
    <row r="567" spans="1:12">
      <c r="A567">
        <v>1189659</v>
      </c>
      <c r="B567" t="s">
        <v>1580</v>
      </c>
      <c r="C567">
        <v>34</v>
      </c>
      <c r="D567" s="10">
        <v>46237</v>
      </c>
      <c r="E567">
        <v>26</v>
      </c>
      <c r="F567">
        <v>18</v>
      </c>
      <c r="G567">
        <v>11</v>
      </c>
      <c r="H567" t="s">
        <v>58</v>
      </c>
      <c r="I567" s="11">
        <v>46190.50835648148</v>
      </c>
      <c r="J567">
        <v>3</v>
      </c>
      <c r="K567" t="s">
        <v>41</v>
      </c>
      <c r="L567">
        <v>3147</v>
      </c>
    </row>
    <row r="568" spans="1:12">
      <c r="A568">
        <v>1189966</v>
      </c>
      <c r="B568" t="s">
        <v>1583</v>
      </c>
      <c r="C568">
        <v>15</v>
      </c>
      <c r="D568" s="10">
        <v>46234</v>
      </c>
      <c r="E568">
        <v>9</v>
      </c>
      <c r="F568">
        <v>3</v>
      </c>
      <c r="G568">
        <v>9</v>
      </c>
      <c r="H568" t="s">
        <v>58</v>
      </c>
      <c r="I568" s="11">
        <v>46191.82716435185</v>
      </c>
      <c r="J568">
        <v>3</v>
      </c>
      <c r="K568" t="s">
        <v>41</v>
      </c>
      <c r="L568">
        <v>2381</v>
      </c>
    </row>
    <row r="569" spans="1:12">
      <c r="A569">
        <v>1189972</v>
      </c>
      <c r="B569" t="s">
        <v>1585</v>
      </c>
      <c r="C569">
        <v>3</v>
      </c>
      <c r="D569" s="10">
        <v>46230</v>
      </c>
      <c r="E569">
        <v>1</v>
      </c>
      <c r="F569">
        <v>1</v>
      </c>
      <c r="G569">
        <v>26</v>
      </c>
      <c r="H569" t="s">
        <v>58</v>
      </c>
      <c r="I569" s="11">
        <v>46191.8487037037</v>
      </c>
      <c r="J569">
        <v>4</v>
      </c>
      <c r="K569" t="s">
        <v>41</v>
      </c>
      <c r="L569">
        <v>5685</v>
      </c>
    </row>
    <row r="570" spans="1:12">
      <c r="A570">
        <v>1190022</v>
      </c>
      <c r="B570" t="s">
        <v>1587</v>
      </c>
      <c r="C570">
        <v>15</v>
      </c>
      <c r="D570" s="10">
        <v>46234</v>
      </c>
      <c r="E570">
        <v>9</v>
      </c>
      <c r="F570">
        <v>3</v>
      </c>
      <c r="G570">
        <v>9</v>
      </c>
      <c r="H570" t="s">
        <v>58</v>
      </c>
      <c r="I570" s="11">
        <v>46192.25915509259</v>
      </c>
      <c r="J570">
        <v>6</v>
      </c>
      <c r="K570" t="s">
        <v>41</v>
      </c>
      <c r="L570">
        <v>4395</v>
      </c>
    </row>
    <row r="571" spans="1:12">
      <c r="A571">
        <v>1190251</v>
      </c>
      <c r="B571" t="s">
        <v>1590</v>
      </c>
      <c r="C571">
        <v>32</v>
      </c>
      <c r="D571" s="10">
        <v>46202</v>
      </c>
      <c r="E571">
        <v>24</v>
      </c>
      <c r="F571">
        <v>19</v>
      </c>
      <c r="G571">
        <v>9</v>
      </c>
      <c r="H571" t="s">
        <v>60</v>
      </c>
      <c r="I571" s="11">
        <v>46193.4028587963</v>
      </c>
      <c r="J571">
        <v>1</v>
      </c>
      <c r="K571" t="s">
        <v>41</v>
      </c>
      <c r="L571">
        <v>326</v>
      </c>
    </row>
    <row r="572" spans="1:12">
      <c r="A572">
        <v>1191314</v>
      </c>
      <c r="B572" t="s">
        <v>1593</v>
      </c>
      <c r="C572">
        <v>9</v>
      </c>
      <c r="D572" s="10">
        <v>46249</v>
      </c>
      <c r="E572">
        <v>5</v>
      </c>
      <c r="F572">
        <v>2</v>
      </c>
      <c r="G572">
        <v>15</v>
      </c>
      <c r="H572" t="s">
        <v>60</v>
      </c>
      <c r="I572" s="11">
        <v>46198.73135416667</v>
      </c>
      <c r="J572">
        <v>2</v>
      </c>
      <c r="K572" t="s">
        <v>45</v>
      </c>
      <c r="L572">
        <v>576</v>
      </c>
    </row>
    <row r="573" spans="1:12">
      <c r="A573">
        <v>1191336</v>
      </c>
      <c r="B573" t="s">
        <v>1596</v>
      </c>
      <c r="C573">
        <v>27</v>
      </c>
      <c r="D573" s="10">
        <v>46262</v>
      </c>
      <c r="E573">
        <v>21</v>
      </c>
      <c r="F573">
        <v>8</v>
      </c>
      <c r="G573">
        <v>19</v>
      </c>
      <c r="H573" t="s">
        <v>58</v>
      </c>
      <c r="I573" s="11">
        <v>46198.80393518518</v>
      </c>
      <c r="J573">
        <v>2</v>
      </c>
      <c r="K573" t="s">
        <v>41</v>
      </c>
      <c r="L573">
        <v>1775</v>
      </c>
    </row>
    <row r="574" spans="1:12">
      <c r="A574">
        <v>1191528</v>
      </c>
      <c r="B574" t="s">
        <v>1598</v>
      </c>
      <c r="C574">
        <v>15</v>
      </c>
      <c r="D574" s="10">
        <v>46234</v>
      </c>
      <c r="E574">
        <v>9</v>
      </c>
      <c r="F574">
        <v>3</v>
      </c>
      <c r="G574">
        <v>9</v>
      </c>
      <c r="H574" t="s">
        <v>57</v>
      </c>
      <c r="I574" s="11">
        <v>46199.74168981481</v>
      </c>
      <c r="J574">
        <v>1</v>
      </c>
      <c r="K574" t="s">
        <v>41</v>
      </c>
      <c r="L574">
        <v>1457</v>
      </c>
    </row>
    <row r="575" spans="1:12">
      <c r="A575">
        <v>1191703</v>
      </c>
      <c r="B575" t="s">
        <v>1600</v>
      </c>
      <c r="C575">
        <v>30</v>
      </c>
      <c r="D575" s="10">
        <v>46224</v>
      </c>
      <c r="E575">
        <v>24</v>
      </c>
      <c r="F575">
        <v>19</v>
      </c>
      <c r="G575">
        <v>9</v>
      </c>
      <c r="H575" t="s">
        <v>57</v>
      </c>
      <c r="I575" s="11">
        <v>46200.61548611111</v>
      </c>
      <c r="J575">
        <v>1</v>
      </c>
      <c r="K575" t="s">
        <v>37</v>
      </c>
      <c r="L575">
        <v>1731</v>
      </c>
    </row>
    <row r="576" spans="1:12">
      <c r="A576">
        <v>1192749</v>
      </c>
      <c r="B576" t="s">
        <v>1605</v>
      </c>
      <c r="C576">
        <v>15</v>
      </c>
      <c r="D576" s="10">
        <v>46253</v>
      </c>
      <c r="E576">
        <v>9</v>
      </c>
      <c r="F576">
        <v>3</v>
      </c>
      <c r="G576">
        <v>9</v>
      </c>
      <c r="H576" t="s">
        <v>60</v>
      </c>
      <c r="I576" s="11">
        <v>46205.40883101852</v>
      </c>
      <c r="J576">
        <v>2</v>
      </c>
      <c r="K576" t="s">
        <v>41</v>
      </c>
      <c r="L576">
        <v>1524</v>
      </c>
    </row>
    <row r="577" spans="1:12">
      <c r="A577">
        <v>1192751</v>
      </c>
      <c r="B577" t="s">
        <v>1608</v>
      </c>
      <c r="C577">
        <v>16</v>
      </c>
      <c r="D577" s="10">
        <v>46208</v>
      </c>
      <c r="E577">
        <v>10</v>
      </c>
      <c r="F577">
        <v>9</v>
      </c>
      <c r="G577">
        <v>3</v>
      </c>
      <c r="H577" t="s">
        <v>57</v>
      </c>
      <c r="I577" s="11">
        <v>46205.42144675926</v>
      </c>
      <c r="J577">
        <v>6</v>
      </c>
      <c r="K577" t="s">
        <v>41</v>
      </c>
      <c r="L577">
        <v>13602</v>
      </c>
    </row>
    <row r="578" spans="1:12">
      <c r="A578">
        <v>1192802</v>
      </c>
      <c r="B578" t="s">
        <v>1611</v>
      </c>
      <c r="C578">
        <v>43</v>
      </c>
      <c r="D578" s="10">
        <v>46218</v>
      </c>
      <c r="E578">
        <v>33</v>
      </c>
      <c r="F578">
        <v>20</v>
      </c>
      <c r="G578">
        <v>27</v>
      </c>
      <c r="H578" t="s">
        <v>60</v>
      </c>
      <c r="I578" s="11">
        <v>46205.63196759259</v>
      </c>
      <c r="J578">
        <v>3</v>
      </c>
      <c r="K578" t="s">
        <v>41</v>
      </c>
      <c r="L578">
        <v>1958</v>
      </c>
    </row>
    <row r="579" spans="1:12">
      <c r="A579">
        <v>1193016</v>
      </c>
      <c r="B579" t="s">
        <v>1614</v>
      </c>
      <c r="C579">
        <v>43</v>
      </c>
      <c r="D579" s="10">
        <v>46218</v>
      </c>
      <c r="E579">
        <v>33</v>
      </c>
      <c r="F579">
        <v>20</v>
      </c>
      <c r="G579">
        <v>27</v>
      </c>
      <c r="H579" t="s">
        <v>60</v>
      </c>
      <c r="I579" s="11">
        <v>46206.60152777778</v>
      </c>
      <c r="J579">
        <v>3</v>
      </c>
      <c r="K579" t="s">
        <v>41</v>
      </c>
      <c r="L579">
        <v>2259</v>
      </c>
    </row>
    <row r="580" spans="1:12">
      <c r="A580">
        <v>1193245</v>
      </c>
      <c r="B580" t="s">
        <v>1616</v>
      </c>
      <c r="C580">
        <v>15</v>
      </c>
      <c r="D580" s="10">
        <v>46234</v>
      </c>
      <c r="E580">
        <v>9</v>
      </c>
      <c r="F580">
        <v>3</v>
      </c>
      <c r="G580">
        <v>9</v>
      </c>
      <c r="H580" t="s">
        <v>57</v>
      </c>
      <c r="I580" s="11">
        <v>46207.51133101852</v>
      </c>
      <c r="J580">
        <v>3</v>
      </c>
      <c r="K580" t="s">
        <v>47</v>
      </c>
      <c r="L580">
        <v>6315</v>
      </c>
    </row>
    <row r="581" spans="1:12">
      <c r="A581">
        <v>1193481</v>
      </c>
      <c r="B581" t="s">
        <v>1618</v>
      </c>
      <c r="C581">
        <v>6</v>
      </c>
      <c r="D581" s="10">
        <v>46263</v>
      </c>
      <c r="E581">
        <v>4</v>
      </c>
      <c r="F581">
        <v>32</v>
      </c>
      <c r="G581">
        <v>1</v>
      </c>
      <c r="H581" t="s">
        <v>58</v>
      </c>
      <c r="I581" s="11">
        <v>46208.47501157408</v>
      </c>
      <c r="J581">
        <v>2</v>
      </c>
      <c r="K581" t="s">
        <v>41</v>
      </c>
      <c r="L581">
        <v>2224</v>
      </c>
    </row>
    <row r="582" spans="1:12">
      <c r="A582">
        <v>1194649</v>
      </c>
      <c r="B582" t="s">
        <v>1621</v>
      </c>
      <c r="C582">
        <v>10</v>
      </c>
      <c r="D582" s="10">
        <v>46245</v>
      </c>
      <c r="E582">
        <v>6</v>
      </c>
      <c r="F582">
        <v>15</v>
      </c>
      <c r="G582">
        <v>2</v>
      </c>
      <c r="H582" t="s">
        <v>58</v>
      </c>
      <c r="I582" s="11">
        <v>46213.88969907408</v>
      </c>
      <c r="J582">
        <v>1</v>
      </c>
      <c r="K582" t="s">
        <v>41</v>
      </c>
      <c r="L582">
        <v>348</v>
      </c>
    </row>
    <row r="583" spans="1:12">
      <c r="A583">
        <v>1194709</v>
      </c>
      <c r="B583" t="s">
        <v>1624</v>
      </c>
      <c r="C583">
        <v>44</v>
      </c>
      <c r="D583" s="10">
        <v>46227</v>
      </c>
      <c r="E583">
        <v>34</v>
      </c>
      <c r="F583">
        <v>27</v>
      </c>
      <c r="G583">
        <v>20</v>
      </c>
      <c r="H583" t="s">
        <v>58</v>
      </c>
      <c r="I583" s="11">
        <v>46214.34085648148</v>
      </c>
      <c r="J583">
        <v>2</v>
      </c>
      <c r="K583" t="s">
        <v>47</v>
      </c>
      <c r="L583">
        <v>1449</v>
      </c>
    </row>
    <row r="584" spans="1:12">
      <c r="A584">
        <v>1195275</v>
      </c>
      <c r="B584" t="s">
        <v>1626</v>
      </c>
      <c r="C584">
        <v>35</v>
      </c>
      <c r="D584" s="10">
        <v>46223</v>
      </c>
      <c r="E584">
        <v>25</v>
      </c>
      <c r="F584">
        <v>11</v>
      </c>
      <c r="G584">
        <v>18</v>
      </c>
      <c r="H584" t="s">
        <v>60</v>
      </c>
      <c r="I584" s="11">
        <v>46216.92883101852</v>
      </c>
      <c r="J584">
        <v>1</v>
      </c>
      <c r="K584" t="s">
        <v>37</v>
      </c>
      <c r="L584">
        <v>872</v>
      </c>
    </row>
    <row r="585" spans="1:12">
      <c r="A585">
        <v>1195699</v>
      </c>
      <c r="B585" t="s">
        <v>1629</v>
      </c>
      <c r="C585">
        <v>1</v>
      </c>
      <c r="D585" s="10">
        <v>46243</v>
      </c>
      <c r="E585">
        <v>1</v>
      </c>
      <c r="F585">
        <v>1</v>
      </c>
      <c r="G585">
        <v>26</v>
      </c>
      <c r="H585" t="s">
        <v>60</v>
      </c>
      <c r="I585" s="11">
        <v>46219.16707175926</v>
      </c>
      <c r="J585">
        <v>2</v>
      </c>
      <c r="K585" t="s">
        <v>41</v>
      </c>
      <c r="L585">
        <v>2758</v>
      </c>
    </row>
    <row r="586" spans="1:12">
      <c r="A586">
        <v>1195755</v>
      </c>
      <c r="B586" t="s">
        <v>1631</v>
      </c>
      <c r="C586">
        <v>31</v>
      </c>
      <c r="D586" s="10">
        <v>46224</v>
      </c>
      <c r="E586">
        <v>23</v>
      </c>
      <c r="F586">
        <v>9</v>
      </c>
      <c r="G586">
        <v>19</v>
      </c>
      <c r="H586" t="s">
        <v>60</v>
      </c>
      <c r="I586" s="11">
        <v>46219.4506712963</v>
      </c>
      <c r="J586">
        <v>2</v>
      </c>
      <c r="K586" t="s">
        <v>41</v>
      </c>
      <c r="L586">
        <v>1088</v>
      </c>
    </row>
    <row r="587" spans="1:12">
      <c r="A587">
        <v>1196392</v>
      </c>
      <c r="B587" t="s">
        <v>1633</v>
      </c>
      <c r="C587">
        <v>27</v>
      </c>
      <c r="D587" s="10">
        <v>46262</v>
      </c>
      <c r="E587">
        <v>21</v>
      </c>
      <c r="F587">
        <v>8</v>
      </c>
      <c r="G587">
        <v>19</v>
      </c>
      <c r="H587" t="s">
        <v>56</v>
      </c>
      <c r="I587" s="11">
        <v>46222.69444444445</v>
      </c>
      <c r="J587">
        <v>1</v>
      </c>
      <c r="K587" t="s">
        <v>41</v>
      </c>
      <c r="L587">
        <v>4510</v>
      </c>
    </row>
    <row r="588" spans="1:12">
      <c r="A588">
        <v>1197007</v>
      </c>
      <c r="B588" t="s">
        <v>1635</v>
      </c>
      <c r="C588">
        <v>20</v>
      </c>
      <c r="D588" s="10">
        <v>46238</v>
      </c>
      <c r="E588">
        <v>14</v>
      </c>
      <c r="F588">
        <v>16</v>
      </c>
      <c r="G588">
        <v>5</v>
      </c>
      <c r="H588" t="s">
        <v>57</v>
      </c>
      <c r="I588" s="11">
        <v>46225.72318287037</v>
      </c>
      <c r="J588">
        <v>2</v>
      </c>
      <c r="K588" t="s">
        <v>41</v>
      </c>
      <c r="L588">
        <v>4260</v>
      </c>
    </row>
    <row r="589" spans="1:12">
      <c r="A589">
        <v>1197470</v>
      </c>
      <c r="B589" t="s">
        <v>1638</v>
      </c>
      <c r="C589">
        <v>3</v>
      </c>
      <c r="D589" s="10">
        <v>46230</v>
      </c>
      <c r="E589">
        <v>1</v>
      </c>
      <c r="F589">
        <v>1</v>
      </c>
      <c r="G589">
        <v>26</v>
      </c>
      <c r="H589" t="s">
        <v>57</v>
      </c>
      <c r="I589" s="11">
        <v>46228.35936342592</v>
      </c>
      <c r="J589">
        <v>2</v>
      </c>
      <c r="K589" t="s">
        <v>49</v>
      </c>
      <c r="L589">
        <v>8396</v>
      </c>
    </row>
    <row r="590" spans="1:12">
      <c r="A590">
        <v>1197742</v>
      </c>
      <c r="B590" t="s">
        <v>1640</v>
      </c>
      <c r="C590">
        <v>50</v>
      </c>
      <c r="D590" s="10">
        <v>46234</v>
      </c>
      <c r="E590">
        <v>38</v>
      </c>
      <c r="F590">
        <v>30</v>
      </c>
      <c r="G590">
        <v>23</v>
      </c>
      <c r="H590" t="s">
        <v>58</v>
      </c>
      <c r="I590" s="11">
        <v>46229.75520833334</v>
      </c>
      <c r="J590">
        <v>1</v>
      </c>
      <c r="K590" t="s">
        <v>41</v>
      </c>
      <c r="L590">
        <v>1243</v>
      </c>
    </row>
    <row r="591" spans="1:12">
      <c r="A591">
        <v>1197896</v>
      </c>
      <c r="B591" t="s">
        <v>1642</v>
      </c>
      <c r="C591">
        <v>46</v>
      </c>
      <c r="D591" s="10">
        <v>46237</v>
      </c>
      <c r="E591">
        <v>34</v>
      </c>
      <c r="F591">
        <v>27</v>
      </c>
      <c r="G591">
        <v>20</v>
      </c>
      <c r="H591" t="s">
        <v>58</v>
      </c>
      <c r="I591" s="11">
        <v>46230.48209490741</v>
      </c>
      <c r="J591">
        <v>3</v>
      </c>
      <c r="K591" t="s">
        <v>49</v>
      </c>
      <c r="L591">
        <v>2850</v>
      </c>
    </row>
    <row r="592" spans="1:12">
      <c r="A592">
        <v>1197993</v>
      </c>
      <c r="B592" t="s">
        <v>1644</v>
      </c>
      <c r="C592">
        <v>48</v>
      </c>
      <c r="D592" s="10">
        <v>46231</v>
      </c>
      <c r="E592">
        <v>36</v>
      </c>
      <c r="F592">
        <v>28</v>
      </c>
      <c r="G592">
        <v>21</v>
      </c>
      <c r="H592" t="s">
        <v>57</v>
      </c>
      <c r="I592" s="11">
        <v>46230.90206018519</v>
      </c>
      <c r="J592">
        <v>1</v>
      </c>
      <c r="K592" t="s">
        <v>41</v>
      </c>
      <c r="L592">
        <v>3123</v>
      </c>
    </row>
    <row r="593" spans="1:12">
      <c r="A593">
        <v>1198119</v>
      </c>
      <c r="B593" t="s">
        <v>1647</v>
      </c>
      <c r="C593">
        <v>46</v>
      </c>
      <c r="D593" s="10">
        <v>46237</v>
      </c>
      <c r="E593">
        <v>34</v>
      </c>
      <c r="F593">
        <v>27</v>
      </c>
      <c r="G593">
        <v>20</v>
      </c>
      <c r="H593" t="s">
        <v>57</v>
      </c>
      <c r="I593" s="11">
        <v>46231.7940162037</v>
      </c>
      <c r="J593">
        <v>4</v>
      </c>
      <c r="K593" t="s">
        <v>41</v>
      </c>
      <c r="L593">
        <v>9072</v>
      </c>
    </row>
    <row r="594" spans="1:12">
      <c r="A594">
        <v>1198169</v>
      </c>
      <c r="B594" t="s">
        <v>1649</v>
      </c>
      <c r="C594">
        <v>15</v>
      </c>
      <c r="D594" s="10">
        <v>46253</v>
      </c>
      <c r="E594">
        <v>9</v>
      </c>
      <c r="F594">
        <v>3</v>
      </c>
      <c r="G594">
        <v>9</v>
      </c>
      <c r="H594" t="s">
        <v>58</v>
      </c>
      <c r="I594" s="11">
        <v>46232.24392361111</v>
      </c>
      <c r="J594">
        <v>2</v>
      </c>
      <c r="K594" t="s">
        <v>41</v>
      </c>
      <c r="L594">
        <v>1832</v>
      </c>
    </row>
    <row r="595" spans="1:12">
      <c r="A595">
        <v>1198822</v>
      </c>
      <c r="B595" t="s">
        <v>1651</v>
      </c>
      <c r="C595">
        <v>44</v>
      </c>
      <c r="D595" s="10">
        <v>46263</v>
      </c>
      <c r="E595">
        <v>34</v>
      </c>
      <c r="F595">
        <v>27</v>
      </c>
      <c r="G595">
        <v>20</v>
      </c>
      <c r="H595" t="s">
        <v>58</v>
      </c>
      <c r="I595" s="11">
        <v>46235.94217592593</v>
      </c>
      <c r="J595">
        <v>1</v>
      </c>
      <c r="K595" t="s">
        <v>41</v>
      </c>
      <c r="L595">
        <v>906</v>
      </c>
    </row>
    <row r="596" spans="1:12">
      <c r="A596">
        <v>1199119</v>
      </c>
      <c r="B596" t="s">
        <v>1653</v>
      </c>
      <c r="C596">
        <v>1</v>
      </c>
      <c r="D596" s="10">
        <v>46243</v>
      </c>
      <c r="E596">
        <v>1</v>
      </c>
      <c r="F596">
        <v>1</v>
      </c>
      <c r="G596">
        <v>26</v>
      </c>
      <c r="H596" t="s">
        <v>57</v>
      </c>
      <c r="I596" s="11">
        <v>46237.73376157408</v>
      </c>
      <c r="J596">
        <v>2</v>
      </c>
      <c r="K596" t="s">
        <v>49</v>
      </c>
      <c r="L596">
        <v>8812</v>
      </c>
    </row>
    <row r="597" spans="1:12">
      <c r="A597">
        <v>1199281</v>
      </c>
      <c r="B597" t="s">
        <v>1655</v>
      </c>
      <c r="C597">
        <v>10</v>
      </c>
      <c r="D597" s="10">
        <v>46245</v>
      </c>
      <c r="E597">
        <v>6</v>
      </c>
      <c r="F597">
        <v>15</v>
      </c>
      <c r="G597">
        <v>2</v>
      </c>
      <c r="H597" t="s">
        <v>60</v>
      </c>
      <c r="I597" s="11">
        <v>46238.70795138889</v>
      </c>
      <c r="J597">
        <v>3</v>
      </c>
      <c r="K597" t="s">
        <v>41</v>
      </c>
      <c r="L597">
        <v>749</v>
      </c>
    </row>
    <row r="598" spans="1:12">
      <c r="A598">
        <v>1199549</v>
      </c>
      <c r="B598" t="s">
        <v>1657</v>
      </c>
      <c r="C598">
        <v>45</v>
      </c>
      <c r="D598" s="10">
        <v>46251</v>
      </c>
      <c r="E598">
        <v>33</v>
      </c>
      <c r="F598">
        <v>20</v>
      </c>
      <c r="G598">
        <v>27</v>
      </c>
      <c r="H598" t="s">
        <v>58</v>
      </c>
      <c r="I598" s="11">
        <v>46240.68936342592</v>
      </c>
      <c r="J598">
        <v>3</v>
      </c>
      <c r="K598" t="s">
        <v>41</v>
      </c>
      <c r="L598">
        <v>2375</v>
      </c>
    </row>
    <row r="599" spans="1:12">
      <c r="A599">
        <v>1199562</v>
      </c>
      <c r="B599" t="s">
        <v>1660</v>
      </c>
      <c r="C599">
        <v>51</v>
      </c>
      <c r="D599" s="10">
        <v>46260</v>
      </c>
      <c r="E599">
        <v>39</v>
      </c>
      <c r="F599">
        <v>25</v>
      </c>
      <c r="G599">
        <v>29</v>
      </c>
      <c r="H599" t="s">
        <v>58</v>
      </c>
      <c r="I599" s="11">
        <v>46240.78748842593</v>
      </c>
      <c r="J599">
        <v>2</v>
      </c>
      <c r="K599" t="s">
        <v>41</v>
      </c>
      <c r="L599">
        <v>1366</v>
      </c>
    </row>
    <row r="600" spans="1:12">
      <c r="A600">
        <v>1199769</v>
      </c>
      <c r="B600" t="s">
        <v>1663</v>
      </c>
      <c r="C600">
        <v>8</v>
      </c>
      <c r="D600" s="10">
        <v>46247</v>
      </c>
      <c r="E600">
        <v>4</v>
      </c>
      <c r="F600">
        <v>32</v>
      </c>
      <c r="G600">
        <v>1</v>
      </c>
      <c r="H600" t="s">
        <v>60</v>
      </c>
      <c r="I600" s="11">
        <v>46242.28128472222</v>
      </c>
      <c r="J600">
        <v>4</v>
      </c>
      <c r="K600" t="s">
        <v>41</v>
      </c>
      <c r="L600">
        <v>3528</v>
      </c>
    </row>
    <row r="601" spans="1:12">
      <c r="A601">
        <v>1200060</v>
      </c>
      <c r="B601" t="s">
        <v>1666</v>
      </c>
      <c r="C601">
        <v>45</v>
      </c>
      <c r="D601" s="10">
        <v>46251</v>
      </c>
      <c r="E601">
        <v>33</v>
      </c>
      <c r="F601">
        <v>20</v>
      </c>
      <c r="G601">
        <v>27</v>
      </c>
      <c r="H601" t="s">
        <v>58</v>
      </c>
      <c r="I601" s="11">
        <v>46244.45320601852</v>
      </c>
      <c r="J601">
        <v>3</v>
      </c>
      <c r="K601" t="s">
        <v>41</v>
      </c>
      <c r="L601">
        <v>2850</v>
      </c>
    </row>
    <row r="602" spans="1:12">
      <c r="A602">
        <v>1200160</v>
      </c>
      <c r="B602" t="s">
        <v>1668</v>
      </c>
      <c r="C602">
        <v>15</v>
      </c>
      <c r="D602" s="10">
        <v>46253</v>
      </c>
      <c r="E602">
        <v>9</v>
      </c>
      <c r="F602">
        <v>3</v>
      </c>
      <c r="G602">
        <v>9</v>
      </c>
      <c r="H602" t="s">
        <v>60</v>
      </c>
      <c r="I602" s="11">
        <v>46245.13334490741</v>
      </c>
      <c r="J602">
        <v>2</v>
      </c>
      <c r="K602" t="s">
        <v>49</v>
      </c>
      <c r="L602">
        <v>1524</v>
      </c>
    </row>
    <row r="603" spans="1:12">
      <c r="A603">
        <v>1200394</v>
      </c>
      <c r="B603" t="s">
        <v>1670</v>
      </c>
      <c r="C603">
        <v>43</v>
      </c>
      <c r="D603" s="10">
        <v>46248</v>
      </c>
      <c r="E603">
        <v>33</v>
      </c>
      <c r="F603">
        <v>20</v>
      </c>
      <c r="G603">
        <v>27</v>
      </c>
      <c r="H603" t="s">
        <v>58</v>
      </c>
      <c r="I603" s="11">
        <v>46246.83377314815</v>
      </c>
      <c r="J603">
        <v>2</v>
      </c>
      <c r="K603" t="s">
        <v>41</v>
      </c>
      <c r="L603">
        <v>1812</v>
      </c>
    </row>
    <row r="604" spans="1:12">
      <c r="A604">
        <v>1200433</v>
      </c>
      <c r="B604" t="s">
        <v>1673</v>
      </c>
      <c r="C604">
        <v>43</v>
      </c>
      <c r="D604" s="10">
        <v>46248</v>
      </c>
      <c r="E604">
        <v>33</v>
      </c>
      <c r="F604">
        <v>20</v>
      </c>
      <c r="G604">
        <v>27</v>
      </c>
      <c r="H604" t="s">
        <v>60</v>
      </c>
      <c r="I604" s="11">
        <v>46247.26715277778</v>
      </c>
      <c r="J604">
        <v>1</v>
      </c>
      <c r="K604" t="s">
        <v>37</v>
      </c>
      <c r="L604">
        <v>753</v>
      </c>
    </row>
    <row r="605" spans="1:12">
      <c r="A605">
        <v>1201266</v>
      </c>
      <c r="B605" t="s">
        <v>1677</v>
      </c>
      <c r="C605">
        <v>4</v>
      </c>
      <c r="D605" s="10">
        <v>46257</v>
      </c>
      <c r="E605">
        <v>2</v>
      </c>
      <c r="F605">
        <v>26</v>
      </c>
      <c r="G605">
        <v>1</v>
      </c>
      <c r="H605" t="s">
        <v>57</v>
      </c>
      <c r="I605" s="11">
        <v>46255.02071759259</v>
      </c>
      <c r="J605">
        <v>1</v>
      </c>
      <c r="K605" t="s">
        <v>47</v>
      </c>
      <c r="L605">
        <v>4198</v>
      </c>
    </row>
    <row r="606" spans="1:12">
      <c r="A606">
        <v>1201381</v>
      </c>
      <c r="B606" t="s">
        <v>1680</v>
      </c>
      <c r="C606">
        <v>23</v>
      </c>
      <c r="D606" s="10">
        <v>46261</v>
      </c>
      <c r="E606">
        <v>17</v>
      </c>
      <c r="F606">
        <v>7</v>
      </c>
      <c r="G606">
        <v>11</v>
      </c>
      <c r="H606" t="s">
        <v>58</v>
      </c>
      <c r="I606" s="11">
        <v>46256.00034722222</v>
      </c>
      <c r="J606">
        <v>1</v>
      </c>
      <c r="K606" t="s">
        <v>41</v>
      </c>
      <c r="L606">
        <v>834</v>
      </c>
    </row>
    <row r="607" spans="1:12">
      <c r="A607">
        <v>1201444</v>
      </c>
      <c r="B607" t="s">
        <v>1683</v>
      </c>
      <c r="C607">
        <v>27</v>
      </c>
      <c r="D607" s="10">
        <v>46262</v>
      </c>
      <c r="E607">
        <v>21</v>
      </c>
      <c r="F607">
        <v>8</v>
      </c>
      <c r="G607">
        <v>19</v>
      </c>
      <c r="H607" t="s">
        <v>57</v>
      </c>
      <c r="I607" s="11">
        <v>46256.82590277777</v>
      </c>
      <c r="J607">
        <v>4</v>
      </c>
      <c r="K607" t="s">
        <v>41</v>
      </c>
      <c r="L607">
        <v>12568</v>
      </c>
    </row>
    <row r="608" spans="1:12">
      <c r="A608">
        <v>1201825</v>
      </c>
      <c r="B608" t="s">
        <v>1685</v>
      </c>
      <c r="C608">
        <v>41</v>
      </c>
      <c r="D608" s="10">
        <v>46265</v>
      </c>
      <c r="E608">
        <v>31</v>
      </c>
      <c r="F608">
        <v>15</v>
      </c>
      <c r="G608">
        <v>31</v>
      </c>
      <c r="H608" t="s">
        <v>57</v>
      </c>
      <c r="I608" s="11">
        <v>46262.39914351852</v>
      </c>
      <c r="J608">
        <v>4</v>
      </c>
      <c r="K608" t="s">
        <v>37</v>
      </c>
      <c r="L608">
        <v>10511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sheetPr>
    <tabColor rgb="FF548235"/>
  </sheetPr>
  <dimension ref="A1:J125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9" width="17.7109375" customWidth="1"/>
  </cols>
  <sheetData>
    <row r="1" spans="1:10">
      <c r="A1" s="5" t="s">
        <v>1688</v>
      </c>
      <c r="B1" s="5" t="s">
        <v>62</v>
      </c>
      <c r="C1" s="5" t="s">
        <v>1689</v>
      </c>
      <c r="D1" s="5" t="s">
        <v>1690</v>
      </c>
      <c r="E1" s="5" t="s">
        <v>1691</v>
      </c>
      <c r="F1" s="5" t="s">
        <v>1692</v>
      </c>
      <c r="G1" s="5" t="s">
        <v>1693</v>
      </c>
      <c r="H1" s="5" t="s">
        <v>1694</v>
      </c>
      <c r="J1" s="9" t="s">
        <v>2093</v>
      </c>
    </row>
    <row r="2" spans="1:10">
      <c r="A2">
        <v>1257</v>
      </c>
      <c r="B2">
        <v>1000611</v>
      </c>
      <c r="C2">
        <v>1</v>
      </c>
      <c r="D2" t="s">
        <v>1695</v>
      </c>
      <c r="E2">
        <v>1314</v>
      </c>
      <c r="F2" t="s">
        <v>41</v>
      </c>
      <c r="G2" t="s">
        <v>41</v>
      </c>
    </row>
    <row r="3" spans="1:10">
      <c r="A3">
        <v>1258</v>
      </c>
      <c r="B3">
        <v>1000611</v>
      </c>
      <c r="C3">
        <v>2</v>
      </c>
      <c r="D3" t="s">
        <v>1695</v>
      </c>
      <c r="E3">
        <v>1314</v>
      </c>
      <c r="F3" t="s">
        <v>41</v>
      </c>
      <c r="G3" t="s">
        <v>41</v>
      </c>
    </row>
    <row r="4" spans="1:10">
      <c r="A4">
        <v>1259</v>
      </c>
      <c r="B4">
        <v>1000611</v>
      </c>
      <c r="C4">
        <v>3</v>
      </c>
      <c r="D4" t="s">
        <v>1695</v>
      </c>
      <c r="E4">
        <v>1314</v>
      </c>
      <c r="F4" t="s">
        <v>41</v>
      </c>
      <c r="G4" t="s">
        <v>41</v>
      </c>
    </row>
    <row r="5" spans="1:10">
      <c r="A5">
        <v>1260</v>
      </c>
      <c r="B5">
        <v>1000611</v>
      </c>
      <c r="C5">
        <v>4</v>
      </c>
      <c r="D5" t="s">
        <v>1696</v>
      </c>
      <c r="E5">
        <v>789</v>
      </c>
      <c r="F5" t="s">
        <v>41</v>
      </c>
      <c r="G5" t="s">
        <v>41</v>
      </c>
    </row>
    <row r="6" spans="1:10">
      <c r="A6">
        <v>3797</v>
      </c>
      <c r="B6">
        <v>1001896</v>
      </c>
      <c r="C6">
        <v>1</v>
      </c>
      <c r="D6" t="s">
        <v>1695</v>
      </c>
      <c r="E6">
        <v>1053</v>
      </c>
      <c r="F6" t="s">
        <v>41</v>
      </c>
      <c r="G6" t="s">
        <v>41</v>
      </c>
    </row>
    <row r="7" spans="1:10">
      <c r="A7">
        <v>3798</v>
      </c>
      <c r="B7">
        <v>1001896</v>
      </c>
      <c r="C7">
        <v>2</v>
      </c>
      <c r="D7" t="s">
        <v>1695</v>
      </c>
      <c r="E7">
        <v>1053</v>
      </c>
      <c r="F7" t="s">
        <v>41</v>
      </c>
      <c r="G7" t="s">
        <v>41</v>
      </c>
    </row>
    <row r="8" spans="1:10">
      <c r="A8">
        <v>3799</v>
      </c>
      <c r="B8">
        <v>1001896</v>
      </c>
      <c r="C8">
        <v>3</v>
      </c>
      <c r="D8" t="s">
        <v>1695</v>
      </c>
      <c r="E8">
        <v>1053</v>
      </c>
      <c r="F8" t="s">
        <v>41</v>
      </c>
      <c r="G8" t="s">
        <v>41</v>
      </c>
    </row>
    <row r="9" spans="1:10">
      <c r="A9">
        <v>4015</v>
      </c>
      <c r="B9">
        <v>1002009</v>
      </c>
      <c r="C9">
        <v>1</v>
      </c>
      <c r="D9" t="s">
        <v>1695</v>
      </c>
      <c r="E9">
        <v>544</v>
      </c>
      <c r="F9" t="s">
        <v>41</v>
      </c>
      <c r="G9" t="s">
        <v>41</v>
      </c>
    </row>
    <row r="10" spans="1:10">
      <c r="A10">
        <v>4016</v>
      </c>
      <c r="B10">
        <v>1002009</v>
      </c>
      <c r="C10">
        <v>2</v>
      </c>
      <c r="D10" t="s">
        <v>1697</v>
      </c>
      <c r="E10">
        <v>272</v>
      </c>
      <c r="F10" t="s">
        <v>41</v>
      </c>
      <c r="G10" t="s">
        <v>41</v>
      </c>
    </row>
    <row r="11" spans="1:10">
      <c r="A11">
        <v>4783</v>
      </c>
      <c r="B11">
        <v>1002389</v>
      </c>
      <c r="C11">
        <v>1</v>
      </c>
      <c r="D11" t="s">
        <v>1695</v>
      </c>
      <c r="E11">
        <v>872</v>
      </c>
      <c r="F11" t="s">
        <v>41</v>
      </c>
      <c r="G11" t="s">
        <v>41</v>
      </c>
    </row>
    <row r="12" spans="1:10">
      <c r="A12">
        <v>4784</v>
      </c>
      <c r="B12">
        <v>1002389</v>
      </c>
      <c r="C12">
        <v>2</v>
      </c>
      <c r="D12" t="s">
        <v>1697</v>
      </c>
      <c r="E12">
        <v>436</v>
      </c>
      <c r="F12" t="s">
        <v>41</v>
      </c>
      <c r="G12" t="s">
        <v>41</v>
      </c>
    </row>
    <row r="13" spans="1:10">
      <c r="A13">
        <v>5077</v>
      </c>
      <c r="B13">
        <v>1002524</v>
      </c>
      <c r="C13">
        <v>1</v>
      </c>
      <c r="D13" t="s">
        <v>1695</v>
      </c>
      <c r="E13">
        <v>2402</v>
      </c>
      <c r="F13" t="s">
        <v>41</v>
      </c>
      <c r="G13" t="s">
        <v>41</v>
      </c>
    </row>
    <row r="14" spans="1:10">
      <c r="A14">
        <v>5078</v>
      </c>
      <c r="B14">
        <v>1002524</v>
      </c>
      <c r="C14">
        <v>2</v>
      </c>
      <c r="D14" t="s">
        <v>1695</v>
      </c>
      <c r="E14">
        <v>2402</v>
      </c>
      <c r="F14" t="s">
        <v>41</v>
      </c>
      <c r="G14" t="s">
        <v>41</v>
      </c>
    </row>
    <row r="15" spans="1:10">
      <c r="A15">
        <v>5891</v>
      </c>
      <c r="B15">
        <v>1002921</v>
      </c>
      <c r="C15">
        <v>1</v>
      </c>
      <c r="D15" t="s">
        <v>1695</v>
      </c>
      <c r="E15">
        <v>1854</v>
      </c>
      <c r="F15" t="s">
        <v>41</v>
      </c>
      <c r="G15" t="s">
        <v>41</v>
      </c>
    </row>
    <row r="16" spans="1:10">
      <c r="A16">
        <v>5892</v>
      </c>
      <c r="B16">
        <v>1002921</v>
      </c>
      <c r="C16">
        <v>2</v>
      </c>
      <c r="D16" t="s">
        <v>1695</v>
      </c>
      <c r="E16">
        <v>1854</v>
      </c>
      <c r="F16" t="s">
        <v>41</v>
      </c>
      <c r="G16" t="s">
        <v>41</v>
      </c>
    </row>
    <row r="17" spans="1:8">
      <c r="A17">
        <v>6027</v>
      </c>
      <c r="B17">
        <v>1002990</v>
      </c>
      <c r="C17">
        <v>1</v>
      </c>
      <c r="D17" t="s">
        <v>1695</v>
      </c>
      <c r="E17">
        <v>1049</v>
      </c>
      <c r="F17" t="s">
        <v>41</v>
      </c>
      <c r="G17" t="s">
        <v>41</v>
      </c>
    </row>
    <row r="18" spans="1:8">
      <c r="A18">
        <v>6183</v>
      </c>
      <c r="B18">
        <v>1003061</v>
      </c>
      <c r="C18">
        <v>1</v>
      </c>
      <c r="D18" t="s">
        <v>1695</v>
      </c>
      <c r="E18">
        <v>544</v>
      </c>
      <c r="F18" t="s">
        <v>41</v>
      </c>
      <c r="G18" t="s">
        <v>41</v>
      </c>
    </row>
    <row r="19" spans="1:8">
      <c r="A19">
        <v>6184</v>
      </c>
      <c r="B19">
        <v>1003061</v>
      </c>
      <c r="C19">
        <v>2</v>
      </c>
      <c r="D19" t="s">
        <v>1695</v>
      </c>
      <c r="E19">
        <v>544</v>
      </c>
      <c r="F19" t="s">
        <v>41</v>
      </c>
      <c r="G19" t="s">
        <v>41</v>
      </c>
    </row>
    <row r="20" spans="1:8">
      <c r="A20">
        <v>6275</v>
      </c>
      <c r="B20">
        <v>1003110</v>
      </c>
      <c r="C20">
        <v>1</v>
      </c>
      <c r="D20" t="s">
        <v>1695</v>
      </c>
      <c r="E20">
        <v>1314</v>
      </c>
      <c r="F20" t="s">
        <v>41</v>
      </c>
      <c r="G20" t="s">
        <v>41</v>
      </c>
    </row>
    <row r="21" spans="1:8">
      <c r="A21">
        <v>6276</v>
      </c>
      <c r="B21">
        <v>1003110</v>
      </c>
      <c r="C21">
        <v>2</v>
      </c>
      <c r="D21" t="s">
        <v>1695</v>
      </c>
      <c r="E21">
        <v>1314</v>
      </c>
      <c r="F21" t="s">
        <v>41</v>
      </c>
      <c r="G21" t="s">
        <v>41</v>
      </c>
    </row>
    <row r="22" spans="1:8">
      <c r="A22">
        <v>6277</v>
      </c>
      <c r="B22">
        <v>1003110</v>
      </c>
      <c r="C22">
        <v>3</v>
      </c>
      <c r="D22" t="s">
        <v>1695</v>
      </c>
      <c r="E22">
        <v>1314</v>
      </c>
      <c r="F22" t="s">
        <v>41</v>
      </c>
      <c r="G22" t="s">
        <v>41</v>
      </c>
    </row>
    <row r="23" spans="1:8">
      <c r="A23">
        <v>6278</v>
      </c>
      <c r="B23">
        <v>1003110</v>
      </c>
      <c r="C23">
        <v>4</v>
      </c>
      <c r="D23" t="s">
        <v>1695</v>
      </c>
      <c r="E23">
        <v>1314</v>
      </c>
      <c r="F23" t="s">
        <v>41</v>
      </c>
      <c r="G23" t="s">
        <v>41</v>
      </c>
    </row>
    <row r="24" spans="1:8">
      <c r="A24">
        <v>7806</v>
      </c>
      <c r="B24">
        <v>1003866</v>
      </c>
      <c r="C24">
        <v>1</v>
      </c>
      <c r="D24" t="s">
        <v>1695</v>
      </c>
      <c r="E24">
        <v>3694</v>
      </c>
      <c r="F24" t="s">
        <v>41</v>
      </c>
      <c r="G24" t="s">
        <v>41</v>
      </c>
    </row>
    <row r="25" spans="1:8">
      <c r="A25">
        <v>8988</v>
      </c>
      <c r="B25">
        <v>1004416</v>
      </c>
      <c r="C25">
        <v>1</v>
      </c>
      <c r="D25" t="s">
        <v>1696</v>
      </c>
      <c r="E25">
        <v>482</v>
      </c>
      <c r="F25" t="s">
        <v>41</v>
      </c>
      <c r="G25" t="s">
        <v>41</v>
      </c>
    </row>
    <row r="26" spans="1:8">
      <c r="A26">
        <v>9483</v>
      </c>
      <c r="B26">
        <v>1004645</v>
      </c>
      <c r="C26">
        <v>1</v>
      </c>
      <c r="D26" t="s">
        <v>1695</v>
      </c>
      <c r="E26">
        <v>1314</v>
      </c>
      <c r="F26" t="s">
        <v>41</v>
      </c>
      <c r="G26" t="s">
        <v>41</v>
      </c>
    </row>
    <row r="27" spans="1:8">
      <c r="A27">
        <v>9822</v>
      </c>
      <c r="B27">
        <v>1004815</v>
      </c>
      <c r="C27">
        <v>1</v>
      </c>
      <c r="D27" t="s">
        <v>1695</v>
      </c>
      <c r="E27">
        <v>804</v>
      </c>
      <c r="F27" t="s">
        <v>41</v>
      </c>
      <c r="G27" t="s">
        <v>37</v>
      </c>
      <c r="H27">
        <v>776</v>
      </c>
    </row>
    <row r="28" spans="1:8">
      <c r="A28">
        <v>9892</v>
      </c>
      <c r="B28">
        <v>1004847</v>
      </c>
      <c r="C28">
        <v>1</v>
      </c>
      <c r="D28" t="s">
        <v>1695</v>
      </c>
      <c r="E28">
        <v>3219</v>
      </c>
      <c r="F28" t="s">
        <v>41</v>
      </c>
      <c r="G28" t="s">
        <v>37</v>
      </c>
      <c r="H28">
        <v>2735</v>
      </c>
    </row>
    <row r="29" spans="1:8">
      <c r="A29">
        <v>10555</v>
      </c>
      <c r="B29">
        <v>1005162</v>
      </c>
      <c r="C29">
        <v>1</v>
      </c>
      <c r="D29" t="s">
        <v>1695</v>
      </c>
      <c r="E29">
        <v>1854</v>
      </c>
      <c r="F29" t="s">
        <v>41</v>
      </c>
      <c r="G29" t="s">
        <v>41</v>
      </c>
    </row>
    <row r="30" spans="1:8">
      <c r="A30">
        <v>11394</v>
      </c>
      <c r="B30">
        <v>1005562</v>
      </c>
      <c r="C30">
        <v>1</v>
      </c>
      <c r="D30" t="s">
        <v>1695</v>
      </c>
      <c r="E30">
        <v>870</v>
      </c>
      <c r="F30" t="s">
        <v>41</v>
      </c>
      <c r="G30" t="s">
        <v>41</v>
      </c>
    </row>
    <row r="31" spans="1:8">
      <c r="A31">
        <v>11395</v>
      </c>
      <c r="B31">
        <v>1005562</v>
      </c>
      <c r="C31">
        <v>2</v>
      </c>
      <c r="D31" t="s">
        <v>1696</v>
      </c>
      <c r="E31">
        <v>522</v>
      </c>
      <c r="F31" t="s">
        <v>41</v>
      </c>
      <c r="G31" t="s">
        <v>41</v>
      </c>
    </row>
    <row r="32" spans="1:8">
      <c r="A32">
        <v>11428</v>
      </c>
      <c r="B32">
        <v>1005583</v>
      </c>
      <c r="C32">
        <v>1</v>
      </c>
      <c r="D32" t="s">
        <v>1695</v>
      </c>
      <c r="E32">
        <v>1390</v>
      </c>
      <c r="F32" t="s">
        <v>41</v>
      </c>
      <c r="G32" t="s">
        <v>41</v>
      </c>
    </row>
    <row r="33" spans="1:8">
      <c r="A33">
        <v>12364</v>
      </c>
      <c r="B33">
        <v>1006037</v>
      </c>
      <c r="C33">
        <v>1</v>
      </c>
      <c r="D33" t="s">
        <v>1695</v>
      </c>
      <c r="E33">
        <v>2211</v>
      </c>
      <c r="F33" t="s">
        <v>41</v>
      </c>
      <c r="G33" t="s">
        <v>41</v>
      </c>
    </row>
    <row r="34" spans="1:8">
      <c r="A34">
        <v>12365</v>
      </c>
      <c r="B34">
        <v>1006037</v>
      </c>
      <c r="C34">
        <v>2</v>
      </c>
      <c r="D34" t="s">
        <v>1695</v>
      </c>
      <c r="E34">
        <v>2211</v>
      </c>
      <c r="F34" t="s">
        <v>41</v>
      </c>
      <c r="G34" t="s">
        <v>41</v>
      </c>
    </row>
    <row r="35" spans="1:8">
      <c r="A35">
        <v>12366</v>
      </c>
      <c r="B35">
        <v>1006037</v>
      </c>
      <c r="C35">
        <v>3</v>
      </c>
      <c r="D35" t="s">
        <v>1695</v>
      </c>
      <c r="E35">
        <v>2211</v>
      </c>
      <c r="F35" t="s">
        <v>41</v>
      </c>
      <c r="G35" t="s">
        <v>41</v>
      </c>
    </row>
    <row r="36" spans="1:8">
      <c r="A36">
        <v>13013</v>
      </c>
      <c r="B36">
        <v>1006359</v>
      </c>
      <c r="C36">
        <v>1</v>
      </c>
      <c r="D36" t="s">
        <v>1696</v>
      </c>
      <c r="E36">
        <v>393</v>
      </c>
      <c r="F36" t="s">
        <v>41</v>
      </c>
      <c r="G36" t="s">
        <v>37</v>
      </c>
      <c r="H36">
        <v>629</v>
      </c>
    </row>
    <row r="37" spans="1:8">
      <c r="A37">
        <v>13257</v>
      </c>
      <c r="B37">
        <v>1006475</v>
      </c>
      <c r="C37">
        <v>1</v>
      </c>
      <c r="D37" t="s">
        <v>1695</v>
      </c>
      <c r="E37">
        <v>833</v>
      </c>
      <c r="F37" t="s">
        <v>41</v>
      </c>
      <c r="G37" t="s">
        <v>41</v>
      </c>
    </row>
    <row r="38" spans="1:8">
      <c r="A38">
        <v>13258</v>
      </c>
      <c r="B38">
        <v>1006475</v>
      </c>
      <c r="C38">
        <v>2</v>
      </c>
      <c r="D38" t="s">
        <v>1695</v>
      </c>
      <c r="E38">
        <v>833</v>
      </c>
      <c r="F38" t="s">
        <v>41</v>
      </c>
      <c r="G38" t="s">
        <v>41</v>
      </c>
    </row>
    <row r="39" spans="1:8">
      <c r="A39">
        <v>13659</v>
      </c>
      <c r="B39">
        <v>1006678</v>
      </c>
      <c r="C39">
        <v>1</v>
      </c>
      <c r="D39" t="s">
        <v>1695</v>
      </c>
      <c r="E39">
        <v>1176</v>
      </c>
      <c r="F39" t="s">
        <v>41</v>
      </c>
      <c r="G39" t="s">
        <v>41</v>
      </c>
    </row>
    <row r="40" spans="1:8">
      <c r="A40">
        <v>13660</v>
      </c>
      <c r="B40">
        <v>1006678</v>
      </c>
      <c r="C40">
        <v>2</v>
      </c>
      <c r="D40" t="s">
        <v>1697</v>
      </c>
      <c r="E40">
        <v>588</v>
      </c>
      <c r="F40" t="s">
        <v>41</v>
      </c>
      <c r="G40" t="s">
        <v>41</v>
      </c>
    </row>
    <row r="41" spans="1:8">
      <c r="A41">
        <v>13661</v>
      </c>
      <c r="B41">
        <v>1006678</v>
      </c>
      <c r="C41">
        <v>3</v>
      </c>
      <c r="D41" t="s">
        <v>1697</v>
      </c>
      <c r="E41">
        <v>588</v>
      </c>
      <c r="F41" t="s">
        <v>41</v>
      </c>
      <c r="G41" t="s">
        <v>41</v>
      </c>
    </row>
    <row r="42" spans="1:8">
      <c r="A42">
        <v>13662</v>
      </c>
      <c r="B42">
        <v>1006678</v>
      </c>
      <c r="C42">
        <v>4</v>
      </c>
      <c r="D42" t="s">
        <v>1695</v>
      </c>
      <c r="E42">
        <v>1176</v>
      </c>
      <c r="F42" t="s">
        <v>41</v>
      </c>
      <c r="G42" t="s">
        <v>41</v>
      </c>
    </row>
    <row r="43" spans="1:8">
      <c r="A43">
        <v>13663</v>
      </c>
      <c r="B43">
        <v>1006678</v>
      </c>
      <c r="C43">
        <v>5</v>
      </c>
      <c r="D43" t="s">
        <v>1695</v>
      </c>
      <c r="E43">
        <v>1176</v>
      </c>
      <c r="F43" t="s">
        <v>41</v>
      </c>
      <c r="G43" t="s">
        <v>41</v>
      </c>
    </row>
    <row r="44" spans="1:8">
      <c r="A44">
        <v>13664</v>
      </c>
      <c r="B44">
        <v>1006678</v>
      </c>
      <c r="C44">
        <v>6</v>
      </c>
      <c r="D44" t="s">
        <v>1695</v>
      </c>
      <c r="E44">
        <v>1176</v>
      </c>
      <c r="F44" t="s">
        <v>41</v>
      </c>
      <c r="G44" t="s">
        <v>41</v>
      </c>
    </row>
    <row r="45" spans="1:8">
      <c r="A45">
        <v>13672</v>
      </c>
      <c r="B45">
        <v>1006682</v>
      </c>
      <c r="C45">
        <v>1</v>
      </c>
      <c r="D45" t="s">
        <v>1695</v>
      </c>
      <c r="E45">
        <v>1390</v>
      </c>
      <c r="F45" t="s">
        <v>41</v>
      </c>
      <c r="G45" t="s">
        <v>41</v>
      </c>
    </row>
    <row r="46" spans="1:8">
      <c r="A46">
        <v>13673</v>
      </c>
      <c r="B46">
        <v>1006682</v>
      </c>
      <c r="C46">
        <v>2</v>
      </c>
      <c r="D46" t="s">
        <v>1697</v>
      </c>
      <c r="E46">
        <v>695</v>
      </c>
      <c r="F46" t="s">
        <v>41</v>
      </c>
      <c r="G46" t="s">
        <v>41</v>
      </c>
    </row>
    <row r="47" spans="1:8">
      <c r="A47">
        <v>13674</v>
      </c>
      <c r="B47">
        <v>1006682</v>
      </c>
      <c r="C47">
        <v>3</v>
      </c>
      <c r="D47" t="s">
        <v>1697</v>
      </c>
      <c r="E47">
        <v>695</v>
      </c>
      <c r="F47" t="s">
        <v>41</v>
      </c>
      <c r="G47" t="s">
        <v>41</v>
      </c>
    </row>
    <row r="48" spans="1:8">
      <c r="A48">
        <v>13675</v>
      </c>
      <c r="B48">
        <v>1006682</v>
      </c>
      <c r="C48">
        <v>4</v>
      </c>
      <c r="D48" t="s">
        <v>1695</v>
      </c>
      <c r="E48">
        <v>1390</v>
      </c>
      <c r="F48" t="s">
        <v>41</v>
      </c>
      <c r="G48" t="s">
        <v>41</v>
      </c>
    </row>
    <row r="49" spans="1:8">
      <c r="A49">
        <v>13715</v>
      </c>
      <c r="B49">
        <v>1006706</v>
      </c>
      <c r="C49">
        <v>1</v>
      </c>
      <c r="D49" t="s">
        <v>1695</v>
      </c>
      <c r="E49">
        <v>753</v>
      </c>
      <c r="F49" t="s">
        <v>41</v>
      </c>
      <c r="G49" t="s">
        <v>37</v>
      </c>
      <c r="H49">
        <v>1069</v>
      </c>
    </row>
    <row r="50" spans="1:8">
      <c r="A50">
        <v>14078</v>
      </c>
      <c r="B50">
        <v>1006886</v>
      </c>
      <c r="C50">
        <v>1</v>
      </c>
      <c r="D50" t="s">
        <v>1695</v>
      </c>
      <c r="E50">
        <v>2429</v>
      </c>
      <c r="F50" t="s">
        <v>41</v>
      </c>
      <c r="G50" t="s">
        <v>41</v>
      </c>
    </row>
    <row r="51" spans="1:8">
      <c r="A51">
        <v>15276</v>
      </c>
      <c r="B51">
        <v>1007455</v>
      </c>
      <c r="C51">
        <v>1</v>
      </c>
      <c r="D51" t="s">
        <v>1695</v>
      </c>
      <c r="E51">
        <v>854</v>
      </c>
      <c r="F51" t="s">
        <v>41</v>
      </c>
      <c r="G51" t="s">
        <v>41</v>
      </c>
    </row>
    <row r="52" spans="1:8">
      <c r="A52">
        <v>15602</v>
      </c>
      <c r="B52">
        <v>1007632</v>
      </c>
      <c r="C52">
        <v>1</v>
      </c>
      <c r="D52" t="s">
        <v>1695</v>
      </c>
      <c r="E52">
        <v>3694</v>
      </c>
      <c r="F52" t="s">
        <v>41</v>
      </c>
      <c r="G52" t="s">
        <v>41</v>
      </c>
    </row>
    <row r="53" spans="1:8">
      <c r="A53">
        <v>15603</v>
      </c>
      <c r="B53">
        <v>1007632</v>
      </c>
      <c r="C53">
        <v>2</v>
      </c>
      <c r="D53" t="s">
        <v>1695</v>
      </c>
      <c r="E53">
        <v>3694</v>
      </c>
      <c r="F53" t="s">
        <v>41</v>
      </c>
      <c r="G53" t="s">
        <v>41</v>
      </c>
    </row>
    <row r="54" spans="1:8">
      <c r="A54">
        <v>15673</v>
      </c>
      <c r="B54">
        <v>1007669</v>
      </c>
      <c r="C54">
        <v>1</v>
      </c>
      <c r="D54" t="s">
        <v>2094</v>
      </c>
      <c r="E54">
        <v>2795</v>
      </c>
      <c r="F54" t="s">
        <v>41</v>
      </c>
      <c r="G54" t="s">
        <v>41</v>
      </c>
    </row>
    <row r="55" spans="1:8">
      <c r="A55">
        <v>15674</v>
      </c>
      <c r="B55">
        <v>1007669</v>
      </c>
      <c r="C55">
        <v>2</v>
      </c>
      <c r="D55" t="s">
        <v>1695</v>
      </c>
      <c r="E55">
        <v>2795</v>
      </c>
      <c r="F55" t="s">
        <v>41</v>
      </c>
      <c r="G55" t="s">
        <v>41</v>
      </c>
    </row>
    <row r="56" spans="1:8">
      <c r="A56">
        <v>16793</v>
      </c>
      <c r="B56">
        <v>1008214</v>
      </c>
      <c r="C56">
        <v>1</v>
      </c>
      <c r="D56" t="s">
        <v>1696</v>
      </c>
      <c r="E56">
        <v>501</v>
      </c>
      <c r="F56" t="s">
        <v>41</v>
      </c>
      <c r="G56" t="s">
        <v>41</v>
      </c>
    </row>
    <row r="57" spans="1:8">
      <c r="A57">
        <v>16794</v>
      </c>
      <c r="B57">
        <v>1008214</v>
      </c>
      <c r="C57">
        <v>2</v>
      </c>
      <c r="D57" t="s">
        <v>1695</v>
      </c>
      <c r="E57">
        <v>834</v>
      </c>
      <c r="F57" t="s">
        <v>41</v>
      </c>
      <c r="G57" t="s">
        <v>41</v>
      </c>
    </row>
    <row r="58" spans="1:8">
      <c r="A58">
        <v>16795</v>
      </c>
      <c r="B58">
        <v>1008214</v>
      </c>
      <c r="C58">
        <v>3</v>
      </c>
      <c r="D58" t="s">
        <v>1695</v>
      </c>
      <c r="E58">
        <v>834</v>
      </c>
      <c r="F58" t="s">
        <v>41</v>
      </c>
      <c r="G58" t="s">
        <v>41</v>
      </c>
    </row>
    <row r="59" spans="1:8">
      <c r="A59">
        <v>18053</v>
      </c>
      <c r="B59">
        <v>1008844</v>
      </c>
      <c r="C59">
        <v>1</v>
      </c>
      <c r="D59" t="s">
        <v>1695</v>
      </c>
      <c r="E59">
        <v>834</v>
      </c>
      <c r="F59" t="s">
        <v>41</v>
      </c>
      <c r="G59" t="s">
        <v>41</v>
      </c>
    </row>
    <row r="60" spans="1:8">
      <c r="A60">
        <v>18054</v>
      </c>
      <c r="B60">
        <v>1008844</v>
      </c>
      <c r="C60">
        <v>2</v>
      </c>
      <c r="D60" t="s">
        <v>1695</v>
      </c>
      <c r="E60">
        <v>834</v>
      </c>
      <c r="F60" t="s">
        <v>41</v>
      </c>
      <c r="G60" t="s">
        <v>37</v>
      </c>
      <c r="H60">
        <v>2080</v>
      </c>
    </row>
    <row r="61" spans="1:8">
      <c r="A61">
        <v>18055</v>
      </c>
      <c r="B61">
        <v>1008844</v>
      </c>
      <c r="C61">
        <v>3</v>
      </c>
      <c r="D61" t="s">
        <v>1695</v>
      </c>
      <c r="E61">
        <v>834</v>
      </c>
      <c r="F61" t="s">
        <v>41</v>
      </c>
      <c r="G61" t="s">
        <v>37</v>
      </c>
      <c r="H61">
        <v>2080</v>
      </c>
    </row>
    <row r="62" spans="1:8">
      <c r="A62">
        <v>18092</v>
      </c>
      <c r="B62">
        <v>1008865</v>
      </c>
      <c r="C62">
        <v>1</v>
      </c>
      <c r="D62" t="s">
        <v>1695</v>
      </c>
      <c r="E62">
        <v>3026</v>
      </c>
      <c r="F62" t="s">
        <v>41</v>
      </c>
      <c r="G62" t="s">
        <v>41</v>
      </c>
    </row>
    <row r="63" spans="1:8">
      <c r="A63">
        <v>18529</v>
      </c>
      <c r="B63">
        <v>1009096</v>
      </c>
      <c r="C63">
        <v>1</v>
      </c>
      <c r="D63" t="s">
        <v>1695</v>
      </c>
      <c r="E63">
        <v>4011</v>
      </c>
      <c r="F63" t="s">
        <v>41</v>
      </c>
      <c r="G63" t="s">
        <v>41</v>
      </c>
    </row>
    <row r="64" spans="1:8">
      <c r="A64">
        <v>18530</v>
      </c>
      <c r="B64">
        <v>1009096</v>
      </c>
      <c r="C64">
        <v>2</v>
      </c>
      <c r="D64" t="s">
        <v>1695</v>
      </c>
      <c r="E64">
        <v>4011</v>
      </c>
      <c r="F64" t="s">
        <v>41</v>
      </c>
      <c r="G64" t="s">
        <v>41</v>
      </c>
    </row>
    <row r="65" spans="1:8">
      <c r="A65">
        <v>22226</v>
      </c>
      <c r="B65">
        <v>1010912</v>
      </c>
      <c r="C65">
        <v>1</v>
      </c>
      <c r="D65" t="s">
        <v>1696</v>
      </c>
      <c r="E65">
        <v>452</v>
      </c>
      <c r="F65" t="s">
        <v>49</v>
      </c>
      <c r="G65" t="s">
        <v>49</v>
      </c>
      <c r="H65">
        <v>1514</v>
      </c>
    </row>
    <row r="66" spans="1:8">
      <c r="A66">
        <v>23043</v>
      </c>
      <c r="B66">
        <v>1011314</v>
      </c>
      <c r="C66">
        <v>1</v>
      </c>
      <c r="D66" t="s">
        <v>1695</v>
      </c>
      <c r="E66">
        <v>1731</v>
      </c>
      <c r="F66" t="s">
        <v>41</v>
      </c>
      <c r="G66" t="s">
        <v>37</v>
      </c>
      <c r="H66">
        <v>6520</v>
      </c>
    </row>
    <row r="67" spans="1:8">
      <c r="A67">
        <v>23745</v>
      </c>
      <c r="B67">
        <v>1011658</v>
      </c>
      <c r="C67">
        <v>1</v>
      </c>
      <c r="D67" t="s">
        <v>1695</v>
      </c>
      <c r="E67">
        <v>1379</v>
      </c>
      <c r="F67" t="s">
        <v>41</v>
      </c>
      <c r="G67" t="s">
        <v>41</v>
      </c>
    </row>
    <row r="68" spans="1:8">
      <c r="A68">
        <v>23746</v>
      </c>
      <c r="B68">
        <v>1011658</v>
      </c>
      <c r="C68">
        <v>2</v>
      </c>
      <c r="D68" t="s">
        <v>1695</v>
      </c>
      <c r="E68">
        <v>1379</v>
      </c>
      <c r="F68" t="s">
        <v>41</v>
      </c>
      <c r="G68" t="s">
        <v>41</v>
      </c>
    </row>
    <row r="69" spans="1:8">
      <c r="A69">
        <v>23747</v>
      </c>
      <c r="B69">
        <v>1011658</v>
      </c>
      <c r="C69">
        <v>3</v>
      </c>
      <c r="D69" t="s">
        <v>1695</v>
      </c>
      <c r="E69">
        <v>1379</v>
      </c>
      <c r="F69" t="s">
        <v>41</v>
      </c>
      <c r="G69" t="s">
        <v>41</v>
      </c>
    </row>
    <row r="70" spans="1:8">
      <c r="A70">
        <v>23748</v>
      </c>
      <c r="B70">
        <v>1011658</v>
      </c>
      <c r="C70">
        <v>4</v>
      </c>
      <c r="D70" t="s">
        <v>1695</v>
      </c>
      <c r="E70">
        <v>1379</v>
      </c>
      <c r="F70" t="s">
        <v>41</v>
      </c>
      <c r="G70" t="s">
        <v>41</v>
      </c>
    </row>
    <row r="71" spans="1:8">
      <c r="A71">
        <v>24309</v>
      </c>
      <c r="B71">
        <v>1011942</v>
      </c>
      <c r="C71">
        <v>1</v>
      </c>
      <c r="D71" t="s">
        <v>1695</v>
      </c>
      <c r="E71">
        <v>1008</v>
      </c>
      <c r="F71" t="s">
        <v>41</v>
      </c>
      <c r="G71" t="s">
        <v>41</v>
      </c>
    </row>
    <row r="72" spans="1:8">
      <c r="A72">
        <v>24490</v>
      </c>
      <c r="B72">
        <v>1012042</v>
      </c>
      <c r="C72">
        <v>1</v>
      </c>
      <c r="D72" t="s">
        <v>1695</v>
      </c>
      <c r="E72">
        <v>1390</v>
      </c>
      <c r="F72" t="s">
        <v>41</v>
      </c>
      <c r="G72" t="s">
        <v>41</v>
      </c>
    </row>
    <row r="73" spans="1:8">
      <c r="A73">
        <v>25179</v>
      </c>
      <c r="B73">
        <v>1012374</v>
      </c>
      <c r="C73">
        <v>1</v>
      </c>
      <c r="D73" t="s">
        <v>1695</v>
      </c>
      <c r="E73">
        <v>2130</v>
      </c>
      <c r="F73" t="s">
        <v>41</v>
      </c>
      <c r="G73" t="s">
        <v>37</v>
      </c>
      <c r="H73">
        <v>2515</v>
      </c>
    </row>
    <row r="74" spans="1:8">
      <c r="A74">
        <v>25363</v>
      </c>
      <c r="B74">
        <v>1012464</v>
      </c>
      <c r="C74">
        <v>1</v>
      </c>
      <c r="D74" t="s">
        <v>1695</v>
      </c>
      <c r="E74">
        <v>2402</v>
      </c>
      <c r="F74" t="s">
        <v>47</v>
      </c>
      <c r="G74" t="s">
        <v>47</v>
      </c>
    </row>
    <row r="75" spans="1:8">
      <c r="A75">
        <v>25986</v>
      </c>
      <c r="B75">
        <v>1012794</v>
      </c>
      <c r="C75">
        <v>1</v>
      </c>
      <c r="D75" t="s">
        <v>1695</v>
      </c>
      <c r="E75">
        <v>582</v>
      </c>
      <c r="F75" t="s">
        <v>41</v>
      </c>
      <c r="G75" t="s">
        <v>41</v>
      </c>
    </row>
    <row r="76" spans="1:8">
      <c r="A76">
        <v>25987</v>
      </c>
      <c r="B76">
        <v>1012794</v>
      </c>
      <c r="C76">
        <v>2</v>
      </c>
      <c r="D76" t="s">
        <v>1696</v>
      </c>
      <c r="E76">
        <v>349</v>
      </c>
      <c r="F76" t="s">
        <v>41</v>
      </c>
      <c r="G76" t="s">
        <v>41</v>
      </c>
    </row>
    <row r="77" spans="1:8">
      <c r="A77">
        <v>26888</v>
      </c>
      <c r="B77">
        <v>1013233</v>
      </c>
      <c r="C77">
        <v>1</v>
      </c>
      <c r="D77" t="s">
        <v>1695</v>
      </c>
      <c r="E77">
        <v>654</v>
      </c>
      <c r="F77" t="s">
        <v>41</v>
      </c>
      <c r="G77" t="s">
        <v>37</v>
      </c>
      <c r="H77">
        <v>1680</v>
      </c>
    </row>
    <row r="78" spans="1:8">
      <c r="A78">
        <v>26961</v>
      </c>
      <c r="B78">
        <v>1013270</v>
      </c>
      <c r="C78">
        <v>1</v>
      </c>
      <c r="D78" t="s">
        <v>1695</v>
      </c>
      <c r="E78">
        <v>950</v>
      </c>
      <c r="F78" t="s">
        <v>41</v>
      </c>
      <c r="G78" t="s">
        <v>37</v>
      </c>
      <c r="H78">
        <v>1729</v>
      </c>
    </row>
    <row r="79" spans="1:8">
      <c r="A79">
        <v>27417</v>
      </c>
      <c r="B79">
        <v>1013494</v>
      </c>
      <c r="C79">
        <v>1</v>
      </c>
      <c r="D79" t="s">
        <v>1695</v>
      </c>
      <c r="E79">
        <v>804</v>
      </c>
      <c r="F79" t="s">
        <v>41</v>
      </c>
      <c r="G79" t="s">
        <v>41</v>
      </c>
    </row>
    <row r="80" spans="1:8">
      <c r="A80">
        <v>27418</v>
      </c>
      <c r="B80">
        <v>1013494</v>
      </c>
      <c r="C80">
        <v>2</v>
      </c>
      <c r="D80" t="s">
        <v>1696</v>
      </c>
      <c r="E80">
        <v>482</v>
      </c>
      <c r="F80" t="s">
        <v>41</v>
      </c>
      <c r="G80" t="s">
        <v>41</v>
      </c>
    </row>
    <row r="81" spans="1:8">
      <c r="A81">
        <v>27419</v>
      </c>
      <c r="B81">
        <v>1013494</v>
      </c>
      <c r="C81">
        <v>3</v>
      </c>
      <c r="D81" t="s">
        <v>1695</v>
      </c>
      <c r="E81">
        <v>804</v>
      </c>
      <c r="F81" t="s">
        <v>41</v>
      </c>
      <c r="G81" t="s">
        <v>41</v>
      </c>
    </row>
    <row r="82" spans="1:8">
      <c r="A82">
        <v>27422</v>
      </c>
      <c r="B82">
        <v>1013497</v>
      </c>
      <c r="C82">
        <v>1</v>
      </c>
      <c r="D82" t="s">
        <v>1695</v>
      </c>
      <c r="E82">
        <v>2784</v>
      </c>
      <c r="F82" t="s">
        <v>41</v>
      </c>
      <c r="G82" t="s">
        <v>41</v>
      </c>
    </row>
    <row r="83" spans="1:8">
      <c r="A83">
        <v>27423</v>
      </c>
      <c r="B83">
        <v>1013497</v>
      </c>
      <c r="C83">
        <v>2</v>
      </c>
      <c r="D83" t="s">
        <v>1695</v>
      </c>
      <c r="E83">
        <v>2784</v>
      </c>
      <c r="F83" t="s">
        <v>41</v>
      </c>
      <c r="G83" t="s">
        <v>37</v>
      </c>
      <c r="H83">
        <v>2032</v>
      </c>
    </row>
    <row r="84" spans="1:8">
      <c r="A84">
        <v>27897</v>
      </c>
      <c r="B84">
        <v>1013731</v>
      </c>
      <c r="C84">
        <v>1</v>
      </c>
      <c r="D84" t="s">
        <v>1695</v>
      </c>
      <c r="E84">
        <v>1390</v>
      </c>
      <c r="F84" t="s">
        <v>41</v>
      </c>
      <c r="G84" t="s">
        <v>41</v>
      </c>
    </row>
    <row r="85" spans="1:8">
      <c r="A85">
        <v>27898</v>
      </c>
      <c r="B85">
        <v>1013731</v>
      </c>
      <c r="C85">
        <v>2</v>
      </c>
      <c r="D85" t="s">
        <v>1696</v>
      </c>
      <c r="E85">
        <v>834</v>
      </c>
      <c r="F85" t="s">
        <v>41</v>
      </c>
      <c r="G85" t="s">
        <v>41</v>
      </c>
    </row>
    <row r="86" spans="1:8">
      <c r="A86">
        <v>27899</v>
      </c>
      <c r="B86">
        <v>1013731</v>
      </c>
      <c r="C86">
        <v>3</v>
      </c>
      <c r="D86" t="s">
        <v>1695</v>
      </c>
      <c r="E86">
        <v>1390</v>
      </c>
      <c r="F86" t="s">
        <v>41</v>
      </c>
      <c r="G86" t="s">
        <v>41</v>
      </c>
    </row>
    <row r="87" spans="1:8">
      <c r="A87">
        <v>28319</v>
      </c>
      <c r="B87">
        <v>1013942</v>
      </c>
      <c r="C87">
        <v>1</v>
      </c>
      <c r="D87" t="s">
        <v>1696</v>
      </c>
      <c r="E87">
        <v>1358</v>
      </c>
      <c r="F87" t="s">
        <v>41</v>
      </c>
      <c r="G87" t="s">
        <v>41</v>
      </c>
    </row>
    <row r="88" spans="1:8">
      <c r="A88">
        <v>30557</v>
      </c>
      <c r="B88">
        <v>1015068</v>
      </c>
      <c r="C88">
        <v>1</v>
      </c>
      <c r="D88" t="s">
        <v>1695</v>
      </c>
      <c r="E88">
        <v>668</v>
      </c>
      <c r="F88" t="s">
        <v>41</v>
      </c>
      <c r="G88" t="s">
        <v>41</v>
      </c>
    </row>
    <row r="89" spans="1:8">
      <c r="A89">
        <v>30798</v>
      </c>
      <c r="B89">
        <v>1015189</v>
      </c>
      <c r="C89">
        <v>1</v>
      </c>
      <c r="D89" t="s">
        <v>1695</v>
      </c>
      <c r="E89">
        <v>4142</v>
      </c>
      <c r="F89" t="s">
        <v>41</v>
      </c>
      <c r="G89" t="s">
        <v>41</v>
      </c>
    </row>
    <row r="90" spans="1:8">
      <c r="A90">
        <v>30799</v>
      </c>
      <c r="B90">
        <v>1015189</v>
      </c>
      <c r="C90">
        <v>2</v>
      </c>
      <c r="D90" t="s">
        <v>1695</v>
      </c>
      <c r="E90">
        <v>4142</v>
      </c>
      <c r="F90" t="s">
        <v>41</v>
      </c>
      <c r="G90" t="s">
        <v>41</v>
      </c>
    </row>
    <row r="91" spans="1:8">
      <c r="A91">
        <v>30800</v>
      </c>
      <c r="B91">
        <v>1015189</v>
      </c>
      <c r="C91">
        <v>3</v>
      </c>
      <c r="D91" t="s">
        <v>1697</v>
      </c>
      <c r="E91">
        <v>2071</v>
      </c>
      <c r="F91" t="s">
        <v>41</v>
      </c>
      <c r="G91" t="s">
        <v>41</v>
      </c>
    </row>
    <row r="92" spans="1:8">
      <c r="A92">
        <v>30964</v>
      </c>
      <c r="B92">
        <v>1015275</v>
      </c>
      <c r="C92">
        <v>1</v>
      </c>
      <c r="D92" t="s">
        <v>1695</v>
      </c>
      <c r="E92">
        <v>4198</v>
      </c>
      <c r="F92" t="s">
        <v>41</v>
      </c>
      <c r="G92" t="s">
        <v>37</v>
      </c>
      <c r="H92">
        <v>4488</v>
      </c>
    </row>
    <row r="93" spans="1:8">
      <c r="A93">
        <v>30965</v>
      </c>
      <c r="B93">
        <v>1015275</v>
      </c>
      <c r="C93">
        <v>2</v>
      </c>
      <c r="D93" t="s">
        <v>1697</v>
      </c>
      <c r="E93">
        <v>2099</v>
      </c>
      <c r="F93" t="s">
        <v>41</v>
      </c>
      <c r="G93" t="s">
        <v>37</v>
      </c>
      <c r="H93">
        <v>4488</v>
      </c>
    </row>
    <row r="94" spans="1:8">
      <c r="A94">
        <v>31307</v>
      </c>
      <c r="B94">
        <v>1015447</v>
      </c>
      <c r="C94">
        <v>1</v>
      </c>
      <c r="D94" t="s">
        <v>1695</v>
      </c>
      <c r="E94">
        <v>1212</v>
      </c>
      <c r="F94" t="s">
        <v>41</v>
      </c>
      <c r="G94" t="s">
        <v>37</v>
      </c>
      <c r="H94">
        <v>1950</v>
      </c>
    </row>
    <row r="95" spans="1:8">
      <c r="A95">
        <v>31308</v>
      </c>
      <c r="B95">
        <v>1015447</v>
      </c>
      <c r="C95">
        <v>2</v>
      </c>
      <c r="D95" t="s">
        <v>1695</v>
      </c>
      <c r="E95">
        <v>1212</v>
      </c>
      <c r="F95" t="s">
        <v>41</v>
      </c>
      <c r="G95" t="s">
        <v>41</v>
      </c>
    </row>
    <row r="96" spans="1:8">
      <c r="A96">
        <v>31309</v>
      </c>
      <c r="B96">
        <v>1015447</v>
      </c>
      <c r="C96">
        <v>3</v>
      </c>
      <c r="D96" t="s">
        <v>1695</v>
      </c>
      <c r="E96">
        <v>1212</v>
      </c>
      <c r="F96" t="s">
        <v>41</v>
      </c>
      <c r="G96" t="s">
        <v>41</v>
      </c>
    </row>
    <row r="97" spans="1:7">
      <c r="A97">
        <v>31957</v>
      </c>
      <c r="B97">
        <v>1015771</v>
      </c>
      <c r="C97">
        <v>1</v>
      </c>
      <c r="D97" t="s">
        <v>1695</v>
      </c>
      <c r="E97">
        <v>3219</v>
      </c>
      <c r="F97" t="s">
        <v>41</v>
      </c>
      <c r="G97" t="s">
        <v>41</v>
      </c>
    </row>
    <row r="98" spans="1:7">
      <c r="A98">
        <v>31958</v>
      </c>
      <c r="B98">
        <v>1015771</v>
      </c>
      <c r="C98">
        <v>2</v>
      </c>
      <c r="D98" t="s">
        <v>1695</v>
      </c>
      <c r="E98">
        <v>3219</v>
      </c>
      <c r="F98" t="s">
        <v>41</v>
      </c>
      <c r="G98" t="s">
        <v>41</v>
      </c>
    </row>
    <row r="99" spans="1:7">
      <c r="A99">
        <v>31995</v>
      </c>
      <c r="B99">
        <v>1015789</v>
      </c>
      <c r="C99">
        <v>1</v>
      </c>
      <c r="D99" t="s">
        <v>1695</v>
      </c>
      <c r="E99">
        <v>1854</v>
      </c>
      <c r="F99" t="s">
        <v>41</v>
      </c>
      <c r="G99" t="s">
        <v>41</v>
      </c>
    </row>
    <row r="100" spans="1:7">
      <c r="A100">
        <v>31996</v>
      </c>
      <c r="B100">
        <v>1015789</v>
      </c>
      <c r="C100">
        <v>2</v>
      </c>
      <c r="D100" t="s">
        <v>1695</v>
      </c>
      <c r="E100">
        <v>1854</v>
      </c>
      <c r="F100" t="s">
        <v>41</v>
      </c>
      <c r="G100" t="s">
        <v>41</v>
      </c>
    </row>
    <row r="101" spans="1:7">
      <c r="A101">
        <v>31997</v>
      </c>
      <c r="B101">
        <v>1015789</v>
      </c>
      <c r="C101">
        <v>3</v>
      </c>
      <c r="D101" t="s">
        <v>1696</v>
      </c>
      <c r="E101">
        <v>1113</v>
      </c>
      <c r="F101" t="s">
        <v>41</v>
      </c>
      <c r="G101" t="s">
        <v>41</v>
      </c>
    </row>
    <row r="102" spans="1:7">
      <c r="A102">
        <v>31998</v>
      </c>
      <c r="B102">
        <v>1015789</v>
      </c>
      <c r="C102">
        <v>4</v>
      </c>
      <c r="D102" t="s">
        <v>1696</v>
      </c>
      <c r="E102">
        <v>1113</v>
      </c>
      <c r="F102" t="s">
        <v>41</v>
      </c>
      <c r="G102" t="s">
        <v>41</v>
      </c>
    </row>
    <row r="103" spans="1:7">
      <c r="A103">
        <v>32076</v>
      </c>
      <c r="B103">
        <v>1015827</v>
      </c>
      <c r="C103">
        <v>1</v>
      </c>
      <c r="D103" t="s">
        <v>1695</v>
      </c>
      <c r="E103">
        <v>2211</v>
      </c>
      <c r="F103" t="s">
        <v>41</v>
      </c>
      <c r="G103" t="s">
        <v>41</v>
      </c>
    </row>
    <row r="104" spans="1:7">
      <c r="A104">
        <v>33872</v>
      </c>
      <c r="B104">
        <v>1016727</v>
      </c>
      <c r="C104">
        <v>1</v>
      </c>
      <c r="D104" t="s">
        <v>1696</v>
      </c>
      <c r="E104">
        <v>549</v>
      </c>
      <c r="F104" t="s">
        <v>41</v>
      </c>
      <c r="G104" t="s">
        <v>41</v>
      </c>
    </row>
    <row r="105" spans="1:7">
      <c r="A105">
        <v>34059</v>
      </c>
      <c r="B105">
        <v>1016823</v>
      </c>
      <c r="C105">
        <v>1</v>
      </c>
      <c r="D105" t="s">
        <v>1695</v>
      </c>
      <c r="E105">
        <v>3302</v>
      </c>
      <c r="F105" t="s">
        <v>41</v>
      </c>
      <c r="G105" t="s">
        <v>41</v>
      </c>
    </row>
    <row r="106" spans="1:7">
      <c r="A106">
        <v>34060</v>
      </c>
      <c r="B106">
        <v>1016823</v>
      </c>
      <c r="C106">
        <v>2</v>
      </c>
      <c r="D106" t="s">
        <v>1695</v>
      </c>
      <c r="E106">
        <v>3302</v>
      </c>
      <c r="F106" t="s">
        <v>41</v>
      </c>
      <c r="G106" t="s">
        <v>41</v>
      </c>
    </row>
    <row r="107" spans="1:7">
      <c r="A107">
        <v>34695</v>
      </c>
      <c r="B107">
        <v>1017132</v>
      </c>
      <c r="C107">
        <v>1</v>
      </c>
      <c r="D107" t="s">
        <v>1696</v>
      </c>
      <c r="E107">
        <v>570</v>
      </c>
      <c r="F107" t="s">
        <v>41</v>
      </c>
      <c r="G107" t="s">
        <v>41</v>
      </c>
    </row>
    <row r="108" spans="1:7">
      <c r="A108">
        <v>35024</v>
      </c>
      <c r="B108">
        <v>1017303</v>
      </c>
      <c r="C108">
        <v>1</v>
      </c>
      <c r="D108" t="s">
        <v>1695</v>
      </c>
      <c r="E108">
        <v>3123</v>
      </c>
      <c r="F108" t="s">
        <v>41</v>
      </c>
      <c r="G108" t="s">
        <v>41</v>
      </c>
    </row>
    <row r="109" spans="1:7">
      <c r="A109">
        <v>35025</v>
      </c>
      <c r="B109">
        <v>1017303</v>
      </c>
      <c r="C109">
        <v>2</v>
      </c>
      <c r="D109" t="s">
        <v>1695</v>
      </c>
      <c r="E109">
        <v>3123</v>
      </c>
      <c r="F109" t="s">
        <v>41</v>
      </c>
      <c r="G109" t="s">
        <v>41</v>
      </c>
    </row>
    <row r="110" spans="1:7">
      <c r="A110">
        <v>35026</v>
      </c>
      <c r="B110">
        <v>1017303</v>
      </c>
      <c r="C110">
        <v>3</v>
      </c>
      <c r="D110" t="s">
        <v>1695</v>
      </c>
      <c r="E110">
        <v>3123</v>
      </c>
      <c r="F110" t="s">
        <v>41</v>
      </c>
      <c r="G110" t="s">
        <v>41</v>
      </c>
    </row>
    <row r="111" spans="1:7">
      <c r="A111">
        <v>35027</v>
      </c>
      <c r="B111">
        <v>1017303</v>
      </c>
      <c r="C111">
        <v>4</v>
      </c>
      <c r="D111" t="s">
        <v>1695</v>
      </c>
      <c r="E111">
        <v>3123</v>
      </c>
      <c r="F111" t="s">
        <v>41</v>
      </c>
      <c r="G111" t="s">
        <v>41</v>
      </c>
    </row>
    <row r="112" spans="1:7">
      <c r="A112">
        <v>35311</v>
      </c>
      <c r="B112">
        <v>1017459</v>
      </c>
      <c r="C112">
        <v>1</v>
      </c>
      <c r="D112" t="s">
        <v>1695</v>
      </c>
      <c r="E112">
        <v>3142</v>
      </c>
      <c r="F112" t="s">
        <v>41</v>
      </c>
      <c r="G112" t="s">
        <v>41</v>
      </c>
    </row>
    <row r="113" spans="1:8">
      <c r="A113">
        <v>35565</v>
      </c>
      <c r="B113">
        <v>1017579</v>
      </c>
      <c r="C113">
        <v>1</v>
      </c>
      <c r="D113" t="s">
        <v>1695</v>
      </c>
      <c r="E113">
        <v>762</v>
      </c>
      <c r="F113" t="s">
        <v>41</v>
      </c>
      <c r="G113" t="s">
        <v>41</v>
      </c>
    </row>
    <row r="114" spans="1:8">
      <c r="A114">
        <v>35566</v>
      </c>
      <c r="B114">
        <v>1017579</v>
      </c>
      <c r="C114">
        <v>2</v>
      </c>
      <c r="D114" t="s">
        <v>1696</v>
      </c>
      <c r="E114">
        <v>457</v>
      </c>
      <c r="F114" t="s">
        <v>41</v>
      </c>
      <c r="G114" t="s">
        <v>41</v>
      </c>
    </row>
    <row r="115" spans="1:8">
      <c r="A115">
        <v>35567</v>
      </c>
      <c r="B115">
        <v>1017579</v>
      </c>
      <c r="C115">
        <v>3</v>
      </c>
      <c r="D115" t="s">
        <v>1695</v>
      </c>
      <c r="E115">
        <v>762</v>
      </c>
      <c r="F115" t="s">
        <v>41</v>
      </c>
      <c r="G115" t="s">
        <v>41</v>
      </c>
    </row>
    <row r="116" spans="1:8">
      <c r="A116">
        <v>35590</v>
      </c>
      <c r="B116">
        <v>1017595</v>
      </c>
      <c r="C116">
        <v>1</v>
      </c>
      <c r="D116" t="s">
        <v>1695</v>
      </c>
      <c r="E116">
        <v>582</v>
      </c>
      <c r="F116" t="s">
        <v>41</v>
      </c>
      <c r="G116" t="s">
        <v>41</v>
      </c>
    </row>
    <row r="117" spans="1:8">
      <c r="A117">
        <v>35591</v>
      </c>
      <c r="B117">
        <v>1017595</v>
      </c>
      <c r="C117">
        <v>2</v>
      </c>
      <c r="D117" t="s">
        <v>1696</v>
      </c>
      <c r="E117">
        <v>349</v>
      </c>
      <c r="F117" t="s">
        <v>41</v>
      </c>
      <c r="G117" t="s">
        <v>41</v>
      </c>
    </row>
    <row r="118" spans="1:8">
      <c r="A118">
        <v>35592</v>
      </c>
      <c r="B118">
        <v>1017595</v>
      </c>
      <c r="C118">
        <v>3</v>
      </c>
      <c r="D118" t="s">
        <v>1695</v>
      </c>
      <c r="E118">
        <v>582</v>
      </c>
      <c r="F118" t="s">
        <v>41</v>
      </c>
      <c r="G118" t="s">
        <v>41</v>
      </c>
    </row>
    <row r="119" spans="1:8">
      <c r="A119">
        <v>35593</v>
      </c>
      <c r="B119">
        <v>1017595</v>
      </c>
      <c r="C119">
        <v>4</v>
      </c>
      <c r="D119" t="s">
        <v>1695</v>
      </c>
      <c r="E119">
        <v>582</v>
      </c>
      <c r="F119" t="s">
        <v>41</v>
      </c>
      <c r="G119" t="s">
        <v>41</v>
      </c>
    </row>
    <row r="120" spans="1:8">
      <c r="A120">
        <v>37215</v>
      </c>
      <c r="B120">
        <v>1018391</v>
      </c>
      <c r="C120">
        <v>1</v>
      </c>
      <c r="D120" t="s">
        <v>1695</v>
      </c>
      <c r="E120">
        <v>2429</v>
      </c>
      <c r="F120" t="s">
        <v>41</v>
      </c>
      <c r="G120" t="s">
        <v>41</v>
      </c>
    </row>
    <row r="121" spans="1:8">
      <c r="A121">
        <v>37216</v>
      </c>
      <c r="B121">
        <v>1018391</v>
      </c>
      <c r="C121">
        <v>2</v>
      </c>
      <c r="D121" t="s">
        <v>1695</v>
      </c>
      <c r="E121">
        <v>2429</v>
      </c>
      <c r="F121" t="s">
        <v>41</v>
      </c>
      <c r="G121" t="s">
        <v>41</v>
      </c>
    </row>
    <row r="122" spans="1:8">
      <c r="A122">
        <v>37217</v>
      </c>
      <c r="B122">
        <v>1018391</v>
      </c>
      <c r="C122">
        <v>3</v>
      </c>
      <c r="D122" t="s">
        <v>1696</v>
      </c>
      <c r="E122">
        <v>1457</v>
      </c>
      <c r="F122" t="s">
        <v>41</v>
      </c>
      <c r="G122" t="s">
        <v>41</v>
      </c>
    </row>
    <row r="123" spans="1:8">
      <c r="A123">
        <v>37218</v>
      </c>
      <c r="B123">
        <v>1018391</v>
      </c>
      <c r="C123">
        <v>4</v>
      </c>
      <c r="D123" t="s">
        <v>1695</v>
      </c>
      <c r="E123">
        <v>2429</v>
      </c>
      <c r="F123" t="s">
        <v>41</v>
      </c>
      <c r="G123" t="s">
        <v>41</v>
      </c>
    </row>
    <row r="124" spans="1:8">
      <c r="A124">
        <v>37219</v>
      </c>
      <c r="B124">
        <v>1018391</v>
      </c>
      <c r="C124">
        <v>5</v>
      </c>
      <c r="D124" t="s">
        <v>1695</v>
      </c>
      <c r="E124">
        <v>2429</v>
      </c>
      <c r="F124" t="s">
        <v>41</v>
      </c>
      <c r="G124" t="s">
        <v>41</v>
      </c>
    </row>
    <row r="125" spans="1:8">
      <c r="A125">
        <v>38789</v>
      </c>
      <c r="B125">
        <v>1019199</v>
      </c>
      <c r="C125">
        <v>1</v>
      </c>
      <c r="D125" t="s">
        <v>1696</v>
      </c>
      <c r="E125">
        <v>948</v>
      </c>
      <c r="F125" t="s">
        <v>49</v>
      </c>
      <c r="G125" t="s">
        <v>49</v>
      </c>
      <c r="H125">
        <v>3517</v>
      </c>
    </row>
    <row r="126" spans="1:8">
      <c r="A126">
        <v>38790</v>
      </c>
      <c r="B126">
        <v>1019199</v>
      </c>
      <c r="C126">
        <v>2</v>
      </c>
      <c r="D126" t="s">
        <v>1695</v>
      </c>
      <c r="E126">
        <v>1579</v>
      </c>
      <c r="F126" t="s">
        <v>49</v>
      </c>
      <c r="G126" t="s">
        <v>49</v>
      </c>
      <c r="H126">
        <v>3517</v>
      </c>
    </row>
    <row r="127" spans="1:8">
      <c r="A127">
        <v>38791</v>
      </c>
      <c r="B127">
        <v>1019199</v>
      </c>
      <c r="C127">
        <v>3</v>
      </c>
      <c r="D127" t="s">
        <v>1695</v>
      </c>
      <c r="E127">
        <v>1579</v>
      </c>
      <c r="F127" t="s">
        <v>49</v>
      </c>
      <c r="G127" t="s">
        <v>49</v>
      </c>
      <c r="H127">
        <v>3517</v>
      </c>
    </row>
    <row r="128" spans="1:8">
      <c r="A128">
        <v>40321</v>
      </c>
      <c r="B128">
        <v>1019981</v>
      </c>
      <c r="C128">
        <v>1</v>
      </c>
      <c r="D128" t="s">
        <v>1695</v>
      </c>
      <c r="E128">
        <v>1087</v>
      </c>
      <c r="F128" t="s">
        <v>41</v>
      </c>
      <c r="G128" t="s">
        <v>41</v>
      </c>
    </row>
    <row r="129" spans="1:8">
      <c r="A129">
        <v>40322</v>
      </c>
      <c r="B129">
        <v>1019981</v>
      </c>
      <c r="C129">
        <v>2</v>
      </c>
      <c r="D129" t="s">
        <v>1695</v>
      </c>
      <c r="E129">
        <v>1087</v>
      </c>
      <c r="F129" t="s">
        <v>41</v>
      </c>
      <c r="G129" t="s">
        <v>41</v>
      </c>
    </row>
    <row r="130" spans="1:8">
      <c r="A130">
        <v>41307</v>
      </c>
      <c r="B130">
        <v>1020492</v>
      </c>
      <c r="C130">
        <v>1</v>
      </c>
      <c r="D130" t="s">
        <v>2094</v>
      </c>
      <c r="E130">
        <v>1049</v>
      </c>
      <c r="F130" t="s">
        <v>47</v>
      </c>
      <c r="G130" t="s">
        <v>47</v>
      </c>
    </row>
    <row r="131" spans="1:8">
      <c r="A131">
        <v>41308</v>
      </c>
      <c r="B131">
        <v>1020492</v>
      </c>
      <c r="C131">
        <v>2</v>
      </c>
      <c r="D131" t="s">
        <v>1695</v>
      </c>
      <c r="E131">
        <v>1049</v>
      </c>
      <c r="F131" t="s">
        <v>47</v>
      </c>
      <c r="G131" t="s">
        <v>47</v>
      </c>
    </row>
    <row r="132" spans="1:8">
      <c r="A132">
        <v>42344</v>
      </c>
      <c r="B132">
        <v>1020992</v>
      </c>
      <c r="C132">
        <v>1</v>
      </c>
      <c r="D132" t="s">
        <v>1695</v>
      </c>
      <c r="E132">
        <v>3615</v>
      </c>
      <c r="F132" t="s">
        <v>41</v>
      </c>
      <c r="G132" t="s">
        <v>41</v>
      </c>
    </row>
    <row r="133" spans="1:8">
      <c r="A133">
        <v>42345</v>
      </c>
      <c r="B133">
        <v>1020992</v>
      </c>
      <c r="C133">
        <v>2</v>
      </c>
      <c r="D133" t="s">
        <v>1695</v>
      </c>
      <c r="E133">
        <v>3615</v>
      </c>
      <c r="F133" t="s">
        <v>41</v>
      </c>
      <c r="G133" t="s">
        <v>41</v>
      </c>
    </row>
    <row r="134" spans="1:8">
      <c r="A134">
        <v>42383</v>
      </c>
      <c r="B134">
        <v>1021010</v>
      </c>
      <c r="C134">
        <v>1</v>
      </c>
      <c r="D134" t="s">
        <v>1695</v>
      </c>
      <c r="E134">
        <v>753</v>
      </c>
      <c r="F134" t="s">
        <v>41</v>
      </c>
      <c r="G134" t="s">
        <v>37</v>
      </c>
      <c r="H134">
        <v>4052</v>
      </c>
    </row>
    <row r="135" spans="1:8">
      <c r="A135">
        <v>42498</v>
      </c>
      <c r="B135">
        <v>1021072</v>
      </c>
      <c r="C135">
        <v>1</v>
      </c>
      <c r="D135" t="s">
        <v>1695</v>
      </c>
      <c r="E135">
        <v>2520</v>
      </c>
      <c r="F135" t="s">
        <v>41</v>
      </c>
      <c r="G135" t="s">
        <v>41</v>
      </c>
    </row>
    <row r="136" spans="1:8">
      <c r="A136">
        <v>42499</v>
      </c>
      <c r="B136">
        <v>1021072</v>
      </c>
      <c r="C136">
        <v>2</v>
      </c>
      <c r="D136" t="s">
        <v>1695</v>
      </c>
      <c r="E136">
        <v>2520</v>
      </c>
      <c r="F136" t="s">
        <v>41</v>
      </c>
      <c r="G136" t="s">
        <v>41</v>
      </c>
    </row>
    <row r="137" spans="1:8">
      <c r="A137">
        <v>43214</v>
      </c>
      <c r="B137">
        <v>1021441</v>
      </c>
      <c r="C137">
        <v>1</v>
      </c>
      <c r="D137" t="s">
        <v>1695</v>
      </c>
      <c r="E137">
        <v>654</v>
      </c>
      <c r="F137" t="s">
        <v>41</v>
      </c>
      <c r="G137" t="s">
        <v>41</v>
      </c>
    </row>
    <row r="138" spans="1:8">
      <c r="A138">
        <v>43215</v>
      </c>
      <c r="B138">
        <v>1021441</v>
      </c>
      <c r="C138">
        <v>2</v>
      </c>
      <c r="D138" t="s">
        <v>1695</v>
      </c>
      <c r="E138">
        <v>654</v>
      </c>
      <c r="F138" t="s">
        <v>41</v>
      </c>
      <c r="G138" t="s">
        <v>41</v>
      </c>
    </row>
    <row r="139" spans="1:8">
      <c r="A139">
        <v>43216</v>
      </c>
      <c r="B139">
        <v>1021441</v>
      </c>
      <c r="C139">
        <v>3</v>
      </c>
      <c r="D139" t="s">
        <v>1695</v>
      </c>
      <c r="E139">
        <v>654</v>
      </c>
      <c r="F139" t="s">
        <v>41</v>
      </c>
      <c r="G139" t="s">
        <v>41</v>
      </c>
    </row>
    <row r="140" spans="1:8">
      <c r="A140">
        <v>43217</v>
      </c>
      <c r="B140">
        <v>1021441</v>
      </c>
      <c r="C140">
        <v>4</v>
      </c>
      <c r="D140" t="s">
        <v>1696</v>
      </c>
      <c r="E140">
        <v>393</v>
      </c>
      <c r="F140" t="s">
        <v>41</v>
      </c>
      <c r="G140" t="s">
        <v>41</v>
      </c>
    </row>
    <row r="141" spans="1:8">
      <c r="A141">
        <v>43218</v>
      </c>
      <c r="B141">
        <v>1021441</v>
      </c>
      <c r="C141">
        <v>5</v>
      </c>
      <c r="D141" t="s">
        <v>1695</v>
      </c>
      <c r="E141">
        <v>654</v>
      </c>
      <c r="F141" t="s">
        <v>41</v>
      </c>
      <c r="G141" t="s">
        <v>41</v>
      </c>
    </row>
    <row r="142" spans="1:8">
      <c r="A142">
        <v>43219</v>
      </c>
      <c r="B142">
        <v>1021441</v>
      </c>
      <c r="C142">
        <v>6</v>
      </c>
      <c r="D142" t="s">
        <v>1695</v>
      </c>
      <c r="E142">
        <v>654</v>
      </c>
      <c r="F142" t="s">
        <v>41</v>
      </c>
      <c r="G142" t="s">
        <v>41</v>
      </c>
    </row>
    <row r="143" spans="1:8">
      <c r="A143">
        <v>44065</v>
      </c>
      <c r="B143">
        <v>1021854</v>
      </c>
      <c r="C143">
        <v>1</v>
      </c>
      <c r="D143" t="s">
        <v>1695</v>
      </c>
      <c r="E143">
        <v>5303</v>
      </c>
      <c r="F143" t="s">
        <v>41</v>
      </c>
      <c r="G143" t="s">
        <v>41</v>
      </c>
    </row>
    <row r="144" spans="1:8">
      <c r="A144">
        <v>44066</v>
      </c>
      <c r="B144">
        <v>1021854</v>
      </c>
      <c r="C144">
        <v>2</v>
      </c>
      <c r="D144" t="s">
        <v>1695</v>
      </c>
      <c r="E144">
        <v>5303</v>
      </c>
      <c r="F144" t="s">
        <v>41</v>
      </c>
      <c r="G144" t="s">
        <v>41</v>
      </c>
    </row>
    <row r="145" spans="1:8">
      <c r="A145">
        <v>44229</v>
      </c>
      <c r="B145">
        <v>1021946</v>
      </c>
      <c r="C145">
        <v>1</v>
      </c>
      <c r="D145" t="s">
        <v>1695</v>
      </c>
      <c r="E145">
        <v>1087</v>
      </c>
      <c r="F145" t="s">
        <v>47</v>
      </c>
      <c r="G145" t="s">
        <v>37</v>
      </c>
      <c r="H145">
        <v>3743</v>
      </c>
    </row>
    <row r="146" spans="1:8">
      <c r="A146">
        <v>44230</v>
      </c>
      <c r="B146">
        <v>1021946</v>
      </c>
      <c r="C146">
        <v>2</v>
      </c>
      <c r="D146" t="s">
        <v>1695</v>
      </c>
      <c r="E146">
        <v>1087</v>
      </c>
      <c r="F146" t="s">
        <v>47</v>
      </c>
      <c r="G146" t="s">
        <v>37</v>
      </c>
      <c r="H146">
        <v>3743</v>
      </c>
    </row>
    <row r="147" spans="1:8">
      <c r="A147">
        <v>44706</v>
      </c>
      <c r="B147">
        <v>1022190</v>
      </c>
      <c r="C147">
        <v>1</v>
      </c>
      <c r="D147" t="s">
        <v>1695</v>
      </c>
      <c r="E147">
        <v>916</v>
      </c>
      <c r="F147" t="s">
        <v>49</v>
      </c>
      <c r="G147" t="s">
        <v>49</v>
      </c>
      <c r="H147">
        <v>3717</v>
      </c>
    </row>
    <row r="148" spans="1:8">
      <c r="A148">
        <v>44707</v>
      </c>
      <c r="B148">
        <v>1022190</v>
      </c>
      <c r="C148">
        <v>2</v>
      </c>
      <c r="D148" t="s">
        <v>1695</v>
      </c>
      <c r="E148">
        <v>916</v>
      </c>
      <c r="F148" t="s">
        <v>49</v>
      </c>
      <c r="G148" t="s">
        <v>49</v>
      </c>
      <c r="H148">
        <v>3717</v>
      </c>
    </row>
    <row r="149" spans="1:8">
      <c r="A149">
        <v>44708</v>
      </c>
      <c r="B149">
        <v>1022190</v>
      </c>
      <c r="C149">
        <v>3</v>
      </c>
      <c r="D149" t="s">
        <v>1695</v>
      </c>
      <c r="E149">
        <v>916</v>
      </c>
      <c r="F149" t="s">
        <v>49</v>
      </c>
      <c r="G149" t="s">
        <v>49</v>
      </c>
      <c r="H149">
        <v>3717</v>
      </c>
    </row>
    <row r="150" spans="1:8">
      <c r="A150">
        <v>44709</v>
      </c>
      <c r="B150">
        <v>1022190</v>
      </c>
      <c r="C150">
        <v>4</v>
      </c>
      <c r="D150" t="s">
        <v>1695</v>
      </c>
      <c r="E150">
        <v>916</v>
      </c>
      <c r="F150" t="s">
        <v>49</v>
      </c>
      <c r="G150" t="s">
        <v>49</v>
      </c>
      <c r="H150">
        <v>3717</v>
      </c>
    </row>
    <row r="151" spans="1:8">
      <c r="A151">
        <v>45143</v>
      </c>
      <c r="B151">
        <v>1022407</v>
      </c>
      <c r="C151">
        <v>1</v>
      </c>
      <c r="D151" t="s">
        <v>1696</v>
      </c>
      <c r="E151">
        <v>512</v>
      </c>
      <c r="F151" t="s">
        <v>41</v>
      </c>
      <c r="G151" t="s">
        <v>41</v>
      </c>
    </row>
    <row r="152" spans="1:8">
      <c r="A152">
        <v>45144</v>
      </c>
      <c r="B152">
        <v>1022407</v>
      </c>
      <c r="C152">
        <v>2</v>
      </c>
      <c r="D152" t="s">
        <v>1695</v>
      </c>
      <c r="E152">
        <v>854</v>
      </c>
      <c r="F152" t="s">
        <v>41</v>
      </c>
      <c r="G152" t="s">
        <v>41</v>
      </c>
    </row>
    <row r="153" spans="1:8">
      <c r="A153">
        <v>45145</v>
      </c>
      <c r="B153">
        <v>1022407</v>
      </c>
      <c r="C153">
        <v>3</v>
      </c>
      <c r="D153" t="s">
        <v>1695</v>
      </c>
      <c r="E153">
        <v>854</v>
      </c>
      <c r="F153" t="s">
        <v>41</v>
      </c>
      <c r="G153" t="s">
        <v>41</v>
      </c>
    </row>
    <row r="154" spans="1:8">
      <c r="A154">
        <v>45146</v>
      </c>
      <c r="B154">
        <v>1022407</v>
      </c>
      <c r="C154">
        <v>4</v>
      </c>
      <c r="D154" t="s">
        <v>1695</v>
      </c>
      <c r="E154">
        <v>854</v>
      </c>
      <c r="F154" t="s">
        <v>41</v>
      </c>
      <c r="G154" t="s">
        <v>41</v>
      </c>
    </row>
    <row r="155" spans="1:8">
      <c r="A155">
        <v>45147</v>
      </c>
      <c r="B155">
        <v>1022407</v>
      </c>
      <c r="C155">
        <v>5</v>
      </c>
      <c r="D155" t="s">
        <v>1696</v>
      </c>
      <c r="E155">
        <v>512</v>
      </c>
      <c r="F155" t="s">
        <v>41</v>
      </c>
      <c r="G155" t="s">
        <v>41</v>
      </c>
    </row>
    <row r="156" spans="1:8">
      <c r="A156">
        <v>45719</v>
      </c>
      <c r="B156">
        <v>1022690</v>
      </c>
      <c r="C156">
        <v>1</v>
      </c>
      <c r="D156" t="s">
        <v>1696</v>
      </c>
      <c r="E156">
        <v>1039</v>
      </c>
      <c r="F156" t="s">
        <v>49</v>
      </c>
      <c r="G156" t="s">
        <v>47</v>
      </c>
    </row>
    <row r="157" spans="1:8">
      <c r="A157">
        <v>45720</v>
      </c>
      <c r="B157">
        <v>1022690</v>
      </c>
      <c r="C157">
        <v>2</v>
      </c>
      <c r="D157" t="s">
        <v>1695</v>
      </c>
      <c r="E157">
        <v>1731</v>
      </c>
      <c r="F157" t="s">
        <v>49</v>
      </c>
      <c r="G157" t="s">
        <v>47</v>
      </c>
    </row>
    <row r="158" spans="1:8">
      <c r="A158">
        <v>46311</v>
      </c>
      <c r="B158">
        <v>1022972</v>
      </c>
      <c r="C158">
        <v>1</v>
      </c>
      <c r="D158" t="s">
        <v>1695</v>
      </c>
      <c r="E158">
        <v>7338</v>
      </c>
      <c r="F158" t="s">
        <v>49</v>
      </c>
      <c r="G158" t="s">
        <v>49</v>
      </c>
      <c r="H158">
        <v>3796</v>
      </c>
    </row>
    <row r="159" spans="1:8">
      <c r="A159">
        <v>46401</v>
      </c>
      <c r="B159">
        <v>1023016</v>
      </c>
      <c r="C159">
        <v>1</v>
      </c>
      <c r="D159" t="s">
        <v>1695</v>
      </c>
      <c r="E159">
        <v>2429</v>
      </c>
      <c r="F159" t="s">
        <v>41</v>
      </c>
      <c r="G159" t="s">
        <v>37</v>
      </c>
      <c r="H159">
        <v>5208</v>
      </c>
    </row>
    <row r="160" spans="1:8">
      <c r="A160">
        <v>48555</v>
      </c>
      <c r="B160">
        <v>1024071</v>
      </c>
      <c r="C160">
        <v>1</v>
      </c>
      <c r="D160" t="s">
        <v>1695</v>
      </c>
      <c r="E160">
        <v>700</v>
      </c>
      <c r="F160" t="s">
        <v>41</v>
      </c>
      <c r="G160" t="s">
        <v>41</v>
      </c>
    </row>
    <row r="161" spans="1:8">
      <c r="A161">
        <v>48556</v>
      </c>
      <c r="B161">
        <v>1024071</v>
      </c>
      <c r="C161">
        <v>2</v>
      </c>
      <c r="D161" t="s">
        <v>1695</v>
      </c>
      <c r="E161">
        <v>700</v>
      </c>
      <c r="F161" t="s">
        <v>41</v>
      </c>
      <c r="G161" t="s">
        <v>41</v>
      </c>
    </row>
    <row r="162" spans="1:8">
      <c r="A162">
        <v>48922</v>
      </c>
      <c r="B162">
        <v>1024249</v>
      </c>
      <c r="C162">
        <v>1</v>
      </c>
      <c r="D162" t="s">
        <v>1695</v>
      </c>
      <c r="E162">
        <v>2886</v>
      </c>
      <c r="F162" t="s">
        <v>41</v>
      </c>
      <c r="G162" t="s">
        <v>41</v>
      </c>
    </row>
    <row r="163" spans="1:8">
      <c r="A163">
        <v>48923</v>
      </c>
      <c r="B163">
        <v>1024249</v>
      </c>
      <c r="C163">
        <v>2</v>
      </c>
      <c r="D163" t="s">
        <v>1697</v>
      </c>
      <c r="E163">
        <v>1443</v>
      </c>
      <c r="F163" t="s">
        <v>41</v>
      </c>
      <c r="G163" t="s">
        <v>41</v>
      </c>
    </row>
    <row r="164" spans="1:8">
      <c r="A164">
        <v>49407</v>
      </c>
      <c r="B164">
        <v>1024488</v>
      </c>
      <c r="C164">
        <v>1</v>
      </c>
      <c r="D164" t="s">
        <v>1695</v>
      </c>
      <c r="E164">
        <v>1176</v>
      </c>
      <c r="F164" t="s">
        <v>41</v>
      </c>
      <c r="G164" t="s">
        <v>41</v>
      </c>
    </row>
    <row r="165" spans="1:8">
      <c r="A165">
        <v>50566</v>
      </c>
      <c r="B165">
        <v>1025070</v>
      </c>
      <c r="C165">
        <v>1</v>
      </c>
      <c r="D165" t="s">
        <v>1695</v>
      </c>
      <c r="E165">
        <v>1243</v>
      </c>
      <c r="F165" t="s">
        <v>41</v>
      </c>
      <c r="G165" t="s">
        <v>41</v>
      </c>
    </row>
    <row r="166" spans="1:8">
      <c r="A166">
        <v>51408</v>
      </c>
      <c r="B166">
        <v>1025466</v>
      </c>
      <c r="C166">
        <v>1</v>
      </c>
      <c r="D166" t="s">
        <v>1695</v>
      </c>
      <c r="E166">
        <v>753</v>
      </c>
      <c r="F166" t="s">
        <v>41</v>
      </c>
      <c r="G166" t="s">
        <v>41</v>
      </c>
    </row>
    <row r="167" spans="1:8">
      <c r="A167">
        <v>52289</v>
      </c>
      <c r="B167">
        <v>1025907</v>
      </c>
      <c r="C167">
        <v>1</v>
      </c>
      <c r="D167" t="s">
        <v>1695</v>
      </c>
      <c r="E167">
        <v>2211</v>
      </c>
      <c r="F167" t="s">
        <v>41</v>
      </c>
      <c r="G167" t="s">
        <v>41</v>
      </c>
    </row>
    <row r="168" spans="1:8">
      <c r="A168">
        <v>52506</v>
      </c>
      <c r="B168">
        <v>1026016</v>
      </c>
      <c r="C168">
        <v>1</v>
      </c>
      <c r="D168" t="s">
        <v>1695</v>
      </c>
      <c r="E168">
        <v>654</v>
      </c>
      <c r="F168" t="s">
        <v>49</v>
      </c>
      <c r="G168" t="s">
        <v>49</v>
      </c>
      <c r="H168">
        <v>4326</v>
      </c>
    </row>
    <row r="169" spans="1:8">
      <c r="A169">
        <v>52507</v>
      </c>
      <c r="B169">
        <v>1026016</v>
      </c>
      <c r="C169">
        <v>2</v>
      </c>
      <c r="D169" t="s">
        <v>1695</v>
      </c>
      <c r="E169">
        <v>654</v>
      </c>
      <c r="F169" t="s">
        <v>49</v>
      </c>
      <c r="G169" t="s">
        <v>49</v>
      </c>
      <c r="H169">
        <v>4326</v>
      </c>
    </row>
    <row r="170" spans="1:8">
      <c r="A170">
        <v>53475</v>
      </c>
      <c r="B170">
        <v>1026503</v>
      </c>
      <c r="C170">
        <v>1</v>
      </c>
      <c r="D170" t="s">
        <v>1696</v>
      </c>
      <c r="E170">
        <v>710</v>
      </c>
      <c r="F170" t="s">
        <v>41</v>
      </c>
      <c r="G170" t="s">
        <v>41</v>
      </c>
    </row>
    <row r="171" spans="1:8">
      <c r="A171">
        <v>53476</v>
      </c>
      <c r="B171">
        <v>1026503</v>
      </c>
      <c r="C171">
        <v>2</v>
      </c>
      <c r="D171" t="s">
        <v>1695</v>
      </c>
      <c r="E171">
        <v>1183</v>
      </c>
      <c r="F171" t="s">
        <v>41</v>
      </c>
      <c r="G171" t="s">
        <v>41</v>
      </c>
    </row>
    <row r="172" spans="1:8">
      <c r="A172">
        <v>53477</v>
      </c>
      <c r="B172">
        <v>1026503</v>
      </c>
      <c r="C172">
        <v>3</v>
      </c>
      <c r="D172" t="s">
        <v>1695</v>
      </c>
      <c r="E172">
        <v>1183</v>
      </c>
      <c r="F172" t="s">
        <v>41</v>
      </c>
      <c r="G172" t="s">
        <v>41</v>
      </c>
    </row>
    <row r="173" spans="1:8">
      <c r="A173">
        <v>54021</v>
      </c>
      <c r="B173">
        <v>1026767</v>
      </c>
      <c r="C173">
        <v>1</v>
      </c>
      <c r="D173" t="s">
        <v>1695</v>
      </c>
      <c r="E173">
        <v>3615</v>
      </c>
      <c r="F173" t="s">
        <v>41</v>
      </c>
      <c r="G173" t="s">
        <v>41</v>
      </c>
    </row>
    <row r="174" spans="1:8">
      <c r="A174">
        <v>54438</v>
      </c>
      <c r="B174">
        <v>1026979</v>
      </c>
      <c r="C174">
        <v>1</v>
      </c>
      <c r="D174" t="s">
        <v>1695</v>
      </c>
      <c r="E174">
        <v>582</v>
      </c>
      <c r="F174" t="s">
        <v>41</v>
      </c>
      <c r="G174" t="s">
        <v>41</v>
      </c>
    </row>
    <row r="175" spans="1:8">
      <c r="A175">
        <v>54869</v>
      </c>
      <c r="B175">
        <v>1027209</v>
      </c>
      <c r="C175">
        <v>1</v>
      </c>
      <c r="D175" t="s">
        <v>1696</v>
      </c>
      <c r="E175">
        <v>1932</v>
      </c>
      <c r="F175" t="s">
        <v>41</v>
      </c>
      <c r="G175" t="s">
        <v>41</v>
      </c>
    </row>
    <row r="176" spans="1:8">
      <c r="A176">
        <v>54870</v>
      </c>
      <c r="B176">
        <v>1027209</v>
      </c>
      <c r="C176">
        <v>2</v>
      </c>
      <c r="D176" t="s">
        <v>1695</v>
      </c>
      <c r="E176">
        <v>3219</v>
      </c>
      <c r="F176" t="s">
        <v>41</v>
      </c>
      <c r="G176" t="s">
        <v>41</v>
      </c>
    </row>
    <row r="177" spans="1:8">
      <c r="A177">
        <v>56527</v>
      </c>
      <c r="B177">
        <v>1028041</v>
      </c>
      <c r="C177">
        <v>1</v>
      </c>
      <c r="D177" t="s">
        <v>1695</v>
      </c>
      <c r="E177">
        <v>3171</v>
      </c>
      <c r="F177" t="s">
        <v>41</v>
      </c>
      <c r="G177" t="s">
        <v>41</v>
      </c>
    </row>
    <row r="178" spans="1:8">
      <c r="A178">
        <v>57426</v>
      </c>
      <c r="B178">
        <v>1028506</v>
      </c>
      <c r="C178">
        <v>1</v>
      </c>
      <c r="D178" t="s">
        <v>1696</v>
      </c>
      <c r="E178">
        <v>1802</v>
      </c>
      <c r="F178" t="s">
        <v>41</v>
      </c>
      <c r="G178" t="s">
        <v>41</v>
      </c>
    </row>
    <row r="179" spans="1:8">
      <c r="A179">
        <v>57427</v>
      </c>
      <c r="B179">
        <v>1028506</v>
      </c>
      <c r="C179">
        <v>2</v>
      </c>
      <c r="D179" t="s">
        <v>1695</v>
      </c>
      <c r="E179">
        <v>3003</v>
      </c>
      <c r="F179" t="s">
        <v>41</v>
      </c>
      <c r="G179" t="s">
        <v>41</v>
      </c>
    </row>
    <row r="180" spans="1:8">
      <c r="A180">
        <v>57953</v>
      </c>
      <c r="B180">
        <v>1028750</v>
      </c>
      <c r="C180">
        <v>1</v>
      </c>
      <c r="D180" t="s">
        <v>1695</v>
      </c>
      <c r="E180">
        <v>1087</v>
      </c>
      <c r="F180" t="s">
        <v>41</v>
      </c>
      <c r="G180" t="s">
        <v>37</v>
      </c>
      <c r="H180">
        <v>5068</v>
      </c>
    </row>
    <row r="181" spans="1:8">
      <c r="A181">
        <v>58814</v>
      </c>
      <c r="B181">
        <v>1029155</v>
      </c>
      <c r="C181">
        <v>1</v>
      </c>
      <c r="D181" t="s">
        <v>1695</v>
      </c>
      <c r="E181">
        <v>1731</v>
      </c>
      <c r="F181" t="s">
        <v>41</v>
      </c>
      <c r="G181" t="s">
        <v>41</v>
      </c>
    </row>
    <row r="182" spans="1:8">
      <c r="A182">
        <v>58815</v>
      </c>
      <c r="B182">
        <v>1029155</v>
      </c>
      <c r="C182">
        <v>2</v>
      </c>
      <c r="D182" t="s">
        <v>1695</v>
      </c>
      <c r="E182">
        <v>1731</v>
      </c>
      <c r="F182" t="s">
        <v>41</v>
      </c>
      <c r="G182" t="s">
        <v>41</v>
      </c>
    </row>
    <row r="183" spans="1:8">
      <c r="A183">
        <v>58872</v>
      </c>
      <c r="B183">
        <v>1029181</v>
      </c>
      <c r="C183">
        <v>1</v>
      </c>
      <c r="D183" t="s">
        <v>1695</v>
      </c>
      <c r="E183">
        <v>870</v>
      </c>
      <c r="F183" t="s">
        <v>41</v>
      </c>
      <c r="G183" t="s">
        <v>41</v>
      </c>
    </row>
    <row r="184" spans="1:8">
      <c r="A184">
        <v>59234</v>
      </c>
      <c r="B184">
        <v>1029353</v>
      </c>
      <c r="C184">
        <v>1</v>
      </c>
      <c r="D184" t="s">
        <v>1695</v>
      </c>
      <c r="E184">
        <v>582</v>
      </c>
      <c r="F184" t="s">
        <v>41</v>
      </c>
      <c r="G184" t="s">
        <v>41</v>
      </c>
    </row>
    <row r="185" spans="1:8">
      <c r="A185">
        <v>59235</v>
      </c>
      <c r="B185">
        <v>1029353</v>
      </c>
      <c r="C185">
        <v>2</v>
      </c>
      <c r="D185" t="s">
        <v>1695</v>
      </c>
      <c r="E185">
        <v>582</v>
      </c>
      <c r="F185" t="s">
        <v>41</v>
      </c>
      <c r="G185" t="s">
        <v>41</v>
      </c>
    </row>
    <row r="186" spans="1:8">
      <c r="A186">
        <v>59613</v>
      </c>
      <c r="B186">
        <v>1029548</v>
      </c>
      <c r="C186">
        <v>1</v>
      </c>
      <c r="D186" t="s">
        <v>1695</v>
      </c>
      <c r="E186">
        <v>1008</v>
      </c>
      <c r="F186" t="s">
        <v>41</v>
      </c>
      <c r="G186" t="s">
        <v>41</v>
      </c>
    </row>
    <row r="187" spans="1:8">
      <c r="A187">
        <v>59614</v>
      </c>
      <c r="B187">
        <v>1029548</v>
      </c>
      <c r="C187">
        <v>2</v>
      </c>
      <c r="D187" t="s">
        <v>1695</v>
      </c>
      <c r="E187">
        <v>1008</v>
      </c>
      <c r="F187" t="s">
        <v>41</v>
      </c>
      <c r="G187" t="s">
        <v>41</v>
      </c>
    </row>
    <row r="188" spans="1:8">
      <c r="A188">
        <v>59700</v>
      </c>
      <c r="B188">
        <v>1029590</v>
      </c>
      <c r="C188">
        <v>1</v>
      </c>
      <c r="D188" t="s">
        <v>1695</v>
      </c>
      <c r="E188">
        <v>916</v>
      </c>
      <c r="F188" t="s">
        <v>41</v>
      </c>
      <c r="G188" t="s">
        <v>41</v>
      </c>
    </row>
    <row r="189" spans="1:8">
      <c r="A189">
        <v>59701</v>
      </c>
      <c r="B189">
        <v>1029590</v>
      </c>
      <c r="C189">
        <v>2</v>
      </c>
      <c r="D189" t="s">
        <v>1695</v>
      </c>
      <c r="E189">
        <v>916</v>
      </c>
      <c r="F189" t="s">
        <v>41</v>
      </c>
      <c r="G189" t="s">
        <v>41</v>
      </c>
    </row>
    <row r="190" spans="1:8">
      <c r="A190">
        <v>60501</v>
      </c>
      <c r="B190">
        <v>1029993</v>
      </c>
      <c r="C190">
        <v>1</v>
      </c>
      <c r="D190" t="s">
        <v>1695</v>
      </c>
      <c r="E190">
        <v>1325</v>
      </c>
      <c r="F190" t="s">
        <v>41</v>
      </c>
      <c r="G190" t="s">
        <v>37</v>
      </c>
      <c r="H190">
        <v>7206</v>
      </c>
    </row>
    <row r="191" spans="1:8">
      <c r="A191">
        <v>61317</v>
      </c>
      <c r="B191">
        <v>1030387</v>
      </c>
      <c r="C191">
        <v>1</v>
      </c>
      <c r="D191" t="s">
        <v>1695</v>
      </c>
      <c r="E191">
        <v>762</v>
      </c>
      <c r="F191" t="s">
        <v>41</v>
      </c>
      <c r="G191" t="s">
        <v>41</v>
      </c>
    </row>
    <row r="192" spans="1:8">
      <c r="A192">
        <v>62936</v>
      </c>
      <c r="B192">
        <v>1031206</v>
      </c>
      <c r="C192">
        <v>1</v>
      </c>
      <c r="D192" t="s">
        <v>1695</v>
      </c>
      <c r="E192">
        <v>1657</v>
      </c>
      <c r="F192" t="s">
        <v>41</v>
      </c>
      <c r="G192" t="s">
        <v>37</v>
      </c>
      <c r="H192">
        <v>5520</v>
      </c>
    </row>
    <row r="193" spans="1:8">
      <c r="A193">
        <v>64127</v>
      </c>
      <c r="B193">
        <v>1031770</v>
      </c>
      <c r="C193">
        <v>1</v>
      </c>
      <c r="D193" t="s">
        <v>1695</v>
      </c>
      <c r="E193">
        <v>1053</v>
      </c>
      <c r="F193" t="s">
        <v>41</v>
      </c>
      <c r="G193" t="s">
        <v>41</v>
      </c>
    </row>
    <row r="194" spans="1:8">
      <c r="A194">
        <v>64591</v>
      </c>
      <c r="B194">
        <v>1032006</v>
      </c>
      <c r="C194">
        <v>1</v>
      </c>
      <c r="D194" t="s">
        <v>1695</v>
      </c>
      <c r="E194">
        <v>870</v>
      </c>
      <c r="F194" t="s">
        <v>41</v>
      </c>
      <c r="G194" t="s">
        <v>41</v>
      </c>
    </row>
    <row r="195" spans="1:8">
      <c r="A195">
        <v>64592</v>
      </c>
      <c r="B195">
        <v>1032006</v>
      </c>
      <c r="C195">
        <v>2</v>
      </c>
      <c r="D195" t="s">
        <v>1695</v>
      </c>
      <c r="E195">
        <v>870</v>
      </c>
      <c r="F195" t="s">
        <v>41</v>
      </c>
      <c r="G195" t="s">
        <v>41</v>
      </c>
    </row>
    <row r="196" spans="1:8">
      <c r="A196">
        <v>64730</v>
      </c>
      <c r="B196">
        <v>1032070</v>
      </c>
      <c r="C196">
        <v>1</v>
      </c>
      <c r="D196" t="s">
        <v>1695</v>
      </c>
      <c r="E196">
        <v>1379</v>
      </c>
      <c r="F196" t="s">
        <v>41</v>
      </c>
      <c r="G196" t="s">
        <v>41</v>
      </c>
    </row>
    <row r="197" spans="1:8">
      <c r="A197">
        <v>64731</v>
      </c>
      <c r="B197">
        <v>1032070</v>
      </c>
      <c r="C197">
        <v>2</v>
      </c>
      <c r="D197" t="s">
        <v>1695</v>
      </c>
      <c r="E197">
        <v>1379</v>
      </c>
      <c r="F197" t="s">
        <v>41</v>
      </c>
      <c r="G197" t="s">
        <v>41</v>
      </c>
    </row>
    <row r="198" spans="1:8">
      <c r="A198">
        <v>64732</v>
      </c>
      <c r="B198">
        <v>1032070</v>
      </c>
      <c r="C198">
        <v>3</v>
      </c>
      <c r="D198" t="s">
        <v>1695</v>
      </c>
      <c r="E198">
        <v>1379</v>
      </c>
      <c r="F198" t="s">
        <v>41</v>
      </c>
      <c r="G198" t="s">
        <v>41</v>
      </c>
    </row>
    <row r="199" spans="1:8">
      <c r="A199">
        <v>64733</v>
      </c>
      <c r="B199">
        <v>1032070</v>
      </c>
      <c r="C199">
        <v>4</v>
      </c>
      <c r="D199" t="s">
        <v>1695</v>
      </c>
      <c r="E199">
        <v>1379</v>
      </c>
      <c r="F199" t="s">
        <v>41</v>
      </c>
      <c r="G199" t="s">
        <v>41</v>
      </c>
    </row>
    <row r="200" spans="1:8">
      <c r="A200">
        <v>64780</v>
      </c>
      <c r="B200">
        <v>1032096</v>
      </c>
      <c r="C200">
        <v>1</v>
      </c>
      <c r="D200" t="s">
        <v>1695</v>
      </c>
      <c r="E200">
        <v>1034</v>
      </c>
      <c r="F200" t="s">
        <v>41</v>
      </c>
      <c r="G200" t="s">
        <v>41</v>
      </c>
    </row>
    <row r="201" spans="1:8">
      <c r="A201">
        <v>65216</v>
      </c>
      <c r="B201">
        <v>1032311</v>
      </c>
      <c r="C201">
        <v>1</v>
      </c>
      <c r="D201" t="s">
        <v>1695</v>
      </c>
      <c r="E201">
        <v>753</v>
      </c>
      <c r="F201" t="s">
        <v>41</v>
      </c>
      <c r="G201" t="s">
        <v>41</v>
      </c>
    </row>
    <row r="202" spans="1:8">
      <c r="A202">
        <v>65217</v>
      </c>
      <c r="B202">
        <v>1032311</v>
      </c>
      <c r="C202">
        <v>2</v>
      </c>
      <c r="D202" t="s">
        <v>1695</v>
      </c>
      <c r="E202">
        <v>753</v>
      </c>
      <c r="F202" t="s">
        <v>41</v>
      </c>
      <c r="G202" t="s">
        <v>41</v>
      </c>
    </row>
    <row r="203" spans="1:8">
      <c r="A203">
        <v>65990</v>
      </c>
      <c r="B203">
        <v>1032683</v>
      </c>
      <c r="C203">
        <v>1</v>
      </c>
      <c r="D203" t="s">
        <v>1695</v>
      </c>
      <c r="E203">
        <v>700</v>
      </c>
      <c r="F203" t="s">
        <v>41</v>
      </c>
      <c r="G203" t="s">
        <v>41</v>
      </c>
    </row>
    <row r="204" spans="1:8">
      <c r="A204">
        <v>66149</v>
      </c>
      <c r="B204">
        <v>1032751</v>
      </c>
      <c r="C204">
        <v>1</v>
      </c>
      <c r="D204" t="s">
        <v>1695</v>
      </c>
      <c r="E204">
        <v>1183</v>
      </c>
      <c r="F204" t="s">
        <v>41</v>
      </c>
      <c r="G204" t="s">
        <v>37</v>
      </c>
      <c r="H204">
        <v>5990</v>
      </c>
    </row>
    <row r="205" spans="1:8">
      <c r="A205">
        <v>66523</v>
      </c>
      <c r="B205">
        <v>1032942</v>
      </c>
      <c r="C205">
        <v>1</v>
      </c>
      <c r="D205" t="s">
        <v>1695</v>
      </c>
      <c r="E205">
        <v>544</v>
      </c>
      <c r="F205" t="s">
        <v>41</v>
      </c>
      <c r="G205" t="s">
        <v>37</v>
      </c>
      <c r="H205">
        <v>7659</v>
      </c>
    </row>
    <row r="206" spans="1:8">
      <c r="A206">
        <v>66524</v>
      </c>
      <c r="B206">
        <v>1032942</v>
      </c>
      <c r="C206">
        <v>2</v>
      </c>
      <c r="D206" t="s">
        <v>1697</v>
      </c>
      <c r="E206">
        <v>272</v>
      </c>
      <c r="F206" t="s">
        <v>41</v>
      </c>
      <c r="G206" t="s">
        <v>37</v>
      </c>
      <c r="H206">
        <v>7659</v>
      </c>
    </row>
    <row r="207" spans="1:8">
      <c r="A207">
        <v>66963</v>
      </c>
      <c r="B207">
        <v>1033170</v>
      </c>
      <c r="C207">
        <v>1</v>
      </c>
      <c r="D207" t="s">
        <v>1696</v>
      </c>
      <c r="E207">
        <v>326</v>
      </c>
      <c r="F207" t="s">
        <v>41</v>
      </c>
      <c r="G207" t="s">
        <v>41</v>
      </c>
    </row>
    <row r="208" spans="1:8">
      <c r="A208">
        <v>66964</v>
      </c>
      <c r="B208">
        <v>1033170</v>
      </c>
      <c r="C208">
        <v>2</v>
      </c>
      <c r="D208" t="s">
        <v>1695</v>
      </c>
      <c r="E208">
        <v>544</v>
      </c>
      <c r="F208" t="s">
        <v>41</v>
      </c>
      <c r="G208" t="s">
        <v>41</v>
      </c>
    </row>
    <row r="209" spans="1:8">
      <c r="A209">
        <v>66965</v>
      </c>
      <c r="B209">
        <v>1033170</v>
      </c>
      <c r="C209">
        <v>3</v>
      </c>
      <c r="D209" t="s">
        <v>1696</v>
      </c>
      <c r="E209">
        <v>326</v>
      </c>
      <c r="F209" t="s">
        <v>41</v>
      </c>
      <c r="G209" t="s">
        <v>41</v>
      </c>
    </row>
    <row r="210" spans="1:8">
      <c r="A210">
        <v>66966</v>
      </c>
      <c r="B210">
        <v>1033170</v>
      </c>
      <c r="C210">
        <v>4</v>
      </c>
      <c r="D210" t="s">
        <v>1695</v>
      </c>
      <c r="E210">
        <v>544</v>
      </c>
      <c r="F210" t="s">
        <v>41</v>
      </c>
      <c r="G210" t="s">
        <v>41</v>
      </c>
    </row>
    <row r="211" spans="1:8">
      <c r="A211">
        <v>66967</v>
      </c>
      <c r="B211">
        <v>1033170</v>
      </c>
      <c r="C211">
        <v>5</v>
      </c>
      <c r="D211" t="s">
        <v>1695</v>
      </c>
      <c r="E211">
        <v>544</v>
      </c>
      <c r="F211" t="s">
        <v>41</v>
      </c>
      <c r="G211" t="s">
        <v>41</v>
      </c>
    </row>
    <row r="212" spans="1:8">
      <c r="A212">
        <v>66968</v>
      </c>
      <c r="B212">
        <v>1033170</v>
      </c>
      <c r="C212">
        <v>6</v>
      </c>
      <c r="D212" t="s">
        <v>1695</v>
      </c>
      <c r="E212">
        <v>544</v>
      </c>
      <c r="F212" t="s">
        <v>41</v>
      </c>
      <c r="G212" t="s">
        <v>41</v>
      </c>
    </row>
    <row r="213" spans="1:8">
      <c r="A213">
        <v>67335</v>
      </c>
      <c r="B213">
        <v>1033359</v>
      </c>
      <c r="C213">
        <v>1</v>
      </c>
      <c r="D213" t="s">
        <v>1696</v>
      </c>
      <c r="E213">
        <v>426</v>
      </c>
      <c r="F213" t="s">
        <v>41</v>
      </c>
      <c r="G213" t="s">
        <v>41</v>
      </c>
    </row>
    <row r="214" spans="1:8">
      <c r="A214">
        <v>67816</v>
      </c>
      <c r="B214">
        <v>1033617</v>
      </c>
      <c r="C214">
        <v>1</v>
      </c>
      <c r="D214" t="s">
        <v>1696</v>
      </c>
      <c r="E214">
        <v>500</v>
      </c>
      <c r="F214" t="s">
        <v>41</v>
      </c>
      <c r="G214" t="s">
        <v>41</v>
      </c>
    </row>
    <row r="215" spans="1:8">
      <c r="A215">
        <v>67817</v>
      </c>
      <c r="B215">
        <v>1033617</v>
      </c>
      <c r="C215">
        <v>2</v>
      </c>
      <c r="D215" t="s">
        <v>1695</v>
      </c>
      <c r="E215">
        <v>833</v>
      </c>
      <c r="F215" t="s">
        <v>41</v>
      </c>
      <c r="G215" t="s">
        <v>41</v>
      </c>
    </row>
    <row r="216" spans="1:8">
      <c r="A216">
        <v>67919</v>
      </c>
      <c r="B216">
        <v>1033662</v>
      </c>
      <c r="C216">
        <v>1</v>
      </c>
      <c r="D216" t="s">
        <v>1695</v>
      </c>
      <c r="E216">
        <v>2264</v>
      </c>
      <c r="F216" t="s">
        <v>41</v>
      </c>
      <c r="G216" t="s">
        <v>41</v>
      </c>
    </row>
    <row r="217" spans="1:8">
      <c r="A217">
        <v>68311</v>
      </c>
      <c r="B217">
        <v>1033852</v>
      </c>
      <c r="C217">
        <v>1</v>
      </c>
      <c r="D217" t="s">
        <v>1695</v>
      </c>
      <c r="E217">
        <v>4510</v>
      </c>
      <c r="F217" t="s">
        <v>47</v>
      </c>
      <c r="G217" t="s">
        <v>47</v>
      </c>
    </row>
    <row r="218" spans="1:8">
      <c r="A218">
        <v>68479</v>
      </c>
      <c r="B218">
        <v>1033943</v>
      </c>
      <c r="C218">
        <v>1</v>
      </c>
      <c r="D218" t="s">
        <v>1695</v>
      </c>
      <c r="E218">
        <v>1183</v>
      </c>
      <c r="F218" t="s">
        <v>47</v>
      </c>
      <c r="G218" t="s">
        <v>37</v>
      </c>
      <c r="H218">
        <v>6031</v>
      </c>
    </row>
    <row r="219" spans="1:8">
      <c r="A219">
        <v>68480</v>
      </c>
      <c r="B219">
        <v>1033943</v>
      </c>
      <c r="C219">
        <v>2</v>
      </c>
      <c r="D219" t="s">
        <v>1697</v>
      </c>
      <c r="E219">
        <v>592</v>
      </c>
      <c r="F219" t="s">
        <v>47</v>
      </c>
      <c r="G219" t="s">
        <v>37</v>
      </c>
      <c r="H219">
        <v>6031</v>
      </c>
    </row>
    <row r="220" spans="1:8">
      <c r="A220">
        <v>68500</v>
      </c>
      <c r="B220">
        <v>1033952</v>
      </c>
      <c r="C220">
        <v>1</v>
      </c>
      <c r="D220" t="s">
        <v>1695</v>
      </c>
      <c r="E220">
        <v>1657</v>
      </c>
      <c r="F220" t="s">
        <v>41</v>
      </c>
      <c r="G220" t="s">
        <v>41</v>
      </c>
    </row>
    <row r="221" spans="1:8">
      <c r="A221">
        <v>68501</v>
      </c>
      <c r="B221">
        <v>1033952</v>
      </c>
      <c r="C221">
        <v>2</v>
      </c>
      <c r="D221" t="s">
        <v>1697</v>
      </c>
      <c r="E221">
        <v>829</v>
      </c>
      <c r="F221" t="s">
        <v>41</v>
      </c>
      <c r="G221" t="s">
        <v>41</v>
      </c>
    </row>
    <row r="222" spans="1:8">
      <c r="A222">
        <v>70069</v>
      </c>
      <c r="B222">
        <v>1034717</v>
      </c>
      <c r="C222">
        <v>1</v>
      </c>
      <c r="D222" t="s">
        <v>1696</v>
      </c>
      <c r="E222">
        <v>1441</v>
      </c>
      <c r="F222" t="s">
        <v>41</v>
      </c>
      <c r="G222" t="s">
        <v>41</v>
      </c>
    </row>
    <row r="223" spans="1:8">
      <c r="A223">
        <v>71095</v>
      </c>
      <c r="B223">
        <v>1035233</v>
      </c>
      <c r="C223">
        <v>1</v>
      </c>
      <c r="D223" t="s">
        <v>1695</v>
      </c>
      <c r="E223">
        <v>1731</v>
      </c>
      <c r="F223" t="s">
        <v>41</v>
      </c>
      <c r="G223" t="s">
        <v>41</v>
      </c>
    </row>
    <row r="224" spans="1:8">
      <c r="A224">
        <v>71096</v>
      </c>
      <c r="B224">
        <v>1035233</v>
      </c>
      <c r="C224">
        <v>2</v>
      </c>
      <c r="D224" t="s">
        <v>1696</v>
      </c>
      <c r="E224">
        <v>1039</v>
      </c>
      <c r="F224" t="s">
        <v>41</v>
      </c>
      <c r="G224" t="s">
        <v>41</v>
      </c>
    </row>
    <row r="225" spans="1:8">
      <c r="A225">
        <v>71716</v>
      </c>
      <c r="B225">
        <v>1035543</v>
      </c>
      <c r="C225">
        <v>1</v>
      </c>
      <c r="D225" t="s">
        <v>1695</v>
      </c>
      <c r="E225">
        <v>3003</v>
      </c>
      <c r="F225" t="s">
        <v>41</v>
      </c>
      <c r="G225" t="s">
        <v>41</v>
      </c>
    </row>
    <row r="226" spans="1:8">
      <c r="A226">
        <v>72735</v>
      </c>
      <c r="B226">
        <v>1036026</v>
      </c>
      <c r="C226">
        <v>1</v>
      </c>
      <c r="D226" t="s">
        <v>1695</v>
      </c>
      <c r="E226">
        <v>1379</v>
      </c>
      <c r="F226" t="s">
        <v>41</v>
      </c>
      <c r="G226" t="s">
        <v>37</v>
      </c>
      <c r="H226">
        <v>7536</v>
      </c>
    </row>
    <row r="227" spans="1:8">
      <c r="A227">
        <v>74096</v>
      </c>
      <c r="B227">
        <v>1036697</v>
      </c>
      <c r="C227">
        <v>1</v>
      </c>
      <c r="D227" t="s">
        <v>1695</v>
      </c>
      <c r="E227">
        <v>2429</v>
      </c>
      <c r="F227" t="s">
        <v>41</v>
      </c>
      <c r="G227" t="s">
        <v>41</v>
      </c>
    </row>
    <row r="228" spans="1:8">
      <c r="A228">
        <v>74621</v>
      </c>
      <c r="B228">
        <v>1036960</v>
      </c>
      <c r="C228">
        <v>1</v>
      </c>
      <c r="D228" t="s">
        <v>1695</v>
      </c>
      <c r="E228">
        <v>1731</v>
      </c>
      <c r="F228" t="s">
        <v>41</v>
      </c>
      <c r="G228" t="s">
        <v>41</v>
      </c>
    </row>
    <row r="229" spans="1:8">
      <c r="A229">
        <v>74622</v>
      </c>
      <c r="B229">
        <v>1036960</v>
      </c>
      <c r="C229">
        <v>2</v>
      </c>
      <c r="D229" t="s">
        <v>1696</v>
      </c>
      <c r="E229">
        <v>1039</v>
      </c>
      <c r="F229" t="s">
        <v>41</v>
      </c>
      <c r="G229" t="s">
        <v>41</v>
      </c>
    </row>
    <row r="230" spans="1:8">
      <c r="A230">
        <v>74623</v>
      </c>
      <c r="B230">
        <v>1036960</v>
      </c>
      <c r="C230">
        <v>3</v>
      </c>
      <c r="D230" t="s">
        <v>1695</v>
      </c>
      <c r="E230">
        <v>1731</v>
      </c>
      <c r="F230" t="s">
        <v>41</v>
      </c>
      <c r="G230" t="s">
        <v>41</v>
      </c>
    </row>
    <row r="231" spans="1:8">
      <c r="A231">
        <v>74624</v>
      </c>
      <c r="B231">
        <v>1036960</v>
      </c>
      <c r="C231">
        <v>4</v>
      </c>
      <c r="D231" t="s">
        <v>1695</v>
      </c>
      <c r="E231">
        <v>1731</v>
      </c>
      <c r="F231" t="s">
        <v>41</v>
      </c>
      <c r="G231" t="s">
        <v>41</v>
      </c>
    </row>
    <row r="232" spans="1:8">
      <c r="A232">
        <v>74625</v>
      </c>
      <c r="B232">
        <v>1036960</v>
      </c>
      <c r="C232">
        <v>5</v>
      </c>
      <c r="D232" t="s">
        <v>1696</v>
      </c>
      <c r="E232">
        <v>1039</v>
      </c>
      <c r="F232" t="s">
        <v>41</v>
      </c>
      <c r="G232" t="s">
        <v>41</v>
      </c>
    </row>
    <row r="233" spans="1:8">
      <c r="A233">
        <v>74626</v>
      </c>
      <c r="B233">
        <v>1036960</v>
      </c>
      <c r="C233">
        <v>6</v>
      </c>
      <c r="D233" t="s">
        <v>1697</v>
      </c>
      <c r="E233">
        <v>866</v>
      </c>
      <c r="F233" t="s">
        <v>41</v>
      </c>
      <c r="G233" t="s">
        <v>41</v>
      </c>
    </row>
    <row r="234" spans="1:8">
      <c r="A234">
        <v>74636</v>
      </c>
      <c r="B234">
        <v>1036967</v>
      </c>
      <c r="C234">
        <v>1</v>
      </c>
      <c r="D234" t="s">
        <v>1695</v>
      </c>
      <c r="E234">
        <v>1579</v>
      </c>
      <c r="F234" t="s">
        <v>49</v>
      </c>
      <c r="G234" t="s">
        <v>49</v>
      </c>
      <c r="H234">
        <v>6481</v>
      </c>
    </row>
    <row r="235" spans="1:8">
      <c r="A235">
        <v>74637</v>
      </c>
      <c r="B235">
        <v>1036967</v>
      </c>
      <c r="C235">
        <v>2</v>
      </c>
      <c r="D235" t="s">
        <v>1695</v>
      </c>
      <c r="E235">
        <v>1579</v>
      </c>
      <c r="F235" t="s">
        <v>49</v>
      </c>
      <c r="G235" t="s">
        <v>49</v>
      </c>
      <c r="H235">
        <v>6481</v>
      </c>
    </row>
    <row r="236" spans="1:8">
      <c r="A236">
        <v>74638</v>
      </c>
      <c r="B236">
        <v>1036967</v>
      </c>
      <c r="C236">
        <v>3</v>
      </c>
      <c r="D236" t="s">
        <v>1695</v>
      </c>
      <c r="E236">
        <v>1579</v>
      </c>
      <c r="F236" t="s">
        <v>49</v>
      </c>
      <c r="G236" t="s">
        <v>49</v>
      </c>
      <c r="H236">
        <v>6481</v>
      </c>
    </row>
    <row r="237" spans="1:8">
      <c r="A237">
        <v>74639</v>
      </c>
      <c r="B237">
        <v>1036967</v>
      </c>
      <c r="C237">
        <v>4</v>
      </c>
      <c r="D237" t="s">
        <v>1695</v>
      </c>
      <c r="E237">
        <v>1579</v>
      </c>
      <c r="F237" t="s">
        <v>49</v>
      </c>
      <c r="G237" t="s">
        <v>49</v>
      </c>
      <c r="H237">
        <v>6481</v>
      </c>
    </row>
    <row r="238" spans="1:8">
      <c r="A238">
        <v>74918</v>
      </c>
      <c r="B238">
        <v>1037102</v>
      </c>
      <c r="C238">
        <v>1</v>
      </c>
      <c r="D238" t="s">
        <v>1695</v>
      </c>
      <c r="E238">
        <v>3003</v>
      </c>
      <c r="F238" t="s">
        <v>41</v>
      </c>
      <c r="G238" t="s">
        <v>41</v>
      </c>
    </row>
    <row r="239" spans="1:8">
      <c r="A239">
        <v>76695</v>
      </c>
      <c r="B239">
        <v>1037976</v>
      </c>
      <c r="C239">
        <v>1</v>
      </c>
      <c r="D239" t="s">
        <v>1695</v>
      </c>
      <c r="E239">
        <v>1379</v>
      </c>
      <c r="F239" t="s">
        <v>41</v>
      </c>
      <c r="G239" t="s">
        <v>41</v>
      </c>
    </row>
    <row r="240" spans="1:8">
      <c r="A240">
        <v>76696</v>
      </c>
      <c r="B240">
        <v>1037976</v>
      </c>
      <c r="C240">
        <v>2</v>
      </c>
      <c r="D240" t="s">
        <v>1697</v>
      </c>
      <c r="E240">
        <v>690</v>
      </c>
      <c r="F240" t="s">
        <v>41</v>
      </c>
      <c r="G240" t="s">
        <v>41</v>
      </c>
    </row>
    <row r="241" spans="1:8">
      <c r="A241">
        <v>76697</v>
      </c>
      <c r="B241">
        <v>1037976</v>
      </c>
      <c r="C241">
        <v>3</v>
      </c>
      <c r="D241" t="s">
        <v>1695</v>
      </c>
      <c r="E241">
        <v>1379</v>
      </c>
      <c r="F241" t="s">
        <v>41</v>
      </c>
      <c r="G241" t="s">
        <v>41</v>
      </c>
    </row>
    <row r="242" spans="1:8">
      <c r="A242">
        <v>76698</v>
      </c>
      <c r="B242">
        <v>1037976</v>
      </c>
      <c r="C242">
        <v>4</v>
      </c>
      <c r="D242" t="s">
        <v>1695</v>
      </c>
      <c r="E242">
        <v>1379</v>
      </c>
      <c r="F242" t="s">
        <v>41</v>
      </c>
      <c r="G242" t="s">
        <v>41</v>
      </c>
    </row>
    <row r="243" spans="1:8">
      <c r="A243">
        <v>77308</v>
      </c>
      <c r="B243">
        <v>1038246</v>
      </c>
      <c r="C243">
        <v>1</v>
      </c>
      <c r="D243" t="s">
        <v>1695</v>
      </c>
      <c r="E243">
        <v>906</v>
      </c>
      <c r="F243" t="s">
        <v>47</v>
      </c>
      <c r="G243" t="s">
        <v>37</v>
      </c>
      <c r="H243">
        <v>6979</v>
      </c>
    </row>
    <row r="244" spans="1:8">
      <c r="A244">
        <v>77309</v>
      </c>
      <c r="B244">
        <v>1038246</v>
      </c>
      <c r="C244">
        <v>2</v>
      </c>
      <c r="D244" t="s">
        <v>1695</v>
      </c>
      <c r="E244">
        <v>906</v>
      </c>
      <c r="F244" t="s">
        <v>47</v>
      </c>
      <c r="G244" t="s">
        <v>37</v>
      </c>
      <c r="H244">
        <v>6979</v>
      </c>
    </row>
    <row r="245" spans="1:8">
      <c r="A245">
        <v>77310</v>
      </c>
      <c r="B245">
        <v>1038246</v>
      </c>
      <c r="C245">
        <v>3</v>
      </c>
      <c r="D245" t="s">
        <v>1695</v>
      </c>
      <c r="E245">
        <v>906</v>
      </c>
      <c r="F245" t="s">
        <v>47</v>
      </c>
      <c r="G245" t="s">
        <v>37</v>
      </c>
      <c r="H245">
        <v>6979</v>
      </c>
    </row>
    <row r="246" spans="1:8">
      <c r="A246">
        <v>77311</v>
      </c>
      <c r="B246">
        <v>1038246</v>
      </c>
      <c r="C246">
        <v>4</v>
      </c>
      <c r="D246" t="s">
        <v>1697</v>
      </c>
      <c r="E246">
        <v>453</v>
      </c>
      <c r="F246" t="s">
        <v>47</v>
      </c>
      <c r="G246" t="s">
        <v>37</v>
      </c>
      <c r="H246">
        <v>6979</v>
      </c>
    </row>
    <row r="247" spans="1:8">
      <c r="A247">
        <v>77388</v>
      </c>
      <c r="B247">
        <v>1038289</v>
      </c>
      <c r="C247">
        <v>1</v>
      </c>
      <c r="D247" t="s">
        <v>1695</v>
      </c>
      <c r="E247">
        <v>1390</v>
      </c>
      <c r="F247" t="s">
        <v>41</v>
      </c>
      <c r="G247" t="s">
        <v>41</v>
      </c>
    </row>
    <row r="248" spans="1:8">
      <c r="A248">
        <v>78156</v>
      </c>
      <c r="B248">
        <v>1038662</v>
      </c>
      <c r="C248">
        <v>1</v>
      </c>
      <c r="D248" t="s">
        <v>1695</v>
      </c>
      <c r="E248">
        <v>3219</v>
      </c>
      <c r="F248" t="s">
        <v>41</v>
      </c>
      <c r="G248" t="s">
        <v>41</v>
      </c>
    </row>
    <row r="249" spans="1:8">
      <c r="A249">
        <v>78157</v>
      </c>
      <c r="B249">
        <v>1038662</v>
      </c>
      <c r="C249">
        <v>2</v>
      </c>
      <c r="D249" t="s">
        <v>1695</v>
      </c>
      <c r="E249">
        <v>3219</v>
      </c>
      <c r="F249" t="s">
        <v>41</v>
      </c>
      <c r="G249" t="s">
        <v>41</v>
      </c>
    </row>
    <row r="250" spans="1:8">
      <c r="A250">
        <v>78244</v>
      </c>
      <c r="B250">
        <v>1038708</v>
      </c>
      <c r="C250">
        <v>1</v>
      </c>
      <c r="D250" t="s">
        <v>1695</v>
      </c>
      <c r="E250">
        <v>654</v>
      </c>
      <c r="F250" t="s">
        <v>41</v>
      </c>
      <c r="G250" t="s">
        <v>37</v>
      </c>
      <c r="H250">
        <v>6886</v>
      </c>
    </row>
    <row r="251" spans="1:8">
      <c r="A251">
        <v>78442</v>
      </c>
      <c r="B251">
        <v>1038813</v>
      </c>
      <c r="C251">
        <v>1</v>
      </c>
      <c r="D251" t="s">
        <v>1696</v>
      </c>
      <c r="E251">
        <v>326</v>
      </c>
      <c r="F251" t="s">
        <v>41</v>
      </c>
      <c r="G251" t="s">
        <v>37</v>
      </c>
      <c r="H251">
        <v>6727</v>
      </c>
    </row>
    <row r="252" spans="1:8">
      <c r="A252">
        <v>78443</v>
      </c>
      <c r="B252">
        <v>1038813</v>
      </c>
      <c r="C252">
        <v>2</v>
      </c>
      <c r="D252" t="s">
        <v>1695</v>
      </c>
      <c r="E252">
        <v>544</v>
      </c>
      <c r="F252" t="s">
        <v>41</v>
      </c>
      <c r="G252" t="s">
        <v>37</v>
      </c>
      <c r="H252">
        <v>6727</v>
      </c>
    </row>
    <row r="253" spans="1:8">
      <c r="A253">
        <v>78444</v>
      </c>
      <c r="B253">
        <v>1038813</v>
      </c>
      <c r="C253">
        <v>3</v>
      </c>
      <c r="D253" t="s">
        <v>1697</v>
      </c>
      <c r="E253">
        <v>272</v>
      </c>
      <c r="F253" t="s">
        <v>41</v>
      </c>
      <c r="G253" t="s">
        <v>37</v>
      </c>
      <c r="H253">
        <v>6727</v>
      </c>
    </row>
    <row r="254" spans="1:8">
      <c r="A254">
        <v>78445</v>
      </c>
      <c r="B254">
        <v>1038813</v>
      </c>
      <c r="C254">
        <v>4</v>
      </c>
      <c r="D254" t="s">
        <v>1695</v>
      </c>
      <c r="E254">
        <v>544</v>
      </c>
      <c r="F254" t="s">
        <v>41</v>
      </c>
      <c r="G254" t="s">
        <v>37</v>
      </c>
      <c r="H254">
        <v>6727</v>
      </c>
    </row>
    <row r="255" spans="1:8">
      <c r="A255">
        <v>82872</v>
      </c>
      <c r="B255">
        <v>1041015</v>
      </c>
      <c r="C255">
        <v>1</v>
      </c>
      <c r="D255" t="s">
        <v>1695</v>
      </c>
      <c r="E255">
        <v>1102</v>
      </c>
      <c r="F255" t="s">
        <v>41</v>
      </c>
      <c r="G255" t="s">
        <v>41</v>
      </c>
    </row>
    <row r="256" spans="1:8">
      <c r="A256">
        <v>83343</v>
      </c>
      <c r="B256">
        <v>1041254</v>
      </c>
      <c r="C256">
        <v>1</v>
      </c>
      <c r="D256" t="s">
        <v>1695</v>
      </c>
      <c r="E256">
        <v>3003</v>
      </c>
      <c r="F256" t="s">
        <v>41</v>
      </c>
      <c r="G256" t="s">
        <v>41</v>
      </c>
    </row>
    <row r="257" spans="1:8">
      <c r="A257">
        <v>83344</v>
      </c>
      <c r="B257">
        <v>1041254</v>
      </c>
      <c r="C257">
        <v>2</v>
      </c>
      <c r="D257" t="s">
        <v>1695</v>
      </c>
      <c r="E257">
        <v>3003</v>
      </c>
      <c r="F257" t="s">
        <v>41</v>
      </c>
      <c r="G257" t="s">
        <v>41</v>
      </c>
    </row>
    <row r="258" spans="1:8">
      <c r="A258">
        <v>83460</v>
      </c>
      <c r="B258">
        <v>1041316</v>
      </c>
      <c r="C258">
        <v>1</v>
      </c>
      <c r="D258" t="s">
        <v>1696</v>
      </c>
      <c r="E258">
        <v>1441</v>
      </c>
      <c r="F258" t="s">
        <v>47</v>
      </c>
      <c r="G258" t="s">
        <v>47</v>
      </c>
    </row>
    <row r="259" spans="1:8">
      <c r="A259">
        <v>83461</v>
      </c>
      <c r="B259">
        <v>1041316</v>
      </c>
      <c r="C259">
        <v>2</v>
      </c>
      <c r="D259" t="s">
        <v>1696</v>
      </c>
      <c r="E259">
        <v>1441</v>
      </c>
      <c r="F259" t="s">
        <v>47</v>
      </c>
      <c r="G259" t="s">
        <v>47</v>
      </c>
    </row>
    <row r="260" spans="1:8">
      <c r="A260">
        <v>84504</v>
      </c>
      <c r="B260">
        <v>1041842</v>
      </c>
      <c r="C260">
        <v>1</v>
      </c>
      <c r="D260" t="s">
        <v>1696</v>
      </c>
      <c r="E260">
        <v>2644</v>
      </c>
      <c r="F260" t="s">
        <v>41</v>
      </c>
      <c r="G260" t="s">
        <v>41</v>
      </c>
    </row>
    <row r="261" spans="1:8">
      <c r="A261">
        <v>85768</v>
      </c>
      <c r="B261">
        <v>1042485</v>
      </c>
      <c r="C261">
        <v>1</v>
      </c>
      <c r="D261" t="s">
        <v>1695</v>
      </c>
      <c r="E261">
        <v>1731</v>
      </c>
      <c r="F261" t="s">
        <v>41</v>
      </c>
      <c r="G261" t="s">
        <v>41</v>
      </c>
    </row>
    <row r="262" spans="1:8">
      <c r="A262">
        <v>86069</v>
      </c>
      <c r="B262">
        <v>1042637</v>
      </c>
      <c r="C262">
        <v>1</v>
      </c>
      <c r="D262" t="s">
        <v>1695</v>
      </c>
      <c r="E262">
        <v>906</v>
      </c>
      <c r="F262" t="s">
        <v>41</v>
      </c>
      <c r="G262" t="s">
        <v>41</v>
      </c>
    </row>
    <row r="263" spans="1:8">
      <c r="A263">
        <v>86939</v>
      </c>
      <c r="B263">
        <v>1043064</v>
      </c>
      <c r="C263">
        <v>1</v>
      </c>
      <c r="D263" t="s">
        <v>1695</v>
      </c>
      <c r="E263">
        <v>1049</v>
      </c>
      <c r="F263" t="s">
        <v>41</v>
      </c>
      <c r="G263" t="s">
        <v>41</v>
      </c>
    </row>
    <row r="264" spans="1:8">
      <c r="A264">
        <v>88682</v>
      </c>
      <c r="B264">
        <v>1043917</v>
      </c>
      <c r="C264">
        <v>1</v>
      </c>
      <c r="D264" t="s">
        <v>1695</v>
      </c>
      <c r="E264">
        <v>654</v>
      </c>
      <c r="F264" t="s">
        <v>41</v>
      </c>
      <c r="G264" t="s">
        <v>41</v>
      </c>
    </row>
    <row r="265" spans="1:8">
      <c r="A265">
        <v>89023</v>
      </c>
      <c r="B265">
        <v>1044066</v>
      </c>
      <c r="C265">
        <v>1</v>
      </c>
      <c r="D265" t="s">
        <v>1695</v>
      </c>
      <c r="E265">
        <v>668</v>
      </c>
      <c r="F265" t="s">
        <v>41</v>
      </c>
      <c r="G265" t="s">
        <v>37</v>
      </c>
      <c r="H265">
        <v>7814</v>
      </c>
    </row>
    <row r="266" spans="1:8">
      <c r="A266">
        <v>89024</v>
      </c>
      <c r="B266">
        <v>1044066</v>
      </c>
      <c r="C266">
        <v>2</v>
      </c>
      <c r="D266" t="s">
        <v>1697</v>
      </c>
      <c r="E266">
        <v>334</v>
      </c>
      <c r="F266" t="s">
        <v>41</v>
      </c>
      <c r="G266" t="s">
        <v>37</v>
      </c>
      <c r="H266">
        <v>7814</v>
      </c>
    </row>
    <row r="267" spans="1:8">
      <c r="A267">
        <v>89963</v>
      </c>
      <c r="B267">
        <v>1044512</v>
      </c>
      <c r="C267">
        <v>1</v>
      </c>
      <c r="D267" t="s">
        <v>1695</v>
      </c>
      <c r="E267">
        <v>2402</v>
      </c>
      <c r="F267" t="s">
        <v>41</v>
      </c>
      <c r="G267" t="s">
        <v>41</v>
      </c>
    </row>
    <row r="268" spans="1:8">
      <c r="A268">
        <v>93126</v>
      </c>
      <c r="B268">
        <v>1046011</v>
      </c>
      <c r="C268">
        <v>1</v>
      </c>
      <c r="D268" t="s">
        <v>1695</v>
      </c>
      <c r="E268">
        <v>790</v>
      </c>
      <c r="F268" t="s">
        <v>41</v>
      </c>
      <c r="G268" t="s">
        <v>37</v>
      </c>
      <c r="H268">
        <v>8638</v>
      </c>
    </row>
    <row r="269" spans="1:8">
      <c r="A269">
        <v>93156</v>
      </c>
      <c r="B269">
        <v>1046029</v>
      </c>
      <c r="C269">
        <v>1</v>
      </c>
      <c r="D269" t="s">
        <v>1695</v>
      </c>
      <c r="E269">
        <v>7338</v>
      </c>
      <c r="F269" t="s">
        <v>41</v>
      </c>
      <c r="G269" t="s">
        <v>41</v>
      </c>
    </row>
    <row r="270" spans="1:8">
      <c r="A270">
        <v>93415</v>
      </c>
      <c r="B270">
        <v>1046157</v>
      </c>
      <c r="C270">
        <v>1</v>
      </c>
      <c r="D270" t="s">
        <v>1695</v>
      </c>
      <c r="E270">
        <v>607</v>
      </c>
      <c r="F270" t="s">
        <v>41</v>
      </c>
      <c r="G270" t="s">
        <v>41</v>
      </c>
    </row>
    <row r="271" spans="1:8">
      <c r="A271">
        <v>93480</v>
      </c>
      <c r="B271">
        <v>1046198</v>
      </c>
      <c r="C271">
        <v>1</v>
      </c>
      <c r="D271" t="s">
        <v>1695</v>
      </c>
      <c r="E271">
        <v>654</v>
      </c>
      <c r="F271" t="s">
        <v>41</v>
      </c>
      <c r="G271" t="s">
        <v>41</v>
      </c>
    </row>
    <row r="272" spans="1:8">
      <c r="A272">
        <v>93481</v>
      </c>
      <c r="B272">
        <v>1046198</v>
      </c>
      <c r="C272">
        <v>2</v>
      </c>
      <c r="D272" t="s">
        <v>1695</v>
      </c>
      <c r="E272">
        <v>654</v>
      </c>
      <c r="F272" t="s">
        <v>41</v>
      </c>
      <c r="G272" t="s">
        <v>41</v>
      </c>
    </row>
    <row r="273" spans="1:8">
      <c r="A273">
        <v>93536</v>
      </c>
      <c r="B273">
        <v>1046233</v>
      </c>
      <c r="C273">
        <v>1</v>
      </c>
      <c r="D273" t="s">
        <v>1695</v>
      </c>
      <c r="E273">
        <v>834</v>
      </c>
      <c r="F273" t="s">
        <v>41</v>
      </c>
      <c r="G273" t="s">
        <v>41</v>
      </c>
    </row>
    <row r="274" spans="1:8">
      <c r="A274">
        <v>93537</v>
      </c>
      <c r="B274">
        <v>1046233</v>
      </c>
      <c r="C274">
        <v>2</v>
      </c>
      <c r="D274" t="s">
        <v>1696</v>
      </c>
      <c r="E274">
        <v>501</v>
      </c>
      <c r="F274" t="s">
        <v>41</v>
      </c>
      <c r="G274" t="s">
        <v>41</v>
      </c>
    </row>
    <row r="275" spans="1:8">
      <c r="A275">
        <v>94119</v>
      </c>
      <c r="B275">
        <v>1046536</v>
      </c>
      <c r="C275">
        <v>1</v>
      </c>
      <c r="D275" t="s">
        <v>1695</v>
      </c>
      <c r="E275">
        <v>544</v>
      </c>
      <c r="F275" t="s">
        <v>41</v>
      </c>
      <c r="G275" t="s">
        <v>41</v>
      </c>
    </row>
    <row r="276" spans="1:8">
      <c r="A276">
        <v>94120</v>
      </c>
      <c r="B276">
        <v>1046536</v>
      </c>
      <c r="C276">
        <v>2</v>
      </c>
      <c r="D276" t="s">
        <v>1695</v>
      </c>
      <c r="E276">
        <v>544</v>
      </c>
      <c r="F276" t="s">
        <v>41</v>
      </c>
      <c r="G276" t="s">
        <v>41</v>
      </c>
    </row>
    <row r="277" spans="1:8">
      <c r="A277">
        <v>96391</v>
      </c>
      <c r="B277">
        <v>1047713</v>
      </c>
      <c r="C277">
        <v>1</v>
      </c>
      <c r="D277" t="s">
        <v>1695</v>
      </c>
      <c r="E277">
        <v>1049</v>
      </c>
      <c r="F277" t="s">
        <v>41</v>
      </c>
      <c r="G277" t="s">
        <v>41</v>
      </c>
    </row>
    <row r="278" spans="1:8">
      <c r="A278">
        <v>96392</v>
      </c>
      <c r="B278">
        <v>1047713</v>
      </c>
      <c r="C278">
        <v>2</v>
      </c>
      <c r="D278" t="s">
        <v>1697</v>
      </c>
      <c r="E278">
        <v>524</v>
      </c>
      <c r="F278" t="s">
        <v>41</v>
      </c>
      <c r="G278" t="s">
        <v>41</v>
      </c>
    </row>
    <row r="279" spans="1:8">
      <c r="A279">
        <v>98704</v>
      </c>
      <c r="B279">
        <v>1048875</v>
      </c>
      <c r="C279">
        <v>1</v>
      </c>
      <c r="D279" t="s">
        <v>1695</v>
      </c>
      <c r="E279">
        <v>3026</v>
      </c>
      <c r="F279" t="s">
        <v>41</v>
      </c>
      <c r="G279" t="s">
        <v>41</v>
      </c>
    </row>
    <row r="280" spans="1:8">
      <c r="A280">
        <v>98705</v>
      </c>
      <c r="B280">
        <v>1048875</v>
      </c>
      <c r="C280">
        <v>2</v>
      </c>
      <c r="D280" t="s">
        <v>1695</v>
      </c>
      <c r="E280">
        <v>3026</v>
      </c>
      <c r="F280" t="s">
        <v>41</v>
      </c>
      <c r="G280" t="s">
        <v>41</v>
      </c>
    </row>
    <row r="281" spans="1:8">
      <c r="A281">
        <v>98706</v>
      </c>
      <c r="B281">
        <v>1048875</v>
      </c>
      <c r="C281">
        <v>3</v>
      </c>
      <c r="D281" t="s">
        <v>1695</v>
      </c>
      <c r="E281">
        <v>3026</v>
      </c>
      <c r="F281" t="s">
        <v>41</v>
      </c>
      <c r="G281" t="s">
        <v>41</v>
      </c>
    </row>
    <row r="282" spans="1:8">
      <c r="A282">
        <v>99649</v>
      </c>
      <c r="B282">
        <v>1049353</v>
      </c>
      <c r="C282">
        <v>1</v>
      </c>
      <c r="D282" t="s">
        <v>1695</v>
      </c>
      <c r="E282">
        <v>1049</v>
      </c>
      <c r="F282" t="s">
        <v>41</v>
      </c>
      <c r="G282" t="s">
        <v>41</v>
      </c>
    </row>
    <row r="283" spans="1:8">
      <c r="A283">
        <v>99650</v>
      </c>
      <c r="B283">
        <v>1049353</v>
      </c>
      <c r="C283">
        <v>2</v>
      </c>
      <c r="D283" t="s">
        <v>1695</v>
      </c>
      <c r="E283">
        <v>1049</v>
      </c>
      <c r="F283" t="s">
        <v>41</v>
      </c>
      <c r="G283" t="s">
        <v>41</v>
      </c>
    </row>
    <row r="284" spans="1:8">
      <c r="A284">
        <v>101395</v>
      </c>
      <c r="B284">
        <v>1050196</v>
      </c>
      <c r="C284">
        <v>1</v>
      </c>
      <c r="D284" t="s">
        <v>1695</v>
      </c>
      <c r="E284">
        <v>2402</v>
      </c>
      <c r="F284" t="s">
        <v>49</v>
      </c>
      <c r="G284" t="s">
        <v>49</v>
      </c>
      <c r="H284">
        <v>8770</v>
      </c>
    </row>
    <row r="285" spans="1:8">
      <c r="A285">
        <v>102072</v>
      </c>
      <c r="B285">
        <v>1050534</v>
      </c>
      <c r="C285">
        <v>1</v>
      </c>
      <c r="D285" t="s">
        <v>1696</v>
      </c>
      <c r="E285">
        <v>522</v>
      </c>
      <c r="F285" t="s">
        <v>41</v>
      </c>
      <c r="G285" t="s">
        <v>41</v>
      </c>
    </row>
    <row r="286" spans="1:8">
      <c r="A286">
        <v>102073</v>
      </c>
      <c r="B286">
        <v>1050534</v>
      </c>
      <c r="C286">
        <v>2</v>
      </c>
      <c r="D286" t="s">
        <v>1696</v>
      </c>
      <c r="E286">
        <v>522</v>
      </c>
      <c r="F286" t="s">
        <v>41</v>
      </c>
      <c r="G286" t="s">
        <v>41</v>
      </c>
    </row>
    <row r="287" spans="1:8">
      <c r="A287">
        <v>102074</v>
      </c>
      <c r="B287">
        <v>1050534</v>
      </c>
      <c r="C287">
        <v>3</v>
      </c>
      <c r="D287" t="s">
        <v>1696</v>
      </c>
      <c r="E287">
        <v>522</v>
      </c>
      <c r="F287" t="s">
        <v>41</v>
      </c>
      <c r="G287" t="s">
        <v>41</v>
      </c>
    </row>
    <row r="288" spans="1:8">
      <c r="A288">
        <v>102168</v>
      </c>
      <c r="B288">
        <v>1050575</v>
      </c>
      <c r="C288">
        <v>1</v>
      </c>
      <c r="D288" t="s">
        <v>1695</v>
      </c>
      <c r="E288">
        <v>4342</v>
      </c>
      <c r="F288" t="s">
        <v>41</v>
      </c>
      <c r="G288" t="s">
        <v>37</v>
      </c>
      <c r="H288">
        <v>8720</v>
      </c>
    </row>
    <row r="289" spans="1:8">
      <c r="A289">
        <v>102169</v>
      </c>
      <c r="B289">
        <v>1050575</v>
      </c>
      <c r="C289">
        <v>2</v>
      </c>
      <c r="D289" t="s">
        <v>1697</v>
      </c>
      <c r="E289">
        <v>2171</v>
      </c>
      <c r="F289" t="s">
        <v>41</v>
      </c>
      <c r="G289" t="s">
        <v>37</v>
      </c>
      <c r="H289">
        <v>8720</v>
      </c>
    </row>
    <row r="290" spans="1:8">
      <c r="A290">
        <v>102265</v>
      </c>
      <c r="B290">
        <v>1050620</v>
      </c>
      <c r="C290">
        <v>1</v>
      </c>
      <c r="D290" t="s">
        <v>1695</v>
      </c>
      <c r="E290">
        <v>2886</v>
      </c>
      <c r="F290" t="s">
        <v>49</v>
      </c>
      <c r="G290" t="s">
        <v>49</v>
      </c>
      <c r="H290">
        <v>8861</v>
      </c>
    </row>
    <row r="291" spans="1:8">
      <c r="A291">
        <v>102385</v>
      </c>
      <c r="B291">
        <v>1050680</v>
      </c>
      <c r="C291">
        <v>1</v>
      </c>
      <c r="D291" t="s">
        <v>1695</v>
      </c>
      <c r="E291">
        <v>1390</v>
      </c>
      <c r="F291" t="s">
        <v>49</v>
      </c>
      <c r="G291" t="s">
        <v>37</v>
      </c>
      <c r="H291">
        <v>9437</v>
      </c>
    </row>
    <row r="292" spans="1:8">
      <c r="A292">
        <v>103044</v>
      </c>
      <c r="B292">
        <v>1051001</v>
      </c>
      <c r="C292">
        <v>1</v>
      </c>
      <c r="D292" t="s">
        <v>1695</v>
      </c>
      <c r="E292">
        <v>654</v>
      </c>
      <c r="F292" t="s">
        <v>41</v>
      </c>
      <c r="G292" t="s">
        <v>41</v>
      </c>
    </row>
    <row r="293" spans="1:8">
      <c r="A293">
        <v>103045</v>
      </c>
      <c r="B293">
        <v>1051001</v>
      </c>
      <c r="C293">
        <v>2</v>
      </c>
      <c r="D293" t="s">
        <v>1695</v>
      </c>
      <c r="E293">
        <v>654</v>
      </c>
      <c r="F293" t="s">
        <v>41</v>
      </c>
      <c r="G293" t="s">
        <v>41</v>
      </c>
    </row>
    <row r="294" spans="1:8">
      <c r="A294">
        <v>103712</v>
      </c>
      <c r="B294">
        <v>1051333</v>
      </c>
      <c r="C294">
        <v>1</v>
      </c>
      <c r="D294" t="s">
        <v>1695</v>
      </c>
      <c r="E294">
        <v>1049</v>
      </c>
      <c r="F294" t="s">
        <v>41</v>
      </c>
      <c r="G294" t="s">
        <v>41</v>
      </c>
    </row>
    <row r="295" spans="1:8">
      <c r="A295">
        <v>103713</v>
      </c>
      <c r="B295">
        <v>1051333</v>
      </c>
      <c r="C295">
        <v>2</v>
      </c>
      <c r="D295" t="s">
        <v>1695</v>
      </c>
      <c r="E295">
        <v>1049</v>
      </c>
      <c r="F295" t="s">
        <v>41</v>
      </c>
      <c r="G295" t="s">
        <v>41</v>
      </c>
    </row>
    <row r="296" spans="1:8">
      <c r="A296">
        <v>104125</v>
      </c>
      <c r="B296">
        <v>1051550</v>
      </c>
      <c r="C296">
        <v>1</v>
      </c>
      <c r="D296" t="s">
        <v>1695</v>
      </c>
      <c r="E296">
        <v>1183</v>
      </c>
      <c r="F296" t="s">
        <v>41</v>
      </c>
      <c r="G296" t="s">
        <v>41</v>
      </c>
    </row>
    <row r="297" spans="1:8">
      <c r="A297">
        <v>104126</v>
      </c>
      <c r="B297">
        <v>1051550</v>
      </c>
      <c r="C297">
        <v>2</v>
      </c>
      <c r="D297" t="s">
        <v>1697</v>
      </c>
      <c r="E297">
        <v>592</v>
      </c>
      <c r="F297" t="s">
        <v>41</v>
      </c>
      <c r="G297" t="s">
        <v>41</v>
      </c>
    </row>
    <row r="298" spans="1:8">
      <c r="A298">
        <v>104127</v>
      </c>
      <c r="B298">
        <v>1051550</v>
      </c>
      <c r="C298">
        <v>3</v>
      </c>
      <c r="D298" t="s">
        <v>1697</v>
      </c>
      <c r="E298">
        <v>592</v>
      </c>
      <c r="F298" t="s">
        <v>41</v>
      </c>
      <c r="G298" t="s">
        <v>41</v>
      </c>
    </row>
    <row r="299" spans="1:8">
      <c r="A299">
        <v>104128</v>
      </c>
      <c r="B299">
        <v>1051550</v>
      </c>
      <c r="C299">
        <v>4</v>
      </c>
      <c r="D299" t="s">
        <v>1695</v>
      </c>
      <c r="E299">
        <v>1183</v>
      </c>
      <c r="F299" t="s">
        <v>41</v>
      </c>
      <c r="G299" t="s">
        <v>41</v>
      </c>
    </row>
    <row r="300" spans="1:8">
      <c r="A300">
        <v>104129</v>
      </c>
      <c r="B300">
        <v>1051550</v>
      </c>
      <c r="C300">
        <v>5</v>
      </c>
      <c r="D300" t="s">
        <v>1695</v>
      </c>
      <c r="E300">
        <v>1183</v>
      </c>
      <c r="F300" t="s">
        <v>41</v>
      </c>
      <c r="G300" t="s">
        <v>41</v>
      </c>
    </row>
    <row r="301" spans="1:8">
      <c r="A301">
        <v>104572</v>
      </c>
      <c r="B301">
        <v>1051773</v>
      </c>
      <c r="C301">
        <v>1</v>
      </c>
      <c r="D301" t="s">
        <v>1695</v>
      </c>
      <c r="E301">
        <v>2520</v>
      </c>
      <c r="F301" t="s">
        <v>41</v>
      </c>
      <c r="G301" t="s">
        <v>41</v>
      </c>
    </row>
    <row r="302" spans="1:8">
      <c r="A302">
        <v>104615</v>
      </c>
      <c r="B302">
        <v>1051794</v>
      </c>
      <c r="C302">
        <v>1</v>
      </c>
      <c r="D302" t="s">
        <v>1695</v>
      </c>
      <c r="E302">
        <v>950</v>
      </c>
      <c r="F302" t="s">
        <v>47</v>
      </c>
      <c r="G302" t="s">
        <v>41</v>
      </c>
    </row>
    <row r="303" spans="1:8">
      <c r="A303">
        <v>104616</v>
      </c>
      <c r="B303">
        <v>1051794</v>
      </c>
      <c r="C303">
        <v>2</v>
      </c>
      <c r="D303" t="s">
        <v>1696</v>
      </c>
      <c r="E303">
        <v>570</v>
      </c>
      <c r="F303" t="s">
        <v>47</v>
      </c>
      <c r="G303" t="s">
        <v>41</v>
      </c>
    </row>
    <row r="304" spans="1:8">
      <c r="A304">
        <v>104617</v>
      </c>
      <c r="B304">
        <v>1051794</v>
      </c>
      <c r="C304">
        <v>3</v>
      </c>
      <c r="D304" t="s">
        <v>1695</v>
      </c>
      <c r="E304">
        <v>950</v>
      </c>
      <c r="F304" t="s">
        <v>47</v>
      </c>
      <c r="G304" t="s">
        <v>41</v>
      </c>
    </row>
    <row r="305" spans="1:8">
      <c r="A305">
        <v>105651</v>
      </c>
      <c r="B305">
        <v>1052314</v>
      </c>
      <c r="C305">
        <v>1</v>
      </c>
      <c r="D305" t="s">
        <v>1696</v>
      </c>
      <c r="E305">
        <v>501</v>
      </c>
      <c r="F305" t="s">
        <v>41</v>
      </c>
      <c r="G305" t="s">
        <v>41</v>
      </c>
    </row>
    <row r="306" spans="1:8">
      <c r="A306">
        <v>106410</v>
      </c>
      <c r="B306">
        <v>1052682</v>
      </c>
      <c r="C306">
        <v>1</v>
      </c>
      <c r="D306" t="s">
        <v>1695</v>
      </c>
      <c r="E306">
        <v>2402</v>
      </c>
      <c r="F306" t="s">
        <v>41</v>
      </c>
      <c r="G306" t="s">
        <v>37</v>
      </c>
      <c r="H306">
        <v>10121</v>
      </c>
    </row>
    <row r="307" spans="1:8">
      <c r="A307">
        <v>106411</v>
      </c>
      <c r="B307">
        <v>1052682</v>
      </c>
      <c r="C307">
        <v>2</v>
      </c>
      <c r="D307" t="s">
        <v>1697</v>
      </c>
      <c r="E307">
        <v>1201</v>
      </c>
      <c r="F307" t="s">
        <v>41</v>
      </c>
      <c r="G307" t="s">
        <v>41</v>
      </c>
    </row>
    <row r="308" spans="1:8">
      <c r="A308">
        <v>108252</v>
      </c>
      <c r="B308">
        <v>1053583</v>
      </c>
      <c r="C308">
        <v>1</v>
      </c>
      <c r="D308" t="s">
        <v>1695</v>
      </c>
      <c r="E308">
        <v>2429</v>
      </c>
      <c r="F308" t="s">
        <v>41</v>
      </c>
      <c r="G308" t="s">
        <v>41</v>
      </c>
    </row>
    <row r="309" spans="1:8">
      <c r="A309">
        <v>108912</v>
      </c>
      <c r="B309">
        <v>1053912</v>
      </c>
      <c r="C309">
        <v>1</v>
      </c>
      <c r="D309" t="s">
        <v>1695</v>
      </c>
      <c r="E309">
        <v>1131</v>
      </c>
      <c r="F309" t="s">
        <v>41</v>
      </c>
      <c r="G309" t="s">
        <v>41</v>
      </c>
    </row>
    <row r="310" spans="1:8">
      <c r="A310">
        <v>108913</v>
      </c>
      <c r="B310">
        <v>1053912</v>
      </c>
      <c r="C310">
        <v>2</v>
      </c>
      <c r="D310" t="s">
        <v>1695</v>
      </c>
      <c r="E310">
        <v>1131</v>
      </c>
      <c r="F310" t="s">
        <v>41</v>
      </c>
      <c r="G310" t="s">
        <v>41</v>
      </c>
    </row>
    <row r="311" spans="1:8">
      <c r="A311">
        <v>108914</v>
      </c>
      <c r="B311">
        <v>1053912</v>
      </c>
      <c r="C311">
        <v>3</v>
      </c>
      <c r="D311" t="s">
        <v>1695</v>
      </c>
      <c r="E311">
        <v>1131</v>
      </c>
      <c r="F311" t="s">
        <v>41</v>
      </c>
      <c r="G311" t="s">
        <v>41</v>
      </c>
    </row>
    <row r="312" spans="1:8">
      <c r="A312">
        <v>108915</v>
      </c>
      <c r="B312">
        <v>1053912</v>
      </c>
      <c r="C312">
        <v>4</v>
      </c>
      <c r="D312" t="s">
        <v>1696</v>
      </c>
      <c r="E312">
        <v>679</v>
      </c>
      <c r="F312" t="s">
        <v>41</v>
      </c>
      <c r="G312" t="s">
        <v>41</v>
      </c>
    </row>
    <row r="313" spans="1:8">
      <c r="A313">
        <v>108916</v>
      </c>
      <c r="B313">
        <v>1053912</v>
      </c>
      <c r="C313">
        <v>5</v>
      </c>
      <c r="D313" t="s">
        <v>1695</v>
      </c>
      <c r="E313">
        <v>1131</v>
      </c>
      <c r="F313" t="s">
        <v>41</v>
      </c>
      <c r="G313" t="s">
        <v>41</v>
      </c>
    </row>
    <row r="314" spans="1:8">
      <c r="A314">
        <v>108917</v>
      </c>
      <c r="B314">
        <v>1053912</v>
      </c>
      <c r="C314">
        <v>6</v>
      </c>
      <c r="D314" t="s">
        <v>1695</v>
      </c>
      <c r="E314">
        <v>1131</v>
      </c>
      <c r="F314" t="s">
        <v>41</v>
      </c>
      <c r="G314" t="s">
        <v>41</v>
      </c>
    </row>
    <row r="315" spans="1:8">
      <c r="A315">
        <v>109847</v>
      </c>
      <c r="B315">
        <v>1054382</v>
      </c>
      <c r="C315">
        <v>1</v>
      </c>
      <c r="D315" t="s">
        <v>1695</v>
      </c>
      <c r="E315">
        <v>2211</v>
      </c>
      <c r="F315" t="s">
        <v>41</v>
      </c>
      <c r="G315" t="s">
        <v>37</v>
      </c>
      <c r="H315">
        <v>10126</v>
      </c>
    </row>
    <row r="316" spans="1:8">
      <c r="A316">
        <v>109848</v>
      </c>
      <c r="B316">
        <v>1054382</v>
      </c>
      <c r="C316">
        <v>2</v>
      </c>
      <c r="D316" t="s">
        <v>1695</v>
      </c>
      <c r="E316">
        <v>2211</v>
      </c>
      <c r="F316" t="s">
        <v>41</v>
      </c>
      <c r="G316" t="s">
        <v>37</v>
      </c>
      <c r="H316">
        <v>10126</v>
      </c>
    </row>
    <row r="317" spans="1:8">
      <c r="A317">
        <v>110887</v>
      </c>
      <c r="B317">
        <v>1054902</v>
      </c>
      <c r="C317">
        <v>1</v>
      </c>
      <c r="D317" t="s">
        <v>1695</v>
      </c>
      <c r="E317">
        <v>3520</v>
      </c>
      <c r="F317" t="s">
        <v>41</v>
      </c>
      <c r="G317" t="s">
        <v>41</v>
      </c>
    </row>
    <row r="318" spans="1:8">
      <c r="A318">
        <v>113267</v>
      </c>
      <c r="B318">
        <v>1056099</v>
      </c>
      <c r="C318">
        <v>1</v>
      </c>
      <c r="D318" t="s">
        <v>1695</v>
      </c>
      <c r="E318">
        <v>2429</v>
      </c>
      <c r="F318" t="s">
        <v>41</v>
      </c>
      <c r="G318" t="s">
        <v>37</v>
      </c>
      <c r="H318">
        <v>15200</v>
      </c>
    </row>
    <row r="319" spans="1:8">
      <c r="A319">
        <v>113268</v>
      </c>
      <c r="B319">
        <v>1056099</v>
      </c>
      <c r="C319">
        <v>2</v>
      </c>
      <c r="D319" t="s">
        <v>1695</v>
      </c>
      <c r="E319">
        <v>2429</v>
      </c>
      <c r="F319" t="s">
        <v>41</v>
      </c>
      <c r="G319" t="s">
        <v>37</v>
      </c>
      <c r="H319">
        <v>15200</v>
      </c>
    </row>
    <row r="320" spans="1:8">
      <c r="A320">
        <v>113812</v>
      </c>
      <c r="B320">
        <v>1056380</v>
      </c>
      <c r="C320">
        <v>1</v>
      </c>
      <c r="D320" t="s">
        <v>1696</v>
      </c>
      <c r="E320">
        <v>605</v>
      </c>
      <c r="F320" t="s">
        <v>41</v>
      </c>
      <c r="G320" t="s">
        <v>37</v>
      </c>
      <c r="H320">
        <v>10477</v>
      </c>
    </row>
    <row r="321" spans="1:8">
      <c r="A321">
        <v>113813</v>
      </c>
      <c r="B321">
        <v>1056380</v>
      </c>
      <c r="C321">
        <v>2</v>
      </c>
      <c r="D321" t="s">
        <v>1695</v>
      </c>
      <c r="E321">
        <v>1008</v>
      </c>
      <c r="F321" t="s">
        <v>41</v>
      </c>
      <c r="G321" t="s">
        <v>37</v>
      </c>
      <c r="H321">
        <v>10477</v>
      </c>
    </row>
    <row r="322" spans="1:8">
      <c r="A322">
        <v>113814</v>
      </c>
      <c r="B322">
        <v>1056380</v>
      </c>
      <c r="C322">
        <v>3</v>
      </c>
      <c r="D322" t="s">
        <v>1695</v>
      </c>
      <c r="E322">
        <v>1008</v>
      </c>
      <c r="F322" t="s">
        <v>41</v>
      </c>
      <c r="G322" t="s">
        <v>37</v>
      </c>
      <c r="H322">
        <v>10477</v>
      </c>
    </row>
    <row r="323" spans="1:8">
      <c r="A323">
        <v>113815</v>
      </c>
      <c r="B323">
        <v>1056380</v>
      </c>
      <c r="C323">
        <v>4</v>
      </c>
      <c r="D323" t="s">
        <v>1696</v>
      </c>
      <c r="E323">
        <v>605</v>
      </c>
      <c r="F323" t="s">
        <v>41</v>
      </c>
      <c r="G323" t="s">
        <v>37</v>
      </c>
      <c r="H323">
        <v>10477</v>
      </c>
    </row>
    <row r="324" spans="1:8">
      <c r="A324">
        <v>114383</v>
      </c>
      <c r="B324">
        <v>1056639</v>
      </c>
      <c r="C324">
        <v>1</v>
      </c>
      <c r="D324" t="s">
        <v>1695</v>
      </c>
      <c r="E324">
        <v>870</v>
      </c>
      <c r="F324" t="s">
        <v>41</v>
      </c>
      <c r="G324" t="s">
        <v>41</v>
      </c>
    </row>
    <row r="325" spans="1:8">
      <c r="A325">
        <v>115458</v>
      </c>
      <c r="B325">
        <v>1057195</v>
      </c>
      <c r="C325">
        <v>1</v>
      </c>
      <c r="D325" t="s">
        <v>1695</v>
      </c>
      <c r="E325">
        <v>2402</v>
      </c>
      <c r="F325" t="s">
        <v>49</v>
      </c>
      <c r="G325" t="s">
        <v>49</v>
      </c>
      <c r="H325">
        <v>10185</v>
      </c>
    </row>
    <row r="326" spans="1:8">
      <c r="A326">
        <v>115459</v>
      </c>
      <c r="B326">
        <v>1057195</v>
      </c>
      <c r="C326">
        <v>2</v>
      </c>
      <c r="D326" t="s">
        <v>1695</v>
      </c>
      <c r="E326">
        <v>2402</v>
      </c>
      <c r="F326" t="s">
        <v>49</v>
      </c>
      <c r="G326" t="s">
        <v>49</v>
      </c>
      <c r="H326">
        <v>10185</v>
      </c>
    </row>
    <row r="327" spans="1:8">
      <c r="A327">
        <v>115965</v>
      </c>
      <c r="B327">
        <v>1057459</v>
      </c>
      <c r="C327">
        <v>1</v>
      </c>
      <c r="D327" t="s">
        <v>1695</v>
      </c>
      <c r="E327">
        <v>1183</v>
      </c>
      <c r="F327" t="s">
        <v>41</v>
      </c>
      <c r="G327" t="s">
        <v>41</v>
      </c>
    </row>
    <row r="328" spans="1:8">
      <c r="A328">
        <v>116691</v>
      </c>
      <c r="B328">
        <v>1057808</v>
      </c>
      <c r="C328">
        <v>1</v>
      </c>
      <c r="D328" t="s">
        <v>1695</v>
      </c>
      <c r="E328">
        <v>834</v>
      </c>
      <c r="F328" t="s">
        <v>41</v>
      </c>
      <c r="G328" t="s">
        <v>41</v>
      </c>
    </row>
    <row r="329" spans="1:8">
      <c r="A329">
        <v>117125</v>
      </c>
      <c r="B329">
        <v>1058027</v>
      </c>
      <c r="C329">
        <v>1</v>
      </c>
      <c r="D329" t="s">
        <v>1695</v>
      </c>
      <c r="E329">
        <v>1731</v>
      </c>
      <c r="F329" t="s">
        <v>47</v>
      </c>
      <c r="G329" t="s">
        <v>37</v>
      </c>
      <c r="H329">
        <v>12095</v>
      </c>
    </row>
    <row r="330" spans="1:8">
      <c r="A330">
        <v>117126</v>
      </c>
      <c r="B330">
        <v>1058027</v>
      </c>
      <c r="C330">
        <v>2</v>
      </c>
      <c r="D330" t="s">
        <v>1695</v>
      </c>
      <c r="E330">
        <v>1731</v>
      </c>
      <c r="F330" t="s">
        <v>47</v>
      </c>
      <c r="G330" t="s">
        <v>37</v>
      </c>
      <c r="H330">
        <v>12095</v>
      </c>
    </row>
    <row r="331" spans="1:8">
      <c r="A331">
        <v>117127</v>
      </c>
      <c r="B331">
        <v>1058027</v>
      </c>
      <c r="C331">
        <v>3</v>
      </c>
      <c r="D331" t="s">
        <v>1696</v>
      </c>
      <c r="E331">
        <v>1039</v>
      </c>
      <c r="F331" t="s">
        <v>47</v>
      </c>
      <c r="G331" t="s">
        <v>37</v>
      </c>
      <c r="H331">
        <v>12095</v>
      </c>
    </row>
    <row r="332" spans="1:8">
      <c r="A332">
        <v>117689</v>
      </c>
      <c r="B332">
        <v>1058296</v>
      </c>
      <c r="C332">
        <v>1</v>
      </c>
      <c r="D332" t="s">
        <v>1695</v>
      </c>
      <c r="E332">
        <v>753</v>
      </c>
      <c r="F332" t="s">
        <v>41</v>
      </c>
      <c r="G332" t="s">
        <v>41</v>
      </c>
    </row>
    <row r="333" spans="1:8">
      <c r="A333">
        <v>118896</v>
      </c>
      <c r="B333">
        <v>1058903</v>
      </c>
      <c r="C333">
        <v>1</v>
      </c>
      <c r="D333" t="s">
        <v>1695</v>
      </c>
      <c r="E333">
        <v>916</v>
      </c>
      <c r="F333" t="s">
        <v>41</v>
      </c>
      <c r="G333" t="s">
        <v>41</v>
      </c>
    </row>
    <row r="334" spans="1:8">
      <c r="A334">
        <v>118897</v>
      </c>
      <c r="B334">
        <v>1058903</v>
      </c>
      <c r="C334">
        <v>2</v>
      </c>
      <c r="D334" t="s">
        <v>1696</v>
      </c>
      <c r="E334">
        <v>549</v>
      </c>
      <c r="F334" t="s">
        <v>41</v>
      </c>
      <c r="G334" t="s">
        <v>41</v>
      </c>
    </row>
    <row r="335" spans="1:8">
      <c r="A335">
        <v>119496</v>
      </c>
      <c r="B335">
        <v>1059208</v>
      </c>
      <c r="C335">
        <v>1</v>
      </c>
      <c r="D335" t="s">
        <v>1695</v>
      </c>
      <c r="E335">
        <v>1731</v>
      </c>
      <c r="F335" t="s">
        <v>41</v>
      </c>
      <c r="G335" t="s">
        <v>41</v>
      </c>
    </row>
    <row r="336" spans="1:8">
      <c r="A336">
        <v>120712</v>
      </c>
      <c r="B336">
        <v>1059807</v>
      </c>
      <c r="C336">
        <v>1</v>
      </c>
      <c r="D336" t="s">
        <v>1695</v>
      </c>
      <c r="E336">
        <v>2402</v>
      </c>
      <c r="F336" t="s">
        <v>41</v>
      </c>
      <c r="G336" t="s">
        <v>41</v>
      </c>
    </row>
    <row r="337" spans="1:8">
      <c r="A337">
        <v>120713</v>
      </c>
      <c r="B337">
        <v>1059807</v>
      </c>
      <c r="C337">
        <v>2</v>
      </c>
      <c r="D337" t="s">
        <v>1695</v>
      </c>
      <c r="E337">
        <v>2402</v>
      </c>
      <c r="F337" t="s">
        <v>41</v>
      </c>
      <c r="G337" t="s">
        <v>41</v>
      </c>
    </row>
    <row r="338" spans="1:8">
      <c r="A338">
        <v>120714</v>
      </c>
      <c r="B338">
        <v>1059807</v>
      </c>
      <c r="C338">
        <v>3</v>
      </c>
      <c r="D338" t="s">
        <v>1695</v>
      </c>
      <c r="E338">
        <v>2402</v>
      </c>
      <c r="F338" t="s">
        <v>41</v>
      </c>
      <c r="G338" t="s">
        <v>41</v>
      </c>
    </row>
    <row r="339" spans="1:8">
      <c r="A339">
        <v>120715</v>
      </c>
      <c r="B339">
        <v>1059807</v>
      </c>
      <c r="C339">
        <v>4</v>
      </c>
      <c r="D339" t="s">
        <v>1695</v>
      </c>
      <c r="E339">
        <v>2402</v>
      </c>
      <c r="F339" t="s">
        <v>41</v>
      </c>
      <c r="G339" t="s">
        <v>41</v>
      </c>
    </row>
    <row r="340" spans="1:8">
      <c r="A340">
        <v>120716</v>
      </c>
      <c r="B340">
        <v>1059807</v>
      </c>
      <c r="C340">
        <v>5</v>
      </c>
      <c r="D340" t="s">
        <v>1696</v>
      </c>
      <c r="E340">
        <v>1441</v>
      </c>
      <c r="F340" t="s">
        <v>41</v>
      </c>
      <c r="G340" t="s">
        <v>41</v>
      </c>
    </row>
    <row r="341" spans="1:8">
      <c r="A341">
        <v>121483</v>
      </c>
      <c r="B341">
        <v>1060211</v>
      </c>
      <c r="C341">
        <v>1</v>
      </c>
      <c r="D341" t="s">
        <v>1695</v>
      </c>
      <c r="E341">
        <v>834</v>
      </c>
      <c r="F341" t="s">
        <v>49</v>
      </c>
      <c r="G341" t="s">
        <v>37</v>
      </c>
      <c r="H341">
        <v>11174</v>
      </c>
    </row>
    <row r="342" spans="1:8">
      <c r="A342">
        <v>121484</v>
      </c>
      <c r="B342">
        <v>1060211</v>
      </c>
      <c r="C342">
        <v>2</v>
      </c>
      <c r="D342" t="s">
        <v>1695</v>
      </c>
      <c r="E342">
        <v>834</v>
      </c>
      <c r="F342" t="s">
        <v>49</v>
      </c>
      <c r="G342" t="s">
        <v>37</v>
      </c>
      <c r="H342">
        <v>11174</v>
      </c>
    </row>
    <row r="343" spans="1:8">
      <c r="A343">
        <v>121746</v>
      </c>
      <c r="B343">
        <v>1060349</v>
      </c>
      <c r="C343">
        <v>1</v>
      </c>
      <c r="D343" t="s">
        <v>1695</v>
      </c>
      <c r="E343">
        <v>2402</v>
      </c>
      <c r="F343" t="s">
        <v>41</v>
      </c>
      <c r="G343" t="s">
        <v>41</v>
      </c>
    </row>
    <row r="344" spans="1:8">
      <c r="A344">
        <v>121747</v>
      </c>
      <c r="B344">
        <v>1060349</v>
      </c>
      <c r="C344">
        <v>2</v>
      </c>
      <c r="D344" t="s">
        <v>1696</v>
      </c>
      <c r="E344">
        <v>1441</v>
      </c>
      <c r="F344" t="s">
        <v>41</v>
      </c>
      <c r="G344" t="s">
        <v>41</v>
      </c>
    </row>
    <row r="345" spans="1:8">
      <c r="A345">
        <v>122935</v>
      </c>
      <c r="B345">
        <v>1060922</v>
      </c>
      <c r="C345">
        <v>1</v>
      </c>
      <c r="D345" t="s">
        <v>1695</v>
      </c>
      <c r="E345">
        <v>4342</v>
      </c>
      <c r="F345" t="s">
        <v>41</v>
      </c>
      <c r="G345" t="s">
        <v>41</v>
      </c>
    </row>
    <row r="346" spans="1:8">
      <c r="A346">
        <v>123814</v>
      </c>
      <c r="B346">
        <v>1061363</v>
      </c>
      <c r="C346">
        <v>1</v>
      </c>
      <c r="D346" t="s">
        <v>1696</v>
      </c>
      <c r="E346">
        <v>349</v>
      </c>
      <c r="F346" t="s">
        <v>41</v>
      </c>
      <c r="G346" t="s">
        <v>41</v>
      </c>
    </row>
    <row r="347" spans="1:8">
      <c r="A347">
        <v>125305</v>
      </c>
      <c r="B347">
        <v>1062055</v>
      </c>
      <c r="C347">
        <v>1</v>
      </c>
      <c r="D347" t="s">
        <v>1695</v>
      </c>
      <c r="E347">
        <v>1379</v>
      </c>
      <c r="F347" t="s">
        <v>41</v>
      </c>
      <c r="G347" t="s">
        <v>37</v>
      </c>
      <c r="H347">
        <v>13048</v>
      </c>
    </row>
    <row r="348" spans="1:8">
      <c r="A348">
        <v>125334</v>
      </c>
      <c r="B348">
        <v>1062073</v>
      </c>
      <c r="C348">
        <v>1</v>
      </c>
      <c r="D348" t="s">
        <v>1695</v>
      </c>
      <c r="E348">
        <v>753</v>
      </c>
      <c r="F348" t="s">
        <v>41</v>
      </c>
      <c r="G348" t="s">
        <v>41</v>
      </c>
    </row>
    <row r="349" spans="1:8">
      <c r="A349">
        <v>125335</v>
      </c>
      <c r="B349">
        <v>1062073</v>
      </c>
      <c r="C349">
        <v>2</v>
      </c>
      <c r="D349" t="s">
        <v>1697</v>
      </c>
      <c r="E349">
        <v>376</v>
      </c>
      <c r="F349" t="s">
        <v>41</v>
      </c>
      <c r="G349" t="s">
        <v>41</v>
      </c>
    </row>
    <row r="350" spans="1:8">
      <c r="A350">
        <v>125336</v>
      </c>
      <c r="B350">
        <v>1062073</v>
      </c>
      <c r="C350">
        <v>3</v>
      </c>
      <c r="D350" t="s">
        <v>1695</v>
      </c>
      <c r="E350">
        <v>753</v>
      </c>
      <c r="F350" t="s">
        <v>41</v>
      </c>
      <c r="G350" t="s">
        <v>41</v>
      </c>
    </row>
    <row r="351" spans="1:8">
      <c r="A351">
        <v>125337</v>
      </c>
      <c r="B351">
        <v>1062073</v>
      </c>
      <c r="C351">
        <v>4</v>
      </c>
      <c r="D351" t="s">
        <v>1695</v>
      </c>
      <c r="E351">
        <v>753</v>
      </c>
      <c r="F351" t="s">
        <v>41</v>
      </c>
      <c r="G351" t="s">
        <v>41</v>
      </c>
    </row>
    <row r="352" spans="1:8">
      <c r="A352">
        <v>125528</v>
      </c>
      <c r="B352">
        <v>1062167</v>
      </c>
      <c r="C352">
        <v>1</v>
      </c>
      <c r="D352" t="s">
        <v>1695</v>
      </c>
      <c r="E352">
        <v>790</v>
      </c>
      <c r="F352" t="s">
        <v>41</v>
      </c>
      <c r="G352" t="s">
        <v>41</v>
      </c>
    </row>
    <row r="353" spans="1:7">
      <c r="A353">
        <v>125552</v>
      </c>
      <c r="B353">
        <v>1062180</v>
      </c>
      <c r="C353">
        <v>1</v>
      </c>
      <c r="D353" t="s">
        <v>1695</v>
      </c>
      <c r="E353">
        <v>906</v>
      </c>
      <c r="F353" t="s">
        <v>41</v>
      </c>
      <c r="G353" t="s">
        <v>41</v>
      </c>
    </row>
    <row r="354" spans="1:7">
      <c r="A354">
        <v>125703</v>
      </c>
      <c r="B354">
        <v>1062244</v>
      </c>
      <c r="C354">
        <v>1</v>
      </c>
      <c r="D354" t="s">
        <v>1695</v>
      </c>
      <c r="E354">
        <v>654</v>
      </c>
      <c r="F354" t="s">
        <v>41</v>
      </c>
      <c r="G354" t="s">
        <v>41</v>
      </c>
    </row>
    <row r="355" spans="1:7">
      <c r="A355">
        <v>125879</v>
      </c>
      <c r="B355">
        <v>1062319</v>
      </c>
      <c r="C355">
        <v>1</v>
      </c>
      <c r="D355" t="s">
        <v>1695</v>
      </c>
      <c r="E355">
        <v>4740</v>
      </c>
      <c r="F355" t="s">
        <v>41</v>
      </c>
      <c r="G355" t="s">
        <v>41</v>
      </c>
    </row>
    <row r="356" spans="1:7">
      <c r="A356">
        <v>125880</v>
      </c>
      <c r="B356">
        <v>1062319</v>
      </c>
      <c r="C356">
        <v>2</v>
      </c>
      <c r="D356" t="s">
        <v>1695</v>
      </c>
      <c r="E356">
        <v>4740</v>
      </c>
      <c r="F356" t="s">
        <v>41</v>
      </c>
      <c r="G356" t="s">
        <v>41</v>
      </c>
    </row>
    <row r="357" spans="1:7">
      <c r="A357">
        <v>125881</v>
      </c>
      <c r="B357">
        <v>1062319</v>
      </c>
      <c r="C357">
        <v>3</v>
      </c>
      <c r="D357" t="s">
        <v>1695</v>
      </c>
      <c r="E357">
        <v>4740</v>
      </c>
      <c r="F357" t="s">
        <v>41</v>
      </c>
      <c r="G357" t="s">
        <v>41</v>
      </c>
    </row>
    <row r="358" spans="1:7">
      <c r="A358">
        <v>125882</v>
      </c>
      <c r="B358">
        <v>1062319</v>
      </c>
      <c r="C358">
        <v>4</v>
      </c>
      <c r="D358" t="s">
        <v>1695</v>
      </c>
      <c r="E358">
        <v>4740</v>
      </c>
      <c r="F358" t="s">
        <v>41</v>
      </c>
      <c r="G358" t="s">
        <v>41</v>
      </c>
    </row>
    <row r="359" spans="1:7">
      <c r="A359">
        <v>125883</v>
      </c>
      <c r="B359">
        <v>1062319</v>
      </c>
      <c r="C359">
        <v>5</v>
      </c>
      <c r="D359" t="s">
        <v>1695</v>
      </c>
      <c r="E359">
        <v>4740</v>
      </c>
      <c r="F359" t="s">
        <v>41</v>
      </c>
      <c r="G359" t="s">
        <v>41</v>
      </c>
    </row>
    <row r="360" spans="1:7">
      <c r="A360">
        <v>125884</v>
      </c>
      <c r="B360">
        <v>1062319</v>
      </c>
      <c r="C360">
        <v>6</v>
      </c>
      <c r="D360" t="s">
        <v>1695</v>
      </c>
      <c r="E360">
        <v>4740</v>
      </c>
      <c r="F360" t="s">
        <v>41</v>
      </c>
      <c r="G360" t="s">
        <v>41</v>
      </c>
    </row>
    <row r="361" spans="1:7">
      <c r="A361">
        <v>126793</v>
      </c>
      <c r="B361">
        <v>1062784</v>
      </c>
      <c r="C361">
        <v>1</v>
      </c>
      <c r="D361" t="s">
        <v>1695</v>
      </c>
      <c r="E361">
        <v>544</v>
      </c>
      <c r="F361" t="s">
        <v>41</v>
      </c>
      <c r="G361" t="s">
        <v>41</v>
      </c>
    </row>
    <row r="362" spans="1:7">
      <c r="A362">
        <v>126845</v>
      </c>
      <c r="B362">
        <v>1062812</v>
      </c>
      <c r="C362">
        <v>1</v>
      </c>
      <c r="D362" t="s">
        <v>1695</v>
      </c>
      <c r="E362">
        <v>854</v>
      </c>
      <c r="F362" t="s">
        <v>47</v>
      </c>
      <c r="G362" t="s">
        <v>47</v>
      </c>
    </row>
    <row r="363" spans="1:7">
      <c r="A363">
        <v>127797</v>
      </c>
      <c r="B363">
        <v>1063280</v>
      </c>
      <c r="C363">
        <v>1</v>
      </c>
      <c r="D363" t="s">
        <v>1695</v>
      </c>
      <c r="E363">
        <v>2211</v>
      </c>
      <c r="F363" t="s">
        <v>41</v>
      </c>
      <c r="G363" t="s">
        <v>41</v>
      </c>
    </row>
    <row r="364" spans="1:7">
      <c r="A364">
        <v>128632</v>
      </c>
      <c r="B364">
        <v>1063693</v>
      </c>
      <c r="C364">
        <v>1</v>
      </c>
      <c r="D364" t="s">
        <v>1695</v>
      </c>
      <c r="E364">
        <v>1008</v>
      </c>
      <c r="F364" t="s">
        <v>41</v>
      </c>
      <c r="G364" t="s">
        <v>41</v>
      </c>
    </row>
    <row r="365" spans="1:7">
      <c r="A365">
        <v>129997</v>
      </c>
      <c r="B365">
        <v>1064376</v>
      </c>
      <c r="C365">
        <v>1</v>
      </c>
      <c r="D365" t="s">
        <v>1695</v>
      </c>
      <c r="E365">
        <v>1390</v>
      </c>
      <c r="F365" t="s">
        <v>41</v>
      </c>
      <c r="G365" t="s">
        <v>41</v>
      </c>
    </row>
    <row r="366" spans="1:7">
      <c r="A366">
        <v>129998</v>
      </c>
      <c r="B366">
        <v>1064376</v>
      </c>
      <c r="C366">
        <v>2</v>
      </c>
      <c r="D366" t="s">
        <v>1695</v>
      </c>
      <c r="E366">
        <v>1390</v>
      </c>
      <c r="F366" t="s">
        <v>41</v>
      </c>
      <c r="G366" t="s">
        <v>41</v>
      </c>
    </row>
    <row r="367" spans="1:7">
      <c r="A367">
        <v>131108</v>
      </c>
      <c r="B367">
        <v>1064925</v>
      </c>
      <c r="C367">
        <v>1</v>
      </c>
      <c r="D367" t="s">
        <v>1695</v>
      </c>
      <c r="E367">
        <v>607</v>
      </c>
      <c r="F367" t="s">
        <v>41</v>
      </c>
      <c r="G367" t="s">
        <v>41</v>
      </c>
    </row>
    <row r="368" spans="1:7">
      <c r="A368">
        <v>131857</v>
      </c>
      <c r="B368">
        <v>1065300</v>
      </c>
      <c r="C368">
        <v>1</v>
      </c>
      <c r="D368" t="s">
        <v>1695</v>
      </c>
      <c r="E368">
        <v>1390</v>
      </c>
      <c r="F368" t="s">
        <v>41</v>
      </c>
      <c r="G368" t="s">
        <v>41</v>
      </c>
    </row>
    <row r="369" spans="1:7">
      <c r="A369">
        <v>132365</v>
      </c>
      <c r="B369">
        <v>1065560</v>
      </c>
      <c r="C369">
        <v>1</v>
      </c>
      <c r="D369" t="s">
        <v>1695</v>
      </c>
      <c r="E369">
        <v>1854</v>
      </c>
      <c r="F369" t="s">
        <v>41</v>
      </c>
      <c r="G369" t="s">
        <v>41</v>
      </c>
    </row>
    <row r="370" spans="1:7">
      <c r="A370">
        <v>133409</v>
      </c>
      <c r="B370">
        <v>1066087</v>
      </c>
      <c r="C370">
        <v>1</v>
      </c>
      <c r="D370" t="s">
        <v>1696</v>
      </c>
      <c r="E370">
        <v>393</v>
      </c>
      <c r="F370" t="s">
        <v>41</v>
      </c>
      <c r="G370" t="s">
        <v>41</v>
      </c>
    </row>
    <row r="371" spans="1:7">
      <c r="A371">
        <v>133410</v>
      </c>
      <c r="B371">
        <v>1066087</v>
      </c>
      <c r="C371">
        <v>2</v>
      </c>
      <c r="D371" t="s">
        <v>1695</v>
      </c>
      <c r="E371">
        <v>654</v>
      </c>
      <c r="F371" t="s">
        <v>41</v>
      </c>
      <c r="G371" t="s">
        <v>41</v>
      </c>
    </row>
    <row r="372" spans="1:7">
      <c r="A372">
        <v>133411</v>
      </c>
      <c r="B372">
        <v>1066087</v>
      </c>
      <c r="C372">
        <v>3</v>
      </c>
      <c r="D372" t="s">
        <v>1695</v>
      </c>
      <c r="E372">
        <v>654</v>
      </c>
      <c r="F372" t="s">
        <v>41</v>
      </c>
      <c r="G372" t="s">
        <v>41</v>
      </c>
    </row>
    <row r="373" spans="1:7">
      <c r="A373">
        <v>133412</v>
      </c>
      <c r="B373">
        <v>1066087</v>
      </c>
      <c r="C373">
        <v>4</v>
      </c>
      <c r="D373" t="s">
        <v>1695</v>
      </c>
      <c r="E373">
        <v>654</v>
      </c>
      <c r="F373" t="s">
        <v>41</v>
      </c>
      <c r="G373" t="s">
        <v>41</v>
      </c>
    </row>
    <row r="374" spans="1:7">
      <c r="A374">
        <v>133613</v>
      </c>
      <c r="B374">
        <v>1066182</v>
      </c>
      <c r="C374">
        <v>1</v>
      </c>
      <c r="D374" t="s">
        <v>1695</v>
      </c>
      <c r="E374">
        <v>834</v>
      </c>
      <c r="F374" t="s">
        <v>41</v>
      </c>
      <c r="G374" t="s">
        <v>41</v>
      </c>
    </row>
    <row r="375" spans="1:7">
      <c r="A375">
        <v>133614</v>
      </c>
      <c r="B375">
        <v>1066182</v>
      </c>
      <c r="C375">
        <v>2</v>
      </c>
      <c r="D375" t="s">
        <v>1697</v>
      </c>
      <c r="E375">
        <v>417</v>
      </c>
      <c r="F375" t="s">
        <v>41</v>
      </c>
      <c r="G375" t="s">
        <v>41</v>
      </c>
    </row>
    <row r="376" spans="1:7">
      <c r="A376">
        <v>133624</v>
      </c>
      <c r="B376">
        <v>1066186</v>
      </c>
      <c r="C376">
        <v>1</v>
      </c>
      <c r="D376" t="s">
        <v>1695</v>
      </c>
      <c r="E376">
        <v>2784</v>
      </c>
      <c r="F376" t="s">
        <v>41</v>
      </c>
      <c r="G376" t="s">
        <v>41</v>
      </c>
    </row>
    <row r="377" spans="1:7">
      <c r="A377">
        <v>133625</v>
      </c>
      <c r="B377">
        <v>1066186</v>
      </c>
      <c r="C377">
        <v>2</v>
      </c>
      <c r="D377" t="s">
        <v>1695</v>
      </c>
      <c r="E377">
        <v>2784</v>
      </c>
      <c r="F377" t="s">
        <v>41</v>
      </c>
      <c r="G377" t="s">
        <v>41</v>
      </c>
    </row>
    <row r="378" spans="1:7">
      <c r="A378">
        <v>133626</v>
      </c>
      <c r="B378">
        <v>1066186</v>
      </c>
      <c r="C378">
        <v>3</v>
      </c>
      <c r="D378" t="s">
        <v>1695</v>
      </c>
      <c r="E378">
        <v>2784</v>
      </c>
      <c r="F378" t="s">
        <v>41</v>
      </c>
      <c r="G378" t="s">
        <v>41</v>
      </c>
    </row>
    <row r="379" spans="1:7">
      <c r="A379">
        <v>133627</v>
      </c>
      <c r="B379">
        <v>1066186</v>
      </c>
      <c r="C379">
        <v>4</v>
      </c>
      <c r="D379" t="s">
        <v>1696</v>
      </c>
      <c r="E379">
        <v>1670</v>
      </c>
      <c r="F379" t="s">
        <v>41</v>
      </c>
      <c r="G379" t="s">
        <v>41</v>
      </c>
    </row>
    <row r="380" spans="1:7">
      <c r="A380">
        <v>134102</v>
      </c>
      <c r="B380">
        <v>1066440</v>
      </c>
      <c r="C380">
        <v>1</v>
      </c>
      <c r="D380" t="s">
        <v>1695</v>
      </c>
      <c r="E380">
        <v>1606</v>
      </c>
      <c r="F380" t="s">
        <v>41</v>
      </c>
      <c r="G380" t="s">
        <v>41</v>
      </c>
    </row>
    <row r="381" spans="1:7">
      <c r="A381">
        <v>134530</v>
      </c>
      <c r="B381">
        <v>1066636</v>
      </c>
      <c r="C381">
        <v>1</v>
      </c>
      <c r="D381" t="s">
        <v>1695</v>
      </c>
      <c r="E381">
        <v>4142</v>
      </c>
      <c r="F381" t="s">
        <v>41</v>
      </c>
      <c r="G381" t="s">
        <v>41</v>
      </c>
    </row>
    <row r="382" spans="1:7">
      <c r="A382">
        <v>134531</v>
      </c>
      <c r="B382">
        <v>1066636</v>
      </c>
      <c r="C382">
        <v>2</v>
      </c>
      <c r="D382" t="s">
        <v>1695</v>
      </c>
      <c r="E382">
        <v>4142</v>
      </c>
      <c r="F382" t="s">
        <v>41</v>
      </c>
      <c r="G382" t="s">
        <v>41</v>
      </c>
    </row>
    <row r="383" spans="1:7">
      <c r="A383">
        <v>137105</v>
      </c>
      <c r="B383">
        <v>1067932</v>
      </c>
      <c r="C383">
        <v>1</v>
      </c>
      <c r="D383" t="s">
        <v>1695</v>
      </c>
      <c r="E383">
        <v>1379</v>
      </c>
      <c r="F383" t="s">
        <v>41</v>
      </c>
      <c r="G383" t="s">
        <v>41</v>
      </c>
    </row>
    <row r="384" spans="1:7">
      <c r="A384">
        <v>137106</v>
      </c>
      <c r="B384">
        <v>1067932</v>
      </c>
      <c r="C384">
        <v>2</v>
      </c>
      <c r="D384" t="s">
        <v>1695</v>
      </c>
      <c r="E384">
        <v>1379</v>
      </c>
      <c r="F384" t="s">
        <v>41</v>
      </c>
      <c r="G384" t="s">
        <v>41</v>
      </c>
    </row>
    <row r="385" spans="1:8">
      <c r="A385">
        <v>137565</v>
      </c>
      <c r="B385">
        <v>1068175</v>
      </c>
      <c r="C385">
        <v>1</v>
      </c>
      <c r="D385" t="s">
        <v>1696</v>
      </c>
      <c r="E385">
        <v>173</v>
      </c>
      <c r="F385" t="s">
        <v>41</v>
      </c>
      <c r="G385" t="s">
        <v>41</v>
      </c>
    </row>
    <row r="386" spans="1:8">
      <c r="A386">
        <v>137794</v>
      </c>
      <c r="B386">
        <v>1068289</v>
      </c>
      <c r="C386">
        <v>1</v>
      </c>
      <c r="D386" t="s">
        <v>1695</v>
      </c>
      <c r="E386">
        <v>544</v>
      </c>
      <c r="F386" t="s">
        <v>49</v>
      </c>
      <c r="G386" t="s">
        <v>49</v>
      </c>
      <c r="H386">
        <v>12768</v>
      </c>
    </row>
    <row r="387" spans="1:8">
      <c r="A387">
        <v>137795</v>
      </c>
      <c r="B387">
        <v>1068289</v>
      </c>
      <c r="C387">
        <v>2</v>
      </c>
      <c r="D387" t="s">
        <v>1695</v>
      </c>
      <c r="E387">
        <v>544</v>
      </c>
      <c r="F387" t="s">
        <v>49</v>
      </c>
      <c r="G387" t="s">
        <v>49</v>
      </c>
      <c r="H387">
        <v>12768</v>
      </c>
    </row>
    <row r="388" spans="1:8">
      <c r="A388">
        <v>137796</v>
      </c>
      <c r="B388">
        <v>1068289</v>
      </c>
      <c r="C388">
        <v>3</v>
      </c>
      <c r="D388" t="s">
        <v>1695</v>
      </c>
      <c r="E388">
        <v>544</v>
      </c>
      <c r="F388" t="s">
        <v>49</v>
      </c>
      <c r="G388" t="s">
        <v>49</v>
      </c>
      <c r="H388">
        <v>12768</v>
      </c>
    </row>
    <row r="389" spans="1:8">
      <c r="A389">
        <v>138705</v>
      </c>
      <c r="B389">
        <v>1068745</v>
      </c>
      <c r="C389">
        <v>1</v>
      </c>
      <c r="D389" t="s">
        <v>1695</v>
      </c>
      <c r="E389">
        <v>544</v>
      </c>
      <c r="F389" t="s">
        <v>49</v>
      </c>
      <c r="G389" t="s">
        <v>49</v>
      </c>
      <c r="H389">
        <v>12778</v>
      </c>
    </row>
    <row r="390" spans="1:8">
      <c r="A390">
        <v>138706</v>
      </c>
      <c r="B390">
        <v>1068745</v>
      </c>
      <c r="C390">
        <v>2</v>
      </c>
      <c r="D390" t="s">
        <v>1695</v>
      </c>
      <c r="E390">
        <v>544</v>
      </c>
      <c r="F390" t="s">
        <v>49</v>
      </c>
      <c r="G390" t="s">
        <v>49</v>
      </c>
      <c r="H390">
        <v>12778</v>
      </c>
    </row>
    <row r="391" spans="1:8">
      <c r="A391">
        <v>139243</v>
      </c>
      <c r="B391">
        <v>1069008</v>
      </c>
      <c r="C391">
        <v>1</v>
      </c>
      <c r="D391" t="s">
        <v>1695</v>
      </c>
      <c r="E391">
        <v>544</v>
      </c>
      <c r="F391" t="s">
        <v>49</v>
      </c>
      <c r="G391" t="s">
        <v>49</v>
      </c>
      <c r="H391">
        <v>12862</v>
      </c>
    </row>
    <row r="392" spans="1:8">
      <c r="A392">
        <v>139244</v>
      </c>
      <c r="B392">
        <v>1069008</v>
      </c>
      <c r="C392">
        <v>2</v>
      </c>
      <c r="D392" t="s">
        <v>1695</v>
      </c>
      <c r="E392">
        <v>544</v>
      </c>
      <c r="F392" t="s">
        <v>49</v>
      </c>
      <c r="G392" t="s">
        <v>49</v>
      </c>
      <c r="H392">
        <v>12862</v>
      </c>
    </row>
    <row r="393" spans="1:8">
      <c r="A393">
        <v>139550</v>
      </c>
      <c r="B393">
        <v>1069152</v>
      </c>
      <c r="C393">
        <v>1</v>
      </c>
      <c r="D393" t="s">
        <v>1695</v>
      </c>
      <c r="E393">
        <v>4198</v>
      </c>
      <c r="F393" t="s">
        <v>49</v>
      </c>
      <c r="G393" t="s">
        <v>49</v>
      </c>
      <c r="H393">
        <v>13083</v>
      </c>
    </row>
    <row r="394" spans="1:8">
      <c r="A394">
        <v>141042</v>
      </c>
      <c r="B394">
        <v>1069896</v>
      </c>
      <c r="C394">
        <v>1</v>
      </c>
      <c r="D394" t="s">
        <v>1695</v>
      </c>
      <c r="E394">
        <v>3219</v>
      </c>
      <c r="F394" t="s">
        <v>41</v>
      </c>
      <c r="G394" t="s">
        <v>41</v>
      </c>
    </row>
    <row r="395" spans="1:8">
      <c r="A395">
        <v>141047</v>
      </c>
      <c r="B395">
        <v>1069898</v>
      </c>
      <c r="C395">
        <v>1</v>
      </c>
      <c r="D395" t="s">
        <v>1695</v>
      </c>
      <c r="E395">
        <v>1176</v>
      </c>
      <c r="F395" t="s">
        <v>41</v>
      </c>
      <c r="G395" t="s">
        <v>41</v>
      </c>
    </row>
    <row r="396" spans="1:8">
      <c r="A396">
        <v>141048</v>
      </c>
      <c r="B396">
        <v>1069898</v>
      </c>
      <c r="C396">
        <v>2</v>
      </c>
      <c r="D396" t="s">
        <v>1695</v>
      </c>
      <c r="E396">
        <v>1176</v>
      </c>
      <c r="F396" t="s">
        <v>41</v>
      </c>
      <c r="G396" t="s">
        <v>41</v>
      </c>
    </row>
    <row r="397" spans="1:8">
      <c r="A397">
        <v>141348</v>
      </c>
      <c r="B397">
        <v>1070044</v>
      </c>
      <c r="C397">
        <v>1</v>
      </c>
      <c r="D397" t="s">
        <v>1695</v>
      </c>
      <c r="E397">
        <v>2402</v>
      </c>
      <c r="F397" t="s">
        <v>47</v>
      </c>
      <c r="G397" t="s">
        <v>37</v>
      </c>
      <c r="H397">
        <v>13620</v>
      </c>
    </row>
    <row r="398" spans="1:8">
      <c r="A398">
        <v>141349</v>
      </c>
      <c r="B398">
        <v>1070044</v>
      </c>
      <c r="C398">
        <v>2</v>
      </c>
      <c r="D398" t="s">
        <v>1695</v>
      </c>
      <c r="E398">
        <v>2402</v>
      </c>
      <c r="F398" t="s">
        <v>47</v>
      </c>
      <c r="G398" t="s">
        <v>37</v>
      </c>
      <c r="H398">
        <v>13620</v>
      </c>
    </row>
    <row r="399" spans="1:8">
      <c r="A399">
        <v>141350</v>
      </c>
      <c r="B399">
        <v>1070044</v>
      </c>
      <c r="C399">
        <v>3</v>
      </c>
      <c r="D399" t="s">
        <v>1695</v>
      </c>
      <c r="E399">
        <v>2402</v>
      </c>
      <c r="F399" t="s">
        <v>47</v>
      </c>
      <c r="G399" t="s">
        <v>37</v>
      </c>
      <c r="H399">
        <v>13620</v>
      </c>
    </row>
    <row r="400" spans="1:8">
      <c r="A400">
        <v>141355</v>
      </c>
      <c r="B400">
        <v>1070048</v>
      </c>
      <c r="C400">
        <v>1</v>
      </c>
      <c r="D400" t="s">
        <v>1695</v>
      </c>
      <c r="E400">
        <v>906</v>
      </c>
      <c r="F400" t="s">
        <v>41</v>
      </c>
      <c r="G400" t="s">
        <v>41</v>
      </c>
    </row>
    <row r="401" spans="1:7">
      <c r="A401">
        <v>143425</v>
      </c>
      <c r="B401">
        <v>1071085</v>
      </c>
      <c r="C401">
        <v>1</v>
      </c>
      <c r="D401" t="s">
        <v>1695</v>
      </c>
      <c r="E401">
        <v>2886</v>
      </c>
      <c r="F401" t="s">
        <v>41</v>
      </c>
      <c r="G401" t="s">
        <v>41</v>
      </c>
    </row>
    <row r="402" spans="1:7">
      <c r="A402">
        <v>143426</v>
      </c>
      <c r="B402">
        <v>1071085</v>
      </c>
      <c r="C402">
        <v>2</v>
      </c>
      <c r="D402" t="s">
        <v>1695</v>
      </c>
      <c r="E402">
        <v>2886</v>
      </c>
      <c r="F402" t="s">
        <v>41</v>
      </c>
      <c r="G402" t="s">
        <v>41</v>
      </c>
    </row>
    <row r="403" spans="1:7">
      <c r="A403">
        <v>143427</v>
      </c>
      <c r="B403">
        <v>1071085</v>
      </c>
      <c r="C403">
        <v>3</v>
      </c>
      <c r="D403" t="s">
        <v>1695</v>
      </c>
      <c r="E403">
        <v>2886</v>
      </c>
      <c r="F403" t="s">
        <v>41</v>
      </c>
      <c r="G403" t="s">
        <v>41</v>
      </c>
    </row>
    <row r="404" spans="1:7">
      <c r="A404">
        <v>143428</v>
      </c>
      <c r="B404">
        <v>1071085</v>
      </c>
      <c r="C404">
        <v>4</v>
      </c>
      <c r="D404" t="s">
        <v>1695</v>
      </c>
      <c r="E404">
        <v>2886</v>
      </c>
      <c r="F404" t="s">
        <v>41</v>
      </c>
      <c r="G404" t="s">
        <v>41</v>
      </c>
    </row>
    <row r="405" spans="1:7">
      <c r="A405">
        <v>144180</v>
      </c>
      <c r="B405">
        <v>1071462</v>
      </c>
      <c r="C405">
        <v>1</v>
      </c>
      <c r="D405" t="s">
        <v>1695</v>
      </c>
      <c r="E405">
        <v>906</v>
      </c>
      <c r="F405" t="s">
        <v>41</v>
      </c>
      <c r="G405" t="s">
        <v>41</v>
      </c>
    </row>
    <row r="406" spans="1:7">
      <c r="A406">
        <v>144181</v>
      </c>
      <c r="B406">
        <v>1071462</v>
      </c>
      <c r="C406">
        <v>2</v>
      </c>
      <c r="D406" t="s">
        <v>1695</v>
      </c>
      <c r="E406">
        <v>906</v>
      </c>
      <c r="F406" t="s">
        <v>41</v>
      </c>
      <c r="G406" t="s">
        <v>41</v>
      </c>
    </row>
    <row r="407" spans="1:7">
      <c r="A407">
        <v>144739</v>
      </c>
      <c r="B407">
        <v>1071732</v>
      </c>
      <c r="C407">
        <v>1</v>
      </c>
      <c r="D407" t="s">
        <v>1695</v>
      </c>
      <c r="E407">
        <v>288</v>
      </c>
      <c r="F407" t="s">
        <v>41</v>
      </c>
      <c r="G407" t="s">
        <v>41</v>
      </c>
    </row>
    <row r="408" spans="1:7">
      <c r="A408">
        <v>144740</v>
      </c>
      <c r="B408">
        <v>1071732</v>
      </c>
      <c r="C408">
        <v>2</v>
      </c>
      <c r="D408" t="s">
        <v>1695</v>
      </c>
      <c r="E408">
        <v>288</v>
      </c>
      <c r="F408" t="s">
        <v>41</v>
      </c>
      <c r="G408" t="s">
        <v>41</v>
      </c>
    </row>
    <row r="409" spans="1:7">
      <c r="A409">
        <v>144741</v>
      </c>
      <c r="B409">
        <v>1071732</v>
      </c>
      <c r="C409">
        <v>3</v>
      </c>
      <c r="D409" t="s">
        <v>1695</v>
      </c>
      <c r="E409">
        <v>288</v>
      </c>
      <c r="F409" t="s">
        <v>41</v>
      </c>
      <c r="G409" t="s">
        <v>41</v>
      </c>
    </row>
    <row r="410" spans="1:7">
      <c r="A410">
        <v>144742</v>
      </c>
      <c r="B410">
        <v>1071732</v>
      </c>
      <c r="C410">
        <v>4</v>
      </c>
      <c r="D410" t="s">
        <v>1695</v>
      </c>
      <c r="E410">
        <v>288</v>
      </c>
      <c r="F410" t="s">
        <v>41</v>
      </c>
      <c r="G410" t="s">
        <v>41</v>
      </c>
    </row>
    <row r="411" spans="1:7">
      <c r="A411">
        <v>145159</v>
      </c>
      <c r="B411">
        <v>1071944</v>
      </c>
      <c r="C411">
        <v>1</v>
      </c>
      <c r="D411" t="s">
        <v>1695</v>
      </c>
      <c r="E411">
        <v>1034</v>
      </c>
      <c r="F411" t="s">
        <v>41</v>
      </c>
      <c r="G411" t="s">
        <v>41</v>
      </c>
    </row>
    <row r="412" spans="1:7">
      <c r="A412">
        <v>145160</v>
      </c>
      <c r="B412">
        <v>1071944</v>
      </c>
      <c r="C412">
        <v>2</v>
      </c>
      <c r="D412" t="s">
        <v>1695</v>
      </c>
      <c r="E412">
        <v>1034</v>
      </c>
      <c r="F412" t="s">
        <v>41</v>
      </c>
      <c r="G412" t="s">
        <v>41</v>
      </c>
    </row>
    <row r="413" spans="1:7">
      <c r="A413">
        <v>145161</v>
      </c>
      <c r="B413">
        <v>1071944</v>
      </c>
      <c r="C413">
        <v>3</v>
      </c>
      <c r="D413" t="s">
        <v>1697</v>
      </c>
      <c r="E413">
        <v>517</v>
      </c>
      <c r="F413" t="s">
        <v>41</v>
      </c>
      <c r="G413" t="s">
        <v>41</v>
      </c>
    </row>
    <row r="414" spans="1:7">
      <c r="A414">
        <v>145162</v>
      </c>
      <c r="B414">
        <v>1071944</v>
      </c>
      <c r="C414">
        <v>4</v>
      </c>
      <c r="D414" t="s">
        <v>1695</v>
      </c>
      <c r="E414">
        <v>1034</v>
      </c>
      <c r="F414" t="s">
        <v>41</v>
      </c>
      <c r="G414" t="s">
        <v>41</v>
      </c>
    </row>
    <row r="415" spans="1:7">
      <c r="A415">
        <v>145163</v>
      </c>
      <c r="B415">
        <v>1071944</v>
      </c>
      <c r="C415">
        <v>5</v>
      </c>
      <c r="D415" t="s">
        <v>1695</v>
      </c>
      <c r="E415">
        <v>1034</v>
      </c>
      <c r="F415" t="s">
        <v>41</v>
      </c>
      <c r="G415" t="s">
        <v>41</v>
      </c>
    </row>
    <row r="416" spans="1:7">
      <c r="A416">
        <v>145164</v>
      </c>
      <c r="B416">
        <v>1071944</v>
      </c>
      <c r="C416">
        <v>6</v>
      </c>
      <c r="D416" t="s">
        <v>1695</v>
      </c>
      <c r="E416">
        <v>1034</v>
      </c>
      <c r="F416" t="s">
        <v>41</v>
      </c>
      <c r="G416" t="s">
        <v>41</v>
      </c>
    </row>
    <row r="417" spans="1:8">
      <c r="A417">
        <v>145307</v>
      </c>
      <c r="B417">
        <v>1072013</v>
      </c>
      <c r="C417">
        <v>1</v>
      </c>
      <c r="D417" t="s">
        <v>1695</v>
      </c>
      <c r="E417">
        <v>1657</v>
      </c>
      <c r="F417" t="s">
        <v>41</v>
      </c>
      <c r="G417" t="s">
        <v>41</v>
      </c>
    </row>
    <row r="418" spans="1:8">
      <c r="A418">
        <v>145573</v>
      </c>
      <c r="B418">
        <v>1072140</v>
      </c>
      <c r="C418">
        <v>1</v>
      </c>
      <c r="D418" t="s">
        <v>1695</v>
      </c>
      <c r="E418">
        <v>1049</v>
      </c>
      <c r="F418" t="s">
        <v>41</v>
      </c>
      <c r="G418" t="s">
        <v>41</v>
      </c>
    </row>
    <row r="419" spans="1:8">
      <c r="A419">
        <v>145574</v>
      </c>
      <c r="B419">
        <v>1072140</v>
      </c>
      <c r="C419">
        <v>2</v>
      </c>
      <c r="D419" t="s">
        <v>1695</v>
      </c>
      <c r="E419">
        <v>1049</v>
      </c>
      <c r="F419" t="s">
        <v>41</v>
      </c>
      <c r="G419" t="s">
        <v>41</v>
      </c>
    </row>
    <row r="420" spans="1:8">
      <c r="A420">
        <v>145575</v>
      </c>
      <c r="B420">
        <v>1072140</v>
      </c>
      <c r="C420">
        <v>3</v>
      </c>
      <c r="D420" t="s">
        <v>1695</v>
      </c>
      <c r="E420">
        <v>1049</v>
      </c>
      <c r="F420" t="s">
        <v>41</v>
      </c>
      <c r="G420" t="s">
        <v>41</v>
      </c>
    </row>
    <row r="421" spans="1:8">
      <c r="A421">
        <v>145576</v>
      </c>
      <c r="B421">
        <v>1072140</v>
      </c>
      <c r="C421">
        <v>4</v>
      </c>
      <c r="D421" t="s">
        <v>1695</v>
      </c>
      <c r="E421">
        <v>1049</v>
      </c>
      <c r="F421" t="s">
        <v>41</v>
      </c>
      <c r="G421" t="s">
        <v>41</v>
      </c>
    </row>
    <row r="422" spans="1:8">
      <c r="A422">
        <v>146959</v>
      </c>
      <c r="B422">
        <v>1072851</v>
      </c>
      <c r="C422">
        <v>1</v>
      </c>
      <c r="D422" t="s">
        <v>1695</v>
      </c>
      <c r="E422">
        <v>790</v>
      </c>
      <c r="F422" t="s">
        <v>41</v>
      </c>
      <c r="G422" t="s">
        <v>41</v>
      </c>
    </row>
    <row r="423" spans="1:8">
      <c r="A423">
        <v>146960</v>
      </c>
      <c r="B423">
        <v>1072851</v>
      </c>
      <c r="C423">
        <v>2</v>
      </c>
      <c r="D423" t="s">
        <v>1696</v>
      </c>
      <c r="E423">
        <v>474</v>
      </c>
      <c r="F423" t="s">
        <v>41</v>
      </c>
      <c r="G423" t="s">
        <v>41</v>
      </c>
    </row>
    <row r="424" spans="1:8">
      <c r="A424">
        <v>147315</v>
      </c>
      <c r="B424">
        <v>1073017</v>
      </c>
      <c r="C424">
        <v>1</v>
      </c>
      <c r="D424" t="s">
        <v>1695</v>
      </c>
      <c r="E424">
        <v>804</v>
      </c>
      <c r="F424" t="s">
        <v>41</v>
      </c>
      <c r="G424" t="s">
        <v>41</v>
      </c>
    </row>
    <row r="425" spans="1:8">
      <c r="A425">
        <v>147316</v>
      </c>
      <c r="B425">
        <v>1073017</v>
      </c>
      <c r="C425">
        <v>2</v>
      </c>
      <c r="D425" t="s">
        <v>1695</v>
      </c>
      <c r="E425">
        <v>804</v>
      </c>
      <c r="F425" t="s">
        <v>41</v>
      </c>
      <c r="G425" t="s">
        <v>41</v>
      </c>
    </row>
    <row r="426" spans="1:8">
      <c r="A426">
        <v>147317</v>
      </c>
      <c r="B426">
        <v>1073017</v>
      </c>
      <c r="C426">
        <v>3</v>
      </c>
      <c r="D426" t="s">
        <v>1695</v>
      </c>
      <c r="E426">
        <v>804</v>
      </c>
      <c r="F426" t="s">
        <v>41</v>
      </c>
      <c r="G426" t="s">
        <v>41</v>
      </c>
    </row>
    <row r="427" spans="1:8">
      <c r="A427">
        <v>147318</v>
      </c>
      <c r="B427">
        <v>1073017</v>
      </c>
      <c r="C427">
        <v>4</v>
      </c>
      <c r="D427" t="s">
        <v>1697</v>
      </c>
      <c r="E427">
        <v>402</v>
      </c>
      <c r="F427" t="s">
        <v>41</v>
      </c>
      <c r="G427" t="s">
        <v>41</v>
      </c>
    </row>
    <row r="428" spans="1:8">
      <c r="A428">
        <v>147785</v>
      </c>
      <c r="B428">
        <v>1073259</v>
      </c>
      <c r="C428">
        <v>1</v>
      </c>
      <c r="D428" t="s">
        <v>1695</v>
      </c>
      <c r="E428">
        <v>941</v>
      </c>
      <c r="F428" t="s">
        <v>41</v>
      </c>
      <c r="G428" t="s">
        <v>41</v>
      </c>
    </row>
    <row r="429" spans="1:8">
      <c r="A429">
        <v>147786</v>
      </c>
      <c r="B429">
        <v>1073259</v>
      </c>
      <c r="C429">
        <v>2</v>
      </c>
      <c r="D429" t="s">
        <v>1695</v>
      </c>
      <c r="E429">
        <v>941</v>
      </c>
      <c r="F429" t="s">
        <v>41</v>
      </c>
      <c r="G429" t="s">
        <v>41</v>
      </c>
    </row>
    <row r="430" spans="1:8">
      <c r="A430">
        <v>147787</v>
      </c>
      <c r="B430">
        <v>1073259</v>
      </c>
      <c r="C430">
        <v>3</v>
      </c>
      <c r="D430" t="s">
        <v>1695</v>
      </c>
      <c r="E430">
        <v>941</v>
      </c>
      <c r="F430" t="s">
        <v>41</v>
      </c>
      <c r="G430" t="s">
        <v>41</v>
      </c>
    </row>
    <row r="431" spans="1:8">
      <c r="A431">
        <v>148181</v>
      </c>
      <c r="B431">
        <v>1073449</v>
      </c>
      <c r="C431">
        <v>1</v>
      </c>
      <c r="D431" t="s">
        <v>1695</v>
      </c>
      <c r="E431">
        <v>753</v>
      </c>
      <c r="F431" t="s">
        <v>41</v>
      </c>
      <c r="G431" t="s">
        <v>41</v>
      </c>
    </row>
    <row r="432" spans="1:8">
      <c r="A432">
        <v>148337</v>
      </c>
      <c r="B432">
        <v>1073530</v>
      </c>
      <c r="C432">
        <v>1</v>
      </c>
      <c r="D432" t="s">
        <v>1695</v>
      </c>
      <c r="E432">
        <v>950</v>
      </c>
      <c r="F432" t="s">
        <v>49</v>
      </c>
      <c r="G432" t="s">
        <v>37</v>
      </c>
      <c r="H432">
        <v>13665</v>
      </c>
    </row>
    <row r="433" spans="1:8">
      <c r="A433">
        <v>148338</v>
      </c>
      <c r="B433">
        <v>1073530</v>
      </c>
      <c r="C433">
        <v>2</v>
      </c>
      <c r="D433" t="s">
        <v>1697</v>
      </c>
      <c r="E433">
        <v>475</v>
      </c>
      <c r="F433" t="s">
        <v>49</v>
      </c>
      <c r="G433" t="s">
        <v>49</v>
      </c>
      <c r="H433">
        <v>13905</v>
      </c>
    </row>
    <row r="434" spans="1:8">
      <c r="A434">
        <v>149540</v>
      </c>
      <c r="B434">
        <v>1074131</v>
      </c>
      <c r="C434">
        <v>1</v>
      </c>
      <c r="D434" t="s">
        <v>1695</v>
      </c>
      <c r="E434">
        <v>790</v>
      </c>
      <c r="F434" t="s">
        <v>41</v>
      </c>
      <c r="G434" t="s">
        <v>41</v>
      </c>
    </row>
    <row r="435" spans="1:8">
      <c r="A435">
        <v>149981</v>
      </c>
      <c r="B435">
        <v>1074365</v>
      </c>
      <c r="C435">
        <v>1</v>
      </c>
      <c r="D435" t="s">
        <v>1695</v>
      </c>
      <c r="E435">
        <v>762</v>
      </c>
      <c r="F435" t="s">
        <v>41</v>
      </c>
      <c r="G435" t="s">
        <v>41</v>
      </c>
    </row>
    <row r="436" spans="1:8">
      <c r="A436">
        <v>149982</v>
      </c>
      <c r="B436">
        <v>1074365</v>
      </c>
      <c r="C436">
        <v>2</v>
      </c>
      <c r="D436" t="s">
        <v>1695</v>
      </c>
      <c r="E436">
        <v>762</v>
      </c>
      <c r="F436" t="s">
        <v>41</v>
      </c>
      <c r="G436" t="s">
        <v>41</v>
      </c>
    </row>
    <row r="437" spans="1:8">
      <c r="A437">
        <v>150545</v>
      </c>
      <c r="B437">
        <v>1074639</v>
      </c>
      <c r="C437">
        <v>1</v>
      </c>
      <c r="D437" t="s">
        <v>2094</v>
      </c>
      <c r="E437">
        <v>2886</v>
      </c>
      <c r="F437" t="s">
        <v>41</v>
      </c>
      <c r="G437" t="s">
        <v>41</v>
      </c>
    </row>
    <row r="438" spans="1:8">
      <c r="A438">
        <v>150612</v>
      </c>
      <c r="B438">
        <v>1074677</v>
      </c>
      <c r="C438">
        <v>1</v>
      </c>
      <c r="D438" t="s">
        <v>1695</v>
      </c>
      <c r="E438">
        <v>654</v>
      </c>
      <c r="F438" t="s">
        <v>47</v>
      </c>
      <c r="G438" t="s">
        <v>41</v>
      </c>
    </row>
    <row r="439" spans="1:8">
      <c r="A439">
        <v>151188</v>
      </c>
      <c r="B439">
        <v>1074958</v>
      </c>
      <c r="C439">
        <v>1</v>
      </c>
      <c r="D439" t="s">
        <v>1695</v>
      </c>
      <c r="E439">
        <v>1053</v>
      </c>
      <c r="F439" t="s">
        <v>41</v>
      </c>
      <c r="G439" t="s">
        <v>41</v>
      </c>
    </row>
    <row r="440" spans="1:8">
      <c r="A440">
        <v>151554</v>
      </c>
      <c r="B440">
        <v>1075134</v>
      </c>
      <c r="C440">
        <v>1</v>
      </c>
      <c r="D440" t="s">
        <v>1696</v>
      </c>
      <c r="E440">
        <v>3182</v>
      </c>
      <c r="F440" t="s">
        <v>41</v>
      </c>
      <c r="G440" t="s">
        <v>41</v>
      </c>
    </row>
    <row r="441" spans="1:8">
      <c r="A441">
        <v>152889</v>
      </c>
      <c r="B441">
        <v>1075804</v>
      </c>
      <c r="C441">
        <v>1</v>
      </c>
      <c r="D441" t="s">
        <v>1695</v>
      </c>
      <c r="E441">
        <v>941</v>
      </c>
      <c r="F441" t="s">
        <v>41</v>
      </c>
      <c r="G441" t="s">
        <v>41</v>
      </c>
    </row>
    <row r="442" spans="1:8">
      <c r="A442">
        <v>152890</v>
      </c>
      <c r="B442">
        <v>1075804</v>
      </c>
      <c r="C442">
        <v>2</v>
      </c>
      <c r="D442" t="s">
        <v>1695</v>
      </c>
      <c r="E442">
        <v>941</v>
      </c>
      <c r="F442" t="s">
        <v>41</v>
      </c>
      <c r="G442" t="s">
        <v>41</v>
      </c>
    </row>
    <row r="443" spans="1:8">
      <c r="A443">
        <v>153598</v>
      </c>
      <c r="B443">
        <v>1076154</v>
      </c>
      <c r="C443">
        <v>1</v>
      </c>
      <c r="D443" t="s">
        <v>1695</v>
      </c>
      <c r="E443">
        <v>3484</v>
      </c>
      <c r="F443" t="s">
        <v>49</v>
      </c>
      <c r="G443" t="s">
        <v>49</v>
      </c>
      <c r="H443">
        <v>14394</v>
      </c>
    </row>
    <row r="444" spans="1:8">
      <c r="A444">
        <v>154292</v>
      </c>
      <c r="B444">
        <v>1076507</v>
      </c>
      <c r="C444">
        <v>1</v>
      </c>
      <c r="D444" t="s">
        <v>1695</v>
      </c>
      <c r="E444">
        <v>2784</v>
      </c>
      <c r="F444" t="s">
        <v>47</v>
      </c>
      <c r="G444" t="s">
        <v>47</v>
      </c>
    </row>
    <row r="445" spans="1:8">
      <c r="A445">
        <v>154293</v>
      </c>
      <c r="B445">
        <v>1076507</v>
      </c>
      <c r="C445">
        <v>2</v>
      </c>
      <c r="D445" t="s">
        <v>1695</v>
      </c>
      <c r="E445">
        <v>2784</v>
      </c>
      <c r="F445" t="s">
        <v>47</v>
      </c>
      <c r="G445" t="s">
        <v>47</v>
      </c>
    </row>
    <row r="446" spans="1:8">
      <c r="A446">
        <v>154294</v>
      </c>
      <c r="B446">
        <v>1076507</v>
      </c>
      <c r="C446">
        <v>3</v>
      </c>
      <c r="D446" t="s">
        <v>1695</v>
      </c>
      <c r="E446">
        <v>2784</v>
      </c>
      <c r="F446" t="s">
        <v>47</v>
      </c>
      <c r="G446" t="s">
        <v>47</v>
      </c>
    </row>
    <row r="447" spans="1:8">
      <c r="A447">
        <v>154611</v>
      </c>
      <c r="B447">
        <v>1076665</v>
      </c>
      <c r="C447">
        <v>1</v>
      </c>
      <c r="D447" t="s">
        <v>1695</v>
      </c>
      <c r="E447">
        <v>1008</v>
      </c>
      <c r="F447" t="s">
        <v>49</v>
      </c>
      <c r="G447" t="s">
        <v>49</v>
      </c>
      <c r="H447">
        <v>14814</v>
      </c>
    </row>
    <row r="448" spans="1:8">
      <c r="A448">
        <v>154612</v>
      </c>
      <c r="B448">
        <v>1076665</v>
      </c>
      <c r="C448">
        <v>2</v>
      </c>
      <c r="D448" t="s">
        <v>1695</v>
      </c>
      <c r="E448">
        <v>1008</v>
      </c>
      <c r="F448" t="s">
        <v>49</v>
      </c>
      <c r="G448" t="s">
        <v>49</v>
      </c>
      <c r="H448">
        <v>14814</v>
      </c>
    </row>
    <row r="449" spans="1:8">
      <c r="A449">
        <v>154902</v>
      </c>
      <c r="B449">
        <v>1076797</v>
      </c>
      <c r="C449">
        <v>1</v>
      </c>
      <c r="D449" t="s">
        <v>1695</v>
      </c>
      <c r="E449">
        <v>3171</v>
      </c>
      <c r="F449" t="s">
        <v>47</v>
      </c>
      <c r="G449" t="s">
        <v>47</v>
      </c>
    </row>
    <row r="450" spans="1:8">
      <c r="A450">
        <v>155127</v>
      </c>
      <c r="B450">
        <v>1076911</v>
      </c>
      <c r="C450">
        <v>1</v>
      </c>
      <c r="D450" t="s">
        <v>1695</v>
      </c>
      <c r="E450">
        <v>1008</v>
      </c>
      <c r="F450" t="s">
        <v>41</v>
      </c>
      <c r="G450" t="s">
        <v>41</v>
      </c>
    </row>
    <row r="451" spans="1:8">
      <c r="A451">
        <v>155128</v>
      </c>
      <c r="B451">
        <v>1076911</v>
      </c>
      <c r="C451">
        <v>2</v>
      </c>
      <c r="D451" t="s">
        <v>1695</v>
      </c>
      <c r="E451">
        <v>1008</v>
      </c>
      <c r="F451" t="s">
        <v>41</v>
      </c>
      <c r="G451" t="s">
        <v>41</v>
      </c>
    </row>
    <row r="452" spans="1:8">
      <c r="A452">
        <v>157082</v>
      </c>
      <c r="B452">
        <v>1077889</v>
      </c>
      <c r="C452">
        <v>1</v>
      </c>
      <c r="D452" t="s">
        <v>1695</v>
      </c>
      <c r="E452">
        <v>2795</v>
      </c>
      <c r="F452" t="s">
        <v>41</v>
      </c>
      <c r="G452" t="s">
        <v>41</v>
      </c>
    </row>
    <row r="453" spans="1:8">
      <c r="A453">
        <v>157083</v>
      </c>
      <c r="B453">
        <v>1077889</v>
      </c>
      <c r="C453">
        <v>2</v>
      </c>
      <c r="D453" t="s">
        <v>1696</v>
      </c>
      <c r="E453">
        <v>1677</v>
      </c>
      <c r="F453" t="s">
        <v>41</v>
      </c>
      <c r="G453" t="s">
        <v>41</v>
      </c>
    </row>
    <row r="454" spans="1:8">
      <c r="A454">
        <v>157084</v>
      </c>
      <c r="B454">
        <v>1077889</v>
      </c>
      <c r="C454">
        <v>3</v>
      </c>
      <c r="D454" t="s">
        <v>1695</v>
      </c>
      <c r="E454">
        <v>2795</v>
      </c>
      <c r="F454" t="s">
        <v>41</v>
      </c>
      <c r="G454" t="s">
        <v>41</v>
      </c>
    </row>
    <row r="455" spans="1:8">
      <c r="A455">
        <v>157085</v>
      </c>
      <c r="B455">
        <v>1077889</v>
      </c>
      <c r="C455">
        <v>4</v>
      </c>
      <c r="D455" t="s">
        <v>1695</v>
      </c>
      <c r="E455">
        <v>2795</v>
      </c>
      <c r="F455" t="s">
        <v>41</v>
      </c>
      <c r="G455" t="s">
        <v>41</v>
      </c>
    </row>
    <row r="456" spans="1:8">
      <c r="A456">
        <v>157086</v>
      </c>
      <c r="B456">
        <v>1077889</v>
      </c>
      <c r="C456">
        <v>5</v>
      </c>
      <c r="D456" t="s">
        <v>1695</v>
      </c>
      <c r="E456">
        <v>2795</v>
      </c>
      <c r="F456" t="s">
        <v>41</v>
      </c>
      <c r="G456" t="s">
        <v>41</v>
      </c>
    </row>
    <row r="457" spans="1:8">
      <c r="A457">
        <v>157262</v>
      </c>
      <c r="B457">
        <v>1077975</v>
      </c>
      <c r="C457">
        <v>1</v>
      </c>
      <c r="D457" t="s">
        <v>1695</v>
      </c>
      <c r="E457">
        <v>3171</v>
      </c>
      <c r="F457" t="s">
        <v>49</v>
      </c>
      <c r="G457" t="s">
        <v>49</v>
      </c>
      <c r="H457">
        <v>15485</v>
      </c>
    </row>
    <row r="458" spans="1:8">
      <c r="A458">
        <v>157306</v>
      </c>
      <c r="B458">
        <v>1078000</v>
      </c>
      <c r="C458">
        <v>1</v>
      </c>
      <c r="D458" t="s">
        <v>1696</v>
      </c>
      <c r="E458">
        <v>543</v>
      </c>
      <c r="F458" t="s">
        <v>47</v>
      </c>
      <c r="G458" t="s">
        <v>47</v>
      </c>
    </row>
    <row r="459" spans="1:8">
      <c r="A459">
        <v>157307</v>
      </c>
      <c r="B459">
        <v>1078000</v>
      </c>
      <c r="C459">
        <v>2</v>
      </c>
      <c r="D459" t="s">
        <v>1695</v>
      </c>
      <c r="E459">
        <v>906</v>
      </c>
      <c r="F459" t="s">
        <v>47</v>
      </c>
      <c r="G459" t="s">
        <v>47</v>
      </c>
    </row>
    <row r="460" spans="1:8">
      <c r="A460">
        <v>157308</v>
      </c>
      <c r="B460">
        <v>1078000</v>
      </c>
      <c r="C460">
        <v>3</v>
      </c>
      <c r="D460" t="s">
        <v>1695</v>
      </c>
      <c r="E460">
        <v>906</v>
      </c>
      <c r="F460" t="s">
        <v>47</v>
      </c>
      <c r="G460" t="s">
        <v>47</v>
      </c>
    </row>
    <row r="461" spans="1:8">
      <c r="A461">
        <v>157309</v>
      </c>
      <c r="B461">
        <v>1078000</v>
      </c>
      <c r="C461">
        <v>4</v>
      </c>
      <c r="D461" t="s">
        <v>1695</v>
      </c>
      <c r="E461">
        <v>906</v>
      </c>
      <c r="F461" t="s">
        <v>47</v>
      </c>
      <c r="G461" t="s">
        <v>47</v>
      </c>
    </row>
    <row r="462" spans="1:8">
      <c r="A462">
        <v>157310</v>
      </c>
      <c r="B462">
        <v>1078000</v>
      </c>
      <c r="C462">
        <v>5</v>
      </c>
      <c r="D462" t="s">
        <v>1695</v>
      </c>
      <c r="E462">
        <v>906</v>
      </c>
      <c r="F462" t="s">
        <v>47</v>
      </c>
      <c r="G462" t="s">
        <v>47</v>
      </c>
    </row>
    <row r="463" spans="1:8">
      <c r="A463">
        <v>157374</v>
      </c>
      <c r="B463">
        <v>1078035</v>
      </c>
      <c r="C463">
        <v>1</v>
      </c>
      <c r="D463" t="s">
        <v>1695</v>
      </c>
      <c r="E463">
        <v>2429</v>
      </c>
      <c r="F463" t="s">
        <v>41</v>
      </c>
      <c r="G463" t="s">
        <v>41</v>
      </c>
    </row>
    <row r="464" spans="1:8">
      <c r="A464">
        <v>157741</v>
      </c>
      <c r="B464">
        <v>1078216</v>
      </c>
      <c r="C464">
        <v>1</v>
      </c>
      <c r="D464" t="s">
        <v>1695</v>
      </c>
      <c r="E464">
        <v>941</v>
      </c>
      <c r="F464" t="s">
        <v>41</v>
      </c>
      <c r="G464" t="s">
        <v>41</v>
      </c>
    </row>
    <row r="465" spans="1:8">
      <c r="A465">
        <v>158579</v>
      </c>
      <c r="B465">
        <v>1078604</v>
      </c>
      <c r="C465">
        <v>1</v>
      </c>
      <c r="D465" t="s">
        <v>1695</v>
      </c>
      <c r="E465">
        <v>753</v>
      </c>
      <c r="F465" t="s">
        <v>41</v>
      </c>
      <c r="G465" t="s">
        <v>41</v>
      </c>
    </row>
    <row r="466" spans="1:8">
      <c r="A466">
        <v>159279</v>
      </c>
      <c r="B466">
        <v>1078946</v>
      </c>
      <c r="C466">
        <v>1</v>
      </c>
      <c r="D466" t="s">
        <v>1695</v>
      </c>
      <c r="E466">
        <v>288</v>
      </c>
      <c r="F466" t="s">
        <v>41</v>
      </c>
      <c r="G466" t="s">
        <v>41</v>
      </c>
    </row>
    <row r="467" spans="1:8">
      <c r="A467">
        <v>160107</v>
      </c>
      <c r="B467">
        <v>1079358</v>
      </c>
      <c r="C467">
        <v>1</v>
      </c>
      <c r="D467" t="s">
        <v>1695</v>
      </c>
      <c r="E467">
        <v>3123</v>
      </c>
      <c r="F467" t="s">
        <v>49</v>
      </c>
      <c r="G467" t="s">
        <v>37</v>
      </c>
      <c r="H467">
        <v>15639</v>
      </c>
    </row>
    <row r="468" spans="1:8">
      <c r="A468">
        <v>160108</v>
      </c>
      <c r="B468">
        <v>1079358</v>
      </c>
      <c r="C468">
        <v>2</v>
      </c>
      <c r="D468" t="s">
        <v>1695</v>
      </c>
      <c r="E468">
        <v>3123</v>
      </c>
      <c r="F468" t="s">
        <v>49</v>
      </c>
      <c r="G468" t="s">
        <v>47</v>
      </c>
    </row>
    <row r="469" spans="1:8">
      <c r="A469">
        <v>160109</v>
      </c>
      <c r="B469">
        <v>1079358</v>
      </c>
      <c r="C469">
        <v>3</v>
      </c>
      <c r="D469" t="s">
        <v>1695</v>
      </c>
      <c r="E469">
        <v>3123</v>
      </c>
      <c r="F469" t="s">
        <v>49</v>
      </c>
      <c r="G469" t="s">
        <v>47</v>
      </c>
    </row>
    <row r="470" spans="1:8">
      <c r="A470">
        <v>160110</v>
      </c>
      <c r="B470">
        <v>1079358</v>
      </c>
      <c r="C470">
        <v>4</v>
      </c>
      <c r="D470" t="s">
        <v>1695</v>
      </c>
      <c r="E470">
        <v>3123</v>
      </c>
      <c r="F470" t="s">
        <v>49</v>
      </c>
      <c r="G470" t="s">
        <v>47</v>
      </c>
    </row>
    <row r="471" spans="1:8">
      <c r="A471">
        <v>160964</v>
      </c>
      <c r="B471">
        <v>1079788</v>
      </c>
      <c r="C471">
        <v>1</v>
      </c>
      <c r="D471" t="s">
        <v>1695</v>
      </c>
      <c r="E471">
        <v>2784</v>
      </c>
      <c r="F471" t="s">
        <v>41</v>
      </c>
      <c r="G471" t="s">
        <v>41</v>
      </c>
    </row>
    <row r="472" spans="1:8">
      <c r="A472">
        <v>160965</v>
      </c>
      <c r="B472">
        <v>1079788</v>
      </c>
      <c r="C472">
        <v>2</v>
      </c>
      <c r="D472" t="s">
        <v>1695</v>
      </c>
      <c r="E472">
        <v>2784</v>
      </c>
      <c r="F472" t="s">
        <v>41</v>
      </c>
      <c r="G472" t="s">
        <v>41</v>
      </c>
    </row>
    <row r="473" spans="1:8">
      <c r="A473">
        <v>160966</v>
      </c>
      <c r="B473">
        <v>1079788</v>
      </c>
      <c r="C473">
        <v>3</v>
      </c>
      <c r="D473" t="s">
        <v>1695</v>
      </c>
      <c r="E473">
        <v>2784</v>
      </c>
      <c r="F473" t="s">
        <v>41</v>
      </c>
      <c r="G473" t="s">
        <v>41</v>
      </c>
    </row>
    <row r="474" spans="1:8">
      <c r="A474">
        <v>161028</v>
      </c>
      <c r="B474">
        <v>1079819</v>
      </c>
      <c r="C474">
        <v>1</v>
      </c>
      <c r="D474" t="s">
        <v>1695</v>
      </c>
      <c r="E474">
        <v>1102</v>
      </c>
      <c r="F474" t="s">
        <v>49</v>
      </c>
      <c r="G474" t="s">
        <v>49</v>
      </c>
      <c r="H474">
        <v>15625</v>
      </c>
    </row>
    <row r="475" spans="1:8">
      <c r="A475">
        <v>161029</v>
      </c>
      <c r="B475">
        <v>1079819</v>
      </c>
      <c r="C475">
        <v>2</v>
      </c>
      <c r="D475" t="s">
        <v>1697</v>
      </c>
      <c r="E475">
        <v>551</v>
      </c>
      <c r="F475" t="s">
        <v>49</v>
      </c>
      <c r="G475" t="s">
        <v>49</v>
      </c>
      <c r="H475">
        <v>15625</v>
      </c>
    </row>
    <row r="476" spans="1:8">
      <c r="A476">
        <v>161411</v>
      </c>
      <c r="B476">
        <v>1080019</v>
      </c>
      <c r="C476">
        <v>1</v>
      </c>
      <c r="D476" t="s">
        <v>1695</v>
      </c>
      <c r="E476">
        <v>753</v>
      </c>
      <c r="F476" t="s">
        <v>41</v>
      </c>
      <c r="G476" t="s">
        <v>41</v>
      </c>
    </row>
    <row r="477" spans="1:8">
      <c r="A477">
        <v>162492</v>
      </c>
      <c r="B477">
        <v>1080555</v>
      </c>
      <c r="C477">
        <v>1</v>
      </c>
      <c r="D477" t="s">
        <v>1695</v>
      </c>
      <c r="E477">
        <v>2784</v>
      </c>
      <c r="F477" t="s">
        <v>41</v>
      </c>
      <c r="G477" t="s">
        <v>41</v>
      </c>
    </row>
    <row r="478" spans="1:8">
      <c r="A478">
        <v>162543</v>
      </c>
      <c r="B478">
        <v>1080584</v>
      </c>
      <c r="C478">
        <v>1</v>
      </c>
      <c r="D478" t="s">
        <v>1695</v>
      </c>
      <c r="E478">
        <v>1176</v>
      </c>
      <c r="F478" t="s">
        <v>41</v>
      </c>
      <c r="G478" t="s">
        <v>41</v>
      </c>
    </row>
    <row r="479" spans="1:8">
      <c r="A479">
        <v>162544</v>
      </c>
      <c r="B479">
        <v>1080584</v>
      </c>
      <c r="C479">
        <v>2</v>
      </c>
      <c r="D479" t="s">
        <v>1695</v>
      </c>
      <c r="E479">
        <v>1176</v>
      </c>
      <c r="F479" t="s">
        <v>41</v>
      </c>
      <c r="G479" t="s">
        <v>41</v>
      </c>
    </row>
    <row r="480" spans="1:8">
      <c r="A480">
        <v>162617</v>
      </c>
      <c r="B480">
        <v>1080622</v>
      </c>
      <c r="C480">
        <v>1</v>
      </c>
      <c r="D480" t="s">
        <v>1695</v>
      </c>
      <c r="E480">
        <v>1243</v>
      </c>
      <c r="F480" t="s">
        <v>41</v>
      </c>
      <c r="G480" t="s">
        <v>41</v>
      </c>
    </row>
    <row r="481" spans="1:8">
      <c r="A481">
        <v>162688</v>
      </c>
      <c r="B481">
        <v>1080665</v>
      </c>
      <c r="C481">
        <v>1</v>
      </c>
      <c r="D481" t="s">
        <v>1696</v>
      </c>
      <c r="E481">
        <v>393</v>
      </c>
      <c r="F481" t="s">
        <v>41</v>
      </c>
      <c r="G481" t="s">
        <v>41</v>
      </c>
    </row>
    <row r="482" spans="1:8">
      <c r="A482">
        <v>162793</v>
      </c>
      <c r="B482">
        <v>1080716</v>
      </c>
      <c r="C482">
        <v>1</v>
      </c>
      <c r="D482" t="s">
        <v>1695</v>
      </c>
      <c r="E482">
        <v>2402</v>
      </c>
      <c r="F482" t="s">
        <v>41</v>
      </c>
      <c r="G482" t="s">
        <v>41</v>
      </c>
    </row>
    <row r="483" spans="1:8">
      <c r="A483">
        <v>162794</v>
      </c>
      <c r="B483">
        <v>1080716</v>
      </c>
      <c r="C483">
        <v>2</v>
      </c>
      <c r="D483" t="s">
        <v>1695</v>
      </c>
      <c r="E483">
        <v>2402</v>
      </c>
      <c r="F483" t="s">
        <v>41</v>
      </c>
      <c r="G483" t="s">
        <v>41</v>
      </c>
    </row>
    <row r="484" spans="1:8">
      <c r="A484">
        <v>163095</v>
      </c>
      <c r="B484">
        <v>1080854</v>
      </c>
      <c r="C484">
        <v>1</v>
      </c>
      <c r="D484" t="s">
        <v>1695</v>
      </c>
      <c r="E484">
        <v>2658</v>
      </c>
      <c r="F484" t="s">
        <v>41</v>
      </c>
      <c r="G484" t="s">
        <v>41</v>
      </c>
    </row>
    <row r="485" spans="1:8">
      <c r="A485">
        <v>163781</v>
      </c>
      <c r="B485">
        <v>1081189</v>
      </c>
      <c r="C485">
        <v>1</v>
      </c>
      <c r="D485" t="s">
        <v>1695</v>
      </c>
      <c r="E485">
        <v>1657</v>
      </c>
      <c r="F485" t="s">
        <v>41</v>
      </c>
      <c r="G485" t="s">
        <v>37</v>
      </c>
      <c r="H485">
        <v>17051</v>
      </c>
    </row>
    <row r="486" spans="1:8">
      <c r="A486">
        <v>165182</v>
      </c>
      <c r="B486">
        <v>1081876</v>
      </c>
      <c r="C486">
        <v>1</v>
      </c>
      <c r="D486" t="s">
        <v>1695</v>
      </c>
      <c r="E486">
        <v>1176</v>
      </c>
      <c r="F486" t="s">
        <v>41</v>
      </c>
      <c r="G486" t="s">
        <v>41</v>
      </c>
    </row>
    <row r="487" spans="1:8">
      <c r="A487">
        <v>165183</v>
      </c>
      <c r="B487">
        <v>1081876</v>
      </c>
      <c r="C487">
        <v>2</v>
      </c>
      <c r="D487" t="s">
        <v>1695</v>
      </c>
      <c r="E487">
        <v>1176</v>
      </c>
      <c r="F487" t="s">
        <v>41</v>
      </c>
      <c r="G487" t="s">
        <v>41</v>
      </c>
    </row>
    <row r="488" spans="1:8">
      <c r="A488">
        <v>166343</v>
      </c>
      <c r="B488">
        <v>1082449</v>
      </c>
      <c r="C488">
        <v>1</v>
      </c>
      <c r="D488" t="s">
        <v>1695</v>
      </c>
      <c r="E488">
        <v>1854</v>
      </c>
      <c r="F488" t="s">
        <v>41</v>
      </c>
      <c r="G488" t="s">
        <v>41</v>
      </c>
    </row>
    <row r="489" spans="1:8">
      <c r="A489">
        <v>169193</v>
      </c>
      <c r="B489">
        <v>1083870</v>
      </c>
      <c r="C489">
        <v>1</v>
      </c>
      <c r="D489" t="s">
        <v>1695</v>
      </c>
      <c r="E489">
        <v>348</v>
      </c>
      <c r="F489" t="s">
        <v>41</v>
      </c>
      <c r="G489" t="s">
        <v>41</v>
      </c>
    </row>
    <row r="490" spans="1:8">
      <c r="A490">
        <v>169194</v>
      </c>
      <c r="B490">
        <v>1083870</v>
      </c>
      <c r="C490">
        <v>2</v>
      </c>
      <c r="D490" t="s">
        <v>1695</v>
      </c>
      <c r="E490">
        <v>348</v>
      </c>
      <c r="F490" t="s">
        <v>41</v>
      </c>
      <c r="G490" t="s">
        <v>41</v>
      </c>
    </row>
    <row r="491" spans="1:8">
      <c r="A491">
        <v>169195</v>
      </c>
      <c r="B491">
        <v>1083870</v>
      </c>
      <c r="C491">
        <v>3</v>
      </c>
      <c r="D491" t="s">
        <v>1695</v>
      </c>
      <c r="E491">
        <v>348</v>
      </c>
      <c r="F491" t="s">
        <v>41</v>
      </c>
      <c r="G491" t="s">
        <v>41</v>
      </c>
    </row>
    <row r="492" spans="1:8">
      <c r="A492">
        <v>169196</v>
      </c>
      <c r="B492">
        <v>1083870</v>
      </c>
      <c r="C492">
        <v>4</v>
      </c>
      <c r="D492" t="s">
        <v>1695</v>
      </c>
      <c r="E492">
        <v>348</v>
      </c>
      <c r="F492" t="s">
        <v>41</v>
      </c>
      <c r="G492" t="s">
        <v>41</v>
      </c>
    </row>
    <row r="493" spans="1:8">
      <c r="A493">
        <v>169197</v>
      </c>
      <c r="B493">
        <v>1083870</v>
      </c>
      <c r="C493">
        <v>5</v>
      </c>
      <c r="D493" t="s">
        <v>1695</v>
      </c>
      <c r="E493">
        <v>348</v>
      </c>
      <c r="F493" t="s">
        <v>41</v>
      </c>
      <c r="G493" t="s">
        <v>41</v>
      </c>
    </row>
    <row r="494" spans="1:8">
      <c r="A494">
        <v>169198</v>
      </c>
      <c r="B494">
        <v>1083870</v>
      </c>
      <c r="C494">
        <v>6</v>
      </c>
      <c r="D494" t="s">
        <v>1695</v>
      </c>
      <c r="E494">
        <v>348</v>
      </c>
      <c r="F494" t="s">
        <v>41</v>
      </c>
      <c r="G494" t="s">
        <v>41</v>
      </c>
    </row>
    <row r="495" spans="1:8">
      <c r="A495">
        <v>170601</v>
      </c>
      <c r="B495">
        <v>1084581</v>
      </c>
      <c r="C495">
        <v>1</v>
      </c>
      <c r="D495" t="s">
        <v>1695</v>
      </c>
      <c r="E495">
        <v>3026</v>
      </c>
      <c r="F495" t="s">
        <v>41</v>
      </c>
      <c r="G495" t="s">
        <v>41</v>
      </c>
    </row>
    <row r="496" spans="1:8">
      <c r="A496">
        <v>170602</v>
      </c>
      <c r="B496">
        <v>1084581</v>
      </c>
      <c r="C496">
        <v>2</v>
      </c>
      <c r="D496" t="s">
        <v>1695</v>
      </c>
      <c r="E496">
        <v>3026</v>
      </c>
      <c r="F496" t="s">
        <v>41</v>
      </c>
      <c r="G496" t="s">
        <v>41</v>
      </c>
    </row>
    <row r="497" spans="1:8">
      <c r="A497">
        <v>170603</v>
      </c>
      <c r="B497">
        <v>1084581</v>
      </c>
      <c r="C497">
        <v>3</v>
      </c>
      <c r="D497" t="s">
        <v>1695</v>
      </c>
      <c r="E497">
        <v>3026</v>
      </c>
      <c r="F497" t="s">
        <v>41</v>
      </c>
      <c r="G497" t="s">
        <v>41</v>
      </c>
    </row>
    <row r="498" spans="1:8">
      <c r="A498">
        <v>170604</v>
      </c>
      <c r="B498">
        <v>1084581</v>
      </c>
      <c r="C498">
        <v>4</v>
      </c>
      <c r="D498" t="s">
        <v>1695</v>
      </c>
      <c r="E498">
        <v>3026</v>
      </c>
      <c r="F498" t="s">
        <v>41</v>
      </c>
      <c r="G498" t="s">
        <v>41</v>
      </c>
    </row>
    <row r="499" spans="1:8">
      <c r="A499">
        <v>170605</v>
      </c>
      <c r="B499">
        <v>1084581</v>
      </c>
      <c r="C499">
        <v>5</v>
      </c>
      <c r="D499" t="s">
        <v>1695</v>
      </c>
      <c r="E499">
        <v>3026</v>
      </c>
      <c r="F499" t="s">
        <v>41</v>
      </c>
      <c r="G499" t="s">
        <v>41</v>
      </c>
    </row>
    <row r="500" spans="1:8">
      <c r="A500">
        <v>170620</v>
      </c>
      <c r="B500">
        <v>1084587</v>
      </c>
      <c r="C500">
        <v>1</v>
      </c>
      <c r="D500" t="s">
        <v>1695</v>
      </c>
      <c r="E500">
        <v>916</v>
      </c>
      <c r="F500" t="s">
        <v>41</v>
      </c>
      <c r="G500" t="s">
        <v>41</v>
      </c>
    </row>
    <row r="501" spans="1:8">
      <c r="A501">
        <v>170778</v>
      </c>
      <c r="B501">
        <v>1084667</v>
      </c>
      <c r="C501">
        <v>1</v>
      </c>
      <c r="D501" t="s">
        <v>1696</v>
      </c>
      <c r="E501">
        <v>1948</v>
      </c>
      <c r="F501" t="s">
        <v>47</v>
      </c>
      <c r="G501" t="s">
        <v>47</v>
      </c>
    </row>
    <row r="502" spans="1:8">
      <c r="A502">
        <v>170779</v>
      </c>
      <c r="B502">
        <v>1084667</v>
      </c>
      <c r="C502">
        <v>2</v>
      </c>
      <c r="D502" t="s">
        <v>1696</v>
      </c>
      <c r="E502">
        <v>1948</v>
      </c>
      <c r="F502" t="s">
        <v>47</v>
      </c>
      <c r="G502" t="s">
        <v>47</v>
      </c>
    </row>
    <row r="503" spans="1:8">
      <c r="A503">
        <v>170780</v>
      </c>
      <c r="B503">
        <v>1084667</v>
      </c>
      <c r="C503">
        <v>3</v>
      </c>
      <c r="D503" t="s">
        <v>1695</v>
      </c>
      <c r="E503">
        <v>3247</v>
      </c>
      <c r="F503" t="s">
        <v>47</v>
      </c>
      <c r="G503" t="s">
        <v>47</v>
      </c>
    </row>
    <row r="504" spans="1:8">
      <c r="A504">
        <v>171295</v>
      </c>
      <c r="B504">
        <v>1084927</v>
      </c>
      <c r="C504">
        <v>1</v>
      </c>
      <c r="D504" t="s">
        <v>1695</v>
      </c>
      <c r="E504">
        <v>1049</v>
      </c>
      <c r="F504" t="s">
        <v>41</v>
      </c>
      <c r="G504" t="s">
        <v>41</v>
      </c>
    </row>
    <row r="505" spans="1:8">
      <c r="A505">
        <v>171296</v>
      </c>
      <c r="B505">
        <v>1084927</v>
      </c>
      <c r="C505">
        <v>2</v>
      </c>
      <c r="D505" t="s">
        <v>1695</v>
      </c>
      <c r="E505">
        <v>1049</v>
      </c>
      <c r="F505" t="s">
        <v>41</v>
      </c>
      <c r="G505" t="s">
        <v>41</v>
      </c>
    </row>
    <row r="506" spans="1:8">
      <c r="A506">
        <v>171297</v>
      </c>
      <c r="B506">
        <v>1084927</v>
      </c>
      <c r="C506">
        <v>3</v>
      </c>
      <c r="D506" t="s">
        <v>1695</v>
      </c>
      <c r="E506">
        <v>1049</v>
      </c>
      <c r="F506" t="s">
        <v>41</v>
      </c>
      <c r="G506" t="s">
        <v>41</v>
      </c>
    </row>
    <row r="507" spans="1:8">
      <c r="A507">
        <v>171298</v>
      </c>
      <c r="B507">
        <v>1084927</v>
      </c>
      <c r="C507">
        <v>4</v>
      </c>
      <c r="D507" t="s">
        <v>1695</v>
      </c>
      <c r="E507">
        <v>1049</v>
      </c>
      <c r="F507" t="s">
        <v>47</v>
      </c>
      <c r="G507" t="s">
        <v>41</v>
      </c>
    </row>
    <row r="508" spans="1:8">
      <c r="A508">
        <v>172045</v>
      </c>
      <c r="B508">
        <v>1085292</v>
      </c>
      <c r="C508">
        <v>1</v>
      </c>
      <c r="D508" t="s">
        <v>1695</v>
      </c>
      <c r="E508">
        <v>2795</v>
      </c>
      <c r="F508" t="s">
        <v>41</v>
      </c>
      <c r="G508" t="s">
        <v>41</v>
      </c>
    </row>
    <row r="509" spans="1:8">
      <c r="A509">
        <v>172836</v>
      </c>
      <c r="B509">
        <v>1085662</v>
      </c>
      <c r="C509">
        <v>1</v>
      </c>
      <c r="D509" t="s">
        <v>1695</v>
      </c>
      <c r="E509">
        <v>1176</v>
      </c>
      <c r="F509" t="s">
        <v>41</v>
      </c>
      <c r="G509" t="s">
        <v>41</v>
      </c>
    </row>
    <row r="510" spans="1:8">
      <c r="A510">
        <v>172837</v>
      </c>
      <c r="B510">
        <v>1085662</v>
      </c>
      <c r="C510">
        <v>2</v>
      </c>
      <c r="D510" t="s">
        <v>1697</v>
      </c>
      <c r="E510">
        <v>588</v>
      </c>
      <c r="F510" t="s">
        <v>41</v>
      </c>
      <c r="G510" t="s">
        <v>41</v>
      </c>
    </row>
    <row r="511" spans="1:8">
      <c r="A511">
        <v>175764</v>
      </c>
      <c r="B511">
        <v>1087131</v>
      </c>
      <c r="C511">
        <v>1</v>
      </c>
      <c r="D511" t="s">
        <v>1695</v>
      </c>
      <c r="E511">
        <v>762</v>
      </c>
      <c r="F511" t="s">
        <v>49</v>
      </c>
      <c r="G511" t="s">
        <v>49</v>
      </c>
      <c r="H511">
        <v>17644</v>
      </c>
    </row>
    <row r="512" spans="1:8">
      <c r="A512">
        <v>175765</v>
      </c>
      <c r="B512">
        <v>1087131</v>
      </c>
      <c r="C512">
        <v>2</v>
      </c>
      <c r="D512" t="s">
        <v>1696</v>
      </c>
      <c r="E512">
        <v>457</v>
      </c>
      <c r="F512" t="s">
        <v>49</v>
      </c>
      <c r="G512" t="s">
        <v>49</v>
      </c>
      <c r="H512">
        <v>17644</v>
      </c>
    </row>
    <row r="513" spans="1:8">
      <c r="A513">
        <v>175766</v>
      </c>
      <c r="B513">
        <v>1087131</v>
      </c>
      <c r="C513">
        <v>3</v>
      </c>
      <c r="D513" t="s">
        <v>1695</v>
      </c>
      <c r="E513">
        <v>762</v>
      </c>
      <c r="F513" t="s">
        <v>49</v>
      </c>
      <c r="G513" t="s">
        <v>49</v>
      </c>
      <c r="H513">
        <v>17644</v>
      </c>
    </row>
    <row r="514" spans="1:8">
      <c r="A514">
        <v>175767</v>
      </c>
      <c r="B514">
        <v>1087131</v>
      </c>
      <c r="C514">
        <v>4</v>
      </c>
      <c r="D514" t="s">
        <v>1695</v>
      </c>
      <c r="E514">
        <v>762</v>
      </c>
      <c r="F514" t="s">
        <v>49</v>
      </c>
      <c r="G514" t="s">
        <v>49</v>
      </c>
      <c r="H514">
        <v>17644</v>
      </c>
    </row>
    <row r="515" spans="1:8">
      <c r="A515">
        <v>175768</v>
      </c>
      <c r="B515">
        <v>1087131</v>
      </c>
      <c r="C515">
        <v>5</v>
      </c>
      <c r="D515" t="s">
        <v>1695</v>
      </c>
      <c r="E515">
        <v>762</v>
      </c>
      <c r="F515" t="s">
        <v>49</v>
      </c>
      <c r="G515" t="s">
        <v>49</v>
      </c>
      <c r="H515">
        <v>17644</v>
      </c>
    </row>
    <row r="516" spans="1:8">
      <c r="A516">
        <v>175769</v>
      </c>
      <c r="B516">
        <v>1087131</v>
      </c>
      <c r="C516">
        <v>6</v>
      </c>
      <c r="D516" t="s">
        <v>1695</v>
      </c>
      <c r="E516">
        <v>762</v>
      </c>
      <c r="F516" t="s">
        <v>49</v>
      </c>
      <c r="G516" t="s">
        <v>49</v>
      </c>
      <c r="H516">
        <v>17644</v>
      </c>
    </row>
    <row r="517" spans="1:8">
      <c r="A517">
        <v>176192</v>
      </c>
      <c r="B517">
        <v>1087348</v>
      </c>
      <c r="C517">
        <v>1</v>
      </c>
      <c r="D517" t="s">
        <v>1695</v>
      </c>
      <c r="E517">
        <v>870</v>
      </c>
      <c r="F517" t="s">
        <v>41</v>
      </c>
      <c r="G517" t="s">
        <v>41</v>
      </c>
    </row>
    <row r="518" spans="1:8">
      <c r="A518">
        <v>176193</v>
      </c>
      <c r="B518">
        <v>1087348</v>
      </c>
      <c r="C518">
        <v>2</v>
      </c>
      <c r="D518" t="s">
        <v>1695</v>
      </c>
      <c r="E518">
        <v>870</v>
      </c>
      <c r="F518" t="s">
        <v>41</v>
      </c>
      <c r="G518" t="s">
        <v>41</v>
      </c>
    </row>
    <row r="519" spans="1:8">
      <c r="A519">
        <v>177621</v>
      </c>
      <c r="B519">
        <v>1088056</v>
      </c>
      <c r="C519">
        <v>1</v>
      </c>
      <c r="D519" t="s">
        <v>1695</v>
      </c>
      <c r="E519">
        <v>4142</v>
      </c>
      <c r="F519" t="s">
        <v>41</v>
      </c>
      <c r="G519" t="s">
        <v>41</v>
      </c>
    </row>
    <row r="520" spans="1:8">
      <c r="A520">
        <v>177622</v>
      </c>
      <c r="B520">
        <v>1088056</v>
      </c>
      <c r="C520">
        <v>2</v>
      </c>
      <c r="D520" t="s">
        <v>1695</v>
      </c>
      <c r="E520">
        <v>4142</v>
      </c>
      <c r="F520" t="s">
        <v>41</v>
      </c>
      <c r="G520" t="s">
        <v>41</v>
      </c>
    </row>
    <row r="521" spans="1:8">
      <c r="A521">
        <v>181672</v>
      </c>
      <c r="B521">
        <v>1089984</v>
      </c>
      <c r="C521">
        <v>1</v>
      </c>
      <c r="D521" t="s">
        <v>1695</v>
      </c>
      <c r="E521">
        <v>790</v>
      </c>
      <c r="F521" t="s">
        <v>41</v>
      </c>
      <c r="G521" t="s">
        <v>41</v>
      </c>
    </row>
    <row r="522" spans="1:8">
      <c r="A522">
        <v>182122</v>
      </c>
      <c r="B522">
        <v>1090224</v>
      </c>
      <c r="C522">
        <v>1</v>
      </c>
      <c r="D522" t="s">
        <v>1695</v>
      </c>
      <c r="E522">
        <v>1008</v>
      </c>
      <c r="F522" t="s">
        <v>41</v>
      </c>
      <c r="G522" t="s">
        <v>41</v>
      </c>
    </row>
    <row r="523" spans="1:8">
      <c r="A523">
        <v>183200</v>
      </c>
      <c r="B523">
        <v>1090748</v>
      </c>
      <c r="C523">
        <v>1</v>
      </c>
      <c r="D523" t="s">
        <v>1695</v>
      </c>
      <c r="E523">
        <v>950</v>
      </c>
      <c r="F523" t="s">
        <v>49</v>
      </c>
      <c r="G523" t="s">
        <v>49</v>
      </c>
      <c r="H523">
        <v>18150</v>
      </c>
    </row>
    <row r="524" spans="1:8">
      <c r="A524">
        <v>184386</v>
      </c>
      <c r="B524">
        <v>1091321</v>
      </c>
      <c r="C524">
        <v>1</v>
      </c>
      <c r="D524" t="s">
        <v>1695</v>
      </c>
      <c r="E524">
        <v>854</v>
      </c>
      <c r="F524" t="s">
        <v>41</v>
      </c>
      <c r="G524" t="s">
        <v>41</v>
      </c>
    </row>
    <row r="525" spans="1:8">
      <c r="A525">
        <v>185271</v>
      </c>
      <c r="B525">
        <v>1091765</v>
      </c>
      <c r="C525">
        <v>1</v>
      </c>
      <c r="D525" t="s">
        <v>1695</v>
      </c>
      <c r="E525">
        <v>544</v>
      </c>
      <c r="F525" t="s">
        <v>41</v>
      </c>
      <c r="G525" t="s">
        <v>41</v>
      </c>
    </row>
    <row r="526" spans="1:8">
      <c r="A526">
        <v>185272</v>
      </c>
      <c r="B526">
        <v>1091765</v>
      </c>
      <c r="C526">
        <v>2</v>
      </c>
      <c r="D526" t="s">
        <v>1695</v>
      </c>
      <c r="E526">
        <v>544</v>
      </c>
      <c r="F526" t="s">
        <v>41</v>
      </c>
      <c r="G526" t="s">
        <v>41</v>
      </c>
    </row>
    <row r="527" spans="1:8">
      <c r="A527">
        <v>185277</v>
      </c>
      <c r="B527">
        <v>1091769</v>
      </c>
      <c r="C527">
        <v>1</v>
      </c>
      <c r="D527" t="s">
        <v>1695</v>
      </c>
      <c r="E527">
        <v>710</v>
      </c>
      <c r="F527" t="s">
        <v>49</v>
      </c>
      <c r="G527" t="s">
        <v>49</v>
      </c>
      <c r="H527">
        <v>18403</v>
      </c>
    </row>
    <row r="528" spans="1:8">
      <c r="A528">
        <v>185278</v>
      </c>
      <c r="B528">
        <v>1091769</v>
      </c>
      <c r="C528">
        <v>2</v>
      </c>
      <c r="D528" t="s">
        <v>1695</v>
      </c>
      <c r="E528">
        <v>710</v>
      </c>
      <c r="F528" t="s">
        <v>49</v>
      </c>
      <c r="G528" t="s">
        <v>49</v>
      </c>
      <c r="H528">
        <v>18403</v>
      </c>
    </row>
    <row r="529" spans="1:8">
      <c r="A529">
        <v>185279</v>
      </c>
      <c r="B529">
        <v>1091769</v>
      </c>
      <c r="C529">
        <v>3</v>
      </c>
      <c r="D529" t="s">
        <v>1697</v>
      </c>
      <c r="E529">
        <v>355</v>
      </c>
      <c r="F529" t="s">
        <v>49</v>
      </c>
      <c r="G529" t="s">
        <v>49</v>
      </c>
      <c r="H529">
        <v>18403</v>
      </c>
    </row>
    <row r="530" spans="1:8">
      <c r="A530">
        <v>185280</v>
      </c>
      <c r="B530">
        <v>1091769</v>
      </c>
      <c r="C530">
        <v>4</v>
      </c>
      <c r="D530" t="s">
        <v>1696</v>
      </c>
      <c r="E530">
        <v>426</v>
      </c>
      <c r="F530" t="s">
        <v>49</v>
      </c>
      <c r="G530" t="s">
        <v>49</v>
      </c>
      <c r="H530">
        <v>18403</v>
      </c>
    </row>
    <row r="531" spans="1:8">
      <c r="A531">
        <v>185281</v>
      </c>
      <c r="B531">
        <v>1091769</v>
      </c>
      <c r="C531">
        <v>5</v>
      </c>
      <c r="D531" t="s">
        <v>1697</v>
      </c>
      <c r="E531">
        <v>355</v>
      </c>
      <c r="F531" t="s">
        <v>49</v>
      </c>
      <c r="G531" t="s">
        <v>49</v>
      </c>
      <c r="H531">
        <v>18403</v>
      </c>
    </row>
    <row r="532" spans="1:8">
      <c r="A532">
        <v>185282</v>
      </c>
      <c r="B532">
        <v>1091769</v>
      </c>
      <c r="C532">
        <v>6</v>
      </c>
      <c r="D532" t="s">
        <v>1695</v>
      </c>
      <c r="E532">
        <v>710</v>
      </c>
      <c r="F532" t="s">
        <v>49</v>
      </c>
      <c r="G532" t="s">
        <v>49</v>
      </c>
      <c r="H532">
        <v>18403</v>
      </c>
    </row>
    <row r="533" spans="1:8">
      <c r="A533">
        <v>185681</v>
      </c>
      <c r="B533">
        <v>1091959</v>
      </c>
      <c r="C533">
        <v>1</v>
      </c>
      <c r="D533" t="s">
        <v>1695</v>
      </c>
      <c r="E533">
        <v>1176</v>
      </c>
      <c r="F533" t="s">
        <v>41</v>
      </c>
      <c r="G533" t="s">
        <v>41</v>
      </c>
    </row>
    <row r="534" spans="1:8">
      <c r="A534">
        <v>186002</v>
      </c>
      <c r="B534">
        <v>1092107</v>
      </c>
      <c r="C534">
        <v>1</v>
      </c>
      <c r="D534" t="s">
        <v>1695</v>
      </c>
      <c r="E534">
        <v>1176</v>
      </c>
      <c r="F534" t="s">
        <v>41</v>
      </c>
      <c r="G534" t="s">
        <v>41</v>
      </c>
    </row>
    <row r="535" spans="1:8">
      <c r="A535">
        <v>186441</v>
      </c>
      <c r="B535">
        <v>1092320</v>
      </c>
      <c r="C535">
        <v>1</v>
      </c>
      <c r="D535" t="s">
        <v>1695</v>
      </c>
      <c r="E535">
        <v>2886</v>
      </c>
      <c r="F535" t="s">
        <v>41</v>
      </c>
      <c r="G535" t="s">
        <v>41</v>
      </c>
    </row>
    <row r="536" spans="1:8">
      <c r="A536">
        <v>186442</v>
      </c>
      <c r="B536">
        <v>1092320</v>
      </c>
      <c r="C536">
        <v>2</v>
      </c>
      <c r="D536" t="s">
        <v>1695</v>
      </c>
      <c r="E536">
        <v>2886</v>
      </c>
      <c r="F536" t="s">
        <v>41</v>
      </c>
      <c r="G536" t="s">
        <v>41</v>
      </c>
    </row>
    <row r="537" spans="1:8">
      <c r="A537">
        <v>186443</v>
      </c>
      <c r="B537">
        <v>1092320</v>
      </c>
      <c r="C537">
        <v>3</v>
      </c>
      <c r="D537" t="s">
        <v>1695</v>
      </c>
      <c r="E537">
        <v>2886</v>
      </c>
      <c r="F537" t="s">
        <v>41</v>
      </c>
      <c r="G537" t="s">
        <v>41</v>
      </c>
    </row>
    <row r="538" spans="1:8">
      <c r="A538">
        <v>186444</v>
      </c>
      <c r="B538">
        <v>1092320</v>
      </c>
      <c r="C538">
        <v>4</v>
      </c>
      <c r="D538" t="s">
        <v>1697</v>
      </c>
      <c r="E538">
        <v>1443</v>
      </c>
      <c r="F538" t="s">
        <v>41</v>
      </c>
      <c r="G538" t="s">
        <v>41</v>
      </c>
    </row>
    <row r="539" spans="1:8">
      <c r="A539">
        <v>187821</v>
      </c>
      <c r="B539">
        <v>1092995</v>
      </c>
      <c r="C539">
        <v>1</v>
      </c>
      <c r="D539" t="s">
        <v>1695</v>
      </c>
      <c r="E539">
        <v>2429</v>
      </c>
      <c r="F539" t="s">
        <v>41</v>
      </c>
      <c r="G539" t="s">
        <v>41</v>
      </c>
    </row>
    <row r="540" spans="1:8">
      <c r="A540">
        <v>188596</v>
      </c>
      <c r="B540">
        <v>1093380</v>
      </c>
      <c r="C540">
        <v>1</v>
      </c>
      <c r="D540" t="s">
        <v>1695</v>
      </c>
      <c r="E540">
        <v>2784</v>
      </c>
      <c r="F540" t="s">
        <v>41</v>
      </c>
      <c r="G540" t="s">
        <v>41</v>
      </c>
    </row>
    <row r="541" spans="1:8">
      <c r="A541">
        <v>190146</v>
      </c>
      <c r="B541">
        <v>1094153</v>
      </c>
      <c r="C541">
        <v>1</v>
      </c>
      <c r="D541" t="s">
        <v>1695</v>
      </c>
      <c r="E541">
        <v>1176</v>
      </c>
      <c r="F541" t="s">
        <v>41</v>
      </c>
      <c r="G541" t="s">
        <v>41</v>
      </c>
    </row>
    <row r="542" spans="1:8">
      <c r="A542">
        <v>192920</v>
      </c>
      <c r="B542">
        <v>1095527</v>
      </c>
      <c r="C542">
        <v>1</v>
      </c>
      <c r="D542" t="s">
        <v>1695</v>
      </c>
      <c r="E542">
        <v>4482</v>
      </c>
      <c r="F542" t="s">
        <v>41</v>
      </c>
      <c r="G542" t="s">
        <v>37</v>
      </c>
      <c r="H542">
        <v>19825</v>
      </c>
    </row>
    <row r="543" spans="1:8">
      <c r="A543">
        <v>192921</v>
      </c>
      <c r="B543">
        <v>1095527</v>
      </c>
      <c r="C543">
        <v>2</v>
      </c>
      <c r="D543" t="s">
        <v>1696</v>
      </c>
      <c r="E543">
        <v>2689</v>
      </c>
      <c r="F543" t="s">
        <v>41</v>
      </c>
      <c r="G543" t="s">
        <v>37</v>
      </c>
      <c r="H543">
        <v>19825</v>
      </c>
    </row>
    <row r="544" spans="1:8">
      <c r="A544">
        <v>192922</v>
      </c>
      <c r="B544">
        <v>1095527</v>
      </c>
      <c r="C544">
        <v>3</v>
      </c>
      <c r="D544" t="s">
        <v>1696</v>
      </c>
      <c r="E544">
        <v>2689</v>
      </c>
      <c r="F544" t="s">
        <v>41</v>
      </c>
      <c r="G544" t="s">
        <v>37</v>
      </c>
      <c r="H544">
        <v>19825</v>
      </c>
    </row>
    <row r="545" spans="1:8">
      <c r="A545">
        <v>192923</v>
      </c>
      <c r="B545">
        <v>1095527</v>
      </c>
      <c r="C545">
        <v>4</v>
      </c>
      <c r="D545" t="s">
        <v>1695</v>
      </c>
      <c r="E545">
        <v>4482</v>
      </c>
      <c r="F545" t="s">
        <v>41</v>
      </c>
      <c r="G545" t="s">
        <v>37</v>
      </c>
      <c r="H545">
        <v>19825</v>
      </c>
    </row>
    <row r="546" spans="1:8">
      <c r="A546">
        <v>192924</v>
      </c>
      <c r="B546">
        <v>1095527</v>
      </c>
      <c r="C546">
        <v>5</v>
      </c>
      <c r="D546" t="s">
        <v>1695</v>
      </c>
      <c r="E546">
        <v>4482</v>
      </c>
      <c r="F546" t="s">
        <v>41</v>
      </c>
      <c r="G546" t="s">
        <v>37</v>
      </c>
      <c r="H546">
        <v>19825</v>
      </c>
    </row>
    <row r="547" spans="1:8">
      <c r="A547">
        <v>192925</v>
      </c>
      <c r="B547">
        <v>1095527</v>
      </c>
      <c r="C547">
        <v>6</v>
      </c>
      <c r="D547" t="s">
        <v>1695</v>
      </c>
      <c r="E547">
        <v>4482</v>
      </c>
      <c r="F547" t="s">
        <v>41</v>
      </c>
      <c r="G547" t="s">
        <v>37</v>
      </c>
      <c r="H547">
        <v>19825</v>
      </c>
    </row>
    <row r="548" spans="1:8">
      <c r="A548">
        <v>194041</v>
      </c>
      <c r="B548">
        <v>1096099</v>
      </c>
      <c r="C548">
        <v>1</v>
      </c>
      <c r="D548" t="s">
        <v>1695</v>
      </c>
      <c r="E548">
        <v>654</v>
      </c>
      <c r="F548" t="s">
        <v>41</v>
      </c>
      <c r="G548" t="s">
        <v>41</v>
      </c>
    </row>
    <row r="549" spans="1:8">
      <c r="A549">
        <v>194042</v>
      </c>
      <c r="B549">
        <v>1096099</v>
      </c>
      <c r="C549">
        <v>2</v>
      </c>
      <c r="D549" t="s">
        <v>1695</v>
      </c>
      <c r="E549">
        <v>654</v>
      </c>
      <c r="F549" t="s">
        <v>41</v>
      </c>
      <c r="G549" t="s">
        <v>41</v>
      </c>
    </row>
    <row r="550" spans="1:8">
      <c r="A550">
        <v>194541</v>
      </c>
      <c r="B550">
        <v>1096350</v>
      </c>
      <c r="C550">
        <v>1</v>
      </c>
      <c r="D550" t="s">
        <v>1695</v>
      </c>
      <c r="E550">
        <v>1606</v>
      </c>
      <c r="F550" t="s">
        <v>41</v>
      </c>
      <c r="G550" t="s">
        <v>37</v>
      </c>
      <c r="H550">
        <v>19676</v>
      </c>
    </row>
    <row r="551" spans="1:8">
      <c r="A551">
        <v>194542</v>
      </c>
      <c r="B551">
        <v>1096350</v>
      </c>
      <c r="C551">
        <v>2</v>
      </c>
      <c r="D551" t="s">
        <v>1696</v>
      </c>
      <c r="E551">
        <v>963</v>
      </c>
      <c r="F551" t="s">
        <v>41</v>
      </c>
      <c r="G551" t="s">
        <v>37</v>
      </c>
      <c r="H551">
        <v>19676</v>
      </c>
    </row>
    <row r="552" spans="1:8">
      <c r="A552">
        <v>194543</v>
      </c>
      <c r="B552">
        <v>1096350</v>
      </c>
      <c r="C552">
        <v>3</v>
      </c>
      <c r="D552" t="s">
        <v>1695</v>
      </c>
      <c r="E552">
        <v>1606</v>
      </c>
      <c r="F552" t="s">
        <v>41</v>
      </c>
      <c r="G552" t="s">
        <v>37</v>
      </c>
      <c r="H552">
        <v>19676</v>
      </c>
    </row>
    <row r="553" spans="1:8">
      <c r="A553">
        <v>195131</v>
      </c>
      <c r="B553">
        <v>1096648</v>
      </c>
      <c r="C553">
        <v>1</v>
      </c>
      <c r="D553" t="s">
        <v>1695</v>
      </c>
      <c r="E553">
        <v>1657</v>
      </c>
      <c r="F553" t="s">
        <v>41</v>
      </c>
      <c r="G553" t="s">
        <v>37</v>
      </c>
      <c r="H553">
        <v>20547</v>
      </c>
    </row>
    <row r="554" spans="1:8">
      <c r="A554">
        <v>195132</v>
      </c>
      <c r="B554">
        <v>1096648</v>
      </c>
      <c r="C554">
        <v>2</v>
      </c>
      <c r="D554" t="s">
        <v>1697</v>
      </c>
      <c r="E554">
        <v>829</v>
      </c>
      <c r="F554" t="s">
        <v>41</v>
      </c>
      <c r="G554" t="s">
        <v>37</v>
      </c>
      <c r="H554">
        <v>20547</v>
      </c>
    </row>
    <row r="555" spans="1:8">
      <c r="A555">
        <v>197446</v>
      </c>
      <c r="B555">
        <v>1097788</v>
      </c>
      <c r="C555">
        <v>1</v>
      </c>
      <c r="D555" t="s">
        <v>1695</v>
      </c>
      <c r="E555">
        <v>288</v>
      </c>
      <c r="F555" t="s">
        <v>41</v>
      </c>
      <c r="G555" t="s">
        <v>37</v>
      </c>
      <c r="H555">
        <v>19413</v>
      </c>
    </row>
    <row r="556" spans="1:8">
      <c r="A556">
        <v>197447</v>
      </c>
      <c r="B556">
        <v>1097788</v>
      </c>
      <c r="C556">
        <v>2</v>
      </c>
      <c r="D556" t="s">
        <v>1695</v>
      </c>
      <c r="E556">
        <v>288</v>
      </c>
      <c r="F556" t="s">
        <v>41</v>
      </c>
      <c r="G556" t="s">
        <v>37</v>
      </c>
      <c r="H556">
        <v>19413</v>
      </c>
    </row>
    <row r="557" spans="1:8">
      <c r="A557">
        <v>197448</v>
      </c>
      <c r="B557">
        <v>1097788</v>
      </c>
      <c r="C557">
        <v>3</v>
      </c>
      <c r="D557" t="s">
        <v>1695</v>
      </c>
      <c r="E557">
        <v>288</v>
      </c>
      <c r="F557" t="s">
        <v>41</v>
      </c>
      <c r="G557" t="s">
        <v>37</v>
      </c>
      <c r="H557">
        <v>19413</v>
      </c>
    </row>
    <row r="558" spans="1:8">
      <c r="A558">
        <v>197449</v>
      </c>
      <c r="B558">
        <v>1097788</v>
      </c>
      <c r="C558">
        <v>4</v>
      </c>
      <c r="D558" t="s">
        <v>1695</v>
      </c>
      <c r="E558">
        <v>288</v>
      </c>
      <c r="F558" t="s">
        <v>41</v>
      </c>
      <c r="G558" t="s">
        <v>37</v>
      </c>
      <c r="H558">
        <v>19413</v>
      </c>
    </row>
    <row r="559" spans="1:8">
      <c r="A559">
        <v>197800</v>
      </c>
      <c r="B559">
        <v>1097941</v>
      </c>
      <c r="C559">
        <v>1</v>
      </c>
      <c r="D559" t="s">
        <v>1695</v>
      </c>
      <c r="E559">
        <v>3003</v>
      </c>
      <c r="F559" t="s">
        <v>47</v>
      </c>
      <c r="G559" t="s">
        <v>41</v>
      </c>
    </row>
    <row r="560" spans="1:8">
      <c r="A560">
        <v>197801</v>
      </c>
      <c r="B560">
        <v>1097941</v>
      </c>
      <c r="C560">
        <v>2</v>
      </c>
      <c r="D560" t="s">
        <v>1696</v>
      </c>
      <c r="E560">
        <v>1802</v>
      </c>
      <c r="F560" t="s">
        <v>47</v>
      </c>
      <c r="G560" t="s">
        <v>41</v>
      </c>
    </row>
    <row r="561" spans="1:7">
      <c r="A561">
        <v>198428</v>
      </c>
      <c r="B561">
        <v>1098241</v>
      </c>
      <c r="C561">
        <v>1</v>
      </c>
      <c r="D561" t="s">
        <v>1695</v>
      </c>
      <c r="E561">
        <v>654</v>
      </c>
      <c r="F561" t="s">
        <v>41</v>
      </c>
      <c r="G561" t="s">
        <v>41</v>
      </c>
    </row>
    <row r="562" spans="1:7">
      <c r="A562">
        <v>198429</v>
      </c>
      <c r="B562">
        <v>1098241</v>
      </c>
      <c r="C562">
        <v>2</v>
      </c>
      <c r="D562" t="s">
        <v>1695</v>
      </c>
      <c r="E562">
        <v>654</v>
      </c>
      <c r="F562" t="s">
        <v>41</v>
      </c>
      <c r="G562" t="s">
        <v>41</v>
      </c>
    </row>
    <row r="563" spans="1:7">
      <c r="A563">
        <v>198430</v>
      </c>
      <c r="B563">
        <v>1098241</v>
      </c>
      <c r="C563">
        <v>3</v>
      </c>
      <c r="D563" t="s">
        <v>1695</v>
      </c>
      <c r="E563">
        <v>654</v>
      </c>
      <c r="F563" t="s">
        <v>41</v>
      </c>
      <c r="G563" t="s">
        <v>41</v>
      </c>
    </row>
    <row r="564" spans="1:7">
      <c r="A564">
        <v>198431</v>
      </c>
      <c r="B564">
        <v>1098241</v>
      </c>
      <c r="C564">
        <v>4</v>
      </c>
      <c r="D564" t="s">
        <v>1695</v>
      </c>
      <c r="E564">
        <v>654</v>
      </c>
      <c r="F564" t="s">
        <v>41</v>
      </c>
      <c r="G564" t="s">
        <v>41</v>
      </c>
    </row>
    <row r="565" spans="1:7">
      <c r="A565">
        <v>198494</v>
      </c>
      <c r="B565">
        <v>1098271</v>
      </c>
      <c r="C565">
        <v>1</v>
      </c>
      <c r="D565" t="s">
        <v>2094</v>
      </c>
      <c r="E565">
        <v>3123</v>
      </c>
      <c r="F565" t="s">
        <v>41</v>
      </c>
      <c r="G565" t="s">
        <v>41</v>
      </c>
    </row>
    <row r="566" spans="1:7">
      <c r="A566">
        <v>198495</v>
      </c>
      <c r="B566">
        <v>1098271</v>
      </c>
      <c r="C566">
        <v>2</v>
      </c>
      <c r="D566" t="s">
        <v>1695</v>
      </c>
      <c r="E566">
        <v>3123</v>
      </c>
      <c r="F566" t="s">
        <v>41</v>
      </c>
      <c r="G566" t="s">
        <v>41</v>
      </c>
    </row>
    <row r="567" spans="1:7">
      <c r="A567">
        <v>198496</v>
      </c>
      <c r="B567">
        <v>1098271</v>
      </c>
      <c r="C567">
        <v>3</v>
      </c>
      <c r="D567" t="s">
        <v>1696</v>
      </c>
      <c r="E567">
        <v>1874</v>
      </c>
      <c r="F567" t="s">
        <v>41</v>
      </c>
      <c r="G567" t="s">
        <v>41</v>
      </c>
    </row>
    <row r="568" spans="1:7">
      <c r="A568">
        <v>198497</v>
      </c>
      <c r="B568">
        <v>1098271</v>
      </c>
      <c r="C568">
        <v>4</v>
      </c>
      <c r="D568" t="s">
        <v>1697</v>
      </c>
      <c r="E568">
        <v>1562</v>
      </c>
      <c r="F568" t="s">
        <v>41</v>
      </c>
      <c r="G568" t="s">
        <v>41</v>
      </c>
    </row>
    <row r="569" spans="1:7">
      <c r="A569">
        <v>199469</v>
      </c>
      <c r="B569">
        <v>1098731</v>
      </c>
      <c r="C569">
        <v>1</v>
      </c>
      <c r="D569" t="s">
        <v>1695</v>
      </c>
      <c r="E569">
        <v>1131</v>
      </c>
      <c r="F569" t="s">
        <v>41</v>
      </c>
      <c r="G569" t="s">
        <v>41</v>
      </c>
    </row>
    <row r="570" spans="1:7">
      <c r="A570">
        <v>199470</v>
      </c>
      <c r="B570">
        <v>1098731</v>
      </c>
      <c r="C570">
        <v>2</v>
      </c>
      <c r="D570" t="s">
        <v>1695</v>
      </c>
      <c r="E570">
        <v>1131</v>
      </c>
      <c r="F570" t="s">
        <v>41</v>
      </c>
      <c r="G570" t="s">
        <v>41</v>
      </c>
    </row>
    <row r="571" spans="1:7">
      <c r="A571">
        <v>199471</v>
      </c>
      <c r="B571">
        <v>1098731</v>
      </c>
      <c r="C571">
        <v>3</v>
      </c>
      <c r="D571" t="s">
        <v>1695</v>
      </c>
      <c r="E571">
        <v>1131</v>
      </c>
      <c r="F571" t="s">
        <v>41</v>
      </c>
      <c r="G571" t="s">
        <v>41</v>
      </c>
    </row>
    <row r="572" spans="1:7">
      <c r="A572">
        <v>199472</v>
      </c>
      <c r="B572">
        <v>1098731</v>
      </c>
      <c r="C572">
        <v>4</v>
      </c>
      <c r="D572" t="s">
        <v>1695</v>
      </c>
      <c r="E572">
        <v>1131</v>
      </c>
      <c r="F572" t="s">
        <v>41</v>
      </c>
      <c r="G572" t="s">
        <v>41</v>
      </c>
    </row>
    <row r="573" spans="1:7">
      <c r="A573">
        <v>199473</v>
      </c>
      <c r="B573">
        <v>1098731</v>
      </c>
      <c r="C573">
        <v>5</v>
      </c>
      <c r="D573" t="s">
        <v>1695</v>
      </c>
      <c r="E573">
        <v>1131</v>
      </c>
      <c r="F573" t="s">
        <v>41</v>
      </c>
      <c r="G573" t="s">
        <v>41</v>
      </c>
    </row>
    <row r="574" spans="1:7">
      <c r="A574">
        <v>199532</v>
      </c>
      <c r="B574">
        <v>1098764</v>
      </c>
      <c r="C574">
        <v>1</v>
      </c>
      <c r="D574" t="s">
        <v>1695</v>
      </c>
      <c r="E574">
        <v>654</v>
      </c>
      <c r="F574" t="s">
        <v>41</v>
      </c>
      <c r="G574" t="s">
        <v>41</v>
      </c>
    </row>
    <row r="575" spans="1:7">
      <c r="A575">
        <v>199533</v>
      </c>
      <c r="B575">
        <v>1098764</v>
      </c>
      <c r="C575">
        <v>2</v>
      </c>
      <c r="D575" t="s">
        <v>1695</v>
      </c>
      <c r="E575">
        <v>654</v>
      </c>
      <c r="F575" t="s">
        <v>41</v>
      </c>
      <c r="G575" t="s">
        <v>41</v>
      </c>
    </row>
    <row r="576" spans="1:7">
      <c r="A576">
        <v>199534</v>
      </c>
      <c r="B576">
        <v>1098764</v>
      </c>
      <c r="C576">
        <v>3</v>
      </c>
      <c r="D576" t="s">
        <v>1695</v>
      </c>
      <c r="E576">
        <v>654</v>
      </c>
      <c r="F576" t="s">
        <v>41</v>
      </c>
      <c r="G576" t="s">
        <v>41</v>
      </c>
    </row>
    <row r="577" spans="1:8">
      <c r="A577">
        <v>199535</v>
      </c>
      <c r="B577">
        <v>1098764</v>
      </c>
      <c r="C577">
        <v>4</v>
      </c>
      <c r="D577" t="s">
        <v>1695</v>
      </c>
      <c r="E577">
        <v>654</v>
      </c>
      <c r="F577" t="s">
        <v>41</v>
      </c>
      <c r="G577" t="s">
        <v>41</v>
      </c>
    </row>
    <row r="578" spans="1:8">
      <c r="A578">
        <v>199861</v>
      </c>
      <c r="B578">
        <v>1098923</v>
      </c>
      <c r="C578">
        <v>1</v>
      </c>
      <c r="D578" t="s">
        <v>1695</v>
      </c>
      <c r="E578">
        <v>1731</v>
      </c>
      <c r="F578" t="s">
        <v>49</v>
      </c>
      <c r="G578" t="s">
        <v>49</v>
      </c>
      <c r="H578">
        <v>19788</v>
      </c>
    </row>
    <row r="579" spans="1:8">
      <c r="A579">
        <v>199862</v>
      </c>
      <c r="B579">
        <v>1098923</v>
      </c>
      <c r="C579">
        <v>2</v>
      </c>
      <c r="D579" t="s">
        <v>1696</v>
      </c>
      <c r="E579">
        <v>1039</v>
      </c>
      <c r="F579" t="s">
        <v>49</v>
      </c>
      <c r="G579" t="s">
        <v>49</v>
      </c>
      <c r="H579">
        <v>19788</v>
      </c>
    </row>
    <row r="580" spans="1:8">
      <c r="A580">
        <v>199863</v>
      </c>
      <c r="B580">
        <v>1098923</v>
      </c>
      <c r="C580">
        <v>3</v>
      </c>
      <c r="D580" t="s">
        <v>1696</v>
      </c>
      <c r="E580">
        <v>1039</v>
      </c>
      <c r="F580" t="s">
        <v>49</v>
      </c>
      <c r="G580" t="s">
        <v>49</v>
      </c>
      <c r="H580">
        <v>19788</v>
      </c>
    </row>
    <row r="581" spans="1:8">
      <c r="A581">
        <v>199864</v>
      </c>
      <c r="B581">
        <v>1098923</v>
      </c>
      <c r="C581">
        <v>4</v>
      </c>
      <c r="D581" t="s">
        <v>1696</v>
      </c>
      <c r="E581">
        <v>1039</v>
      </c>
      <c r="F581" t="s">
        <v>49</v>
      </c>
      <c r="G581" t="s">
        <v>49</v>
      </c>
      <c r="H581">
        <v>19788</v>
      </c>
    </row>
    <row r="582" spans="1:8">
      <c r="A582">
        <v>199865</v>
      </c>
      <c r="B582">
        <v>1098923</v>
      </c>
      <c r="C582">
        <v>5</v>
      </c>
      <c r="D582" t="s">
        <v>1695</v>
      </c>
      <c r="E582">
        <v>1731</v>
      </c>
      <c r="F582" t="s">
        <v>49</v>
      </c>
      <c r="G582" t="s">
        <v>49</v>
      </c>
      <c r="H582">
        <v>19788</v>
      </c>
    </row>
    <row r="583" spans="1:8">
      <c r="A583">
        <v>199866</v>
      </c>
      <c r="B583">
        <v>1098923</v>
      </c>
      <c r="C583">
        <v>6</v>
      </c>
      <c r="D583" t="s">
        <v>1696</v>
      </c>
      <c r="E583">
        <v>1039</v>
      </c>
      <c r="F583" t="s">
        <v>49</v>
      </c>
      <c r="G583" t="s">
        <v>49</v>
      </c>
      <c r="H583">
        <v>19788</v>
      </c>
    </row>
    <row r="584" spans="1:8">
      <c r="A584">
        <v>200752</v>
      </c>
      <c r="B584">
        <v>1099369</v>
      </c>
      <c r="C584">
        <v>1</v>
      </c>
      <c r="D584" t="s">
        <v>1696</v>
      </c>
      <c r="E584">
        <v>1039</v>
      </c>
      <c r="F584" t="s">
        <v>49</v>
      </c>
      <c r="G584" t="s">
        <v>49</v>
      </c>
      <c r="H584">
        <v>19793</v>
      </c>
    </row>
    <row r="585" spans="1:8">
      <c r="A585">
        <v>200753</v>
      </c>
      <c r="B585">
        <v>1099369</v>
      </c>
      <c r="C585">
        <v>2</v>
      </c>
      <c r="D585" t="s">
        <v>1695</v>
      </c>
      <c r="E585">
        <v>1731</v>
      </c>
      <c r="F585" t="s">
        <v>49</v>
      </c>
      <c r="G585" t="s">
        <v>49</v>
      </c>
      <c r="H585">
        <v>19793</v>
      </c>
    </row>
    <row r="586" spans="1:8">
      <c r="A586">
        <v>200754</v>
      </c>
      <c r="B586">
        <v>1099369</v>
      </c>
      <c r="C586">
        <v>3</v>
      </c>
      <c r="D586" t="s">
        <v>1695</v>
      </c>
      <c r="E586">
        <v>1731</v>
      </c>
      <c r="F586" t="s">
        <v>49</v>
      </c>
      <c r="G586" t="s">
        <v>49</v>
      </c>
      <c r="H586">
        <v>19793</v>
      </c>
    </row>
    <row r="587" spans="1:8">
      <c r="A587">
        <v>200755</v>
      </c>
      <c r="B587">
        <v>1099369</v>
      </c>
      <c r="C587">
        <v>4</v>
      </c>
      <c r="D587" t="s">
        <v>1697</v>
      </c>
      <c r="E587">
        <v>866</v>
      </c>
      <c r="F587" t="s">
        <v>49</v>
      </c>
      <c r="G587" t="s">
        <v>49</v>
      </c>
      <c r="H587">
        <v>19793</v>
      </c>
    </row>
    <row r="588" spans="1:8">
      <c r="A588">
        <v>201001</v>
      </c>
      <c r="B588">
        <v>1099495</v>
      </c>
      <c r="C588">
        <v>1</v>
      </c>
      <c r="D588" t="s">
        <v>1695</v>
      </c>
      <c r="E588">
        <v>950</v>
      </c>
      <c r="F588" t="s">
        <v>41</v>
      </c>
      <c r="G588" t="s">
        <v>37</v>
      </c>
      <c r="H588">
        <v>21998</v>
      </c>
    </row>
    <row r="589" spans="1:8">
      <c r="A589">
        <v>201002</v>
      </c>
      <c r="B589">
        <v>1099495</v>
      </c>
      <c r="C589">
        <v>2</v>
      </c>
      <c r="D589" t="s">
        <v>1695</v>
      </c>
      <c r="E589">
        <v>950</v>
      </c>
      <c r="F589" t="s">
        <v>41</v>
      </c>
      <c r="G589" t="s">
        <v>37</v>
      </c>
      <c r="H589">
        <v>21998</v>
      </c>
    </row>
    <row r="590" spans="1:8">
      <c r="A590">
        <v>201003</v>
      </c>
      <c r="B590">
        <v>1099495</v>
      </c>
      <c r="C590">
        <v>3</v>
      </c>
      <c r="D590" t="s">
        <v>1695</v>
      </c>
      <c r="E590">
        <v>950</v>
      </c>
      <c r="F590" t="s">
        <v>41</v>
      </c>
      <c r="G590" t="s">
        <v>37</v>
      </c>
      <c r="H590">
        <v>21998</v>
      </c>
    </row>
    <row r="591" spans="1:8">
      <c r="A591">
        <v>201004</v>
      </c>
      <c r="B591">
        <v>1099495</v>
      </c>
      <c r="C591">
        <v>4</v>
      </c>
      <c r="D591" t="s">
        <v>1695</v>
      </c>
      <c r="E591">
        <v>950</v>
      </c>
      <c r="F591" t="s">
        <v>41</v>
      </c>
      <c r="G591" t="s">
        <v>37</v>
      </c>
      <c r="H591">
        <v>21998</v>
      </c>
    </row>
    <row r="592" spans="1:8">
      <c r="A592">
        <v>201901</v>
      </c>
      <c r="B592">
        <v>1099930</v>
      </c>
      <c r="C592">
        <v>1</v>
      </c>
      <c r="D592" t="s">
        <v>1695</v>
      </c>
      <c r="E592">
        <v>700</v>
      </c>
      <c r="F592" t="s">
        <v>41</v>
      </c>
      <c r="G592" t="s">
        <v>41</v>
      </c>
    </row>
    <row r="593" spans="1:7">
      <c r="A593">
        <v>204919</v>
      </c>
      <c r="B593">
        <v>1101414</v>
      </c>
      <c r="C593">
        <v>1</v>
      </c>
      <c r="D593" t="s">
        <v>1695</v>
      </c>
      <c r="E593">
        <v>700</v>
      </c>
      <c r="F593" t="s">
        <v>41</v>
      </c>
      <c r="G593" t="s">
        <v>41</v>
      </c>
    </row>
    <row r="594" spans="1:7">
      <c r="A594">
        <v>204920</v>
      </c>
      <c r="B594">
        <v>1101414</v>
      </c>
      <c r="C594">
        <v>2</v>
      </c>
      <c r="D594" t="s">
        <v>1696</v>
      </c>
      <c r="E594">
        <v>420</v>
      </c>
      <c r="F594" t="s">
        <v>41</v>
      </c>
      <c r="G594" t="s">
        <v>41</v>
      </c>
    </row>
    <row r="595" spans="1:7">
      <c r="A595">
        <v>204921</v>
      </c>
      <c r="B595">
        <v>1101414</v>
      </c>
      <c r="C595">
        <v>3</v>
      </c>
      <c r="D595" t="s">
        <v>1695</v>
      </c>
      <c r="E595">
        <v>700</v>
      </c>
      <c r="F595" t="s">
        <v>41</v>
      </c>
      <c r="G595" t="s">
        <v>41</v>
      </c>
    </row>
    <row r="596" spans="1:7">
      <c r="A596">
        <v>204922</v>
      </c>
      <c r="B596">
        <v>1101414</v>
      </c>
      <c r="C596">
        <v>4</v>
      </c>
      <c r="D596" t="s">
        <v>1695</v>
      </c>
      <c r="E596">
        <v>700</v>
      </c>
      <c r="F596" t="s">
        <v>41</v>
      </c>
      <c r="G596" t="s">
        <v>41</v>
      </c>
    </row>
    <row r="597" spans="1:7">
      <c r="A597">
        <v>206362</v>
      </c>
      <c r="B597">
        <v>1102132</v>
      </c>
      <c r="C597">
        <v>1</v>
      </c>
      <c r="D597" t="s">
        <v>1695</v>
      </c>
      <c r="E597">
        <v>5052</v>
      </c>
      <c r="F597" t="s">
        <v>41</v>
      </c>
      <c r="G597" t="s">
        <v>41</v>
      </c>
    </row>
    <row r="598" spans="1:7">
      <c r="A598">
        <v>206371</v>
      </c>
      <c r="B598">
        <v>1102138</v>
      </c>
      <c r="C598">
        <v>1</v>
      </c>
      <c r="D598" t="s">
        <v>1695</v>
      </c>
      <c r="E598">
        <v>2307</v>
      </c>
      <c r="F598" t="s">
        <v>41</v>
      </c>
      <c r="G598" t="s">
        <v>41</v>
      </c>
    </row>
    <row r="599" spans="1:7">
      <c r="A599">
        <v>207384</v>
      </c>
      <c r="B599">
        <v>1102621</v>
      </c>
      <c r="C599">
        <v>1</v>
      </c>
      <c r="D599" t="s">
        <v>1696</v>
      </c>
      <c r="E599">
        <v>1802</v>
      </c>
      <c r="F599" t="s">
        <v>41</v>
      </c>
      <c r="G599" t="s">
        <v>41</v>
      </c>
    </row>
    <row r="600" spans="1:7">
      <c r="A600">
        <v>209036</v>
      </c>
      <c r="B600">
        <v>1103424</v>
      </c>
      <c r="C600">
        <v>1</v>
      </c>
      <c r="D600" t="s">
        <v>1695</v>
      </c>
      <c r="E600">
        <v>2784</v>
      </c>
      <c r="F600" t="s">
        <v>41</v>
      </c>
      <c r="G600" t="s">
        <v>41</v>
      </c>
    </row>
    <row r="601" spans="1:7">
      <c r="A601">
        <v>209628</v>
      </c>
      <c r="B601">
        <v>1103717</v>
      </c>
      <c r="C601">
        <v>1</v>
      </c>
      <c r="D601" t="s">
        <v>1695</v>
      </c>
      <c r="E601">
        <v>3003</v>
      </c>
      <c r="F601" t="s">
        <v>41</v>
      </c>
      <c r="G601" t="s">
        <v>41</v>
      </c>
    </row>
    <row r="602" spans="1:7">
      <c r="A602">
        <v>209629</v>
      </c>
      <c r="B602">
        <v>1103717</v>
      </c>
      <c r="C602">
        <v>2</v>
      </c>
      <c r="D602" t="s">
        <v>1695</v>
      </c>
      <c r="E602">
        <v>3003</v>
      </c>
      <c r="F602" t="s">
        <v>41</v>
      </c>
      <c r="G602" t="s">
        <v>41</v>
      </c>
    </row>
    <row r="603" spans="1:7">
      <c r="A603">
        <v>209630</v>
      </c>
      <c r="B603">
        <v>1103717</v>
      </c>
      <c r="C603">
        <v>3</v>
      </c>
      <c r="D603" t="s">
        <v>1695</v>
      </c>
      <c r="E603">
        <v>3003</v>
      </c>
      <c r="F603" t="s">
        <v>41</v>
      </c>
      <c r="G603" t="s">
        <v>41</v>
      </c>
    </row>
    <row r="604" spans="1:7">
      <c r="A604">
        <v>209971</v>
      </c>
      <c r="B604">
        <v>1103873</v>
      </c>
      <c r="C604">
        <v>1</v>
      </c>
      <c r="D604" t="s">
        <v>1695</v>
      </c>
      <c r="E604">
        <v>4406</v>
      </c>
      <c r="F604" t="s">
        <v>41</v>
      </c>
      <c r="G604" t="s">
        <v>41</v>
      </c>
    </row>
    <row r="605" spans="1:7">
      <c r="A605">
        <v>210127</v>
      </c>
      <c r="B605">
        <v>1103951</v>
      </c>
      <c r="C605">
        <v>1</v>
      </c>
      <c r="D605" t="s">
        <v>1696</v>
      </c>
      <c r="E605">
        <v>629</v>
      </c>
      <c r="F605" t="s">
        <v>41</v>
      </c>
      <c r="G605" t="s">
        <v>41</v>
      </c>
    </row>
    <row r="606" spans="1:7">
      <c r="A606">
        <v>211718</v>
      </c>
      <c r="B606">
        <v>1104709</v>
      </c>
      <c r="C606">
        <v>1</v>
      </c>
      <c r="D606" t="s">
        <v>1695</v>
      </c>
      <c r="E606">
        <v>753</v>
      </c>
      <c r="F606" t="s">
        <v>41</v>
      </c>
      <c r="G606" t="s">
        <v>41</v>
      </c>
    </row>
    <row r="607" spans="1:7">
      <c r="A607">
        <v>211719</v>
      </c>
      <c r="B607">
        <v>1104709</v>
      </c>
      <c r="C607">
        <v>2</v>
      </c>
      <c r="D607" t="s">
        <v>1695</v>
      </c>
      <c r="E607">
        <v>753</v>
      </c>
      <c r="F607" t="s">
        <v>41</v>
      </c>
      <c r="G607" t="s">
        <v>41</v>
      </c>
    </row>
    <row r="608" spans="1:7">
      <c r="A608">
        <v>211787</v>
      </c>
      <c r="B608">
        <v>1104744</v>
      </c>
      <c r="C608">
        <v>1</v>
      </c>
      <c r="D608" t="s">
        <v>1695</v>
      </c>
      <c r="E608">
        <v>2886</v>
      </c>
      <c r="F608" t="s">
        <v>41</v>
      </c>
      <c r="G608" t="s">
        <v>41</v>
      </c>
    </row>
    <row r="609" spans="1:8">
      <c r="A609">
        <v>211788</v>
      </c>
      <c r="B609">
        <v>1104744</v>
      </c>
      <c r="C609">
        <v>2</v>
      </c>
      <c r="D609" t="s">
        <v>1695</v>
      </c>
      <c r="E609">
        <v>2886</v>
      </c>
      <c r="F609" t="s">
        <v>41</v>
      </c>
      <c r="G609" t="s">
        <v>41</v>
      </c>
    </row>
    <row r="610" spans="1:8">
      <c r="A610">
        <v>212327</v>
      </c>
      <c r="B610">
        <v>1105012</v>
      </c>
      <c r="C610">
        <v>1</v>
      </c>
      <c r="D610" t="s">
        <v>1695</v>
      </c>
      <c r="E610">
        <v>654</v>
      </c>
      <c r="F610" t="s">
        <v>49</v>
      </c>
      <c r="G610" t="s">
        <v>49</v>
      </c>
      <c r="H610">
        <v>21191</v>
      </c>
    </row>
    <row r="611" spans="1:8">
      <c r="A611">
        <v>212328</v>
      </c>
      <c r="B611">
        <v>1105012</v>
      </c>
      <c r="C611">
        <v>2</v>
      </c>
      <c r="D611" t="s">
        <v>1695</v>
      </c>
      <c r="E611">
        <v>654</v>
      </c>
      <c r="F611" t="s">
        <v>49</v>
      </c>
      <c r="G611" t="s">
        <v>49</v>
      </c>
      <c r="H611">
        <v>21191</v>
      </c>
    </row>
    <row r="612" spans="1:8">
      <c r="A612">
        <v>212329</v>
      </c>
      <c r="B612">
        <v>1105012</v>
      </c>
      <c r="C612">
        <v>3</v>
      </c>
      <c r="D612" t="s">
        <v>1695</v>
      </c>
      <c r="E612">
        <v>654</v>
      </c>
      <c r="F612" t="s">
        <v>49</v>
      </c>
      <c r="G612" t="s">
        <v>49</v>
      </c>
      <c r="H612">
        <v>21191</v>
      </c>
    </row>
    <row r="613" spans="1:8">
      <c r="A613">
        <v>213135</v>
      </c>
      <c r="B613">
        <v>1105429</v>
      </c>
      <c r="C613">
        <v>1</v>
      </c>
      <c r="D613" t="s">
        <v>1695</v>
      </c>
      <c r="E613">
        <v>833</v>
      </c>
      <c r="F613" t="s">
        <v>41</v>
      </c>
      <c r="G613" t="s">
        <v>41</v>
      </c>
    </row>
    <row r="614" spans="1:8">
      <c r="A614">
        <v>213968</v>
      </c>
      <c r="B614">
        <v>1105849</v>
      </c>
      <c r="C614">
        <v>1</v>
      </c>
      <c r="D614" t="s">
        <v>1695</v>
      </c>
      <c r="E614">
        <v>668</v>
      </c>
      <c r="F614" t="s">
        <v>41</v>
      </c>
      <c r="G614" t="s">
        <v>41</v>
      </c>
    </row>
    <row r="615" spans="1:8">
      <c r="A615">
        <v>214627</v>
      </c>
      <c r="B615">
        <v>1106173</v>
      </c>
      <c r="C615">
        <v>1</v>
      </c>
      <c r="D615" t="s">
        <v>1696</v>
      </c>
      <c r="E615">
        <v>549</v>
      </c>
      <c r="F615" t="s">
        <v>49</v>
      </c>
      <c r="G615" t="s">
        <v>49</v>
      </c>
      <c r="H615">
        <v>21037</v>
      </c>
    </row>
    <row r="616" spans="1:8">
      <c r="A616">
        <v>214697</v>
      </c>
      <c r="B616">
        <v>1106210</v>
      </c>
      <c r="C616">
        <v>1</v>
      </c>
      <c r="D616" t="s">
        <v>1695</v>
      </c>
      <c r="E616">
        <v>872</v>
      </c>
      <c r="F616" t="s">
        <v>41</v>
      </c>
      <c r="G616" t="s">
        <v>41</v>
      </c>
    </row>
    <row r="617" spans="1:8">
      <c r="A617">
        <v>214698</v>
      </c>
      <c r="B617">
        <v>1106210</v>
      </c>
      <c r="C617">
        <v>2</v>
      </c>
      <c r="D617" t="s">
        <v>1695</v>
      </c>
      <c r="E617">
        <v>872</v>
      </c>
      <c r="F617" t="s">
        <v>41</v>
      </c>
      <c r="G617" t="s">
        <v>41</v>
      </c>
    </row>
    <row r="618" spans="1:8">
      <c r="A618">
        <v>215047</v>
      </c>
      <c r="B618">
        <v>1106387</v>
      </c>
      <c r="C618">
        <v>1</v>
      </c>
      <c r="D618" t="s">
        <v>1695</v>
      </c>
      <c r="E618">
        <v>872</v>
      </c>
      <c r="F618" t="s">
        <v>41</v>
      </c>
      <c r="G618" t="s">
        <v>37</v>
      </c>
      <c r="H618">
        <v>20853</v>
      </c>
    </row>
    <row r="619" spans="1:8">
      <c r="A619">
        <v>216197</v>
      </c>
      <c r="B619">
        <v>1106962</v>
      </c>
      <c r="C619">
        <v>1</v>
      </c>
      <c r="D619" t="s">
        <v>1695</v>
      </c>
      <c r="E619">
        <v>2784</v>
      </c>
      <c r="F619" t="s">
        <v>41</v>
      </c>
      <c r="G619" t="s">
        <v>41</v>
      </c>
    </row>
    <row r="620" spans="1:8">
      <c r="A620">
        <v>216198</v>
      </c>
      <c r="B620">
        <v>1106962</v>
      </c>
      <c r="C620">
        <v>2</v>
      </c>
      <c r="D620" t="s">
        <v>1696</v>
      </c>
      <c r="E620">
        <v>1670</v>
      </c>
      <c r="F620" t="s">
        <v>41</v>
      </c>
      <c r="G620" t="s">
        <v>41</v>
      </c>
    </row>
    <row r="621" spans="1:8">
      <c r="A621">
        <v>216199</v>
      </c>
      <c r="B621">
        <v>1106962</v>
      </c>
      <c r="C621">
        <v>3</v>
      </c>
      <c r="D621" t="s">
        <v>1695</v>
      </c>
      <c r="E621">
        <v>2784</v>
      </c>
      <c r="F621" t="s">
        <v>41</v>
      </c>
      <c r="G621" t="s">
        <v>41</v>
      </c>
    </row>
    <row r="622" spans="1:8">
      <c r="A622">
        <v>216200</v>
      </c>
      <c r="B622">
        <v>1106962</v>
      </c>
      <c r="C622">
        <v>4</v>
      </c>
      <c r="D622" t="s">
        <v>1697</v>
      </c>
      <c r="E622">
        <v>1392</v>
      </c>
      <c r="F622" t="s">
        <v>41</v>
      </c>
      <c r="G622" t="s">
        <v>37</v>
      </c>
      <c r="H622">
        <v>21554</v>
      </c>
    </row>
    <row r="623" spans="1:8">
      <c r="A623">
        <v>216531</v>
      </c>
      <c r="B623">
        <v>1107133</v>
      </c>
      <c r="C623">
        <v>1</v>
      </c>
      <c r="D623" t="s">
        <v>1695</v>
      </c>
      <c r="E623">
        <v>872</v>
      </c>
      <c r="F623" t="s">
        <v>41</v>
      </c>
      <c r="G623" t="s">
        <v>37</v>
      </c>
      <c r="H623">
        <v>25824</v>
      </c>
    </row>
    <row r="624" spans="1:8">
      <c r="A624">
        <v>217275</v>
      </c>
      <c r="B624">
        <v>1107501</v>
      </c>
      <c r="C624">
        <v>1</v>
      </c>
      <c r="D624" t="s">
        <v>1695</v>
      </c>
      <c r="E624">
        <v>1731</v>
      </c>
      <c r="F624" t="s">
        <v>41</v>
      </c>
      <c r="G624" t="s">
        <v>41</v>
      </c>
    </row>
    <row r="625" spans="1:7">
      <c r="A625">
        <v>217276</v>
      </c>
      <c r="B625">
        <v>1107501</v>
      </c>
      <c r="C625">
        <v>2</v>
      </c>
      <c r="D625" t="s">
        <v>1696</v>
      </c>
      <c r="E625">
        <v>1039</v>
      </c>
      <c r="F625" t="s">
        <v>47</v>
      </c>
      <c r="G625" t="s">
        <v>41</v>
      </c>
    </row>
    <row r="626" spans="1:7">
      <c r="A626">
        <v>217962</v>
      </c>
      <c r="B626">
        <v>1107838</v>
      </c>
      <c r="C626">
        <v>1</v>
      </c>
      <c r="D626" t="s">
        <v>1695</v>
      </c>
      <c r="E626">
        <v>753</v>
      </c>
      <c r="F626" t="s">
        <v>41</v>
      </c>
      <c r="G626" t="s">
        <v>41</v>
      </c>
    </row>
    <row r="627" spans="1:7">
      <c r="A627">
        <v>217963</v>
      </c>
      <c r="B627">
        <v>1107838</v>
      </c>
      <c r="C627">
        <v>2</v>
      </c>
      <c r="D627" t="s">
        <v>1695</v>
      </c>
      <c r="E627">
        <v>753</v>
      </c>
      <c r="F627" t="s">
        <v>41</v>
      </c>
      <c r="G627" t="s">
        <v>41</v>
      </c>
    </row>
    <row r="628" spans="1:7">
      <c r="A628">
        <v>217964</v>
      </c>
      <c r="B628">
        <v>1107838</v>
      </c>
      <c r="C628">
        <v>3</v>
      </c>
      <c r="D628" t="s">
        <v>1695</v>
      </c>
      <c r="E628">
        <v>753</v>
      </c>
      <c r="F628" t="s">
        <v>41</v>
      </c>
      <c r="G628" t="s">
        <v>41</v>
      </c>
    </row>
    <row r="629" spans="1:7">
      <c r="A629">
        <v>217965</v>
      </c>
      <c r="B629">
        <v>1107838</v>
      </c>
      <c r="C629">
        <v>4</v>
      </c>
      <c r="D629" t="s">
        <v>1695</v>
      </c>
      <c r="E629">
        <v>753</v>
      </c>
      <c r="F629" t="s">
        <v>41</v>
      </c>
      <c r="G629" t="s">
        <v>41</v>
      </c>
    </row>
    <row r="630" spans="1:7">
      <c r="A630">
        <v>217966</v>
      </c>
      <c r="B630">
        <v>1107838</v>
      </c>
      <c r="C630">
        <v>5</v>
      </c>
      <c r="D630" t="s">
        <v>1695</v>
      </c>
      <c r="E630">
        <v>753</v>
      </c>
      <c r="F630" t="s">
        <v>41</v>
      </c>
      <c r="G630" t="s">
        <v>41</v>
      </c>
    </row>
    <row r="631" spans="1:7">
      <c r="A631">
        <v>217967</v>
      </c>
      <c r="B631">
        <v>1107838</v>
      </c>
      <c r="C631">
        <v>6</v>
      </c>
      <c r="D631" t="s">
        <v>1695</v>
      </c>
      <c r="E631">
        <v>753</v>
      </c>
      <c r="F631" t="s">
        <v>41</v>
      </c>
      <c r="G631" t="s">
        <v>41</v>
      </c>
    </row>
    <row r="632" spans="1:7">
      <c r="A632">
        <v>218820</v>
      </c>
      <c r="B632">
        <v>1108253</v>
      </c>
      <c r="C632">
        <v>1</v>
      </c>
      <c r="D632" t="s">
        <v>1695</v>
      </c>
      <c r="E632">
        <v>854</v>
      </c>
      <c r="F632" t="s">
        <v>41</v>
      </c>
      <c r="G632" t="s">
        <v>41</v>
      </c>
    </row>
    <row r="633" spans="1:7">
      <c r="A633">
        <v>218821</v>
      </c>
      <c r="B633">
        <v>1108253</v>
      </c>
      <c r="C633">
        <v>2</v>
      </c>
      <c r="D633" t="s">
        <v>1695</v>
      </c>
      <c r="E633">
        <v>854</v>
      </c>
      <c r="F633" t="s">
        <v>41</v>
      </c>
      <c r="G633" t="s">
        <v>41</v>
      </c>
    </row>
    <row r="634" spans="1:7">
      <c r="A634">
        <v>219140</v>
      </c>
      <c r="B634">
        <v>1108410</v>
      </c>
      <c r="C634">
        <v>1</v>
      </c>
      <c r="D634" t="s">
        <v>1695</v>
      </c>
      <c r="E634">
        <v>4510</v>
      </c>
      <c r="F634" t="s">
        <v>41</v>
      </c>
      <c r="G634" t="s">
        <v>41</v>
      </c>
    </row>
    <row r="635" spans="1:7">
      <c r="A635">
        <v>219141</v>
      </c>
      <c r="B635">
        <v>1108410</v>
      </c>
      <c r="C635">
        <v>2</v>
      </c>
      <c r="D635" t="s">
        <v>1695</v>
      </c>
      <c r="E635">
        <v>4510</v>
      </c>
      <c r="F635" t="s">
        <v>41</v>
      </c>
      <c r="G635" t="s">
        <v>41</v>
      </c>
    </row>
    <row r="636" spans="1:7">
      <c r="A636">
        <v>219486</v>
      </c>
      <c r="B636">
        <v>1108576</v>
      </c>
      <c r="C636">
        <v>1</v>
      </c>
      <c r="D636" t="s">
        <v>1695</v>
      </c>
      <c r="E636">
        <v>1325</v>
      </c>
      <c r="F636" t="s">
        <v>41</v>
      </c>
      <c r="G636" t="s">
        <v>41</v>
      </c>
    </row>
    <row r="637" spans="1:7">
      <c r="A637">
        <v>219487</v>
      </c>
      <c r="B637">
        <v>1108576</v>
      </c>
      <c r="C637">
        <v>2</v>
      </c>
      <c r="D637" t="s">
        <v>1695</v>
      </c>
      <c r="E637">
        <v>1325</v>
      </c>
      <c r="F637" t="s">
        <v>41</v>
      </c>
      <c r="G637" t="s">
        <v>41</v>
      </c>
    </row>
    <row r="638" spans="1:7">
      <c r="A638">
        <v>219488</v>
      </c>
      <c r="B638">
        <v>1108576</v>
      </c>
      <c r="C638">
        <v>3</v>
      </c>
      <c r="D638" t="s">
        <v>1695</v>
      </c>
      <c r="E638">
        <v>1325</v>
      </c>
      <c r="F638" t="s">
        <v>41</v>
      </c>
      <c r="G638" t="s">
        <v>41</v>
      </c>
    </row>
    <row r="639" spans="1:7">
      <c r="A639">
        <v>220250</v>
      </c>
      <c r="B639">
        <v>1108951</v>
      </c>
      <c r="C639">
        <v>1</v>
      </c>
      <c r="D639" t="s">
        <v>1695</v>
      </c>
      <c r="E639">
        <v>4342</v>
      </c>
      <c r="F639" t="s">
        <v>41</v>
      </c>
      <c r="G639" t="s">
        <v>41</v>
      </c>
    </row>
    <row r="640" spans="1:7">
      <c r="A640">
        <v>220251</v>
      </c>
      <c r="B640">
        <v>1108951</v>
      </c>
      <c r="C640">
        <v>2</v>
      </c>
      <c r="D640" t="s">
        <v>1695</v>
      </c>
      <c r="E640">
        <v>4342</v>
      </c>
      <c r="F640" t="s">
        <v>41</v>
      </c>
      <c r="G640" t="s">
        <v>41</v>
      </c>
    </row>
    <row r="641" spans="1:8">
      <c r="A641">
        <v>220252</v>
      </c>
      <c r="B641">
        <v>1108951</v>
      </c>
      <c r="C641">
        <v>3</v>
      </c>
      <c r="D641" t="s">
        <v>1696</v>
      </c>
      <c r="E641">
        <v>2605</v>
      </c>
      <c r="F641" t="s">
        <v>41</v>
      </c>
      <c r="G641" t="s">
        <v>41</v>
      </c>
    </row>
    <row r="642" spans="1:8">
      <c r="A642">
        <v>220253</v>
      </c>
      <c r="B642">
        <v>1108951</v>
      </c>
      <c r="C642">
        <v>4</v>
      </c>
      <c r="D642" t="s">
        <v>1697</v>
      </c>
      <c r="E642">
        <v>2171</v>
      </c>
      <c r="F642" t="s">
        <v>41</v>
      </c>
      <c r="G642" t="s">
        <v>41</v>
      </c>
    </row>
    <row r="643" spans="1:8">
      <c r="A643">
        <v>221073</v>
      </c>
      <c r="B643">
        <v>1109362</v>
      </c>
      <c r="C643">
        <v>1</v>
      </c>
      <c r="D643" t="s">
        <v>1695</v>
      </c>
      <c r="E643">
        <v>1053</v>
      </c>
      <c r="F643" t="s">
        <v>41</v>
      </c>
      <c r="G643" t="s">
        <v>41</v>
      </c>
    </row>
    <row r="644" spans="1:8">
      <c r="A644">
        <v>221665</v>
      </c>
      <c r="B644">
        <v>1109655</v>
      </c>
      <c r="C644">
        <v>1</v>
      </c>
      <c r="D644" t="s">
        <v>1696</v>
      </c>
      <c r="E644">
        <v>326</v>
      </c>
      <c r="F644" t="s">
        <v>49</v>
      </c>
      <c r="G644" t="s">
        <v>37</v>
      </c>
      <c r="H644">
        <v>21433</v>
      </c>
    </row>
    <row r="645" spans="1:8">
      <c r="A645">
        <v>221747</v>
      </c>
      <c r="B645">
        <v>1109693</v>
      </c>
      <c r="C645">
        <v>1</v>
      </c>
      <c r="D645" t="s">
        <v>1695</v>
      </c>
      <c r="E645">
        <v>582</v>
      </c>
      <c r="F645" t="s">
        <v>41</v>
      </c>
      <c r="G645" t="s">
        <v>41</v>
      </c>
    </row>
    <row r="646" spans="1:8">
      <c r="A646">
        <v>221903</v>
      </c>
      <c r="B646">
        <v>1109783</v>
      </c>
      <c r="C646">
        <v>1</v>
      </c>
      <c r="D646" t="s">
        <v>1695</v>
      </c>
      <c r="E646">
        <v>544</v>
      </c>
      <c r="F646" t="s">
        <v>41</v>
      </c>
      <c r="G646" t="s">
        <v>41</v>
      </c>
    </row>
    <row r="647" spans="1:8">
      <c r="A647">
        <v>221950</v>
      </c>
      <c r="B647">
        <v>1109812</v>
      </c>
      <c r="C647">
        <v>1</v>
      </c>
      <c r="D647" t="s">
        <v>1695</v>
      </c>
      <c r="E647">
        <v>854</v>
      </c>
      <c r="F647" t="s">
        <v>41</v>
      </c>
      <c r="G647" t="s">
        <v>41</v>
      </c>
    </row>
    <row r="648" spans="1:8">
      <c r="A648">
        <v>221951</v>
      </c>
      <c r="B648">
        <v>1109812</v>
      </c>
      <c r="C648">
        <v>2</v>
      </c>
      <c r="D648" t="s">
        <v>1695</v>
      </c>
      <c r="E648">
        <v>854</v>
      </c>
      <c r="F648" t="s">
        <v>41</v>
      </c>
      <c r="G648" t="s">
        <v>41</v>
      </c>
    </row>
    <row r="649" spans="1:8">
      <c r="A649">
        <v>221952</v>
      </c>
      <c r="B649">
        <v>1109812</v>
      </c>
      <c r="C649">
        <v>3</v>
      </c>
      <c r="D649" t="s">
        <v>1695</v>
      </c>
      <c r="E649">
        <v>854</v>
      </c>
      <c r="F649" t="s">
        <v>41</v>
      </c>
      <c r="G649" t="s">
        <v>41</v>
      </c>
    </row>
    <row r="650" spans="1:8">
      <c r="A650">
        <v>221953</v>
      </c>
      <c r="B650">
        <v>1109812</v>
      </c>
      <c r="C650">
        <v>4</v>
      </c>
      <c r="D650" t="s">
        <v>1695</v>
      </c>
      <c r="E650">
        <v>854</v>
      </c>
      <c r="F650" t="s">
        <v>41</v>
      </c>
      <c r="G650" t="s">
        <v>41</v>
      </c>
    </row>
    <row r="651" spans="1:8">
      <c r="A651">
        <v>222219</v>
      </c>
      <c r="B651">
        <v>1109946</v>
      </c>
      <c r="C651">
        <v>1</v>
      </c>
      <c r="D651" t="s">
        <v>1695</v>
      </c>
      <c r="E651">
        <v>1131</v>
      </c>
      <c r="F651" t="s">
        <v>41</v>
      </c>
      <c r="G651" t="s">
        <v>41</v>
      </c>
    </row>
    <row r="652" spans="1:8">
      <c r="A652">
        <v>222220</v>
      </c>
      <c r="B652">
        <v>1109946</v>
      </c>
      <c r="C652">
        <v>2</v>
      </c>
      <c r="D652" t="s">
        <v>1695</v>
      </c>
      <c r="E652">
        <v>1131</v>
      </c>
      <c r="F652" t="s">
        <v>41</v>
      </c>
      <c r="G652" t="s">
        <v>41</v>
      </c>
    </row>
    <row r="653" spans="1:8">
      <c r="A653">
        <v>222221</v>
      </c>
      <c r="B653">
        <v>1109946</v>
      </c>
      <c r="C653">
        <v>3</v>
      </c>
      <c r="D653" t="s">
        <v>1695</v>
      </c>
      <c r="E653">
        <v>1131</v>
      </c>
      <c r="F653" t="s">
        <v>41</v>
      </c>
      <c r="G653" t="s">
        <v>41</v>
      </c>
    </row>
    <row r="654" spans="1:8">
      <c r="A654">
        <v>222320</v>
      </c>
      <c r="B654">
        <v>1109994</v>
      </c>
      <c r="C654">
        <v>1</v>
      </c>
      <c r="D654" t="s">
        <v>1696</v>
      </c>
      <c r="E654">
        <v>524</v>
      </c>
      <c r="F654" t="s">
        <v>41</v>
      </c>
      <c r="G654" t="s">
        <v>41</v>
      </c>
    </row>
    <row r="655" spans="1:8">
      <c r="A655">
        <v>223642</v>
      </c>
      <c r="B655">
        <v>1110648</v>
      </c>
      <c r="C655">
        <v>1</v>
      </c>
      <c r="D655" t="s">
        <v>1695</v>
      </c>
      <c r="E655">
        <v>582</v>
      </c>
      <c r="F655" t="s">
        <v>41</v>
      </c>
      <c r="G655" t="s">
        <v>41</v>
      </c>
    </row>
    <row r="656" spans="1:8">
      <c r="A656">
        <v>224183</v>
      </c>
      <c r="B656">
        <v>1110928</v>
      </c>
      <c r="C656">
        <v>1</v>
      </c>
      <c r="D656" t="s">
        <v>1696</v>
      </c>
      <c r="E656">
        <v>2216</v>
      </c>
      <c r="F656" t="s">
        <v>41</v>
      </c>
      <c r="G656" t="s">
        <v>37</v>
      </c>
      <c r="H656">
        <v>23477</v>
      </c>
    </row>
    <row r="657" spans="1:8">
      <c r="A657">
        <v>224645</v>
      </c>
      <c r="B657">
        <v>1111157</v>
      </c>
      <c r="C657">
        <v>1</v>
      </c>
      <c r="D657" t="s">
        <v>1695</v>
      </c>
      <c r="E657">
        <v>753</v>
      </c>
      <c r="F657" t="s">
        <v>41</v>
      </c>
      <c r="G657" t="s">
        <v>41</v>
      </c>
    </row>
    <row r="658" spans="1:8">
      <c r="A658">
        <v>224646</v>
      </c>
      <c r="B658">
        <v>1111157</v>
      </c>
      <c r="C658">
        <v>2</v>
      </c>
      <c r="D658" t="s">
        <v>1695</v>
      </c>
      <c r="E658">
        <v>753</v>
      </c>
      <c r="F658" t="s">
        <v>41</v>
      </c>
      <c r="G658" t="s">
        <v>41</v>
      </c>
    </row>
    <row r="659" spans="1:8">
      <c r="A659">
        <v>224647</v>
      </c>
      <c r="B659">
        <v>1111157</v>
      </c>
      <c r="C659">
        <v>3</v>
      </c>
      <c r="D659" t="s">
        <v>1695</v>
      </c>
      <c r="E659">
        <v>753</v>
      </c>
      <c r="F659" t="s">
        <v>41</v>
      </c>
      <c r="G659" t="s">
        <v>41</v>
      </c>
    </row>
    <row r="660" spans="1:8">
      <c r="A660">
        <v>224648</v>
      </c>
      <c r="B660">
        <v>1111157</v>
      </c>
      <c r="C660">
        <v>4</v>
      </c>
      <c r="D660" t="s">
        <v>1696</v>
      </c>
      <c r="E660">
        <v>452</v>
      </c>
      <c r="F660" t="s">
        <v>41</v>
      </c>
      <c r="G660" t="s">
        <v>41</v>
      </c>
    </row>
    <row r="661" spans="1:8">
      <c r="A661">
        <v>224649</v>
      </c>
      <c r="B661">
        <v>1111157</v>
      </c>
      <c r="C661">
        <v>5</v>
      </c>
      <c r="D661" t="s">
        <v>1695</v>
      </c>
      <c r="E661">
        <v>753</v>
      </c>
      <c r="F661" t="s">
        <v>41</v>
      </c>
      <c r="G661" t="s">
        <v>41</v>
      </c>
    </row>
    <row r="662" spans="1:8">
      <c r="A662">
        <v>224650</v>
      </c>
      <c r="B662">
        <v>1111157</v>
      </c>
      <c r="C662">
        <v>6</v>
      </c>
      <c r="D662" t="s">
        <v>1695</v>
      </c>
      <c r="E662">
        <v>753</v>
      </c>
      <c r="F662" t="s">
        <v>41</v>
      </c>
      <c r="G662" t="s">
        <v>41</v>
      </c>
    </row>
    <row r="663" spans="1:8">
      <c r="A663">
        <v>226115</v>
      </c>
      <c r="B663">
        <v>1111915</v>
      </c>
      <c r="C663">
        <v>1</v>
      </c>
      <c r="D663" t="s">
        <v>1695</v>
      </c>
      <c r="E663">
        <v>1049</v>
      </c>
      <c r="F663" t="s">
        <v>47</v>
      </c>
      <c r="G663" t="s">
        <v>41</v>
      </c>
    </row>
    <row r="664" spans="1:8">
      <c r="A664">
        <v>226841</v>
      </c>
      <c r="B664">
        <v>1112281</v>
      </c>
      <c r="C664">
        <v>1</v>
      </c>
      <c r="D664" t="s">
        <v>1696</v>
      </c>
      <c r="E664">
        <v>1113</v>
      </c>
      <c r="F664" t="s">
        <v>41</v>
      </c>
      <c r="G664" t="s">
        <v>41</v>
      </c>
    </row>
    <row r="665" spans="1:8">
      <c r="A665">
        <v>226842</v>
      </c>
      <c r="B665">
        <v>1112281</v>
      </c>
      <c r="C665">
        <v>2</v>
      </c>
      <c r="D665" t="s">
        <v>1696</v>
      </c>
      <c r="E665">
        <v>1113</v>
      </c>
      <c r="F665" t="s">
        <v>41</v>
      </c>
      <c r="G665" t="s">
        <v>41</v>
      </c>
    </row>
    <row r="666" spans="1:8">
      <c r="A666">
        <v>226843</v>
      </c>
      <c r="B666">
        <v>1112281</v>
      </c>
      <c r="C666">
        <v>3</v>
      </c>
      <c r="D666" t="s">
        <v>1695</v>
      </c>
      <c r="E666">
        <v>1854</v>
      </c>
      <c r="F666" t="s">
        <v>41</v>
      </c>
      <c r="G666" t="s">
        <v>41</v>
      </c>
    </row>
    <row r="667" spans="1:8">
      <c r="A667">
        <v>227039</v>
      </c>
      <c r="B667">
        <v>1112382</v>
      </c>
      <c r="C667">
        <v>1</v>
      </c>
      <c r="D667" t="s">
        <v>1695</v>
      </c>
      <c r="E667">
        <v>1379</v>
      </c>
      <c r="F667" t="s">
        <v>41</v>
      </c>
      <c r="G667" t="s">
        <v>41</v>
      </c>
    </row>
    <row r="668" spans="1:8">
      <c r="A668">
        <v>227437</v>
      </c>
      <c r="B668">
        <v>1112583</v>
      </c>
      <c r="C668">
        <v>1</v>
      </c>
      <c r="D668" t="s">
        <v>1695</v>
      </c>
      <c r="E668">
        <v>762</v>
      </c>
      <c r="F668" t="s">
        <v>41</v>
      </c>
      <c r="G668" t="s">
        <v>37</v>
      </c>
      <c r="H668">
        <v>23364</v>
      </c>
    </row>
    <row r="669" spans="1:8">
      <c r="A669">
        <v>227438</v>
      </c>
      <c r="B669">
        <v>1112583</v>
      </c>
      <c r="C669">
        <v>2</v>
      </c>
      <c r="D669" t="s">
        <v>1695</v>
      </c>
      <c r="E669">
        <v>762</v>
      </c>
      <c r="F669" t="s">
        <v>41</v>
      </c>
      <c r="G669" t="s">
        <v>37</v>
      </c>
      <c r="H669">
        <v>23364</v>
      </c>
    </row>
    <row r="670" spans="1:8">
      <c r="A670">
        <v>227929</v>
      </c>
      <c r="B670">
        <v>1112827</v>
      </c>
      <c r="C670">
        <v>1</v>
      </c>
      <c r="D670" t="s">
        <v>1695</v>
      </c>
      <c r="E670">
        <v>4198</v>
      </c>
      <c r="F670" t="s">
        <v>41</v>
      </c>
      <c r="G670" t="s">
        <v>37</v>
      </c>
      <c r="H670">
        <v>24124</v>
      </c>
    </row>
    <row r="671" spans="1:8">
      <c r="A671">
        <v>227930</v>
      </c>
      <c r="B671">
        <v>1112827</v>
      </c>
      <c r="C671">
        <v>2</v>
      </c>
      <c r="D671" t="s">
        <v>1695</v>
      </c>
      <c r="E671">
        <v>4198</v>
      </c>
      <c r="F671" t="s">
        <v>41</v>
      </c>
      <c r="G671" t="s">
        <v>37</v>
      </c>
      <c r="H671">
        <v>24124</v>
      </c>
    </row>
    <row r="672" spans="1:8">
      <c r="A672">
        <v>227931</v>
      </c>
      <c r="B672">
        <v>1112827</v>
      </c>
      <c r="C672">
        <v>3</v>
      </c>
      <c r="D672" t="s">
        <v>1695</v>
      </c>
      <c r="E672">
        <v>4198</v>
      </c>
      <c r="F672" t="s">
        <v>41</v>
      </c>
      <c r="G672" t="s">
        <v>37</v>
      </c>
      <c r="H672">
        <v>24124</v>
      </c>
    </row>
    <row r="673" spans="1:8">
      <c r="A673">
        <v>228737</v>
      </c>
      <c r="B673">
        <v>1113227</v>
      </c>
      <c r="C673">
        <v>1</v>
      </c>
      <c r="D673" t="s">
        <v>1695</v>
      </c>
      <c r="E673">
        <v>834</v>
      </c>
      <c r="F673" t="s">
        <v>41</v>
      </c>
      <c r="G673" t="s">
        <v>41</v>
      </c>
    </row>
    <row r="674" spans="1:8">
      <c r="A674">
        <v>228738</v>
      </c>
      <c r="B674">
        <v>1113227</v>
      </c>
      <c r="C674">
        <v>2</v>
      </c>
      <c r="D674" t="s">
        <v>1696</v>
      </c>
      <c r="E674">
        <v>501</v>
      </c>
      <c r="F674" t="s">
        <v>41</v>
      </c>
      <c r="G674" t="s">
        <v>41</v>
      </c>
    </row>
    <row r="675" spans="1:8">
      <c r="A675">
        <v>228739</v>
      </c>
      <c r="B675">
        <v>1113227</v>
      </c>
      <c r="C675">
        <v>3</v>
      </c>
      <c r="D675" t="s">
        <v>1695</v>
      </c>
      <c r="E675">
        <v>834</v>
      </c>
      <c r="F675" t="s">
        <v>41</v>
      </c>
      <c r="G675" t="s">
        <v>41</v>
      </c>
    </row>
    <row r="676" spans="1:8">
      <c r="A676">
        <v>229933</v>
      </c>
      <c r="B676">
        <v>1113807</v>
      </c>
      <c r="C676">
        <v>1</v>
      </c>
      <c r="D676" t="s">
        <v>1695</v>
      </c>
      <c r="E676">
        <v>790</v>
      </c>
      <c r="F676" t="s">
        <v>41</v>
      </c>
      <c r="G676" t="s">
        <v>41</v>
      </c>
    </row>
    <row r="677" spans="1:8">
      <c r="A677">
        <v>230498</v>
      </c>
      <c r="B677">
        <v>1114094</v>
      </c>
      <c r="C677">
        <v>1</v>
      </c>
      <c r="D677" t="s">
        <v>1695</v>
      </c>
      <c r="E677">
        <v>834</v>
      </c>
      <c r="F677" t="s">
        <v>41</v>
      </c>
      <c r="G677" t="s">
        <v>41</v>
      </c>
    </row>
    <row r="678" spans="1:8">
      <c r="A678">
        <v>230667</v>
      </c>
      <c r="B678">
        <v>1114178</v>
      </c>
      <c r="C678">
        <v>1</v>
      </c>
      <c r="D678" t="s">
        <v>1696</v>
      </c>
      <c r="E678">
        <v>543</v>
      </c>
      <c r="F678" t="s">
        <v>41</v>
      </c>
      <c r="G678" t="s">
        <v>41</v>
      </c>
    </row>
    <row r="679" spans="1:8">
      <c r="A679">
        <v>230905</v>
      </c>
      <c r="B679">
        <v>1114288</v>
      </c>
      <c r="C679">
        <v>1</v>
      </c>
      <c r="D679" t="s">
        <v>1695</v>
      </c>
      <c r="E679">
        <v>2784</v>
      </c>
      <c r="F679" t="s">
        <v>41</v>
      </c>
      <c r="G679" t="s">
        <v>41</v>
      </c>
    </row>
    <row r="680" spans="1:8">
      <c r="A680">
        <v>231847</v>
      </c>
      <c r="B680">
        <v>1114785</v>
      </c>
      <c r="C680">
        <v>1</v>
      </c>
      <c r="D680" t="s">
        <v>1695</v>
      </c>
      <c r="E680">
        <v>1579</v>
      </c>
      <c r="F680" t="s">
        <v>41</v>
      </c>
      <c r="G680" t="s">
        <v>41</v>
      </c>
    </row>
    <row r="681" spans="1:8">
      <c r="A681">
        <v>232614</v>
      </c>
      <c r="B681">
        <v>1115198</v>
      </c>
      <c r="C681">
        <v>1</v>
      </c>
      <c r="D681" t="s">
        <v>1695</v>
      </c>
      <c r="E681">
        <v>854</v>
      </c>
      <c r="F681" t="s">
        <v>47</v>
      </c>
      <c r="G681" t="s">
        <v>37</v>
      </c>
      <c r="H681">
        <v>23309</v>
      </c>
    </row>
    <row r="682" spans="1:8">
      <c r="A682">
        <v>232615</v>
      </c>
      <c r="B682">
        <v>1115198</v>
      </c>
      <c r="C682">
        <v>2</v>
      </c>
      <c r="D682" t="s">
        <v>1695</v>
      </c>
      <c r="E682">
        <v>854</v>
      </c>
      <c r="F682" t="s">
        <v>47</v>
      </c>
      <c r="G682" t="s">
        <v>37</v>
      </c>
      <c r="H682">
        <v>23309</v>
      </c>
    </row>
    <row r="683" spans="1:8">
      <c r="A683">
        <v>232954</v>
      </c>
      <c r="B683">
        <v>1115367</v>
      </c>
      <c r="C683">
        <v>1</v>
      </c>
      <c r="D683" t="s">
        <v>1696</v>
      </c>
      <c r="E683">
        <v>629</v>
      </c>
      <c r="F683" t="s">
        <v>41</v>
      </c>
      <c r="G683" t="s">
        <v>37</v>
      </c>
      <c r="H683">
        <v>25015</v>
      </c>
    </row>
    <row r="684" spans="1:8">
      <c r="A684">
        <v>235020</v>
      </c>
      <c r="B684">
        <v>1116396</v>
      </c>
      <c r="C684">
        <v>1</v>
      </c>
      <c r="D684" t="s">
        <v>1695</v>
      </c>
      <c r="E684">
        <v>1379</v>
      </c>
      <c r="F684" t="s">
        <v>41</v>
      </c>
      <c r="G684" t="s">
        <v>41</v>
      </c>
    </row>
    <row r="685" spans="1:8">
      <c r="A685">
        <v>235229</v>
      </c>
      <c r="B685">
        <v>1116489</v>
      </c>
      <c r="C685">
        <v>1</v>
      </c>
      <c r="D685" t="s">
        <v>1695</v>
      </c>
      <c r="E685">
        <v>872</v>
      </c>
      <c r="F685" t="s">
        <v>41</v>
      </c>
      <c r="G685" t="s">
        <v>41</v>
      </c>
    </row>
    <row r="686" spans="1:8">
      <c r="A686">
        <v>236880</v>
      </c>
      <c r="B686">
        <v>1117321</v>
      </c>
      <c r="C686">
        <v>1</v>
      </c>
      <c r="D686" t="s">
        <v>1695</v>
      </c>
      <c r="E686">
        <v>4198</v>
      </c>
      <c r="F686" t="s">
        <v>41</v>
      </c>
      <c r="G686" t="s">
        <v>41</v>
      </c>
    </row>
    <row r="687" spans="1:8">
      <c r="A687">
        <v>236881</v>
      </c>
      <c r="B687">
        <v>1117321</v>
      </c>
      <c r="C687">
        <v>2</v>
      </c>
      <c r="D687" t="s">
        <v>1695</v>
      </c>
      <c r="E687">
        <v>4198</v>
      </c>
      <c r="F687" t="s">
        <v>41</v>
      </c>
      <c r="G687" t="s">
        <v>41</v>
      </c>
    </row>
    <row r="688" spans="1:8">
      <c r="A688">
        <v>236882</v>
      </c>
      <c r="B688">
        <v>1117321</v>
      </c>
      <c r="C688">
        <v>3</v>
      </c>
      <c r="D688" t="s">
        <v>1695</v>
      </c>
      <c r="E688">
        <v>4198</v>
      </c>
      <c r="F688" t="s">
        <v>41</v>
      </c>
      <c r="G688" t="s">
        <v>41</v>
      </c>
    </row>
    <row r="689" spans="1:8">
      <c r="A689">
        <v>238577</v>
      </c>
      <c r="B689">
        <v>1118149</v>
      </c>
      <c r="C689">
        <v>1</v>
      </c>
      <c r="D689" t="s">
        <v>1695</v>
      </c>
      <c r="E689">
        <v>854</v>
      </c>
      <c r="F689" t="s">
        <v>41</v>
      </c>
      <c r="G689" t="s">
        <v>41</v>
      </c>
    </row>
    <row r="690" spans="1:8">
      <c r="A690">
        <v>240098</v>
      </c>
      <c r="B690">
        <v>1118868</v>
      </c>
      <c r="C690">
        <v>1</v>
      </c>
      <c r="D690" t="s">
        <v>1695</v>
      </c>
      <c r="E690">
        <v>1657</v>
      </c>
      <c r="F690" t="s">
        <v>41</v>
      </c>
      <c r="G690" t="s">
        <v>41</v>
      </c>
    </row>
    <row r="691" spans="1:8">
      <c r="A691">
        <v>240099</v>
      </c>
      <c r="B691">
        <v>1118868</v>
      </c>
      <c r="C691">
        <v>2</v>
      </c>
      <c r="D691" t="s">
        <v>1696</v>
      </c>
      <c r="E691">
        <v>994</v>
      </c>
      <c r="F691" t="s">
        <v>41</v>
      </c>
      <c r="G691" t="s">
        <v>41</v>
      </c>
    </row>
    <row r="692" spans="1:8">
      <c r="A692">
        <v>241383</v>
      </c>
      <c r="B692">
        <v>1119517</v>
      </c>
      <c r="C692">
        <v>1</v>
      </c>
      <c r="D692" t="s">
        <v>1695</v>
      </c>
      <c r="E692">
        <v>2520</v>
      </c>
      <c r="F692" t="s">
        <v>41</v>
      </c>
      <c r="G692" t="s">
        <v>37</v>
      </c>
      <c r="H692">
        <v>28630</v>
      </c>
    </row>
    <row r="693" spans="1:8">
      <c r="A693">
        <v>241989</v>
      </c>
      <c r="B693">
        <v>1119837</v>
      </c>
      <c r="C693">
        <v>1</v>
      </c>
      <c r="D693" t="s">
        <v>1695</v>
      </c>
      <c r="E693">
        <v>1053</v>
      </c>
      <c r="F693" t="s">
        <v>41</v>
      </c>
      <c r="G693" t="s">
        <v>41</v>
      </c>
    </row>
    <row r="694" spans="1:8">
      <c r="A694">
        <v>242579</v>
      </c>
      <c r="B694">
        <v>1120103</v>
      </c>
      <c r="C694">
        <v>1</v>
      </c>
      <c r="D694" t="s">
        <v>1695</v>
      </c>
      <c r="E694">
        <v>4406</v>
      </c>
      <c r="F694" t="s">
        <v>47</v>
      </c>
      <c r="G694" t="s">
        <v>37</v>
      </c>
      <c r="H694">
        <v>23669</v>
      </c>
    </row>
    <row r="695" spans="1:8">
      <c r="A695">
        <v>243244</v>
      </c>
      <c r="B695">
        <v>1120423</v>
      </c>
      <c r="C695">
        <v>1</v>
      </c>
      <c r="D695" t="s">
        <v>1695</v>
      </c>
      <c r="E695">
        <v>2784</v>
      </c>
      <c r="F695" t="s">
        <v>41</v>
      </c>
      <c r="G695" t="s">
        <v>41</v>
      </c>
    </row>
    <row r="696" spans="1:8">
      <c r="A696">
        <v>243633</v>
      </c>
      <c r="B696">
        <v>1120611</v>
      </c>
      <c r="C696">
        <v>1</v>
      </c>
      <c r="D696" t="s">
        <v>1695</v>
      </c>
      <c r="E696">
        <v>950</v>
      </c>
      <c r="F696" t="s">
        <v>47</v>
      </c>
      <c r="G696" t="s">
        <v>41</v>
      </c>
    </row>
    <row r="697" spans="1:8">
      <c r="A697">
        <v>243634</v>
      </c>
      <c r="B697">
        <v>1120611</v>
      </c>
      <c r="C697">
        <v>2</v>
      </c>
      <c r="D697" t="s">
        <v>1695</v>
      </c>
      <c r="E697">
        <v>950</v>
      </c>
      <c r="F697" t="s">
        <v>47</v>
      </c>
      <c r="G697" t="s">
        <v>41</v>
      </c>
    </row>
    <row r="698" spans="1:8">
      <c r="A698">
        <v>243635</v>
      </c>
      <c r="B698">
        <v>1120611</v>
      </c>
      <c r="C698">
        <v>3</v>
      </c>
      <c r="D698" t="s">
        <v>1695</v>
      </c>
      <c r="E698">
        <v>950</v>
      </c>
      <c r="F698" t="s">
        <v>47</v>
      </c>
      <c r="G698" t="s">
        <v>47</v>
      </c>
    </row>
    <row r="699" spans="1:8">
      <c r="A699">
        <v>243636</v>
      </c>
      <c r="B699">
        <v>1120611</v>
      </c>
      <c r="C699">
        <v>4</v>
      </c>
      <c r="D699" t="s">
        <v>1695</v>
      </c>
      <c r="E699">
        <v>950</v>
      </c>
      <c r="F699" t="s">
        <v>47</v>
      </c>
      <c r="G699" t="s">
        <v>47</v>
      </c>
    </row>
    <row r="700" spans="1:8">
      <c r="A700">
        <v>243721</v>
      </c>
      <c r="B700">
        <v>1120649</v>
      </c>
      <c r="C700">
        <v>1</v>
      </c>
      <c r="D700" t="s">
        <v>1695</v>
      </c>
      <c r="E700">
        <v>1579</v>
      </c>
      <c r="F700" t="s">
        <v>47</v>
      </c>
      <c r="G700" t="s">
        <v>41</v>
      </c>
    </row>
    <row r="701" spans="1:8">
      <c r="A701">
        <v>243722</v>
      </c>
      <c r="B701">
        <v>1120649</v>
      </c>
      <c r="C701">
        <v>2</v>
      </c>
      <c r="D701" t="s">
        <v>1695</v>
      </c>
      <c r="E701">
        <v>1579</v>
      </c>
      <c r="F701" t="s">
        <v>47</v>
      </c>
      <c r="G701" t="s">
        <v>41</v>
      </c>
    </row>
    <row r="702" spans="1:8">
      <c r="A702">
        <v>244188</v>
      </c>
      <c r="B702">
        <v>1120875</v>
      </c>
      <c r="C702">
        <v>1</v>
      </c>
      <c r="D702" t="s">
        <v>1696</v>
      </c>
      <c r="E702">
        <v>452</v>
      </c>
      <c r="F702" t="s">
        <v>41</v>
      </c>
      <c r="G702" t="s">
        <v>41</v>
      </c>
    </row>
    <row r="703" spans="1:8">
      <c r="A703">
        <v>244189</v>
      </c>
      <c r="B703">
        <v>1120875</v>
      </c>
      <c r="C703">
        <v>2</v>
      </c>
      <c r="D703" t="s">
        <v>1696</v>
      </c>
      <c r="E703">
        <v>452</v>
      </c>
      <c r="F703" t="s">
        <v>41</v>
      </c>
      <c r="G703" t="s">
        <v>41</v>
      </c>
    </row>
    <row r="704" spans="1:8">
      <c r="A704">
        <v>244190</v>
      </c>
      <c r="B704">
        <v>1120875</v>
      </c>
      <c r="C704">
        <v>3</v>
      </c>
      <c r="D704" t="s">
        <v>1695</v>
      </c>
      <c r="E704">
        <v>753</v>
      </c>
      <c r="F704" t="s">
        <v>41</v>
      </c>
      <c r="G704" t="s">
        <v>41</v>
      </c>
    </row>
    <row r="705" spans="1:8">
      <c r="A705">
        <v>246187</v>
      </c>
      <c r="B705">
        <v>1121859</v>
      </c>
      <c r="C705">
        <v>1</v>
      </c>
      <c r="D705" t="s">
        <v>1695</v>
      </c>
      <c r="E705">
        <v>1731</v>
      </c>
      <c r="F705" t="s">
        <v>41</v>
      </c>
      <c r="G705" t="s">
        <v>41</v>
      </c>
    </row>
    <row r="706" spans="1:8">
      <c r="A706">
        <v>246466</v>
      </c>
      <c r="B706">
        <v>1122006</v>
      </c>
      <c r="C706">
        <v>1</v>
      </c>
      <c r="D706" t="s">
        <v>1695</v>
      </c>
      <c r="E706">
        <v>654</v>
      </c>
      <c r="F706" t="s">
        <v>49</v>
      </c>
      <c r="G706" t="s">
        <v>49</v>
      </c>
      <c r="H706">
        <v>24752</v>
      </c>
    </row>
    <row r="707" spans="1:8">
      <c r="A707">
        <v>246716</v>
      </c>
      <c r="B707">
        <v>1122136</v>
      </c>
      <c r="C707">
        <v>1</v>
      </c>
      <c r="D707" t="s">
        <v>1695</v>
      </c>
      <c r="E707">
        <v>607</v>
      </c>
      <c r="F707" t="s">
        <v>41</v>
      </c>
      <c r="G707" t="s">
        <v>41</v>
      </c>
    </row>
    <row r="708" spans="1:8">
      <c r="A708">
        <v>246729</v>
      </c>
      <c r="B708">
        <v>1122145</v>
      </c>
      <c r="C708">
        <v>1</v>
      </c>
      <c r="D708" t="s">
        <v>1695</v>
      </c>
      <c r="E708">
        <v>906</v>
      </c>
      <c r="F708" t="s">
        <v>47</v>
      </c>
      <c r="G708" t="s">
        <v>47</v>
      </c>
    </row>
    <row r="709" spans="1:8">
      <c r="A709">
        <v>246730</v>
      </c>
      <c r="B709">
        <v>1122145</v>
      </c>
      <c r="C709">
        <v>2</v>
      </c>
      <c r="D709" t="s">
        <v>1695</v>
      </c>
      <c r="E709">
        <v>906</v>
      </c>
      <c r="F709" t="s">
        <v>47</v>
      </c>
      <c r="G709" t="s">
        <v>47</v>
      </c>
    </row>
    <row r="710" spans="1:8">
      <c r="A710">
        <v>246731</v>
      </c>
      <c r="B710">
        <v>1122145</v>
      </c>
      <c r="C710">
        <v>3</v>
      </c>
      <c r="D710" t="s">
        <v>1695</v>
      </c>
      <c r="E710">
        <v>906</v>
      </c>
      <c r="F710" t="s">
        <v>47</v>
      </c>
      <c r="G710" t="s">
        <v>47</v>
      </c>
    </row>
    <row r="711" spans="1:8">
      <c r="A711">
        <v>246732</v>
      </c>
      <c r="B711">
        <v>1122145</v>
      </c>
      <c r="C711">
        <v>4</v>
      </c>
      <c r="D711" t="s">
        <v>1695</v>
      </c>
      <c r="E711">
        <v>906</v>
      </c>
      <c r="F711" t="s">
        <v>47</v>
      </c>
      <c r="G711" t="s">
        <v>47</v>
      </c>
    </row>
    <row r="712" spans="1:8">
      <c r="A712">
        <v>246778</v>
      </c>
      <c r="B712">
        <v>1122170</v>
      </c>
      <c r="C712">
        <v>1</v>
      </c>
      <c r="D712" t="s">
        <v>1695</v>
      </c>
      <c r="E712">
        <v>2429</v>
      </c>
      <c r="F712" t="s">
        <v>47</v>
      </c>
      <c r="G712" t="s">
        <v>47</v>
      </c>
    </row>
    <row r="713" spans="1:8">
      <c r="A713">
        <v>246779</v>
      </c>
      <c r="B713">
        <v>1122170</v>
      </c>
      <c r="C713">
        <v>2</v>
      </c>
      <c r="D713" t="s">
        <v>1695</v>
      </c>
      <c r="E713">
        <v>2429</v>
      </c>
      <c r="F713" t="s">
        <v>47</v>
      </c>
      <c r="G713" t="s">
        <v>47</v>
      </c>
    </row>
    <row r="714" spans="1:8">
      <c r="A714">
        <v>246780</v>
      </c>
      <c r="B714">
        <v>1122170</v>
      </c>
      <c r="C714">
        <v>3</v>
      </c>
      <c r="D714" t="s">
        <v>1695</v>
      </c>
      <c r="E714">
        <v>2429</v>
      </c>
      <c r="F714" t="s">
        <v>47</v>
      </c>
      <c r="G714" t="s">
        <v>47</v>
      </c>
    </row>
    <row r="715" spans="1:8">
      <c r="A715">
        <v>246781</v>
      </c>
      <c r="B715">
        <v>1122170</v>
      </c>
      <c r="C715">
        <v>4</v>
      </c>
      <c r="D715" t="s">
        <v>1695</v>
      </c>
      <c r="E715">
        <v>2429</v>
      </c>
      <c r="F715" t="s">
        <v>47</v>
      </c>
      <c r="G715" t="s">
        <v>47</v>
      </c>
    </row>
    <row r="716" spans="1:8">
      <c r="A716">
        <v>246782</v>
      </c>
      <c r="B716">
        <v>1122170</v>
      </c>
      <c r="C716">
        <v>5</v>
      </c>
      <c r="D716" t="s">
        <v>1695</v>
      </c>
      <c r="E716">
        <v>2429</v>
      </c>
      <c r="F716" t="s">
        <v>47</v>
      </c>
      <c r="G716" t="s">
        <v>47</v>
      </c>
    </row>
    <row r="717" spans="1:8">
      <c r="A717">
        <v>246783</v>
      </c>
      <c r="B717">
        <v>1122170</v>
      </c>
      <c r="C717">
        <v>6</v>
      </c>
      <c r="D717" t="s">
        <v>1695</v>
      </c>
      <c r="E717">
        <v>2429</v>
      </c>
      <c r="F717" t="s">
        <v>47</v>
      </c>
      <c r="G717" t="s">
        <v>47</v>
      </c>
    </row>
    <row r="718" spans="1:8">
      <c r="A718">
        <v>246903</v>
      </c>
      <c r="B718">
        <v>1122233</v>
      </c>
      <c r="C718">
        <v>1</v>
      </c>
      <c r="D718" t="s">
        <v>1696</v>
      </c>
      <c r="E718">
        <v>2519</v>
      </c>
      <c r="F718" t="s">
        <v>47</v>
      </c>
      <c r="G718" t="s">
        <v>47</v>
      </c>
    </row>
    <row r="719" spans="1:8">
      <c r="A719">
        <v>247508</v>
      </c>
      <c r="B719">
        <v>1122534</v>
      </c>
      <c r="C719">
        <v>1</v>
      </c>
      <c r="D719" t="s">
        <v>1695</v>
      </c>
      <c r="E719">
        <v>984</v>
      </c>
      <c r="F719" t="s">
        <v>41</v>
      </c>
      <c r="G719" t="s">
        <v>37</v>
      </c>
      <c r="H719">
        <v>24799</v>
      </c>
    </row>
    <row r="720" spans="1:8">
      <c r="A720">
        <v>247509</v>
      </c>
      <c r="B720">
        <v>1122534</v>
      </c>
      <c r="C720">
        <v>2</v>
      </c>
      <c r="D720" t="s">
        <v>1695</v>
      </c>
      <c r="E720">
        <v>984</v>
      </c>
      <c r="F720" t="s">
        <v>41</v>
      </c>
      <c r="G720" t="s">
        <v>37</v>
      </c>
      <c r="H720">
        <v>24799</v>
      </c>
    </row>
    <row r="721" spans="1:8">
      <c r="A721">
        <v>247510</v>
      </c>
      <c r="B721">
        <v>1122534</v>
      </c>
      <c r="C721">
        <v>3</v>
      </c>
      <c r="D721" t="s">
        <v>1695</v>
      </c>
      <c r="E721">
        <v>984</v>
      </c>
      <c r="F721" t="s">
        <v>41</v>
      </c>
      <c r="G721" t="s">
        <v>37</v>
      </c>
      <c r="H721">
        <v>24799</v>
      </c>
    </row>
    <row r="722" spans="1:8">
      <c r="A722">
        <v>247511</v>
      </c>
      <c r="B722">
        <v>1122534</v>
      </c>
      <c r="C722">
        <v>4</v>
      </c>
      <c r="D722" t="s">
        <v>1697</v>
      </c>
      <c r="E722">
        <v>492</v>
      </c>
      <c r="F722" t="s">
        <v>41</v>
      </c>
      <c r="G722" t="s">
        <v>37</v>
      </c>
      <c r="H722">
        <v>24799</v>
      </c>
    </row>
    <row r="723" spans="1:8">
      <c r="A723">
        <v>247512</v>
      </c>
      <c r="B723">
        <v>1122534</v>
      </c>
      <c r="C723">
        <v>5</v>
      </c>
      <c r="D723" t="s">
        <v>1695</v>
      </c>
      <c r="E723">
        <v>984</v>
      </c>
      <c r="F723" t="s">
        <v>41</v>
      </c>
      <c r="G723" t="s">
        <v>37</v>
      </c>
      <c r="H723">
        <v>24799</v>
      </c>
    </row>
    <row r="724" spans="1:8">
      <c r="A724">
        <v>247823</v>
      </c>
      <c r="B724">
        <v>1122677</v>
      </c>
      <c r="C724">
        <v>1</v>
      </c>
      <c r="D724" t="s">
        <v>1695</v>
      </c>
      <c r="E724">
        <v>1379</v>
      </c>
      <c r="F724" t="s">
        <v>41</v>
      </c>
      <c r="G724" t="s">
        <v>41</v>
      </c>
    </row>
    <row r="725" spans="1:8">
      <c r="A725">
        <v>249714</v>
      </c>
      <c r="B725">
        <v>1123615</v>
      </c>
      <c r="C725">
        <v>1</v>
      </c>
      <c r="D725" t="s">
        <v>1695</v>
      </c>
      <c r="E725">
        <v>753</v>
      </c>
      <c r="F725" t="s">
        <v>41</v>
      </c>
      <c r="G725" t="s">
        <v>41</v>
      </c>
    </row>
    <row r="726" spans="1:8">
      <c r="A726">
        <v>249715</v>
      </c>
      <c r="B726">
        <v>1123615</v>
      </c>
      <c r="C726">
        <v>2</v>
      </c>
      <c r="D726" t="s">
        <v>1695</v>
      </c>
      <c r="E726">
        <v>753</v>
      </c>
      <c r="F726" t="s">
        <v>41</v>
      </c>
      <c r="G726" t="s">
        <v>41</v>
      </c>
    </row>
    <row r="727" spans="1:8">
      <c r="A727">
        <v>249996</v>
      </c>
      <c r="B727">
        <v>1123753</v>
      </c>
      <c r="C727">
        <v>1</v>
      </c>
      <c r="D727" t="s">
        <v>1695</v>
      </c>
      <c r="E727">
        <v>654</v>
      </c>
      <c r="F727" t="s">
        <v>41</v>
      </c>
      <c r="G727" t="s">
        <v>41</v>
      </c>
    </row>
    <row r="728" spans="1:8">
      <c r="A728">
        <v>251648</v>
      </c>
      <c r="B728">
        <v>1124587</v>
      </c>
      <c r="C728">
        <v>1</v>
      </c>
      <c r="D728" t="s">
        <v>1695</v>
      </c>
      <c r="E728">
        <v>906</v>
      </c>
      <c r="F728" t="s">
        <v>49</v>
      </c>
      <c r="G728" t="s">
        <v>37</v>
      </c>
      <c r="H728">
        <v>24794</v>
      </c>
    </row>
    <row r="729" spans="1:8">
      <c r="A729">
        <v>252224</v>
      </c>
      <c r="B729">
        <v>1124863</v>
      </c>
      <c r="C729">
        <v>1</v>
      </c>
      <c r="D729" t="s">
        <v>1695</v>
      </c>
      <c r="E729">
        <v>870</v>
      </c>
      <c r="F729" t="s">
        <v>41</v>
      </c>
      <c r="G729" t="s">
        <v>41</v>
      </c>
    </row>
    <row r="730" spans="1:8">
      <c r="A730">
        <v>252225</v>
      </c>
      <c r="B730">
        <v>1124863</v>
      </c>
      <c r="C730">
        <v>2</v>
      </c>
      <c r="D730" t="s">
        <v>1695</v>
      </c>
      <c r="E730">
        <v>870</v>
      </c>
      <c r="F730" t="s">
        <v>41</v>
      </c>
      <c r="G730" t="s">
        <v>41</v>
      </c>
    </row>
    <row r="731" spans="1:8">
      <c r="A731">
        <v>252582</v>
      </c>
      <c r="B731">
        <v>1125038</v>
      </c>
      <c r="C731">
        <v>1</v>
      </c>
      <c r="D731" t="s">
        <v>1695</v>
      </c>
      <c r="E731">
        <v>950</v>
      </c>
      <c r="F731" t="s">
        <v>41</v>
      </c>
      <c r="G731" t="s">
        <v>41</v>
      </c>
    </row>
    <row r="732" spans="1:8">
      <c r="A732">
        <v>252583</v>
      </c>
      <c r="B732">
        <v>1125038</v>
      </c>
      <c r="C732">
        <v>2</v>
      </c>
      <c r="D732" t="s">
        <v>1695</v>
      </c>
      <c r="E732">
        <v>950</v>
      </c>
      <c r="F732" t="s">
        <v>41</v>
      </c>
      <c r="G732" t="s">
        <v>41</v>
      </c>
    </row>
    <row r="733" spans="1:8">
      <c r="A733">
        <v>252584</v>
      </c>
      <c r="B733">
        <v>1125038</v>
      </c>
      <c r="C733">
        <v>3</v>
      </c>
      <c r="D733" t="s">
        <v>1695</v>
      </c>
      <c r="E733">
        <v>950</v>
      </c>
      <c r="F733" t="s">
        <v>41</v>
      </c>
      <c r="G733" t="s">
        <v>41</v>
      </c>
    </row>
    <row r="734" spans="1:8">
      <c r="A734">
        <v>253004</v>
      </c>
      <c r="B734">
        <v>1125238</v>
      </c>
      <c r="C734">
        <v>1</v>
      </c>
      <c r="D734" t="s">
        <v>1695</v>
      </c>
      <c r="E734">
        <v>668</v>
      </c>
      <c r="F734" t="s">
        <v>41</v>
      </c>
      <c r="G734" t="s">
        <v>41</v>
      </c>
    </row>
    <row r="735" spans="1:8">
      <c r="A735">
        <v>253005</v>
      </c>
      <c r="B735">
        <v>1125238</v>
      </c>
      <c r="C735">
        <v>2</v>
      </c>
      <c r="D735" t="s">
        <v>1695</v>
      </c>
      <c r="E735">
        <v>668</v>
      </c>
      <c r="F735" t="s">
        <v>41</v>
      </c>
      <c r="G735" t="s">
        <v>41</v>
      </c>
    </row>
    <row r="736" spans="1:8">
      <c r="A736">
        <v>253481</v>
      </c>
      <c r="B736">
        <v>1125471</v>
      </c>
      <c r="C736">
        <v>1</v>
      </c>
      <c r="D736" t="s">
        <v>1695</v>
      </c>
      <c r="E736">
        <v>1183</v>
      </c>
      <c r="F736" t="s">
        <v>41</v>
      </c>
      <c r="G736" t="s">
        <v>41</v>
      </c>
    </row>
    <row r="737" spans="1:8">
      <c r="A737">
        <v>253482</v>
      </c>
      <c r="B737">
        <v>1125471</v>
      </c>
      <c r="C737">
        <v>2</v>
      </c>
      <c r="D737" t="s">
        <v>1696</v>
      </c>
      <c r="E737">
        <v>710</v>
      </c>
      <c r="F737" t="s">
        <v>41</v>
      </c>
      <c r="G737" t="s">
        <v>41</v>
      </c>
    </row>
    <row r="738" spans="1:8">
      <c r="A738">
        <v>253485</v>
      </c>
      <c r="B738">
        <v>1125474</v>
      </c>
      <c r="C738">
        <v>1</v>
      </c>
      <c r="D738" t="s">
        <v>1695</v>
      </c>
      <c r="E738">
        <v>544</v>
      </c>
      <c r="F738" t="s">
        <v>49</v>
      </c>
      <c r="G738" t="s">
        <v>49</v>
      </c>
      <c r="H738">
        <v>24924</v>
      </c>
    </row>
    <row r="739" spans="1:8">
      <c r="A739">
        <v>253486</v>
      </c>
      <c r="B739">
        <v>1125474</v>
      </c>
      <c r="C739">
        <v>2</v>
      </c>
      <c r="D739" t="s">
        <v>1697</v>
      </c>
      <c r="E739">
        <v>272</v>
      </c>
      <c r="F739" t="s">
        <v>49</v>
      </c>
      <c r="G739" t="s">
        <v>49</v>
      </c>
      <c r="H739">
        <v>24924</v>
      </c>
    </row>
    <row r="740" spans="1:8">
      <c r="A740">
        <v>254966</v>
      </c>
      <c r="B740">
        <v>1126190</v>
      </c>
      <c r="C740">
        <v>1</v>
      </c>
      <c r="D740" t="s">
        <v>1695</v>
      </c>
      <c r="E740">
        <v>1379</v>
      </c>
      <c r="F740" t="s">
        <v>41</v>
      </c>
      <c r="G740" t="s">
        <v>41</v>
      </c>
    </row>
    <row r="741" spans="1:8">
      <c r="A741">
        <v>255151</v>
      </c>
      <c r="B741">
        <v>1126291</v>
      </c>
      <c r="C741">
        <v>1</v>
      </c>
      <c r="D741" t="s">
        <v>1695</v>
      </c>
      <c r="E741">
        <v>1379</v>
      </c>
      <c r="F741" t="s">
        <v>41</v>
      </c>
      <c r="G741" t="s">
        <v>37</v>
      </c>
      <c r="H741">
        <v>25359</v>
      </c>
    </row>
    <row r="742" spans="1:8">
      <c r="A742">
        <v>255355</v>
      </c>
      <c r="B742">
        <v>1126400</v>
      </c>
      <c r="C742">
        <v>1</v>
      </c>
      <c r="D742" t="s">
        <v>1695</v>
      </c>
      <c r="E742">
        <v>1049</v>
      </c>
      <c r="F742" t="s">
        <v>41</v>
      </c>
      <c r="G742" t="s">
        <v>41</v>
      </c>
    </row>
    <row r="743" spans="1:8">
      <c r="A743">
        <v>255356</v>
      </c>
      <c r="B743">
        <v>1126400</v>
      </c>
      <c r="C743">
        <v>2</v>
      </c>
      <c r="D743" t="s">
        <v>1695</v>
      </c>
      <c r="E743">
        <v>1049</v>
      </c>
      <c r="F743" t="s">
        <v>41</v>
      </c>
      <c r="G743" t="s">
        <v>41</v>
      </c>
    </row>
    <row r="744" spans="1:8">
      <c r="A744">
        <v>255357</v>
      </c>
      <c r="B744">
        <v>1126400</v>
      </c>
      <c r="C744">
        <v>3</v>
      </c>
      <c r="D744" t="s">
        <v>1695</v>
      </c>
      <c r="E744">
        <v>1049</v>
      </c>
      <c r="F744" t="s">
        <v>41</v>
      </c>
      <c r="G744" t="s">
        <v>41</v>
      </c>
    </row>
    <row r="745" spans="1:8">
      <c r="A745">
        <v>255358</v>
      </c>
      <c r="B745">
        <v>1126400</v>
      </c>
      <c r="C745">
        <v>4</v>
      </c>
      <c r="D745" t="s">
        <v>1695</v>
      </c>
      <c r="E745">
        <v>1049</v>
      </c>
      <c r="F745" t="s">
        <v>41</v>
      </c>
      <c r="G745" t="s">
        <v>41</v>
      </c>
    </row>
    <row r="746" spans="1:8">
      <c r="A746">
        <v>255359</v>
      </c>
      <c r="B746">
        <v>1126400</v>
      </c>
      <c r="C746">
        <v>5</v>
      </c>
      <c r="D746" t="s">
        <v>1695</v>
      </c>
      <c r="E746">
        <v>1049</v>
      </c>
      <c r="F746" t="s">
        <v>41</v>
      </c>
      <c r="G746" t="s">
        <v>41</v>
      </c>
    </row>
    <row r="747" spans="1:8">
      <c r="A747">
        <v>255373</v>
      </c>
      <c r="B747">
        <v>1126405</v>
      </c>
      <c r="C747">
        <v>1</v>
      </c>
      <c r="D747" t="s">
        <v>1695</v>
      </c>
      <c r="E747">
        <v>1049</v>
      </c>
      <c r="F747" t="s">
        <v>47</v>
      </c>
      <c r="G747" t="s">
        <v>37</v>
      </c>
      <c r="H747">
        <v>25432</v>
      </c>
    </row>
    <row r="748" spans="1:8">
      <c r="A748">
        <v>255374</v>
      </c>
      <c r="B748">
        <v>1126405</v>
      </c>
      <c r="C748">
        <v>2</v>
      </c>
      <c r="D748" t="s">
        <v>1695</v>
      </c>
      <c r="E748">
        <v>1049</v>
      </c>
      <c r="F748" t="s">
        <v>47</v>
      </c>
      <c r="G748" t="s">
        <v>37</v>
      </c>
      <c r="H748">
        <v>25432</v>
      </c>
    </row>
    <row r="749" spans="1:8">
      <c r="A749">
        <v>255375</v>
      </c>
      <c r="B749">
        <v>1126405</v>
      </c>
      <c r="C749">
        <v>3</v>
      </c>
      <c r="D749" t="s">
        <v>1695</v>
      </c>
      <c r="E749">
        <v>1049</v>
      </c>
      <c r="F749" t="s">
        <v>47</v>
      </c>
      <c r="G749" t="s">
        <v>37</v>
      </c>
      <c r="H749">
        <v>25432</v>
      </c>
    </row>
    <row r="750" spans="1:8">
      <c r="A750">
        <v>255376</v>
      </c>
      <c r="B750">
        <v>1126405</v>
      </c>
      <c r="C750">
        <v>4</v>
      </c>
      <c r="D750" t="s">
        <v>1695</v>
      </c>
      <c r="E750">
        <v>1049</v>
      </c>
      <c r="F750" t="s">
        <v>47</v>
      </c>
      <c r="G750" t="s">
        <v>37</v>
      </c>
      <c r="H750">
        <v>25432</v>
      </c>
    </row>
    <row r="751" spans="1:8">
      <c r="A751">
        <v>255377</v>
      </c>
      <c r="B751">
        <v>1126405</v>
      </c>
      <c r="C751">
        <v>5</v>
      </c>
      <c r="D751" t="s">
        <v>1695</v>
      </c>
      <c r="E751">
        <v>1049</v>
      </c>
      <c r="F751" t="s">
        <v>47</v>
      </c>
      <c r="G751" t="s">
        <v>37</v>
      </c>
      <c r="H751">
        <v>25432</v>
      </c>
    </row>
    <row r="752" spans="1:8">
      <c r="A752">
        <v>257063</v>
      </c>
      <c r="B752">
        <v>1127244</v>
      </c>
      <c r="C752">
        <v>1</v>
      </c>
      <c r="D752" t="s">
        <v>1695</v>
      </c>
      <c r="E752">
        <v>4406</v>
      </c>
      <c r="F752" t="s">
        <v>41</v>
      </c>
      <c r="G752" t="s">
        <v>37</v>
      </c>
      <c r="H752">
        <v>26097</v>
      </c>
    </row>
    <row r="753" spans="1:8">
      <c r="A753">
        <v>258157</v>
      </c>
      <c r="B753">
        <v>1127773</v>
      </c>
      <c r="C753">
        <v>1</v>
      </c>
      <c r="D753" t="s">
        <v>1695</v>
      </c>
      <c r="E753">
        <v>1579</v>
      </c>
      <c r="F753" t="s">
        <v>41</v>
      </c>
      <c r="G753" t="s">
        <v>41</v>
      </c>
    </row>
    <row r="754" spans="1:8">
      <c r="A754">
        <v>259398</v>
      </c>
      <c r="B754">
        <v>1128434</v>
      </c>
      <c r="C754">
        <v>1</v>
      </c>
      <c r="D754" t="s">
        <v>1695</v>
      </c>
      <c r="E754">
        <v>3142</v>
      </c>
      <c r="F754" t="s">
        <v>41</v>
      </c>
      <c r="G754" t="s">
        <v>41</v>
      </c>
    </row>
    <row r="755" spans="1:8">
      <c r="A755">
        <v>259399</v>
      </c>
      <c r="B755">
        <v>1128435</v>
      </c>
      <c r="C755">
        <v>1</v>
      </c>
      <c r="D755" t="s">
        <v>1695</v>
      </c>
      <c r="E755">
        <v>654</v>
      </c>
      <c r="F755" t="s">
        <v>41</v>
      </c>
      <c r="G755" t="s">
        <v>37</v>
      </c>
      <c r="H755">
        <v>25488</v>
      </c>
    </row>
    <row r="756" spans="1:8">
      <c r="A756">
        <v>260093</v>
      </c>
      <c r="B756">
        <v>1128767</v>
      </c>
      <c r="C756">
        <v>1</v>
      </c>
      <c r="D756" t="s">
        <v>1695</v>
      </c>
      <c r="E756">
        <v>3302</v>
      </c>
      <c r="F756" t="s">
        <v>41</v>
      </c>
      <c r="G756" t="s">
        <v>41</v>
      </c>
    </row>
    <row r="757" spans="1:8">
      <c r="A757">
        <v>260648</v>
      </c>
      <c r="B757">
        <v>1129047</v>
      </c>
      <c r="C757">
        <v>1</v>
      </c>
      <c r="D757" t="s">
        <v>1695</v>
      </c>
      <c r="E757">
        <v>3247</v>
      </c>
      <c r="F757" t="s">
        <v>41</v>
      </c>
      <c r="G757" t="s">
        <v>41</v>
      </c>
    </row>
    <row r="758" spans="1:8">
      <c r="A758">
        <v>260649</v>
      </c>
      <c r="B758">
        <v>1129047</v>
      </c>
      <c r="C758">
        <v>2</v>
      </c>
      <c r="D758" t="s">
        <v>1695</v>
      </c>
      <c r="E758">
        <v>3247</v>
      </c>
      <c r="F758" t="s">
        <v>41</v>
      </c>
      <c r="G758" t="s">
        <v>41</v>
      </c>
    </row>
    <row r="759" spans="1:8">
      <c r="A759">
        <v>261027</v>
      </c>
      <c r="B759">
        <v>1129237</v>
      </c>
      <c r="C759">
        <v>1</v>
      </c>
      <c r="D759" t="s">
        <v>1695</v>
      </c>
      <c r="E759">
        <v>2784</v>
      </c>
      <c r="F759" t="s">
        <v>41</v>
      </c>
      <c r="G759" t="s">
        <v>37</v>
      </c>
      <c r="H759">
        <v>30174</v>
      </c>
    </row>
    <row r="760" spans="1:8">
      <c r="A760">
        <v>261028</v>
      </c>
      <c r="B760">
        <v>1129237</v>
      </c>
      <c r="C760">
        <v>2</v>
      </c>
      <c r="D760" t="s">
        <v>1695</v>
      </c>
      <c r="E760">
        <v>2784</v>
      </c>
      <c r="F760" t="s">
        <v>41</v>
      </c>
      <c r="G760" t="s">
        <v>37</v>
      </c>
      <c r="H760">
        <v>30174</v>
      </c>
    </row>
    <row r="761" spans="1:8">
      <c r="A761">
        <v>261262</v>
      </c>
      <c r="B761">
        <v>1129353</v>
      </c>
      <c r="C761">
        <v>1</v>
      </c>
      <c r="D761" t="s">
        <v>1695</v>
      </c>
      <c r="E761">
        <v>2301</v>
      </c>
      <c r="F761" t="s">
        <v>41</v>
      </c>
      <c r="G761" t="s">
        <v>41</v>
      </c>
    </row>
    <row r="762" spans="1:8">
      <c r="A762">
        <v>261263</v>
      </c>
      <c r="B762">
        <v>1129353</v>
      </c>
      <c r="C762">
        <v>2</v>
      </c>
      <c r="D762" t="s">
        <v>1695</v>
      </c>
      <c r="E762">
        <v>2301</v>
      </c>
      <c r="F762" t="s">
        <v>41</v>
      </c>
      <c r="G762" t="s">
        <v>41</v>
      </c>
    </row>
    <row r="763" spans="1:8">
      <c r="A763">
        <v>261264</v>
      </c>
      <c r="B763">
        <v>1129353</v>
      </c>
      <c r="C763">
        <v>3</v>
      </c>
      <c r="D763" t="s">
        <v>1695</v>
      </c>
      <c r="E763">
        <v>2301</v>
      </c>
      <c r="F763" t="s">
        <v>41</v>
      </c>
      <c r="G763" t="s">
        <v>41</v>
      </c>
    </row>
    <row r="764" spans="1:8">
      <c r="A764">
        <v>262703</v>
      </c>
      <c r="B764">
        <v>1130073</v>
      </c>
      <c r="C764">
        <v>1</v>
      </c>
      <c r="D764" t="s">
        <v>1695</v>
      </c>
      <c r="E764">
        <v>3026</v>
      </c>
      <c r="F764" t="s">
        <v>47</v>
      </c>
      <c r="G764" t="s">
        <v>41</v>
      </c>
    </row>
    <row r="765" spans="1:8">
      <c r="A765">
        <v>262704</v>
      </c>
      <c r="B765">
        <v>1130073</v>
      </c>
      <c r="C765">
        <v>2</v>
      </c>
      <c r="D765" t="s">
        <v>1695</v>
      </c>
      <c r="E765">
        <v>3026</v>
      </c>
      <c r="F765" t="s">
        <v>47</v>
      </c>
      <c r="G765" t="s">
        <v>41</v>
      </c>
    </row>
    <row r="766" spans="1:8">
      <c r="A766">
        <v>263608</v>
      </c>
      <c r="B766">
        <v>1130496</v>
      </c>
      <c r="C766">
        <v>1</v>
      </c>
      <c r="D766" t="s">
        <v>1695</v>
      </c>
      <c r="E766">
        <v>2784</v>
      </c>
      <c r="F766" t="s">
        <v>41</v>
      </c>
      <c r="G766" t="s">
        <v>41</v>
      </c>
    </row>
    <row r="767" spans="1:8">
      <c r="A767">
        <v>263609</v>
      </c>
      <c r="B767">
        <v>1130496</v>
      </c>
      <c r="C767">
        <v>2</v>
      </c>
      <c r="D767" t="s">
        <v>1695</v>
      </c>
      <c r="E767">
        <v>2784</v>
      </c>
      <c r="F767" t="s">
        <v>41</v>
      </c>
      <c r="G767" t="s">
        <v>41</v>
      </c>
    </row>
    <row r="768" spans="1:8">
      <c r="A768">
        <v>263972</v>
      </c>
      <c r="B768">
        <v>1130695</v>
      </c>
      <c r="C768">
        <v>1</v>
      </c>
      <c r="D768" t="s">
        <v>1695</v>
      </c>
      <c r="E768">
        <v>1390</v>
      </c>
      <c r="F768" t="s">
        <v>47</v>
      </c>
      <c r="G768" t="s">
        <v>37</v>
      </c>
      <c r="H768">
        <v>26344</v>
      </c>
    </row>
    <row r="769" spans="1:8">
      <c r="A769">
        <v>264848</v>
      </c>
      <c r="B769">
        <v>1131105</v>
      </c>
      <c r="C769">
        <v>1</v>
      </c>
      <c r="D769" t="s">
        <v>1695</v>
      </c>
      <c r="E769">
        <v>288</v>
      </c>
      <c r="F769" t="s">
        <v>41</v>
      </c>
      <c r="G769" t="s">
        <v>41</v>
      </c>
    </row>
    <row r="770" spans="1:8">
      <c r="A770">
        <v>264872</v>
      </c>
      <c r="B770">
        <v>1131122</v>
      </c>
      <c r="C770">
        <v>1</v>
      </c>
      <c r="D770" t="s">
        <v>1695</v>
      </c>
      <c r="E770">
        <v>544</v>
      </c>
      <c r="F770" t="s">
        <v>41</v>
      </c>
      <c r="G770" t="s">
        <v>41</v>
      </c>
    </row>
    <row r="771" spans="1:8">
      <c r="A771">
        <v>264873</v>
      </c>
      <c r="B771">
        <v>1131122</v>
      </c>
      <c r="C771">
        <v>2</v>
      </c>
      <c r="D771" t="s">
        <v>1697</v>
      </c>
      <c r="E771">
        <v>272</v>
      </c>
      <c r="F771" t="s">
        <v>41</v>
      </c>
      <c r="G771" t="s">
        <v>41</v>
      </c>
    </row>
    <row r="772" spans="1:8">
      <c r="A772">
        <v>264950</v>
      </c>
      <c r="B772">
        <v>1131156</v>
      </c>
      <c r="C772">
        <v>1</v>
      </c>
      <c r="D772" t="s">
        <v>1695</v>
      </c>
      <c r="E772">
        <v>872</v>
      </c>
      <c r="F772" t="s">
        <v>49</v>
      </c>
      <c r="G772" t="s">
        <v>49</v>
      </c>
      <c r="H772">
        <v>25975</v>
      </c>
    </row>
    <row r="773" spans="1:8">
      <c r="A773">
        <v>266558</v>
      </c>
      <c r="B773">
        <v>1131980</v>
      </c>
      <c r="C773">
        <v>1</v>
      </c>
      <c r="D773" t="s">
        <v>1695</v>
      </c>
      <c r="E773">
        <v>544</v>
      </c>
      <c r="F773" t="s">
        <v>41</v>
      </c>
      <c r="G773" t="s">
        <v>41</v>
      </c>
    </row>
    <row r="774" spans="1:8">
      <c r="A774">
        <v>268415</v>
      </c>
      <c r="B774">
        <v>1132914</v>
      </c>
      <c r="C774">
        <v>1</v>
      </c>
      <c r="D774" t="s">
        <v>1695</v>
      </c>
      <c r="E774">
        <v>3219</v>
      </c>
      <c r="F774" t="s">
        <v>41</v>
      </c>
      <c r="G774" t="s">
        <v>41</v>
      </c>
    </row>
    <row r="775" spans="1:8">
      <c r="A775">
        <v>269421</v>
      </c>
      <c r="B775">
        <v>1133457</v>
      </c>
      <c r="C775">
        <v>1</v>
      </c>
      <c r="D775" t="s">
        <v>1696</v>
      </c>
      <c r="E775">
        <v>587</v>
      </c>
      <c r="F775" t="s">
        <v>41</v>
      </c>
      <c r="G775" t="s">
        <v>37</v>
      </c>
      <c r="H775">
        <v>26370</v>
      </c>
    </row>
    <row r="776" spans="1:8">
      <c r="A776">
        <v>270529</v>
      </c>
      <c r="B776">
        <v>1133994</v>
      </c>
      <c r="C776">
        <v>1</v>
      </c>
      <c r="D776" t="s">
        <v>1695</v>
      </c>
      <c r="E776">
        <v>1008</v>
      </c>
      <c r="F776" t="s">
        <v>41</v>
      </c>
      <c r="G776" t="s">
        <v>41</v>
      </c>
    </row>
    <row r="777" spans="1:8">
      <c r="A777">
        <v>270530</v>
      </c>
      <c r="B777">
        <v>1133994</v>
      </c>
      <c r="C777">
        <v>2</v>
      </c>
      <c r="D777" t="s">
        <v>1695</v>
      </c>
      <c r="E777">
        <v>1008</v>
      </c>
      <c r="F777" t="s">
        <v>41</v>
      </c>
      <c r="G777" t="s">
        <v>41</v>
      </c>
    </row>
    <row r="778" spans="1:8">
      <c r="A778">
        <v>270767</v>
      </c>
      <c r="B778">
        <v>1134104</v>
      </c>
      <c r="C778">
        <v>1</v>
      </c>
      <c r="D778" t="s">
        <v>1695</v>
      </c>
      <c r="E778">
        <v>3520</v>
      </c>
      <c r="F778" t="s">
        <v>41</v>
      </c>
      <c r="G778" t="s">
        <v>41</v>
      </c>
    </row>
    <row r="779" spans="1:8">
      <c r="A779">
        <v>271007</v>
      </c>
      <c r="B779">
        <v>1134219</v>
      </c>
      <c r="C779">
        <v>1</v>
      </c>
      <c r="D779" t="s">
        <v>1695</v>
      </c>
      <c r="E779">
        <v>1390</v>
      </c>
      <c r="F779" t="s">
        <v>41</v>
      </c>
      <c r="G779" t="s">
        <v>41</v>
      </c>
    </row>
    <row r="780" spans="1:8">
      <c r="A780">
        <v>271186</v>
      </c>
      <c r="B780">
        <v>1134307</v>
      </c>
      <c r="C780">
        <v>1</v>
      </c>
      <c r="D780" t="s">
        <v>1695</v>
      </c>
      <c r="E780">
        <v>1049</v>
      </c>
      <c r="F780" t="s">
        <v>41</v>
      </c>
      <c r="G780" t="s">
        <v>41</v>
      </c>
    </row>
    <row r="781" spans="1:8">
      <c r="A781">
        <v>271187</v>
      </c>
      <c r="B781">
        <v>1134307</v>
      </c>
      <c r="C781">
        <v>2</v>
      </c>
      <c r="D781" t="s">
        <v>1695</v>
      </c>
      <c r="E781">
        <v>1049</v>
      </c>
      <c r="F781" t="s">
        <v>41</v>
      </c>
      <c r="G781" t="s">
        <v>41</v>
      </c>
    </row>
    <row r="782" spans="1:8">
      <c r="A782">
        <v>271188</v>
      </c>
      <c r="B782">
        <v>1134307</v>
      </c>
      <c r="C782">
        <v>3</v>
      </c>
      <c r="D782" t="s">
        <v>1695</v>
      </c>
      <c r="E782">
        <v>1049</v>
      </c>
      <c r="F782" t="s">
        <v>41</v>
      </c>
      <c r="G782" t="s">
        <v>41</v>
      </c>
    </row>
    <row r="783" spans="1:8">
      <c r="A783">
        <v>271189</v>
      </c>
      <c r="B783">
        <v>1134307</v>
      </c>
      <c r="C783">
        <v>4</v>
      </c>
      <c r="D783" t="s">
        <v>1695</v>
      </c>
      <c r="E783">
        <v>1049</v>
      </c>
      <c r="F783" t="s">
        <v>41</v>
      </c>
      <c r="G783" t="s">
        <v>41</v>
      </c>
    </row>
    <row r="784" spans="1:8">
      <c r="A784">
        <v>276077</v>
      </c>
      <c r="B784">
        <v>1136744</v>
      </c>
      <c r="C784">
        <v>1</v>
      </c>
      <c r="D784" t="s">
        <v>1695</v>
      </c>
      <c r="E784">
        <v>1314</v>
      </c>
      <c r="F784" t="s">
        <v>41</v>
      </c>
      <c r="G784" t="s">
        <v>41</v>
      </c>
    </row>
    <row r="785" spans="1:8">
      <c r="A785">
        <v>276162</v>
      </c>
      <c r="B785">
        <v>1136796</v>
      </c>
      <c r="C785">
        <v>1</v>
      </c>
      <c r="D785" t="s">
        <v>1695</v>
      </c>
      <c r="E785">
        <v>941</v>
      </c>
      <c r="F785" t="s">
        <v>41</v>
      </c>
      <c r="G785" t="s">
        <v>41</v>
      </c>
    </row>
    <row r="786" spans="1:8">
      <c r="A786">
        <v>276163</v>
      </c>
      <c r="B786">
        <v>1136796</v>
      </c>
      <c r="C786">
        <v>2</v>
      </c>
      <c r="D786" t="s">
        <v>1695</v>
      </c>
      <c r="E786">
        <v>941</v>
      </c>
      <c r="F786" t="s">
        <v>41</v>
      </c>
      <c r="G786" t="s">
        <v>41</v>
      </c>
    </row>
    <row r="787" spans="1:8">
      <c r="A787">
        <v>277365</v>
      </c>
      <c r="B787">
        <v>1137400</v>
      </c>
      <c r="C787">
        <v>1</v>
      </c>
      <c r="D787" t="s">
        <v>1695</v>
      </c>
      <c r="E787">
        <v>710</v>
      </c>
      <c r="F787" t="s">
        <v>41</v>
      </c>
      <c r="G787" t="s">
        <v>41</v>
      </c>
    </row>
    <row r="788" spans="1:8">
      <c r="A788">
        <v>277366</v>
      </c>
      <c r="B788">
        <v>1137400</v>
      </c>
      <c r="C788">
        <v>2</v>
      </c>
      <c r="D788" t="s">
        <v>1695</v>
      </c>
      <c r="E788">
        <v>710</v>
      </c>
      <c r="F788" t="s">
        <v>41</v>
      </c>
      <c r="G788" t="s">
        <v>41</v>
      </c>
    </row>
    <row r="789" spans="1:8">
      <c r="A789">
        <v>279471</v>
      </c>
      <c r="B789">
        <v>1138455</v>
      </c>
      <c r="C789">
        <v>1</v>
      </c>
      <c r="D789" t="s">
        <v>1695</v>
      </c>
      <c r="E789">
        <v>2520</v>
      </c>
      <c r="F789" t="s">
        <v>49</v>
      </c>
      <c r="G789" t="s">
        <v>47</v>
      </c>
    </row>
    <row r="790" spans="1:8">
      <c r="A790">
        <v>279472</v>
      </c>
      <c r="B790">
        <v>1138455</v>
      </c>
      <c r="C790">
        <v>2</v>
      </c>
      <c r="D790" t="s">
        <v>1695</v>
      </c>
      <c r="E790">
        <v>2520</v>
      </c>
      <c r="F790" t="s">
        <v>49</v>
      </c>
      <c r="G790" t="s">
        <v>47</v>
      </c>
    </row>
    <row r="791" spans="1:8">
      <c r="A791">
        <v>279473</v>
      </c>
      <c r="B791">
        <v>1138455</v>
      </c>
      <c r="C791">
        <v>3</v>
      </c>
      <c r="D791" t="s">
        <v>1695</v>
      </c>
      <c r="E791">
        <v>2520</v>
      </c>
      <c r="F791" t="s">
        <v>49</v>
      </c>
      <c r="G791" t="s">
        <v>49</v>
      </c>
      <c r="H791">
        <v>27471</v>
      </c>
    </row>
    <row r="792" spans="1:8">
      <c r="A792">
        <v>279589</v>
      </c>
      <c r="B792">
        <v>1138512</v>
      </c>
      <c r="C792">
        <v>1</v>
      </c>
      <c r="D792" t="s">
        <v>1695</v>
      </c>
      <c r="E792">
        <v>1183</v>
      </c>
      <c r="F792" t="s">
        <v>41</v>
      </c>
      <c r="G792" t="s">
        <v>41</v>
      </c>
    </row>
    <row r="793" spans="1:8">
      <c r="A793">
        <v>279590</v>
      </c>
      <c r="B793">
        <v>1138512</v>
      </c>
      <c r="C793">
        <v>2</v>
      </c>
      <c r="D793" t="s">
        <v>1696</v>
      </c>
      <c r="E793">
        <v>710</v>
      </c>
      <c r="F793" t="s">
        <v>41</v>
      </c>
      <c r="G793" t="s">
        <v>41</v>
      </c>
    </row>
    <row r="794" spans="1:8">
      <c r="A794">
        <v>279591</v>
      </c>
      <c r="B794">
        <v>1138512</v>
      </c>
      <c r="C794">
        <v>3</v>
      </c>
      <c r="D794" t="s">
        <v>1696</v>
      </c>
      <c r="E794">
        <v>710</v>
      </c>
      <c r="F794" t="s">
        <v>41</v>
      </c>
      <c r="G794" t="s">
        <v>41</v>
      </c>
    </row>
    <row r="795" spans="1:8">
      <c r="A795">
        <v>281190</v>
      </c>
      <c r="B795">
        <v>1139299</v>
      </c>
      <c r="C795">
        <v>1</v>
      </c>
      <c r="D795" t="s">
        <v>1695</v>
      </c>
      <c r="E795">
        <v>3026</v>
      </c>
      <c r="F795" t="s">
        <v>41</v>
      </c>
      <c r="G795" t="s">
        <v>37</v>
      </c>
      <c r="H795">
        <v>30781</v>
      </c>
    </row>
    <row r="796" spans="1:8">
      <c r="A796">
        <v>281191</v>
      </c>
      <c r="B796">
        <v>1139299</v>
      </c>
      <c r="C796">
        <v>2</v>
      </c>
      <c r="D796" t="s">
        <v>1695</v>
      </c>
      <c r="E796">
        <v>3026</v>
      </c>
      <c r="F796" t="s">
        <v>41</v>
      </c>
      <c r="G796" t="s">
        <v>37</v>
      </c>
      <c r="H796">
        <v>30781</v>
      </c>
    </row>
    <row r="797" spans="1:8">
      <c r="A797">
        <v>281192</v>
      </c>
      <c r="B797">
        <v>1139299</v>
      </c>
      <c r="C797">
        <v>3</v>
      </c>
      <c r="D797" t="s">
        <v>1695</v>
      </c>
      <c r="E797">
        <v>3026</v>
      </c>
      <c r="F797" t="s">
        <v>41</v>
      </c>
      <c r="G797" t="s">
        <v>37</v>
      </c>
      <c r="H797">
        <v>30781</v>
      </c>
    </row>
    <row r="798" spans="1:8">
      <c r="A798">
        <v>281193</v>
      </c>
      <c r="B798">
        <v>1139299</v>
      </c>
      <c r="C798">
        <v>4</v>
      </c>
      <c r="D798" t="s">
        <v>1695</v>
      </c>
      <c r="E798">
        <v>3026</v>
      </c>
      <c r="F798" t="s">
        <v>41</v>
      </c>
      <c r="G798" t="s">
        <v>37</v>
      </c>
      <c r="H798">
        <v>30781</v>
      </c>
    </row>
    <row r="799" spans="1:8">
      <c r="A799">
        <v>281686</v>
      </c>
      <c r="B799">
        <v>1139539</v>
      </c>
      <c r="C799">
        <v>1</v>
      </c>
      <c r="D799" t="s">
        <v>1695</v>
      </c>
      <c r="E799">
        <v>1008</v>
      </c>
      <c r="F799" t="s">
        <v>41</v>
      </c>
      <c r="G799" t="s">
        <v>41</v>
      </c>
    </row>
    <row r="800" spans="1:8">
      <c r="A800">
        <v>281687</v>
      </c>
      <c r="B800">
        <v>1139539</v>
      </c>
      <c r="C800">
        <v>2</v>
      </c>
      <c r="D800" t="s">
        <v>1695</v>
      </c>
      <c r="E800">
        <v>1008</v>
      </c>
      <c r="F800" t="s">
        <v>41</v>
      </c>
      <c r="G800" t="s">
        <v>41</v>
      </c>
    </row>
    <row r="801" spans="1:7">
      <c r="A801">
        <v>281688</v>
      </c>
      <c r="B801">
        <v>1139539</v>
      </c>
      <c r="C801">
        <v>3</v>
      </c>
      <c r="D801" t="s">
        <v>1695</v>
      </c>
      <c r="E801">
        <v>1008</v>
      </c>
      <c r="F801" t="s">
        <v>41</v>
      </c>
      <c r="G801" t="s">
        <v>41</v>
      </c>
    </row>
    <row r="802" spans="1:7">
      <c r="A802">
        <v>281689</v>
      </c>
      <c r="B802">
        <v>1139539</v>
      </c>
      <c r="C802">
        <v>4</v>
      </c>
      <c r="D802" t="s">
        <v>1695</v>
      </c>
      <c r="E802">
        <v>1008</v>
      </c>
      <c r="F802" t="s">
        <v>41</v>
      </c>
      <c r="G802" t="s">
        <v>41</v>
      </c>
    </row>
    <row r="803" spans="1:7">
      <c r="A803">
        <v>281690</v>
      </c>
      <c r="B803">
        <v>1139539</v>
      </c>
      <c r="C803">
        <v>5</v>
      </c>
      <c r="D803" t="s">
        <v>1696</v>
      </c>
      <c r="E803">
        <v>605</v>
      </c>
      <c r="F803" t="s">
        <v>41</v>
      </c>
      <c r="G803" t="s">
        <v>41</v>
      </c>
    </row>
    <row r="804" spans="1:7">
      <c r="A804">
        <v>281691</v>
      </c>
      <c r="B804">
        <v>1139539</v>
      </c>
      <c r="C804">
        <v>6</v>
      </c>
      <c r="D804" t="s">
        <v>1695</v>
      </c>
      <c r="E804">
        <v>1008</v>
      </c>
      <c r="F804" t="s">
        <v>41</v>
      </c>
      <c r="G804" t="s">
        <v>41</v>
      </c>
    </row>
    <row r="805" spans="1:7">
      <c r="A805">
        <v>282261</v>
      </c>
      <c r="B805">
        <v>1139821</v>
      </c>
      <c r="C805">
        <v>1</v>
      </c>
      <c r="D805" t="s">
        <v>1695</v>
      </c>
      <c r="E805">
        <v>1243</v>
      </c>
      <c r="F805" t="s">
        <v>41</v>
      </c>
      <c r="G805" t="s">
        <v>41</v>
      </c>
    </row>
    <row r="806" spans="1:7">
      <c r="A806">
        <v>282262</v>
      </c>
      <c r="B806">
        <v>1139821</v>
      </c>
      <c r="C806">
        <v>2</v>
      </c>
      <c r="D806" t="s">
        <v>1695</v>
      </c>
      <c r="E806">
        <v>1243</v>
      </c>
      <c r="F806" t="s">
        <v>41</v>
      </c>
      <c r="G806" t="s">
        <v>41</v>
      </c>
    </row>
    <row r="807" spans="1:7">
      <c r="A807">
        <v>282960</v>
      </c>
      <c r="B807">
        <v>1140161</v>
      </c>
      <c r="C807">
        <v>1</v>
      </c>
      <c r="D807" t="s">
        <v>1695</v>
      </c>
      <c r="E807">
        <v>3026</v>
      </c>
      <c r="F807" t="s">
        <v>47</v>
      </c>
      <c r="G807" t="s">
        <v>47</v>
      </c>
    </row>
    <row r="808" spans="1:7">
      <c r="A808">
        <v>282961</v>
      </c>
      <c r="B808">
        <v>1140161</v>
      </c>
      <c r="C808">
        <v>2</v>
      </c>
      <c r="D808" t="s">
        <v>1695</v>
      </c>
      <c r="E808">
        <v>3026</v>
      </c>
      <c r="F808" t="s">
        <v>47</v>
      </c>
      <c r="G808" t="s">
        <v>47</v>
      </c>
    </row>
    <row r="809" spans="1:7">
      <c r="A809">
        <v>283011</v>
      </c>
      <c r="B809">
        <v>1140190</v>
      </c>
      <c r="C809">
        <v>1</v>
      </c>
      <c r="D809" t="s">
        <v>1695</v>
      </c>
      <c r="E809">
        <v>1390</v>
      </c>
      <c r="F809" t="s">
        <v>41</v>
      </c>
      <c r="G809" t="s">
        <v>41</v>
      </c>
    </row>
    <row r="810" spans="1:7">
      <c r="A810">
        <v>283012</v>
      </c>
      <c r="B810">
        <v>1140190</v>
      </c>
      <c r="C810">
        <v>2</v>
      </c>
      <c r="D810" t="s">
        <v>1696</v>
      </c>
      <c r="E810">
        <v>834</v>
      </c>
      <c r="F810" t="s">
        <v>41</v>
      </c>
      <c r="G810" t="s">
        <v>41</v>
      </c>
    </row>
    <row r="811" spans="1:7">
      <c r="A811">
        <v>283013</v>
      </c>
      <c r="B811">
        <v>1140190</v>
      </c>
      <c r="C811">
        <v>3</v>
      </c>
      <c r="D811" t="s">
        <v>1695</v>
      </c>
      <c r="E811">
        <v>1390</v>
      </c>
      <c r="F811" t="s">
        <v>41</v>
      </c>
      <c r="G811" t="s">
        <v>41</v>
      </c>
    </row>
    <row r="812" spans="1:7">
      <c r="A812">
        <v>283559</v>
      </c>
      <c r="B812">
        <v>1140449</v>
      </c>
      <c r="C812">
        <v>1</v>
      </c>
      <c r="D812" t="s">
        <v>1695</v>
      </c>
      <c r="E812">
        <v>700</v>
      </c>
      <c r="F812" t="s">
        <v>41</v>
      </c>
      <c r="G812" t="s">
        <v>41</v>
      </c>
    </row>
    <row r="813" spans="1:7">
      <c r="A813">
        <v>283719</v>
      </c>
      <c r="B813">
        <v>1140539</v>
      </c>
      <c r="C813">
        <v>1</v>
      </c>
      <c r="D813" t="s">
        <v>1695</v>
      </c>
      <c r="E813">
        <v>4142</v>
      </c>
      <c r="F813" t="s">
        <v>41</v>
      </c>
      <c r="G813" t="s">
        <v>41</v>
      </c>
    </row>
    <row r="814" spans="1:7">
      <c r="A814">
        <v>283720</v>
      </c>
      <c r="B814">
        <v>1140539</v>
      </c>
      <c r="C814">
        <v>2</v>
      </c>
      <c r="D814" t="s">
        <v>1697</v>
      </c>
      <c r="E814">
        <v>2071</v>
      </c>
      <c r="F814" t="s">
        <v>41</v>
      </c>
      <c r="G814" t="s">
        <v>41</v>
      </c>
    </row>
    <row r="815" spans="1:7">
      <c r="A815">
        <v>283721</v>
      </c>
      <c r="B815">
        <v>1140539</v>
      </c>
      <c r="C815">
        <v>3</v>
      </c>
      <c r="D815" t="s">
        <v>1695</v>
      </c>
      <c r="E815">
        <v>4142</v>
      </c>
      <c r="F815" t="s">
        <v>41</v>
      </c>
      <c r="G815" t="s">
        <v>41</v>
      </c>
    </row>
    <row r="816" spans="1:7">
      <c r="A816">
        <v>284751</v>
      </c>
      <c r="B816">
        <v>1141063</v>
      </c>
      <c r="C816">
        <v>1</v>
      </c>
      <c r="D816" t="s">
        <v>1695</v>
      </c>
      <c r="E816">
        <v>3026</v>
      </c>
      <c r="F816" t="s">
        <v>49</v>
      </c>
      <c r="G816" t="s">
        <v>47</v>
      </c>
    </row>
    <row r="817" spans="1:8">
      <c r="A817">
        <v>284752</v>
      </c>
      <c r="B817">
        <v>1141063</v>
      </c>
      <c r="C817">
        <v>2</v>
      </c>
      <c r="D817" t="s">
        <v>1697</v>
      </c>
      <c r="E817">
        <v>1513</v>
      </c>
      <c r="F817" t="s">
        <v>49</v>
      </c>
      <c r="G817" t="s">
        <v>47</v>
      </c>
    </row>
    <row r="818" spans="1:8">
      <c r="A818">
        <v>284767</v>
      </c>
      <c r="B818">
        <v>1141070</v>
      </c>
      <c r="C818">
        <v>1</v>
      </c>
      <c r="D818" t="s">
        <v>1695</v>
      </c>
      <c r="E818">
        <v>544</v>
      </c>
      <c r="F818" t="s">
        <v>49</v>
      </c>
      <c r="G818" t="s">
        <v>49</v>
      </c>
      <c r="H818">
        <v>27813</v>
      </c>
    </row>
    <row r="819" spans="1:8">
      <c r="A819">
        <v>284795</v>
      </c>
      <c r="B819">
        <v>1141084</v>
      </c>
      <c r="C819">
        <v>1</v>
      </c>
      <c r="D819" t="s">
        <v>1695</v>
      </c>
      <c r="E819">
        <v>582</v>
      </c>
      <c r="F819" t="s">
        <v>41</v>
      </c>
      <c r="G819" t="s">
        <v>41</v>
      </c>
    </row>
    <row r="820" spans="1:8">
      <c r="A820">
        <v>285007</v>
      </c>
      <c r="B820">
        <v>1141196</v>
      </c>
      <c r="C820">
        <v>1</v>
      </c>
      <c r="D820" t="s">
        <v>1695</v>
      </c>
      <c r="E820">
        <v>1854</v>
      </c>
      <c r="F820" t="s">
        <v>41</v>
      </c>
      <c r="G820" t="s">
        <v>37</v>
      </c>
      <c r="H820">
        <v>28322</v>
      </c>
    </row>
    <row r="821" spans="1:8">
      <c r="A821">
        <v>285508</v>
      </c>
      <c r="B821">
        <v>1141452</v>
      </c>
      <c r="C821">
        <v>1</v>
      </c>
      <c r="D821" t="s">
        <v>1695</v>
      </c>
      <c r="E821">
        <v>2886</v>
      </c>
      <c r="F821" t="s">
        <v>41</v>
      </c>
      <c r="G821" t="s">
        <v>41</v>
      </c>
    </row>
    <row r="822" spans="1:8">
      <c r="A822">
        <v>285509</v>
      </c>
      <c r="B822">
        <v>1141452</v>
      </c>
      <c r="C822">
        <v>2</v>
      </c>
      <c r="D822" t="s">
        <v>1695</v>
      </c>
      <c r="E822">
        <v>2886</v>
      </c>
      <c r="F822" t="s">
        <v>41</v>
      </c>
      <c r="G822" t="s">
        <v>41</v>
      </c>
    </row>
    <row r="823" spans="1:8">
      <c r="A823">
        <v>285692</v>
      </c>
      <c r="B823">
        <v>1141538</v>
      </c>
      <c r="C823">
        <v>1</v>
      </c>
      <c r="D823" t="s">
        <v>1695</v>
      </c>
      <c r="E823">
        <v>804</v>
      </c>
      <c r="F823" t="s">
        <v>41</v>
      </c>
      <c r="G823" t="s">
        <v>41</v>
      </c>
    </row>
    <row r="824" spans="1:8">
      <c r="A824">
        <v>285693</v>
      </c>
      <c r="B824">
        <v>1141538</v>
      </c>
      <c r="C824">
        <v>2</v>
      </c>
      <c r="D824" t="s">
        <v>1696</v>
      </c>
      <c r="E824">
        <v>482</v>
      </c>
      <c r="F824" t="s">
        <v>41</v>
      </c>
      <c r="G824" t="s">
        <v>41</v>
      </c>
    </row>
    <row r="825" spans="1:8">
      <c r="A825">
        <v>285750</v>
      </c>
      <c r="B825">
        <v>1141562</v>
      </c>
      <c r="C825">
        <v>1</v>
      </c>
      <c r="D825" t="s">
        <v>1695</v>
      </c>
      <c r="E825">
        <v>1049</v>
      </c>
      <c r="F825" t="s">
        <v>41</v>
      </c>
      <c r="G825" t="s">
        <v>37</v>
      </c>
      <c r="H825">
        <v>29437</v>
      </c>
    </row>
    <row r="826" spans="1:8">
      <c r="A826">
        <v>287742</v>
      </c>
      <c r="B826">
        <v>1142545</v>
      </c>
      <c r="C826">
        <v>1</v>
      </c>
      <c r="D826" t="s">
        <v>1695</v>
      </c>
      <c r="E826">
        <v>1087</v>
      </c>
      <c r="F826" t="s">
        <v>41</v>
      </c>
      <c r="G826" t="s">
        <v>41</v>
      </c>
    </row>
    <row r="827" spans="1:8">
      <c r="A827">
        <v>287743</v>
      </c>
      <c r="B827">
        <v>1142545</v>
      </c>
      <c r="C827">
        <v>2</v>
      </c>
      <c r="D827" t="s">
        <v>1695</v>
      </c>
      <c r="E827">
        <v>1087</v>
      </c>
      <c r="F827" t="s">
        <v>41</v>
      </c>
      <c r="G827" t="s">
        <v>41</v>
      </c>
    </row>
    <row r="828" spans="1:8">
      <c r="A828">
        <v>287991</v>
      </c>
      <c r="B828">
        <v>1142683</v>
      </c>
      <c r="C828">
        <v>1</v>
      </c>
      <c r="D828" t="s">
        <v>1695</v>
      </c>
      <c r="E828">
        <v>654</v>
      </c>
      <c r="F828" t="s">
        <v>41</v>
      </c>
      <c r="G828" t="s">
        <v>41</v>
      </c>
    </row>
    <row r="829" spans="1:8">
      <c r="A829">
        <v>287992</v>
      </c>
      <c r="B829">
        <v>1142683</v>
      </c>
      <c r="C829">
        <v>2</v>
      </c>
      <c r="D829" t="s">
        <v>1695</v>
      </c>
      <c r="E829">
        <v>654</v>
      </c>
      <c r="F829" t="s">
        <v>41</v>
      </c>
      <c r="G829" t="s">
        <v>41</v>
      </c>
    </row>
    <row r="830" spans="1:8">
      <c r="A830">
        <v>287993</v>
      </c>
      <c r="B830">
        <v>1142683</v>
      </c>
      <c r="C830">
        <v>3</v>
      </c>
      <c r="D830" t="s">
        <v>1697</v>
      </c>
      <c r="E830">
        <v>327</v>
      </c>
      <c r="F830" t="s">
        <v>41</v>
      </c>
      <c r="G830" t="s">
        <v>41</v>
      </c>
    </row>
    <row r="831" spans="1:8">
      <c r="A831">
        <v>288263</v>
      </c>
      <c r="B831">
        <v>1142813</v>
      </c>
      <c r="C831">
        <v>1</v>
      </c>
      <c r="D831" t="s">
        <v>1695</v>
      </c>
      <c r="E831">
        <v>3694</v>
      </c>
      <c r="F831" t="s">
        <v>41</v>
      </c>
      <c r="G831" t="s">
        <v>37</v>
      </c>
      <c r="H831">
        <v>28866</v>
      </c>
    </row>
    <row r="832" spans="1:8">
      <c r="A832">
        <v>289433</v>
      </c>
      <c r="B832">
        <v>1143359</v>
      </c>
      <c r="C832">
        <v>1</v>
      </c>
      <c r="D832" t="s">
        <v>1695</v>
      </c>
      <c r="E832">
        <v>668</v>
      </c>
      <c r="F832" t="s">
        <v>41</v>
      </c>
      <c r="G832" t="s">
        <v>41</v>
      </c>
    </row>
    <row r="833" spans="1:8">
      <c r="A833">
        <v>289434</v>
      </c>
      <c r="B833">
        <v>1143359</v>
      </c>
      <c r="C833">
        <v>2</v>
      </c>
      <c r="D833" t="s">
        <v>1695</v>
      </c>
      <c r="E833">
        <v>668</v>
      </c>
      <c r="F833" t="s">
        <v>41</v>
      </c>
      <c r="G833" t="s">
        <v>41</v>
      </c>
    </row>
    <row r="834" spans="1:8">
      <c r="A834">
        <v>289435</v>
      </c>
      <c r="B834">
        <v>1143359</v>
      </c>
      <c r="C834">
        <v>3</v>
      </c>
      <c r="D834" t="s">
        <v>1695</v>
      </c>
      <c r="E834">
        <v>668</v>
      </c>
      <c r="F834" t="s">
        <v>41</v>
      </c>
      <c r="G834" t="s">
        <v>41</v>
      </c>
    </row>
    <row r="835" spans="1:8">
      <c r="A835">
        <v>289436</v>
      </c>
      <c r="B835">
        <v>1143359</v>
      </c>
      <c r="C835">
        <v>4</v>
      </c>
      <c r="D835" t="s">
        <v>1695</v>
      </c>
      <c r="E835">
        <v>668</v>
      </c>
      <c r="F835" t="s">
        <v>41</v>
      </c>
      <c r="G835" t="s">
        <v>41</v>
      </c>
    </row>
    <row r="836" spans="1:8">
      <c r="A836">
        <v>290147</v>
      </c>
      <c r="B836">
        <v>1143705</v>
      </c>
      <c r="C836">
        <v>1</v>
      </c>
      <c r="D836" t="s">
        <v>1695</v>
      </c>
      <c r="E836">
        <v>790</v>
      </c>
      <c r="F836" t="s">
        <v>41</v>
      </c>
      <c r="G836" t="s">
        <v>41</v>
      </c>
    </row>
    <row r="837" spans="1:8">
      <c r="A837">
        <v>290284</v>
      </c>
      <c r="B837">
        <v>1143776</v>
      </c>
      <c r="C837">
        <v>1</v>
      </c>
      <c r="D837" t="s">
        <v>1695</v>
      </c>
      <c r="E837">
        <v>3123</v>
      </c>
      <c r="F837" t="s">
        <v>41</v>
      </c>
      <c r="G837" t="s">
        <v>41</v>
      </c>
    </row>
    <row r="838" spans="1:8">
      <c r="A838">
        <v>290365</v>
      </c>
      <c r="B838">
        <v>1143824</v>
      </c>
      <c r="C838">
        <v>1</v>
      </c>
      <c r="D838" t="s">
        <v>1696</v>
      </c>
      <c r="E838">
        <v>3182</v>
      </c>
      <c r="F838" t="s">
        <v>41</v>
      </c>
      <c r="G838" t="s">
        <v>37</v>
      </c>
      <c r="H838">
        <v>32399</v>
      </c>
    </row>
    <row r="839" spans="1:8">
      <c r="A839">
        <v>290366</v>
      </c>
      <c r="B839">
        <v>1143824</v>
      </c>
      <c r="C839">
        <v>2</v>
      </c>
      <c r="D839" t="s">
        <v>1697</v>
      </c>
      <c r="E839">
        <v>2651</v>
      </c>
      <c r="F839" t="s">
        <v>41</v>
      </c>
      <c r="G839" t="s">
        <v>37</v>
      </c>
      <c r="H839">
        <v>32399</v>
      </c>
    </row>
    <row r="840" spans="1:8">
      <c r="A840">
        <v>291073</v>
      </c>
      <c r="B840">
        <v>1144187</v>
      </c>
      <c r="C840">
        <v>1</v>
      </c>
      <c r="D840" t="s">
        <v>1696</v>
      </c>
      <c r="E840">
        <v>1670</v>
      </c>
      <c r="F840" t="s">
        <v>41</v>
      </c>
      <c r="G840" t="s">
        <v>37</v>
      </c>
      <c r="H840">
        <v>34630</v>
      </c>
    </row>
    <row r="841" spans="1:8">
      <c r="A841">
        <v>291137</v>
      </c>
      <c r="B841">
        <v>1144215</v>
      </c>
      <c r="C841">
        <v>1</v>
      </c>
      <c r="D841" t="s">
        <v>1695</v>
      </c>
      <c r="E841">
        <v>1379</v>
      </c>
      <c r="F841" t="s">
        <v>41</v>
      </c>
      <c r="G841" t="s">
        <v>41</v>
      </c>
    </row>
    <row r="842" spans="1:8">
      <c r="A842">
        <v>291525</v>
      </c>
      <c r="B842">
        <v>1144413</v>
      </c>
      <c r="C842">
        <v>1</v>
      </c>
      <c r="D842" t="s">
        <v>1695</v>
      </c>
      <c r="E842">
        <v>1657</v>
      </c>
      <c r="F842" t="s">
        <v>41</v>
      </c>
      <c r="G842" t="s">
        <v>41</v>
      </c>
    </row>
    <row r="843" spans="1:8">
      <c r="A843">
        <v>291526</v>
      </c>
      <c r="B843">
        <v>1144413</v>
      </c>
      <c r="C843">
        <v>2</v>
      </c>
      <c r="D843" t="s">
        <v>1695</v>
      </c>
      <c r="E843">
        <v>1657</v>
      </c>
      <c r="F843" t="s">
        <v>41</v>
      </c>
      <c r="G843" t="s">
        <v>41</v>
      </c>
    </row>
    <row r="844" spans="1:8">
      <c r="A844">
        <v>291768</v>
      </c>
      <c r="B844">
        <v>1144538</v>
      </c>
      <c r="C844">
        <v>1</v>
      </c>
      <c r="D844" t="s">
        <v>1695</v>
      </c>
      <c r="E844">
        <v>804</v>
      </c>
      <c r="F844" t="s">
        <v>41</v>
      </c>
      <c r="G844" t="s">
        <v>41</v>
      </c>
    </row>
    <row r="845" spans="1:8">
      <c r="A845">
        <v>291769</v>
      </c>
      <c r="B845">
        <v>1144538</v>
      </c>
      <c r="C845">
        <v>2</v>
      </c>
      <c r="D845" t="s">
        <v>1695</v>
      </c>
      <c r="E845">
        <v>804</v>
      </c>
      <c r="F845" t="s">
        <v>41</v>
      </c>
      <c r="G845" t="s">
        <v>41</v>
      </c>
    </row>
    <row r="846" spans="1:8">
      <c r="A846">
        <v>291770</v>
      </c>
      <c r="B846">
        <v>1144538</v>
      </c>
      <c r="C846">
        <v>3</v>
      </c>
      <c r="D846" t="s">
        <v>1695</v>
      </c>
      <c r="E846">
        <v>804</v>
      </c>
      <c r="F846" t="s">
        <v>41</v>
      </c>
      <c r="G846" t="s">
        <v>41</v>
      </c>
    </row>
    <row r="847" spans="1:8">
      <c r="A847">
        <v>291771</v>
      </c>
      <c r="B847">
        <v>1144538</v>
      </c>
      <c r="C847">
        <v>4</v>
      </c>
      <c r="D847" t="s">
        <v>1695</v>
      </c>
      <c r="E847">
        <v>804</v>
      </c>
      <c r="F847" t="s">
        <v>41</v>
      </c>
      <c r="G847" t="s">
        <v>41</v>
      </c>
    </row>
    <row r="848" spans="1:8">
      <c r="A848">
        <v>292182</v>
      </c>
      <c r="B848">
        <v>1144730</v>
      </c>
      <c r="C848">
        <v>1</v>
      </c>
      <c r="D848" t="s">
        <v>1696</v>
      </c>
      <c r="E848">
        <v>393</v>
      </c>
      <c r="F848" t="s">
        <v>41</v>
      </c>
      <c r="G848" t="s">
        <v>41</v>
      </c>
    </row>
    <row r="849" spans="1:8">
      <c r="A849">
        <v>294244</v>
      </c>
      <c r="B849">
        <v>1145742</v>
      </c>
      <c r="C849">
        <v>1</v>
      </c>
      <c r="D849" t="s">
        <v>1695</v>
      </c>
      <c r="E849">
        <v>872</v>
      </c>
      <c r="F849" t="s">
        <v>41</v>
      </c>
      <c r="G849" t="s">
        <v>41</v>
      </c>
    </row>
    <row r="850" spans="1:8">
      <c r="A850">
        <v>294245</v>
      </c>
      <c r="B850">
        <v>1145742</v>
      </c>
      <c r="C850">
        <v>2</v>
      </c>
      <c r="D850" t="s">
        <v>1695</v>
      </c>
      <c r="E850">
        <v>872</v>
      </c>
      <c r="F850" t="s">
        <v>41</v>
      </c>
      <c r="G850" t="s">
        <v>41</v>
      </c>
    </row>
    <row r="851" spans="1:8">
      <c r="A851">
        <v>294660</v>
      </c>
      <c r="B851">
        <v>1145945</v>
      </c>
      <c r="C851">
        <v>1</v>
      </c>
      <c r="D851" t="s">
        <v>1695</v>
      </c>
      <c r="E851">
        <v>544</v>
      </c>
      <c r="F851" t="s">
        <v>41</v>
      </c>
      <c r="G851" t="s">
        <v>41</v>
      </c>
    </row>
    <row r="852" spans="1:8">
      <c r="A852">
        <v>294681</v>
      </c>
      <c r="B852">
        <v>1145955</v>
      </c>
      <c r="C852">
        <v>1</v>
      </c>
      <c r="D852" t="s">
        <v>2094</v>
      </c>
      <c r="E852">
        <v>654</v>
      </c>
      <c r="F852" t="s">
        <v>41</v>
      </c>
      <c r="G852" t="s">
        <v>37</v>
      </c>
      <c r="H852">
        <v>30495</v>
      </c>
    </row>
    <row r="853" spans="1:8">
      <c r="A853">
        <v>294682</v>
      </c>
      <c r="B853">
        <v>1145955</v>
      </c>
      <c r="C853">
        <v>2</v>
      </c>
      <c r="D853" t="s">
        <v>1695</v>
      </c>
      <c r="E853">
        <v>654</v>
      </c>
      <c r="F853" t="s">
        <v>41</v>
      </c>
      <c r="G853" t="s">
        <v>37</v>
      </c>
      <c r="H853">
        <v>30495</v>
      </c>
    </row>
    <row r="854" spans="1:8">
      <c r="A854">
        <v>294683</v>
      </c>
      <c r="B854">
        <v>1145955</v>
      </c>
      <c r="C854">
        <v>3</v>
      </c>
      <c r="D854" t="s">
        <v>1695</v>
      </c>
      <c r="E854">
        <v>654</v>
      </c>
      <c r="F854" t="s">
        <v>41</v>
      </c>
      <c r="G854" t="s">
        <v>37</v>
      </c>
      <c r="H854">
        <v>30495</v>
      </c>
    </row>
    <row r="855" spans="1:8">
      <c r="A855">
        <v>294684</v>
      </c>
      <c r="B855">
        <v>1145955</v>
      </c>
      <c r="C855">
        <v>4</v>
      </c>
      <c r="D855" t="s">
        <v>1696</v>
      </c>
      <c r="E855">
        <v>393</v>
      </c>
      <c r="F855" t="s">
        <v>41</v>
      </c>
      <c r="G855" t="s">
        <v>37</v>
      </c>
      <c r="H855">
        <v>30495</v>
      </c>
    </row>
    <row r="856" spans="1:8">
      <c r="A856">
        <v>294685</v>
      </c>
      <c r="B856">
        <v>1145955</v>
      </c>
      <c r="C856">
        <v>5</v>
      </c>
      <c r="D856" t="s">
        <v>1695</v>
      </c>
      <c r="E856">
        <v>654</v>
      </c>
      <c r="F856" t="s">
        <v>41</v>
      </c>
      <c r="G856" t="s">
        <v>37</v>
      </c>
      <c r="H856">
        <v>30495</v>
      </c>
    </row>
    <row r="857" spans="1:8">
      <c r="A857">
        <v>294686</v>
      </c>
      <c r="B857">
        <v>1145955</v>
      </c>
      <c r="C857">
        <v>6</v>
      </c>
      <c r="D857" t="s">
        <v>1695</v>
      </c>
      <c r="E857">
        <v>654</v>
      </c>
      <c r="F857" t="s">
        <v>41</v>
      </c>
      <c r="G857" t="s">
        <v>37</v>
      </c>
      <c r="H857">
        <v>30495</v>
      </c>
    </row>
    <row r="858" spans="1:8">
      <c r="A858">
        <v>295158</v>
      </c>
      <c r="B858">
        <v>1146201</v>
      </c>
      <c r="C858">
        <v>1</v>
      </c>
      <c r="D858" t="s">
        <v>1695</v>
      </c>
      <c r="E858">
        <v>2429</v>
      </c>
      <c r="F858" t="s">
        <v>49</v>
      </c>
      <c r="G858" t="s">
        <v>37</v>
      </c>
      <c r="H858">
        <v>30170</v>
      </c>
    </row>
    <row r="859" spans="1:8">
      <c r="A859">
        <v>295159</v>
      </c>
      <c r="B859">
        <v>1146201</v>
      </c>
      <c r="C859">
        <v>2</v>
      </c>
      <c r="D859" t="s">
        <v>1695</v>
      </c>
      <c r="E859">
        <v>2429</v>
      </c>
      <c r="F859" t="s">
        <v>49</v>
      </c>
      <c r="G859" t="s">
        <v>37</v>
      </c>
      <c r="H859">
        <v>30170</v>
      </c>
    </row>
    <row r="860" spans="1:8">
      <c r="A860">
        <v>296236</v>
      </c>
      <c r="B860">
        <v>1146740</v>
      </c>
      <c r="C860">
        <v>1</v>
      </c>
      <c r="D860" t="s">
        <v>1696</v>
      </c>
      <c r="E860">
        <v>1512</v>
      </c>
      <c r="F860" t="s">
        <v>41</v>
      </c>
      <c r="G860" t="s">
        <v>37</v>
      </c>
      <c r="H860">
        <v>29938</v>
      </c>
    </row>
    <row r="861" spans="1:8">
      <c r="A861">
        <v>296237</v>
      </c>
      <c r="B861">
        <v>1146740</v>
      </c>
      <c r="C861">
        <v>2</v>
      </c>
      <c r="D861" t="s">
        <v>1695</v>
      </c>
      <c r="E861">
        <v>2520</v>
      </c>
      <c r="F861" t="s">
        <v>41</v>
      </c>
      <c r="G861" t="s">
        <v>37</v>
      </c>
      <c r="H861">
        <v>29938</v>
      </c>
    </row>
    <row r="862" spans="1:8">
      <c r="A862">
        <v>296276</v>
      </c>
      <c r="B862">
        <v>1146760</v>
      </c>
      <c r="C862">
        <v>1</v>
      </c>
      <c r="D862" t="s">
        <v>1695</v>
      </c>
      <c r="E862">
        <v>753</v>
      </c>
      <c r="F862" t="s">
        <v>41</v>
      </c>
      <c r="G862" t="s">
        <v>41</v>
      </c>
    </row>
    <row r="863" spans="1:8">
      <c r="A863">
        <v>296506</v>
      </c>
      <c r="B863">
        <v>1146868</v>
      </c>
      <c r="C863">
        <v>1</v>
      </c>
      <c r="D863" t="s">
        <v>1695</v>
      </c>
      <c r="E863">
        <v>1390</v>
      </c>
      <c r="F863" t="s">
        <v>41</v>
      </c>
      <c r="G863" t="s">
        <v>41</v>
      </c>
    </row>
    <row r="864" spans="1:8">
      <c r="A864">
        <v>296560</v>
      </c>
      <c r="B864">
        <v>1146896</v>
      </c>
      <c r="C864">
        <v>1</v>
      </c>
      <c r="D864" t="s">
        <v>1695</v>
      </c>
      <c r="E864">
        <v>2429</v>
      </c>
      <c r="F864" t="s">
        <v>41</v>
      </c>
      <c r="G864" t="s">
        <v>37</v>
      </c>
      <c r="H864">
        <v>33217</v>
      </c>
    </row>
    <row r="865" spans="1:8">
      <c r="A865">
        <v>296561</v>
      </c>
      <c r="B865">
        <v>1146896</v>
      </c>
      <c r="C865">
        <v>2</v>
      </c>
      <c r="D865" t="s">
        <v>1695</v>
      </c>
      <c r="E865">
        <v>2429</v>
      </c>
      <c r="F865" t="s">
        <v>41</v>
      </c>
      <c r="G865" t="s">
        <v>37</v>
      </c>
      <c r="H865">
        <v>33217</v>
      </c>
    </row>
    <row r="866" spans="1:8">
      <c r="A866">
        <v>296562</v>
      </c>
      <c r="B866">
        <v>1146896</v>
      </c>
      <c r="C866">
        <v>3</v>
      </c>
      <c r="D866" t="s">
        <v>1695</v>
      </c>
      <c r="E866">
        <v>2429</v>
      </c>
      <c r="F866" t="s">
        <v>41</v>
      </c>
      <c r="G866" t="s">
        <v>37</v>
      </c>
      <c r="H866">
        <v>33217</v>
      </c>
    </row>
    <row r="867" spans="1:8">
      <c r="A867">
        <v>296728</v>
      </c>
      <c r="B867">
        <v>1146993</v>
      </c>
      <c r="C867">
        <v>1</v>
      </c>
      <c r="D867" t="s">
        <v>1695</v>
      </c>
      <c r="E867">
        <v>1102</v>
      </c>
      <c r="F867" t="s">
        <v>41</v>
      </c>
      <c r="G867" t="s">
        <v>37</v>
      </c>
      <c r="H867">
        <v>31126</v>
      </c>
    </row>
    <row r="868" spans="1:8">
      <c r="A868">
        <v>297576</v>
      </c>
      <c r="B868">
        <v>1147417</v>
      </c>
      <c r="C868">
        <v>1</v>
      </c>
      <c r="D868" t="s">
        <v>1696</v>
      </c>
      <c r="E868">
        <v>2169</v>
      </c>
      <c r="F868" t="s">
        <v>41</v>
      </c>
      <c r="G868" t="s">
        <v>41</v>
      </c>
    </row>
    <row r="869" spans="1:8">
      <c r="A869">
        <v>297577</v>
      </c>
      <c r="B869">
        <v>1147417</v>
      </c>
      <c r="C869">
        <v>2</v>
      </c>
      <c r="D869" t="s">
        <v>1695</v>
      </c>
      <c r="E869">
        <v>3615</v>
      </c>
      <c r="F869" t="s">
        <v>41</v>
      </c>
      <c r="G869" t="s">
        <v>41</v>
      </c>
    </row>
    <row r="870" spans="1:8">
      <c r="A870">
        <v>297578</v>
      </c>
      <c r="B870">
        <v>1147417</v>
      </c>
      <c r="C870">
        <v>3</v>
      </c>
      <c r="D870" t="s">
        <v>1696</v>
      </c>
      <c r="E870">
        <v>2169</v>
      </c>
      <c r="F870" t="s">
        <v>41</v>
      </c>
      <c r="G870" t="s">
        <v>41</v>
      </c>
    </row>
    <row r="871" spans="1:8">
      <c r="A871">
        <v>297765</v>
      </c>
      <c r="B871">
        <v>1147512</v>
      </c>
      <c r="C871">
        <v>1</v>
      </c>
      <c r="D871" t="s">
        <v>1695</v>
      </c>
      <c r="E871">
        <v>2784</v>
      </c>
      <c r="F871" t="s">
        <v>41</v>
      </c>
      <c r="G871" t="s">
        <v>41</v>
      </c>
    </row>
    <row r="872" spans="1:8">
      <c r="A872">
        <v>299027</v>
      </c>
      <c r="B872">
        <v>1148151</v>
      </c>
      <c r="C872">
        <v>1</v>
      </c>
      <c r="D872" t="s">
        <v>1695</v>
      </c>
      <c r="E872">
        <v>906</v>
      </c>
      <c r="F872" t="s">
        <v>41</v>
      </c>
      <c r="G872" t="s">
        <v>37</v>
      </c>
      <c r="H872">
        <v>30645</v>
      </c>
    </row>
    <row r="873" spans="1:8">
      <c r="A873">
        <v>299028</v>
      </c>
      <c r="B873">
        <v>1148151</v>
      </c>
      <c r="C873">
        <v>2</v>
      </c>
      <c r="D873" t="s">
        <v>1695</v>
      </c>
      <c r="E873">
        <v>906</v>
      </c>
      <c r="F873" t="s">
        <v>41</v>
      </c>
      <c r="G873" t="s">
        <v>41</v>
      </c>
    </row>
    <row r="874" spans="1:8">
      <c r="A874">
        <v>300082</v>
      </c>
      <c r="B874">
        <v>1148655</v>
      </c>
      <c r="C874">
        <v>1</v>
      </c>
      <c r="D874" t="s">
        <v>1695</v>
      </c>
      <c r="E874">
        <v>3994</v>
      </c>
      <c r="F874" t="s">
        <v>41</v>
      </c>
      <c r="G874" t="s">
        <v>41</v>
      </c>
    </row>
    <row r="875" spans="1:8">
      <c r="A875">
        <v>300083</v>
      </c>
      <c r="B875">
        <v>1148655</v>
      </c>
      <c r="C875">
        <v>2</v>
      </c>
      <c r="D875" t="s">
        <v>1695</v>
      </c>
      <c r="E875">
        <v>3994</v>
      </c>
      <c r="F875" t="s">
        <v>41</v>
      </c>
      <c r="G875" t="s">
        <v>41</v>
      </c>
    </row>
    <row r="876" spans="1:8">
      <c r="A876">
        <v>300105</v>
      </c>
      <c r="B876">
        <v>1148664</v>
      </c>
      <c r="C876">
        <v>1</v>
      </c>
      <c r="D876" t="s">
        <v>1695</v>
      </c>
      <c r="E876">
        <v>1731</v>
      </c>
      <c r="F876" t="s">
        <v>41</v>
      </c>
      <c r="G876" t="s">
        <v>41</v>
      </c>
    </row>
    <row r="877" spans="1:8">
      <c r="A877">
        <v>300577</v>
      </c>
      <c r="B877">
        <v>1148902</v>
      </c>
      <c r="C877">
        <v>1</v>
      </c>
      <c r="D877" t="s">
        <v>1695</v>
      </c>
      <c r="E877">
        <v>790</v>
      </c>
      <c r="F877" t="s">
        <v>41</v>
      </c>
      <c r="G877" t="s">
        <v>41</v>
      </c>
    </row>
    <row r="878" spans="1:8">
      <c r="A878">
        <v>300578</v>
      </c>
      <c r="B878">
        <v>1148902</v>
      </c>
      <c r="C878">
        <v>2</v>
      </c>
      <c r="D878" t="s">
        <v>1695</v>
      </c>
      <c r="E878">
        <v>790</v>
      </c>
      <c r="F878" t="s">
        <v>41</v>
      </c>
      <c r="G878" t="s">
        <v>41</v>
      </c>
    </row>
    <row r="879" spans="1:8">
      <c r="A879">
        <v>300579</v>
      </c>
      <c r="B879">
        <v>1148902</v>
      </c>
      <c r="C879">
        <v>3</v>
      </c>
      <c r="D879" t="s">
        <v>1697</v>
      </c>
      <c r="E879">
        <v>395</v>
      </c>
      <c r="F879" t="s">
        <v>41</v>
      </c>
      <c r="G879" t="s">
        <v>41</v>
      </c>
    </row>
    <row r="880" spans="1:8">
      <c r="A880">
        <v>300580</v>
      </c>
      <c r="B880">
        <v>1148902</v>
      </c>
      <c r="C880">
        <v>4</v>
      </c>
      <c r="D880" t="s">
        <v>1695</v>
      </c>
      <c r="E880">
        <v>790</v>
      </c>
      <c r="F880" t="s">
        <v>41</v>
      </c>
      <c r="G880" t="s">
        <v>41</v>
      </c>
    </row>
    <row r="881" spans="1:8">
      <c r="A881">
        <v>300748</v>
      </c>
      <c r="B881">
        <v>1148989</v>
      </c>
      <c r="C881">
        <v>1</v>
      </c>
      <c r="D881" t="s">
        <v>1695</v>
      </c>
      <c r="E881">
        <v>4406</v>
      </c>
      <c r="F881" t="s">
        <v>41</v>
      </c>
      <c r="G881" t="s">
        <v>41</v>
      </c>
    </row>
    <row r="882" spans="1:8">
      <c r="A882">
        <v>301743</v>
      </c>
      <c r="B882">
        <v>1149512</v>
      </c>
      <c r="C882">
        <v>1</v>
      </c>
      <c r="D882" t="s">
        <v>1695</v>
      </c>
      <c r="E882">
        <v>4406</v>
      </c>
      <c r="F882" t="s">
        <v>41</v>
      </c>
      <c r="G882" t="s">
        <v>41</v>
      </c>
    </row>
    <row r="883" spans="1:8">
      <c r="A883">
        <v>301744</v>
      </c>
      <c r="B883">
        <v>1149512</v>
      </c>
      <c r="C883">
        <v>2</v>
      </c>
      <c r="D883" t="s">
        <v>1697</v>
      </c>
      <c r="E883">
        <v>2203</v>
      </c>
      <c r="F883" t="s">
        <v>41</v>
      </c>
      <c r="G883" t="s">
        <v>41</v>
      </c>
    </row>
    <row r="884" spans="1:8">
      <c r="A884">
        <v>301745</v>
      </c>
      <c r="B884">
        <v>1149512</v>
      </c>
      <c r="C884">
        <v>3</v>
      </c>
      <c r="D884" t="s">
        <v>1696</v>
      </c>
      <c r="E884">
        <v>2644</v>
      </c>
      <c r="F884" t="s">
        <v>41</v>
      </c>
      <c r="G884" t="s">
        <v>41</v>
      </c>
    </row>
    <row r="885" spans="1:8">
      <c r="A885">
        <v>301988</v>
      </c>
      <c r="B885">
        <v>1149632</v>
      </c>
      <c r="C885">
        <v>1</v>
      </c>
      <c r="D885" t="s">
        <v>1695</v>
      </c>
      <c r="E885">
        <v>3247</v>
      </c>
      <c r="F885" t="s">
        <v>49</v>
      </c>
      <c r="G885" t="s">
        <v>49</v>
      </c>
      <c r="H885">
        <v>29779</v>
      </c>
    </row>
    <row r="886" spans="1:8">
      <c r="A886">
        <v>301989</v>
      </c>
      <c r="B886">
        <v>1149632</v>
      </c>
      <c r="C886">
        <v>2</v>
      </c>
      <c r="D886" t="s">
        <v>1695</v>
      </c>
      <c r="E886">
        <v>3247</v>
      </c>
      <c r="F886" t="s">
        <v>49</v>
      </c>
      <c r="G886" t="s">
        <v>49</v>
      </c>
      <c r="H886">
        <v>29779</v>
      </c>
    </row>
    <row r="887" spans="1:8">
      <c r="A887">
        <v>304025</v>
      </c>
      <c r="B887">
        <v>1150654</v>
      </c>
      <c r="C887">
        <v>1</v>
      </c>
      <c r="D887" t="s">
        <v>1695</v>
      </c>
      <c r="E887">
        <v>833</v>
      </c>
      <c r="F887" t="s">
        <v>41</v>
      </c>
      <c r="G887" t="s">
        <v>37</v>
      </c>
      <c r="H887">
        <v>31381</v>
      </c>
    </row>
    <row r="888" spans="1:8">
      <c r="A888">
        <v>304400</v>
      </c>
      <c r="B888">
        <v>1150852</v>
      </c>
      <c r="C888">
        <v>1</v>
      </c>
      <c r="D888" t="s">
        <v>1695</v>
      </c>
      <c r="E888">
        <v>834</v>
      </c>
      <c r="F888" t="s">
        <v>49</v>
      </c>
      <c r="G888" t="s">
        <v>37</v>
      </c>
      <c r="H888">
        <v>31373</v>
      </c>
    </row>
    <row r="889" spans="1:8">
      <c r="A889">
        <v>304401</v>
      </c>
      <c r="B889">
        <v>1150852</v>
      </c>
      <c r="C889">
        <v>2</v>
      </c>
      <c r="D889" t="s">
        <v>1695</v>
      </c>
      <c r="E889">
        <v>834</v>
      </c>
      <c r="F889" t="s">
        <v>49</v>
      </c>
      <c r="G889" t="s">
        <v>37</v>
      </c>
      <c r="H889">
        <v>31373</v>
      </c>
    </row>
    <row r="890" spans="1:8">
      <c r="A890">
        <v>304402</v>
      </c>
      <c r="B890">
        <v>1150852</v>
      </c>
      <c r="C890">
        <v>3</v>
      </c>
      <c r="D890" t="s">
        <v>1695</v>
      </c>
      <c r="E890">
        <v>834</v>
      </c>
      <c r="F890" t="s">
        <v>49</v>
      </c>
      <c r="G890" t="s">
        <v>37</v>
      </c>
      <c r="H890">
        <v>31373</v>
      </c>
    </row>
    <row r="891" spans="1:8">
      <c r="A891">
        <v>305426</v>
      </c>
      <c r="B891">
        <v>1151385</v>
      </c>
      <c r="C891">
        <v>1</v>
      </c>
      <c r="D891" t="s">
        <v>1695</v>
      </c>
      <c r="E891">
        <v>753</v>
      </c>
      <c r="F891" t="s">
        <v>41</v>
      </c>
      <c r="G891" t="s">
        <v>41</v>
      </c>
    </row>
    <row r="892" spans="1:8">
      <c r="A892">
        <v>305427</v>
      </c>
      <c r="B892">
        <v>1151385</v>
      </c>
      <c r="C892">
        <v>2</v>
      </c>
      <c r="D892" t="s">
        <v>1696</v>
      </c>
      <c r="E892">
        <v>452</v>
      </c>
      <c r="F892" t="s">
        <v>41</v>
      </c>
      <c r="G892" t="s">
        <v>41</v>
      </c>
    </row>
    <row r="893" spans="1:8">
      <c r="A893">
        <v>305428</v>
      </c>
      <c r="B893">
        <v>1151385</v>
      </c>
      <c r="C893">
        <v>3</v>
      </c>
      <c r="D893" t="s">
        <v>1695</v>
      </c>
      <c r="E893">
        <v>753</v>
      </c>
      <c r="F893" t="s">
        <v>41</v>
      </c>
      <c r="G893" t="s">
        <v>41</v>
      </c>
    </row>
    <row r="894" spans="1:8">
      <c r="A894">
        <v>305429</v>
      </c>
      <c r="B894">
        <v>1151385</v>
      </c>
      <c r="C894">
        <v>4</v>
      </c>
      <c r="D894" t="s">
        <v>1697</v>
      </c>
      <c r="E894">
        <v>376</v>
      </c>
      <c r="F894" t="s">
        <v>41</v>
      </c>
      <c r="G894" t="s">
        <v>41</v>
      </c>
    </row>
    <row r="895" spans="1:8">
      <c r="A895">
        <v>306078</v>
      </c>
      <c r="B895">
        <v>1151709</v>
      </c>
      <c r="C895">
        <v>1</v>
      </c>
      <c r="D895" t="s">
        <v>1695</v>
      </c>
      <c r="E895">
        <v>870</v>
      </c>
      <c r="F895" t="s">
        <v>41</v>
      </c>
      <c r="G895" t="s">
        <v>41</v>
      </c>
    </row>
    <row r="896" spans="1:8">
      <c r="A896">
        <v>306079</v>
      </c>
      <c r="B896">
        <v>1151709</v>
      </c>
      <c r="C896">
        <v>2</v>
      </c>
      <c r="D896" t="s">
        <v>1697</v>
      </c>
      <c r="E896">
        <v>435</v>
      </c>
      <c r="F896" t="s">
        <v>41</v>
      </c>
      <c r="G896" t="s">
        <v>41</v>
      </c>
    </row>
    <row r="897" spans="1:8">
      <c r="A897">
        <v>306080</v>
      </c>
      <c r="B897">
        <v>1151709</v>
      </c>
      <c r="C897">
        <v>3</v>
      </c>
      <c r="D897" t="s">
        <v>1696</v>
      </c>
      <c r="E897">
        <v>522</v>
      </c>
      <c r="F897" t="s">
        <v>41</v>
      </c>
      <c r="G897" t="s">
        <v>41</v>
      </c>
    </row>
    <row r="898" spans="1:8">
      <c r="A898">
        <v>306114</v>
      </c>
      <c r="B898">
        <v>1151722</v>
      </c>
      <c r="C898">
        <v>1</v>
      </c>
      <c r="D898" t="s">
        <v>1695</v>
      </c>
      <c r="E898">
        <v>1731</v>
      </c>
      <c r="F898" t="s">
        <v>41</v>
      </c>
      <c r="G898" t="s">
        <v>41</v>
      </c>
    </row>
    <row r="899" spans="1:8">
      <c r="A899">
        <v>306115</v>
      </c>
      <c r="B899">
        <v>1151722</v>
      </c>
      <c r="C899">
        <v>2</v>
      </c>
      <c r="D899" t="s">
        <v>1695</v>
      </c>
      <c r="E899">
        <v>1731</v>
      </c>
      <c r="F899" t="s">
        <v>41</v>
      </c>
      <c r="G899" t="s">
        <v>41</v>
      </c>
    </row>
    <row r="900" spans="1:8">
      <c r="A900">
        <v>306116</v>
      </c>
      <c r="B900">
        <v>1151722</v>
      </c>
      <c r="C900">
        <v>3</v>
      </c>
      <c r="D900" t="s">
        <v>1697</v>
      </c>
      <c r="E900">
        <v>866</v>
      </c>
      <c r="F900" t="s">
        <v>41</v>
      </c>
      <c r="G900" t="s">
        <v>41</v>
      </c>
    </row>
    <row r="901" spans="1:8">
      <c r="A901">
        <v>306117</v>
      </c>
      <c r="B901">
        <v>1151722</v>
      </c>
      <c r="C901">
        <v>4</v>
      </c>
      <c r="D901" t="s">
        <v>1695</v>
      </c>
      <c r="E901">
        <v>1731</v>
      </c>
      <c r="F901" t="s">
        <v>41</v>
      </c>
      <c r="G901" t="s">
        <v>41</v>
      </c>
    </row>
    <row r="902" spans="1:8">
      <c r="A902">
        <v>306376</v>
      </c>
      <c r="B902">
        <v>1151847</v>
      </c>
      <c r="C902">
        <v>1</v>
      </c>
      <c r="D902" t="s">
        <v>1695</v>
      </c>
      <c r="E902">
        <v>654</v>
      </c>
      <c r="F902" t="s">
        <v>49</v>
      </c>
      <c r="G902" t="s">
        <v>47</v>
      </c>
    </row>
    <row r="903" spans="1:8">
      <c r="A903">
        <v>306377</v>
      </c>
      <c r="B903">
        <v>1151847</v>
      </c>
      <c r="C903">
        <v>2</v>
      </c>
      <c r="D903" t="s">
        <v>1695</v>
      </c>
      <c r="E903">
        <v>654</v>
      </c>
      <c r="F903" t="s">
        <v>49</v>
      </c>
      <c r="G903" t="s">
        <v>47</v>
      </c>
    </row>
    <row r="904" spans="1:8">
      <c r="A904">
        <v>306877</v>
      </c>
      <c r="B904">
        <v>1152098</v>
      </c>
      <c r="C904">
        <v>1</v>
      </c>
      <c r="D904" t="s">
        <v>1695</v>
      </c>
      <c r="E904">
        <v>3026</v>
      </c>
      <c r="F904" t="s">
        <v>49</v>
      </c>
      <c r="G904" t="s">
        <v>49</v>
      </c>
      <c r="H904">
        <v>30241</v>
      </c>
    </row>
    <row r="905" spans="1:8">
      <c r="A905">
        <v>307474</v>
      </c>
      <c r="B905">
        <v>1152374</v>
      </c>
      <c r="C905">
        <v>1</v>
      </c>
      <c r="D905" t="s">
        <v>1695</v>
      </c>
      <c r="E905">
        <v>916</v>
      </c>
      <c r="F905" t="s">
        <v>41</v>
      </c>
      <c r="G905" t="s">
        <v>41</v>
      </c>
    </row>
    <row r="906" spans="1:8">
      <c r="A906">
        <v>307568</v>
      </c>
      <c r="B906">
        <v>1152419</v>
      </c>
      <c r="C906">
        <v>1</v>
      </c>
      <c r="D906" t="s">
        <v>1695</v>
      </c>
      <c r="E906">
        <v>753</v>
      </c>
      <c r="F906" t="s">
        <v>41</v>
      </c>
      <c r="G906" t="s">
        <v>37</v>
      </c>
      <c r="H906">
        <v>37107</v>
      </c>
    </row>
    <row r="907" spans="1:8">
      <c r="A907">
        <v>307569</v>
      </c>
      <c r="B907">
        <v>1152419</v>
      </c>
      <c r="C907">
        <v>2</v>
      </c>
      <c r="D907" t="s">
        <v>1695</v>
      </c>
      <c r="E907">
        <v>753</v>
      </c>
      <c r="F907" t="s">
        <v>41</v>
      </c>
      <c r="G907" t="s">
        <v>37</v>
      </c>
      <c r="H907">
        <v>37107</v>
      </c>
    </row>
    <row r="908" spans="1:8">
      <c r="A908">
        <v>307570</v>
      </c>
      <c r="B908">
        <v>1152419</v>
      </c>
      <c r="C908">
        <v>3</v>
      </c>
      <c r="D908" t="s">
        <v>1696</v>
      </c>
      <c r="E908">
        <v>452</v>
      </c>
      <c r="F908" t="s">
        <v>41</v>
      </c>
      <c r="G908" t="s">
        <v>37</v>
      </c>
      <c r="H908">
        <v>37107</v>
      </c>
    </row>
    <row r="909" spans="1:8">
      <c r="A909">
        <v>310016</v>
      </c>
      <c r="B909">
        <v>1153612</v>
      </c>
      <c r="C909">
        <v>1</v>
      </c>
      <c r="D909" t="s">
        <v>1695</v>
      </c>
      <c r="E909">
        <v>3026</v>
      </c>
      <c r="F909" t="s">
        <v>41</v>
      </c>
      <c r="G909" t="s">
        <v>41</v>
      </c>
    </row>
    <row r="910" spans="1:8">
      <c r="A910">
        <v>310017</v>
      </c>
      <c r="B910">
        <v>1153612</v>
      </c>
      <c r="C910">
        <v>2</v>
      </c>
      <c r="D910" t="s">
        <v>1695</v>
      </c>
      <c r="E910">
        <v>3026</v>
      </c>
      <c r="F910" t="s">
        <v>41</v>
      </c>
      <c r="G910" t="s">
        <v>41</v>
      </c>
    </row>
    <row r="911" spans="1:8">
      <c r="A911">
        <v>310910</v>
      </c>
      <c r="B911">
        <v>1154055</v>
      </c>
      <c r="C911">
        <v>1</v>
      </c>
      <c r="D911" t="s">
        <v>1696</v>
      </c>
      <c r="E911">
        <v>727</v>
      </c>
      <c r="F911" t="s">
        <v>41</v>
      </c>
      <c r="G911" t="s">
        <v>41</v>
      </c>
    </row>
    <row r="912" spans="1:8">
      <c r="A912">
        <v>310911</v>
      </c>
      <c r="B912">
        <v>1154055</v>
      </c>
      <c r="C912">
        <v>2</v>
      </c>
      <c r="D912" t="s">
        <v>1695</v>
      </c>
      <c r="E912">
        <v>1212</v>
      </c>
      <c r="F912" t="s">
        <v>41</v>
      </c>
      <c r="G912" t="s">
        <v>41</v>
      </c>
    </row>
    <row r="913" spans="1:8">
      <c r="A913">
        <v>311117</v>
      </c>
      <c r="B913">
        <v>1154156</v>
      </c>
      <c r="C913">
        <v>1</v>
      </c>
      <c r="D913" t="s">
        <v>1695</v>
      </c>
      <c r="E913">
        <v>916</v>
      </c>
      <c r="F913" t="s">
        <v>41</v>
      </c>
      <c r="G913" t="s">
        <v>41</v>
      </c>
    </row>
    <row r="914" spans="1:8">
      <c r="A914">
        <v>311118</v>
      </c>
      <c r="B914">
        <v>1154156</v>
      </c>
      <c r="C914">
        <v>2</v>
      </c>
      <c r="D914" t="s">
        <v>1695</v>
      </c>
      <c r="E914">
        <v>916</v>
      </c>
      <c r="F914" t="s">
        <v>41</v>
      </c>
      <c r="G914" t="s">
        <v>41</v>
      </c>
    </row>
    <row r="915" spans="1:8">
      <c r="A915">
        <v>312166</v>
      </c>
      <c r="B915">
        <v>1154672</v>
      </c>
      <c r="C915">
        <v>1</v>
      </c>
      <c r="D915" t="s">
        <v>1695</v>
      </c>
      <c r="E915">
        <v>753</v>
      </c>
      <c r="F915" t="s">
        <v>41</v>
      </c>
      <c r="G915" t="s">
        <v>41</v>
      </c>
    </row>
    <row r="916" spans="1:8">
      <c r="A916">
        <v>312167</v>
      </c>
      <c r="B916">
        <v>1154672</v>
      </c>
      <c r="C916">
        <v>2</v>
      </c>
      <c r="D916" t="s">
        <v>1695</v>
      </c>
      <c r="E916">
        <v>753</v>
      </c>
      <c r="F916" t="s">
        <v>41</v>
      </c>
      <c r="G916" t="s">
        <v>41</v>
      </c>
    </row>
    <row r="917" spans="1:8">
      <c r="A917">
        <v>312168</v>
      </c>
      <c r="B917">
        <v>1154672</v>
      </c>
      <c r="C917">
        <v>3</v>
      </c>
      <c r="D917" t="s">
        <v>1695</v>
      </c>
      <c r="E917">
        <v>753</v>
      </c>
      <c r="F917" t="s">
        <v>41</v>
      </c>
      <c r="G917" t="s">
        <v>41</v>
      </c>
    </row>
    <row r="918" spans="1:8">
      <c r="A918">
        <v>312169</v>
      </c>
      <c r="B918">
        <v>1154672</v>
      </c>
      <c r="C918">
        <v>4</v>
      </c>
      <c r="D918" t="s">
        <v>1697</v>
      </c>
      <c r="E918">
        <v>376</v>
      </c>
      <c r="F918" t="s">
        <v>41</v>
      </c>
      <c r="G918" t="s">
        <v>41</v>
      </c>
    </row>
    <row r="919" spans="1:8">
      <c r="A919">
        <v>312376</v>
      </c>
      <c r="B919">
        <v>1154784</v>
      </c>
      <c r="C919">
        <v>1</v>
      </c>
      <c r="D919" t="s">
        <v>1695</v>
      </c>
      <c r="E919">
        <v>2784</v>
      </c>
      <c r="F919" t="s">
        <v>41</v>
      </c>
      <c r="G919" t="s">
        <v>41</v>
      </c>
    </row>
    <row r="920" spans="1:8">
      <c r="A920">
        <v>312377</v>
      </c>
      <c r="B920">
        <v>1154784</v>
      </c>
      <c r="C920">
        <v>2</v>
      </c>
      <c r="D920" t="s">
        <v>1695</v>
      </c>
      <c r="E920">
        <v>2784</v>
      </c>
      <c r="F920" t="s">
        <v>41</v>
      </c>
      <c r="G920" t="s">
        <v>41</v>
      </c>
    </row>
    <row r="921" spans="1:8">
      <c r="A921">
        <v>312402</v>
      </c>
      <c r="B921">
        <v>1154799</v>
      </c>
      <c r="C921">
        <v>1</v>
      </c>
      <c r="D921" t="s">
        <v>1695</v>
      </c>
      <c r="E921">
        <v>872</v>
      </c>
      <c r="F921" t="s">
        <v>41</v>
      </c>
      <c r="G921" t="s">
        <v>41</v>
      </c>
    </row>
    <row r="922" spans="1:8">
      <c r="A922">
        <v>312594</v>
      </c>
      <c r="B922">
        <v>1154897</v>
      </c>
      <c r="C922">
        <v>1</v>
      </c>
      <c r="D922" t="s">
        <v>1695</v>
      </c>
      <c r="E922">
        <v>4142</v>
      </c>
      <c r="F922" t="s">
        <v>41</v>
      </c>
      <c r="G922" t="s">
        <v>41</v>
      </c>
    </row>
    <row r="923" spans="1:8">
      <c r="A923">
        <v>312828</v>
      </c>
      <c r="B923">
        <v>1155002</v>
      </c>
      <c r="C923">
        <v>1</v>
      </c>
      <c r="D923" t="s">
        <v>1695</v>
      </c>
      <c r="E923">
        <v>2520</v>
      </c>
      <c r="F923" t="s">
        <v>41</v>
      </c>
      <c r="G923" t="s">
        <v>41</v>
      </c>
    </row>
    <row r="924" spans="1:8">
      <c r="A924">
        <v>312829</v>
      </c>
      <c r="B924">
        <v>1155002</v>
      </c>
      <c r="C924">
        <v>2</v>
      </c>
      <c r="D924" t="s">
        <v>1695</v>
      </c>
      <c r="E924">
        <v>2520</v>
      </c>
      <c r="F924" t="s">
        <v>41</v>
      </c>
      <c r="G924" t="s">
        <v>41</v>
      </c>
    </row>
    <row r="925" spans="1:8">
      <c r="A925">
        <v>313876</v>
      </c>
      <c r="B925">
        <v>1155548</v>
      </c>
      <c r="C925">
        <v>1</v>
      </c>
      <c r="D925" t="s">
        <v>1695</v>
      </c>
      <c r="E925">
        <v>1053</v>
      </c>
      <c r="F925" t="s">
        <v>41</v>
      </c>
      <c r="G925" t="s">
        <v>37</v>
      </c>
      <c r="H925">
        <v>33118</v>
      </c>
    </row>
    <row r="926" spans="1:8">
      <c r="A926">
        <v>314533</v>
      </c>
      <c r="B926">
        <v>1155881</v>
      </c>
      <c r="C926">
        <v>1</v>
      </c>
      <c r="D926" t="s">
        <v>1696</v>
      </c>
      <c r="E926">
        <v>209</v>
      </c>
      <c r="F926" t="s">
        <v>41</v>
      </c>
      <c r="G926" t="s">
        <v>41</v>
      </c>
    </row>
    <row r="927" spans="1:8">
      <c r="A927">
        <v>314680</v>
      </c>
      <c r="B927">
        <v>1155958</v>
      </c>
      <c r="C927">
        <v>1</v>
      </c>
      <c r="D927" t="s">
        <v>1695</v>
      </c>
      <c r="E927">
        <v>654</v>
      </c>
      <c r="F927" t="s">
        <v>47</v>
      </c>
      <c r="G927" t="s">
        <v>47</v>
      </c>
    </row>
    <row r="928" spans="1:8">
      <c r="A928">
        <v>314681</v>
      </c>
      <c r="B928">
        <v>1155958</v>
      </c>
      <c r="C928">
        <v>2</v>
      </c>
      <c r="D928" t="s">
        <v>1697</v>
      </c>
      <c r="E928">
        <v>327</v>
      </c>
      <c r="F928" t="s">
        <v>47</v>
      </c>
      <c r="G928" t="s">
        <v>47</v>
      </c>
    </row>
    <row r="929" spans="1:8">
      <c r="A929">
        <v>314682</v>
      </c>
      <c r="B929">
        <v>1155958</v>
      </c>
      <c r="C929">
        <v>3</v>
      </c>
      <c r="D929" t="s">
        <v>1695</v>
      </c>
      <c r="E929">
        <v>654</v>
      </c>
      <c r="F929" t="s">
        <v>47</v>
      </c>
      <c r="G929" t="s">
        <v>47</v>
      </c>
    </row>
    <row r="930" spans="1:8">
      <c r="A930">
        <v>314683</v>
      </c>
      <c r="B930">
        <v>1155958</v>
      </c>
      <c r="C930">
        <v>4</v>
      </c>
      <c r="D930" t="s">
        <v>1695</v>
      </c>
      <c r="E930">
        <v>654</v>
      </c>
      <c r="F930" t="s">
        <v>47</v>
      </c>
      <c r="G930" t="s">
        <v>47</v>
      </c>
    </row>
    <row r="931" spans="1:8">
      <c r="A931">
        <v>316165</v>
      </c>
      <c r="B931">
        <v>1156722</v>
      </c>
      <c r="C931">
        <v>1</v>
      </c>
      <c r="D931" t="s">
        <v>1695</v>
      </c>
      <c r="E931">
        <v>870</v>
      </c>
      <c r="F931" t="s">
        <v>49</v>
      </c>
      <c r="G931" t="s">
        <v>49</v>
      </c>
      <c r="H931">
        <v>31311</v>
      </c>
    </row>
    <row r="932" spans="1:8">
      <c r="A932">
        <v>316166</v>
      </c>
      <c r="B932">
        <v>1156722</v>
      </c>
      <c r="C932">
        <v>2</v>
      </c>
      <c r="D932" t="s">
        <v>1695</v>
      </c>
      <c r="E932">
        <v>870</v>
      </c>
      <c r="F932" t="s">
        <v>49</v>
      </c>
      <c r="G932" t="s">
        <v>49</v>
      </c>
      <c r="H932">
        <v>31311</v>
      </c>
    </row>
    <row r="933" spans="1:8">
      <c r="A933">
        <v>318244</v>
      </c>
      <c r="B933">
        <v>1157753</v>
      </c>
      <c r="C933">
        <v>1</v>
      </c>
      <c r="D933" t="s">
        <v>1696</v>
      </c>
      <c r="E933">
        <v>452</v>
      </c>
      <c r="F933" t="s">
        <v>49</v>
      </c>
      <c r="G933" t="s">
        <v>49</v>
      </c>
      <c r="H933">
        <v>32136</v>
      </c>
    </row>
    <row r="934" spans="1:8">
      <c r="A934">
        <v>318908</v>
      </c>
      <c r="B934">
        <v>1158099</v>
      </c>
      <c r="C934">
        <v>1</v>
      </c>
      <c r="D934" t="s">
        <v>1696</v>
      </c>
      <c r="E934">
        <v>2519</v>
      </c>
      <c r="F934" t="s">
        <v>41</v>
      </c>
      <c r="G934" t="s">
        <v>41</v>
      </c>
    </row>
    <row r="935" spans="1:8">
      <c r="A935">
        <v>320364</v>
      </c>
      <c r="B935">
        <v>1158815</v>
      </c>
      <c r="C935">
        <v>1</v>
      </c>
      <c r="D935" t="s">
        <v>1695</v>
      </c>
      <c r="E935">
        <v>3219</v>
      </c>
      <c r="F935" t="s">
        <v>41</v>
      </c>
      <c r="G935" t="s">
        <v>37</v>
      </c>
      <c r="H935">
        <v>32651</v>
      </c>
    </row>
    <row r="936" spans="1:8">
      <c r="A936">
        <v>320365</v>
      </c>
      <c r="B936">
        <v>1158815</v>
      </c>
      <c r="C936">
        <v>2</v>
      </c>
      <c r="D936" t="s">
        <v>1696</v>
      </c>
      <c r="E936">
        <v>1932</v>
      </c>
      <c r="F936" t="s">
        <v>41</v>
      </c>
      <c r="G936" t="s">
        <v>37</v>
      </c>
      <c r="H936">
        <v>32651</v>
      </c>
    </row>
    <row r="937" spans="1:8">
      <c r="A937">
        <v>320366</v>
      </c>
      <c r="B937">
        <v>1158815</v>
      </c>
      <c r="C937">
        <v>3</v>
      </c>
      <c r="D937" t="s">
        <v>1695</v>
      </c>
      <c r="E937">
        <v>3219</v>
      </c>
      <c r="F937" t="s">
        <v>41</v>
      </c>
      <c r="G937" t="s">
        <v>41</v>
      </c>
    </row>
    <row r="938" spans="1:8">
      <c r="A938">
        <v>320367</v>
      </c>
      <c r="B938">
        <v>1158815</v>
      </c>
      <c r="C938">
        <v>4</v>
      </c>
      <c r="D938" t="s">
        <v>1696</v>
      </c>
      <c r="E938">
        <v>1932</v>
      </c>
      <c r="F938" t="s">
        <v>41</v>
      </c>
      <c r="G938" t="s">
        <v>41</v>
      </c>
    </row>
    <row r="939" spans="1:8">
      <c r="A939">
        <v>320595</v>
      </c>
      <c r="B939">
        <v>1158935</v>
      </c>
      <c r="C939">
        <v>1</v>
      </c>
      <c r="D939" t="s">
        <v>1695</v>
      </c>
      <c r="E939">
        <v>1731</v>
      </c>
      <c r="F939" t="s">
        <v>41</v>
      </c>
      <c r="G939" t="s">
        <v>41</v>
      </c>
    </row>
    <row r="940" spans="1:8">
      <c r="A940">
        <v>320596</v>
      </c>
      <c r="B940">
        <v>1158935</v>
      </c>
      <c r="C940">
        <v>2</v>
      </c>
      <c r="D940" t="s">
        <v>1695</v>
      </c>
      <c r="E940">
        <v>1731</v>
      </c>
      <c r="F940" t="s">
        <v>41</v>
      </c>
      <c r="G940" t="s">
        <v>41</v>
      </c>
    </row>
    <row r="941" spans="1:8">
      <c r="A941">
        <v>320687</v>
      </c>
      <c r="B941">
        <v>1158978</v>
      </c>
      <c r="C941">
        <v>1</v>
      </c>
      <c r="D941" t="s">
        <v>1695</v>
      </c>
      <c r="E941">
        <v>1854</v>
      </c>
      <c r="F941" t="s">
        <v>41</v>
      </c>
      <c r="G941" t="s">
        <v>37</v>
      </c>
      <c r="H941">
        <v>33318</v>
      </c>
    </row>
    <row r="942" spans="1:8">
      <c r="A942">
        <v>320688</v>
      </c>
      <c r="B942">
        <v>1158978</v>
      </c>
      <c r="C942">
        <v>2</v>
      </c>
      <c r="D942" t="s">
        <v>1697</v>
      </c>
      <c r="E942">
        <v>927</v>
      </c>
      <c r="F942" t="s">
        <v>41</v>
      </c>
      <c r="G942" t="s">
        <v>37</v>
      </c>
      <c r="H942">
        <v>33318</v>
      </c>
    </row>
    <row r="943" spans="1:8">
      <c r="A943">
        <v>320689</v>
      </c>
      <c r="B943">
        <v>1158978</v>
      </c>
      <c r="C943">
        <v>3</v>
      </c>
      <c r="D943" t="s">
        <v>1695</v>
      </c>
      <c r="E943">
        <v>1854</v>
      </c>
      <c r="F943" t="s">
        <v>41</v>
      </c>
      <c r="G943" t="s">
        <v>37</v>
      </c>
      <c r="H943">
        <v>33318</v>
      </c>
    </row>
    <row r="944" spans="1:8">
      <c r="A944">
        <v>320690</v>
      </c>
      <c r="B944">
        <v>1158978</v>
      </c>
      <c r="C944">
        <v>4</v>
      </c>
      <c r="D944" t="s">
        <v>1695</v>
      </c>
      <c r="E944">
        <v>1854</v>
      </c>
      <c r="F944" t="s">
        <v>41</v>
      </c>
      <c r="G944" t="s">
        <v>37</v>
      </c>
      <c r="H944">
        <v>33318</v>
      </c>
    </row>
    <row r="945" spans="1:8">
      <c r="A945">
        <v>320691</v>
      </c>
      <c r="B945">
        <v>1158978</v>
      </c>
      <c r="C945">
        <v>5</v>
      </c>
      <c r="D945" t="s">
        <v>1695</v>
      </c>
      <c r="E945">
        <v>1854</v>
      </c>
      <c r="F945" t="s">
        <v>41</v>
      </c>
      <c r="G945" t="s">
        <v>37</v>
      </c>
      <c r="H945">
        <v>33318</v>
      </c>
    </row>
    <row r="946" spans="1:8">
      <c r="A946">
        <v>322103</v>
      </c>
      <c r="B946">
        <v>1159674</v>
      </c>
      <c r="C946">
        <v>1</v>
      </c>
      <c r="D946" t="s">
        <v>1695</v>
      </c>
      <c r="E946">
        <v>1053</v>
      </c>
      <c r="F946" t="s">
        <v>41</v>
      </c>
      <c r="G946" t="s">
        <v>37</v>
      </c>
      <c r="H946">
        <v>32265</v>
      </c>
    </row>
    <row r="947" spans="1:8">
      <c r="A947">
        <v>322104</v>
      </c>
      <c r="B947">
        <v>1159674</v>
      </c>
      <c r="C947">
        <v>2</v>
      </c>
      <c r="D947" t="s">
        <v>1695</v>
      </c>
      <c r="E947">
        <v>1053</v>
      </c>
      <c r="F947" t="s">
        <v>41</v>
      </c>
      <c r="G947" t="s">
        <v>37</v>
      </c>
      <c r="H947">
        <v>32265</v>
      </c>
    </row>
    <row r="948" spans="1:8">
      <c r="A948">
        <v>322956</v>
      </c>
      <c r="B948">
        <v>1160118</v>
      </c>
      <c r="C948">
        <v>1</v>
      </c>
      <c r="D948" t="s">
        <v>1695</v>
      </c>
      <c r="E948">
        <v>950</v>
      </c>
      <c r="F948" t="s">
        <v>47</v>
      </c>
      <c r="G948" t="s">
        <v>47</v>
      </c>
    </row>
    <row r="949" spans="1:8">
      <c r="A949">
        <v>322961</v>
      </c>
      <c r="B949">
        <v>1160122</v>
      </c>
      <c r="C949">
        <v>1</v>
      </c>
      <c r="D949" t="s">
        <v>2094</v>
      </c>
      <c r="E949">
        <v>1183</v>
      </c>
      <c r="F949" t="s">
        <v>41</v>
      </c>
      <c r="G949" t="s">
        <v>41</v>
      </c>
    </row>
    <row r="950" spans="1:8">
      <c r="A950">
        <v>323013</v>
      </c>
      <c r="B950">
        <v>1160148</v>
      </c>
      <c r="C950">
        <v>1</v>
      </c>
      <c r="D950" t="s">
        <v>1695</v>
      </c>
      <c r="E950">
        <v>870</v>
      </c>
      <c r="F950" t="s">
        <v>41</v>
      </c>
      <c r="G950" t="s">
        <v>41</v>
      </c>
    </row>
    <row r="951" spans="1:8">
      <c r="A951">
        <v>323014</v>
      </c>
      <c r="B951">
        <v>1160148</v>
      </c>
      <c r="C951">
        <v>2</v>
      </c>
      <c r="D951" t="s">
        <v>1695</v>
      </c>
      <c r="E951">
        <v>870</v>
      </c>
      <c r="F951" t="s">
        <v>41</v>
      </c>
      <c r="G951" t="s">
        <v>41</v>
      </c>
    </row>
    <row r="952" spans="1:8">
      <c r="A952">
        <v>323015</v>
      </c>
      <c r="B952">
        <v>1160148</v>
      </c>
      <c r="C952">
        <v>3</v>
      </c>
      <c r="D952" t="s">
        <v>1695</v>
      </c>
      <c r="E952">
        <v>870</v>
      </c>
      <c r="F952" t="s">
        <v>41</v>
      </c>
      <c r="G952" t="s">
        <v>41</v>
      </c>
    </row>
    <row r="953" spans="1:8">
      <c r="A953">
        <v>323016</v>
      </c>
      <c r="B953">
        <v>1160148</v>
      </c>
      <c r="C953">
        <v>4</v>
      </c>
      <c r="D953" t="s">
        <v>1695</v>
      </c>
      <c r="E953">
        <v>870</v>
      </c>
      <c r="F953" t="s">
        <v>41</v>
      </c>
      <c r="G953" t="s">
        <v>41</v>
      </c>
    </row>
    <row r="954" spans="1:8">
      <c r="A954">
        <v>323017</v>
      </c>
      <c r="B954">
        <v>1160148</v>
      </c>
      <c r="C954">
        <v>5</v>
      </c>
      <c r="D954" t="s">
        <v>1695</v>
      </c>
      <c r="E954">
        <v>870</v>
      </c>
      <c r="F954" t="s">
        <v>41</v>
      </c>
      <c r="G954" t="s">
        <v>41</v>
      </c>
    </row>
    <row r="955" spans="1:8">
      <c r="A955">
        <v>324152</v>
      </c>
      <c r="B955">
        <v>1160688</v>
      </c>
      <c r="C955">
        <v>1</v>
      </c>
      <c r="D955" t="s">
        <v>1695</v>
      </c>
      <c r="E955">
        <v>833</v>
      </c>
      <c r="F955" t="s">
        <v>41</v>
      </c>
      <c r="G955" t="s">
        <v>41</v>
      </c>
    </row>
    <row r="956" spans="1:8">
      <c r="A956">
        <v>325080</v>
      </c>
      <c r="B956">
        <v>1161167</v>
      </c>
      <c r="C956">
        <v>1</v>
      </c>
      <c r="D956" t="s">
        <v>1695</v>
      </c>
      <c r="E956">
        <v>1731</v>
      </c>
      <c r="F956" t="s">
        <v>41</v>
      </c>
      <c r="G956" t="s">
        <v>41</v>
      </c>
    </row>
    <row r="957" spans="1:8">
      <c r="A957">
        <v>325291</v>
      </c>
      <c r="B957">
        <v>1161274</v>
      </c>
      <c r="C957">
        <v>1</v>
      </c>
      <c r="D957" t="s">
        <v>1695</v>
      </c>
      <c r="E957">
        <v>1854</v>
      </c>
      <c r="F957" t="s">
        <v>41</v>
      </c>
      <c r="G957" t="s">
        <v>41</v>
      </c>
    </row>
    <row r="958" spans="1:8">
      <c r="A958">
        <v>325292</v>
      </c>
      <c r="B958">
        <v>1161274</v>
      </c>
      <c r="C958">
        <v>2</v>
      </c>
      <c r="D958" t="s">
        <v>1695</v>
      </c>
      <c r="E958">
        <v>1854</v>
      </c>
      <c r="F958" t="s">
        <v>41</v>
      </c>
      <c r="G958" t="s">
        <v>41</v>
      </c>
    </row>
    <row r="959" spans="1:8">
      <c r="A959">
        <v>325799</v>
      </c>
      <c r="B959">
        <v>1161513</v>
      </c>
      <c r="C959">
        <v>1</v>
      </c>
      <c r="D959" t="s">
        <v>1695</v>
      </c>
      <c r="E959">
        <v>582</v>
      </c>
      <c r="F959" t="s">
        <v>41</v>
      </c>
      <c r="G959" t="s">
        <v>41</v>
      </c>
    </row>
    <row r="960" spans="1:8">
      <c r="A960">
        <v>326945</v>
      </c>
      <c r="B960">
        <v>1162063</v>
      </c>
      <c r="C960">
        <v>1</v>
      </c>
      <c r="D960" t="s">
        <v>1696</v>
      </c>
      <c r="E960">
        <v>1512</v>
      </c>
      <c r="F960" t="s">
        <v>47</v>
      </c>
      <c r="G960" t="s">
        <v>37</v>
      </c>
      <c r="H960">
        <v>32815</v>
      </c>
    </row>
    <row r="961" spans="1:8">
      <c r="A961">
        <v>328027</v>
      </c>
      <c r="B961">
        <v>1162577</v>
      </c>
      <c r="C961">
        <v>1</v>
      </c>
      <c r="D961" t="s">
        <v>1696</v>
      </c>
      <c r="E961">
        <v>710</v>
      </c>
      <c r="F961" t="s">
        <v>41</v>
      </c>
      <c r="G961" t="s">
        <v>41</v>
      </c>
    </row>
    <row r="962" spans="1:8">
      <c r="A962">
        <v>328186</v>
      </c>
      <c r="B962">
        <v>1162647</v>
      </c>
      <c r="C962">
        <v>1</v>
      </c>
      <c r="D962" t="s">
        <v>1695</v>
      </c>
      <c r="E962">
        <v>941</v>
      </c>
      <c r="F962" t="s">
        <v>41</v>
      </c>
      <c r="G962" t="s">
        <v>37</v>
      </c>
      <c r="H962">
        <v>32807</v>
      </c>
    </row>
    <row r="963" spans="1:8">
      <c r="A963">
        <v>328478</v>
      </c>
      <c r="B963">
        <v>1162802</v>
      </c>
      <c r="C963">
        <v>1</v>
      </c>
      <c r="D963" t="s">
        <v>1695</v>
      </c>
      <c r="E963">
        <v>700</v>
      </c>
      <c r="F963" t="s">
        <v>41</v>
      </c>
      <c r="G963" t="s">
        <v>41</v>
      </c>
    </row>
    <row r="964" spans="1:8">
      <c r="A964">
        <v>328734</v>
      </c>
      <c r="B964">
        <v>1162927</v>
      </c>
      <c r="C964">
        <v>1</v>
      </c>
      <c r="D964" t="s">
        <v>1695</v>
      </c>
      <c r="E964">
        <v>700</v>
      </c>
      <c r="F964" t="s">
        <v>41</v>
      </c>
      <c r="G964" t="s">
        <v>41</v>
      </c>
    </row>
    <row r="965" spans="1:8">
      <c r="A965">
        <v>328735</v>
      </c>
      <c r="B965">
        <v>1162927</v>
      </c>
      <c r="C965">
        <v>2</v>
      </c>
      <c r="D965" t="s">
        <v>1695</v>
      </c>
      <c r="E965">
        <v>700</v>
      </c>
      <c r="F965" t="s">
        <v>41</v>
      </c>
      <c r="G965" t="s">
        <v>41</v>
      </c>
    </row>
    <row r="966" spans="1:8">
      <c r="A966">
        <v>329255</v>
      </c>
      <c r="B966">
        <v>1163181</v>
      </c>
      <c r="C966">
        <v>1</v>
      </c>
      <c r="D966" t="s">
        <v>1695</v>
      </c>
      <c r="E966">
        <v>2307</v>
      </c>
      <c r="F966" t="s">
        <v>41</v>
      </c>
      <c r="G966" t="s">
        <v>41</v>
      </c>
    </row>
    <row r="967" spans="1:8">
      <c r="A967">
        <v>329256</v>
      </c>
      <c r="B967">
        <v>1163181</v>
      </c>
      <c r="C967">
        <v>2</v>
      </c>
      <c r="D967" t="s">
        <v>1695</v>
      </c>
      <c r="E967">
        <v>2307</v>
      </c>
      <c r="F967" t="s">
        <v>41</v>
      </c>
      <c r="G967" t="s">
        <v>41</v>
      </c>
    </row>
    <row r="968" spans="1:8">
      <c r="A968">
        <v>329257</v>
      </c>
      <c r="B968">
        <v>1163181</v>
      </c>
      <c r="C968">
        <v>3</v>
      </c>
      <c r="D968" t="s">
        <v>1695</v>
      </c>
      <c r="E968">
        <v>2307</v>
      </c>
      <c r="F968" t="s">
        <v>41</v>
      </c>
      <c r="G968" t="s">
        <v>41</v>
      </c>
    </row>
    <row r="969" spans="1:8">
      <c r="A969">
        <v>330478</v>
      </c>
      <c r="B969">
        <v>1163782</v>
      </c>
      <c r="C969">
        <v>1</v>
      </c>
      <c r="D969" t="s">
        <v>1696</v>
      </c>
      <c r="E969">
        <v>1113</v>
      </c>
      <c r="F969" t="s">
        <v>49</v>
      </c>
      <c r="G969" t="s">
        <v>37</v>
      </c>
      <c r="H969">
        <v>32963</v>
      </c>
    </row>
    <row r="970" spans="1:8">
      <c r="A970">
        <v>330479</v>
      </c>
      <c r="B970">
        <v>1163782</v>
      </c>
      <c r="C970">
        <v>2</v>
      </c>
      <c r="D970" t="s">
        <v>1695</v>
      </c>
      <c r="E970">
        <v>1854</v>
      </c>
      <c r="F970" t="s">
        <v>49</v>
      </c>
      <c r="G970" t="s">
        <v>37</v>
      </c>
      <c r="H970">
        <v>32963</v>
      </c>
    </row>
    <row r="971" spans="1:8">
      <c r="A971">
        <v>330527</v>
      </c>
      <c r="B971">
        <v>1163803</v>
      </c>
      <c r="C971">
        <v>1</v>
      </c>
      <c r="D971" t="s">
        <v>1695</v>
      </c>
      <c r="E971">
        <v>544</v>
      </c>
      <c r="F971" t="s">
        <v>41</v>
      </c>
      <c r="G971" t="s">
        <v>41</v>
      </c>
    </row>
    <row r="972" spans="1:8">
      <c r="A972">
        <v>331027</v>
      </c>
      <c r="B972">
        <v>1164059</v>
      </c>
      <c r="C972">
        <v>1</v>
      </c>
      <c r="D972" t="s">
        <v>1695</v>
      </c>
      <c r="E972">
        <v>906</v>
      </c>
      <c r="F972" t="s">
        <v>41</v>
      </c>
      <c r="G972" t="s">
        <v>37</v>
      </c>
      <c r="H972">
        <v>34535</v>
      </c>
    </row>
    <row r="973" spans="1:8">
      <c r="A973">
        <v>331295</v>
      </c>
      <c r="B973">
        <v>1164189</v>
      </c>
      <c r="C973">
        <v>1</v>
      </c>
      <c r="D973" t="s">
        <v>1695</v>
      </c>
      <c r="E973">
        <v>1212</v>
      </c>
      <c r="F973" t="s">
        <v>41</v>
      </c>
      <c r="G973" t="s">
        <v>41</v>
      </c>
    </row>
    <row r="974" spans="1:8">
      <c r="A974">
        <v>332789</v>
      </c>
      <c r="B974">
        <v>1164953</v>
      </c>
      <c r="C974">
        <v>1</v>
      </c>
      <c r="D974" t="s">
        <v>1695</v>
      </c>
      <c r="E974">
        <v>1731</v>
      </c>
      <c r="F974" t="s">
        <v>41</v>
      </c>
      <c r="G974" t="s">
        <v>41</v>
      </c>
    </row>
    <row r="975" spans="1:8">
      <c r="A975">
        <v>332790</v>
      </c>
      <c r="B975">
        <v>1164953</v>
      </c>
      <c r="C975">
        <v>2</v>
      </c>
      <c r="D975" t="s">
        <v>1697</v>
      </c>
      <c r="E975">
        <v>866</v>
      </c>
      <c r="F975" t="s">
        <v>41</v>
      </c>
      <c r="G975" t="s">
        <v>41</v>
      </c>
    </row>
    <row r="976" spans="1:8">
      <c r="A976">
        <v>332791</v>
      </c>
      <c r="B976">
        <v>1164953</v>
      </c>
      <c r="C976">
        <v>3</v>
      </c>
      <c r="D976" t="s">
        <v>1696</v>
      </c>
      <c r="E976">
        <v>1039</v>
      </c>
      <c r="F976" t="s">
        <v>41</v>
      </c>
      <c r="G976" t="s">
        <v>41</v>
      </c>
    </row>
    <row r="977" spans="1:8">
      <c r="A977">
        <v>332792</v>
      </c>
      <c r="B977">
        <v>1164953</v>
      </c>
      <c r="C977">
        <v>4</v>
      </c>
      <c r="D977" t="s">
        <v>1695</v>
      </c>
      <c r="E977">
        <v>1731</v>
      </c>
      <c r="F977" t="s">
        <v>41</v>
      </c>
      <c r="G977" t="s">
        <v>41</v>
      </c>
    </row>
    <row r="978" spans="1:8">
      <c r="A978">
        <v>333147</v>
      </c>
      <c r="B978">
        <v>1165115</v>
      </c>
      <c r="C978">
        <v>1</v>
      </c>
      <c r="D978" t="s">
        <v>1696</v>
      </c>
      <c r="E978">
        <v>549</v>
      </c>
      <c r="F978" t="s">
        <v>41</v>
      </c>
      <c r="G978" t="s">
        <v>37</v>
      </c>
      <c r="H978">
        <v>33863</v>
      </c>
    </row>
    <row r="979" spans="1:8">
      <c r="A979">
        <v>333148</v>
      </c>
      <c r="B979">
        <v>1165115</v>
      </c>
      <c r="C979">
        <v>2</v>
      </c>
      <c r="D979" t="s">
        <v>1697</v>
      </c>
      <c r="E979">
        <v>458</v>
      </c>
      <c r="F979" t="s">
        <v>41</v>
      </c>
      <c r="G979" t="s">
        <v>37</v>
      </c>
      <c r="H979">
        <v>33863</v>
      </c>
    </row>
    <row r="980" spans="1:8">
      <c r="A980">
        <v>333149</v>
      </c>
      <c r="B980">
        <v>1165115</v>
      </c>
      <c r="C980">
        <v>3</v>
      </c>
      <c r="D980" t="s">
        <v>1695</v>
      </c>
      <c r="E980">
        <v>916</v>
      </c>
      <c r="F980" t="s">
        <v>41</v>
      </c>
      <c r="G980" t="s">
        <v>37</v>
      </c>
      <c r="H980">
        <v>33863</v>
      </c>
    </row>
    <row r="981" spans="1:8">
      <c r="A981">
        <v>333150</v>
      </c>
      <c r="B981">
        <v>1165115</v>
      </c>
      <c r="C981">
        <v>4</v>
      </c>
      <c r="D981" t="s">
        <v>1695</v>
      </c>
      <c r="E981">
        <v>916</v>
      </c>
      <c r="F981" t="s">
        <v>41</v>
      </c>
      <c r="G981" t="s">
        <v>37</v>
      </c>
      <c r="H981">
        <v>33863</v>
      </c>
    </row>
    <row r="982" spans="1:8">
      <c r="A982">
        <v>333151</v>
      </c>
      <c r="B982">
        <v>1165115</v>
      </c>
      <c r="C982">
        <v>5</v>
      </c>
      <c r="D982" t="s">
        <v>1695</v>
      </c>
      <c r="E982">
        <v>916</v>
      </c>
      <c r="F982" t="s">
        <v>41</v>
      </c>
      <c r="G982" t="s">
        <v>37</v>
      </c>
      <c r="H982">
        <v>33863</v>
      </c>
    </row>
    <row r="983" spans="1:8">
      <c r="A983">
        <v>333179</v>
      </c>
      <c r="B983">
        <v>1165130</v>
      </c>
      <c r="C983">
        <v>1</v>
      </c>
      <c r="D983" t="s">
        <v>1696</v>
      </c>
      <c r="E983">
        <v>1039</v>
      </c>
      <c r="F983" t="s">
        <v>49</v>
      </c>
      <c r="G983" t="s">
        <v>37</v>
      </c>
      <c r="H983">
        <v>33600</v>
      </c>
    </row>
    <row r="984" spans="1:8">
      <c r="A984">
        <v>333978</v>
      </c>
      <c r="B984">
        <v>1165520</v>
      </c>
      <c r="C984">
        <v>1</v>
      </c>
      <c r="D984" t="s">
        <v>2094</v>
      </c>
      <c r="E984">
        <v>654</v>
      </c>
      <c r="F984" t="s">
        <v>49</v>
      </c>
      <c r="G984" t="s">
        <v>47</v>
      </c>
    </row>
    <row r="985" spans="1:8">
      <c r="A985">
        <v>334296</v>
      </c>
      <c r="B985">
        <v>1165685</v>
      </c>
      <c r="C985">
        <v>1</v>
      </c>
      <c r="D985" t="s">
        <v>1695</v>
      </c>
      <c r="E985">
        <v>1049</v>
      </c>
      <c r="F985" t="s">
        <v>41</v>
      </c>
      <c r="G985" t="s">
        <v>41</v>
      </c>
    </row>
    <row r="986" spans="1:8">
      <c r="A986">
        <v>334297</v>
      </c>
      <c r="B986">
        <v>1165685</v>
      </c>
      <c r="C986">
        <v>2</v>
      </c>
      <c r="D986" t="s">
        <v>1695</v>
      </c>
      <c r="E986">
        <v>1049</v>
      </c>
      <c r="F986" t="s">
        <v>41</v>
      </c>
      <c r="G986" t="s">
        <v>41</v>
      </c>
    </row>
    <row r="987" spans="1:8">
      <c r="A987">
        <v>334901</v>
      </c>
      <c r="B987">
        <v>1165984</v>
      </c>
      <c r="C987">
        <v>1</v>
      </c>
      <c r="D987" t="s">
        <v>1695</v>
      </c>
      <c r="E987">
        <v>288</v>
      </c>
      <c r="F987" t="s">
        <v>41</v>
      </c>
      <c r="G987" t="s">
        <v>41</v>
      </c>
    </row>
    <row r="988" spans="1:8">
      <c r="A988">
        <v>334902</v>
      </c>
      <c r="B988">
        <v>1165984</v>
      </c>
      <c r="C988">
        <v>2</v>
      </c>
      <c r="D988" t="s">
        <v>1695</v>
      </c>
      <c r="E988">
        <v>288</v>
      </c>
      <c r="F988" t="s">
        <v>41</v>
      </c>
      <c r="G988" t="s">
        <v>41</v>
      </c>
    </row>
    <row r="989" spans="1:8">
      <c r="A989">
        <v>334903</v>
      </c>
      <c r="B989">
        <v>1165984</v>
      </c>
      <c r="C989">
        <v>3</v>
      </c>
      <c r="D989" t="s">
        <v>1695</v>
      </c>
      <c r="E989">
        <v>288</v>
      </c>
      <c r="F989" t="s">
        <v>41</v>
      </c>
      <c r="G989" t="s">
        <v>41</v>
      </c>
    </row>
    <row r="990" spans="1:8">
      <c r="A990">
        <v>334904</v>
      </c>
      <c r="B990">
        <v>1165984</v>
      </c>
      <c r="C990">
        <v>4</v>
      </c>
      <c r="D990" t="s">
        <v>1695</v>
      </c>
      <c r="E990">
        <v>288</v>
      </c>
      <c r="F990" t="s">
        <v>41</v>
      </c>
      <c r="G990" t="s">
        <v>41</v>
      </c>
    </row>
    <row r="991" spans="1:8">
      <c r="A991">
        <v>334945</v>
      </c>
      <c r="B991">
        <v>1166012</v>
      </c>
      <c r="C991">
        <v>1</v>
      </c>
      <c r="D991" t="s">
        <v>1695</v>
      </c>
      <c r="E991">
        <v>4198</v>
      </c>
      <c r="F991" t="s">
        <v>41</v>
      </c>
      <c r="G991" t="s">
        <v>41</v>
      </c>
    </row>
    <row r="992" spans="1:8">
      <c r="A992">
        <v>335082</v>
      </c>
      <c r="B992">
        <v>1166075</v>
      </c>
      <c r="C992">
        <v>1</v>
      </c>
      <c r="D992" t="s">
        <v>1695</v>
      </c>
      <c r="E992">
        <v>4342</v>
      </c>
      <c r="F992" t="s">
        <v>41</v>
      </c>
      <c r="G992" t="s">
        <v>41</v>
      </c>
    </row>
    <row r="993" spans="1:8">
      <c r="A993">
        <v>335083</v>
      </c>
      <c r="B993">
        <v>1166075</v>
      </c>
      <c r="C993">
        <v>2</v>
      </c>
      <c r="D993" t="s">
        <v>1695</v>
      </c>
      <c r="E993">
        <v>4342</v>
      </c>
      <c r="F993" t="s">
        <v>41</v>
      </c>
      <c r="G993" t="s">
        <v>41</v>
      </c>
    </row>
    <row r="994" spans="1:8">
      <c r="A994">
        <v>335103</v>
      </c>
      <c r="B994">
        <v>1166085</v>
      </c>
      <c r="C994">
        <v>1</v>
      </c>
      <c r="D994" t="s">
        <v>1695</v>
      </c>
      <c r="E994">
        <v>1053</v>
      </c>
      <c r="F994" t="s">
        <v>41</v>
      </c>
      <c r="G994" t="s">
        <v>37</v>
      </c>
      <c r="H994">
        <v>33672</v>
      </c>
    </row>
    <row r="995" spans="1:8">
      <c r="A995">
        <v>335104</v>
      </c>
      <c r="B995">
        <v>1166085</v>
      </c>
      <c r="C995">
        <v>2</v>
      </c>
      <c r="D995" t="s">
        <v>1695</v>
      </c>
      <c r="E995">
        <v>1053</v>
      </c>
      <c r="F995" t="s">
        <v>41</v>
      </c>
      <c r="G995" t="s">
        <v>37</v>
      </c>
      <c r="H995">
        <v>33672</v>
      </c>
    </row>
    <row r="996" spans="1:8">
      <c r="A996">
        <v>335105</v>
      </c>
      <c r="B996">
        <v>1166085</v>
      </c>
      <c r="C996">
        <v>3</v>
      </c>
      <c r="D996" t="s">
        <v>1695</v>
      </c>
      <c r="E996">
        <v>1053</v>
      </c>
      <c r="F996" t="s">
        <v>41</v>
      </c>
      <c r="G996" t="s">
        <v>37</v>
      </c>
      <c r="H996">
        <v>33672</v>
      </c>
    </row>
    <row r="997" spans="1:8">
      <c r="A997">
        <v>335106</v>
      </c>
      <c r="B997">
        <v>1166085</v>
      </c>
      <c r="C997">
        <v>4</v>
      </c>
      <c r="D997" t="s">
        <v>1695</v>
      </c>
      <c r="E997">
        <v>1053</v>
      </c>
      <c r="F997" t="s">
        <v>41</v>
      </c>
      <c r="G997" t="s">
        <v>41</v>
      </c>
    </row>
    <row r="998" spans="1:8">
      <c r="A998">
        <v>335378</v>
      </c>
      <c r="B998">
        <v>1166228</v>
      </c>
      <c r="C998">
        <v>1</v>
      </c>
      <c r="D998" t="s">
        <v>1696</v>
      </c>
      <c r="E998">
        <v>994</v>
      </c>
      <c r="F998" t="s">
        <v>47</v>
      </c>
      <c r="G998" t="s">
        <v>41</v>
      </c>
    </row>
    <row r="999" spans="1:8">
      <c r="A999">
        <v>335379</v>
      </c>
      <c r="B999">
        <v>1166228</v>
      </c>
      <c r="C999">
        <v>2</v>
      </c>
      <c r="D999" t="s">
        <v>1695</v>
      </c>
      <c r="E999">
        <v>1657</v>
      </c>
      <c r="F999" t="s">
        <v>47</v>
      </c>
      <c r="G999" t="s">
        <v>41</v>
      </c>
    </row>
    <row r="1000" spans="1:8">
      <c r="A1000">
        <v>335380</v>
      </c>
      <c r="B1000">
        <v>1166228</v>
      </c>
      <c r="C1000">
        <v>3</v>
      </c>
      <c r="D1000" t="s">
        <v>1695</v>
      </c>
      <c r="E1000">
        <v>1657</v>
      </c>
      <c r="F1000" t="s">
        <v>47</v>
      </c>
      <c r="G1000" t="s">
        <v>41</v>
      </c>
    </row>
    <row r="1001" spans="1:8">
      <c r="A1001">
        <v>335381</v>
      </c>
      <c r="B1001">
        <v>1166228</v>
      </c>
      <c r="C1001">
        <v>4</v>
      </c>
      <c r="D1001" t="s">
        <v>1695</v>
      </c>
      <c r="E1001">
        <v>1657</v>
      </c>
      <c r="F1001" t="s">
        <v>47</v>
      </c>
      <c r="G1001" t="s">
        <v>41</v>
      </c>
    </row>
    <row r="1002" spans="1:8">
      <c r="A1002">
        <v>335999</v>
      </c>
      <c r="B1002">
        <v>1166538</v>
      </c>
      <c r="C1002">
        <v>1</v>
      </c>
      <c r="D1002" t="s">
        <v>1695</v>
      </c>
      <c r="E1002">
        <v>544</v>
      </c>
      <c r="F1002" t="s">
        <v>41</v>
      </c>
      <c r="G1002" t="s">
        <v>37</v>
      </c>
      <c r="H1002">
        <v>36506</v>
      </c>
    </row>
    <row r="1003" spans="1:8">
      <c r="A1003">
        <v>336539</v>
      </c>
      <c r="B1003">
        <v>1166805</v>
      </c>
      <c r="C1003">
        <v>1</v>
      </c>
      <c r="D1003" t="s">
        <v>1695</v>
      </c>
      <c r="E1003">
        <v>4198</v>
      </c>
      <c r="F1003" t="s">
        <v>41</v>
      </c>
      <c r="G1003" t="s">
        <v>41</v>
      </c>
    </row>
    <row r="1004" spans="1:8">
      <c r="A1004">
        <v>337620</v>
      </c>
      <c r="B1004">
        <v>1167325</v>
      </c>
      <c r="C1004">
        <v>1</v>
      </c>
      <c r="D1004" t="s">
        <v>1695</v>
      </c>
      <c r="E1004">
        <v>1049</v>
      </c>
      <c r="F1004" t="s">
        <v>41</v>
      </c>
      <c r="G1004" t="s">
        <v>41</v>
      </c>
    </row>
    <row r="1005" spans="1:8">
      <c r="A1005">
        <v>337621</v>
      </c>
      <c r="B1005">
        <v>1167325</v>
      </c>
      <c r="C1005">
        <v>2</v>
      </c>
      <c r="D1005" t="s">
        <v>1695</v>
      </c>
      <c r="E1005">
        <v>1049</v>
      </c>
      <c r="F1005" t="s">
        <v>41</v>
      </c>
      <c r="G1005" t="s">
        <v>41</v>
      </c>
    </row>
    <row r="1006" spans="1:8">
      <c r="A1006">
        <v>337622</v>
      </c>
      <c r="B1006">
        <v>1167325</v>
      </c>
      <c r="C1006">
        <v>3</v>
      </c>
      <c r="D1006" t="s">
        <v>1695</v>
      </c>
      <c r="E1006">
        <v>1049</v>
      </c>
      <c r="F1006" t="s">
        <v>41</v>
      </c>
      <c r="G1006" t="s">
        <v>41</v>
      </c>
    </row>
    <row r="1007" spans="1:8">
      <c r="A1007">
        <v>339825</v>
      </c>
      <c r="B1007">
        <v>1168404</v>
      </c>
      <c r="C1007">
        <v>1</v>
      </c>
      <c r="D1007" t="s">
        <v>1695</v>
      </c>
      <c r="E1007">
        <v>544</v>
      </c>
      <c r="F1007" t="s">
        <v>49</v>
      </c>
      <c r="G1007" t="s">
        <v>49</v>
      </c>
      <c r="H1007">
        <v>34192</v>
      </c>
    </row>
    <row r="1008" spans="1:8">
      <c r="A1008">
        <v>340290</v>
      </c>
      <c r="B1008">
        <v>1168644</v>
      </c>
      <c r="C1008">
        <v>1</v>
      </c>
      <c r="D1008" t="s">
        <v>1695</v>
      </c>
      <c r="E1008">
        <v>1008</v>
      </c>
      <c r="F1008" t="s">
        <v>41</v>
      </c>
      <c r="G1008" t="s">
        <v>41</v>
      </c>
    </row>
    <row r="1009" spans="1:8">
      <c r="A1009">
        <v>340417</v>
      </c>
      <c r="B1009">
        <v>1168703</v>
      </c>
      <c r="C1009">
        <v>1</v>
      </c>
      <c r="D1009" t="s">
        <v>1695</v>
      </c>
      <c r="E1009">
        <v>916</v>
      </c>
      <c r="F1009" t="s">
        <v>49</v>
      </c>
      <c r="G1009" t="s">
        <v>49</v>
      </c>
      <c r="H1009">
        <v>35468</v>
      </c>
    </row>
    <row r="1010" spans="1:8">
      <c r="A1010">
        <v>341138</v>
      </c>
      <c r="B1010">
        <v>1169051</v>
      </c>
      <c r="C1010">
        <v>1</v>
      </c>
      <c r="D1010" t="s">
        <v>1695</v>
      </c>
      <c r="E1010">
        <v>2429</v>
      </c>
      <c r="F1010" t="s">
        <v>47</v>
      </c>
      <c r="G1010" t="s">
        <v>47</v>
      </c>
    </row>
    <row r="1011" spans="1:8">
      <c r="A1011">
        <v>341139</v>
      </c>
      <c r="B1011">
        <v>1169051</v>
      </c>
      <c r="C1011">
        <v>2</v>
      </c>
      <c r="D1011" t="s">
        <v>1695</v>
      </c>
      <c r="E1011">
        <v>2429</v>
      </c>
      <c r="F1011" t="s">
        <v>47</v>
      </c>
      <c r="G1011" t="s">
        <v>47</v>
      </c>
    </row>
    <row r="1012" spans="1:8">
      <c r="A1012">
        <v>341209</v>
      </c>
      <c r="B1012">
        <v>1169089</v>
      </c>
      <c r="C1012">
        <v>1</v>
      </c>
      <c r="D1012" t="s">
        <v>1696</v>
      </c>
      <c r="E1012">
        <v>1885</v>
      </c>
      <c r="F1012" t="s">
        <v>41</v>
      </c>
      <c r="G1012" t="s">
        <v>37</v>
      </c>
      <c r="H1012">
        <v>41398</v>
      </c>
    </row>
    <row r="1013" spans="1:8">
      <c r="A1013">
        <v>341561</v>
      </c>
      <c r="B1013">
        <v>1169250</v>
      </c>
      <c r="C1013">
        <v>1</v>
      </c>
      <c r="D1013" t="s">
        <v>1695</v>
      </c>
      <c r="E1013">
        <v>2264</v>
      </c>
      <c r="F1013" t="s">
        <v>41</v>
      </c>
      <c r="G1013" t="s">
        <v>41</v>
      </c>
    </row>
    <row r="1014" spans="1:8">
      <c r="A1014">
        <v>341988</v>
      </c>
      <c r="B1014">
        <v>1169457</v>
      </c>
      <c r="C1014">
        <v>1</v>
      </c>
      <c r="D1014" t="s">
        <v>1695</v>
      </c>
      <c r="E1014">
        <v>3142</v>
      </c>
      <c r="F1014" t="s">
        <v>41</v>
      </c>
      <c r="G1014" t="s">
        <v>41</v>
      </c>
    </row>
    <row r="1015" spans="1:8">
      <c r="A1015">
        <v>341989</v>
      </c>
      <c r="B1015">
        <v>1169457</v>
      </c>
      <c r="C1015">
        <v>2</v>
      </c>
      <c r="D1015" t="s">
        <v>1695</v>
      </c>
      <c r="E1015">
        <v>3142</v>
      </c>
      <c r="F1015" t="s">
        <v>41</v>
      </c>
      <c r="G1015" t="s">
        <v>41</v>
      </c>
    </row>
    <row r="1016" spans="1:8">
      <c r="A1016">
        <v>341990</v>
      </c>
      <c r="B1016">
        <v>1169457</v>
      </c>
      <c r="C1016">
        <v>3</v>
      </c>
      <c r="D1016" t="s">
        <v>1695</v>
      </c>
      <c r="E1016">
        <v>3142</v>
      </c>
      <c r="F1016" t="s">
        <v>41</v>
      </c>
      <c r="G1016" t="s">
        <v>41</v>
      </c>
    </row>
    <row r="1017" spans="1:8">
      <c r="A1017">
        <v>341991</v>
      </c>
      <c r="B1017">
        <v>1169457</v>
      </c>
      <c r="C1017">
        <v>4</v>
      </c>
      <c r="D1017" t="s">
        <v>1695</v>
      </c>
      <c r="E1017">
        <v>3142</v>
      </c>
      <c r="F1017" t="s">
        <v>41</v>
      </c>
      <c r="G1017" t="s">
        <v>41</v>
      </c>
    </row>
    <row r="1018" spans="1:8">
      <c r="A1018">
        <v>342390</v>
      </c>
      <c r="B1018">
        <v>1169665</v>
      </c>
      <c r="C1018">
        <v>1</v>
      </c>
      <c r="D1018" t="s">
        <v>1695</v>
      </c>
      <c r="E1018">
        <v>654</v>
      </c>
      <c r="F1018" t="s">
        <v>47</v>
      </c>
      <c r="G1018" t="s">
        <v>41</v>
      </c>
    </row>
    <row r="1019" spans="1:8">
      <c r="A1019">
        <v>342391</v>
      </c>
      <c r="B1019">
        <v>1169665</v>
      </c>
      <c r="C1019">
        <v>2</v>
      </c>
      <c r="D1019" t="s">
        <v>1695</v>
      </c>
      <c r="E1019">
        <v>654</v>
      </c>
      <c r="F1019" t="s">
        <v>47</v>
      </c>
      <c r="G1019" t="s">
        <v>41</v>
      </c>
    </row>
    <row r="1020" spans="1:8">
      <c r="A1020">
        <v>342759</v>
      </c>
      <c r="B1020">
        <v>1169847</v>
      </c>
      <c r="C1020">
        <v>1</v>
      </c>
      <c r="D1020" t="s">
        <v>1695</v>
      </c>
      <c r="E1020">
        <v>1390</v>
      </c>
      <c r="F1020" t="s">
        <v>47</v>
      </c>
      <c r="G1020" t="s">
        <v>41</v>
      </c>
    </row>
    <row r="1021" spans="1:8">
      <c r="A1021">
        <v>342760</v>
      </c>
      <c r="B1021">
        <v>1169847</v>
      </c>
      <c r="C1021">
        <v>2</v>
      </c>
      <c r="D1021" t="s">
        <v>1697</v>
      </c>
      <c r="E1021">
        <v>695</v>
      </c>
      <c r="F1021" t="s">
        <v>47</v>
      </c>
      <c r="G1021" t="s">
        <v>41</v>
      </c>
    </row>
    <row r="1022" spans="1:8">
      <c r="A1022">
        <v>342942</v>
      </c>
      <c r="B1022">
        <v>1169931</v>
      </c>
      <c r="C1022">
        <v>1</v>
      </c>
      <c r="D1022" t="s">
        <v>1695</v>
      </c>
      <c r="E1022">
        <v>753</v>
      </c>
      <c r="F1022" t="s">
        <v>41</v>
      </c>
      <c r="G1022" t="s">
        <v>41</v>
      </c>
    </row>
    <row r="1023" spans="1:8">
      <c r="A1023">
        <v>342943</v>
      </c>
      <c r="B1023">
        <v>1169931</v>
      </c>
      <c r="C1023">
        <v>2</v>
      </c>
      <c r="D1023" t="s">
        <v>1695</v>
      </c>
      <c r="E1023">
        <v>753</v>
      </c>
      <c r="F1023" t="s">
        <v>41</v>
      </c>
      <c r="G1023" t="s">
        <v>41</v>
      </c>
    </row>
    <row r="1024" spans="1:8">
      <c r="A1024">
        <v>342944</v>
      </c>
      <c r="B1024">
        <v>1169931</v>
      </c>
      <c r="C1024">
        <v>3</v>
      </c>
      <c r="D1024" t="s">
        <v>1696</v>
      </c>
      <c r="E1024">
        <v>452</v>
      </c>
      <c r="F1024" t="s">
        <v>41</v>
      </c>
      <c r="G1024" t="s">
        <v>41</v>
      </c>
    </row>
    <row r="1025" spans="1:8">
      <c r="A1025">
        <v>344152</v>
      </c>
      <c r="B1025">
        <v>1170529</v>
      </c>
      <c r="C1025">
        <v>1</v>
      </c>
      <c r="D1025" t="s">
        <v>1696</v>
      </c>
      <c r="E1025">
        <v>1278</v>
      </c>
      <c r="F1025" t="s">
        <v>41</v>
      </c>
      <c r="G1025" t="s">
        <v>41</v>
      </c>
    </row>
    <row r="1026" spans="1:8">
      <c r="A1026">
        <v>344166</v>
      </c>
      <c r="B1026">
        <v>1170536</v>
      </c>
      <c r="C1026">
        <v>1</v>
      </c>
      <c r="D1026" t="s">
        <v>1695</v>
      </c>
      <c r="E1026">
        <v>3694</v>
      </c>
      <c r="F1026" t="s">
        <v>41</v>
      </c>
      <c r="G1026" t="s">
        <v>41</v>
      </c>
    </row>
    <row r="1027" spans="1:8">
      <c r="A1027">
        <v>344247</v>
      </c>
      <c r="B1027">
        <v>1170583</v>
      </c>
      <c r="C1027">
        <v>1</v>
      </c>
      <c r="D1027" t="s">
        <v>1695</v>
      </c>
      <c r="E1027">
        <v>2520</v>
      </c>
      <c r="F1027" t="s">
        <v>49</v>
      </c>
      <c r="G1027" t="s">
        <v>49</v>
      </c>
      <c r="H1027">
        <v>35015</v>
      </c>
    </row>
    <row r="1028" spans="1:8">
      <c r="A1028">
        <v>344661</v>
      </c>
      <c r="B1028">
        <v>1170781</v>
      </c>
      <c r="C1028">
        <v>1</v>
      </c>
      <c r="D1028" t="s">
        <v>1695</v>
      </c>
      <c r="E1028">
        <v>834</v>
      </c>
      <c r="F1028" t="s">
        <v>41</v>
      </c>
      <c r="G1028" t="s">
        <v>41</v>
      </c>
    </row>
    <row r="1029" spans="1:8">
      <c r="A1029">
        <v>344662</v>
      </c>
      <c r="B1029">
        <v>1170781</v>
      </c>
      <c r="C1029">
        <v>2</v>
      </c>
      <c r="D1029" t="s">
        <v>1695</v>
      </c>
      <c r="E1029">
        <v>834</v>
      </c>
      <c r="F1029" t="s">
        <v>41</v>
      </c>
      <c r="G1029" t="s">
        <v>41</v>
      </c>
    </row>
    <row r="1030" spans="1:8">
      <c r="A1030">
        <v>344951</v>
      </c>
      <c r="B1030">
        <v>1170933</v>
      </c>
      <c r="C1030">
        <v>1</v>
      </c>
      <c r="D1030" t="s">
        <v>1695</v>
      </c>
      <c r="E1030">
        <v>3520</v>
      </c>
      <c r="F1030" t="s">
        <v>41</v>
      </c>
      <c r="G1030" t="s">
        <v>41</v>
      </c>
    </row>
    <row r="1031" spans="1:8">
      <c r="A1031">
        <v>344952</v>
      </c>
      <c r="B1031">
        <v>1170933</v>
      </c>
      <c r="C1031">
        <v>2</v>
      </c>
      <c r="D1031" t="s">
        <v>1695</v>
      </c>
      <c r="E1031">
        <v>3520</v>
      </c>
      <c r="F1031" t="s">
        <v>41</v>
      </c>
      <c r="G1031" t="s">
        <v>41</v>
      </c>
    </row>
    <row r="1032" spans="1:8">
      <c r="A1032">
        <v>344953</v>
      </c>
      <c r="B1032">
        <v>1170933</v>
      </c>
      <c r="C1032">
        <v>3</v>
      </c>
      <c r="D1032" t="s">
        <v>1695</v>
      </c>
      <c r="E1032">
        <v>3520</v>
      </c>
      <c r="F1032" t="s">
        <v>41</v>
      </c>
      <c r="G1032" t="s">
        <v>41</v>
      </c>
    </row>
    <row r="1033" spans="1:8">
      <c r="A1033">
        <v>344954</v>
      </c>
      <c r="B1033">
        <v>1170933</v>
      </c>
      <c r="C1033">
        <v>4</v>
      </c>
      <c r="D1033" t="s">
        <v>1695</v>
      </c>
      <c r="E1033">
        <v>3520</v>
      </c>
      <c r="F1033" t="s">
        <v>41</v>
      </c>
      <c r="G1033" t="s">
        <v>41</v>
      </c>
    </row>
    <row r="1034" spans="1:8">
      <c r="A1034">
        <v>344955</v>
      </c>
      <c r="B1034">
        <v>1170933</v>
      </c>
      <c r="C1034">
        <v>5</v>
      </c>
      <c r="D1034" t="s">
        <v>1697</v>
      </c>
      <c r="E1034">
        <v>1760</v>
      </c>
      <c r="F1034" t="s">
        <v>41</v>
      </c>
      <c r="G1034" t="s">
        <v>41</v>
      </c>
    </row>
    <row r="1035" spans="1:8">
      <c r="A1035">
        <v>344956</v>
      </c>
      <c r="B1035">
        <v>1170933</v>
      </c>
      <c r="C1035">
        <v>6</v>
      </c>
      <c r="D1035" t="s">
        <v>1695</v>
      </c>
      <c r="E1035">
        <v>3520</v>
      </c>
      <c r="F1035" t="s">
        <v>41</v>
      </c>
      <c r="G1035" t="s">
        <v>41</v>
      </c>
    </row>
    <row r="1036" spans="1:8">
      <c r="A1036">
        <v>345869</v>
      </c>
      <c r="B1036">
        <v>1171385</v>
      </c>
      <c r="C1036">
        <v>1</v>
      </c>
      <c r="D1036" t="s">
        <v>1696</v>
      </c>
      <c r="E1036">
        <v>1802</v>
      </c>
      <c r="F1036" t="s">
        <v>41</v>
      </c>
      <c r="G1036" t="s">
        <v>37</v>
      </c>
      <c r="H1036">
        <v>38236</v>
      </c>
    </row>
    <row r="1037" spans="1:8">
      <c r="A1037">
        <v>345870</v>
      </c>
      <c r="B1037">
        <v>1171385</v>
      </c>
      <c r="C1037">
        <v>2</v>
      </c>
      <c r="D1037" t="s">
        <v>1695</v>
      </c>
      <c r="E1037">
        <v>3003</v>
      </c>
      <c r="F1037" t="s">
        <v>41</v>
      </c>
      <c r="G1037" t="s">
        <v>37</v>
      </c>
      <c r="H1037">
        <v>38236</v>
      </c>
    </row>
    <row r="1038" spans="1:8">
      <c r="A1038">
        <v>346864</v>
      </c>
      <c r="B1038">
        <v>1171881</v>
      </c>
      <c r="C1038">
        <v>1</v>
      </c>
      <c r="D1038" t="s">
        <v>1695</v>
      </c>
      <c r="E1038">
        <v>654</v>
      </c>
      <c r="F1038" t="s">
        <v>49</v>
      </c>
      <c r="G1038" t="s">
        <v>47</v>
      </c>
    </row>
    <row r="1039" spans="1:8">
      <c r="A1039">
        <v>347034</v>
      </c>
      <c r="B1039">
        <v>1171977</v>
      </c>
      <c r="C1039">
        <v>1</v>
      </c>
      <c r="D1039" t="s">
        <v>1695</v>
      </c>
      <c r="E1039">
        <v>2886</v>
      </c>
      <c r="F1039" t="s">
        <v>49</v>
      </c>
      <c r="G1039" t="s">
        <v>49</v>
      </c>
      <c r="H1039">
        <v>34856</v>
      </c>
    </row>
    <row r="1040" spans="1:8">
      <c r="A1040">
        <v>347035</v>
      </c>
      <c r="B1040">
        <v>1171977</v>
      </c>
      <c r="C1040">
        <v>2</v>
      </c>
      <c r="D1040" t="s">
        <v>1695</v>
      </c>
      <c r="E1040">
        <v>2886</v>
      </c>
      <c r="F1040" t="s">
        <v>49</v>
      </c>
      <c r="G1040" t="s">
        <v>49</v>
      </c>
      <c r="H1040">
        <v>34856</v>
      </c>
    </row>
    <row r="1041" spans="1:8">
      <c r="A1041">
        <v>348451</v>
      </c>
      <c r="B1041">
        <v>1172702</v>
      </c>
      <c r="C1041">
        <v>1</v>
      </c>
      <c r="D1041" t="s">
        <v>1695</v>
      </c>
      <c r="E1041">
        <v>2520</v>
      </c>
      <c r="F1041" t="s">
        <v>41</v>
      </c>
      <c r="G1041" t="s">
        <v>41</v>
      </c>
    </row>
    <row r="1042" spans="1:8">
      <c r="A1042">
        <v>349563</v>
      </c>
      <c r="B1042">
        <v>1173259</v>
      </c>
      <c r="C1042">
        <v>1</v>
      </c>
      <c r="D1042" t="s">
        <v>1695</v>
      </c>
      <c r="E1042">
        <v>544</v>
      </c>
      <c r="F1042" t="s">
        <v>41</v>
      </c>
      <c r="G1042" t="s">
        <v>41</v>
      </c>
    </row>
    <row r="1043" spans="1:8">
      <c r="A1043">
        <v>350586</v>
      </c>
      <c r="B1043">
        <v>1173778</v>
      </c>
      <c r="C1043">
        <v>1</v>
      </c>
      <c r="D1043" t="s">
        <v>1695</v>
      </c>
      <c r="E1043">
        <v>984</v>
      </c>
      <c r="F1043" t="s">
        <v>41</v>
      </c>
      <c r="G1043" t="s">
        <v>41</v>
      </c>
    </row>
    <row r="1044" spans="1:8">
      <c r="A1044">
        <v>350587</v>
      </c>
      <c r="B1044">
        <v>1173778</v>
      </c>
      <c r="C1044">
        <v>2</v>
      </c>
      <c r="D1044" t="s">
        <v>1696</v>
      </c>
      <c r="E1044">
        <v>591</v>
      </c>
      <c r="F1044" t="s">
        <v>41</v>
      </c>
      <c r="G1044" t="s">
        <v>41</v>
      </c>
    </row>
    <row r="1045" spans="1:8">
      <c r="A1045">
        <v>350588</v>
      </c>
      <c r="B1045">
        <v>1173778</v>
      </c>
      <c r="C1045">
        <v>3</v>
      </c>
      <c r="D1045" t="s">
        <v>1695</v>
      </c>
      <c r="E1045">
        <v>984</v>
      </c>
      <c r="F1045" t="s">
        <v>41</v>
      </c>
      <c r="G1045" t="s">
        <v>41</v>
      </c>
    </row>
    <row r="1046" spans="1:8">
      <c r="A1046">
        <v>351819</v>
      </c>
      <c r="B1046">
        <v>1174427</v>
      </c>
      <c r="C1046">
        <v>1</v>
      </c>
      <c r="D1046" t="s">
        <v>1696</v>
      </c>
      <c r="E1046">
        <v>2090</v>
      </c>
      <c r="F1046" t="s">
        <v>41</v>
      </c>
      <c r="G1046" t="s">
        <v>41</v>
      </c>
    </row>
    <row r="1047" spans="1:8">
      <c r="A1047">
        <v>351820</v>
      </c>
      <c r="B1047">
        <v>1174427</v>
      </c>
      <c r="C1047">
        <v>2</v>
      </c>
      <c r="D1047" t="s">
        <v>1695</v>
      </c>
      <c r="E1047">
        <v>3484</v>
      </c>
      <c r="F1047" t="s">
        <v>41</v>
      </c>
      <c r="G1047" t="s">
        <v>41</v>
      </c>
    </row>
    <row r="1048" spans="1:8">
      <c r="A1048">
        <v>351821</v>
      </c>
      <c r="B1048">
        <v>1174427</v>
      </c>
      <c r="C1048">
        <v>3</v>
      </c>
      <c r="D1048" t="s">
        <v>1695</v>
      </c>
      <c r="E1048">
        <v>3484</v>
      </c>
      <c r="F1048" t="s">
        <v>41</v>
      </c>
      <c r="G1048" t="s">
        <v>41</v>
      </c>
    </row>
    <row r="1049" spans="1:8">
      <c r="A1049">
        <v>353547</v>
      </c>
      <c r="B1049">
        <v>1175305</v>
      </c>
      <c r="C1049">
        <v>1</v>
      </c>
      <c r="D1049" t="s">
        <v>1696</v>
      </c>
      <c r="E1049">
        <v>524</v>
      </c>
      <c r="F1049" t="s">
        <v>49</v>
      </c>
      <c r="G1049" t="s">
        <v>49</v>
      </c>
      <c r="H1049">
        <v>36578</v>
      </c>
    </row>
    <row r="1050" spans="1:8">
      <c r="A1050">
        <v>353548</v>
      </c>
      <c r="B1050">
        <v>1175305</v>
      </c>
      <c r="C1050">
        <v>2</v>
      </c>
      <c r="D1050" t="s">
        <v>1695</v>
      </c>
      <c r="E1050">
        <v>872</v>
      </c>
      <c r="F1050" t="s">
        <v>49</v>
      </c>
      <c r="G1050" t="s">
        <v>49</v>
      </c>
      <c r="H1050">
        <v>36578</v>
      </c>
    </row>
    <row r="1051" spans="1:8">
      <c r="A1051">
        <v>353549</v>
      </c>
      <c r="B1051">
        <v>1175305</v>
      </c>
      <c r="C1051">
        <v>3</v>
      </c>
      <c r="D1051" t="s">
        <v>1695</v>
      </c>
      <c r="E1051">
        <v>872</v>
      </c>
      <c r="F1051" t="s">
        <v>49</v>
      </c>
      <c r="G1051" t="s">
        <v>49</v>
      </c>
      <c r="H1051">
        <v>36578</v>
      </c>
    </row>
    <row r="1052" spans="1:8">
      <c r="A1052">
        <v>354257</v>
      </c>
      <c r="B1052">
        <v>1175646</v>
      </c>
      <c r="C1052">
        <v>1</v>
      </c>
      <c r="D1052" t="s">
        <v>1695</v>
      </c>
      <c r="E1052">
        <v>1183</v>
      </c>
      <c r="F1052" t="s">
        <v>41</v>
      </c>
      <c r="G1052" t="s">
        <v>41</v>
      </c>
    </row>
    <row r="1053" spans="1:8">
      <c r="A1053">
        <v>354258</v>
      </c>
      <c r="B1053">
        <v>1175646</v>
      </c>
      <c r="C1053">
        <v>2</v>
      </c>
      <c r="D1053" t="s">
        <v>1697</v>
      </c>
      <c r="E1053">
        <v>592</v>
      </c>
      <c r="F1053" t="s">
        <v>41</v>
      </c>
      <c r="G1053" t="s">
        <v>41</v>
      </c>
    </row>
    <row r="1054" spans="1:8">
      <c r="A1054">
        <v>354259</v>
      </c>
      <c r="B1054">
        <v>1175646</v>
      </c>
      <c r="C1054">
        <v>3</v>
      </c>
      <c r="D1054" t="s">
        <v>1697</v>
      </c>
      <c r="E1054">
        <v>592</v>
      </c>
      <c r="F1054" t="s">
        <v>41</v>
      </c>
      <c r="G1054" t="s">
        <v>41</v>
      </c>
    </row>
    <row r="1055" spans="1:8">
      <c r="A1055">
        <v>354787</v>
      </c>
      <c r="B1055">
        <v>1175901</v>
      </c>
      <c r="C1055">
        <v>1</v>
      </c>
      <c r="D1055" t="s">
        <v>1695</v>
      </c>
      <c r="E1055">
        <v>941</v>
      </c>
      <c r="F1055" t="s">
        <v>41</v>
      </c>
      <c r="G1055" t="s">
        <v>41</v>
      </c>
    </row>
    <row r="1056" spans="1:8">
      <c r="A1056">
        <v>354788</v>
      </c>
      <c r="B1056">
        <v>1175901</v>
      </c>
      <c r="C1056">
        <v>2</v>
      </c>
      <c r="D1056" t="s">
        <v>1695</v>
      </c>
      <c r="E1056">
        <v>941</v>
      </c>
      <c r="F1056" t="s">
        <v>41</v>
      </c>
      <c r="G1056" t="s">
        <v>41</v>
      </c>
    </row>
    <row r="1057" spans="1:8">
      <c r="A1057">
        <v>354789</v>
      </c>
      <c r="B1057">
        <v>1175901</v>
      </c>
      <c r="C1057">
        <v>3</v>
      </c>
      <c r="D1057" t="s">
        <v>1696</v>
      </c>
      <c r="E1057">
        <v>565</v>
      </c>
      <c r="F1057" t="s">
        <v>41</v>
      </c>
      <c r="G1057" t="s">
        <v>41</v>
      </c>
    </row>
    <row r="1058" spans="1:8">
      <c r="A1058">
        <v>354790</v>
      </c>
      <c r="B1058">
        <v>1175901</v>
      </c>
      <c r="C1058">
        <v>4</v>
      </c>
      <c r="D1058" t="s">
        <v>1696</v>
      </c>
      <c r="E1058">
        <v>565</v>
      </c>
      <c r="F1058" t="s">
        <v>41</v>
      </c>
      <c r="G1058" t="s">
        <v>41</v>
      </c>
    </row>
    <row r="1059" spans="1:8">
      <c r="A1059">
        <v>354828</v>
      </c>
      <c r="B1059">
        <v>1175921</v>
      </c>
      <c r="C1059">
        <v>1</v>
      </c>
      <c r="D1059" t="s">
        <v>1695</v>
      </c>
      <c r="E1059">
        <v>4342</v>
      </c>
      <c r="F1059" t="s">
        <v>49</v>
      </c>
      <c r="G1059" t="s">
        <v>49</v>
      </c>
      <c r="H1059">
        <v>36250</v>
      </c>
    </row>
    <row r="1060" spans="1:8">
      <c r="A1060">
        <v>354929</v>
      </c>
      <c r="B1060">
        <v>1175968</v>
      </c>
      <c r="C1060">
        <v>1</v>
      </c>
      <c r="D1060" t="s">
        <v>2094</v>
      </c>
      <c r="E1060">
        <v>753</v>
      </c>
      <c r="F1060" t="s">
        <v>41</v>
      </c>
      <c r="G1060" t="s">
        <v>41</v>
      </c>
    </row>
    <row r="1061" spans="1:8">
      <c r="A1061">
        <v>355181</v>
      </c>
      <c r="B1061">
        <v>1176094</v>
      </c>
      <c r="C1061">
        <v>1</v>
      </c>
      <c r="D1061" t="s">
        <v>1695</v>
      </c>
      <c r="E1061">
        <v>1243</v>
      </c>
      <c r="F1061" t="s">
        <v>41</v>
      </c>
      <c r="G1061" t="s">
        <v>41</v>
      </c>
    </row>
    <row r="1062" spans="1:8">
      <c r="A1062">
        <v>356649</v>
      </c>
      <c r="B1062">
        <v>1176811</v>
      </c>
      <c r="C1062">
        <v>1</v>
      </c>
      <c r="D1062" t="s">
        <v>1695</v>
      </c>
      <c r="E1062">
        <v>3142</v>
      </c>
      <c r="F1062" t="s">
        <v>47</v>
      </c>
      <c r="G1062" t="s">
        <v>37</v>
      </c>
      <c r="H1062">
        <v>37031</v>
      </c>
    </row>
    <row r="1063" spans="1:8">
      <c r="A1063">
        <v>357330</v>
      </c>
      <c r="B1063">
        <v>1177167</v>
      </c>
      <c r="C1063">
        <v>1</v>
      </c>
      <c r="D1063" t="s">
        <v>1695</v>
      </c>
      <c r="E1063">
        <v>950</v>
      </c>
      <c r="F1063" t="s">
        <v>41</v>
      </c>
      <c r="G1063" t="s">
        <v>37</v>
      </c>
      <c r="H1063">
        <v>36544</v>
      </c>
    </row>
    <row r="1064" spans="1:8">
      <c r="A1064">
        <v>357576</v>
      </c>
      <c r="B1064">
        <v>1177292</v>
      </c>
      <c r="C1064">
        <v>1</v>
      </c>
      <c r="D1064" t="s">
        <v>1695</v>
      </c>
      <c r="E1064">
        <v>3520</v>
      </c>
      <c r="F1064" t="s">
        <v>41</v>
      </c>
      <c r="G1064" t="s">
        <v>41</v>
      </c>
    </row>
    <row r="1065" spans="1:8">
      <c r="A1065">
        <v>357577</v>
      </c>
      <c r="B1065">
        <v>1177292</v>
      </c>
      <c r="C1065">
        <v>2</v>
      </c>
      <c r="D1065" t="s">
        <v>1695</v>
      </c>
      <c r="E1065">
        <v>3520</v>
      </c>
      <c r="F1065" t="s">
        <v>41</v>
      </c>
      <c r="G1065" t="s">
        <v>41</v>
      </c>
    </row>
    <row r="1066" spans="1:8">
      <c r="A1066">
        <v>357919</v>
      </c>
      <c r="B1066">
        <v>1177463</v>
      </c>
      <c r="C1066">
        <v>1</v>
      </c>
      <c r="D1066" t="s">
        <v>1695</v>
      </c>
      <c r="E1066">
        <v>2211</v>
      </c>
      <c r="F1066" t="s">
        <v>41</v>
      </c>
      <c r="G1066" t="s">
        <v>41</v>
      </c>
    </row>
    <row r="1067" spans="1:8">
      <c r="A1067">
        <v>357949</v>
      </c>
      <c r="B1067">
        <v>1177481</v>
      </c>
      <c r="C1067">
        <v>1</v>
      </c>
      <c r="D1067" t="s">
        <v>1695</v>
      </c>
      <c r="E1067">
        <v>3026</v>
      </c>
      <c r="F1067" t="s">
        <v>49</v>
      </c>
      <c r="G1067" t="s">
        <v>37</v>
      </c>
      <c r="H1067">
        <v>36624</v>
      </c>
    </row>
    <row r="1068" spans="1:8">
      <c r="A1068">
        <v>358591</v>
      </c>
      <c r="B1068">
        <v>1177797</v>
      </c>
      <c r="C1068">
        <v>1</v>
      </c>
      <c r="D1068" t="s">
        <v>1695</v>
      </c>
      <c r="E1068">
        <v>1854</v>
      </c>
      <c r="F1068" t="s">
        <v>41</v>
      </c>
      <c r="G1068" t="s">
        <v>41</v>
      </c>
    </row>
    <row r="1069" spans="1:8">
      <c r="A1069">
        <v>358893</v>
      </c>
      <c r="B1069">
        <v>1177952</v>
      </c>
      <c r="C1069">
        <v>1</v>
      </c>
      <c r="D1069" t="s">
        <v>1696</v>
      </c>
      <c r="E1069">
        <v>1039</v>
      </c>
      <c r="F1069" t="s">
        <v>41</v>
      </c>
      <c r="G1069" t="s">
        <v>41</v>
      </c>
    </row>
    <row r="1070" spans="1:8">
      <c r="A1070">
        <v>359410</v>
      </c>
      <c r="B1070">
        <v>1178210</v>
      </c>
      <c r="C1070">
        <v>1</v>
      </c>
      <c r="D1070" t="s">
        <v>1695</v>
      </c>
      <c r="E1070">
        <v>984</v>
      </c>
      <c r="F1070" t="s">
        <v>41</v>
      </c>
      <c r="G1070" t="s">
        <v>41</v>
      </c>
    </row>
    <row r="1071" spans="1:8">
      <c r="A1071">
        <v>359725</v>
      </c>
      <c r="B1071">
        <v>1178372</v>
      </c>
      <c r="C1071">
        <v>1</v>
      </c>
      <c r="D1071" t="s">
        <v>1695</v>
      </c>
      <c r="E1071">
        <v>1183</v>
      </c>
      <c r="F1071" t="s">
        <v>41</v>
      </c>
      <c r="G1071" t="s">
        <v>41</v>
      </c>
    </row>
    <row r="1072" spans="1:8">
      <c r="A1072">
        <v>360136</v>
      </c>
      <c r="B1072">
        <v>1178581</v>
      </c>
      <c r="C1072">
        <v>1</v>
      </c>
      <c r="D1072" t="s">
        <v>1696</v>
      </c>
      <c r="E1072">
        <v>1441</v>
      </c>
      <c r="F1072" t="s">
        <v>47</v>
      </c>
      <c r="G1072" t="s">
        <v>47</v>
      </c>
    </row>
    <row r="1073" spans="1:8">
      <c r="A1073">
        <v>360137</v>
      </c>
      <c r="B1073">
        <v>1178581</v>
      </c>
      <c r="C1073">
        <v>2</v>
      </c>
      <c r="D1073" t="s">
        <v>1696</v>
      </c>
      <c r="E1073">
        <v>1441</v>
      </c>
      <c r="F1073" t="s">
        <v>47</v>
      </c>
      <c r="G1073" t="s">
        <v>47</v>
      </c>
    </row>
    <row r="1074" spans="1:8">
      <c r="A1074">
        <v>361489</v>
      </c>
      <c r="B1074">
        <v>1179276</v>
      </c>
      <c r="C1074">
        <v>1</v>
      </c>
      <c r="D1074" t="s">
        <v>1695</v>
      </c>
      <c r="E1074">
        <v>1183</v>
      </c>
      <c r="F1074" t="s">
        <v>49</v>
      </c>
      <c r="G1074" t="s">
        <v>49</v>
      </c>
      <c r="H1074">
        <v>38680</v>
      </c>
    </row>
    <row r="1075" spans="1:8">
      <c r="A1075">
        <v>361490</v>
      </c>
      <c r="B1075">
        <v>1179276</v>
      </c>
      <c r="C1075">
        <v>2</v>
      </c>
      <c r="D1075" t="s">
        <v>1695</v>
      </c>
      <c r="E1075">
        <v>1183</v>
      </c>
      <c r="F1075" t="s">
        <v>49</v>
      </c>
      <c r="G1075" t="s">
        <v>49</v>
      </c>
      <c r="H1075">
        <v>38680</v>
      </c>
    </row>
    <row r="1076" spans="1:8">
      <c r="A1076">
        <v>361740</v>
      </c>
      <c r="B1076">
        <v>1179384</v>
      </c>
      <c r="C1076">
        <v>1</v>
      </c>
      <c r="D1076" t="s">
        <v>1695</v>
      </c>
      <c r="E1076">
        <v>2784</v>
      </c>
      <c r="F1076" t="s">
        <v>41</v>
      </c>
      <c r="G1076" t="s">
        <v>41</v>
      </c>
    </row>
    <row r="1077" spans="1:8">
      <c r="A1077">
        <v>361741</v>
      </c>
      <c r="B1077">
        <v>1179384</v>
      </c>
      <c r="C1077">
        <v>2</v>
      </c>
      <c r="D1077" t="s">
        <v>1695</v>
      </c>
      <c r="E1077">
        <v>2784</v>
      </c>
      <c r="F1077" t="s">
        <v>41</v>
      </c>
      <c r="G1077" t="s">
        <v>41</v>
      </c>
    </row>
    <row r="1078" spans="1:8">
      <c r="A1078">
        <v>361742</v>
      </c>
      <c r="B1078">
        <v>1179384</v>
      </c>
      <c r="C1078">
        <v>3</v>
      </c>
      <c r="D1078" t="s">
        <v>1695</v>
      </c>
      <c r="E1078">
        <v>2784</v>
      </c>
      <c r="F1078" t="s">
        <v>41</v>
      </c>
      <c r="G1078" t="s">
        <v>41</v>
      </c>
    </row>
    <row r="1079" spans="1:8">
      <c r="A1079">
        <v>361948</v>
      </c>
      <c r="B1079">
        <v>1179482</v>
      </c>
      <c r="C1079">
        <v>1</v>
      </c>
      <c r="D1079" t="s">
        <v>1695</v>
      </c>
      <c r="E1079">
        <v>1049</v>
      </c>
      <c r="F1079" t="s">
        <v>49</v>
      </c>
      <c r="G1079" t="s">
        <v>49</v>
      </c>
      <c r="H1079">
        <v>37087</v>
      </c>
    </row>
    <row r="1080" spans="1:8">
      <c r="A1080">
        <v>361949</v>
      </c>
      <c r="B1080">
        <v>1179482</v>
      </c>
      <c r="C1080">
        <v>2</v>
      </c>
      <c r="D1080" t="s">
        <v>1697</v>
      </c>
      <c r="E1080">
        <v>524</v>
      </c>
      <c r="F1080" t="s">
        <v>49</v>
      </c>
      <c r="G1080" t="s">
        <v>49</v>
      </c>
      <c r="H1080">
        <v>37087</v>
      </c>
    </row>
    <row r="1081" spans="1:8">
      <c r="A1081">
        <v>361950</v>
      </c>
      <c r="B1081">
        <v>1179482</v>
      </c>
      <c r="C1081">
        <v>3</v>
      </c>
      <c r="D1081" t="s">
        <v>1695</v>
      </c>
      <c r="E1081">
        <v>1049</v>
      </c>
      <c r="F1081" t="s">
        <v>49</v>
      </c>
      <c r="G1081" t="s">
        <v>49</v>
      </c>
      <c r="H1081">
        <v>37087</v>
      </c>
    </row>
    <row r="1082" spans="1:8">
      <c r="A1082">
        <v>361951</v>
      </c>
      <c r="B1082">
        <v>1179482</v>
      </c>
      <c r="C1082">
        <v>4</v>
      </c>
      <c r="D1082" t="s">
        <v>1695</v>
      </c>
      <c r="E1082">
        <v>1049</v>
      </c>
      <c r="F1082" t="s">
        <v>49</v>
      </c>
      <c r="G1082" t="s">
        <v>49</v>
      </c>
      <c r="H1082">
        <v>37087</v>
      </c>
    </row>
    <row r="1083" spans="1:8">
      <c r="A1083">
        <v>361952</v>
      </c>
      <c r="B1083">
        <v>1179482</v>
      </c>
      <c r="C1083">
        <v>5</v>
      </c>
      <c r="D1083" t="s">
        <v>1695</v>
      </c>
      <c r="E1083">
        <v>1049</v>
      </c>
      <c r="F1083" t="s">
        <v>49</v>
      </c>
      <c r="G1083" t="s">
        <v>49</v>
      </c>
      <c r="H1083">
        <v>37087</v>
      </c>
    </row>
    <row r="1084" spans="1:8">
      <c r="A1084">
        <v>361953</v>
      </c>
      <c r="B1084">
        <v>1179482</v>
      </c>
      <c r="C1084">
        <v>6</v>
      </c>
      <c r="D1084" t="s">
        <v>1695</v>
      </c>
      <c r="E1084">
        <v>1049</v>
      </c>
      <c r="F1084" t="s">
        <v>49</v>
      </c>
      <c r="G1084" t="s">
        <v>49</v>
      </c>
      <c r="H1084">
        <v>37087</v>
      </c>
    </row>
    <row r="1085" spans="1:8">
      <c r="A1085">
        <v>361976</v>
      </c>
      <c r="B1085">
        <v>1179497</v>
      </c>
      <c r="C1085">
        <v>1</v>
      </c>
      <c r="D1085" t="s">
        <v>1696</v>
      </c>
      <c r="E1085">
        <v>2090</v>
      </c>
      <c r="F1085" t="s">
        <v>41</v>
      </c>
      <c r="G1085" t="s">
        <v>41</v>
      </c>
    </row>
    <row r="1086" spans="1:8">
      <c r="A1086">
        <v>361977</v>
      </c>
      <c r="B1086">
        <v>1179497</v>
      </c>
      <c r="C1086">
        <v>2</v>
      </c>
      <c r="D1086" t="s">
        <v>1696</v>
      </c>
      <c r="E1086">
        <v>2090</v>
      </c>
      <c r="F1086" t="s">
        <v>47</v>
      </c>
      <c r="G1086" t="s">
        <v>47</v>
      </c>
    </row>
    <row r="1087" spans="1:8">
      <c r="A1087">
        <v>362242</v>
      </c>
      <c r="B1087">
        <v>1179635</v>
      </c>
      <c r="C1087">
        <v>1</v>
      </c>
      <c r="D1087" t="s">
        <v>1695</v>
      </c>
      <c r="E1087">
        <v>654</v>
      </c>
      <c r="F1087" t="s">
        <v>49</v>
      </c>
      <c r="G1087" t="s">
        <v>47</v>
      </c>
    </row>
    <row r="1088" spans="1:8">
      <c r="A1088">
        <v>362243</v>
      </c>
      <c r="B1088">
        <v>1179635</v>
      </c>
      <c r="C1088">
        <v>2</v>
      </c>
      <c r="D1088" t="s">
        <v>1695</v>
      </c>
      <c r="E1088">
        <v>654</v>
      </c>
      <c r="F1088" t="s">
        <v>49</v>
      </c>
      <c r="G1088" t="s">
        <v>47</v>
      </c>
    </row>
    <row r="1089" spans="1:8">
      <c r="A1089">
        <v>362244</v>
      </c>
      <c r="B1089">
        <v>1179635</v>
      </c>
      <c r="C1089">
        <v>3</v>
      </c>
      <c r="D1089" t="s">
        <v>1695</v>
      </c>
      <c r="E1089">
        <v>654</v>
      </c>
      <c r="F1089" t="s">
        <v>49</v>
      </c>
      <c r="G1089" t="s">
        <v>47</v>
      </c>
    </row>
    <row r="1090" spans="1:8">
      <c r="A1090">
        <v>362245</v>
      </c>
      <c r="B1090">
        <v>1179635</v>
      </c>
      <c r="C1090">
        <v>4</v>
      </c>
      <c r="D1090" t="s">
        <v>1695</v>
      </c>
      <c r="E1090">
        <v>654</v>
      </c>
      <c r="F1090" t="s">
        <v>49</v>
      </c>
      <c r="G1090" t="s">
        <v>47</v>
      </c>
    </row>
    <row r="1091" spans="1:8">
      <c r="A1091">
        <v>362246</v>
      </c>
      <c r="B1091">
        <v>1179635</v>
      </c>
      <c r="C1091">
        <v>5</v>
      </c>
      <c r="D1091" t="s">
        <v>1695</v>
      </c>
      <c r="E1091">
        <v>654</v>
      </c>
      <c r="F1091" t="s">
        <v>49</v>
      </c>
      <c r="G1091" t="s">
        <v>47</v>
      </c>
    </row>
    <row r="1092" spans="1:8">
      <c r="A1092">
        <v>362247</v>
      </c>
      <c r="B1092">
        <v>1179635</v>
      </c>
      <c r="C1092">
        <v>6</v>
      </c>
      <c r="D1092" t="s">
        <v>1696</v>
      </c>
      <c r="E1092">
        <v>393</v>
      </c>
      <c r="F1092" t="s">
        <v>49</v>
      </c>
      <c r="G1092" t="s">
        <v>47</v>
      </c>
    </row>
    <row r="1093" spans="1:8">
      <c r="A1093">
        <v>362429</v>
      </c>
      <c r="B1093">
        <v>1179722</v>
      </c>
      <c r="C1093">
        <v>1</v>
      </c>
      <c r="D1093" t="s">
        <v>1696</v>
      </c>
      <c r="E1093">
        <v>2644</v>
      </c>
      <c r="F1093" t="s">
        <v>47</v>
      </c>
      <c r="G1093" t="s">
        <v>47</v>
      </c>
    </row>
    <row r="1094" spans="1:8">
      <c r="A1094">
        <v>362430</v>
      </c>
      <c r="B1094">
        <v>1179722</v>
      </c>
      <c r="C1094">
        <v>2</v>
      </c>
      <c r="D1094" t="s">
        <v>1695</v>
      </c>
      <c r="E1094">
        <v>4406</v>
      </c>
      <c r="F1094" t="s">
        <v>47</v>
      </c>
      <c r="G1094" t="s">
        <v>47</v>
      </c>
    </row>
    <row r="1095" spans="1:8">
      <c r="A1095">
        <v>362431</v>
      </c>
      <c r="B1095">
        <v>1179722</v>
      </c>
      <c r="C1095">
        <v>3</v>
      </c>
      <c r="D1095" t="s">
        <v>1695</v>
      </c>
      <c r="E1095">
        <v>4406</v>
      </c>
      <c r="F1095" t="s">
        <v>47</v>
      </c>
      <c r="G1095" t="s">
        <v>47</v>
      </c>
    </row>
    <row r="1096" spans="1:8">
      <c r="A1096">
        <v>362432</v>
      </c>
      <c r="B1096">
        <v>1179722</v>
      </c>
      <c r="C1096">
        <v>4</v>
      </c>
      <c r="D1096" t="s">
        <v>1695</v>
      </c>
      <c r="E1096">
        <v>4406</v>
      </c>
      <c r="F1096" t="s">
        <v>47</v>
      </c>
      <c r="G1096" t="s">
        <v>47</v>
      </c>
    </row>
    <row r="1097" spans="1:8">
      <c r="A1097">
        <v>362433</v>
      </c>
      <c r="B1097">
        <v>1179722</v>
      </c>
      <c r="C1097">
        <v>5</v>
      </c>
      <c r="D1097" t="s">
        <v>1695</v>
      </c>
      <c r="E1097">
        <v>4406</v>
      </c>
      <c r="F1097" t="s">
        <v>47</v>
      </c>
      <c r="G1097" t="s">
        <v>47</v>
      </c>
    </row>
    <row r="1098" spans="1:8">
      <c r="A1098">
        <v>363472</v>
      </c>
      <c r="B1098">
        <v>1180229</v>
      </c>
      <c r="C1098">
        <v>1</v>
      </c>
      <c r="D1098" t="s">
        <v>1695</v>
      </c>
      <c r="E1098">
        <v>916</v>
      </c>
      <c r="F1098" t="s">
        <v>41</v>
      </c>
      <c r="G1098" t="s">
        <v>41</v>
      </c>
    </row>
    <row r="1099" spans="1:8">
      <c r="A1099">
        <v>363473</v>
      </c>
      <c r="B1099">
        <v>1180229</v>
      </c>
      <c r="C1099">
        <v>2</v>
      </c>
      <c r="D1099" t="s">
        <v>1695</v>
      </c>
      <c r="E1099">
        <v>916</v>
      </c>
      <c r="F1099" t="s">
        <v>41</v>
      </c>
      <c r="G1099" t="s">
        <v>41</v>
      </c>
    </row>
    <row r="1100" spans="1:8">
      <c r="A1100">
        <v>363474</v>
      </c>
      <c r="B1100">
        <v>1180229</v>
      </c>
      <c r="C1100">
        <v>3</v>
      </c>
      <c r="D1100" t="s">
        <v>1695</v>
      </c>
      <c r="E1100">
        <v>916</v>
      </c>
      <c r="F1100" t="s">
        <v>41</v>
      </c>
      <c r="G1100" t="s">
        <v>41</v>
      </c>
    </row>
    <row r="1101" spans="1:8">
      <c r="A1101">
        <v>364050</v>
      </c>
      <c r="B1101">
        <v>1180523</v>
      </c>
      <c r="C1101">
        <v>1</v>
      </c>
      <c r="D1101" t="s">
        <v>1695</v>
      </c>
      <c r="E1101">
        <v>906</v>
      </c>
      <c r="F1101" t="s">
        <v>49</v>
      </c>
      <c r="G1101" t="s">
        <v>49</v>
      </c>
      <c r="H1101">
        <v>39229</v>
      </c>
    </row>
    <row r="1102" spans="1:8">
      <c r="A1102">
        <v>364487</v>
      </c>
      <c r="B1102">
        <v>1180732</v>
      </c>
      <c r="C1102">
        <v>1</v>
      </c>
      <c r="D1102" t="s">
        <v>1695</v>
      </c>
      <c r="E1102">
        <v>288</v>
      </c>
      <c r="F1102" t="s">
        <v>41</v>
      </c>
      <c r="G1102" t="s">
        <v>41</v>
      </c>
    </row>
    <row r="1103" spans="1:8">
      <c r="A1103">
        <v>364520</v>
      </c>
      <c r="B1103">
        <v>1180749</v>
      </c>
      <c r="C1103">
        <v>1</v>
      </c>
      <c r="D1103" t="s">
        <v>1695</v>
      </c>
      <c r="E1103">
        <v>854</v>
      </c>
      <c r="F1103" t="s">
        <v>49</v>
      </c>
      <c r="G1103" t="s">
        <v>49</v>
      </c>
      <c r="H1103">
        <v>37291</v>
      </c>
    </row>
    <row r="1104" spans="1:8">
      <c r="A1104">
        <v>364521</v>
      </c>
      <c r="B1104">
        <v>1180749</v>
      </c>
      <c r="C1104">
        <v>2</v>
      </c>
      <c r="D1104" t="s">
        <v>1695</v>
      </c>
      <c r="E1104">
        <v>854</v>
      </c>
      <c r="F1104" t="s">
        <v>49</v>
      </c>
      <c r="G1104" t="s">
        <v>49</v>
      </c>
      <c r="H1104">
        <v>37291</v>
      </c>
    </row>
    <row r="1105" spans="1:8">
      <c r="A1105">
        <v>366884</v>
      </c>
      <c r="B1105">
        <v>1181937</v>
      </c>
      <c r="C1105">
        <v>1</v>
      </c>
      <c r="D1105" t="s">
        <v>1696</v>
      </c>
      <c r="E1105">
        <v>963</v>
      </c>
      <c r="F1105" t="s">
        <v>41</v>
      </c>
      <c r="G1105" t="s">
        <v>41</v>
      </c>
    </row>
    <row r="1106" spans="1:8">
      <c r="A1106">
        <v>366885</v>
      </c>
      <c r="B1106">
        <v>1181937</v>
      </c>
      <c r="C1106">
        <v>2</v>
      </c>
      <c r="D1106" t="s">
        <v>1695</v>
      </c>
      <c r="E1106">
        <v>1606</v>
      </c>
      <c r="F1106" t="s">
        <v>41</v>
      </c>
      <c r="G1106" t="s">
        <v>41</v>
      </c>
    </row>
    <row r="1107" spans="1:8">
      <c r="A1107">
        <v>367170</v>
      </c>
      <c r="B1107">
        <v>1182073</v>
      </c>
      <c r="C1107">
        <v>1</v>
      </c>
      <c r="D1107" t="s">
        <v>1695</v>
      </c>
      <c r="E1107">
        <v>753</v>
      </c>
      <c r="F1107" t="s">
        <v>49</v>
      </c>
      <c r="G1107" t="s">
        <v>49</v>
      </c>
      <c r="H1107">
        <v>38099</v>
      </c>
    </row>
    <row r="1108" spans="1:8">
      <c r="A1108">
        <v>368594</v>
      </c>
      <c r="B1108">
        <v>1182788</v>
      </c>
      <c r="C1108">
        <v>1</v>
      </c>
      <c r="D1108" t="s">
        <v>1695</v>
      </c>
      <c r="E1108">
        <v>984</v>
      </c>
      <c r="F1108" t="s">
        <v>49</v>
      </c>
      <c r="G1108" t="s">
        <v>37</v>
      </c>
      <c r="H1108">
        <v>38361</v>
      </c>
    </row>
    <row r="1109" spans="1:8">
      <c r="A1109">
        <v>368595</v>
      </c>
      <c r="B1109">
        <v>1182788</v>
      </c>
      <c r="C1109">
        <v>2</v>
      </c>
      <c r="D1109" t="s">
        <v>1696</v>
      </c>
      <c r="E1109">
        <v>591</v>
      </c>
      <c r="F1109" t="s">
        <v>49</v>
      </c>
      <c r="G1109" t="s">
        <v>37</v>
      </c>
      <c r="H1109">
        <v>38361</v>
      </c>
    </row>
    <row r="1110" spans="1:8">
      <c r="A1110">
        <v>369093</v>
      </c>
      <c r="B1110">
        <v>1183047</v>
      </c>
      <c r="C1110">
        <v>1</v>
      </c>
      <c r="D1110" t="s">
        <v>1696</v>
      </c>
      <c r="E1110">
        <v>727</v>
      </c>
      <c r="F1110" t="s">
        <v>41</v>
      </c>
      <c r="G1110" t="s">
        <v>41</v>
      </c>
    </row>
    <row r="1111" spans="1:8">
      <c r="A1111">
        <v>369689</v>
      </c>
      <c r="B1111">
        <v>1183346</v>
      </c>
      <c r="C1111">
        <v>1</v>
      </c>
      <c r="D1111" t="s">
        <v>1695</v>
      </c>
      <c r="E1111">
        <v>916</v>
      </c>
      <c r="F1111" t="s">
        <v>49</v>
      </c>
      <c r="G1111" t="s">
        <v>47</v>
      </c>
    </row>
    <row r="1112" spans="1:8">
      <c r="A1112">
        <v>369690</v>
      </c>
      <c r="B1112">
        <v>1183346</v>
      </c>
      <c r="C1112">
        <v>2</v>
      </c>
      <c r="D1112" t="s">
        <v>1695</v>
      </c>
      <c r="E1112">
        <v>916</v>
      </c>
      <c r="F1112" t="s">
        <v>49</v>
      </c>
      <c r="G1112" t="s">
        <v>47</v>
      </c>
    </row>
    <row r="1113" spans="1:8">
      <c r="A1113">
        <v>369691</v>
      </c>
      <c r="B1113">
        <v>1183346</v>
      </c>
      <c r="C1113">
        <v>3</v>
      </c>
      <c r="D1113" t="s">
        <v>1696</v>
      </c>
      <c r="E1113">
        <v>549</v>
      </c>
      <c r="F1113" t="s">
        <v>49</v>
      </c>
      <c r="G1113" t="s">
        <v>47</v>
      </c>
    </row>
    <row r="1114" spans="1:8">
      <c r="A1114">
        <v>369692</v>
      </c>
      <c r="B1114">
        <v>1183346</v>
      </c>
      <c r="C1114">
        <v>4</v>
      </c>
      <c r="D1114" t="s">
        <v>1695</v>
      </c>
      <c r="E1114">
        <v>916</v>
      </c>
      <c r="F1114" t="s">
        <v>49</v>
      </c>
      <c r="G1114" t="s">
        <v>47</v>
      </c>
    </row>
    <row r="1115" spans="1:8">
      <c r="A1115">
        <v>369974</v>
      </c>
      <c r="B1115">
        <v>1183483</v>
      </c>
      <c r="C1115">
        <v>1</v>
      </c>
      <c r="D1115" t="s">
        <v>1695</v>
      </c>
      <c r="E1115">
        <v>916</v>
      </c>
      <c r="F1115" t="s">
        <v>47</v>
      </c>
      <c r="G1115" t="s">
        <v>47</v>
      </c>
    </row>
    <row r="1116" spans="1:8">
      <c r="A1116">
        <v>370361</v>
      </c>
      <c r="B1116">
        <v>1183685</v>
      </c>
      <c r="C1116">
        <v>1</v>
      </c>
      <c r="D1116" t="s">
        <v>1695</v>
      </c>
      <c r="E1116">
        <v>1314</v>
      </c>
      <c r="F1116" t="s">
        <v>41</v>
      </c>
      <c r="G1116" t="s">
        <v>41</v>
      </c>
    </row>
    <row r="1117" spans="1:8">
      <c r="A1117">
        <v>370362</v>
      </c>
      <c r="B1117">
        <v>1183685</v>
      </c>
      <c r="C1117">
        <v>2</v>
      </c>
      <c r="D1117" t="s">
        <v>1695</v>
      </c>
      <c r="E1117">
        <v>1314</v>
      </c>
      <c r="F1117" t="s">
        <v>41</v>
      </c>
      <c r="G1117" t="s">
        <v>41</v>
      </c>
    </row>
    <row r="1118" spans="1:8">
      <c r="A1118">
        <v>370363</v>
      </c>
      <c r="B1118">
        <v>1183685</v>
      </c>
      <c r="C1118">
        <v>3</v>
      </c>
      <c r="D1118" t="s">
        <v>1697</v>
      </c>
      <c r="E1118">
        <v>657</v>
      </c>
      <c r="F1118" t="s">
        <v>41</v>
      </c>
      <c r="G1118" t="s">
        <v>41</v>
      </c>
    </row>
    <row r="1119" spans="1:8">
      <c r="A1119">
        <v>370611</v>
      </c>
      <c r="B1119">
        <v>1183814</v>
      </c>
      <c r="C1119">
        <v>1</v>
      </c>
      <c r="D1119" t="s">
        <v>1695</v>
      </c>
      <c r="E1119">
        <v>2429</v>
      </c>
      <c r="F1119" t="s">
        <v>47</v>
      </c>
      <c r="G1119" t="s">
        <v>41</v>
      </c>
    </row>
    <row r="1120" spans="1:8">
      <c r="A1120">
        <v>370847</v>
      </c>
      <c r="B1120">
        <v>1183934</v>
      </c>
      <c r="C1120">
        <v>1</v>
      </c>
      <c r="D1120" t="s">
        <v>1696</v>
      </c>
      <c r="E1120">
        <v>1512</v>
      </c>
      <c r="F1120" t="s">
        <v>49</v>
      </c>
      <c r="G1120" t="s">
        <v>49</v>
      </c>
      <c r="H1120">
        <v>39595</v>
      </c>
    </row>
    <row r="1121" spans="1:8">
      <c r="A1121">
        <v>370848</v>
      </c>
      <c r="B1121">
        <v>1183934</v>
      </c>
      <c r="C1121">
        <v>2</v>
      </c>
      <c r="D1121" t="s">
        <v>1695</v>
      </c>
      <c r="E1121">
        <v>2520</v>
      </c>
      <c r="F1121" t="s">
        <v>49</v>
      </c>
      <c r="G1121" t="s">
        <v>49</v>
      </c>
      <c r="H1121">
        <v>39595</v>
      </c>
    </row>
    <row r="1122" spans="1:8">
      <c r="A1122">
        <v>371640</v>
      </c>
      <c r="B1122">
        <v>1184347</v>
      </c>
      <c r="C1122">
        <v>1</v>
      </c>
      <c r="D1122" t="s">
        <v>1695</v>
      </c>
      <c r="E1122">
        <v>3520</v>
      </c>
      <c r="F1122" t="s">
        <v>41</v>
      </c>
      <c r="G1122" t="s">
        <v>41</v>
      </c>
    </row>
    <row r="1123" spans="1:8">
      <c r="A1123">
        <v>371641</v>
      </c>
      <c r="B1123">
        <v>1184347</v>
      </c>
      <c r="C1123">
        <v>2</v>
      </c>
      <c r="D1123" t="s">
        <v>1695</v>
      </c>
      <c r="E1123">
        <v>3520</v>
      </c>
      <c r="F1123" t="s">
        <v>41</v>
      </c>
      <c r="G1123" t="s">
        <v>41</v>
      </c>
    </row>
    <row r="1124" spans="1:8">
      <c r="A1124">
        <v>371916</v>
      </c>
      <c r="B1124">
        <v>1184489</v>
      </c>
      <c r="C1124">
        <v>1</v>
      </c>
      <c r="D1124" t="s">
        <v>1695</v>
      </c>
      <c r="E1124">
        <v>984</v>
      </c>
      <c r="F1124" t="s">
        <v>41</v>
      </c>
      <c r="G1124" t="s">
        <v>41</v>
      </c>
    </row>
    <row r="1125" spans="1:8">
      <c r="A1125">
        <v>371917</v>
      </c>
      <c r="B1125">
        <v>1184489</v>
      </c>
      <c r="C1125">
        <v>2</v>
      </c>
      <c r="D1125" t="s">
        <v>1695</v>
      </c>
      <c r="E1125">
        <v>984</v>
      </c>
      <c r="F1125" t="s">
        <v>41</v>
      </c>
      <c r="G1125" t="s">
        <v>41</v>
      </c>
    </row>
    <row r="1126" spans="1:8">
      <c r="A1126">
        <v>371918</v>
      </c>
      <c r="B1126">
        <v>1184489</v>
      </c>
      <c r="C1126">
        <v>3</v>
      </c>
      <c r="D1126" t="s">
        <v>1696</v>
      </c>
      <c r="E1126">
        <v>591</v>
      </c>
      <c r="F1126" t="s">
        <v>41</v>
      </c>
      <c r="G1126" t="s">
        <v>41</v>
      </c>
    </row>
    <row r="1127" spans="1:8">
      <c r="A1127">
        <v>372397</v>
      </c>
      <c r="B1127">
        <v>1184742</v>
      </c>
      <c r="C1127">
        <v>1</v>
      </c>
      <c r="D1127" t="s">
        <v>1696</v>
      </c>
      <c r="E1127">
        <v>2644</v>
      </c>
      <c r="F1127" t="s">
        <v>41</v>
      </c>
      <c r="G1127" t="s">
        <v>41</v>
      </c>
    </row>
    <row r="1128" spans="1:8">
      <c r="A1128">
        <v>372398</v>
      </c>
      <c r="B1128">
        <v>1184742</v>
      </c>
      <c r="C1128">
        <v>2</v>
      </c>
      <c r="D1128" t="s">
        <v>1697</v>
      </c>
      <c r="E1128">
        <v>2203</v>
      </c>
      <c r="F1128" t="s">
        <v>41</v>
      </c>
      <c r="G1128" t="s">
        <v>37</v>
      </c>
      <c r="H1128">
        <v>39789</v>
      </c>
    </row>
    <row r="1129" spans="1:8">
      <c r="A1129">
        <v>372511</v>
      </c>
      <c r="B1129">
        <v>1184805</v>
      </c>
      <c r="C1129">
        <v>1</v>
      </c>
      <c r="D1129" t="s">
        <v>1695</v>
      </c>
      <c r="E1129">
        <v>762</v>
      </c>
      <c r="F1129" t="s">
        <v>49</v>
      </c>
      <c r="G1129" t="s">
        <v>49</v>
      </c>
      <c r="H1129">
        <v>40654</v>
      </c>
    </row>
    <row r="1130" spans="1:8">
      <c r="A1130">
        <v>372701</v>
      </c>
      <c r="B1130">
        <v>1184897</v>
      </c>
      <c r="C1130">
        <v>1</v>
      </c>
      <c r="D1130" t="s">
        <v>1695</v>
      </c>
      <c r="E1130">
        <v>1049</v>
      </c>
      <c r="F1130" t="s">
        <v>41</v>
      </c>
      <c r="G1130" t="s">
        <v>41</v>
      </c>
    </row>
    <row r="1131" spans="1:8">
      <c r="A1131">
        <v>372953</v>
      </c>
      <c r="B1131">
        <v>1185029</v>
      </c>
      <c r="C1131">
        <v>1</v>
      </c>
      <c r="D1131" t="s">
        <v>1695</v>
      </c>
      <c r="E1131">
        <v>3026</v>
      </c>
      <c r="F1131" t="s">
        <v>41</v>
      </c>
      <c r="G1131" t="s">
        <v>41</v>
      </c>
    </row>
    <row r="1132" spans="1:8">
      <c r="A1132">
        <v>372954</v>
      </c>
      <c r="B1132">
        <v>1185029</v>
      </c>
      <c r="C1132">
        <v>2</v>
      </c>
      <c r="D1132" t="s">
        <v>1695</v>
      </c>
      <c r="E1132">
        <v>3026</v>
      </c>
      <c r="F1132" t="s">
        <v>41</v>
      </c>
      <c r="G1132" t="s">
        <v>37</v>
      </c>
      <c r="H1132">
        <v>40161</v>
      </c>
    </row>
    <row r="1133" spans="1:8">
      <c r="A1133">
        <v>373529</v>
      </c>
      <c r="B1133">
        <v>1185328</v>
      </c>
      <c r="C1133">
        <v>1</v>
      </c>
      <c r="D1133" t="s">
        <v>1695</v>
      </c>
      <c r="E1133">
        <v>941</v>
      </c>
      <c r="F1133" t="s">
        <v>41</v>
      </c>
      <c r="G1133" t="s">
        <v>41</v>
      </c>
    </row>
    <row r="1134" spans="1:8">
      <c r="A1134">
        <v>373530</v>
      </c>
      <c r="B1134">
        <v>1185328</v>
      </c>
      <c r="C1134">
        <v>2</v>
      </c>
      <c r="D1134" t="s">
        <v>1695</v>
      </c>
      <c r="E1134">
        <v>941</v>
      </c>
      <c r="F1134" t="s">
        <v>41</v>
      </c>
      <c r="G1134" t="s">
        <v>41</v>
      </c>
    </row>
    <row r="1135" spans="1:8">
      <c r="A1135">
        <v>374830</v>
      </c>
      <c r="B1135">
        <v>1185986</v>
      </c>
      <c r="C1135">
        <v>1</v>
      </c>
      <c r="D1135" t="s">
        <v>1695</v>
      </c>
      <c r="E1135">
        <v>753</v>
      </c>
      <c r="F1135" t="s">
        <v>41</v>
      </c>
      <c r="G1135" t="s">
        <v>41</v>
      </c>
    </row>
    <row r="1136" spans="1:8">
      <c r="A1136">
        <v>375010</v>
      </c>
      <c r="B1136">
        <v>1186076</v>
      </c>
      <c r="C1136">
        <v>1</v>
      </c>
      <c r="D1136" t="s">
        <v>1695</v>
      </c>
      <c r="E1136">
        <v>1731</v>
      </c>
      <c r="F1136" t="s">
        <v>49</v>
      </c>
      <c r="G1136" t="s">
        <v>49</v>
      </c>
      <c r="H1136">
        <v>39683</v>
      </c>
    </row>
    <row r="1137" spans="1:8">
      <c r="A1137">
        <v>375011</v>
      </c>
      <c r="B1137">
        <v>1186076</v>
      </c>
      <c r="C1137">
        <v>2</v>
      </c>
      <c r="D1137" t="s">
        <v>1696</v>
      </c>
      <c r="E1137">
        <v>1039</v>
      </c>
      <c r="F1137" t="s">
        <v>49</v>
      </c>
      <c r="G1137" t="s">
        <v>49</v>
      </c>
      <c r="H1137">
        <v>39683</v>
      </c>
    </row>
    <row r="1138" spans="1:8">
      <c r="A1138">
        <v>375473</v>
      </c>
      <c r="B1138">
        <v>1186306</v>
      </c>
      <c r="C1138">
        <v>1</v>
      </c>
      <c r="D1138" t="s">
        <v>1695</v>
      </c>
      <c r="E1138">
        <v>1183</v>
      </c>
      <c r="F1138" t="s">
        <v>41</v>
      </c>
      <c r="G1138" t="s">
        <v>41</v>
      </c>
    </row>
    <row r="1139" spans="1:8">
      <c r="A1139">
        <v>376119</v>
      </c>
      <c r="B1139">
        <v>1186631</v>
      </c>
      <c r="C1139">
        <v>1</v>
      </c>
      <c r="D1139" t="s">
        <v>1695</v>
      </c>
      <c r="E1139">
        <v>700</v>
      </c>
      <c r="F1139" t="s">
        <v>41</v>
      </c>
      <c r="G1139" t="s">
        <v>41</v>
      </c>
    </row>
    <row r="1140" spans="1:8">
      <c r="A1140">
        <v>376120</v>
      </c>
      <c r="B1140">
        <v>1186631</v>
      </c>
      <c r="C1140">
        <v>2</v>
      </c>
      <c r="D1140" t="s">
        <v>1695</v>
      </c>
      <c r="E1140">
        <v>700</v>
      </c>
      <c r="F1140" t="s">
        <v>41</v>
      </c>
      <c r="G1140" t="s">
        <v>41</v>
      </c>
    </row>
    <row r="1141" spans="1:8">
      <c r="A1141">
        <v>376293</v>
      </c>
      <c r="B1141">
        <v>1186718</v>
      </c>
      <c r="C1141">
        <v>1</v>
      </c>
      <c r="D1141" t="s">
        <v>1695</v>
      </c>
      <c r="E1141">
        <v>3302</v>
      </c>
      <c r="F1141" t="s">
        <v>41</v>
      </c>
      <c r="G1141" t="s">
        <v>41</v>
      </c>
    </row>
    <row r="1142" spans="1:8">
      <c r="A1142">
        <v>376294</v>
      </c>
      <c r="B1142">
        <v>1186718</v>
      </c>
      <c r="C1142">
        <v>2</v>
      </c>
      <c r="D1142" t="s">
        <v>1695</v>
      </c>
      <c r="E1142">
        <v>3302</v>
      </c>
      <c r="F1142" t="s">
        <v>41</v>
      </c>
      <c r="G1142" t="s">
        <v>41</v>
      </c>
    </row>
    <row r="1143" spans="1:8">
      <c r="A1143">
        <v>376404</v>
      </c>
      <c r="B1143">
        <v>1186780</v>
      </c>
      <c r="C1143">
        <v>1</v>
      </c>
      <c r="D1143" t="s">
        <v>1695</v>
      </c>
      <c r="E1143">
        <v>872</v>
      </c>
      <c r="F1143" t="s">
        <v>41</v>
      </c>
      <c r="G1143" t="s">
        <v>41</v>
      </c>
    </row>
    <row r="1144" spans="1:8">
      <c r="A1144">
        <v>376405</v>
      </c>
      <c r="B1144">
        <v>1186780</v>
      </c>
      <c r="C1144">
        <v>2</v>
      </c>
      <c r="D1144" t="s">
        <v>1695</v>
      </c>
      <c r="E1144">
        <v>872</v>
      </c>
      <c r="F1144" t="s">
        <v>41</v>
      </c>
      <c r="G1144" t="s">
        <v>41</v>
      </c>
    </row>
    <row r="1145" spans="1:8">
      <c r="A1145">
        <v>376406</v>
      </c>
      <c r="B1145">
        <v>1186780</v>
      </c>
      <c r="C1145">
        <v>3</v>
      </c>
      <c r="D1145" t="s">
        <v>1695</v>
      </c>
      <c r="E1145">
        <v>872</v>
      </c>
      <c r="F1145" t="s">
        <v>41</v>
      </c>
      <c r="G1145" t="s">
        <v>41</v>
      </c>
    </row>
    <row r="1146" spans="1:8">
      <c r="A1146">
        <v>376407</v>
      </c>
      <c r="B1146">
        <v>1186780</v>
      </c>
      <c r="C1146">
        <v>4</v>
      </c>
      <c r="D1146" t="s">
        <v>1695</v>
      </c>
      <c r="E1146">
        <v>872</v>
      </c>
      <c r="F1146" t="s">
        <v>41</v>
      </c>
      <c r="G1146" t="s">
        <v>41</v>
      </c>
    </row>
    <row r="1147" spans="1:8">
      <c r="A1147">
        <v>376524</v>
      </c>
      <c r="B1147">
        <v>1186842</v>
      </c>
      <c r="C1147">
        <v>1</v>
      </c>
      <c r="D1147" t="s">
        <v>1696</v>
      </c>
      <c r="E1147">
        <v>565</v>
      </c>
      <c r="F1147" t="s">
        <v>41</v>
      </c>
      <c r="G1147" t="s">
        <v>41</v>
      </c>
    </row>
    <row r="1148" spans="1:8">
      <c r="A1148">
        <v>376525</v>
      </c>
      <c r="B1148">
        <v>1186842</v>
      </c>
      <c r="C1148">
        <v>2</v>
      </c>
      <c r="D1148" t="s">
        <v>1696</v>
      </c>
      <c r="E1148">
        <v>565</v>
      </c>
      <c r="F1148" t="s">
        <v>41</v>
      </c>
      <c r="G1148" t="s">
        <v>41</v>
      </c>
    </row>
    <row r="1149" spans="1:8">
      <c r="A1149">
        <v>376526</v>
      </c>
      <c r="B1149">
        <v>1186842</v>
      </c>
      <c r="C1149">
        <v>3</v>
      </c>
      <c r="D1149" t="s">
        <v>1695</v>
      </c>
      <c r="E1149">
        <v>941</v>
      </c>
      <c r="F1149" t="s">
        <v>41</v>
      </c>
      <c r="G1149" t="s">
        <v>41</v>
      </c>
    </row>
    <row r="1150" spans="1:8">
      <c r="A1150">
        <v>376527</v>
      </c>
      <c r="B1150">
        <v>1186842</v>
      </c>
      <c r="C1150">
        <v>4</v>
      </c>
      <c r="D1150" t="s">
        <v>1695</v>
      </c>
      <c r="E1150">
        <v>941</v>
      </c>
      <c r="F1150" t="s">
        <v>41</v>
      </c>
      <c r="G1150" t="s">
        <v>41</v>
      </c>
    </row>
    <row r="1151" spans="1:8">
      <c r="A1151">
        <v>377038</v>
      </c>
      <c r="B1151">
        <v>1187089</v>
      </c>
      <c r="C1151">
        <v>1</v>
      </c>
      <c r="D1151" t="s">
        <v>1695</v>
      </c>
      <c r="E1151">
        <v>2429</v>
      </c>
      <c r="F1151" t="s">
        <v>49</v>
      </c>
      <c r="G1151" t="s">
        <v>49</v>
      </c>
      <c r="H1151">
        <v>40573</v>
      </c>
    </row>
    <row r="1152" spans="1:8">
      <c r="A1152">
        <v>377039</v>
      </c>
      <c r="B1152">
        <v>1187089</v>
      </c>
      <c r="C1152">
        <v>2</v>
      </c>
      <c r="D1152" t="s">
        <v>1695</v>
      </c>
      <c r="E1152">
        <v>2429</v>
      </c>
      <c r="F1152" t="s">
        <v>49</v>
      </c>
      <c r="G1152" t="s">
        <v>49</v>
      </c>
      <c r="H1152">
        <v>40573</v>
      </c>
    </row>
    <row r="1153" spans="1:8">
      <c r="A1153">
        <v>377040</v>
      </c>
      <c r="B1153">
        <v>1187089</v>
      </c>
      <c r="C1153">
        <v>3</v>
      </c>
      <c r="D1153" t="s">
        <v>1695</v>
      </c>
      <c r="E1153">
        <v>2429</v>
      </c>
      <c r="F1153" t="s">
        <v>49</v>
      </c>
      <c r="G1153" t="s">
        <v>49</v>
      </c>
      <c r="H1153">
        <v>40573</v>
      </c>
    </row>
    <row r="1154" spans="1:8">
      <c r="A1154">
        <v>377359</v>
      </c>
      <c r="B1154">
        <v>1187256</v>
      </c>
      <c r="C1154">
        <v>1</v>
      </c>
      <c r="D1154" t="s">
        <v>1696</v>
      </c>
      <c r="E1154">
        <v>994</v>
      </c>
      <c r="F1154" t="s">
        <v>41</v>
      </c>
      <c r="G1154" t="s">
        <v>41</v>
      </c>
    </row>
    <row r="1155" spans="1:8">
      <c r="A1155">
        <v>378026</v>
      </c>
      <c r="B1155">
        <v>1187585</v>
      </c>
      <c r="C1155">
        <v>1</v>
      </c>
      <c r="D1155" t="s">
        <v>1695</v>
      </c>
      <c r="E1155">
        <v>3309</v>
      </c>
      <c r="F1155" t="s">
        <v>41</v>
      </c>
      <c r="G1155" t="s">
        <v>41</v>
      </c>
    </row>
    <row r="1156" spans="1:8">
      <c r="A1156">
        <v>378027</v>
      </c>
      <c r="B1156">
        <v>1187585</v>
      </c>
      <c r="C1156">
        <v>2</v>
      </c>
      <c r="D1156" t="s">
        <v>1696</v>
      </c>
      <c r="E1156">
        <v>1985</v>
      </c>
      <c r="F1156" t="s">
        <v>41</v>
      </c>
      <c r="G1156" t="s">
        <v>41</v>
      </c>
    </row>
    <row r="1157" spans="1:8">
      <c r="A1157">
        <v>380616</v>
      </c>
      <c r="B1157">
        <v>1188878</v>
      </c>
      <c r="C1157">
        <v>1</v>
      </c>
      <c r="D1157" t="s">
        <v>1695</v>
      </c>
      <c r="E1157">
        <v>916</v>
      </c>
      <c r="F1157" t="s">
        <v>41</v>
      </c>
      <c r="G1157" t="s">
        <v>37</v>
      </c>
      <c r="H1157">
        <v>42060</v>
      </c>
    </row>
    <row r="1158" spans="1:8">
      <c r="A1158">
        <v>381758</v>
      </c>
      <c r="B1158">
        <v>1189426</v>
      </c>
      <c r="C1158">
        <v>1</v>
      </c>
      <c r="D1158" t="s">
        <v>1696</v>
      </c>
      <c r="E1158">
        <v>662</v>
      </c>
      <c r="F1158" t="s">
        <v>41</v>
      </c>
      <c r="G1158" t="s">
        <v>41</v>
      </c>
    </row>
    <row r="1159" spans="1:8">
      <c r="A1159">
        <v>381759</v>
      </c>
      <c r="B1159">
        <v>1189426</v>
      </c>
      <c r="C1159">
        <v>2</v>
      </c>
      <c r="D1159" t="s">
        <v>1695</v>
      </c>
      <c r="E1159">
        <v>1102</v>
      </c>
      <c r="F1159" t="s">
        <v>41</v>
      </c>
      <c r="G1159" t="s">
        <v>41</v>
      </c>
    </row>
    <row r="1160" spans="1:8">
      <c r="A1160">
        <v>381760</v>
      </c>
      <c r="B1160">
        <v>1189426</v>
      </c>
      <c r="C1160">
        <v>3</v>
      </c>
      <c r="D1160" t="s">
        <v>1696</v>
      </c>
      <c r="E1160">
        <v>662</v>
      </c>
      <c r="F1160" t="s">
        <v>41</v>
      </c>
      <c r="G1160" t="s">
        <v>41</v>
      </c>
    </row>
    <row r="1161" spans="1:8">
      <c r="A1161">
        <v>382221</v>
      </c>
      <c r="B1161">
        <v>1189659</v>
      </c>
      <c r="C1161">
        <v>1</v>
      </c>
      <c r="D1161" t="s">
        <v>1695</v>
      </c>
      <c r="E1161">
        <v>1049</v>
      </c>
      <c r="F1161" t="s">
        <v>41</v>
      </c>
      <c r="G1161" t="s">
        <v>41</v>
      </c>
    </row>
    <row r="1162" spans="1:8">
      <c r="A1162">
        <v>382222</v>
      </c>
      <c r="B1162">
        <v>1189659</v>
      </c>
      <c r="C1162">
        <v>2</v>
      </c>
      <c r="D1162" t="s">
        <v>1695</v>
      </c>
      <c r="E1162">
        <v>1049</v>
      </c>
      <c r="F1162" t="s">
        <v>41</v>
      </c>
      <c r="G1162" t="s">
        <v>41</v>
      </c>
    </row>
    <row r="1163" spans="1:8">
      <c r="A1163">
        <v>382223</v>
      </c>
      <c r="B1163">
        <v>1189659</v>
      </c>
      <c r="C1163">
        <v>3</v>
      </c>
      <c r="D1163" t="s">
        <v>1695</v>
      </c>
      <c r="E1163">
        <v>1049</v>
      </c>
      <c r="F1163" t="s">
        <v>41</v>
      </c>
      <c r="G1163" t="s">
        <v>41</v>
      </c>
    </row>
    <row r="1164" spans="1:8">
      <c r="A1164">
        <v>382825</v>
      </c>
      <c r="B1164">
        <v>1189966</v>
      </c>
      <c r="C1164">
        <v>1</v>
      </c>
      <c r="D1164" t="s">
        <v>1695</v>
      </c>
      <c r="E1164">
        <v>916</v>
      </c>
      <c r="F1164" t="s">
        <v>41</v>
      </c>
      <c r="G1164" t="s">
        <v>41</v>
      </c>
    </row>
    <row r="1165" spans="1:8">
      <c r="A1165">
        <v>382826</v>
      </c>
      <c r="B1165">
        <v>1189966</v>
      </c>
      <c r="C1165">
        <v>2</v>
      </c>
      <c r="D1165" t="s">
        <v>1696</v>
      </c>
      <c r="E1165">
        <v>549</v>
      </c>
      <c r="F1165" t="s">
        <v>41</v>
      </c>
      <c r="G1165" t="s">
        <v>41</v>
      </c>
    </row>
    <row r="1166" spans="1:8">
      <c r="A1166">
        <v>382827</v>
      </c>
      <c r="B1166">
        <v>1189966</v>
      </c>
      <c r="C1166">
        <v>3</v>
      </c>
      <c r="D1166" t="s">
        <v>1695</v>
      </c>
      <c r="E1166">
        <v>916</v>
      </c>
      <c r="F1166" t="s">
        <v>41</v>
      </c>
      <c r="G1166" t="s">
        <v>41</v>
      </c>
    </row>
    <row r="1167" spans="1:8">
      <c r="A1167">
        <v>382835</v>
      </c>
      <c r="B1167">
        <v>1189972</v>
      </c>
      <c r="C1167">
        <v>1</v>
      </c>
      <c r="D1167" t="s">
        <v>1695</v>
      </c>
      <c r="E1167">
        <v>1579</v>
      </c>
      <c r="F1167" t="s">
        <v>41</v>
      </c>
      <c r="G1167" t="s">
        <v>41</v>
      </c>
    </row>
    <row r="1168" spans="1:8">
      <c r="A1168">
        <v>382836</v>
      </c>
      <c r="B1168">
        <v>1189972</v>
      </c>
      <c r="C1168">
        <v>2</v>
      </c>
      <c r="D1168" t="s">
        <v>1696</v>
      </c>
      <c r="E1168">
        <v>948</v>
      </c>
      <c r="F1168" t="s">
        <v>41</v>
      </c>
      <c r="G1168" t="s">
        <v>41</v>
      </c>
    </row>
    <row r="1169" spans="1:8">
      <c r="A1169">
        <v>382837</v>
      </c>
      <c r="B1169">
        <v>1189972</v>
      </c>
      <c r="C1169">
        <v>3</v>
      </c>
      <c r="D1169" t="s">
        <v>1695</v>
      </c>
      <c r="E1169">
        <v>1579</v>
      </c>
      <c r="F1169" t="s">
        <v>41</v>
      </c>
      <c r="G1169" t="s">
        <v>41</v>
      </c>
    </row>
    <row r="1170" spans="1:8">
      <c r="A1170">
        <v>382838</v>
      </c>
      <c r="B1170">
        <v>1189972</v>
      </c>
      <c r="C1170">
        <v>4</v>
      </c>
      <c r="D1170" t="s">
        <v>1695</v>
      </c>
      <c r="E1170">
        <v>1579</v>
      </c>
      <c r="F1170" t="s">
        <v>41</v>
      </c>
      <c r="G1170" t="s">
        <v>41</v>
      </c>
    </row>
    <row r="1171" spans="1:8">
      <c r="A1171">
        <v>382926</v>
      </c>
      <c r="B1171">
        <v>1190022</v>
      </c>
      <c r="C1171">
        <v>1</v>
      </c>
      <c r="D1171" t="s">
        <v>1695</v>
      </c>
      <c r="E1171">
        <v>916</v>
      </c>
      <c r="F1171" t="s">
        <v>41</v>
      </c>
      <c r="G1171" t="s">
        <v>41</v>
      </c>
    </row>
    <row r="1172" spans="1:8">
      <c r="A1172">
        <v>382927</v>
      </c>
      <c r="B1172">
        <v>1190022</v>
      </c>
      <c r="C1172">
        <v>2</v>
      </c>
      <c r="D1172" t="s">
        <v>1695</v>
      </c>
      <c r="E1172">
        <v>916</v>
      </c>
      <c r="F1172" t="s">
        <v>41</v>
      </c>
      <c r="G1172" t="s">
        <v>41</v>
      </c>
    </row>
    <row r="1173" spans="1:8">
      <c r="A1173">
        <v>382928</v>
      </c>
      <c r="B1173">
        <v>1190022</v>
      </c>
      <c r="C1173">
        <v>3</v>
      </c>
      <c r="D1173" t="s">
        <v>1696</v>
      </c>
      <c r="E1173">
        <v>549</v>
      </c>
      <c r="F1173" t="s">
        <v>41</v>
      </c>
      <c r="G1173" t="s">
        <v>41</v>
      </c>
    </row>
    <row r="1174" spans="1:8">
      <c r="A1174">
        <v>382929</v>
      </c>
      <c r="B1174">
        <v>1190022</v>
      </c>
      <c r="C1174">
        <v>4</v>
      </c>
      <c r="D1174" t="s">
        <v>1695</v>
      </c>
      <c r="E1174">
        <v>916</v>
      </c>
      <c r="F1174" t="s">
        <v>41</v>
      </c>
      <c r="G1174" t="s">
        <v>41</v>
      </c>
    </row>
    <row r="1175" spans="1:8">
      <c r="A1175">
        <v>382930</v>
      </c>
      <c r="B1175">
        <v>1190022</v>
      </c>
      <c r="C1175">
        <v>5</v>
      </c>
      <c r="D1175" t="s">
        <v>1696</v>
      </c>
      <c r="E1175">
        <v>549</v>
      </c>
      <c r="F1175" t="s">
        <v>41</v>
      </c>
      <c r="G1175" t="s">
        <v>41</v>
      </c>
    </row>
    <row r="1176" spans="1:8">
      <c r="A1176">
        <v>382931</v>
      </c>
      <c r="B1176">
        <v>1190022</v>
      </c>
      <c r="C1176">
        <v>6</v>
      </c>
      <c r="D1176" t="s">
        <v>1696</v>
      </c>
      <c r="E1176">
        <v>549</v>
      </c>
      <c r="F1176" t="s">
        <v>41</v>
      </c>
      <c r="G1176" t="s">
        <v>41</v>
      </c>
    </row>
    <row r="1177" spans="1:8">
      <c r="A1177">
        <v>383393</v>
      </c>
      <c r="B1177">
        <v>1190251</v>
      </c>
      <c r="C1177">
        <v>1</v>
      </c>
      <c r="D1177" t="s">
        <v>1696</v>
      </c>
      <c r="E1177">
        <v>326</v>
      </c>
      <c r="F1177" t="s">
        <v>41</v>
      </c>
      <c r="G1177" t="s">
        <v>41</v>
      </c>
    </row>
    <row r="1178" spans="1:8">
      <c r="A1178">
        <v>385486</v>
      </c>
      <c r="B1178">
        <v>1191314</v>
      </c>
      <c r="C1178">
        <v>1</v>
      </c>
      <c r="D1178" t="s">
        <v>1695</v>
      </c>
      <c r="E1178">
        <v>288</v>
      </c>
      <c r="F1178" t="s">
        <v>41</v>
      </c>
      <c r="G1178" t="s">
        <v>37</v>
      </c>
      <c r="H1178">
        <v>42083</v>
      </c>
    </row>
    <row r="1179" spans="1:8">
      <c r="A1179">
        <v>385487</v>
      </c>
      <c r="B1179">
        <v>1191314</v>
      </c>
      <c r="C1179">
        <v>2</v>
      </c>
      <c r="D1179" t="s">
        <v>1695</v>
      </c>
      <c r="E1179">
        <v>288</v>
      </c>
      <c r="F1179" t="s">
        <v>41</v>
      </c>
      <c r="G1179" t="s">
        <v>41</v>
      </c>
    </row>
    <row r="1180" spans="1:8">
      <c r="A1180">
        <v>385531</v>
      </c>
      <c r="B1180">
        <v>1191336</v>
      </c>
      <c r="C1180">
        <v>1</v>
      </c>
      <c r="D1180" t="s">
        <v>1695</v>
      </c>
      <c r="E1180">
        <v>1183</v>
      </c>
      <c r="F1180" t="s">
        <v>41</v>
      </c>
      <c r="G1180" t="s">
        <v>41</v>
      </c>
    </row>
    <row r="1181" spans="1:8">
      <c r="A1181">
        <v>385532</v>
      </c>
      <c r="B1181">
        <v>1191336</v>
      </c>
      <c r="C1181">
        <v>2</v>
      </c>
      <c r="D1181" t="s">
        <v>1697</v>
      </c>
      <c r="E1181">
        <v>592</v>
      </c>
      <c r="F1181" t="s">
        <v>41</v>
      </c>
      <c r="G1181" t="s">
        <v>41</v>
      </c>
    </row>
    <row r="1182" spans="1:8">
      <c r="A1182">
        <v>385894</v>
      </c>
      <c r="B1182">
        <v>1191528</v>
      </c>
      <c r="C1182">
        <v>1</v>
      </c>
      <c r="D1182" t="s">
        <v>1696</v>
      </c>
      <c r="E1182">
        <v>1457</v>
      </c>
      <c r="F1182" t="s">
        <v>47</v>
      </c>
      <c r="G1182" t="s">
        <v>41</v>
      </c>
    </row>
    <row r="1183" spans="1:8">
      <c r="A1183">
        <v>386254</v>
      </c>
      <c r="B1183">
        <v>1191703</v>
      </c>
      <c r="C1183">
        <v>1</v>
      </c>
      <c r="D1183" t="s">
        <v>1695</v>
      </c>
      <c r="E1183">
        <v>1731</v>
      </c>
      <c r="F1183" t="s">
        <v>41</v>
      </c>
      <c r="G1183" t="s">
        <v>37</v>
      </c>
      <c r="H1183">
        <v>41986</v>
      </c>
    </row>
    <row r="1184" spans="1:8">
      <c r="A1184">
        <v>388372</v>
      </c>
      <c r="B1184">
        <v>1192749</v>
      </c>
      <c r="C1184">
        <v>1</v>
      </c>
      <c r="D1184" t="s">
        <v>1695</v>
      </c>
      <c r="E1184">
        <v>762</v>
      </c>
      <c r="F1184" t="s">
        <v>41</v>
      </c>
      <c r="G1184" t="s">
        <v>41</v>
      </c>
    </row>
    <row r="1185" spans="1:7">
      <c r="A1185">
        <v>388373</v>
      </c>
      <c r="B1185">
        <v>1192749</v>
      </c>
      <c r="C1185">
        <v>2</v>
      </c>
      <c r="D1185" t="s">
        <v>1695</v>
      </c>
      <c r="E1185">
        <v>762</v>
      </c>
      <c r="F1185" t="s">
        <v>41</v>
      </c>
      <c r="G1185" t="s">
        <v>41</v>
      </c>
    </row>
    <row r="1186" spans="1:7">
      <c r="A1186">
        <v>388380</v>
      </c>
      <c r="B1186">
        <v>1192751</v>
      </c>
      <c r="C1186">
        <v>1</v>
      </c>
      <c r="D1186" t="s">
        <v>1696</v>
      </c>
      <c r="E1186">
        <v>1457</v>
      </c>
      <c r="F1186" t="s">
        <v>41</v>
      </c>
      <c r="G1186" t="s">
        <v>41</v>
      </c>
    </row>
    <row r="1187" spans="1:7">
      <c r="A1187">
        <v>388381</v>
      </c>
      <c r="B1187">
        <v>1192751</v>
      </c>
      <c r="C1187">
        <v>2</v>
      </c>
      <c r="D1187" t="s">
        <v>1695</v>
      </c>
      <c r="E1187">
        <v>2429</v>
      </c>
      <c r="F1187" t="s">
        <v>41</v>
      </c>
      <c r="G1187" t="s">
        <v>41</v>
      </c>
    </row>
    <row r="1188" spans="1:7">
      <c r="A1188">
        <v>388382</v>
      </c>
      <c r="B1188">
        <v>1192751</v>
      </c>
      <c r="C1188">
        <v>3</v>
      </c>
      <c r="D1188" t="s">
        <v>1695</v>
      </c>
      <c r="E1188">
        <v>2429</v>
      </c>
      <c r="F1188" t="s">
        <v>41</v>
      </c>
      <c r="G1188" t="s">
        <v>41</v>
      </c>
    </row>
    <row r="1189" spans="1:7">
      <c r="A1189">
        <v>388383</v>
      </c>
      <c r="B1189">
        <v>1192751</v>
      </c>
      <c r="C1189">
        <v>4</v>
      </c>
      <c r="D1189" t="s">
        <v>1695</v>
      </c>
      <c r="E1189">
        <v>2429</v>
      </c>
      <c r="F1189" t="s">
        <v>41</v>
      </c>
      <c r="G1189" t="s">
        <v>41</v>
      </c>
    </row>
    <row r="1190" spans="1:7">
      <c r="A1190">
        <v>388384</v>
      </c>
      <c r="B1190">
        <v>1192751</v>
      </c>
      <c r="C1190">
        <v>5</v>
      </c>
      <c r="D1190" t="s">
        <v>1695</v>
      </c>
      <c r="E1190">
        <v>2429</v>
      </c>
      <c r="F1190" t="s">
        <v>41</v>
      </c>
      <c r="G1190" t="s">
        <v>41</v>
      </c>
    </row>
    <row r="1191" spans="1:7">
      <c r="A1191">
        <v>388385</v>
      </c>
      <c r="B1191">
        <v>1192751</v>
      </c>
      <c r="C1191">
        <v>6</v>
      </c>
      <c r="D1191" t="s">
        <v>1695</v>
      </c>
      <c r="E1191">
        <v>2429</v>
      </c>
      <c r="F1191" t="s">
        <v>41</v>
      </c>
      <c r="G1191" t="s">
        <v>41</v>
      </c>
    </row>
    <row r="1192" spans="1:7">
      <c r="A1192">
        <v>388488</v>
      </c>
      <c r="B1192">
        <v>1192802</v>
      </c>
      <c r="C1192">
        <v>1</v>
      </c>
      <c r="D1192" t="s">
        <v>1695</v>
      </c>
      <c r="E1192">
        <v>753</v>
      </c>
      <c r="F1192" t="s">
        <v>41</v>
      </c>
      <c r="G1192" t="s">
        <v>41</v>
      </c>
    </row>
    <row r="1193" spans="1:7">
      <c r="A1193">
        <v>388489</v>
      </c>
      <c r="B1193">
        <v>1192802</v>
      </c>
      <c r="C1193">
        <v>2</v>
      </c>
      <c r="D1193" t="s">
        <v>1695</v>
      </c>
      <c r="E1193">
        <v>753</v>
      </c>
      <c r="F1193" t="s">
        <v>41</v>
      </c>
      <c r="G1193" t="s">
        <v>41</v>
      </c>
    </row>
    <row r="1194" spans="1:7">
      <c r="A1194">
        <v>388490</v>
      </c>
      <c r="B1194">
        <v>1192802</v>
      </c>
      <c r="C1194">
        <v>3</v>
      </c>
      <c r="D1194" t="s">
        <v>1696</v>
      </c>
      <c r="E1194">
        <v>452</v>
      </c>
      <c r="F1194" t="s">
        <v>41</v>
      </c>
      <c r="G1194" t="s">
        <v>41</v>
      </c>
    </row>
    <row r="1195" spans="1:7">
      <c r="A1195">
        <v>388897</v>
      </c>
      <c r="B1195">
        <v>1193016</v>
      </c>
      <c r="C1195">
        <v>1</v>
      </c>
      <c r="D1195" t="s">
        <v>1695</v>
      </c>
      <c r="E1195">
        <v>753</v>
      </c>
      <c r="F1195" t="s">
        <v>41</v>
      </c>
      <c r="G1195" t="s">
        <v>41</v>
      </c>
    </row>
    <row r="1196" spans="1:7">
      <c r="A1196">
        <v>388898</v>
      </c>
      <c r="B1196">
        <v>1193016</v>
      </c>
      <c r="C1196">
        <v>2</v>
      </c>
      <c r="D1196" t="s">
        <v>1695</v>
      </c>
      <c r="E1196">
        <v>753</v>
      </c>
      <c r="F1196" t="s">
        <v>41</v>
      </c>
      <c r="G1196" t="s">
        <v>41</v>
      </c>
    </row>
    <row r="1197" spans="1:7">
      <c r="A1197">
        <v>388899</v>
      </c>
      <c r="B1197">
        <v>1193016</v>
      </c>
      <c r="C1197">
        <v>3</v>
      </c>
      <c r="D1197" t="s">
        <v>1695</v>
      </c>
      <c r="E1197">
        <v>753</v>
      </c>
      <c r="F1197" t="s">
        <v>41</v>
      </c>
      <c r="G1197" t="s">
        <v>41</v>
      </c>
    </row>
    <row r="1198" spans="1:7">
      <c r="A1198">
        <v>389354</v>
      </c>
      <c r="B1198">
        <v>1193245</v>
      </c>
      <c r="C1198">
        <v>1</v>
      </c>
      <c r="D1198" t="s">
        <v>1695</v>
      </c>
      <c r="E1198">
        <v>2429</v>
      </c>
      <c r="F1198" t="s">
        <v>49</v>
      </c>
      <c r="G1198" t="s">
        <v>47</v>
      </c>
    </row>
    <row r="1199" spans="1:7">
      <c r="A1199">
        <v>389355</v>
      </c>
      <c r="B1199">
        <v>1193245</v>
      </c>
      <c r="C1199">
        <v>2</v>
      </c>
      <c r="D1199" t="s">
        <v>1696</v>
      </c>
      <c r="E1199">
        <v>1457</v>
      </c>
      <c r="F1199" t="s">
        <v>49</v>
      </c>
      <c r="G1199" t="s">
        <v>47</v>
      </c>
    </row>
    <row r="1200" spans="1:7">
      <c r="A1200">
        <v>389356</v>
      </c>
      <c r="B1200">
        <v>1193245</v>
      </c>
      <c r="C1200">
        <v>3</v>
      </c>
      <c r="D1200" t="s">
        <v>1695</v>
      </c>
      <c r="E1200">
        <v>2429</v>
      </c>
      <c r="F1200" t="s">
        <v>49</v>
      </c>
      <c r="G1200" t="s">
        <v>47</v>
      </c>
    </row>
    <row r="1201" spans="1:8">
      <c r="A1201">
        <v>389874</v>
      </c>
      <c r="B1201">
        <v>1193481</v>
      </c>
      <c r="C1201">
        <v>1</v>
      </c>
      <c r="D1201" t="s">
        <v>1696</v>
      </c>
      <c r="E1201">
        <v>834</v>
      </c>
      <c r="F1201" t="s">
        <v>41</v>
      </c>
      <c r="G1201" t="s">
        <v>41</v>
      </c>
    </row>
    <row r="1202" spans="1:8">
      <c r="A1202">
        <v>389875</v>
      </c>
      <c r="B1202">
        <v>1193481</v>
      </c>
      <c r="C1202">
        <v>2</v>
      </c>
      <c r="D1202" t="s">
        <v>1695</v>
      </c>
      <c r="E1202">
        <v>1390</v>
      </c>
      <c r="F1202" t="s">
        <v>41</v>
      </c>
      <c r="G1202" t="s">
        <v>41</v>
      </c>
    </row>
    <row r="1203" spans="1:8">
      <c r="A1203">
        <v>392177</v>
      </c>
      <c r="B1203">
        <v>1194649</v>
      </c>
      <c r="C1203">
        <v>1</v>
      </c>
      <c r="D1203" t="s">
        <v>1695</v>
      </c>
      <c r="E1203">
        <v>348</v>
      </c>
      <c r="F1203" t="s">
        <v>41</v>
      </c>
      <c r="G1203" t="s">
        <v>41</v>
      </c>
    </row>
    <row r="1204" spans="1:8">
      <c r="A1204">
        <v>392291</v>
      </c>
      <c r="B1204">
        <v>1194709</v>
      </c>
      <c r="C1204">
        <v>1</v>
      </c>
      <c r="D1204" t="s">
        <v>1695</v>
      </c>
      <c r="E1204">
        <v>906</v>
      </c>
      <c r="F1204" t="s">
        <v>47</v>
      </c>
      <c r="G1204" t="s">
        <v>47</v>
      </c>
    </row>
    <row r="1205" spans="1:8">
      <c r="A1205">
        <v>392292</v>
      </c>
      <c r="B1205">
        <v>1194709</v>
      </c>
      <c r="C1205">
        <v>2</v>
      </c>
      <c r="D1205" t="s">
        <v>1696</v>
      </c>
      <c r="E1205">
        <v>543</v>
      </c>
      <c r="F1205" t="s">
        <v>47</v>
      </c>
      <c r="G1205" t="s">
        <v>47</v>
      </c>
    </row>
    <row r="1206" spans="1:8">
      <c r="A1206">
        <v>393399</v>
      </c>
      <c r="B1206">
        <v>1195275</v>
      </c>
      <c r="C1206">
        <v>1</v>
      </c>
      <c r="D1206" t="s">
        <v>1695</v>
      </c>
      <c r="E1206">
        <v>872</v>
      </c>
      <c r="F1206" t="s">
        <v>41</v>
      </c>
      <c r="G1206" t="s">
        <v>37</v>
      </c>
      <c r="H1206">
        <v>42212</v>
      </c>
    </row>
    <row r="1207" spans="1:8">
      <c r="A1207">
        <v>394246</v>
      </c>
      <c r="B1207">
        <v>1195699</v>
      </c>
      <c r="C1207">
        <v>1</v>
      </c>
      <c r="D1207" t="s">
        <v>1695</v>
      </c>
      <c r="E1207">
        <v>1379</v>
      </c>
      <c r="F1207" t="s">
        <v>41</v>
      </c>
      <c r="G1207" t="s">
        <v>41</v>
      </c>
    </row>
    <row r="1208" spans="1:8">
      <c r="A1208">
        <v>394247</v>
      </c>
      <c r="B1208">
        <v>1195699</v>
      </c>
      <c r="C1208">
        <v>2</v>
      </c>
      <c r="D1208" t="s">
        <v>1695</v>
      </c>
      <c r="E1208">
        <v>1379</v>
      </c>
      <c r="F1208" t="s">
        <v>41</v>
      </c>
      <c r="G1208" t="s">
        <v>41</v>
      </c>
    </row>
    <row r="1209" spans="1:8">
      <c r="A1209">
        <v>394346</v>
      </c>
      <c r="B1209">
        <v>1195755</v>
      </c>
      <c r="C1209">
        <v>1</v>
      </c>
      <c r="D1209" t="s">
        <v>1695</v>
      </c>
      <c r="E1209">
        <v>544</v>
      </c>
      <c r="F1209" t="s">
        <v>41</v>
      </c>
      <c r="G1209" t="s">
        <v>41</v>
      </c>
    </row>
    <row r="1210" spans="1:8">
      <c r="A1210">
        <v>394347</v>
      </c>
      <c r="B1210">
        <v>1195755</v>
      </c>
      <c r="C1210">
        <v>2</v>
      </c>
      <c r="D1210" t="s">
        <v>1695</v>
      </c>
      <c r="E1210">
        <v>544</v>
      </c>
      <c r="F1210" t="s">
        <v>41</v>
      </c>
      <c r="G1210" t="s">
        <v>41</v>
      </c>
    </row>
    <row r="1211" spans="1:8">
      <c r="A1211">
        <v>395692</v>
      </c>
      <c r="B1211">
        <v>1196392</v>
      </c>
      <c r="C1211">
        <v>1</v>
      </c>
      <c r="D1211" t="s">
        <v>1695</v>
      </c>
      <c r="E1211">
        <v>4510</v>
      </c>
      <c r="F1211" t="s">
        <v>41</v>
      </c>
      <c r="G1211" t="s">
        <v>41</v>
      </c>
    </row>
    <row r="1212" spans="1:8">
      <c r="A1212">
        <v>396895</v>
      </c>
      <c r="B1212">
        <v>1197007</v>
      </c>
      <c r="C1212">
        <v>1</v>
      </c>
      <c r="D1212" t="s">
        <v>1695</v>
      </c>
      <c r="E1212">
        <v>2130</v>
      </c>
      <c r="F1212" t="s">
        <v>41</v>
      </c>
      <c r="G1212" t="s">
        <v>41</v>
      </c>
    </row>
    <row r="1213" spans="1:8">
      <c r="A1213">
        <v>396896</v>
      </c>
      <c r="B1213">
        <v>1197007</v>
      </c>
      <c r="C1213">
        <v>2</v>
      </c>
      <c r="D1213" t="s">
        <v>1695</v>
      </c>
      <c r="E1213">
        <v>2130</v>
      </c>
      <c r="F1213" t="s">
        <v>41</v>
      </c>
      <c r="G1213" t="s">
        <v>41</v>
      </c>
    </row>
    <row r="1214" spans="1:8">
      <c r="A1214">
        <v>397790</v>
      </c>
      <c r="B1214">
        <v>1197470</v>
      </c>
      <c r="C1214">
        <v>1</v>
      </c>
      <c r="D1214" t="s">
        <v>1695</v>
      </c>
      <c r="E1214">
        <v>4198</v>
      </c>
      <c r="F1214" t="s">
        <v>49</v>
      </c>
      <c r="G1214" t="s">
        <v>49</v>
      </c>
      <c r="H1214">
        <v>42597</v>
      </c>
    </row>
    <row r="1215" spans="1:8">
      <c r="A1215">
        <v>397791</v>
      </c>
      <c r="B1215">
        <v>1197470</v>
      </c>
      <c r="C1215">
        <v>2</v>
      </c>
      <c r="D1215" t="s">
        <v>1695</v>
      </c>
      <c r="E1215">
        <v>4198</v>
      </c>
      <c r="F1215" t="s">
        <v>49</v>
      </c>
      <c r="G1215" t="s">
        <v>49</v>
      </c>
      <c r="H1215">
        <v>42597</v>
      </c>
    </row>
    <row r="1216" spans="1:8">
      <c r="A1216">
        <v>398360</v>
      </c>
      <c r="B1216">
        <v>1197742</v>
      </c>
      <c r="C1216">
        <v>1</v>
      </c>
      <c r="D1216" t="s">
        <v>1695</v>
      </c>
      <c r="E1216">
        <v>1243</v>
      </c>
      <c r="F1216" t="s">
        <v>41</v>
      </c>
      <c r="G1216" t="s">
        <v>41</v>
      </c>
    </row>
    <row r="1217" spans="1:8">
      <c r="A1217">
        <v>398665</v>
      </c>
      <c r="B1217">
        <v>1197896</v>
      </c>
      <c r="C1217">
        <v>1</v>
      </c>
      <c r="D1217" t="s">
        <v>1695</v>
      </c>
      <c r="E1217">
        <v>950</v>
      </c>
      <c r="F1217" t="s">
        <v>49</v>
      </c>
      <c r="G1217" t="s">
        <v>49</v>
      </c>
      <c r="H1217">
        <v>43054</v>
      </c>
    </row>
    <row r="1218" spans="1:8">
      <c r="A1218">
        <v>398666</v>
      </c>
      <c r="B1218">
        <v>1197896</v>
      </c>
      <c r="C1218">
        <v>2</v>
      </c>
      <c r="D1218" t="s">
        <v>1695</v>
      </c>
      <c r="E1218">
        <v>950</v>
      </c>
      <c r="F1218" t="s">
        <v>49</v>
      </c>
      <c r="G1218" t="s">
        <v>49</v>
      </c>
      <c r="H1218">
        <v>43054</v>
      </c>
    </row>
    <row r="1219" spans="1:8">
      <c r="A1219">
        <v>398667</v>
      </c>
      <c r="B1219">
        <v>1197896</v>
      </c>
      <c r="C1219">
        <v>3</v>
      </c>
      <c r="D1219" t="s">
        <v>1695</v>
      </c>
      <c r="E1219">
        <v>950</v>
      </c>
      <c r="F1219" t="s">
        <v>49</v>
      </c>
      <c r="G1219" t="s">
        <v>49</v>
      </c>
      <c r="H1219">
        <v>43054</v>
      </c>
    </row>
    <row r="1220" spans="1:8">
      <c r="A1220">
        <v>398850</v>
      </c>
      <c r="B1220">
        <v>1197993</v>
      </c>
      <c r="C1220">
        <v>1</v>
      </c>
      <c r="D1220" t="s">
        <v>1695</v>
      </c>
      <c r="E1220">
        <v>3123</v>
      </c>
      <c r="F1220" t="s">
        <v>41</v>
      </c>
      <c r="G1220" t="s">
        <v>41</v>
      </c>
    </row>
    <row r="1221" spans="1:8">
      <c r="A1221">
        <v>399138</v>
      </c>
      <c r="B1221">
        <v>1198119</v>
      </c>
      <c r="C1221">
        <v>1</v>
      </c>
      <c r="D1221" t="s">
        <v>1695</v>
      </c>
      <c r="E1221">
        <v>2520</v>
      </c>
      <c r="F1221" t="s">
        <v>47</v>
      </c>
      <c r="G1221" t="s">
        <v>41</v>
      </c>
    </row>
    <row r="1222" spans="1:8">
      <c r="A1222">
        <v>399139</v>
      </c>
      <c r="B1222">
        <v>1198119</v>
      </c>
      <c r="C1222">
        <v>2</v>
      </c>
      <c r="D1222" t="s">
        <v>1695</v>
      </c>
      <c r="E1222">
        <v>2520</v>
      </c>
      <c r="F1222" t="s">
        <v>47</v>
      </c>
      <c r="G1222" t="s">
        <v>41</v>
      </c>
    </row>
    <row r="1223" spans="1:8">
      <c r="A1223">
        <v>399140</v>
      </c>
      <c r="B1223">
        <v>1198119</v>
      </c>
      <c r="C1223">
        <v>3</v>
      </c>
      <c r="D1223" t="s">
        <v>1696</v>
      </c>
      <c r="E1223">
        <v>1512</v>
      </c>
      <c r="F1223" t="s">
        <v>47</v>
      </c>
      <c r="G1223" t="s">
        <v>41</v>
      </c>
    </row>
    <row r="1224" spans="1:8">
      <c r="A1224">
        <v>399141</v>
      </c>
      <c r="B1224">
        <v>1198119</v>
      </c>
      <c r="C1224">
        <v>4</v>
      </c>
      <c r="D1224" t="s">
        <v>1695</v>
      </c>
      <c r="E1224">
        <v>2520</v>
      </c>
      <c r="F1224" t="s">
        <v>47</v>
      </c>
      <c r="G1224" t="s">
        <v>41</v>
      </c>
    </row>
    <row r="1225" spans="1:8">
      <c r="A1225">
        <v>399229</v>
      </c>
      <c r="B1225">
        <v>1198169</v>
      </c>
      <c r="C1225">
        <v>1</v>
      </c>
      <c r="D1225" t="s">
        <v>1695</v>
      </c>
      <c r="E1225">
        <v>916</v>
      </c>
      <c r="F1225" t="s">
        <v>41</v>
      </c>
      <c r="G1225" t="s">
        <v>41</v>
      </c>
    </row>
    <row r="1226" spans="1:8">
      <c r="A1226">
        <v>399230</v>
      </c>
      <c r="B1226">
        <v>1198169</v>
      </c>
      <c r="C1226">
        <v>2</v>
      </c>
      <c r="D1226" t="s">
        <v>1695</v>
      </c>
      <c r="E1226">
        <v>916</v>
      </c>
      <c r="F1226" t="s">
        <v>41</v>
      </c>
      <c r="G1226" t="s">
        <v>41</v>
      </c>
    </row>
    <row r="1227" spans="1:8">
      <c r="A1227">
        <v>400531</v>
      </c>
      <c r="B1227">
        <v>1198822</v>
      </c>
      <c r="C1227">
        <v>1</v>
      </c>
      <c r="D1227" t="s">
        <v>1695</v>
      </c>
      <c r="E1227">
        <v>906</v>
      </c>
      <c r="F1227" t="s">
        <v>41</v>
      </c>
      <c r="G1227" t="s">
        <v>41</v>
      </c>
    </row>
    <row r="1228" spans="1:8">
      <c r="A1228">
        <v>401140</v>
      </c>
      <c r="B1228">
        <v>1199119</v>
      </c>
      <c r="C1228">
        <v>1</v>
      </c>
      <c r="D1228" t="s">
        <v>1695</v>
      </c>
      <c r="E1228">
        <v>4406</v>
      </c>
      <c r="F1228" t="s">
        <v>49</v>
      </c>
      <c r="G1228" t="s">
        <v>49</v>
      </c>
      <c r="H1228">
        <v>43274</v>
      </c>
    </row>
    <row r="1229" spans="1:8">
      <c r="A1229">
        <v>401141</v>
      </c>
      <c r="B1229">
        <v>1199119</v>
      </c>
      <c r="C1229">
        <v>2</v>
      </c>
      <c r="D1229" t="s">
        <v>1695</v>
      </c>
      <c r="E1229">
        <v>4406</v>
      </c>
      <c r="F1229" t="s">
        <v>49</v>
      </c>
      <c r="G1229" t="s">
        <v>49</v>
      </c>
      <c r="H1229">
        <v>43274</v>
      </c>
    </row>
    <row r="1230" spans="1:8">
      <c r="A1230">
        <v>401455</v>
      </c>
      <c r="B1230">
        <v>1199281</v>
      </c>
      <c r="C1230">
        <v>1</v>
      </c>
      <c r="D1230" t="s">
        <v>1695</v>
      </c>
      <c r="E1230">
        <v>288</v>
      </c>
      <c r="F1230" t="s">
        <v>41</v>
      </c>
      <c r="G1230" t="s">
        <v>41</v>
      </c>
    </row>
    <row r="1231" spans="1:8">
      <c r="A1231">
        <v>401456</v>
      </c>
      <c r="B1231">
        <v>1199281</v>
      </c>
      <c r="C1231">
        <v>2</v>
      </c>
      <c r="D1231" t="s">
        <v>1696</v>
      </c>
      <c r="E1231">
        <v>173</v>
      </c>
      <c r="F1231" t="s">
        <v>41</v>
      </c>
      <c r="G1231" t="s">
        <v>41</v>
      </c>
    </row>
    <row r="1232" spans="1:8">
      <c r="A1232">
        <v>401457</v>
      </c>
      <c r="B1232">
        <v>1199281</v>
      </c>
      <c r="C1232">
        <v>3</v>
      </c>
      <c r="D1232" t="s">
        <v>1695</v>
      </c>
      <c r="E1232">
        <v>288</v>
      </c>
      <c r="F1232" t="s">
        <v>41</v>
      </c>
      <c r="G1232" t="s">
        <v>41</v>
      </c>
    </row>
    <row r="1233" spans="1:8">
      <c r="A1233">
        <v>401983</v>
      </c>
      <c r="B1233">
        <v>1199549</v>
      </c>
      <c r="C1233">
        <v>1</v>
      </c>
      <c r="D1233" t="s">
        <v>1695</v>
      </c>
      <c r="E1233">
        <v>950</v>
      </c>
      <c r="F1233" t="s">
        <v>41</v>
      </c>
      <c r="G1233" t="s">
        <v>41</v>
      </c>
    </row>
    <row r="1234" spans="1:8">
      <c r="A1234">
        <v>401984</v>
      </c>
      <c r="B1234">
        <v>1199549</v>
      </c>
      <c r="C1234">
        <v>2</v>
      </c>
      <c r="D1234" t="s">
        <v>1697</v>
      </c>
      <c r="E1234">
        <v>475</v>
      </c>
      <c r="F1234" t="s">
        <v>41</v>
      </c>
      <c r="G1234" t="s">
        <v>41</v>
      </c>
    </row>
    <row r="1235" spans="1:8">
      <c r="A1235">
        <v>401985</v>
      </c>
      <c r="B1235">
        <v>1199549</v>
      </c>
      <c r="C1235">
        <v>3</v>
      </c>
      <c r="D1235" t="s">
        <v>1695</v>
      </c>
      <c r="E1235">
        <v>950</v>
      </c>
      <c r="F1235" t="s">
        <v>41</v>
      </c>
      <c r="G1235" t="s">
        <v>41</v>
      </c>
    </row>
    <row r="1236" spans="1:8">
      <c r="A1236">
        <v>402010</v>
      </c>
      <c r="B1236">
        <v>1199562</v>
      </c>
      <c r="C1236">
        <v>1</v>
      </c>
      <c r="D1236" t="s">
        <v>1696</v>
      </c>
      <c r="E1236">
        <v>512</v>
      </c>
      <c r="F1236" t="s">
        <v>41</v>
      </c>
      <c r="G1236" t="s">
        <v>41</v>
      </c>
    </row>
    <row r="1237" spans="1:8">
      <c r="A1237">
        <v>402011</v>
      </c>
      <c r="B1237">
        <v>1199562</v>
      </c>
      <c r="C1237">
        <v>2</v>
      </c>
      <c r="D1237" t="s">
        <v>1695</v>
      </c>
      <c r="E1237">
        <v>854</v>
      </c>
      <c r="F1237" t="s">
        <v>41</v>
      </c>
      <c r="G1237" t="s">
        <v>41</v>
      </c>
    </row>
    <row r="1238" spans="1:8">
      <c r="A1238">
        <v>402423</v>
      </c>
      <c r="B1238">
        <v>1199769</v>
      </c>
      <c r="C1238">
        <v>1</v>
      </c>
      <c r="D1238" t="s">
        <v>1696</v>
      </c>
      <c r="E1238">
        <v>662</v>
      </c>
      <c r="F1238" t="s">
        <v>41</v>
      </c>
      <c r="G1238" t="s">
        <v>41</v>
      </c>
    </row>
    <row r="1239" spans="1:8">
      <c r="A1239">
        <v>402424</v>
      </c>
      <c r="B1239">
        <v>1199769</v>
      </c>
      <c r="C1239">
        <v>2</v>
      </c>
      <c r="D1239" t="s">
        <v>1695</v>
      </c>
      <c r="E1239">
        <v>1102</v>
      </c>
      <c r="F1239" t="s">
        <v>41</v>
      </c>
      <c r="G1239" t="s">
        <v>41</v>
      </c>
    </row>
    <row r="1240" spans="1:8">
      <c r="A1240">
        <v>402425</v>
      </c>
      <c r="B1240">
        <v>1199769</v>
      </c>
      <c r="C1240">
        <v>3</v>
      </c>
      <c r="D1240" t="s">
        <v>1696</v>
      </c>
      <c r="E1240">
        <v>662</v>
      </c>
      <c r="F1240" t="s">
        <v>41</v>
      </c>
      <c r="G1240" t="s">
        <v>41</v>
      </c>
    </row>
    <row r="1241" spans="1:8">
      <c r="A1241">
        <v>402426</v>
      </c>
      <c r="B1241">
        <v>1199769</v>
      </c>
      <c r="C1241">
        <v>4</v>
      </c>
      <c r="D1241" t="s">
        <v>1695</v>
      </c>
      <c r="E1241">
        <v>1102</v>
      </c>
      <c r="F1241" t="s">
        <v>41</v>
      </c>
      <c r="G1241" t="s">
        <v>41</v>
      </c>
    </row>
    <row r="1242" spans="1:8">
      <c r="A1242">
        <v>402979</v>
      </c>
      <c r="B1242">
        <v>1200060</v>
      </c>
      <c r="C1242">
        <v>1</v>
      </c>
      <c r="D1242" t="s">
        <v>1695</v>
      </c>
      <c r="E1242">
        <v>950</v>
      </c>
      <c r="F1242" t="s">
        <v>41</v>
      </c>
      <c r="G1242" t="s">
        <v>41</v>
      </c>
    </row>
    <row r="1243" spans="1:8">
      <c r="A1243">
        <v>402980</v>
      </c>
      <c r="B1243">
        <v>1200060</v>
      </c>
      <c r="C1243">
        <v>2</v>
      </c>
      <c r="D1243" t="s">
        <v>1695</v>
      </c>
      <c r="E1243">
        <v>950</v>
      </c>
      <c r="F1243" t="s">
        <v>41</v>
      </c>
      <c r="G1243" t="s">
        <v>41</v>
      </c>
    </row>
    <row r="1244" spans="1:8">
      <c r="A1244">
        <v>402981</v>
      </c>
      <c r="B1244">
        <v>1200060</v>
      </c>
      <c r="C1244">
        <v>3</v>
      </c>
      <c r="D1244" t="s">
        <v>1695</v>
      </c>
      <c r="E1244">
        <v>950</v>
      </c>
      <c r="F1244" t="s">
        <v>41</v>
      </c>
      <c r="G1244" t="s">
        <v>41</v>
      </c>
    </row>
    <row r="1245" spans="1:8">
      <c r="A1245">
        <v>403164</v>
      </c>
      <c r="B1245">
        <v>1200160</v>
      </c>
      <c r="C1245">
        <v>1</v>
      </c>
      <c r="D1245" t="s">
        <v>1695</v>
      </c>
      <c r="E1245">
        <v>762</v>
      </c>
      <c r="F1245" t="s">
        <v>49</v>
      </c>
      <c r="G1245" t="s">
        <v>49</v>
      </c>
      <c r="H1245">
        <v>43738</v>
      </c>
    </row>
    <row r="1246" spans="1:8">
      <c r="A1246">
        <v>403165</v>
      </c>
      <c r="B1246">
        <v>1200160</v>
      </c>
      <c r="C1246">
        <v>2</v>
      </c>
      <c r="D1246" t="s">
        <v>1695</v>
      </c>
      <c r="E1246">
        <v>762</v>
      </c>
      <c r="F1246" t="s">
        <v>49</v>
      </c>
      <c r="G1246" t="s">
        <v>49</v>
      </c>
      <c r="H1246">
        <v>43738</v>
      </c>
    </row>
    <row r="1247" spans="1:8">
      <c r="A1247">
        <v>403595</v>
      </c>
      <c r="B1247">
        <v>1200394</v>
      </c>
      <c r="C1247">
        <v>1</v>
      </c>
      <c r="D1247" t="s">
        <v>1695</v>
      </c>
      <c r="E1247">
        <v>906</v>
      </c>
      <c r="F1247" t="s">
        <v>41</v>
      </c>
      <c r="G1247" t="s">
        <v>41</v>
      </c>
    </row>
    <row r="1248" spans="1:8">
      <c r="A1248">
        <v>403596</v>
      </c>
      <c r="B1248">
        <v>1200394</v>
      </c>
      <c r="C1248">
        <v>2</v>
      </c>
      <c r="D1248" t="s">
        <v>1695</v>
      </c>
      <c r="E1248">
        <v>906</v>
      </c>
      <c r="F1248" t="s">
        <v>41</v>
      </c>
      <c r="G1248" t="s">
        <v>41</v>
      </c>
    </row>
    <row r="1249" spans="1:8">
      <c r="A1249">
        <v>403678</v>
      </c>
      <c r="B1249">
        <v>1200433</v>
      </c>
      <c r="C1249">
        <v>1</v>
      </c>
      <c r="D1249" t="s">
        <v>1695</v>
      </c>
      <c r="E1249">
        <v>753</v>
      </c>
      <c r="F1249" t="s">
        <v>41</v>
      </c>
      <c r="G1249" t="s">
        <v>37</v>
      </c>
      <c r="H1249">
        <v>43433</v>
      </c>
    </row>
    <row r="1250" spans="1:8">
      <c r="A1250">
        <v>405359</v>
      </c>
      <c r="B1250">
        <v>1201266</v>
      </c>
      <c r="C1250">
        <v>1</v>
      </c>
      <c r="D1250" t="s">
        <v>1695</v>
      </c>
      <c r="E1250">
        <v>4198</v>
      </c>
      <c r="F1250" t="s">
        <v>47</v>
      </c>
      <c r="G1250" t="s">
        <v>47</v>
      </c>
    </row>
    <row r="1251" spans="1:8">
      <c r="A1251">
        <v>405596</v>
      </c>
      <c r="B1251">
        <v>1201381</v>
      </c>
      <c r="C1251">
        <v>1</v>
      </c>
      <c r="D1251" t="s">
        <v>1695</v>
      </c>
      <c r="E1251">
        <v>834</v>
      </c>
      <c r="F1251" t="s">
        <v>41</v>
      </c>
      <c r="G1251" t="s">
        <v>41</v>
      </c>
    </row>
    <row r="1252" spans="1:8">
      <c r="A1252">
        <v>405724</v>
      </c>
      <c r="B1252">
        <v>1201444</v>
      </c>
      <c r="C1252">
        <v>1</v>
      </c>
      <c r="D1252" t="s">
        <v>1695</v>
      </c>
      <c r="E1252">
        <v>3142</v>
      </c>
      <c r="F1252" t="s">
        <v>41</v>
      </c>
      <c r="G1252" t="s">
        <v>41</v>
      </c>
    </row>
    <row r="1253" spans="1:8">
      <c r="A1253">
        <v>405725</v>
      </c>
      <c r="B1253">
        <v>1201444</v>
      </c>
      <c r="C1253">
        <v>2</v>
      </c>
      <c r="D1253" t="s">
        <v>1695</v>
      </c>
      <c r="E1253">
        <v>3142</v>
      </c>
      <c r="F1253" t="s">
        <v>41</v>
      </c>
      <c r="G1253" t="s">
        <v>41</v>
      </c>
    </row>
    <row r="1254" spans="1:8">
      <c r="A1254">
        <v>405726</v>
      </c>
      <c r="B1254">
        <v>1201444</v>
      </c>
      <c r="C1254">
        <v>3</v>
      </c>
      <c r="D1254" t="s">
        <v>1695</v>
      </c>
      <c r="E1254">
        <v>3142</v>
      </c>
      <c r="F1254" t="s">
        <v>41</v>
      </c>
      <c r="G1254" t="s">
        <v>41</v>
      </c>
    </row>
    <row r="1255" spans="1:8">
      <c r="A1255">
        <v>405727</v>
      </c>
      <c r="B1255">
        <v>1201444</v>
      </c>
      <c r="C1255">
        <v>4</v>
      </c>
      <c r="D1255" t="s">
        <v>1695</v>
      </c>
      <c r="E1255">
        <v>3142</v>
      </c>
      <c r="F1255" t="s">
        <v>41</v>
      </c>
      <c r="G1255" t="s">
        <v>41</v>
      </c>
    </row>
    <row r="1256" spans="1:8">
      <c r="A1256">
        <v>406468</v>
      </c>
      <c r="B1256">
        <v>1201825</v>
      </c>
      <c r="C1256">
        <v>1</v>
      </c>
      <c r="D1256" t="s">
        <v>1695</v>
      </c>
      <c r="E1256">
        <v>3003</v>
      </c>
      <c r="F1256" t="s">
        <v>41</v>
      </c>
      <c r="G1256" t="s">
        <v>37</v>
      </c>
      <c r="H1256">
        <v>44096</v>
      </c>
    </row>
    <row r="1257" spans="1:8">
      <c r="A1257">
        <v>406469</v>
      </c>
      <c r="B1257">
        <v>1201825</v>
      </c>
      <c r="C1257">
        <v>2</v>
      </c>
      <c r="D1257" t="s">
        <v>1695</v>
      </c>
      <c r="E1257">
        <v>3003</v>
      </c>
      <c r="F1257" t="s">
        <v>41</v>
      </c>
      <c r="G1257" t="s">
        <v>37</v>
      </c>
      <c r="H1257">
        <v>44096</v>
      </c>
    </row>
    <row r="1258" spans="1:8">
      <c r="A1258">
        <v>406470</v>
      </c>
      <c r="B1258">
        <v>1201825</v>
      </c>
      <c r="C1258">
        <v>3</v>
      </c>
      <c r="D1258" t="s">
        <v>1695</v>
      </c>
      <c r="E1258">
        <v>3003</v>
      </c>
      <c r="F1258" t="s">
        <v>41</v>
      </c>
      <c r="G1258" t="s">
        <v>37</v>
      </c>
      <c r="H1258">
        <v>44096</v>
      </c>
    </row>
    <row r="1259" spans="1:8">
      <c r="A1259">
        <v>406471</v>
      </c>
      <c r="B1259">
        <v>1201825</v>
      </c>
      <c r="C1259">
        <v>4</v>
      </c>
      <c r="D1259" t="s">
        <v>1697</v>
      </c>
      <c r="E1259">
        <v>1502</v>
      </c>
      <c r="F1259" t="s">
        <v>41</v>
      </c>
      <c r="G1259" t="s">
        <v>37</v>
      </c>
      <c r="H1259">
        <v>44096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README</vt:lpstr>
      <vt:lpstr>Exercises</vt:lpstr>
      <vt:lpstr>Answer_Key</vt:lpstr>
      <vt:lpstr>Validation_Checks</vt:lpstr>
      <vt:lpstr>Lookup_Stations</vt:lpstr>
      <vt:lpstr>Lookup_Status</vt:lpstr>
      <vt:lpstr>Lookup_Class</vt:lpstr>
      <vt:lpstr>Raw_Bookings</vt:lpstr>
      <vt:lpstr>Raw_Passengers</vt:lpstr>
      <vt:lpstr>Raw_Cancellations</vt:lpstr>
      <vt:lpstr>Raw_Capacity</vt:lpstr>
      <vt:lpstr>Raw_Operations</vt:lpstr>
      <vt:lpstr>Work_Bookings</vt:lpstr>
      <vt:lpstr>Work_Passengers</vt:lpstr>
      <vt:lpstr>Work_Cancellations</vt:lpstr>
      <vt:lpstr>Work_Capacity</vt:lpstr>
      <vt:lpstr>Work_Operations</vt:lpstr>
      <vt:lpstr>Clean_Bookings_Solution</vt:lpstr>
      <vt:lpstr>Clean_Passengers_Solution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2026-10-01T03:41:45Z</dcterms:created>
  <dcterms:modified xsi:type="dcterms:W3CDTF">2026-10-01T03:41:45Z</dcterms:modified>
</cp:coreProperties>
</file>